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ommaire" sheetId="1" r:id="rId4"/>
    <sheet state="visible" name="Neuf" sheetId="2" r:id="rId5"/>
    <sheet state="visible" name="Usages" sheetId="3" r:id="rId6"/>
  </sheets>
  <definedNames>
    <definedName hidden="1" localSheetId="1" name="_xlnm._FilterDatabase">Neuf!$A$1:$G$81</definedName>
    <definedName hidden="1" localSheetId="2" name="_xlnm._FilterDatabase">Usages!$A$1:$G$38</definedName>
  </definedNames>
  <calcPr/>
  <pivotCaches>
    <pivotCache cacheId="0" r:id="rId7"/>
    <pivotCache cacheId="1" r:id="rId8"/>
  </pivotCaches>
  <extLst>
    <ext uri="GoogleSheetsCustomDataVersion2">
      <go:sheetsCustomData xmlns:go="http://customooxmlschemas.google.com/" r:id="rId9" roundtripDataChecksum="khJMFM8pKiTa9q0yX0dv64fqvbk2/prvUDuSVv2onoU="/>
    </ext>
  </extLst>
</workbook>
</file>

<file path=xl/sharedStrings.xml><?xml version="1.0" encoding="utf-8"?>
<sst xmlns="http://schemas.openxmlformats.org/spreadsheetml/2006/main" count="907" uniqueCount="607">
  <si>
    <t>Vehicules neuf</t>
  </si>
  <si>
    <t>Classement</t>
  </si>
  <si>
    <t>Unite</t>
  </si>
  <si>
    <t>% unite</t>
  </si>
  <si>
    <t>Montant</t>
  </si>
  <si>
    <t>% Montant</t>
  </si>
  <si>
    <t>Description</t>
  </si>
  <si>
    <t>Sum of 1402</t>
  </si>
  <si>
    <t>Count of NIV</t>
  </si>
  <si>
    <t>301 &amp; +</t>
  </si>
  <si>
    <t>25 VOLKSWAGEN ID.BUZZ</t>
  </si>
  <si>
    <t>181-300</t>
  </si>
  <si>
    <t>26 VOLKSWAGEN JETTA SEDAN</t>
  </si>
  <si>
    <t>121-180</t>
  </si>
  <si>
    <t>26 VOLKSWAGEN TAOS</t>
  </si>
  <si>
    <t>91-120</t>
  </si>
  <si>
    <t>26 VOLKSWAGEN TIGUAN</t>
  </si>
  <si>
    <t>61-90</t>
  </si>
  <si>
    <t>Total général</t>
  </si>
  <si>
    <t>31-60</t>
  </si>
  <si>
    <t>0-30</t>
  </si>
  <si>
    <t>Total</t>
  </si>
  <si>
    <t>Valeur moyenne reel</t>
  </si>
  <si>
    <t>Budget</t>
  </si>
  <si>
    <t>Ecart</t>
  </si>
  <si>
    <t>Valeur moyenne budgete</t>
  </si>
  <si>
    <t>Vehicules usages</t>
  </si>
  <si>
    <t>Sum of 1416</t>
  </si>
  <si>
    <t>Count of Classement</t>
  </si>
  <si>
    <t>11 VOLKSWAGEN JETTA SEDAN</t>
  </si>
  <si>
    <t>19 GMC SAVANA CARGO VA</t>
  </si>
  <si>
    <t>20 VOLKSWAGEN E-GOLF</t>
  </si>
  <si>
    <t>Total pour 301 &amp; +</t>
  </si>
  <si>
    <t>Homme de cours</t>
  </si>
  <si>
    <t>#Contrôle</t>
  </si>
  <si>
    <t>1402</t>
  </si>
  <si>
    <t>2101</t>
  </si>
  <si>
    <t>NIV</t>
  </si>
  <si>
    <t>Jours en stock</t>
  </si>
  <si>
    <t>$ Inventaire</t>
  </si>
  <si>
    <t>$ Financé</t>
  </si>
  <si>
    <t>250187</t>
  </si>
  <si>
    <t>WVG6YVEB1SH027640</t>
  </si>
  <si>
    <t>CTRL</t>
  </si>
  <si>
    <t>250228</t>
  </si>
  <si>
    <t>25 VOLKSWAGEN ID.4</t>
  </si>
  <si>
    <t>1V2JSPE84SC001030</t>
  </si>
  <si>
    <t># unités</t>
  </si>
  <si>
    <t>250281</t>
  </si>
  <si>
    <t>1V29SPE85SC003730</t>
  </si>
  <si>
    <t>250277</t>
  </si>
  <si>
    <t>1V2ASPE80SC003373</t>
  </si>
  <si>
    <t>250294</t>
  </si>
  <si>
    <t>25 VOLKSWAGEN JETTA SEDAN</t>
  </si>
  <si>
    <t>3VWEX7BU7SM074572</t>
  </si>
  <si>
    <t>Financé</t>
  </si>
  <si>
    <t>Interet / mois</t>
  </si>
  <si>
    <t>Interet / auto</t>
  </si>
  <si>
    <t>250301</t>
  </si>
  <si>
    <t>1V29SPE81SC002638</t>
  </si>
  <si>
    <t>Plus de 365 jrs</t>
  </si>
  <si>
    <t>250302</t>
  </si>
  <si>
    <t>3VWGX7BU2SM087917</t>
  </si>
  <si>
    <t>Entre 180 et 364 jours</t>
  </si>
  <si>
    <t>250341</t>
  </si>
  <si>
    <t>1V29SPE80SC004168</t>
  </si>
  <si>
    <t>Entre 90 et 179 jours</t>
  </si>
  <si>
    <t>250350</t>
  </si>
  <si>
    <t>1V2XRPE86SC000287</t>
  </si>
  <si>
    <t>Entre 0 et 89 jours</t>
  </si>
  <si>
    <t>250361</t>
  </si>
  <si>
    <t>1V29SPE89SC003827</t>
  </si>
  <si>
    <t>250357</t>
  </si>
  <si>
    <t>1V29SPE81SC004731</t>
  </si>
  <si>
    <t>250360</t>
  </si>
  <si>
    <t>1V2XRPE86SC004372</t>
  </si>
  <si>
    <t>250366</t>
  </si>
  <si>
    <t>1V2ASPE80SC004913</t>
  </si>
  <si>
    <t>250377</t>
  </si>
  <si>
    <t>1V29SPE87SC003812</t>
  </si>
  <si>
    <t>250399</t>
  </si>
  <si>
    <t>1V29SPE80SC005255</t>
  </si>
  <si>
    <t>250400</t>
  </si>
  <si>
    <t>1V29SPE80SC004882</t>
  </si>
  <si>
    <t>250397</t>
  </si>
  <si>
    <t>1V29SPE89SC004007</t>
  </si>
  <si>
    <t>250412</t>
  </si>
  <si>
    <t>1V2XRPE84SC004046</t>
  </si>
  <si>
    <t>250429</t>
  </si>
  <si>
    <t>1V29SPE88SC004595</t>
  </si>
  <si>
    <t>250431</t>
  </si>
  <si>
    <t>1V29SPE86SC002697</t>
  </si>
  <si>
    <t>250422</t>
  </si>
  <si>
    <t>3VWCX7BU6SM096375</t>
  </si>
  <si>
    <t>250481</t>
  </si>
  <si>
    <t>3VWCX7BU2SM094686</t>
  </si>
  <si>
    <t>250527</t>
  </si>
  <si>
    <t>3VWEX7BU5SM101851</t>
  </si>
  <si>
    <t>250538</t>
  </si>
  <si>
    <t>3VWEX7BU9SM108186</t>
  </si>
  <si>
    <t>250536</t>
  </si>
  <si>
    <t>3VWEX7BUXSM108181</t>
  </si>
  <si>
    <t>250555</t>
  </si>
  <si>
    <t>3VWEX7BU0SM110294</t>
  </si>
  <si>
    <t>260008</t>
  </si>
  <si>
    <t>3VV8C7B29TM002852</t>
  </si>
  <si>
    <t>260012</t>
  </si>
  <si>
    <t>3VV8C7B28TM003815</t>
  </si>
  <si>
    <t>260013</t>
  </si>
  <si>
    <t>3VV2C7B24TM004093</t>
  </si>
  <si>
    <t>260018</t>
  </si>
  <si>
    <t>3VV4C7B2XTM004026</t>
  </si>
  <si>
    <t>260025</t>
  </si>
  <si>
    <t>3VV4C7B28TM005269</t>
  </si>
  <si>
    <t>260035</t>
  </si>
  <si>
    <t>3VV4C7B21TM005971</t>
  </si>
  <si>
    <t>260049</t>
  </si>
  <si>
    <t>3VV4C7B29TM008259</t>
  </si>
  <si>
    <t>260048</t>
  </si>
  <si>
    <t>3VV2C7B24TM009052</t>
  </si>
  <si>
    <t>260054</t>
  </si>
  <si>
    <t>3VV2C7B29TM009564</t>
  </si>
  <si>
    <t>260064</t>
  </si>
  <si>
    <t>3VV8C7B2XTM002438</t>
  </si>
  <si>
    <t>260059</t>
  </si>
  <si>
    <t>3VWCW7BU1TM009499</t>
  </si>
  <si>
    <t>260080</t>
  </si>
  <si>
    <t>3VV4C7B2XTM011946</t>
  </si>
  <si>
    <t>260094</t>
  </si>
  <si>
    <t>3VVER7RM7TM009520</t>
  </si>
  <si>
    <t>260089</t>
  </si>
  <si>
    <t>3VV2C7B24TM012663</t>
  </si>
  <si>
    <t>260092</t>
  </si>
  <si>
    <t>3VV2C7B2XTM012683</t>
  </si>
  <si>
    <t>260101</t>
  </si>
  <si>
    <t>3VV4C7B21TM010734</t>
  </si>
  <si>
    <t>260105</t>
  </si>
  <si>
    <t>3VVBR7RM7TM008743</t>
  </si>
  <si>
    <t>260099</t>
  </si>
  <si>
    <t>3VWCW7BU6TM011300</t>
  </si>
  <si>
    <t>260110</t>
  </si>
  <si>
    <t>3VWCW7BU7TM011449</t>
  </si>
  <si>
    <t>260168</t>
  </si>
  <si>
    <t>WVG6YVEB5SH041704</t>
  </si>
  <si>
    <t>260194</t>
  </si>
  <si>
    <t>3VVBR7RM4TM025189</t>
  </si>
  <si>
    <t>260208</t>
  </si>
  <si>
    <t>3VV8C7B23TM026080</t>
  </si>
  <si>
    <t>260220</t>
  </si>
  <si>
    <t>3VV2C7B21TM028321</t>
  </si>
  <si>
    <t>260228</t>
  </si>
  <si>
    <t>3VV2C7B20TM029458</t>
  </si>
  <si>
    <t>260237</t>
  </si>
  <si>
    <t>3VVBR7RM6TM030121</t>
  </si>
  <si>
    <t>260238</t>
  </si>
  <si>
    <t>3VVBR7RM1TM031127</t>
  </si>
  <si>
    <t>260247</t>
  </si>
  <si>
    <t>26 VOLKSWAGEN ATLAS</t>
  </si>
  <si>
    <t>1V2FN2CA0TC527548</t>
  </si>
  <si>
    <t>260251</t>
  </si>
  <si>
    <t>3VV4C7B21TM031339</t>
  </si>
  <si>
    <t>260246</t>
  </si>
  <si>
    <t>3VV2C7B23TM030345</t>
  </si>
  <si>
    <t>260262</t>
  </si>
  <si>
    <t>3VVUW7RM0TM037633</t>
  </si>
  <si>
    <t>260263</t>
  </si>
  <si>
    <t>3VV4C7B20TM031851</t>
  </si>
  <si>
    <t>260279</t>
  </si>
  <si>
    <t>3VV2C7B22TM036038</t>
  </si>
  <si>
    <t>260276</t>
  </si>
  <si>
    <t>3VV2C7B20TM034899</t>
  </si>
  <si>
    <t>260277</t>
  </si>
  <si>
    <t>3VV8C7B28TM035325</t>
  </si>
  <si>
    <t>260295</t>
  </si>
  <si>
    <t>3VVER7RM2TM051299</t>
  </si>
  <si>
    <t>260305</t>
  </si>
  <si>
    <t>3VVER7RM4TM052051</t>
  </si>
  <si>
    <t>260294</t>
  </si>
  <si>
    <t>3VV4C7B23TM034923</t>
  </si>
  <si>
    <t>260307</t>
  </si>
  <si>
    <t>3VVBR7RM5TM052174</t>
  </si>
  <si>
    <t>260321</t>
  </si>
  <si>
    <t>3VVUW7RM4TM052720</t>
  </si>
  <si>
    <t>260317</t>
  </si>
  <si>
    <t>3VVUW7RM4TM053298</t>
  </si>
  <si>
    <t>260330</t>
  </si>
  <si>
    <t>26 VOLKSWAGEN GOLF GTI</t>
  </si>
  <si>
    <t>WVWNE7CD3TW197021</t>
  </si>
  <si>
    <t>260332</t>
  </si>
  <si>
    <t>3VVBR7RM0TM050798</t>
  </si>
  <si>
    <t>260336</t>
  </si>
  <si>
    <t>3VVUW7RM3TM052773</t>
  </si>
  <si>
    <t>260338</t>
  </si>
  <si>
    <t>3VVUW7RM2TM054627</t>
  </si>
  <si>
    <t>260335</t>
  </si>
  <si>
    <t>3VVER7RM0TM049874</t>
  </si>
  <si>
    <t>260340</t>
  </si>
  <si>
    <t>3VVER7RM4TM053961</t>
  </si>
  <si>
    <t>260343</t>
  </si>
  <si>
    <t>3VVGR7RM8TM052854</t>
  </si>
  <si>
    <t>260349</t>
  </si>
  <si>
    <t>3VV2C7B21TM038332</t>
  </si>
  <si>
    <t>260359</t>
  </si>
  <si>
    <t>3VV2C7B29TM040393</t>
  </si>
  <si>
    <t>260364</t>
  </si>
  <si>
    <t>3VVGR7RM6TM062735</t>
  </si>
  <si>
    <t>260379</t>
  </si>
  <si>
    <t>3VVBR7RM0TM067567</t>
  </si>
  <si>
    <t>260374</t>
  </si>
  <si>
    <t>3VVBR7RM6TM067752</t>
  </si>
  <si>
    <t>260373</t>
  </si>
  <si>
    <t>3VVBR7RM4TM065479</t>
  </si>
  <si>
    <t>260383</t>
  </si>
  <si>
    <t>3VV2C7B23TM044827</t>
  </si>
  <si>
    <t>260384</t>
  </si>
  <si>
    <t>3VV2C7B24TM044349</t>
  </si>
  <si>
    <t>260387</t>
  </si>
  <si>
    <t>3VV2C7B27TM045219</t>
  </si>
  <si>
    <t>260386</t>
  </si>
  <si>
    <t>3VV2C7B24TM043170</t>
  </si>
  <si>
    <t>260385</t>
  </si>
  <si>
    <t>3VVBR7RM9TM070449</t>
  </si>
  <si>
    <t>260393</t>
  </si>
  <si>
    <t>3VVGR7RM8TM069069</t>
  </si>
  <si>
    <t>260392</t>
  </si>
  <si>
    <t>3VVGR7RM5TM068056</t>
  </si>
  <si>
    <t>260390</t>
  </si>
  <si>
    <t>3VVBR7RM3TM067773</t>
  </si>
  <si>
    <t>260399</t>
  </si>
  <si>
    <t>26 VOLKSWAGEN ATLAS CROSS SPT</t>
  </si>
  <si>
    <t>1V2FC2CA5TC218759</t>
  </si>
  <si>
    <t>260394</t>
  </si>
  <si>
    <t>3VVUW7RM9TM069710</t>
  </si>
  <si>
    <t>260398</t>
  </si>
  <si>
    <t>3VVER7RM4TM066015</t>
  </si>
  <si>
    <t>260406</t>
  </si>
  <si>
    <t>3VV8C7B26TM046100</t>
  </si>
  <si>
    <t>260401</t>
  </si>
  <si>
    <t>3VV8C7B22TM046269</t>
  </si>
  <si>
    <t>260417</t>
  </si>
  <si>
    <t>3VVUW7RM3TM074479</t>
  </si>
  <si>
    <t>260409</t>
  </si>
  <si>
    <t>3VVGR7RM7TM073565</t>
  </si>
  <si>
    <t>260411</t>
  </si>
  <si>
    <t>3VV2C7B22TM046097</t>
  </si>
  <si>
    <t>260410</t>
  </si>
  <si>
    <t>3VV2C7B21TM045720</t>
  </si>
  <si>
    <t>260424</t>
  </si>
  <si>
    <t>1V2BN2CA1TC549038</t>
  </si>
  <si>
    <t>260422</t>
  </si>
  <si>
    <t>1V2FC2CA8TC220604</t>
  </si>
  <si>
    <t>260423</t>
  </si>
  <si>
    <t>3VV8C7B22TM047132</t>
  </si>
  <si>
    <t>260425</t>
  </si>
  <si>
    <t>3VV8C7B26TM048221</t>
  </si>
  <si>
    <t>260429</t>
  </si>
  <si>
    <t>1V2FC2CA1TC220329</t>
  </si>
  <si>
    <t>260430</t>
  </si>
  <si>
    <t>1V2BN2CA4TC546988</t>
  </si>
  <si>
    <t>260434</t>
  </si>
  <si>
    <t>3VVER7RM4TM076253</t>
  </si>
  <si>
    <t>260432</t>
  </si>
  <si>
    <t>3VV2C7B28TM049103</t>
  </si>
  <si>
    <t>260427</t>
  </si>
  <si>
    <t>26 VOLKSWAGEN JETTA GLI</t>
  </si>
  <si>
    <t>3VW1M7BU7TM041838</t>
  </si>
  <si>
    <t>260435</t>
  </si>
  <si>
    <t>WVWNE7CDXTW204465</t>
  </si>
  <si>
    <t>260445</t>
  </si>
  <si>
    <t>1V2FC2CA5TC220737</t>
  </si>
  <si>
    <t>260449</t>
  </si>
  <si>
    <t>1V2BC2CA2TC220791</t>
  </si>
  <si>
    <t>260444</t>
  </si>
  <si>
    <t>26 VOLKSWAGEN GOLF R</t>
  </si>
  <si>
    <t>WVWKF7CD3TW211547</t>
  </si>
  <si>
    <t>260450</t>
  </si>
  <si>
    <t>WVWJF7CD4TW206028</t>
  </si>
  <si>
    <t>260442</t>
  </si>
  <si>
    <t>1V2LN2CA7TC550392</t>
  </si>
  <si>
    <t>260448</t>
  </si>
  <si>
    <t>3VVUW7RM3TM076068</t>
  </si>
  <si>
    <t>260447</t>
  </si>
  <si>
    <t>3VVER7RM6TM076111</t>
  </si>
  <si>
    <t>260446</t>
  </si>
  <si>
    <t>3VV2C7B23TM049171</t>
  </si>
  <si>
    <t>260443</t>
  </si>
  <si>
    <t>3VV2C7B2XTM048471</t>
  </si>
  <si>
    <t>260440</t>
  </si>
  <si>
    <t>3VWGW7BU4TM013273</t>
  </si>
  <si>
    <t>260453</t>
  </si>
  <si>
    <t>3VVMR7RM7TM077828</t>
  </si>
  <si>
    <t>260458</t>
  </si>
  <si>
    <t>WVWJF7CD2TW206917</t>
  </si>
  <si>
    <t>260461</t>
  </si>
  <si>
    <t>WVWJF7CD2TW204262</t>
  </si>
  <si>
    <t>260454</t>
  </si>
  <si>
    <t>3VVUW7RM3TM077978</t>
  </si>
  <si>
    <t>260460</t>
  </si>
  <si>
    <t>3VVGR7RM4TM077895</t>
  </si>
  <si>
    <t>260455</t>
  </si>
  <si>
    <t>3VV2C7B23TM052832</t>
  </si>
  <si>
    <t>260465</t>
  </si>
  <si>
    <t>3VVGR7RM7TM074375</t>
  </si>
  <si>
    <t>260483</t>
  </si>
  <si>
    <t>3VVGR7RM6TM076750</t>
  </si>
  <si>
    <t>260478</t>
  </si>
  <si>
    <t>3VVER7RM7TM076831</t>
  </si>
  <si>
    <t>260479</t>
  </si>
  <si>
    <t>3VV4C7B24TM052721</t>
  </si>
  <si>
    <t>260475</t>
  </si>
  <si>
    <t>3VV2C7B25TM050080</t>
  </si>
  <si>
    <t>260466</t>
  </si>
  <si>
    <t>3VV2C7B2XTM049944</t>
  </si>
  <si>
    <t>260482</t>
  </si>
  <si>
    <t>3VVBR7RM5TM079200</t>
  </si>
  <si>
    <t>260470</t>
  </si>
  <si>
    <t>3VVBR7RM2TM076321</t>
  </si>
  <si>
    <t>260468</t>
  </si>
  <si>
    <t>3VVVC7B27TM048764</t>
  </si>
  <si>
    <t>260481</t>
  </si>
  <si>
    <t>3VVVC7B23TM048101</t>
  </si>
  <si>
    <t>260469</t>
  </si>
  <si>
    <t>3VWCW7BU2TM045461</t>
  </si>
  <si>
    <t>260486</t>
  </si>
  <si>
    <t>3VVUC7B28TM051619</t>
  </si>
  <si>
    <t>260493</t>
  </si>
  <si>
    <t>1V2FN2CA7TC555248</t>
  </si>
  <si>
    <t>260496</t>
  </si>
  <si>
    <t>1V2FN2CA2TC550202</t>
  </si>
  <si>
    <t>260495</t>
  </si>
  <si>
    <t>3VVMR7RM1TM082040</t>
  </si>
  <si>
    <t>260500</t>
  </si>
  <si>
    <t>3VVBR7RM2TM081471</t>
  </si>
  <si>
    <t>260494</t>
  </si>
  <si>
    <t>3VVBR7RMXTM080195</t>
  </si>
  <si>
    <t>260497</t>
  </si>
  <si>
    <t>3VV8C7B26TM054035</t>
  </si>
  <si>
    <t>260499</t>
  </si>
  <si>
    <t>3VV8C7B28TM053467</t>
  </si>
  <si>
    <t>260503</t>
  </si>
  <si>
    <t>3VVER7RM3TM081315</t>
  </si>
  <si>
    <t>260506</t>
  </si>
  <si>
    <t>3VVER7RM4TM082957</t>
  </si>
  <si>
    <t>260509</t>
  </si>
  <si>
    <t>3VVER7RM9TM083733</t>
  </si>
  <si>
    <t>260505</t>
  </si>
  <si>
    <t>3VVER7RM1TM080292</t>
  </si>
  <si>
    <t>260502</t>
  </si>
  <si>
    <t>3VV2C7B20TM053291</t>
  </si>
  <si>
    <t>260507</t>
  </si>
  <si>
    <t>3VV2C7B2XTM055212</t>
  </si>
  <si>
    <t>260510</t>
  </si>
  <si>
    <t>3VV2C7B27TM053112</t>
  </si>
  <si>
    <t>260504</t>
  </si>
  <si>
    <t>3VVBR7RM2TM081017</t>
  </si>
  <si>
    <t>260508</t>
  </si>
  <si>
    <t>3VVUC7B26TM054602</t>
  </si>
  <si>
    <t>260514</t>
  </si>
  <si>
    <t>1V2BN2CA0TC548267</t>
  </si>
  <si>
    <t>260520</t>
  </si>
  <si>
    <t>1V2BN2CA6TC556535</t>
  </si>
  <si>
    <t>260519</t>
  </si>
  <si>
    <t>1V2BN2CA7TC555622</t>
  </si>
  <si>
    <t>260517</t>
  </si>
  <si>
    <t>3VVGR7RM9TM083563</t>
  </si>
  <si>
    <t>260515</t>
  </si>
  <si>
    <t>3VVER7RM2TM083315</t>
  </si>
  <si>
    <t>260513</t>
  </si>
  <si>
    <t>3VV2C7B26TM055384</t>
  </si>
  <si>
    <t>260516</t>
  </si>
  <si>
    <t>3VVBR7RM2TM083169</t>
  </si>
  <si>
    <t>260511</t>
  </si>
  <si>
    <t>3VWSW7BU5TM047104</t>
  </si>
  <si>
    <t>260518</t>
  </si>
  <si>
    <t>3VWCW7BU0TM046978</t>
  </si>
  <si>
    <t>260526</t>
  </si>
  <si>
    <t>1V2FN2CA8TC556988</t>
  </si>
  <si>
    <t>260527</t>
  </si>
  <si>
    <t>1V2FN2CA4TC557846</t>
  </si>
  <si>
    <t>260528</t>
  </si>
  <si>
    <t>1V2FN2CA1TC556198</t>
  </si>
  <si>
    <t>260522</t>
  </si>
  <si>
    <t>1V2FC2CA4TC223435</t>
  </si>
  <si>
    <t>260529</t>
  </si>
  <si>
    <t>1V2LN2CA6TC557642</t>
  </si>
  <si>
    <t>260525</t>
  </si>
  <si>
    <t>3VVGR7RM6TM088347</t>
  </si>
  <si>
    <t>260521</t>
  </si>
  <si>
    <t>3VVMR7RM0TM085057</t>
  </si>
  <si>
    <t>260523</t>
  </si>
  <si>
    <t>3VWCW7BU9TM047336</t>
  </si>
  <si>
    <t>260524</t>
  </si>
  <si>
    <t>3VWCW7BU2TM047596</t>
  </si>
  <si>
    <t>260531</t>
  </si>
  <si>
    <t>WVWCF7CDXTW188899</t>
  </si>
  <si>
    <t>260573</t>
  </si>
  <si>
    <t>3VVER7RM1TM081930</t>
  </si>
  <si>
    <t>260532</t>
  </si>
  <si>
    <t>1V2FN2CA6TC547738</t>
  </si>
  <si>
    <t>260535</t>
  </si>
  <si>
    <t>1V2CN2CA2TC559047</t>
  </si>
  <si>
    <t>260538</t>
  </si>
  <si>
    <t>1V2CN2CA5TC559978</t>
  </si>
  <si>
    <t>260536</t>
  </si>
  <si>
    <t>3VVGR7RM5TM084838</t>
  </si>
  <si>
    <t>260541</t>
  </si>
  <si>
    <t>3VVGR7RM5TM085505</t>
  </si>
  <si>
    <t>260542</t>
  </si>
  <si>
    <t>3VVGR7RM1TM085582</t>
  </si>
  <si>
    <t>260533</t>
  </si>
  <si>
    <t>WVWNE7CDXTW217829</t>
  </si>
  <si>
    <t>260537</t>
  </si>
  <si>
    <t>3VWSW7BUXTM049107</t>
  </si>
  <si>
    <t>260534</t>
  </si>
  <si>
    <t>3VWCW7BU0TM049069</t>
  </si>
  <si>
    <t>260539</t>
  </si>
  <si>
    <t>3VWCW7BU5TM048872</t>
  </si>
  <si>
    <t>260540</t>
  </si>
  <si>
    <t>3VWCW7BU3TM049227</t>
  </si>
  <si>
    <t>260552</t>
  </si>
  <si>
    <t>3VVGR7RM4TM086564</t>
  </si>
  <si>
    <t>260545</t>
  </si>
  <si>
    <t>3VVER7RM6TM086041</t>
  </si>
  <si>
    <t>260549</t>
  </si>
  <si>
    <t>3VVER7RM8TM084372</t>
  </si>
  <si>
    <t>260548</t>
  </si>
  <si>
    <t>3VV2C7B22TM057181</t>
  </si>
  <si>
    <t>260544</t>
  </si>
  <si>
    <t>3VVUC7B21TM058184</t>
  </si>
  <si>
    <t>260551</t>
  </si>
  <si>
    <t>3VVUC7B27TM058481</t>
  </si>
  <si>
    <t>260547</t>
  </si>
  <si>
    <t>3VW2M7BU0TM050675</t>
  </si>
  <si>
    <t>260546</t>
  </si>
  <si>
    <t>3VWSW7BU3TM050924</t>
  </si>
  <si>
    <t>260550</t>
  </si>
  <si>
    <t>3VWCW7BU5TM050735</t>
  </si>
  <si>
    <t>3VVER7RMXTM081022</t>
  </si>
  <si>
    <t>3VVER7RMXTM086673</t>
  </si>
  <si>
    <t>3VVVC7B22TM059414</t>
  </si>
  <si>
    <t>3VVER7RM3TM085803</t>
  </si>
  <si>
    <t>3VWCW7BU3TM050927</t>
  </si>
  <si>
    <t>3VVGR7RMXTM085919</t>
  </si>
  <si>
    <t>1V2BN2CAXTC561141</t>
  </si>
  <si>
    <t>3VVGR7RM5TM086573</t>
  </si>
  <si>
    <t>1V2BN2CA5TC559748</t>
  </si>
  <si>
    <t>3VW2M7BU3TM046605</t>
  </si>
  <si>
    <t>3VV4C7B25TM010686</t>
  </si>
  <si>
    <t>3VVBR7RM3TM089028</t>
  </si>
  <si>
    <t>3VVUC7B23TM059174</t>
  </si>
  <si>
    <t>1V2FC2CA4TC223824</t>
  </si>
  <si>
    <t>1V2FC2CA0TC223738</t>
  </si>
  <si>
    <t>3VWCW7BU4TM048684</t>
  </si>
  <si>
    <t>3VWCW7BU7TM051076</t>
  </si>
  <si>
    <t>3VVUC7B23TM059031</t>
  </si>
  <si>
    <t>3VWSW7BU8TM050322</t>
  </si>
  <si>
    <t>3VV2C7B23TM058971</t>
  </si>
  <si>
    <t>1V2BN2CAXTC539365</t>
  </si>
  <si>
    <t>1V2BN2CA2TC561716</t>
  </si>
  <si>
    <t>3VVGR7RM4TM092106</t>
  </si>
  <si>
    <t>3VVBR7RM6TM091534</t>
  </si>
  <si>
    <t>3VVVC7B24TM059625</t>
  </si>
  <si>
    <t>3VVVC7B28TM058459</t>
  </si>
  <si>
    <t>1V2LN2CA0TC556387</t>
  </si>
  <si>
    <t>3VV4C7B25TM061153</t>
  </si>
  <si>
    <t>1V2BN2CA1TC559486</t>
  </si>
  <si>
    <t>3VVGR7RM4TM090517</t>
  </si>
  <si>
    <t>1V2FN2CA6TC560652</t>
  </si>
  <si>
    <t>3VWEW7BU6TM053345</t>
  </si>
  <si>
    <t>3VV8C7B21TM059854</t>
  </si>
  <si>
    <t>1V2FC2CAXTC224928</t>
  </si>
  <si>
    <t>3VWSW7BUXTM054016</t>
  </si>
  <si>
    <t>1V2FC2CA4TC225198</t>
  </si>
  <si>
    <t>3VVUW7RM8TM081234</t>
  </si>
  <si>
    <t>3VV8C7B23TM062447</t>
  </si>
  <si>
    <t>3VV2C7B22TM062185</t>
  </si>
  <si>
    <t>1V2FN2CA7TC560482</t>
  </si>
  <si>
    <t>1V2BN2CA4TC562026</t>
  </si>
  <si>
    <t>1V2BC2CA0TC224354</t>
  </si>
  <si>
    <t>1V2BN2CA9TC561700</t>
  </si>
  <si>
    <t>1V2BN2CAXTC540936</t>
  </si>
  <si>
    <t>1416</t>
  </si>
  <si>
    <t>2103</t>
  </si>
  <si>
    <t>5188P</t>
  </si>
  <si>
    <t>3VWLL7AJ3BM097101</t>
  </si>
  <si>
    <t>5291P</t>
  </si>
  <si>
    <t>WVWPR7AU2LW903993</t>
  </si>
  <si>
    <t>5407P</t>
  </si>
  <si>
    <t>1GTW7BFP1K1340423</t>
  </si>
  <si>
    <t>260266A</t>
  </si>
  <si>
    <t>19 VOLKSWAGEN JETTA</t>
  </si>
  <si>
    <t>3VWC57BU1KM057327</t>
  </si>
  <si>
    <t>260227A</t>
  </si>
  <si>
    <t>24 VOLKSWAGEN ATLAS CROSS SPO</t>
  </si>
  <si>
    <t>1V2FE2CAXRC210319</t>
  </si>
  <si>
    <t>260067A</t>
  </si>
  <si>
    <t>22 VOLKSWAGEN TAOS</t>
  </si>
  <si>
    <t>3VVAX7B24NM045018</t>
  </si>
  <si>
    <t>5916P</t>
  </si>
  <si>
    <t>3VVLX7B27NM077731</t>
  </si>
  <si>
    <t>260274A</t>
  </si>
  <si>
    <t>3VV2X7B2XNM074396</t>
  </si>
  <si>
    <t>260155A</t>
  </si>
  <si>
    <t>24 VOLKSWAGEN TIGUAN</t>
  </si>
  <si>
    <t>3VV8B7AX0RM019399</t>
  </si>
  <si>
    <t>260249A</t>
  </si>
  <si>
    <t>3VV3X7B22NM045639</t>
  </si>
  <si>
    <t>260344A</t>
  </si>
  <si>
    <t>22 VOLKSWAGEN TIGUAN</t>
  </si>
  <si>
    <t>3VV4B7AX3NM143448</t>
  </si>
  <si>
    <t>5921P</t>
  </si>
  <si>
    <t>3VVLX7B2XNM070191</t>
  </si>
  <si>
    <t>260339A</t>
  </si>
  <si>
    <t>24 VOLKSWAGEN GOLF GTI</t>
  </si>
  <si>
    <t>WVWWA7CD7RW232734</t>
  </si>
  <si>
    <t>5923P</t>
  </si>
  <si>
    <t>23 VOLKSWAGEN TAOS</t>
  </si>
  <si>
    <t>3VV2X7B2XPM335318</t>
  </si>
  <si>
    <t>260123A</t>
  </si>
  <si>
    <t>3VVAX7B26NM043965</t>
  </si>
  <si>
    <t>5925P</t>
  </si>
  <si>
    <t>22 VOLKSWAGEN ATLAS</t>
  </si>
  <si>
    <t>1V2BP2CA8NC519029</t>
  </si>
  <si>
    <t>5926P</t>
  </si>
  <si>
    <t>3VV4B7AX4NM052527</t>
  </si>
  <si>
    <t>260400A</t>
  </si>
  <si>
    <t>1V2LR2CA1NC546457</t>
  </si>
  <si>
    <t>260367A</t>
  </si>
  <si>
    <t>3VVNX7B24PM333190</t>
  </si>
  <si>
    <t>260371A</t>
  </si>
  <si>
    <t>3VV2B7AXXNM073812</t>
  </si>
  <si>
    <t>260076B</t>
  </si>
  <si>
    <t>20 VOLKSWAGEN GOLF</t>
  </si>
  <si>
    <t>3VWG57AU7LM007441</t>
  </si>
  <si>
    <t>5928P</t>
  </si>
  <si>
    <t>1V2BR2CA7NC524006</t>
  </si>
  <si>
    <t>5929P</t>
  </si>
  <si>
    <t>23 VOLKSWAGEN ATLAS CROSS SPO</t>
  </si>
  <si>
    <t>1V2SE2CA6PC205971</t>
  </si>
  <si>
    <t>260235A</t>
  </si>
  <si>
    <t>21 VOLKSWAGEN JETTA</t>
  </si>
  <si>
    <t>3VWE57BU5MM036962</t>
  </si>
  <si>
    <t>260363A</t>
  </si>
  <si>
    <t>24 VOLKSWAGEN ATLAS</t>
  </si>
  <si>
    <t>1V2FR2CA5RC522746</t>
  </si>
  <si>
    <t>260431A</t>
  </si>
  <si>
    <t>1V2FR2CA1NC542986</t>
  </si>
  <si>
    <t>260404A</t>
  </si>
  <si>
    <t>1V2BR2CA7NC553103</t>
  </si>
  <si>
    <t>260414A</t>
  </si>
  <si>
    <t>3VV2X7B28NM078172</t>
  </si>
  <si>
    <t>260397A</t>
  </si>
  <si>
    <t>18 MERCEDES LIGHT TRUCK GLC</t>
  </si>
  <si>
    <t>WDC0G4KB8JV111587</t>
  </si>
  <si>
    <t>5934P</t>
  </si>
  <si>
    <t>3VV8B7AX0NM067821</t>
  </si>
  <si>
    <t>5933P</t>
  </si>
  <si>
    <t>21 VOLKSWAGEN ATLAS</t>
  </si>
  <si>
    <t>1V2FR2CA4MC545959</t>
  </si>
  <si>
    <t>5935P</t>
  </si>
  <si>
    <t>22 VOLKSWAGEN GOLF R</t>
  </si>
  <si>
    <t>WVWEB7CD9NW160664</t>
  </si>
  <si>
    <t>260358A</t>
  </si>
  <si>
    <t>21 VOLKSWAGEN TIGUAN</t>
  </si>
  <si>
    <t>3VV2B7AX1MM129019</t>
  </si>
  <si>
    <t>260477A</t>
  </si>
  <si>
    <t>3VV4B7AXXNM096385</t>
  </si>
  <si>
    <t>260217A</t>
  </si>
  <si>
    <t>3VV3X7B26NM065182</t>
  </si>
  <si>
    <t>5938P</t>
  </si>
  <si>
    <t>21 VOLKSWAGEN ATLAS CROSS SPO</t>
  </si>
  <si>
    <t>1V2BC2CAXMC221804</t>
  </si>
  <si>
    <t>260452A</t>
  </si>
  <si>
    <t>3VVMB7AX5RM088409</t>
  </si>
  <si>
    <t>260476A</t>
  </si>
  <si>
    <t>3VVAX7B22PM330481</t>
  </si>
  <si>
    <t>260463A</t>
  </si>
  <si>
    <t>3VV2B7AX4NM053314</t>
  </si>
  <si>
    <t>260346A</t>
  </si>
  <si>
    <t>22 HYUNDAI TUCSON</t>
  </si>
  <si>
    <t>KM8JB3AE1NU023650</t>
  </si>
  <si>
    <t>260388B</t>
  </si>
  <si>
    <t>14 AUDI A4</t>
  </si>
  <si>
    <t>WAUFFCFL1EN022804</t>
  </si>
  <si>
    <t>5939P</t>
  </si>
  <si>
    <t>3VV2B7AX1NM071253</t>
  </si>
  <si>
    <t>260331A</t>
  </si>
  <si>
    <t>18 NISSAN QASHQAI</t>
  </si>
  <si>
    <t>JN1BJ1CR2JW255952</t>
  </si>
  <si>
    <t>260115B</t>
  </si>
  <si>
    <t>10 MAZDA MAZDA3</t>
  </si>
  <si>
    <t>JM1BL1SF6A1309216</t>
  </si>
  <si>
    <t>260313A</t>
  </si>
  <si>
    <t>WVWJA7CD8RW148254</t>
  </si>
  <si>
    <t>260370A</t>
  </si>
  <si>
    <t>3VV8B7AX3NM010822</t>
  </si>
  <si>
    <t>260005A</t>
  </si>
  <si>
    <t>3VVAX7B25NM078335</t>
  </si>
  <si>
    <t>260408B</t>
  </si>
  <si>
    <t>13 VOLKSWAGEN JETTA SEDAN</t>
  </si>
  <si>
    <t>3VW2K7AJ8DM448487</t>
  </si>
  <si>
    <t>250637A</t>
  </si>
  <si>
    <t>11 TOYOTA HIGHLANDER HYBR</t>
  </si>
  <si>
    <t>JTEBC3EH8B2000282</t>
  </si>
  <si>
    <t>260403A</t>
  </si>
  <si>
    <t>12 VOLKSWAGEN JETTA SEDAN</t>
  </si>
  <si>
    <t>3VW1K7AJXCM364598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</si>
</sst>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.00_-;\-* #,##0.00_-;_-* &quot;-&quot;??_-;_-@"/>
    <numFmt numFmtId="165" formatCode="#,###.00;\-#,###.00;.00"/>
    <numFmt numFmtId="166" formatCode="#;#;0"/>
    <numFmt numFmtId="167" formatCode="_-* #,##0_-;\-* #,##0_-;_-* &quot;-&quot;??_-;_-@"/>
    <numFmt numFmtId="168" formatCode="_ * #,##0_)\ &quot;$&quot;_ ;_ * \(#,##0\)\ &quot;$&quot;_ ;_ * &quot;-&quot;??_)\ &quot;$&quot;_ ;_ @_ "/>
    <numFmt numFmtId="169" formatCode="0.0%"/>
    <numFmt numFmtId="170" formatCode="_ * #,##0.00_)_ ;_ * \(#,##0.00\)_ ;_ * &quot;-&quot;??_)_ ;_ @_ "/>
    <numFmt numFmtId="171" formatCode="_ * #,##0.00_)\ &quot;$&quot;_ ;_ * \(#,##0.00\)\ &quot;$&quot;_ ;_ * &quot;-&quot;??_)\ &quot;$&quot;_ ;_ @_ "/>
  </numFmts>
  <fonts count="1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color theme="1"/>
      <name val="Calibri"/>
      <scheme val="minor"/>
    </font>
    <font/>
    <font>
      <sz val="11.0"/>
      <color rgb="FFFF0000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1.0"/>
      <color theme="1"/>
      <name val="Arial"/>
    </font>
    <font>
      <b/>
      <sz val="11.0"/>
      <color rgb="FFFF0000"/>
      <name val="Arial"/>
    </font>
    <font>
      <sz val="8.0"/>
      <color theme="1"/>
      <name val="Calibri"/>
    </font>
    <font>
      <b/>
      <color theme="1"/>
      <name val="Arial"/>
    </font>
    <font>
      <sz val="9.0"/>
      <color rgb="FF212529"/>
      <name val="Arial"/>
    </font>
    <font>
      <sz val="8.0"/>
      <color rgb="FF212529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3" numFmtId="0" xfId="0" applyFont="1"/>
    <xf borderId="0" fillId="0" fontId="3" numFmtId="164" xfId="0" applyFont="1" applyNumberFormat="1"/>
    <xf borderId="1" fillId="0" fontId="2" numFmtId="0" xfId="0" applyAlignment="1" applyBorder="1" applyFont="1">
      <alignment horizontal="center"/>
    </xf>
    <xf borderId="0" fillId="0" fontId="1" numFmtId="49" xfId="0" applyFont="1" applyNumberFormat="1"/>
    <xf borderId="0" fillId="0" fontId="4" numFmtId="0" xfId="0" applyFont="1"/>
    <xf borderId="1" fillId="2" fontId="2" numFmtId="0" xfId="0" applyAlignment="1" applyBorder="1" applyFill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1" fillId="0" fontId="1" numFmtId="9" xfId="0" applyAlignment="1" applyBorder="1" applyFont="1" applyNumberFormat="1">
      <alignment horizontal="center"/>
    </xf>
    <xf borderId="1" fillId="0" fontId="1" numFmtId="167" xfId="0" applyAlignment="1" applyBorder="1" applyFont="1" applyNumberFormat="1">
      <alignment horizontal="center"/>
    </xf>
    <xf borderId="0" fillId="0" fontId="1" numFmtId="49" xfId="0" applyAlignment="1" applyFont="1" applyNumberFormat="1">
      <alignment horizontal="left"/>
    </xf>
    <xf borderId="0" fillId="0" fontId="1" numFmtId="0" xfId="0" applyAlignment="1" applyFont="1">
      <alignment horizontal="left"/>
    </xf>
    <xf borderId="2" fillId="3" fontId="1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1" fillId="0" fontId="1" numFmtId="1" xfId="0" applyAlignment="1" applyBorder="1" applyFont="1" applyNumberFormat="1">
      <alignment horizontal="center"/>
    </xf>
    <xf borderId="1" fillId="0" fontId="1" numFmtId="167" xfId="0" applyBorder="1" applyFont="1" applyNumberFormat="1"/>
    <xf borderId="1" fillId="0" fontId="1" numFmtId="0" xfId="0" applyBorder="1" applyFont="1"/>
    <xf borderId="0" fillId="0" fontId="4" numFmtId="166" xfId="0" applyFont="1" applyNumberFormat="1"/>
    <xf borderId="0" fillId="0" fontId="4" numFmtId="49" xfId="0" applyFont="1" applyNumberFormat="1"/>
    <xf borderId="0" fillId="0" fontId="4" numFmtId="165" xfId="0" applyFont="1" applyNumberFormat="1"/>
    <xf borderId="0" fillId="0" fontId="6" numFmtId="0" xfId="0" applyAlignment="1" applyFont="1">
      <alignment horizontal="left"/>
    </xf>
    <xf borderId="0" fillId="0" fontId="6" numFmtId="164" xfId="0" applyFont="1" applyNumberFormat="1"/>
    <xf borderId="0" fillId="0" fontId="6" numFmtId="0" xfId="0" applyFont="1"/>
    <xf borderId="0" fillId="0" fontId="7" numFmtId="49" xfId="0" applyAlignment="1" applyFont="1" applyNumberFormat="1">
      <alignment horizontal="left" vertical="center"/>
    </xf>
    <xf borderId="0" fillId="0" fontId="8" numFmtId="165" xfId="0" applyAlignment="1" applyFont="1" applyNumberFormat="1">
      <alignment horizontal="right" vertical="center"/>
    </xf>
    <xf borderId="0" fillId="0" fontId="9" numFmtId="49" xfId="0" applyAlignment="1" applyFont="1" applyNumberFormat="1">
      <alignment horizontal="center" vertical="center"/>
    </xf>
    <xf borderId="0" fillId="0" fontId="10" numFmtId="166" xfId="0" applyAlignment="1" applyFont="1" applyNumberFormat="1">
      <alignment horizontal="right" vertical="center"/>
    </xf>
    <xf borderId="5" fillId="0" fontId="11" numFmtId="0" xfId="0" applyBorder="1" applyFont="1"/>
    <xf borderId="6" fillId="0" fontId="12" numFmtId="0" xfId="0" applyAlignment="1" applyBorder="1" applyFont="1">
      <alignment horizontal="center"/>
    </xf>
    <xf borderId="7" fillId="0" fontId="12" numFmtId="0" xfId="0" applyAlignment="1" applyBorder="1" applyFont="1">
      <alignment horizontal="center"/>
    </xf>
    <xf borderId="0" fillId="0" fontId="11" numFmtId="0" xfId="0" applyFont="1"/>
    <xf borderId="0" fillId="0" fontId="1" numFmtId="49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right" vertical="center"/>
    </xf>
    <xf borderId="0" fillId="0" fontId="1" numFmtId="49" xfId="0" applyAlignment="1" applyFont="1" applyNumberFormat="1">
      <alignment horizontal="center" vertical="center"/>
    </xf>
    <xf borderId="0" fillId="0" fontId="1" numFmtId="166" xfId="0" applyAlignment="1" applyFont="1" applyNumberFormat="1">
      <alignment horizontal="right" vertical="center"/>
    </xf>
    <xf borderId="0" fillId="0" fontId="1" numFmtId="0" xfId="0" applyAlignment="1" applyFont="1">
      <alignment horizontal="center"/>
    </xf>
    <xf borderId="8" fillId="0" fontId="12" numFmtId="0" xfId="0" applyAlignment="1" applyBorder="1" applyFont="1">
      <alignment horizontal="center"/>
    </xf>
    <xf borderId="0" fillId="0" fontId="11" numFmtId="168" xfId="0" applyAlignment="1" applyFont="1" applyNumberFormat="1">
      <alignment horizontal="center" vertical="center"/>
    </xf>
    <xf borderId="9" fillId="0" fontId="11" numFmtId="168" xfId="0" applyAlignment="1" applyBorder="1" applyFont="1" applyNumberFormat="1">
      <alignment horizontal="center" vertical="center"/>
    </xf>
    <xf borderId="0" fillId="0" fontId="13" numFmtId="168" xfId="0" applyFont="1" applyNumberFormat="1"/>
    <xf borderId="0" fillId="0" fontId="1" numFmtId="0" xfId="0" applyFont="1"/>
    <xf borderId="10" fillId="0" fontId="12" numFmtId="0" xfId="0" applyAlignment="1" applyBorder="1" applyFont="1">
      <alignment horizontal="center"/>
    </xf>
    <xf borderId="11" fillId="0" fontId="11" numFmtId="0" xfId="0" applyAlignment="1" applyBorder="1" applyFont="1">
      <alignment horizontal="center"/>
    </xf>
    <xf borderId="12" fillId="0" fontId="11" numFmtId="169" xfId="0" applyAlignment="1" applyBorder="1" applyFont="1" applyNumberFormat="1">
      <alignment horizontal="center"/>
    </xf>
    <xf borderId="0" fillId="4" fontId="1" numFmtId="49" xfId="0" applyAlignment="1" applyFill="1" applyFont="1" applyNumberFormat="1">
      <alignment horizontal="left" vertical="center"/>
    </xf>
    <xf borderId="1" fillId="0" fontId="11" numFmtId="0" xfId="0" applyAlignment="1" applyBorder="1" applyFont="1">
      <alignment horizontal="left"/>
    </xf>
    <xf borderId="1" fillId="0" fontId="11" numFmtId="0" xfId="0" applyAlignment="1" applyBorder="1" applyFont="1">
      <alignment horizontal="center"/>
    </xf>
    <xf borderId="1" fillId="5" fontId="11" numFmtId="168" xfId="0" applyBorder="1" applyFill="1" applyFont="1" applyNumberFormat="1"/>
    <xf borderId="1" fillId="0" fontId="11" numFmtId="168" xfId="0" applyBorder="1" applyFont="1" applyNumberFormat="1"/>
    <xf borderId="1" fillId="6" fontId="11" numFmtId="168" xfId="0" applyBorder="1" applyFill="1" applyFont="1" applyNumberFormat="1"/>
    <xf borderId="1" fillId="7" fontId="11" numFmtId="168" xfId="0" applyBorder="1" applyFill="1" applyFont="1" applyNumberFormat="1"/>
    <xf borderId="1" fillId="8" fontId="11" numFmtId="168" xfId="0" applyBorder="1" applyFill="1" applyFont="1" applyNumberFormat="1"/>
    <xf borderId="1" fillId="4" fontId="14" numFmtId="49" xfId="0" applyAlignment="1" applyBorder="1" applyFont="1" applyNumberFormat="1">
      <alignment horizontal="left" vertical="bottom"/>
    </xf>
    <xf borderId="0" fillId="0" fontId="1" numFmtId="170" xfId="0" applyAlignment="1" applyFont="1" applyNumberFormat="1">
      <alignment horizontal="right" vertical="center"/>
    </xf>
    <xf borderId="0" fillId="2" fontId="15" numFmtId="49" xfId="0" applyAlignment="1" applyFont="1" applyNumberFormat="1">
      <alignment horizontal="center" readingOrder="0"/>
    </xf>
    <xf borderId="1" fillId="2" fontId="14" numFmtId="49" xfId="0" applyAlignment="1" applyBorder="1" applyFont="1" applyNumberFormat="1">
      <alignment horizontal="left" vertical="bottom"/>
    </xf>
    <xf borderId="0" fillId="2" fontId="1" numFmtId="49" xfId="0" applyAlignment="1" applyFont="1" applyNumberFormat="1">
      <alignment horizontal="left" vertical="center"/>
    </xf>
    <xf borderId="0" fillId="2" fontId="4" numFmtId="0" xfId="0" applyFont="1"/>
    <xf borderId="0" fillId="2" fontId="16" numFmtId="49" xfId="0" applyAlignment="1" applyFont="1" applyNumberFormat="1">
      <alignment horizontal="center" readingOrder="0"/>
    </xf>
    <xf borderId="1" fillId="4" fontId="14" numFmtId="0" xfId="0" applyAlignment="1" applyBorder="1" applyFont="1">
      <alignment horizontal="left" readingOrder="0" vertical="bottom"/>
    </xf>
    <xf borderId="1" fillId="5" fontId="11" numFmtId="171" xfId="0" applyBorder="1" applyFont="1" applyNumberFormat="1"/>
    <xf borderId="1" fillId="6" fontId="11" numFmtId="171" xfId="0" applyBorder="1" applyFont="1" applyNumberFormat="1"/>
    <xf borderId="1" fillId="7" fontId="11" numFmtId="17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91" sheet="Neuf"/>
  </cacheSource>
  <cacheFields>
    <cacheField name="#Contrôle" numFmtId="49">
      <sharedItems>
        <s v="250187"/>
        <s v="250228"/>
        <s v="250281"/>
        <s v="250277"/>
        <s v="250294"/>
        <s v="250301"/>
        <s v="250302"/>
        <s v="250341"/>
        <s v="250350"/>
        <s v="250361"/>
        <s v="250357"/>
        <s v="250360"/>
        <s v="250366"/>
        <s v="250377"/>
        <s v="250399"/>
        <s v="250400"/>
        <s v="250397"/>
        <s v="250412"/>
        <s v="250429"/>
        <s v="250431"/>
        <s v="250422"/>
        <s v="250481"/>
        <s v="250527"/>
        <s v="250538"/>
        <s v="250536"/>
        <s v="250555"/>
        <s v="260008"/>
        <s v="260012"/>
        <s v="260013"/>
        <s v="260018"/>
        <s v="260025"/>
        <s v="260035"/>
        <s v="260049"/>
        <s v="260048"/>
        <s v="260054"/>
        <s v="260064"/>
        <s v="260059"/>
        <s v="260080"/>
        <s v="260094"/>
        <s v="260089"/>
        <s v="260092"/>
        <s v="260101"/>
        <s v="260105"/>
        <s v="260099"/>
        <s v="260110"/>
        <s v="260168"/>
        <s v="260194"/>
        <s v="260208"/>
        <s v="260220"/>
        <s v="260228"/>
        <s v="260237"/>
        <s v="260238"/>
        <s v="260247"/>
        <s v="260251"/>
        <s v="260246"/>
        <s v="260262"/>
        <s v="260263"/>
        <s v="260279"/>
        <s v="260276"/>
        <s v="260277"/>
        <s v="260295"/>
        <s v="260305"/>
        <s v="260294"/>
        <s v="260307"/>
        <s v="260321"/>
        <s v="260317"/>
        <s v="260330"/>
        <s v="260332"/>
        <s v="260336"/>
        <s v="260338"/>
        <s v="260335"/>
        <s v="260340"/>
        <s v="260343"/>
        <s v="260349"/>
        <s v="260359"/>
        <s v="260364"/>
        <s v="260379"/>
        <s v="260374"/>
        <s v="260373"/>
        <s v="260383"/>
        <s v="260384"/>
        <s v="260387"/>
        <s v="260386"/>
        <s v="260385"/>
        <s v="260393"/>
        <s v="260392"/>
        <s v="260390"/>
        <s v="260399"/>
        <s v="260394"/>
        <s v="260398"/>
        <s v="260406"/>
        <s v="260401"/>
        <s v="260417"/>
        <s v="260409"/>
        <s v="260411"/>
        <s v="260410"/>
        <s v="260424"/>
        <s v="260422"/>
        <s v="260423"/>
        <s v="260425"/>
        <s v="260429"/>
        <s v="260430"/>
        <s v="260434"/>
        <s v="260432"/>
        <s v="260427"/>
        <s v="260435"/>
        <s v="260445"/>
        <s v="260449"/>
        <s v="260444"/>
        <s v="260450"/>
        <s v="260442"/>
        <s v="260448"/>
        <s v="260447"/>
        <s v="260446"/>
        <s v="260443"/>
        <s v="260440"/>
        <s v="260453"/>
        <s v="260458"/>
        <s v="260461"/>
        <s v="260454"/>
        <s v="260460"/>
        <s v="260455"/>
        <s v="260465"/>
        <s v="260483"/>
        <s v="260478"/>
        <s v="260479"/>
        <s v="260475"/>
        <s v="260466"/>
        <s v="260482"/>
        <s v="260470"/>
        <s v="260468"/>
        <s v="260481"/>
        <s v="260469"/>
        <s v="260486"/>
        <s v="260493"/>
        <s v="260496"/>
        <s v="260495"/>
        <s v="260500"/>
        <s v="260494"/>
        <s v="260497"/>
        <s v="260499"/>
        <s v="260503"/>
        <s v="260506"/>
        <s v="260509"/>
        <s v="260505"/>
        <s v="260502"/>
        <s v="260507"/>
        <s v="260510"/>
        <s v="260504"/>
        <s v="260508"/>
        <s v="260514"/>
        <s v="260520"/>
        <s v="260519"/>
        <s v="260517"/>
        <s v="260515"/>
        <s v="260513"/>
        <s v="260516"/>
        <s v="260511"/>
        <s v="260518"/>
        <s v="260526"/>
        <s v="260527"/>
        <s v="260528"/>
        <s v="260522"/>
        <s v="260529"/>
        <s v="260525"/>
        <s v="260521"/>
        <s v="260523"/>
        <s v="260524"/>
        <s v="260531"/>
        <s v="260573"/>
        <s v="260532"/>
        <s v="260535"/>
        <s v="260538"/>
        <s v="260536"/>
        <s v="260541"/>
        <s v="260542"/>
        <s v="260533"/>
        <s v="260537"/>
        <s v="260534"/>
        <s v="260539"/>
        <s v="260540"/>
        <s v="260552"/>
        <s v="260545"/>
        <s v="260549"/>
        <s v="260548"/>
        <s v="260544"/>
        <s v="260551"/>
        <s v="260547"/>
        <s v="260546"/>
        <s v="260550"/>
      </sharedItems>
    </cacheField>
    <cacheField name="Description" numFmtId="49">
      <sharedItems>
        <s v="25 VOLKSWAGEN ID.BUZZ"/>
        <s v="25 VOLKSWAGEN ID.4"/>
        <s v="25 VOLKSWAGEN JETTA SEDAN"/>
        <s v="26 VOLKSWAGEN TAOS"/>
        <s v="26 VOLKSWAGEN JETTA SEDAN"/>
        <s v="26 VOLKSWAGEN TIGUAN"/>
        <s v="26 VOLKSWAGEN ATLAS"/>
        <s v="26 VOLKSWAGEN GOLF GTI"/>
        <s v="26 VOLKSWAGEN ATLAS CROSS SPT"/>
        <s v="26 VOLKSWAGEN JETTA GLI"/>
        <s v="26 VOLKSWAGEN GOLF R"/>
      </sharedItems>
    </cacheField>
    <cacheField name="1402" numFmtId="165">
      <sharedItems containsSemiMixedTypes="0" containsString="0" containsNumber="1">
        <n v="85586.87"/>
        <n v="61456.86"/>
        <n v="63600.32"/>
        <n v="61730.22"/>
        <n v="30839.96"/>
        <n v="62928.32"/>
        <n v="33727.2"/>
        <n v="62577.9"/>
        <n v="59277.15"/>
        <n v="62373.22"/>
        <n v="62119.22"/>
        <n v="58058.22"/>
        <n v="67741.99"/>
        <n v="63054.22"/>
        <n v="62198.22"/>
        <n v="58545.9"/>
        <n v="63026.22"/>
        <n v="28609.55"/>
        <n v="29123.48"/>
        <n v="31285.02"/>
        <n v="30970.02"/>
        <n v="29938.33"/>
        <n v="31135.02"/>
        <n v="34455.86"/>
        <n v="33107.82"/>
        <n v="39075.96"/>
        <n v="39043.82"/>
        <n v="39038.82"/>
        <n v="39501.82"/>
        <n v="38045.82"/>
        <n v="37968.87"/>
        <n v="34786.68"/>
        <n v="27907.82"/>
        <n v="40219.9"/>
        <n v="37582.82"/>
        <n v="38299.09"/>
        <n v="28697.22"/>
        <n v="28643.22"/>
        <n v="84885.22"/>
        <n v="37941.99"/>
        <n v="34586.17"/>
        <n v="37577.82"/>
        <n v="37923.99"/>
        <n v="36966.82"/>
        <n v="62201.33"/>
        <n v="38809.82"/>
        <n v="37348.82"/>
        <n v="47974.82"/>
        <n v="38724.82"/>
        <n v="37811.82"/>
        <n v="37492.82"/>
        <n v="34735.17"/>
        <n v="39679.82"/>
        <n v="39589.82"/>
        <n v="39048.82"/>
        <n v="48094.82"/>
        <n v="47641.82"/>
        <n v="40943.82"/>
        <n v="36881.82"/>
        <n v="47636.82"/>
        <n v="44159.27"/>
        <n v="37268.82"/>
        <n v="46051.08"/>
        <n v="36971.82"/>
        <n v="38604.82"/>
        <n v="38278.82"/>
        <n v="37731.82"/>
        <n v="37695.92"/>
        <n v="43374.82"/>
        <n v="43289.82"/>
        <n v="58078.67"/>
        <n v="39674.82"/>
        <n v="33114.82"/>
        <n v="32878.82"/>
        <n v="48009.82"/>
        <n v="42826.82"/>
        <n v="37821.82"/>
        <n v="58290.67"/>
        <n v="33213.18"/>
        <n v="57571.67"/>
        <n v="36069.82"/>
        <n v="41894.32"/>
        <n v="58717.82"/>
        <n v="57014.67"/>
        <n v="52834.82"/>
        <n v="51046.67"/>
        <n v="50909.82"/>
        <n v="37353.82"/>
        <n v="32940.0"/>
        <n v="41332.0"/>
        <n v="53806.67"/>
        <n v="42911.82"/>
        <n v="42471.0"/>
        <n v="38753.0"/>
        <n v="37292.0"/>
        <n v="36984.0"/>
        <n v="36845.92"/>
        <n v="36804.82"/>
        <n v="36370.0"/>
        <n v="27143.0"/>
        <n v="35784.82"/>
        <n v="59811.67"/>
        <n v="59087.67"/>
        <n v="40622.0"/>
        <n v="36526.0"/>
        <n v="32359.0"/>
        <n v="39234.0"/>
        <n v="37297.0"/>
        <n v="36834.0"/>
        <n v="57305.67"/>
        <n v="57047.0"/>
        <n v="56871.0"/>
        <n v="30482.82"/>
        <n v="27667.82"/>
        <n v="59287.0"/>
        <n v="58563.0"/>
        <n v="57993.67"/>
        <n v="50475.0"/>
        <n v="42934.0"/>
        <n v="50160.0"/>
        <n v="59333.0"/>
        <n v="55020.0"/>
        <n v="41214.0"/>
        <n v="30048.0"/>
        <n v="35260.0"/>
        <n v="35094.0"/>
      </sharedItems>
    </cacheField>
    <cacheField name="2101" numFmtId="165">
      <sharedItems containsString="0" containsBlank="1" containsNumber="1">
        <n v="-88722.9"/>
        <m/>
        <n v="-65270.1"/>
        <n v="-64778.7"/>
        <n v="-66251.85"/>
        <n v="-33332.25"/>
        <n v="-65760.45"/>
        <n v="-60545.1"/>
        <n v="-61035.45"/>
        <n v="-67233.6"/>
        <n v="-61526.85"/>
        <n v="-28242.9"/>
        <n v="-30150.75"/>
        <n v="-34559.7"/>
        <n v="-39258.45"/>
        <n v="-40792.5"/>
        <n v="-41273.4"/>
        <n v="-39744.6"/>
        <n v="-34633.2"/>
        <n v="-28977.9"/>
        <n v="-41778.45"/>
        <n v="-38935.05"/>
        <n v="-63725.55"/>
        <n v="-50138.55"/>
        <n v="-39739.35"/>
        <n v="-41783.7"/>
        <n v="-40797.75"/>
        <n v="-38940.3"/>
        <n v="-50624.7"/>
        <n v="-50143.8"/>
        <n v="-43100.4"/>
        <n v="-39263.7"/>
        <n v="-45668.7"/>
        <n v="-40234.95"/>
        <n v="-39749.85"/>
        <n v="-61024.95"/>
        <n v="-34564.95"/>
        <n v="-45182.55"/>
        <n v="-61247.55"/>
        <n v="-60581.85"/>
        <n v="-37621.5"/>
        <n v="-61785.15"/>
        <n v="-59997.0"/>
        <n v="-55402.2"/>
        <n v="-53619.3"/>
        <n v="-53586.75"/>
        <n v="-56517.3"/>
        <n v="-41278.65"/>
        <n v="-39421.2"/>
        <n v="-38776.5"/>
        <n v="-28983.15"/>
        <n v="-37611.0"/>
        <n v="-62839.35"/>
        <n v="-62079.15"/>
        <n v="-43241.1"/>
        <n v="-60302.55"/>
        <n v="-60487.35"/>
        <n v="-32033.4"/>
        <n v="-58359.0"/>
        <n v="-37331.7"/>
      </sharedItems>
    </cacheField>
    <cacheField name="NIV" numFmtId="49">
      <sharedItems>
        <s v="WVG6YVEB1SH027640"/>
        <s v="1V2JSPE84SC001030"/>
        <s v="1V29SPE85SC003730"/>
        <s v="1V2ASPE80SC003373"/>
        <s v="3VWEX7BU7SM074572"/>
        <s v="1V29SPE81SC002638"/>
        <s v="3VWGX7BU2SM087917"/>
        <s v="1V29SPE80SC004168"/>
        <s v="1V2XRPE86SC000287"/>
        <s v="1V29SPE89SC003827"/>
        <s v="1V29SPE81SC004731"/>
        <s v="1V2XRPE86SC004372"/>
        <s v="1V2ASPE80SC004913"/>
        <s v="1V29SPE87SC003812"/>
        <s v="1V29SPE80SC005255"/>
        <s v="1V29SPE80SC004882"/>
        <s v="1V29SPE89SC004007"/>
        <s v="1V2XRPE84SC004046"/>
        <s v="1V29SPE88SC004595"/>
        <s v="1V29SPE86SC002697"/>
        <s v="3VWCX7BU6SM096375"/>
        <s v="3VWCX7BU2SM094686"/>
        <s v="3VWEX7BU5SM101851"/>
        <s v="3VWEX7BU9SM108186"/>
        <s v="3VWEX7BUXSM108181"/>
        <s v="3VWEX7BU0SM110294"/>
        <s v="3VV8C7B29TM002852"/>
        <s v="3VV8C7B28TM003815"/>
        <s v="3VV2C7B24TM004093"/>
        <s v="3VV4C7B2XTM004026"/>
        <s v="3VV4C7B28TM005269"/>
        <s v="3VV4C7B21TM005971"/>
        <s v="3VV4C7B29TM008259"/>
        <s v="3VV2C7B24TM009052"/>
        <s v="3VV2C7B29TM009564"/>
        <s v="3VV8C7B2XTM002438"/>
        <s v="3VWCW7BU1TM009499"/>
        <s v="3VV4C7B2XTM011946"/>
        <s v="3VVER7RM7TM009520"/>
        <s v="3VV2C7B24TM012663"/>
        <s v="3VV2C7B2XTM012683"/>
        <s v="3VV4C7B21TM010734"/>
        <s v="3VVBR7RM7TM008743"/>
        <s v="3VWCW7BU6TM011300"/>
        <s v="3VWCW7BU7TM011449"/>
        <s v="WVG6YVEB5SH041704"/>
        <s v="3VVBR7RM4TM025189"/>
        <s v="3VV8C7B23TM026080"/>
        <s v="3VV2C7B21TM028321"/>
        <s v="3VV2C7B20TM029458"/>
        <s v="3VVBR7RM6TM030121"/>
        <s v="3VVBR7RM1TM031127"/>
        <s v="1V2FN2CA0TC527548"/>
        <s v="3VV4C7B21TM031339"/>
        <s v="3VV2C7B23TM030345"/>
        <s v="3VVUW7RM0TM037633"/>
        <s v="3VV4C7B20TM031851"/>
        <s v="3VV2C7B22TM036038"/>
        <s v="3VV2C7B20TM034899"/>
        <s v="3VV8C7B28TM035325"/>
        <s v="3VVER7RM2TM051299"/>
        <s v="3VVER7RM4TM052051"/>
        <s v="3VV4C7B23TM034923"/>
        <s v="3VVBR7RM5TM052174"/>
        <s v="3VVUW7RM4TM052720"/>
        <s v="3VVUW7RM4TM053298"/>
        <s v="WVWNE7CD3TW197021"/>
        <s v="3VVBR7RM0TM050798"/>
        <s v="3VVUW7RM3TM052773"/>
        <s v="3VVUW7RM2TM054627"/>
        <s v="3VVER7RM0TM049874"/>
        <s v="3VVER7RM4TM053961"/>
        <s v="3VVGR7RM8TM052854"/>
        <s v="3VV2C7B21TM038332"/>
        <s v="3VV2C7B29TM040393"/>
        <s v="3VVGR7RM6TM062735"/>
        <s v="3VVBR7RM0TM067567"/>
        <s v="3VVBR7RM6TM067752"/>
        <s v="3VVBR7RM4TM065479"/>
        <s v="3VV2C7B23TM044827"/>
        <s v="3VV2C7B24TM044349"/>
        <s v="3VV2C7B27TM045219"/>
        <s v="3VV2C7B24TM043170"/>
        <s v="3VVBR7RM9TM070449"/>
        <s v="3VVGR7RM8TM069069"/>
        <s v="3VVGR7RM5TM068056"/>
        <s v="3VVBR7RM3TM067773"/>
        <s v="1V2FC2CA5TC218759"/>
        <s v="3VVUW7RM9TM069710"/>
        <s v="3VVER7RM4TM066015"/>
        <s v="3VV8C7B26TM046100"/>
        <s v="3VV8C7B22TM046269"/>
        <s v="3VVUW7RM3TM074479"/>
        <s v="3VVGR7RM7TM073565"/>
        <s v="3VV2C7B22TM046097"/>
        <s v="3VV2C7B21TM045720"/>
        <s v="1V2BN2CA1TC549038"/>
        <s v="1V2FC2CA8TC220604"/>
        <s v="3VV8C7B22TM047132"/>
        <s v="3VV8C7B26TM048221"/>
        <s v="1V2FC2CA1TC220329"/>
        <s v="1V2BN2CA4TC546988"/>
        <s v="3VVER7RM4TM076253"/>
        <s v="3VV2C7B28TM049103"/>
        <s v="3VW1M7BU7TM041838"/>
        <s v="WVWNE7CDXTW204465"/>
        <s v="1V2FC2CA5TC220737"/>
        <s v="1V2BC2CA2TC220791"/>
        <s v="WVWKF7CD3TW211547"/>
        <s v="WVWJF7CD4TW206028"/>
        <s v="1V2LN2CA7TC550392"/>
        <s v="3VVUW7RM3TM076068"/>
        <s v="3VVER7RM6TM076111"/>
        <s v="3VV2C7B23TM049171"/>
        <s v="3VV2C7B2XTM048471"/>
        <s v="3VWGW7BU4TM013273"/>
        <s v="3VVMR7RM7TM077828"/>
        <s v="WVWJF7CD2TW206917"/>
        <s v="WVWJF7CD2TW204262"/>
        <s v="3VVUW7RM3TM077978"/>
        <s v="3VVGR7RM4TM077895"/>
        <s v="3VV2C7B23TM052832"/>
        <s v="3VVGR7RM7TM074375"/>
        <s v="3VVGR7RM6TM076750"/>
        <s v="3VVER7RM7TM076831"/>
        <s v="3VV4C7B24TM052721"/>
        <s v="3VV2C7B25TM050080"/>
        <s v="3VV2C7B2XTM049944"/>
        <s v="3VVBR7RM5TM079200"/>
        <s v="3VVBR7RM2TM076321"/>
        <s v="3VVVC7B27TM048764"/>
        <s v="3VVVC7B23TM048101"/>
        <s v="3VWCW7BU2TM045461"/>
        <s v="3VVUC7B28TM051619"/>
        <s v="1V2FN2CA7TC555248"/>
        <s v="1V2FN2CA2TC550202"/>
        <s v="3VVMR7RM1TM082040"/>
        <s v="3VVBR7RM2TM081471"/>
        <s v="3VVBR7RMXTM080195"/>
        <s v="3VV8C7B26TM054035"/>
        <s v="3VV8C7B28TM053467"/>
        <s v="3VVER7RM3TM081315"/>
        <s v="3VVER7RM4TM082957"/>
        <s v="3VVER7RM9TM083733"/>
        <s v="3VVER7RM1TM080292"/>
        <s v="3VV2C7B20TM053291"/>
        <s v="3VV2C7B2XTM055212"/>
        <s v="3VV2C7B27TM053112"/>
        <s v="3VVBR7RM2TM081017"/>
        <s v="3VVUC7B26TM054602"/>
        <s v="1V2BN2CA0TC548267"/>
        <s v="1V2BN2CA6TC556535"/>
        <s v="1V2BN2CA7TC555622"/>
        <s v="3VVGR7RM9TM083563"/>
        <s v="3VVER7RM2TM083315"/>
        <s v="3VV2C7B26TM055384"/>
        <s v="3VVBR7RM2TM083169"/>
        <s v="3VWSW7BU5TM047104"/>
        <s v="3VWCW7BU0TM046978"/>
        <s v="1V2FN2CA8TC556988"/>
        <s v="1V2FN2CA4TC557846"/>
        <s v="1V2FN2CA1TC556198"/>
        <s v="1V2FC2CA4TC223435"/>
        <s v="1V2LN2CA6TC557642"/>
        <s v="3VVGR7RM6TM088347"/>
        <s v="3VVMR7RM0TM085057"/>
        <s v="3VWCW7BU9TM047336"/>
        <s v="3VWCW7BU2TM047596"/>
        <s v="WVWCF7CDXTW188899"/>
        <s v="3VVER7RM1TM081930"/>
        <s v="1V2FN2CA6TC547738"/>
        <s v="1V2CN2CA2TC559047"/>
        <s v="1V2CN2CA5TC559978"/>
        <s v="3VVGR7RM5TM084838"/>
        <s v="3VVGR7RM5TM085505"/>
        <s v="3VVGR7RM1TM085582"/>
        <s v="WVWNE7CDXTW217829"/>
        <s v="3VWSW7BUXTM049107"/>
        <s v="3VWCW7BU0TM049069"/>
        <s v="3VWCW7BU5TM048872"/>
        <s v="3VWCW7BU3TM049227"/>
        <s v="3VVGR7RM4TM086564"/>
        <s v="3VVER7RM6TM086041"/>
        <s v="3VVER7RM8TM084372"/>
        <s v="3VV2C7B22TM057181"/>
        <s v="3VVUC7B21TM058184"/>
        <s v="3VVUC7B27TM058481"/>
        <s v="3VW2M7BU0TM050675"/>
        <s v="3VWSW7BU3TM050924"/>
        <s v="3VWCW7BU5TM050735"/>
      </sharedItems>
    </cacheField>
    <cacheField name="Jours en stock" numFmtId="166">
      <sharedItems containsSemiMixedTypes="0" containsString="0" containsNumber="1" containsInteger="1">
        <n v="376.0"/>
        <n v="349.0"/>
        <n v="307.0"/>
        <n v="299.0"/>
        <n v="295.0"/>
        <n v="281.0"/>
        <n v="279.0"/>
        <n v="278.0"/>
        <n v="277.0"/>
        <n v="270.0"/>
        <n v="266.0"/>
        <n v="264.0"/>
        <n v="246.0"/>
        <n v="225.0"/>
        <n v="224.0"/>
        <n v="217.0"/>
        <n v="196.0"/>
        <n v="195.0"/>
        <n v="190.0"/>
        <n v="189.0"/>
        <n v="180.0"/>
        <n v="173.0"/>
        <n v="168.0"/>
        <n v="161.0"/>
        <n v="160.0"/>
        <n v="159.0"/>
        <n v="145.0"/>
        <n v="127.0"/>
        <n v="124.0"/>
        <n v="120.0"/>
        <n v="117.0"/>
        <n v="113.0"/>
        <n v="112.0"/>
        <n v="111.0"/>
        <n v="98.0"/>
        <n v="83.0"/>
        <n v="82.0"/>
        <n v="78.0"/>
        <n v="76.0"/>
        <n v="75.0"/>
        <n v="69.0"/>
        <n v="61.0"/>
        <n v="54.0"/>
        <n v="50.0"/>
        <n v="48.0"/>
        <n v="43.0"/>
        <n v="42.0"/>
        <n v="40.0"/>
        <n v="36.0"/>
        <n v="34.0"/>
        <n v="33.0"/>
        <n v="32.0"/>
        <n v="26.0"/>
        <n v="25.0"/>
        <n v="22.0"/>
        <n v="15.0"/>
        <n v="13.0"/>
        <n v="12.0"/>
        <n v="8.0"/>
        <n v="7.0"/>
        <n v="5.0"/>
        <n v="4.0"/>
        <n v="2.0"/>
        <n v="1.0"/>
        <n v="0.0"/>
      </sharedItems>
    </cacheField>
    <cacheField name="Classement" numFmtId="0">
      <sharedItems>
        <s v="301 &amp; +"/>
        <s v="181-300"/>
        <s v="121-180"/>
        <s v="91-120"/>
        <s v="61-90"/>
        <s v="31-60"/>
        <s v="0-3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51" sheet="Usages"/>
  </cacheSource>
  <cacheFields>
    <cacheField name="#Contrôle" numFmtId="49">
      <sharedItems>
        <s v="5188P"/>
        <s v="5291P"/>
        <s v="5407P"/>
        <s v="260266A"/>
        <s v="260227A"/>
        <s v="260067A"/>
        <s v="5916P"/>
        <s v="260274A"/>
        <s v="260155A"/>
        <s v="260249A"/>
        <s v="260344A"/>
        <s v="5921P"/>
        <s v="260339A"/>
        <s v="5923P"/>
        <s v="260123A"/>
        <s v="5925P"/>
        <s v="5926P"/>
        <s v="260400A"/>
        <s v="260367A"/>
        <s v="260371A"/>
        <s v="260076B"/>
        <s v="5928P"/>
        <s v="5929P"/>
        <s v="260235A"/>
        <s v="260363A"/>
        <s v="260431A"/>
        <s v="260404A"/>
        <s v="260414A"/>
        <s v="260397A"/>
        <s v="5934P"/>
        <s v="5933P"/>
        <s v="5935P"/>
        <s v="260358A"/>
        <s v="260477A"/>
        <s v="260217A"/>
        <s v="5938P"/>
        <s v="260452A"/>
        <s v="260476A"/>
        <s v="260463A"/>
        <s v="260346A"/>
        <s v="260388B"/>
        <s v="5939P"/>
        <s v="260331A"/>
        <s v="260115B"/>
        <s v="260313A"/>
        <s v="260370A"/>
        <s v="260005A"/>
        <s v="260408B"/>
        <s v="250637A"/>
        <s v="260403A"/>
      </sharedItems>
    </cacheField>
    <cacheField name="Description" numFmtId="49">
      <sharedItems>
        <s v="11 VOLKSWAGEN JETTA SEDAN"/>
        <s v="20 VOLKSWAGEN E-GOLF"/>
        <s v="19 GMC SAVANA CARGO VA"/>
        <s v="19 VOLKSWAGEN JETTA"/>
        <s v="24 VOLKSWAGEN ATLAS CROSS SPO"/>
        <s v="22 VOLKSWAGEN TAOS"/>
        <s v="24 VOLKSWAGEN TIGUAN"/>
        <s v="22 VOLKSWAGEN TIGUAN"/>
        <s v="24 VOLKSWAGEN GOLF GTI"/>
        <s v="23 VOLKSWAGEN TAOS"/>
        <s v="22 VOLKSWAGEN ATLAS"/>
        <s v="20 VOLKSWAGEN GOLF"/>
        <s v="23 VOLKSWAGEN ATLAS CROSS SPO"/>
        <s v="21 VOLKSWAGEN JETTA"/>
        <s v="24 VOLKSWAGEN ATLAS"/>
        <s v="18 MERCEDES LIGHT TRUCK GLC"/>
        <s v="21 VOLKSWAGEN ATLAS"/>
        <s v="22 VOLKSWAGEN GOLF R"/>
        <s v="21 VOLKSWAGEN TIGUAN"/>
        <s v="21 VOLKSWAGEN ATLAS CROSS SPO"/>
        <s v="22 HYUNDAI TUCSON"/>
        <s v="14 AUDI A4"/>
        <s v="18 NISSAN QASHQAI"/>
        <s v="10 MAZDA MAZDA3"/>
        <s v="13 VOLKSWAGEN JETTA SEDAN"/>
        <s v="11 TOYOTA HIGHLANDER HYBR"/>
        <s v="12 VOLKSWAGEN JETTA SEDAN"/>
      </sharedItems>
    </cacheField>
    <cacheField name="1416" numFmtId="165">
      <sharedItems containsSemiMixedTypes="0" containsString="0" containsNumber="1">
        <n v="8407.04"/>
        <n v="20835.53"/>
        <n v="34035.72"/>
        <n v="10550.0"/>
        <n v="43517.19"/>
        <n v="16932.29"/>
        <n v="19432.29"/>
        <n v="21412.29"/>
        <n v="29432.29"/>
        <n v="22033.99"/>
        <n v="26522.19"/>
        <n v="19117.48"/>
        <n v="36407.24"/>
        <n v="26776.29"/>
        <n v="17150.0"/>
        <n v="27857.29"/>
        <n v="24357.29"/>
        <n v="27332.29"/>
        <n v="20332.29"/>
        <n v="22332.29"/>
        <n v="17412.24"/>
        <n v="27031.29"/>
        <n v="31450.34"/>
        <n v="15332.29"/>
        <n v="43425.59"/>
        <n v="35320.69"/>
        <n v="31177.59"/>
        <n v="21632.29"/>
        <n v="23152.38"/>
        <n v="22218.24"/>
        <n v="21650.0"/>
        <n v="36950.0"/>
        <n v="16649.85"/>
        <n v="26334.29"/>
        <n v="22584.29"/>
        <n v="24150.55"/>
        <n v="26656.16"/>
        <n v="16950.0"/>
        <n v="20834.29"/>
        <n v="17950.0"/>
        <n v="6450.0"/>
        <n v="19988.0"/>
        <n v="13450.0"/>
        <n v="1950.0"/>
        <n v="24450.0"/>
        <n v="22450.0"/>
        <n v="18227.0"/>
        <n v="2450.0"/>
        <n v="1450.0"/>
        <n v="950.0"/>
      </sharedItems>
    </cacheField>
    <cacheField name="2103" numFmtId="0">
      <sharedItems containsString="0" containsBlank="1" containsNumber="1">
        <m/>
        <n v="-44625.0"/>
        <n v="-17528.7"/>
        <n v="-20549.0"/>
        <n v="-24927.02"/>
        <n v="-19985.19"/>
        <n v="-36875.0"/>
        <n v="-22899.6"/>
        <n v="-17473.05"/>
        <n v="-24629.85"/>
        <n v="-22131.0"/>
        <n v="-24580.1"/>
        <n v="-19852.0"/>
        <n v="-25189.0"/>
        <n v="-36846.85"/>
        <n v="-11778.79"/>
        <n v="-45484.42"/>
        <n v="-28614.25"/>
        <n v="-21594.66"/>
        <n v="-20754.0"/>
        <n v="-21200.0"/>
        <n v="-29343.0"/>
        <n v="-24063.0"/>
        <n v="-20518.0"/>
        <n v="-30109.89"/>
        <n v="-19347.0"/>
      </sharedItems>
    </cacheField>
    <cacheField name="NIV" numFmtId="49">
      <sharedItems>
        <s v="3VWLL7AJ3BM097101"/>
        <s v="WVWPR7AU2LW903993"/>
        <s v="1GTW7BFP1K1340423"/>
        <s v="3VWC57BU1KM057327"/>
        <s v="1V2FE2CAXRC210319"/>
        <s v="3VVAX7B24NM045018"/>
        <s v="3VVLX7B27NM077731"/>
        <s v="3VV2X7B2XNM074396"/>
        <s v="3VV8B7AX0RM019399"/>
        <s v="3VV3X7B22NM045639"/>
        <s v="3VV4B7AX3NM143448"/>
        <s v="3VVLX7B2XNM070191"/>
        <s v="WVWWA7CD7RW232734"/>
        <s v="3VV2X7B2XPM335318"/>
        <s v="3VVAX7B26NM043965"/>
        <s v="1V2BP2CA8NC519029"/>
        <s v="3VV4B7AX4NM052527"/>
        <s v="1V2LR2CA1NC546457"/>
        <s v="3VVNX7B24PM333190"/>
        <s v="3VV2B7AXXNM073812"/>
        <s v="3VWG57AU7LM007441"/>
        <s v="1V2BR2CA7NC524006"/>
        <s v="1V2SE2CA6PC205971"/>
        <s v="3VWE57BU5MM036962"/>
        <s v="1V2FR2CA5RC522746"/>
        <s v="1V2FR2CA1NC542986"/>
        <s v="1V2BR2CA7NC553103"/>
        <s v="3VV2X7B28NM078172"/>
        <s v="WDC0G4KB8JV111587"/>
        <s v="3VV8B7AX0NM067821"/>
        <s v="1V2FR2CA4MC545959"/>
        <s v="WVWEB7CD9NW160664"/>
        <s v="3VV2B7AX1MM129019"/>
        <s v="3VV4B7AXXNM096385"/>
        <s v="3VV3X7B26NM065182"/>
        <s v="1V2BC2CAXMC221804"/>
        <s v="3VVMB7AX5RM088409"/>
        <s v="3VVAX7B22PM330481"/>
        <s v="3VV2B7AX4NM053314"/>
        <s v="KM8JB3AE1NU023650"/>
        <s v="WAUFFCFL1EN022804"/>
        <s v="3VV2B7AX1NM071253"/>
        <s v="JN1BJ1CR2JW255952"/>
        <s v="JM1BL1SF6A1309216"/>
        <s v="WVWJA7CD8RW148254"/>
        <s v="3VV8B7AX3NM010822"/>
        <s v="3VVAX7B25NM078335"/>
        <s v="3VW2K7AJ8DM448487"/>
        <s v="JTEBC3EH8B2000282"/>
        <s v="3VW1K7AJXCM364598"/>
      </sharedItems>
    </cacheField>
    <cacheField name="Jours en stock" numFmtId="166">
      <sharedItems containsSemiMixedTypes="0" containsString="0" containsNumber="1" containsInteger="1">
        <n v="1406.0"/>
        <n v="1244.0"/>
        <n v="1061.0"/>
        <n v="102.0"/>
        <n v="92.0"/>
        <n v="77.0"/>
        <n v="68.0"/>
        <n v="63.0"/>
        <n v="60.0"/>
        <n v="54.0"/>
        <n v="53.0"/>
        <n v="49.0"/>
        <n v="46.0"/>
        <n v="42.0"/>
        <n v="41.0"/>
        <n v="34.0"/>
        <n v="33.0"/>
        <n v="32.0"/>
        <n v="28.0"/>
        <n v="27.0"/>
        <n v="25.0"/>
        <n v="22.0"/>
        <n v="21.0"/>
        <n v="19.0"/>
        <n v="14.0"/>
        <n v="13.0"/>
        <n v="12.0"/>
        <n v="11.0"/>
        <n v="8.0"/>
        <n v="7.0"/>
        <n v="6.0"/>
        <n v="5.0"/>
        <n v="4.0"/>
        <n v="1.0"/>
        <n v="0.0"/>
      </sharedItems>
    </cacheField>
    <cacheField name="Classement" numFmtId="0">
      <sharedItems>
        <s v="301 &amp; +"/>
        <s v="91-120"/>
        <s v="61-90"/>
        <s v="31-60"/>
        <s v="0-3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ommaire" cacheId="0" dataCaption="" compact="0" compactData="0">
  <location ref="K4:M9" firstHeaderRow="0" firstDataRow="2" firstDataCol="0" rowPageCount="1" colPageCount="1"/>
  <pivotFields>
    <pivotField name="#Contrôl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Description" axis="axisRow" compact="0" numFmtId="49" outline="0" multipleItemSelectionAllowed="1" showAll="0" sortType="ascending">
      <items>
        <item x="1"/>
        <item x="0"/>
        <item x="2"/>
        <item x="6"/>
        <item x="8"/>
        <item x="7"/>
        <item x="10"/>
        <item x="9"/>
        <item x="4"/>
        <item x="3"/>
        <item x="5"/>
        <item t="default"/>
      </items>
    </pivotField>
    <pivotField name="1402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name="210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NIV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Jours en stock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Classement" axis="axisPage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t="default"/>
      </items>
    </pivotField>
  </pivotFields>
  <rowFields>
    <field x="1"/>
  </rowFields>
  <colFields>
    <field x="-2"/>
  </colFields>
  <pageFields>
    <pageField fld="6"/>
  </pageFields>
  <dataFields>
    <dataField name="Sum of 1402" fld="2" baseField="0"/>
    <dataField name="Count of NIV" fld="4" subtotal="count" baseField="0"/>
  </dataFields>
</pivotTableDefinition>
</file>

<file path=xl/pivotTables/pivotTable2.xml><?xml version="1.0" encoding="utf-8"?>
<pivotTableDefinition xmlns="http://schemas.openxmlformats.org/spreadsheetml/2006/main" name="Sommaire 2" cacheId="1" dataCaption="" compact="0" compactData="0">
  <location ref="K23:O28" firstHeaderRow="0" firstDataRow="3" firstDataCol="0"/>
  <pivotFields>
    <pivotField name="#Contrôl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escription" axis="axisRow" compact="0" numFmtId="49" outline="0" multipleItemSelectionAllowed="1" showAll="0" sortType="ascending">
      <items>
        <item x="23"/>
        <item x="25"/>
        <item x="0"/>
        <item x="26"/>
        <item x="24"/>
        <item x="21"/>
        <item x="15"/>
        <item x="22"/>
        <item x="2"/>
        <item x="3"/>
        <item x="1"/>
        <item x="11"/>
        <item x="16"/>
        <item x="19"/>
        <item x="13"/>
        <item x="18"/>
        <item x="20"/>
        <item x="10"/>
        <item x="17"/>
        <item x="5"/>
        <item x="7"/>
        <item x="12"/>
        <item x="9"/>
        <item x="14"/>
        <item x="4"/>
        <item x="8"/>
        <item x="6"/>
        <item t="default"/>
      </items>
    </pivotField>
    <pivotField name="1416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210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NIV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Jours en stock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Classement" axis="axisRow" dataField="1" compact="0" outline="0" multipleItemSelectionAllowed="1" showAll="0" sortType="ascending">
      <items>
        <item h="1" x="4"/>
        <item x="0"/>
        <item h="1" x="3"/>
        <item h="1" x="2"/>
        <item h="1" x="1"/>
        <item t="default"/>
      </items>
    </pivotField>
  </pivotFields>
  <rowFields>
    <field x="6"/>
    <field x="1"/>
  </rowFields>
  <colFields>
    <field x="-2"/>
  </colFields>
  <dataFields>
    <dataField name="Sum of 1416" fld="2" baseField="0"/>
    <dataField name="Count of NIV" fld="4" subtotal="count" baseField="0"/>
    <dataField name="Count of Classement" fld="6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29"/>
    <col customWidth="1" min="3" max="3" width="13.14"/>
    <col customWidth="1" min="4" max="4" width="12.29"/>
    <col customWidth="1" min="5" max="5" width="15.14"/>
    <col customWidth="1" min="6" max="6" width="14.0"/>
    <col customWidth="1" min="7" max="10" width="9.14"/>
    <col customWidth="1" min="11" max="11" width="29.43"/>
    <col customWidth="1" min="12" max="12" width="11.43"/>
    <col customWidth="1" min="13" max="13" width="11.86"/>
    <col customWidth="1" min="14" max="14" width="19.0"/>
    <col customWidth="1" min="15" max="26" width="9.14"/>
  </cols>
  <sheetData>
    <row r="1">
      <c r="L1" s="1"/>
      <c r="M1" s="1"/>
    </row>
    <row r="2">
      <c r="B2" s="2" t="s">
        <v>0</v>
      </c>
      <c r="K2" s="3"/>
      <c r="L2" s="4"/>
      <c r="M2" s="1"/>
    </row>
    <row r="3">
      <c r="L3" s="1"/>
      <c r="M3" s="1"/>
    </row>
    <row r="4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</row>
    <row r="5">
      <c r="B5" s="8" t="s">
        <v>9</v>
      </c>
      <c r="C5" s="9">
        <f>COUNTIF(Neuf!G:G,Sommaire!B5)</f>
        <v>4</v>
      </c>
      <c r="D5" s="10">
        <f t="shared" ref="D5:D11" si="1">C5/$C$12</f>
        <v>0.02105263158</v>
      </c>
      <c r="E5" s="11">
        <f>SUMIF(Neuf!G:G,Sommaire!B5,Neuf!C:C)</f>
        <v>272374.27</v>
      </c>
      <c r="F5" s="10">
        <f t="shared" ref="F5:F11" si="2">E5/$E$12</f>
        <v>0.03345004359</v>
      </c>
    </row>
    <row r="6">
      <c r="B6" s="8" t="s">
        <v>11</v>
      </c>
      <c r="C6" s="9">
        <f>COUNTIF(Neuf!G:G,Sommaire!B6)</f>
        <v>28</v>
      </c>
      <c r="D6" s="10">
        <f t="shared" si="1"/>
        <v>0.1473684211</v>
      </c>
      <c r="E6" s="11">
        <f>SUMIF(Neuf!G:G,Sommaire!B6,Neuf!C:C)</f>
        <v>1338198.92</v>
      </c>
      <c r="F6" s="10">
        <f t="shared" si="2"/>
        <v>0.1643430277</v>
      </c>
    </row>
    <row r="7">
      <c r="B7" s="8" t="s">
        <v>13</v>
      </c>
      <c r="C7" s="9">
        <f>COUNTIF(Neuf!G:G,Sommaire!B7)</f>
        <v>16</v>
      </c>
      <c r="D7" s="10">
        <f t="shared" si="1"/>
        <v>0.08421052632</v>
      </c>
      <c r="E7" s="11">
        <f>SUMIF(Neuf!G:G,Sommaire!B7,Neuf!C:C)</f>
        <v>624737.1</v>
      </c>
      <c r="F7" s="10">
        <f t="shared" si="2"/>
        <v>0.07672341159</v>
      </c>
    </row>
    <row r="8">
      <c r="B8" s="8" t="s">
        <v>15</v>
      </c>
      <c r="C8" s="9">
        <f>COUNTIF(Neuf!G:G,Sommaire!B8)</f>
        <v>12</v>
      </c>
      <c r="D8" s="10">
        <f t="shared" si="1"/>
        <v>0.06315789474</v>
      </c>
      <c r="E8" s="11">
        <f>SUMIF(Neuf!G:G,Sommaire!B8,Neuf!C:C)</f>
        <v>485613.87</v>
      </c>
      <c r="F8" s="10">
        <f t="shared" si="2"/>
        <v>0.05963781057</v>
      </c>
    </row>
    <row r="9">
      <c r="B9" s="8" t="s">
        <v>17</v>
      </c>
      <c r="C9" s="9">
        <f>COUNTIF(Neuf!G:G,Sommaire!B9)</f>
        <v>14</v>
      </c>
      <c r="D9" s="10">
        <f t="shared" si="1"/>
        <v>0.07368421053</v>
      </c>
      <c r="E9" s="11">
        <f>SUMIF(Neuf!G:G,Sommaire!B9,Neuf!C:C)</f>
        <v>584908.93</v>
      </c>
      <c r="F9" s="10">
        <f t="shared" si="2"/>
        <v>0.0718321492</v>
      </c>
    </row>
    <row r="10">
      <c r="B10" s="8" t="s">
        <v>19</v>
      </c>
      <c r="C10" s="9">
        <f>COUNTIF(Neuf!G:G,Sommaire!B10)</f>
        <v>32</v>
      </c>
      <c r="D10" s="10">
        <f t="shared" si="1"/>
        <v>0.1684210526</v>
      </c>
      <c r="E10" s="11">
        <f>SUMIF(Neuf!G:G,Sommaire!B10,Neuf!C:C)</f>
        <v>1339745.07</v>
      </c>
      <c r="F10" s="10">
        <f t="shared" si="2"/>
        <v>0.164532909</v>
      </c>
      <c r="K10" s="13"/>
      <c r="L10" s="1"/>
    </row>
    <row r="11">
      <c r="B11" s="8" t="s">
        <v>20</v>
      </c>
      <c r="C11" s="9">
        <f>COUNTIF(Neuf!G:G,Sommaire!B11)</f>
        <v>84</v>
      </c>
      <c r="D11" s="10">
        <f t="shared" si="1"/>
        <v>0.4421052632</v>
      </c>
      <c r="E11" s="11">
        <f>SUMIF(Neuf!G:G,Sommaire!B11,Neuf!C:C)</f>
        <v>3497139.78</v>
      </c>
      <c r="F11" s="10">
        <f t="shared" si="2"/>
        <v>0.4294806483</v>
      </c>
      <c r="K11" s="13"/>
      <c r="L11" s="1"/>
    </row>
    <row r="12">
      <c r="B12" s="8" t="s">
        <v>21</v>
      </c>
      <c r="C12" s="9">
        <f t="shared" ref="C12:F12" si="3">SUM(C5:C11)</f>
        <v>190</v>
      </c>
      <c r="D12" s="10">
        <f t="shared" si="3"/>
        <v>1</v>
      </c>
      <c r="E12" s="11">
        <f t="shared" si="3"/>
        <v>8142717.94</v>
      </c>
      <c r="F12" s="10">
        <f t="shared" si="3"/>
        <v>1</v>
      </c>
      <c r="K12" s="13"/>
      <c r="L12" s="1"/>
    </row>
    <row r="13">
      <c r="B13" s="14" t="s">
        <v>22</v>
      </c>
      <c r="C13" s="15"/>
      <c r="D13" s="16"/>
      <c r="E13" s="11">
        <f>E12/C12</f>
        <v>42856.41021</v>
      </c>
      <c r="F13" s="9"/>
      <c r="L13" s="1"/>
    </row>
    <row r="14">
      <c r="L14" s="1"/>
    </row>
    <row r="15">
      <c r="B15" s="5" t="s">
        <v>23</v>
      </c>
      <c r="C15" s="17" t="str">
        <f>#REF!</f>
        <v>#REF!</v>
      </c>
      <c r="D15" s="10" t="str">
        <f>C12/C15</f>
        <v>#REF!</v>
      </c>
      <c r="E15" s="18" t="str">
        <f>#REF!</f>
        <v>#REF!</v>
      </c>
      <c r="F15" s="10" t="str">
        <f>E12/E15</f>
        <v>#REF!</v>
      </c>
      <c r="L15" s="1"/>
    </row>
    <row r="16">
      <c r="B16" s="5" t="s">
        <v>24</v>
      </c>
      <c r="C16" s="17" t="str">
        <f>C12-C15</f>
        <v>#REF!</v>
      </c>
      <c r="D16" s="19"/>
      <c r="E16" s="18" t="str">
        <f>E12-E15</f>
        <v>#REF!</v>
      </c>
      <c r="F16" s="19"/>
      <c r="L16" s="1"/>
    </row>
    <row r="17">
      <c r="B17" s="14" t="s">
        <v>25</v>
      </c>
      <c r="C17" s="15"/>
      <c r="D17" s="16"/>
      <c r="E17" s="11" t="str">
        <f>E15/C15</f>
        <v>#REF!</v>
      </c>
      <c r="F17" s="9"/>
      <c r="L17" s="1"/>
    </row>
    <row r="18">
      <c r="L18" s="1"/>
    </row>
    <row r="19">
      <c r="L19" s="1"/>
    </row>
    <row r="20">
      <c r="L20" s="1"/>
    </row>
    <row r="21" ht="15.75" customHeight="1">
      <c r="B21" s="2" t="s">
        <v>26</v>
      </c>
      <c r="M21" s="1"/>
    </row>
    <row r="22" ht="15.75" customHeight="1">
      <c r="L22" s="1"/>
      <c r="M22" s="1"/>
      <c r="O22" s="2"/>
    </row>
    <row r="23" ht="15.75" customHeight="1">
      <c r="B23" s="5" t="s">
        <v>1</v>
      </c>
      <c r="C23" s="5" t="s">
        <v>2</v>
      </c>
      <c r="D23" s="5" t="s">
        <v>3</v>
      </c>
      <c r="E23" s="5" t="s">
        <v>4</v>
      </c>
      <c r="F23" s="5" t="s">
        <v>5</v>
      </c>
    </row>
    <row r="24" ht="15.75" customHeight="1">
      <c r="B24" s="8" t="s">
        <v>9</v>
      </c>
      <c r="C24" s="9">
        <f>COUNTIF(Usages!G:G,Sommaire!B24)</f>
        <v>3</v>
      </c>
      <c r="D24" s="10">
        <f t="shared" ref="D24:D30" si="4">C24/$C$31</f>
        <v>0.06</v>
      </c>
      <c r="E24" s="11">
        <f>SUMIF(Usages!G:G,Sommaire!B24,Usages!C:C)</f>
        <v>63278.29</v>
      </c>
      <c r="F24" s="10">
        <f t="shared" ref="F24:F31" si="5">E24/$E$31</f>
        <v>0.05829679129</v>
      </c>
    </row>
    <row r="25" ht="15.75" customHeight="1">
      <c r="B25" s="8" t="s">
        <v>11</v>
      </c>
      <c r="C25" s="9">
        <f>COUNTIF(Usages!G:G,Sommaire!B25)</f>
        <v>0</v>
      </c>
      <c r="D25" s="10">
        <f t="shared" si="4"/>
        <v>0</v>
      </c>
      <c r="E25" s="11">
        <f>SUMIF(Usages!G:G,Sommaire!B25,Usages!C:C)</f>
        <v>0</v>
      </c>
      <c r="F25" s="10">
        <f t="shared" si="5"/>
        <v>0</v>
      </c>
    </row>
    <row r="26" ht="15.75" customHeight="1">
      <c r="B26" s="8" t="s">
        <v>13</v>
      </c>
      <c r="C26" s="9">
        <f>COUNTIF(Usages!G:G,Sommaire!B26)</f>
        <v>0</v>
      </c>
      <c r="D26" s="10">
        <f t="shared" si="4"/>
        <v>0</v>
      </c>
      <c r="E26" s="11">
        <f>SUMIF(Usages!G:G,Sommaire!B26,Usages!C:C)</f>
        <v>0</v>
      </c>
      <c r="F26" s="10">
        <f t="shared" si="5"/>
        <v>0</v>
      </c>
    </row>
    <row r="27" ht="15.75" customHeight="1">
      <c r="B27" s="8" t="s">
        <v>15</v>
      </c>
      <c r="C27" s="9">
        <f>COUNTIF(Usages!G:G,Sommaire!B27)</f>
        <v>2</v>
      </c>
      <c r="D27" s="10">
        <f t="shared" si="4"/>
        <v>0.04</v>
      </c>
      <c r="E27" s="11">
        <f>SUMIF(Usages!G:G,Sommaire!B27,Usages!C:C)</f>
        <v>54067.19</v>
      </c>
      <c r="F27" s="10">
        <f t="shared" si="5"/>
        <v>0.04981082281</v>
      </c>
    </row>
    <row r="28" ht="15.75" customHeight="1">
      <c r="B28" s="8" t="s">
        <v>17</v>
      </c>
      <c r="C28" s="9">
        <f>COUNTIF(Usages!G:G,Sommaire!B28)</f>
        <v>3</v>
      </c>
      <c r="D28" s="10">
        <f t="shared" si="4"/>
        <v>0.06</v>
      </c>
      <c r="E28" s="11">
        <f>SUMIF(Usages!G:G,Sommaire!B28,Usages!C:C)</f>
        <v>57776.87</v>
      </c>
      <c r="F28" s="10">
        <f t="shared" si="5"/>
        <v>0.05322846322</v>
      </c>
    </row>
    <row r="29" ht="15.75" customHeight="1">
      <c r="B29" s="8" t="s">
        <v>19</v>
      </c>
      <c r="C29" s="9">
        <f>COUNTIF(Usages!G:G,Sommaire!B29)</f>
        <v>13</v>
      </c>
      <c r="D29" s="10">
        <f t="shared" si="4"/>
        <v>0.26</v>
      </c>
      <c r="E29" s="11">
        <f>SUMIF(Usages!G:G,Sommaire!B29,Usages!C:C)</f>
        <v>317063.17</v>
      </c>
      <c r="F29" s="10">
        <f t="shared" si="5"/>
        <v>0.2921027962</v>
      </c>
      <c r="K29" s="13"/>
      <c r="L29" s="1"/>
    </row>
    <row r="30" ht="15.75" customHeight="1">
      <c r="B30" s="8" t="s">
        <v>20</v>
      </c>
      <c r="C30" s="9">
        <f>COUNTIF(Usages!G:G,Sommaire!B30)</f>
        <v>29</v>
      </c>
      <c r="D30" s="10">
        <f t="shared" si="4"/>
        <v>0.58</v>
      </c>
      <c r="E30" s="11">
        <f>SUMIF(Usages!G:G,Sommaire!B30,Usages!C:C)</f>
        <v>593265.13</v>
      </c>
      <c r="F30" s="10">
        <f t="shared" si="5"/>
        <v>0.5465611265</v>
      </c>
      <c r="K30" s="13"/>
      <c r="L30" s="1"/>
    </row>
    <row r="31" ht="15.75" customHeight="1">
      <c r="B31" s="8" t="s">
        <v>21</v>
      </c>
      <c r="C31" s="9">
        <f t="shared" ref="C31:E31" si="6">SUM(C24:C30)</f>
        <v>50</v>
      </c>
      <c r="D31" s="10">
        <f t="shared" si="6"/>
        <v>1</v>
      </c>
      <c r="E31" s="11">
        <f t="shared" si="6"/>
        <v>1085450.65</v>
      </c>
      <c r="F31" s="10">
        <f t="shared" si="5"/>
        <v>1</v>
      </c>
      <c r="K31" s="13"/>
      <c r="L31" s="1"/>
    </row>
    <row r="32" ht="15.75" customHeight="1">
      <c r="B32" s="14" t="s">
        <v>22</v>
      </c>
      <c r="C32" s="15"/>
      <c r="D32" s="16"/>
      <c r="E32" s="11">
        <f>E31/C31</f>
        <v>21709.013</v>
      </c>
      <c r="F32" s="9"/>
      <c r="K32" s="13"/>
      <c r="L32" s="1"/>
    </row>
    <row r="33" ht="15.75" customHeight="1">
      <c r="K33" s="23"/>
      <c r="L33" s="24"/>
      <c r="M33" s="25"/>
      <c r="N33" s="25"/>
      <c r="O33" s="3" t="s">
        <v>33</v>
      </c>
    </row>
    <row r="34" ht="15.75" customHeight="1">
      <c r="B34" s="5" t="s">
        <v>23</v>
      </c>
      <c r="C34" s="17" t="str">
        <f>#REF!</f>
        <v>#REF!</v>
      </c>
      <c r="D34" s="10" t="str">
        <f>C31/C34</f>
        <v>#REF!</v>
      </c>
      <c r="E34" s="18" t="str">
        <f>#REF!</f>
        <v>#REF!</v>
      </c>
      <c r="F34" s="10" t="str">
        <f>E31/E34</f>
        <v>#REF!</v>
      </c>
      <c r="K34" s="23"/>
      <c r="L34" s="24"/>
      <c r="M34" s="25"/>
      <c r="N34" s="25"/>
      <c r="O34" s="3" t="s">
        <v>33</v>
      </c>
    </row>
    <row r="35" ht="15.75" customHeight="1">
      <c r="B35" s="5" t="s">
        <v>24</v>
      </c>
      <c r="C35" s="17" t="str">
        <f>C31-C34</f>
        <v>#REF!</v>
      </c>
      <c r="D35" s="19"/>
      <c r="E35" s="18" t="str">
        <f>E31-E34</f>
        <v>#REF!</v>
      </c>
      <c r="F35" s="19"/>
      <c r="K35" s="13"/>
      <c r="L35" s="1"/>
    </row>
    <row r="36" ht="15.75" customHeight="1">
      <c r="B36" s="14" t="s">
        <v>25</v>
      </c>
      <c r="C36" s="15"/>
      <c r="D36" s="16"/>
      <c r="E36" s="11" t="str">
        <f>E34/C34</f>
        <v>#REF!</v>
      </c>
      <c r="F36" s="9"/>
      <c r="K36" s="13"/>
      <c r="L36" s="1"/>
    </row>
    <row r="37" ht="15.75" customHeight="1">
      <c r="K37" s="13"/>
      <c r="L37" s="1"/>
    </row>
    <row r="38" ht="15.75" customHeight="1">
      <c r="K38" s="13"/>
      <c r="L38" s="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>
      <c r="L73" s="1"/>
      <c r="M73" s="1"/>
    </row>
    <row r="74" ht="15.75" customHeight="1">
      <c r="L74" s="1"/>
      <c r="M74" s="1"/>
    </row>
    <row r="75" ht="15.75" customHeight="1">
      <c r="L75" s="1"/>
      <c r="M75" s="1"/>
    </row>
    <row r="76" ht="15.75" customHeight="1">
      <c r="L76" s="1"/>
      <c r="M76" s="1"/>
    </row>
    <row r="77" ht="15.75" customHeight="1">
      <c r="L77" s="1"/>
      <c r="M77" s="1"/>
    </row>
    <row r="78" ht="15.75" customHeight="1">
      <c r="L78" s="1"/>
      <c r="M78" s="1"/>
    </row>
    <row r="79" ht="15.75" customHeight="1">
      <c r="L79" s="1"/>
      <c r="M79" s="1"/>
    </row>
    <row r="80" ht="15.75" customHeight="1">
      <c r="L80" s="1"/>
      <c r="M80" s="1"/>
    </row>
    <row r="81" ht="15.75" customHeight="1">
      <c r="L81" s="1"/>
      <c r="M81" s="1"/>
    </row>
    <row r="82" ht="15.75" customHeight="1">
      <c r="L82" s="1"/>
      <c r="M82" s="1"/>
    </row>
    <row r="83" ht="15.75" customHeight="1">
      <c r="L83" s="1"/>
      <c r="M83" s="1"/>
    </row>
    <row r="84" ht="15.75" customHeight="1">
      <c r="L84" s="1"/>
      <c r="M84" s="1"/>
    </row>
    <row r="85" ht="15.75" customHeight="1">
      <c r="L85" s="1"/>
      <c r="M85" s="1"/>
    </row>
    <row r="86" ht="15.75" customHeight="1">
      <c r="L86" s="1"/>
      <c r="M86" s="1"/>
    </row>
    <row r="87" ht="15.75" customHeight="1">
      <c r="L87" s="1"/>
      <c r="M87" s="1"/>
    </row>
    <row r="88" ht="15.75" customHeight="1">
      <c r="L88" s="1"/>
      <c r="M88" s="1"/>
    </row>
    <row r="89" ht="15.75" customHeight="1">
      <c r="L89" s="1"/>
      <c r="M89" s="1"/>
    </row>
    <row r="90" ht="15.75" customHeight="1">
      <c r="L90" s="1"/>
      <c r="M90" s="1"/>
    </row>
    <row r="91" ht="15.75" customHeight="1">
      <c r="L91" s="1"/>
      <c r="M91" s="1"/>
    </row>
    <row r="92" ht="15.75" customHeight="1">
      <c r="L92" s="1"/>
      <c r="M92" s="1"/>
    </row>
    <row r="93" ht="15.75" customHeight="1">
      <c r="L93" s="1"/>
      <c r="M93" s="1"/>
    </row>
    <row r="94" ht="15.75" customHeight="1">
      <c r="L94" s="1"/>
      <c r="M94" s="1"/>
    </row>
    <row r="95" ht="15.75" customHeight="1">
      <c r="L95" s="1"/>
      <c r="M95" s="1"/>
    </row>
    <row r="96" ht="15.75" customHeight="1">
      <c r="L96" s="1"/>
      <c r="M96" s="1"/>
    </row>
    <row r="97" ht="15.75" customHeight="1">
      <c r="L97" s="1"/>
      <c r="M97" s="1"/>
    </row>
    <row r="98" ht="15.75" customHeight="1">
      <c r="L98" s="1"/>
      <c r="M98" s="1"/>
    </row>
    <row r="99" ht="15.75" customHeight="1">
      <c r="L99" s="1"/>
      <c r="M99" s="1"/>
    </row>
    <row r="100" ht="15.75" customHeight="1">
      <c r="L100" s="1"/>
      <c r="M100" s="1"/>
    </row>
    <row r="101" ht="15.75" customHeight="1">
      <c r="L101" s="1"/>
      <c r="M101" s="1"/>
    </row>
    <row r="102" ht="15.75" customHeight="1">
      <c r="L102" s="1"/>
      <c r="M102" s="1"/>
    </row>
    <row r="103" ht="15.75" customHeight="1">
      <c r="L103" s="1"/>
      <c r="M103" s="1"/>
    </row>
    <row r="104" ht="15.75" customHeight="1">
      <c r="L104" s="1"/>
      <c r="M104" s="1"/>
    </row>
    <row r="105" ht="15.75" customHeight="1">
      <c r="L105" s="1"/>
      <c r="M105" s="1"/>
    </row>
    <row r="106" ht="15.75" customHeight="1">
      <c r="L106" s="1"/>
      <c r="M106" s="1"/>
    </row>
    <row r="107" ht="15.75" customHeight="1">
      <c r="L107" s="1"/>
      <c r="M107" s="1"/>
    </row>
    <row r="108" ht="15.75" customHeight="1">
      <c r="L108" s="1"/>
      <c r="M108" s="1"/>
    </row>
    <row r="109" ht="15.75" customHeight="1">
      <c r="L109" s="1"/>
      <c r="M109" s="1"/>
    </row>
    <row r="110" ht="15.75" customHeight="1">
      <c r="L110" s="1"/>
      <c r="M110" s="1"/>
    </row>
    <row r="111" ht="15.75" customHeight="1">
      <c r="L111" s="1"/>
      <c r="M111" s="1"/>
    </row>
    <row r="112" ht="15.75" customHeight="1">
      <c r="L112" s="1"/>
      <c r="M112" s="1"/>
    </row>
    <row r="113" ht="15.75" customHeight="1">
      <c r="L113" s="1"/>
      <c r="M113" s="1"/>
    </row>
    <row r="114" ht="15.75" customHeight="1">
      <c r="L114" s="1"/>
      <c r="M114" s="1"/>
    </row>
    <row r="115" ht="15.75" customHeight="1">
      <c r="L115" s="1"/>
      <c r="M115" s="1"/>
    </row>
    <row r="116" ht="15.75" customHeight="1">
      <c r="L116" s="1"/>
      <c r="M116" s="1"/>
    </row>
    <row r="117" ht="15.75" customHeight="1">
      <c r="L117" s="1"/>
      <c r="M117" s="1"/>
    </row>
    <row r="118" ht="15.75" customHeight="1">
      <c r="L118" s="1"/>
      <c r="M118" s="1"/>
    </row>
    <row r="119" ht="15.75" customHeight="1">
      <c r="L119" s="1"/>
      <c r="M119" s="1"/>
    </row>
    <row r="120" ht="15.75" customHeight="1">
      <c r="L120" s="1"/>
      <c r="M120" s="1"/>
    </row>
    <row r="121" ht="15.75" customHeight="1">
      <c r="L121" s="1"/>
      <c r="M121" s="1"/>
    </row>
    <row r="122" ht="15.75" customHeight="1">
      <c r="L122" s="1"/>
      <c r="M122" s="1"/>
    </row>
    <row r="123" ht="15.75" customHeight="1">
      <c r="L123" s="1"/>
      <c r="M123" s="1"/>
    </row>
    <row r="124" ht="15.75" customHeight="1">
      <c r="L124" s="1"/>
      <c r="M124" s="1"/>
    </row>
    <row r="125" ht="15.75" customHeight="1">
      <c r="L125" s="1"/>
      <c r="M125" s="1"/>
    </row>
    <row r="126" ht="15.75" customHeight="1">
      <c r="L126" s="1"/>
      <c r="M126" s="1"/>
    </row>
    <row r="127" ht="15.75" customHeight="1">
      <c r="L127" s="1"/>
      <c r="M127" s="1"/>
    </row>
    <row r="128" ht="15.75" customHeight="1">
      <c r="L128" s="1"/>
      <c r="M128" s="1"/>
    </row>
    <row r="129" ht="15.75" customHeight="1">
      <c r="L129" s="1"/>
      <c r="M129" s="1"/>
    </row>
    <row r="130" ht="15.75" customHeight="1">
      <c r="L130" s="1"/>
      <c r="M130" s="1"/>
    </row>
    <row r="131" ht="15.75" customHeight="1">
      <c r="L131" s="1"/>
      <c r="M131" s="1"/>
    </row>
    <row r="132" ht="15.75" customHeight="1">
      <c r="L132" s="1"/>
      <c r="M132" s="1"/>
    </row>
    <row r="133" ht="15.75" customHeight="1">
      <c r="L133" s="1"/>
      <c r="M133" s="1"/>
    </row>
    <row r="134" ht="15.75" customHeight="1">
      <c r="L134" s="1"/>
      <c r="M134" s="1"/>
    </row>
    <row r="135" ht="15.75" customHeight="1">
      <c r="L135" s="1"/>
      <c r="M135" s="1"/>
    </row>
    <row r="136" ht="15.75" customHeight="1">
      <c r="L136" s="1"/>
      <c r="M136" s="1"/>
    </row>
    <row r="137" ht="15.75" customHeight="1">
      <c r="L137" s="1"/>
      <c r="M137" s="1"/>
    </row>
    <row r="138" ht="15.75" customHeight="1">
      <c r="L138" s="1"/>
      <c r="M138" s="1"/>
    </row>
    <row r="139" ht="15.75" customHeight="1">
      <c r="L139" s="1"/>
      <c r="M139" s="1"/>
    </row>
    <row r="140" ht="15.75" customHeight="1">
      <c r="L140" s="1"/>
      <c r="M140" s="1"/>
    </row>
    <row r="141" ht="15.75" customHeight="1">
      <c r="L141" s="1"/>
      <c r="M141" s="1"/>
    </row>
    <row r="142" ht="15.75" customHeight="1">
      <c r="L142" s="1"/>
      <c r="M142" s="1"/>
    </row>
    <row r="143" ht="15.75" customHeight="1">
      <c r="L143" s="1"/>
      <c r="M143" s="1"/>
    </row>
    <row r="144" ht="15.75" customHeight="1">
      <c r="L144" s="1"/>
      <c r="M144" s="1"/>
    </row>
    <row r="145" ht="15.75" customHeight="1">
      <c r="L145" s="1"/>
      <c r="M145" s="1"/>
    </row>
    <row r="146" ht="15.75" customHeight="1">
      <c r="L146" s="1"/>
      <c r="M146" s="1"/>
    </row>
    <row r="147" ht="15.75" customHeight="1">
      <c r="L147" s="1"/>
      <c r="M147" s="1"/>
    </row>
    <row r="148" ht="15.75" customHeight="1">
      <c r="L148" s="1"/>
      <c r="M148" s="1"/>
    </row>
    <row r="149" ht="15.75" customHeight="1">
      <c r="L149" s="1"/>
      <c r="M149" s="1"/>
    </row>
    <row r="150" ht="15.75" customHeight="1">
      <c r="L150" s="1"/>
      <c r="M150" s="1"/>
    </row>
    <row r="151" ht="15.75" customHeight="1">
      <c r="L151" s="1"/>
      <c r="M151" s="1"/>
    </row>
    <row r="152" ht="15.75" customHeight="1">
      <c r="L152" s="1"/>
      <c r="M152" s="1"/>
    </row>
    <row r="153" ht="15.75" customHeight="1">
      <c r="L153" s="1"/>
      <c r="M153" s="1"/>
    </row>
    <row r="154" ht="15.75" customHeight="1">
      <c r="L154" s="1"/>
      <c r="M154" s="1"/>
    </row>
    <row r="155" ht="15.75" customHeight="1">
      <c r="L155" s="1"/>
      <c r="M155" s="1"/>
    </row>
    <row r="156" ht="15.75" customHeight="1">
      <c r="L156" s="1"/>
      <c r="M156" s="1"/>
    </row>
    <row r="157" ht="15.75" customHeight="1">
      <c r="L157" s="1"/>
      <c r="M157" s="1"/>
    </row>
    <row r="158" ht="15.75" customHeight="1">
      <c r="L158" s="1"/>
      <c r="M158" s="1"/>
    </row>
    <row r="159" ht="15.75" customHeight="1">
      <c r="L159" s="1"/>
      <c r="M159" s="1"/>
    </row>
    <row r="160" ht="15.75" customHeight="1">
      <c r="L160" s="1"/>
      <c r="M160" s="1"/>
    </row>
    <row r="161" ht="15.75" customHeight="1">
      <c r="L161" s="1"/>
      <c r="M161" s="1"/>
    </row>
    <row r="162" ht="15.75" customHeight="1">
      <c r="L162" s="1"/>
      <c r="M162" s="1"/>
    </row>
    <row r="163" ht="15.75" customHeight="1">
      <c r="L163" s="1"/>
      <c r="M163" s="1"/>
    </row>
    <row r="164" ht="15.75" customHeight="1">
      <c r="L164" s="1"/>
      <c r="M164" s="1"/>
    </row>
    <row r="165" ht="15.75" customHeight="1">
      <c r="L165" s="1"/>
      <c r="M165" s="1"/>
    </row>
    <row r="166" ht="15.75" customHeight="1">
      <c r="L166" s="1"/>
      <c r="M166" s="1"/>
    </row>
    <row r="167" ht="15.75" customHeight="1">
      <c r="L167" s="1"/>
      <c r="M167" s="1"/>
    </row>
    <row r="168" ht="15.75" customHeight="1">
      <c r="L168" s="1"/>
      <c r="M168" s="1"/>
    </row>
    <row r="169" ht="15.75" customHeight="1">
      <c r="L169" s="1"/>
      <c r="M169" s="1"/>
    </row>
    <row r="170" ht="15.75" customHeight="1">
      <c r="L170" s="1"/>
      <c r="M170" s="1"/>
    </row>
    <row r="171" ht="15.75" customHeight="1">
      <c r="L171" s="1"/>
      <c r="M171" s="1"/>
    </row>
    <row r="172" ht="15.75" customHeight="1">
      <c r="L172" s="1"/>
      <c r="M172" s="1"/>
    </row>
    <row r="173" ht="15.75" customHeight="1">
      <c r="L173" s="1"/>
      <c r="M173" s="1"/>
    </row>
    <row r="174" ht="15.75" customHeight="1">
      <c r="L174" s="1"/>
      <c r="M174" s="1"/>
    </row>
    <row r="175" ht="15.75" customHeight="1">
      <c r="L175" s="1"/>
      <c r="M175" s="1"/>
    </row>
    <row r="176" ht="15.75" customHeight="1">
      <c r="L176" s="1"/>
      <c r="M176" s="1"/>
    </row>
    <row r="177" ht="15.75" customHeight="1">
      <c r="L177" s="1"/>
      <c r="M177" s="1"/>
    </row>
    <row r="178" ht="15.75" customHeight="1">
      <c r="L178" s="1"/>
      <c r="M178" s="1"/>
    </row>
    <row r="179" ht="15.75" customHeight="1">
      <c r="L179" s="1"/>
      <c r="M179" s="1"/>
    </row>
    <row r="180" ht="15.75" customHeight="1">
      <c r="L180" s="1"/>
      <c r="M180" s="1"/>
    </row>
    <row r="181" ht="15.75" customHeight="1">
      <c r="L181" s="1"/>
      <c r="M181" s="1"/>
    </row>
    <row r="182" ht="15.75" customHeight="1">
      <c r="L182" s="1"/>
      <c r="M182" s="1"/>
    </row>
    <row r="183" ht="15.75" customHeight="1">
      <c r="L183" s="1"/>
      <c r="M183" s="1"/>
    </row>
    <row r="184" ht="15.75" customHeight="1">
      <c r="L184" s="1"/>
      <c r="M184" s="1"/>
    </row>
    <row r="185" ht="15.75" customHeight="1">
      <c r="L185" s="1"/>
      <c r="M185" s="1"/>
    </row>
    <row r="186" ht="15.75" customHeight="1">
      <c r="L186" s="1"/>
      <c r="M186" s="1"/>
    </row>
    <row r="187" ht="15.75" customHeight="1">
      <c r="L187" s="1"/>
      <c r="M187" s="1"/>
    </row>
    <row r="188" ht="15.75" customHeight="1">
      <c r="L188" s="1"/>
      <c r="M188" s="1"/>
    </row>
    <row r="189" ht="15.75" customHeight="1">
      <c r="L189" s="1"/>
      <c r="M189" s="1"/>
    </row>
    <row r="190" ht="15.75" customHeight="1">
      <c r="L190" s="1"/>
      <c r="M190" s="1"/>
    </row>
    <row r="191" ht="15.75" customHeight="1">
      <c r="L191" s="1"/>
      <c r="M191" s="1"/>
    </row>
    <row r="192" ht="15.75" customHeight="1">
      <c r="L192" s="1"/>
      <c r="M192" s="1"/>
    </row>
    <row r="193" ht="15.75" customHeight="1">
      <c r="L193" s="1"/>
      <c r="M193" s="1"/>
    </row>
    <row r="194" ht="15.75" customHeight="1">
      <c r="L194" s="1"/>
      <c r="M194" s="1"/>
    </row>
    <row r="195" ht="15.75" customHeight="1">
      <c r="L195" s="1"/>
      <c r="M195" s="1"/>
    </row>
    <row r="196" ht="15.75" customHeight="1">
      <c r="L196" s="1"/>
      <c r="M196" s="1"/>
    </row>
    <row r="197" ht="15.75" customHeight="1">
      <c r="L197" s="1"/>
      <c r="M197" s="1"/>
    </row>
    <row r="198" ht="15.75" customHeight="1">
      <c r="L198" s="1"/>
      <c r="M198" s="1"/>
    </row>
    <row r="199" ht="15.75" customHeight="1">
      <c r="L199" s="1"/>
      <c r="M199" s="1"/>
    </row>
    <row r="200" ht="15.75" customHeight="1">
      <c r="L200" s="1"/>
      <c r="M200" s="1"/>
    </row>
    <row r="201" ht="15.75" customHeight="1">
      <c r="L201" s="1"/>
      <c r="M201" s="1"/>
    </row>
    <row r="202" ht="15.75" customHeight="1">
      <c r="L202" s="1"/>
      <c r="M202" s="1"/>
    </row>
    <row r="203" ht="15.75" customHeight="1">
      <c r="L203" s="1"/>
      <c r="M203" s="1"/>
    </row>
    <row r="204" ht="15.75" customHeight="1">
      <c r="L204" s="1"/>
      <c r="M204" s="1"/>
    </row>
    <row r="205" ht="15.75" customHeight="1">
      <c r="L205" s="1"/>
      <c r="M205" s="1"/>
    </row>
    <row r="206" ht="15.75" customHeight="1">
      <c r="L206" s="1"/>
      <c r="M206" s="1"/>
    </row>
    <row r="207" ht="15.75" customHeight="1">
      <c r="L207" s="1"/>
      <c r="M207" s="1"/>
    </row>
    <row r="208" ht="15.75" customHeight="1">
      <c r="L208" s="1"/>
      <c r="M208" s="1"/>
    </row>
    <row r="209" ht="15.75" customHeight="1">
      <c r="L209" s="1"/>
      <c r="M209" s="1"/>
    </row>
    <row r="210" ht="15.75" customHeight="1">
      <c r="L210" s="1"/>
      <c r="M210" s="1"/>
    </row>
    <row r="211" ht="15.75" customHeight="1">
      <c r="L211" s="1"/>
      <c r="M211" s="1"/>
    </row>
    <row r="212" ht="15.75" customHeight="1">
      <c r="L212" s="1"/>
      <c r="M212" s="1"/>
    </row>
    <row r="213" ht="15.75" customHeight="1">
      <c r="L213" s="1"/>
      <c r="M213" s="1"/>
    </row>
    <row r="214" ht="15.75" customHeight="1">
      <c r="L214" s="1"/>
      <c r="M214" s="1"/>
    </row>
    <row r="215" ht="15.75" customHeight="1">
      <c r="L215" s="1"/>
      <c r="M215" s="1"/>
    </row>
    <row r="216" ht="15.75" customHeight="1">
      <c r="L216" s="1"/>
      <c r="M216" s="1"/>
    </row>
    <row r="217" ht="15.75" customHeight="1">
      <c r="L217" s="1"/>
      <c r="M217" s="1"/>
    </row>
    <row r="218" ht="15.75" customHeight="1">
      <c r="L218" s="1"/>
      <c r="M218" s="1"/>
    </row>
    <row r="219" ht="15.75" customHeight="1">
      <c r="L219" s="1"/>
      <c r="M219" s="1"/>
    </row>
    <row r="220" ht="15.75" customHeight="1">
      <c r="L220" s="1"/>
      <c r="M220" s="1"/>
    </row>
    <row r="221" ht="15.75" customHeight="1">
      <c r="L221" s="1"/>
      <c r="M221" s="1"/>
    </row>
    <row r="222" ht="15.75" customHeight="1">
      <c r="L222" s="1"/>
      <c r="M222" s="1"/>
    </row>
    <row r="223" ht="15.75" customHeight="1">
      <c r="L223" s="1"/>
      <c r="M223" s="1"/>
    </row>
    <row r="224" ht="15.75" customHeight="1">
      <c r="L224" s="1"/>
      <c r="M224" s="1"/>
    </row>
    <row r="225" ht="15.75" customHeight="1">
      <c r="L225" s="1"/>
      <c r="M225" s="1"/>
    </row>
    <row r="226" ht="15.75" customHeight="1">
      <c r="L226" s="1"/>
      <c r="M226" s="1"/>
    </row>
    <row r="227" ht="15.75" customHeight="1">
      <c r="L227" s="1"/>
      <c r="M227" s="1"/>
    </row>
    <row r="228" ht="15.75" customHeight="1">
      <c r="L228" s="1"/>
      <c r="M228" s="1"/>
    </row>
    <row r="229" ht="15.75" customHeight="1">
      <c r="L229" s="1"/>
      <c r="M229" s="1"/>
    </row>
    <row r="230" ht="15.75" customHeight="1">
      <c r="L230" s="1"/>
      <c r="M230" s="1"/>
    </row>
    <row r="231" ht="15.75" customHeight="1">
      <c r="L231" s="1"/>
      <c r="M231" s="1"/>
    </row>
    <row r="232" ht="15.75" customHeight="1">
      <c r="L232" s="1"/>
      <c r="M232" s="1"/>
    </row>
    <row r="233" ht="15.75" customHeight="1">
      <c r="L233" s="1"/>
      <c r="M233" s="1"/>
    </row>
    <row r="234" ht="15.75" customHeight="1">
      <c r="L234" s="1"/>
      <c r="M234" s="1"/>
    </row>
    <row r="235" ht="15.75" customHeight="1">
      <c r="L235" s="1"/>
      <c r="M235" s="1"/>
    </row>
    <row r="236" ht="15.75" customHeight="1">
      <c r="L236" s="1"/>
      <c r="M236" s="1"/>
    </row>
    <row r="237" ht="15.75" customHeight="1">
      <c r="L237" s="1"/>
      <c r="M237" s="1"/>
    </row>
    <row r="238" ht="15.75" customHeight="1">
      <c r="L238" s="1"/>
      <c r="M238" s="1"/>
    </row>
    <row r="239" ht="15.75" customHeight="1">
      <c r="L239" s="1"/>
      <c r="M239" s="1"/>
    </row>
    <row r="240" ht="15.75" customHeight="1">
      <c r="L240" s="1"/>
      <c r="M240" s="1"/>
    </row>
    <row r="241" ht="15.75" customHeight="1">
      <c r="L241" s="1"/>
      <c r="M241" s="1"/>
    </row>
    <row r="242" ht="15.75" customHeight="1">
      <c r="L242" s="1"/>
      <c r="M242" s="1"/>
    </row>
    <row r="243" ht="15.75" customHeight="1">
      <c r="L243" s="1"/>
      <c r="M243" s="1"/>
    </row>
    <row r="244" ht="15.75" customHeight="1">
      <c r="L244" s="1"/>
      <c r="M244" s="1"/>
    </row>
    <row r="245" ht="15.75" customHeight="1">
      <c r="L245" s="1"/>
      <c r="M245" s="1"/>
    </row>
    <row r="246" ht="15.75" customHeight="1">
      <c r="L246" s="1"/>
      <c r="M246" s="1"/>
    </row>
    <row r="247" ht="15.75" customHeight="1">
      <c r="L247" s="1"/>
      <c r="M247" s="1"/>
    </row>
    <row r="248" ht="15.75" customHeight="1">
      <c r="L248" s="1"/>
      <c r="M248" s="1"/>
    </row>
    <row r="249" ht="15.75" customHeight="1">
      <c r="L249" s="1"/>
      <c r="M249" s="1"/>
    </row>
    <row r="250" ht="15.75" customHeight="1">
      <c r="L250" s="1"/>
      <c r="M250" s="1"/>
    </row>
    <row r="251" ht="15.75" customHeight="1">
      <c r="L251" s="1"/>
      <c r="M251" s="1"/>
    </row>
    <row r="252" ht="15.75" customHeight="1">
      <c r="L252" s="1"/>
      <c r="M252" s="1"/>
    </row>
    <row r="253" ht="15.75" customHeight="1">
      <c r="L253" s="1"/>
      <c r="M253" s="1"/>
    </row>
    <row r="254" ht="15.75" customHeight="1">
      <c r="L254" s="1"/>
      <c r="M254" s="1"/>
    </row>
    <row r="255" ht="15.75" customHeight="1">
      <c r="L255" s="1"/>
      <c r="M255" s="1"/>
    </row>
    <row r="256" ht="15.75" customHeight="1">
      <c r="L256" s="1"/>
      <c r="M256" s="1"/>
    </row>
    <row r="257" ht="15.75" customHeight="1">
      <c r="L257" s="1"/>
      <c r="M257" s="1"/>
    </row>
    <row r="258" ht="15.75" customHeight="1">
      <c r="L258" s="1"/>
      <c r="M258" s="1"/>
    </row>
    <row r="259" ht="15.75" customHeight="1">
      <c r="L259" s="1"/>
      <c r="M259" s="1"/>
    </row>
    <row r="260" ht="15.75" customHeight="1">
      <c r="L260" s="1"/>
      <c r="M260" s="1"/>
    </row>
    <row r="261" ht="15.75" customHeight="1">
      <c r="L261" s="1"/>
      <c r="M261" s="1"/>
    </row>
    <row r="262" ht="15.75" customHeight="1">
      <c r="L262" s="1"/>
      <c r="M262" s="1"/>
    </row>
    <row r="263" ht="15.75" customHeight="1">
      <c r="L263" s="1"/>
      <c r="M263" s="1"/>
    </row>
    <row r="264" ht="15.75" customHeight="1">
      <c r="L264" s="1"/>
      <c r="M264" s="1"/>
    </row>
    <row r="265" ht="15.75" customHeight="1">
      <c r="L265" s="1"/>
      <c r="M265" s="1"/>
    </row>
    <row r="266" ht="15.75" customHeight="1">
      <c r="L266" s="1"/>
      <c r="M266" s="1"/>
    </row>
    <row r="267" ht="15.75" customHeight="1">
      <c r="L267" s="1"/>
      <c r="M267" s="1"/>
    </row>
    <row r="268" ht="15.75" customHeight="1">
      <c r="L268" s="1"/>
      <c r="M268" s="1"/>
    </row>
    <row r="269" ht="15.75" customHeight="1">
      <c r="L269" s="1"/>
      <c r="M269" s="1"/>
    </row>
    <row r="270" ht="15.75" customHeight="1">
      <c r="L270" s="1"/>
      <c r="M270" s="1"/>
    </row>
    <row r="271" ht="15.75" customHeight="1">
      <c r="L271" s="1"/>
      <c r="M271" s="1"/>
    </row>
    <row r="272" ht="15.75" customHeight="1">
      <c r="L272" s="1"/>
      <c r="M272" s="1"/>
    </row>
    <row r="273" ht="15.75" customHeight="1">
      <c r="L273" s="1"/>
      <c r="M273" s="1"/>
    </row>
    <row r="274" ht="15.75" customHeight="1">
      <c r="L274" s="1"/>
      <c r="M274" s="1"/>
    </row>
    <row r="275" ht="15.75" customHeight="1">
      <c r="L275" s="1"/>
      <c r="M275" s="1"/>
    </row>
    <row r="276" ht="15.75" customHeight="1">
      <c r="L276" s="1"/>
      <c r="M276" s="1"/>
    </row>
    <row r="277" ht="15.75" customHeight="1">
      <c r="L277" s="1"/>
      <c r="M277" s="1"/>
    </row>
    <row r="278" ht="15.75" customHeight="1">
      <c r="L278" s="1"/>
      <c r="M278" s="1"/>
    </row>
    <row r="279" ht="15.75" customHeight="1">
      <c r="L279" s="1"/>
      <c r="M279" s="1"/>
    </row>
    <row r="280" ht="15.75" customHeight="1">
      <c r="L280" s="1"/>
      <c r="M280" s="1"/>
    </row>
    <row r="281" ht="15.75" customHeight="1">
      <c r="L281" s="1"/>
      <c r="M281" s="1"/>
    </row>
    <row r="282" ht="15.75" customHeight="1">
      <c r="L282" s="1"/>
      <c r="M282" s="1"/>
    </row>
    <row r="283" ht="15.75" customHeight="1">
      <c r="L283" s="1"/>
      <c r="M283" s="1"/>
    </row>
    <row r="284" ht="15.75" customHeight="1">
      <c r="L284" s="1"/>
      <c r="M284" s="1"/>
    </row>
    <row r="285" ht="15.75" customHeight="1">
      <c r="L285" s="1"/>
      <c r="M285" s="1"/>
    </row>
    <row r="286" ht="15.75" customHeight="1">
      <c r="L286" s="1"/>
      <c r="M286" s="1"/>
    </row>
    <row r="287" ht="15.75" customHeight="1">
      <c r="L287" s="1"/>
      <c r="M287" s="1"/>
    </row>
    <row r="288" ht="15.75" customHeight="1">
      <c r="L288" s="1"/>
      <c r="M288" s="1"/>
    </row>
    <row r="289" ht="15.75" customHeight="1">
      <c r="L289" s="1"/>
      <c r="M289" s="1"/>
    </row>
    <row r="290" ht="15.75" customHeight="1">
      <c r="L290" s="1"/>
      <c r="M290" s="1"/>
    </row>
    <row r="291" ht="15.75" customHeight="1">
      <c r="L291" s="1"/>
      <c r="M291" s="1"/>
    </row>
    <row r="292" ht="15.75" customHeight="1">
      <c r="L292" s="1"/>
      <c r="M292" s="1"/>
    </row>
    <row r="293" ht="15.75" customHeight="1">
      <c r="L293" s="1"/>
      <c r="M293" s="1"/>
    </row>
    <row r="294" ht="15.75" customHeight="1">
      <c r="L294" s="1"/>
      <c r="M294" s="1"/>
    </row>
    <row r="295" ht="15.75" customHeight="1">
      <c r="L295" s="1"/>
      <c r="M295" s="1"/>
    </row>
    <row r="296" ht="15.75" customHeight="1">
      <c r="L296" s="1"/>
      <c r="M296" s="1"/>
    </row>
    <row r="297" ht="15.75" customHeight="1">
      <c r="L297" s="1"/>
      <c r="M297" s="1"/>
    </row>
    <row r="298" ht="15.75" customHeight="1">
      <c r="L298" s="1"/>
      <c r="M298" s="1"/>
    </row>
    <row r="299" ht="15.75" customHeight="1">
      <c r="L299" s="1"/>
      <c r="M299" s="1"/>
    </row>
    <row r="300" ht="15.75" customHeight="1">
      <c r="L300" s="1"/>
      <c r="M300" s="1"/>
    </row>
    <row r="301" ht="15.75" customHeight="1">
      <c r="L301" s="1"/>
      <c r="M301" s="1"/>
    </row>
    <row r="302" ht="15.75" customHeight="1">
      <c r="L302" s="1"/>
      <c r="M302" s="1"/>
    </row>
    <row r="303" ht="15.75" customHeight="1">
      <c r="L303" s="1"/>
      <c r="M303" s="1"/>
    </row>
    <row r="304" ht="15.75" customHeight="1">
      <c r="L304" s="1"/>
      <c r="M304" s="1"/>
    </row>
    <row r="305" ht="15.75" customHeight="1">
      <c r="L305" s="1"/>
      <c r="M305" s="1"/>
    </row>
    <row r="306" ht="15.75" customHeight="1">
      <c r="L306" s="1"/>
      <c r="M306" s="1"/>
    </row>
    <row r="307" ht="15.75" customHeight="1">
      <c r="L307" s="1"/>
      <c r="M307" s="1"/>
    </row>
    <row r="308" ht="15.75" customHeight="1">
      <c r="L308" s="1"/>
      <c r="M308" s="1"/>
    </row>
    <row r="309" ht="15.75" customHeight="1">
      <c r="L309" s="1"/>
      <c r="M309" s="1"/>
    </row>
    <row r="310" ht="15.75" customHeight="1">
      <c r="L310" s="1"/>
      <c r="M310" s="1"/>
    </row>
    <row r="311" ht="15.75" customHeight="1">
      <c r="L311" s="1"/>
      <c r="M311" s="1"/>
    </row>
    <row r="312" ht="15.75" customHeight="1">
      <c r="L312" s="1"/>
      <c r="M312" s="1"/>
    </row>
    <row r="313" ht="15.75" customHeight="1">
      <c r="L313" s="1"/>
      <c r="M313" s="1"/>
    </row>
    <row r="314" ht="15.75" customHeight="1">
      <c r="L314" s="1"/>
      <c r="M314" s="1"/>
    </row>
    <row r="315" ht="15.75" customHeight="1">
      <c r="L315" s="1"/>
      <c r="M315" s="1"/>
    </row>
    <row r="316" ht="15.75" customHeight="1">
      <c r="L316" s="1"/>
      <c r="M316" s="1"/>
    </row>
    <row r="317" ht="15.75" customHeight="1">
      <c r="L317" s="1"/>
      <c r="M317" s="1"/>
    </row>
    <row r="318" ht="15.75" customHeight="1">
      <c r="L318" s="1"/>
      <c r="M318" s="1"/>
    </row>
    <row r="319" ht="15.75" customHeight="1">
      <c r="L319" s="1"/>
      <c r="M319" s="1"/>
    </row>
    <row r="320" ht="15.75" customHeight="1">
      <c r="L320" s="1"/>
      <c r="M320" s="1"/>
    </row>
    <row r="321" ht="15.75" customHeight="1">
      <c r="L321" s="1"/>
      <c r="M321" s="1"/>
    </row>
    <row r="322" ht="15.75" customHeight="1">
      <c r="L322" s="1"/>
      <c r="M322" s="1"/>
    </row>
    <row r="323" ht="15.75" customHeight="1">
      <c r="L323" s="1"/>
      <c r="M323" s="1"/>
    </row>
    <row r="324" ht="15.75" customHeight="1">
      <c r="L324" s="1"/>
      <c r="M324" s="1"/>
    </row>
    <row r="325" ht="15.75" customHeight="1">
      <c r="L325" s="1"/>
      <c r="M325" s="1"/>
    </row>
    <row r="326" ht="15.75" customHeight="1">
      <c r="L326" s="1"/>
      <c r="M326" s="1"/>
    </row>
    <row r="327" ht="15.75" customHeight="1">
      <c r="L327" s="1"/>
      <c r="M327" s="1"/>
    </row>
    <row r="328" ht="15.75" customHeight="1">
      <c r="L328" s="1"/>
      <c r="M328" s="1"/>
    </row>
    <row r="329" ht="15.75" customHeight="1">
      <c r="L329" s="1"/>
      <c r="M329" s="1"/>
    </row>
    <row r="330" ht="15.75" customHeight="1">
      <c r="L330" s="1"/>
      <c r="M330" s="1"/>
    </row>
    <row r="331" ht="15.75" customHeight="1">
      <c r="L331" s="1"/>
      <c r="M331" s="1"/>
    </row>
    <row r="332" ht="15.75" customHeight="1">
      <c r="L332" s="1"/>
      <c r="M332" s="1"/>
    </row>
    <row r="333" ht="15.75" customHeight="1">
      <c r="L333" s="1"/>
      <c r="M333" s="1"/>
    </row>
    <row r="334" ht="15.75" customHeight="1">
      <c r="L334" s="1"/>
      <c r="M334" s="1"/>
    </row>
    <row r="335" ht="15.75" customHeight="1">
      <c r="L335" s="1"/>
      <c r="M335" s="1"/>
    </row>
    <row r="336" ht="15.75" customHeight="1">
      <c r="L336" s="1"/>
      <c r="M336" s="1"/>
    </row>
    <row r="337" ht="15.75" customHeight="1">
      <c r="L337" s="1"/>
      <c r="M337" s="1"/>
    </row>
    <row r="338" ht="15.75" customHeight="1">
      <c r="L338" s="1"/>
      <c r="M338" s="1"/>
    </row>
    <row r="339" ht="15.75" customHeight="1">
      <c r="L339" s="1"/>
      <c r="M339" s="1"/>
    </row>
    <row r="340" ht="15.75" customHeight="1">
      <c r="L340" s="1"/>
      <c r="M340" s="1"/>
    </row>
    <row r="341" ht="15.75" customHeight="1">
      <c r="L341" s="1"/>
      <c r="M341" s="1"/>
    </row>
    <row r="342" ht="15.75" customHeight="1">
      <c r="L342" s="1"/>
      <c r="M342" s="1"/>
    </row>
    <row r="343" ht="15.75" customHeight="1">
      <c r="L343" s="1"/>
      <c r="M343" s="1"/>
    </row>
    <row r="344" ht="15.75" customHeight="1">
      <c r="L344" s="1"/>
      <c r="M344" s="1"/>
    </row>
    <row r="345" ht="15.75" customHeight="1">
      <c r="L345" s="1"/>
      <c r="M345" s="1"/>
    </row>
    <row r="346" ht="15.75" customHeight="1">
      <c r="L346" s="1"/>
      <c r="M346" s="1"/>
    </row>
    <row r="347" ht="15.75" customHeight="1">
      <c r="L347" s="1"/>
      <c r="M347" s="1"/>
    </row>
    <row r="348" ht="15.75" customHeight="1">
      <c r="L348" s="1"/>
      <c r="M348" s="1"/>
    </row>
    <row r="349" ht="15.75" customHeight="1">
      <c r="L349" s="1"/>
      <c r="M349" s="1"/>
    </row>
    <row r="350" ht="15.75" customHeight="1">
      <c r="L350" s="1"/>
      <c r="M350" s="1"/>
    </row>
    <row r="351" ht="15.75" customHeight="1">
      <c r="L351" s="1"/>
      <c r="M351" s="1"/>
    </row>
    <row r="352" ht="15.75" customHeight="1">
      <c r="L352" s="1"/>
      <c r="M352" s="1"/>
    </row>
    <row r="353" ht="15.75" customHeight="1">
      <c r="L353" s="1"/>
      <c r="M353" s="1"/>
    </row>
    <row r="354" ht="15.75" customHeight="1">
      <c r="L354" s="1"/>
      <c r="M354" s="1"/>
    </row>
    <row r="355" ht="15.75" customHeight="1">
      <c r="L355" s="1"/>
      <c r="M355" s="1"/>
    </row>
    <row r="356" ht="15.75" customHeight="1">
      <c r="L356" s="1"/>
      <c r="M356" s="1"/>
    </row>
    <row r="357" ht="15.75" customHeight="1">
      <c r="L357" s="1"/>
      <c r="M357" s="1"/>
    </row>
    <row r="358" ht="15.75" customHeight="1">
      <c r="L358" s="1"/>
      <c r="M358" s="1"/>
    </row>
    <row r="359" ht="15.75" customHeight="1">
      <c r="L359" s="1"/>
      <c r="M359" s="1"/>
    </row>
    <row r="360" ht="15.75" customHeight="1">
      <c r="L360" s="1"/>
      <c r="M360" s="1"/>
    </row>
    <row r="361" ht="15.75" customHeight="1">
      <c r="L361" s="1"/>
      <c r="M361" s="1"/>
    </row>
    <row r="362" ht="15.75" customHeight="1">
      <c r="L362" s="1"/>
      <c r="M362" s="1"/>
    </row>
    <row r="363" ht="15.75" customHeight="1">
      <c r="L363" s="1"/>
      <c r="M363" s="1"/>
    </row>
    <row r="364" ht="15.75" customHeight="1">
      <c r="L364" s="1"/>
      <c r="M364" s="1"/>
    </row>
    <row r="365" ht="15.75" customHeight="1">
      <c r="L365" s="1"/>
      <c r="M365" s="1"/>
    </row>
    <row r="366" ht="15.75" customHeight="1">
      <c r="L366" s="1"/>
      <c r="M366" s="1"/>
    </row>
    <row r="367" ht="15.75" customHeight="1">
      <c r="L367" s="1"/>
      <c r="M367" s="1"/>
    </row>
    <row r="368" ht="15.75" customHeight="1">
      <c r="L368" s="1"/>
      <c r="M368" s="1"/>
    </row>
    <row r="369" ht="15.75" customHeight="1">
      <c r="L369" s="1"/>
      <c r="M369" s="1"/>
    </row>
    <row r="370" ht="15.75" customHeight="1">
      <c r="L370" s="1"/>
      <c r="M370" s="1"/>
    </row>
    <row r="371" ht="15.75" customHeight="1">
      <c r="L371" s="1"/>
      <c r="M371" s="1"/>
    </row>
    <row r="372" ht="15.75" customHeight="1">
      <c r="L372" s="1"/>
      <c r="M372" s="1"/>
    </row>
    <row r="373" ht="15.75" customHeight="1">
      <c r="L373" s="1"/>
      <c r="M373" s="1"/>
    </row>
    <row r="374" ht="15.75" customHeight="1">
      <c r="L374" s="1"/>
      <c r="M374" s="1"/>
    </row>
    <row r="375" ht="15.75" customHeight="1">
      <c r="L375" s="1"/>
      <c r="M375" s="1"/>
    </row>
    <row r="376" ht="15.75" customHeight="1">
      <c r="L376" s="1"/>
      <c r="M376" s="1"/>
    </row>
    <row r="377" ht="15.75" customHeight="1">
      <c r="L377" s="1"/>
      <c r="M377" s="1"/>
    </row>
    <row r="378" ht="15.75" customHeight="1">
      <c r="L378" s="1"/>
      <c r="M378" s="1"/>
    </row>
    <row r="379" ht="15.75" customHeight="1">
      <c r="L379" s="1"/>
      <c r="M379" s="1"/>
    </row>
    <row r="380" ht="15.75" customHeight="1">
      <c r="L380" s="1"/>
      <c r="M380" s="1"/>
    </row>
    <row r="381" ht="15.75" customHeight="1">
      <c r="L381" s="1"/>
      <c r="M381" s="1"/>
    </row>
    <row r="382" ht="15.75" customHeight="1">
      <c r="L382" s="1"/>
      <c r="M382" s="1"/>
    </row>
    <row r="383" ht="15.75" customHeight="1">
      <c r="L383" s="1"/>
      <c r="M383" s="1"/>
    </row>
    <row r="384" ht="15.75" customHeight="1">
      <c r="L384" s="1"/>
      <c r="M384" s="1"/>
    </row>
    <row r="385" ht="15.75" customHeight="1">
      <c r="L385" s="1"/>
      <c r="M385" s="1"/>
    </row>
    <row r="386" ht="15.75" customHeight="1">
      <c r="L386" s="1"/>
      <c r="M386" s="1"/>
    </row>
    <row r="387" ht="15.75" customHeight="1">
      <c r="L387" s="1"/>
      <c r="M387" s="1"/>
    </row>
    <row r="388" ht="15.75" customHeight="1">
      <c r="L388" s="1"/>
      <c r="M388" s="1"/>
    </row>
    <row r="389" ht="15.75" customHeight="1">
      <c r="L389" s="1"/>
      <c r="M389" s="1"/>
    </row>
    <row r="390" ht="15.75" customHeight="1">
      <c r="L390" s="1"/>
      <c r="M390" s="1"/>
    </row>
    <row r="391" ht="15.75" customHeight="1">
      <c r="L391" s="1"/>
      <c r="M391" s="1"/>
    </row>
    <row r="392" ht="15.75" customHeight="1">
      <c r="L392" s="1"/>
      <c r="M392" s="1"/>
    </row>
    <row r="393" ht="15.75" customHeight="1">
      <c r="L393" s="1"/>
      <c r="M393" s="1"/>
    </row>
    <row r="394" ht="15.75" customHeight="1">
      <c r="L394" s="1"/>
      <c r="M394" s="1"/>
    </row>
    <row r="395" ht="15.75" customHeight="1">
      <c r="L395" s="1"/>
      <c r="M395" s="1"/>
    </row>
    <row r="396" ht="15.75" customHeight="1">
      <c r="L396" s="1"/>
      <c r="M396" s="1"/>
    </row>
    <row r="397" ht="15.75" customHeight="1">
      <c r="L397" s="1"/>
      <c r="M397" s="1"/>
    </row>
    <row r="398" ht="15.75" customHeight="1">
      <c r="L398" s="1"/>
      <c r="M398" s="1"/>
    </row>
    <row r="399" ht="15.75" customHeight="1">
      <c r="L399" s="1"/>
      <c r="M399" s="1"/>
    </row>
    <row r="400" ht="15.75" customHeight="1">
      <c r="L400" s="1"/>
      <c r="M400" s="1"/>
    </row>
    <row r="401" ht="15.75" customHeight="1">
      <c r="L401" s="1"/>
      <c r="M401" s="1"/>
    </row>
    <row r="402" ht="15.75" customHeight="1">
      <c r="L402" s="1"/>
      <c r="M402" s="1"/>
    </row>
    <row r="403" ht="15.75" customHeight="1">
      <c r="L403" s="1"/>
      <c r="M403" s="1"/>
    </row>
    <row r="404" ht="15.75" customHeight="1">
      <c r="L404" s="1"/>
      <c r="M404" s="1"/>
    </row>
    <row r="405" ht="15.75" customHeight="1">
      <c r="L405" s="1"/>
      <c r="M405" s="1"/>
    </row>
    <row r="406" ht="15.75" customHeight="1">
      <c r="L406" s="1"/>
      <c r="M406" s="1"/>
    </row>
    <row r="407" ht="15.75" customHeight="1">
      <c r="L407" s="1"/>
      <c r="M407" s="1"/>
    </row>
    <row r="408" ht="15.75" customHeight="1">
      <c r="L408" s="1"/>
      <c r="M408" s="1"/>
    </row>
    <row r="409" ht="15.75" customHeight="1">
      <c r="L409" s="1"/>
      <c r="M409" s="1"/>
    </row>
    <row r="410" ht="15.75" customHeight="1">
      <c r="L410" s="1"/>
      <c r="M410" s="1"/>
    </row>
    <row r="411" ht="15.75" customHeight="1">
      <c r="L411" s="1"/>
      <c r="M411" s="1"/>
    </row>
    <row r="412" ht="15.75" customHeight="1">
      <c r="L412" s="1"/>
      <c r="M412" s="1"/>
    </row>
    <row r="413" ht="15.75" customHeight="1">
      <c r="L413" s="1"/>
      <c r="M413" s="1"/>
    </row>
    <row r="414" ht="15.75" customHeight="1">
      <c r="L414" s="1"/>
      <c r="M414" s="1"/>
    </row>
    <row r="415" ht="15.75" customHeight="1">
      <c r="L415" s="1"/>
      <c r="M415" s="1"/>
    </row>
    <row r="416" ht="15.75" customHeight="1">
      <c r="L416" s="1"/>
      <c r="M416" s="1"/>
    </row>
    <row r="417" ht="15.75" customHeight="1">
      <c r="L417" s="1"/>
      <c r="M417" s="1"/>
    </row>
    <row r="418" ht="15.75" customHeight="1">
      <c r="L418" s="1"/>
      <c r="M418" s="1"/>
    </row>
    <row r="419" ht="15.75" customHeight="1">
      <c r="L419" s="1"/>
      <c r="M419" s="1"/>
    </row>
    <row r="420" ht="15.75" customHeight="1">
      <c r="L420" s="1"/>
      <c r="M420" s="1"/>
    </row>
    <row r="421" ht="15.75" customHeight="1">
      <c r="L421" s="1"/>
      <c r="M421" s="1"/>
    </row>
    <row r="422" ht="15.75" customHeight="1">
      <c r="L422" s="1"/>
      <c r="M422" s="1"/>
    </row>
    <row r="423" ht="15.75" customHeight="1">
      <c r="L423" s="1"/>
      <c r="M423" s="1"/>
    </row>
    <row r="424" ht="15.75" customHeight="1">
      <c r="L424" s="1"/>
      <c r="M424" s="1"/>
    </row>
    <row r="425" ht="15.75" customHeight="1">
      <c r="L425" s="1"/>
      <c r="M425" s="1"/>
    </row>
    <row r="426" ht="15.75" customHeight="1">
      <c r="L426" s="1"/>
      <c r="M426" s="1"/>
    </row>
    <row r="427" ht="15.75" customHeight="1">
      <c r="L427" s="1"/>
      <c r="M427" s="1"/>
    </row>
    <row r="428" ht="15.75" customHeight="1">
      <c r="L428" s="1"/>
      <c r="M428" s="1"/>
    </row>
    <row r="429" ht="15.75" customHeight="1">
      <c r="L429" s="1"/>
      <c r="M429" s="1"/>
    </row>
    <row r="430" ht="15.75" customHeight="1">
      <c r="L430" s="1"/>
      <c r="M430" s="1"/>
    </row>
    <row r="431" ht="15.75" customHeight="1">
      <c r="L431" s="1"/>
      <c r="M431" s="1"/>
    </row>
    <row r="432" ht="15.75" customHeight="1">
      <c r="L432" s="1"/>
      <c r="M432" s="1"/>
    </row>
    <row r="433" ht="15.75" customHeight="1">
      <c r="L433" s="1"/>
      <c r="M433" s="1"/>
    </row>
    <row r="434" ht="15.75" customHeight="1">
      <c r="L434" s="1"/>
      <c r="M434" s="1"/>
    </row>
    <row r="435" ht="15.75" customHeight="1">
      <c r="L435" s="1"/>
      <c r="M435" s="1"/>
    </row>
    <row r="436" ht="15.75" customHeight="1">
      <c r="L436" s="1"/>
      <c r="M436" s="1"/>
    </row>
    <row r="437" ht="15.75" customHeight="1">
      <c r="L437" s="1"/>
      <c r="M437" s="1"/>
    </row>
    <row r="438" ht="15.75" customHeight="1">
      <c r="L438" s="1"/>
      <c r="M438" s="1"/>
    </row>
    <row r="439" ht="15.75" customHeight="1">
      <c r="L439" s="1"/>
      <c r="M439" s="1"/>
    </row>
    <row r="440" ht="15.75" customHeight="1">
      <c r="L440" s="1"/>
      <c r="M440" s="1"/>
    </row>
    <row r="441" ht="15.75" customHeight="1">
      <c r="L441" s="1"/>
      <c r="M441" s="1"/>
    </row>
    <row r="442" ht="15.75" customHeight="1">
      <c r="L442" s="1"/>
      <c r="M442" s="1"/>
    </row>
    <row r="443" ht="15.75" customHeight="1">
      <c r="L443" s="1"/>
      <c r="M443" s="1"/>
    </row>
    <row r="444" ht="15.75" customHeight="1">
      <c r="L444" s="1"/>
      <c r="M444" s="1"/>
    </row>
    <row r="445" ht="15.75" customHeight="1">
      <c r="L445" s="1"/>
      <c r="M445" s="1"/>
    </row>
    <row r="446" ht="15.75" customHeight="1">
      <c r="L446" s="1"/>
      <c r="M446" s="1"/>
    </row>
    <row r="447" ht="15.75" customHeight="1">
      <c r="L447" s="1"/>
      <c r="M447" s="1"/>
    </row>
    <row r="448" ht="15.75" customHeight="1">
      <c r="L448" s="1"/>
      <c r="M448" s="1"/>
    </row>
    <row r="449" ht="15.75" customHeight="1">
      <c r="L449" s="1"/>
      <c r="M449" s="1"/>
    </row>
    <row r="450" ht="15.75" customHeight="1">
      <c r="L450" s="1"/>
      <c r="M450" s="1"/>
    </row>
    <row r="451" ht="15.75" customHeight="1">
      <c r="L451" s="1"/>
      <c r="M451" s="1"/>
    </row>
    <row r="452" ht="15.75" customHeight="1">
      <c r="L452" s="1"/>
      <c r="M452" s="1"/>
    </row>
    <row r="453" ht="15.75" customHeight="1">
      <c r="L453" s="1"/>
      <c r="M453" s="1"/>
    </row>
    <row r="454" ht="15.75" customHeight="1">
      <c r="L454" s="1"/>
      <c r="M454" s="1"/>
    </row>
    <row r="455" ht="15.75" customHeight="1">
      <c r="L455" s="1"/>
      <c r="M455" s="1"/>
    </row>
    <row r="456" ht="15.75" customHeight="1">
      <c r="L456" s="1"/>
      <c r="M456" s="1"/>
    </row>
    <row r="457" ht="15.75" customHeight="1">
      <c r="L457" s="1"/>
      <c r="M457" s="1"/>
    </row>
    <row r="458" ht="15.75" customHeight="1">
      <c r="L458" s="1"/>
      <c r="M458" s="1"/>
    </row>
    <row r="459" ht="15.75" customHeight="1">
      <c r="L459" s="1"/>
      <c r="M459" s="1"/>
    </row>
    <row r="460" ht="15.75" customHeight="1">
      <c r="L460" s="1"/>
      <c r="M460" s="1"/>
    </row>
    <row r="461" ht="15.75" customHeight="1">
      <c r="L461" s="1"/>
      <c r="M461" s="1"/>
    </row>
    <row r="462" ht="15.75" customHeight="1">
      <c r="L462" s="1"/>
      <c r="M462" s="1"/>
    </row>
    <row r="463" ht="15.75" customHeight="1">
      <c r="L463" s="1"/>
      <c r="M463" s="1"/>
    </row>
    <row r="464" ht="15.75" customHeight="1">
      <c r="L464" s="1"/>
      <c r="M464" s="1"/>
    </row>
    <row r="465" ht="15.75" customHeight="1">
      <c r="L465" s="1"/>
      <c r="M465" s="1"/>
    </row>
    <row r="466" ht="15.75" customHeight="1">
      <c r="L466" s="1"/>
      <c r="M466" s="1"/>
    </row>
    <row r="467" ht="15.75" customHeight="1">
      <c r="L467" s="1"/>
      <c r="M467" s="1"/>
    </row>
    <row r="468" ht="15.75" customHeight="1">
      <c r="L468" s="1"/>
      <c r="M468" s="1"/>
    </row>
    <row r="469" ht="15.75" customHeight="1">
      <c r="L469" s="1"/>
      <c r="M469" s="1"/>
    </row>
    <row r="470" ht="15.75" customHeight="1">
      <c r="L470" s="1"/>
      <c r="M470" s="1"/>
    </row>
    <row r="471" ht="15.75" customHeight="1">
      <c r="L471" s="1"/>
      <c r="M471" s="1"/>
    </row>
    <row r="472" ht="15.75" customHeight="1">
      <c r="L472" s="1"/>
      <c r="M472" s="1"/>
    </row>
    <row r="473" ht="15.75" customHeight="1">
      <c r="L473" s="1"/>
      <c r="M473" s="1"/>
    </row>
    <row r="474" ht="15.75" customHeight="1">
      <c r="L474" s="1"/>
      <c r="M474" s="1"/>
    </row>
    <row r="475" ht="15.75" customHeight="1">
      <c r="L475" s="1"/>
      <c r="M475" s="1"/>
    </row>
    <row r="476" ht="15.75" customHeight="1">
      <c r="L476" s="1"/>
      <c r="M476" s="1"/>
    </row>
    <row r="477" ht="15.75" customHeight="1">
      <c r="L477" s="1"/>
      <c r="M477" s="1"/>
    </row>
    <row r="478" ht="15.75" customHeight="1">
      <c r="L478" s="1"/>
      <c r="M478" s="1"/>
    </row>
    <row r="479" ht="15.75" customHeight="1">
      <c r="L479" s="1"/>
      <c r="M479" s="1"/>
    </row>
    <row r="480" ht="15.75" customHeight="1">
      <c r="L480" s="1"/>
      <c r="M480" s="1"/>
    </row>
    <row r="481" ht="15.75" customHeight="1">
      <c r="L481" s="1"/>
      <c r="M481" s="1"/>
    </row>
    <row r="482" ht="15.75" customHeight="1">
      <c r="L482" s="1"/>
      <c r="M482" s="1"/>
    </row>
    <row r="483" ht="15.75" customHeight="1">
      <c r="L483" s="1"/>
      <c r="M483" s="1"/>
    </row>
    <row r="484" ht="15.75" customHeight="1">
      <c r="L484" s="1"/>
      <c r="M484" s="1"/>
    </row>
    <row r="485" ht="15.75" customHeight="1">
      <c r="L485" s="1"/>
      <c r="M485" s="1"/>
    </row>
    <row r="486" ht="15.75" customHeight="1">
      <c r="L486" s="1"/>
      <c r="M486" s="1"/>
    </row>
    <row r="487" ht="15.75" customHeight="1">
      <c r="L487" s="1"/>
      <c r="M487" s="1"/>
    </row>
    <row r="488" ht="15.75" customHeight="1">
      <c r="L488" s="1"/>
      <c r="M488" s="1"/>
    </row>
    <row r="489" ht="15.75" customHeight="1">
      <c r="L489" s="1"/>
      <c r="M489" s="1"/>
    </row>
    <row r="490" ht="15.75" customHeight="1">
      <c r="L490" s="1"/>
      <c r="M490" s="1"/>
    </row>
    <row r="491" ht="15.75" customHeight="1">
      <c r="L491" s="1"/>
      <c r="M491" s="1"/>
    </row>
    <row r="492" ht="15.75" customHeight="1">
      <c r="L492" s="1"/>
      <c r="M492" s="1"/>
    </row>
    <row r="493" ht="15.75" customHeight="1">
      <c r="L493" s="1"/>
      <c r="M493" s="1"/>
    </row>
    <row r="494" ht="15.75" customHeight="1">
      <c r="L494" s="1"/>
      <c r="M494" s="1"/>
    </row>
    <row r="495" ht="15.75" customHeight="1">
      <c r="L495" s="1"/>
      <c r="M495" s="1"/>
    </row>
    <row r="496" ht="15.75" customHeight="1">
      <c r="L496" s="1"/>
      <c r="M496" s="1"/>
    </row>
    <row r="497" ht="15.75" customHeight="1">
      <c r="L497" s="1"/>
      <c r="M497" s="1"/>
    </row>
    <row r="498" ht="15.75" customHeight="1">
      <c r="L498" s="1"/>
      <c r="M498" s="1"/>
    </row>
    <row r="499" ht="15.75" customHeight="1">
      <c r="L499" s="1"/>
      <c r="M499" s="1"/>
    </row>
    <row r="500" ht="15.75" customHeight="1">
      <c r="L500" s="1"/>
      <c r="M500" s="1"/>
    </row>
    <row r="501" ht="15.75" customHeight="1">
      <c r="L501" s="1"/>
      <c r="M501" s="1"/>
    </row>
    <row r="502" ht="15.75" customHeight="1">
      <c r="L502" s="1"/>
      <c r="M502" s="1"/>
    </row>
    <row r="503" ht="15.75" customHeight="1">
      <c r="L503" s="1"/>
      <c r="M503" s="1"/>
    </row>
    <row r="504" ht="15.75" customHeight="1">
      <c r="L504" s="1"/>
      <c r="M504" s="1"/>
    </row>
    <row r="505" ht="15.75" customHeight="1">
      <c r="L505" s="1"/>
      <c r="M505" s="1"/>
    </row>
    <row r="506" ht="15.75" customHeight="1">
      <c r="L506" s="1"/>
      <c r="M506" s="1"/>
    </row>
    <row r="507" ht="15.75" customHeight="1">
      <c r="L507" s="1"/>
      <c r="M507" s="1"/>
    </row>
    <row r="508" ht="15.75" customHeight="1">
      <c r="L508" s="1"/>
      <c r="M508" s="1"/>
    </row>
    <row r="509" ht="15.75" customHeight="1">
      <c r="L509" s="1"/>
      <c r="M509" s="1"/>
    </row>
    <row r="510" ht="15.75" customHeight="1">
      <c r="L510" s="1"/>
      <c r="M510" s="1"/>
    </row>
    <row r="511" ht="15.75" customHeight="1">
      <c r="L511" s="1"/>
      <c r="M511" s="1"/>
    </row>
    <row r="512" ht="15.75" customHeight="1">
      <c r="L512" s="1"/>
      <c r="M512" s="1"/>
    </row>
    <row r="513" ht="15.75" customHeight="1">
      <c r="L513" s="1"/>
      <c r="M513" s="1"/>
    </row>
    <row r="514" ht="15.75" customHeight="1">
      <c r="L514" s="1"/>
      <c r="M514" s="1"/>
    </row>
    <row r="515" ht="15.75" customHeight="1">
      <c r="L515" s="1"/>
      <c r="M515" s="1"/>
    </row>
    <row r="516" ht="15.75" customHeight="1">
      <c r="L516" s="1"/>
      <c r="M516" s="1"/>
    </row>
    <row r="517" ht="15.75" customHeight="1">
      <c r="L517" s="1"/>
      <c r="M517" s="1"/>
    </row>
    <row r="518" ht="15.75" customHeight="1">
      <c r="L518" s="1"/>
      <c r="M518" s="1"/>
    </row>
    <row r="519" ht="15.75" customHeight="1">
      <c r="L519" s="1"/>
      <c r="M519" s="1"/>
    </row>
    <row r="520" ht="15.75" customHeight="1">
      <c r="L520" s="1"/>
      <c r="M520" s="1"/>
    </row>
    <row r="521" ht="15.75" customHeight="1">
      <c r="L521" s="1"/>
      <c r="M521" s="1"/>
    </row>
    <row r="522" ht="15.75" customHeight="1">
      <c r="L522" s="1"/>
      <c r="M522" s="1"/>
    </row>
    <row r="523" ht="15.75" customHeight="1">
      <c r="L523" s="1"/>
      <c r="M523" s="1"/>
    </row>
    <row r="524" ht="15.75" customHeight="1">
      <c r="L524" s="1"/>
      <c r="M524" s="1"/>
    </row>
    <row r="525" ht="15.75" customHeight="1">
      <c r="L525" s="1"/>
      <c r="M525" s="1"/>
    </row>
    <row r="526" ht="15.75" customHeight="1">
      <c r="L526" s="1"/>
      <c r="M526" s="1"/>
    </row>
    <row r="527" ht="15.75" customHeight="1">
      <c r="L527" s="1"/>
      <c r="M527" s="1"/>
    </row>
    <row r="528" ht="15.75" customHeight="1">
      <c r="L528" s="1"/>
      <c r="M528" s="1"/>
    </row>
    <row r="529" ht="15.75" customHeight="1">
      <c r="L529" s="1"/>
      <c r="M529" s="1"/>
    </row>
    <row r="530" ht="15.75" customHeight="1">
      <c r="L530" s="1"/>
      <c r="M530" s="1"/>
    </row>
    <row r="531" ht="15.75" customHeight="1">
      <c r="L531" s="1"/>
      <c r="M531" s="1"/>
    </row>
    <row r="532" ht="15.75" customHeight="1">
      <c r="L532" s="1"/>
      <c r="M532" s="1"/>
    </row>
    <row r="533" ht="15.75" customHeight="1">
      <c r="L533" s="1"/>
      <c r="M533" s="1"/>
    </row>
    <row r="534" ht="15.75" customHeight="1">
      <c r="L534" s="1"/>
      <c r="M534" s="1"/>
    </row>
    <row r="535" ht="15.75" customHeight="1">
      <c r="L535" s="1"/>
      <c r="M535" s="1"/>
    </row>
    <row r="536" ht="15.75" customHeight="1">
      <c r="L536" s="1"/>
      <c r="M536" s="1"/>
    </row>
    <row r="537" ht="15.75" customHeight="1">
      <c r="L537" s="1"/>
      <c r="M537" s="1"/>
    </row>
    <row r="538" ht="15.75" customHeight="1">
      <c r="L538" s="1"/>
      <c r="M538" s="1"/>
    </row>
    <row r="539" ht="15.75" customHeight="1">
      <c r="L539" s="1"/>
      <c r="M539" s="1"/>
    </row>
    <row r="540" ht="15.75" customHeight="1">
      <c r="L540" s="1"/>
      <c r="M540" s="1"/>
    </row>
    <row r="541" ht="15.75" customHeight="1">
      <c r="L541" s="1"/>
      <c r="M541" s="1"/>
    </row>
    <row r="542" ht="15.75" customHeight="1">
      <c r="L542" s="1"/>
      <c r="M542" s="1"/>
    </row>
    <row r="543" ht="15.75" customHeight="1">
      <c r="L543" s="1"/>
      <c r="M543" s="1"/>
    </row>
    <row r="544" ht="15.75" customHeight="1">
      <c r="L544" s="1"/>
      <c r="M544" s="1"/>
    </row>
    <row r="545" ht="15.75" customHeight="1">
      <c r="L545" s="1"/>
      <c r="M545" s="1"/>
    </row>
    <row r="546" ht="15.75" customHeight="1">
      <c r="L546" s="1"/>
      <c r="M546" s="1"/>
    </row>
    <row r="547" ht="15.75" customHeight="1">
      <c r="L547" s="1"/>
      <c r="M547" s="1"/>
    </row>
    <row r="548" ht="15.75" customHeight="1">
      <c r="L548" s="1"/>
      <c r="M548" s="1"/>
    </row>
    <row r="549" ht="15.75" customHeight="1">
      <c r="L549" s="1"/>
      <c r="M549" s="1"/>
    </row>
    <row r="550" ht="15.75" customHeight="1">
      <c r="L550" s="1"/>
      <c r="M550" s="1"/>
    </row>
    <row r="551" ht="15.75" customHeight="1">
      <c r="L551" s="1"/>
      <c r="M551" s="1"/>
    </row>
    <row r="552" ht="15.75" customHeight="1">
      <c r="L552" s="1"/>
      <c r="M552" s="1"/>
    </row>
    <row r="553" ht="15.75" customHeight="1">
      <c r="L553" s="1"/>
      <c r="M553" s="1"/>
    </row>
    <row r="554" ht="15.75" customHeight="1">
      <c r="L554" s="1"/>
      <c r="M554" s="1"/>
    </row>
    <row r="555" ht="15.75" customHeight="1">
      <c r="L555" s="1"/>
      <c r="M555" s="1"/>
    </row>
    <row r="556" ht="15.75" customHeight="1">
      <c r="L556" s="1"/>
      <c r="M556" s="1"/>
    </row>
    <row r="557" ht="15.75" customHeight="1">
      <c r="L557" s="1"/>
      <c r="M557" s="1"/>
    </row>
    <row r="558" ht="15.75" customHeight="1">
      <c r="L558" s="1"/>
      <c r="M558" s="1"/>
    </row>
    <row r="559" ht="15.75" customHeight="1">
      <c r="L559" s="1"/>
      <c r="M559" s="1"/>
    </row>
    <row r="560" ht="15.75" customHeight="1">
      <c r="L560" s="1"/>
      <c r="M560" s="1"/>
    </row>
    <row r="561" ht="15.75" customHeight="1">
      <c r="L561" s="1"/>
      <c r="M561" s="1"/>
    </row>
    <row r="562" ht="15.75" customHeight="1">
      <c r="L562" s="1"/>
      <c r="M562" s="1"/>
    </row>
    <row r="563" ht="15.75" customHeight="1">
      <c r="L563" s="1"/>
      <c r="M563" s="1"/>
    </row>
    <row r="564" ht="15.75" customHeight="1">
      <c r="L564" s="1"/>
      <c r="M564" s="1"/>
    </row>
    <row r="565" ht="15.75" customHeight="1">
      <c r="L565" s="1"/>
      <c r="M565" s="1"/>
    </row>
    <row r="566" ht="15.75" customHeight="1">
      <c r="L566" s="1"/>
      <c r="M566" s="1"/>
    </row>
    <row r="567" ht="15.75" customHeight="1">
      <c r="L567" s="1"/>
      <c r="M567" s="1"/>
    </row>
    <row r="568" ht="15.75" customHeight="1">
      <c r="L568" s="1"/>
      <c r="M568" s="1"/>
    </row>
    <row r="569" ht="15.75" customHeight="1">
      <c r="L569" s="1"/>
      <c r="M569" s="1"/>
    </row>
    <row r="570" ht="15.75" customHeight="1">
      <c r="L570" s="1"/>
      <c r="M570" s="1"/>
    </row>
    <row r="571" ht="15.75" customHeight="1">
      <c r="L571" s="1"/>
      <c r="M571" s="1"/>
    </row>
    <row r="572" ht="15.75" customHeight="1">
      <c r="L572" s="1"/>
      <c r="M572" s="1"/>
    </row>
    <row r="573" ht="15.75" customHeight="1">
      <c r="L573" s="1"/>
      <c r="M573" s="1"/>
    </row>
    <row r="574" ht="15.75" customHeight="1">
      <c r="L574" s="1"/>
      <c r="M574" s="1"/>
    </row>
    <row r="575" ht="15.75" customHeight="1">
      <c r="L575" s="1"/>
      <c r="M575" s="1"/>
    </row>
    <row r="576" ht="15.75" customHeight="1">
      <c r="L576" s="1"/>
      <c r="M576" s="1"/>
    </row>
    <row r="577" ht="15.75" customHeight="1">
      <c r="L577" s="1"/>
      <c r="M577" s="1"/>
    </row>
    <row r="578" ht="15.75" customHeight="1">
      <c r="L578" s="1"/>
      <c r="M578" s="1"/>
    </row>
    <row r="579" ht="15.75" customHeight="1">
      <c r="L579" s="1"/>
      <c r="M579" s="1"/>
    </row>
    <row r="580" ht="15.75" customHeight="1">
      <c r="L580" s="1"/>
      <c r="M580" s="1"/>
    </row>
    <row r="581" ht="15.75" customHeight="1">
      <c r="L581" s="1"/>
      <c r="M581" s="1"/>
    </row>
    <row r="582" ht="15.75" customHeight="1">
      <c r="L582" s="1"/>
      <c r="M582" s="1"/>
    </row>
    <row r="583" ht="15.75" customHeight="1">
      <c r="L583" s="1"/>
      <c r="M583" s="1"/>
    </row>
    <row r="584" ht="15.75" customHeight="1">
      <c r="L584" s="1"/>
      <c r="M584" s="1"/>
    </row>
    <row r="585" ht="15.75" customHeight="1">
      <c r="L585" s="1"/>
      <c r="M585" s="1"/>
    </row>
    <row r="586" ht="15.75" customHeight="1">
      <c r="L586" s="1"/>
      <c r="M586" s="1"/>
    </row>
    <row r="587" ht="15.75" customHeight="1">
      <c r="L587" s="1"/>
      <c r="M587" s="1"/>
    </row>
    <row r="588" ht="15.75" customHeight="1">
      <c r="L588" s="1"/>
      <c r="M588" s="1"/>
    </row>
    <row r="589" ht="15.75" customHeight="1">
      <c r="L589" s="1"/>
      <c r="M589" s="1"/>
    </row>
    <row r="590" ht="15.75" customHeight="1">
      <c r="L590" s="1"/>
      <c r="M590" s="1"/>
    </row>
    <row r="591" ht="15.75" customHeight="1">
      <c r="L591" s="1"/>
      <c r="M591" s="1"/>
    </row>
    <row r="592" ht="15.75" customHeight="1">
      <c r="L592" s="1"/>
      <c r="M592" s="1"/>
    </row>
    <row r="593" ht="15.75" customHeight="1">
      <c r="L593" s="1"/>
      <c r="M593" s="1"/>
    </row>
    <row r="594" ht="15.75" customHeight="1">
      <c r="L594" s="1"/>
      <c r="M594" s="1"/>
    </row>
    <row r="595" ht="15.75" customHeight="1">
      <c r="L595" s="1"/>
      <c r="M595" s="1"/>
    </row>
    <row r="596" ht="15.75" customHeight="1">
      <c r="L596" s="1"/>
      <c r="M596" s="1"/>
    </row>
    <row r="597" ht="15.75" customHeight="1">
      <c r="L597" s="1"/>
      <c r="M597" s="1"/>
    </row>
    <row r="598" ht="15.75" customHeight="1">
      <c r="L598" s="1"/>
      <c r="M598" s="1"/>
    </row>
    <row r="599" ht="15.75" customHeight="1">
      <c r="L599" s="1"/>
      <c r="M599" s="1"/>
    </row>
    <row r="600" ht="15.75" customHeight="1">
      <c r="L600" s="1"/>
      <c r="M600" s="1"/>
    </row>
    <row r="601" ht="15.75" customHeight="1">
      <c r="L601" s="1"/>
      <c r="M601" s="1"/>
    </row>
    <row r="602" ht="15.75" customHeight="1">
      <c r="L602" s="1"/>
      <c r="M602" s="1"/>
    </row>
    <row r="603" ht="15.75" customHeight="1">
      <c r="L603" s="1"/>
      <c r="M603" s="1"/>
    </row>
    <row r="604" ht="15.75" customHeight="1">
      <c r="L604" s="1"/>
      <c r="M604" s="1"/>
    </row>
    <row r="605" ht="15.75" customHeight="1">
      <c r="L605" s="1"/>
      <c r="M605" s="1"/>
    </row>
    <row r="606" ht="15.75" customHeight="1">
      <c r="L606" s="1"/>
      <c r="M606" s="1"/>
    </row>
    <row r="607" ht="15.75" customHeight="1">
      <c r="L607" s="1"/>
      <c r="M607" s="1"/>
    </row>
    <row r="608" ht="15.75" customHeight="1">
      <c r="L608" s="1"/>
      <c r="M608" s="1"/>
    </row>
    <row r="609" ht="15.75" customHeight="1">
      <c r="L609" s="1"/>
      <c r="M609" s="1"/>
    </row>
    <row r="610" ht="15.75" customHeight="1">
      <c r="L610" s="1"/>
      <c r="M610" s="1"/>
    </row>
    <row r="611" ht="15.75" customHeight="1">
      <c r="L611" s="1"/>
      <c r="M611" s="1"/>
    </row>
    <row r="612" ht="15.75" customHeight="1">
      <c r="L612" s="1"/>
      <c r="M612" s="1"/>
    </row>
    <row r="613" ht="15.75" customHeight="1">
      <c r="L613" s="1"/>
      <c r="M613" s="1"/>
    </row>
    <row r="614" ht="15.75" customHeight="1">
      <c r="L614" s="1"/>
      <c r="M614" s="1"/>
    </row>
    <row r="615" ht="15.75" customHeight="1">
      <c r="L615" s="1"/>
      <c r="M615" s="1"/>
    </row>
    <row r="616" ht="15.75" customHeight="1">
      <c r="L616" s="1"/>
      <c r="M616" s="1"/>
    </row>
    <row r="617" ht="15.75" customHeight="1">
      <c r="L617" s="1"/>
      <c r="M617" s="1"/>
    </row>
    <row r="618" ht="15.75" customHeight="1">
      <c r="L618" s="1"/>
      <c r="M618" s="1"/>
    </row>
    <row r="619" ht="15.75" customHeight="1">
      <c r="L619" s="1"/>
      <c r="M619" s="1"/>
    </row>
    <row r="620" ht="15.75" customHeight="1">
      <c r="L620" s="1"/>
      <c r="M620" s="1"/>
    </row>
    <row r="621" ht="15.75" customHeight="1">
      <c r="L621" s="1"/>
      <c r="M621" s="1"/>
    </row>
    <row r="622" ht="15.75" customHeight="1">
      <c r="L622" s="1"/>
      <c r="M622" s="1"/>
    </row>
    <row r="623" ht="15.75" customHeight="1">
      <c r="L623" s="1"/>
      <c r="M623" s="1"/>
    </row>
    <row r="624" ht="15.75" customHeight="1">
      <c r="L624" s="1"/>
      <c r="M624" s="1"/>
    </row>
    <row r="625" ht="15.75" customHeight="1">
      <c r="L625" s="1"/>
      <c r="M625" s="1"/>
    </row>
    <row r="626" ht="15.75" customHeight="1">
      <c r="L626" s="1"/>
      <c r="M626" s="1"/>
    </row>
    <row r="627" ht="15.75" customHeight="1">
      <c r="L627" s="1"/>
      <c r="M627" s="1"/>
    </row>
    <row r="628" ht="15.75" customHeight="1">
      <c r="L628" s="1"/>
      <c r="M628" s="1"/>
    </row>
    <row r="629" ht="15.75" customHeight="1">
      <c r="L629" s="1"/>
      <c r="M629" s="1"/>
    </row>
    <row r="630" ht="15.75" customHeight="1">
      <c r="L630" s="1"/>
      <c r="M630" s="1"/>
    </row>
    <row r="631" ht="15.75" customHeight="1">
      <c r="L631" s="1"/>
      <c r="M631" s="1"/>
    </row>
    <row r="632" ht="15.75" customHeight="1">
      <c r="L632" s="1"/>
      <c r="M632" s="1"/>
    </row>
    <row r="633" ht="15.75" customHeight="1">
      <c r="L633" s="1"/>
      <c r="M633" s="1"/>
    </row>
    <row r="634" ht="15.75" customHeight="1">
      <c r="L634" s="1"/>
      <c r="M634" s="1"/>
    </row>
    <row r="635" ht="15.75" customHeight="1">
      <c r="L635" s="1"/>
      <c r="M635" s="1"/>
    </row>
    <row r="636" ht="15.75" customHeight="1">
      <c r="L636" s="1"/>
      <c r="M636" s="1"/>
    </row>
    <row r="637" ht="15.75" customHeight="1">
      <c r="L637" s="1"/>
      <c r="M637" s="1"/>
    </row>
    <row r="638" ht="15.75" customHeight="1">
      <c r="L638" s="1"/>
      <c r="M638" s="1"/>
    </row>
    <row r="639" ht="15.75" customHeight="1">
      <c r="L639" s="1"/>
      <c r="M639" s="1"/>
    </row>
    <row r="640" ht="15.75" customHeight="1">
      <c r="L640" s="1"/>
      <c r="M640" s="1"/>
    </row>
    <row r="641" ht="15.75" customHeight="1">
      <c r="L641" s="1"/>
      <c r="M641" s="1"/>
    </row>
    <row r="642" ht="15.75" customHeight="1">
      <c r="L642" s="1"/>
      <c r="M642" s="1"/>
    </row>
    <row r="643" ht="15.75" customHeight="1">
      <c r="L643" s="1"/>
      <c r="M643" s="1"/>
    </row>
    <row r="644" ht="15.75" customHeight="1">
      <c r="L644" s="1"/>
      <c r="M644" s="1"/>
    </row>
    <row r="645" ht="15.75" customHeight="1">
      <c r="L645" s="1"/>
      <c r="M645" s="1"/>
    </row>
    <row r="646" ht="15.75" customHeight="1">
      <c r="L646" s="1"/>
      <c r="M646" s="1"/>
    </row>
    <row r="647" ht="15.75" customHeight="1">
      <c r="L647" s="1"/>
      <c r="M647" s="1"/>
    </row>
    <row r="648" ht="15.75" customHeight="1">
      <c r="L648" s="1"/>
      <c r="M648" s="1"/>
    </row>
    <row r="649" ht="15.75" customHeight="1">
      <c r="L649" s="1"/>
      <c r="M649" s="1"/>
    </row>
    <row r="650" ht="15.75" customHeight="1">
      <c r="L650" s="1"/>
      <c r="M650" s="1"/>
    </row>
    <row r="651" ht="15.75" customHeight="1">
      <c r="L651" s="1"/>
      <c r="M651" s="1"/>
    </row>
    <row r="652" ht="15.75" customHeight="1">
      <c r="L652" s="1"/>
      <c r="M652" s="1"/>
    </row>
    <row r="653" ht="15.75" customHeight="1">
      <c r="L653" s="1"/>
      <c r="M653" s="1"/>
    </row>
    <row r="654" ht="15.75" customHeight="1">
      <c r="L654" s="1"/>
      <c r="M654" s="1"/>
    </row>
    <row r="655" ht="15.75" customHeight="1">
      <c r="L655" s="1"/>
      <c r="M655" s="1"/>
    </row>
    <row r="656" ht="15.75" customHeight="1">
      <c r="L656" s="1"/>
      <c r="M656" s="1"/>
    </row>
    <row r="657" ht="15.75" customHeight="1">
      <c r="L657" s="1"/>
      <c r="M657" s="1"/>
    </row>
    <row r="658" ht="15.75" customHeight="1">
      <c r="L658" s="1"/>
      <c r="M658" s="1"/>
    </row>
    <row r="659" ht="15.75" customHeight="1">
      <c r="L659" s="1"/>
      <c r="M659" s="1"/>
    </row>
    <row r="660" ht="15.75" customHeight="1">
      <c r="L660" s="1"/>
      <c r="M660" s="1"/>
    </row>
    <row r="661" ht="15.75" customHeight="1">
      <c r="L661" s="1"/>
      <c r="M661" s="1"/>
    </row>
    <row r="662" ht="15.75" customHeight="1">
      <c r="L662" s="1"/>
      <c r="M662" s="1"/>
    </row>
    <row r="663" ht="15.75" customHeight="1">
      <c r="L663" s="1"/>
      <c r="M663" s="1"/>
    </row>
    <row r="664" ht="15.75" customHeight="1">
      <c r="L664" s="1"/>
      <c r="M664" s="1"/>
    </row>
    <row r="665" ht="15.75" customHeight="1">
      <c r="L665" s="1"/>
      <c r="M665" s="1"/>
    </row>
    <row r="666" ht="15.75" customHeight="1">
      <c r="L666" s="1"/>
      <c r="M666" s="1"/>
    </row>
    <row r="667" ht="15.75" customHeight="1">
      <c r="L667" s="1"/>
      <c r="M667" s="1"/>
    </row>
    <row r="668" ht="15.75" customHeight="1">
      <c r="L668" s="1"/>
      <c r="M668" s="1"/>
    </row>
    <row r="669" ht="15.75" customHeight="1">
      <c r="L669" s="1"/>
      <c r="M669" s="1"/>
    </row>
    <row r="670" ht="15.75" customHeight="1">
      <c r="L670" s="1"/>
      <c r="M670" s="1"/>
    </row>
    <row r="671" ht="15.75" customHeight="1">
      <c r="L671" s="1"/>
      <c r="M671" s="1"/>
    </row>
    <row r="672" ht="15.75" customHeight="1">
      <c r="L672" s="1"/>
      <c r="M672" s="1"/>
    </row>
    <row r="673" ht="15.75" customHeight="1">
      <c r="L673" s="1"/>
      <c r="M673" s="1"/>
    </row>
    <row r="674" ht="15.75" customHeight="1">
      <c r="L674" s="1"/>
      <c r="M674" s="1"/>
    </row>
    <row r="675" ht="15.75" customHeight="1">
      <c r="L675" s="1"/>
      <c r="M675" s="1"/>
    </row>
    <row r="676" ht="15.75" customHeight="1">
      <c r="L676" s="1"/>
      <c r="M676" s="1"/>
    </row>
    <row r="677" ht="15.75" customHeight="1">
      <c r="L677" s="1"/>
      <c r="M677" s="1"/>
    </row>
    <row r="678" ht="15.75" customHeight="1">
      <c r="L678" s="1"/>
      <c r="M678" s="1"/>
    </row>
    <row r="679" ht="15.75" customHeight="1">
      <c r="L679" s="1"/>
      <c r="M679" s="1"/>
    </row>
    <row r="680" ht="15.75" customHeight="1">
      <c r="L680" s="1"/>
      <c r="M680" s="1"/>
    </row>
    <row r="681" ht="15.75" customHeight="1">
      <c r="L681" s="1"/>
      <c r="M681" s="1"/>
    </row>
    <row r="682" ht="15.75" customHeight="1">
      <c r="L682" s="1"/>
      <c r="M682" s="1"/>
    </row>
    <row r="683" ht="15.75" customHeight="1">
      <c r="L683" s="1"/>
      <c r="M683" s="1"/>
    </row>
    <row r="684" ht="15.75" customHeight="1">
      <c r="L684" s="1"/>
      <c r="M684" s="1"/>
    </row>
    <row r="685" ht="15.75" customHeight="1">
      <c r="L685" s="1"/>
      <c r="M685" s="1"/>
    </row>
    <row r="686" ht="15.75" customHeight="1">
      <c r="L686" s="1"/>
      <c r="M686" s="1"/>
    </row>
    <row r="687" ht="15.75" customHeight="1">
      <c r="L687" s="1"/>
      <c r="M687" s="1"/>
    </row>
    <row r="688" ht="15.75" customHeight="1">
      <c r="L688" s="1"/>
      <c r="M688" s="1"/>
    </row>
    <row r="689" ht="15.75" customHeight="1">
      <c r="L689" s="1"/>
      <c r="M689" s="1"/>
    </row>
    <row r="690" ht="15.75" customHeight="1">
      <c r="L690" s="1"/>
      <c r="M690" s="1"/>
    </row>
    <row r="691" ht="15.75" customHeight="1">
      <c r="L691" s="1"/>
      <c r="M691" s="1"/>
    </row>
    <row r="692" ht="15.75" customHeight="1">
      <c r="L692" s="1"/>
      <c r="M692" s="1"/>
    </row>
    <row r="693" ht="15.75" customHeight="1">
      <c r="L693" s="1"/>
      <c r="M693" s="1"/>
    </row>
    <row r="694" ht="15.75" customHeight="1">
      <c r="L694" s="1"/>
      <c r="M694" s="1"/>
    </row>
    <row r="695" ht="15.75" customHeight="1">
      <c r="L695" s="1"/>
      <c r="M695" s="1"/>
    </row>
    <row r="696" ht="15.75" customHeight="1">
      <c r="L696" s="1"/>
      <c r="M696" s="1"/>
    </row>
    <row r="697" ht="15.75" customHeight="1">
      <c r="L697" s="1"/>
      <c r="M697" s="1"/>
    </row>
    <row r="698" ht="15.75" customHeight="1">
      <c r="L698" s="1"/>
      <c r="M698" s="1"/>
    </row>
    <row r="699" ht="15.75" customHeight="1">
      <c r="L699" s="1"/>
      <c r="M699" s="1"/>
    </row>
    <row r="700" ht="15.75" customHeight="1">
      <c r="L700" s="1"/>
      <c r="M700" s="1"/>
    </row>
    <row r="701" ht="15.75" customHeight="1">
      <c r="L701" s="1"/>
      <c r="M701" s="1"/>
    </row>
    <row r="702" ht="15.75" customHeight="1">
      <c r="L702" s="1"/>
      <c r="M702" s="1"/>
    </row>
    <row r="703" ht="15.75" customHeight="1">
      <c r="L703" s="1"/>
      <c r="M703" s="1"/>
    </row>
    <row r="704" ht="15.75" customHeight="1">
      <c r="L704" s="1"/>
      <c r="M704" s="1"/>
    </row>
    <row r="705" ht="15.75" customHeight="1">
      <c r="L705" s="1"/>
      <c r="M705" s="1"/>
    </row>
    <row r="706" ht="15.75" customHeight="1">
      <c r="L706" s="1"/>
      <c r="M706" s="1"/>
    </row>
    <row r="707" ht="15.75" customHeight="1">
      <c r="L707" s="1"/>
      <c r="M707" s="1"/>
    </row>
    <row r="708" ht="15.75" customHeight="1">
      <c r="L708" s="1"/>
      <c r="M708" s="1"/>
    </row>
    <row r="709" ht="15.75" customHeight="1">
      <c r="L709" s="1"/>
      <c r="M709" s="1"/>
    </row>
    <row r="710" ht="15.75" customHeight="1">
      <c r="L710" s="1"/>
      <c r="M710" s="1"/>
    </row>
    <row r="711" ht="15.75" customHeight="1">
      <c r="L711" s="1"/>
      <c r="M711" s="1"/>
    </row>
    <row r="712" ht="15.75" customHeight="1">
      <c r="L712" s="1"/>
      <c r="M712" s="1"/>
    </row>
    <row r="713" ht="15.75" customHeight="1">
      <c r="L713" s="1"/>
      <c r="M713" s="1"/>
    </row>
    <row r="714" ht="15.75" customHeight="1">
      <c r="L714" s="1"/>
      <c r="M714" s="1"/>
    </row>
    <row r="715" ht="15.75" customHeight="1">
      <c r="L715" s="1"/>
      <c r="M715" s="1"/>
    </row>
    <row r="716" ht="15.75" customHeight="1">
      <c r="L716" s="1"/>
      <c r="M716" s="1"/>
    </row>
    <row r="717" ht="15.75" customHeight="1">
      <c r="L717" s="1"/>
      <c r="M717" s="1"/>
    </row>
    <row r="718" ht="15.75" customHeight="1">
      <c r="L718" s="1"/>
      <c r="M718" s="1"/>
    </row>
    <row r="719" ht="15.75" customHeight="1">
      <c r="L719" s="1"/>
      <c r="M719" s="1"/>
    </row>
    <row r="720" ht="15.75" customHeight="1">
      <c r="L720" s="1"/>
      <c r="M720" s="1"/>
    </row>
    <row r="721" ht="15.75" customHeight="1">
      <c r="L721" s="1"/>
      <c r="M721" s="1"/>
    </row>
    <row r="722" ht="15.75" customHeight="1">
      <c r="L722" s="1"/>
      <c r="M722" s="1"/>
    </row>
    <row r="723" ht="15.75" customHeight="1">
      <c r="L723" s="1"/>
      <c r="M723" s="1"/>
    </row>
    <row r="724" ht="15.75" customHeight="1">
      <c r="L724" s="1"/>
      <c r="M724" s="1"/>
    </row>
    <row r="725" ht="15.75" customHeight="1">
      <c r="L725" s="1"/>
      <c r="M725" s="1"/>
    </row>
    <row r="726" ht="15.75" customHeight="1">
      <c r="L726" s="1"/>
      <c r="M726" s="1"/>
    </row>
    <row r="727" ht="15.75" customHeight="1">
      <c r="L727" s="1"/>
      <c r="M727" s="1"/>
    </row>
    <row r="728" ht="15.75" customHeight="1">
      <c r="L728" s="1"/>
      <c r="M728" s="1"/>
    </row>
    <row r="729" ht="15.75" customHeight="1">
      <c r="L729" s="1"/>
      <c r="M729" s="1"/>
    </row>
    <row r="730" ht="15.75" customHeight="1">
      <c r="L730" s="1"/>
      <c r="M730" s="1"/>
    </row>
    <row r="731" ht="15.75" customHeight="1">
      <c r="L731" s="1"/>
      <c r="M731" s="1"/>
    </row>
    <row r="732" ht="15.75" customHeight="1">
      <c r="L732" s="1"/>
      <c r="M732" s="1"/>
    </row>
    <row r="733" ht="15.75" customHeight="1">
      <c r="L733" s="1"/>
      <c r="M733" s="1"/>
    </row>
    <row r="734" ht="15.75" customHeight="1">
      <c r="L734" s="1"/>
      <c r="M734" s="1"/>
    </row>
    <row r="735" ht="15.75" customHeight="1">
      <c r="L735" s="1"/>
      <c r="M735" s="1"/>
    </row>
    <row r="736" ht="15.75" customHeight="1">
      <c r="L736" s="1"/>
      <c r="M736" s="1"/>
    </row>
    <row r="737" ht="15.75" customHeight="1">
      <c r="L737" s="1"/>
      <c r="M737" s="1"/>
    </row>
    <row r="738" ht="15.75" customHeight="1">
      <c r="L738" s="1"/>
      <c r="M738" s="1"/>
    </row>
    <row r="739" ht="15.75" customHeight="1">
      <c r="L739" s="1"/>
      <c r="M739" s="1"/>
    </row>
    <row r="740" ht="15.75" customHeight="1">
      <c r="L740" s="1"/>
      <c r="M740" s="1"/>
    </row>
    <row r="741" ht="15.75" customHeight="1">
      <c r="L741" s="1"/>
      <c r="M741" s="1"/>
    </row>
    <row r="742" ht="15.75" customHeight="1">
      <c r="L742" s="1"/>
      <c r="M742" s="1"/>
    </row>
    <row r="743" ht="15.75" customHeight="1">
      <c r="L743" s="1"/>
      <c r="M743" s="1"/>
    </row>
    <row r="744" ht="15.75" customHeight="1">
      <c r="L744" s="1"/>
      <c r="M744" s="1"/>
    </row>
    <row r="745" ht="15.75" customHeight="1">
      <c r="L745" s="1"/>
      <c r="M745" s="1"/>
    </row>
    <row r="746" ht="15.75" customHeight="1">
      <c r="L746" s="1"/>
      <c r="M746" s="1"/>
    </row>
    <row r="747" ht="15.75" customHeight="1">
      <c r="L747" s="1"/>
      <c r="M747" s="1"/>
    </row>
    <row r="748" ht="15.75" customHeight="1">
      <c r="L748" s="1"/>
      <c r="M748" s="1"/>
    </row>
    <row r="749" ht="15.75" customHeight="1">
      <c r="L749" s="1"/>
      <c r="M749" s="1"/>
    </row>
    <row r="750" ht="15.75" customHeight="1">
      <c r="L750" s="1"/>
      <c r="M750" s="1"/>
    </row>
    <row r="751" ht="15.75" customHeight="1">
      <c r="L751" s="1"/>
      <c r="M751" s="1"/>
    </row>
    <row r="752" ht="15.75" customHeight="1">
      <c r="L752" s="1"/>
      <c r="M752" s="1"/>
    </row>
    <row r="753" ht="15.75" customHeight="1">
      <c r="L753" s="1"/>
      <c r="M753" s="1"/>
    </row>
    <row r="754" ht="15.75" customHeight="1">
      <c r="L754" s="1"/>
      <c r="M754" s="1"/>
    </row>
    <row r="755" ht="15.75" customHeight="1">
      <c r="L755" s="1"/>
      <c r="M755" s="1"/>
    </row>
    <row r="756" ht="15.75" customHeight="1">
      <c r="L756" s="1"/>
      <c r="M756" s="1"/>
    </row>
    <row r="757" ht="15.75" customHeight="1">
      <c r="L757" s="1"/>
      <c r="M757" s="1"/>
    </row>
    <row r="758" ht="15.75" customHeight="1">
      <c r="L758" s="1"/>
      <c r="M758" s="1"/>
    </row>
    <row r="759" ht="15.75" customHeight="1">
      <c r="L759" s="1"/>
      <c r="M759" s="1"/>
    </row>
    <row r="760" ht="15.75" customHeight="1">
      <c r="L760" s="1"/>
      <c r="M760" s="1"/>
    </row>
    <row r="761" ht="15.75" customHeight="1">
      <c r="L761" s="1"/>
      <c r="M761" s="1"/>
    </row>
    <row r="762" ht="15.75" customHeight="1">
      <c r="L762" s="1"/>
      <c r="M762" s="1"/>
    </row>
    <row r="763" ht="15.75" customHeight="1">
      <c r="L763" s="1"/>
      <c r="M763" s="1"/>
    </row>
    <row r="764" ht="15.75" customHeight="1">
      <c r="L764" s="1"/>
      <c r="M764" s="1"/>
    </row>
    <row r="765" ht="15.75" customHeight="1">
      <c r="L765" s="1"/>
      <c r="M765" s="1"/>
    </row>
    <row r="766" ht="15.75" customHeight="1">
      <c r="L766" s="1"/>
      <c r="M766" s="1"/>
    </row>
    <row r="767" ht="15.75" customHeight="1">
      <c r="L767" s="1"/>
      <c r="M767" s="1"/>
    </row>
    <row r="768" ht="15.75" customHeight="1">
      <c r="L768" s="1"/>
      <c r="M768" s="1"/>
    </row>
    <row r="769" ht="15.75" customHeight="1">
      <c r="L769" s="1"/>
      <c r="M769" s="1"/>
    </row>
    <row r="770" ht="15.75" customHeight="1">
      <c r="L770" s="1"/>
      <c r="M770" s="1"/>
    </row>
    <row r="771" ht="15.75" customHeight="1">
      <c r="L771" s="1"/>
      <c r="M771" s="1"/>
    </row>
    <row r="772" ht="15.75" customHeight="1">
      <c r="L772" s="1"/>
      <c r="M772" s="1"/>
    </row>
    <row r="773" ht="15.75" customHeight="1">
      <c r="L773" s="1"/>
      <c r="M773" s="1"/>
    </row>
    <row r="774" ht="15.75" customHeight="1">
      <c r="L774" s="1"/>
      <c r="M774" s="1"/>
    </row>
    <row r="775" ht="15.75" customHeight="1">
      <c r="L775" s="1"/>
      <c r="M775" s="1"/>
    </row>
    <row r="776" ht="15.75" customHeight="1">
      <c r="L776" s="1"/>
      <c r="M776" s="1"/>
    </row>
    <row r="777" ht="15.75" customHeight="1">
      <c r="L777" s="1"/>
      <c r="M777" s="1"/>
    </row>
    <row r="778" ht="15.75" customHeight="1">
      <c r="L778" s="1"/>
      <c r="M778" s="1"/>
    </row>
    <row r="779" ht="15.75" customHeight="1">
      <c r="L779" s="1"/>
      <c r="M779" s="1"/>
    </row>
    <row r="780" ht="15.75" customHeight="1">
      <c r="L780" s="1"/>
      <c r="M780" s="1"/>
    </row>
    <row r="781" ht="15.75" customHeight="1">
      <c r="L781" s="1"/>
      <c r="M781" s="1"/>
    </row>
    <row r="782" ht="15.75" customHeight="1">
      <c r="L782" s="1"/>
      <c r="M782" s="1"/>
    </row>
    <row r="783" ht="15.75" customHeight="1">
      <c r="L783" s="1"/>
      <c r="M783" s="1"/>
    </row>
    <row r="784" ht="15.75" customHeight="1">
      <c r="L784" s="1"/>
      <c r="M784" s="1"/>
    </row>
    <row r="785" ht="15.75" customHeight="1">
      <c r="L785" s="1"/>
      <c r="M785" s="1"/>
    </row>
    <row r="786" ht="15.75" customHeight="1">
      <c r="L786" s="1"/>
      <c r="M786" s="1"/>
    </row>
    <row r="787" ht="15.75" customHeight="1">
      <c r="L787" s="1"/>
      <c r="M787" s="1"/>
    </row>
    <row r="788" ht="15.75" customHeight="1">
      <c r="L788" s="1"/>
      <c r="M788" s="1"/>
    </row>
    <row r="789" ht="15.75" customHeight="1">
      <c r="L789" s="1"/>
      <c r="M789" s="1"/>
    </row>
    <row r="790" ht="15.75" customHeight="1">
      <c r="L790" s="1"/>
      <c r="M790" s="1"/>
    </row>
    <row r="791" ht="15.75" customHeight="1">
      <c r="L791" s="1"/>
      <c r="M791" s="1"/>
    </row>
    <row r="792" ht="15.75" customHeight="1">
      <c r="L792" s="1"/>
      <c r="M792" s="1"/>
    </row>
    <row r="793" ht="15.75" customHeight="1">
      <c r="L793" s="1"/>
      <c r="M793" s="1"/>
    </row>
    <row r="794" ht="15.75" customHeight="1">
      <c r="L794" s="1"/>
      <c r="M794" s="1"/>
    </row>
    <row r="795" ht="15.75" customHeight="1">
      <c r="L795" s="1"/>
      <c r="M795" s="1"/>
    </row>
    <row r="796" ht="15.75" customHeight="1">
      <c r="L796" s="1"/>
      <c r="M796" s="1"/>
    </row>
    <row r="797" ht="15.75" customHeight="1">
      <c r="L797" s="1"/>
      <c r="M797" s="1"/>
    </row>
    <row r="798" ht="15.75" customHeight="1">
      <c r="L798" s="1"/>
      <c r="M798" s="1"/>
    </row>
    <row r="799" ht="15.75" customHeight="1">
      <c r="L799" s="1"/>
      <c r="M799" s="1"/>
    </row>
    <row r="800" ht="15.75" customHeight="1">
      <c r="L800" s="1"/>
      <c r="M800" s="1"/>
    </row>
    <row r="801" ht="15.75" customHeight="1">
      <c r="L801" s="1"/>
      <c r="M801" s="1"/>
    </row>
    <row r="802" ht="15.75" customHeight="1">
      <c r="L802" s="1"/>
      <c r="M802" s="1"/>
    </row>
    <row r="803" ht="15.75" customHeight="1">
      <c r="L803" s="1"/>
      <c r="M803" s="1"/>
    </row>
    <row r="804" ht="15.75" customHeight="1">
      <c r="L804" s="1"/>
      <c r="M804" s="1"/>
    </row>
    <row r="805" ht="15.75" customHeight="1">
      <c r="L805" s="1"/>
      <c r="M805" s="1"/>
    </row>
    <row r="806" ht="15.75" customHeight="1">
      <c r="L806" s="1"/>
      <c r="M806" s="1"/>
    </row>
    <row r="807" ht="15.75" customHeight="1">
      <c r="L807" s="1"/>
      <c r="M807" s="1"/>
    </row>
    <row r="808" ht="15.75" customHeight="1">
      <c r="L808" s="1"/>
      <c r="M808" s="1"/>
    </row>
    <row r="809" ht="15.75" customHeight="1">
      <c r="L809" s="1"/>
      <c r="M809" s="1"/>
    </row>
    <row r="810" ht="15.75" customHeight="1">
      <c r="L810" s="1"/>
      <c r="M810" s="1"/>
    </row>
    <row r="811" ht="15.75" customHeight="1">
      <c r="L811" s="1"/>
      <c r="M811" s="1"/>
    </row>
    <row r="812" ht="15.75" customHeight="1">
      <c r="L812" s="1"/>
      <c r="M812" s="1"/>
    </row>
    <row r="813" ht="15.75" customHeight="1">
      <c r="L813" s="1"/>
      <c r="M813" s="1"/>
    </row>
    <row r="814" ht="15.75" customHeight="1">
      <c r="L814" s="1"/>
      <c r="M814" s="1"/>
    </row>
    <row r="815" ht="15.75" customHeight="1">
      <c r="L815" s="1"/>
      <c r="M815" s="1"/>
    </row>
    <row r="816" ht="15.75" customHeight="1">
      <c r="L816" s="1"/>
      <c r="M816" s="1"/>
    </row>
    <row r="817" ht="15.75" customHeight="1">
      <c r="L817" s="1"/>
      <c r="M817" s="1"/>
    </row>
    <row r="818" ht="15.75" customHeight="1">
      <c r="L818" s="1"/>
      <c r="M818" s="1"/>
    </row>
    <row r="819" ht="15.75" customHeight="1">
      <c r="L819" s="1"/>
      <c r="M819" s="1"/>
    </row>
    <row r="820" ht="15.75" customHeight="1">
      <c r="L820" s="1"/>
      <c r="M820" s="1"/>
    </row>
    <row r="821" ht="15.75" customHeight="1">
      <c r="L821" s="1"/>
      <c r="M821" s="1"/>
    </row>
    <row r="822" ht="15.75" customHeight="1">
      <c r="L822" s="1"/>
      <c r="M822" s="1"/>
    </row>
    <row r="823" ht="15.75" customHeight="1">
      <c r="L823" s="1"/>
      <c r="M823" s="1"/>
    </row>
    <row r="824" ht="15.75" customHeight="1">
      <c r="L824" s="1"/>
      <c r="M824" s="1"/>
    </row>
    <row r="825" ht="15.75" customHeight="1">
      <c r="L825" s="1"/>
      <c r="M825" s="1"/>
    </row>
    <row r="826" ht="15.75" customHeight="1">
      <c r="L826" s="1"/>
      <c r="M826" s="1"/>
    </row>
    <row r="827" ht="15.75" customHeight="1">
      <c r="L827" s="1"/>
      <c r="M827" s="1"/>
    </row>
    <row r="828" ht="15.75" customHeight="1">
      <c r="L828" s="1"/>
      <c r="M828" s="1"/>
    </row>
    <row r="829" ht="15.75" customHeight="1">
      <c r="L829" s="1"/>
      <c r="M829" s="1"/>
    </row>
    <row r="830" ht="15.75" customHeight="1">
      <c r="L830" s="1"/>
      <c r="M830" s="1"/>
    </row>
    <row r="831" ht="15.75" customHeight="1">
      <c r="L831" s="1"/>
      <c r="M831" s="1"/>
    </row>
    <row r="832" ht="15.75" customHeight="1">
      <c r="L832" s="1"/>
      <c r="M832" s="1"/>
    </row>
    <row r="833" ht="15.75" customHeight="1">
      <c r="L833" s="1"/>
      <c r="M833" s="1"/>
    </row>
    <row r="834" ht="15.75" customHeight="1">
      <c r="L834" s="1"/>
      <c r="M834" s="1"/>
    </row>
    <row r="835" ht="15.75" customHeight="1">
      <c r="L835" s="1"/>
      <c r="M835" s="1"/>
    </row>
    <row r="836" ht="15.75" customHeight="1">
      <c r="L836" s="1"/>
      <c r="M836" s="1"/>
    </row>
    <row r="837" ht="15.75" customHeight="1">
      <c r="L837" s="1"/>
      <c r="M837" s="1"/>
    </row>
    <row r="838" ht="15.75" customHeight="1">
      <c r="L838" s="1"/>
      <c r="M838" s="1"/>
    </row>
    <row r="839" ht="15.75" customHeight="1">
      <c r="L839" s="1"/>
      <c r="M839" s="1"/>
    </row>
    <row r="840" ht="15.75" customHeight="1">
      <c r="L840" s="1"/>
      <c r="M840" s="1"/>
    </row>
    <row r="841" ht="15.75" customHeight="1">
      <c r="L841" s="1"/>
      <c r="M841" s="1"/>
    </row>
    <row r="842" ht="15.75" customHeight="1">
      <c r="L842" s="1"/>
      <c r="M842" s="1"/>
    </row>
    <row r="843" ht="15.75" customHeight="1">
      <c r="L843" s="1"/>
      <c r="M843" s="1"/>
    </row>
    <row r="844" ht="15.75" customHeight="1">
      <c r="L844" s="1"/>
      <c r="M844" s="1"/>
    </row>
    <row r="845" ht="15.75" customHeight="1">
      <c r="L845" s="1"/>
      <c r="M845" s="1"/>
    </row>
    <row r="846" ht="15.75" customHeight="1">
      <c r="L846" s="1"/>
      <c r="M846" s="1"/>
    </row>
    <row r="847" ht="15.75" customHeight="1">
      <c r="L847" s="1"/>
      <c r="M847" s="1"/>
    </row>
    <row r="848" ht="15.75" customHeight="1">
      <c r="L848" s="1"/>
      <c r="M848" s="1"/>
    </row>
    <row r="849" ht="15.75" customHeight="1">
      <c r="L849" s="1"/>
      <c r="M849" s="1"/>
    </row>
    <row r="850" ht="15.75" customHeight="1">
      <c r="L850" s="1"/>
      <c r="M850" s="1"/>
    </row>
    <row r="851" ht="15.75" customHeight="1">
      <c r="L851" s="1"/>
      <c r="M851" s="1"/>
    </row>
    <row r="852" ht="15.75" customHeight="1">
      <c r="L852" s="1"/>
      <c r="M852" s="1"/>
    </row>
    <row r="853" ht="15.75" customHeight="1">
      <c r="L853" s="1"/>
      <c r="M853" s="1"/>
    </row>
    <row r="854" ht="15.75" customHeight="1">
      <c r="L854" s="1"/>
      <c r="M854" s="1"/>
    </row>
    <row r="855" ht="15.75" customHeight="1">
      <c r="L855" s="1"/>
      <c r="M855" s="1"/>
    </row>
    <row r="856" ht="15.75" customHeight="1">
      <c r="L856" s="1"/>
      <c r="M856" s="1"/>
    </row>
    <row r="857" ht="15.75" customHeight="1">
      <c r="L857" s="1"/>
      <c r="M857" s="1"/>
    </row>
    <row r="858" ht="15.75" customHeight="1">
      <c r="L858" s="1"/>
      <c r="M858" s="1"/>
    </row>
    <row r="859" ht="15.75" customHeight="1">
      <c r="L859" s="1"/>
      <c r="M859" s="1"/>
    </row>
    <row r="860" ht="15.75" customHeight="1">
      <c r="L860" s="1"/>
      <c r="M860" s="1"/>
    </row>
    <row r="861" ht="15.75" customHeight="1">
      <c r="L861" s="1"/>
      <c r="M861" s="1"/>
    </row>
    <row r="862" ht="15.75" customHeight="1">
      <c r="L862" s="1"/>
      <c r="M862" s="1"/>
    </row>
    <row r="863" ht="15.75" customHeight="1">
      <c r="L863" s="1"/>
      <c r="M863" s="1"/>
    </row>
    <row r="864" ht="15.75" customHeight="1">
      <c r="L864" s="1"/>
      <c r="M864" s="1"/>
    </row>
    <row r="865" ht="15.75" customHeight="1">
      <c r="L865" s="1"/>
      <c r="M865" s="1"/>
    </row>
    <row r="866" ht="15.75" customHeight="1">
      <c r="L866" s="1"/>
      <c r="M866" s="1"/>
    </row>
    <row r="867" ht="15.75" customHeight="1">
      <c r="L867" s="1"/>
      <c r="M867" s="1"/>
    </row>
    <row r="868" ht="15.75" customHeight="1">
      <c r="L868" s="1"/>
      <c r="M868" s="1"/>
    </row>
    <row r="869" ht="15.75" customHeight="1">
      <c r="L869" s="1"/>
      <c r="M869" s="1"/>
    </row>
    <row r="870" ht="15.75" customHeight="1">
      <c r="L870" s="1"/>
      <c r="M870" s="1"/>
    </row>
    <row r="871" ht="15.75" customHeight="1">
      <c r="L871" s="1"/>
      <c r="M871" s="1"/>
    </row>
    <row r="872" ht="15.75" customHeight="1">
      <c r="L872" s="1"/>
      <c r="M872" s="1"/>
    </row>
    <row r="873" ht="15.75" customHeight="1">
      <c r="L873" s="1"/>
      <c r="M873" s="1"/>
    </row>
    <row r="874" ht="15.75" customHeight="1">
      <c r="L874" s="1"/>
      <c r="M874" s="1"/>
    </row>
    <row r="875" ht="15.75" customHeight="1">
      <c r="L875" s="1"/>
      <c r="M875" s="1"/>
    </row>
    <row r="876" ht="15.75" customHeight="1">
      <c r="L876" s="1"/>
      <c r="M876" s="1"/>
    </row>
    <row r="877" ht="15.75" customHeight="1">
      <c r="L877" s="1"/>
      <c r="M877" s="1"/>
    </row>
    <row r="878" ht="15.75" customHeight="1">
      <c r="L878" s="1"/>
      <c r="M878" s="1"/>
    </row>
    <row r="879" ht="15.75" customHeight="1">
      <c r="L879" s="1"/>
      <c r="M879" s="1"/>
    </row>
    <row r="880" ht="15.75" customHeight="1">
      <c r="L880" s="1"/>
      <c r="M880" s="1"/>
    </row>
    <row r="881" ht="15.75" customHeight="1">
      <c r="L881" s="1"/>
      <c r="M881" s="1"/>
    </row>
    <row r="882" ht="15.75" customHeight="1">
      <c r="L882" s="1"/>
      <c r="M882" s="1"/>
    </row>
    <row r="883" ht="15.75" customHeight="1">
      <c r="L883" s="1"/>
      <c r="M883" s="1"/>
    </row>
    <row r="884" ht="15.75" customHeight="1">
      <c r="L884" s="1"/>
      <c r="M884" s="1"/>
    </row>
    <row r="885" ht="15.75" customHeight="1">
      <c r="L885" s="1"/>
      <c r="M885" s="1"/>
    </row>
    <row r="886" ht="15.75" customHeight="1">
      <c r="L886" s="1"/>
      <c r="M886" s="1"/>
    </row>
    <row r="887" ht="15.75" customHeight="1">
      <c r="L887" s="1"/>
      <c r="M887" s="1"/>
    </row>
    <row r="888" ht="15.75" customHeight="1">
      <c r="L888" s="1"/>
      <c r="M888" s="1"/>
    </row>
    <row r="889" ht="15.75" customHeight="1">
      <c r="L889" s="1"/>
      <c r="M889" s="1"/>
    </row>
    <row r="890" ht="15.75" customHeight="1">
      <c r="L890" s="1"/>
      <c r="M890" s="1"/>
    </row>
    <row r="891" ht="15.75" customHeight="1">
      <c r="L891" s="1"/>
      <c r="M891" s="1"/>
    </row>
    <row r="892" ht="15.75" customHeight="1">
      <c r="L892" s="1"/>
      <c r="M892" s="1"/>
    </row>
    <row r="893" ht="15.75" customHeight="1">
      <c r="L893" s="1"/>
      <c r="M893" s="1"/>
    </row>
    <row r="894" ht="15.75" customHeight="1">
      <c r="L894" s="1"/>
      <c r="M894" s="1"/>
    </row>
    <row r="895" ht="15.75" customHeight="1">
      <c r="L895" s="1"/>
      <c r="M895" s="1"/>
    </row>
    <row r="896" ht="15.75" customHeight="1">
      <c r="L896" s="1"/>
      <c r="M896" s="1"/>
    </row>
    <row r="897" ht="15.75" customHeight="1">
      <c r="L897" s="1"/>
      <c r="M897" s="1"/>
    </row>
    <row r="898" ht="15.75" customHeight="1">
      <c r="L898" s="1"/>
      <c r="M898" s="1"/>
    </row>
    <row r="899" ht="15.75" customHeight="1">
      <c r="L899" s="1"/>
      <c r="M899" s="1"/>
    </row>
    <row r="900" ht="15.75" customHeight="1">
      <c r="L900" s="1"/>
      <c r="M900" s="1"/>
    </row>
    <row r="901" ht="15.75" customHeight="1">
      <c r="L901" s="1"/>
      <c r="M901" s="1"/>
    </row>
    <row r="902" ht="15.75" customHeight="1">
      <c r="L902" s="1"/>
      <c r="M902" s="1"/>
    </row>
    <row r="903" ht="15.75" customHeight="1">
      <c r="L903" s="1"/>
      <c r="M903" s="1"/>
    </row>
    <row r="904" ht="15.75" customHeight="1">
      <c r="L904" s="1"/>
      <c r="M904" s="1"/>
    </row>
    <row r="905" ht="15.75" customHeight="1">
      <c r="L905" s="1"/>
      <c r="M905" s="1"/>
    </row>
    <row r="906" ht="15.75" customHeight="1">
      <c r="L906" s="1"/>
      <c r="M906" s="1"/>
    </row>
    <row r="907" ht="15.75" customHeight="1">
      <c r="L907" s="1"/>
      <c r="M907" s="1"/>
    </row>
    <row r="908" ht="15.75" customHeight="1">
      <c r="L908" s="1"/>
      <c r="M908" s="1"/>
    </row>
    <row r="909" ht="15.75" customHeight="1">
      <c r="L909" s="1"/>
      <c r="M909" s="1"/>
    </row>
    <row r="910" ht="15.75" customHeight="1">
      <c r="L910" s="1"/>
      <c r="M910" s="1"/>
    </row>
    <row r="911" ht="15.75" customHeight="1">
      <c r="L911" s="1"/>
      <c r="M911" s="1"/>
    </row>
    <row r="912" ht="15.75" customHeight="1">
      <c r="L912" s="1"/>
      <c r="M912" s="1"/>
    </row>
    <row r="913" ht="15.75" customHeight="1">
      <c r="L913" s="1"/>
      <c r="M913" s="1"/>
    </row>
    <row r="914" ht="15.75" customHeight="1">
      <c r="L914" s="1"/>
      <c r="M914" s="1"/>
    </row>
    <row r="915" ht="15.75" customHeight="1">
      <c r="L915" s="1"/>
      <c r="M915" s="1"/>
    </row>
    <row r="916" ht="15.75" customHeight="1">
      <c r="L916" s="1"/>
      <c r="M916" s="1"/>
    </row>
    <row r="917" ht="15.75" customHeight="1">
      <c r="L917" s="1"/>
      <c r="M917" s="1"/>
    </row>
    <row r="918" ht="15.75" customHeight="1">
      <c r="L918" s="1"/>
      <c r="M918" s="1"/>
    </row>
    <row r="919" ht="15.75" customHeight="1">
      <c r="L919" s="1"/>
      <c r="M919" s="1"/>
    </row>
    <row r="920" ht="15.75" customHeight="1">
      <c r="L920" s="1"/>
      <c r="M920" s="1"/>
    </row>
    <row r="921" ht="15.75" customHeight="1">
      <c r="L921" s="1"/>
      <c r="M921" s="1"/>
    </row>
    <row r="922" ht="15.75" customHeight="1">
      <c r="L922" s="1"/>
      <c r="M922" s="1"/>
    </row>
    <row r="923" ht="15.75" customHeight="1">
      <c r="L923" s="1"/>
      <c r="M923" s="1"/>
    </row>
    <row r="924" ht="15.75" customHeight="1">
      <c r="L924" s="1"/>
      <c r="M924" s="1"/>
    </row>
    <row r="925" ht="15.75" customHeight="1">
      <c r="L925" s="1"/>
      <c r="M925" s="1"/>
    </row>
    <row r="926" ht="15.75" customHeight="1">
      <c r="L926" s="1"/>
      <c r="M926" s="1"/>
    </row>
    <row r="927" ht="15.75" customHeight="1">
      <c r="L927" s="1"/>
      <c r="M927" s="1"/>
    </row>
    <row r="928" ht="15.75" customHeight="1">
      <c r="L928" s="1"/>
      <c r="M928" s="1"/>
    </row>
    <row r="929" ht="15.75" customHeight="1">
      <c r="L929" s="1"/>
      <c r="M929" s="1"/>
    </row>
    <row r="930" ht="15.75" customHeight="1">
      <c r="L930" s="1"/>
      <c r="M930" s="1"/>
    </row>
    <row r="931" ht="15.75" customHeight="1">
      <c r="L931" s="1"/>
      <c r="M931" s="1"/>
    </row>
    <row r="932" ht="15.75" customHeight="1">
      <c r="L932" s="1"/>
      <c r="M932" s="1"/>
    </row>
    <row r="933" ht="15.75" customHeight="1">
      <c r="L933" s="1"/>
      <c r="M933" s="1"/>
    </row>
    <row r="934" ht="15.75" customHeight="1">
      <c r="L934" s="1"/>
      <c r="M934" s="1"/>
    </row>
    <row r="935" ht="15.75" customHeight="1">
      <c r="L935" s="1"/>
      <c r="M935" s="1"/>
    </row>
    <row r="936" ht="15.75" customHeight="1">
      <c r="L936" s="1"/>
      <c r="M936" s="1"/>
    </row>
    <row r="937" ht="15.75" customHeight="1">
      <c r="L937" s="1"/>
      <c r="M937" s="1"/>
    </row>
    <row r="938" ht="15.75" customHeight="1">
      <c r="L938" s="1"/>
      <c r="M938" s="1"/>
    </row>
    <row r="939" ht="15.75" customHeight="1">
      <c r="L939" s="1"/>
      <c r="M939" s="1"/>
    </row>
    <row r="940" ht="15.75" customHeight="1">
      <c r="L940" s="1"/>
      <c r="M940" s="1"/>
    </row>
    <row r="941" ht="15.75" customHeight="1">
      <c r="L941" s="1"/>
      <c r="M941" s="1"/>
    </row>
    <row r="942" ht="15.75" customHeight="1">
      <c r="L942" s="1"/>
      <c r="M942" s="1"/>
    </row>
    <row r="943" ht="15.75" customHeight="1">
      <c r="L943" s="1"/>
      <c r="M943" s="1"/>
    </row>
    <row r="944" ht="15.75" customHeight="1">
      <c r="L944" s="1"/>
      <c r="M944" s="1"/>
    </row>
    <row r="945" ht="15.75" customHeight="1">
      <c r="L945" s="1"/>
      <c r="M945" s="1"/>
    </row>
    <row r="946" ht="15.75" customHeight="1">
      <c r="L946" s="1"/>
      <c r="M946" s="1"/>
    </row>
    <row r="947" ht="15.75" customHeight="1">
      <c r="L947" s="1"/>
      <c r="M947" s="1"/>
    </row>
    <row r="948" ht="15.75" customHeight="1">
      <c r="L948" s="1"/>
      <c r="M948" s="1"/>
    </row>
    <row r="949" ht="15.75" customHeight="1">
      <c r="L949" s="1"/>
      <c r="M949" s="1"/>
    </row>
    <row r="950" ht="15.75" customHeight="1">
      <c r="L950" s="1"/>
      <c r="M950" s="1"/>
    </row>
    <row r="951" ht="15.75" customHeight="1">
      <c r="L951" s="1"/>
      <c r="M951" s="1"/>
    </row>
    <row r="952" ht="15.75" customHeight="1">
      <c r="L952" s="1"/>
      <c r="M952" s="1"/>
    </row>
    <row r="953" ht="15.75" customHeight="1">
      <c r="L953" s="1"/>
      <c r="M953" s="1"/>
    </row>
    <row r="954" ht="15.75" customHeight="1">
      <c r="L954" s="1"/>
      <c r="M954" s="1"/>
    </row>
    <row r="955" ht="15.75" customHeight="1">
      <c r="L955" s="1"/>
      <c r="M955" s="1"/>
    </row>
    <row r="956" ht="15.75" customHeight="1">
      <c r="L956" s="1"/>
      <c r="M956" s="1"/>
    </row>
    <row r="957" ht="15.75" customHeight="1">
      <c r="L957" s="1"/>
      <c r="M957" s="1"/>
    </row>
    <row r="958" ht="15.75" customHeight="1">
      <c r="L958" s="1"/>
      <c r="M958" s="1"/>
    </row>
    <row r="959" ht="15.75" customHeight="1">
      <c r="L959" s="1"/>
      <c r="M959" s="1"/>
    </row>
    <row r="960" ht="15.75" customHeight="1">
      <c r="L960" s="1"/>
      <c r="M960" s="1"/>
    </row>
    <row r="961" ht="15.75" customHeight="1">
      <c r="L961" s="1"/>
      <c r="M961" s="1"/>
    </row>
    <row r="962" ht="15.75" customHeight="1">
      <c r="L962" s="1"/>
      <c r="M962" s="1"/>
    </row>
    <row r="963" ht="15.75" customHeight="1">
      <c r="L963" s="1"/>
      <c r="M963" s="1"/>
    </row>
    <row r="964" ht="15.75" customHeight="1">
      <c r="L964" s="1"/>
      <c r="M964" s="1"/>
    </row>
    <row r="965" ht="15.75" customHeight="1">
      <c r="L965" s="1"/>
      <c r="M965" s="1"/>
    </row>
    <row r="966" ht="15.75" customHeight="1">
      <c r="L966" s="1"/>
      <c r="M966" s="1"/>
    </row>
    <row r="967" ht="15.75" customHeight="1">
      <c r="L967" s="1"/>
      <c r="M967" s="1"/>
    </row>
    <row r="968" ht="15.75" customHeight="1">
      <c r="L968" s="1"/>
      <c r="M968" s="1"/>
    </row>
    <row r="969" ht="15.75" customHeight="1">
      <c r="L969" s="1"/>
      <c r="M969" s="1"/>
    </row>
    <row r="970" ht="15.75" customHeight="1">
      <c r="L970" s="1"/>
      <c r="M970" s="1"/>
    </row>
    <row r="971" ht="15.75" customHeight="1">
      <c r="L971" s="1"/>
      <c r="M971" s="1"/>
    </row>
    <row r="972" ht="15.75" customHeight="1">
      <c r="L972" s="1"/>
      <c r="M972" s="1"/>
    </row>
    <row r="973" ht="15.75" customHeight="1">
      <c r="L973" s="1"/>
      <c r="M973" s="1"/>
    </row>
    <row r="974" ht="15.75" customHeight="1">
      <c r="L974" s="1"/>
      <c r="M974" s="1"/>
    </row>
    <row r="975" ht="15.75" customHeight="1">
      <c r="L975" s="1"/>
      <c r="M975" s="1"/>
    </row>
    <row r="976" ht="15.75" customHeight="1">
      <c r="L976" s="1"/>
      <c r="M976" s="1"/>
    </row>
    <row r="977" ht="15.75" customHeight="1">
      <c r="L977" s="1"/>
      <c r="M977" s="1"/>
    </row>
    <row r="978" ht="15.75" customHeight="1">
      <c r="L978" s="1"/>
      <c r="M978" s="1"/>
    </row>
    <row r="979" ht="15.75" customHeight="1">
      <c r="L979" s="1"/>
      <c r="M979" s="1"/>
    </row>
    <row r="980" ht="15.75" customHeight="1">
      <c r="L980" s="1"/>
      <c r="M980" s="1"/>
    </row>
    <row r="981" ht="15.75" customHeight="1">
      <c r="L981" s="1"/>
      <c r="M981" s="1"/>
    </row>
    <row r="982" ht="15.75" customHeight="1">
      <c r="L982" s="1"/>
      <c r="M982" s="1"/>
    </row>
    <row r="983" ht="15.75" customHeight="1">
      <c r="L983" s="1"/>
      <c r="M983" s="1"/>
    </row>
    <row r="984" ht="15.75" customHeight="1">
      <c r="L984" s="1"/>
      <c r="M984" s="1"/>
    </row>
    <row r="985" ht="15.75" customHeight="1">
      <c r="L985" s="1"/>
      <c r="M985" s="1"/>
    </row>
    <row r="986" ht="15.75" customHeight="1">
      <c r="L986" s="1"/>
      <c r="M986" s="1"/>
    </row>
    <row r="987" ht="15.75" customHeight="1">
      <c r="L987" s="1"/>
      <c r="M987" s="1"/>
    </row>
    <row r="988" ht="15.75" customHeight="1">
      <c r="L988" s="1"/>
      <c r="M988" s="1"/>
    </row>
    <row r="989" ht="15.75" customHeight="1">
      <c r="L989" s="1"/>
      <c r="M989" s="1"/>
    </row>
    <row r="990" ht="15.75" customHeight="1">
      <c r="L990" s="1"/>
      <c r="M990" s="1"/>
    </row>
    <row r="991" ht="15.75" customHeight="1">
      <c r="L991" s="1"/>
      <c r="M991" s="1"/>
    </row>
    <row r="992" ht="15.75" customHeight="1">
      <c r="L992" s="1"/>
      <c r="M992" s="1"/>
    </row>
    <row r="993" ht="15.75" customHeight="1">
      <c r="L993" s="1"/>
      <c r="M993" s="1"/>
    </row>
    <row r="994" ht="15.75" customHeight="1">
      <c r="L994" s="1"/>
      <c r="M994" s="1"/>
    </row>
    <row r="995" ht="15.75" customHeight="1">
      <c r="L995" s="1"/>
      <c r="M995" s="1"/>
    </row>
    <row r="996" ht="15.75" customHeight="1">
      <c r="L996" s="1"/>
      <c r="M996" s="1"/>
    </row>
    <row r="997" ht="15.75" customHeight="1">
      <c r="L997" s="1"/>
      <c r="M997" s="1"/>
    </row>
    <row r="998" ht="15.75" customHeight="1">
      <c r="L998" s="1"/>
      <c r="M998" s="1"/>
    </row>
    <row r="999" ht="15.75" customHeight="1">
      <c r="L999" s="1"/>
      <c r="M999" s="1"/>
    </row>
    <row r="1000" ht="15.75" customHeight="1">
      <c r="L1000" s="1"/>
      <c r="M1000" s="1"/>
    </row>
  </sheetData>
  <mergeCells count="4">
    <mergeCell ref="B13:D13"/>
    <mergeCell ref="B17:D17"/>
    <mergeCell ref="B32:D32"/>
    <mergeCell ref="B36:D36"/>
  </mergeCells>
  <printOptions/>
  <pageMargins bottom="0.75" footer="0.0" header="0.0" left="0.7" right="0.7" top="0.75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38.71"/>
    <col customWidth="1" min="3" max="4" width="12.71"/>
    <col customWidth="1" min="5" max="5" width="22.0"/>
    <col customWidth="1" min="6" max="6" width="12.71"/>
    <col customWidth="1" min="7" max="7" width="13.14"/>
    <col customWidth="1" min="8" max="8" width="9.14"/>
    <col customWidth="1" min="9" max="9" width="21.29"/>
    <col customWidth="1" min="10" max="10" width="13.43"/>
    <col customWidth="1" min="11" max="11" width="14.14"/>
    <col customWidth="1" min="12" max="13" width="9.14"/>
    <col customWidth="1" min="14" max="15" width="15.29"/>
    <col customWidth="1" min="16" max="16" width="15.0"/>
    <col customWidth="1" min="17" max="26" width="9.14"/>
  </cols>
  <sheetData>
    <row r="1">
      <c r="A1" s="26" t="s">
        <v>34</v>
      </c>
      <c r="B1" s="26" t="s">
        <v>6</v>
      </c>
      <c r="C1" s="27" t="s">
        <v>35</v>
      </c>
      <c r="D1" s="27" t="s">
        <v>36</v>
      </c>
      <c r="E1" s="28" t="s">
        <v>37</v>
      </c>
      <c r="F1" s="29" t="s">
        <v>38</v>
      </c>
      <c r="G1" s="29" t="s">
        <v>1</v>
      </c>
      <c r="I1" s="30"/>
      <c r="J1" s="31" t="s">
        <v>39</v>
      </c>
      <c r="K1" s="32" t="s">
        <v>40</v>
      </c>
      <c r="L1" s="33"/>
      <c r="M1" s="33"/>
      <c r="N1" s="33"/>
    </row>
    <row r="2">
      <c r="A2" s="34" t="s">
        <v>41</v>
      </c>
      <c r="B2" s="34" t="s">
        <v>10</v>
      </c>
      <c r="C2" s="35">
        <v>85586.87</v>
      </c>
      <c r="D2" s="35">
        <v>-88722.9</v>
      </c>
      <c r="E2" s="36" t="s">
        <v>42</v>
      </c>
      <c r="F2" s="37">
        <v>376.0</v>
      </c>
      <c r="G2" s="38" t="str">
        <f t="shared" ref="G2:G191" si="2">IFS(F2&lt;31,"0-30",F2&lt;61,"31-60",F2&lt;91,"61-90",F2&lt;121,"91-120",F2&lt;181,"121-180",F2&lt;301,"181-300",F2&gt;300,"301 &amp; +")</f>
        <v>301 &amp; +</v>
      </c>
      <c r="I2" s="39" t="s">
        <v>43</v>
      </c>
      <c r="J2" s="40">
        <f t="shared" ref="J2:K2" si="1">SUM(C:C)</f>
        <v>8142717.94</v>
      </c>
      <c r="K2" s="41">
        <f t="shared" si="1"/>
        <v>-8073099.3</v>
      </c>
      <c r="L2" s="42"/>
      <c r="M2" s="42"/>
      <c r="N2" s="33"/>
    </row>
    <row r="3">
      <c r="A3" s="34" t="s">
        <v>44</v>
      </c>
      <c r="B3" s="34" t="s">
        <v>45</v>
      </c>
      <c r="C3" s="35">
        <v>61456.86</v>
      </c>
      <c r="D3" s="43"/>
      <c r="E3" s="36" t="s">
        <v>46</v>
      </c>
      <c r="F3" s="37">
        <v>349.0</v>
      </c>
      <c r="G3" s="38" t="str">
        <f t="shared" si="2"/>
        <v>301 &amp; +</v>
      </c>
      <c r="I3" s="44" t="s">
        <v>47</v>
      </c>
      <c r="J3" s="45">
        <f>COUNT(C:C)</f>
        <v>190</v>
      </c>
      <c r="K3" s="46">
        <f>-K2/J2</f>
        <v>0.9914501963</v>
      </c>
      <c r="L3" s="33"/>
      <c r="M3" s="33"/>
      <c r="N3" s="33"/>
    </row>
    <row r="4">
      <c r="A4" s="34" t="s">
        <v>48</v>
      </c>
      <c r="B4" s="34" t="s">
        <v>45</v>
      </c>
      <c r="C4" s="35">
        <v>63600.32</v>
      </c>
      <c r="D4" s="35">
        <v>-65270.1</v>
      </c>
      <c r="E4" s="36" t="s">
        <v>49</v>
      </c>
      <c r="F4" s="37">
        <v>307.0</v>
      </c>
      <c r="G4" s="38" t="str">
        <f t="shared" si="2"/>
        <v>301 &amp; +</v>
      </c>
      <c r="I4" s="33"/>
      <c r="J4" s="33"/>
      <c r="K4" s="33"/>
      <c r="L4" s="33"/>
      <c r="M4" s="33"/>
      <c r="N4" s="33"/>
    </row>
    <row r="5">
      <c r="A5" s="34" t="s">
        <v>50</v>
      </c>
      <c r="B5" s="34" t="s">
        <v>45</v>
      </c>
      <c r="C5" s="35">
        <v>61730.22</v>
      </c>
      <c r="D5" s="35">
        <v>-64778.7</v>
      </c>
      <c r="E5" s="36" t="s">
        <v>51</v>
      </c>
      <c r="F5" s="37">
        <v>307.0</v>
      </c>
      <c r="G5" s="38" t="str">
        <f t="shared" si="2"/>
        <v>301 &amp; +</v>
      </c>
      <c r="I5" s="33"/>
      <c r="J5" s="33"/>
      <c r="K5" s="33"/>
      <c r="L5" s="33"/>
      <c r="M5" s="33"/>
      <c r="N5" s="33"/>
    </row>
    <row r="6">
      <c r="A6" s="34" t="s">
        <v>52</v>
      </c>
      <c r="B6" s="34" t="s">
        <v>53</v>
      </c>
      <c r="C6" s="35">
        <v>30839.96</v>
      </c>
      <c r="D6" s="43"/>
      <c r="E6" s="36" t="s">
        <v>54</v>
      </c>
      <c r="F6" s="37">
        <v>299.0</v>
      </c>
      <c r="G6" s="38" t="str">
        <f t="shared" si="2"/>
        <v>181-300</v>
      </c>
      <c r="I6" s="33"/>
      <c r="J6" s="33"/>
      <c r="K6" s="33"/>
      <c r="L6" s="33"/>
      <c r="M6" s="33"/>
      <c r="N6" s="33" t="s">
        <v>55</v>
      </c>
      <c r="O6" s="7" t="s">
        <v>56</v>
      </c>
      <c r="P6" s="7" t="s">
        <v>57</v>
      </c>
    </row>
    <row r="7">
      <c r="A7" s="47" t="s">
        <v>58</v>
      </c>
      <c r="B7" s="34" t="s">
        <v>45</v>
      </c>
      <c r="C7" s="35">
        <v>62928.32</v>
      </c>
      <c r="D7" s="35">
        <v>-66251.85</v>
      </c>
      <c r="E7" s="36" t="s">
        <v>59</v>
      </c>
      <c r="F7" s="37">
        <v>295.0</v>
      </c>
      <c r="G7" s="38" t="str">
        <f t="shared" si="2"/>
        <v>181-300</v>
      </c>
      <c r="I7" s="48" t="s">
        <v>60</v>
      </c>
      <c r="J7" s="49">
        <f>COUNTIF(F:F,"&gt;=365")</f>
        <v>1</v>
      </c>
      <c r="K7" s="50">
        <f>SUMIF(F:F,"&gt;=365",C:C)</f>
        <v>85586.87</v>
      </c>
      <c r="M7" s="49">
        <f>COUNTIFS(F:F,"&gt;=365",D:D,"&lt;&gt;"&amp;"")</f>
        <v>1</v>
      </c>
      <c r="N7" s="50">
        <f>SUMIF(F:F,"&gt;=365",D:D)</f>
        <v>-88722.9</v>
      </c>
      <c r="O7" s="51">
        <f t="shared" ref="O7:O10" si="3">N7*0.07/12</f>
        <v>-517.55025</v>
      </c>
      <c r="P7" s="51">
        <f t="shared" ref="P7:P8" si="4">IF(J7=0,0,O7/J7)</f>
        <v>-517.55025</v>
      </c>
    </row>
    <row r="8">
      <c r="A8" s="34" t="s">
        <v>61</v>
      </c>
      <c r="B8" s="34" t="s">
        <v>53</v>
      </c>
      <c r="C8" s="35">
        <v>33727.2</v>
      </c>
      <c r="D8" s="35">
        <v>-33332.25</v>
      </c>
      <c r="E8" s="36" t="s">
        <v>62</v>
      </c>
      <c r="F8" s="37">
        <v>295.0</v>
      </c>
      <c r="G8" s="38" t="str">
        <f t="shared" si="2"/>
        <v>181-300</v>
      </c>
      <c r="I8" s="48" t="s">
        <v>63</v>
      </c>
      <c r="J8" s="49">
        <f>COUNTIFS(F:F,"&lt;365",F:F,"&gt;=180")</f>
        <v>33</v>
      </c>
      <c r="K8" s="52">
        <f>SUMIFS(C:C,F:F,"&lt;365",F:F,"&gt;=180")</f>
        <v>1602533.96</v>
      </c>
      <c r="M8" s="49">
        <f>COUNTIFS(F:F,"&lt;365",F:F,"&gt;=180",D:D,"&lt;&gt;"&amp;"")</f>
        <v>31</v>
      </c>
      <c r="N8" s="52">
        <f>SUMIFS(D:D,F:F,"&lt;365",F:F,"&gt;=180")</f>
        <v>-1559211.15</v>
      </c>
      <c r="O8" s="51">
        <f t="shared" si="3"/>
        <v>-9095.398375</v>
      </c>
      <c r="P8" s="51">
        <f t="shared" si="4"/>
        <v>-275.6181326</v>
      </c>
    </row>
    <row r="9">
      <c r="A9" s="34" t="s">
        <v>64</v>
      </c>
      <c r="B9" s="34" t="s">
        <v>45</v>
      </c>
      <c r="C9" s="35">
        <v>62577.9</v>
      </c>
      <c r="D9" s="35">
        <v>-65760.45</v>
      </c>
      <c r="E9" s="36" t="s">
        <v>65</v>
      </c>
      <c r="F9" s="37">
        <v>281.0</v>
      </c>
      <c r="G9" s="38" t="str">
        <f t="shared" si="2"/>
        <v>181-300</v>
      </c>
      <c r="I9" s="48" t="s">
        <v>66</v>
      </c>
      <c r="J9" s="49">
        <f>COUNTIFS(F:F,"&lt;180",F:F,"&gt;=90")</f>
        <v>26</v>
      </c>
      <c r="K9" s="53">
        <f>SUMIFS(C:C,F:F,"&lt;180",F:F,"&gt;=90")</f>
        <v>1032803.33</v>
      </c>
      <c r="M9" s="49">
        <f>COUNTIFS(F:F,"&lt;180",F:F,"&gt;=90",D:D,"&lt;&gt;"&amp;"")</f>
        <v>25</v>
      </c>
      <c r="N9" s="53">
        <f>SUMIFS(D:D,F:F,"&lt;180",F:F,"&gt;=90")</f>
        <v>-1029738.15</v>
      </c>
      <c r="O9" s="51">
        <f t="shared" si="3"/>
        <v>-6006.805875</v>
      </c>
      <c r="P9" s="51">
        <f t="shared" ref="P9:P10" si="5">IF(M9=0,0,O9/M9)</f>
        <v>-240.272235</v>
      </c>
    </row>
    <row r="10">
      <c r="A10" s="34" t="s">
        <v>67</v>
      </c>
      <c r="B10" s="34" t="s">
        <v>45</v>
      </c>
      <c r="C10" s="35">
        <v>59277.15</v>
      </c>
      <c r="D10" s="35">
        <v>-60545.1</v>
      </c>
      <c r="E10" s="36" t="s">
        <v>68</v>
      </c>
      <c r="F10" s="37">
        <v>281.0</v>
      </c>
      <c r="G10" s="38" t="str">
        <f t="shared" si="2"/>
        <v>181-300</v>
      </c>
      <c r="I10" s="48" t="s">
        <v>69</v>
      </c>
      <c r="J10" s="49">
        <f>COUNTIF(F:F,"&lt;90")</f>
        <v>130</v>
      </c>
      <c r="K10" s="54">
        <f>SUMIF(F:F,"&lt;90",C:C)</f>
        <v>5421793.78</v>
      </c>
      <c r="M10" s="49">
        <f>COUNTIFS(F:F,"&lt;90",D:D,"&lt;&gt;"&amp;"")</f>
        <v>123</v>
      </c>
      <c r="N10" s="54">
        <f>SUMIF(F:F,"&lt;90",D:D)</f>
        <v>-5395427.1</v>
      </c>
      <c r="O10" s="51">
        <f t="shared" si="3"/>
        <v>-31473.32475</v>
      </c>
      <c r="P10" s="51">
        <f t="shared" si="5"/>
        <v>-255.880689</v>
      </c>
    </row>
    <row r="11">
      <c r="A11" s="34" t="s">
        <v>70</v>
      </c>
      <c r="B11" s="34" t="s">
        <v>45</v>
      </c>
      <c r="C11" s="35">
        <v>62373.22</v>
      </c>
      <c r="D11" s="35">
        <v>-65270.1</v>
      </c>
      <c r="E11" s="36" t="s">
        <v>71</v>
      </c>
      <c r="F11" s="37">
        <v>279.0</v>
      </c>
      <c r="G11" s="38" t="str">
        <f t="shared" si="2"/>
        <v>181-300</v>
      </c>
    </row>
    <row r="12">
      <c r="A12" s="34" t="s">
        <v>72</v>
      </c>
      <c r="B12" s="34" t="s">
        <v>45</v>
      </c>
      <c r="C12" s="35">
        <v>62119.22</v>
      </c>
      <c r="D12" s="35">
        <v>-65270.1</v>
      </c>
      <c r="E12" s="36" t="s">
        <v>73</v>
      </c>
      <c r="F12" s="37">
        <v>279.0</v>
      </c>
      <c r="G12" s="38" t="str">
        <f t="shared" si="2"/>
        <v>181-300</v>
      </c>
    </row>
    <row r="13">
      <c r="A13" s="34" t="s">
        <v>74</v>
      </c>
      <c r="B13" s="34" t="s">
        <v>45</v>
      </c>
      <c r="C13" s="35">
        <v>58058.22</v>
      </c>
      <c r="D13" s="35">
        <v>-61035.45</v>
      </c>
      <c r="E13" s="36" t="s">
        <v>75</v>
      </c>
      <c r="F13" s="37">
        <v>279.0</v>
      </c>
      <c r="G13" s="38" t="str">
        <f t="shared" si="2"/>
        <v>181-300</v>
      </c>
      <c r="N13" s="1"/>
    </row>
    <row r="14">
      <c r="A14" s="34" t="s">
        <v>76</v>
      </c>
      <c r="B14" s="34" t="s">
        <v>45</v>
      </c>
      <c r="C14" s="35">
        <v>67741.99</v>
      </c>
      <c r="D14" s="35">
        <v>-67233.6</v>
      </c>
      <c r="E14" s="36" t="s">
        <v>77</v>
      </c>
      <c r="F14" s="37">
        <v>278.0</v>
      </c>
      <c r="G14" s="38" t="str">
        <f t="shared" si="2"/>
        <v>181-300</v>
      </c>
    </row>
    <row r="15">
      <c r="A15" s="34" t="s">
        <v>78</v>
      </c>
      <c r="B15" s="34" t="s">
        <v>45</v>
      </c>
      <c r="C15" s="35">
        <v>63054.22</v>
      </c>
      <c r="D15" s="35">
        <v>-66251.85</v>
      </c>
      <c r="E15" s="36" t="s">
        <v>79</v>
      </c>
      <c r="F15" s="37">
        <v>277.0</v>
      </c>
      <c r="G15" s="38" t="str">
        <f t="shared" si="2"/>
        <v>181-300</v>
      </c>
    </row>
    <row r="16">
      <c r="A16" s="34" t="s">
        <v>80</v>
      </c>
      <c r="B16" s="34" t="s">
        <v>45</v>
      </c>
      <c r="C16" s="35">
        <v>62198.22</v>
      </c>
      <c r="D16" s="35">
        <v>-65270.1</v>
      </c>
      <c r="E16" s="36" t="s">
        <v>81</v>
      </c>
      <c r="F16" s="37">
        <v>270.0</v>
      </c>
      <c r="G16" s="38" t="str">
        <f t="shared" si="2"/>
        <v>181-300</v>
      </c>
    </row>
    <row r="17">
      <c r="A17" s="34" t="s">
        <v>82</v>
      </c>
      <c r="B17" s="34" t="s">
        <v>45</v>
      </c>
      <c r="C17" s="35">
        <v>62119.22</v>
      </c>
      <c r="D17" s="35">
        <v>-65270.1</v>
      </c>
      <c r="E17" s="36" t="s">
        <v>83</v>
      </c>
      <c r="F17" s="37">
        <v>270.0</v>
      </c>
      <c r="G17" s="38" t="str">
        <f t="shared" si="2"/>
        <v>181-300</v>
      </c>
    </row>
    <row r="18">
      <c r="A18" s="34" t="s">
        <v>84</v>
      </c>
      <c r="B18" s="34" t="s">
        <v>45</v>
      </c>
      <c r="C18" s="35">
        <v>61730.22</v>
      </c>
      <c r="D18" s="35">
        <v>-64778.7</v>
      </c>
      <c r="E18" s="36" t="s">
        <v>85</v>
      </c>
      <c r="F18" s="37">
        <v>270.0</v>
      </c>
      <c r="G18" s="38" t="str">
        <f t="shared" si="2"/>
        <v>181-300</v>
      </c>
    </row>
    <row r="19">
      <c r="A19" s="34" t="s">
        <v>86</v>
      </c>
      <c r="B19" s="34" t="s">
        <v>45</v>
      </c>
      <c r="C19" s="35">
        <v>58545.9</v>
      </c>
      <c r="D19" s="35">
        <v>-61526.85</v>
      </c>
      <c r="E19" s="36" t="s">
        <v>87</v>
      </c>
      <c r="F19" s="37">
        <v>266.0</v>
      </c>
      <c r="G19" s="38" t="str">
        <f t="shared" si="2"/>
        <v>181-300</v>
      </c>
    </row>
    <row r="20">
      <c r="A20" s="34" t="s">
        <v>88</v>
      </c>
      <c r="B20" s="34" t="s">
        <v>45</v>
      </c>
      <c r="C20" s="35">
        <v>63054.22</v>
      </c>
      <c r="D20" s="35">
        <v>-66251.85</v>
      </c>
      <c r="E20" s="36" t="s">
        <v>89</v>
      </c>
      <c r="F20" s="37">
        <v>264.0</v>
      </c>
      <c r="G20" s="38" t="str">
        <f t="shared" si="2"/>
        <v>181-300</v>
      </c>
    </row>
    <row r="21" ht="15.75" customHeight="1">
      <c r="A21" s="47" t="s">
        <v>90</v>
      </c>
      <c r="B21" s="34" t="s">
        <v>45</v>
      </c>
      <c r="C21" s="35">
        <v>63026.22</v>
      </c>
      <c r="D21" s="35">
        <v>-66251.85</v>
      </c>
      <c r="E21" s="36" t="s">
        <v>91</v>
      </c>
      <c r="F21" s="37">
        <v>264.0</v>
      </c>
      <c r="G21" s="38" t="str">
        <f t="shared" si="2"/>
        <v>181-300</v>
      </c>
    </row>
    <row r="22" ht="15.75" customHeight="1">
      <c r="A22" s="34" t="s">
        <v>92</v>
      </c>
      <c r="B22" s="34" t="s">
        <v>53</v>
      </c>
      <c r="C22" s="35">
        <v>28609.55</v>
      </c>
      <c r="D22" s="35">
        <v>-28242.9</v>
      </c>
      <c r="E22" s="36" t="s">
        <v>93</v>
      </c>
      <c r="F22" s="37">
        <v>264.0</v>
      </c>
      <c r="G22" s="38" t="str">
        <f t="shared" si="2"/>
        <v>181-300</v>
      </c>
    </row>
    <row r="23" ht="15.75" customHeight="1">
      <c r="A23" s="34" t="s">
        <v>94</v>
      </c>
      <c r="B23" s="34" t="s">
        <v>53</v>
      </c>
      <c r="C23" s="35">
        <v>29123.48</v>
      </c>
      <c r="D23" s="35">
        <v>-28242.9</v>
      </c>
      <c r="E23" s="36" t="s">
        <v>95</v>
      </c>
      <c r="F23" s="37">
        <v>246.0</v>
      </c>
      <c r="G23" s="38" t="str">
        <f t="shared" si="2"/>
        <v>181-300</v>
      </c>
    </row>
    <row r="24" ht="15.75" customHeight="1">
      <c r="A24" s="34" t="s">
        <v>96</v>
      </c>
      <c r="B24" s="34" t="s">
        <v>53</v>
      </c>
      <c r="C24" s="35">
        <v>31285.02</v>
      </c>
      <c r="D24" s="35">
        <v>-30150.75</v>
      </c>
      <c r="E24" s="36" t="s">
        <v>97</v>
      </c>
      <c r="F24" s="37">
        <v>225.0</v>
      </c>
      <c r="G24" s="38" t="str">
        <f t="shared" si="2"/>
        <v>181-300</v>
      </c>
    </row>
    <row r="25" ht="15.75" customHeight="1">
      <c r="A25" s="34" t="s">
        <v>98</v>
      </c>
      <c r="B25" s="34" t="s">
        <v>53</v>
      </c>
      <c r="C25" s="35">
        <v>30970.02</v>
      </c>
      <c r="D25" s="35">
        <v>-30150.75</v>
      </c>
      <c r="E25" s="36" t="s">
        <v>99</v>
      </c>
      <c r="F25" s="37">
        <v>224.0</v>
      </c>
      <c r="G25" s="38" t="str">
        <f t="shared" si="2"/>
        <v>181-300</v>
      </c>
    </row>
    <row r="26" ht="15.75" customHeight="1">
      <c r="A26" s="34" t="s">
        <v>100</v>
      </c>
      <c r="B26" s="34" t="s">
        <v>53</v>
      </c>
      <c r="C26" s="35">
        <v>29938.33</v>
      </c>
      <c r="D26" s="35">
        <v>-30150.75</v>
      </c>
      <c r="E26" s="36" t="s">
        <v>101</v>
      </c>
      <c r="F26" s="37">
        <v>224.0</v>
      </c>
      <c r="G26" s="38" t="str">
        <f t="shared" si="2"/>
        <v>181-300</v>
      </c>
      <c r="J26" s="43"/>
    </row>
    <row r="27" ht="15.75" customHeight="1">
      <c r="A27" s="34" t="s">
        <v>102</v>
      </c>
      <c r="B27" s="34" t="s">
        <v>53</v>
      </c>
      <c r="C27" s="35">
        <v>31135.02</v>
      </c>
      <c r="D27" s="35">
        <v>-30150.75</v>
      </c>
      <c r="E27" s="36" t="s">
        <v>103</v>
      </c>
      <c r="F27" s="37">
        <v>217.0</v>
      </c>
      <c r="G27" s="38" t="str">
        <f t="shared" si="2"/>
        <v>181-300</v>
      </c>
    </row>
    <row r="28" ht="15.75" customHeight="1">
      <c r="A28" s="34" t="s">
        <v>104</v>
      </c>
      <c r="B28" s="34" t="s">
        <v>14</v>
      </c>
      <c r="C28" s="35">
        <v>34455.86</v>
      </c>
      <c r="D28" s="35">
        <v>-34559.7</v>
      </c>
      <c r="E28" s="36" t="s">
        <v>105</v>
      </c>
      <c r="F28" s="37">
        <v>196.0</v>
      </c>
      <c r="G28" s="38" t="str">
        <f t="shared" si="2"/>
        <v>181-300</v>
      </c>
    </row>
    <row r="29" ht="15.75" customHeight="1">
      <c r="A29" s="47" t="s">
        <v>106</v>
      </c>
      <c r="B29" s="34" t="s">
        <v>14</v>
      </c>
      <c r="C29" s="35">
        <v>33107.82</v>
      </c>
      <c r="D29" s="35">
        <v>-34559.7</v>
      </c>
      <c r="E29" s="36" t="s">
        <v>107</v>
      </c>
      <c r="F29" s="37">
        <v>196.0</v>
      </c>
      <c r="G29" s="38" t="str">
        <f t="shared" si="2"/>
        <v>181-300</v>
      </c>
    </row>
    <row r="30" ht="15.75" customHeight="1">
      <c r="A30" s="47" t="s">
        <v>108</v>
      </c>
      <c r="B30" s="34" t="s">
        <v>14</v>
      </c>
      <c r="C30" s="35">
        <v>39075.96</v>
      </c>
      <c r="D30" s="35">
        <v>-39258.45</v>
      </c>
      <c r="E30" s="36" t="s">
        <v>109</v>
      </c>
      <c r="F30" s="37">
        <v>195.0</v>
      </c>
      <c r="G30" s="38" t="str">
        <f t="shared" si="2"/>
        <v>181-300</v>
      </c>
    </row>
    <row r="31" ht="15.75" customHeight="1">
      <c r="A31" s="47" t="s">
        <v>110</v>
      </c>
      <c r="B31" s="34" t="s">
        <v>14</v>
      </c>
      <c r="C31" s="35">
        <v>39043.82</v>
      </c>
      <c r="D31" s="35">
        <v>-40792.5</v>
      </c>
      <c r="E31" s="36" t="s">
        <v>111</v>
      </c>
      <c r="F31" s="37">
        <v>195.0</v>
      </c>
      <c r="G31" s="38" t="str">
        <f t="shared" si="2"/>
        <v>181-300</v>
      </c>
    </row>
    <row r="32" ht="15.75" customHeight="1">
      <c r="A32" s="47" t="s">
        <v>112</v>
      </c>
      <c r="B32" s="34" t="s">
        <v>14</v>
      </c>
      <c r="C32" s="35">
        <v>39038.82</v>
      </c>
      <c r="D32" s="35">
        <v>-40792.5</v>
      </c>
      <c r="E32" s="36" t="s">
        <v>113</v>
      </c>
      <c r="F32" s="37">
        <v>190.0</v>
      </c>
      <c r="G32" s="38" t="str">
        <f t="shared" si="2"/>
        <v>181-300</v>
      </c>
    </row>
    <row r="33" ht="15.75" customHeight="1">
      <c r="A33" s="47" t="s">
        <v>114</v>
      </c>
      <c r="B33" s="34" t="s">
        <v>14</v>
      </c>
      <c r="C33" s="35">
        <v>39043.82</v>
      </c>
      <c r="D33" s="35">
        <v>-40792.5</v>
      </c>
      <c r="E33" s="36" t="s">
        <v>115</v>
      </c>
      <c r="F33" s="37">
        <v>189.0</v>
      </c>
      <c r="G33" s="38" t="str">
        <f t="shared" si="2"/>
        <v>181-300</v>
      </c>
    </row>
    <row r="34" ht="15.75" customHeight="1">
      <c r="A34" s="47" t="s">
        <v>116</v>
      </c>
      <c r="B34" s="34" t="s">
        <v>14</v>
      </c>
      <c r="C34" s="35">
        <v>39501.82</v>
      </c>
      <c r="D34" s="35">
        <v>-41273.4</v>
      </c>
      <c r="E34" s="36" t="s">
        <v>117</v>
      </c>
      <c r="F34" s="37">
        <v>180.0</v>
      </c>
      <c r="G34" s="38" t="str">
        <f t="shared" si="2"/>
        <v>121-180</v>
      </c>
    </row>
    <row r="35" ht="15.75" customHeight="1">
      <c r="A35" s="47" t="s">
        <v>118</v>
      </c>
      <c r="B35" s="34" t="s">
        <v>14</v>
      </c>
      <c r="C35" s="35">
        <v>38045.82</v>
      </c>
      <c r="D35" s="35">
        <v>-39744.6</v>
      </c>
      <c r="E35" s="36" t="s">
        <v>119</v>
      </c>
      <c r="F35" s="37">
        <v>180.0</v>
      </c>
      <c r="G35" s="38" t="str">
        <f t="shared" si="2"/>
        <v>121-180</v>
      </c>
    </row>
    <row r="36" ht="15.75" customHeight="1">
      <c r="A36" s="47" t="s">
        <v>120</v>
      </c>
      <c r="B36" s="34" t="s">
        <v>14</v>
      </c>
      <c r="C36" s="35">
        <v>37968.87</v>
      </c>
      <c r="D36" s="43"/>
      <c r="E36" s="36" t="s">
        <v>121</v>
      </c>
      <c r="F36" s="37">
        <v>173.0</v>
      </c>
      <c r="G36" s="38" t="str">
        <f t="shared" si="2"/>
        <v>121-180</v>
      </c>
    </row>
    <row r="37" ht="15.75" customHeight="1">
      <c r="A37" s="34" t="s">
        <v>122</v>
      </c>
      <c r="B37" s="34" t="s">
        <v>14</v>
      </c>
      <c r="C37" s="35">
        <v>34786.68</v>
      </c>
      <c r="D37" s="35">
        <v>-34633.2</v>
      </c>
      <c r="E37" s="36" t="s">
        <v>123</v>
      </c>
      <c r="F37" s="37">
        <v>168.0</v>
      </c>
      <c r="G37" s="38" t="str">
        <f t="shared" si="2"/>
        <v>121-180</v>
      </c>
    </row>
    <row r="38" ht="15.75" customHeight="1">
      <c r="A38" s="34" t="s">
        <v>124</v>
      </c>
      <c r="B38" s="34" t="s">
        <v>12</v>
      </c>
      <c r="C38" s="35">
        <v>27907.82</v>
      </c>
      <c r="D38" s="35">
        <v>-28977.9</v>
      </c>
      <c r="E38" s="36" t="s">
        <v>125</v>
      </c>
      <c r="F38" s="37">
        <v>168.0</v>
      </c>
      <c r="G38" s="38" t="str">
        <f t="shared" si="2"/>
        <v>121-180</v>
      </c>
    </row>
    <row r="39" ht="15.75" customHeight="1">
      <c r="A39" s="47" t="s">
        <v>126</v>
      </c>
      <c r="B39" s="34" t="s">
        <v>14</v>
      </c>
      <c r="C39" s="35">
        <v>39043.82</v>
      </c>
      <c r="D39" s="35">
        <v>-40792.5</v>
      </c>
      <c r="E39" s="36" t="s">
        <v>127</v>
      </c>
      <c r="F39" s="37">
        <v>161.0</v>
      </c>
      <c r="G39" s="38" t="str">
        <f t="shared" si="2"/>
        <v>121-180</v>
      </c>
    </row>
    <row r="40" ht="15.75" customHeight="1">
      <c r="A40" s="34" t="s">
        <v>128</v>
      </c>
      <c r="B40" s="34" t="s">
        <v>16</v>
      </c>
      <c r="C40" s="35">
        <v>40219.9</v>
      </c>
      <c r="D40" s="35">
        <v>-41778.45</v>
      </c>
      <c r="E40" s="36" t="s">
        <v>129</v>
      </c>
      <c r="F40" s="37">
        <v>160.0</v>
      </c>
      <c r="G40" s="38" t="str">
        <f t="shared" si="2"/>
        <v>121-180</v>
      </c>
    </row>
    <row r="41" ht="15.75" customHeight="1">
      <c r="A41" s="47" t="s">
        <v>130</v>
      </c>
      <c r="B41" s="34" t="s">
        <v>14</v>
      </c>
      <c r="C41" s="35">
        <v>37582.82</v>
      </c>
      <c r="D41" s="35">
        <v>-39258.45</v>
      </c>
      <c r="E41" s="36" t="s">
        <v>131</v>
      </c>
      <c r="F41" s="37">
        <v>160.0</v>
      </c>
      <c r="G41" s="38" t="str">
        <f t="shared" si="2"/>
        <v>121-180</v>
      </c>
    </row>
    <row r="42" ht="15.75" customHeight="1">
      <c r="A42" s="47" t="s">
        <v>132</v>
      </c>
      <c r="B42" s="34" t="s">
        <v>14</v>
      </c>
      <c r="C42" s="35">
        <v>37582.82</v>
      </c>
      <c r="D42" s="35">
        <v>-39258.45</v>
      </c>
      <c r="E42" s="36" t="s">
        <v>133</v>
      </c>
      <c r="F42" s="37">
        <v>160.0</v>
      </c>
      <c r="G42" s="38" t="str">
        <f t="shared" si="2"/>
        <v>121-180</v>
      </c>
    </row>
    <row r="43" ht="15.75" customHeight="1">
      <c r="A43" s="47" t="s">
        <v>134</v>
      </c>
      <c r="B43" s="34" t="s">
        <v>14</v>
      </c>
      <c r="C43" s="35">
        <v>39043.82</v>
      </c>
      <c r="D43" s="35">
        <v>-40792.5</v>
      </c>
      <c r="E43" s="36" t="s">
        <v>135</v>
      </c>
      <c r="F43" s="37">
        <v>159.0</v>
      </c>
      <c r="G43" s="38" t="str">
        <f t="shared" si="2"/>
        <v>121-180</v>
      </c>
    </row>
    <row r="44" ht="15.75" customHeight="1">
      <c r="A44" s="34" t="s">
        <v>136</v>
      </c>
      <c r="B44" s="34" t="s">
        <v>16</v>
      </c>
      <c r="C44" s="35">
        <v>38299.09</v>
      </c>
      <c r="D44" s="35">
        <v>-38935.05</v>
      </c>
      <c r="E44" s="36" t="s">
        <v>137</v>
      </c>
      <c r="F44" s="37">
        <v>159.0</v>
      </c>
      <c r="G44" s="38" t="str">
        <f t="shared" si="2"/>
        <v>121-180</v>
      </c>
    </row>
    <row r="45" ht="15.75" customHeight="1">
      <c r="A45" s="34" t="s">
        <v>138</v>
      </c>
      <c r="B45" s="34" t="s">
        <v>12</v>
      </c>
      <c r="C45" s="35">
        <v>28697.22</v>
      </c>
      <c r="D45" s="35">
        <v>-28977.9</v>
      </c>
      <c r="E45" s="36" t="s">
        <v>139</v>
      </c>
      <c r="F45" s="37">
        <v>159.0</v>
      </c>
      <c r="G45" s="38" t="str">
        <f t="shared" si="2"/>
        <v>121-180</v>
      </c>
    </row>
    <row r="46" ht="15.75" customHeight="1">
      <c r="A46" s="34" t="s">
        <v>140</v>
      </c>
      <c r="B46" s="34" t="s">
        <v>12</v>
      </c>
      <c r="C46" s="35">
        <v>28643.22</v>
      </c>
      <c r="D46" s="35">
        <v>-28977.9</v>
      </c>
      <c r="E46" s="36" t="s">
        <v>141</v>
      </c>
      <c r="F46" s="37">
        <v>159.0</v>
      </c>
      <c r="G46" s="38" t="str">
        <f t="shared" si="2"/>
        <v>121-180</v>
      </c>
    </row>
    <row r="47" ht="15.75" customHeight="1">
      <c r="A47" s="34" t="s">
        <v>142</v>
      </c>
      <c r="B47" s="34" t="s">
        <v>10</v>
      </c>
      <c r="C47" s="35">
        <v>84885.22</v>
      </c>
      <c r="D47" s="35">
        <v>-88722.9</v>
      </c>
      <c r="E47" s="36" t="s">
        <v>143</v>
      </c>
      <c r="F47" s="37">
        <v>145.0</v>
      </c>
      <c r="G47" s="38" t="str">
        <f t="shared" si="2"/>
        <v>121-180</v>
      </c>
    </row>
    <row r="48" ht="15.75" customHeight="1">
      <c r="A48" s="34" t="s">
        <v>144</v>
      </c>
      <c r="B48" s="34" t="s">
        <v>16</v>
      </c>
      <c r="C48" s="35">
        <v>37941.99</v>
      </c>
      <c r="D48" s="35">
        <v>-38935.05</v>
      </c>
      <c r="E48" s="36" t="s">
        <v>145</v>
      </c>
      <c r="F48" s="37">
        <v>127.0</v>
      </c>
      <c r="G48" s="38" t="str">
        <f t="shared" si="2"/>
        <v>121-180</v>
      </c>
    </row>
    <row r="49" ht="15.75" customHeight="1">
      <c r="A49" s="34" t="s">
        <v>146</v>
      </c>
      <c r="B49" s="34" t="s">
        <v>14</v>
      </c>
      <c r="C49" s="35">
        <v>34586.17</v>
      </c>
      <c r="D49" s="35">
        <v>-34559.7</v>
      </c>
      <c r="E49" s="36" t="s">
        <v>147</v>
      </c>
      <c r="F49" s="37">
        <v>124.0</v>
      </c>
      <c r="G49" s="38" t="str">
        <f t="shared" si="2"/>
        <v>121-180</v>
      </c>
    </row>
    <row r="50" ht="15.75" customHeight="1">
      <c r="A50" s="47" t="s">
        <v>148</v>
      </c>
      <c r="B50" s="34" t="s">
        <v>14</v>
      </c>
      <c r="C50" s="35">
        <v>38045.82</v>
      </c>
      <c r="D50" s="35">
        <v>-39744.6</v>
      </c>
      <c r="E50" s="36" t="s">
        <v>149</v>
      </c>
      <c r="F50" s="37">
        <v>120.0</v>
      </c>
      <c r="G50" s="38" t="str">
        <f t="shared" si="2"/>
        <v>91-120</v>
      </c>
    </row>
    <row r="51" ht="15.75" customHeight="1">
      <c r="A51" s="47" t="s">
        <v>150</v>
      </c>
      <c r="B51" s="34" t="s">
        <v>14</v>
      </c>
      <c r="C51" s="35">
        <v>37577.82</v>
      </c>
      <c r="D51" s="35">
        <v>-39258.45</v>
      </c>
      <c r="E51" s="36" t="s">
        <v>151</v>
      </c>
      <c r="F51" s="37">
        <v>117.0</v>
      </c>
      <c r="G51" s="38" t="str">
        <f t="shared" si="2"/>
        <v>91-120</v>
      </c>
    </row>
    <row r="52" ht="15.75" customHeight="1">
      <c r="A52" s="34" t="s">
        <v>152</v>
      </c>
      <c r="B52" s="34" t="s">
        <v>16</v>
      </c>
      <c r="C52" s="35">
        <v>37923.99</v>
      </c>
      <c r="D52" s="35">
        <v>-38935.05</v>
      </c>
      <c r="E52" s="36" t="s">
        <v>153</v>
      </c>
      <c r="F52" s="37">
        <v>113.0</v>
      </c>
      <c r="G52" s="38" t="str">
        <f t="shared" si="2"/>
        <v>91-120</v>
      </c>
    </row>
    <row r="53" ht="15.75" customHeight="1">
      <c r="A53" s="47" t="s">
        <v>154</v>
      </c>
      <c r="B53" s="34" t="s">
        <v>16</v>
      </c>
      <c r="C53" s="35">
        <v>36966.82</v>
      </c>
      <c r="D53" s="35">
        <v>-38935.05</v>
      </c>
      <c r="E53" s="36" t="s">
        <v>155</v>
      </c>
      <c r="F53" s="37">
        <v>113.0</v>
      </c>
      <c r="G53" s="38" t="str">
        <f t="shared" si="2"/>
        <v>91-120</v>
      </c>
    </row>
    <row r="54" ht="15.75" customHeight="1">
      <c r="A54" s="34" t="s">
        <v>156</v>
      </c>
      <c r="B54" s="34" t="s">
        <v>157</v>
      </c>
      <c r="C54" s="35">
        <v>62201.33</v>
      </c>
      <c r="D54" s="35">
        <v>-63725.55</v>
      </c>
      <c r="E54" s="36" t="s">
        <v>158</v>
      </c>
      <c r="F54" s="37">
        <v>112.0</v>
      </c>
      <c r="G54" s="38" t="str">
        <f t="shared" si="2"/>
        <v>91-120</v>
      </c>
    </row>
    <row r="55" ht="15.75" customHeight="1">
      <c r="A55" s="34" t="s">
        <v>159</v>
      </c>
      <c r="B55" s="34" t="s">
        <v>14</v>
      </c>
      <c r="C55" s="35">
        <v>38809.82</v>
      </c>
      <c r="D55" s="35">
        <v>-40792.5</v>
      </c>
      <c r="E55" s="36" t="s">
        <v>160</v>
      </c>
      <c r="F55" s="37">
        <v>112.0</v>
      </c>
      <c r="G55" s="38" t="str">
        <f t="shared" si="2"/>
        <v>91-120</v>
      </c>
    </row>
    <row r="56" ht="15.75" customHeight="1">
      <c r="A56" s="47" t="s">
        <v>161</v>
      </c>
      <c r="B56" s="34" t="s">
        <v>14</v>
      </c>
      <c r="C56" s="35">
        <v>37348.82</v>
      </c>
      <c r="D56" s="35">
        <v>-39258.45</v>
      </c>
      <c r="E56" s="36" t="s">
        <v>162</v>
      </c>
      <c r="F56" s="37">
        <v>112.0</v>
      </c>
      <c r="G56" s="38" t="str">
        <f t="shared" si="2"/>
        <v>91-120</v>
      </c>
    </row>
    <row r="57" ht="15.75" customHeight="1">
      <c r="A57" s="34" t="s">
        <v>163</v>
      </c>
      <c r="B57" s="34" t="s">
        <v>16</v>
      </c>
      <c r="C57" s="35">
        <v>47974.82</v>
      </c>
      <c r="D57" s="35">
        <v>-50138.55</v>
      </c>
      <c r="E57" s="36" t="s">
        <v>164</v>
      </c>
      <c r="F57" s="37">
        <v>111.0</v>
      </c>
      <c r="G57" s="38" t="str">
        <f t="shared" si="2"/>
        <v>91-120</v>
      </c>
    </row>
    <row r="58" ht="15.75" customHeight="1">
      <c r="A58" s="47" t="s">
        <v>165</v>
      </c>
      <c r="B58" s="34" t="s">
        <v>14</v>
      </c>
      <c r="C58" s="35">
        <v>38724.82</v>
      </c>
      <c r="D58" s="35">
        <v>-40792.5</v>
      </c>
      <c r="E58" s="36" t="s">
        <v>166</v>
      </c>
      <c r="F58" s="37">
        <v>111.0</v>
      </c>
      <c r="G58" s="38" t="str">
        <f t="shared" si="2"/>
        <v>91-120</v>
      </c>
    </row>
    <row r="59" ht="15.75" customHeight="1">
      <c r="A59" s="47" t="s">
        <v>167</v>
      </c>
      <c r="B59" s="34" t="s">
        <v>14</v>
      </c>
      <c r="C59" s="35">
        <v>37811.82</v>
      </c>
      <c r="D59" s="35">
        <v>-39739.35</v>
      </c>
      <c r="E59" s="36" t="s">
        <v>168</v>
      </c>
      <c r="F59" s="37">
        <v>98.0</v>
      </c>
      <c r="G59" s="38" t="str">
        <f t="shared" si="2"/>
        <v>91-120</v>
      </c>
    </row>
    <row r="60" ht="15.75" customHeight="1">
      <c r="A60" s="47" t="s">
        <v>169</v>
      </c>
      <c r="B60" s="34" t="s">
        <v>14</v>
      </c>
      <c r="C60" s="35">
        <v>37492.82</v>
      </c>
      <c r="D60" s="35">
        <v>-39258.45</v>
      </c>
      <c r="E60" s="36" t="s">
        <v>170</v>
      </c>
      <c r="F60" s="37">
        <v>98.0</v>
      </c>
      <c r="G60" s="38" t="str">
        <f t="shared" si="2"/>
        <v>91-120</v>
      </c>
    </row>
    <row r="61" ht="15.75" customHeight="1">
      <c r="A61" s="34" t="s">
        <v>171</v>
      </c>
      <c r="B61" s="34" t="s">
        <v>14</v>
      </c>
      <c r="C61" s="35">
        <v>34735.17</v>
      </c>
      <c r="D61" s="35">
        <v>-34559.7</v>
      </c>
      <c r="E61" s="36" t="s">
        <v>172</v>
      </c>
      <c r="F61" s="37">
        <v>98.0</v>
      </c>
      <c r="G61" s="38" t="str">
        <f t="shared" si="2"/>
        <v>91-120</v>
      </c>
    </row>
    <row r="62" ht="15.75" customHeight="1">
      <c r="A62" s="47" t="s">
        <v>173</v>
      </c>
      <c r="B62" s="34" t="s">
        <v>16</v>
      </c>
      <c r="C62" s="35">
        <v>39679.82</v>
      </c>
      <c r="D62" s="35">
        <v>-41783.7</v>
      </c>
      <c r="E62" s="36" t="s">
        <v>174</v>
      </c>
      <c r="F62" s="37">
        <v>83.0</v>
      </c>
      <c r="G62" s="38" t="str">
        <f t="shared" si="2"/>
        <v>61-90</v>
      </c>
    </row>
    <row r="63" ht="15.75" customHeight="1">
      <c r="A63" s="47" t="s">
        <v>175</v>
      </c>
      <c r="B63" s="34" t="s">
        <v>16</v>
      </c>
      <c r="C63" s="35">
        <v>39589.82</v>
      </c>
      <c r="D63" s="35">
        <v>-41783.7</v>
      </c>
      <c r="E63" s="36" t="s">
        <v>176</v>
      </c>
      <c r="F63" s="37">
        <v>83.0</v>
      </c>
      <c r="G63" s="38" t="str">
        <f t="shared" si="2"/>
        <v>61-90</v>
      </c>
    </row>
    <row r="64" ht="15.75" customHeight="1">
      <c r="A64" s="47" t="s">
        <v>177</v>
      </c>
      <c r="B64" s="34" t="s">
        <v>14</v>
      </c>
      <c r="C64" s="35">
        <v>39048.82</v>
      </c>
      <c r="D64" s="35">
        <v>-40797.75</v>
      </c>
      <c r="E64" s="36" t="s">
        <v>178</v>
      </c>
      <c r="F64" s="37">
        <v>83.0</v>
      </c>
      <c r="G64" s="38" t="str">
        <f t="shared" si="2"/>
        <v>61-90</v>
      </c>
    </row>
    <row r="65" ht="15.75" customHeight="1">
      <c r="A65" s="47" t="s">
        <v>179</v>
      </c>
      <c r="B65" s="34" t="s">
        <v>16</v>
      </c>
      <c r="C65" s="35">
        <v>36966.82</v>
      </c>
      <c r="D65" s="35">
        <v>-38940.3</v>
      </c>
      <c r="E65" s="36" t="s">
        <v>180</v>
      </c>
      <c r="F65" s="37">
        <v>82.0</v>
      </c>
      <c r="G65" s="38" t="str">
        <f t="shared" si="2"/>
        <v>61-90</v>
      </c>
    </row>
    <row r="66" ht="15.75" customHeight="1">
      <c r="A66" s="47" t="s">
        <v>181</v>
      </c>
      <c r="B66" s="34" t="s">
        <v>16</v>
      </c>
      <c r="C66" s="35">
        <v>48094.82</v>
      </c>
      <c r="D66" s="35">
        <v>-50624.7</v>
      </c>
      <c r="E66" s="36" t="s">
        <v>182</v>
      </c>
      <c r="F66" s="37">
        <v>78.0</v>
      </c>
      <c r="G66" s="38" t="str">
        <f t="shared" si="2"/>
        <v>61-90</v>
      </c>
    </row>
    <row r="67" ht="15.75" customHeight="1">
      <c r="A67" s="47" t="s">
        <v>183</v>
      </c>
      <c r="B67" s="34" t="s">
        <v>16</v>
      </c>
      <c r="C67" s="35">
        <v>47641.82</v>
      </c>
      <c r="D67" s="35">
        <v>-50143.8</v>
      </c>
      <c r="E67" s="36" t="s">
        <v>184</v>
      </c>
      <c r="F67" s="37">
        <v>78.0</v>
      </c>
      <c r="G67" s="38" t="str">
        <f t="shared" si="2"/>
        <v>61-90</v>
      </c>
    </row>
    <row r="68" ht="15.75" customHeight="1">
      <c r="A68" s="47" t="s">
        <v>185</v>
      </c>
      <c r="B68" s="34" t="s">
        <v>186</v>
      </c>
      <c r="C68" s="35">
        <v>40943.82</v>
      </c>
      <c r="D68" s="35">
        <v>-43100.4</v>
      </c>
      <c r="E68" s="36" t="s">
        <v>187</v>
      </c>
      <c r="F68" s="37">
        <v>76.0</v>
      </c>
      <c r="G68" s="38" t="str">
        <f t="shared" si="2"/>
        <v>61-90</v>
      </c>
    </row>
    <row r="69" ht="15.75" customHeight="1">
      <c r="A69" s="47" t="s">
        <v>188</v>
      </c>
      <c r="B69" s="34" t="s">
        <v>16</v>
      </c>
      <c r="C69" s="35">
        <v>36881.82</v>
      </c>
      <c r="D69" s="35">
        <v>-38940.3</v>
      </c>
      <c r="E69" s="36" t="s">
        <v>189</v>
      </c>
      <c r="F69" s="37">
        <v>76.0</v>
      </c>
      <c r="G69" s="38" t="str">
        <f t="shared" si="2"/>
        <v>61-90</v>
      </c>
    </row>
    <row r="70" ht="15.75" customHeight="1">
      <c r="A70" s="47" t="s">
        <v>190</v>
      </c>
      <c r="B70" s="34" t="s">
        <v>16</v>
      </c>
      <c r="C70" s="35">
        <v>47636.82</v>
      </c>
      <c r="D70" s="35">
        <v>-50143.8</v>
      </c>
      <c r="E70" s="36" t="s">
        <v>191</v>
      </c>
      <c r="F70" s="37">
        <v>75.0</v>
      </c>
      <c r="G70" s="38" t="str">
        <f t="shared" si="2"/>
        <v>61-90</v>
      </c>
    </row>
    <row r="71" ht="15.75" customHeight="1">
      <c r="A71" s="47" t="s">
        <v>192</v>
      </c>
      <c r="B71" s="34" t="s">
        <v>16</v>
      </c>
      <c r="C71" s="35">
        <v>47636.82</v>
      </c>
      <c r="D71" s="35">
        <v>-50143.8</v>
      </c>
      <c r="E71" s="36" t="s">
        <v>193</v>
      </c>
      <c r="F71" s="37">
        <v>75.0</v>
      </c>
      <c r="G71" s="38" t="str">
        <f t="shared" si="2"/>
        <v>61-90</v>
      </c>
    </row>
    <row r="72" ht="15.75" customHeight="1">
      <c r="A72" s="47" t="s">
        <v>194</v>
      </c>
      <c r="B72" s="34" t="s">
        <v>16</v>
      </c>
      <c r="C72" s="35">
        <v>39679.82</v>
      </c>
      <c r="D72" s="35">
        <v>-41783.7</v>
      </c>
      <c r="E72" s="36" t="s">
        <v>195</v>
      </c>
      <c r="F72" s="37">
        <v>75.0</v>
      </c>
      <c r="G72" s="38" t="str">
        <f t="shared" si="2"/>
        <v>61-90</v>
      </c>
    </row>
    <row r="73" ht="15.75" customHeight="1">
      <c r="A73" s="47" t="s">
        <v>196</v>
      </c>
      <c r="B73" s="34" t="s">
        <v>16</v>
      </c>
      <c r="C73" s="35">
        <v>39679.82</v>
      </c>
      <c r="D73" s="35">
        <v>-41783.7</v>
      </c>
      <c r="E73" s="36" t="s">
        <v>197</v>
      </c>
      <c r="F73" s="37">
        <v>75.0</v>
      </c>
      <c r="G73" s="38" t="str">
        <f t="shared" si="2"/>
        <v>61-90</v>
      </c>
    </row>
    <row r="74" ht="15.75" customHeight="1">
      <c r="A74" s="47" t="s">
        <v>198</v>
      </c>
      <c r="B74" s="34" t="s">
        <v>16</v>
      </c>
      <c r="C74" s="35">
        <v>44159.27</v>
      </c>
      <c r="D74" s="43"/>
      <c r="E74" s="36" t="s">
        <v>199</v>
      </c>
      <c r="F74" s="37">
        <v>69.0</v>
      </c>
      <c r="G74" s="38" t="str">
        <f t="shared" si="2"/>
        <v>61-90</v>
      </c>
    </row>
    <row r="75" ht="15.75" customHeight="1">
      <c r="A75" s="47" t="s">
        <v>200</v>
      </c>
      <c r="B75" s="34" t="s">
        <v>14</v>
      </c>
      <c r="C75" s="35">
        <v>37268.82</v>
      </c>
      <c r="D75" s="35">
        <v>-39263.7</v>
      </c>
      <c r="E75" s="36" t="s">
        <v>201</v>
      </c>
      <c r="F75" s="37">
        <v>61.0</v>
      </c>
      <c r="G75" s="38" t="str">
        <f t="shared" si="2"/>
        <v>61-90</v>
      </c>
    </row>
    <row r="76" ht="15.75" customHeight="1">
      <c r="A76" s="47" t="s">
        <v>202</v>
      </c>
      <c r="B76" s="34" t="s">
        <v>14</v>
      </c>
      <c r="C76" s="35">
        <v>37268.82</v>
      </c>
      <c r="D76" s="35">
        <v>-39263.7</v>
      </c>
      <c r="E76" s="36" t="s">
        <v>203</v>
      </c>
      <c r="F76" s="37">
        <v>54.0</v>
      </c>
      <c r="G76" s="38" t="str">
        <f t="shared" si="2"/>
        <v>31-60</v>
      </c>
    </row>
    <row r="77" ht="15.75" customHeight="1">
      <c r="A77" s="34" t="s">
        <v>204</v>
      </c>
      <c r="B77" s="34" t="s">
        <v>16</v>
      </c>
      <c r="C77" s="35">
        <v>46051.08</v>
      </c>
      <c r="D77" s="35">
        <v>-45668.7</v>
      </c>
      <c r="E77" s="36" t="s">
        <v>205</v>
      </c>
      <c r="F77" s="37">
        <v>50.0</v>
      </c>
      <c r="G77" s="38" t="str">
        <f t="shared" si="2"/>
        <v>31-60</v>
      </c>
    </row>
    <row r="78" ht="15.75" customHeight="1">
      <c r="A78" s="47" t="s">
        <v>206</v>
      </c>
      <c r="B78" s="34" t="s">
        <v>16</v>
      </c>
      <c r="C78" s="35">
        <v>36971.82</v>
      </c>
      <c r="D78" s="35">
        <v>-38940.3</v>
      </c>
      <c r="E78" s="36" t="s">
        <v>207</v>
      </c>
      <c r="F78" s="37">
        <v>48.0</v>
      </c>
      <c r="G78" s="38" t="str">
        <f t="shared" si="2"/>
        <v>31-60</v>
      </c>
    </row>
    <row r="79" ht="15.75" customHeight="1">
      <c r="A79" s="47" t="s">
        <v>208</v>
      </c>
      <c r="B79" s="34" t="s">
        <v>16</v>
      </c>
      <c r="C79" s="35">
        <v>36966.82</v>
      </c>
      <c r="D79" s="35">
        <v>-38940.3</v>
      </c>
      <c r="E79" s="36" t="s">
        <v>209</v>
      </c>
      <c r="F79" s="37">
        <v>48.0</v>
      </c>
      <c r="G79" s="38" t="str">
        <f t="shared" si="2"/>
        <v>31-60</v>
      </c>
    </row>
    <row r="80" ht="15.75" customHeight="1">
      <c r="A80" s="47" t="s">
        <v>210</v>
      </c>
      <c r="B80" s="34" t="s">
        <v>16</v>
      </c>
      <c r="C80" s="35">
        <v>36881.82</v>
      </c>
      <c r="D80" s="35">
        <v>-38940.3</v>
      </c>
      <c r="E80" s="36" t="s">
        <v>211</v>
      </c>
      <c r="F80" s="37">
        <v>48.0</v>
      </c>
      <c r="G80" s="38" t="str">
        <f t="shared" si="2"/>
        <v>31-60</v>
      </c>
    </row>
    <row r="81" ht="15.75" customHeight="1">
      <c r="A81" s="47" t="s">
        <v>212</v>
      </c>
      <c r="B81" s="34" t="s">
        <v>14</v>
      </c>
      <c r="C81" s="35">
        <v>38604.82</v>
      </c>
      <c r="D81" s="35">
        <v>-40234.95</v>
      </c>
      <c r="E81" s="36" t="s">
        <v>213</v>
      </c>
      <c r="F81" s="37">
        <v>43.0</v>
      </c>
      <c r="G81" s="38" t="str">
        <f t="shared" si="2"/>
        <v>31-60</v>
      </c>
    </row>
    <row r="82" ht="15.75" customHeight="1">
      <c r="A82" s="34" t="s">
        <v>214</v>
      </c>
      <c r="B82" s="34" t="s">
        <v>14</v>
      </c>
      <c r="C82" s="35">
        <v>38278.82</v>
      </c>
      <c r="D82" s="35">
        <v>-40234.95</v>
      </c>
      <c r="E82" s="36" t="s">
        <v>215</v>
      </c>
      <c r="F82" s="37">
        <v>43.0</v>
      </c>
      <c r="G82" s="38" t="str">
        <f t="shared" si="2"/>
        <v>31-60</v>
      </c>
    </row>
    <row r="83" ht="15.75" customHeight="1">
      <c r="A83" s="47" t="s">
        <v>216</v>
      </c>
      <c r="B83" s="34" t="s">
        <v>14</v>
      </c>
      <c r="C83" s="35">
        <v>37731.82</v>
      </c>
      <c r="D83" s="35">
        <v>-39749.85</v>
      </c>
      <c r="E83" s="36" t="s">
        <v>217</v>
      </c>
      <c r="F83" s="37">
        <v>43.0</v>
      </c>
      <c r="G83" s="38" t="str">
        <f t="shared" si="2"/>
        <v>31-60</v>
      </c>
    </row>
    <row r="84" ht="15.75" customHeight="1">
      <c r="A84" s="47" t="s">
        <v>218</v>
      </c>
      <c r="B84" s="34" t="s">
        <v>14</v>
      </c>
      <c r="C84" s="35">
        <v>37695.92</v>
      </c>
      <c r="D84" s="35">
        <v>-39749.85</v>
      </c>
      <c r="E84" s="36" t="s">
        <v>219</v>
      </c>
      <c r="F84" s="37">
        <v>43.0</v>
      </c>
      <c r="G84" s="38" t="str">
        <f t="shared" si="2"/>
        <v>31-60</v>
      </c>
    </row>
    <row r="85" ht="15.75" customHeight="1">
      <c r="A85" s="47" t="s">
        <v>220</v>
      </c>
      <c r="B85" s="34" t="s">
        <v>16</v>
      </c>
      <c r="C85" s="35">
        <v>36971.82</v>
      </c>
      <c r="D85" s="35">
        <v>-38940.3</v>
      </c>
      <c r="E85" s="36" t="s">
        <v>221</v>
      </c>
      <c r="F85" s="37">
        <v>43.0</v>
      </c>
      <c r="G85" s="38" t="str">
        <f t="shared" si="2"/>
        <v>31-60</v>
      </c>
    </row>
    <row r="86" ht="15.75" customHeight="1">
      <c r="A86" s="47" t="s">
        <v>222</v>
      </c>
      <c r="B86" s="34" t="s">
        <v>16</v>
      </c>
      <c r="C86" s="35">
        <v>43374.82</v>
      </c>
      <c r="D86" s="35">
        <v>-45668.7</v>
      </c>
      <c r="E86" s="36" t="s">
        <v>223</v>
      </c>
      <c r="F86" s="37">
        <v>42.0</v>
      </c>
      <c r="G86" s="38" t="str">
        <f t="shared" si="2"/>
        <v>31-60</v>
      </c>
    </row>
    <row r="87" ht="15.75" customHeight="1">
      <c r="A87" s="47" t="s">
        <v>224</v>
      </c>
      <c r="B87" s="34" t="s">
        <v>16</v>
      </c>
      <c r="C87" s="35">
        <v>43289.82</v>
      </c>
      <c r="D87" s="35">
        <v>-45668.7</v>
      </c>
      <c r="E87" s="36" t="s">
        <v>225</v>
      </c>
      <c r="F87" s="37">
        <v>42.0</v>
      </c>
      <c r="G87" s="38" t="str">
        <f t="shared" si="2"/>
        <v>31-60</v>
      </c>
    </row>
    <row r="88" ht="15.75" customHeight="1">
      <c r="A88" s="47" t="s">
        <v>226</v>
      </c>
      <c r="B88" s="34" t="s">
        <v>16</v>
      </c>
      <c r="C88" s="35">
        <v>36971.82</v>
      </c>
      <c r="D88" s="35">
        <v>-38940.3</v>
      </c>
      <c r="E88" s="36" t="s">
        <v>227</v>
      </c>
      <c r="F88" s="37">
        <v>42.0</v>
      </c>
      <c r="G88" s="38" t="str">
        <f t="shared" si="2"/>
        <v>31-60</v>
      </c>
    </row>
    <row r="89" ht="15.75" customHeight="1">
      <c r="A89" s="47" t="s">
        <v>228</v>
      </c>
      <c r="B89" s="34" t="s">
        <v>229</v>
      </c>
      <c r="C89" s="35">
        <v>58078.67</v>
      </c>
      <c r="D89" s="35">
        <v>-61024.95</v>
      </c>
      <c r="E89" s="36" t="s">
        <v>230</v>
      </c>
      <c r="F89" s="37">
        <v>40.0</v>
      </c>
      <c r="G89" s="38" t="str">
        <f t="shared" si="2"/>
        <v>31-60</v>
      </c>
    </row>
    <row r="90" ht="15.75" customHeight="1">
      <c r="A90" s="47" t="s">
        <v>231</v>
      </c>
      <c r="B90" s="34" t="s">
        <v>16</v>
      </c>
      <c r="C90" s="35">
        <v>47636.82</v>
      </c>
      <c r="D90" s="35">
        <v>-50143.8</v>
      </c>
      <c r="E90" s="36" t="s">
        <v>232</v>
      </c>
      <c r="F90" s="37">
        <v>40.0</v>
      </c>
      <c r="G90" s="38" t="str">
        <f t="shared" si="2"/>
        <v>31-60</v>
      </c>
    </row>
    <row r="91" ht="15.75" customHeight="1">
      <c r="A91" s="47" t="s">
        <v>233</v>
      </c>
      <c r="B91" s="34" t="s">
        <v>16</v>
      </c>
      <c r="C91" s="35">
        <v>39674.82</v>
      </c>
      <c r="D91" s="35">
        <v>-41783.7</v>
      </c>
      <c r="E91" s="36" t="s">
        <v>234</v>
      </c>
      <c r="F91" s="37">
        <v>40.0</v>
      </c>
      <c r="G91" s="38" t="str">
        <f t="shared" si="2"/>
        <v>31-60</v>
      </c>
    </row>
    <row r="92" ht="15.75" customHeight="1">
      <c r="A92" s="47" t="s">
        <v>235</v>
      </c>
      <c r="B92" s="34" t="s">
        <v>14</v>
      </c>
      <c r="C92" s="35">
        <v>33114.82</v>
      </c>
      <c r="D92" s="35">
        <v>-34564.95</v>
      </c>
      <c r="E92" s="36" t="s">
        <v>236</v>
      </c>
      <c r="F92" s="37">
        <v>40.0</v>
      </c>
      <c r="G92" s="38" t="str">
        <f t="shared" si="2"/>
        <v>31-60</v>
      </c>
    </row>
    <row r="93" ht="15.75" customHeight="1">
      <c r="A93" s="47" t="s">
        <v>237</v>
      </c>
      <c r="B93" s="34" t="s">
        <v>14</v>
      </c>
      <c r="C93" s="35">
        <v>32878.82</v>
      </c>
      <c r="D93" s="35">
        <v>-34564.95</v>
      </c>
      <c r="E93" s="36" t="s">
        <v>238</v>
      </c>
      <c r="F93" s="37">
        <v>40.0</v>
      </c>
      <c r="G93" s="38" t="str">
        <f t="shared" si="2"/>
        <v>31-60</v>
      </c>
    </row>
    <row r="94" ht="15.75" customHeight="1">
      <c r="A94" s="47" t="s">
        <v>239</v>
      </c>
      <c r="B94" s="34" t="s">
        <v>16</v>
      </c>
      <c r="C94" s="35">
        <v>48009.82</v>
      </c>
      <c r="D94" s="35">
        <v>-50624.7</v>
      </c>
      <c r="E94" s="36" t="s">
        <v>240</v>
      </c>
      <c r="F94" s="37">
        <v>36.0</v>
      </c>
      <c r="G94" s="38" t="str">
        <f t="shared" si="2"/>
        <v>31-60</v>
      </c>
    </row>
    <row r="95" ht="15.75" customHeight="1">
      <c r="A95" s="34" t="s">
        <v>241</v>
      </c>
      <c r="B95" s="34" t="s">
        <v>16</v>
      </c>
      <c r="C95" s="35">
        <v>42826.82</v>
      </c>
      <c r="D95" s="35">
        <v>-45182.55</v>
      </c>
      <c r="E95" s="36" t="s">
        <v>242</v>
      </c>
      <c r="F95" s="37">
        <v>36.0</v>
      </c>
      <c r="G95" s="38" t="str">
        <f t="shared" si="2"/>
        <v>31-60</v>
      </c>
    </row>
    <row r="96" ht="15.75" customHeight="1">
      <c r="A96" s="47" t="s">
        <v>243</v>
      </c>
      <c r="B96" s="34" t="s">
        <v>14</v>
      </c>
      <c r="C96" s="35">
        <v>38278.82</v>
      </c>
      <c r="D96" s="35">
        <v>-40234.95</v>
      </c>
      <c r="E96" s="36" t="s">
        <v>244</v>
      </c>
      <c r="F96" s="37">
        <v>36.0</v>
      </c>
      <c r="G96" s="38" t="str">
        <f t="shared" si="2"/>
        <v>31-60</v>
      </c>
    </row>
    <row r="97" ht="15.75" customHeight="1">
      <c r="A97" s="47" t="s">
        <v>245</v>
      </c>
      <c r="B97" s="34" t="s">
        <v>14</v>
      </c>
      <c r="C97" s="35">
        <v>37821.82</v>
      </c>
      <c r="D97" s="35">
        <v>-39749.85</v>
      </c>
      <c r="E97" s="36" t="s">
        <v>246</v>
      </c>
      <c r="F97" s="37">
        <v>36.0</v>
      </c>
      <c r="G97" s="38" t="str">
        <f t="shared" si="2"/>
        <v>31-60</v>
      </c>
    </row>
    <row r="98" ht="15.75" customHeight="1">
      <c r="A98" s="47" t="s">
        <v>247</v>
      </c>
      <c r="B98" s="34" t="s">
        <v>157</v>
      </c>
      <c r="C98" s="35">
        <v>58290.67</v>
      </c>
      <c r="D98" s="35">
        <v>-61247.55</v>
      </c>
      <c r="E98" s="36" t="s">
        <v>248</v>
      </c>
      <c r="F98" s="37">
        <v>34.0</v>
      </c>
      <c r="G98" s="38" t="str">
        <f t="shared" si="2"/>
        <v>31-60</v>
      </c>
    </row>
    <row r="99" ht="15.75" customHeight="1">
      <c r="A99" s="47" t="s">
        <v>249</v>
      </c>
      <c r="B99" s="34" t="s">
        <v>229</v>
      </c>
      <c r="C99" s="35">
        <v>58078.67</v>
      </c>
      <c r="D99" s="35">
        <v>-61024.95</v>
      </c>
      <c r="E99" s="36" t="s">
        <v>250</v>
      </c>
      <c r="F99" s="37">
        <v>34.0</v>
      </c>
      <c r="G99" s="38" t="str">
        <f t="shared" si="2"/>
        <v>31-60</v>
      </c>
    </row>
    <row r="100" ht="15.75" customHeight="1">
      <c r="A100" s="34" t="s">
        <v>251</v>
      </c>
      <c r="B100" s="34" t="s">
        <v>14</v>
      </c>
      <c r="C100" s="35">
        <v>33213.18</v>
      </c>
      <c r="D100" s="35">
        <v>-34564.95</v>
      </c>
      <c r="E100" s="36" t="s">
        <v>252</v>
      </c>
      <c r="F100" s="37">
        <v>34.0</v>
      </c>
      <c r="G100" s="38" t="str">
        <f t="shared" si="2"/>
        <v>31-60</v>
      </c>
    </row>
    <row r="101" ht="15.75" customHeight="1">
      <c r="A101" s="34" t="s">
        <v>253</v>
      </c>
      <c r="B101" s="34" t="s">
        <v>14</v>
      </c>
      <c r="C101" s="35">
        <v>33213.18</v>
      </c>
      <c r="D101" s="35">
        <v>-34564.95</v>
      </c>
      <c r="E101" s="36" t="s">
        <v>254</v>
      </c>
      <c r="F101" s="37">
        <v>34.0</v>
      </c>
      <c r="G101" s="38" t="str">
        <f t="shared" si="2"/>
        <v>31-60</v>
      </c>
    </row>
    <row r="102" ht="15.75" customHeight="1">
      <c r="A102" s="47" t="s">
        <v>255</v>
      </c>
      <c r="B102" s="34" t="s">
        <v>229</v>
      </c>
      <c r="C102" s="35">
        <v>58078.67</v>
      </c>
      <c r="D102" s="35">
        <v>-61024.95</v>
      </c>
      <c r="E102" s="36" t="s">
        <v>256</v>
      </c>
      <c r="F102" s="37">
        <v>33.0</v>
      </c>
      <c r="G102" s="38" t="str">
        <f t="shared" si="2"/>
        <v>31-60</v>
      </c>
    </row>
    <row r="103" ht="15.75" customHeight="1">
      <c r="A103" s="47" t="s">
        <v>257</v>
      </c>
      <c r="B103" s="34" t="s">
        <v>157</v>
      </c>
      <c r="C103" s="35">
        <v>57571.67</v>
      </c>
      <c r="D103" s="35">
        <v>-60581.85</v>
      </c>
      <c r="E103" s="36" t="s">
        <v>258</v>
      </c>
      <c r="F103" s="37">
        <v>33.0</v>
      </c>
      <c r="G103" s="38" t="str">
        <f t="shared" si="2"/>
        <v>31-60</v>
      </c>
    </row>
    <row r="104" ht="15.75" customHeight="1">
      <c r="A104" s="47" t="s">
        <v>259</v>
      </c>
      <c r="B104" s="34" t="s">
        <v>16</v>
      </c>
      <c r="C104" s="35">
        <v>39674.82</v>
      </c>
      <c r="D104" s="35">
        <v>-41783.7</v>
      </c>
      <c r="E104" s="36" t="s">
        <v>260</v>
      </c>
      <c r="F104" s="37">
        <v>33.0</v>
      </c>
      <c r="G104" s="38" t="str">
        <f t="shared" si="2"/>
        <v>31-60</v>
      </c>
    </row>
    <row r="105" ht="15.75" customHeight="1">
      <c r="A105" s="47" t="s">
        <v>261</v>
      </c>
      <c r="B105" s="34" t="s">
        <v>14</v>
      </c>
      <c r="C105" s="35">
        <v>38278.82</v>
      </c>
      <c r="D105" s="35">
        <v>-40234.95</v>
      </c>
      <c r="E105" s="36" t="s">
        <v>262</v>
      </c>
      <c r="F105" s="37">
        <v>33.0</v>
      </c>
      <c r="G105" s="38" t="str">
        <f t="shared" si="2"/>
        <v>31-60</v>
      </c>
    </row>
    <row r="106" ht="15.75" customHeight="1">
      <c r="A106" s="34" t="s">
        <v>263</v>
      </c>
      <c r="B106" s="34" t="s">
        <v>264</v>
      </c>
      <c r="C106" s="35">
        <v>36069.82</v>
      </c>
      <c r="D106" s="35">
        <v>-37621.5</v>
      </c>
      <c r="E106" s="36" t="s">
        <v>265</v>
      </c>
      <c r="F106" s="37">
        <v>33.0</v>
      </c>
      <c r="G106" s="38" t="str">
        <f t="shared" si="2"/>
        <v>31-60</v>
      </c>
    </row>
    <row r="107" ht="15.75" customHeight="1">
      <c r="A107" s="34" t="s">
        <v>266</v>
      </c>
      <c r="B107" s="34" t="s">
        <v>186</v>
      </c>
      <c r="C107" s="35">
        <v>41894.32</v>
      </c>
      <c r="D107" s="43"/>
      <c r="E107" s="36" t="s">
        <v>267</v>
      </c>
      <c r="F107" s="37">
        <v>32.0</v>
      </c>
      <c r="G107" s="38" t="str">
        <f t="shared" si="2"/>
        <v>31-60</v>
      </c>
    </row>
    <row r="108" ht="15.75" customHeight="1">
      <c r="A108" s="47" t="s">
        <v>268</v>
      </c>
      <c r="B108" s="34" t="s">
        <v>229</v>
      </c>
      <c r="C108" s="35">
        <v>58717.82</v>
      </c>
      <c r="D108" s="35">
        <v>-61785.15</v>
      </c>
      <c r="E108" s="36" t="s">
        <v>269</v>
      </c>
      <c r="F108" s="37">
        <v>26.0</v>
      </c>
      <c r="G108" s="38" t="str">
        <f t="shared" si="2"/>
        <v>0-30</v>
      </c>
    </row>
    <row r="109" ht="15.75" customHeight="1">
      <c r="A109" s="47" t="s">
        <v>270</v>
      </c>
      <c r="B109" s="34" t="s">
        <v>229</v>
      </c>
      <c r="C109" s="35">
        <v>57014.67</v>
      </c>
      <c r="D109" s="35">
        <v>-59997.0</v>
      </c>
      <c r="E109" s="36" t="s">
        <v>271</v>
      </c>
      <c r="F109" s="37">
        <v>26.0</v>
      </c>
      <c r="G109" s="38" t="str">
        <f t="shared" si="2"/>
        <v>0-30</v>
      </c>
    </row>
    <row r="110" ht="15.75" customHeight="1">
      <c r="A110" s="47" t="s">
        <v>272</v>
      </c>
      <c r="B110" s="34" t="s">
        <v>273</v>
      </c>
      <c r="C110" s="35">
        <v>52834.82</v>
      </c>
      <c r="D110" s="35">
        <v>-55402.2</v>
      </c>
      <c r="E110" s="36" t="s">
        <v>274</v>
      </c>
      <c r="F110" s="37">
        <v>26.0</v>
      </c>
      <c r="G110" s="38" t="str">
        <f t="shared" si="2"/>
        <v>0-30</v>
      </c>
    </row>
    <row r="111" ht="15.75" customHeight="1">
      <c r="A111" s="47" t="s">
        <v>275</v>
      </c>
      <c r="B111" s="34" t="s">
        <v>273</v>
      </c>
      <c r="C111" s="35">
        <v>51046.67</v>
      </c>
      <c r="D111" s="35">
        <v>-53619.3</v>
      </c>
      <c r="E111" s="36" t="s">
        <v>276</v>
      </c>
      <c r="F111" s="37">
        <v>26.0</v>
      </c>
      <c r="G111" s="38" t="str">
        <f t="shared" si="2"/>
        <v>0-30</v>
      </c>
    </row>
    <row r="112" ht="15.75" customHeight="1">
      <c r="A112" s="47" t="s">
        <v>277</v>
      </c>
      <c r="B112" s="34" t="s">
        <v>157</v>
      </c>
      <c r="C112" s="35">
        <v>50909.82</v>
      </c>
      <c r="D112" s="35">
        <v>-53586.75</v>
      </c>
      <c r="E112" s="36" t="s">
        <v>278</v>
      </c>
      <c r="F112" s="37">
        <v>26.0</v>
      </c>
      <c r="G112" s="38" t="str">
        <f t="shared" si="2"/>
        <v>0-30</v>
      </c>
    </row>
    <row r="113" ht="15.75" customHeight="1">
      <c r="A113" s="47" t="s">
        <v>279</v>
      </c>
      <c r="B113" s="34" t="s">
        <v>16</v>
      </c>
      <c r="C113" s="35">
        <v>47636.82</v>
      </c>
      <c r="D113" s="35">
        <v>-50143.8</v>
      </c>
      <c r="E113" s="36" t="s">
        <v>280</v>
      </c>
      <c r="F113" s="37">
        <v>26.0</v>
      </c>
      <c r="G113" s="38" t="str">
        <f t="shared" si="2"/>
        <v>0-30</v>
      </c>
    </row>
    <row r="114" ht="15.75" customHeight="1">
      <c r="A114" s="47" t="s">
        <v>281</v>
      </c>
      <c r="B114" s="34" t="s">
        <v>16</v>
      </c>
      <c r="C114" s="35">
        <v>39589.82</v>
      </c>
      <c r="D114" s="35">
        <v>-41783.7</v>
      </c>
      <c r="E114" s="36" t="s">
        <v>282</v>
      </c>
      <c r="F114" s="37">
        <v>26.0</v>
      </c>
      <c r="G114" s="38" t="str">
        <f t="shared" si="2"/>
        <v>0-30</v>
      </c>
    </row>
    <row r="115" ht="15.75" customHeight="1">
      <c r="A115" s="47" t="s">
        <v>283</v>
      </c>
      <c r="B115" s="34" t="s">
        <v>14</v>
      </c>
      <c r="C115" s="35">
        <v>37811.82</v>
      </c>
      <c r="D115" s="35">
        <v>-39744.6</v>
      </c>
      <c r="E115" s="36" t="s">
        <v>284</v>
      </c>
      <c r="F115" s="37">
        <v>26.0</v>
      </c>
      <c r="G115" s="38" t="str">
        <f t="shared" si="2"/>
        <v>0-30</v>
      </c>
    </row>
    <row r="116" ht="15.75" customHeight="1">
      <c r="A116" s="47" t="s">
        <v>285</v>
      </c>
      <c r="B116" s="34" t="s">
        <v>14</v>
      </c>
      <c r="C116" s="35">
        <v>37353.82</v>
      </c>
      <c r="D116" s="35">
        <v>-39263.7</v>
      </c>
      <c r="E116" s="36" t="s">
        <v>286</v>
      </c>
      <c r="F116" s="37">
        <v>26.0</v>
      </c>
      <c r="G116" s="38" t="str">
        <f t="shared" si="2"/>
        <v>0-30</v>
      </c>
    </row>
    <row r="117" ht="15.75" customHeight="1">
      <c r="A117" s="34" t="s">
        <v>287</v>
      </c>
      <c r="B117" s="34" t="s">
        <v>12</v>
      </c>
      <c r="C117" s="35">
        <v>32940.0</v>
      </c>
      <c r="D117" s="43"/>
      <c r="E117" s="36" t="s">
        <v>288</v>
      </c>
      <c r="F117" s="37">
        <v>26.0</v>
      </c>
      <c r="G117" s="38" t="str">
        <f t="shared" si="2"/>
        <v>0-30</v>
      </c>
    </row>
    <row r="118" ht="15.75" customHeight="1">
      <c r="A118" s="47" t="s">
        <v>289</v>
      </c>
      <c r="B118" s="34" t="s">
        <v>16</v>
      </c>
      <c r="C118" s="35">
        <v>41332.0</v>
      </c>
      <c r="D118" s="43"/>
      <c r="E118" s="36" t="s">
        <v>290</v>
      </c>
      <c r="F118" s="37">
        <v>25.0</v>
      </c>
      <c r="G118" s="38" t="str">
        <f t="shared" si="2"/>
        <v>0-30</v>
      </c>
    </row>
    <row r="119" ht="15.75" customHeight="1">
      <c r="A119" s="47" t="s">
        <v>291</v>
      </c>
      <c r="B119" s="34" t="s">
        <v>273</v>
      </c>
      <c r="C119" s="35">
        <v>53806.67</v>
      </c>
      <c r="D119" s="35">
        <v>-56517.3</v>
      </c>
      <c r="E119" s="36" t="s">
        <v>292</v>
      </c>
      <c r="F119" s="37">
        <v>22.0</v>
      </c>
      <c r="G119" s="38" t="str">
        <f t="shared" si="2"/>
        <v>0-30</v>
      </c>
    </row>
    <row r="120" ht="15.75" customHeight="1">
      <c r="A120" s="47" t="s">
        <v>293</v>
      </c>
      <c r="B120" s="34" t="s">
        <v>273</v>
      </c>
      <c r="C120" s="35">
        <v>51046.67</v>
      </c>
      <c r="D120" s="35">
        <v>-53619.3</v>
      </c>
      <c r="E120" s="36" t="s">
        <v>294</v>
      </c>
      <c r="F120" s="37">
        <v>22.0</v>
      </c>
      <c r="G120" s="38" t="str">
        <f t="shared" si="2"/>
        <v>0-30</v>
      </c>
    </row>
    <row r="121" ht="15.75" customHeight="1">
      <c r="A121" s="47" t="s">
        <v>295</v>
      </c>
      <c r="B121" s="34" t="s">
        <v>16</v>
      </c>
      <c r="C121" s="35">
        <v>47636.82</v>
      </c>
      <c r="D121" s="35">
        <v>-50143.8</v>
      </c>
      <c r="E121" s="36" t="s">
        <v>296</v>
      </c>
      <c r="F121" s="37">
        <v>22.0</v>
      </c>
      <c r="G121" s="38" t="str">
        <f t="shared" si="2"/>
        <v>0-30</v>
      </c>
    </row>
    <row r="122" ht="15.75" customHeight="1">
      <c r="A122" s="34" t="s">
        <v>297</v>
      </c>
      <c r="B122" s="34" t="s">
        <v>16</v>
      </c>
      <c r="C122" s="35">
        <v>43374.82</v>
      </c>
      <c r="D122" s="35">
        <v>-45668.7</v>
      </c>
      <c r="E122" s="36" t="s">
        <v>298</v>
      </c>
      <c r="F122" s="37">
        <v>22.0</v>
      </c>
      <c r="G122" s="38" t="str">
        <f t="shared" si="2"/>
        <v>0-30</v>
      </c>
    </row>
    <row r="123" ht="15.75" customHeight="1">
      <c r="A123" s="34" t="s">
        <v>299</v>
      </c>
      <c r="B123" s="34" t="s">
        <v>14</v>
      </c>
      <c r="C123" s="35">
        <v>38278.82</v>
      </c>
      <c r="D123" s="35">
        <v>-40234.95</v>
      </c>
      <c r="E123" s="36" t="s">
        <v>300</v>
      </c>
      <c r="F123" s="37">
        <v>22.0</v>
      </c>
      <c r="G123" s="38" t="str">
        <f t="shared" si="2"/>
        <v>0-30</v>
      </c>
    </row>
    <row r="124" ht="15.75" customHeight="1">
      <c r="A124" s="47" t="s">
        <v>301</v>
      </c>
      <c r="B124" s="34" t="s">
        <v>16</v>
      </c>
      <c r="C124" s="35">
        <v>42911.82</v>
      </c>
      <c r="D124" s="35">
        <v>-45182.55</v>
      </c>
      <c r="E124" s="36" t="s">
        <v>302</v>
      </c>
      <c r="F124" s="37">
        <v>15.0</v>
      </c>
      <c r="G124" s="38" t="str">
        <f t="shared" si="2"/>
        <v>0-30</v>
      </c>
    </row>
    <row r="125" ht="15.75" customHeight="1">
      <c r="A125" s="47" t="s">
        <v>303</v>
      </c>
      <c r="B125" s="34" t="s">
        <v>16</v>
      </c>
      <c r="C125" s="35">
        <v>42471.0</v>
      </c>
      <c r="D125" s="35">
        <v>-45182.55</v>
      </c>
      <c r="E125" s="36" t="s">
        <v>304</v>
      </c>
      <c r="F125" s="37">
        <v>15.0</v>
      </c>
      <c r="G125" s="38" t="str">
        <f t="shared" si="2"/>
        <v>0-30</v>
      </c>
    </row>
    <row r="126" ht="15.75" customHeight="1">
      <c r="A126" s="34" t="s">
        <v>305</v>
      </c>
      <c r="B126" s="34" t="s">
        <v>16</v>
      </c>
      <c r="C126" s="35">
        <v>39679.82</v>
      </c>
      <c r="D126" s="35">
        <v>-41783.7</v>
      </c>
      <c r="E126" s="36" t="s">
        <v>306</v>
      </c>
      <c r="F126" s="37">
        <v>15.0</v>
      </c>
      <c r="G126" s="38" t="str">
        <f t="shared" si="2"/>
        <v>0-30</v>
      </c>
    </row>
    <row r="127" ht="15.75" customHeight="1">
      <c r="A127" s="47" t="s">
        <v>307</v>
      </c>
      <c r="B127" s="34" t="s">
        <v>14</v>
      </c>
      <c r="C127" s="35">
        <v>38753.0</v>
      </c>
      <c r="D127" s="35">
        <v>-41278.65</v>
      </c>
      <c r="E127" s="36" t="s">
        <v>308</v>
      </c>
      <c r="F127" s="37">
        <v>15.0</v>
      </c>
      <c r="G127" s="38" t="str">
        <f t="shared" si="2"/>
        <v>0-30</v>
      </c>
    </row>
    <row r="128" ht="15.75" customHeight="1">
      <c r="A128" s="47" t="s">
        <v>309</v>
      </c>
      <c r="B128" s="34" t="s">
        <v>14</v>
      </c>
      <c r="C128" s="35">
        <v>37292.0</v>
      </c>
      <c r="D128" s="35">
        <v>-39744.6</v>
      </c>
      <c r="E128" s="36" t="s">
        <v>310</v>
      </c>
      <c r="F128" s="37">
        <v>15.0</v>
      </c>
      <c r="G128" s="38" t="str">
        <f t="shared" si="2"/>
        <v>0-30</v>
      </c>
    </row>
    <row r="129" ht="15.75" customHeight="1">
      <c r="A129" s="47" t="s">
        <v>311</v>
      </c>
      <c r="B129" s="34" t="s">
        <v>14</v>
      </c>
      <c r="C129" s="35">
        <v>37268.82</v>
      </c>
      <c r="D129" s="35">
        <v>-39263.7</v>
      </c>
      <c r="E129" s="36" t="s">
        <v>312</v>
      </c>
      <c r="F129" s="37">
        <v>15.0</v>
      </c>
      <c r="G129" s="38" t="str">
        <f t="shared" si="2"/>
        <v>0-30</v>
      </c>
    </row>
    <row r="130" ht="15.75" customHeight="1">
      <c r="A130" s="47" t="s">
        <v>313</v>
      </c>
      <c r="B130" s="34" t="s">
        <v>16</v>
      </c>
      <c r="C130" s="35">
        <v>36984.0</v>
      </c>
      <c r="D130" s="35">
        <v>-39421.2</v>
      </c>
      <c r="E130" s="36" t="s">
        <v>314</v>
      </c>
      <c r="F130" s="37">
        <v>15.0</v>
      </c>
      <c r="G130" s="38" t="str">
        <f t="shared" si="2"/>
        <v>0-30</v>
      </c>
    </row>
    <row r="131" ht="15.75" customHeight="1">
      <c r="A131" s="47" t="s">
        <v>315</v>
      </c>
      <c r="B131" s="34" t="s">
        <v>16</v>
      </c>
      <c r="C131" s="35">
        <v>36845.92</v>
      </c>
      <c r="D131" s="35">
        <v>-38940.3</v>
      </c>
      <c r="E131" s="36" t="s">
        <v>316</v>
      </c>
      <c r="F131" s="37">
        <v>15.0</v>
      </c>
      <c r="G131" s="38" t="str">
        <f t="shared" si="2"/>
        <v>0-30</v>
      </c>
    </row>
    <row r="132" ht="15.75" customHeight="1">
      <c r="A132" s="47" t="s">
        <v>317</v>
      </c>
      <c r="B132" s="34" t="s">
        <v>14</v>
      </c>
      <c r="C132" s="35">
        <v>36804.82</v>
      </c>
      <c r="D132" s="35">
        <v>-38776.5</v>
      </c>
      <c r="E132" s="36" t="s">
        <v>318</v>
      </c>
      <c r="F132" s="37">
        <v>15.0</v>
      </c>
      <c r="G132" s="38" t="str">
        <f t="shared" si="2"/>
        <v>0-30</v>
      </c>
    </row>
    <row r="133" ht="15.75" customHeight="1">
      <c r="A133" s="47" t="s">
        <v>319</v>
      </c>
      <c r="B133" s="34" t="s">
        <v>14</v>
      </c>
      <c r="C133" s="35">
        <v>36370.0</v>
      </c>
      <c r="D133" s="35">
        <v>-38776.5</v>
      </c>
      <c r="E133" s="36" t="s">
        <v>320</v>
      </c>
      <c r="F133" s="37">
        <v>15.0</v>
      </c>
      <c r="G133" s="38" t="str">
        <f t="shared" si="2"/>
        <v>0-30</v>
      </c>
    </row>
    <row r="134" ht="15.75" customHeight="1">
      <c r="A134" s="47" t="s">
        <v>321</v>
      </c>
      <c r="B134" s="34" t="s">
        <v>12</v>
      </c>
      <c r="C134" s="35">
        <v>27143.0</v>
      </c>
      <c r="D134" s="35">
        <v>-28983.15</v>
      </c>
      <c r="E134" s="36" t="s">
        <v>322</v>
      </c>
      <c r="F134" s="37">
        <v>15.0</v>
      </c>
      <c r="G134" s="38" t="str">
        <f t="shared" si="2"/>
        <v>0-30</v>
      </c>
    </row>
    <row r="135" ht="15.75" customHeight="1">
      <c r="A135" s="34" t="s">
        <v>323</v>
      </c>
      <c r="B135" s="34" t="s">
        <v>14</v>
      </c>
      <c r="C135" s="35">
        <v>35784.82</v>
      </c>
      <c r="D135" s="35">
        <v>-37611.0</v>
      </c>
      <c r="E135" s="36" t="s">
        <v>324</v>
      </c>
      <c r="F135" s="37">
        <v>13.0</v>
      </c>
      <c r="G135" s="38" t="str">
        <f t="shared" si="2"/>
        <v>0-30</v>
      </c>
    </row>
    <row r="136" ht="15.75" customHeight="1">
      <c r="A136" s="47" t="s">
        <v>325</v>
      </c>
      <c r="B136" s="34" t="s">
        <v>157</v>
      </c>
      <c r="C136" s="35">
        <v>59811.67</v>
      </c>
      <c r="D136" s="35">
        <v>-62839.35</v>
      </c>
      <c r="E136" s="36" t="s">
        <v>326</v>
      </c>
      <c r="F136" s="37">
        <v>12.0</v>
      </c>
      <c r="G136" s="38" t="str">
        <f t="shared" si="2"/>
        <v>0-30</v>
      </c>
    </row>
    <row r="137" ht="15.75" customHeight="1">
      <c r="A137" s="47" t="s">
        <v>327</v>
      </c>
      <c r="B137" s="34" t="s">
        <v>157</v>
      </c>
      <c r="C137" s="35">
        <v>59087.67</v>
      </c>
      <c r="D137" s="35">
        <v>-62079.15</v>
      </c>
      <c r="E137" s="36" t="s">
        <v>328</v>
      </c>
      <c r="F137" s="37">
        <v>12.0</v>
      </c>
      <c r="G137" s="38" t="str">
        <f t="shared" si="2"/>
        <v>0-30</v>
      </c>
    </row>
    <row r="138" ht="15.75" customHeight="1">
      <c r="A138" s="34" t="s">
        <v>329</v>
      </c>
      <c r="B138" s="34" t="s">
        <v>16</v>
      </c>
      <c r="C138" s="35">
        <v>40622.0</v>
      </c>
      <c r="D138" s="35">
        <v>-43241.1</v>
      </c>
      <c r="E138" s="36" t="s">
        <v>330</v>
      </c>
      <c r="F138" s="37">
        <v>12.0</v>
      </c>
      <c r="G138" s="38" t="str">
        <f t="shared" si="2"/>
        <v>0-30</v>
      </c>
    </row>
    <row r="139" ht="15.75" customHeight="1">
      <c r="A139" s="47" t="s">
        <v>331</v>
      </c>
      <c r="B139" s="34" t="s">
        <v>16</v>
      </c>
      <c r="C139" s="35">
        <v>36971.82</v>
      </c>
      <c r="D139" s="35">
        <v>-38940.3</v>
      </c>
      <c r="E139" s="36" t="s">
        <v>332</v>
      </c>
      <c r="F139" s="37">
        <v>12.0</v>
      </c>
      <c r="G139" s="38" t="str">
        <f t="shared" si="2"/>
        <v>0-30</v>
      </c>
    </row>
    <row r="140" ht="15.75" customHeight="1">
      <c r="A140" s="47" t="s">
        <v>333</v>
      </c>
      <c r="B140" s="34" t="s">
        <v>16</v>
      </c>
      <c r="C140" s="35">
        <v>36526.0</v>
      </c>
      <c r="D140" s="35">
        <v>-38940.3</v>
      </c>
      <c r="E140" s="36" t="s">
        <v>334</v>
      </c>
      <c r="F140" s="37">
        <v>12.0</v>
      </c>
      <c r="G140" s="38" t="str">
        <f t="shared" si="2"/>
        <v>0-30</v>
      </c>
    </row>
    <row r="141" ht="15.75" customHeight="1">
      <c r="A141" s="34" t="s">
        <v>335</v>
      </c>
      <c r="B141" s="34" t="s">
        <v>14</v>
      </c>
      <c r="C141" s="35">
        <v>32359.0</v>
      </c>
      <c r="D141" s="35">
        <v>-34564.95</v>
      </c>
      <c r="E141" s="36" t="s">
        <v>336</v>
      </c>
      <c r="F141" s="37">
        <v>12.0</v>
      </c>
      <c r="G141" s="38" t="str">
        <f t="shared" si="2"/>
        <v>0-30</v>
      </c>
    </row>
    <row r="142" ht="15.75" customHeight="1">
      <c r="A142" s="34" t="s">
        <v>337</v>
      </c>
      <c r="B142" s="34" t="s">
        <v>14</v>
      </c>
      <c r="C142" s="35">
        <v>32359.0</v>
      </c>
      <c r="D142" s="35">
        <v>-34564.95</v>
      </c>
      <c r="E142" s="36" t="s">
        <v>338</v>
      </c>
      <c r="F142" s="37">
        <v>12.0</v>
      </c>
      <c r="G142" s="38" t="str">
        <f t="shared" si="2"/>
        <v>0-30</v>
      </c>
    </row>
    <row r="143" ht="15.75" customHeight="1">
      <c r="A143" s="47" t="s">
        <v>339</v>
      </c>
      <c r="B143" s="34" t="s">
        <v>16</v>
      </c>
      <c r="C143" s="35">
        <v>39589.82</v>
      </c>
      <c r="D143" s="35">
        <v>-41783.7</v>
      </c>
      <c r="E143" s="36" t="s">
        <v>340</v>
      </c>
      <c r="F143" s="37">
        <v>8.0</v>
      </c>
      <c r="G143" s="38" t="str">
        <f t="shared" si="2"/>
        <v>0-30</v>
      </c>
    </row>
    <row r="144" ht="15.75" customHeight="1">
      <c r="A144" s="47" t="s">
        <v>341</v>
      </c>
      <c r="B144" s="34" t="s">
        <v>16</v>
      </c>
      <c r="C144" s="35">
        <v>39589.82</v>
      </c>
      <c r="D144" s="35">
        <v>-41783.7</v>
      </c>
      <c r="E144" s="36" t="s">
        <v>342</v>
      </c>
      <c r="F144" s="37">
        <v>8.0</v>
      </c>
      <c r="G144" s="38" t="str">
        <f t="shared" si="2"/>
        <v>0-30</v>
      </c>
    </row>
    <row r="145" ht="15.75" customHeight="1">
      <c r="A145" s="47" t="s">
        <v>343</v>
      </c>
      <c r="B145" s="34" t="s">
        <v>16</v>
      </c>
      <c r="C145" s="35">
        <v>39589.82</v>
      </c>
      <c r="D145" s="35">
        <v>-41783.7</v>
      </c>
      <c r="E145" s="36" t="s">
        <v>344</v>
      </c>
      <c r="F145" s="37">
        <v>8.0</v>
      </c>
      <c r="G145" s="38" t="str">
        <f t="shared" si="2"/>
        <v>0-30</v>
      </c>
    </row>
    <row r="146" ht="15.75" customHeight="1">
      <c r="A146" s="47" t="s">
        <v>345</v>
      </c>
      <c r="B146" s="34" t="s">
        <v>16</v>
      </c>
      <c r="C146" s="35">
        <v>39234.0</v>
      </c>
      <c r="D146" s="35">
        <v>-41783.7</v>
      </c>
      <c r="E146" s="36" t="s">
        <v>346</v>
      </c>
      <c r="F146" s="37">
        <v>8.0</v>
      </c>
      <c r="G146" s="38" t="str">
        <f t="shared" si="2"/>
        <v>0-30</v>
      </c>
    </row>
    <row r="147" ht="15.75" customHeight="1">
      <c r="A147" s="47" t="s">
        <v>347</v>
      </c>
      <c r="B147" s="34" t="s">
        <v>14</v>
      </c>
      <c r="C147" s="35">
        <v>37297.0</v>
      </c>
      <c r="D147" s="35">
        <v>-39749.85</v>
      </c>
      <c r="E147" s="36" t="s">
        <v>348</v>
      </c>
      <c r="F147" s="37">
        <v>8.0</v>
      </c>
      <c r="G147" s="38" t="str">
        <f t="shared" si="2"/>
        <v>0-30</v>
      </c>
    </row>
    <row r="148" ht="15.75" customHeight="1">
      <c r="A148" s="47" t="s">
        <v>349</v>
      </c>
      <c r="B148" s="34" t="s">
        <v>14</v>
      </c>
      <c r="C148" s="35">
        <v>36834.0</v>
      </c>
      <c r="D148" s="35">
        <v>-39263.7</v>
      </c>
      <c r="E148" s="36" t="s">
        <v>350</v>
      </c>
      <c r="F148" s="37">
        <v>8.0</v>
      </c>
      <c r="G148" s="38" t="str">
        <f t="shared" si="2"/>
        <v>0-30</v>
      </c>
    </row>
    <row r="149" ht="15.75" customHeight="1">
      <c r="A149" s="47" t="s">
        <v>351</v>
      </c>
      <c r="B149" s="34" t="s">
        <v>14</v>
      </c>
      <c r="C149" s="35">
        <v>36834.0</v>
      </c>
      <c r="D149" s="35">
        <v>-39263.7</v>
      </c>
      <c r="E149" s="36" t="s">
        <v>352</v>
      </c>
      <c r="F149" s="37">
        <v>8.0</v>
      </c>
      <c r="G149" s="38" t="str">
        <f t="shared" si="2"/>
        <v>0-30</v>
      </c>
    </row>
    <row r="150" ht="15.75" customHeight="1">
      <c r="A150" s="47" t="s">
        <v>353</v>
      </c>
      <c r="B150" s="34" t="s">
        <v>16</v>
      </c>
      <c r="C150" s="35">
        <v>36526.0</v>
      </c>
      <c r="D150" s="35">
        <v>-38940.3</v>
      </c>
      <c r="E150" s="36" t="s">
        <v>354</v>
      </c>
      <c r="F150" s="37">
        <v>8.0</v>
      </c>
      <c r="G150" s="38" t="str">
        <f t="shared" si="2"/>
        <v>0-30</v>
      </c>
    </row>
    <row r="151" ht="15.75" customHeight="1">
      <c r="A151" s="47" t="s">
        <v>355</v>
      </c>
      <c r="B151" s="34" t="s">
        <v>14</v>
      </c>
      <c r="C151" s="35">
        <v>35784.82</v>
      </c>
      <c r="D151" s="35">
        <v>-37611.0</v>
      </c>
      <c r="E151" s="36" t="s">
        <v>356</v>
      </c>
      <c r="F151" s="37">
        <v>8.0</v>
      </c>
      <c r="G151" s="38" t="str">
        <f t="shared" si="2"/>
        <v>0-30</v>
      </c>
    </row>
    <row r="152" ht="15.75" customHeight="1">
      <c r="A152" s="34" t="s">
        <v>357</v>
      </c>
      <c r="B152" s="34" t="s">
        <v>157</v>
      </c>
      <c r="C152" s="35">
        <v>57305.67</v>
      </c>
      <c r="D152" s="35">
        <v>-60302.55</v>
      </c>
      <c r="E152" s="36" t="s">
        <v>358</v>
      </c>
      <c r="F152" s="37">
        <v>7.0</v>
      </c>
      <c r="G152" s="38" t="str">
        <f t="shared" si="2"/>
        <v>0-30</v>
      </c>
    </row>
    <row r="153" ht="15.75" customHeight="1">
      <c r="A153" s="47" t="s">
        <v>359</v>
      </c>
      <c r="B153" s="34" t="s">
        <v>157</v>
      </c>
      <c r="C153" s="35">
        <v>57047.0</v>
      </c>
      <c r="D153" s="35">
        <v>-60487.35</v>
      </c>
      <c r="E153" s="36" t="s">
        <v>360</v>
      </c>
      <c r="F153" s="37">
        <v>7.0</v>
      </c>
      <c r="G153" s="38" t="str">
        <f t="shared" si="2"/>
        <v>0-30</v>
      </c>
    </row>
    <row r="154" ht="15.75" customHeight="1">
      <c r="A154" s="34" t="s">
        <v>361</v>
      </c>
      <c r="B154" s="34" t="s">
        <v>157</v>
      </c>
      <c r="C154" s="35">
        <v>56871.0</v>
      </c>
      <c r="D154" s="35">
        <v>-60302.55</v>
      </c>
      <c r="E154" s="36" t="s">
        <v>362</v>
      </c>
      <c r="F154" s="37">
        <v>7.0</v>
      </c>
      <c r="G154" s="38" t="str">
        <f t="shared" si="2"/>
        <v>0-30</v>
      </c>
    </row>
    <row r="155" ht="15.75" customHeight="1">
      <c r="A155" s="47" t="s">
        <v>363</v>
      </c>
      <c r="B155" s="34" t="s">
        <v>16</v>
      </c>
      <c r="C155" s="35">
        <v>42826.82</v>
      </c>
      <c r="D155" s="35">
        <v>-45182.55</v>
      </c>
      <c r="E155" s="36" t="s">
        <v>364</v>
      </c>
      <c r="F155" s="37">
        <v>7.0</v>
      </c>
      <c r="G155" s="38" t="str">
        <f t="shared" si="2"/>
        <v>0-30</v>
      </c>
    </row>
    <row r="156" ht="15.75" customHeight="1">
      <c r="A156" s="47" t="s">
        <v>365</v>
      </c>
      <c r="B156" s="34" t="s">
        <v>16</v>
      </c>
      <c r="C156" s="35">
        <v>39234.0</v>
      </c>
      <c r="D156" s="35">
        <v>-41783.7</v>
      </c>
      <c r="E156" s="36" t="s">
        <v>366</v>
      </c>
      <c r="F156" s="37">
        <v>7.0</v>
      </c>
      <c r="G156" s="38" t="str">
        <f t="shared" si="2"/>
        <v>0-30</v>
      </c>
    </row>
    <row r="157" ht="15.75" customHeight="1">
      <c r="A157" s="47" t="s">
        <v>367</v>
      </c>
      <c r="B157" s="34" t="s">
        <v>14</v>
      </c>
      <c r="C157" s="35">
        <v>37268.82</v>
      </c>
      <c r="D157" s="35">
        <v>-39263.7</v>
      </c>
      <c r="E157" s="36" t="s">
        <v>368</v>
      </c>
      <c r="F157" s="37">
        <v>7.0</v>
      </c>
      <c r="G157" s="38" t="str">
        <f t="shared" si="2"/>
        <v>0-30</v>
      </c>
    </row>
    <row r="158" ht="15.75" customHeight="1">
      <c r="A158" s="47" t="s">
        <v>369</v>
      </c>
      <c r="B158" s="34" t="s">
        <v>16</v>
      </c>
      <c r="C158" s="35">
        <v>36881.82</v>
      </c>
      <c r="D158" s="35">
        <v>-38940.3</v>
      </c>
      <c r="E158" s="36" t="s">
        <v>370</v>
      </c>
      <c r="F158" s="37">
        <v>7.0</v>
      </c>
      <c r="G158" s="38" t="str">
        <f t="shared" si="2"/>
        <v>0-30</v>
      </c>
    </row>
    <row r="159" ht="15.75" customHeight="1">
      <c r="A159" s="47" t="s">
        <v>371</v>
      </c>
      <c r="B159" s="34" t="s">
        <v>12</v>
      </c>
      <c r="C159" s="35">
        <v>30482.82</v>
      </c>
      <c r="D159" s="35">
        <v>-32033.4</v>
      </c>
      <c r="E159" s="36" t="s">
        <v>372</v>
      </c>
      <c r="F159" s="37">
        <v>7.0</v>
      </c>
      <c r="G159" s="38" t="str">
        <f t="shared" si="2"/>
        <v>0-30</v>
      </c>
    </row>
    <row r="160" ht="15.75" customHeight="1">
      <c r="A160" s="47" t="s">
        <v>373</v>
      </c>
      <c r="B160" s="34" t="s">
        <v>12</v>
      </c>
      <c r="C160" s="35">
        <v>27667.82</v>
      </c>
      <c r="D160" s="35">
        <v>-28983.15</v>
      </c>
      <c r="E160" s="36" t="s">
        <v>374</v>
      </c>
      <c r="F160" s="37">
        <v>7.0</v>
      </c>
      <c r="G160" s="38" t="str">
        <f t="shared" si="2"/>
        <v>0-30</v>
      </c>
    </row>
    <row r="161" ht="15.75" customHeight="1">
      <c r="A161" s="47" t="s">
        <v>375</v>
      </c>
      <c r="B161" s="34" t="s">
        <v>157</v>
      </c>
      <c r="C161" s="35">
        <v>59287.0</v>
      </c>
      <c r="D161" s="35">
        <v>-62839.35</v>
      </c>
      <c r="E161" s="36" t="s">
        <v>376</v>
      </c>
      <c r="F161" s="37">
        <v>5.0</v>
      </c>
      <c r="G161" s="38" t="str">
        <f t="shared" si="2"/>
        <v>0-30</v>
      </c>
    </row>
    <row r="162" ht="15.75" customHeight="1">
      <c r="A162" s="47" t="s">
        <v>377</v>
      </c>
      <c r="B162" s="34" t="s">
        <v>157</v>
      </c>
      <c r="C162" s="35">
        <v>59287.0</v>
      </c>
      <c r="D162" s="35">
        <v>-62839.35</v>
      </c>
      <c r="E162" s="36" t="s">
        <v>378</v>
      </c>
      <c r="F162" s="37">
        <v>5.0</v>
      </c>
      <c r="G162" s="38" t="str">
        <f t="shared" si="2"/>
        <v>0-30</v>
      </c>
    </row>
    <row r="163" ht="15.75" customHeight="1">
      <c r="A163" s="34" t="s">
        <v>379</v>
      </c>
      <c r="B163" s="34" t="s">
        <v>157</v>
      </c>
      <c r="C163" s="35">
        <v>58563.0</v>
      </c>
      <c r="D163" s="35">
        <v>-62079.15</v>
      </c>
      <c r="E163" s="36" t="s">
        <v>380</v>
      </c>
      <c r="F163" s="37">
        <v>5.0</v>
      </c>
      <c r="G163" s="38" t="str">
        <f t="shared" si="2"/>
        <v>0-30</v>
      </c>
    </row>
    <row r="164" ht="15.75" customHeight="1">
      <c r="A164" s="47" t="s">
        <v>381</v>
      </c>
      <c r="B164" s="34" t="s">
        <v>229</v>
      </c>
      <c r="C164" s="35">
        <v>57993.67</v>
      </c>
      <c r="D164" s="35">
        <v>-61024.95</v>
      </c>
      <c r="E164" s="36" t="s">
        <v>382</v>
      </c>
      <c r="F164" s="37">
        <v>5.0</v>
      </c>
      <c r="G164" s="38" t="str">
        <f t="shared" si="2"/>
        <v>0-30</v>
      </c>
    </row>
    <row r="165" ht="15.75" customHeight="1">
      <c r="A165" s="47" t="s">
        <v>383</v>
      </c>
      <c r="B165" s="34" t="s">
        <v>157</v>
      </c>
      <c r="C165" s="35">
        <v>50475.0</v>
      </c>
      <c r="D165" s="35">
        <v>-53586.75</v>
      </c>
      <c r="E165" s="36" t="s">
        <v>384</v>
      </c>
      <c r="F165" s="37">
        <v>5.0</v>
      </c>
      <c r="G165" s="38" t="str">
        <f t="shared" si="2"/>
        <v>0-30</v>
      </c>
    </row>
    <row r="166" ht="15.75" customHeight="1">
      <c r="A166" s="34" t="s">
        <v>385</v>
      </c>
      <c r="B166" s="34" t="s">
        <v>16</v>
      </c>
      <c r="C166" s="35">
        <v>42934.0</v>
      </c>
      <c r="D166" s="35">
        <v>-45668.7</v>
      </c>
      <c r="E166" s="36" t="s">
        <v>386</v>
      </c>
      <c r="F166" s="37">
        <v>5.0</v>
      </c>
      <c r="G166" s="38" t="str">
        <f t="shared" si="2"/>
        <v>0-30</v>
      </c>
    </row>
    <row r="167" ht="15.75" customHeight="1">
      <c r="A167" s="34" t="s">
        <v>387</v>
      </c>
      <c r="B167" s="34" t="s">
        <v>16</v>
      </c>
      <c r="C167" s="35">
        <v>40622.0</v>
      </c>
      <c r="D167" s="35">
        <v>-43241.1</v>
      </c>
      <c r="E167" s="36" t="s">
        <v>388</v>
      </c>
      <c r="F167" s="37">
        <v>5.0</v>
      </c>
      <c r="G167" s="38" t="str">
        <f t="shared" si="2"/>
        <v>0-30</v>
      </c>
    </row>
    <row r="168" ht="15.75" customHeight="1">
      <c r="A168" s="47" t="s">
        <v>389</v>
      </c>
      <c r="B168" s="34" t="s">
        <v>12</v>
      </c>
      <c r="C168" s="35">
        <v>27143.0</v>
      </c>
      <c r="D168" s="35">
        <v>-28983.15</v>
      </c>
      <c r="E168" s="36" t="s">
        <v>390</v>
      </c>
      <c r="F168" s="37">
        <v>5.0</v>
      </c>
      <c r="G168" s="38" t="str">
        <f t="shared" si="2"/>
        <v>0-30</v>
      </c>
    </row>
    <row r="169" ht="15.75" customHeight="1">
      <c r="A169" s="47" t="s">
        <v>391</v>
      </c>
      <c r="B169" s="34" t="s">
        <v>12</v>
      </c>
      <c r="C169" s="35">
        <v>27143.0</v>
      </c>
      <c r="D169" s="35">
        <v>-28983.15</v>
      </c>
      <c r="E169" s="36" t="s">
        <v>392</v>
      </c>
      <c r="F169" s="37">
        <v>5.0</v>
      </c>
      <c r="G169" s="38" t="str">
        <f t="shared" si="2"/>
        <v>0-30</v>
      </c>
    </row>
    <row r="170" ht="15.75" customHeight="1">
      <c r="A170" s="47" t="s">
        <v>393</v>
      </c>
      <c r="B170" s="34" t="s">
        <v>273</v>
      </c>
      <c r="C170" s="35">
        <v>50160.0</v>
      </c>
      <c r="D170" s="43"/>
      <c r="E170" s="36" t="s">
        <v>394</v>
      </c>
      <c r="F170" s="37">
        <v>4.0</v>
      </c>
      <c r="G170" s="38" t="str">
        <f t="shared" si="2"/>
        <v>0-30</v>
      </c>
    </row>
    <row r="171" ht="15.75" customHeight="1">
      <c r="A171" s="47" t="s">
        <v>395</v>
      </c>
      <c r="B171" s="34" t="s">
        <v>16</v>
      </c>
      <c r="C171" s="35">
        <v>39234.0</v>
      </c>
      <c r="D171" s="35">
        <v>-41783.7</v>
      </c>
      <c r="E171" s="36" t="s">
        <v>396</v>
      </c>
      <c r="F171" s="37">
        <v>2.0</v>
      </c>
      <c r="G171" s="38" t="str">
        <f t="shared" si="2"/>
        <v>0-30</v>
      </c>
    </row>
    <row r="172" ht="15.75" customHeight="1">
      <c r="A172" s="34" t="s">
        <v>397</v>
      </c>
      <c r="B172" s="34" t="s">
        <v>157</v>
      </c>
      <c r="C172" s="35">
        <v>59333.0</v>
      </c>
      <c r="D172" s="43"/>
      <c r="E172" s="36" t="s">
        <v>398</v>
      </c>
      <c r="F172" s="37">
        <v>1.0</v>
      </c>
      <c r="G172" s="38" t="str">
        <f t="shared" si="2"/>
        <v>0-30</v>
      </c>
    </row>
    <row r="173" ht="15.75" customHeight="1">
      <c r="A173" s="47" t="s">
        <v>399</v>
      </c>
      <c r="B173" s="34" t="s">
        <v>157</v>
      </c>
      <c r="C173" s="35">
        <v>55020.0</v>
      </c>
      <c r="D173" s="35">
        <v>-58359.0</v>
      </c>
      <c r="E173" s="36" t="s">
        <v>400</v>
      </c>
      <c r="F173" s="37">
        <v>1.0</v>
      </c>
      <c r="G173" s="38" t="str">
        <f t="shared" si="2"/>
        <v>0-30</v>
      </c>
    </row>
    <row r="174" ht="15.75" customHeight="1">
      <c r="A174" s="47" t="s">
        <v>401</v>
      </c>
      <c r="B174" s="34" t="s">
        <v>157</v>
      </c>
      <c r="C174" s="35">
        <v>55020.0</v>
      </c>
      <c r="D174" s="35">
        <v>-58359.0</v>
      </c>
      <c r="E174" s="36" t="s">
        <v>402</v>
      </c>
      <c r="F174" s="37">
        <v>1.0</v>
      </c>
      <c r="G174" s="38" t="str">
        <f t="shared" si="2"/>
        <v>0-30</v>
      </c>
    </row>
    <row r="175" ht="15.75" customHeight="1">
      <c r="A175" s="47" t="s">
        <v>403</v>
      </c>
      <c r="B175" s="34" t="s">
        <v>16</v>
      </c>
      <c r="C175" s="35">
        <v>42471.0</v>
      </c>
      <c r="D175" s="35">
        <v>-45182.55</v>
      </c>
      <c r="E175" s="36" t="s">
        <v>404</v>
      </c>
      <c r="F175" s="37">
        <v>1.0</v>
      </c>
      <c r="G175" s="38" t="str">
        <f t="shared" si="2"/>
        <v>0-30</v>
      </c>
    </row>
    <row r="176" ht="15.75" customHeight="1">
      <c r="A176" s="34" t="s">
        <v>405</v>
      </c>
      <c r="B176" s="34" t="s">
        <v>16</v>
      </c>
      <c r="C176" s="35">
        <v>42471.0</v>
      </c>
      <c r="D176" s="35">
        <v>-45182.55</v>
      </c>
      <c r="E176" s="36" t="s">
        <v>406</v>
      </c>
      <c r="F176" s="37">
        <v>1.0</v>
      </c>
      <c r="G176" s="38" t="str">
        <f t="shared" si="2"/>
        <v>0-30</v>
      </c>
    </row>
    <row r="177" ht="15.75" customHeight="1">
      <c r="A177" s="47" t="s">
        <v>407</v>
      </c>
      <c r="B177" s="34" t="s">
        <v>16</v>
      </c>
      <c r="C177" s="35">
        <v>42471.0</v>
      </c>
      <c r="D177" s="35">
        <v>-45182.55</v>
      </c>
      <c r="E177" s="36" t="s">
        <v>408</v>
      </c>
      <c r="F177" s="37">
        <v>1.0</v>
      </c>
      <c r="G177" s="38" t="str">
        <f t="shared" si="2"/>
        <v>0-30</v>
      </c>
    </row>
    <row r="178" ht="15.75" customHeight="1">
      <c r="A178" s="34" t="s">
        <v>409</v>
      </c>
      <c r="B178" s="34" t="s">
        <v>186</v>
      </c>
      <c r="C178" s="35">
        <v>41214.0</v>
      </c>
      <c r="D178" s="43"/>
      <c r="E178" s="36" t="s">
        <v>410</v>
      </c>
      <c r="F178" s="37">
        <v>1.0</v>
      </c>
      <c r="G178" s="38" t="str">
        <f t="shared" si="2"/>
        <v>0-30</v>
      </c>
    </row>
    <row r="179" ht="15.75" customHeight="1">
      <c r="A179" s="34" t="s">
        <v>411</v>
      </c>
      <c r="B179" s="34" t="s">
        <v>12</v>
      </c>
      <c r="C179" s="35">
        <v>30048.0</v>
      </c>
      <c r="D179" s="35">
        <v>-32033.4</v>
      </c>
      <c r="E179" s="36" t="s">
        <v>412</v>
      </c>
      <c r="F179" s="37">
        <v>1.0</v>
      </c>
      <c r="G179" s="38" t="str">
        <f t="shared" si="2"/>
        <v>0-30</v>
      </c>
    </row>
    <row r="180" ht="15.75" customHeight="1">
      <c r="A180" s="47" t="s">
        <v>413</v>
      </c>
      <c r="B180" s="34" t="s">
        <v>12</v>
      </c>
      <c r="C180" s="35">
        <v>27143.0</v>
      </c>
      <c r="D180" s="35">
        <v>-28983.15</v>
      </c>
      <c r="E180" s="36" t="s">
        <v>414</v>
      </c>
      <c r="F180" s="37">
        <v>1.0</v>
      </c>
      <c r="G180" s="38" t="str">
        <f t="shared" si="2"/>
        <v>0-30</v>
      </c>
    </row>
    <row r="181" ht="15.75" customHeight="1">
      <c r="A181" s="34" t="s">
        <v>415</v>
      </c>
      <c r="B181" s="34" t="s">
        <v>12</v>
      </c>
      <c r="C181" s="35">
        <v>27143.0</v>
      </c>
      <c r="D181" s="35">
        <v>-28983.15</v>
      </c>
      <c r="E181" s="36" t="s">
        <v>416</v>
      </c>
      <c r="F181" s="37">
        <v>1.0</v>
      </c>
      <c r="G181" s="38" t="str">
        <f t="shared" si="2"/>
        <v>0-30</v>
      </c>
    </row>
    <row r="182" ht="15.75" customHeight="1">
      <c r="A182" s="47" t="s">
        <v>417</v>
      </c>
      <c r="B182" s="34" t="s">
        <v>12</v>
      </c>
      <c r="C182" s="35">
        <v>27143.0</v>
      </c>
      <c r="D182" s="35">
        <v>-28983.15</v>
      </c>
      <c r="E182" s="36" t="s">
        <v>418</v>
      </c>
      <c r="F182" s="37">
        <v>1.0</v>
      </c>
      <c r="G182" s="38" t="str">
        <f t="shared" si="2"/>
        <v>0-30</v>
      </c>
    </row>
    <row r="183" ht="15.75" customHeight="1">
      <c r="A183" s="47" t="s">
        <v>419</v>
      </c>
      <c r="B183" s="34" t="s">
        <v>16</v>
      </c>
      <c r="C183" s="35">
        <v>42471.0</v>
      </c>
      <c r="D183" s="35">
        <v>-45182.55</v>
      </c>
      <c r="E183" s="36" t="s">
        <v>420</v>
      </c>
      <c r="F183" s="37">
        <v>0.0</v>
      </c>
      <c r="G183" s="38" t="str">
        <f t="shared" si="2"/>
        <v>0-30</v>
      </c>
    </row>
    <row r="184" ht="15.75" customHeight="1">
      <c r="A184" s="47" t="s">
        <v>421</v>
      </c>
      <c r="B184" s="34" t="s">
        <v>16</v>
      </c>
      <c r="C184" s="35">
        <v>39234.0</v>
      </c>
      <c r="D184" s="35">
        <v>-41783.7</v>
      </c>
      <c r="E184" s="36" t="s">
        <v>422</v>
      </c>
      <c r="F184" s="37">
        <v>0.0</v>
      </c>
      <c r="G184" s="38" t="str">
        <f t="shared" si="2"/>
        <v>0-30</v>
      </c>
    </row>
    <row r="185" ht="15.75" customHeight="1">
      <c r="A185" s="47" t="s">
        <v>423</v>
      </c>
      <c r="B185" s="34" t="s">
        <v>16</v>
      </c>
      <c r="C185" s="35">
        <v>39234.0</v>
      </c>
      <c r="D185" s="35">
        <v>-41783.7</v>
      </c>
      <c r="E185" s="36" t="s">
        <v>424</v>
      </c>
      <c r="F185" s="37">
        <v>0.0</v>
      </c>
      <c r="G185" s="38" t="str">
        <f t="shared" si="2"/>
        <v>0-30</v>
      </c>
    </row>
    <row r="186" ht="15.75" customHeight="1">
      <c r="A186" s="47" t="s">
        <v>425</v>
      </c>
      <c r="B186" s="34" t="s">
        <v>14</v>
      </c>
      <c r="C186" s="35">
        <v>36834.0</v>
      </c>
      <c r="D186" s="35">
        <v>-39263.7</v>
      </c>
      <c r="E186" s="36" t="s">
        <v>426</v>
      </c>
      <c r="F186" s="37">
        <v>0.0</v>
      </c>
      <c r="G186" s="38" t="str">
        <f t="shared" si="2"/>
        <v>0-30</v>
      </c>
    </row>
    <row r="187" ht="15.75" customHeight="1">
      <c r="A187" s="47" t="s">
        <v>427</v>
      </c>
      <c r="B187" s="34" t="s">
        <v>14</v>
      </c>
      <c r="C187" s="35">
        <v>35260.0</v>
      </c>
      <c r="D187" s="35">
        <v>-37611.0</v>
      </c>
      <c r="E187" s="36" t="s">
        <v>428</v>
      </c>
      <c r="F187" s="37">
        <v>0.0</v>
      </c>
      <c r="G187" s="38" t="str">
        <f t="shared" si="2"/>
        <v>0-30</v>
      </c>
    </row>
    <row r="188" ht="15.75" customHeight="1">
      <c r="A188" s="34" t="s">
        <v>429</v>
      </c>
      <c r="B188" s="34" t="s">
        <v>14</v>
      </c>
      <c r="C188" s="35">
        <v>35260.0</v>
      </c>
      <c r="D188" s="35">
        <v>-37611.0</v>
      </c>
      <c r="E188" s="36" t="s">
        <v>430</v>
      </c>
      <c r="F188" s="37">
        <v>0.0</v>
      </c>
      <c r="G188" s="38" t="str">
        <f t="shared" si="2"/>
        <v>0-30</v>
      </c>
    </row>
    <row r="189" ht="15.75" customHeight="1">
      <c r="A189" s="47" t="s">
        <v>431</v>
      </c>
      <c r="B189" s="34" t="s">
        <v>264</v>
      </c>
      <c r="C189" s="35">
        <v>35094.0</v>
      </c>
      <c r="D189" s="35">
        <v>-37331.7</v>
      </c>
      <c r="E189" s="36" t="s">
        <v>432</v>
      </c>
      <c r="F189" s="37">
        <v>0.0</v>
      </c>
      <c r="G189" s="38" t="str">
        <f t="shared" si="2"/>
        <v>0-30</v>
      </c>
    </row>
    <row r="190" ht="15.75" customHeight="1">
      <c r="A190" s="47" t="s">
        <v>433</v>
      </c>
      <c r="B190" s="34" t="s">
        <v>12</v>
      </c>
      <c r="C190" s="35">
        <v>30048.0</v>
      </c>
      <c r="D190" s="35">
        <v>-32033.4</v>
      </c>
      <c r="E190" s="36" t="s">
        <v>434</v>
      </c>
      <c r="F190" s="37">
        <v>0.0</v>
      </c>
      <c r="G190" s="38" t="str">
        <f t="shared" si="2"/>
        <v>0-30</v>
      </c>
    </row>
    <row r="191" ht="15.75" customHeight="1">
      <c r="A191" s="47" t="s">
        <v>435</v>
      </c>
      <c r="B191" s="34" t="s">
        <v>12</v>
      </c>
      <c r="C191" s="35">
        <v>27143.0</v>
      </c>
      <c r="D191" s="35">
        <v>-28983.15</v>
      </c>
      <c r="E191" s="36" t="s">
        <v>436</v>
      </c>
      <c r="F191" s="37">
        <v>0.0</v>
      </c>
      <c r="G191" s="38" t="str">
        <f t="shared" si="2"/>
        <v>0-30</v>
      </c>
    </row>
    <row r="192" ht="15.75" customHeight="1">
      <c r="A192" s="55">
        <v>260551.0</v>
      </c>
      <c r="B192" s="34" t="s">
        <v>14</v>
      </c>
      <c r="C192" s="56"/>
      <c r="D192" s="56"/>
      <c r="E192" s="57" t="s">
        <v>430</v>
      </c>
      <c r="F192" s="37"/>
    </row>
    <row r="193" ht="15.75" customHeight="1">
      <c r="A193" s="55">
        <v>260552.0</v>
      </c>
      <c r="B193" s="34" t="s">
        <v>16</v>
      </c>
      <c r="C193" s="56"/>
      <c r="D193" s="56"/>
      <c r="E193" s="57" t="s">
        <v>420</v>
      </c>
      <c r="F193" s="37"/>
    </row>
    <row r="194" ht="15.75" customHeight="1">
      <c r="A194" s="55">
        <v>260553.0</v>
      </c>
      <c r="B194" s="34" t="s">
        <v>16</v>
      </c>
      <c r="C194" s="56"/>
      <c r="D194" s="56"/>
      <c r="E194" s="57" t="s">
        <v>437</v>
      </c>
      <c r="F194" s="37"/>
    </row>
    <row r="195" ht="15.75" customHeight="1">
      <c r="A195" s="55">
        <v>260554.0</v>
      </c>
      <c r="B195" s="34" t="s">
        <v>16</v>
      </c>
      <c r="C195" s="56"/>
      <c r="D195" s="56"/>
      <c r="E195" s="57" t="s">
        <v>438</v>
      </c>
      <c r="F195" s="37"/>
    </row>
    <row r="196" ht="15.75" customHeight="1">
      <c r="A196" s="55">
        <v>260555.0</v>
      </c>
      <c r="B196" s="34" t="s">
        <v>14</v>
      </c>
      <c r="C196" s="56"/>
      <c r="D196" s="56"/>
      <c r="E196" s="57" t="s">
        <v>439</v>
      </c>
      <c r="F196" s="37"/>
    </row>
    <row r="197" ht="15.75" customHeight="1">
      <c r="A197" s="55">
        <v>260556.0</v>
      </c>
      <c r="B197" s="34" t="s">
        <v>16</v>
      </c>
      <c r="C197" s="56"/>
      <c r="D197" s="56"/>
      <c r="E197" s="57" t="s">
        <v>440</v>
      </c>
      <c r="F197" s="37"/>
    </row>
    <row r="198" ht="15.75" customHeight="1">
      <c r="A198" s="55">
        <v>260557.0</v>
      </c>
      <c r="B198" s="34" t="s">
        <v>12</v>
      </c>
      <c r="C198" s="56"/>
      <c r="D198" s="56"/>
      <c r="E198" s="57" t="s">
        <v>441</v>
      </c>
      <c r="F198" s="37"/>
    </row>
    <row r="199" ht="15.75" customHeight="1">
      <c r="A199" s="55">
        <v>260558.0</v>
      </c>
      <c r="B199" s="34" t="s">
        <v>16</v>
      </c>
      <c r="C199" s="56"/>
      <c r="D199" s="56"/>
      <c r="E199" s="57" t="s">
        <v>442</v>
      </c>
      <c r="F199" s="37"/>
    </row>
    <row r="200" ht="15.75" customHeight="1">
      <c r="A200" s="58">
        <v>260559.0</v>
      </c>
      <c r="B200" s="59" t="s">
        <v>157</v>
      </c>
      <c r="C200" s="56"/>
      <c r="D200" s="56"/>
      <c r="E200" s="57" t="s">
        <v>443</v>
      </c>
      <c r="F200" s="37"/>
    </row>
    <row r="201" ht="15.75" customHeight="1">
      <c r="A201" s="55">
        <v>260560.0</v>
      </c>
      <c r="B201" s="34" t="s">
        <v>16</v>
      </c>
      <c r="C201" s="56"/>
      <c r="D201" s="56"/>
      <c r="E201" s="57" t="s">
        <v>444</v>
      </c>
      <c r="F201" s="37"/>
    </row>
    <row r="202" ht="15.75" customHeight="1">
      <c r="A202" s="55">
        <v>260561.0</v>
      </c>
      <c r="B202" s="59" t="s">
        <v>157</v>
      </c>
      <c r="C202" s="56"/>
      <c r="D202" s="56"/>
      <c r="E202" s="57" t="s">
        <v>445</v>
      </c>
      <c r="F202" s="37"/>
    </row>
    <row r="203" ht="15.75" customHeight="1">
      <c r="A203" s="55">
        <v>260562.0</v>
      </c>
      <c r="B203" s="34" t="s">
        <v>12</v>
      </c>
      <c r="C203" s="56"/>
      <c r="D203" s="56"/>
      <c r="E203" s="57" t="s">
        <v>446</v>
      </c>
      <c r="F203" s="37"/>
    </row>
    <row r="204" ht="15.75" customHeight="1">
      <c r="A204" s="58">
        <v>260563.0</v>
      </c>
      <c r="B204" s="34" t="s">
        <v>14</v>
      </c>
      <c r="C204" s="56"/>
      <c r="D204" s="56"/>
      <c r="E204" s="57" t="s">
        <v>447</v>
      </c>
      <c r="F204" s="37"/>
    </row>
    <row r="205" ht="15.75" customHeight="1">
      <c r="A205" s="55">
        <v>260564.0</v>
      </c>
      <c r="B205" s="34" t="s">
        <v>16</v>
      </c>
      <c r="C205" s="56"/>
      <c r="D205" s="56"/>
      <c r="E205" s="57" t="s">
        <v>448</v>
      </c>
      <c r="F205" s="37"/>
    </row>
    <row r="206" ht="15.75" customHeight="1">
      <c r="A206" s="55">
        <v>260565.0</v>
      </c>
      <c r="B206" s="34" t="s">
        <v>14</v>
      </c>
      <c r="C206" s="56"/>
      <c r="D206" s="56"/>
      <c r="E206" s="57" t="s">
        <v>449</v>
      </c>
      <c r="F206" s="37"/>
    </row>
    <row r="207" ht="15.75" customHeight="1">
      <c r="A207" s="55">
        <v>260566.0</v>
      </c>
      <c r="B207" s="34" t="s">
        <v>229</v>
      </c>
      <c r="C207" s="56"/>
      <c r="D207" s="56"/>
      <c r="E207" s="57" t="s">
        <v>450</v>
      </c>
      <c r="F207" s="37"/>
    </row>
    <row r="208" ht="15.75" customHeight="1">
      <c r="A208" s="55">
        <v>260567.0</v>
      </c>
      <c r="B208" s="34" t="s">
        <v>229</v>
      </c>
      <c r="C208" s="56"/>
      <c r="D208" s="56"/>
      <c r="E208" s="57" t="s">
        <v>451</v>
      </c>
      <c r="F208" s="37"/>
    </row>
    <row r="209" ht="15.75" customHeight="1">
      <c r="A209" s="55">
        <v>260568.0</v>
      </c>
      <c r="B209" s="34" t="s">
        <v>12</v>
      </c>
      <c r="C209" s="56"/>
      <c r="D209" s="56"/>
      <c r="E209" s="57" t="s">
        <v>452</v>
      </c>
      <c r="F209" s="37"/>
    </row>
    <row r="210" ht="15.75" customHeight="1">
      <c r="A210" s="55">
        <v>260569.0</v>
      </c>
      <c r="B210" s="34" t="s">
        <v>12</v>
      </c>
      <c r="C210" s="56"/>
      <c r="D210" s="56"/>
      <c r="E210" s="57" t="s">
        <v>453</v>
      </c>
      <c r="F210" s="37"/>
    </row>
    <row r="211" ht="15.75" customHeight="1">
      <c r="A211" s="55">
        <v>260570.0</v>
      </c>
      <c r="B211" s="34" t="s">
        <v>14</v>
      </c>
      <c r="C211" s="56"/>
      <c r="D211" s="56"/>
      <c r="E211" s="57" t="s">
        <v>454</v>
      </c>
      <c r="F211" s="37"/>
    </row>
    <row r="212" ht="15.75" customHeight="1">
      <c r="A212" s="55">
        <v>260571.0</v>
      </c>
      <c r="B212" s="34" t="s">
        <v>12</v>
      </c>
      <c r="C212" s="56"/>
      <c r="D212" s="56"/>
      <c r="E212" s="57" t="s">
        <v>455</v>
      </c>
      <c r="F212" s="37"/>
    </row>
    <row r="213" ht="15.75" customHeight="1">
      <c r="A213" s="55">
        <v>260572.0</v>
      </c>
      <c r="B213" s="34" t="s">
        <v>14</v>
      </c>
      <c r="C213" s="56"/>
      <c r="D213" s="56"/>
      <c r="E213" s="57" t="s">
        <v>456</v>
      </c>
      <c r="F213" s="37"/>
    </row>
    <row r="214" ht="15.75" customHeight="1">
      <c r="A214" s="55">
        <v>260573.0</v>
      </c>
      <c r="B214" s="34" t="s">
        <v>16</v>
      </c>
      <c r="C214" s="56"/>
      <c r="D214" s="56"/>
      <c r="E214" s="57" t="s">
        <v>396</v>
      </c>
      <c r="F214" s="37"/>
    </row>
    <row r="215" ht="15.75" customHeight="1">
      <c r="A215" s="58">
        <v>260574.0</v>
      </c>
      <c r="B215" s="59" t="s">
        <v>157</v>
      </c>
      <c r="C215" s="56"/>
      <c r="D215" s="56"/>
      <c r="E215" s="57" t="s">
        <v>457</v>
      </c>
      <c r="F215" s="37"/>
    </row>
    <row r="216" ht="15.75" customHeight="1">
      <c r="A216" s="55">
        <v>260575.0</v>
      </c>
      <c r="B216" s="59" t="s">
        <v>157</v>
      </c>
      <c r="C216" s="56"/>
      <c r="D216" s="56"/>
      <c r="E216" s="57" t="s">
        <v>458</v>
      </c>
      <c r="F216" s="37"/>
      <c r="G216" s="60"/>
    </row>
    <row r="217" ht="15.75" customHeight="1">
      <c r="A217" s="55">
        <v>260576.0</v>
      </c>
      <c r="B217" s="34" t="s">
        <v>16</v>
      </c>
      <c r="C217" s="56"/>
      <c r="D217" s="56"/>
      <c r="E217" s="57" t="s">
        <v>459</v>
      </c>
      <c r="F217" s="37"/>
    </row>
    <row r="218" ht="15.75" customHeight="1">
      <c r="A218" s="55">
        <v>260577.0</v>
      </c>
      <c r="B218" s="34" t="s">
        <v>16</v>
      </c>
      <c r="C218" s="56"/>
      <c r="D218" s="56"/>
      <c r="E218" s="57" t="s">
        <v>460</v>
      </c>
      <c r="F218" s="37"/>
    </row>
    <row r="219" ht="15.75" customHeight="1">
      <c r="A219" s="55">
        <v>260578.0</v>
      </c>
      <c r="B219" s="34" t="s">
        <v>14</v>
      </c>
      <c r="C219" s="56"/>
      <c r="D219" s="56"/>
      <c r="E219" s="57" t="s">
        <v>461</v>
      </c>
      <c r="F219" s="37"/>
    </row>
    <row r="220" ht="15.75" customHeight="1">
      <c r="A220" s="55">
        <v>260579.0</v>
      </c>
      <c r="B220" s="34" t="s">
        <v>14</v>
      </c>
      <c r="C220" s="56"/>
      <c r="D220" s="56"/>
      <c r="E220" s="57" t="s">
        <v>462</v>
      </c>
      <c r="F220" s="37"/>
    </row>
    <row r="221" ht="15.75" customHeight="1">
      <c r="A221" s="55">
        <v>260580.0</v>
      </c>
      <c r="B221" s="59" t="s">
        <v>157</v>
      </c>
      <c r="C221" s="56"/>
      <c r="D221" s="56"/>
      <c r="E221" s="57" t="s">
        <v>463</v>
      </c>
      <c r="F221" s="37"/>
    </row>
    <row r="222" ht="15.75" customHeight="1">
      <c r="A222" s="55">
        <v>260581.0</v>
      </c>
      <c r="B222" s="34" t="s">
        <v>14</v>
      </c>
      <c r="C222" s="56"/>
      <c r="D222" s="56"/>
      <c r="E222" s="57" t="s">
        <v>464</v>
      </c>
      <c r="F222" s="37"/>
    </row>
    <row r="223" ht="15.75" customHeight="1">
      <c r="A223" s="55">
        <v>260582.0</v>
      </c>
      <c r="B223" s="59" t="s">
        <v>157</v>
      </c>
      <c r="C223" s="56"/>
      <c r="D223" s="56"/>
      <c r="E223" s="57" t="s">
        <v>465</v>
      </c>
      <c r="F223" s="37"/>
    </row>
    <row r="224" ht="15.75" customHeight="1">
      <c r="A224" s="55">
        <v>260583.0</v>
      </c>
      <c r="B224" s="34" t="s">
        <v>16</v>
      </c>
      <c r="C224" s="56"/>
      <c r="D224" s="56"/>
      <c r="E224" s="61" t="s">
        <v>466</v>
      </c>
      <c r="F224" s="37"/>
    </row>
    <row r="225" ht="15.75" customHeight="1">
      <c r="A225" s="55">
        <v>260584.0</v>
      </c>
      <c r="B225" s="59" t="s">
        <v>157</v>
      </c>
      <c r="C225" s="56"/>
      <c r="D225" s="56"/>
      <c r="E225" s="57" t="s">
        <v>467</v>
      </c>
      <c r="F225" s="37"/>
    </row>
    <row r="226" ht="15.75" customHeight="1">
      <c r="A226" s="55">
        <v>260585.0</v>
      </c>
      <c r="B226" s="34" t="s">
        <v>12</v>
      </c>
      <c r="C226" s="56"/>
      <c r="D226" s="56"/>
      <c r="E226" s="57" t="s">
        <v>468</v>
      </c>
      <c r="F226" s="37"/>
    </row>
    <row r="227" ht="15.75" customHeight="1">
      <c r="A227" s="58">
        <v>260586.0</v>
      </c>
      <c r="B227" s="34" t="s">
        <v>14</v>
      </c>
      <c r="C227" s="56"/>
      <c r="D227" s="56"/>
      <c r="E227" s="57" t="s">
        <v>469</v>
      </c>
      <c r="F227" s="37"/>
    </row>
    <row r="228" ht="15.75" customHeight="1">
      <c r="A228" s="55">
        <v>260587.0</v>
      </c>
      <c r="B228" s="34" t="s">
        <v>229</v>
      </c>
      <c r="C228" s="56"/>
      <c r="D228" s="56"/>
      <c r="E228" s="57" t="s">
        <v>470</v>
      </c>
      <c r="F228" s="37"/>
    </row>
    <row r="229" ht="15.75" customHeight="1">
      <c r="A229" s="55">
        <v>260588.0</v>
      </c>
      <c r="B229" s="34" t="s">
        <v>12</v>
      </c>
      <c r="C229" s="56"/>
      <c r="D229" s="56"/>
      <c r="E229" s="61" t="s">
        <v>471</v>
      </c>
      <c r="F229" s="37"/>
    </row>
    <row r="230" ht="15.75" customHeight="1">
      <c r="A230" s="55">
        <v>260589.0</v>
      </c>
      <c r="B230" s="34" t="s">
        <v>229</v>
      </c>
      <c r="C230" s="56"/>
      <c r="D230" s="56"/>
      <c r="E230" s="57" t="s">
        <v>472</v>
      </c>
      <c r="F230" s="37"/>
    </row>
    <row r="231" ht="15.75" customHeight="1">
      <c r="A231" s="55">
        <v>260590.0</v>
      </c>
      <c r="B231" s="34" t="s">
        <v>16</v>
      </c>
      <c r="C231" s="56"/>
      <c r="D231" s="56"/>
      <c r="E231" s="61" t="s">
        <v>473</v>
      </c>
      <c r="F231" s="37"/>
    </row>
    <row r="232" ht="15.75" customHeight="1">
      <c r="A232" s="55">
        <v>260591.0</v>
      </c>
      <c r="B232" s="34" t="s">
        <v>14</v>
      </c>
      <c r="C232" s="56"/>
      <c r="D232" s="56"/>
      <c r="E232" s="57" t="s">
        <v>474</v>
      </c>
      <c r="F232" s="37"/>
    </row>
    <row r="233" ht="15.75" customHeight="1">
      <c r="A233" s="55">
        <v>260592.0</v>
      </c>
      <c r="B233" s="34" t="s">
        <v>14</v>
      </c>
      <c r="C233" s="56"/>
      <c r="D233" s="56"/>
      <c r="E233" s="57" t="s">
        <v>475</v>
      </c>
      <c r="F233" s="37"/>
    </row>
    <row r="234" ht="15.75" customHeight="1">
      <c r="A234" s="55">
        <v>260593.0</v>
      </c>
      <c r="B234" s="59" t="s">
        <v>157</v>
      </c>
      <c r="C234" s="56"/>
      <c r="D234" s="56"/>
      <c r="E234" s="57" t="s">
        <v>476</v>
      </c>
      <c r="F234" s="37"/>
    </row>
    <row r="235" ht="15.75" customHeight="1">
      <c r="A235" s="55">
        <v>260594.0</v>
      </c>
      <c r="B235" s="59" t="s">
        <v>157</v>
      </c>
      <c r="C235" s="56"/>
      <c r="D235" s="56"/>
      <c r="E235" s="57" t="s">
        <v>477</v>
      </c>
      <c r="F235" s="37"/>
    </row>
    <row r="236" ht="15.75" customHeight="1">
      <c r="A236" s="55">
        <v>260595.0</v>
      </c>
      <c r="B236" s="34" t="s">
        <v>229</v>
      </c>
      <c r="C236" s="56"/>
      <c r="D236" s="56"/>
      <c r="E236" s="57" t="s">
        <v>478</v>
      </c>
      <c r="F236" s="37"/>
    </row>
    <row r="237" ht="15.75" customHeight="1">
      <c r="A237" s="55">
        <v>260596.0</v>
      </c>
      <c r="B237" s="59" t="s">
        <v>157</v>
      </c>
      <c r="C237" s="56"/>
      <c r="D237" s="56"/>
      <c r="E237" s="57" t="s">
        <v>479</v>
      </c>
      <c r="F237" s="37"/>
    </row>
    <row r="238" ht="15.75" customHeight="1">
      <c r="A238" s="62">
        <v>260543.0</v>
      </c>
      <c r="B238" s="59" t="s">
        <v>157</v>
      </c>
      <c r="C238" s="56"/>
      <c r="D238" s="56"/>
      <c r="E238" s="57" t="s">
        <v>480</v>
      </c>
      <c r="F238" s="37"/>
    </row>
    <row r="239" ht="15.75" customHeight="1">
      <c r="A239" s="34"/>
      <c r="B239" s="34"/>
      <c r="C239" s="56"/>
      <c r="D239" s="56"/>
      <c r="E239" s="36"/>
      <c r="F239" s="37"/>
    </row>
    <row r="240" ht="15.75" customHeight="1">
      <c r="A240" s="34"/>
      <c r="B240" s="34"/>
      <c r="C240" s="56"/>
      <c r="D240" s="56"/>
      <c r="E240" s="36"/>
      <c r="F240" s="37"/>
    </row>
    <row r="241" ht="15.75" customHeight="1">
      <c r="A241" s="34"/>
      <c r="B241" s="34"/>
      <c r="C241" s="56"/>
      <c r="D241" s="56"/>
      <c r="E241" s="36"/>
      <c r="F241" s="37"/>
    </row>
    <row r="242" ht="15.75" customHeight="1">
      <c r="A242" s="34"/>
      <c r="B242" s="34"/>
      <c r="C242" s="56"/>
      <c r="D242" s="56"/>
      <c r="E242" s="36"/>
      <c r="F242" s="37"/>
    </row>
    <row r="243" ht="15.75" customHeight="1">
      <c r="A243" s="34"/>
      <c r="B243" s="34"/>
      <c r="C243" s="56"/>
      <c r="D243" s="56"/>
      <c r="E243" s="36"/>
      <c r="F243" s="37"/>
    </row>
    <row r="244" ht="15.75" customHeight="1">
      <c r="A244" s="34"/>
      <c r="B244" s="34"/>
      <c r="C244" s="56"/>
      <c r="D244" s="56"/>
      <c r="E244" s="36"/>
      <c r="F244" s="37"/>
    </row>
    <row r="245" ht="15.75" customHeight="1">
      <c r="A245" s="34"/>
      <c r="B245" s="34"/>
      <c r="C245" s="56"/>
      <c r="D245" s="56"/>
      <c r="E245" s="36"/>
      <c r="F245" s="37"/>
    </row>
    <row r="246" ht="15.75" customHeight="1">
      <c r="A246" s="34"/>
      <c r="B246" s="34"/>
      <c r="C246" s="56"/>
      <c r="D246" s="56"/>
      <c r="E246" s="36"/>
      <c r="F246" s="37"/>
    </row>
    <row r="247" ht="15.75" customHeight="1">
      <c r="A247" s="34"/>
      <c r="B247" s="59"/>
      <c r="C247" s="56"/>
      <c r="D247" s="56"/>
      <c r="E247" s="57"/>
      <c r="F247" s="37"/>
    </row>
    <row r="248" ht="15.75" customHeight="1">
      <c r="A248" s="34"/>
      <c r="B248" s="34"/>
      <c r="C248" s="56"/>
      <c r="D248" s="56"/>
      <c r="E248" s="36"/>
      <c r="F248" s="37"/>
    </row>
    <row r="249" ht="15.75" customHeight="1">
      <c r="A249" s="34"/>
      <c r="B249" s="34"/>
      <c r="C249" s="56"/>
      <c r="D249" s="56"/>
      <c r="E249" s="36"/>
      <c r="F249" s="37"/>
    </row>
    <row r="250" ht="15.75" customHeight="1">
      <c r="A250" s="34"/>
      <c r="B250" s="34"/>
      <c r="C250" s="56"/>
      <c r="D250" s="56"/>
      <c r="E250" s="36"/>
      <c r="F250" s="37"/>
    </row>
    <row r="251" ht="15.75" customHeight="1">
      <c r="A251" s="34"/>
      <c r="B251" s="34"/>
      <c r="C251" s="56"/>
      <c r="D251" s="56"/>
      <c r="E251" s="36"/>
      <c r="F251" s="37"/>
    </row>
    <row r="252" ht="15.75" customHeight="1">
      <c r="A252" s="34"/>
      <c r="B252" s="34"/>
      <c r="C252" s="56"/>
      <c r="D252" s="56"/>
      <c r="E252" s="36"/>
      <c r="F252" s="37"/>
    </row>
    <row r="253" ht="15.75" customHeight="1">
      <c r="A253" s="34"/>
      <c r="B253" s="34"/>
      <c r="C253" s="56"/>
      <c r="D253" s="56"/>
      <c r="E253" s="36"/>
      <c r="F253" s="37"/>
    </row>
    <row r="254" ht="15.75" customHeight="1">
      <c r="A254" s="34"/>
      <c r="B254" s="34"/>
      <c r="C254" s="56"/>
      <c r="D254" s="56"/>
      <c r="E254" s="36"/>
      <c r="F254" s="37"/>
    </row>
    <row r="255" ht="15.75" customHeight="1">
      <c r="A255" s="34"/>
      <c r="B255" s="34"/>
      <c r="C255" s="56"/>
      <c r="D255" s="56"/>
      <c r="E255" s="36"/>
      <c r="F255" s="37"/>
    </row>
    <row r="256" ht="15.75" customHeight="1">
      <c r="A256" s="34"/>
      <c r="B256" s="34"/>
      <c r="C256" s="56"/>
      <c r="D256" s="56"/>
      <c r="E256" s="36"/>
      <c r="F256" s="37"/>
    </row>
    <row r="257" ht="15.75" customHeight="1">
      <c r="A257" s="34"/>
      <c r="B257" s="34"/>
      <c r="C257" s="56"/>
      <c r="D257" s="56"/>
      <c r="E257" s="36"/>
      <c r="F257" s="37"/>
    </row>
    <row r="258" ht="15.75" customHeight="1">
      <c r="A258" s="34"/>
      <c r="B258" s="34"/>
      <c r="C258" s="56"/>
      <c r="D258" s="56"/>
      <c r="E258" s="36"/>
      <c r="F258" s="37"/>
    </row>
    <row r="259" ht="15.75" customHeight="1">
      <c r="A259" s="34"/>
      <c r="B259" s="34"/>
      <c r="C259" s="56"/>
      <c r="D259" s="56"/>
      <c r="E259" s="36"/>
      <c r="F259" s="37"/>
    </row>
    <row r="260" ht="15.75" customHeight="1">
      <c r="A260" s="34"/>
      <c r="B260" s="34"/>
      <c r="C260" s="56"/>
      <c r="D260" s="56"/>
      <c r="E260" s="36"/>
      <c r="F260" s="37"/>
    </row>
    <row r="261" ht="15.75" customHeight="1">
      <c r="A261" s="34"/>
      <c r="B261" s="34"/>
      <c r="C261" s="56"/>
      <c r="D261" s="56"/>
      <c r="E261" s="36"/>
      <c r="F261" s="37"/>
    </row>
    <row r="262" ht="15.75" customHeight="1">
      <c r="A262" s="34"/>
      <c r="B262" s="34"/>
      <c r="C262" s="56"/>
      <c r="D262" s="56"/>
      <c r="E262" s="36"/>
      <c r="F262" s="37"/>
    </row>
    <row r="263" ht="15.75" customHeight="1">
      <c r="A263" s="34"/>
      <c r="B263" s="34"/>
      <c r="C263" s="56"/>
      <c r="D263" s="56"/>
      <c r="E263" s="36"/>
      <c r="F263" s="37"/>
    </row>
    <row r="264" ht="15.75" customHeight="1">
      <c r="A264" s="34"/>
      <c r="B264" s="34"/>
      <c r="C264" s="56"/>
      <c r="D264" s="56"/>
      <c r="E264" s="36"/>
      <c r="F264" s="37"/>
    </row>
    <row r="265" ht="15.75" customHeight="1">
      <c r="A265" s="34"/>
      <c r="B265" s="34"/>
      <c r="C265" s="56"/>
      <c r="D265" s="56"/>
      <c r="E265" s="36"/>
      <c r="F265" s="37"/>
    </row>
    <row r="266" ht="15.75" customHeight="1">
      <c r="A266" s="34"/>
      <c r="B266" s="34"/>
      <c r="C266" s="56"/>
      <c r="D266" s="56"/>
      <c r="E266" s="36"/>
      <c r="F266" s="37"/>
    </row>
    <row r="267" ht="15.75" customHeight="1">
      <c r="A267" s="34"/>
      <c r="B267" s="34"/>
      <c r="C267" s="56"/>
      <c r="D267" s="56"/>
      <c r="E267" s="36"/>
      <c r="F267" s="37"/>
    </row>
    <row r="268" ht="15.75" customHeight="1">
      <c r="A268" s="34"/>
      <c r="B268" s="34"/>
      <c r="C268" s="56"/>
      <c r="D268" s="56"/>
      <c r="E268" s="36"/>
      <c r="F268" s="37"/>
    </row>
    <row r="269" ht="15.75" customHeight="1">
      <c r="A269" s="34"/>
      <c r="B269" s="34"/>
      <c r="C269" s="56"/>
      <c r="D269" s="56"/>
      <c r="E269" s="36"/>
      <c r="F269" s="37"/>
    </row>
    <row r="270" ht="15.75" customHeight="1">
      <c r="A270" s="34"/>
      <c r="B270" s="34"/>
      <c r="C270" s="56"/>
      <c r="D270" s="56"/>
      <c r="E270" s="36"/>
      <c r="F270" s="37"/>
    </row>
    <row r="271" ht="15.75" customHeight="1">
      <c r="A271" s="34"/>
      <c r="B271" s="34"/>
      <c r="C271" s="56"/>
      <c r="D271" s="56"/>
      <c r="E271" s="36"/>
      <c r="F271" s="37"/>
    </row>
    <row r="272" ht="15.75" customHeight="1">
      <c r="A272" s="34"/>
      <c r="B272" s="34"/>
      <c r="C272" s="56"/>
      <c r="D272" s="56"/>
      <c r="E272" s="36"/>
      <c r="F272" s="37"/>
    </row>
    <row r="273" ht="15.75" customHeight="1">
      <c r="A273" s="34"/>
      <c r="B273" s="34"/>
      <c r="C273" s="56"/>
      <c r="D273" s="56"/>
      <c r="E273" s="36"/>
      <c r="F273" s="37"/>
    </row>
    <row r="274" ht="15.75" customHeight="1">
      <c r="A274" s="34"/>
      <c r="B274" s="34"/>
      <c r="C274" s="56"/>
      <c r="D274" s="56"/>
      <c r="E274" s="36"/>
      <c r="F274" s="37"/>
    </row>
    <row r="275" ht="15.75" customHeight="1">
      <c r="A275" s="34"/>
      <c r="B275" s="34"/>
      <c r="C275" s="56"/>
      <c r="D275" s="56"/>
      <c r="E275" s="36"/>
      <c r="F275" s="37"/>
    </row>
    <row r="276" ht="15.75" customHeight="1">
      <c r="A276" s="34"/>
      <c r="B276" s="34"/>
      <c r="C276" s="56"/>
      <c r="D276" s="56"/>
      <c r="E276" s="36"/>
      <c r="F276" s="37"/>
    </row>
    <row r="277" ht="15.75" customHeight="1">
      <c r="A277" s="34"/>
      <c r="B277" s="34"/>
      <c r="C277" s="56"/>
      <c r="D277" s="56"/>
      <c r="E277" s="36"/>
      <c r="F277" s="37"/>
    </row>
    <row r="278" ht="15.75" customHeight="1">
      <c r="A278" s="34"/>
      <c r="B278" s="34"/>
      <c r="C278" s="56"/>
      <c r="D278" s="56"/>
      <c r="E278" s="36"/>
      <c r="F278" s="37"/>
    </row>
    <row r="279" ht="15.75" customHeight="1">
      <c r="A279" s="34"/>
      <c r="B279" s="34"/>
      <c r="C279" s="56"/>
      <c r="D279" s="56"/>
      <c r="E279" s="36"/>
      <c r="F279" s="37"/>
    </row>
    <row r="280" ht="15.75" customHeight="1">
      <c r="A280" s="34"/>
      <c r="B280" s="34"/>
      <c r="C280" s="56"/>
      <c r="D280" s="56"/>
      <c r="E280" s="36"/>
      <c r="F280" s="37"/>
    </row>
    <row r="281" ht="15.75" customHeight="1">
      <c r="A281" s="34"/>
      <c r="B281" s="34"/>
      <c r="C281" s="56"/>
      <c r="D281" s="56"/>
      <c r="E281" s="36"/>
      <c r="F281" s="37"/>
    </row>
    <row r="282" ht="15.75" customHeight="1">
      <c r="A282" s="34"/>
      <c r="B282" s="34"/>
      <c r="C282" s="56"/>
      <c r="D282" s="56"/>
      <c r="E282" s="36"/>
      <c r="F282" s="37"/>
    </row>
    <row r="283" ht="15.75" customHeight="1">
      <c r="A283" s="34"/>
      <c r="B283" s="34"/>
      <c r="C283" s="56"/>
      <c r="D283" s="56"/>
      <c r="E283" s="36"/>
      <c r="F283" s="37"/>
    </row>
    <row r="284" ht="15.75" customHeight="1">
      <c r="A284" s="34"/>
      <c r="B284" s="34"/>
      <c r="C284" s="56"/>
      <c r="D284" s="56"/>
      <c r="E284" s="36"/>
      <c r="F284" s="37"/>
    </row>
    <row r="285" ht="15.75" customHeight="1">
      <c r="A285" s="34"/>
      <c r="B285" s="34"/>
      <c r="C285" s="56"/>
      <c r="D285" s="56"/>
      <c r="E285" s="36"/>
      <c r="F285" s="37"/>
    </row>
    <row r="286" ht="15.75" customHeight="1">
      <c r="A286" s="34"/>
      <c r="B286" s="34"/>
      <c r="C286" s="56"/>
      <c r="D286" s="56"/>
      <c r="E286" s="36"/>
      <c r="F286" s="37"/>
    </row>
    <row r="287" ht="15.75" customHeight="1">
      <c r="A287" s="34"/>
      <c r="B287" s="34"/>
      <c r="C287" s="56"/>
      <c r="D287" s="56"/>
      <c r="E287" s="36"/>
      <c r="F287" s="37"/>
    </row>
    <row r="288" ht="15.75" customHeight="1">
      <c r="A288" s="34"/>
      <c r="B288" s="34"/>
      <c r="C288" s="56"/>
      <c r="D288" s="56"/>
      <c r="E288" s="36"/>
      <c r="F288" s="37"/>
    </row>
    <row r="289" ht="15.75" customHeight="1">
      <c r="A289" s="34"/>
      <c r="B289" s="34"/>
      <c r="C289" s="56"/>
      <c r="D289" s="56"/>
      <c r="E289" s="36"/>
      <c r="F289" s="37"/>
    </row>
    <row r="290" ht="15.75" customHeight="1">
      <c r="A290" s="34"/>
      <c r="B290" s="34"/>
      <c r="C290" s="56"/>
      <c r="D290" s="56"/>
      <c r="E290" s="36"/>
      <c r="F290" s="37"/>
    </row>
    <row r="291" ht="15.75" customHeight="1">
      <c r="A291" s="34"/>
      <c r="B291" s="34"/>
      <c r="C291" s="56"/>
      <c r="D291" s="56"/>
      <c r="E291" s="36"/>
      <c r="F291" s="37"/>
    </row>
    <row r="292" ht="15.75" customHeight="1">
      <c r="A292" s="34"/>
      <c r="B292" s="34"/>
      <c r="C292" s="56"/>
      <c r="D292" s="56"/>
      <c r="E292" s="36"/>
      <c r="F292" s="37"/>
    </row>
    <row r="293" ht="15.75" customHeight="1">
      <c r="A293" s="34"/>
      <c r="B293" s="34"/>
      <c r="C293" s="56"/>
      <c r="D293" s="56"/>
      <c r="E293" s="36"/>
      <c r="F293" s="37"/>
    </row>
    <row r="294" ht="15.75" customHeight="1">
      <c r="A294" s="34"/>
      <c r="B294" s="34"/>
      <c r="C294" s="56"/>
      <c r="D294" s="56"/>
      <c r="E294" s="36"/>
      <c r="F294" s="37"/>
    </row>
    <row r="295" ht="15.75" customHeight="1">
      <c r="A295" s="34"/>
      <c r="B295" s="34"/>
      <c r="C295" s="56"/>
      <c r="D295" s="56"/>
      <c r="E295" s="36"/>
      <c r="F295" s="37"/>
    </row>
    <row r="296" ht="15.75" customHeight="1">
      <c r="A296" s="34"/>
      <c r="B296" s="34"/>
      <c r="C296" s="56"/>
      <c r="D296" s="56"/>
      <c r="E296" s="36"/>
      <c r="F296" s="37"/>
    </row>
    <row r="297" ht="15.75" customHeight="1">
      <c r="A297" s="34"/>
      <c r="B297" s="34"/>
      <c r="C297" s="56"/>
      <c r="D297" s="56"/>
      <c r="E297" s="36"/>
      <c r="F297" s="37"/>
    </row>
    <row r="298" ht="15.75" customHeight="1">
      <c r="A298" s="34"/>
      <c r="B298" s="34"/>
      <c r="C298" s="56"/>
      <c r="D298" s="56"/>
      <c r="E298" s="36"/>
      <c r="F298" s="37"/>
    </row>
    <row r="299" ht="15.75" customHeight="1">
      <c r="A299" s="34"/>
      <c r="B299" s="34"/>
      <c r="C299" s="56"/>
      <c r="D299" s="56"/>
      <c r="E299" s="36"/>
      <c r="F299" s="37"/>
    </row>
    <row r="300" ht="15.75" customHeight="1">
      <c r="A300" s="34"/>
      <c r="B300" s="34"/>
      <c r="C300" s="56"/>
      <c r="D300" s="56"/>
      <c r="E300" s="36"/>
      <c r="F300" s="37"/>
    </row>
    <row r="301" ht="15.75" customHeight="1">
      <c r="A301" s="34"/>
      <c r="B301" s="34"/>
      <c r="C301" s="56"/>
      <c r="D301" s="56"/>
      <c r="E301" s="36"/>
      <c r="F301" s="37"/>
    </row>
    <row r="302" ht="15.75" customHeight="1">
      <c r="A302" s="34"/>
      <c r="B302" s="34"/>
      <c r="C302" s="56"/>
      <c r="D302" s="56"/>
      <c r="E302" s="36"/>
      <c r="F302" s="37"/>
    </row>
    <row r="303" ht="15.75" customHeight="1">
      <c r="A303" s="34"/>
      <c r="B303" s="34"/>
      <c r="C303" s="56"/>
      <c r="D303" s="56"/>
      <c r="E303" s="36"/>
      <c r="F303" s="37"/>
    </row>
    <row r="304" ht="15.75" customHeight="1">
      <c r="A304" s="34"/>
      <c r="B304" s="34"/>
      <c r="C304" s="56"/>
      <c r="D304" s="56"/>
      <c r="E304" s="36"/>
      <c r="F304" s="37"/>
    </row>
    <row r="305" ht="15.75" customHeight="1">
      <c r="A305" s="34"/>
      <c r="B305" s="34"/>
      <c r="C305" s="56"/>
      <c r="D305" s="56"/>
      <c r="E305" s="36"/>
      <c r="F305" s="37"/>
    </row>
    <row r="306" ht="15.75" customHeight="1">
      <c r="A306" s="34"/>
      <c r="B306" s="34"/>
      <c r="C306" s="56"/>
      <c r="D306" s="56"/>
      <c r="E306" s="36"/>
      <c r="F306" s="37"/>
    </row>
    <row r="307" ht="15.75" customHeight="1">
      <c r="A307" s="34"/>
      <c r="B307" s="34"/>
      <c r="C307" s="56"/>
      <c r="D307" s="56"/>
      <c r="E307" s="36"/>
      <c r="F307" s="37"/>
    </row>
    <row r="308" ht="15.75" customHeight="1">
      <c r="A308" s="34"/>
      <c r="B308" s="34"/>
      <c r="C308" s="56"/>
      <c r="D308" s="56"/>
      <c r="E308" s="36"/>
      <c r="F308" s="37"/>
    </row>
    <row r="309" ht="15.75" customHeight="1">
      <c r="A309" s="34"/>
      <c r="B309" s="34"/>
      <c r="C309" s="56"/>
      <c r="D309" s="56"/>
      <c r="E309" s="36"/>
      <c r="F309" s="37"/>
    </row>
    <row r="310" ht="15.75" customHeight="1">
      <c r="A310" s="34"/>
      <c r="B310" s="34"/>
      <c r="C310" s="56"/>
      <c r="D310" s="56"/>
      <c r="E310" s="36"/>
      <c r="F310" s="37"/>
    </row>
    <row r="311" ht="15.75" customHeight="1">
      <c r="A311" s="34"/>
      <c r="B311" s="34"/>
      <c r="C311" s="56"/>
      <c r="D311" s="56"/>
      <c r="E311" s="36"/>
      <c r="F311" s="37"/>
    </row>
    <row r="312" ht="15.75" customHeight="1">
      <c r="A312" s="34"/>
      <c r="B312" s="34"/>
      <c r="C312" s="56"/>
      <c r="D312" s="56"/>
      <c r="E312" s="36"/>
      <c r="F312" s="37"/>
    </row>
    <row r="313" ht="15.75" customHeight="1">
      <c r="A313" s="34"/>
      <c r="B313" s="34"/>
      <c r="C313" s="56"/>
      <c r="D313" s="56"/>
      <c r="E313" s="36"/>
      <c r="F313" s="37"/>
    </row>
    <row r="314" ht="15.75" customHeight="1">
      <c r="A314" s="34"/>
      <c r="B314" s="34"/>
      <c r="C314" s="56"/>
      <c r="D314" s="56"/>
      <c r="E314" s="36"/>
      <c r="F314" s="37"/>
    </row>
    <row r="315" ht="15.75" customHeight="1">
      <c r="A315" s="34"/>
      <c r="B315" s="34"/>
      <c r="C315" s="56"/>
      <c r="D315" s="56"/>
      <c r="E315" s="36"/>
      <c r="F315" s="37"/>
    </row>
    <row r="316" ht="15.75" customHeight="1">
      <c r="A316" s="34"/>
      <c r="B316" s="34"/>
      <c r="C316" s="56"/>
      <c r="D316" s="56"/>
      <c r="E316" s="36"/>
      <c r="F316" s="37"/>
    </row>
    <row r="317" ht="15.75" customHeight="1">
      <c r="A317" s="34"/>
      <c r="B317" s="34"/>
      <c r="C317" s="56"/>
      <c r="D317" s="56"/>
      <c r="E317" s="36"/>
      <c r="F317" s="37"/>
    </row>
    <row r="318" ht="15.75" customHeight="1">
      <c r="A318" s="34"/>
      <c r="B318" s="34"/>
      <c r="C318" s="56"/>
      <c r="D318" s="56"/>
      <c r="E318" s="36"/>
      <c r="F318" s="37"/>
    </row>
    <row r="319" ht="15.75" customHeight="1">
      <c r="A319" s="34"/>
      <c r="B319" s="34"/>
      <c r="C319" s="56"/>
      <c r="D319" s="56"/>
      <c r="E319" s="36"/>
      <c r="F319" s="37"/>
    </row>
    <row r="320" ht="15.75" customHeight="1">
      <c r="A320" s="34"/>
      <c r="B320" s="34"/>
      <c r="C320" s="56"/>
      <c r="D320" s="56"/>
      <c r="E320" s="36"/>
      <c r="F320" s="37"/>
    </row>
    <row r="321" ht="15.75" customHeight="1">
      <c r="A321" s="34"/>
      <c r="B321" s="34"/>
      <c r="C321" s="56"/>
      <c r="D321" s="56"/>
      <c r="E321" s="36"/>
      <c r="F321" s="37"/>
    </row>
    <row r="322" ht="15.75" customHeight="1">
      <c r="A322" s="34"/>
      <c r="B322" s="34"/>
      <c r="C322" s="56"/>
      <c r="D322" s="56"/>
      <c r="E322" s="36"/>
      <c r="F322" s="37"/>
    </row>
    <row r="323" ht="15.75" customHeight="1">
      <c r="A323" s="34"/>
      <c r="B323" s="34"/>
      <c r="C323" s="56"/>
      <c r="D323" s="56"/>
      <c r="E323" s="36"/>
      <c r="F323" s="37"/>
    </row>
    <row r="324" ht="15.75" customHeight="1">
      <c r="A324" s="34"/>
      <c r="B324" s="34"/>
      <c r="C324" s="56"/>
      <c r="D324" s="56"/>
      <c r="E324" s="36"/>
      <c r="F324" s="37"/>
    </row>
    <row r="325" ht="15.75" customHeight="1">
      <c r="A325" s="34"/>
      <c r="B325" s="34"/>
      <c r="C325" s="56"/>
      <c r="D325" s="56"/>
      <c r="E325" s="36"/>
      <c r="F325" s="37"/>
    </row>
    <row r="326" ht="15.75" customHeight="1">
      <c r="A326" s="34"/>
      <c r="B326" s="34"/>
      <c r="C326" s="56"/>
      <c r="D326" s="56"/>
      <c r="E326" s="36"/>
      <c r="F326" s="37"/>
    </row>
    <row r="327" ht="15.75" customHeight="1">
      <c r="A327" s="34"/>
      <c r="B327" s="34"/>
      <c r="C327" s="56"/>
      <c r="D327" s="56"/>
      <c r="E327" s="36"/>
      <c r="F327" s="37"/>
    </row>
    <row r="328" ht="15.75" customHeight="1">
      <c r="A328" s="34"/>
      <c r="B328" s="34"/>
      <c r="C328" s="56"/>
      <c r="D328" s="56"/>
      <c r="E328" s="36"/>
      <c r="F328" s="37"/>
    </row>
    <row r="329" ht="15.75" customHeight="1">
      <c r="A329" s="34"/>
      <c r="B329" s="34"/>
      <c r="C329" s="56"/>
      <c r="D329" s="56"/>
      <c r="E329" s="36"/>
      <c r="F329" s="37"/>
    </row>
    <row r="330" ht="15.75" customHeight="1">
      <c r="A330" s="34"/>
      <c r="B330" s="34"/>
      <c r="C330" s="56"/>
      <c r="D330" s="56"/>
      <c r="E330" s="36"/>
      <c r="F330" s="37"/>
    </row>
    <row r="331" ht="15.75" customHeight="1">
      <c r="A331" s="34"/>
      <c r="B331" s="34"/>
      <c r="C331" s="56"/>
      <c r="D331" s="56"/>
      <c r="E331" s="36"/>
      <c r="F331" s="37"/>
    </row>
    <row r="332" ht="15.75" customHeight="1">
      <c r="A332" s="34"/>
      <c r="B332" s="34"/>
      <c r="C332" s="56"/>
      <c r="D332" s="56"/>
      <c r="E332" s="36"/>
      <c r="F332" s="37"/>
    </row>
    <row r="333" ht="15.75" customHeight="1">
      <c r="A333" s="34"/>
      <c r="B333" s="34"/>
      <c r="C333" s="56"/>
      <c r="D333" s="56"/>
      <c r="E333" s="36"/>
      <c r="F333" s="37"/>
    </row>
    <row r="334" ht="15.75" customHeight="1">
      <c r="A334" s="34"/>
      <c r="B334" s="34"/>
      <c r="C334" s="56"/>
      <c r="D334" s="56"/>
      <c r="E334" s="36"/>
      <c r="F334" s="37"/>
    </row>
    <row r="335" ht="15.75" customHeight="1">
      <c r="A335" s="34"/>
      <c r="B335" s="34"/>
      <c r="C335" s="56"/>
      <c r="D335" s="56"/>
      <c r="E335" s="36"/>
      <c r="F335" s="37"/>
    </row>
    <row r="336" ht="15.75" customHeight="1">
      <c r="A336" s="34"/>
      <c r="B336" s="34"/>
      <c r="C336" s="56"/>
      <c r="D336" s="56"/>
      <c r="E336" s="36"/>
      <c r="F336" s="37"/>
    </row>
    <row r="337" ht="15.75" customHeight="1">
      <c r="A337" s="34"/>
      <c r="B337" s="34"/>
      <c r="C337" s="56"/>
      <c r="D337" s="56"/>
      <c r="E337" s="36"/>
      <c r="F337" s="37"/>
    </row>
    <row r="338" ht="15.75" customHeight="1">
      <c r="A338" s="34"/>
      <c r="B338" s="34"/>
      <c r="C338" s="56"/>
      <c r="D338" s="56"/>
      <c r="E338" s="36"/>
      <c r="F338" s="37"/>
    </row>
    <row r="339" ht="15.75" customHeight="1">
      <c r="A339" s="34"/>
      <c r="B339" s="34"/>
      <c r="C339" s="56"/>
      <c r="D339" s="56"/>
      <c r="E339" s="36"/>
      <c r="F339" s="37"/>
    </row>
    <row r="340" ht="15.75" customHeight="1">
      <c r="A340" s="34"/>
      <c r="B340" s="34"/>
      <c r="C340" s="56"/>
      <c r="D340" s="56"/>
      <c r="E340" s="36"/>
      <c r="F340" s="37"/>
    </row>
    <row r="341" ht="15.75" customHeight="1">
      <c r="A341" s="34"/>
      <c r="B341" s="34"/>
      <c r="C341" s="56"/>
      <c r="D341" s="56"/>
      <c r="E341" s="36"/>
      <c r="F341" s="37"/>
    </row>
    <row r="342" ht="15.75" customHeight="1">
      <c r="A342" s="34"/>
      <c r="B342" s="34"/>
      <c r="C342" s="56"/>
      <c r="D342" s="56"/>
      <c r="E342" s="36"/>
      <c r="F342" s="37"/>
    </row>
    <row r="343" ht="15.75" customHeight="1">
      <c r="A343" s="34"/>
      <c r="B343" s="34"/>
      <c r="C343" s="56"/>
      <c r="D343" s="56"/>
      <c r="E343" s="36"/>
      <c r="F343" s="37"/>
    </row>
    <row r="344" ht="15.75" customHeight="1">
      <c r="A344" s="34"/>
      <c r="B344" s="34"/>
      <c r="C344" s="56"/>
      <c r="D344" s="56"/>
      <c r="E344" s="36"/>
      <c r="F344" s="37"/>
    </row>
    <row r="345" ht="15.75" customHeight="1">
      <c r="A345" s="34"/>
      <c r="B345" s="34"/>
      <c r="C345" s="56"/>
      <c r="D345" s="56"/>
      <c r="E345" s="36"/>
      <c r="F345" s="37"/>
    </row>
    <row r="346" ht="15.75" customHeight="1">
      <c r="A346" s="34"/>
      <c r="B346" s="34"/>
      <c r="C346" s="56"/>
      <c r="D346" s="56"/>
      <c r="E346" s="36"/>
      <c r="F346" s="37"/>
    </row>
    <row r="347" ht="15.75" customHeight="1">
      <c r="A347" s="34"/>
      <c r="B347" s="34"/>
      <c r="C347" s="56"/>
      <c r="D347" s="56"/>
      <c r="E347" s="36"/>
      <c r="F347" s="37"/>
    </row>
    <row r="348" ht="15.75" customHeight="1">
      <c r="A348" s="34"/>
      <c r="B348" s="34"/>
      <c r="C348" s="56"/>
      <c r="D348" s="56"/>
      <c r="E348" s="36"/>
      <c r="F348" s="37"/>
    </row>
    <row r="349" ht="15.75" customHeight="1">
      <c r="A349" s="34"/>
      <c r="B349" s="34"/>
      <c r="C349" s="56"/>
      <c r="D349" s="56"/>
      <c r="E349" s="36"/>
      <c r="F349" s="37"/>
    </row>
    <row r="350" ht="15.75" customHeight="1">
      <c r="A350" s="34"/>
      <c r="B350" s="34"/>
      <c r="C350" s="56"/>
      <c r="D350" s="56"/>
      <c r="E350" s="36"/>
      <c r="F350" s="37"/>
    </row>
    <row r="351" ht="15.75" customHeight="1">
      <c r="A351" s="34"/>
      <c r="B351" s="34"/>
      <c r="C351" s="56"/>
      <c r="D351" s="56"/>
      <c r="E351" s="36"/>
      <c r="F351" s="37"/>
    </row>
    <row r="352" ht="15.75" customHeight="1">
      <c r="A352" s="34"/>
      <c r="B352" s="34"/>
      <c r="C352" s="56"/>
      <c r="D352" s="56"/>
      <c r="E352" s="36"/>
      <c r="F352" s="37"/>
    </row>
    <row r="353" ht="15.75" customHeight="1">
      <c r="A353" s="34"/>
      <c r="B353" s="34"/>
      <c r="C353" s="56"/>
      <c r="D353" s="56"/>
      <c r="E353" s="36"/>
      <c r="F353" s="37"/>
    </row>
    <row r="354" ht="15.75" customHeight="1">
      <c r="A354" s="34"/>
      <c r="B354" s="34"/>
      <c r="C354" s="56"/>
      <c r="D354" s="56"/>
      <c r="E354" s="36"/>
      <c r="F354" s="37"/>
    </row>
    <row r="355" ht="15.75" customHeight="1">
      <c r="A355" s="34"/>
      <c r="B355" s="34"/>
      <c r="C355" s="56"/>
      <c r="D355" s="56"/>
      <c r="E355" s="36"/>
      <c r="F355" s="37"/>
    </row>
    <row r="356" ht="15.75" customHeight="1">
      <c r="A356" s="34"/>
      <c r="B356" s="34"/>
      <c r="C356" s="56"/>
      <c r="D356" s="56"/>
      <c r="E356" s="36"/>
      <c r="F356" s="37"/>
    </row>
    <row r="357" ht="15.75" customHeight="1">
      <c r="A357" s="34"/>
      <c r="B357" s="34"/>
      <c r="C357" s="56"/>
      <c r="D357" s="56"/>
      <c r="E357" s="36"/>
      <c r="F357" s="37"/>
    </row>
    <row r="358" ht="15.75" customHeight="1">
      <c r="A358" s="34"/>
      <c r="B358" s="34"/>
      <c r="C358" s="56"/>
      <c r="D358" s="56"/>
      <c r="E358" s="36"/>
      <c r="F358" s="37"/>
    </row>
    <row r="359" ht="15.75" customHeight="1">
      <c r="A359" s="34"/>
      <c r="B359" s="34"/>
      <c r="C359" s="56"/>
      <c r="D359" s="56"/>
      <c r="E359" s="36"/>
      <c r="F359" s="37"/>
    </row>
    <row r="360" ht="15.75" customHeight="1">
      <c r="A360" s="34"/>
      <c r="B360" s="34"/>
      <c r="C360" s="56"/>
      <c r="D360" s="56"/>
      <c r="E360" s="36"/>
      <c r="F360" s="37"/>
    </row>
    <row r="361" ht="15.75" customHeight="1">
      <c r="A361" s="34"/>
      <c r="B361" s="34"/>
      <c r="C361" s="56"/>
      <c r="D361" s="56"/>
      <c r="E361" s="36"/>
      <c r="F361" s="37"/>
    </row>
    <row r="362" ht="15.75" customHeight="1">
      <c r="A362" s="34"/>
      <c r="B362" s="34"/>
      <c r="C362" s="56"/>
      <c r="D362" s="56"/>
      <c r="E362" s="36"/>
      <c r="F362" s="37"/>
    </row>
    <row r="363" ht="15.75" customHeight="1">
      <c r="A363" s="34"/>
      <c r="B363" s="34"/>
      <c r="C363" s="56"/>
      <c r="D363" s="56"/>
      <c r="E363" s="36"/>
      <c r="F363" s="37"/>
    </row>
    <row r="364" ht="15.75" customHeight="1">
      <c r="A364" s="34"/>
      <c r="B364" s="34"/>
      <c r="C364" s="56"/>
      <c r="D364" s="56"/>
      <c r="E364" s="36"/>
      <c r="F364" s="37"/>
    </row>
    <row r="365" ht="15.75" customHeight="1">
      <c r="A365" s="34"/>
      <c r="B365" s="34"/>
      <c r="C365" s="56"/>
      <c r="D365" s="56"/>
      <c r="E365" s="36"/>
      <c r="F365" s="37"/>
    </row>
    <row r="366" ht="15.75" customHeight="1">
      <c r="A366" s="34"/>
      <c r="B366" s="34"/>
      <c r="C366" s="56"/>
      <c r="D366" s="56"/>
      <c r="E366" s="36"/>
      <c r="F366" s="37"/>
    </row>
    <row r="367" ht="15.75" customHeight="1">
      <c r="A367" s="34"/>
      <c r="B367" s="34"/>
      <c r="C367" s="56"/>
      <c r="D367" s="56"/>
      <c r="E367" s="36"/>
      <c r="F367" s="37"/>
    </row>
    <row r="368" ht="15.75" customHeight="1">
      <c r="A368" s="34"/>
      <c r="B368" s="34"/>
      <c r="C368" s="56"/>
      <c r="D368" s="56"/>
      <c r="E368" s="36"/>
      <c r="F368" s="37"/>
    </row>
    <row r="369" ht="15.75" customHeight="1">
      <c r="A369" s="34"/>
      <c r="B369" s="34"/>
      <c r="C369" s="56"/>
      <c r="D369" s="56"/>
      <c r="E369" s="36"/>
      <c r="F369" s="37"/>
    </row>
    <row r="370" ht="15.75" customHeight="1">
      <c r="A370" s="34"/>
      <c r="B370" s="34"/>
      <c r="C370" s="56"/>
      <c r="D370" s="56"/>
      <c r="E370" s="36"/>
      <c r="F370" s="37"/>
    </row>
    <row r="371" ht="15.75" customHeight="1">
      <c r="A371" s="34"/>
      <c r="B371" s="34"/>
      <c r="C371" s="56"/>
      <c r="D371" s="56"/>
      <c r="E371" s="36"/>
      <c r="F371" s="37"/>
    </row>
    <row r="372" ht="15.75" customHeight="1">
      <c r="A372" s="34"/>
      <c r="B372" s="34"/>
      <c r="C372" s="56"/>
      <c r="D372" s="56"/>
      <c r="E372" s="36"/>
      <c r="F372" s="37"/>
    </row>
    <row r="373" ht="15.75" customHeight="1">
      <c r="A373" s="34"/>
      <c r="B373" s="34"/>
      <c r="C373" s="56"/>
      <c r="D373" s="56"/>
      <c r="E373" s="36"/>
      <c r="F373" s="37"/>
    </row>
    <row r="374" ht="15.75" customHeight="1">
      <c r="A374" s="34"/>
      <c r="B374" s="34"/>
      <c r="C374" s="56"/>
      <c r="D374" s="56"/>
      <c r="E374" s="36"/>
      <c r="F374" s="37"/>
    </row>
    <row r="375" ht="15.75" customHeight="1">
      <c r="A375" s="34"/>
      <c r="B375" s="34"/>
      <c r="C375" s="56"/>
      <c r="D375" s="56"/>
      <c r="E375" s="36"/>
      <c r="F375" s="37"/>
    </row>
    <row r="376" ht="15.75" customHeight="1">
      <c r="A376" s="34"/>
      <c r="B376" s="34"/>
      <c r="C376" s="56"/>
      <c r="D376" s="56"/>
      <c r="E376" s="36"/>
      <c r="F376" s="37"/>
    </row>
    <row r="377" ht="15.75" customHeight="1">
      <c r="A377" s="34"/>
      <c r="B377" s="34"/>
      <c r="C377" s="56"/>
      <c r="D377" s="56"/>
      <c r="E377" s="36"/>
      <c r="F377" s="37"/>
    </row>
    <row r="378" ht="15.75" customHeight="1">
      <c r="A378" s="34"/>
      <c r="B378" s="34"/>
      <c r="C378" s="56"/>
      <c r="D378" s="56"/>
      <c r="E378" s="36"/>
      <c r="F378" s="37"/>
    </row>
    <row r="379" ht="15.75" customHeight="1">
      <c r="A379" s="34"/>
      <c r="B379" s="34"/>
      <c r="C379" s="56"/>
      <c r="D379" s="56"/>
      <c r="E379" s="36"/>
      <c r="F379" s="37"/>
    </row>
    <row r="380" ht="15.75" customHeight="1">
      <c r="A380" s="34"/>
      <c r="B380" s="34"/>
      <c r="C380" s="56"/>
      <c r="D380" s="56"/>
      <c r="E380" s="36"/>
      <c r="F380" s="37"/>
    </row>
    <row r="381" ht="15.75" customHeight="1">
      <c r="A381" s="34"/>
      <c r="B381" s="34"/>
      <c r="C381" s="56"/>
      <c r="D381" s="56"/>
      <c r="E381" s="36"/>
      <c r="F381" s="37"/>
    </row>
    <row r="382" ht="15.75" customHeight="1">
      <c r="A382" s="34"/>
      <c r="B382" s="34"/>
      <c r="C382" s="56"/>
      <c r="D382" s="56"/>
      <c r="E382" s="36"/>
      <c r="F382" s="37"/>
    </row>
    <row r="383" ht="15.75" customHeight="1">
      <c r="A383" s="34"/>
      <c r="B383" s="34"/>
      <c r="C383" s="56"/>
      <c r="D383" s="56"/>
      <c r="E383" s="36"/>
      <c r="F383" s="37"/>
    </row>
    <row r="384" ht="15.75" customHeight="1">
      <c r="A384" s="34"/>
      <c r="B384" s="34"/>
      <c r="C384" s="56"/>
      <c r="D384" s="56"/>
      <c r="E384" s="36"/>
      <c r="F384" s="37"/>
    </row>
    <row r="385" ht="15.75" customHeight="1">
      <c r="A385" s="34"/>
      <c r="B385" s="34"/>
      <c r="C385" s="56"/>
      <c r="D385" s="56"/>
      <c r="E385" s="36"/>
      <c r="F385" s="37"/>
    </row>
    <row r="386" ht="15.75" customHeight="1">
      <c r="A386" s="34"/>
      <c r="B386" s="34"/>
      <c r="C386" s="56"/>
      <c r="D386" s="56"/>
      <c r="E386" s="36"/>
      <c r="F386" s="37"/>
    </row>
    <row r="387" ht="15.75" customHeight="1">
      <c r="A387" s="34"/>
      <c r="B387" s="34"/>
      <c r="C387" s="56"/>
      <c r="D387" s="56"/>
      <c r="E387" s="36"/>
      <c r="F387" s="37"/>
    </row>
    <row r="388" ht="15.75" customHeight="1">
      <c r="A388" s="34"/>
      <c r="B388" s="34"/>
      <c r="C388" s="56"/>
      <c r="D388" s="56"/>
      <c r="E388" s="36"/>
      <c r="F388" s="37"/>
    </row>
    <row r="389" ht="15.75" customHeight="1">
      <c r="A389" s="34"/>
      <c r="B389" s="34"/>
      <c r="C389" s="56"/>
      <c r="D389" s="56"/>
      <c r="E389" s="36"/>
      <c r="F389" s="37"/>
    </row>
    <row r="390" ht="15.75" customHeight="1">
      <c r="A390" s="34"/>
      <c r="B390" s="34"/>
      <c r="C390" s="56"/>
      <c r="D390" s="56"/>
      <c r="E390" s="36"/>
      <c r="F390" s="37"/>
    </row>
    <row r="391" ht="15.75" customHeight="1">
      <c r="A391" s="34"/>
      <c r="B391" s="34"/>
      <c r="C391" s="56"/>
      <c r="D391" s="56"/>
      <c r="E391" s="36"/>
      <c r="F391" s="37"/>
    </row>
    <row r="392" ht="15.75" customHeight="1">
      <c r="A392" s="34"/>
      <c r="B392" s="34"/>
      <c r="C392" s="56"/>
      <c r="D392" s="56"/>
      <c r="E392" s="36"/>
      <c r="F392" s="37"/>
    </row>
    <row r="393" ht="15.75" customHeight="1">
      <c r="A393" s="34"/>
      <c r="B393" s="34"/>
      <c r="C393" s="56"/>
      <c r="D393" s="56"/>
      <c r="E393" s="36"/>
      <c r="F393" s="37"/>
    </row>
    <row r="394" ht="15.75" customHeight="1">
      <c r="A394" s="34"/>
      <c r="B394" s="34"/>
      <c r="C394" s="56"/>
      <c r="D394" s="56"/>
      <c r="E394" s="36"/>
      <c r="F394" s="37"/>
    </row>
    <row r="395" ht="15.75" customHeight="1">
      <c r="A395" s="34"/>
      <c r="B395" s="34"/>
      <c r="C395" s="56"/>
      <c r="D395" s="56"/>
      <c r="E395" s="36"/>
      <c r="F395" s="37"/>
    </row>
    <row r="396" ht="15.75" customHeight="1">
      <c r="A396" s="34"/>
      <c r="B396" s="34"/>
      <c r="C396" s="56"/>
      <c r="D396" s="56"/>
      <c r="E396" s="36"/>
      <c r="F396" s="37"/>
    </row>
    <row r="397" ht="15.75" customHeight="1">
      <c r="A397" s="34"/>
      <c r="B397" s="34"/>
      <c r="C397" s="56"/>
      <c r="D397" s="56"/>
      <c r="E397" s="36"/>
      <c r="F397" s="37"/>
    </row>
    <row r="398" ht="15.75" customHeight="1">
      <c r="A398" s="34"/>
      <c r="B398" s="34"/>
      <c r="C398" s="56"/>
      <c r="D398" s="56"/>
      <c r="E398" s="36"/>
      <c r="F398" s="37"/>
    </row>
    <row r="399" ht="15.75" customHeight="1">
      <c r="A399" s="34"/>
      <c r="B399" s="34"/>
      <c r="C399" s="56"/>
      <c r="D399" s="56"/>
      <c r="E399" s="36"/>
      <c r="F399" s="37"/>
    </row>
    <row r="400" ht="15.75" customHeight="1">
      <c r="A400" s="34"/>
      <c r="B400" s="34"/>
      <c r="C400" s="56"/>
      <c r="D400" s="56"/>
      <c r="E400" s="36"/>
      <c r="F400" s="37"/>
    </row>
    <row r="401" ht="15.75" customHeight="1">
      <c r="A401" s="34"/>
      <c r="B401" s="34"/>
      <c r="C401" s="56"/>
      <c r="D401" s="56"/>
      <c r="E401" s="36"/>
      <c r="F401" s="37"/>
    </row>
    <row r="402" ht="15.75" customHeight="1">
      <c r="A402" s="34"/>
      <c r="B402" s="34"/>
      <c r="C402" s="56"/>
      <c r="D402" s="56"/>
      <c r="E402" s="36"/>
      <c r="F402" s="37"/>
    </row>
    <row r="403" ht="15.75" customHeight="1">
      <c r="A403" s="34"/>
      <c r="B403" s="34"/>
      <c r="C403" s="56"/>
      <c r="D403" s="56"/>
      <c r="E403" s="36"/>
      <c r="F403" s="37"/>
    </row>
    <row r="404" ht="15.75" customHeight="1">
      <c r="A404" s="34"/>
      <c r="B404" s="34"/>
      <c r="C404" s="56"/>
      <c r="D404" s="56"/>
      <c r="E404" s="36"/>
      <c r="F404" s="37"/>
    </row>
    <row r="405" ht="15.75" customHeight="1">
      <c r="A405" s="34"/>
      <c r="B405" s="34"/>
      <c r="C405" s="56"/>
      <c r="D405" s="56"/>
      <c r="E405" s="36"/>
      <c r="F405" s="37"/>
    </row>
    <row r="406" ht="15.75" customHeight="1">
      <c r="A406" s="34"/>
      <c r="B406" s="34"/>
      <c r="C406" s="56"/>
      <c r="D406" s="56"/>
      <c r="E406" s="36"/>
      <c r="F406" s="37"/>
    </row>
    <row r="407" ht="15.75" customHeight="1">
      <c r="A407" s="34"/>
      <c r="B407" s="34"/>
      <c r="C407" s="56"/>
      <c r="D407" s="56"/>
      <c r="E407" s="36"/>
      <c r="F407" s="37"/>
    </row>
    <row r="408" ht="15.75" customHeight="1">
      <c r="A408" s="34"/>
      <c r="B408" s="34"/>
      <c r="C408" s="56"/>
      <c r="D408" s="56"/>
      <c r="E408" s="36"/>
      <c r="F408" s="37"/>
    </row>
    <row r="409" ht="15.75" customHeight="1">
      <c r="A409" s="34"/>
      <c r="B409" s="34"/>
      <c r="C409" s="56"/>
      <c r="D409" s="56"/>
      <c r="E409" s="36"/>
      <c r="F409" s="37"/>
    </row>
    <row r="410" ht="15.75" customHeight="1">
      <c r="A410" s="34"/>
      <c r="B410" s="34"/>
      <c r="C410" s="56"/>
      <c r="D410" s="56"/>
      <c r="E410" s="36"/>
      <c r="F410" s="37"/>
    </row>
    <row r="411" ht="15.75" customHeight="1">
      <c r="A411" s="34"/>
      <c r="B411" s="34"/>
      <c r="C411" s="56"/>
      <c r="D411" s="56"/>
      <c r="E411" s="36"/>
      <c r="F411" s="37"/>
    </row>
    <row r="412" ht="15.75" customHeight="1">
      <c r="A412" s="34"/>
      <c r="B412" s="34"/>
      <c r="C412" s="56"/>
      <c r="D412" s="56"/>
      <c r="E412" s="36"/>
      <c r="F412" s="37"/>
    </row>
    <row r="413" ht="15.75" customHeight="1">
      <c r="A413" s="34"/>
      <c r="B413" s="34"/>
      <c r="C413" s="56"/>
      <c r="D413" s="56"/>
      <c r="E413" s="36"/>
      <c r="F413" s="37"/>
    </row>
    <row r="414" ht="15.75" customHeight="1">
      <c r="A414" s="34"/>
      <c r="B414" s="34"/>
      <c r="C414" s="56"/>
      <c r="D414" s="56"/>
      <c r="E414" s="36"/>
      <c r="F414" s="37"/>
    </row>
    <row r="415" ht="15.75" customHeight="1">
      <c r="A415" s="34"/>
      <c r="B415" s="34"/>
      <c r="C415" s="56"/>
      <c r="D415" s="56"/>
      <c r="E415" s="36"/>
      <c r="F415" s="37"/>
    </row>
    <row r="416" ht="15.75" customHeight="1">
      <c r="A416" s="34"/>
      <c r="B416" s="34"/>
      <c r="C416" s="56"/>
      <c r="D416" s="56"/>
      <c r="E416" s="36"/>
      <c r="F416" s="37"/>
    </row>
    <row r="417" ht="15.75" customHeight="1">
      <c r="A417" s="34"/>
      <c r="B417" s="34"/>
      <c r="C417" s="56"/>
      <c r="D417" s="56"/>
      <c r="E417" s="36"/>
      <c r="F417" s="37"/>
    </row>
    <row r="418" ht="15.75" customHeight="1">
      <c r="A418" s="34"/>
      <c r="B418" s="34"/>
      <c r="C418" s="56"/>
      <c r="D418" s="56"/>
      <c r="E418" s="36"/>
      <c r="F418" s="37"/>
    </row>
    <row r="419" ht="15.75" customHeight="1">
      <c r="A419" s="34"/>
      <c r="B419" s="34"/>
      <c r="C419" s="56"/>
      <c r="D419" s="56"/>
      <c r="E419" s="36"/>
      <c r="F419" s="37"/>
    </row>
    <row r="420" ht="15.75" customHeight="1">
      <c r="A420" s="34"/>
      <c r="B420" s="34"/>
      <c r="C420" s="56"/>
      <c r="D420" s="56"/>
      <c r="E420" s="36"/>
      <c r="F420" s="37"/>
    </row>
    <row r="421" ht="15.75" customHeight="1">
      <c r="A421" s="34"/>
      <c r="B421" s="34"/>
      <c r="C421" s="56"/>
      <c r="D421" s="56"/>
      <c r="E421" s="36"/>
      <c r="F421" s="37"/>
    </row>
    <row r="422" ht="15.75" customHeight="1">
      <c r="A422" s="34"/>
      <c r="B422" s="34"/>
      <c r="C422" s="56"/>
      <c r="D422" s="56"/>
      <c r="E422" s="36"/>
      <c r="F422" s="37"/>
    </row>
    <row r="423" ht="15.75" customHeight="1">
      <c r="A423" s="34"/>
      <c r="B423" s="34"/>
      <c r="C423" s="56"/>
      <c r="D423" s="56"/>
      <c r="E423" s="36"/>
      <c r="F423" s="37"/>
    </row>
    <row r="424" ht="15.75" customHeight="1">
      <c r="A424" s="34"/>
      <c r="B424" s="34"/>
      <c r="C424" s="56"/>
      <c r="D424" s="56"/>
      <c r="E424" s="36"/>
      <c r="F424" s="37"/>
    </row>
    <row r="425" ht="15.75" customHeight="1">
      <c r="A425" s="34"/>
      <c r="B425" s="34"/>
      <c r="C425" s="56"/>
      <c r="D425" s="56"/>
      <c r="E425" s="36"/>
      <c r="F425" s="37"/>
    </row>
    <row r="426" ht="15.75" customHeight="1">
      <c r="A426" s="34"/>
      <c r="B426" s="34"/>
      <c r="C426" s="56"/>
      <c r="D426" s="56"/>
      <c r="E426" s="36"/>
      <c r="F426" s="37"/>
    </row>
    <row r="427" ht="15.75" customHeight="1">
      <c r="A427" s="34"/>
      <c r="B427" s="34"/>
      <c r="C427" s="56"/>
      <c r="D427" s="56"/>
      <c r="E427" s="36"/>
      <c r="F427" s="37"/>
    </row>
    <row r="428" ht="15.75" customHeight="1">
      <c r="A428" s="34"/>
      <c r="B428" s="34"/>
      <c r="C428" s="56"/>
      <c r="D428" s="56"/>
      <c r="E428" s="36"/>
      <c r="F428" s="37"/>
    </row>
    <row r="429" ht="15.75" customHeight="1">
      <c r="A429" s="34"/>
      <c r="B429" s="34"/>
      <c r="C429" s="56"/>
      <c r="D429" s="56"/>
      <c r="E429" s="36"/>
      <c r="F429" s="37"/>
    </row>
    <row r="430" ht="15.75" customHeight="1">
      <c r="A430" s="34"/>
      <c r="B430" s="34"/>
      <c r="C430" s="56"/>
      <c r="D430" s="56"/>
      <c r="E430" s="36"/>
      <c r="F430" s="37"/>
    </row>
    <row r="431" ht="15.75" customHeight="1">
      <c r="A431" s="34"/>
      <c r="B431" s="34"/>
      <c r="C431" s="56"/>
      <c r="D431" s="56"/>
      <c r="E431" s="36"/>
      <c r="F431" s="37"/>
    </row>
    <row r="432" ht="15.75" customHeight="1">
      <c r="A432" s="34"/>
      <c r="B432" s="34"/>
      <c r="C432" s="56"/>
      <c r="D432" s="56"/>
      <c r="E432" s="36"/>
      <c r="F432" s="37"/>
    </row>
    <row r="433" ht="15.75" customHeight="1">
      <c r="A433" s="34"/>
      <c r="B433" s="34"/>
      <c r="C433" s="56"/>
      <c r="D433" s="56"/>
      <c r="E433" s="36"/>
      <c r="F433" s="37"/>
    </row>
    <row r="434" ht="15.75" customHeight="1">
      <c r="A434" s="34"/>
      <c r="B434" s="34"/>
      <c r="C434" s="56"/>
      <c r="D434" s="56"/>
      <c r="E434" s="36"/>
      <c r="F434" s="37"/>
    </row>
    <row r="435" ht="15.75" customHeight="1">
      <c r="A435" s="34"/>
      <c r="B435" s="34"/>
      <c r="C435" s="56"/>
      <c r="D435" s="56"/>
      <c r="E435" s="36"/>
      <c r="F435" s="37"/>
    </row>
    <row r="436" ht="15.75" customHeight="1">
      <c r="A436" s="34"/>
      <c r="B436" s="34"/>
      <c r="C436" s="56"/>
      <c r="D436" s="56"/>
      <c r="E436" s="36"/>
      <c r="F436" s="37"/>
    </row>
    <row r="437" ht="15.75" customHeight="1">
      <c r="A437" s="34"/>
      <c r="B437" s="34"/>
      <c r="C437" s="56"/>
      <c r="D437" s="56"/>
      <c r="E437" s="36"/>
      <c r="F437" s="37"/>
    </row>
    <row r="438" ht="15.75" customHeight="1">
      <c r="A438" s="34"/>
      <c r="B438" s="34"/>
      <c r="C438" s="56"/>
      <c r="D438" s="56"/>
      <c r="E438" s="36"/>
      <c r="F438" s="37"/>
    </row>
    <row r="439" ht="15.75" customHeight="1">
      <c r="A439" s="34"/>
      <c r="B439" s="34"/>
      <c r="C439" s="56"/>
      <c r="D439" s="56"/>
      <c r="E439" s="36"/>
      <c r="F439" s="37"/>
    </row>
    <row r="440" ht="15.75" customHeight="1">
      <c r="A440" s="34"/>
      <c r="B440" s="34"/>
      <c r="C440" s="56"/>
      <c r="D440" s="56"/>
      <c r="E440" s="36"/>
      <c r="F440" s="37"/>
    </row>
    <row r="441" ht="15.75" customHeight="1">
      <c r="A441" s="34"/>
      <c r="B441" s="34"/>
      <c r="C441" s="56"/>
      <c r="D441" s="56"/>
      <c r="E441" s="36"/>
      <c r="F441" s="37"/>
    </row>
    <row r="442" ht="15.75" customHeight="1">
      <c r="A442" s="34"/>
      <c r="B442" s="34"/>
      <c r="C442" s="56"/>
      <c r="D442" s="56"/>
      <c r="E442" s="36"/>
      <c r="F442" s="37"/>
    </row>
    <row r="443" ht="15.75" customHeight="1">
      <c r="A443" s="34"/>
      <c r="B443" s="34"/>
      <c r="C443" s="56"/>
      <c r="D443" s="56"/>
      <c r="E443" s="36"/>
      <c r="F443" s="37"/>
    </row>
    <row r="444" ht="15.75" customHeight="1">
      <c r="A444" s="34"/>
      <c r="B444" s="34"/>
      <c r="C444" s="56"/>
      <c r="D444" s="56"/>
      <c r="E444" s="36"/>
      <c r="F444" s="37"/>
    </row>
    <row r="445" ht="15.75" customHeight="1">
      <c r="A445" s="34"/>
      <c r="B445" s="34"/>
      <c r="C445" s="56"/>
      <c r="D445" s="56"/>
      <c r="E445" s="36"/>
      <c r="F445" s="37"/>
    </row>
    <row r="446" ht="15.75" customHeight="1">
      <c r="A446" s="34"/>
      <c r="B446" s="34"/>
      <c r="C446" s="56"/>
      <c r="D446" s="56"/>
      <c r="E446" s="36"/>
      <c r="F446" s="37"/>
    </row>
    <row r="447" ht="15.75" customHeight="1">
      <c r="A447" s="34"/>
      <c r="B447" s="34"/>
      <c r="C447" s="56"/>
      <c r="D447" s="56"/>
      <c r="E447" s="36"/>
      <c r="F447" s="37"/>
    </row>
    <row r="448" ht="15.75" customHeight="1">
      <c r="A448" s="34"/>
      <c r="B448" s="34"/>
      <c r="C448" s="56"/>
      <c r="D448" s="56"/>
      <c r="E448" s="36"/>
      <c r="F448" s="37"/>
    </row>
    <row r="449" ht="15.75" customHeight="1">
      <c r="A449" s="34"/>
      <c r="B449" s="34"/>
      <c r="C449" s="56"/>
      <c r="D449" s="56"/>
      <c r="E449" s="36"/>
      <c r="F449" s="37"/>
    </row>
    <row r="450" ht="15.75" customHeight="1">
      <c r="A450" s="34"/>
      <c r="B450" s="34"/>
      <c r="C450" s="56"/>
      <c r="D450" s="56"/>
      <c r="E450" s="36"/>
      <c r="F450" s="37"/>
    </row>
    <row r="451" ht="15.75" customHeight="1">
      <c r="A451" s="34"/>
      <c r="B451" s="34"/>
      <c r="C451" s="56"/>
      <c r="D451" s="56"/>
      <c r="E451" s="36"/>
      <c r="F451" s="37"/>
    </row>
    <row r="452" ht="15.75" customHeight="1">
      <c r="A452" s="34"/>
      <c r="B452" s="34"/>
      <c r="C452" s="56"/>
      <c r="D452" s="56"/>
      <c r="E452" s="36"/>
      <c r="F452" s="37"/>
    </row>
    <row r="453" ht="15.75" customHeight="1">
      <c r="A453" s="34"/>
      <c r="B453" s="34"/>
      <c r="C453" s="56"/>
      <c r="D453" s="56"/>
      <c r="E453" s="36"/>
      <c r="F453" s="37"/>
    </row>
    <row r="454" ht="15.75" customHeight="1">
      <c r="A454" s="34"/>
      <c r="B454" s="34"/>
      <c r="C454" s="56"/>
      <c r="D454" s="56"/>
      <c r="E454" s="36"/>
      <c r="F454" s="37"/>
    </row>
    <row r="455" ht="15.75" customHeight="1">
      <c r="A455" s="34"/>
      <c r="B455" s="34"/>
      <c r="C455" s="56"/>
      <c r="D455" s="56"/>
      <c r="E455" s="36"/>
      <c r="F455" s="37"/>
    </row>
    <row r="456" ht="15.75" customHeight="1">
      <c r="A456" s="34"/>
      <c r="B456" s="34"/>
      <c r="C456" s="56"/>
      <c r="D456" s="56"/>
      <c r="E456" s="36"/>
      <c r="F456" s="37"/>
    </row>
    <row r="457" ht="15.75" customHeight="1">
      <c r="A457" s="34"/>
      <c r="B457" s="34"/>
      <c r="C457" s="56"/>
      <c r="D457" s="56"/>
      <c r="E457" s="36"/>
      <c r="F457" s="37"/>
    </row>
    <row r="458" ht="15.75" customHeight="1">
      <c r="A458" s="34"/>
      <c r="B458" s="34"/>
      <c r="C458" s="56"/>
      <c r="D458" s="56"/>
      <c r="E458" s="36"/>
      <c r="F458" s="37"/>
    </row>
    <row r="459" ht="15.75" customHeight="1">
      <c r="A459" s="34"/>
      <c r="B459" s="34"/>
      <c r="C459" s="56"/>
      <c r="D459" s="56"/>
      <c r="E459" s="36"/>
      <c r="F459" s="37"/>
    </row>
    <row r="460" ht="15.75" customHeight="1">
      <c r="A460" s="34"/>
      <c r="B460" s="34"/>
      <c r="C460" s="56"/>
      <c r="D460" s="56"/>
      <c r="E460" s="36"/>
      <c r="F460" s="37"/>
    </row>
    <row r="461" ht="15.75" customHeight="1">
      <c r="A461" s="34"/>
      <c r="B461" s="34"/>
      <c r="C461" s="56"/>
      <c r="D461" s="56"/>
      <c r="E461" s="36"/>
      <c r="F461" s="37"/>
    </row>
    <row r="462" ht="15.75" customHeight="1">
      <c r="A462" s="34"/>
      <c r="B462" s="34"/>
      <c r="C462" s="56"/>
      <c r="D462" s="56"/>
      <c r="E462" s="36"/>
      <c r="F462" s="37"/>
    </row>
    <row r="463" ht="15.75" customHeight="1">
      <c r="A463" s="34"/>
      <c r="B463" s="34"/>
      <c r="C463" s="56"/>
      <c r="D463" s="56"/>
      <c r="E463" s="36"/>
      <c r="F463" s="37"/>
    </row>
    <row r="464" ht="15.75" customHeight="1">
      <c r="A464" s="34"/>
      <c r="B464" s="34"/>
      <c r="C464" s="56"/>
      <c r="D464" s="56"/>
      <c r="E464" s="36"/>
      <c r="F464" s="37"/>
    </row>
    <row r="465" ht="15.75" customHeight="1">
      <c r="A465" s="34"/>
      <c r="B465" s="34"/>
      <c r="C465" s="56"/>
      <c r="D465" s="56"/>
      <c r="E465" s="36"/>
      <c r="F465" s="37"/>
    </row>
    <row r="466" ht="15.75" customHeight="1">
      <c r="A466" s="34"/>
      <c r="B466" s="34"/>
      <c r="C466" s="56"/>
      <c r="D466" s="56"/>
      <c r="E466" s="36"/>
      <c r="F466" s="37"/>
    </row>
    <row r="467" ht="15.75" customHeight="1">
      <c r="A467" s="34"/>
      <c r="B467" s="34"/>
      <c r="C467" s="56"/>
      <c r="D467" s="56"/>
      <c r="E467" s="36"/>
      <c r="F467" s="37"/>
    </row>
    <row r="468" ht="15.75" customHeight="1">
      <c r="A468" s="34"/>
      <c r="B468" s="34"/>
      <c r="C468" s="56"/>
      <c r="D468" s="56"/>
      <c r="E468" s="36"/>
      <c r="F468" s="37"/>
    </row>
    <row r="469" ht="15.75" customHeight="1">
      <c r="A469" s="34"/>
      <c r="B469" s="34"/>
      <c r="C469" s="56"/>
      <c r="D469" s="56"/>
      <c r="E469" s="36"/>
      <c r="F469" s="37"/>
    </row>
    <row r="470" ht="15.75" customHeight="1">
      <c r="A470" s="34"/>
      <c r="B470" s="34"/>
      <c r="C470" s="56"/>
      <c r="D470" s="56"/>
      <c r="E470" s="36"/>
      <c r="F470" s="37"/>
    </row>
    <row r="471" ht="15.75" customHeight="1">
      <c r="A471" s="34"/>
      <c r="B471" s="34"/>
      <c r="C471" s="56"/>
      <c r="D471" s="56"/>
      <c r="E471" s="36"/>
      <c r="F471" s="37"/>
    </row>
    <row r="472" ht="15.75" customHeight="1">
      <c r="A472" s="34"/>
      <c r="B472" s="34"/>
      <c r="C472" s="56"/>
      <c r="D472" s="56"/>
      <c r="E472" s="36"/>
      <c r="F472" s="37"/>
    </row>
    <row r="473" ht="15.75" customHeight="1">
      <c r="A473" s="34"/>
      <c r="B473" s="34"/>
      <c r="C473" s="56"/>
      <c r="D473" s="56"/>
      <c r="E473" s="36"/>
      <c r="F473" s="37"/>
    </row>
    <row r="474" ht="15.75" customHeight="1">
      <c r="A474" s="34"/>
      <c r="B474" s="34"/>
      <c r="C474" s="56"/>
      <c r="D474" s="56"/>
      <c r="E474" s="36"/>
      <c r="F474" s="37"/>
    </row>
    <row r="475" ht="15.75" customHeight="1">
      <c r="A475" s="34"/>
      <c r="B475" s="34"/>
      <c r="C475" s="56"/>
      <c r="D475" s="56"/>
      <c r="E475" s="36"/>
      <c r="F475" s="37"/>
    </row>
    <row r="476" ht="15.75" customHeight="1">
      <c r="A476" s="34"/>
      <c r="B476" s="34"/>
      <c r="C476" s="56"/>
      <c r="D476" s="56"/>
      <c r="E476" s="36"/>
      <c r="F476" s="37"/>
    </row>
    <row r="477" ht="15.75" customHeight="1">
      <c r="A477" s="34"/>
      <c r="B477" s="34"/>
      <c r="C477" s="56"/>
      <c r="D477" s="56"/>
      <c r="E477" s="36"/>
      <c r="F477" s="37"/>
    </row>
    <row r="478" ht="15.75" customHeight="1">
      <c r="A478" s="34"/>
      <c r="B478" s="34"/>
      <c r="C478" s="56"/>
      <c r="D478" s="56"/>
      <c r="E478" s="36"/>
      <c r="F478" s="37"/>
    </row>
    <row r="479" ht="15.75" customHeight="1">
      <c r="A479" s="34"/>
      <c r="B479" s="34"/>
      <c r="C479" s="56"/>
      <c r="D479" s="56"/>
      <c r="E479" s="36"/>
      <c r="F479" s="37"/>
    </row>
    <row r="480" ht="15.75" customHeight="1">
      <c r="A480" s="34"/>
      <c r="B480" s="34"/>
      <c r="C480" s="56"/>
      <c r="D480" s="56"/>
      <c r="E480" s="36"/>
      <c r="F480" s="37"/>
    </row>
    <row r="481" ht="15.75" customHeight="1">
      <c r="A481" s="34"/>
      <c r="B481" s="34"/>
      <c r="C481" s="56"/>
      <c r="D481" s="56"/>
      <c r="E481" s="36"/>
      <c r="F481" s="37"/>
    </row>
    <row r="482" ht="15.75" customHeight="1">
      <c r="A482" s="34"/>
      <c r="B482" s="34"/>
      <c r="C482" s="56"/>
      <c r="D482" s="56"/>
      <c r="E482" s="36"/>
      <c r="F482" s="37"/>
    </row>
    <row r="483" ht="15.75" customHeight="1">
      <c r="A483" s="34"/>
      <c r="B483" s="34"/>
      <c r="C483" s="56"/>
      <c r="D483" s="56"/>
      <c r="E483" s="36"/>
      <c r="F483" s="37"/>
    </row>
    <row r="484" ht="15.75" customHeight="1">
      <c r="A484" s="34"/>
      <c r="B484" s="34"/>
      <c r="C484" s="56"/>
      <c r="D484" s="56"/>
      <c r="E484" s="36"/>
      <c r="F484" s="37"/>
    </row>
    <row r="485" ht="15.75" customHeight="1">
      <c r="A485" s="34"/>
      <c r="B485" s="34"/>
      <c r="C485" s="56"/>
      <c r="D485" s="56"/>
      <c r="E485" s="36"/>
      <c r="F485" s="37"/>
    </row>
    <row r="486" ht="15.75" customHeight="1">
      <c r="A486" s="34"/>
      <c r="B486" s="34"/>
      <c r="C486" s="56"/>
      <c r="D486" s="56"/>
      <c r="E486" s="36"/>
      <c r="F486" s="37"/>
    </row>
    <row r="487" ht="15.75" customHeight="1">
      <c r="A487" s="34"/>
      <c r="B487" s="34"/>
      <c r="C487" s="56"/>
      <c r="D487" s="56"/>
      <c r="E487" s="36"/>
      <c r="F487" s="37"/>
    </row>
    <row r="488" ht="15.75" customHeight="1">
      <c r="A488" s="34"/>
      <c r="B488" s="34"/>
      <c r="C488" s="56"/>
      <c r="D488" s="56"/>
      <c r="E488" s="36"/>
      <c r="F488" s="37"/>
    </row>
    <row r="489" ht="15.75" customHeight="1">
      <c r="A489" s="34"/>
      <c r="B489" s="34"/>
      <c r="C489" s="56"/>
      <c r="D489" s="56"/>
      <c r="E489" s="36"/>
      <c r="F489" s="37"/>
    </row>
    <row r="490" ht="15.75" customHeight="1">
      <c r="A490" s="34"/>
      <c r="B490" s="34"/>
      <c r="C490" s="56"/>
      <c r="D490" s="56"/>
      <c r="E490" s="36"/>
      <c r="F490" s="37"/>
    </row>
    <row r="491" ht="15.75" customHeight="1">
      <c r="A491" s="34"/>
      <c r="B491" s="34"/>
      <c r="C491" s="56"/>
      <c r="D491" s="56"/>
      <c r="E491" s="36"/>
      <c r="F491" s="37"/>
    </row>
    <row r="492" ht="15.75" customHeight="1">
      <c r="A492" s="34"/>
      <c r="B492" s="34"/>
      <c r="C492" s="56"/>
      <c r="D492" s="56"/>
      <c r="E492" s="36"/>
      <c r="F492" s="37"/>
    </row>
    <row r="493" ht="15.75" customHeight="1">
      <c r="A493" s="34"/>
      <c r="B493" s="34"/>
      <c r="C493" s="56"/>
      <c r="D493" s="56"/>
      <c r="E493" s="36"/>
      <c r="F493" s="37"/>
    </row>
    <row r="494" ht="15.75" customHeight="1">
      <c r="A494" s="34"/>
      <c r="B494" s="34"/>
      <c r="C494" s="56"/>
      <c r="D494" s="56"/>
      <c r="E494" s="36"/>
      <c r="F494" s="37"/>
    </row>
    <row r="495" ht="15.75" customHeight="1">
      <c r="A495" s="34"/>
      <c r="B495" s="34"/>
      <c r="C495" s="56"/>
      <c r="D495" s="56"/>
      <c r="E495" s="36"/>
      <c r="F495" s="37"/>
    </row>
    <row r="496" ht="15.75" customHeight="1">
      <c r="A496" s="34"/>
      <c r="B496" s="34"/>
      <c r="C496" s="56"/>
      <c r="D496" s="56"/>
      <c r="E496" s="36"/>
      <c r="F496" s="37"/>
    </row>
    <row r="497" ht="15.75" customHeight="1">
      <c r="A497" s="34"/>
      <c r="B497" s="34"/>
      <c r="C497" s="56"/>
      <c r="D497" s="56"/>
      <c r="E497" s="36"/>
      <c r="F497" s="37"/>
    </row>
    <row r="498" ht="15.75" customHeight="1">
      <c r="A498" s="34"/>
      <c r="B498" s="34"/>
      <c r="C498" s="56"/>
      <c r="D498" s="56"/>
      <c r="E498" s="36"/>
      <c r="F498" s="37"/>
    </row>
    <row r="499" ht="15.75" customHeight="1">
      <c r="A499" s="34"/>
      <c r="B499" s="34"/>
      <c r="C499" s="56"/>
      <c r="D499" s="56"/>
      <c r="E499" s="36"/>
      <c r="F499" s="37"/>
    </row>
    <row r="500" ht="15.75" customHeight="1">
      <c r="A500" s="34"/>
      <c r="B500" s="34"/>
      <c r="C500" s="56"/>
      <c r="D500" s="56"/>
      <c r="E500" s="36"/>
      <c r="F500" s="37"/>
    </row>
    <row r="501" ht="15.75" customHeight="1">
      <c r="A501" s="34"/>
      <c r="B501" s="34"/>
      <c r="C501" s="56"/>
      <c r="D501" s="56"/>
      <c r="E501" s="36"/>
      <c r="F501" s="37"/>
    </row>
    <row r="502" ht="15.75" customHeight="1">
      <c r="A502" s="34"/>
      <c r="B502" s="34"/>
      <c r="C502" s="56"/>
      <c r="D502" s="56"/>
      <c r="E502" s="36"/>
      <c r="F502" s="37"/>
    </row>
    <row r="503" ht="15.75" customHeight="1">
      <c r="A503" s="34"/>
      <c r="B503" s="34"/>
      <c r="C503" s="56"/>
      <c r="D503" s="56"/>
      <c r="E503" s="36"/>
      <c r="F503" s="37"/>
    </row>
    <row r="504" ht="15.75" customHeight="1">
      <c r="A504" s="34"/>
      <c r="B504" s="34"/>
      <c r="C504" s="56"/>
      <c r="D504" s="56"/>
      <c r="E504" s="36"/>
      <c r="F504" s="37"/>
    </row>
    <row r="505" ht="15.75" customHeight="1">
      <c r="A505" s="34"/>
      <c r="B505" s="34"/>
      <c r="C505" s="56"/>
      <c r="D505" s="56"/>
      <c r="E505" s="36"/>
      <c r="F505" s="37"/>
    </row>
    <row r="506" ht="15.75" customHeight="1">
      <c r="A506" s="34"/>
      <c r="B506" s="34"/>
      <c r="C506" s="56"/>
      <c r="D506" s="56"/>
      <c r="E506" s="36"/>
      <c r="F506" s="37"/>
    </row>
    <row r="507" ht="15.75" customHeight="1">
      <c r="A507" s="34"/>
      <c r="B507" s="34"/>
      <c r="C507" s="56"/>
      <c r="D507" s="56"/>
      <c r="E507" s="36"/>
      <c r="F507" s="37"/>
    </row>
    <row r="508" ht="15.75" customHeight="1">
      <c r="A508" s="34"/>
      <c r="B508" s="34"/>
      <c r="C508" s="56"/>
      <c r="D508" s="56"/>
      <c r="E508" s="36"/>
      <c r="F508" s="37"/>
    </row>
    <row r="509" ht="15.75" customHeight="1">
      <c r="A509" s="34"/>
      <c r="B509" s="34"/>
      <c r="C509" s="56"/>
      <c r="D509" s="56"/>
      <c r="E509" s="36"/>
      <c r="F509" s="37"/>
    </row>
    <row r="510" ht="15.75" customHeight="1">
      <c r="A510" s="34"/>
      <c r="B510" s="34"/>
      <c r="C510" s="56"/>
      <c r="D510" s="56"/>
      <c r="E510" s="36"/>
      <c r="F510" s="37"/>
    </row>
    <row r="511" ht="15.75" customHeight="1">
      <c r="A511" s="34"/>
      <c r="B511" s="34"/>
      <c r="C511" s="56"/>
      <c r="D511" s="56"/>
      <c r="E511" s="36"/>
      <c r="F511" s="37"/>
    </row>
    <row r="512" ht="15.75" customHeight="1">
      <c r="A512" s="34"/>
      <c r="B512" s="34"/>
      <c r="C512" s="56"/>
      <c r="D512" s="56"/>
      <c r="E512" s="36"/>
      <c r="F512" s="37"/>
    </row>
    <row r="513" ht="15.75" customHeight="1">
      <c r="A513" s="34"/>
      <c r="B513" s="34"/>
      <c r="C513" s="56"/>
      <c r="D513" s="56"/>
      <c r="E513" s="36"/>
      <c r="F513" s="37"/>
    </row>
    <row r="514" ht="15.75" customHeight="1">
      <c r="A514" s="34"/>
      <c r="B514" s="34"/>
      <c r="C514" s="56"/>
      <c r="D514" s="56"/>
      <c r="E514" s="36"/>
      <c r="F514" s="37"/>
    </row>
    <row r="515" ht="15.75" customHeight="1">
      <c r="A515" s="34"/>
      <c r="B515" s="34"/>
      <c r="C515" s="56"/>
      <c r="D515" s="56"/>
      <c r="E515" s="36"/>
      <c r="F515" s="37"/>
    </row>
    <row r="516" ht="15.75" customHeight="1">
      <c r="A516" s="34"/>
      <c r="B516" s="34"/>
      <c r="C516" s="56"/>
      <c r="D516" s="56"/>
      <c r="E516" s="36"/>
      <c r="F516" s="37"/>
    </row>
    <row r="517" ht="15.75" customHeight="1">
      <c r="A517" s="34"/>
      <c r="B517" s="34"/>
      <c r="C517" s="56"/>
      <c r="D517" s="56"/>
      <c r="E517" s="36"/>
      <c r="F517" s="37"/>
    </row>
    <row r="518" ht="15.75" customHeight="1">
      <c r="A518" s="34"/>
      <c r="B518" s="34"/>
      <c r="C518" s="56"/>
      <c r="D518" s="56"/>
      <c r="E518" s="36"/>
      <c r="F518" s="37"/>
    </row>
    <row r="519" ht="15.75" customHeight="1">
      <c r="A519" s="34"/>
      <c r="B519" s="34"/>
      <c r="C519" s="56"/>
      <c r="D519" s="56"/>
      <c r="E519" s="36"/>
      <c r="F519" s="37"/>
    </row>
    <row r="520" ht="15.75" customHeight="1">
      <c r="A520" s="34"/>
      <c r="B520" s="34"/>
      <c r="C520" s="56"/>
      <c r="D520" s="56"/>
      <c r="E520" s="36"/>
      <c r="F520" s="37"/>
    </row>
    <row r="521" ht="15.75" customHeight="1">
      <c r="A521" s="34"/>
      <c r="B521" s="34"/>
      <c r="C521" s="56"/>
      <c r="D521" s="56"/>
      <c r="E521" s="36"/>
      <c r="F521" s="37"/>
    </row>
    <row r="522" ht="15.75" customHeight="1">
      <c r="A522" s="34"/>
      <c r="B522" s="34"/>
      <c r="C522" s="56"/>
      <c r="D522" s="56"/>
      <c r="E522" s="36"/>
      <c r="F522" s="37"/>
    </row>
    <row r="523" ht="15.75" customHeight="1">
      <c r="A523" s="34"/>
      <c r="B523" s="34"/>
      <c r="C523" s="56"/>
      <c r="D523" s="56"/>
      <c r="E523" s="36"/>
      <c r="F523" s="37"/>
    </row>
    <row r="524" ht="15.75" customHeight="1">
      <c r="A524" s="34"/>
      <c r="B524" s="34"/>
      <c r="C524" s="56"/>
      <c r="D524" s="56"/>
      <c r="E524" s="36"/>
      <c r="F524" s="37"/>
    </row>
    <row r="525" ht="15.75" customHeight="1">
      <c r="A525" s="34"/>
      <c r="B525" s="34"/>
      <c r="C525" s="56"/>
      <c r="D525" s="56"/>
      <c r="E525" s="36"/>
      <c r="F525" s="37"/>
    </row>
    <row r="526" ht="15.75" customHeight="1">
      <c r="A526" s="34"/>
      <c r="B526" s="34"/>
      <c r="C526" s="56"/>
      <c r="D526" s="56"/>
      <c r="E526" s="36"/>
      <c r="F526" s="37"/>
    </row>
    <row r="527" ht="15.75" customHeight="1">
      <c r="A527" s="34"/>
      <c r="B527" s="34"/>
      <c r="C527" s="56"/>
      <c r="D527" s="56"/>
      <c r="E527" s="36"/>
      <c r="F527" s="37"/>
    </row>
    <row r="528" ht="15.75" customHeight="1">
      <c r="A528" s="34"/>
      <c r="B528" s="34"/>
      <c r="C528" s="56"/>
      <c r="D528" s="56"/>
      <c r="E528" s="36"/>
      <c r="F528" s="37"/>
    </row>
    <row r="529" ht="15.75" customHeight="1">
      <c r="A529" s="34"/>
      <c r="B529" s="34"/>
      <c r="C529" s="56"/>
      <c r="D529" s="56"/>
      <c r="E529" s="36"/>
      <c r="F529" s="37"/>
    </row>
    <row r="530" ht="15.75" customHeight="1">
      <c r="A530" s="34"/>
      <c r="B530" s="34"/>
      <c r="C530" s="56"/>
      <c r="D530" s="56"/>
      <c r="E530" s="36"/>
      <c r="F530" s="37"/>
    </row>
    <row r="531" ht="15.75" customHeight="1">
      <c r="A531" s="34"/>
      <c r="B531" s="34"/>
      <c r="C531" s="56"/>
      <c r="D531" s="56"/>
      <c r="E531" s="36"/>
      <c r="F531" s="37"/>
    </row>
    <row r="532" ht="15.75" customHeight="1">
      <c r="A532" s="34"/>
      <c r="B532" s="34"/>
      <c r="C532" s="56"/>
      <c r="D532" s="56"/>
      <c r="E532" s="36"/>
      <c r="F532" s="37"/>
    </row>
    <row r="533" ht="15.75" customHeight="1">
      <c r="A533" s="34"/>
      <c r="B533" s="34"/>
      <c r="C533" s="56"/>
      <c r="D533" s="56"/>
      <c r="E533" s="36"/>
      <c r="F533" s="37"/>
    </row>
    <row r="534" ht="15.75" customHeight="1">
      <c r="A534" s="34"/>
      <c r="B534" s="34"/>
      <c r="C534" s="56"/>
      <c r="D534" s="56"/>
      <c r="E534" s="36"/>
      <c r="F534" s="37"/>
    </row>
    <row r="535" ht="15.75" customHeight="1">
      <c r="A535" s="34"/>
      <c r="B535" s="34"/>
      <c r="C535" s="56"/>
      <c r="D535" s="56"/>
      <c r="E535" s="36"/>
      <c r="F535" s="37"/>
    </row>
    <row r="536" ht="15.75" customHeight="1">
      <c r="A536" s="34"/>
      <c r="B536" s="34"/>
      <c r="C536" s="56"/>
      <c r="D536" s="56"/>
      <c r="E536" s="36"/>
      <c r="F536" s="37"/>
    </row>
    <row r="537" ht="15.75" customHeight="1">
      <c r="A537" s="34"/>
      <c r="B537" s="34"/>
      <c r="C537" s="56"/>
      <c r="D537" s="56"/>
      <c r="E537" s="36"/>
      <c r="F537" s="37"/>
    </row>
    <row r="538" ht="15.75" customHeight="1">
      <c r="A538" s="34"/>
      <c r="B538" s="34"/>
      <c r="C538" s="56"/>
      <c r="D538" s="56"/>
      <c r="E538" s="36"/>
      <c r="F538" s="37"/>
    </row>
    <row r="539" ht="15.75" customHeight="1">
      <c r="A539" s="34"/>
      <c r="B539" s="34"/>
      <c r="C539" s="56"/>
      <c r="D539" s="56"/>
      <c r="E539" s="36"/>
      <c r="F539" s="37"/>
    </row>
    <row r="540" ht="15.75" customHeight="1">
      <c r="A540" s="34"/>
      <c r="B540" s="34"/>
      <c r="C540" s="56"/>
      <c r="D540" s="56"/>
      <c r="E540" s="36"/>
      <c r="F540" s="37"/>
    </row>
    <row r="541" ht="15.75" customHeight="1">
      <c r="A541" s="34"/>
      <c r="B541" s="34"/>
      <c r="C541" s="56"/>
      <c r="D541" s="56"/>
      <c r="E541" s="36"/>
      <c r="F541" s="37"/>
    </row>
    <row r="542" ht="15.75" customHeight="1">
      <c r="A542" s="34"/>
      <c r="B542" s="34"/>
      <c r="C542" s="56"/>
      <c r="D542" s="56"/>
      <c r="E542" s="36"/>
      <c r="F542" s="37"/>
    </row>
    <row r="543" ht="15.75" customHeight="1">
      <c r="A543" s="34"/>
      <c r="B543" s="34"/>
      <c r="C543" s="56"/>
      <c r="D543" s="56"/>
      <c r="E543" s="36"/>
      <c r="F543" s="37"/>
    </row>
    <row r="544" ht="15.75" customHeight="1">
      <c r="A544" s="34"/>
      <c r="B544" s="34"/>
      <c r="C544" s="56"/>
      <c r="D544" s="56"/>
      <c r="E544" s="36"/>
      <c r="F544" s="37"/>
    </row>
    <row r="545" ht="15.75" customHeight="1">
      <c r="A545" s="34"/>
      <c r="B545" s="34"/>
      <c r="C545" s="56"/>
      <c r="D545" s="56"/>
      <c r="E545" s="36"/>
      <c r="F545" s="37"/>
    </row>
    <row r="546" ht="15.75" customHeight="1">
      <c r="A546" s="34"/>
      <c r="B546" s="34"/>
      <c r="C546" s="56"/>
      <c r="D546" s="56"/>
      <c r="E546" s="36"/>
      <c r="F546" s="37"/>
    </row>
    <row r="547" ht="15.75" customHeight="1">
      <c r="A547" s="34"/>
      <c r="B547" s="34"/>
      <c r="C547" s="56"/>
      <c r="D547" s="56"/>
      <c r="E547" s="36"/>
      <c r="F547" s="37"/>
    </row>
    <row r="548" ht="15.75" customHeight="1">
      <c r="A548" s="34"/>
      <c r="B548" s="34"/>
      <c r="C548" s="56"/>
      <c r="D548" s="56"/>
      <c r="E548" s="36"/>
      <c r="F548" s="37"/>
    </row>
    <row r="549" ht="15.75" customHeight="1">
      <c r="A549" s="34"/>
      <c r="B549" s="34"/>
      <c r="C549" s="56"/>
      <c r="D549" s="56"/>
      <c r="E549" s="36"/>
      <c r="F549" s="37"/>
    </row>
    <row r="550" ht="15.75" customHeight="1">
      <c r="A550" s="34"/>
      <c r="B550" s="34"/>
      <c r="C550" s="56"/>
      <c r="D550" s="56"/>
      <c r="E550" s="36"/>
      <c r="F550" s="37"/>
    </row>
    <row r="551" ht="15.75" customHeight="1">
      <c r="A551" s="34"/>
      <c r="B551" s="34"/>
      <c r="C551" s="56"/>
      <c r="D551" s="56"/>
      <c r="E551" s="36"/>
      <c r="F551" s="37"/>
    </row>
    <row r="552" ht="15.75" customHeight="1">
      <c r="A552" s="34"/>
      <c r="B552" s="34"/>
      <c r="C552" s="56"/>
      <c r="D552" s="56"/>
      <c r="E552" s="36"/>
      <c r="F552" s="37"/>
    </row>
    <row r="553" ht="15.75" customHeight="1">
      <c r="A553" s="34"/>
      <c r="B553" s="34"/>
      <c r="C553" s="56"/>
      <c r="D553" s="56"/>
      <c r="E553" s="36"/>
      <c r="F553" s="37"/>
    </row>
    <row r="554" ht="15.75" customHeight="1">
      <c r="A554" s="34"/>
      <c r="B554" s="34"/>
      <c r="C554" s="56"/>
      <c r="D554" s="56"/>
      <c r="E554" s="36"/>
      <c r="F554" s="37"/>
    </row>
    <row r="555" ht="15.75" customHeight="1">
      <c r="A555" s="34"/>
      <c r="B555" s="34"/>
      <c r="C555" s="56"/>
      <c r="D555" s="56"/>
      <c r="E555" s="36"/>
      <c r="F555" s="37"/>
    </row>
    <row r="556" ht="15.75" customHeight="1">
      <c r="A556" s="34"/>
      <c r="B556" s="34"/>
      <c r="C556" s="56"/>
      <c r="D556" s="56"/>
      <c r="E556" s="36"/>
      <c r="F556" s="37"/>
    </row>
    <row r="557" ht="15.75" customHeight="1">
      <c r="A557" s="34"/>
      <c r="B557" s="34"/>
      <c r="C557" s="56"/>
      <c r="D557" s="56"/>
      <c r="E557" s="36"/>
      <c r="F557" s="37"/>
    </row>
    <row r="558" ht="15.75" customHeight="1">
      <c r="A558" s="34"/>
      <c r="B558" s="34"/>
      <c r="C558" s="56"/>
      <c r="D558" s="56"/>
      <c r="E558" s="36"/>
      <c r="F558" s="37"/>
    </row>
    <row r="559" ht="15.75" customHeight="1">
      <c r="A559" s="34"/>
      <c r="B559" s="34"/>
      <c r="C559" s="56"/>
      <c r="D559" s="56"/>
      <c r="E559" s="36"/>
      <c r="F559" s="37"/>
    </row>
    <row r="560" ht="15.75" customHeight="1">
      <c r="A560" s="34"/>
      <c r="B560" s="34"/>
      <c r="C560" s="56"/>
      <c r="D560" s="56"/>
      <c r="E560" s="36"/>
      <c r="F560" s="37"/>
    </row>
    <row r="561" ht="15.75" customHeight="1">
      <c r="A561" s="34"/>
      <c r="B561" s="34"/>
      <c r="C561" s="56"/>
      <c r="D561" s="56"/>
      <c r="E561" s="36"/>
      <c r="F561" s="37"/>
    </row>
    <row r="562" ht="15.75" customHeight="1">
      <c r="A562" s="34"/>
      <c r="B562" s="34"/>
      <c r="C562" s="56"/>
      <c r="D562" s="56"/>
      <c r="E562" s="36"/>
      <c r="F562" s="37"/>
    </row>
    <row r="563" ht="15.75" customHeight="1">
      <c r="A563" s="34"/>
      <c r="B563" s="34"/>
      <c r="C563" s="56"/>
      <c r="D563" s="56"/>
      <c r="E563" s="36"/>
      <c r="F563" s="37"/>
    </row>
    <row r="564" ht="15.75" customHeight="1">
      <c r="A564" s="34"/>
      <c r="B564" s="34"/>
      <c r="C564" s="56"/>
      <c r="D564" s="56"/>
      <c r="E564" s="36"/>
      <c r="F564" s="37"/>
    </row>
    <row r="565" ht="15.75" customHeight="1">
      <c r="A565" s="34"/>
      <c r="B565" s="34"/>
      <c r="C565" s="56"/>
      <c r="D565" s="56"/>
      <c r="E565" s="36"/>
      <c r="F565" s="37"/>
    </row>
    <row r="566" ht="15.75" customHeight="1">
      <c r="A566" s="34"/>
      <c r="B566" s="34"/>
      <c r="C566" s="56"/>
      <c r="D566" s="56"/>
      <c r="E566" s="36"/>
      <c r="F566" s="37"/>
    </row>
    <row r="567" ht="15.75" customHeight="1">
      <c r="A567" s="34"/>
      <c r="B567" s="34"/>
      <c r="C567" s="56"/>
      <c r="D567" s="56"/>
      <c r="E567" s="36"/>
      <c r="F567" s="37"/>
    </row>
    <row r="568" ht="15.75" customHeight="1">
      <c r="A568" s="34"/>
      <c r="B568" s="34"/>
      <c r="C568" s="56"/>
      <c r="D568" s="56"/>
      <c r="E568" s="36"/>
      <c r="F568" s="37"/>
    </row>
    <row r="569" ht="15.75" customHeight="1">
      <c r="A569" s="34"/>
      <c r="B569" s="34"/>
      <c r="C569" s="56"/>
      <c r="D569" s="56"/>
      <c r="E569" s="36"/>
      <c r="F569" s="37"/>
    </row>
    <row r="570" ht="15.75" customHeight="1">
      <c r="A570" s="34"/>
      <c r="B570" s="34"/>
      <c r="C570" s="56"/>
      <c r="D570" s="56"/>
      <c r="E570" s="36"/>
      <c r="F570" s="37"/>
    </row>
    <row r="571" ht="15.75" customHeight="1">
      <c r="A571" s="34"/>
      <c r="B571" s="34"/>
      <c r="C571" s="56"/>
      <c r="D571" s="56"/>
      <c r="E571" s="36"/>
      <c r="F571" s="37"/>
    </row>
    <row r="572" ht="15.75" customHeight="1">
      <c r="A572" s="34"/>
      <c r="B572" s="34"/>
      <c r="C572" s="56"/>
      <c r="D572" s="56"/>
      <c r="E572" s="36"/>
      <c r="F572" s="37"/>
    </row>
    <row r="573" ht="15.75" customHeight="1">
      <c r="A573" s="34"/>
      <c r="B573" s="34"/>
      <c r="C573" s="56"/>
      <c r="D573" s="56"/>
      <c r="E573" s="36"/>
      <c r="F573" s="37"/>
    </row>
    <row r="574" ht="15.75" customHeight="1">
      <c r="A574" s="34"/>
      <c r="B574" s="34"/>
      <c r="C574" s="56"/>
      <c r="D574" s="56"/>
      <c r="E574" s="36"/>
      <c r="F574" s="37"/>
    </row>
    <row r="575" ht="15.75" customHeight="1">
      <c r="A575" s="34"/>
      <c r="B575" s="34"/>
      <c r="C575" s="56"/>
      <c r="D575" s="56"/>
      <c r="E575" s="36"/>
      <c r="F575" s="37"/>
    </row>
    <row r="576" ht="15.75" customHeight="1">
      <c r="A576" s="34"/>
      <c r="B576" s="34"/>
      <c r="C576" s="56"/>
      <c r="D576" s="56"/>
      <c r="E576" s="36"/>
      <c r="F576" s="37"/>
    </row>
    <row r="577" ht="15.75" customHeight="1">
      <c r="A577" s="34"/>
      <c r="B577" s="34"/>
      <c r="C577" s="56"/>
      <c r="D577" s="56"/>
      <c r="E577" s="36"/>
      <c r="F577" s="37"/>
    </row>
    <row r="578" ht="15.75" customHeight="1">
      <c r="A578" s="34"/>
      <c r="B578" s="34"/>
      <c r="C578" s="56"/>
      <c r="D578" s="56"/>
      <c r="E578" s="36"/>
      <c r="F578" s="37"/>
    </row>
    <row r="579" ht="15.75" customHeight="1">
      <c r="A579" s="34"/>
      <c r="B579" s="34"/>
      <c r="C579" s="56"/>
      <c r="D579" s="56"/>
      <c r="E579" s="36"/>
      <c r="F579" s="37"/>
    </row>
    <row r="580" ht="15.75" customHeight="1">
      <c r="A580" s="34"/>
      <c r="B580" s="34"/>
      <c r="C580" s="56"/>
      <c r="D580" s="56"/>
      <c r="E580" s="36"/>
      <c r="F580" s="37"/>
    </row>
    <row r="581" ht="15.75" customHeight="1">
      <c r="A581" s="34"/>
      <c r="B581" s="34"/>
      <c r="C581" s="56"/>
      <c r="D581" s="56"/>
      <c r="E581" s="36"/>
      <c r="F581" s="37"/>
    </row>
    <row r="582" ht="15.75" customHeight="1">
      <c r="A582" s="34"/>
      <c r="B582" s="34"/>
      <c r="C582" s="56"/>
      <c r="D582" s="56"/>
      <c r="E582" s="36"/>
      <c r="F582" s="37"/>
    </row>
    <row r="583" ht="15.75" customHeight="1">
      <c r="A583" s="34"/>
      <c r="B583" s="34"/>
      <c r="C583" s="56"/>
      <c r="D583" s="56"/>
      <c r="E583" s="36"/>
      <c r="F583" s="37"/>
    </row>
    <row r="584" ht="15.75" customHeight="1">
      <c r="A584" s="34"/>
      <c r="B584" s="34"/>
      <c r="C584" s="56"/>
      <c r="D584" s="56"/>
      <c r="E584" s="36"/>
      <c r="F584" s="37"/>
    </row>
    <row r="585" ht="15.75" customHeight="1">
      <c r="A585" s="34"/>
      <c r="B585" s="34"/>
      <c r="C585" s="56"/>
      <c r="D585" s="56"/>
      <c r="E585" s="36"/>
      <c r="F585" s="37"/>
    </row>
    <row r="586" ht="15.75" customHeight="1">
      <c r="A586" s="34"/>
      <c r="B586" s="34"/>
      <c r="C586" s="56"/>
      <c r="D586" s="56"/>
      <c r="E586" s="36"/>
      <c r="F586" s="37"/>
    </row>
    <row r="587" ht="15.75" customHeight="1">
      <c r="A587" s="34"/>
      <c r="B587" s="34"/>
      <c r="C587" s="56"/>
      <c r="D587" s="56"/>
      <c r="E587" s="36"/>
      <c r="F587" s="37"/>
    </row>
    <row r="588" ht="15.75" customHeight="1">
      <c r="A588" s="34"/>
      <c r="B588" s="34"/>
      <c r="C588" s="56"/>
      <c r="D588" s="56"/>
      <c r="E588" s="36"/>
      <c r="F588" s="37"/>
    </row>
    <row r="589" ht="15.75" customHeight="1">
      <c r="A589" s="34"/>
      <c r="B589" s="34"/>
      <c r="C589" s="56"/>
      <c r="D589" s="56"/>
      <c r="E589" s="36"/>
      <c r="F589" s="37"/>
    </row>
    <row r="590" ht="15.75" customHeight="1">
      <c r="A590" s="34"/>
      <c r="B590" s="34"/>
      <c r="C590" s="56"/>
      <c r="D590" s="56"/>
      <c r="E590" s="36"/>
      <c r="F590" s="37"/>
    </row>
    <row r="591" ht="15.75" customHeight="1">
      <c r="A591" s="34"/>
      <c r="B591" s="34"/>
      <c r="C591" s="56"/>
      <c r="D591" s="56"/>
      <c r="E591" s="36"/>
      <c r="F591" s="37"/>
    </row>
    <row r="592" ht="15.75" customHeight="1">
      <c r="A592" s="34"/>
      <c r="B592" s="34"/>
      <c r="C592" s="56"/>
      <c r="D592" s="56"/>
      <c r="E592" s="36"/>
      <c r="F592" s="37"/>
    </row>
    <row r="593" ht="15.75" customHeight="1">
      <c r="A593" s="34"/>
      <c r="B593" s="34"/>
      <c r="C593" s="56"/>
      <c r="D593" s="56"/>
      <c r="E593" s="36"/>
      <c r="F593" s="37"/>
    </row>
    <row r="594" ht="15.75" customHeight="1">
      <c r="A594" s="34"/>
      <c r="B594" s="34"/>
      <c r="C594" s="56"/>
      <c r="D594" s="56"/>
      <c r="E594" s="36"/>
      <c r="F594" s="37"/>
    </row>
    <row r="595" ht="15.75" customHeight="1">
      <c r="A595" s="34"/>
      <c r="B595" s="34"/>
      <c r="C595" s="56"/>
      <c r="D595" s="56"/>
      <c r="E595" s="36"/>
      <c r="F595" s="37"/>
    </row>
    <row r="596" ht="15.75" customHeight="1">
      <c r="A596" s="34"/>
      <c r="B596" s="34"/>
      <c r="C596" s="56"/>
      <c r="D596" s="56"/>
      <c r="E596" s="36"/>
      <c r="F596" s="37"/>
    </row>
    <row r="597" ht="15.75" customHeight="1">
      <c r="A597" s="34"/>
      <c r="B597" s="34"/>
      <c r="C597" s="56"/>
      <c r="D597" s="56"/>
      <c r="E597" s="36"/>
      <c r="F597" s="37"/>
    </row>
    <row r="598" ht="15.75" customHeight="1">
      <c r="A598" s="34"/>
      <c r="B598" s="34"/>
      <c r="C598" s="56"/>
      <c r="D598" s="56"/>
      <c r="E598" s="36"/>
      <c r="F598" s="37"/>
    </row>
    <row r="599" ht="15.75" customHeight="1">
      <c r="A599" s="34"/>
      <c r="B599" s="34"/>
      <c r="C599" s="56"/>
      <c r="D599" s="56"/>
      <c r="E599" s="36"/>
      <c r="F599" s="37"/>
    </row>
    <row r="600" ht="15.75" customHeight="1">
      <c r="A600" s="34"/>
      <c r="B600" s="34"/>
      <c r="C600" s="56"/>
      <c r="D600" s="56"/>
      <c r="E600" s="36"/>
      <c r="F600" s="37"/>
    </row>
    <row r="601" ht="15.75" customHeight="1">
      <c r="A601" s="34"/>
      <c r="B601" s="34"/>
      <c r="C601" s="56"/>
      <c r="D601" s="56"/>
      <c r="E601" s="36"/>
      <c r="F601" s="37"/>
    </row>
    <row r="602" ht="15.75" customHeight="1">
      <c r="A602" s="34"/>
      <c r="B602" s="34"/>
      <c r="C602" s="56"/>
      <c r="D602" s="56"/>
      <c r="E602" s="36"/>
      <c r="F602" s="37"/>
    </row>
    <row r="603" ht="15.75" customHeight="1">
      <c r="A603" s="34"/>
      <c r="B603" s="34"/>
      <c r="C603" s="56"/>
      <c r="D603" s="56"/>
      <c r="E603" s="36"/>
      <c r="F603" s="37"/>
    </row>
    <row r="604" ht="15.75" customHeight="1">
      <c r="A604" s="34"/>
      <c r="B604" s="34"/>
      <c r="C604" s="56"/>
      <c r="D604" s="56"/>
      <c r="E604" s="36"/>
      <c r="F604" s="37"/>
    </row>
    <row r="605" ht="15.75" customHeight="1">
      <c r="A605" s="34"/>
      <c r="B605" s="34"/>
      <c r="C605" s="56"/>
      <c r="D605" s="56"/>
      <c r="E605" s="36"/>
      <c r="F605" s="37"/>
    </row>
    <row r="606" ht="15.75" customHeight="1">
      <c r="A606" s="34"/>
      <c r="B606" s="34"/>
      <c r="C606" s="56"/>
      <c r="D606" s="56"/>
      <c r="E606" s="36"/>
      <c r="F606" s="37"/>
    </row>
    <row r="607" ht="15.75" customHeight="1">
      <c r="A607" s="34"/>
      <c r="B607" s="34"/>
      <c r="C607" s="56"/>
      <c r="D607" s="56"/>
      <c r="E607" s="36"/>
      <c r="F607" s="37"/>
    </row>
    <row r="608" ht="15.75" customHeight="1">
      <c r="A608" s="34"/>
      <c r="B608" s="34"/>
      <c r="C608" s="56"/>
      <c r="D608" s="56"/>
      <c r="E608" s="36"/>
      <c r="F608" s="37"/>
    </row>
    <row r="609" ht="15.75" customHeight="1">
      <c r="A609" s="34"/>
      <c r="B609" s="34"/>
      <c r="C609" s="56"/>
      <c r="D609" s="56"/>
      <c r="E609" s="36"/>
      <c r="F609" s="37"/>
    </row>
    <row r="610" ht="15.75" customHeight="1">
      <c r="A610" s="34"/>
      <c r="B610" s="34"/>
      <c r="C610" s="56"/>
      <c r="D610" s="56"/>
      <c r="E610" s="36"/>
      <c r="F610" s="37"/>
    </row>
    <row r="611" ht="15.75" customHeight="1">
      <c r="A611" s="34"/>
      <c r="B611" s="34"/>
      <c r="C611" s="56"/>
      <c r="D611" s="56"/>
      <c r="E611" s="36"/>
      <c r="F611" s="37"/>
    </row>
    <row r="612" ht="15.75" customHeight="1">
      <c r="A612" s="34"/>
      <c r="B612" s="34"/>
      <c r="C612" s="56"/>
      <c r="D612" s="56"/>
      <c r="E612" s="36"/>
      <c r="F612" s="37"/>
    </row>
    <row r="613" ht="15.75" customHeight="1">
      <c r="A613" s="34"/>
      <c r="B613" s="34"/>
      <c r="C613" s="56"/>
      <c r="D613" s="56"/>
      <c r="E613" s="36"/>
      <c r="F613" s="37"/>
    </row>
    <row r="614" ht="15.75" customHeight="1">
      <c r="A614" s="34"/>
      <c r="B614" s="34"/>
      <c r="C614" s="56"/>
      <c r="D614" s="56"/>
      <c r="E614" s="36"/>
      <c r="F614" s="37"/>
    </row>
    <row r="615" ht="15.75" customHeight="1">
      <c r="A615" s="34"/>
      <c r="B615" s="34"/>
      <c r="C615" s="56"/>
      <c r="D615" s="56"/>
      <c r="E615" s="36"/>
      <c r="F615" s="37"/>
    </row>
    <row r="616" ht="15.75" customHeight="1">
      <c r="A616" s="34"/>
      <c r="B616" s="34"/>
      <c r="C616" s="56"/>
      <c r="D616" s="56"/>
      <c r="E616" s="36"/>
      <c r="F616" s="37"/>
    </row>
    <row r="617" ht="15.75" customHeight="1">
      <c r="A617" s="34"/>
      <c r="B617" s="34"/>
      <c r="C617" s="56"/>
      <c r="D617" s="56"/>
      <c r="E617" s="36"/>
      <c r="F617" s="37"/>
    </row>
    <row r="618" ht="15.75" customHeight="1">
      <c r="A618" s="34"/>
      <c r="B618" s="34"/>
      <c r="C618" s="56"/>
      <c r="D618" s="56"/>
      <c r="E618" s="36"/>
      <c r="F618" s="37"/>
    </row>
    <row r="619" ht="15.75" customHeight="1">
      <c r="A619" s="34"/>
      <c r="B619" s="34"/>
      <c r="C619" s="56"/>
      <c r="D619" s="56"/>
      <c r="E619" s="36"/>
      <c r="F619" s="37"/>
    </row>
    <row r="620" ht="15.75" customHeight="1">
      <c r="A620" s="34"/>
      <c r="B620" s="34"/>
      <c r="C620" s="56"/>
      <c r="D620" s="56"/>
      <c r="E620" s="36"/>
      <c r="F620" s="37"/>
    </row>
    <row r="621" ht="15.75" customHeight="1">
      <c r="A621" s="34"/>
      <c r="B621" s="34"/>
      <c r="C621" s="56"/>
      <c r="D621" s="56"/>
      <c r="E621" s="36"/>
      <c r="F621" s="37"/>
    </row>
    <row r="622" ht="15.75" customHeight="1">
      <c r="A622" s="34"/>
      <c r="B622" s="34"/>
      <c r="C622" s="56"/>
      <c r="D622" s="56"/>
      <c r="E622" s="36"/>
      <c r="F622" s="37"/>
    </row>
    <row r="623" ht="15.75" customHeight="1">
      <c r="A623" s="34"/>
      <c r="B623" s="34"/>
      <c r="C623" s="56"/>
      <c r="D623" s="56"/>
      <c r="E623" s="36"/>
      <c r="F623" s="37"/>
    </row>
    <row r="624" ht="15.75" customHeight="1">
      <c r="A624" s="34"/>
      <c r="B624" s="34"/>
      <c r="C624" s="56"/>
      <c r="D624" s="56"/>
      <c r="E624" s="36"/>
      <c r="F624" s="37"/>
    </row>
    <row r="625" ht="15.75" customHeight="1">
      <c r="A625" s="34"/>
      <c r="B625" s="34"/>
      <c r="C625" s="56"/>
      <c r="D625" s="56"/>
      <c r="E625" s="36"/>
      <c r="F625" s="37"/>
    </row>
    <row r="626" ht="15.75" customHeight="1">
      <c r="A626" s="34"/>
      <c r="B626" s="34"/>
      <c r="C626" s="56"/>
      <c r="D626" s="56"/>
      <c r="E626" s="36"/>
      <c r="F626" s="37"/>
    </row>
    <row r="627" ht="15.75" customHeight="1">
      <c r="A627" s="34"/>
      <c r="B627" s="34"/>
      <c r="C627" s="56"/>
      <c r="D627" s="56"/>
      <c r="E627" s="36"/>
      <c r="F627" s="37"/>
    </row>
    <row r="628" ht="15.75" customHeight="1">
      <c r="A628" s="34"/>
      <c r="B628" s="34"/>
      <c r="C628" s="56"/>
      <c r="D628" s="56"/>
      <c r="E628" s="36"/>
      <c r="F628" s="37"/>
    </row>
    <row r="629" ht="15.75" customHeight="1">
      <c r="A629" s="34"/>
      <c r="B629" s="34"/>
      <c r="C629" s="56"/>
      <c r="D629" s="56"/>
      <c r="E629" s="36"/>
      <c r="F629" s="37"/>
    </row>
    <row r="630" ht="15.75" customHeight="1">
      <c r="A630" s="34"/>
      <c r="B630" s="34"/>
      <c r="C630" s="56"/>
      <c r="D630" s="56"/>
      <c r="E630" s="36"/>
      <c r="F630" s="37"/>
    </row>
    <row r="631" ht="15.75" customHeight="1">
      <c r="A631" s="34"/>
      <c r="B631" s="34"/>
      <c r="C631" s="56"/>
      <c r="D631" s="56"/>
      <c r="E631" s="36"/>
      <c r="F631" s="37"/>
    </row>
    <row r="632" ht="15.75" customHeight="1">
      <c r="A632" s="34"/>
      <c r="B632" s="34"/>
      <c r="C632" s="56"/>
      <c r="D632" s="56"/>
      <c r="E632" s="36"/>
      <c r="F632" s="37"/>
    </row>
    <row r="633" ht="15.75" customHeight="1">
      <c r="A633" s="34"/>
      <c r="B633" s="34"/>
      <c r="C633" s="56"/>
      <c r="D633" s="56"/>
      <c r="E633" s="36"/>
      <c r="F633" s="37"/>
    </row>
    <row r="634" ht="15.75" customHeight="1">
      <c r="A634" s="34"/>
      <c r="B634" s="34"/>
      <c r="C634" s="56"/>
      <c r="D634" s="56"/>
      <c r="E634" s="36"/>
      <c r="F634" s="37"/>
    </row>
    <row r="635" ht="15.75" customHeight="1">
      <c r="A635" s="34"/>
      <c r="B635" s="34"/>
      <c r="C635" s="56"/>
      <c r="D635" s="56"/>
      <c r="E635" s="36"/>
      <c r="F635" s="37"/>
    </row>
    <row r="636" ht="15.75" customHeight="1">
      <c r="A636" s="34"/>
      <c r="B636" s="34"/>
      <c r="C636" s="56"/>
      <c r="D636" s="56"/>
      <c r="E636" s="36"/>
      <c r="F636" s="37"/>
    </row>
    <row r="637" ht="15.75" customHeight="1">
      <c r="A637" s="34"/>
      <c r="B637" s="34"/>
      <c r="C637" s="56"/>
      <c r="D637" s="56"/>
      <c r="E637" s="36"/>
      <c r="F637" s="37"/>
    </row>
    <row r="638" ht="15.75" customHeight="1">
      <c r="A638" s="34"/>
      <c r="B638" s="34"/>
      <c r="C638" s="56"/>
      <c r="D638" s="56"/>
      <c r="E638" s="36"/>
      <c r="F638" s="37"/>
    </row>
    <row r="639" ht="15.75" customHeight="1">
      <c r="A639" s="34"/>
      <c r="B639" s="34"/>
      <c r="C639" s="56"/>
      <c r="D639" s="56"/>
      <c r="E639" s="36"/>
      <c r="F639" s="37"/>
    </row>
    <row r="640" ht="15.75" customHeight="1">
      <c r="A640" s="34"/>
      <c r="B640" s="34"/>
      <c r="C640" s="56"/>
      <c r="D640" s="56"/>
      <c r="E640" s="36"/>
      <c r="F640" s="37"/>
    </row>
    <row r="641" ht="15.75" customHeight="1">
      <c r="A641" s="34"/>
      <c r="B641" s="34"/>
      <c r="C641" s="56"/>
      <c r="D641" s="56"/>
      <c r="E641" s="36"/>
      <c r="F641" s="37"/>
    </row>
    <row r="642" ht="15.75" customHeight="1">
      <c r="A642" s="34"/>
      <c r="B642" s="34"/>
      <c r="C642" s="56"/>
      <c r="D642" s="56"/>
      <c r="E642" s="36"/>
      <c r="F642" s="37"/>
    </row>
    <row r="643" ht="15.75" customHeight="1">
      <c r="A643" s="34"/>
      <c r="B643" s="34"/>
      <c r="C643" s="56"/>
      <c r="D643" s="56"/>
      <c r="E643" s="36"/>
      <c r="F643" s="37"/>
    </row>
    <row r="644" ht="15.75" customHeight="1">
      <c r="A644" s="34"/>
      <c r="B644" s="34"/>
      <c r="C644" s="56"/>
      <c r="D644" s="56"/>
      <c r="E644" s="36"/>
      <c r="F644" s="37"/>
    </row>
    <row r="645" ht="15.75" customHeight="1">
      <c r="A645" s="34"/>
      <c r="B645" s="34"/>
      <c r="C645" s="56"/>
      <c r="D645" s="56"/>
      <c r="E645" s="36"/>
      <c r="F645" s="37"/>
    </row>
    <row r="646" ht="15.75" customHeight="1">
      <c r="A646" s="34"/>
      <c r="B646" s="34"/>
      <c r="C646" s="56"/>
      <c r="D646" s="56"/>
      <c r="E646" s="36"/>
      <c r="F646" s="37"/>
    </row>
    <row r="647" ht="15.75" customHeight="1">
      <c r="A647" s="34"/>
      <c r="B647" s="34"/>
      <c r="C647" s="56"/>
      <c r="D647" s="56"/>
      <c r="E647" s="36"/>
      <c r="F647" s="37"/>
    </row>
    <row r="648" ht="15.75" customHeight="1">
      <c r="A648" s="34"/>
      <c r="B648" s="34"/>
      <c r="C648" s="56"/>
      <c r="D648" s="56"/>
      <c r="E648" s="36"/>
      <c r="F648" s="37"/>
    </row>
    <row r="649" ht="15.75" customHeight="1">
      <c r="A649" s="34"/>
      <c r="B649" s="34"/>
      <c r="C649" s="56"/>
      <c r="D649" s="56"/>
      <c r="E649" s="36"/>
      <c r="F649" s="37"/>
    </row>
    <row r="650" ht="15.75" customHeight="1">
      <c r="A650" s="34"/>
      <c r="B650" s="34"/>
      <c r="C650" s="56"/>
      <c r="D650" s="56"/>
      <c r="E650" s="36"/>
      <c r="F650" s="37"/>
    </row>
    <row r="651" ht="15.75" customHeight="1">
      <c r="A651" s="34"/>
      <c r="B651" s="34"/>
      <c r="C651" s="56"/>
      <c r="D651" s="56"/>
      <c r="E651" s="36"/>
      <c r="F651" s="37"/>
    </row>
    <row r="652" ht="15.75" customHeight="1">
      <c r="A652" s="34"/>
      <c r="B652" s="34"/>
      <c r="C652" s="56"/>
      <c r="D652" s="56"/>
      <c r="E652" s="36"/>
      <c r="F652" s="37"/>
    </row>
    <row r="653" ht="15.75" customHeight="1">
      <c r="A653" s="34"/>
      <c r="B653" s="34"/>
      <c r="C653" s="56"/>
      <c r="D653" s="56"/>
      <c r="E653" s="36"/>
      <c r="F653" s="37"/>
    </row>
    <row r="654" ht="15.75" customHeight="1">
      <c r="A654" s="34"/>
      <c r="B654" s="34"/>
      <c r="C654" s="56"/>
      <c r="D654" s="56"/>
      <c r="E654" s="36"/>
      <c r="F654" s="37"/>
    </row>
    <row r="655" ht="15.75" customHeight="1">
      <c r="A655" s="34"/>
      <c r="B655" s="34"/>
      <c r="C655" s="56"/>
      <c r="D655" s="56"/>
      <c r="E655" s="36"/>
      <c r="F655" s="37"/>
    </row>
    <row r="656" ht="15.75" customHeight="1">
      <c r="A656" s="34"/>
      <c r="B656" s="34"/>
      <c r="C656" s="56"/>
      <c r="D656" s="56"/>
      <c r="E656" s="36"/>
      <c r="F656" s="37"/>
    </row>
    <row r="657" ht="15.75" customHeight="1">
      <c r="A657" s="34"/>
      <c r="B657" s="34"/>
      <c r="C657" s="56"/>
      <c r="D657" s="56"/>
      <c r="E657" s="36"/>
      <c r="F657" s="37"/>
    </row>
    <row r="658" ht="15.75" customHeight="1">
      <c r="A658" s="34"/>
      <c r="B658" s="34"/>
      <c r="C658" s="56"/>
      <c r="D658" s="56"/>
      <c r="E658" s="36"/>
      <c r="F658" s="37"/>
    </row>
    <row r="659" ht="15.75" customHeight="1">
      <c r="A659" s="34"/>
      <c r="B659" s="34"/>
      <c r="C659" s="56"/>
      <c r="D659" s="56"/>
      <c r="E659" s="36"/>
      <c r="F659" s="37"/>
    </row>
    <row r="660" ht="15.75" customHeight="1">
      <c r="A660" s="34"/>
      <c r="B660" s="34"/>
      <c r="C660" s="56"/>
      <c r="D660" s="56"/>
      <c r="E660" s="36"/>
      <c r="F660" s="37"/>
    </row>
    <row r="661" ht="15.75" customHeight="1">
      <c r="A661" s="34"/>
      <c r="B661" s="34"/>
      <c r="C661" s="56"/>
      <c r="D661" s="56"/>
      <c r="E661" s="36"/>
      <c r="F661" s="37"/>
    </row>
    <row r="662" ht="15.75" customHeight="1">
      <c r="A662" s="34"/>
      <c r="B662" s="34"/>
      <c r="C662" s="56"/>
      <c r="D662" s="56"/>
      <c r="E662" s="36"/>
      <c r="F662" s="37"/>
    </row>
    <row r="663" ht="15.75" customHeight="1">
      <c r="A663" s="34"/>
      <c r="B663" s="34"/>
      <c r="C663" s="56"/>
      <c r="D663" s="56"/>
      <c r="E663" s="36"/>
      <c r="F663" s="37"/>
    </row>
    <row r="664" ht="15.75" customHeight="1">
      <c r="A664" s="34"/>
      <c r="B664" s="34"/>
      <c r="C664" s="56"/>
      <c r="D664" s="56"/>
      <c r="E664" s="36"/>
      <c r="F664" s="37"/>
    </row>
    <row r="665" ht="15.75" customHeight="1">
      <c r="A665" s="34"/>
      <c r="B665" s="34"/>
      <c r="C665" s="56"/>
      <c r="D665" s="56"/>
      <c r="E665" s="36"/>
      <c r="F665" s="37"/>
    </row>
    <row r="666" ht="15.75" customHeight="1">
      <c r="A666" s="34"/>
      <c r="B666" s="34"/>
      <c r="C666" s="56"/>
      <c r="D666" s="56"/>
      <c r="E666" s="36"/>
      <c r="F666" s="37"/>
    </row>
    <row r="667" ht="15.75" customHeight="1">
      <c r="A667" s="34"/>
      <c r="B667" s="34"/>
      <c r="C667" s="56"/>
      <c r="D667" s="56"/>
      <c r="E667" s="36"/>
      <c r="F667" s="37"/>
    </row>
    <row r="668" ht="15.75" customHeight="1">
      <c r="A668" s="34"/>
      <c r="B668" s="34"/>
      <c r="C668" s="56"/>
      <c r="D668" s="56"/>
      <c r="E668" s="36"/>
      <c r="F668" s="37"/>
    </row>
    <row r="669" ht="15.75" customHeight="1">
      <c r="A669" s="34"/>
      <c r="B669" s="34"/>
      <c r="C669" s="56"/>
      <c r="D669" s="56"/>
      <c r="E669" s="36"/>
      <c r="F669" s="37"/>
    </row>
    <row r="670" ht="15.75" customHeight="1">
      <c r="A670" s="34"/>
      <c r="B670" s="34"/>
      <c r="C670" s="56"/>
      <c r="D670" s="56"/>
      <c r="E670" s="36"/>
      <c r="F670" s="37"/>
    </row>
    <row r="671" ht="15.75" customHeight="1">
      <c r="A671" s="34"/>
      <c r="B671" s="34"/>
      <c r="C671" s="56"/>
      <c r="D671" s="56"/>
      <c r="E671" s="36"/>
      <c r="F671" s="37"/>
    </row>
    <row r="672" ht="15.75" customHeight="1">
      <c r="A672" s="34"/>
      <c r="B672" s="34"/>
      <c r="C672" s="56"/>
      <c r="D672" s="56"/>
      <c r="E672" s="36"/>
      <c r="F672" s="37"/>
    </row>
    <row r="673" ht="15.75" customHeight="1">
      <c r="A673" s="34"/>
      <c r="B673" s="34"/>
      <c r="C673" s="56"/>
      <c r="D673" s="56"/>
      <c r="E673" s="36"/>
      <c r="F673" s="37"/>
    </row>
    <row r="674" ht="15.75" customHeight="1">
      <c r="A674" s="34"/>
      <c r="B674" s="34"/>
      <c r="C674" s="56"/>
      <c r="D674" s="56"/>
      <c r="E674" s="36"/>
      <c r="F674" s="37"/>
    </row>
    <row r="675" ht="15.75" customHeight="1">
      <c r="A675" s="34"/>
      <c r="B675" s="34"/>
      <c r="C675" s="56"/>
      <c r="D675" s="56"/>
      <c r="E675" s="36"/>
      <c r="F675" s="37"/>
    </row>
    <row r="676" ht="15.75" customHeight="1">
      <c r="A676" s="34"/>
      <c r="B676" s="34"/>
      <c r="C676" s="56"/>
      <c r="D676" s="56"/>
      <c r="E676" s="36"/>
      <c r="F676" s="37"/>
    </row>
    <row r="677" ht="15.75" customHeight="1">
      <c r="A677" s="34"/>
      <c r="B677" s="34"/>
      <c r="C677" s="56"/>
      <c r="D677" s="56"/>
      <c r="E677" s="36"/>
      <c r="F677" s="37"/>
    </row>
    <row r="678" ht="15.75" customHeight="1">
      <c r="A678" s="34"/>
      <c r="B678" s="34"/>
      <c r="C678" s="56"/>
      <c r="D678" s="56"/>
      <c r="E678" s="36"/>
      <c r="F678" s="37"/>
    </row>
    <row r="679" ht="15.75" customHeight="1">
      <c r="A679" s="34"/>
      <c r="B679" s="34"/>
      <c r="C679" s="56"/>
      <c r="D679" s="56"/>
      <c r="E679" s="36"/>
      <c r="F679" s="37"/>
    </row>
    <row r="680" ht="15.75" customHeight="1">
      <c r="A680" s="34"/>
      <c r="B680" s="34"/>
      <c r="C680" s="56"/>
      <c r="D680" s="56"/>
      <c r="E680" s="36"/>
      <c r="F680" s="37"/>
    </row>
    <row r="681" ht="15.75" customHeight="1">
      <c r="A681" s="34"/>
      <c r="B681" s="34"/>
      <c r="C681" s="56"/>
      <c r="D681" s="56"/>
      <c r="E681" s="36"/>
      <c r="F681" s="37"/>
    </row>
    <row r="682" ht="15.75" customHeight="1">
      <c r="A682" s="34"/>
      <c r="B682" s="34"/>
      <c r="C682" s="56"/>
      <c r="D682" s="56"/>
      <c r="E682" s="36"/>
      <c r="F682" s="37"/>
    </row>
    <row r="683" ht="15.75" customHeight="1">
      <c r="A683" s="34"/>
      <c r="B683" s="34"/>
      <c r="C683" s="56"/>
      <c r="D683" s="56"/>
      <c r="E683" s="36"/>
      <c r="F683" s="37"/>
    </row>
    <row r="684" ht="15.75" customHeight="1">
      <c r="A684" s="34"/>
      <c r="B684" s="34"/>
      <c r="C684" s="56"/>
      <c r="D684" s="56"/>
      <c r="E684" s="36"/>
      <c r="F684" s="37"/>
    </row>
    <row r="685" ht="15.75" customHeight="1">
      <c r="A685" s="34"/>
      <c r="B685" s="34"/>
      <c r="C685" s="56"/>
      <c r="D685" s="56"/>
      <c r="E685" s="36"/>
      <c r="F685" s="37"/>
    </row>
    <row r="686" ht="15.75" customHeight="1">
      <c r="A686" s="34"/>
      <c r="B686" s="34"/>
      <c r="C686" s="56"/>
      <c r="D686" s="56"/>
      <c r="E686" s="36"/>
      <c r="F686" s="37"/>
    </row>
    <row r="687" ht="15.75" customHeight="1">
      <c r="A687" s="34"/>
      <c r="B687" s="34"/>
      <c r="C687" s="56"/>
      <c r="D687" s="56"/>
      <c r="E687" s="36"/>
      <c r="F687" s="37"/>
    </row>
    <row r="688" ht="15.75" customHeight="1">
      <c r="A688" s="34"/>
      <c r="B688" s="34"/>
      <c r="C688" s="56"/>
      <c r="D688" s="56"/>
      <c r="E688" s="36"/>
      <c r="F688" s="37"/>
    </row>
    <row r="689" ht="15.75" customHeight="1">
      <c r="A689" s="34"/>
      <c r="B689" s="34"/>
      <c r="C689" s="56"/>
      <c r="D689" s="56"/>
      <c r="E689" s="36"/>
      <c r="F689" s="37"/>
    </row>
    <row r="690" ht="15.75" customHeight="1">
      <c r="A690" s="34"/>
      <c r="B690" s="34"/>
      <c r="C690" s="56"/>
      <c r="D690" s="56"/>
      <c r="E690" s="36"/>
      <c r="F690" s="37"/>
    </row>
    <row r="691" ht="15.75" customHeight="1">
      <c r="A691" s="34"/>
      <c r="B691" s="34"/>
      <c r="C691" s="56"/>
      <c r="D691" s="56"/>
      <c r="E691" s="36"/>
      <c r="F691" s="37"/>
    </row>
    <row r="692" ht="15.75" customHeight="1">
      <c r="A692" s="34"/>
      <c r="B692" s="34"/>
      <c r="C692" s="56"/>
      <c r="D692" s="56"/>
      <c r="E692" s="36"/>
      <c r="F692" s="37"/>
    </row>
    <row r="693" ht="15.75" customHeight="1">
      <c r="A693" s="34"/>
      <c r="B693" s="34"/>
      <c r="C693" s="56"/>
      <c r="D693" s="56"/>
      <c r="E693" s="36"/>
      <c r="F693" s="37"/>
    </row>
    <row r="694" ht="15.75" customHeight="1">
      <c r="A694" s="34"/>
      <c r="B694" s="34"/>
      <c r="C694" s="56"/>
      <c r="D694" s="56"/>
      <c r="E694" s="36"/>
      <c r="F694" s="37"/>
    </row>
    <row r="695" ht="15.75" customHeight="1">
      <c r="A695" s="34"/>
      <c r="B695" s="34"/>
      <c r="C695" s="56"/>
      <c r="D695" s="56"/>
      <c r="E695" s="36"/>
      <c r="F695" s="37"/>
    </row>
    <row r="696" ht="15.75" customHeight="1">
      <c r="A696" s="34"/>
      <c r="B696" s="34"/>
      <c r="C696" s="56"/>
      <c r="D696" s="56"/>
      <c r="E696" s="36"/>
      <c r="F696" s="37"/>
    </row>
    <row r="697" ht="15.75" customHeight="1">
      <c r="A697" s="34"/>
      <c r="B697" s="34"/>
      <c r="C697" s="56"/>
      <c r="D697" s="56"/>
      <c r="E697" s="36"/>
      <c r="F697" s="37"/>
    </row>
    <row r="698" ht="15.75" customHeight="1">
      <c r="A698" s="34"/>
      <c r="B698" s="34"/>
      <c r="C698" s="56"/>
      <c r="D698" s="56"/>
      <c r="E698" s="36"/>
      <c r="F698" s="37"/>
    </row>
    <row r="699" ht="15.75" customHeight="1">
      <c r="A699" s="34"/>
      <c r="B699" s="34"/>
      <c r="C699" s="56"/>
      <c r="D699" s="56"/>
      <c r="E699" s="36"/>
      <c r="F699" s="37"/>
    </row>
    <row r="700" ht="15.75" customHeight="1">
      <c r="A700" s="34"/>
      <c r="B700" s="34"/>
      <c r="C700" s="56"/>
      <c r="D700" s="56"/>
      <c r="E700" s="36"/>
      <c r="F700" s="37"/>
    </row>
    <row r="701" ht="15.75" customHeight="1">
      <c r="A701" s="34"/>
      <c r="B701" s="34"/>
      <c r="C701" s="56"/>
      <c r="D701" s="56"/>
      <c r="E701" s="36"/>
      <c r="F701" s="37"/>
    </row>
    <row r="702" ht="15.75" customHeight="1">
      <c r="A702" s="34"/>
      <c r="B702" s="34"/>
      <c r="C702" s="56"/>
      <c r="D702" s="56"/>
      <c r="E702" s="36"/>
      <c r="F702" s="37"/>
    </row>
    <row r="703" ht="15.75" customHeight="1">
      <c r="A703" s="34"/>
      <c r="B703" s="34"/>
      <c r="C703" s="56"/>
      <c r="D703" s="56"/>
      <c r="E703" s="36"/>
      <c r="F703" s="37"/>
    </row>
    <row r="704" ht="15.75" customHeight="1">
      <c r="A704" s="34"/>
      <c r="B704" s="34"/>
      <c r="C704" s="56"/>
      <c r="D704" s="56"/>
      <c r="E704" s="36"/>
      <c r="F704" s="37"/>
    </row>
    <row r="705" ht="15.75" customHeight="1">
      <c r="A705" s="34"/>
      <c r="B705" s="34"/>
      <c r="C705" s="56"/>
      <c r="D705" s="56"/>
      <c r="E705" s="36"/>
      <c r="F705" s="37"/>
    </row>
    <row r="706" ht="15.75" customHeight="1">
      <c r="A706" s="34"/>
      <c r="B706" s="34"/>
      <c r="C706" s="56"/>
      <c r="D706" s="56"/>
      <c r="E706" s="36"/>
      <c r="F706" s="37"/>
    </row>
    <row r="707" ht="15.75" customHeight="1">
      <c r="A707" s="34"/>
      <c r="B707" s="34"/>
      <c r="C707" s="56"/>
      <c r="D707" s="56"/>
      <c r="E707" s="36"/>
      <c r="F707" s="37"/>
    </row>
    <row r="708" ht="15.75" customHeight="1">
      <c r="A708" s="34"/>
      <c r="B708" s="34"/>
      <c r="C708" s="56"/>
      <c r="D708" s="56"/>
      <c r="E708" s="36"/>
      <c r="F708" s="37"/>
    </row>
    <row r="709" ht="15.75" customHeight="1">
      <c r="A709" s="34"/>
      <c r="B709" s="34"/>
      <c r="C709" s="56"/>
      <c r="D709" s="56"/>
      <c r="E709" s="36"/>
      <c r="F709" s="37"/>
    </row>
    <row r="710" ht="15.75" customHeight="1">
      <c r="A710" s="34"/>
      <c r="B710" s="34"/>
      <c r="C710" s="56"/>
      <c r="D710" s="56"/>
      <c r="E710" s="36"/>
      <c r="F710" s="37"/>
    </row>
    <row r="711" ht="15.75" customHeight="1">
      <c r="A711" s="34"/>
      <c r="B711" s="34"/>
      <c r="C711" s="56"/>
      <c r="D711" s="56"/>
      <c r="E711" s="36"/>
      <c r="F711" s="37"/>
    </row>
    <row r="712" ht="15.75" customHeight="1">
      <c r="A712" s="34"/>
      <c r="B712" s="34"/>
      <c r="C712" s="56"/>
      <c r="D712" s="56"/>
      <c r="E712" s="36"/>
      <c r="F712" s="37"/>
    </row>
    <row r="713" ht="15.75" customHeight="1">
      <c r="A713" s="34"/>
      <c r="B713" s="34"/>
      <c r="C713" s="56"/>
      <c r="D713" s="56"/>
      <c r="E713" s="36"/>
      <c r="F713" s="37"/>
    </row>
    <row r="714" ht="15.75" customHeight="1">
      <c r="A714" s="34"/>
      <c r="B714" s="34"/>
      <c r="C714" s="56"/>
      <c r="D714" s="56"/>
      <c r="E714" s="36"/>
      <c r="F714" s="37"/>
    </row>
    <row r="715" ht="15.75" customHeight="1">
      <c r="A715" s="34"/>
      <c r="B715" s="34"/>
      <c r="C715" s="56"/>
      <c r="D715" s="56"/>
      <c r="E715" s="36"/>
      <c r="F715" s="37"/>
    </row>
    <row r="716" ht="15.75" customHeight="1">
      <c r="A716" s="34"/>
      <c r="B716" s="34"/>
      <c r="C716" s="56"/>
      <c r="D716" s="56"/>
      <c r="E716" s="36"/>
      <c r="F716" s="37"/>
    </row>
    <row r="717" ht="15.75" customHeight="1">
      <c r="A717" s="34"/>
      <c r="B717" s="34"/>
      <c r="C717" s="56"/>
      <c r="D717" s="56"/>
      <c r="E717" s="36"/>
      <c r="F717" s="37"/>
    </row>
    <row r="718" ht="15.75" customHeight="1">
      <c r="A718" s="34"/>
      <c r="B718" s="34"/>
      <c r="C718" s="56"/>
      <c r="D718" s="56"/>
      <c r="E718" s="36"/>
      <c r="F718" s="37"/>
    </row>
    <row r="719" ht="15.75" customHeight="1">
      <c r="A719" s="34"/>
      <c r="B719" s="34"/>
      <c r="C719" s="56"/>
      <c r="D719" s="56"/>
      <c r="E719" s="36"/>
      <c r="F719" s="37"/>
    </row>
    <row r="720" ht="15.75" customHeight="1">
      <c r="A720" s="34"/>
      <c r="B720" s="34"/>
      <c r="C720" s="56"/>
      <c r="D720" s="56"/>
      <c r="E720" s="36"/>
      <c r="F720" s="37"/>
    </row>
    <row r="721" ht="15.75" customHeight="1">
      <c r="A721" s="34"/>
      <c r="B721" s="34"/>
      <c r="C721" s="56"/>
      <c r="D721" s="56"/>
      <c r="E721" s="36"/>
      <c r="F721" s="37"/>
    </row>
    <row r="722" ht="15.75" customHeight="1">
      <c r="A722" s="34"/>
      <c r="B722" s="34"/>
      <c r="C722" s="56"/>
      <c r="D722" s="56"/>
      <c r="E722" s="36"/>
      <c r="F722" s="37"/>
    </row>
    <row r="723" ht="15.75" customHeight="1">
      <c r="A723" s="34"/>
      <c r="B723" s="34"/>
      <c r="C723" s="56"/>
      <c r="D723" s="56"/>
      <c r="E723" s="36"/>
      <c r="F723" s="37"/>
    </row>
    <row r="724" ht="15.75" customHeight="1">
      <c r="A724" s="34"/>
      <c r="B724" s="34"/>
      <c r="C724" s="56"/>
      <c r="D724" s="56"/>
      <c r="E724" s="36"/>
      <c r="F724" s="37"/>
    </row>
    <row r="725" ht="15.75" customHeight="1">
      <c r="A725" s="34"/>
      <c r="B725" s="34"/>
      <c r="C725" s="56"/>
      <c r="D725" s="56"/>
      <c r="E725" s="36"/>
      <c r="F725" s="37"/>
    </row>
    <row r="726" ht="15.75" customHeight="1">
      <c r="A726" s="34"/>
      <c r="B726" s="34"/>
      <c r="C726" s="56"/>
      <c r="D726" s="56"/>
      <c r="E726" s="36"/>
      <c r="F726" s="37"/>
    </row>
    <row r="727" ht="15.75" customHeight="1">
      <c r="A727" s="34"/>
      <c r="B727" s="34"/>
      <c r="C727" s="56"/>
      <c r="D727" s="56"/>
      <c r="E727" s="36"/>
      <c r="F727" s="37"/>
    </row>
    <row r="728" ht="15.75" customHeight="1">
      <c r="A728" s="34"/>
      <c r="B728" s="34"/>
      <c r="C728" s="56"/>
      <c r="D728" s="56"/>
      <c r="E728" s="36"/>
      <c r="F728" s="37"/>
    </row>
    <row r="729" ht="15.75" customHeight="1">
      <c r="A729" s="34"/>
      <c r="B729" s="34"/>
      <c r="C729" s="56"/>
      <c r="D729" s="56"/>
      <c r="E729" s="36"/>
      <c r="F729" s="37"/>
    </row>
    <row r="730" ht="15.75" customHeight="1">
      <c r="A730" s="34"/>
      <c r="B730" s="34"/>
      <c r="C730" s="56"/>
      <c r="D730" s="56"/>
      <c r="E730" s="36"/>
      <c r="F730" s="37"/>
    </row>
    <row r="731" ht="15.75" customHeight="1">
      <c r="A731" s="34"/>
      <c r="B731" s="34"/>
      <c r="C731" s="56"/>
      <c r="D731" s="56"/>
      <c r="E731" s="36"/>
      <c r="F731" s="37"/>
    </row>
    <row r="732" ht="15.75" customHeight="1">
      <c r="A732" s="34"/>
      <c r="B732" s="34"/>
      <c r="C732" s="56"/>
      <c r="D732" s="56"/>
      <c r="E732" s="36"/>
      <c r="F732" s="37"/>
    </row>
    <row r="733" ht="15.75" customHeight="1">
      <c r="A733" s="34"/>
      <c r="B733" s="34"/>
      <c r="C733" s="56"/>
      <c r="D733" s="56"/>
      <c r="E733" s="36"/>
      <c r="F733" s="37"/>
    </row>
    <row r="734" ht="15.75" customHeight="1">
      <c r="A734" s="34"/>
      <c r="B734" s="34"/>
      <c r="C734" s="56"/>
      <c r="D734" s="56"/>
      <c r="E734" s="36"/>
      <c r="F734" s="37"/>
    </row>
    <row r="735" ht="15.75" customHeight="1">
      <c r="A735" s="34"/>
      <c r="B735" s="34"/>
      <c r="C735" s="56"/>
      <c r="D735" s="56"/>
      <c r="E735" s="36"/>
      <c r="F735" s="37"/>
    </row>
    <row r="736" ht="15.75" customHeight="1">
      <c r="A736" s="34"/>
      <c r="B736" s="34"/>
      <c r="C736" s="56"/>
      <c r="D736" s="56"/>
      <c r="E736" s="36"/>
      <c r="F736" s="37"/>
    </row>
    <row r="737" ht="15.75" customHeight="1">
      <c r="A737" s="34"/>
      <c r="B737" s="34"/>
      <c r="C737" s="56"/>
      <c r="D737" s="56"/>
      <c r="E737" s="36"/>
      <c r="F737" s="37"/>
    </row>
    <row r="738" ht="15.75" customHeight="1">
      <c r="A738" s="34"/>
      <c r="B738" s="34"/>
      <c r="C738" s="56"/>
      <c r="D738" s="56"/>
      <c r="E738" s="36"/>
      <c r="F738" s="37"/>
    </row>
    <row r="739" ht="15.75" customHeight="1">
      <c r="A739" s="34"/>
      <c r="B739" s="34"/>
      <c r="C739" s="56"/>
      <c r="D739" s="56"/>
      <c r="E739" s="36"/>
      <c r="F739" s="37"/>
    </row>
    <row r="740" ht="15.75" customHeight="1">
      <c r="A740" s="34"/>
      <c r="B740" s="34"/>
      <c r="C740" s="56"/>
      <c r="D740" s="56"/>
      <c r="E740" s="36"/>
      <c r="F740" s="37"/>
    </row>
    <row r="741" ht="15.75" customHeight="1">
      <c r="A741" s="34"/>
      <c r="B741" s="34"/>
      <c r="C741" s="56"/>
      <c r="D741" s="56"/>
      <c r="E741" s="36"/>
      <c r="F741" s="37"/>
    </row>
    <row r="742" ht="15.75" customHeight="1">
      <c r="A742" s="34"/>
      <c r="B742" s="34"/>
      <c r="C742" s="56"/>
      <c r="D742" s="56"/>
      <c r="E742" s="36"/>
      <c r="F742" s="37"/>
    </row>
    <row r="743" ht="15.75" customHeight="1">
      <c r="A743" s="34"/>
      <c r="B743" s="34"/>
      <c r="C743" s="56"/>
      <c r="D743" s="56"/>
      <c r="E743" s="36"/>
      <c r="F743" s="37"/>
    </row>
    <row r="744" ht="15.75" customHeight="1">
      <c r="A744" s="34"/>
      <c r="B744" s="34"/>
      <c r="C744" s="56"/>
      <c r="D744" s="56"/>
      <c r="E744" s="36"/>
      <c r="F744" s="37"/>
    </row>
    <row r="745" ht="15.75" customHeight="1">
      <c r="A745" s="34"/>
      <c r="B745" s="34"/>
      <c r="C745" s="56"/>
      <c r="D745" s="56"/>
      <c r="E745" s="36"/>
      <c r="F745" s="37"/>
    </row>
    <row r="746" ht="15.75" customHeight="1">
      <c r="A746" s="34"/>
      <c r="B746" s="34"/>
      <c r="C746" s="56"/>
      <c r="D746" s="56"/>
      <c r="E746" s="36"/>
      <c r="F746" s="37"/>
    </row>
    <row r="747" ht="15.75" customHeight="1">
      <c r="A747" s="34"/>
      <c r="B747" s="34"/>
      <c r="C747" s="56"/>
      <c r="D747" s="56"/>
      <c r="E747" s="36"/>
      <c r="F747" s="37"/>
    </row>
    <row r="748" ht="15.75" customHeight="1">
      <c r="A748" s="34"/>
      <c r="B748" s="34"/>
      <c r="C748" s="56"/>
      <c r="D748" s="56"/>
      <c r="E748" s="36"/>
      <c r="F748" s="37"/>
    </row>
    <row r="749" ht="15.75" customHeight="1">
      <c r="A749" s="34"/>
      <c r="B749" s="34"/>
      <c r="C749" s="56"/>
      <c r="D749" s="56"/>
      <c r="E749" s="36"/>
      <c r="F749" s="37"/>
    </row>
    <row r="750" ht="15.75" customHeight="1">
      <c r="A750" s="34"/>
      <c r="B750" s="34"/>
      <c r="C750" s="56"/>
      <c r="D750" s="56"/>
      <c r="E750" s="36"/>
      <c r="F750" s="37"/>
    </row>
    <row r="751" ht="15.75" customHeight="1">
      <c r="A751" s="34"/>
      <c r="B751" s="34"/>
      <c r="C751" s="56"/>
      <c r="D751" s="56"/>
      <c r="E751" s="36"/>
      <c r="F751" s="37"/>
    </row>
    <row r="752" ht="15.75" customHeight="1">
      <c r="A752" s="34"/>
      <c r="B752" s="34"/>
      <c r="C752" s="56"/>
      <c r="D752" s="56"/>
      <c r="E752" s="36"/>
      <c r="F752" s="37"/>
    </row>
    <row r="753" ht="15.75" customHeight="1">
      <c r="A753" s="34"/>
      <c r="B753" s="34"/>
      <c r="C753" s="56"/>
      <c r="D753" s="56"/>
      <c r="E753" s="36"/>
      <c r="F753" s="37"/>
    </row>
    <row r="754" ht="15.75" customHeight="1">
      <c r="A754" s="34"/>
      <c r="B754" s="34"/>
      <c r="C754" s="56"/>
      <c r="D754" s="56"/>
      <c r="E754" s="36"/>
      <c r="F754" s="37"/>
    </row>
    <row r="755" ht="15.75" customHeight="1">
      <c r="A755" s="34"/>
      <c r="B755" s="34"/>
      <c r="C755" s="56"/>
      <c r="D755" s="56"/>
      <c r="E755" s="36"/>
      <c r="F755" s="37"/>
    </row>
    <row r="756" ht="15.75" customHeight="1">
      <c r="A756" s="34"/>
      <c r="B756" s="34"/>
      <c r="C756" s="56"/>
      <c r="D756" s="56"/>
      <c r="E756" s="36"/>
      <c r="F756" s="37"/>
    </row>
    <row r="757" ht="15.75" customHeight="1">
      <c r="A757" s="34"/>
      <c r="B757" s="34"/>
      <c r="C757" s="56"/>
      <c r="D757" s="56"/>
      <c r="E757" s="36"/>
      <c r="F757" s="37"/>
    </row>
    <row r="758" ht="15.75" customHeight="1">
      <c r="A758" s="34"/>
      <c r="B758" s="34"/>
      <c r="C758" s="56"/>
      <c r="D758" s="56"/>
      <c r="E758" s="36"/>
      <c r="F758" s="37"/>
    </row>
    <row r="759" ht="15.75" customHeight="1">
      <c r="A759" s="34"/>
      <c r="B759" s="34"/>
      <c r="C759" s="56"/>
      <c r="D759" s="56"/>
      <c r="E759" s="36"/>
      <c r="F759" s="37"/>
    </row>
    <row r="760" ht="15.75" customHeight="1">
      <c r="A760" s="34"/>
      <c r="B760" s="34"/>
      <c r="C760" s="56"/>
      <c r="D760" s="56"/>
      <c r="E760" s="36"/>
      <c r="F760" s="37"/>
    </row>
    <row r="761" ht="15.75" customHeight="1">
      <c r="A761" s="34"/>
      <c r="B761" s="34"/>
      <c r="C761" s="56"/>
      <c r="D761" s="56"/>
      <c r="E761" s="36"/>
      <c r="F761" s="37"/>
    </row>
    <row r="762" ht="15.75" customHeight="1">
      <c r="A762" s="34"/>
      <c r="B762" s="34"/>
      <c r="C762" s="56"/>
      <c r="D762" s="56"/>
      <c r="E762" s="36"/>
      <c r="F762" s="37"/>
    </row>
    <row r="763" ht="15.75" customHeight="1">
      <c r="A763" s="34"/>
      <c r="B763" s="34"/>
      <c r="C763" s="56"/>
      <c r="D763" s="56"/>
      <c r="E763" s="36"/>
      <c r="F763" s="37"/>
    </row>
    <row r="764" ht="15.75" customHeight="1">
      <c r="A764" s="34"/>
      <c r="B764" s="34"/>
      <c r="C764" s="56"/>
      <c r="D764" s="56"/>
      <c r="E764" s="36"/>
      <c r="F764" s="37"/>
    </row>
    <row r="765" ht="15.75" customHeight="1">
      <c r="A765" s="34"/>
      <c r="B765" s="34"/>
      <c r="C765" s="56"/>
      <c r="D765" s="56"/>
      <c r="E765" s="36"/>
      <c r="F765" s="37"/>
    </row>
    <row r="766" ht="15.75" customHeight="1">
      <c r="A766" s="34"/>
      <c r="B766" s="34"/>
      <c r="C766" s="56"/>
      <c r="D766" s="56"/>
      <c r="E766" s="36"/>
      <c r="F766" s="37"/>
    </row>
    <row r="767" ht="15.75" customHeight="1">
      <c r="A767" s="34"/>
      <c r="B767" s="34"/>
      <c r="C767" s="56"/>
      <c r="D767" s="56"/>
      <c r="E767" s="36"/>
      <c r="F767" s="37"/>
    </row>
    <row r="768" ht="15.75" customHeight="1">
      <c r="A768" s="34"/>
      <c r="B768" s="34"/>
      <c r="C768" s="56"/>
      <c r="D768" s="56"/>
      <c r="E768" s="36"/>
      <c r="F768" s="37"/>
    </row>
    <row r="769" ht="15.75" customHeight="1">
      <c r="A769" s="34"/>
      <c r="B769" s="34"/>
      <c r="C769" s="56"/>
      <c r="D769" s="56"/>
      <c r="E769" s="36"/>
      <c r="F769" s="37"/>
    </row>
    <row r="770" ht="15.75" customHeight="1">
      <c r="A770" s="34"/>
      <c r="B770" s="34"/>
      <c r="C770" s="56"/>
      <c r="D770" s="56"/>
      <c r="E770" s="36"/>
      <c r="F770" s="37"/>
    </row>
    <row r="771" ht="15.75" customHeight="1">
      <c r="A771" s="34"/>
      <c r="B771" s="34"/>
      <c r="C771" s="56"/>
      <c r="D771" s="56"/>
      <c r="E771" s="36"/>
      <c r="F771" s="37"/>
    </row>
    <row r="772" ht="15.75" customHeight="1">
      <c r="A772" s="34"/>
      <c r="B772" s="34"/>
      <c r="C772" s="56"/>
      <c r="D772" s="56"/>
      <c r="E772" s="36"/>
      <c r="F772" s="37"/>
    </row>
    <row r="773" ht="15.75" customHeight="1">
      <c r="A773" s="34"/>
      <c r="B773" s="34"/>
      <c r="C773" s="56"/>
      <c r="D773" s="56"/>
      <c r="E773" s="36"/>
      <c r="F773" s="37"/>
    </row>
    <row r="774" ht="15.75" customHeight="1">
      <c r="A774" s="34"/>
      <c r="B774" s="34"/>
      <c r="C774" s="56"/>
      <c r="D774" s="56"/>
      <c r="E774" s="36"/>
      <c r="F774" s="37"/>
    </row>
    <row r="775" ht="15.75" customHeight="1">
      <c r="A775" s="34"/>
      <c r="B775" s="34"/>
      <c r="C775" s="56"/>
      <c r="D775" s="56"/>
      <c r="E775" s="36"/>
      <c r="F775" s="37"/>
    </row>
    <row r="776" ht="15.75" customHeight="1">
      <c r="A776" s="34"/>
      <c r="B776" s="34"/>
      <c r="C776" s="56"/>
      <c r="D776" s="56"/>
      <c r="E776" s="36"/>
      <c r="F776" s="37"/>
    </row>
    <row r="777" ht="15.75" customHeight="1">
      <c r="A777" s="34"/>
      <c r="B777" s="34"/>
      <c r="C777" s="56"/>
      <c r="D777" s="56"/>
      <c r="E777" s="36"/>
      <c r="F777" s="37"/>
    </row>
    <row r="778" ht="15.75" customHeight="1">
      <c r="A778" s="34"/>
      <c r="B778" s="34"/>
      <c r="C778" s="56"/>
      <c r="D778" s="56"/>
      <c r="E778" s="36"/>
      <c r="F778" s="37"/>
    </row>
    <row r="779" ht="15.75" customHeight="1">
      <c r="A779" s="34"/>
      <c r="B779" s="34"/>
      <c r="C779" s="56"/>
      <c r="D779" s="56"/>
      <c r="E779" s="36"/>
      <c r="F779" s="37"/>
    </row>
    <row r="780" ht="15.75" customHeight="1">
      <c r="A780" s="34"/>
      <c r="B780" s="34"/>
      <c r="C780" s="56"/>
      <c r="D780" s="56"/>
      <c r="E780" s="36"/>
      <c r="F780" s="37"/>
    </row>
    <row r="781" ht="15.75" customHeight="1">
      <c r="A781" s="34"/>
      <c r="B781" s="34"/>
      <c r="C781" s="56"/>
      <c r="D781" s="56"/>
      <c r="E781" s="36"/>
      <c r="F781" s="37"/>
    </row>
    <row r="782" ht="15.75" customHeight="1">
      <c r="A782" s="34"/>
      <c r="B782" s="34"/>
      <c r="C782" s="56"/>
      <c r="D782" s="56"/>
      <c r="E782" s="36"/>
      <c r="F782" s="37"/>
    </row>
    <row r="783" ht="15.75" customHeight="1">
      <c r="A783" s="34"/>
      <c r="B783" s="34"/>
      <c r="C783" s="56"/>
      <c r="D783" s="56"/>
      <c r="E783" s="36"/>
      <c r="F783" s="37"/>
    </row>
    <row r="784" ht="15.75" customHeight="1">
      <c r="A784" s="34"/>
      <c r="B784" s="34"/>
      <c r="C784" s="56"/>
      <c r="D784" s="56"/>
      <c r="E784" s="36"/>
      <c r="F784" s="37"/>
    </row>
    <row r="785" ht="15.75" customHeight="1">
      <c r="A785" s="34"/>
      <c r="B785" s="34"/>
      <c r="C785" s="56"/>
      <c r="D785" s="56"/>
      <c r="E785" s="36"/>
      <c r="F785" s="37"/>
    </row>
    <row r="786" ht="15.75" customHeight="1">
      <c r="A786" s="34"/>
      <c r="B786" s="34"/>
      <c r="C786" s="56"/>
      <c r="D786" s="56"/>
      <c r="E786" s="36"/>
      <c r="F786" s="37"/>
    </row>
    <row r="787" ht="15.75" customHeight="1">
      <c r="A787" s="34"/>
      <c r="B787" s="34"/>
      <c r="C787" s="56"/>
      <c r="D787" s="56"/>
      <c r="E787" s="36"/>
      <c r="F787" s="37"/>
    </row>
    <row r="788" ht="15.75" customHeight="1">
      <c r="A788" s="34"/>
      <c r="B788" s="34"/>
      <c r="C788" s="56"/>
      <c r="D788" s="56"/>
      <c r="E788" s="36"/>
      <c r="F788" s="37"/>
    </row>
    <row r="789" ht="15.75" customHeight="1">
      <c r="A789" s="34"/>
      <c r="B789" s="34"/>
      <c r="C789" s="56"/>
      <c r="D789" s="56"/>
      <c r="E789" s="36"/>
      <c r="F789" s="37"/>
    </row>
    <row r="790" ht="15.75" customHeight="1">
      <c r="A790" s="34"/>
      <c r="B790" s="34"/>
      <c r="C790" s="56"/>
      <c r="D790" s="56"/>
      <c r="E790" s="36"/>
      <c r="F790" s="37"/>
    </row>
    <row r="791" ht="15.75" customHeight="1">
      <c r="A791" s="34"/>
      <c r="B791" s="34"/>
      <c r="C791" s="56"/>
      <c r="D791" s="56"/>
      <c r="E791" s="36"/>
      <c r="F791" s="37"/>
    </row>
    <row r="792" ht="15.75" customHeight="1">
      <c r="A792" s="34"/>
      <c r="B792" s="34"/>
      <c r="C792" s="56"/>
      <c r="D792" s="56"/>
      <c r="E792" s="36"/>
      <c r="F792" s="37"/>
    </row>
    <row r="793" ht="15.75" customHeight="1">
      <c r="A793" s="34"/>
      <c r="B793" s="34"/>
      <c r="C793" s="56"/>
      <c r="D793" s="56"/>
      <c r="E793" s="36"/>
      <c r="F793" s="37"/>
    </row>
    <row r="794" ht="15.75" customHeight="1">
      <c r="A794" s="34"/>
      <c r="B794" s="34"/>
      <c r="C794" s="56"/>
      <c r="D794" s="56"/>
      <c r="E794" s="36"/>
      <c r="F794" s="37"/>
    </row>
    <row r="795" ht="15.75" customHeight="1">
      <c r="A795" s="34"/>
      <c r="B795" s="34"/>
      <c r="C795" s="56"/>
      <c r="D795" s="56"/>
      <c r="E795" s="36"/>
      <c r="F795" s="37"/>
    </row>
    <row r="796" ht="15.75" customHeight="1">
      <c r="A796" s="34"/>
      <c r="B796" s="34"/>
      <c r="C796" s="56"/>
      <c r="D796" s="56"/>
      <c r="E796" s="36"/>
      <c r="F796" s="37"/>
    </row>
    <row r="797" ht="15.75" customHeight="1">
      <c r="A797" s="34"/>
      <c r="B797" s="34"/>
      <c r="C797" s="56"/>
      <c r="D797" s="56"/>
      <c r="E797" s="36"/>
      <c r="F797" s="37"/>
    </row>
    <row r="798" ht="15.75" customHeight="1">
      <c r="A798" s="34"/>
      <c r="B798" s="34"/>
      <c r="C798" s="56"/>
      <c r="D798" s="56"/>
      <c r="E798" s="36"/>
      <c r="F798" s="37"/>
    </row>
    <row r="799" ht="15.75" customHeight="1">
      <c r="A799" s="34"/>
      <c r="B799" s="34"/>
      <c r="C799" s="56"/>
      <c r="D799" s="56"/>
      <c r="E799" s="36"/>
      <c r="F799" s="37"/>
    </row>
    <row r="800" ht="15.75" customHeight="1">
      <c r="A800" s="34"/>
      <c r="B800" s="34"/>
      <c r="C800" s="56"/>
      <c r="D800" s="56"/>
      <c r="E800" s="36"/>
      <c r="F800" s="37"/>
    </row>
    <row r="801" ht="15.75" customHeight="1">
      <c r="A801" s="34"/>
      <c r="B801" s="34"/>
      <c r="C801" s="56"/>
      <c r="D801" s="56"/>
      <c r="E801" s="36"/>
      <c r="F801" s="37"/>
    </row>
    <row r="802" ht="15.75" customHeight="1">
      <c r="A802" s="34"/>
      <c r="B802" s="34"/>
      <c r="C802" s="56"/>
      <c r="D802" s="56"/>
      <c r="E802" s="36"/>
      <c r="F802" s="37"/>
    </row>
    <row r="803" ht="15.75" customHeight="1">
      <c r="A803" s="34"/>
      <c r="B803" s="34"/>
      <c r="C803" s="56"/>
      <c r="D803" s="56"/>
      <c r="E803" s="36"/>
      <c r="F803" s="37"/>
    </row>
    <row r="804" ht="15.75" customHeight="1">
      <c r="A804" s="34"/>
      <c r="B804" s="34"/>
      <c r="C804" s="56"/>
      <c r="D804" s="56"/>
      <c r="E804" s="36"/>
      <c r="F804" s="37"/>
    </row>
    <row r="805" ht="15.75" customHeight="1">
      <c r="A805" s="34"/>
      <c r="B805" s="34"/>
      <c r="C805" s="56"/>
      <c r="D805" s="56"/>
      <c r="E805" s="36"/>
      <c r="F805" s="37"/>
    </row>
    <row r="806" ht="15.75" customHeight="1">
      <c r="A806" s="34"/>
      <c r="B806" s="34"/>
      <c r="C806" s="56"/>
      <c r="D806" s="56"/>
      <c r="E806" s="36"/>
      <c r="F806" s="37"/>
    </row>
    <row r="807" ht="15.75" customHeight="1">
      <c r="A807" s="34"/>
      <c r="B807" s="34"/>
      <c r="C807" s="56"/>
      <c r="D807" s="56"/>
      <c r="E807" s="36"/>
      <c r="F807" s="37"/>
    </row>
    <row r="808" ht="15.75" customHeight="1">
      <c r="A808" s="34"/>
      <c r="B808" s="34"/>
      <c r="C808" s="56"/>
      <c r="D808" s="56"/>
      <c r="E808" s="36"/>
      <c r="F808" s="37"/>
    </row>
    <row r="809" ht="15.75" customHeight="1">
      <c r="A809" s="34"/>
      <c r="B809" s="34"/>
      <c r="C809" s="56"/>
      <c r="D809" s="56"/>
      <c r="E809" s="36"/>
      <c r="F809" s="37"/>
    </row>
    <row r="810" ht="15.75" customHeight="1">
      <c r="A810" s="34"/>
      <c r="B810" s="34"/>
      <c r="C810" s="56"/>
      <c r="D810" s="56"/>
      <c r="E810" s="36"/>
      <c r="F810" s="37"/>
    </row>
    <row r="811" ht="15.75" customHeight="1">
      <c r="A811" s="34"/>
      <c r="B811" s="34"/>
      <c r="C811" s="56"/>
      <c r="D811" s="56"/>
      <c r="E811" s="36"/>
      <c r="F811" s="37"/>
    </row>
    <row r="812" ht="15.75" customHeight="1">
      <c r="A812" s="34"/>
      <c r="B812" s="34"/>
      <c r="C812" s="56"/>
      <c r="D812" s="56"/>
      <c r="E812" s="36"/>
      <c r="F812" s="37"/>
    </row>
    <row r="813" ht="15.75" customHeight="1">
      <c r="A813" s="34"/>
      <c r="B813" s="34"/>
      <c r="C813" s="56"/>
      <c r="D813" s="56"/>
      <c r="E813" s="36"/>
      <c r="F813" s="37"/>
    </row>
    <row r="814" ht="15.75" customHeight="1">
      <c r="A814" s="34"/>
      <c r="B814" s="34"/>
      <c r="C814" s="56"/>
      <c r="D814" s="56"/>
      <c r="E814" s="36"/>
      <c r="F814" s="37"/>
    </row>
    <row r="815" ht="15.75" customHeight="1">
      <c r="A815" s="34"/>
      <c r="B815" s="34"/>
      <c r="C815" s="56"/>
      <c r="D815" s="56"/>
      <c r="E815" s="36"/>
      <c r="F815" s="37"/>
    </row>
    <row r="816" ht="15.75" customHeight="1">
      <c r="A816" s="34"/>
      <c r="B816" s="34"/>
      <c r="C816" s="56"/>
      <c r="D816" s="56"/>
      <c r="E816" s="36"/>
      <c r="F816" s="37"/>
    </row>
    <row r="817" ht="15.75" customHeight="1">
      <c r="A817" s="34"/>
      <c r="B817" s="34"/>
      <c r="C817" s="56"/>
      <c r="D817" s="56"/>
      <c r="E817" s="36"/>
      <c r="F817" s="37"/>
    </row>
    <row r="818" ht="15.75" customHeight="1">
      <c r="A818" s="34"/>
      <c r="B818" s="34"/>
      <c r="C818" s="56"/>
      <c r="D818" s="56"/>
      <c r="E818" s="36"/>
      <c r="F818" s="37"/>
    </row>
    <row r="819" ht="15.75" customHeight="1">
      <c r="A819" s="34"/>
      <c r="B819" s="34"/>
      <c r="C819" s="56"/>
      <c r="D819" s="56"/>
      <c r="E819" s="36"/>
      <c r="F819" s="37"/>
    </row>
    <row r="820" ht="15.75" customHeight="1">
      <c r="A820" s="34"/>
      <c r="B820" s="34"/>
      <c r="C820" s="56"/>
      <c r="D820" s="56"/>
      <c r="E820" s="36"/>
      <c r="F820" s="37"/>
    </row>
    <row r="821" ht="15.75" customHeight="1">
      <c r="A821" s="34"/>
      <c r="B821" s="34"/>
      <c r="C821" s="56"/>
      <c r="D821" s="56"/>
      <c r="E821" s="36"/>
      <c r="F821" s="37"/>
    </row>
    <row r="822" ht="15.75" customHeight="1">
      <c r="A822" s="34"/>
      <c r="B822" s="34"/>
      <c r="C822" s="56"/>
      <c r="D822" s="56"/>
      <c r="E822" s="36"/>
      <c r="F822" s="37"/>
    </row>
    <row r="823" ht="15.75" customHeight="1">
      <c r="A823" s="34"/>
      <c r="B823" s="34"/>
      <c r="C823" s="56"/>
      <c r="D823" s="56"/>
      <c r="E823" s="36"/>
      <c r="F823" s="37"/>
    </row>
    <row r="824" ht="15.75" customHeight="1">
      <c r="A824" s="34"/>
      <c r="B824" s="34"/>
      <c r="C824" s="56"/>
      <c r="D824" s="56"/>
      <c r="E824" s="36"/>
      <c r="F824" s="37"/>
    </row>
    <row r="825" ht="15.75" customHeight="1">
      <c r="A825" s="34"/>
      <c r="B825" s="34"/>
      <c r="C825" s="56"/>
      <c r="D825" s="56"/>
      <c r="E825" s="36"/>
      <c r="F825" s="37"/>
    </row>
    <row r="826" ht="15.75" customHeight="1">
      <c r="A826" s="34"/>
      <c r="B826" s="34"/>
      <c r="C826" s="56"/>
      <c r="D826" s="56"/>
      <c r="E826" s="36"/>
      <c r="F826" s="37"/>
    </row>
    <row r="827" ht="15.75" customHeight="1">
      <c r="A827" s="34"/>
      <c r="B827" s="34"/>
      <c r="C827" s="56"/>
      <c r="D827" s="56"/>
      <c r="E827" s="36"/>
      <c r="F827" s="37"/>
    </row>
    <row r="828" ht="15.75" customHeight="1">
      <c r="A828" s="34"/>
      <c r="B828" s="34"/>
      <c r="C828" s="56"/>
      <c r="D828" s="56"/>
      <c r="E828" s="36"/>
      <c r="F828" s="37"/>
    </row>
    <row r="829" ht="15.75" customHeight="1">
      <c r="A829" s="34"/>
      <c r="B829" s="34"/>
      <c r="C829" s="56"/>
      <c r="D829" s="56"/>
      <c r="E829" s="36"/>
      <c r="F829" s="37"/>
    </row>
    <row r="830" ht="15.75" customHeight="1">
      <c r="A830" s="34"/>
      <c r="B830" s="34"/>
      <c r="C830" s="56"/>
      <c r="D830" s="56"/>
      <c r="E830" s="36"/>
      <c r="F830" s="37"/>
    </row>
    <row r="831" ht="15.75" customHeight="1">
      <c r="A831" s="34"/>
      <c r="B831" s="34"/>
      <c r="C831" s="56"/>
      <c r="D831" s="56"/>
      <c r="E831" s="36"/>
      <c r="F831" s="37"/>
    </row>
    <row r="832" ht="15.75" customHeight="1">
      <c r="A832" s="34"/>
      <c r="B832" s="34"/>
      <c r="C832" s="56"/>
      <c r="D832" s="56"/>
      <c r="E832" s="36"/>
      <c r="F832" s="37"/>
    </row>
    <row r="833" ht="15.75" customHeight="1">
      <c r="A833" s="34"/>
      <c r="B833" s="34"/>
      <c r="C833" s="56"/>
      <c r="D833" s="56"/>
      <c r="E833" s="36"/>
      <c r="F833" s="37"/>
    </row>
    <row r="834" ht="15.75" customHeight="1">
      <c r="A834" s="34"/>
      <c r="B834" s="34"/>
      <c r="C834" s="56"/>
      <c r="D834" s="56"/>
      <c r="E834" s="36"/>
      <c r="F834" s="37"/>
    </row>
    <row r="835" ht="15.75" customHeight="1">
      <c r="A835" s="34"/>
      <c r="B835" s="34"/>
      <c r="C835" s="56"/>
      <c r="D835" s="56"/>
      <c r="E835" s="36"/>
      <c r="F835" s="37"/>
    </row>
    <row r="836" ht="15.75" customHeight="1">
      <c r="A836" s="34"/>
      <c r="B836" s="34"/>
      <c r="C836" s="56"/>
      <c r="D836" s="56"/>
      <c r="E836" s="36"/>
      <c r="F836" s="37"/>
    </row>
    <row r="837" ht="15.75" customHeight="1">
      <c r="A837" s="34"/>
      <c r="B837" s="34"/>
      <c r="C837" s="56"/>
      <c r="D837" s="56"/>
      <c r="E837" s="36"/>
      <c r="F837" s="37"/>
    </row>
    <row r="838" ht="15.75" customHeight="1">
      <c r="A838" s="34"/>
      <c r="B838" s="34"/>
      <c r="C838" s="56"/>
      <c r="D838" s="56"/>
      <c r="E838" s="36"/>
      <c r="F838" s="37"/>
    </row>
    <row r="839" ht="15.75" customHeight="1">
      <c r="A839" s="34"/>
      <c r="B839" s="34"/>
      <c r="C839" s="56"/>
      <c r="D839" s="56"/>
      <c r="E839" s="36"/>
      <c r="F839" s="37"/>
    </row>
    <row r="840" ht="15.75" customHeight="1">
      <c r="A840" s="34"/>
      <c r="B840" s="34"/>
      <c r="C840" s="56"/>
      <c r="D840" s="56"/>
      <c r="E840" s="36"/>
      <c r="F840" s="37"/>
    </row>
    <row r="841" ht="15.75" customHeight="1">
      <c r="A841" s="34"/>
      <c r="B841" s="34"/>
      <c r="C841" s="56"/>
      <c r="D841" s="56"/>
      <c r="E841" s="36"/>
      <c r="F841" s="37"/>
    </row>
    <row r="842" ht="15.75" customHeight="1">
      <c r="A842" s="34"/>
      <c r="B842" s="34"/>
      <c r="C842" s="56"/>
      <c r="D842" s="56"/>
      <c r="E842" s="36"/>
      <c r="F842" s="37"/>
    </row>
    <row r="843" ht="15.75" customHeight="1">
      <c r="A843" s="34"/>
      <c r="B843" s="34"/>
      <c r="C843" s="56"/>
      <c r="D843" s="56"/>
      <c r="E843" s="36"/>
      <c r="F843" s="37"/>
    </row>
    <row r="844" ht="15.75" customHeight="1">
      <c r="A844" s="34"/>
      <c r="B844" s="34"/>
      <c r="C844" s="56"/>
      <c r="D844" s="56"/>
      <c r="E844" s="36"/>
      <c r="F844" s="37"/>
    </row>
    <row r="845" ht="15.75" customHeight="1">
      <c r="A845" s="34"/>
      <c r="B845" s="34"/>
      <c r="C845" s="56"/>
      <c r="D845" s="56"/>
      <c r="E845" s="36"/>
      <c r="F845" s="37"/>
    </row>
    <row r="846" ht="15.75" customHeight="1">
      <c r="A846" s="34"/>
      <c r="B846" s="34"/>
      <c r="C846" s="56"/>
      <c r="D846" s="56"/>
      <c r="E846" s="36"/>
      <c r="F846" s="37"/>
    </row>
    <row r="847" ht="15.75" customHeight="1">
      <c r="A847" s="34"/>
      <c r="B847" s="34"/>
      <c r="C847" s="56"/>
      <c r="D847" s="56"/>
      <c r="E847" s="36"/>
      <c r="F847" s="37"/>
    </row>
    <row r="848" ht="15.75" customHeight="1">
      <c r="A848" s="34"/>
      <c r="B848" s="34"/>
      <c r="C848" s="56"/>
      <c r="D848" s="56"/>
      <c r="E848" s="36"/>
      <c r="F848" s="37"/>
    </row>
    <row r="849" ht="15.75" customHeight="1">
      <c r="A849" s="34"/>
      <c r="B849" s="34"/>
      <c r="C849" s="56"/>
      <c r="D849" s="56"/>
      <c r="E849" s="36"/>
      <c r="F849" s="37"/>
    </row>
    <row r="850" ht="15.75" customHeight="1">
      <c r="A850" s="34"/>
      <c r="B850" s="34"/>
      <c r="C850" s="56"/>
      <c r="D850" s="56"/>
      <c r="E850" s="36"/>
      <c r="F850" s="37"/>
    </row>
    <row r="851" ht="15.75" customHeight="1">
      <c r="A851" s="34"/>
      <c r="B851" s="34"/>
      <c r="C851" s="56"/>
      <c r="D851" s="56"/>
      <c r="E851" s="36"/>
      <c r="F851" s="37"/>
    </row>
    <row r="852" ht="15.75" customHeight="1">
      <c r="A852" s="34"/>
      <c r="B852" s="34"/>
      <c r="C852" s="56"/>
      <c r="D852" s="56"/>
      <c r="E852" s="36"/>
      <c r="F852" s="37"/>
    </row>
    <row r="853" ht="15.75" customHeight="1">
      <c r="A853" s="34"/>
      <c r="B853" s="34"/>
      <c r="C853" s="56"/>
      <c r="D853" s="56"/>
      <c r="E853" s="36"/>
      <c r="F853" s="37"/>
    </row>
    <row r="854" ht="15.75" customHeight="1">
      <c r="A854" s="34"/>
      <c r="B854" s="34"/>
      <c r="C854" s="56"/>
      <c r="D854" s="56"/>
      <c r="E854" s="36"/>
      <c r="F854" s="37"/>
    </row>
    <row r="855" ht="15.75" customHeight="1">
      <c r="A855" s="34"/>
      <c r="B855" s="34"/>
      <c r="C855" s="56"/>
      <c r="D855" s="56"/>
      <c r="E855" s="36"/>
      <c r="F855" s="37"/>
    </row>
    <row r="856" ht="15.75" customHeight="1">
      <c r="A856" s="34"/>
      <c r="B856" s="34"/>
      <c r="C856" s="56"/>
      <c r="D856" s="56"/>
      <c r="E856" s="36"/>
      <c r="F856" s="37"/>
    </row>
    <row r="857" ht="15.75" customHeight="1">
      <c r="A857" s="34"/>
      <c r="B857" s="34"/>
      <c r="C857" s="56"/>
      <c r="D857" s="56"/>
      <c r="E857" s="36"/>
      <c r="F857" s="37"/>
    </row>
    <row r="858" ht="15.75" customHeight="1">
      <c r="A858" s="34"/>
      <c r="B858" s="34"/>
      <c r="C858" s="56"/>
      <c r="D858" s="56"/>
      <c r="E858" s="36"/>
      <c r="F858" s="37"/>
    </row>
    <row r="859" ht="15.75" customHeight="1">
      <c r="A859" s="34"/>
      <c r="B859" s="34"/>
      <c r="C859" s="56"/>
      <c r="D859" s="56"/>
      <c r="E859" s="36"/>
      <c r="F859" s="37"/>
    </row>
    <row r="860" ht="15.75" customHeight="1">
      <c r="A860" s="34"/>
      <c r="B860" s="34"/>
      <c r="C860" s="56"/>
      <c r="D860" s="56"/>
      <c r="E860" s="36"/>
      <c r="F860" s="37"/>
    </row>
    <row r="861" ht="15.75" customHeight="1">
      <c r="A861" s="34"/>
      <c r="B861" s="34"/>
      <c r="C861" s="56"/>
      <c r="D861" s="56"/>
      <c r="E861" s="36"/>
      <c r="F861" s="37"/>
    </row>
    <row r="862" ht="15.75" customHeight="1">
      <c r="A862" s="34"/>
      <c r="B862" s="34"/>
      <c r="C862" s="56"/>
      <c r="D862" s="56"/>
      <c r="E862" s="36"/>
      <c r="F862" s="37"/>
    </row>
    <row r="863" ht="15.75" customHeight="1">
      <c r="A863" s="34"/>
      <c r="B863" s="34"/>
      <c r="C863" s="56"/>
      <c r="D863" s="56"/>
      <c r="E863" s="36"/>
      <c r="F863" s="37"/>
    </row>
    <row r="864" ht="15.75" customHeight="1">
      <c r="A864" s="34"/>
      <c r="B864" s="34"/>
      <c r="C864" s="56"/>
      <c r="D864" s="56"/>
      <c r="E864" s="36"/>
      <c r="F864" s="37"/>
    </row>
    <row r="865" ht="15.75" customHeight="1">
      <c r="A865" s="34"/>
      <c r="B865" s="34"/>
      <c r="C865" s="56"/>
      <c r="D865" s="56"/>
      <c r="E865" s="36"/>
      <c r="F865" s="37"/>
    </row>
    <row r="866" ht="15.75" customHeight="1">
      <c r="A866" s="34"/>
      <c r="B866" s="34"/>
      <c r="C866" s="56"/>
      <c r="D866" s="56"/>
      <c r="E866" s="36"/>
      <c r="F866" s="37"/>
    </row>
    <row r="867" ht="15.75" customHeight="1">
      <c r="A867" s="34"/>
      <c r="B867" s="34"/>
      <c r="C867" s="56"/>
      <c r="D867" s="56"/>
      <c r="E867" s="36"/>
      <c r="F867" s="37"/>
    </row>
    <row r="868" ht="15.75" customHeight="1">
      <c r="A868" s="34"/>
      <c r="B868" s="34"/>
      <c r="C868" s="56"/>
      <c r="D868" s="56"/>
      <c r="E868" s="36"/>
      <c r="F868" s="37"/>
    </row>
    <row r="869" ht="15.75" customHeight="1">
      <c r="A869" s="34"/>
      <c r="B869" s="34"/>
      <c r="C869" s="56"/>
      <c r="D869" s="56"/>
      <c r="E869" s="36"/>
      <c r="F869" s="37"/>
    </row>
    <row r="870" ht="15.75" customHeight="1">
      <c r="A870" s="34"/>
      <c r="B870" s="34"/>
      <c r="C870" s="56"/>
      <c r="D870" s="56"/>
      <c r="E870" s="36"/>
      <c r="F870" s="37"/>
    </row>
    <row r="871" ht="15.75" customHeight="1">
      <c r="A871" s="34"/>
      <c r="B871" s="34"/>
      <c r="C871" s="56"/>
      <c r="D871" s="56"/>
      <c r="E871" s="36"/>
      <c r="F871" s="37"/>
    </row>
    <row r="872" ht="15.75" customHeight="1">
      <c r="A872" s="34"/>
      <c r="B872" s="34"/>
      <c r="C872" s="56"/>
      <c r="D872" s="56"/>
      <c r="E872" s="36"/>
      <c r="F872" s="37"/>
    </row>
    <row r="873" ht="15.75" customHeight="1">
      <c r="A873" s="34"/>
      <c r="B873" s="34"/>
      <c r="C873" s="56"/>
      <c r="D873" s="56"/>
      <c r="E873" s="36"/>
      <c r="F873" s="37"/>
    </row>
    <row r="874" ht="15.75" customHeight="1">
      <c r="A874" s="34"/>
      <c r="B874" s="34"/>
      <c r="C874" s="56"/>
      <c r="D874" s="56"/>
      <c r="E874" s="36"/>
      <c r="F874" s="37"/>
    </row>
    <row r="875" ht="15.75" customHeight="1">
      <c r="A875" s="34"/>
      <c r="B875" s="34"/>
      <c r="C875" s="56"/>
      <c r="D875" s="56"/>
      <c r="E875" s="36"/>
      <c r="F875" s="37"/>
    </row>
    <row r="876" ht="15.75" customHeight="1">
      <c r="A876" s="34"/>
      <c r="B876" s="34"/>
      <c r="C876" s="56"/>
      <c r="D876" s="56"/>
      <c r="E876" s="36"/>
      <c r="F876" s="37"/>
    </row>
    <row r="877" ht="15.75" customHeight="1">
      <c r="A877" s="34"/>
      <c r="B877" s="34"/>
      <c r="C877" s="56"/>
      <c r="D877" s="56"/>
      <c r="E877" s="36"/>
      <c r="F877" s="37"/>
    </row>
    <row r="878" ht="15.75" customHeight="1">
      <c r="A878" s="34"/>
      <c r="B878" s="34"/>
      <c r="C878" s="56"/>
      <c r="D878" s="56"/>
      <c r="E878" s="36"/>
      <c r="F878" s="37"/>
    </row>
    <row r="879" ht="15.75" customHeight="1">
      <c r="A879" s="34"/>
      <c r="B879" s="34"/>
      <c r="C879" s="56"/>
      <c r="D879" s="56"/>
      <c r="E879" s="36"/>
      <c r="F879" s="37"/>
    </row>
    <row r="880" ht="15.75" customHeight="1">
      <c r="A880" s="34"/>
      <c r="B880" s="34"/>
      <c r="C880" s="56"/>
      <c r="D880" s="56"/>
      <c r="E880" s="36"/>
      <c r="F880" s="37"/>
    </row>
    <row r="881" ht="15.75" customHeight="1">
      <c r="A881" s="34"/>
      <c r="B881" s="34"/>
      <c r="C881" s="56"/>
      <c r="D881" s="56"/>
      <c r="E881" s="36"/>
      <c r="F881" s="37"/>
    </row>
    <row r="882" ht="15.75" customHeight="1">
      <c r="A882" s="34"/>
      <c r="B882" s="34"/>
      <c r="C882" s="56"/>
      <c r="D882" s="56"/>
      <c r="E882" s="36"/>
      <c r="F882" s="37"/>
    </row>
    <row r="883" ht="15.75" customHeight="1">
      <c r="A883" s="34"/>
      <c r="B883" s="34"/>
      <c r="C883" s="56"/>
      <c r="D883" s="56"/>
      <c r="E883" s="36"/>
      <c r="F883" s="37"/>
    </row>
    <row r="884" ht="15.75" customHeight="1">
      <c r="A884" s="34"/>
      <c r="B884" s="34"/>
      <c r="C884" s="56"/>
      <c r="D884" s="56"/>
      <c r="E884" s="36"/>
      <c r="F884" s="37"/>
    </row>
    <row r="885" ht="15.75" customHeight="1">
      <c r="A885" s="34"/>
      <c r="B885" s="34"/>
      <c r="C885" s="56"/>
      <c r="D885" s="56"/>
      <c r="E885" s="36"/>
      <c r="F885" s="37"/>
    </row>
    <row r="886" ht="15.75" customHeight="1">
      <c r="A886" s="34"/>
      <c r="B886" s="34"/>
      <c r="C886" s="56"/>
      <c r="D886" s="56"/>
      <c r="E886" s="36"/>
      <c r="F886" s="37"/>
    </row>
    <row r="887" ht="15.75" customHeight="1">
      <c r="A887" s="34"/>
      <c r="B887" s="34"/>
      <c r="C887" s="56"/>
      <c r="D887" s="56"/>
      <c r="E887" s="36"/>
      <c r="F887" s="37"/>
    </row>
    <row r="888" ht="15.75" customHeight="1">
      <c r="A888" s="34"/>
      <c r="B888" s="34"/>
      <c r="C888" s="56"/>
      <c r="D888" s="56"/>
      <c r="E888" s="36"/>
      <c r="F888" s="37"/>
    </row>
    <row r="889" ht="15.75" customHeight="1">
      <c r="A889" s="34"/>
      <c r="B889" s="34"/>
      <c r="C889" s="56"/>
      <c r="D889" s="56"/>
      <c r="E889" s="36"/>
      <c r="F889" s="37"/>
    </row>
    <row r="890" ht="15.75" customHeight="1">
      <c r="A890" s="34"/>
      <c r="B890" s="34"/>
      <c r="C890" s="56"/>
      <c r="D890" s="56"/>
      <c r="E890" s="36"/>
      <c r="F890" s="37"/>
    </row>
    <row r="891" ht="15.75" customHeight="1">
      <c r="A891" s="34"/>
      <c r="B891" s="34"/>
      <c r="C891" s="56"/>
      <c r="D891" s="56"/>
      <c r="E891" s="36"/>
      <c r="F891" s="37"/>
    </row>
    <row r="892" ht="15.75" customHeight="1">
      <c r="A892" s="34"/>
      <c r="B892" s="34"/>
      <c r="C892" s="56"/>
      <c r="D892" s="56"/>
      <c r="E892" s="36"/>
      <c r="F892" s="37"/>
    </row>
    <row r="893" ht="15.75" customHeight="1">
      <c r="A893" s="34"/>
      <c r="B893" s="34"/>
      <c r="C893" s="56"/>
      <c r="D893" s="56"/>
      <c r="E893" s="36"/>
      <c r="F893" s="37"/>
    </row>
    <row r="894" ht="15.75" customHeight="1">
      <c r="A894" s="34"/>
      <c r="B894" s="34"/>
      <c r="C894" s="56"/>
      <c r="D894" s="56"/>
      <c r="E894" s="36"/>
      <c r="F894" s="37"/>
    </row>
    <row r="895" ht="15.75" customHeight="1">
      <c r="A895" s="34"/>
      <c r="B895" s="34"/>
      <c r="C895" s="56"/>
      <c r="D895" s="56"/>
      <c r="E895" s="36"/>
      <c r="F895" s="37"/>
    </row>
    <row r="896" ht="15.75" customHeight="1">
      <c r="A896" s="34"/>
      <c r="B896" s="34"/>
      <c r="C896" s="56"/>
      <c r="D896" s="56"/>
      <c r="E896" s="36"/>
      <c r="F896" s="37"/>
    </row>
    <row r="897" ht="15.75" customHeight="1">
      <c r="A897" s="34"/>
      <c r="B897" s="34"/>
      <c r="C897" s="56"/>
      <c r="D897" s="56"/>
      <c r="E897" s="36"/>
      <c r="F897" s="37"/>
    </row>
    <row r="898" ht="15.75" customHeight="1">
      <c r="A898" s="34"/>
      <c r="B898" s="34"/>
      <c r="C898" s="56"/>
      <c r="D898" s="56"/>
      <c r="E898" s="36"/>
      <c r="F898" s="37"/>
    </row>
    <row r="899" ht="15.75" customHeight="1">
      <c r="A899" s="34"/>
      <c r="B899" s="34"/>
      <c r="C899" s="56"/>
      <c r="D899" s="56"/>
      <c r="E899" s="36"/>
      <c r="F899" s="37"/>
    </row>
    <row r="900" ht="15.75" customHeight="1">
      <c r="A900" s="34"/>
      <c r="B900" s="34"/>
      <c r="C900" s="56"/>
      <c r="D900" s="56"/>
      <c r="E900" s="36"/>
      <c r="F900" s="37"/>
    </row>
    <row r="901" ht="15.75" customHeight="1">
      <c r="A901" s="34"/>
      <c r="B901" s="34"/>
      <c r="C901" s="56"/>
      <c r="D901" s="56"/>
      <c r="E901" s="36"/>
      <c r="F901" s="37"/>
    </row>
    <row r="902" ht="15.75" customHeight="1">
      <c r="A902" s="34"/>
      <c r="B902" s="34"/>
      <c r="C902" s="56"/>
      <c r="D902" s="56"/>
      <c r="E902" s="36"/>
      <c r="F902" s="37"/>
    </row>
    <row r="903" ht="15.75" customHeight="1">
      <c r="A903" s="34"/>
      <c r="B903" s="34"/>
      <c r="C903" s="56"/>
      <c r="D903" s="56"/>
      <c r="E903" s="36"/>
      <c r="F903" s="37"/>
    </row>
    <row r="904" ht="15.75" customHeight="1">
      <c r="A904" s="34"/>
      <c r="B904" s="34"/>
      <c r="C904" s="56"/>
      <c r="D904" s="56"/>
      <c r="E904" s="36"/>
      <c r="F904" s="37"/>
    </row>
    <row r="905" ht="15.75" customHeight="1">
      <c r="A905" s="34"/>
      <c r="B905" s="34"/>
      <c r="C905" s="56"/>
      <c r="D905" s="56"/>
      <c r="E905" s="36"/>
      <c r="F905" s="37"/>
    </row>
    <row r="906" ht="15.75" customHeight="1">
      <c r="A906" s="34"/>
      <c r="B906" s="34"/>
      <c r="C906" s="56"/>
      <c r="D906" s="56"/>
      <c r="E906" s="36"/>
      <c r="F906" s="37"/>
    </row>
    <row r="907" ht="15.75" customHeight="1">
      <c r="A907" s="34"/>
      <c r="B907" s="34"/>
      <c r="C907" s="56"/>
      <c r="D907" s="56"/>
      <c r="E907" s="36"/>
      <c r="F907" s="37"/>
    </row>
    <row r="908" ht="15.75" customHeight="1">
      <c r="A908" s="34"/>
      <c r="B908" s="34"/>
      <c r="C908" s="56"/>
      <c r="D908" s="56"/>
      <c r="E908" s="36"/>
      <c r="F908" s="37"/>
    </row>
    <row r="909" ht="15.75" customHeight="1">
      <c r="A909" s="34"/>
      <c r="B909" s="34"/>
      <c r="C909" s="56"/>
      <c r="D909" s="56"/>
      <c r="E909" s="36"/>
      <c r="F909" s="37"/>
    </row>
    <row r="910" ht="15.75" customHeight="1">
      <c r="A910" s="34"/>
      <c r="B910" s="34"/>
      <c r="C910" s="56"/>
      <c r="D910" s="56"/>
      <c r="E910" s="36"/>
      <c r="F910" s="37"/>
    </row>
    <row r="911" ht="15.75" customHeight="1">
      <c r="A911" s="34"/>
      <c r="B911" s="34"/>
      <c r="C911" s="56"/>
      <c r="D911" s="56"/>
      <c r="E911" s="36"/>
      <c r="F911" s="37"/>
    </row>
    <row r="912" ht="15.75" customHeight="1">
      <c r="A912" s="34"/>
      <c r="B912" s="34"/>
      <c r="C912" s="56"/>
      <c r="D912" s="56"/>
      <c r="E912" s="36"/>
      <c r="F912" s="37"/>
    </row>
    <row r="913" ht="15.75" customHeight="1">
      <c r="A913" s="34"/>
      <c r="B913" s="34"/>
      <c r="C913" s="56"/>
      <c r="D913" s="56"/>
      <c r="E913" s="36"/>
      <c r="F913" s="37"/>
    </row>
    <row r="914" ht="15.75" customHeight="1">
      <c r="A914" s="34"/>
      <c r="B914" s="34"/>
      <c r="C914" s="56"/>
      <c r="D914" s="56"/>
      <c r="E914" s="36"/>
      <c r="F914" s="37"/>
    </row>
    <row r="915" ht="15.75" customHeight="1">
      <c r="A915" s="34"/>
      <c r="B915" s="34"/>
      <c r="C915" s="56"/>
      <c r="D915" s="56"/>
      <c r="E915" s="36"/>
      <c r="F915" s="37"/>
    </row>
    <row r="916" ht="15.75" customHeight="1">
      <c r="A916" s="34"/>
      <c r="B916" s="34"/>
      <c r="C916" s="56"/>
      <c r="D916" s="56"/>
      <c r="E916" s="36"/>
      <c r="F916" s="37"/>
    </row>
    <row r="917" ht="15.75" customHeight="1">
      <c r="A917" s="34"/>
      <c r="B917" s="34"/>
      <c r="C917" s="56"/>
      <c r="D917" s="56"/>
      <c r="E917" s="36"/>
      <c r="F917" s="37"/>
    </row>
    <row r="918" ht="15.75" customHeight="1">
      <c r="A918" s="34"/>
      <c r="B918" s="34"/>
      <c r="C918" s="56"/>
      <c r="D918" s="56"/>
      <c r="E918" s="36"/>
      <c r="F918" s="37"/>
    </row>
    <row r="919" ht="15.75" customHeight="1">
      <c r="A919" s="34"/>
      <c r="B919" s="34"/>
      <c r="C919" s="56"/>
      <c r="D919" s="56"/>
      <c r="E919" s="36"/>
      <c r="F919" s="37"/>
    </row>
    <row r="920" ht="15.75" customHeight="1">
      <c r="A920" s="34"/>
      <c r="B920" s="34"/>
      <c r="C920" s="56"/>
      <c r="D920" s="56"/>
      <c r="E920" s="36"/>
      <c r="F920" s="37"/>
    </row>
    <row r="921" ht="15.75" customHeight="1">
      <c r="A921" s="34"/>
      <c r="B921" s="34"/>
      <c r="C921" s="56"/>
      <c r="D921" s="56"/>
      <c r="E921" s="36"/>
      <c r="F921" s="37"/>
    </row>
    <row r="922" ht="15.75" customHeight="1">
      <c r="A922" s="34"/>
      <c r="B922" s="34"/>
      <c r="C922" s="56"/>
      <c r="D922" s="56"/>
      <c r="E922" s="36"/>
      <c r="F922" s="37"/>
    </row>
    <row r="923" ht="15.75" customHeight="1">
      <c r="A923" s="34"/>
      <c r="B923" s="34"/>
      <c r="C923" s="56"/>
      <c r="D923" s="56"/>
      <c r="E923" s="36"/>
      <c r="F923" s="37"/>
    </row>
    <row r="924" ht="15.75" customHeight="1">
      <c r="A924" s="34"/>
      <c r="B924" s="34"/>
      <c r="C924" s="56"/>
      <c r="D924" s="56"/>
      <c r="E924" s="36"/>
      <c r="F924" s="37"/>
    </row>
    <row r="925" ht="15.75" customHeight="1">
      <c r="A925" s="34"/>
      <c r="B925" s="34"/>
      <c r="C925" s="56"/>
      <c r="D925" s="56"/>
      <c r="E925" s="36"/>
      <c r="F925" s="37"/>
    </row>
    <row r="926" ht="15.75" customHeight="1">
      <c r="A926" s="34"/>
      <c r="B926" s="34"/>
      <c r="C926" s="56"/>
      <c r="D926" s="56"/>
      <c r="E926" s="36"/>
      <c r="F926" s="37"/>
    </row>
    <row r="927" ht="15.75" customHeight="1">
      <c r="A927" s="34"/>
      <c r="B927" s="34"/>
      <c r="C927" s="56"/>
      <c r="D927" s="56"/>
      <c r="E927" s="36"/>
      <c r="F927" s="37"/>
    </row>
    <row r="928" ht="15.75" customHeight="1">
      <c r="A928" s="34"/>
      <c r="B928" s="34"/>
      <c r="C928" s="56"/>
      <c r="D928" s="56"/>
      <c r="E928" s="36"/>
      <c r="F928" s="37"/>
    </row>
    <row r="929" ht="15.75" customHeight="1">
      <c r="A929" s="34"/>
      <c r="B929" s="34"/>
      <c r="C929" s="56"/>
      <c r="D929" s="56"/>
      <c r="E929" s="36"/>
      <c r="F929" s="37"/>
    </row>
    <row r="930" ht="15.75" customHeight="1">
      <c r="A930" s="34"/>
      <c r="B930" s="34"/>
      <c r="C930" s="56"/>
      <c r="D930" s="56"/>
      <c r="E930" s="36"/>
      <c r="F930" s="37"/>
    </row>
    <row r="931" ht="15.75" customHeight="1">
      <c r="A931" s="34"/>
      <c r="B931" s="34"/>
      <c r="C931" s="56"/>
      <c r="D931" s="56"/>
      <c r="E931" s="36"/>
      <c r="F931" s="37"/>
    </row>
    <row r="932" ht="15.75" customHeight="1">
      <c r="A932" s="34"/>
      <c r="B932" s="34"/>
      <c r="C932" s="56"/>
      <c r="D932" s="56"/>
      <c r="E932" s="36"/>
      <c r="F932" s="37"/>
    </row>
    <row r="933" ht="15.75" customHeight="1">
      <c r="A933" s="34"/>
      <c r="B933" s="34"/>
      <c r="C933" s="56"/>
      <c r="D933" s="56"/>
      <c r="E933" s="36"/>
      <c r="F933" s="37"/>
    </row>
    <row r="934" ht="15.75" customHeight="1">
      <c r="A934" s="34"/>
      <c r="B934" s="34"/>
      <c r="C934" s="56"/>
      <c r="D934" s="56"/>
      <c r="E934" s="36"/>
      <c r="F934" s="37"/>
    </row>
    <row r="935" ht="15.75" customHeight="1">
      <c r="A935" s="34"/>
      <c r="B935" s="34"/>
      <c r="C935" s="56"/>
      <c r="D935" s="56"/>
      <c r="E935" s="36"/>
      <c r="F935" s="37"/>
    </row>
    <row r="936" ht="15.75" customHeight="1">
      <c r="A936" s="34"/>
      <c r="B936" s="34"/>
      <c r="C936" s="56"/>
      <c r="D936" s="56"/>
      <c r="E936" s="36"/>
      <c r="F936" s="37"/>
    </row>
    <row r="937" ht="15.75" customHeight="1">
      <c r="A937" s="34"/>
      <c r="B937" s="34"/>
      <c r="C937" s="56"/>
      <c r="D937" s="56"/>
      <c r="E937" s="36"/>
      <c r="F937" s="37"/>
    </row>
    <row r="938" ht="15.75" customHeight="1">
      <c r="A938" s="34"/>
      <c r="B938" s="34"/>
      <c r="C938" s="56"/>
      <c r="D938" s="56"/>
      <c r="E938" s="36"/>
      <c r="F938" s="37"/>
    </row>
    <row r="939" ht="15.75" customHeight="1">
      <c r="A939" s="34"/>
      <c r="B939" s="34"/>
      <c r="C939" s="56"/>
      <c r="D939" s="56"/>
      <c r="E939" s="36"/>
      <c r="F939" s="37"/>
    </row>
    <row r="940" ht="15.75" customHeight="1">
      <c r="A940" s="34"/>
      <c r="B940" s="34"/>
      <c r="C940" s="56"/>
      <c r="D940" s="56"/>
      <c r="E940" s="36"/>
      <c r="F940" s="37"/>
    </row>
    <row r="941" ht="15.75" customHeight="1">
      <c r="A941" s="34"/>
      <c r="B941" s="34"/>
      <c r="C941" s="56"/>
      <c r="D941" s="56"/>
      <c r="E941" s="36"/>
      <c r="F941" s="37"/>
    </row>
    <row r="942" ht="15.75" customHeight="1">
      <c r="A942" s="34"/>
      <c r="B942" s="34"/>
      <c r="C942" s="56"/>
      <c r="D942" s="56"/>
      <c r="E942" s="36"/>
      <c r="F942" s="37"/>
    </row>
    <row r="943" ht="15.75" customHeight="1">
      <c r="A943" s="34"/>
      <c r="B943" s="34"/>
      <c r="C943" s="56"/>
      <c r="D943" s="56"/>
      <c r="E943" s="36"/>
      <c r="F943" s="37"/>
    </row>
    <row r="944" ht="15.75" customHeight="1">
      <c r="A944" s="34"/>
      <c r="B944" s="34"/>
      <c r="C944" s="56"/>
      <c r="D944" s="56"/>
      <c r="E944" s="36"/>
      <c r="F944" s="37"/>
    </row>
    <row r="945" ht="15.75" customHeight="1">
      <c r="A945" s="34"/>
      <c r="B945" s="34"/>
      <c r="C945" s="56"/>
      <c r="D945" s="56"/>
      <c r="E945" s="36"/>
      <c r="F945" s="37"/>
    </row>
    <row r="946" ht="15.75" customHeight="1">
      <c r="A946" s="34"/>
      <c r="B946" s="34"/>
      <c r="C946" s="56"/>
      <c r="D946" s="56"/>
      <c r="E946" s="36"/>
      <c r="F946" s="37"/>
    </row>
    <row r="947" ht="15.75" customHeight="1">
      <c r="A947" s="34"/>
      <c r="B947" s="34"/>
      <c r="C947" s="56"/>
      <c r="D947" s="56"/>
      <c r="E947" s="36"/>
      <c r="F947" s="37"/>
    </row>
    <row r="948" ht="15.75" customHeight="1">
      <c r="A948" s="34"/>
      <c r="B948" s="34"/>
      <c r="C948" s="56"/>
      <c r="D948" s="56"/>
      <c r="E948" s="36"/>
      <c r="F948" s="37"/>
    </row>
    <row r="949" ht="15.75" customHeight="1">
      <c r="A949" s="34"/>
      <c r="B949" s="34"/>
      <c r="C949" s="56"/>
      <c r="D949" s="56"/>
      <c r="E949" s="36"/>
      <c r="F949" s="37"/>
    </row>
    <row r="950" ht="15.75" customHeight="1">
      <c r="A950" s="34"/>
      <c r="B950" s="34"/>
      <c r="C950" s="56"/>
      <c r="D950" s="56"/>
      <c r="E950" s="36"/>
      <c r="F950" s="37"/>
    </row>
    <row r="951" ht="15.75" customHeight="1">
      <c r="A951" s="34"/>
      <c r="B951" s="34"/>
      <c r="C951" s="56"/>
      <c r="D951" s="56"/>
      <c r="E951" s="36"/>
      <c r="F951" s="37"/>
    </row>
    <row r="952" ht="15.75" customHeight="1">
      <c r="A952" s="34"/>
      <c r="B952" s="34"/>
      <c r="C952" s="56"/>
      <c r="D952" s="56"/>
      <c r="E952" s="36"/>
      <c r="F952" s="37"/>
    </row>
    <row r="953" ht="15.75" customHeight="1">
      <c r="A953" s="34"/>
      <c r="B953" s="34"/>
      <c r="C953" s="56"/>
      <c r="D953" s="56"/>
      <c r="E953" s="36"/>
      <c r="F953" s="37"/>
    </row>
    <row r="954" ht="15.75" customHeight="1">
      <c r="A954" s="34"/>
      <c r="B954" s="34"/>
      <c r="C954" s="56"/>
      <c r="D954" s="56"/>
      <c r="E954" s="36"/>
      <c r="F954" s="37"/>
    </row>
    <row r="955" ht="15.75" customHeight="1">
      <c r="A955" s="34"/>
      <c r="B955" s="34"/>
      <c r="C955" s="56"/>
      <c r="D955" s="56"/>
      <c r="E955" s="36"/>
      <c r="F955" s="37"/>
    </row>
    <row r="956" ht="15.75" customHeight="1">
      <c r="A956" s="34"/>
      <c r="B956" s="34"/>
      <c r="C956" s="56"/>
      <c r="D956" s="56"/>
      <c r="E956" s="36"/>
      <c r="F956" s="37"/>
    </row>
    <row r="957" ht="15.75" customHeight="1">
      <c r="A957" s="34"/>
      <c r="B957" s="34"/>
      <c r="C957" s="56"/>
      <c r="D957" s="56"/>
      <c r="E957" s="36"/>
      <c r="F957" s="37"/>
    </row>
    <row r="958" ht="15.75" customHeight="1">
      <c r="A958" s="34"/>
      <c r="B958" s="34"/>
      <c r="C958" s="56"/>
      <c r="D958" s="56"/>
      <c r="E958" s="36"/>
      <c r="F958" s="37"/>
    </row>
    <row r="959" ht="15.75" customHeight="1">
      <c r="A959" s="34"/>
      <c r="B959" s="34"/>
      <c r="C959" s="56"/>
      <c r="D959" s="56"/>
      <c r="E959" s="36"/>
      <c r="F959" s="37"/>
    </row>
    <row r="960" ht="15.75" customHeight="1">
      <c r="A960" s="34"/>
      <c r="B960" s="34"/>
      <c r="C960" s="56"/>
      <c r="D960" s="56"/>
      <c r="E960" s="36"/>
      <c r="F960" s="37"/>
    </row>
    <row r="961" ht="15.75" customHeight="1">
      <c r="A961" s="34"/>
      <c r="B961" s="34"/>
      <c r="C961" s="56"/>
      <c r="D961" s="56"/>
      <c r="E961" s="36"/>
      <c r="F961" s="37"/>
    </row>
    <row r="962" ht="15.75" customHeight="1">
      <c r="A962" s="34"/>
      <c r="B962" s="34"/>
      <c r="C962" s="56"/>
      <c r="D962" s="56"/>
      <c r="E962" s="36"/>
      <c r="F962" s="37"/>
    </row>
    <row r="963" ht="15.75" customHeight="1">
      <c r="A963" s="34"/>
      <c r="B963" s="34"/>
      <c r="C963" s="56"/>
      <c r="D963" s="56"/>
      <c r="E963" s="36"/>
      <c r="F963" s="37"/>
    </row>
    <row r="964" ht="15.75" customHeight="1">
      <c r="A964" s="34"/>
      <c r="B964" s="34"/>
      <c r="C964" s="56"/>
      <c r="D964" s="56"/>
      <c r="E964" s="36"/>
      <c r="F964" s="37"/>
    </row>
    <row r="965" ht="15.75" customHeight="1">
      <c r="A965" s="34"/>
      <c r="B965" s="34"/>
      <c r="C965" s="56"/>
      <c r="D965" s="56"/>
      <c r="E965" s="36"/>
      <c r="F965" s="37"/>
    </row>
    <row r="966" ht="15.75" customHeight="1">
      <c r="A966" s="34"/>
      <c r="B966" s="34"/>
      <c r="C966" s="56"/>
      <c r="D966" s="56"/>
      <c r="E966" s="36"/>
      <c r="F966" s="37"/>
    </row>
    <row r="967" ht="15.75" customHeight="1">
      <c r="A967" s="34"/>
      <c r="B967" s="34"/>
      <c r="C967" s="56"/>
      <c r="D967" s="56"/>
      <c r="E967" s="36"/>
      <c r="F967" s="37"/>
    </row>
    <row r="968" ht="15.75" customHeight="1">
      <c r="A968" s="34"/>
      <c r="B968" s="34"/>
      <c r="C968" s="56"/>
      <c r="D968" s="56"/>
      <c r="E968" s="36"/>
      <c r="F968" s="37"/>
    </row>
    <row r="969" ht="15.75" customHeight="1">
      <c r="A969" s="34"/>
      <c r="B969" s="34"/>
      <c r="C969" s="56"/>
      <c r="D969" s="56"/>
      <c r="E969" s="36"/>
      <c r="F969" s="37"/>
    </row>
    <row r="970" ht="15.75" customHeight="1">
      <c r="A970" s="34"/>
      <c r="B970" s="34"/>
      <c r="C970" s="56"/>
      <c r="D970" s="56"/>
      <c r="E970" s="36"/>
      <c r="F970" s="37"/>
    </row>
    <row r="971" ht="15.75" customHeight="1">
      <c r="A971" s="34"/>
      <c r="B971" s="34"/>
      <c r="C971" s="56"/>
      <c r="D971" s="56"/>
      <c r="E971" s="36"/>
      <c r="F971" s="37"/>
    </row>
    <row r="972" ht="15.75" customHeight="1">
      <c r="A972" s="34"/>
      <c r="B972" s="34"/>
      <c r="C972" s="56"/>
      <c r="D972" s="56"/>
      <c r="E972" s="36"/>
      <c r="F972" s="37"/>
    </row>
    <row r="973" ht="15.75" customHeight="1">
      <c r="A973" s="34"/>
      <c r="B973" s="34"/>
      <c r="C973" s="56"/>
      <c r="D973" s="56"/>
      <c r="E973" s="36"/>
      <c r="F973" s="37"/>
    </row>
    <row r="974" ht="15.75" customHeight="1">
      <c r="A974" s="34"/>
      <c r="B974" s="34"/>
      <c r="C974" s="56"/>
      <c r="D974" s="56"/>
      <c r="E974" s="36"/>
      <c r="F974" s="37"/>
    </row>
    <row r="975" ht="15.75" customHeight="1">
      <c r="A975" s="34"/>
      <c r="B975" s="34"/>
      <c r="C975" s="56"/>
      <c r="D975" s="56"/>
      <c r="E975" s="36"/>
      <c r="F975" s="37"/>
    </row>
    <row r="976" ht="15.75" customHeight="1">
      <c r="A976" s="34"/>
      <c r="B976" s="34"/>
      <c r="C976" s="56"/>
      <c r="D976" s="56"/>
      <c r="E976" s="36"/>
      <c r="F976" s="37"/>
    </row>
    <row r="977" ht="15.75" customHeight="1">
      <c r="A977" s="34"/>
      <c r="B977" s="34"/>
      <c r="C977" s="56"/>
      <c r="D977" s="56"/>
      <c r="E977" s="36"/>
      <c r="F977" s="37"/>
    </row>
    <row r="978" ht="15.75" customHeight="1">
      <c r="A978" s="34"/>
      <c r="B978" s="34"/>
      <c r="C978" s="56"/>
      <c r="D978" s="56"/>
      <c r="E978" s="36"/>
      <c r="F978" s="37"/>
    </row>
    <row r="979" ht="15.75" customHeight="1">
      <c r="A979" s="34"/>
      <c r="B979" s="34"/>
      <c r="C979" s="56"/>
      <c r="D979" s="56"/>
      <c r="E979" s="36"/>
      <c r="F979" s="37"/>
    </row>
    <row r="980" ht="15.75" customHeight="1">
      <c r="A980" s="34"/>
      <c r="B980" s="34"/>
      <c r="C980" s="56"/>
      <c r="D980" s="56"/>
      <c r="E980" s="36"/>
      <c r="F980" s="37"/>
    </row>
    <row r="981" ht="15.75" customHeight="1">
      <c r="A981" s="34"/>
      <c r="B981" s="34"/>
      <c r="C981" s="56"/>
      <c r="D981" s="56"/>
      <c r="E981" s="36"/>
      <c r="F981" s="37"/>
    </row>
    <row r="982" ht="15.75" customHeight="1">
      <c r="A982" s="34"/>
      <c r="B982" s="34"/>
      <c r="C982" s="56"/>
      <c r="D982" s="56"/>
      <c r="E982" s="36"/>
      <c r="F982" s="37"/>
    </row>
    <row r="983" ht="15.75" customHeight="1">
      <c r="A983" s="34"/>
      <c r="B983" s="34"/>
      <c r="C983" s="56"/>
      <c r="D983" s="56"/>
      <c r="E983" s="36"/>
      <c r="F983" s="37"/>
    </row>
    <row r="984" ht="15.75" customHeight="1">
      <c r="A984" s="34"/>
      <c r="B984" s="34"/>
      <c r="C984" s="56"/>
      <c r="D984" s="56"/>
      <c r="E984" s="36"/>
      <c r="F984" s="37"/>
    </row>
    <row r="985" ht="15.75" customHeight="1">
      <c r="A985" s="34"/>
      <c r="B985" s="34"/>
      <c r="C985" s="56"/>
      <c r="D985" s="56"/>
      <c r="E985" s="36"/>
      <c r="F985" s="37"/>
    </row>
    <row r="986" ht="15.75" customHeight="1">
      <c r="A986" s="34"/>
      <c r="B986" s="34"/>
      <c r="C986" s="56"/>
      <c r="D986" s="56"/>
      <c r="E986" s="36"/>
      <c r="F986" s="37"/>
    </row>
    <row r="987" ht="15.75" customHeight="1">
      <c r="A987" s="34"/>
      <c r="B987" s="34"/>
      <c r="C987" s="56"/>
      <c r="D987" s="56"/>
      <c r="E987" s="36"/>
      <c r="F987" s="37"/>
    </row>
    <row r="988" ht="15.75" customHeight="1">
      <c r="A988" s="34"/>
      <c r="B988" s="34"/>
      <c r="C988" s="56"/>
      <c r="D988" s="56"/>
      <c r="E988" s="36"/>
      <c r="F988" s="37"/>
    </row>
    <row r="989" ht="15.75" customHeight="1">
      <c r="A989" s="34"/>
      <c r="B989" s="34"/>
      <c r="C989" s="56"/>
      <c r="D989" s="56"/>
      <c r="E989" s="36"/>
      <c r="F989" s="37"/>
    </row>
    <row r="990" ht="15.75" customHeight="1">
      <c r="A990" s="34"/>
      <c r="B990" s="34"/>
      <c r="C990" s="56"/>
      <c r="D990" s="56"/>
      <c r="E990" s="36"/>
      <c r="F990" s="37"/>
    </row>
    <row r="991" ht="15.75" customHeight="1">
      <c r="A991" s="34"/>
      <c r="B991" s="34"/>
      <c r="C991" s="56"/>
      <c r="D991" s="56"/>
      <c r="E991" s="36"/>
      <c r="F991" s="37"/>
    </row>
    <row r="992" ht="15.75" customHeight="1">
      <c r="A992" s="34"/>
      <c r="B992" s="34"/>
      <c r="C992" s="56"/>
      <c r="D992" s="56"/>
      <c r="E992" s="36"/>
      <c r="F992" s="37"/>
    </row>
    <row r="993" ht="15.75" customHeight="1">
      <c r="A993" s="34"/>
      <c r="B993" s="34"/>
      <c r="C993" s="56"/>
      <c r="D993" s="56"/>
      <c r="E993" s="36"/>
      <c r="F993" s="37"/>
    </row>
    <row r="994" ht="15.75" customHeight="1">
      <c r="A994" s="34"/>
      <c r="B994" s="34"/>
      <c r="C994" s="56"/>
      <c r="D994" s="56"/>
      <c r="E994" s="36"/>
      <c r="F994" s="37"/>
    </row>
    <row r="995" ht="15.75" customHeight="1">
      <c r="A995" s="34"/>
      <c r="B995" s="34"/>
      <c r="C995" s="56"/>
      <c r="D995" s="56"/>
      <c r="E995" s="36"/>
      <c r="F995" s="37"/>
    </row>
    <row r="996" ht="15.75" customHeight="1">
      <c r="A996" s="34"/>
      <c r="B996" s="34"/>
      <c r="C996" s="56"/>
      <c r="D996" s="56"/>
      <c r="E996" s="36"/>
      <c r="F996" s="37"/>
    </row>
    <row r="997" ht="15.75" customHeight="1">
      <c r="A997" s="34"/>
      <c r="B997" s="34"/>
      <c r="C997" s="56"/>
      <c r="D997" s="56"/>
      <c r="E997" s="36"/>
      <c r="F997" s="37"/>
    </row>
    <row r="998" ht="15.75" customHeight="1">
      <c r="A998" s="34"/>
      <c r="B998" s="34"/>
      <c r="C998" s="56"/>
      <c r="D998" s="56"/>
      <c r="E998" s="36"/>
      <c r="F998" s="37"/>
    </row>
    <row r="999" ht="15.75" customHeight="1">
      <c r="A999" s="34"/>
      <c r="B999" s="34"/>
      <c r="C999" s="56"/>
      <c r="D999" s="56"/>
      <c r="E999" s="36"/>
      <c r="F999" s="37"/>
    </row>
    <row r="1000" ht="15.75" customHeight="1">
      <c r="A1000" s="34"/>
      <c r="B1000" s="34"/>
      <c r="C1000" s="56"/>
      <c r="D1000" s="56"/>
      <c r="E1000" s="36"/>
      <c r="F1000" s="37"/>
    </row>
  </sheetData>
  <autoFilter ref="$A$1:$G$81">
    <sortState ref="A1:G81">
      <sortCondition descending="1" ref="F1:F81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33.86"/>
    <col customWidth="1" min="3" max="4" width="12.71"/>
    <col customWidth="1" min="5" max="5" width="21.71"/>
    <col customWidth="1" min="6" max="6" width="13.0"/>
    <col customWidth="1" min="7" max="7" width="13.14"/>
    <col customWidth="1" min="8" max="8" width="9.14"/>
    <col customWidth="1" min="9" max="9" width="21.29"/>
    <col customWidth="1" min="10" max="10" width="13.43"/>
    <col customWidth="1" min="11" max="11" width="14.86"/>
    <col customWidth="1" min="12" max="12" width="9.14"/>
    <col customWidth="1" min="13" max="13" width="12.29"/>
    <col customWidth="1" min="14" max="14" width="14.29"/>
    <col customWidth="1" min="15" max="15" width="14.43"/>
    <col customWidth="1" min="16" max="16" width="12.71"/>
    <col customWidth="1" min="17" max="26" width="9.14"/>
  </cols>
  <sheetData>
    <row r="1">
      <c r="A1" s="26" t="s">
        <v>34</v>
      </c>
      <c r="B1" s="26" t="s">
        <v>6</v>
      </c>
      <c r="C1" s="27" t="s">
        <v>481</v>
      </c>
      <c r="D1" s="27" t="s">
        <v>482</v>
      </c>
      <c r="E1" s="26" t="s">
        <v>37</v>
      </c>
      <c r="F1" s="29" t="s">
        <v>38</v>
      </c>
      <c r="G1" s="29" t="s">
        <v>1</v>
      </c>
      <c r="I1" s="30"/>
      <c r="J1" s="31" t="s">
        <v>39</v>
      </c>
      <c r="K1" s="32" t="s">
        <v>40</v>
      </c>
    </row>
    <row r="2">
      <c r="A2" s="34" t="s">
        <v>483</v>
      </c>
      <c r="B2" s="34" t="s">
        <v>29</v>
      </c>
      <c r="C2" s="35">
        <v>8407.04</v>
      </c>
      <c r="D2" s="43"/>
      <c r="E2" s="34" t="s">
        <v>484</v>
      </c>
      <c r="F2" s="37">
        <v>1406.0</v>
      </c>
      <c r="G2" s="38" t="str">
        <f t="shared" ref="G2:G51" si="2">IFS(F2&lt;31,"0-30",F2&lt;61,"31-60",F2&lt;91,"61-90",F2&lt;121,"91-120",F2&lt;181,"121-180",F2&lt;301,"181-300",F2&gt;300,"301 &amp; +")</f>
        <v>301 &amp; +</v>
      </c>
      <c r="I2" s="39" t="s">
        <v>43</v>
      </c>
      <c r="J2" s="40">
        <f t="shared" ref="J2:K2" si="1">SUM(C:C)</f>
        <v>1085450.65</v>
      </c>
      <c r="K2" s="41">
        <f t="shared" si="1"/>
        <v>-630898.37</v>
      </c>
    </row>
    <row r="3">
      <c r="A3" s="34" t="s">
        <v>485</v>
      </c>
      <c r="B3" s="34" t="s">
        <v>31</v>
      </c>
      <c r="C3" s="35">
        <v>20835.53</v>
      </c>
      <c r="D3" s="43"/>
      <c r="E3" s="34" t="s">
        <v>486</v>
      </c>
      <c r="F3" s="37">
        <v>1244.0</v>
      </c>
      <c r="G3" s="38" t="str">
        <f t="shared" si="2"/>
        <v>301 &amp; +</v>
      </c>
      <c r="I3" s="44" t="s">
        <v>47</v>
      </c>
      <c r="J3" s="45">
        <f>COUNT(C:C)</f>
        <v>50</v>
      </c>
      <c r="K3" s="46">
        <f>-K2/J2</f>
        <v>0.58123174</v>
      </c>
    </row>
    <row r="4">
      <c r="A4" s="34" t="s">
        <v>487</v>
      </c>
      <c r="B4" s="34" t="s">
        <v>30</v>
      </c>
      <c r="C4" s="35">
        <v>34035.72</v>
      </c>
      <c r="D4" s="43"/>
      <c r="E4" s="34" t="s">
        <v>488</v>
      </c>
      <c r="F4" s="37">
        <v>1061.0</v>
      </c>
      <c r="G4" s="38" t="str">
        <f t="shared" si="2"/>
        <v>301 &amp; +</v>
      </c>
      <c r="I4" s="33"/>
      <c r="J4" s="33"/>
      <c r="K4" s="33"/>
    </row>
    <row r="5">
      <c r="A5" s="34" t="s">
        <v>489</v>
      </c>
      <c r="B5" s="34" t="s">
        <v>490</v>
      </c>
      <c r="C5" s="35">
        <v>10550.0</v>
      </c>
      <c r="D5" s="43"/>
      <c r="E5" s="34" t="s">
        <v>491</v>
      </c>
      <c r="F5" s="37">
        <v>102.0</v>
      </c>
      <c r="G5" s="38" t="str">
        <f t="shared" si="2"/>
        <v>91-120</v>
      </c>
      <c r="I5" s="33"/>
      <c r="J5" s="33"/>
      <c r="K5" s="33"/>
    </row>
    <row r="6">
      <c r="A6" s="34" t="s">
        <v>492</v>
      </c>
      <c r="B6" s="34" t="s">
        <v>493</v>
      </c>
      <c r="C6" s="35">
        <v>43517.19</v>
      </c>
      <c r="D6" s="35">
        <v>-44625.0</v>
      </c>
      <c r="E6" s="34" t="s">
        <v>494</v>
      </c>
      <c r="F6" s="37">
        <v>92.0</v>
      </c>
      <c r="G6" s="38" t="str">
        <f t="shared" si="2"/>
        <v>91-120</v>
      </c>
      <c r="I6" s="33"/>
      <c r="J6" s="33"/>
      <c r="K6" s="33"/>
      <c r="L6" s="33"/>
      <c r="M6" s="33"/>
      <c r="N6" s="33" t="s">
        <v>55</v>
      </c>
      <c r="O6" s="7" t="s">
        <v>56</v>
      </c>
      <c r="P6" s="7" t="s">
        <v>57</v>
      </c>
    </row>
    <row r="7">
      <c r="A7" s="34" t="s">
        <v>495</v>
      </c>
      <c r="B7" s="34" t="s">
        <v>496</v>
      </c>
      <c r="C7" s="35">
        <v>16932.29</v>
      </c>
      <c r="D7" s="35">
        <v>-17528.7</v>
      </c>
      <c r="E7" s="34" t="s">
        <v>497</v>
      </c>
      <c r="F7" s="37">
        <v>77.0</v>
      </c>
      <c r="G7" s="38" t="str">
        <f t="shared" si="2"/>
        <v>61-90</v>
      </c>
      <c r="I7" s="48" t="s">
        <v>60</v>
      </c>
      <c r="J7" s="49">
        <f>COUNTIF(F:F,"&gt;=365")</f>
        <v>3</v>
      </c>
      <c r="K7" s="63">
        <f>SUMIF(F:F,"&gt;=365",C:C)</f>
        <v>63278.29</v>
      </c>
      <c r="M7" s="49">
        <f>COUNTIFS(F:F,"&gt;=365",D:D,"&lt;&gt;"&amp;"")</f>
        <v>0</v>
      </c>
      <c r="N7" s="50">
        <f>SUMIF(F:F,"&gt;=365",D:D)</f>
        <v>0</v>
      </c>
      <c r="O7" s="51">
        <f t="shared" ref="O7:O10" si="3">N7*0.07/12</f>
        <v>0</v>
      </c>
      <c r="P7" s="51">
        <f t="shared" ref="P7:P8" si="4">IF(J7=0,0,O7/J7)</f>
        <v>0</v>
      </c>
    </row>
    <row r="8">
      <c r="A8" s="34" t="s">
        <v>498</v>
      </c>
      <c r="B8" s="34" t="s">
        <v>496</v>
      </c>
      <c r="C8" s="35">
        <v>19432.29</v>
      </c>
      <c r="D8" s="43"/>
      <c r="E8" s="34" t="s">
        <v>499</v>
      </c>
      <c r="F8" s="37">
        <v>68.0</v>
      </c>
      <c r="G8" s="38" t="str">
        <f t="shared" si="2"/>
        <v>61-90</v>
      </c>
      <c r="I8" s="48" t="s">
        <v>63</v>
      </c>
      <c r="J8" s="49">
        <f>COUNTIFS(F:F,"&lt;365",F:F,"&gt;=180")</f>
        <v>0</v>
      </c>
      <c r="K8" s="64">
        <f>SUMIFS(C:C,F:F,"&lt;365",F:F,"&gt;=180")</f>
        <v>0</v>
      </c>
      <c r="M8" s="49">
        <f>COUNTIFS(F:F,"&lt;365",F:F,"&gt;=180",D:D,"&lt;&gt;"&amp;"")</f>
        <v>0</v>
      </c>
      <c r="N8" s="52">
        <f>SUMIFS(D:D,F:F,"&lt;365",F:F,"&gt;=180")</f>
        <v>0</v>
      </c>
      <c r="O8" s="51">
        <f t="shared" si="3"/>
        <v>0</v>
      </c>
      <c r="P8" s="51">
        <f t="shared" si="4"/>
        <v>0</v>
      </c>
    </row>
    <row r="9">
      <c r="A9" s="34" t="s">
        <v>500</v>
      </c>
      <c r="B9" s="34" t="s">
        <v>496</v>
      </c>
      <c r="C9" s="35">
        <v>21412.29</v>
      </c>
      <c r="D9" s="43"/>
      <c r="E9" s="34" t="s">
        <v>501</v>
      </c>
      <c r="F9" s="37">
        <v>63.0</v>
      </c>
      <c r="G9" s="38" t="str">
        <f t="shared" si="2"/>
        <v>61-90</v>
      </c>
      <c r="I9" s="48" t="s">
        <v>66</v>
      </c>
      <c r="J9" s="49">
        <f>COUNTIFS(F:F,"&lt;180",F:F,"&gt;=90")</f>
        <v>2</v>
      </c>
      <c r="K9" s="65">
        <f>SUMIFS(C:C,F:F,"&lt;180",F:F,"&gt;=90")</f>
        <v>54067.19</v>
      </c>
      <c r="M9" s="49">
        <f>COUNTIFS(F:F,"&lt;180",F:F,"&gt;=90",D:D,"&lt;&gt;"&amp;"")</f>
        <v>1</v>
      </c>
      <c r="N9" s="53">
        <f>SUMIFS(D:D,F:F,"&lt;180",F:F,"&gt;=90")</f>
        <v>-44625</v>
      </c>
      <c r="O9" s="51">
        <f t="shared" si="3"/>
        <v>-260.3125</v>
      </c>
      <c r="P9" s="51">
        <f t="shared" ref="P9:P10" si="5">IF(M9=0,0,O9/M9)</f>
        <v>-260.3125</v>
      </c>
    </row>
    <row r="10">
      <c r="A10" s="34" t="s">
        <v>502</v>
      </c>
      <c r="B10" s="34" t="s">
        <v>503</v>
      </c>
      <c r="C10" s="35">
        <v>29432.29</v>
      </c>
      <c r="D10" s="43"/>
      <c r="E10" s="34" t="s">
        <v>504</v>
      </c>
      <c r="F10" s="37">
        <v>60.0</v>
      </c>
      <c r="G10" s="38" t="str">
        <f t="shared" si="2"/>
        <v>31-60</v>
      </c>
      <c r="I10" s="48" t="s">
        <v>69</v>
      </c>
      <c r="J10" s="49">
        <f>COUNTIF(F:F,"&lt;90")</f>
        <v>45</v>
      </c>
      <c r="K10" s="54">
        <f>SUMIF(F:F,"&lt;90",C:C)</f>
        <v>968105.17</v>
      </c>
      <c r="M10" s="49">
        <f>COUNTIFS(F:F,"&lt;90",D:D,"&lt;&gt;"&amp;"")</f>
        <v>24</v>
      </c>
      <c r="N10" s="54">
        <f>SUMIF(F:F,"&lt;90",D:D)</f>
        <v>-586273.37</v>
      </c>
      <c r="O10" s="51">
        <f t="shared" si="3"/>
        <v>-3419.927992</v>
      </c>
      <c r="P10" s="51">
        <f t="shared" si="5"/>
        <v>-142.4969997</v>
      </c>
    </row>
    <row r="11">
      <c r="A11" s="34" t="s">
        <v>505</v>
      </c>
      <c r="B11" s="34" t="s">
        <v>496</v>
      </c>
      <c r="C11" s="35">
        <v>22033.99</v>
      </c>
      <c r="D11" s="35">
        <v>-20549.0</v>
      </c>
      <c r="E11" s="34" t="s">
        <v>506</v>
      </c>
      <c r="F11" s="37">
        <v>60.0</v>
      </c>
      <c r="G11" s="38" t="str">
        <f t="shared" si="2"/>
        <v>31-60</v>
      </c>
    </row>
    <row r="12">
      <c r="A12" s="34" t="s">
        <v>507</v>
      </c>
      <c r="B12" s="34" t="s">
        <v>508</v>
      </c>
      <c r="C12" s="35">
        <v>26522.19</v>
      </c>
      <c r="D12" s="35">
        <v>-24927.02</v>
      </c>
      <c r="E12" s="34" t="s">
        <v>509</v>
      </c>
      <c r="F12" s="37">
        <v>54.0</v>
      </c>
      <c r="G12" s="38" t="str">
        <f t="shared" si="2"/>
        <v>31-60</v>
      </c>
    </row>
    <row r="13">
      <c r="A13" s="34" t="s">
        <v>510</v>
      </c>
      <c r="B13" s="34" t="s">
        <v>496</v>
      </c>
      <c r="C13" s="35">
        <v>19117.48</v>
      </c>
      <c r="D13" s="35">
        <v>-19985.19</v>
      </c>
      <c r="E13" s="34" t="s">
        <v>511</v>
      </c>
      <c r="F13" s="37">
        <v>54.0</v>
      </c>
      <c r="G13" s="38" t="str">
        <f t="shared" si="2"/>
        <v>31-60</v>
      </c>
    </row>
    <row r="14">
      <c r="A14" s="34" t="s">
        <v>512</v>
      </c>
      <c r="B14" s="34" t="s">
        <v>513</v>
      </c>
      <c r="C14" s="35">
        <v>36407.24</v>
      </c>
      <c r="D14" s="35">
        <v>-36875.0</v>
      </c>
      <c r="E14" s="34" t="s">
        <v>514</v>
      </c>
      <c r="F14" s="37">
        <v>53.0</v>
      </c>
      <c r="G14" s="38" t="str">
        <f t="shared" si="2"/>
        <v>31-60</v>
      </c>
    </row>
    <row r="15">
      <c r="A15" s="34" t="s">
        <v>515</v>
      </c>
      <c r="B15" s="34" t="s">
        <v>516</v>
      </c>
      <c r="C15" s="35">
        <v>26776.29</v>
      </c>
      <c r="D15" s="35">
        <v>-22899.6</v>
      </c>
      <c r="E15" s="34" t="s">
        <v>517</v>
      </c>
      <c r="F15" s="37">
        <v>49.0</v>
      </c>
      <c r="G15" s="38" t="str">
        <f t="shared" si="2"/>
        <v>31-60</v>
      </c>
    </row>
    <row r="16">
      <c r="A16" s="34" t="s">
        <v>518</v>
      </c>
      <c r="B16" s="34" t="s">
        <v>496</v>
      </c>
      <c r="C16" s="35">
        <v>17150.0</v>
      </c>
      <c r="D16" s="35">
        <v>-17473.05</v>
      </c>
      <c r="E16" s="34" t="s">
        <v>519</v>
      </c>
      <c r="F16" s="37">
        <v>46.0</v>
      </c>
      <c r="G16" s="38" t="str">
        <f t="shared" si="2"/>
        <v>31-60</v>
      </c>
    </row>
    <row r="17">
      <c r="A17" s="34" t="s">
        <v>520</v>
      </c>
      <c r="B17" s="34" t="s">
        <v>521</v>
      </c>
      <c r="C17" s="35">
        <v>27857.29</v>
      </c>
      <c r="D17" s="35">
        <v>-24629.85</v>
      </c>
      <c r="E17" s="34" t="s">
        <v>522</v>
      </c>
      <c r="F17" s="37">
        <v>42.0</v>
      </c>
      <c r="G17" s="38" t="str">
        <f t="shared" si="2"/>
        <v>31-60</v>
      </c>
    </row>
    <row r="18">
      <c r="A18" s="34" t="s">
        <v>523</v>
      </c>
      <c r="B18" s="34" t="s">
        <v>508</v>
      </c>
      <c r="C18" s="35">
        <v>24357.29</v>
      </c>
      <c r="D18" s="35">
        <v>-22131.0</v>
      </c>
      <c r="E18" s="34" t="s">
        <v>524</v>
      </c>
      <c r="F18" s="37">
        <v>41.0</v>
      </c>
      <c r="G18" s="38" t="str">
        <f t="shared" si="2"/>
        <v>31-60</v>
      </c>
    </row>
    <row r="19">
      <c r="A19" s="34" t="s">
        <v>525</v>
      </c>
      <c r="B19" s="34" t="s">
        <v>521</v>
      </c>
      <c r="C19" s="35">
        <v>27332.29</v>
      </c>
      <c r="D19" s="35">
        <v>-24580.1</v>
      </c>
      <c r="E19" s="34" t="s">
        <v>526</v>
      </c>
      <c r="F19" s="37">
        <v>34.0</v>
      </c>
      <c r="G19" s="38" t="str">
        <f t="shared" si="2"/>
        <v>31-60</v>
      </c>
    </row>
    <row r="20">
      <c r="A20" s="34" t="s">
        <v>527</v>
      </c>
      <c r="B20" s="34" t="s">
        <v>516</v>
      </c>
      <c r="C20" s="35">
        <v>20332.29</v>
      </c>
      <c r="D20" s="43"/>
      <c r="E20" s="34" t="s">
        <v>528</v>
      </c>
      <c r="F20" s="37">
        <v>34.0</v>
      </c>
      <c r="G20" s="38" t="str">
        <f t="shared" si="2"/>
        <v>31-60</v>
      </c>
    </row>
    <row r="21" ht="15.75" customHeight="1">
      <c r="A21" s="34" t="s">
        <v>529</v>
      </c>
      <c r="B21" s="34" t="s">
        <v>508</v>
      </c>
      <c r="C21" s="35">
        <v>22332.29</v>
      </c>
      <c r="D21" s="35">
        <v>-19852.0</v>
      </c>
      <c r="E21" s="34" t="s">
        <v>530</v>
      </c>
      <c r="F21" s="37">
        <v>33.0</v>
      </c>
      <c r="G21" s="38" t="str">
        <f t="shared" si="2"/>
        <v>31-60</v>
      </c>
    </row>
    <row r="22" ht="15.75" customHeight="1">
      <c r="A22" s="34" t="s">
        <v>531</v>
      </c>
      <c r="B22" s="34" t="s">
        <v>532</v>
      </c>
      <c r="C22" s="35">
        <v>17412.24</v>
      </c>
      <c r="D22" s="43"/>
      <c r="E22" s="34" t="s">
        <v>533</v>
      </c>
      <c r="F22" s="37">
        <v>32.0</v>
      </c>
      <c r="G22" s="38" t="str">
        <f t="shared" si="2"/>
        <v>31-60</v>
      </c>
    </row>
    <row r="23" ht="15.75" customHeight="1">
      <c r="A23" s="34" t="s">
        <v>534</v>
      </c>
      <c r="B23" s="34" t="s">
        <v>521</v>
      </c>
      <c r="C23" s="35">
        <v>27031.29</v>
      </c>
      <c r="D23" s="35">
        <v>-25189.0</v>
      </c>
      <c r="E23" s="34" t="s">
        <v>535</v>
      </c>
      <c r="F23" s="37">
        <v>28.0</v>
      </c>
      <c r="G23" s="38" t="str">
        <f t="shared" si="2"/>
        <v>0-30</v>
      </c>
    </row>
    <row r="24" ht="15.75" customHeight="1">
      <c r="A24" s="34" t="s">
        <v>536</v>
      </c>
      <c r="B24" s="34" t="s">
        <v>537</v>
      </c>
      <c r="C24" s="35">
        <v>31450.34</v>
      </c>
      <c r="D24" s="35">
        <v>-36846.85</v>
      </c>
      <c r="E24" s="34" t="s">
        <v>538</v>
      </c>
      <c r="F24" s="37">
        <v>27.0</v>
      </c>
      <c r="G24" s="38" t="str">
        <f t="shared" si="2"/>
        <v>0-30</v>
      </c>
    </row>
    <row r="25" ht="15.75" customHeight="1">
      <c r="A25" s="34" t="s">
        <v>539</v>
      </c>
      <c r="B25" s="34" t="s">
        <v>540</v>
      </c>
      <c r="C25" s="35">
        <v>15332.29</v>
      </c>
      <c r="D25" s="35">
        <v>-11778.79</v>
      </c>
      <c r="E25" s="34" t="s">
        <v>541</v>
      </c>
      <c r="F25" s="37">
        <v>25.0</v>
      </c>
      <c r="G25" s="38" t="str">
        <f t="shared" si="2"/>
        <v>0-30</v>
      </c>
    </row>
    <row r="26" ht="15.75" customHeight="1">
      <c r="A26" s="34" t="s">
        <v>542</v>
      </c>
      <c r="B26" s="34" t="s">
        <v>543</v>
      </c>
      <c r="C26" s="35">
        <v>43425.59</v>
      </c>
      <c r="D26" s="35">
        <v>-45484.42</v>
      </c>
      <c r="E26" s="34" t="s">
        <v>544</v>
      </c>
      <c r="F26" s="37">
        <v>22.0</v>
      </c>
      <c r="G26" s="38" t="str">
        <f t="shared" si="2"/>
        <v>0-30</v>
      </c>
    </row>
    <row r="27" ht="15.75" customHeight="1">
      <c r="A27" s="34" t="s">
        <v>545</v>
      </c>
      <c r="B27" s="34" t="s">
        <v>521</v>
      </c>
      <c r="C27" s="35">
        <v>35320.69</v>
      </c>
      <c r="D27" s="43"/>
      <c r="E27" s="34" t="s">
        <v>546</v>
      </c>
      <c r="F27" s="37">
        <v>22.0</v>
      </c>
      <c r="G27" s="38" t="str">
        <f t="shared" si="2"/>
        <v>0-30</v>
      </c>
    </row>
    <row r="28" ht="15.75" customHeight="1">
      <c r="A28" s="34" t="s">
        <v>547</v>
      </c>
      <c r="B28" s="34" t="s">
        <v>521</v>
      </c>
      <c r="C28" s="35">
        <v>31177.59</v>
      </c>
      <c r="D28" s="35">
        <v>-28614.25</v>
      </c>
      <c r="E28" s="34" t="s">
        <v>548</v>
      </c>
      <c r="F28" s="37">
        <v>22.0</v>
      </c>
      <c r="G28" s="38" t="str">
        <f t="shared" si="2"/>
        <v>0-30</v>
      </c>
    </row>
    <row r="29" ht="15.75" customHeight="1">
      <c r="A29" s="34" t="s">
        <v>549</v>
      </c>
      <c r="B29" s="34" t="s">
        <v>496</v>
      </c>
      <c r="C29" s="35">
        <v>21632.29</v>
      </c>
      <c r="D29" s="35">
        <v>-21594.66</v>
      </c>
      <c r="E29" s="34" t="s">
        <v>550</v>
      </c>
      <c r="F29" s="37">
        <v>21.0</v>
      </c>
      <c r="G29" s="38" t="str">
        <f t="shared" si="2"/>
        <v>0-30</v>
      </c>
    </row>
    <row r="30" ht="15.75" customHeight="1">
      <c r="A30" s="34" t="s">
        <v>551</v>
      </c>
      <c r="B30" s="34" t="s">
        <v>552</v>
      </c>
      <c r="C30" s="35">
        <v>23152.38</v>
      </c>
      <c r="D30" s="43"/>
      <c r="E30" s="34" t="s">
        <v>553</v>
      </c>
      <c r="F30" s="37">
        <v>19.0</v>
      </c>
      <c r="G30" s="38" t="str">
        <f t="shared" si="2"/>
        <v>0-30</v>
      </c>
    </row>
    <row r="31" ht="15.75" customHeight="1">
      <c r="A31" s="34" t="s">
        <v>554</v>
      </c>
      <c r="B31" s="34" t="s">
        <v>508</v>
      </c>
      <c r="C31" s="35">
        <v>22218.24</v>
      </c>
      <c r="D31" s="35">
        <v>-20754.0</v>
      </c>
      <c r="E31" s="34" t="s">
        <v>555</v>
      </c>
      <c r="F31" s="37">
        <v>14.0</v>
      </c>
      <c r="G31" s="38" t="str">
        <f t="shared" si="2"/>
        <v>0-30</v>
      </c>
    </row>
    <row r="32" ht="15.75" customHeight="1">
      <c r="A32" s="34" t="s">
        <v>556</v>
      </c>
      <c r="B32" s="34" t="s">
        <v>557</v>
      </c>
      <c r="C32" s="35">
        <v>21650.0</v>
      </c>
      <c r="D32" s="35">
        <v>-21200.0</v>
      </c>
      <c r="E32" s="34" t="s">
        <v>558</v>
      </c>
      <c r="F32" s="37">
        <v>14.0</v>
      </c>
      <c r="G32" s="38" t="str">
        <f t="shared" si="2"/>
        <v>0-30</v>
      </c>
    </row>
    <row r="33" ht="15.75" customHeight="1">
      <c r="A33" s="34" t="s">
        <v>559</v>
      </c>
      <c r="B33" s="34" t="s">
        <v>560</v>
      </c>
      <c r="C33" s="35">
        <v>36950.0</v>
      </c>
      <c r="D33" s="35">
        <v>-29343.0</v>
      </c>
      <c r="E33" s="34" t="s">
        <v>561</v>
      </c>
      <c r="F33" s="37">
        <v>13.0</v>
      </c>
      <c r="G33" s="38" t="str">
        <f t="shared" si="2"/>
        <v>0-30</v>
      </c>
    </row>
    <row r="34" ht="15.75" customHeight="1">
      <c r="A34" s="34" t="s">
        <v>562</v>
      </c>
      <c r="B34" s="34" t="s">
        <v>563</v>
      </c>
      <c r="C34" s="35">
        <v>16649.85</v>
      </c>
      <c r="D34" s="43"/>
      <c r="E34" s="34" t="s">
        <v>564</v>
      </c>
      <c r="F34" s="37">
        <v>12.0</v>
      </c>
      <c r="G34" s="38" t="str">
        <f t="shared" si="2"/>
        <v>0-30</v>
      </c>
    </row>
    <row r="35" ht="15.75" customHeight="1">
      <c r="A35" s="34" t="s">
        <v>565</v>
      </c>
      <c r="B35" s="34" t="s">
        <v>508</v>
      </c>
      <c r="C35" s="35">
        <v>26334.29</v>
      </c>
      <c r="D35" s="35">
        <v>-24063.0</v>
      </c>
      <c r="E35" s="34" t="s">
        <v>566</v>
      </c>
      <c r="F35" s="37">
        <v>11.0</v>
      </c>
      <c r="G35" s="38" t="str">
        <f t="shared" si="2"/>
        <v>0-30</v>
      </c>
    </row>
    <row r="36" ht="15.75" customHeight="1">
      <c r="A36" s="34" t="s">
        <v>567</v>
      </c>
      <c r="B36" s="34" t="s">
        <v>496</v>
      </c>
      <c r="C36" s="35">
        <v>22584.29</v>
      </c>
      <c r="D36" s="35">
        <v>-20518.0</v>
      </c>
      <c r="E36" s="34" t="s">
        <v>568</v>
      </c>
      <c r="F36" s="37">
        <v>11.0</v>
      </c>
      <c r="G36" s="38" t="str">
        <f t="shared" si="2"/>
        <v>0-30</v>
      </c>
    </row>
    <row r="37" ht="15.75" customHeight="1">
      <c r="A37" s="34" t="s">
        <v>569</v>
      </c>
      <c r="B37" s="34" t="s">
        <v>570</v>
      </c>
      <c r="C37" s="35">
        <v>24150.55</v>
      </c>
      <c r="D37" s="43"/>
      <c r="E37" s="34" t="s">
        <v>571</v>
      </c>
      <c r="F37" s="37">
        <v>8.0</v>
      </c>
      <c r="G37" s="38" t="str">
        <f t="shared" si="2"/>
        <v>0-30</v>
      </c>
    </row>
    <row r="38" ht="15.75" customHeight="1">
      <c r="A38" s="34" t="s">
        <v>572</v>
      </c>
      <c r="B38" s="34" t="s">
        <v>503</v>
      </c>
      <c r="C38" s="35">
        <v>26656.16</v>
      </c>
      <c r="D38" s="35">
        <v>-30109.89</v>
      </c>
      <c r="E38" s="34" t="s">
        <v>573</v>
      </c>
      <c r="F38" s="37">
        <v>7.0</v>
      </c>
      <c r="G38" s="38" t="str">
        <f t="shared" si="2"/>
        <v>0-30</v>
      </c>
    </row>
    <row r="39" ht="15.75" customHeight="1">
      <c r="A39" s="34" t="s">
        <v>574</v>
      </c>
      <c r="B39" s="34" t="s">
        <v>516</v>
      </c>
      <c r="C39" s="35">
        <v>16950.0</v>
      </c>
      <c r="D39" s="43"/>
      <c r="E39" s="34" t="s">
        <v>575</v>
      </c>
      <c r="F39" s="37">
        <v>6.0</v>
      </c>
      <c r="G39" s="38" t="str">
        <f t="shared" si="2"/>
        <v>0-30</v>
      </c>
    </row>
    <row r="40" ht="15.75" customHeight="1">
      <c r="A40" s="34" t="s">
        <v>576</v>
      </c>
      <c r="B40" s="34" t="s">
        <v>508</v>
      </c>
      <c r="C40" s="35">
        <v>20834.29</v>
      </c>
      <c r="D40" s="35">
        <v>-19347.0</v>
      </c>
      <c r="E40" s="34" t="s">
        <v>577</v>
      </c>
      <c r="F40" s="37">
        <v>5.0</v>
      </c>
      <c r="G40" s="38" t="str">
        <f t="shared" si="2"/>
        <v>0-30</v>
      </c>
    </row>
    <row r="41" ht="15.75" customHeight="1">
      <c r="A41" s="34" t="s">
        <v>578</v>
      </c>
      <c r="B41" s="34" t="s">
        <v>579</v>
      </c>
      <c r="C41" s="35">
        <v>17950.0</v>
      </c>
      <c r="D41" s="43"/>
      <c r="E41" s="34" t="s">
        <v>580</v>
      </c>
      <c r="F41" s="37">
        <v>5.0</v>
      </c>
      <c r="G41" s="38" t="str">
        <f t="shared" si="2"/>
        <v>0-30</v>
      </c>
    </row>
    <row r="42" ht="15.75" customHeight="1">
      <c r="A42" s="34" t="s">
        <v>581</v>
      </c>
      <c r="B42" s="34" t="s">
        <v>582</v>
      </c>
      <c r="C42" s="35">
        <v>6450.0</v>
      </c>
      <c r="D42" s="43"/>
      <c r="E42" s="34" t="s">
        <v>583</v>
      </c>
      <c r="F42" s="37">
        <v>5.0</v>
      </c>
      <c r="G42" s="38" t="str">
        <f t="shared" si="2"/>
        <v>0-30</v>
      </c>
    </row>
    <row r="43" ht="15.75" customHeight="1">
      <c r="A43" s="34" t="s">
        <v>584</v>
      </c>
      <c r="B43" s="34" t="s">
        <v>508</v>
      </c>
      <c r="C43" s="35">
        <v>19988.0</v>
      </c>
      <c r="D43" s="43"/>
      <c r="E43" s="34" t="s">
        <v>585</v>
      </c>
      <c r="F43" s="37">
        <v>4.0</v>
      </c>
      <c r="G43" s="38" t="str">
        <f t="shared" si="2"/>
        <v>0-30</v>
      </c>
    </row>
    <row r="44" ht="15.75" customHeight="1">
      <c r="A44" s="34" t="s">
        <v>586</v>
      </c>
      <c r="B44" s="34" t="s">
        <v>587</v>
      </c>
      <c r="C44" s="35">
        <v>13450.0</v>
      </c>
      <c r="D44" s="43"/>
      <c r="E44" s="34" t="s">
        <v>588</v>
      </c>
      <c r="F44" s="37">
        <v>1.0</v>
      </c>
      <c r="G44" s="38" t="str">
        <f t="shared" si="2"/>
        <v>0-30</v>
      </c>
    </row>
    <row r="45" ht="15.75" customHeight="1">
      <c r="A45" s="34" t="s">
        <v>589</v>
      </c>
      <c r="B45" s="34" t="s">
        <v>590</v>
      </c>
      <c r="C45" s="35">
        <v>1950.0</v>
      </c>
      <c r="D45" s="43"/>
      <c r="E45" s="34" t="s">
        <v>591</v>
      </c>
      <c r="F45" s="37">
        <v>1.0</v>
      </c>
      <c r="G45" s="38" t="str">
        <f t="shared" si="2"/>
        <v>0-30</v>
      </c>
    </row>
    <row r="46" ht="15.75" customHeight="1">
      <c r="A46" s="34" t="s">
        <v>592</v>
      </c>
      <c r="B46" s="34" t="s">
        <v>513</v>
      </c>
      <c r="C46" s="35">
        <v>24450.0</v>
      </c>
      <c r="D46" s="43"/>
      <c r="E46" s="34" t="s">
        <v>593</v>
      </c>
      <c r="F46" s="37">
        <v>0.0</v>
      </c>
      <c r="G46" s="38" t="str">
        <f t="shared" si="2"/>
        <v>0-30</v>
      </c>
    </row>
    <row r="47" ht="15.75" customHeight="1">
      <c r="A47" s="34" t="s">
        <v>594</v>
      </c>
      <c r="B47" s="34" t="s">
        <v>508</v>
      </c>
      <c r="C47" s="35">
        <v>22450.0</v>
      </c>
      <c r="D47" s="43"/>
      <c r="E47" s="34" t="s">
        <v>595</v>
      </c>
      <c r="F47" s="37">
        <v>0.0</v>
      </c>
      <c r="G47" s="38" t="str">
        <f t="shared" si="2"/>
        <v>0-30</v>
      </c>
    </row>
    <row r="48" ht="15.75" customHeight="1">
      <c r="A48" s="34" t="s">
        <v>596</v>
      </c>
      <c r="B48" s="34" t="s">
        <v>496</v>
      </c>
      <c r="C48" s="35">
        <v>18227.0</v>
      </c>
      <c r="D48" s="43"/>
      <c r="E48" s="34" t="s">
        <v>597</v>
      </c>
      <c r="F48" s="37">
        <v>0.0</v>
      </c>
      <c r="G48" s="38" t="str">
        <f t="shared" si="2"/>
        <v>0-30</v>
      </c>
    </row>
    <row r="49" ht="15.75" customHeight="1">
      <c r="A49" s="34" t="s">
        <v>598</v>
      </c>
      <c r="B49" s="34" t="s">
        <v>599</v>
      </c>
      <c r="C49" s="35">
        <v>2450.0</v>
      </c>
      <c r="D49" s="43"/>
      <c r="E49" s="34" t="s">
        <v>600</v>
      </c>
      <c r="F49" s="37">
        <v>0.0</v>
      </c>
      <c r="G49" s="38" t="str">
        <f t="shared" si="2"/>
        <v>0-30</v>
      </c>
    </row>
    <row r="50" ht="15.75" customHeight="1">
      <c r="A50" s="34" t="s">
        <v>601</v>
      </c>
      <c r="B50" s="34" t="s">
        <v>602</v>
      </c>
      <c r="C50" s="35">
        <v>1450.0</v>
      </c>
      <c r="D50" s="43"/>
      <c r="E50" s="34" t="s">
        <v>603</v>
      </c>
      <c r="F50" s="37">
        <v>0.0</v>
      </c>
      <c r="G50" s="38" t="str">
        <f t="shared" si="2"/>
        <v>0-30</v>
      </c>
    </row>
    <row r="51" ht="15.75" customHeight="1">
      <c r="A51" s="34" t="s">
        <v>604</v>
      </c>
      <c r="B51" s="34" t="s">
        <v>605</v>
      </c>
      <c r="C51" s="35">
        <v>950.0</v>
      </c>
      <c r="D51" s="43"/>
      <c r="E51" s="34" t="s">
        <v>606</v>
      </c>
      <c r="F51" s="37">
        <v>0.0</v>
      </c>
      <c r="G51" s="38" t="str">
        <f t="shared" si="2"/>
        <v>0-30</v>
      </c>
    </row>
    <row r="52" ht="15.75" customHeight="1">
      <c r="C52" s="56"/>
      <c r="D52" s="56"/>
    </row>
    <row r="53" ht="15.75" customHeight="1">
      <c r="C53" s="56"/>
      <c r="D53" s="56"/>
    </row>
    <row r="54" ht="15.75" customHeight="1">
      <c r="C54" s="56"/>
      <c r="D54" s="56"/>
    </row>
    <row r="55" ht="15.75" customHeight="1">
      <c r="C55" s="56"/>
      <c r="D55" s="56"/>
    </row>
    <row r="56" ht="15.75" customHeight="1">
      <c r="C56" s="56"/>
      <c r="D56" s="56"/>
    </row>
    <row r="57" ht="15.75" customHeight="1">
      <c r="C57" s="56"/>
      <c r="D57" s="56"/>
    </row>
    <row r="58" ht="15.75" customHeight="1">
      <c r="C58" s="56"/>
      <c r="D58" s="56"/>
    </row>
    <row r="59" ht="15.75" customHeight="1">
      <c r="C59" s="56"/>
      <c r="D59" s="56"/>
    </row>
    <row r="60" ht="15.75" customHeight="1">
      <c r="C60" s="56"/>
      <c r="D60" s="56"/>
    </row>
    <row r="61" ht="15.75" customHeight="1">
      <c r="C61" s="56"/>
      <c r="D61" s="56"/>
    </row>
    <row r="62" ht="15.75" customHeight="1">
      <c r="C62" s="56"/>
      <c r="D62" s="56"/>
    </row>
    <row r="63" ht="15.75" customHeight="1">
      <c r="C63" s="56"/>
      <c r="D63" s="56"/>
    </row>
    <row r="64" ht="15.75" customHeight="1">
      <c r="C64" s="56"/>
      <c r="D64" s="56"/>
    </row>
    <row r="65" ht="15.75" customHeight="1">
      <c r="C65" s="56"/>
      <c r="D65" s="56"/>
    </row>
    <row r="66" ht="15.75" customHeight="1">
      <c r="C66" s="56"/>
      <c r="D66" s="56"/>
    </row>
    <row r="67" ht="15.75" customHeight="1">
      <c r="C67" s="56"/>
      <c r="D67" s="56"/>
    </row>
    <row r="68" ht="15.75" customHeight="1">
      <c r="C68" s="56"/>
      <c r="D68" s="56"/>
    </row>
    <row r="69" ht="15.75" customHeight="1">
      <c r="C69" s="56"/>
      <c r="D69" s="56"/>
    </row>
    <row r="70" ht="15.75" customHeight="1">
      <c r="C70" s="56"/>
      <c r="D70" s="56"/>
    </row>
    <row r="71" ht="15.75" customHeight="1">
      <c r="C71" s="56"/>
      <c r="D71" s="56"/>
    </row>
    <row r="72" ht="15.75" customHeight="1">
      <c r="C72" s="56"/>
      <c r="D72" s="56"/>
    </row>
    <row r="73" ht="15.75" customHeight="1">
      <c r="C73" s="56"/>
      <c r="D73" s="56"/>
    </row>
    <row r="74" ht="15.75" customHeight="1">
      <c r="C74" s="56"/>
      <c r="D74" s="56"/>
    </row>
    <row r="75" ht="15.75" customHeight="1">
      <c r="C75" s="56"/>
      <c r="D75" s="56"/>
    </row>
    <row r="76" ht="15.75" customHeight="1">
      <c r="C76" s="56"/>
      <c r="D76" s="56"/>
    </row>
    <row r="77" ht="15.75" customHeight="1">
      <c r="C77" s="56"/>
      <c r="D77" s="56"/>
    </row>
    <row r="78" ht="15.75" customHeight="1">
      <c r="C78" s="56"/>
      <c r="D78" s="56"/>
    </row>
    <row r="79" ht="15.75" customHeight="1">
      <c r="C79" s="56"/>
      <c r="D79" s="56"/>
    </row>
    <row r="80" ht="15.75" customHeight="1">
      <c r="C80" s="56"/>
      <c r="D80" s="56"/>
    </row>
    <row r="81" ht="15.75" customHeight="1">
      <c r="C81" s="56"/>
      <c r="D81" s="56"/>
    </row>
    <row r="82" ht="15.75" customHeight="1">
      <c r="C82" s="56"/>
      <c r="D82" s="56"/>
    </row>
    <row r="83" ht="15.75" customHeight="1">
      <c r="C83" s="56"/>
      <c r="D83" s="56"/>
    </row>
    <row r="84" ht="15.75" customHeight="1">
      <c r="C84" s="56"/>
      <c r="D84" s="56"/>
    </row>
    <row r="85" ht="15.75" customHeight="1">
      <c r="C85" s="56"/>
      <c r="D85" s="56"/>
    </row>
    <row r="86" ht="15.75" customHeight="1">
      <c r="C86" s="56"/>
      <c r="D86" s="56"/>
    </row>
    <row r="87" ht="15.75" customHeight="1">
      <c r="C87" s="56"/>
      <c r="D87" s="56"/>
    </row>
    <row r="88" ht="15.75" customHeight="1">
      <c r="C88" s="56"/>
      <c r="D88" s="56"/>
    </row>
    <row r="89" ht="15.75" customHeight="1">
      <c r="C89" s="56"/>
      <c r="D89" s="56"/>
    </row>
    <row r="90" ht="15.75" customHeight="1">
      <c r="C90" s="56"/>
      <c r="D90" s="56"/>
    </row>
    <row r="91" ht="15.75" customHeight="1">
      <c r="C91" s="56"/>
      <c r="D91" s="56"/>
    </row>
    <row r="92" ht="15.75" customHeight="1">
      <c r="C92" s="56"/>
      <c r="D92" s="56"/>
    </row>
    <row r="93" ht="15.75" customHeight="1">
      <c r="C93" s="56"/>
      <c r="D93" s="56"/>
    </row>
    <row r="94" ht="15.75" customHeight="1">
      <c r="C94" s="56"/>
      <c r="D94" s="56"/>
    </row>
    <row r="95" ht="15.75" customHeight="1">
      <c r="C95" s="56"/>
      <c r="D95" s="56"/>
    </row>
    <row r="96" ht="15.75" customHeight="1">
      <c r="C96" s="56"/>
      <c r="D96" s="56"/>
    </row>
    <row r="97" ht="15.75" customHeight="1">
      <c r="C97" s="56"/>
      <c r="D97" s="56"/>
    </row>
    <row r="98" ht="15.75" customHeight="1">
      <c r="C98" s="56"/>
      <c r="D98" s="56"/>
    </row>
    <row r="99" ht="15.75" customHeight="1">
      <c r="C99" s="56"/>
      <c r="D99" s="56"/>
    </row>
    <row r="100" ht="15.75" customHeight="1">
      <c r="C100" s="56"/>
      <c r="D100" s="56"/>
    </row>
    <row r="101" ht="15.75" customHeight="1">
      <c r="C101" s="56"/>
      <c r="D101" s="56"/>
    </row>
    <row r="102" ht="15.75" customHeight="1">
      <c r="C102" s="56"/>
      <c r="D102" s="56"/>
    </row>
    <row r="103" ht="15.75" customHeight="1">
      <c r="C103" s="56"/>
      <c r="D103" s="56"/>
    </row>
    <row r="104" ht="15.75" customHeight="1">
      <c r="C104" s="56"/>
      <c r="D104" s="56"/>
    </row>
    <row r="105" ht="15.75" customHeight="1">
      <c r="C105" s="56"/>
      <c r="D105" s="56"/>
    </row>
    <row r="106" ht="15.75" customHeight="1">
      <c r="C106" s="56"/>
      <c r="D106" s="56"/>
    </row>
    <row r="107" ht="15.75" customHeight="1">
      <c r="C107" s="56"/>
      <c r="D107" s="56"/>
    </row>
    <row r="108" ht="15.75" customHeight="1">
      <c r="C108" s="56"/>
      <c r="D108" s="56"/>
    </row>
    <row r="109" ht="15.75" customHeight="1">
      <c r="C109" s="56"/>
      <c r="D109" s="56"/>
    </row>
    <row r="110" ht="15.75" customHeight="1">
      <c r="C110" s="56"/>
      <c r="D110" s="56"/>
    </row>
    <row r="111" ht="15.75" customHeight="1">
      <c r="C111" s="56"/>
      <c r="D111" s="56"/>
    </row>
    <row r="112" ht="15.75" customHeight="1">
      <c r="C112" s="56"/>
      <c r="D112" s="56"/>
    </row>
    <row r="113" ht="15.75" customHeight="1">
      <c r="C113" s="56"/>
      <c r="D113" s="56"/>
    </row>
    <row r="114" ht="15.75" customHeight="1">
      <c r="C114" s="56"/>
      <c r="D114" s="56"/>
    </row>
    <row r="115" ht="15.75" customHeight="1">
      <c r="C115" s="56"/>
      <c r="D115" s="56"/>
    </row>
    <row r="116" ht="15.75" customHeight="1">
      <c r="C116" s="56"/>
      <c r="D116" s="56"/>
    </row>
    <row r="117" ht="15.75" customHeight="1">
      <c r="C117" s="56"/>
      <c r="D117" s="56"/>
    </row>
    <row r="118" ht="15.75" customHeight="1">
      <c r="C118" s="56"/>
      <c r="D118" s="56"/>
    </row>
    <row r="119" ht="15.75" customHeight="1">
      <c r="C119" s="56"/>
      <c r="D119" s="56"/>
    </row>
    <row r="120" ht="15.75" customHeight="1">
      <c r="C120" s="56"/>
      <c r="D120" s="56"/>
    </row>
    <row r="121" ht="15.75" customHeight="1">
      <c r="C121" s="56"/>
      <c r="D121" s="56"/>
    </row>
    <row r="122" ht="15.75" customHeight="1">
      <c r="C122" s="56"/>
      <c r="D122" s="56"/>
    </row>
    <row r="123" ht="15.75" customHeight="1">
      <c r="C123" s="56"/>
      <c r="D123" s="56"/>
    </row>
    <row r="124" ht="15.75" customHeight="1">
      <c r="C124" s="56"/>
      <c r="D124" s="56"/>
    </row>
    <row r="125" ht="15.75" customHeight="1">
      <c r="C125" s="56"/>
      <c r="D125" s="56"/>
    </row>
    <row r="126" ht="15.75" customHeight="1">
      <c r="C126" s="56"/>
      <c r="D126" s="56"/>
    </row>
    <row r="127" ht="15.75" customHeight="1">
      <c r="C127" s="56"/>
      <c r="D127" s="56"/>
    </row>
    <row r="128" ht="15.75" customHeight="1">
      <c r="C128" s="56"/>
      <c r="D128" s="56"/>
    </row>
    <row r="129" ht="15.75" customHeight="1">
      <c r="C129" s="56"/>
      <c r="D129" s="56"/>
    </row>
    <row r="130" ht="15.75" customHeight="1">
      <c r="C130" s="56"/>
      <c r="D130" s="56"/>
    </row>
    <row r="131" ht="15.75" customHeight="1">
      <c r="C131" s="56"/>
      <c r="D131" s="56"/>
    </row>
    <row r="132" ht="15.75" customHeight="1">
      <c r="C132" s="56"/>
      <c r="D132" s="56"/>
    </row>
    <row r="133" ht="15.75" customHeight="1">
      <c r="C133" s="56"/>
      <c r="D133" s="56"/>
    </row>
    <row r="134" ht="15.75" customHeight="1">
      <c r="C134" s="56"/>
      <c r="D134" s="56"/>
    </row>
    <row r="135" ht="15.75" customHeight="1">
      <c r="C135" s="56"/>
      <c r="D135" s="56"/>
    </row>
    <row r="136" ht="15.75" customHeight="1">
      <c r="C136" s="56"/>
      <c r="D136" s="56"/>
    </row>
    <row r="137" ht="15.75" customHeight="1">
      <c r="C137" s="56"/>
      <c r="D137" s="56"/>
    </row>
    <row r="138" ht="15.75" customHeight="1">
      <c r="C138" s="56"/>
      <c r="D138" s="56"/>
    </row>
    <row r="139" ht="15.75" customHeight="1">
      <c r="C139" s="56"/>
      <c r="D139" s="56"/>
    </row>
    <row r="140" ht="15.75" customHeight="1">
      <c r="C140" s="56"/>
      <c r="D140" s="56"/>
    </row>
    <row r="141" ht="15.75" customHeight="1">
      <c r="C141" s="56"/>
      <c r="D141" s="56"/>
    </row>
    <row r="142" ht="15.75" customHeight="1">
      <c r="C142" s="56"/>
      <c r="D142" s="56"/>
    </row>
    <row r="143" ht="15.75" customHeight="1">
      <c r="C143" s="56"/>
      <c r="D143" s="56"/>
    </row>
    <row r="144" ht="15.75" customHeight="1">
      <c r="C144" s="56"/>
      <c r="D144" s="56"/>
    </row>
    <row r="145" ht="15.75" customHeight="1">
      <c r="C145" s="56"/>
      <c r="D145" s="56"/>
    </row>
    <row r="146" ht="15.75" customHeight="1">
      <c r="C146" s="56"/>
      <c r="D146" s="56"/>
    </row>
    <row r="147" ht="15.75" customHeight="1">
      <c r="C147" s="56"/>
      <c r="D147" s="56"/>
    </row>
    <row r="148" ht="15.75" customHeight="1">
      <c r="C148" s="56"/>
      <c r="D148" s="56"/>
    </row>
    <row r="149" ht="15.75" customHeight="1">
      <c r="C149" s="56"/>
      <c r="D149" s="56"/>
    </row>
    <row r="150" ht="15.75" customHeight="1">
      <c r="C150" s="56"/>
      <c r="D150" s="56"/>
    </row>
    <row r="151" ht="15.75" customHeight="1">
      <c r="C151" s="56"/>
      <c r="D151" s="56"/>
    </row>
    <row r="152" ht="15.75" customHeight="1">
      <c r="C152" s="56"/>
      <c r="D152" s="56"/>
    </row>
    <row r="153" ht="15.75" customHeight="1">
      <c r="C153" s="56"/>
      <c r="D153" s="56"/>
    </row>
    <row r="154" ht="15.75" customHeight="1">
      <c r="C154" s="56"/>
      <c r="D154" s="56"/>
    </row>
    <row r="155" ht="15.75" customHeight="1">
      <c r="C155" s="56"/>
      <c r="D155" s="56"/>
    </row>
    <row r="156" ht="15.75" customHeight="1">
      <c r="C156" s="56"/>
      <c r="D156" s="56"/>
    </row>
    <row r="157" ht="15.75" customHeight="1">
      <c r="C157" s="56"/>
      <c r="D157" s="56"/>
    </row>
    <row r="158" ht="15.75" customHeight="1">
      <c r="C158" s="56"/>
      <c r="D158" s="56"/>
    </row>
    <row r="159" ht="15.75" customHeight="1">
      <c r="C159" s="56"/>
      <c r="D159" s="56"/>
    </row>
    <row r="160" ht="15.75" customHeight="1">
      <c r="C160" s="56"/>
      <c r="D160" s="56"/>
    </row>
    <row r="161" ht="15.75" customHeight="1">
      <c r="C161" s="56"/>
      <c r="D161" s="56"/>
    </row>
    <row r="162" ht="15.75" customHeight="1">
      <c r="C162" s="56"/>
      <c r="D162" s="56"/>
    </row>
    <row r="163" ht="15.75" customHeight="1">
      <c r="C163" s="56"/>
      <c r="D163" s="56"/>
    </row>
    <row r="164" ht="15.75" customHeight="1">
      <c r="C164" s="56"/>
      <c r="D164" s="56"/>
    </row>
    <row r="165" ht="15.75" customHeight="1">
      <c r="C165" s="56"/>
      <c r="D165" s="56"/>
    </row>
    <row r="166" ht="15.75" customHeight="1">
      <c r="C166" s="56"/>
      <c r="D166" s="56"/>
    </row>
    <row r="167" ht="15.75" customHeight="1">
      <c r="C167" s="56"/>
      <c r="D167" s="56"/>
    </row>
    <row r="168" ht="15.75" customHeight="1">
      <c r="C168" s="56"/>
      <c r="D168" s="56"/>
    </row>
    <row r="169" ht="15.75" customHeight="1">
      <c r="C169" s="56"/>
      <c r="D169" s="56"/>
    </row>
    <row r="170" ht="15.75" customHeight="1">
      <c r="C170" s="56"/>
      <c r="D170" s="56"/>
    </row>
    <row r="171" ht="15.75" customHeight="1">
      <c r="C171" s="56"/>
      <c r="D171" s="56"/>
    </row>
    <row r="172" ht="15.75" customHeight="1">
      <c r="C172" s="56"/>
      <c r="D172" s="56"/>
    </row>
    <row r="173" ht="15.75" customHeight="1">
      <c r="C173" s="56"/>
      <c r="D173" s="56"/>
    </row>
    <row r="174" ht="15.75" customHeight="1">
      <c r="C174" s="56"/>
      <c r="D174" s="56"/>
    </row>
    <row r="175" ht="15.75" customHeight="1">
      <c r="C175" s="56"/>
      <c r="D175" s="56"/>
    </row>
    <row r="176" ht="15.75" customHeight="1">
      <c r="C176" s="56"/>
      <c r="D176" s="56"/>
    </row>
    <row r="177" ht="15.75" customHeight="1">
      <c r="C177" s="56"/>
      <c r="D177" s="56"/>
    </row>
    <row r="178" ht="15.75" customHeight="1">
      <c r="C178" s="56"/>
      <c r="D178" s="56"/>
    </row>
    <row r="179" ht="15.75" customHeight="1">
      <c r="C179" s="56"/>
      <c r="D179" s="56"/>
    </row>
    <row r="180" ht="15.75" customHeight="1">
      <c r="C180" s="56"/>
      <c r="D180" s="56"/>
    </row>
    <row r="181" ht="15.75" customHeight="1">
      <c r="C181" s="56"/>
      <c r="D181" s="56"/>
    </row>
    <row r="182" ht="15.75" customHeight="1">
      <c r="C182" s="56"/>
      <c r="D182" s="56"/>
    </row>
    <row r="183" ht="15.75" customHeight="1">
      <c r="C183" s="56"/>
      <c r="D183" s="56"/>
    </row>
    <row r="184" ht="15.75" customHeight="1">
      <c r="C184" s="56"/>
      <c r="D184" s="56"/>
    </row>
    <row r="185" ht="15.75" customHeight="1">
      <c r="C185" s="56"/>
      <c r="D185" s="56"/>
    </row>
    <row r="186" ht="15.75" customHeight="1">
      <c r="C186" s="56"/>
      <c r="D186" s="56"/>
    </row>
    <row r="187" ht="15.75" customHeight="1">
      <c r="C187" s="56"/>
      <c r="D187" s="56"/>
    </row>
    <row r="188" ht="15.75" customHeight="1">
      <c r="C188" s="56"/>
      <c r="D188" s="56"/>
    </row>
    <row r="189" ht="15.75" customHeight="1">
      <c r="C189" s="56"/>
      <c r="D189" s="56"/>
    </row>
    <row r="190" ht="15.75" customHeight="1">
      <c r="C190" s="56"/>
      <c r="D190" s="56"/>
    </row>
    <row r="191" ht="15.75" customHeight="1">
      <c r="C191" s="56"/>
      <c r="D191" s="56"/>
    </row>
    <row r="192" ht="15.75" customHeight="1">
      <c r="C192" s="56"/>
      <c r="D192" s="56"/>
    </row>
    <row r="193" ht="15.75" customHeight="1">
      <c r="C193" s="56"/>
      <c r="D193" s="56"/>
    </row>
    <row r="194" ht="15.75" customHeight="1">
      <c r="C194" s="56"/>
      <c r="D194" s="56"/>
    </row>
    <row r="195" ht="15.75" customHeight="1">
      <c r="C195" s="56"/>
      <c r="D195" s="56"/>
    </row>
    <row r="196" ht="15.75" customHeight="1">
      <c r="C196" s="56"/>
      <c r="D196" s="56"/>
    </row>
    <row r="197" ht="15.75" customHeight="1">
      <c r="C197" s="56"/>
      <c r="D197" s="56"/>
    </row>
    <row r="198" ht="15.75" customHeight="1">
      <c r="C198" s="56"/>
      <c r="D198" s="56"/>
    </row>
    <row r="199" ht="15.75" customHeight="1">
      <c r="C199" s="56"/>
      <c r="D199" s="56"/>
    </row>
    <row r="200" ht="15.75" customHeight="1">
      <c r="C200" s="56"/>
      <c r="D200" s="56"/>
    </row>
    <row r="201" ht="15.75" customHeight="1">
      <c r="C201" s="56"/>
      <c r="D201" s="56"/>
    </row>
    <row r="202" ht="15.75" customHeight="1">
      <c r="C202" s="56"/>
      <c r="D202" s="56"/>
    </row>
    <row r="203" ht="15.75" customHeight="1">
      <c r="C203" s="56"/>
      <c r="D203" s="56"/>
    </row>
    <row r="204" ht="15.75" customHeight="1">
      <c r="C204" s="56"/>
      <c r="D204" s="56"/>
    </row>
    <row r="205" ht="15.75" customHeight="1">
      <c r="C205" s="56"/>
      <c r="D205" s="56"/>
    </row>
    <row r="206" ht="15.75" customHeight="1">
      <c r="C206" s="56"/>
      <c r="D206" s="56"/>
    </row>
    <row r="207" ht="15.75" customHeight="1">
      <c r="C207" s="56"/>
      <c r="D207" s="56"/>
    </row>
    <row r="208" ht="15.75" customHeight="1">
      <c r="C208" s="56"/>
      <c r="D208" s="56"/>
    </row>
    <row r="209" ht="15.75" customHeight="1">
      <c r="C209" s="56"/>
      <c r="D209" s="56"/>
    </row>
    <row r="210" ht="15.75" customHeight="1">
      <c r="C210" s="56"/>
      <c r="D210" s="56"/>
    </row>
    <row r="211" ht="15.75" customHeight="1">
      <c r="C211" s="56"/>
      <c r="D211" s="56"/>
    </row>
    <row r="212" ht="15.75" customHeight="1">
      <c r="C212" s="56"/>
      <c r="D212" s="56"/>
    </row>
    <row r="213" ht="15.75" customHeight="1">
      <c r="C213" s="56"/>
      <c r="D213" s="56"/>
    </row>
    <row r="214" ht="15.75" customHeight="1">
      <c r="C214" s="56"/>
      <c r="D214" s="56"/>
    </row>
    <row r="215" ht="15.75" customHeight="1">
      <c r="C215" s="56"/>
      <c r="D215" s="56"/>
    </row>
    <row r="216" ht="15.75" customHeight="1">
      <c r="C216" s="56"/>
      <c r="D216" s="56"/>
    </row>
    <row r="217" ht="15.75" customHeight="1">
      <c r="C217" s="56"/>
      <c r="D217" s="56"/>
    </row>
    <row r="218" ht="15.75" customHeight="1">
      <c r="C218" s="56"/>
      <c r="D218" s="56"/>
    </row>
    <row r="219" ht="15.75" customHeight="1">
      <c r="C219" s="56"/>
      <c r="D219" s="56"/>
    </row>
    <row r="220" ht="15.75" customHeight="1">
      <c r="C220" s="56"/>
      <c r="D220" s="56"/>
    </row>
    <row r="221" ht="15.75" customHeight="1">
      <c r="C221" s="56"/>
      <c r="D221" s="56"/>
    </row>
    <row r="222" ht="15.75" customHeight="1">
      <c r="C222" s="56"/>
      <c r="D222" s="56"/>
    </row>
    <row r="223" ht="15.75" customHeight="1">
      <c r="C223" s="56"/>
      <c r="D223" s="56"/>
    </row>
    <row r="224" ht="15.75" customHeight="1">
      <c r="C224" s="56"/>
      <c r="D224" s="56"/>
    </row>
    <row r="225" ht="15.75" customHeight="1">
      <c r="C225" s="56"/>
      <c r="D225" s="56"/>
    </row>
    <row r="226" ht="15.75" customHeight="1">
      <c r="C226" s="56"/>
      <c r="D226" s="56"/>
    </row>
    <row r="227" ht="15.75" customHeight="1">
      <c r="C227" s="56"/>
      <c r="D227" s="56"/>
    </row>
    <row r="228" ht="15.75" customHeight="1">
      <c r="C228" s="56"/>
      <c r="D228" s="56"/>
    </row>
    <row r="229" ht="15.75" customHeight="1">
      <c r="C229" s="56"/>
      <c r="D229" s="56"/>
    </row>
    <row r="230" ht="15.75" customHeight="1">
      <c r="C230" s="56"/>
      <c r="D230" s="56"/>
    </row>
    <row r="231" ht="15.75" customHeight="1">
      <c r="C231" s="56"/>
      <c r="D231" s="56"/>
    </row>
    <row r="232" ht="15.75" customHeight="1">
      <c r="C232" s="56"/>
      <c r="D232" s="56"/>
    </row>
    <row r="233" ht="15.75" customHeight="1">
      <c r="C233" s="56"/>
      <c r="D233" s="56"/>
    </row>
    <row r="234" ht="15.75" customHeight="1">
      <c r="C234" s="56"/>
      <c r="D234" s="56"/>
    </row>
    <row r="235" ht="15.75" customHeight="1">
      <c r="C235" s="56"/>
      <c r="D235" s="56"/>
    </row>
    <row r="236" ht="15.75" customHeight="1">
      <c r="C236" s="56"/>
      <c r="D236" s="56"/>
    </row>
    <row r="237" ht="15.75" customHeight="1">
      <c r="C237" s="56"/>
      <c r="D237" s="56"/>
    </row>
    <row r="238" ht="15.75" customHeight="1">
      <c r="C238" s="56"/>
      <c r="D238" s="56"/>
    </row>
    <row r="239" ht="15.75" customHeight="1">
      <c r="C239" s="56"/>
      <c r="D239" s="56"/>
    </row>
    <row r="240" ht="15.75" customHeight="1">
      <c r="C240" s="56"/>
      <c r="D240" s="56"/>
    </row>
    <row r="241" ht="15.75" customHeight="1">
      <c r="C241" s="56"/>
      <c r="D241" s="56"/>
    </row>
    <row r="242" ht="15.75" customHeight="1">
      <c r="C242" s="56"/>
      <c r="D242" s="56"/>
    </row>
    <row r="243" ht="15.75" customHeight="1">
      <c r="C243" s="56"/>
      <c r="D243" s="56"/>
    </row>
    <row r="244" ht="15.75" customHeight="1">
      <c r="C244" s="56"/>
      <c r="D244" s="56"/>
    </row>
    <row r="245" ht="15.75" customHeight="1">
      <c r="C245" s="56"/>
      <c r="D245" s="56"/>
    </row>
    <row r="246" ht="15.75" customHeight="1">
      <c r="C246" s="56"/>
      <c r="D246" s="56"/>
    </row>
    <row r="247" ht="15.75" customHeight="1">
      <c r="C247" s="56"/>
      <c r="D247" s="56"/>
    </row>
    <row r="248" ht="15.75" customHeight="1">
      <c r="C248" s="56"/>
      <c r="D248" s="56"/>
    </row>
    <row r="249" ht="15.75" customHeight="1">
      <c r="C249" s="56"/>
      <c r="D249" s="56"/>
    </row>
    <row r="250" ht="15.75" customHeight="1">
      <c r="C250" s="56"/>
      <c r="D250" s="56"/>
    </row>
    <row r="251" ht="15.75" customHeight="1">
      <c r="C251" s="56"/>
      <c r="D251" s="56"/>
    </row>
    <row r="252" ht="15.75" customHeight="1">
      <c r="C252" s="56"/>
      <c r="D252" s="56"/>
    </row>
    <row r="253" ht="15.75" customHeight="1">
      <c r="C253" s="56"/>
      <c r="D253" s="56"/>
    </row>
    <row r="254" ht="15.75" customHeight="1">
      <c r="C254" s="56"/>
      <c r="D254" s="56"/>
    </row>
    <row r="255" ht="15.75" customHeight="1">
      <c r="C255" s="56"/>
      <c r="D255" s="56"/>
    </row>
    <row r="256" ht="15.75" customHeight="1">
      <c r="C256" s="56"/>
      <c r="D256" s="56"/>
    </row>
    <row r="257" ht="15.75" customHeight="1">
      <c r="C257" s="56"/>
      <c r="D257" s="56"/>
    </row>
    <row r="258" ht="15.75" customHeight="1">
      <c r="C258" s="56"/>
      <c r="D258" s="56"/>
    </row>
    <row r="259" ht="15.75" customHeight="1">
      <c r="C259" s="56"/>
      <c r="D259" s="56"/>
    </row>
    <row r="260" ht="15.75" customHeight="1">
      <c r="C260" s="56"/>
      <c r="D260" s="56"/>
    </row>
    <row r="261" ht="15.75" customHeight="1">
      <c r="C261" s="56"/>
      <c r="D261" s="56"/>
    </row>
    <row r="262" ht="15.75" customHeight="1">
      <c r="C262" s="56"/>
      <c r="D262" s="56"/>
    </row>
    <row r="263" ht="15.75" customHeight="1">
      <c r="C263" s="56"/>
      <c r="D263" s="56"/>
    </row>
    <row r="264" ht="15.75" customHeight="1">
      <c r="C264" s="56"/>
      <c r="D264" s="56"/>
    </row>
    <row r="265" ht="15.75" customHeight="1">
      <c r="C265" s="56"/>
      <c r="D265" s="56"/>
    </row>
    <row r="266" ht="15.75" customHeight="1">
      <c r="C266" s="56"/>
      <c r="D266" s="56"/>
    </row>
    <row r="267" ht="15.75" customHeight="1">
      <c r="C267" s="56"/>
      <c r="D267" s="56"/>
    </row>
    <row r="268" ht="15.75" customHeight="1">
      <c r="C268" s="56"/>
      <c r="D268" s="56"/>
    </row>
    <row r="269" ht="15.75" customHeight="1">
      <c r="C269" s="56"/>
      <c r="D269" s="56"/>
    </row>
    <row r="270" ht="15.75" customHeight="1">
      <c r="C270" s="56"/>
      <c r="D270" s="56"/>
    </row>
    <row r="271" ht="15.75" customHeight="1">
      <c r="C271" s="56"/>
      <c r="D271" s="56"/>
    </row>
    <row r="272" ht="15.75" customHeight="1">
      <c r="C272" s="56"/>
      <c r="D272" s="56"/>
    </row>
    <row r="273" ht="15.75" customHeight="1">
      <c r="C273" s="56"/>
      <c r="D273" s="56"/>
    </row>
    <row r="274" ht="15.75" customHeight="1">
      <c r="C274" s="56"/>
      <c r="D274" s="56"/>
    </row>
    <row r="275" ht="15.75" customHeight="1">
      <c r="C275" s="56"/>
      <c r="D275" s="56"/>
    </row>
    <row r="276" ht="15.75" customHeight="1">
      <c r="C276" s="56"/>
      <c r="D276" s="56"/>
    </row>
    <row r="277" ht="15.75" customHeight="1">
      <c r="C277" s="56"/>
      <c r="D277" s="56"/>
    </row>
    <row r="278" ht="15.75" customHeight="1">
      <c r="C278" s="56"/>
      <c r="D278" s="56"/>
    </row>
    <row r="279" ht="15.75" customHeight="1">
      <c r="C279" s="56"/>
      <c r="D279" s="56"/>
    </row>
    <row r="280" ht="15.75" customHeight="1">
      <c r="C280" s="56"/>
      <c r="D280" s="56"/>
    </row>
    <row r="281" ht="15.75" customHeight="1">
      <c r="C281" s="56"/>
      <c r="D281" s="56"/>
    </row>
    <row r="282" ht="15.75" customHeight="1">
      <c r="C282" s="56"/>
      <c r="D282" s="56"/>
    </row>
    <row r="283" ht="15.75" customHeight="1">
      <c r="C283" s="56"/>
      <c r="D283" s="56"/>
    </row>
    <row r="284" ht="15.75" customHeight="1">
      <c r="C284" s="56"/>
      <c r="D284" s="56"/>
    </row>
    <row r="285" ht="15.75" customHeight="1">
      <c r="C285" s="56"/>
      <c r="D285" s="56"/>
    </row>
    <row r="286" ht="15.75" customHeight="1">
      <c r="C286" s="56"/>
      <c r="D286" s="56"/>
    </row>
    <row r="287" ht="15.75" customHeight="1">
      <c r="C287" s="56"/>
      <c r="D287" s="56"/>
    </row>
    <row r="288" ht="15.75" customHeight="1">
      <c r="C288" s="56"/>
      <c r="D288" s="56"/>
    </row>
    <row r="289" ht="15.75" customHeight="1">
      <c r="C289" s="56"/>
      <c r="D289" s="56"/>
    </row>
    <row r="290" ht="15.75" customHeight="1">
      <c r="C290" s="56"/>
      <c r="D290" s="56"/>
    </row>
    <row r="291" ht="15.75" customHeight="1">
      <c r="C291" s="56"/>
      <c r="D291" s="56"/>
    </row>
    <row r="292" ht="15.75" customHeight="1">
      <c r="C292" s="56"/>
      <c r="D292" s="56"/>
    </row>
    <row r="293" ht="15.75" customHeight="1">
      <c r="C293" s="56"/>
      <c r="D293" s="56"/>
    </row>
    <row r="294" ht="15.75" customHeight="1">
      <c r="C294" s="56"/>
      <c r="D294" s="56"/>
    </row>
    <row r="295" ht="15.75" customHeight="1">
      <c r="C295" s="56"/>
      <c r="D295" s="56"/>
    </row>
    <row r="296" ht="15.75" customHeight="1">
      <c r="C296" s="56"/>
      <c r="D296" s="56"/>
    </row>
    <row r="297" ht="15.75" customHeight="1">
      <c r="C297" s="56"/>
      <c r="D297" s="56"/>
    </row>
    <row r="298" ht="15.75" customHeight="1">
      <c r="C298" s="56"/>
      <c r="D298" s="56"/>
    </row>
    <row r="299" ht="15.75" customHeight="1">
      <c r="C299" s="56"/>
      <c r="D299" s="56"/>
    </row>
    <row r="300" ht="15.75" customHeight="1">
      <c r="C300" s="56"/>
      <c r="D300" s="56"/>
    </row>
    <row r="301" ht="15.75" customHeight="1">
      <c r="C301" s="56"/>
      <c r="D301" s="56"/>
    </row>
    <row r="302" ht="15.75" customHeight="1">
      <c r="C302" s="56"/>
      <c r="D302" s="56"/>
    </row>
    <row r="303" ht="15.75" customHeight="1">
      <c r="C303" s="56"/>
      <c r="D303" s="56"/>
    </row>
    <row r="304" ht="15.75" customHeight="1">
      <c r="C304" s="56"/>
      <c r="D304" s="56"/>
    </row>
    <row r="305" ht="15.75" customHeight="1">
      <c r="C305" s="56"/>
      <c r="D305" s="56"/>
    </row>
    <row r="306" ht="15.75" customHeight="1">
      <c r="C306" s="56"/>
      <c r="D306" s="56"/>
    </row>
    <row r="307" ht="15.75" customHeight="1">
      <c r="C307" s="56"/>
      <c r="D307" s="56"/>
    </row>
    <row r="308" ht="15.75" customHeight="1">
      <c r="C308" s="56"/>
      <c r="D308" s="56"/>
    </row>
    <row r="309" ht="15.75" customHeight="1">
      <c r="C309" s="56"/>
      <c r="D309" s="56"/>
    </row>
    <row r="310" ht="15.75" customHeight="1">
      <c r="C310" s="56"/>
      <c r="D310" s="56"/>
    </row>
    <row r="311" ht="15.75" customHeight="1">
      <c r="C311" s="56"/>
      <c r="D311" s="56"/>
    </row>
    <row r="312" ht="15.75" customHeight="1">
      <c r="C312" s="56"/>
      <c r="D312" s="56"/>
    </row>
    <row r="313" ht="15.75" customHeight="1">
      <c r="C313" s="56"/>
      <c r="D313" s="56"/>
    </row>
    <row r="314" ht="15.75" customHeight="1">
      <c r="C314" s="56"/>
      <c r="D314" s="56"/>
    </row>
    <row r="315" ht="15.75" customHeight="1">
      <c r="C315" s="56"/>
      <c r="D315" s="56"/>
    </row>
    <row r="316" ht="15.75" customHeight="1">
      <c r="C316" s="56"/>
      <c r="D316" s="56"/>
    </row>
    <row r="317" ht="15.75" customHeight="1">
      <c r="C317" s="56"/>
      <c r="D317" s="56"/>
    </row>
    <row r="318" ht="15.75" customHeight="1">
      <c r="C318" s="56"/>
      <c r="D318" s="56"/>
    </row>
    <row r="319" ht="15.75" customHeight="1">
      <c r="C319" s="56"/>
      <c r="D319" s="56"/>
    </row>
    <row r="320" ht="15.75" customHeight="1">
      <c r="C320" s="56"/>
      <c r="D320" s="56"/>
    </row>
    <row r="321" ht="15.75" customHeight="1">
      <c r="C321" s="56"/>
      <c r="D321" s="56"/>
    </row>
    <row r="322" ht="15.75" customHeight="1">
      <c r="C322" s="56"/>
      <c r="D322" s="56"/>
    </row>
    <row r="323" ht="15.75" customHeight="1">
      <c r="C323" s="56"/>
      <c r="D323" s="56"/>
    </row>
    <row r="324" ht="15.75" customHeight="1">
      <c r="C324" s="56"/>
      <c r="D324" s="56"/>
    </row>
    <row r="325" ht="15.75" customHeight="1">
      <c r="C325" s="56"/>
      <c r="D325" s="56"/>
    </row>
    <row r="326" ht="15.75" customHeight="1">
      <c r="C326" s="56"/>
      <c r="D326" s="56"/>
    </row>
    <row r="327" ht="15.75" customHeight="1">
      <c r="C327" s="56"/>
      <c r="D327" s="56"/>
    </row>
    <row r="328" ht="15.75" customHeight="1">
      <c r="C328" s="56"/>
      <c r="D328" s="56"/>
    </row>
    <row r="329" ht="15.75" customHeight="1">
      <c r="C329" s="56"/>
      <c r="D329" s="56"/>
    </row>
    <row r="330" ht="15.75" customHeight="1">
      <c r="C330" s="56"/>
      <c r="D330" s="56"/>
    </row>
    <row r="331" ht="15.75" customHeight="1">
      <c r="C331" s="56"/>
      <c r="D331" s="56"/>
    </row>
    <row r="332" ht="15.75" customHeight="1">
      <c r="C332" s="56"/>
      <c r="D332" s="56"/>
    </row>
    <row r="333" ht="15.75" customHeight="1">
      <c r="C333" s="56"/>
      <c r="D333" s="56"/>
    </row>
    <row r="334" ht="15.75" customHeight="1">
      <c r="C334" s="56"/>
      <c r="D334" s="56"/>
    </row>
    <row r="335" ht="15.75" customHeight="1">
      <c r="C335" s="56"/>
      <c r="D335" s="56"/>
    </row>
    <row r="336" ht="15.75" customHeight="1">
      <c r="C336" s="56"/>
      <c r="D336" s="56"/>
    </row>
    <row r="337" ht="15.75" customHeight="1">
      <c r="C337" s="56"/>
      <c r="D337" s="56"/>
    </row>
    <row r="338" ht="15.75" customHeight="1">
      <c r="C338" s="56"/>
      <c r="D338" s="56"/>
    </row>
    <row r="339" ht="15.75" customHeight="1">
      <c r="C339" s="56"/>
      <c r="D339" s="56"/>
    </row>
    <row r="340" ht="15.75" customHeight="1">
      <c r="C340" s="56"/>
      <c r="D340" s="56"/>
    </row>
    <row r="341" ht="15.75" customHeight="1">
      <c r="C341" s="56"/>
      <c r="D341" s="56"/>
    </row>
    <row r="342" ht="15.75" customHeight="1">
      <c r="C342" s="56"/>
      <c r="D342" s="56"/>
    </row>
    <row r="343" ht="15.75" customHeight="1">
      <c r="C343" s="56"/>
      <c r="D343" s="56"/>
    </row>
    <row r="344" ht="15.75" customHeight="1">
      <c r="C344" s="56"/>
      <c r="D344" s="56"/>
    </row>
    <row r="345" ht="15.75" customHeight="1">
      <c r="C345" s="56"/>
      <c r="D345" s="56"/>
    </row>
    <row r="346" ht="15.75" customHeight="1">
      <c r="C346" s="56"/>
      <c r="D346" s="56"/>
    </row>
    <row r="347" ht="15.75" customHeight="1">
      <c r="C347" s="56"/>
      <c r="D347" s="56"/>
    </row>
    <row r="348" ht="15.75" customHeight="1">
      <c r="C348" s="56"/>
      <c r="D348" s="56"/>
    </row>
    <row r="349" ht="15.75" customHeight="1">
      <c r="C349" s="56"/>
      <c r="D349" s="56"/>
    </row>
    <row r="350" ht="15.75" customHeight="1">
      <c r="C350" s="56"/>
      <c r="D350" s="56"/>
    </row>
    <row r="351" ht="15.75" customHeight="1">
      <c r="C351" s="56"/>
      <c r="D351" s="56"/>
    </row>
    <row r="352" ht="15.75" customHeight="1">
      <c r="C352" s="56"/>
      <c r="D352" s="56"/>
    </row>
    <row r="353" ht="15.75" customHeight="1">
      <c r="C353" s="56"/>
      <c r="D353" s="56"/>
    </row>
    <row r="354" ht="15.75" customHeight="1">
      <c r="C354" s="56"/>
      <c r="D354" s="56"/>
    </row>
    <row r="355" ht="15.75" customHeight="1">
      <c r="C355" s="56"/>
      <c r="D355" s="56"/>
    </row>
    <row r="356" ht="15.75" customHeight="1">
      <c r="C356" s="56"/>
      <c r="D356" s="56"/>
    </row>
    <row r="357" ht="15.75" customHeight="1">
      <c r="C357" s="56"/>
      <c r="D357" s="56"/>
    </row>
    <row r="358" ht="15.75" customHeight="1">
      <c r="C358" s="56"/>
      <c r="D358" s="56"/>
    </row>
    <row r="359" ht="15.75" customHeight="1">
      <c r="C359" s="56"/>
      <c r="D359" s="56"/>
    </row>
    <row r="360" ht="15.75" customHeight="1">
      <c r="C360" s="56"/>
      <c r="D360" s="56"/>
    </row>
    <row r="361" ht="15.75" customHeight="1">
      <c r="C361" s="56"/>
      <c r="D361" s="56"/>
    </row>
    <row r="362" ht="15.75" customHeight="1">
      <c r="C362" s="56"/>
      <c r="D362" s="56"/>
    </row>
    <row r="363" ht="15.75" customHeight="1">
      <c r="C363" s="56"/>
      <c r="D363" s="56"/>
    </row>
    <row r="364" ht="15.75" customHeight="1">
      <c r="C364" s="56"/>
      <c r="D364" s="56"/>
    </row>
    <row r="365" ht="15.75" customHeight="1">
      <c r="C365" s="56"/>
      <c r="D365" s="56"/>
    </row>
    <row r="366" ht="15.75" customHeight="1">
      <c r="C366" s="56"/>
      <c r="D366" s="56"/>
    </row>
    <row r="367" ht="15.75" customHeight="1">
      <c r="C367" s="56"/>
      <c r="D367" s="56"/>
    </row>
    <row r="368" ht="15.75" customHeight="1">
      <c r="C368" s="56"/>
      <c r="D368" s="56"/>
    </row>
    <row r="369" ht="15.75" customHeight="1">
      <c r="C369" s="56"/>
      <c r="D369" s="56"/>
    </row>
    <row r="370" ht="15.75" customHeight="1">
      <c r="C370" s="56"/>
      <c r="D370" s="56"/>
    </row>
    <row r="371" ht="15.75" customHeight="1">
      <c r="C371" s="56"/>
      <c r="D371" s="56"/>
    </row>
    <row r="372" ht="15.75" customHeight="1">
      <c r="C372" s="56"/>
      <c r="D372" s="56"/>
    </row>
    <row r="373" ht="15.75" customHeight="1">
      <c r="C373" s="56"/>
      <c r="D373" s="56"/>
    </row>
    <row r="374" ht="15.75" customHeight="1">
      <c r="C374" s="56"/>
      <c r="D374" s="56"/>
    </row>
    <row r="375" ht="15.75" customHeight="1">
      <c r="C375" s="56"/>
      <c r="D375" s="56"/>
    </row>
    <row r="376" ht="15.75" customHeight="1">
      <c r="C376" s="56"/>
      <c r="D376" s="56"/>
    </row>
    <row r="377" ht="15.75" customHeight="1">
      <c r="C377" s="56"/>
      <c r="D377" s="56"/>
    </row>
    <row r="378" ht="15.75" customHeight="1">
      <c r="C378" s="56"/>
      <c r="D378" s="56"/>
    </row>
    <row r="379" ht="15.75" customHeight="1">
      <c r="C379" s="56"/>
      <c r="D379" s="56"/>
    </row>
    <row r="380" ht="15.75" customHeight="1">
      <c r="C380" s="56"/>
      <c r="D380" s="56"/>
    </row>
    <row r="381" ht="15.75" customHeight="1">
      <c r="C381" s="56"/>
      <c r="D381" s="56"/>
    </row>
    <row r="382" ht="15.75" customHeight="1">
      <c r="C382" s="56"/>
      <c r="D382" s="56"/>
    </row>
    <row r="383" ht="15.75" customHeight="1">
      <c r="C383" s="56"/>
      <c r="D383" s="56"/>
    </row>
    <row r="384" ht="15.75" customHeight="1">
      <c r="C384" s="56"/>
      <c r="D384" s="56"/>
    </row>
    <row r="385" ht="15.75" customHeight="1">
      <c r="C385" s="56"/>
      <c r="D385" s="56"/>
    </row>
    <row r="386" ht="15.75" customHeight="1">
      <c r="C386" s="56"/>
      <c r="D386" s="56"/>
    </row>
    <row r="387" ht="15.75" customHeight="1">
      <c r="C387" s="56"/>
      <c r="D387" s="56"/>
    </row>
    <row r="388" ht="15.75" customHeight="1">
      <c r="C388" s="56"/>
      <c r="D388" s="56"/>
    </row>
    <row r="389" ht="15.75" customHeight="1">
      <c r="C389" s="56"/>
      <c r="D389" s="56"/>
    </row>
    <row r="390" ht="15.75" customHeight="1">
      <c r="C390" s="56"/>
      <c r="D390" s="56"/>
    </row>
    <row r="391" ht="15.75" customHeight="1">
      <c r="C391" s="56"/>
      <c r="D391" s="56"/>
    </row>
    <row r="392" ht="15.75" customHeight="1">
      <c r="C392" s="56"/>
      <c r="D392" s="56"/>
    </row>
    <row r="393" ht="15.75" customHeight="1">
      <c r="C393" s="56"/>
      <c r="D393" s="56"/>
    </row>
    <row r="394" ht="15.75" customHeight="1">
      <c r="C394" s="56"/>
      <c r="D394" s="56"/>
    </row>
    <row r="395" ht="15.75" customHeight="1">
      <c r="C395" s="56"/>
      <c r="D395" s="56"/>
    </row>
    <row r="396" ht="15.75" customHeight="1">
      <c r="C396" s="56"/>
      <c r="D396" s="56"/>
    </row>
    <row r="397" ht="15.75" customHeight="1">
      <c r="C397" s="56"/>
      <c r="D397" s="56"/>
    </row>
    <row r="398" ht="15.75" customHeight="1">
      <c r="C398" s="56"/>
      <c r="D398" s="56"/>
    </row>
    <row r="399" ht="15.75" customHeight="1">
      <c r="C399" s="56"/>
      <c r="D399" s="56"/>
    </row>
    <row r="400" ht="15.75" customHeight="1">
      <c r="C400" s="56"/>
      <c r="D400" s="56"/>
    </row>
    <row r="401" ht="15.75" customHeight="1">
      <c r="C401" s="56"/>
      <c r="D401" s="56"/>
    </row>
    <row r="402" ht="15.75" customHeight="1">
      <c r="C402" s="56"/>
      <c r="D402" s="56"/>
    </row>
    <row r="403" ht="15.75" customHeight="1">
      <c r="C403" s="56"/>
      <c r="D403" s="56"/>
    </row>
    <row r="404" ht="15.75" customHeight="1">
      <c r="C404" s="56"/>
      <c r="D404" s="56"/>
    </row>
    <row r="405" ht="15.75" customHeight="1">
      <c r="C405" s="56"/>
      <c r="D405" s="56"/>
    </row>
    <row r="406" ht="15.75" customHeight="1">
      <c r="C406" s="56"/>
      <c r="D406" s="56"/>
    </row>
    <row r="407" ht="15.75" customHeight="1">
      <c r="C407" s="56"/>
      <c r="D407" s="56"/>
    </row>
    <row r="408" ht="15.75" customHeight="1">
      <c r="C408" s="56"/>
      <c r="D408" s="56"/>
    </row>
    <row r="409" ht="15.75" customHeight="1">
      <c r="C409" s="56"/>
      <c r="D409" s="56"/>
    </row>
    <row r="410" ht="15.75" customHeight="1">
      <c r="C410" s="56"/>
      <c r="D410" s="56"/>
    </row>
    <row r="411" ht="15.75" customHeight="1">
      <c r="C411" s="56"/>
      <c r="D411" s="56"/>
    </row>
    <row r="412" ht="15.75" customHeight="1">
      <c r="C412" s="56"/>
      <c r="D412" s="56"/>
    </row>
    <row r="413" ht="15.75" customHeight="1">
      <c r="C413" s="56"/>
      <c r="D413" s="56"/>
    </row>
    <row r="414" ht="15.75" customHeight="1">
      <c r="C414" s="56"/>
      <c r="D414" s="56"/>
    </row>
    <row r="415" ht="15.75" customHeight="1">
      <c r="C415" s="56"/>
      <c r="D415" s="56"/>
    </row>
    <row r="416" ht="15.75" customHeight="1">
      <c r="C416" s="56"/>
      <c r="D416" s="56"/>
    </row>
    <row r="417" ht="15.75" customHeight="1">
      <c r="C417" s="56"/>
      <c r="D417" s="56"/>
    </row>
    <row r="418" ht="15.75" customHeight="1">
      <c r="C418" s="56"/>
      <c r="D418" s="56"/>
    </row>
    <row r="419" ht="15.75" customHeight="1">
      <c r="C419" s="56"/>
      <c r="D419" s="56"/>
    </row>
    <row r="420" ht="15.75" customHeight="1">
      <c r="C420" s="56"/>
      <c r="D420" s="56"/>
    </row>
    <row r="421" ht="15.75" customHeight="1">
      <c r="C421" s="56"/>
      <c r="D421" s="56"/>
    </row>
    <row r="422" ht="15.75" customHeight="1">
      <c r="C422" s="56"/>
      <c r="D422" s="56"/>
    </row>
    <row r="423" ht="15.75" customHeight="1">
      <c r="C423" s="56"/>
      <c r="D423" s="56"/>
    </row>
    <row r="424" ht="15.75" customHeight="1">
      <c r="C424" s="56"/>
      <c r="D424" s="56"/>
    </row>
    <row r="425" ht="15.75" customHeight="1">
      <c r="C425" s="56"/>
      <c r="D425" s="56"/>
    </row>
    <row r="426" ht="15.75" customHeight="1">
      <c r="C426" s="56"/>
      <c r="D426" s="56"/>
    </row>
    <row r="427" ht="15.75" customHeight="1">
      <c r="C427" s="56"/>
      <c r="D427" s="56"/>
    </row>
    <row r="428" ht="15.75" customHeight="1">
      <c r="C428" s="56"/>
      <c r="D428" s="56"/>
    </row>
    <row r="429" ht="15.75" customHeight="1">
      <c r="C429" s="56"/>
      <c r="D429" s="56"/>
    </row>
    <row r="430" ht="15.75" customHeight="1">
      <c r="C430" s="56"/>
      <c r="D430" s="56"/>
    </row>
    <row r="431" ht="15.75" customHeight="1">
      <c r="C431" s="56"/>
      <c r="D431" s="56"/>
    </row>
    <row r="432" ht="15.75" customHeight="1">
      <c r="C432" s="56"/>
      <c r="D432" s="56"/>
    </row>
    <row r="433" ht="15.75" customHeight="1">
      <c r="C433" s="56"/>
      <c r="D433" s="56"/>
    </row>
    <row r="434" ht="15.75" customHeight="1">
      <c r="C434" s="56"/>
      <c r="D434" s="56"/>
    </row>
    <row r="435" ht="15.75" customHeight="1">
      <c r="C435" s="56"/>
      <c r="D435" s="56"/>
    </row>
    <row r="436" ht="15.75" customHeight="1">
      <c r="C436" s="56"/>
      <c r="D436" s="56"/>
    </row>
    <row r="437" ht="15.75" customHeight="1">
      <c r="C437" s="56"/>
      <c r="D437" s="56"/>
    </row>
    <row r="438" ht="15.75" customHeight="1">
      <c r="C438" s="56"/>
      <c r="D438" s="56"/>
    </row>
    <row r="439" ht="15.75" customHeight="1">
      <c r="C439" s="56"/>
      <c r="D439" s="56"/>
    </row>
    <row r="440" ht="15.75" customHeight="1">
      <c r="C440" s="56"/>
      <c r="D440" s="56"/>
    </row>
    <row r="441" ht="15.75" customHeight="1">
      <c r="C441" s="56"/>
      <c r="D441" s="56"/>
    </row>
    <row r="442" ht="15.75" customHeight="1">
      <c r="C442" s="56"/>
      <c r="D442" s="56"/>
    </row>
    <row r="443" ht="15.75" customHeight="1">
      <c r="C443" s="56"/>
      <c r="D443" s="56"/>
    </row>
    <row r="444" ht="15.75" customHeight="1">
      <c r="C444" s="56"/>
      <c r="D444" s="56"/>
    </row>
    <row r="445" ht="15.75" customHeight="1">
      <c r="C445" s="56"/>
      <c r="D445" s="56"/>
    </row>
    <row r="446" ht="15.75" customHeight="1">
      <c r="C446" s="56"/>
      <c r="D446" s="56"/>
    </row>
    <row r="447" ht="15.75" customHeight="1">
      <c r="C447" s="56"/>
      <c r="D447" s="56"/>
    </row>
    <row r="448" ht="15.75" customHeight="1">
      <c r="C448" s="56"/>
      <c r="D448" s="56"/>
    </row>
    <row r="449" ht="15.75" customHeight="1">
      <c r="C449" s="56"/>
      <c r="D449" s="56"/>
    </row>
    <row r="450" ht="15.75" customHeight="1">
      <c r="C450" s="56"/>
      <c r="D450" s="56"/>
    </row>
    <row r="451" ht="15.75" customHeight="1">
      <c r="C451" s="56"/>
      <c r="D451" s="56"/>
    </row>
    <row r="452" ht="15.75" customHeight="1">
      <c r="C452" s="56"/>
      <c r="D452" s="56"/>
    </row>
    <row r="453" ht="15.75" customHeight="1">
      <c r="C453" s="56"/>
      <c r="D453" s="56"/>
    </row>
    <row r="454" ht="15.75" customHeight="1">
      <c r="C454" s="56"/>
      <c r="D454" s="56"/>
    </row>
    <row r="455" ht="15.75" customHeight="1">
      <c r="C455" s="56"/>
      <c r="D455" s="56"/>
    </row>
    <row r="456" ht="15.75" customHeight="1">
      <c r="C456" s="56"/>
      <c r="D456" s="56"/>
    </row>
    <row r="457" ht="15.75" customHeight="1">
      <c r="C457" s="56"/>
      <c r="D457" s="56"/>
    </row>
    <row r="458" ht="15.75" customHeight="1">
      <c r="C458" s="56"/>
      <c r="D458" s="56"/>
    </row>
    <row r="459" ht="15.75" customHeight="1">
      <c r="C459" s="56"/>
      <c r="D459" s="56"/>
    </row>
    <row r="460" ht="15.75" customHeight="1">
      <c r="C460" s="56"/>
      <c r="D460" s="56"/>
    </row>
    <row r="461" ht="15.75" customHeight="1">
      <c r="C461" s="56"/>
      <c r="D461" s="56"/>
    </row>
    <row r="462" ht="15.75" customHeight="1">
      <c r="C462" s="56"/>
      <c r="D462" s="56"/>
    </row>
    <row r="463" ht="15.75" customHeight="1">
      <c r="C463" s="56"/>
      <c r="D463" s="56"/>
    </row>
    <row r="464" ht="15.75" customHeight="1">
      <c r="C464" s="56"/>
      <c r="D464" s="56"/>
    </row>
    <row r="465" ht="15.75" customHeight="1">
      <c r="C465" s="56"/>
      <c r="D465" s="56"/>
    </row>
    <row r="466" ht="15.75" customHeight="1">
      <c r="C466" s="56"/>
      <c r="D466" s="56"/>
    </row>
    <row r="467" ht="15.75" customHeight="1">
      <c r="C467" s="56"/>
      <c r="D467" s="56"/>
    </row>
    <row r="468" ht="15.75" customHeight="1">
      <c r="C468" s="56"/>
      <c r="D468" s="56"/>
    </row>
    <row r="469" ht="15.75" customHeight="1">
      <c r="C469" s="56"/>
      <c r="D469" s="56"/>
    </row>
    <row r="470" ht="15.75" customHeight="1">
      <c r="C470" s="56"/>
      <c r="D470" s="56"/>
    </row>
    <row r="471" ht="15.75" customHeight="1">
      <c r="C471" s="56"/>
      <c r="D471" s="56"/>
    </row>
    <row r="472" ht="15.75" customHeight="1">
      <c r="C472" s="56"/>
      <c r="D472" s="56"/>
    </row>
    <row r="473" ht="15.75" customHeight="1">
      <c r="C473" s="56"/>
      <c r="D473" s="56"/>
    </row>
    <row r="474" ht="15.75" customHeight="1">
      <c r="C474" s="56"/>
      <c r="D474" s="56"/>
    </row>
    <row r="475" ht="15.75" customHeight="1">
      <c r="C475" s="56"/>
      <c r="D475" s="56"/>
    </row>
    <row r="476" ht="15.75" customHeight="1">
      <c r="C476" s="56"/>
      <c r="D476" s="56"/>
    </row>
    <row r="477" ht="15.75" customHeight="1">
      <c r="C477" s="56"/>
      <c r="D477" s="56"/>
    </row>
    <row r="478" ht="15.75" customHeight="1">
      <c r="C478" s="56"/>
      <c r="D478" s="56"/>
    </row>
    <row r="479" ht="15.75" customHeight="1">
      <c r="C479" s="56"/>
      <c r="D479" s="56"/>
    </row>
    <row r="480" ht="15.75" customHeight="1">
      <c r="C480" s="56"/>
      <c r="D480" s="56"/>
    </row>
    <row r="481" ht="15.75" customHeight="1">
      <c r="C481" s="56"/>
      <c r="D481" s="56"/>
    </row>
    <row r="482" ht="15.75" customHeight="1">
      <c r="C482" s="56"/>
      <c r="D482" s="56"/>
    </row>
    <row r="483" ht="15.75" customHeight="1">
      <c r="C483" s="56"/>
      <c r="D483" s="56"/>
    </row>
    <row r="484" ht="15.75" customHeight="1">
      <c r="C484" s="56"/>
      <c r="D484" s="56"/>
    </row>
    <row r="485" ht="15.75" customHeight="1">
      <c r="C485" s="56"/>
      <c r="D485" s="56"/>
    </row>
    <row r="486" ht="15.75" customHeight="1">
      <c r="C486" s="56"/>
      <c r="D486" s="56"/>
    </row>
    <row r="487" ht="15.75" customHeight="1">
      <c r="C487" s="56"/>
      <c r="D487" s="56"/>
    </row>
    <row r="488" ht="15.75" customHeight="1">
      <c r="C488" s="56"/>
      <c r="D488" s="56"/>
    </row>
    <row r="489" ht="15.75" customHeight="1">
      <c r="C489" s="56"/>
      <c r="D489" s="56"/>
    </row>
    <row r="490" ht="15.75" customHeight="1">
      <c r="C490" s="56"/>
      <c r="D490" s="56"/>
    </row>
    <row r="491" ht="15.75" customHeight="1">
      <c r="C491" s="56"/>
      <c r="D491" s="56"/>
    </row>
    <row r="492" ht="15.75" customHeight="1">
      <c r="C492" s="56"/>
      <c r="D492" s="56"/>
    </row>
    <row r="493" ht="15.75" customHeight="1">
      <c r="C493" s="56"/>
      <c r="D493" s="56"/>
    </row>
    <row r="494" ht="15.75" customHeight="1">
      <c r="C494" s="56"/>
      <c r="D494" s="56"/>
    </row>
    <row r="495" ht="15.75" customHeight="1">
      <c r="C495" s="56"/>
      <c r="D495" s="56"/>
    </row>
    <row r="496" ht="15.75" customHeight="1">
      <c r="C496" s="56"/>
      <c r="D496" s="56"/>
    </row>
    <row r="497" ht="15.75" customHeight="1">
      <c r="C497" s="56"/>
      <c r="D497" s="56"/>
    </row>
    <row r="498" ht="15.75" customHeight="1">
      <c r="C498" s="56"/>
      <c r="D498" s="56"/>
    </row>
    <row r="499" ht="15.75" customHeight="1">
      <c r="C499" s="56"/>
      <c r="D499" s="56"/>
    </row>
    <row r="500" ht="15.75" customHeight="1">
      <c r="C500" s="56"/>
      <c r="D500" s="56"/>
    </row>
    <row r="501" ht="15.75" customHeight="1">
      <c r="C501" s="56"/>
      <c r="D501" s="56"/>
    </row>
    <row r="502" ht="15.75" customHeight="1">
      <c r="C502" s="56"/>
      <c r="D502" s="56"/>
    </row>
    <row r="503" ht="15.75" customHeight="1">
      <c r="C503" s="56"/>
      <c r="D503" s="56"/>
    </row>
    <row r="504" ht="15.75" customHeight="1">
      <c r="C504" s="56"/>
      <c r="D504" s="56"/>
    </row>
    <row r="505" ht="15.75" customHeight="1">
      <c r="C505" s="56"/>
      <c r="D505" s="56"/>
    </row>
    <row r="506" ht="15.75" customHeight="1">
      <c r="C506" s="56"/>
      <c r="D506" s="56"/>
    </row>
    <row r="507" ht="15.75" customHeight="1">
      <c r="C507" s="56"/>
      <c r="D507" s="56"/>
    </row>
    <row r="508" ht="15.75" customHeight="1">
      <c r="C508" s="56"/>
      <c r="D508" s="56"/>
    </row>
    <row r="509" ht="15.75" customHeight="1">
      <c r="C509" s="56"/>
      <c r="D509" s="56"/>
    </row>
    <row r="510" ht="15.75" customHeight="1">
      <c r="C510" s="56"/>
      <c r="D510" s="56"/>
    </row>
    <row r="511" ht="15.75" customHeight="1">
      <c r="C511" s="56"/>
      <c r="D511" s="56"/>
    </row>
    <row r="512" ht="15.75" customHeight="1">
      <c r="C512" s="56"/>
      <c r="D512" s="56"/>
    </row>
    <row r="513" ht="15.75" customHeight="1">
      <c r="C513" s="56"/>
      <c r="D513" s="56"/>
    </row>
    <row r="514" ht="15.75" customHeight="1">
      <c r="C514" s="56"/>
      <c r="D514" s="56"/>
    </row>
    <row r="515" ht="15.75" customHeight="1">
      <c r="C515" s="56"/>
      <c r="D515" s="56"/>
    </row>
    <row r="516" ht="15.75" customHeight="1">
      <c r="C516" s="56"/>
      <c r="D516" s="56"/>
    </row>
    <row r="517" ht="15.75" customHeight="1">
      <c r="C517" s="56"/>
      <c r="D517" s="56"/>
    </row>
    <row r="518" ht="15.75" customHeight="1">
      <c r="C518" s="56"/>
      <c r="D518" s="56"/>
    </row>
    <row r="519" ht="15.75" customHeight="1">
      <c r="C519" s="56"/>
      <c r="D519" s="56"/>
    </row>
    <row r="520" ht="15.75" customHeight="1">
      <c r="C520" s="56"/>
      <c r="D520" s="56"/>
    </row>
    <row r="521" ht="15.75" customHeight="1">
      <c r="C521" s="56"/>
      <c r="D521" s="56"/>
    </row>
    <row r="522" ht="15.75" customHeight="1">
      <c r="C522" s="56"/>
      <c r="D522" s="56"/>
    </row>
    <row r="523" ht="15.75" customHeight="1">
      <c r="C523" s="56"/>
      <c r="D523" s="56"/>
    </row>
    <row r="524" ht="15.75" customHeight="1">
      <c r="C524" s="56"/>
      <c r="D524" s="56"/>
    </row>
    <row r="525" ht="15.75" customHeight="1">
      <c r="C525" s="56"/>
      <c r="D525" s="56"/>
    </row>
    <row r="526" ht="15.75" customHeight="1">
      <c r="C526" s="56"/>
      <c r="D526" s="56"/>
    </row>
    <row r="527" ht="15.75" customHeight="1">
      <c r="C527" s="56"/>
      <c r="D527" s="56"/>
    </row>
    <row r="528" ht="15.75" customHeight="1">
      <c r="C528" s="56"/>
      <c r="D528" s="56"/>
    </row>
    <row r="529" ht="15.75" customHeight="1">
      <c r="C529" s="56"/>
      <c r="D529" s="56"/>
    </row>
    <row r="530" ht="15.75" customHeight="1">
      <c r="C530" s="56"/>
      <c r="D530" s="56"/>
    </row>
    <row r="531" ht="15.75" customHeight="1">
      <c r="C531" s="56"/>
      <c r="D531" s="56"/>
    </row>
    <row r="532" ht="15.75" customHeight="1">
      <c r="C532" s="56"/>
      <c r="D532" s="56"/>
    </row>
    <row r="533" ht="15.75" customHeight="1">
      <c r="C533" s="56"/>
      <c r="D533" s="56"/>
    </row>
    <row r="534" ht="15.75" customHeight="1">
      <c r="C534" s="56"/>
      <c r="D534" s="56"/>
    </row>
    <row r="535" ht="15.75" customHeight="1">
      <c r="C535" s="56"/>
      <c r="D535" s="56"/>
    </row>
    <row r="536" ht="15.75" customHeight="1">
      <c r="C536" s="56"/>
      <c r="D536" s="56"/>
    </row>
    <row r="537" ht="15.75" customHeight="1">
      <c r="C537" s="56"/>
      <c r="D537" s="56"/>
    </row>
    <row r="538" ht="15.75" customHeight="1">
      <c r="C538" s="56"/>
      <c r="D538" s="56"/>
    </row>
    <row r="539" ht="15.75" customHeight="1">
      <c r="C539" s="56"/>
      <c r="D539" s="56"/>
    </row>
    <row r="540" ht="15.75" customHeight="1">
      <c r="C540" s="56"/>
      <c r="D540" s="56"/>
    </row>
    <row r="541" ht="15.75" customHeight="1">
      <c r="C541" s="56"/>
      <c r="D541" s="56"/>
    </row>
    <row r="542" ht="15.75" customHeight="1">
      <c r="C542" s="56"/>
      <c r="D542" s="56"/>
    </row>
    <row r="543" ht="15.75" customHeight="1">
      <c r="C543" s="56"/>
      <c r="D543" s="56"/>
    </row>
    <row r="544" ht="15.75" customHeight="1">
      <c r="C544" s="56"/>
      <c r="D544" s="56"/>
    </row>
    <row r="545" ht="15.75" customHeight="1">
      <c r="C545" s="56"/>
      <c r="D545" s="56"/>
    </row>
    <row r="546" ht="15.75" customHeight="1">
      <c r="C546" s="56"/>
      <c r="D546" s="56"/>
    </row>
    <row r="547" ht="15.75" customHeight="1">
      <c r="C547" s="56"/>
      <c r="D547" s="56"/>
    </row>
    <row r="548" ht="15.75" customHeight="1">
      <c r="C548" s="56"/>
      <c r="D548" s="56"/>
    </row>
    <row r="549" ht="15.75" customHeight="1">
      <c r="C549" s="56"/>
      <c r="D549" s="56"/>
    </row>
    <row r="550" ht="15.75" customHeight="1">
      <c r="C550" s="56"/>
      <c r="D550" s="56"/>
    </row>
    <row r="551" ht="15.75" customHeight="1">
      <c r="C551" s="56"/>
      <c r="D551" s="56"/>
    </row>
    <row r="552" ht="15.75" customHeight="1">
      <c r="C552" s="56"/>
      <c r="D552" s="56"/>
    </row>
    <row r="553" ht="15.75" customHeight="1">
      <c r="C553" s="56"/>
      <c r="D553" s="56"/>
    </row>
    <row r="554" ht="15.75" customHeight="1">
      <c r="C554" s="56"/>
      <c r="D554" s="56"/>
    </row>
    <row r="555" ht="15.75" customHeight="1">
      <c r="C555" s="56"/>
      <c r="D555" s="56"/>
    </row>
    <row r="556" ht="15.75" customHeight="1">
      <c r="C556" s="56"/>
      <c r="D556" s="56"/>
    </row>
    <row r="557" ht="15.75" customHeight="1">
      <c r="C557" s="56"/>
      <c r="D557" s="56"/>
    </row>
    <row r="558" ht="15.75" customHeight="1">
      <c r="C558" s="56"/>
      <c r="D558" s="56"/>
    </row>
    <row r="559" ht="15.75" customHeight="1">
      <c r="C559" s="56"/>
      <c r="D559" s="56"/>
    </row>
    <row r="560" ht="15.75" customHeight="1">
      <c r="C560" s="56"/>
      <c r="D560" s="56"/>
    </row>
    <row r="561" ht="15.75" customHeight="1">
      <c r="C561" s="56"/>
      <c r="D561" s="56"/>
    </row>
    <row r="562" ht="15.75" customHeight="1">
      <c r="C562" s="56"/>
      <c r="D562" s="56"/>
    </row>
    <row r="563" ht="15.75" customHeight="1">
      <c r="C563" s="56"/>
      <c r="D563" s="56"/>
    </row>
    <row r="564" ht="15.75" customHeight="1">
      <c r="C564" s="56"/>
      <c r="D564" s="56"/>
    </row>
    <row r="565" ht="15.75" customHeight="1">
      <c r="C565" s="56"/>
      <c r="D565" s="56"/>
    </row>
    <row r="566" ht="15.75" customHeight="1">
      <c r="C566" s="56"/>
      <c r="D566" s="56"/>
    </row>
    <row r="567" ht="15.75" customHeight="1">
      <c r="C567" s="56"/>
      <c r="D567" s="56"/>
    </row>
    <row r="568" ht="15.75" customHeight="1">
      <c r="C568" s="56"/>
      <c r="D568" s="56"/>
    </row>
    <row r="569" ht="15.75" customHeight="1">
      <c r="C569" s="56"/>
      <c r="D569" s="56"/>
    </row>
    <row r="570" ht="15.75" customHeight="1">
      <c r="C570" s="56"/>
      <c r="D570" s="56"/>
    </row>
    <row r="571" ht="15.75" customHeight="1">
      <c r="C571" s="56"/>
      <c r="D571" s="56"/>
    </row>
    <row r="572" ht="15.75" customHeight="1">
      <c r="C572" s="56"/>
      <c r="D572" s="56"/>
    </row>
    <row r="573" ht="15.75" customHeight="1">
      <c r="C573" s="56"/>
      <c r="D573" s="56"/>
    </row>
    <row r="574" ht="15.75" customHeight="1">
      <c r="C574" s="56"/>
      <c r="D574" s="56"/>
    </row>
    <row r="575" ht="15.75" customHeight="1">
      <c r="C575" s="56"/>
      <c r="D575" s="56"/>
    </row>
    <row r="576" ht="15.75" customHeight="1">
      <c r="C576" s="56"/>
      <c r="D576" s="56"/>
    </row>
    <row r="577" ht="15.75" customHeight="1">
      <c r="C577" s="56"/>
      <c r="D577" s="56"/>
    </row>
    <row r="578" ht="15.75" customHeight="1">
      <c r="C578" s="56"/>
      <c r="D578" s="56"/>
    </row>
    <row r="579" ht="15.75" customHeight="1">
      <c r="C579" s="56"/>
      <c r="D579" s="56"/>
    </row>
    <row r="580" ht="15.75" customHeight="1">
      <c r="C580" s="56"/>
      <c r="D580" s="56"/>
    </row>
    <row r="581" ht="15.75" customHeight="1">
      <c r="C581" s="56"/>
      <c r="D581" s="56"/>
    </row>
    <row r="582" ht="15.75" customHeight="1">
      <c r="C582" s="56"/>
      <c r="D582" s="56"/>
    </row>
    <row r="583" ht="15.75" customHeight="1">
      <c r="C583" s="56"/>
      <c r="D583" s="56"/>
    </row>
    <row r="584" ht="15.75" customHeight="1">
      <c r="C584" s="56"/>
      <c r="D584" s="56"/>
    </row>
    <row r="585" ht="15.75" customHeight="1">
      <c r="C585" s="56"/>
      <c r="D585" s="56"/>
    </row>
    <row r="586" ht="15.75" customHeight="1">
      <c r="C586" s="56"/>
      <c r="D586" s="56"/>
    </row>
    <row r="587" ht="15.75" customHeight="1">
      <c r="C587" s="56"/>
      <c r="D587" s="56"/>
    </row>
    <row r="588" ht="15.75" customHeight="1">
      <c r="C588" s="56"/>
      <c r="D588" s="56"/>
    </row>
    <row r="589" ht="15.75" customHeight="1">
      <c r="C589" s="56"/>
      <c r="D589" s="56"/>
    </row>
    <row r="590" ht="15.75" customHeight="1">
      <c r="C590" s="56"/>
      <c r="D590" s="56"/>
    </row>
    <row r="591" ht="15.75" customHeight="1">
      <c r="C591" s="56"/>
      <c r="D591" s="56"/>
    </row>
    <row r="592" ht="15.75" customHeight="1">
      <c r="C592" s="56"/>
      <c r="D592" s="56"/>
    </row>
    <row r="593" ht="15.75" customHeight="1">
      <c r="C593" s="56"/>
      <c r="D593" s="56"/>
    </row>
    <row r="594" ht="15.75" customHeight="1">
      <c r="C594" s="56"/>
      <c r="D594" s="56"/>
    </row>
    <row r="595" ht="15.75" customHeight="1">
      <c r="C595" s="56"/>
      <c r="D595" s="56"/>
    </row>
    <row r="596" ht="15.75" customHeight="1">
      <c r="C596" s="56"/>
      <c r="D596" s="56"/>
    </row>
    <row r="597" ht="15.75" customHeight="1">
      <c r="C597" s="56"/>
      <c r="D597" s="56"/>
    </row>
    <row r="598" ht="15.75" customHeight="1">
      <c r="C598" s="56"/>
      <c r="D598" s="56"/>
    </row>
    <row r="599" ht="15.75" customHeight="1">
      <c r="C599" s="56"/>
      <c r="D599" s="56"/>
    </row>
    <row r="600" ht="15.75" customHeight="1">
      <c r="C600" s="56"/>
      <c r="D600" s="56"/>
    </row>
    <row r="601" ht="15.75" customHeight="1">
      <c r="C601" s="56"/>
      <c r="D601" s="56"/>
    </row>
    <row r="602" ht="15.75" customHeight="1">
      <c r="C602" s="56"/>
      <c r="D602" s="56"/>
    </row>
    <row r="603" ht="15.75" customHeight="1">
      <c r="C603" s="56"/>
      <c r="D603" s="56"/>
    </row>
    <row r="604" ht="15.75" customHeight="1">
      <c r="C604" s="56"/>
      <c r="D604" s="56"/>
    </row>
    <row r="605" ht="15.75" customHeight="1">
      <c r="C605" s="56"/>
      <c r="D605" s="56"/>
    </row>
    <row r="606" ht="15.75" customHeight="1">
      <c r="C606" s="56"/>
      <c r="D606" s="56"/>
    </row>
    <row r="607" ht="15.75" customHeight="1">
      <c r="C607" s="56"/>
      <c r="D607" s="56"/>
    </row>
    <row r="608" ht="15.75" customHeight="1">
      <c r="C608" s="56"/>
      <c r="D608" s="56"/>
    </row>
    <row r="609" ht="15.75" customHeight="1">
      <c r="C609" s="56"/>
      <c r="D609" s="56"/>
    </row>
    <row r="610" ht="15.75" customHeight="1">
      <c r="C610" s="56"/>
      <c r="D610" s="56"/>
    </row>
    <row r="611" ht="15.75" customHeight="1">
      <c r="C611" s="56"/>
      <c r="D611" s="56"/>
    </row>
    <row r="612" ht="15.75" customHeight="1">
      <c r="C612" s="56"/>
      <c r="D612" s="56"/>
    </row>
    <row r="613" ht="15.75" customHeight="1">
      <c r="C613" s="56"/>
      <c r="D613" s="56"/>
    </row>
    <row r="614" ht="15.75" customHeight="1">
      <c r="C614" s="56"/>
      <c r="D614" s="56"/>
    </row>
    <row r="615" ht="15.75" customHeight="1">
      <c r="C615" s="56"/>
      <c r="D615" s="56"/>
    </row>
    <row r="616" ht="15.75" customHeight="1">
      <c r="C616" s="56"/>
      <c r="D616" s="56"/>
    </row>
    <row r="617" ht="15.75" customHeight="1">
      <c r="C617" s="56"/>
      <c r="D617" s="56"/>
    </row>
    <row r="618" ht="15.75" customHeight="1">
      <c r="C618" s="56"/>
      <c r="D618" s="56"/>
    </row>
    <row r="619" ht="15.75" customHeight="1">
      <c r="C619" s="56"/>
      <c r="D619" s="56"/>
    </row>
    <row r="620" ht="15.75" customHeight="1">
      <c r="C620" s="56"/>
      <c r="D620" s="56"/>
    </row>
    <row r="621" ht="15.75" customHeight="1">
      <c r="C621" s="56"/>
      <c r="D621" s="56"/>
    </row>
    <row r="622" ht="15.75" customHeight="1">
      <c r="C622" s="56"/>
      <c r="D622" s="56"/>
    </row>
    <row r="623" ht="15.75" customHeight="1">
      <c r="C623" s="56"/>
      <c r="D623" s="56"/>
    </row>
    <row r="624" ht="15.75" customHeight="1">
      <c r="C624" s="56"/>
      <c r="D624" s="56"/>
    </row>
    <row r="625" ht="15.75" customHeight="1">
      <c r="C625" s="56"/>
      <c r="D625" s="56"/>
    </row>
    <row r="626" ht="15.75" customHeight="1">
      <c r="C626" s="56"/>
      <c r="D626" s="56"/>
    </row>
    <row r="627" ht="15.75" customHeight="1">
      <c r="C627" s="56"/>
      <c r="D627" s="56"/>
    </row>
    <row r="628" ht="15.75" customHeight="1">
      <c r="C628" s="56"/>
      <c r="D628" s="56"/>
    </row>
    <row r="629" ht="15.75" customHeight="1">
      <c r="C629" s="56"/>
      <c r="D629" s="56"/>
    </row>
    <row r="630" ht="15.75" customHeight="1">
      <c r="C630" s="56"/>
      <c r="D630" s="56"/>
    </row>
    <row r="631" ht="15.75" customHeight="1">
      <c r="C631" s="56"/>
      <c r="D631" s="56"/>
    </row>
    <row r="632" ht="15.75" customHeight="1">
      <c r="C632" s="56"/>
      <c r="D632" s="56"/>
    </row>
    <row r="633" ht="15.75" customHeight="1">
      <c r="C633" s="56"/>
      <c r="D633" s="56"/>
    </row>
    <row r="634" ht="15.75" customHeight="1">
      <c r="C634" s="56"/>
      <c r="D634" s="56"/>
    </row>
    <row r="635" ht="15.75" customHeight="1">
      <c r="C635" s="56"/>
      <c r="D635" s="56"/>
    </row>
    <row r="636" ht="15.75" customHeight="1">
      <c r="C636" s="56"/>
      <c r="D636" s="56"/>
    </row>
    <row r="637" ht="15.75" customHeight="1">
      <c r="C637" s="56"/>
      <c r="D637" s="56"/>
    </row>
    <row r="638" ht="15.75" customHeight="1">
      <c r="C638" s="56"/>
      <c r="D638" s="56"/>
    </row>
    <row r="639" ht="15.75" customHeight="1">
      <c r="C639" s="56"/>
      <c r="D639" s="56"/>
    </row>
    <row r="640" ht="15.75" customHeight="1">
      <c r="C640" s="56"/>
      <c r="D640" s="56"/>
    </row>
    <row r="641" ht="15.75" customHeight="1">
      <c r="C641" s="56"/>
      <c r="D641" s="56"/>
    </row>
    <row r="642" ht="15.75" customHeight="1">
      <c r="C642" s="56"/>
      <c r="D642" s="56"/>
    </row>
    <row r="643" ht="15.75" customHeight="1">
      <c r="C643" s="56"/>
      <c r="D643" s="56"/>
    </row>
    <row r="644" ht="15.75" customHeight="1">
      <c r="C644" s="56"/>
      <c r="D644" s="56"/>
    </row>
    <row r="645" ht="15.75" customHeight="1">
      <c r="C645" s="56"/>
      <c r="D645" s="56"/>
    </row>
    <row r="646" ht="15.75" customHeight="1">
      <c r="C646" s="56"/>
      <c r="D646" s="56"/>
    </row>
    <row r="647" ht="15.75" customHeight="1">
      <c r="C647" s="56"/>
      <c r="D647" s="56"/>
    </row>
    <row r="648" ht="15.75" customHeight="1">
      <c r="C648" s="56"/>
      <c r="D648" s="56"/>
    </row>
    <row r="649" ht="15.75" customHeight="1">
      <c r="C649" s="56"/>
      <c r="D649" s="56"/>
    </row>
    <row r="650" ht="15.75" customHeight="1">
      <c r="C650" s="56"/>
      <c r="D650" s="56"/>
    </row>
    <row r="651" ht="15.75" customHeight="1">
      <c r="C651" s="56"/>
      <c r="D651" s="56"/>
    </row>
    <row r="652" ht="15.75" customHeight="1">
      <c r="C652" s="56"/>
      <c r="D652" s="56"/>
    </row>
    <row r="653" ht="15.75" customHeight="1">
      <c r="C653" s="56"/>
      <c r="D653" s="56"/>
    </row>
    <row r="654" ht="15.75" customHeight="1">
      <c r="C654" s="56"/>
      <c r="D654" s="56"/>
    </row>
    <row r="655" ht="15.75" customHeight="1">
      <c r="C655" s="56"/>
      <c r="D655" s="56"/>
    </row>
    <row r="656" ht="15.75" customHeight="1">
      <c r="C656" s="56"/>
      <c r="D656" s="56"/>
    </row>
    <row r="657" ht="15.75" customHeight="1">
      <c r="C657" s="56"/>
      <c r="D657" s="56"/>
    </row>
    <row r="658" ht="15.75" customHeight="1">
      <c r="C658" s="56"/>
      <c r="D658" s="56"/>
    </row>
    <row r="659" ht="15.75" customHeight="1">
      <c r="C659" s="56"/>
      <c r="D659" s="56"/>
    </row>
    <row r="660" ht="15.75" customHeight="1">
      <c r="C660" s="56"/>
      <c r="D660" s="56"/>
    </row>
    <row r="661" ht="15.75" customHeight="1">
      <c r="C661" s="56"/>
      <c r="D661" s="56"/>
    </row>
    <row r="662" ht="15.75" customHeight="1">
      <c r="C662" s="56"/>
      <c r="D662" s="56"/>
    </row>
    <row r="663" ht="15.75" customHeight="1">
      <c r="C663" s="56"/>
      <c r="D663" s="56"/>
    </row>
    <row r="664" ht="15.75" customHeight="1">
      <c r="C664" s="56"/>
      <c r="D664" s="56"/>
    </row>
    <row r="665" ht="15.75" customHeight="1">
      <c r="C665" s="56"/>
      <c r="D665" s="56"/>
    </row>
    <row r="666" ht="15.75" customHeight="1">
      <c r="C666" s="56"/>
      <c r="D666" s="56"/>
    </row>
    <row r="667" ht="15.75" customHeight="1">
      <c r="C667" s="56"/>
      <c r="D667" s="56"/>
    </row>
    <row r="668" ht="15.75" customHeight="1">
      <c r="C668" s="56"/>
      <c r="D668" s="56"/>
    </row>
    <row r="669" ht="15.75" customHeight="1">
      <c r="C669" s="56"/>
      <c r="D669" s="56"/>
    </row>
    <row r="670" ht="15.75" customHeight="1">
      <c r="C670" s="56"/>
      <c r="D670" s="56"/>
    </row>
    <row r="671" ht="15.75" customHeight="1">
      <c r="C671" s="56"/>
      <c r="D671" s="56"/>
    </row>
    <row r="672" ht="15.75" customHeight="1">
      <c r="C672" s="56"/>
      <c r="D672" s="56"/>
    </row>
    <row r="673" ht="15.75" customHeight="1">
      <c r="C673" s="56"/>
      <c r="D673" s="56"/>
    </row>
    <row r="674" ht="15.75" customHeight="1">
      <c r="C674" s="56"/>
      <c r="D674" s="56"/>
    </row>
    <row r="675" ht="15.75" customHeight="1">
      <c r="C675" s="56"/>
      <c r="D675" s="56"/>
    </row>
    <row r="676" ht="15.75" customHeight="1">
      <c r="C676" s="56"/>
      <c r="D676" s="56"/>
    </row>
    <row r="677" ht="15.75" customHeight="1">
      <c r="C677" s="56"/>
      <c r="D677" s="56"/>
    </row>
    <row r="678" ht="15.75" customHeight="1">
      <c r="C678" s="56"/>
      <c r="D678" s="56"/>
    </row>
    <row r="679" ht="15.75" customHeight="1">
      <c r="C679" s="56"/>
      <c r="D679" s="56"/>
    </row>
    <row r="680" ht="15.75" customHeight="1">
      <c r="C680" s="56"/>
      <c r="D680" s="56"/>
    </row>
    <row r="681" ht="15.75" customHeight="1">
      <c r="C681" s="56"/>
      <c r="D681" s="56"/>
    </row>
    <row r="682" ht="15.75" customHeight="1">
      <c r="C682" s="56"/>
      <c r="D682" s="56"/>
    </row>
    <row r="683" ht="15.75" customHeight="1">
      <c r="C683" s="56"/>
      <c r="D683" s="56"/>
    </row>
    <row r="684" ht="15.75" customHeight="1">
      <c r="C684" s="56"/>
      <c r="D684" s="56"/>
    </row>
    <row r="685" ht="15.75" customHeight="1">
      <c r="C685" s="56"/>
      <c r="D685" s="56"/>
    </row>
    <row r="686" ht="15.75" customHeight="1">
      <c r="C686" s="56"/>
      <c r="D686" s="56"/>
    </row>
    <row r="687" ht="15.75" customHeight="1">
      <c r="C687" s="56"/>
      <c r="D687" s="56"/>
    </row>
    <row r="688" ht="15.75" customHeight="1">
      <c r="C688" s="56"/>
      <c r="D688" s="56"/>
    </row>
    <row r="689" ht="15.75" customHeight="1">
      <c r="C689" s="56"/>
      <c r="D689" s="56"/>
    </row>
    <row r="690" ht="15.75" customHeight="1">
      <c r="C690" s="56"/>
      <c r="D690" s="56"/>
    </row>
    <row r="691" ht="15.75" customHeight="1">
      <c r="C691" s="56"/>
      <c r="D691" s="56"/>
    </row>
    <row r="692" ht="15.75" customHeight="1">
      <c r="C692" s="56"/>
      <c r="D692" s="56"/>
    </row>
    <row r="693" ht="15.75" customHeight="1">
      <c r="C693" s="56"/>
      <c r="D693" s="56"/>
    </row>
    <row r="694" ht="15.75" customHeight="1">
      <c r="C694" s="56"/>
      <c r="D694" s="56"/>
    </row>
    <row r="695" ht="15.75" customHeight="1">
      <c r="C695" s="56"/>
      <c r="D695" s="56"/>
    </row>
    <row r="696" ht="15.75" customHeight="1">
      <c r="C696" s="56"/>
      <c r="D696" s="56"/>
    </row>
    <row r="697" ht="15.75" customHeight="1">
      <c r="C697" s="56"/>
      <c r="D697" s="56"/>
    </row>
    <row r="698" ht="15.75" customHeight="1">
      <c r="C698" s="56"/>
      <c r="D698" s="56"/>
    </row>
    <row r="699" ht="15.75" customHeight="1">
      <c r="C699" s="56"/>
      <c r="D699" s="56"/>
    </row>
    <row r="700" ht="15.75" customHeight="1">
      <c r="C700" s="56"/>
      <c r="D700" s="56"/>
    </row>
    <row r="701" ht="15.75" customHeight="1">
      <c r="C701" s="56"/>
      <c r="D701" s="56"/>
    </row>
    <row r="702" ht="15.75" customHeight="1">
      <c r="C702" s="56"/>
      <c r="D702" s="56"/>
    </row>
    <row r="703" ht="15.75" customHeight="1">
      <c r="C703" s="56"/>
      <c r="D703" s="56"/>
    </row>
    <row r="704" ht="15.75" customHeight="1">
      <c r="C704" s="56"/>
      <c r="D704" s="56"/>
    </row>
    <row r="705" ht="15.75" customHeight="1">
      <c r="C705" s="56"/>
      <c r="D705" s="56"/>
    </row>
    <row r="706" ht="15.75" customHeight="1">
      <c r="C706" s="56"/>
      <c r="D706" s="56"/>
    </row>
    <row r="707" ht="15.75" customHeight="1">
      <c r="C707" s="56"/>
      <c r="D707" s="56"/>
    </row>
    <row r="708" ht="15.75" customHeight="1">
      <c r="C708" s="56"/>
      <c r="D708" s="56"/>
    </row>
    <row r="709" ht="15.75" customHeight="1">
      <c r="C709" s="56"/>
      <c r="D709" s="56"/>
    </row>
    <row r="710" ht="15.75" customHeight="1">
      <c r="C710" s="56"/>
      <c r="D710" s="56"/>
    </row>
    <row r="711" ht="15.75" customHeight="1">
      <c r="C711" s="56"/>
      <c r="D711" s="56"/>
    </row>
    <row r="712" ht="15.75" customHeight="1">
      <c r="C712" s="56"/>
      <c r="D712" s="56"/>
    </row>
    <row r="713" ht="15.75" customHeight="1">
      <c r="C713" s="56"/>
      <c r="D713" s="56"/>
    </row>
    <row r="714" ht="15.75" customHeight="1">
      <c r="C714" s="56"/>
      <c r="D714" s="56"/>
    </row>
    <row r="715" ht="15.75" customHeight="1">
      <c r="C715" s="56"/>
      <c r="D715" s="56"/>
    </row>
    <row r="716" ht="15.75" customHeight="1">
      <c r="C716" s="56"/>
      <c r="D716" s="56"/>
    </row>
    <row r="717" ht="15.75" customHeight="1">
      <c r="C717" s="56"/>
      <c r="D717" s="56"/>
    </row>
    <row r="718" ht="15.75" customHeight="1">
      <c r="C718" s="56"/>
      <c r="D718" s="56"/>
    </row>
    <row r="719" ht="15.75" customHeight="1">
      <c r="C719" s="56"/>
      <c r="D719" s="56"/>
    </row>
    <row r="720" ht="15.75" customHeight="1">
      <c r="C720" s="56"/>
      <c r="D720" s="56"/>
    </row>
    <row r="721" ht="15.75" customHeight="1">
      <c r="C721" s="56"/>
      <c r="D721" s="56"/>
    </row>
    <row r="722" ht="15.75" customHeight="1">
      <c r="C722" s="56"/>
      <c r="D722" s="56"/>
    </row>
    <row r="723" ht="15.75" customHeight="1">
      <c r="C723" s="56"/>
      <c r="D723" s="56"/>
    </row>
    <row r="724" ht="15.75" customHeight="1">
      <c r="C724" s="56"/>
      <c r="D724" s="56"/>
    </row>
    <row r="725" ht="15.75" customHeight="1">
      <c r="C725" s="56"/>
      <c r="D725" s="56"/>
    </row>
    <row r="726" ht="15.75" customHeight="1">
      <c r="C726" s="56"/>
      <c r="D726" s="56"/>
    </row>
    <row r="727" ht="15.75" customHeight="1">
      <c r="C727" s="56"/>
      <c r="D727" s="56"/>
    </row>
    <row r="728" ht="15.75" customHeight="1">
      <c r="C728" s="56"/>
      <c r="D728" s="56"/>
    </row>
    <row r="729" ht="15.75" customHeight="1">
      <c r="C729" s="56"/>
      <c r="D729" s="56"/>
    </row>
    <row r="730" ht="15.75" customHeight="1">
      <c r="C730" s="56"/>
      <c r="D730" s="56"/>
    </row>
    <row r="731" ht="15.75" customHeight="1">
      <c r="C731" s="56"/>
      <c r="D731" s="56"/>
    </row>
    <row r="732" ht="15.75" customHeight="1">
      <c r="C732" s="56"/>
      <c r="D732" s="56"/>
    </row>
    <row r="733" ht="15.75" customHeight="1">
      <c r="C733" s="56"/>
      <c r="D733" s="56"/>
    </row>
    <row r="734" ht="15.75" customHeight="1">
      <c r="C734" s="56"/>
      <c r="D734" s="56"/>
    </row>
    <row r="735" ht="15.75" customHeight="1">
      <c r="C735" s="56"/>
      <c r="D735" s="56"/>
    </row>
    <row r="736" ht="15.75" customHeight="1">
      <c r="C736" s="56"/>
      <c r="D736" s="56"/>
    </row>
    <row r="737" ht="15.75" customHeight="1">
      <c r="C737" s="56"/>
      <c r="D737" s="56"/>
    </row>
    <row r="738" ht="15.75" customHeight="1">
      <c r="C738" s="56"/>
      <c r="D738" s="56"/>
    </row>
    <row r="739" ht="15.75" customHeight="1">
      <c r="C739" s="56"/>
      <c r="D739" s="56"/>
    </row>
    <row r="740" ht="15.75" customHeight="1">
      <c r="C740" s="56"/>
      <c r="D740" s="56"/>
    </row>
    <row r="741" ht="15.75" customHeight="1">
      <c r="C741" s="56"/>
      <c r="D741" s="56"/>
    </row>
    <row r="742" ht="15.75" customHeight="1">
      <c r="C742" s="56"/>
      <c r="D742" s="56"/>
    </row>
    <row r="743" ht="15.75" customHeight="1">
      <c r="C743" s="56"/>
      <c r="D743" s="56"/>
    </row>
    <row r="744" ht="15.75" customHeight="1">
      <c r="C744" s="56"/>
      <c r="D744" s="56"/>
    </row>
    <row r="745" ht="15.75" customHeight="1">
      <c r="C745" s="56"/>
      <c r="D745" s="56"/>
    </row>
    <row r="746" ht="15.75" customHeight="1">
      <c r="C746" s="56"/>
      <c r="D746" s="56"/>
    </row>
    <row r="747" ht="15.75" customHeight="1">
      <c r="C747" s="56"/>
      <c r="D747" s="56"/>
    </row>
    <row r="748" ht="15.75" customHeight="1">
      <c r="C748" s="56"/>
      <c r="D748" s="56"/>
    </row>
    <row r="749" ht="15.75" customHeight="1">
      <c r="C749" s="56"/>
      <c r="D749" s="56"/>
    </row>
    <row r="750" ht="15.75" customHeight="1">
      <c r="C750" s="56"/>
      <c r="D750" s="56"/>
    </row>
    <row r="751" ht="15.75" customHeight="1">
      <c r="C751" s="56"/>
      <c r="D751" s="56"/>
    </row>
    <row r="752" ht="15.75" customHeight="1">
      <c r="C752" s="56"/>
      <c r="D752" s="56"/>
    </row>
    <row r="753" ht="15.75" customHeight="1">
      <c r="C753" s="56"/>
      <c r="D753" s="56"/>
    </row>
    <row r="754" ht="15.75" customHeight="1">
      <c r="C754" s="56"/>
      <c r="D754" s="56"/>
    </row>
    <row r="755" ht="15.75" customHeight="1">
      <c r="C755" s="56"/>
      <c r="D755" s="56"/>
    </row>
    <row r="756" ht="15.75" customHeight="1">
      <c r="C756" s="56"/>
      <c r="D756" s="56"/>
    </row>
    <row r="757" ht="15.75" customHeight="1">
      <c r="C757" s="56"/>
      <c r="D757" s="56"/>
    </row>
    <row r="758" ht="15.75" customHeight="1">
      <c r="C758" s="56"/>
      <c r="D758" s="56"/>
    </row>
    <row r="759" ht="15.75" customHeight="1">
      <c r="C759" s="56"/>
      <c r="D759" s="56"/>
    </row>
    <row r="760" ht="15.75" customHeight="1">
      <c r="C760" s="56"/>
      <c r="D760" s="56"/>
    </row>
    <row r="761" ht="15.75" customHeight="1">
      <c r="C761" s="56"/>
      <c r="D761" s="56"/>
    </row>
    <row r="762" ht="15.75" customHeight="1">
      <c r="C762" s="56"/>
      <c r="D762" s="56"/>
    </row>
    <row r="763" ht="15.75" customHeight="1">
      <c r="C763" s="56"/>
      <c r="D763" s="56"/>
    </row>
    <row r="764" ht="15.75" customHeight="1">
      <c r="C764" s="56"/>
      <c r="D764" s="56"/>
    </row>
    <row r="765" ht="15.75" customHeight="1">
      <c r="C765" s="56"/>
      <c r="D765" s="56"/>
    </row>
    <row r="766" ht="15.75" customHeight="1">
      <c r="C766" s="56"/>
      <c r="D766" s="56"/>
    </row>
    <row r="767" ht="15.75" customHeight="1">
      <c r="C767" s="56"/>
      <c r="D767" s="56"/>
    </row>
    <row r="768" ht="15.75" customHeight="1">
      <c r="C768" s="56"/>
      <c r="D768" s="56"/>
    </row>
    <row r="769" ht="15.75" customHeight="1">
      <c r="C769" s="56"/>
      <c r="D769" s="56"/>
    </row>
    <row r="770" ht="15.75" customHeight="1">
      <c r="C770" s="56"/>
      <c r="D770" s="56"/>
    </row>
    <row r="771" ht="15.75" customHeight="1">
      <c r="C771" s="56"/>
      <c r="D771" s="56"/>
    </row>
    <row r="772" ht="15.75" customHeight="1">
      <c r="C772" s="56"/>
      <c r="D772" s="56"/>
    </row>
    <row r="773" ht="15.75" customHeight="1">
      <c r="C773" s="56"/>
      <c r="D773" s="56"/>
    </row>
    <row r="774" ht="15.75" customHeight="1">
      <c r="C774" s="56"/>
      <c r="D774" s="56"/>
    </row>
    <row r="775" ht="15.75" customHeight="1">
      <c r="C775" s="56"/>
      <c r="D775" s="56"/>
    </row>
    <row r="776" ht="15.75" customHeight="1">
      <c r="C776" s="56"/>
      <c r="D776" s="56"/>
    </row>
    <row r="777" ht="15.75" customHeight="1">
      <c r="C777" s="56"/>
      <c r="D777" s="56"/>
    </row>
    <row r="778" ht="15.75" customHeight="1">
      <c r="C778" s="56"/>
      <c r="D778" s="56"/>
    </row>
    <row r="779" ht="15.75" customHeight="1">
      <c r="C779" s="56"/>
      <c r="D779" s="56"/>
    </row>
    <row r="780" ht="15.75" customHeight="1">
      <c r="C780" s="56"/>
      <c r="D780" s="56"/>
    </row>
    <row r="781" ht="15.75" customHeight="1">
      <c r="C781" s="56"/>
      <c r="D781" s="56"/>
    </row>
    <row r="782" ht="15.75" customHeight="1">
      <c r="C782" s="56"/>
      <c r="D782" s="56"/>
    </row>
    <row r="783" ht="15.75" customHeight="1">
      <c r="C783" s="56"/>
      <c r="D783" s="56"/>
    </row>
    <row r="784" ht="15.75" customHeight="1">
      <c r="C784" s="56"/>
      <c r="D784" s="56"/>
    </row>
    <row r="785" ht="15.75" customHeight="1">
      <c r="C785" s="56"/>
      <c r="D785" s="56"/>
    </row>
    <row r="786" ht="15.75" customHeight="1">
      <c r="C786" s="56"/>
      <c r="D786" s="56"/>
    </row>
    <row r="787" ht="15.75" customHeight="1">
      <c r="C787" s="56"/>
      <c r="D787" s="56"/>
    </row>
    <row r="788" ht="15.75" customHeight="1">
      <c r="C788" s="56"/>
      <c r="D788" s="56"/>
    </row>
    <row r="789" ht="15.75" customHeight="1">
      <c r="C789" s="56"/>
      <c r="D789" s="56"/>
    </row>
    <row r="790" ht="15.75" customHeight="1">
      <c r="C790" s="56"/>
      <c r="D790" s="56"/>
    </row>
    <row r="791" ht="15.75" customHeight="1">
      <c r="C791" s="56"/>
      <c r="D791" s="56"/>
    </row>
    <row r="792" ht="15.75" customHeight="1">
      <c r="C792" s="56"/>
      <c r="D792" s="56"/>
    </row>
    <row r="793" ht="15.75" customHeight="1">
      <c r="C793" s="56"/>
      <c r="D793" s="56"/>
    </row>
    <row r="794" ht="15.75" customHeight="1">
      <c r="C794" s="56"/>
      <c r="D794" s="56"/>
    </row>
    <row r="795" ht="15.75" customHeight="1">
      <c r="C795" s="56"/>
      <c r="D795" s="56"/>
    </row>
    <row r="796" ht="15.75" customHeight="1">
      <c r="C796" s="56"/>
      <c r="D796" s="56"/>
    </row>
    <row r="797" ht="15.75" customHeight="1">
      <c r="C797" s="56"/>
      <c r="D797" s="56"/>
    </row>
    <row r="798" ht="15.75" customHeight="1">
      <c r="C798" s="56"/>
      <c r="D798" s="56"/>
    </row>
    <row r="799" ht="15.75" customHeight="1">
      <c r="C799" s="56"/>
      <c r="D799" s="56"/>
    </row>
    <row r="800" ht="15.75" customHeight="1">
      <c r="C800" s="56"/>
      <c r="D800" s="56"/>
    </row>
    <row r="801" ht="15.75" customHeight="1">
      <c r="C801" s="56"/>
      <c r="D801" s="56"/>
    </row>
    <row r="802" ht="15.75" customHeight="1">
      <c r="C802" s="56"/>
      <c r="D802" s="56"/>
    </row>
    <row r="803" ht="15.75" customHeight="1">
      <c r="C803" s="56"/>
      <c r="D803" s="56"/>
    </row>
    <row r="804" ht="15.75" customHeight="1">
      <c r="C804" s="56"/>
      <c r="D804" s="56"/>
    </row>
    <row r="805" ht="15.75" customHeight="1">
      <c r="C805" s="56"/>
      <c r="D805" s="56"/>
    </row>
    <row r="806" ht="15.75" customHeight="1">
      <c r="C806" s="56"/>
      <c r="D806" s="56"/>
    </row>
    <row r="807" ht="15.75" customHeight="1">
      <c r="C807" s="56"/>
      <c r="D807" s="56"/>
    </row>
    <row r="808" ht="15.75" customHeight="1">
      <c r="C808" s="56"/>
      <c r="D808" s="56"/>
    </row>
    <row r="809" ht="15.75" customHeight="1">
      <c r="C809" s="56"/>
      <c r="D809" s="56"/>
    </row>
    <row r="810" ht="15.75" customHeight="1">
      <c r="C810" s="56"/>
      <c r="D810" s="56"/>
    </row>
    <row r="811" ht="15.75" customHeight="1">
      <c r="C811" s="56"/>
      <c r="D811" s="56"/>
    </row>
    <row r="812" ht="15.75" customHeight="1">
      <c r="C812" s="56"/>
      <c r="D812" s="56"/>
    </row>
    <row r="813" ht="15.75" customHeight="1">
      <c r="C813" s="56"/>
      <c r="D813" s="56"/>
    </row>
    <row r="814" ht="15.75" customHeight="1">
      <c r="C814" s="56"/>
      <c r="D814" s="56"/>
    </row>
    <row r="815" ht="15.75" customHeight="1">
      <c r="C815" s="56"/>
      <c r="D815" s="56"/>
    </row>
    <row r="816" ht="15.75" customHeight="1">
      <c r="C816" s="56"/>
      <c r="D816" s="56"/>
    </row>
    <row r="817" ht="15.75" customHeight="1">
      <c r="C817" s="56"/>
      <c r="D817" s="56"/>
    </row>
    <row r="818" ht="15.75" customHeight="1">
      <c r="C818" s="56"/>
      <c r="D818" s="56"/>
    </row>
    <row r="819" ht="15.75" customHeight="1">
      <c r="C819" s="56"/>
      <c r="D819" s="56"/>
    </row>
    <row r="820" ht="15.75" customHeight="1">
      <c r="C820" s="56"/>
      <c r="D820" s="56"/>
    </row>
    <row r="821" ht="15.75" customHeight="1">
      <c r="C821" s="56"/>
      <c r="D821" s="56"/>
    </row>
    <row r="822" ht="15.75" customHeight="1">
      <c r="C822" s="56"/>
      <c r="D822" s="56"/>
    </row>
    <row r="823" ht="15.75" customHeight="1">
      <c r="C823" s="56"/>
      <c r="D823" s="56"/>
    </row>
    <row r="824" ht="15.75" customHeight="1">
      <c r="C824" s="56"/>
      <c r="D824" s="56"/>
    </row>
    <row r="825" ht="15.75" customHeight="1">
      <c r="C825" s="56"/>
      <c r="D825" s="56"/>
    </row>
    <row r="826" ht="15.75" customHeight="1">
      <c r="C826" s="56"/>
      <c r="D826" s="56"/>
    </row>
    <row r="827" ht="15.75" customHeight="1">
      <c r="C827" s="56"/>
      <c r="D827" s="56"/>
    </row>
    <row r="828" ht="15.75" customHeight="1">
      <c r="C828" s="56"/>
      <c r="D828" s="56"/>
    </row>
    <row r="829" ht="15.75" customHeight="1">
      <c r="C829" s="56"/>
      <c r="D829" s="56"/>
    </row>
    <row r="830" ht="15.75" customHeight="1">
      <c r="C830" s="56"/>
      <c r="D830" s="56"/>
    </row>
    <row r="831" ht="15.75" customHeight="1">
      <c r="C831" s="56"/>
      <c r="D831" s="56"/>
    </row>
    <row r="832" ht="15.75" customHeight="1">
      <c r="C832" s="56"/>
      <c r="D832" s="56"/>
    </row>
    <row r="833" ht="15.75" customHeight="1">
      <c r="C833" s="56"/>
      <c r="D833" s="56"/>
    </row>
    <row r="834" ht="15.75" customHeight="1">
      <c r="C834" s="56"/>
      <c r="D834" s="56"/>
    </row>
    <row r="835" ht="15.75" customHeight="1">
      <c r="C835" s="56"/>
      <c r="D835" s="56"/>
    </row>
    <row r="836" ht="15.75" customHeight="1">
      <c r="C836" s="56"/>
      <c r="D836" s="56"/>
    </row>
    <row r="837" ht="15.75" customHeight="1">
      <c r="C837" s="56"/>
      <c r="D837" s="56"/>
    </row>
    <row r="838" ht="15.75" customHeight="1">
      <c r="C838" s="56"/>
      <c r="D838" s="56"/>
    </row>
    <row r="839" ht="15.75" customHeight="1">
      <c r="C839" s="56"/>
      <c r="D839" s="56"/>
    </row>
    <row r="840" ht="15.75" customHeight="1">
      <c r="C840" s="56"/>
      <c r="D840" s="56"/>
    </row>
    <row r="841" ht="15.75" customHeight="1">
      <c r="C841" s="56"/>
      <c r="D841" s="56"/>
    </row>
    <row r="842" ht="15.75" customHeight="1">
      <c r="C842" s="56"/>
      <c r="D842" s="56"/>
    </row>
    <row r="843" ht="15.75" customHeight="1">
      <c r="C843" s="56"/>
      <c r="D843" s="56"/>
    </row>
    <row r="844" ht="15.75" customHeight="1">
      <c r="C844" s="56"/>
      <c r="D844" s="56"/>
    </row>
    <row r="845" ht="15.75" customHeight="1">
      <c r="C845" s="56"/>
      <c r="D845" s="56"/>
    </row>
    <row r="846" ht="15.75" customHeight="1">
      <c r="C846" s="56"/>
      <c r="D846" s="56"/>
    </row>
    <row r="847" ht="15.75" customHeight="1">
      <c r="C847" s="56"/>
      <c r="D847" s="56"/>
    </row>
    <row r="848" ht="15.75" customHeight="1">
      <c r="C848" s="56"/>
      <c r="D848" s="56"/>
    </row>
    <row r="849" ht="15.75" customHeight="1">
      <c r="C849" s="56"/>
      <c r="D849" s="56"/>
    </row>
    <row r="850" ht="15.75" customHeight="1">
      <c r="C850" s="56"/>
      <c r="D850" s="56"/>
    </row>
    <row r="851" ht="15.75" customHeight="1">
      <c r="C851" s="56"/>
      <c r="D851" s="56"/>
    </row>
    <row r="852" ht="15.75" customHeight="1">
      <c r="C852" s="56"/>
      <c r="D852" s="56"/>
    </row>
    <row r="853" ht="15.75" customHeight="1">
      <c r="C853" s="56"/>
      <c r="D853" s="56"/>
    </row>
    <row r="854" ht="15.75" customHeight="1">
      <c r="C854" s="56"/>
      <c r="D854" s="56"/>
    </row>
    <row r="855" ht="15.75" customHeight="1">
      <c r="C855" s="56"/>
      <c r="D855" s="56"/>
    </row>
    <row r="856" ht="15.75" customHeight="1">
      <c r="C856" s="56"/>
      <c r="D856" s="56"/>
    </row>
    <row r="857" ht="15.75" customHeight="1">
      <c r="C857" s="56"/>
      <c r="D857" s="56"/>
    </row>
    <row r="858" ht="15.75" customHeight="1">
      <c r="C858" s="56"/>
      <c r="D858" s="56"/>
    </row>
    <row r="859" ht="15.75" customHeight="1">
      <c r="C859" s="56"/>
      <c r="D859" s="56"/>
    </row>
    <row r="860" ht="15.75" customHeight="1">
      <c r="C860" s="56"/>
      <c r="D860" s="56"/>
    </row>
    <row r="861" ht="15.75" customHeight="1">
      <c r="C861" s="56"/>
      <c r="D861" s="56"/>
    </row>
    <row r="862" ht="15.75" customHeight="1">
      <c r="C862" s="56"/>
      <c r="D862" s="56"/>
    </row>
    <row r="863" ht="15.75" customHeight="1">
      <c r="C863" s="56"/>
      <c r="D863" s="56"/>
    </row>
    <row r="864" ht="15.75" customHeight="1">
      <c r="C864" s="56"/>
      <c r="D864" s="56"/>
    </row>
    <row r="865" ht="15.75" customHeight="1">
      <c r="C865" s="56"/>
      <c r="D865" s="56"/>
    </row>
    <row r="866" ht="15.75" customHeight="1">
      <c r="C866" s="56"/>
      <c r="D866" s="56"/>
    </row>
    <row r="867" ht="15.75" customHeight="1">
      <c r="C867" s="56"/>
      <c r="D867" s="56"/>
    </row>
    <row r="868" ht="15.75" customHeight="1">
      <c r="C868" s="56"/>
      <c r="D868" s="56"/>
    </row>
    <row r="869" ht="15.75" customHeight="1">
      <c r="C869" s="56"/>
      <c r="D869" s="56"/>
    </row>
    <row r="870" ht="15.75" customHeight="1">
      <c r="C870" s="56"/>
      <c r="D870" s="56"/>
    </row>
    <row r="871" ht="15.75" customHeight="1">
      <c r="C871" s="56"/>
      <c r="D871" s="56"/>
    </row>
    <row r="872" ht="15.75" customHeight="1">
      <c r="C872" s="56"/>
      <c r="D872" s="56"/>
    </row>
    <row r="873" ht="15.75" customHeight="1">
      <c r="C873" s="56"/>
      <c r="D873" s="56"/>
    </row>
    <row r="874" ht="15.75" customHeight="1">
      <c r="C874" s="56"/>
      <c r="D874" s="56"/>
    </row>
    <row r="875" ht="15.75" customHeight="1">
      <c r="C875" s="56"/>
      <c r="D875" s="56"/>
    </row>
    <row r="876" ht="15.75" customHeight="1">
      <c r="C876" s="56"/>
      <c r="D876" s="56"/>
    </row>
    <row r="877" ht="15.75" customHeight="1">
      <c r="C877" s="56"/>
      <c r="D877" s="56"/>
    </row>
    <row r="878" ht="15.75" customHeight="1">
      <c r="C878" s="56"/>
      <c r="D878" s="56"/>
    </row>
    <row r="879" ht="15.75" customHeight="1">
      <c r="C879" s="56"/>
      <c r="D879" s="56"/>
    </row>
    <row r="880" ht="15.75" customHeight="1">
      <c r="C880" s="56"/>
      <c r="D880" s="56"/>
    </row>
    <row r="881" ht="15.75" customHeight="1">
      <c r="C881" s="56"/>
      <c r="D881" s="56"/>
    </row>
    <row r="882" ht="15.75" customHeight="1">
      <c r="C882" s="56"/>
      <c r="D882" s="56"/>
    </row>
    <row r="883" ht="15.75" customHeight="1">
      <c r="C883" s="56"/>
      <c r="D883" s="56"/>
    </row>
    <row r="884" ht="15.75" customHeight="1">
      <c r="C884" s="56"/>
      <c r="D884" s="56"/>
    </row>
    <row r="885" ht="15.75" customHeight="1">
      <c r="C885" s="56"/>
      <c r="D885" s="56"/>
    </row>
    <row r="886" ht="15.75" customHeight="1">
      <c r="C886" s="56"/>
      <c r="D886" s="56"/>
    </row>
    <row r="887" ht="15.75" customHeight="1">
      <c r="C887" s="56"/>
      <c r="D887" s="56"/>
    </row>
    <row r="888" ht="15.75" customHeight="1">
      <c r="C888" s="56"/>
      <c r="D888" s="56"/>
    </row>
    <row r="889" ht="15.75" customHeight="1">
      <c r="C889" s="56"/>
      <c r="D889" s="56"/>
    </row>
    <row r="890" ht="15.75" customHeight="1">
      <c r="C890" s="56"/>
      <c r="D890" s="56"/>
    </row>
    <row r="891" ht="15.75" customHeight="1">
      <c r="C891" s="56"/>
      <c r="D891" s="56"/>
    </row>
    <row r="892" ht="15.75" customHeight="1">
      <c r="C892" s="56"/>
      <c r="D892" s="56"/>
    </row>
    <row r="893" ht="15.75" customHeight="1">
      <c r="C893" s="56"/>
      <c r="D893" s="56"/>
    </row>
    <row r="894" ht="15.75" customHeight="1">
      <c r="C894" s="56"/>
      <c r="D894" s="56"/>
    </row>
    <row r="895" ht="15.75" customHeight="1">
      <c r="C895" s="56"/>
      <c r="D895" s="56"/>
    </row>
    <row r="896" ht="15.75" customHeight="1">
      <c r="C896" s="56"/>
      <c r="D896" s="56"/>
    </row>
    <row r="897" ht="15.75" customHeight="1">
      <c r="C897" s="56"/>
      <c r="D897" s="56"/>
    </row>
    <row r="898" ht="15.75" customHeight="1">
      <c r="C898" s="56"/>
      <c r="D898" s="56"/>
    </row>
    <row r="899" ht="15.75" customHeight="1">
      <c r="C899" s="56"/>
      <c r="D899" s="56"/>
    </row>
    <row r="900" ht="15.75" customHeight="1">
      <c r="C900" s="56"/>
      <c r="D900" s="56"/>
    </row>
    <row r="901" ht="15.75" customHeight="1">
      <c r="C901" s="56"/>
      <c r="D901" s="56"/>
    </row>
    <row r="902" ht="15.75" customHeight="1">
      <c r="C902" s="56"/>
      <c r="D902" s="56"/>
    </row>
    <row r="903" ht="15.75" customHeight="1">
      <c r="C903" s="56"/>
      <c r="D903" s="56"/>
    </row>
    <row r="904" ht="15.75" customHeight="1">
      <c r="C904" s="56"/>
      <c r="D904" s="56"/>
    </row>
    <row r="905" ht="15.75" customHeight="1">
      <c r="C905" s="56"/>
      <c r="D905" s="56"/>
    </row>
    <row r="906" ht="15.75" customHeight="1">
      <c r="C906" s="56"/>
      <c r="D906" s="56"/>
    </row>
    <row r="907" ht="15.75" customHeight="1">
      <c r="C907" s="56"/>
      <c r="D907" s="56"/>
    </row>
    <row r="908" ht="15.75" customHeight="1">
      <c r="C908" s="56"/>
      <c r="D908" s="56"/>
    </row>
    <row r="909" ht="15.75" customHeight="1">
      <c r="C909" s="56"/>
      <c r="D909" s="56"/>
    </row>
    <row r="910" ht="15.75" customHeight="1">
      <c r="C910" s="56"/>
      <c r="D910" s="56"/>
    </row>
    <row r="911" ht="15.75" customHeight="1">
      <c r="C911" s="56"/>
      <c r="D911" s="56"/>
    </row>
    <row r="912" ht="15.75" customHeight="1">
      <c r="C912" s="56"/>
      <c r="D912" s="56"/>
    </row>
    <row r="913" ht="15.75" customHeight="1">
      <c r="C913" s="56"/>
      <c r="D913" s="56"/>
    </row>
    <row r="914" ht="15.75" customHeight="1">
      <c r="C914" s="56"/>
      <c r="D914" s="56"/>
    </row>
    <row r="915" ht="15.75" customHeight="1">
      <c r="C915" s="56"/>
      <c r="D915" s="56"/>
    </row>
    <row r="916" ht="15.75" customHeight="1">
      <c r="C916" s="56"/>
      <c r="D916" s="56"/>
    </row>
    <row r="917" ht="15.75" customHeight="1">
      <c r="C917" s="56"/>
      <c r="D917" s="56"/>
    </row>
    <row r="918" ht="15.75" customHeight="1">
      <c r="C918" s="56"/>
      <c r="D918" s="56"/>
    </row>
    <row r="919" ht="15.75" customHeight="1">
      <c r="C919" s="56"/>
      <c r="D919" s="56"/>
    </row>
    <row r="920" ht="15.75" customHeight="1">
      <c r="C920" s="56"/>
      <c r="D920" s="56"/>
    </row>
    <row r="921" ht="15.75" customHeight="1">
      <c r="C921" s="56"/>
      <c r="D921" s="56"/>
    </row>
    <row r="922" ht="15.75" customHeight="1">
      <c r="C922" s="56"/>
      <c r="D922" s="56"/>
    </row>
    <row r="923" ht="15.75" customHeight="1">
      <c r="C923" s="56"/>
      <c r="D923" s="56"/>
    </row>
    <row r="924" ht="15.75" customHeight="1">
      <c r="C924" s="56"/>
      <c r="D924" s="56"/>
    </row>
    <row r="925" ht="15.75" customHeight="1">
      <c r="C925" s="56"/>
      <c r="D925" s="56"/>
    </row>
    <row r="926" ht="15.75" customHeight="1">
      <c r="C926" s="56"/>
      <c r="D926" s="56"/>
    </row>
    <row r="927" ht="15.75" customHeight="1">
      <c r="C927" s="56"/>
      <c r="D927" s="56"/>
    </row>
    <row r="928" ht="15.75" customHeight="1">
      <c r="C928" s="56"/>
      <c r="D928" s="56"/>
    </row>
    <row r="929" ht="15.75" customHeight="1">
      <c r="C929" s="56"/>
      <c r="D929" s="56"/>
    </row>
    <row r="930" ht="15.75" customHeight="1">
      <c r="C930" s="56"/>
      <c r="D930" s="56"/>
    </row>
    <row r="931" ht="15.75" customHeight="1">
      <c r="C931" s="56"/>
      <c r="D931" s="56"/>
    </row>
    <row r="932" ht="15.75" customHeight="1">
      <c r="C932" s="56"/>
      <c r="D932" s="56"/>
    </row>
    <row r="933" ht="15.75" customHeight="1">
      <c r="C933" s="56"/>
      <c r="D933" s="56"/>
    </row>
    <row r="934" ht="15.75" customHeight="1">
      <c r="C934" s="56"/>
      <c r="D934" s="56"/>
    </row>
    <row r="935" ht="15.75" customHeight="1">
      <c r="C935" s="56"/>
      <c r="D935" s="56"/>
    </row>
    <row r="936" ht="15.75" customHeight="1">
      <c r="C936" s="56"/>
      <c r="D936" s="56"/>
    </row>
    <row r="937" ht="15.75" customHeight="1">
      <c r="C937" s="56"/>
      <c r="D937" s="56"/>
    </row>
    <row r="938" ht="15.75" customHeight="1">
      <c r="C938" s="56"/>
      <c r="D938" s="56"/>
    </row>
    <row r="939" ht="15.75" customHeight="1">
      <c r="C939" s="56"/>
      <c r="D939" s="56"/>
    </row>
    <row r="940" ht="15.75" customHeight="1">
      <c r="C940" s="56"/>
      <c r="D940" s="56"/>
    </row>
    <row r="941" ht="15.75" customHeight="1">
      <c r="C941" s="56"/>
      <c r="D941" s="56"/>
    </row>
    <row r="942" ht="15.75" customHeight="1">
      <c r="C942" s="56"/>
      <c r="D942" s="56"/>
    </row>
    <row r="943" ht="15.75" customHeight="1">
      <c r="C943" s="56"/>
      <c r="D943" s="56"/>
    </row>
    <row r="944" ht="15.75" customHeight="1">
      <c r="C944" s="56"/>
      <c r="D944" s="56"/>
    </row>
    <row r="945" ht="15.75" customHeight="1">
      <c r="C945" s="56"/>
      <c r="D945" s="56"/>
    </row>
    <row r="946" ht="15.75" customHeight="1">
      <c r="C946" s="56"/>
      <c r="D946" s="56"/>
    </row>
    <row r="947" ht="15.75" customHeight="1">
      <c r="C947" s="56"/>
      <c r="D947" s="56"/>
    </row>
    <row r="948" ht="15.75" customHeight="1">
      <c r="C948" s="56"/>
      <c r="D948" s="56"/>
    </row>
    <row r="949" ht="15.75" customHeight="1">
      <c r="C949" s="56"/>
      <c r="D949" s="56"/>
    </row>
    <row r="950" ht="15.75" customHeight="1">
      <c r="C950" s="56"/>
      <c r="D950" s="56"/>
    </row>
    <row r="951" ht="15.75" customHeight="1">
      <c r="C951" s="56"/>
      <c r="D951" s="56"/>
    </row>
    <row r="952" ht="15.75" customHeight="1">
      <c r="C952" s="56"/>
      <c r="D952" s="56"/>
    </row>
    <row r="953" ht="15.75" customHeight="1">
      <c r="C953" s="56"/>
      <c r="D953" s="56"/>
    </row>
    <row r="954" ht="15.75" customHeight="1">
      <c r="C954" s="56"/>
      <c r="D954" s="56"/>
    </row>
    <row r="955" ht="15.75" customHeight="1">
      <c r="C955" s="56"/>
      <c r="D955" s="56"/>
    </row>
    <row r="956" ht="15.75" customHeight="1">
      <c r="C956" s="56"/>
      <c r="D956" s="56"/>
    </row>
    <row r="957" ht="15.75" customHeight="1">
      <c r="C957" s="56"/>
      <c r="D957" s="56"/>
    </row>
    <row r="958" ht="15.75" customHeight="1">
      <c r="C958" s="56"/>
      <c r="D958" s="56"/>
    </row>
    <row r="959" ht="15.75" customHeight="1">
      <c r="C959" s="56"/>
      <c r="D959" s="56"/>
    </row>
    <row r="960" ht="15.75" customHeight="1">
      <c r="C960" s="56"/>
      <c r="D960" s="56"/>
    </row>
    <row r="961" ht="15.75" customHeight="1">
      <c r="C961" s="56"/>
      <c r="D961" s="56"/>
    </row>
    <row r="962" ht="15.75" customHeight="1">
      <c r="C962" s="56"/>
      <c r="D962" s="56"/>
    </row>
    <row r="963" ht="15.75" customHeight="1">
      <c r="C963" s="56"/>
      <c r="D963" s="56"/>
    </row>
    <row r="964" ht="15.75" customHeight="1">
      <c r="C964" s="56"/>
      <c r="D964" s="56"/>
    </row>
    <row r="965" ht="15.75" customHeight="1">
      <c r="C965" s="56"/>
      <c r="D965" s="56"/>
    </row>
    <row r="966" ht="15.75" customHeight="1">
      <c r="C966" s="56"/>
      <c r="D966" s="56"/>
    </row>
    <row r="967" ht="15.75" customHeight="1">
      <c r="C967" s="56"/>
      <c r="D967" s="56"/>
    </row>
    <row r="968" ht="15.75" customHeight="1">
      <c r="C968" s="56"/>
      <c r="D968" s="56"/>
    </row>
    <row r="969" ht="15.75" customHeight="1">
      <c r="C969" s="56"/>
      <c r="D969" s="56"/>
    </row>
    <row r="970" ht="15.75" customHeight="1">
      <c r="C970" s="56"/>
      <c r="D970" s="56"/>
    </row>
    <row r="971" ht="15.75" customHeight="1">
      <c r="C971" s="56"/>
      <c r="D971" s="56"/>
    </row>
    <row r="972" ht="15.75" customHeight="1">
      <c r="C972" s="56"/>
      <c r="D972" s="56"/>
    </row>
    <row r="973" ht="15.75" customHeight="1">
      <c r="C973" s="56"/>
      <c r="D973" s="56"/>
    </row>
    <row r="974" ht="15.75" customHeight="1">
      <c r="C974" s="56"/>
      <c r="D974" s="56"/>
    </row>
    <row r="975" ht="15.75" customHeight="1">
      <c r="C975" s="56"/>
      <c r="D975" s="56"/>
    </row>
    <row r="976" ht="15.75" customHeight="1">
      <c r="C976" s="56"/>
      <c r="D976" s="56"/>
    </row>
    <row r="977" ht="15.75" customHeight="1">
      <c r="C977" s="56"/>
      <c r="D977" s="56"/>
    </row>
    <row r="978" ht="15.75" customHeight="1">
      <c r="C978" s="56"/>
      <c r="D978" s="56"/>
    </row>
    <row r="979" ht="15.75" customHeight="1">
      <c r="C979" s="56"/>
      <c r="D979" s="56"/>
    </row>
    <row r="980" ht="15.75" customHeight="1">
      <c r="C980" s="56"/>
      <c r="D980" s="56"/>
    </row>
    <row r="981" ht="15.75" customHeight="1">
      <c r="C981" s="56"/>
      <c r="D981" s="56"/>
    </row>
    <row r="982" ht="15.75" customHeight="1">
      <c r="C982" s="56"/>
      <c r="D982" s="56"/>
    </row>
    <row r="983" ht="15.75" customHeight="1">
      <c r="C983" s="56"/>
      <c r="D983" s="56"/>
    </row>
    <row r="984" ht="15.75" customHeight="1">
      <c r="C984" s="56"/>
      <c r="D984" s="56"/>
    </row>
    <row r="985" ht="15.75" customHeight="1">
      <c r="C985" s="56"/>
      <c r="D985" s="56"/>
    </row>
    <row r="986" ht="15.75" customHeight="1">
      <c r="C986" s="56"/>
      <c r="D986" s="56"/>
    </row>
    <row r="987" ht="15.75" customHeight="1">
      <c r="C987" s="56"/>
      <c r="D987" s="56"/>
    </row>
    <row r="988" ht="15.75" customHeight="1">
      <c r="C988" s="56"/>
      <c r="D988" s="56"/>
    </row>
    <row r="989" ht="15.75" customHeight="1">
      <c r="C989" s="56"/>
      <c r="D989" s="56"/>
    </row>
    <row r="990" ht="15.75" customHeight="1">
      <c r="C990" s="56"/>
      <c r="D990" s="56"/>
    </row>
    <row r="991" ht="15.75" customHeight="1">
      <c r="C991" s="56"/>
      <c r="D991" s="56"/>
    </row>
    <row r="992" ht="15.75" customHeight="1">
      <c r="C992" s="56"/>
      <c r="D992" s="56"/>
    </row>
    <row r="993" ht="15.75" customHeight="1">
      <c r="C993" s="56"/>
      <c r="D993" s="56"/>
    </row>
    <row r="994" ht="15.75" customHeight="1">
      <c r="C994" s="56"/>
      <c r="D994" s="56"/>
    </row>
    <row r="995" ht="15.75" customHeight="1">
      <c r="C995" s="56"/>
      <c r="D995" s="56"/>
    </row>
    <row r="996" ht="15.75" customHeight="1">
      <c r="C996" s="56"/>
      <c r="D996" s="56"/>
    </row>
    <row r="997" ht="15.75" customHeight="1">
      <c r="C997" s="56"/>
      <c r="D997" s="56"/>
    </row>
    <row r="998" ht="15.75" customHeight="1">
      <c r="C998" s="56"/>
      <c r="D998" s="56"/>
    </row>
    <row r="999" ht="15.75" customHeight="1">
      <c r="C999" s="56"/>
      <c r="D999" s="56"/>
    </row>
    <row r="1000" ht="15.75" customHeight="1">
      <c r="C1000" s="56"/>
      <c r="D1000" s="56"/>
    </row>
  </sheetData>
  <autoFilter ref="$A$1:$G$38">
    <sortState ref="A1:G38">
      <sortCondition descending="1" ref="F1:F38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2024-02-13T15:14:10Z</dcterms:created>
  <dc:creator>User</dc:creator>
</cp:coreProperties>
</file>