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G:\Shared drives\Volkswagen PA - Contrôleurs\1- Dossier de fin de mois\c) Fichier d'écritures avec pièces justificatives\2026\FM Volks 2026-05\"/>
    </mc:Choice>
  </mc:AlternateContent>
  <xr:revisionPtr revIDLastSave="0" documentId="13_ncr:1_{8677F0A0-5C5C-48A3-A8C4-145A153801A2}" xr6:coauthVersionLast="47" xr6:coauthVersionMax="47" xr10:uidLastSave="{00000000-0000-0000-0000-000000000000}"/>
  <bookViews>
    <workbookView xWindow="28680" yWindow="-120" windowWidth="29040" windowHeight="15720" firstSheet="1" activeTab="2" xr2:uid="{00000000-000D-0000-FFFF-FFFF00000000}"/>
  </bookViews>
  <sheets>
    <sheet name="Sommaire" sheetId="3" state="hidden" r:id="rId1"/>
    <sheet name="Neuf" sheetId="1" r:id="rId2"/>
    <sheet name="Usages" sheetId="2" r:id="rId3"/>
  </sheets>
  <definedNames>
    <definedName name="_xlnm._FilterDatabase" localSheetId="1" hidden="1">Neuf!$A$1:$G$81</definedName>
    <definedName name="_xlnm._FilterDatabase" localSheetId="2" hidden="1">Usages!$A$1:$G$38</definedName>
  </definedNames>
  <calcPr calcId="191029"/>
  <pivotCaches>
    <pivotCache cacheId="8" r:id="rId4"/>
    <pivotCache cacheId="9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G36" i="2"/>
  <c r="G39" i="2"/>
  <c r="G55" i="2"/>
  <c r="G62" i="2"/>
  <c r="G43" i="2"/>
  <c r="G57" i="2"/>
  <c r="G38" i="2"/>
  <c r="G9" i="2"/>
  <c r="G35" i="2"/>
  <c r="G60" i="2"/>
  <c r="G2" i="2"/>
  <c r="G45" i="2"/>
  <c r="G19" i="2"/>
  <c r="G16" i="2"/>
  <c r="G15" i="2"/>
  <c r="G17" i="2"/>
  <c r="G13" i="2"/>
  <c r="G61" i="2"/>
  <c r="G28" i="2"/>
  <c r="G11" i="2"/>
  <c r="G21" i="2"/>
  <c r="G59" i="2"/>
  <c r="G46" i="2" l="1"/>
  <c r="G30" i="2"/>
  <c r="G48" i="2"/>
  <c r="G54" i="2"/>
  <c r="G44" i="2"/>
  <c r="G53" i="2"/>
  <c r="G27" i="2"/>
  <c r="G26" i="2"/>
  <c r="G50" i="2"/>
  <c r="G8" i="2"/>
  <c r="G49" i="2"/>
  <c r="G4" i="2"/>
  <c r="G42" i="2"/>
  <c r="G23" i="2"/>
  <c r="G22" i="2"/>
  <c r="G63" i="2"/>
  <c r="G47" i="2"/>
  <c r="G34" i="2"/>
  <c r="G5" i="2"/>
  <c r="G65" i="2"/>
  <c r="G10" i="2"/>
  <c r="G33" i="2"/>
  <c r="G24" i="2"/>
  <c r="G31" i="2"/>
  <c r="G29" i="2"/>
  <c r="G18" i="2"/>
  <c r="G56" i="2"/>
  <c r="G41" i="2"/>
  <c r="G6" i="2"/>
  <c r="G37" i="2"/>
  <c r="G20" i="2"/>
  <c r="G51" i="2"/>
  <c r="G52" i="2"/>
  <c r="G25" i="2"/>
  <c r="G66" i="2"/>
  <c r="G7" i="2"/>
  <c r="G40" i="2"/>
  <c r="G58" i="2"/>
  <c r="G32" i="2"/>
  <c r="G12" i="2"/>
  <c r="G64" i="2"/>
  <c r="G14" i="2"/>
  <c r="G24" i="1"/>
  <c r="G23" i="1"/>
  <c r="G118" i="1"/>
  <c r="G8" i="1"/>
  <c r="G136" i="1"/>
  <c r="G150" i="1"/>
  <c r="G137" i="1"/>
  <c r="G107" i="1" l="1"/>
  <c r="G130" i="1"/>
  <c r="G46" i="1"/>
  <c r="G141" i="1"/>
  <c r="G121" i="1"/>
  <c r="G54" i="1"/>
  <c r="G57" i="1"/>
  <c r="G55" i="1"/>
  <c r="G153" i="1"/>
  <c r="G123" i="1"/>
  <c r="G133" i="1"/>
  <c r="G36" i="1"/>
  <c r="G33" i="1"/>
  <c r="G2" i="1"/>
  <c r="G32" i="1"/>
  <c r="G38" i="1"/>
  <c r="G39" i="1"/>
  <c r="G74" i="1"/>
  <c r="G161" i="1"/>
  <c r="G47" i="1"/>
  <c r="G105" i="1"/>
  <c r="G11" i="1"/>
  <c r="G160" i="1"/>
  <c r="G158" i="1"/>
  <c r="G120" i="1"/>
  <c r="G140" i="1"/>
  <c r="G10" i="1"/>
  <c r="G109" i="1"/>
  <c r="G165" i="1"/>
  <c r="G42" i="1"/>
  <c r="G106" i="1"/>
  <c r="G102" i="1"/>
  <c r="G52" i="1"/>
  <c r="G111" i="1"/>
  <c r="G41" i="1"/>
  <c r="G40" i="1"/>
  <c r="G104" i="1"/>
  <c r="G88" i="1"/>
  <c r="G162" i="1"/>
  <c r="G37" i="1"/>
  <c r="G15" i="1"/>
  <c r="G29" i="1"/>
  <c r="G143" i="1"/>
  <c r="G164" i="1"/>
  <c r="G19" i="1"/>
  <c r="G115" i="1"/>
  <c r="G89" i="1"/>
  <c r="G26" i="1"/>
  <c r="G81" i="1"/>
  <c r="G134" i="1"/>
  <c r="G124" i="1"/>
  <c r="G76" i="1"/>
  <c r="G80" i="1"/>
  <c r="G14" i="1"/>
  <c r="G93" i="1"/>
  <c r="G70" i="1"/>
  <c r="G65" i="1"/>
  <c r="G48" i="1"/>
  <c r="G157" i="1"/>
  <c r="G53" i="1"/>
  <c r="G99" i="1"/>
  <c r="G49" i="1"/>
  <c r="G60" i="1"/>
  <c r="G69" i="1"/>
  <c r="G13" i="1"/>
  <c r="G145" i="1"/>
  <c r="G84" i="1"/>
  <c r="G122" i="1"/>
  <c r="G27" i="1"/>
  <c r="G131" i="1"/>
  <c r="G114" i="1"/>
  <c r="G159" i="1"/>
  <c r="G117" i="1"/>
  <c r="G43" i="1"/>
  <c r="G72" i="1"/>
  <c r="G45" i="1"/>
  <c r="G139" i="1"/>
  <c r="G85" i="1"/>
  <c r="G128" i="1"/>
  <c r="G17" i="1"/>
  <c r="G28" i="1"/>
  <c r="G66" i="1"/>
  <c r="G125" i="1"/>
  <c r="G100" i="1"/>
  <c r="G91" i="1"/>
  <c r="G152" i="1"/>
  <c r="G21" i="1"/>
  <c r="G113" i="1"/>
  <c r="G95" i="1"/>
  <c r="G61" i="1"/>
  <c r="G68" i="1"/>
  <c r="G135" i="1"/>
  <c r="G30" i="1"/>
  <c r="G3" i="1"/>
  <c r="G83" i="1"/>
  <c r="G58" i="1"/>
  <c r="G63" i="1"/>
  <c r="G20" i="1"/>
  <c r="G129" i="1"/>
  <c r="G44" i="1"/>
  <c r="G12" i="1"/>
  <c r="G163" i="1"/>
  <c r="G94" i="1"/>
  <c r="G156" i="1"/>
  <c r="G112" i="1"/>
  <c r="G90" i="1"/>
  <c r="G18" i="1"/>
  <c r="G64" i="1"/>
  <c r="G51" i="1"/>
  <c r="G73" i="1"/>
  <c r="G127" i="1"/>
  <c r="G154" i="1"/>
  <c r="G110" i="1"/>
  <c r="G35" i="1"/>
  <c r="G155" i="1"/>
  <c r="G151" i="1"/>
  <c r="G56" i="1"/>
  <c r="G132" i="1"/>
  <c r="G5" i="1"/>
  <c r="G116" i="1"/>
  <c r="G97" i="1"/>
  <c r="G126" i="1"/>
  <c r="G4" i="1"/>
  <c r="G22" i="1"/>
  <c r="G50" i="1"/>
  <c r="G86" i="1"/>
  <c r="G82" i="1"/>
  <c r="G16" i="1"/>
  <c r="G103" i="1"/>
  <c r="G62" i="1"/>
  <c r="G78" i="1"/>
  <c r="G9" i="1"/>
  <c r="G146" i="1"/>
  <c r="G34" i="1"/>
  <c r="G138" i="1"/>
  <c r="G75" i="1"/>
  <c r="G149" i="1"/>
  <c r="G148" i="1"/>
  <c r="G71" i="1"/>
  <c r="G96" i="1"/>
  <c r="G59" i="1"/>
  <c r="G147" i="1"/>
  <c r="G6" i="1"/>
  <c r="G98" i="1"/>
  <c r="G67" i="1"/>
  <c r="G101" i="1"/>
  <c r="G119" i="1"/>
  <c r="G142" i="1"/>
  <c r="G92" i="1"/>
  <c r="G31" i="1"/>
  <c r="G108" i="1"/>
  <c r="G77" i="1"/>
  <c r="G7" i="1"/>
  <c r="G144" i="1"/>
  <c r="G87" i="1"/>
  <c r="G25" i="1"/>
  <c r="G79" i="1"/>
  <c r="E34" i="3" l="1"/>
  <c r="E36" i="3" s="1"/>
  <c r="C34" i="3"/>
  <c r="E15" i="3"/>
  <c r="C15" i="3"/>
  <c r="E17" i="3" l="1"/>
  <c r="N10" i="2" l="1"/>
  <c r="O10" i="2" s="1"/>
  <c r="M10" i="2"/>
  <c r="K10" i="2"/>
  <c r="J10" i="2"/>
  <c r="N9" i="2"/>
  <c r="O9" i="2" s="1"/>
  <c r="M9" i="2"/>
  <c r="K9" i="2"/>
  <c r="J9" i="2"/>
  <c r="N8" i="2"/>
  <c r="O8" i="2" s="1"/>
  <c r="M8" i="2"/>
  <c r="K8" i="2"/>
  <c r="J8" i="2"/>
  <c r="P8" i="2" s="1"/>
  <c r="N7" i="2"/>
  <c r="O7" i="2" s="1"/>
  <c r="M7" i="2"/>
  <c r="K7" i="2"/>
  <c r="J7" i="2"/>
  <c r="M10" i="1"/>
  <c r="M9" i="1"/>
  <c r="M8" i="1"/>
  <c r="M7" i="1"/>
  <c r="N10" i="1"/>
  <c r="O10" i="1" s="1"/>
  <c r="J10" i="1"/>
  <c r="K10" i="1"/>
  <c r="N9" i="1"/>
  <c r="O9" i="1" s="1"/>
  <c r="N8" i="1"/>
  <c r="O8" i="1" s="1"/>
  <c r="N7" i="1"/>
  <c r="O7" i="1" s="1"/>
  <c r="J3" i="2"/>
  <c r="K2" i="2"/>
  <c r="J2" i="2"/>
  <c r="K9" i="1"/>
  <c r="K8" i="1"/>
  <c r="K7" i="1"/>
  <c r="J9" i="1"/>
  <c r="J8" i="1"/>
  <c r="J7" i="1"/>
  <c r="J3" i="1"/>
  <c r="K2" i="1"/>
  <c r="J2" i="1"/>
  <c r="P10" i="1" l="1"/>
  <c r="P9" i="2"/>
  <c r="P10" i="2"/>
  <c r="P9" i="1"/>
  <c r="P7" i="1"/>
  <c r="P8" i="1"/>
  <c r="E30" i="3"/>
  <c r="C27" i="3"/>
  <c r="E29" i="3"/>
  <c r="C26" i="3"/>
  <c r="E28" i="3"/>
  <c r="C25" i="3"/>
  <c r="E27" i="3"/>
  <c r="C24" i="3"/>
  <c r="E26" i="3"/>
  <c r="E25" i="3"/>
  <c r="E24" i="3"/>
  <c r="C30" i="3"/>
  <c r="C29" i="3"/>
  <c r="C28" i="3"/>
  <c r="C5" i="3"/>
  <c r="E8" i="3"/>
  <c r="C7" i="3"/>
  <c r="C6" i="3"/>
  <c r="E10" i="3"/>
  <c r="E9" i="3"/>
  <c r="E11" i="3"/>
  <c r="C8" i="3"/>
  <c r="C9" i="3"/>
  <c r="C10" i="3"/>
  <c r="C11" i="3"/>
  <c r="E5" i="3"/>
  <c r="E6" i="3"/>
  <c r="E7" i="3"/>
  <c r="K3" i="2"/>
  <c r="P7" i="2"/>
  <c r="K3" i="1"/>
  <c r="E31" i="3" l="1"/>
  <c r="F26" i="3" s="1"/>
  <c r="C31" i="3"/>
  <c r="D26" i="3" s="1"/>
  <c r="E12" i="3"/>
  <c r="C12" i="3"/>
  <c r="F25" i="3" l="1"/>
  <c r="F24" i="3"/>
  <c r="F28" i="3"/>
  <c r="F30" i="3"/>
  <c r="F27" i="3"/>
  <c r="D34" i="3"/>
  <c r="C35" i="3"/>
  <c r="D25" i="3"/>
  <c r="D24" i="3"/>
  <c r="D29" i="3"/>
  <c r="E32" i="3"/>
  <c r="E35" i="3"/>
  <c r="F34" i="3"/>
  <c r="F31" i="3"/>
  <c r="D27" i="3"/>
  <c r="D28" i="3"/>
  <c r="F29" i="3"/>
  <c r="D30" i="3"/>
  <c r="C16" i="3"/>
  <c r="D15" i="3"/>
  <c r="F11" i="3"/>
  <c r="F15" i="3"/>
  <c r="E16" i="3"/>
  <c r="F10" i="3"/>
  <c r="F9" i="3"/>
  <c r="D7" i="3"/>
  <c r="D5" i="3"/>
  <c r="D6" i="3"/>
  <c r="D8" i="3"/>
  <c r="D9" i="3"/>
  <c r="D10" i="3"/>
  <c r="D11" i="3"/>
  <c r="E13" i="3"/>
  <c r="F8" i="3"/>
  <c r="F5" i="3"/>
  <c r="F6" i="3"/>
  <c r="F7" i="3"/>
  <c r="D31" i="3" l="1"/>
  <c r="F12" i="3"/>
  <c r="D12" i="3"/>
</calcChain>
</file>

<file path=xl/sharedStrings.xml><?xml version="1.0" encoding="utf-8"?>
<sst xmlns="http://schemas.openxmlformats.org/spreadsheetml/2006/main" count="792" uniqueCount="554">
  <si>
    <t>#Contrôle</t>
  </si>
  <si>
    <t>Description</t>
  </si>
  <si>
    <t>NIV</t>
  </si>
  <si>
    <t>Jours en stock</t>
  </si>
  <si>
    <t>24 VOLKSWAGEN GOLF GTI</t>
  </si>
  <si>
    <t>24 VOLKSWAGEN JETTA SEDAN</t>
  </si>
  <si>
    <t>24 VOLKSWAGEN ATLAS CROSS SPT</t>
  </si>
  <si>
    <t>24 VOLKSWAGEN JETTA GLI</t>
  </si>
  <si>
    <t>24 VOLKSWAGEN ATLAS</t>
  </si>
  <si>
    <t>23 VOLKSWAGEN TAOS</t>
  </si>
  <si>
    <t>23 VOLKSWAGEN JETTA SEDAN</t>
  </si>
  <si>
    <t>1416</t>
  </si>
  <si>
    <t>2103</t>
  </si>
  <si>
    <t>5407P</t>
  </si>
  <si>
    <t>19 GMC SAVANA CARGO VA</t>
  </si>
  <si>
    <t>1GTW7BFP1K1340423</t>
  </si>
  <si>
    <t>5291P</t>
  </si>
  <si>
    <t>20 VOLKSWAGEN E-GOLF</t>
  </si>
  <si>
    <t>WVWPR7AU2LW903993</t>
  </si>
  <si>
    <t>20 VOLKSWAGEN TIGUAN</t>
  </si>
  <si>
    <t>21 VOLKSWAGEN TIGUAN</t>
  </si>
  <si>
    <t>20 JEEP COMPASS</t>
  </si>
  <si>
    <t>19 VOLKSWAGEN TIGUAN</t>
  </si>
  <si>
    <t>20 VOLKSWAGEN JETTA</t>
  </si>
  <si>
    <t>17 AUDI A3 E-TRON</t>
  </si>
  <si>
    <t>18 CHEVROLET VOLT</t>
  </si>
  <si>
    <t>10 VOLKSWAGEN ROUTAN</t>
  </si>
  <si>
    <t>5188P</t>
  </si>
  <si>
    <t>11 VOLKSWAGEN JETTA SEDAN</t>
  </si>
  <si>
    <t>3VWLL7AJ3BM097101</t>
  </si>
  <si>
    <t>$ Inventaire</t>
  </si>
  <si>
    <t>$ Financé</t>
  </si>
  <si>
    <t>CTRL</t>
  </si>
  <si>
    <t># unités</t>
  </si>
  <si>
    <t>Plus de 365 jrs</t>
  </si>
  <si>
    <t>Entre 180 et 364 jours</t>
  </si>
  <si>
    <t>Entre 90 et 179 jours</t>
  </si>
  <si>
    <t>Entre 0 et 89 jours</t>
  </si>
  <si>
    <t>Financé</t>
  </si>
  <si>
    <t>Interet / mois</t>
  </si>
  <si>
    <t>Interet / auto</t>
  </si>
  <si>
    <t>Classement</t>
  </si>
  <si>
    <t>Unite</t>
  </si>
  <si>
    <t>% unite</t>
  </si>
  <si>
    <t>Montant</t>
  </si>
  <si>
    <t>% Montant</t>
  </si>
  <si>
    <t>301 &amp; +</t>
  </si>
  <si>
    <t>181-300</t>
  </si>
  <si>
    <t>121-180</t>
  </si>
  <si>
    <t>91-120</t>
  </si>
  <si>
    <t>61-90</t>
  </si>
  <si>
    <t>31-60</t>
  </si>
  <si>
    <t>0-30</t>
  </si>
  <si>
    <t>Total</t>
  </si>
  <si>
    <t>Valeur moyenne reel</t>
  </si>
  <si>
    <t>Budget</t>
  </si>
  <si>
    <t>Row Labels</t>
  </si>
  <si>
    <t>Grand Total</t>
  </si>
  <si>
    <t>Sum of 1402</t>
  </si>
  <si>
    <t>Count of NIV</t>
  </si>
  <si>
    <t>Ecart</t>
  </si>
  <si>
    <t>Valeur moyenne budgete</t>
  </si>
  <si>
    <t>Vehicules neuf</t>
  </si>
  <si>
    <t>Vehicules usages</t>
  </si>
  <si>
    <t>Sum of 1416</t>
  </si>
  <si>
    <t>Homme de cours</t>
  </si>
  <si>
    <t>Count of Classement</t>
  </si>
  <si>
    <t>22 VOLKSWAGEN TIGUAN</t>
  </si>
  <si>
    <t>22 VOLKSWAGEN TAOS</t>
  </si>
  <si>
    <t>1402</t>
  </si>
  <si>
    <t>2101</t>
  </si>
  <si>
    <t>25 VOLKSWAGEN ID.BUZZ</t>
  </si>
  <si>
    <t>25 VOLKSWAGEN ID.4</t>
  </si>
  <si>
    <t>250350</t>
  </si>
  <si>
    <t>1V2XRPE86SC000287</t>
  </si>
  <si>
    <t>250431</t>
  </si>
  <si>
    <t>1V29SPE86SC002697</t>
  </si>
  <si>
    <t>26 VOLKSWAGEN ATLAS CROSS SPT</t>
  </si>
  <si>
    <t>26 VOLKSWAGEN TAOS</t>
  </si>
  <si>
    <t>260018</t>
  </si>
  <si>
    <t>3VV4C7B2XTM004026</t>
  </si>
  <si>
    <t>260025</t>
  </si>
  <si>
    <t>3VV4C7B28TM005269</t>
  </si>
  <si>
    <t>260035</t>
  </si>
  <si>
    <t>3VV4C7B21TM005971</t>
  </si>
  <si>
    <t>26 VOLKSWAGEN JETTA GLI</t>
  </si>
  <si>
    <t>26 VOLKSWAGEN JETTA SEDAN</t>
  </si>
  <si>
    <t>260012</t>
  </si>
  <si>
    <t>3VV8C7B28TM003815</t>
  </si>
  <si>
    <t>260049</t>
  </si>
  <si>
    <t>3VV4C7B29TM008259</t>
  </si>
  <si>
    <t>260054</t>
  </si>
  <si>
    <t>3VV2C7B29TM009564</t>
  </si>
  <si>
    <t>26 VOLKSWAGEN TIGUAN</t>
  </si>
  <si>
    <t>260064</t>
  </si>
  <si>
    <t>3VV8C7B2XTM002438</t>
  </si>
  <si>
    <t>260059</t>
  </si>
  <si>
    <t>3VWCW7BU1TM009499</t>
  </si>
  <si>
    <t>260094</t>
  </si>
  <si>
    <t>3VVER7RM7TM009520</t>
  </si>
  <si>
    <t>260092</t>
  </si>
  <si>
    <t>3VV2C7B2XTM012683</t>
  </si>
  <si>
    <t>260101</t>
  </si>
  <si>
    <t>3VV4C7B21TM010734</t>
  </si>
  <si>
    <t>260105</t>
  </si>
  <si>
    <t>3VVBR7RM7TM008743</t>
  </si>
  <si>
    <t>260110</t>
  </si>
  <si>
    <t>3VWCW7BU7TM011449</t>
  </si>
  <si>
    <t>260099</t>
  </si>
  <si>
    <t>3VWCW7BU6TM011300</t>
  </si>
  <si>
    <t>26 VOLKSWAGEN GOLF R</t>
  </si>
  <si>
    <t>260168</t>
  </si>
  <si>
    <t>WVG6YVEB5SH041704</t>
  </si>
  <si>
    <t>26 VOLKSWAGEN ATLAS</t>
  </si>
  <si>
    <t>26 VOLKSWAGEN GOLF GTI</t>
  </si>
  <si>
    <t>260194</t>
  </si>
  <si>
    <t>3VVBR7RM4TM025189</t>
  </si>
  <si>
    <t>260247</t>
  </si>
  <si>
    <t>1V2FN2CA0TC527548</t>
  </si>
  <si>
    <t>260263</t>
  </si>
  <si>
    <t>3VV4C7B20TM031851</t>
  </si>
  <si>
    <t>260251</t>
  </si>
  <si>
    <t>3VV4C7B21TM031339</t>
  </si>
  <si>
    <t>260220</t>
  </si>
  <si>
    <t>3VV2C7B21TM028321</t>
  </si>
  <si>
    <t>260246</t>
  </si>
  <si>
    <t>3VV2C7B23TM030345</t>
  </si>
  <si>
    <t>260238</t>
  </si>
  <si>
    <t>3VVBR7RM1TM031127</t>
  </si>
  <si>
    <t>260237</t>
  </si>
  <si>
    <t>3VVBR7RM6TM030121</t>
  </si>
  <si>
    <t>260277</t>
  </si>
  <si>
    <t>3VV8C7B28TM035325</t>
  </si>
  <si>
    <t>24 VOLKSWAGEN TIGUAN</t>
  </si>
  <si>
    <t>260155A</t>
  </si>
  <si>
    <t>3VV8B7AX0RM019399</t>
  </si>
  <si>
    <t>260249A</t>
  </si>
  <si>
    <t>3VV3X7B22NM045639</t>
  </si>
  <si>
    <t>260321</t>
  </si>
  <si>
    <t>3VVUW7RM4TM052720</t>
  </si>
  <si>
    <t>260317</t>
  </si>
  <si>
    <t>3VVUW7RM4TM053298</t>
  </si>
  <si>
    <t>260343</t>
  </si>
  <si>
    <t>3VVGR7RM8TM052854</t>
  </si>
  <si>
    <t>260294</t>
  </si>
  <si>
    <t>3VV4C7B23TM034923</t>
  </si>
  <si>
    <t>260307</t>
  </si>
  <si>
    <t>3VVBR7RM5TM052174</t>
  </si>
  <si>
    <t>260399</t>
  </si>
  <si>
    <t>1V2FC2CA5TC218759</t>
  </si>
  <si>
    <t>260422</t>
  </si>
  <si>
    <t>1V2FC2CA8TC220604</t>
  </si>
  <si>
    <t>260430</t>
  </si>
  <si>
    <t>1V2BN2CA4TC546988</t>
  </si>
  <si>
    <t>260417</t>
  </si>
  <si>
    <t>3VVUW7RM3TM074479</t>
  </si>
  <si>
    <t>260392</t>
  </si>
  <si>
    <t>3VVGR7RM5TM068056</t>
  </si>
  <si>
    <t>260393</t>
  </si>
  <si>
    <t>3VVGR7RM8TM069069</t>
  </si>
  <si>
    <t>260387</t>
  </si>
  <si>
    <t>3VV2C7B27TM045219</t>
  </si>
  <si>
    <t>260374</t>
  </si>
  <si>
    <t>3VVBR7RM6TM067752</t>
  </si>
  <si>
    <t>260385</t>
  </si>
  <si>
    <t>3VVBR7RM9TM070449</t>
  </si>
  <si>
    <t>260379</t>
  </si>
  <si>
    <t>3VVBR7RM0TM067567</t>
  </si>
  <si>
    <t>260390</t>
  </si>
  <si>
    <t>3VVBR7RM3TM067773</t>
  </si>
  <si>
    <t>260425</t>
  </si>
  <si>
    <t>3VV8C7B26TM048221</t>
  </si>
  <si>
    <t>260423</t>
  </si>
  <si>
    <t>3VV8C7B22TM047132</t>
  </si>
  <si>
    <t>260493</t>
  </si>
  <si>
    <t>1V2FN2CA7TC555248</t>
  </si>
  <si>
    <t>260532</t>
  </si>
  <si>
    <t>1V2FN2CA6TC547738</t>
  </si>
  <si>
    <t>260526</t>
  </si>
  <si>
    <t>1V2FN2CA8TC556988</t>
  </si>
  <si>
    <t>260527</t>
  </si>
  <si>
    <t>1V2FN2CA4TC557846</t>
  </si>
  <si>
    <t>260496</t>
  </si>
  <si>
    <t>1V2FN2CA2TC550202</t>
  </si>
  <si>
    <t>260445</t>
  </si>
  <si>
    <t>1V2FC2CA5TC220737</t>
  </si>
  <si>
    <t>260528</t>
  </si>
  <si>
    <t>1V2FN2CA1TC556198</t>
  </si>
  <si>
    <t>260520</t>
  </si>
  <si>
    <t>1V2BN2CA6TC556535</t>
  </si>
  <si>
    <t>260449</t>
  </si>
  <si>
    <t>1V2BC2CA2TC220791</t>
  </si>
  <si>
    <t>260538</t>
  </si>
  <si>
    <t>1V2CN2CA5TC559978</t>
  </si>
  <si>
    <t>260444</t>
  </si>
  <si>
    <t>WVWKF7CD3TW211547</t>
  </si>
  <si>
    <t>260461</t>
  </si>
  <si>
    <t>WVWJF7CD2TW204262</t>
  </si>
  <si>
    <t>260448</t>
  </si>
  <si>
    <t>3VVUW7RM3TM076068</t>
  </si>
  <si>
    <t>260454</t>
  </si>
  <si>
    <t>3VVUW7RM3TM077978</t>
  </si>
  <si>
    <t>260460</t>
  </si>
  <si>
    <t>3VVGR7RM4TM077895</t>
  </si>
  <si>
    <t>260447</t>
  </si>
  <si>
    <t>3VVER7RM6TM076111</t>
  </si>
  <si>
    <t>260503</t>
  </si>
  <si>
    <t>3VVER7RM3TM081315</t>
  </si>
  <si>
    <t>260506</t>
  </si>
  <si>
    <t>3VVER7RM4TM082957</t>
  </si>
  <si>
    <t>260509</t>
  </si>
  <si>
    <t>3VVER7RM9TM083733</t>
  </si>
  <si>
    <t>260505</t>
  </si>
  <si>
    <t>3VVER7RM1TM080292</t>
  </si>
  <si>
    <t>260515</t>
  </si>
  <si>
    <t>3VVER7RM2TM083315</t>
  </si>
  <si>
    <t>260545</t>
  </si>
  <si>
    <t>3VVER7RM6TM086041</t>
  </si>
  <si>
    <t>260573</t>
  </si>
  <si>
    <t>3VVER7RM1TM081930</t>
  </si>
  <si>
    <t>260446</t>
  </si>
  <si>
    <t>3VV2C7B23TM049171</t>
  </si>
  <si>
    <t>260502</t>
  </si>
  <si>
    <t>3VV2C7B20TM053291</t>
  </si>
  <si>
    <t>260475</t>
  </si>
  <si>
    <t>3VV2C7B25TM050080</t>
  </si>
  <si>
    <t>260482</t>
  </si>
  <si>
    <t>3VVBR7RM5TM079200</t>
  </si>
  <si>
    <t>260500</t>
  </si>
  <si>
    <t>3VVBR7RM2TM081471</t>
  </si>
  <si>
    <t>260516</t>
  </si>
  <si>
    <t>3VVBR7RM2TM083169</t>
  </si>
  <si>
    <t>260470</t>
  </si>
  <si>
    <t>3VVBR7RM2TM076321</t>
  </si>
  <si>
    <t>260468</t>
  </si>
  <si>
    <t>3VVVC7B27TM048764</t>
  </si>
  <si>
    <t>260494</t>
  </si>
  <si>
    <t>3VVBR7RMXTM080195</t>
  </si>
  <si>
    <t>260504</t>
  </si>
  <si>
    <t>3VVBR7RM2TM081017</t>
  </si>
  <si>
    <t>260511</t>
  </si>
  <si>
    <t>3VWSW7BU5TM047104</t>
  </si>
  <si>
    <t>260469</t>
  </si>
  <si>
    <t>3VWCW7BU2TM045461</t>
  </si>
  <si>
    <t>5935P</t>
  </si>
  <si>
    <t>22 VOLKSWAGEN GOLF R</t>
  </si>
  <si>
    <t>WVWEB7CD9NW160664</t>
  </si>
  <si>
    <t>5929P</t>
  </si>
  <si>
    <t>23 VOLKSWAGEN ATLAS CROSS SPO</t>
  </si>
  <si>
    <t>1V2SE2CA6PC205971</t>
  </si>
  <si>
    <t>260313A</t>
  </si>
  <si>
    <t>WVWJA7CD8RW148254</t>
  </si>
  <si>
    <t>260476A</t>
  </si>
  <si>
    <t>3VVAX7B22PM330481</t>
  </si>
  <si>
    <t>260589A</t>
  </si>
  <si>
    <t>23 VOLKSWAGEN ATLAS</t>
  </si>
  <si>
    <t>1V2FR2CA2PC544779</t>
  </si>
  <si>
    <t>260429A</t>
  </si>
  <si>
    <t>1V2FE2CA5PC203372</t>
  </si>
  <si>
    <t>260262A</t>
  </si>
  <si>
    <t>1V2SR2CA0PC506062</t>
  </si>
  <si>
    <t>260531A</t>
  </si>
  <si>
    <t>WVWRA7CD4RW133320</t>
  </si>
  <si>
    <t>260535A</t>
  </si>
  <si>
    <t>3VV4B7AX6RM053233</t>
  </si>
  <si>
    <t>5946P</t>
  </si>
  <si>
    <t>23 VOLKSWAGEN TIGUAN</t>
  </si>
  <si>
    <t>3VV4B7AXXPM066791</t>
  </si>
  <si>
    <t>260477B</t>
  </si>
  <si>
    <t>25 VOLKSWAGEN TAOS</t>
  </si>
  <si>
    <t>3VV8C7B27SM012245</t>
  </si>
  <si>
    <t>260080A</t>
  </si>
  <si>
    <t>24 VOLKSWAGEN TAOS</t>
  </si>
  <si>
    <t>3VV4X7B26RM013402</t>
  </si>
  <si>
    <t>260622A</t>
  </si>
  <si>
    <t>3VW2T7BU6RM030460</t>
  </si>
  <si>
    <t>5940P</t>
  </si>
  <si>
    <t>22 VOLKSWAGEN JETTA GLI</t>
  </si>
  <si>
    <t>3VW2T7BU8NM028736</t>
  </si>
  <si>
    <t>260483A</t>
  </si>
  <si>
    <t>3VV4B7AX6NM089451</t>
  </si>
  <si>
    <t>260443A</t>
  </si>
  <si>
    <t>3VVVX7B28RM013471</t>
  </si>
  <si>
    <t>260517A</t>
  </si>
  <si>
    <t>3VVMB7AX5PM000603</t>
  </si>
  <si>
    <t>260536A</t>
  </si>
  <si>
    <t>3VV8B7AX8NM107093</t>
  </si>
  <si>
    <t>260295A</t>
  </si>
  <si>
    <t>3VV2B7AX6NM093300</t>
  </si>
  <si>
    <t>5932P</t>
  </si>
  <si>
    <t>22 SUBARU WRX</t>
  </si>
  <si>
    <t>JF1VBAA60N9024560</t>
  </si>
  <si>
    <t>260434A</t>
  </si>
  <si>
    <t>3VV2B7AX6NM020721</t>
  </si>
  <si>
    <t>5951P</t>
  </si>
  <si>
    <t>3VV2B7AX4NM077354</t>
  </si>
  <si>
    <t>260453A</t>
  </si>
  <si>
    <t>24 VOLKSWAGEN JETTA</t>
  </si>
  <si>
    <t>3VWSM7BU9RM031325</t>
  </si>
  <si>
    <t>260626A</t>
  </si>
  <si>
    <t>3VVLX7B24NM094213</t>
  </si>
  <si>
    <t>260406A</t>
  </si>
  <si>
    <t>3VVAX7B29PM315427</t>
  </si>
  <si>
    <t>260474A</t>
  </si>
  <si>
    <t>18 VOLKSWAGEN GOLF R</t>
  </si>
  <si>
    <t>WVWWF7AU8JW216373</t>
  </si>
  <si>
    <t>260363B</t>
  </si>
  <si>
    <t>18 VOLKSWAGEN ATLAS</t>
  </si>
  <si>
    <t>1V2MR2CAXJC529297</t>
  </si>
  <si>
    <t>22 VOLKSWAGEN JETTA</t>
  </si>
  <si>
    <t>5945P</t>
  </si>
  <si>
    <t>3VWCM7BU8NM018807</t>
  </si>
  <si>
    <t>260208A</t>
  </si>
  <si>
    <t>3VVAX7B25NM057033</t>
  </si>
  <si>
    <t>23 VOLKSWAGEN GOLF GTI</t>
  </si>
  <si>
    <t>5952P</t>
  </si>
  <si>
    <t>3VV2B7AX4NM128626</t>
  </si>
  <si>
    <t>260601</t>
  </si>
  <si>
    <t>1V2FN2CA6TC559579</t>
  </si>
  <si>
    <t>260606</t>
  </si>
  <si>
    <t>1V2FN2CA9TC558457</t>
  </si>
  <si>
    <t>260607</t>
  </si>
  <si>
    <t>1V2FN2CA5TC560416</t>
  </si>
  <si>
    <t>260584</t>
  </si>
  <si>
    <t>1V2FN2CA6TC560652</t>
  </si>
  <si>
    <t>260597</t>
  </si>
  <si>
    <t>1V2FN2CA0TC559111</t>
  </si>
  <si>
    <t>260612</t>
  </si>
  <si>
    <t>1V2FN2CA3TC560947</t>
  </si>
  <si>
    <t>260587</t>
  </si>
  <si>
    <t>1V2FC2CAXTC224928</t>
  </si>
  <si>
    <t>260610</t>
  </si>
  <si>
    <t>1V2FC2CA7TC225356</t>
  </si>
  <si>
    <t>260567</t>
  </si>
  <si>
    <t>1V2FC2CA0TC223738</t>
  </si>
  <si>
    <t>260566</t>
  </si>
  <si>
    <t>1V2FC2CA4TC223824</t>
  </si>
  <si>
    <t>260644</t>
  </si>
  <si>
    <t>1V2FC2CA5TC226151</t>
  </si>
  <si>
    <t>260604</t>
  </si>
  <si>
    <t>1V2BN2CA1TC563800</t>
  </si>
  <si>
    <t>260582</t>
  </si>
  <si>
    <t>1V2BN2CA1TC559486</t>
  </si>
  <si>
    <t>260594</t>
  </si>
  <si>
    <t>1V2BN2CA4TC562026</t>
  </si>
  <si>
    <t>260596</t>
  </si>
  <si>
    <t>1V2BN2CA9TC561700</t>
  </si>
  <si>
    <t>260575</t>
  </si>
  <si>
    <t>1V2BN2CA2TC561716</t>
  </si>
  <si>
    <t>260561</t>
  </si>
  <si>
    <t>1V2BN2CA5TC559748</t>
  </si>
  <si>
    <t>260595</t>
  </si>
  <si>
    <t>1V2BC2CA0TC224354</t>
  </si>
  <si>
    <t>260602</t>
  </si>
  <si>
    <t>1V2BC2CA6TC222916</t>
  </si>
  <si>
    <t>260580</t>
  </si>
  <si>
    <t>1V2LN2CA0TC556387</t>
  </si>
  <si>
    <t>260618</t>
  </si>
  <si>
    <t>WVWJF7CD3TW224407</t>
  </si>
  <si>
    <t>260558</t>
  </si>
  <si>
    <t>3VVGR7RMXTM085919</t>
  </si>
  <si>
    <t>260576</t>
  </si>
  <si>
    <t>3VVGR7RM4TM092106</t>
  </si>
  <si>
    <t>260583</t>
  </si>
  <si>
    <t>3VVGR7RM4TM090517</t>
  </si>
  <si>
    <t>260554</t>
  </si>
  <si>
    <t>3VVER7RMXTM086673</t>
  </si>
  <si>
    <t>260581</t>
  </si>
  <si>
    <t>3VV4C7B25TM061153</t>
  </si>
  <si>
    <t>260572</t>
  </si>
  <si>
    <t>3VV2C7B23TM058971</t>
  </si>
  <si>
    <t>260564</t>
  </si>
  <si>
    <t>3VVBR7RM3TM089028</t>
  </si>
  <si>
    <t>260577</t>
  </si>
  <si>
    <t>3VVBR7RM6TM091534</t>
  </si>
  <si>
    <t>260599</t>
  </si>
  <si>
    <t>3VVBR7RM7TM093373</t>
  </si>
  <si>
    <t>260632</t>
  </si>
  <si>
    <t>3VW2M7BU9TM056569</t>
  </si>
  <si>
    <t>260630</t>
  </si>
  <si>
    <t>3VV8C7B2XTM066026</t>
  </si>
  <si>
    <t>260643</t>
  </si>
  <si>
    <t>3VWSW7BU7TM055981</t>
  </si>
  <si>
    <t>260613</t>
  </si>
  <si>
    <t>3VWEW7BUXTM053087</t>
  </si>
  <si>
    <t>260624</t>
  </si>
  <si>
    <t>3VWEW7BU0TM055625</t>
  </si>
  <si>
    <t>260585</t>
  </si>
  <si>
    <t>3VWEW7BU6TM053345</t>
  </si>
  <si>
    <t>260635</t>
  </si>
  <si>
    <t>3VWEW7BU9TM056434</t>
  </si>
  <si>
    <t>260557</t>
  </si>
  <si>
    <t>3VWCW7BU3TM050927</t>
  </si>
  <si>
    <t>260569</t>
  </si>
  <si>
    <t>3VWCW7BU7TM051076</t>
  </si>
  <si>
    <t>260629</t>
  </si>
  <si>
    <t>3VWCW7BU7TM056424</t>
  </si>
  <si>
    <t>260631</t>
  </si>
  <si>
    <t>3VWCW7BU7TM054933</t>
  </si>
  <si>
    <t>260640</t>
  </si>
  <si>
    <t>3VWCW7BU2TM057853</t>
  </si>
  <si>
    <t>260645</t>
  </si>
  <si>
    <t>3VWCW7BU0TM056118</t>
  </si>
  <si>
    <t>260647</t>
  </si>
  <si>
    <t>3VWCW7BU6TM056110</t>
  </si>
  <si>
    <t>260685</t>
  </si>
  <si>
    <t>1V2FN2CA2TC560163</t>
  </si>
  <si>
    <t>260660</t>
  </si>
  <si>
    <t>1V2FN2CA9TC560323</t>
  </si>
  <si>
    <t>260661</t>
  </si>
  <si>
    <t>1V2FN2CA5TC558181</t>
  </si>
  <si>
    <t>260665</t>
  </si>
  <si>
    <t>1V2FN2CA3TC559975</t>
  </si>
  <si>
    <t>260688</t>
  </si>
  <si>
    <t>1V2FC2CA2TC221506</t>
  </si>
  <si>
    <t>260698</t>
  </si>
  <si>
    <t>1V2FC2CA3TC228187</t>
  </si>
  <si>
    <t>260680</t>
  </si>
  <si>
    <t>1V2BN2CA0TC564680</t>
  </si>
  <si>
    <t>260689</t>
  </si>
  <si>
    <t>WVWHF7CD6TW248098</t>
  </si>
  <si>
    <t>260690</t>
  </si>
  <si>
    <t>WVWJF7CD2TW239819</t>
  </si>
  <si>
    <t>260713</t>
  </si>
  <si>
    <t>3VVGR7RMXTM096810</t>
  </si>
  <si>
    <t>260655</t>
  </si>
  <si>
    <t>3VVGR7RMXTM103996</t>
  </si>
  <si>
    <t>260712</t>
  </si>
  <si>
    <t>3VVGR7RM2TM113387</t>
  </si>
  <si>
    <t>260675</t>
  </si>
  <si>
    <t>3VVGR7RM8TM109540</t>
  </si>
  <si>
    <t>260699</t>
  </si>
  <si>
    <t>3VVGR7RM8TM113961</t>
  </si>
  <si>
    <t>260704</t>
  </si>
  <si>
    <t>3VVGR7RMXTM116148</t>
  </si>
  <si>
    <t>260706</t>
  </si>
  <si>
    <t>3VVGR7RM4TM114556</t>
  </si>
  <si>
    <t>260666</t>
  </si>
  <si>
    <t>3VVGR7RM3TM106576</t>
  </si>
  <si>
    <t>260696</t>
  </si>
  <si>
    <t>3VVGR7RM5TM112668</t>
  </si>
  <si>
    <t>260708</t>
  </si>
  <si>
    <t>3VVGR7RM1TM115244</t>
  </si>
  <si>
    <t>260707</t>
  </si>
  <si>
    <t>3VVGR7RM0TM116739</t>
  </si>
  <si>
    <t>260663</t>
  </si>
  <si>
    <t>3VVGR7RM3TM107145</t>
  </si>
  <si>
    <t>260668</t>
  </si>
  <si>
    <t>3VVGR7RM5TM108393</t>
  </si>
  <si>
    <t>260672</t>
  </si>
  <si>
    <t>3VVGR7RM5TM107874</t>
  </si>
  <si>
    <t>260673</t>
  </si>
  <si>
    <t>3VVGR7RM0TM108964</t>
  </si>
  <si>
    <t>260714</t>
  </si>
  <si>
    <t>3VVER7RM9TM052286</t>
  </si>
  <si>
    <t>260674</t>
  </si>
  <si>
    <t>3VVBR7RM7TM093468</t>
  </si>
  <si>
    <t>260684</t>
  </si>
  <si>
    <t>3VV2C7B25TM071723</t>
  </si>
  <si>
    <t>260681</t>
  </si>
  <si>
    <t>3VVBR7RM1TM080327</t>
  </si>
  <si>
    <t>260682</t>
  </si>
  <si>
    <t>3VVBR7RM7TM109376</t>
  </si>
  <si>
    <t>260683</t>
  </si>
  <si>
    <t>3VVBR7RM8TM109256</t>
  </si>
  <si>
    <t>260694</t>
  </si>
  <si>
    <t>3VVBR7RM2TM112556</t>
  </si>
  <si>
    <t>260727</t>
  </si>
  <si>
    <t>WVWME7CD9TW250672</t>
  </si>
  <si>
    <t>260705</t>
  </si>
  <si>
    <t>3VW2M7BU3TM064490</t>
  </si>
  <si>
    <t>260710</t>
  </si>
  <si>
    <t>3VV8C7B27TM039611</t>
  </si>
  <si>
    <t>260715</t>
  </si>
  <si>
    <t>3VV8C7B29TM035379</t>
  </si>
  <si>
    <t>260720</t>
  </si>
  <si>
    <t>3VV8C7B28TM045451</t>
  </si>
  <si>
    <t>260687</t>
  </si>
  <si>
    <t>3VWSW7BU6TM062615</t>
  </si>
  <si>
    <t>260692</t>
  </si>
  <si>
    <t>3VWSW7BU1TM062960</t>
  </si>
  <si>
    <t>260656</t>
  </si>
  <si>
    <t>3VWCW7BU4TM056591</t>
  </si>
  <si>
    <t>260667</t>
  </si>
  <si>
    <t>3VWCW7BU3TM061507</t>
  </si>
  <si>
    <t>260691</t>
  </si>
  <si>
    <t>3VWCW7BU5TM063064</t>
  </si>
  <si>
    <t>260330A</t>
  </si>
  <si>
    <t>22 AUDI RS 5 SPORTBACK</t>
  </si>
  <si>
    <t>WUABWCF58NA902380</t>
  </si>
  <si>
    <t>260556A</t>
  </si>
  <si>
    <t>3VVER7RMXTM081022</t>
  </si>
  <si>
    <t>5959P</t>
  </si>
  <si>
    <t>1V2SR2CA2PC543923</t>
  </si>
  <si>
    <t>260386A</t>
  </si>
  <si>
    <t>1V2FR2CA3PC541292</t>
  </si>
  <si>
    <t>5955P</t>
  </si>
  <si>
    <t>1V2BR2CA7PC534053</t>
  </si>
  <si>
    <t>260514A</t>
  </si>
  <si>
    <t>1V2SR2CA9PC555406</t>
  </si>
  <si>
    <t>260522A</t>
  </si>
  <si>
    <t>1V2FE2CA8PC201390</t>
  </si>
  <si>
    <t>260649A</t>
  </si>
  <si>
    <t>3VV8B7AX2PM078015</t>
  </si>
  <si>
    <t>260697A</t>
  </si>
  <si>
    <t>3VV4B7AX9PM097630</t>
  </si>
  <si>
    <t>260657A</t>
  </si>
  <si>
    <t>WVWSA7CDXPW137810</t>
  </si>
  <si>
    <t>5956P</t>
  </si>
  <si>
    <t>25 VOLKSWAGEN JETTA</t>
  </si>
  <si>
    <t>3VWEX7BU9SM047647</t>
  </si>
  <si>
    <t>250228A</t>
  </si>
  <si>
    <t>3VVMB7AX0PM013954</t>
  </si>
  <si>
    <t>260670A</t>
  </si>
  <si>
    <t>3VV2B7AX4NM093523</t>
  </si>
  <si>
    <t>260619A</t>
  </si>
  <si>
    <t>3VVUX7B28PM353387</t>
  </si>
  <si>
    <t>260432A</t>
  </si>
  <si>
    <t>3VV2B7AXXNM128453</t>
  </si>
  <si>
    <t>5954P</t>
  </si>
  <si>
    <t>3VV2X7B25NM079103</t>
  </si>
  <si>
    <t>260529A</t>
  </si>
  <si>
    <t>3VV2B7AX1NM128194</t>
  </si>
  <si>
    <t>260089A</t>
  </si>
  <si>
    <t>3VVLX7B20NM087369</t>
  </si>
  <si>
    <t>260671A</t>
  </si>
  <si>
    <t>3VWFM7BU1RM023141</t>
  </si>
  <si>
    <t>260605A</t>
  </si>
  <si>
    <t>23 VOLKSWAGEN JETTA</t>
  </si>
  <si>
    <t>3VWGM7BU0PM003383</t>
  </si>
  <si>
    <t>260534A</t>
  </si>
  <si>
    <t>20 VOLKSWAGEN GOLF GTI</t>
  </si>
  <si>
    <t>3VW5T7AU7LM005959</t>
  </si>
  <si>
    <t>260651A</t>
  </si>
  <si>
    <t>3VWSM7BU7PM011605</t>
  </si>
  <si>
    <t>260703A</t>
  </si>
  <si>
    <t>3VVLX7B29NM083420</t>
  </si>
  <si>
    <t>260530A</t>
  </si>
  <si>
    <t>3VVAX7B21PM331637</t>
  </si>
  <si>
    <t>260654A</t>
  </si>
  <si>
    <t>3VV4B7AX6MM146035</t>
  </si>
  <si>
    <t>260550A</t>
  </si>
  <si>
    <t>3VVAX7B29NM082629</t>
  </si>
  <si>
    <t>260623A</t>
  </si>
  <si>
    <t>14 AUDI A5</t>
  </si>
  <si>
    <t>WAUCFBFR1EA072255</t>
  </si>
  <si>
    <t>260524B</t>
  </si>
  <si>
    <t>15 VOLKSWAGEN JETTA SEDAN</t>
  </si>
  <si>
    <t>3VW2K7AJ6FM348827</t>
  </si>
  <si>
    <t>250527B</t>
  </si>
  <si>
    <t>16 VOLKSWAGEN JETTA SEDAN</t>
  </si>
  <si>
    <t>3VW267AJ7GM238262</t>
  </si>
  <si>
    <t>260695A</t>
  </si>
  <si>
    <t>3VWSM7BU6NM022690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</si>
</sst>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)_ ;_ * \(#,##0.00\)_ ;_ * &quot;-&quot;??_)_ ;_ @_ "/>
    <numFmt numFmtId="165" formatCode="_-* #,##0.00_-;\-* #,##0.00_-;_-* &quot;-&quot;??_-;_-@_-"/>
    <numFmt numFmtId="166" formatCode="#,###.00;\-#,###.00;.00;@"/>
    <numFmt numFmtId="167" formatCode="#;#;0;@"/>
    <numFmt numFmtId="168" formatCode="_ * #,##0_)\ &quot;$&quot;_ ;_ * \(#,##0\)\ &quot;$&quot;_ ;_ * &quot;-&quot;??_)\ &quot;$&quot;_ ;_ @_ "/>
    <numFmt numFmtId="169" formatCode="0.0%"/>
    <numFmt numFmtId="170" formatCode="_-* #,##0_-;\-* #,##0_-;_-* &quot;-&quot;??_-;_-@_-"/>
    <numFmt numFmtId="171" formatCode="_ * #,##0.00_)\ &quot;$&quot;_ ;_ * \(#,##0.00\)\ &quot;$&quot;_ ;_ * &quot;-&quot;??_)\ &quot;$&quot;_ ;_ @_ "/>
  </numFmts>
  <fonts count="9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64">
    <xf numFmtId="0" fontId="0" fillId="0" borderId="0" xfId="0"/>
    <xf numFmtId="49" fontId="0" fillId="0" borderId="0" xfId="0" applyNumberFormat="1" applyAlignment="1">
      <alignment horizontal="left" vertical="center"/>
    </xf>
    <xf numFmtId="167" fontId="0" fillId="0" borderId="0" xfId="0" applyNumberFormat="1" applyAlignment="1">
      <alignment horizontal="right" vertical="center"/>
    </xf>
    <xf numFmtId="0" fontId="2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0" xfId="0" applyFont="1"/>
    <xf numFmtId="0" fontId="3" fillId="0" borderId="4" xfId="0" applyFont="1" applyBorder="1" applyAlignment="1">
      <alignment horizontal="center"/>
    </xf>
    <xf numFmtId="168" fontId="2" fillId="0" borderId="0" xfId="0" applyNumberFormat="1" applyFont="1" applyAlignment="1">
      <alignment horizontal="center" vertical="center"/>
    </xf>
    <xf numFmtId="168" fontId="2" fillId="0" borderId="5" xfId="0" applyNumberFormat="1" applyFont="1" applyBorder="1" applyAlignment="1">
      <alignment horizontal="center" vertical="center"/>
    </xf>
    <xf numFmtId="168" fontId="4" fillId="0" borderId="0" xfId="0" applyNumberFormat="1" applyFont="1"/>
    <xf numFmtId="0" fontId="3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69" fontId="2" fillId="0" borderId="8" xfId="0" applyNumberFormat="1" applyFont="1" applyBorder="1" applyAlignment="1">
      <alignment horizontal="center"/>
    </xf>
    <xf numFmtId="167" fontId="1" fillId="0" borderId="0" xfId="0" applyNumberFormat="1" applyFont="1" applyAlignment="1">
      <alignment horizontal="right" vertical="center"/>
    </xf>
    <xf numFmtId="0" fontId="2" fillId="0" borderId="9" xfId="0" applyFont="1" applyBorder="1" applyAlignment="1">
      <alignment horizontal="left"/>
    </xf>
    <xf numFmtId="0" fontId="2" fillId="0" borderId="9" xfId="0" applyFont="1" applyBorder="1" applyAlignment="1">
      <alignment horizontal="center"/>
    </xf>
    <xf numFmtId="168" fontId="2" fillId="2" borderId="9" xfId="0" applyNumberFormat="1" applyFont="1" applyFill="1" applyBorder="1"/>
    <xf numFmtId="168" fontId="2" fillId="3" borderId="9" xfId="0" applyNumberFormat="1" applyFont="1" applyFill="1" applyBorder="1"/>
    <xf numFmtId="168" fontId="2" fillId="4" borderId="9" xfId="0" applyNumberFormat="1" applyFont="1" applyFill="1" applyBorder="1"/>
    <xf numFmtId="168" fontId="2" fillId="5" borderId="9" xfId="0" applyNumberFormat="1" applyFont="1" applyFill="1" applyBorder="1"/>
    <xf numFmtId="165" fontId="0" fillId="0" borderId="0" xfId="1" applyFont="1"/>
    <xf numFmtId="168" fontId="2" fillId="0" borderId="9" xfId="0" applyNumberFormat="1" applyFont="1" applyBorder="1"/>
    <xf numFmtId="0" fontId="0" fillId="0" borderId="0" xfId="0" quotePrefix="1"/>
    <xf numFmtId="0" fontId="0" fillId="0" borderId="0" xfId="0" applyAlignment="1">
      <alignment horizontal="center"/>
    </xf>
    <xf numFmtId="0" fontId="7" fillId="0" borderId="0" xfId="0" applyFont="1"/>
    <xf numFmtId="0" fontId="7" fillId="0" borderId="9" xfId="0" applyFont="1" applyBorder="1" applyAlignment="1">
      <alignment horizontal="center"/>
    </xf>
    <xf numFmtId="0" fontId="7" fillId="6" borderId="9" xfId="0" applyFont="1" applyFill="1" applyBorder="1" applyAlignment="1">
      <alignment horizontal="center" wrapText="1"/>
    </xf>
    <xf numFmtId="0" fontId="0" fillId="0" borderId="9" xfId="0" applyBorder="1" applyAlignment="1">
      <alignment horizontal="center"/>
    </xf>
    <xf numFmtId="9" fontId="0" fillId="0" borderId="9" xfId="2" applyFont="1" applyBorder="1" applyAlignment="1">
      <alignment horizontal="center"/>
    </xf>
    <xf numFmtId="170" fontId="0" fillId="0" borderId="9" xfId="1" applyNumberFormat="1" applyFon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165" fontId="0" fillId="0" borderId="0" xfId="0" applyNumberFormat="1"/>
    <xf numFmtId="1" fontId="0" fillId="0" borderId="9" xfId="0" applyNumberForma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8" fillId="0" borderId="0" xfId="0" pivotButton="1" applyFont="1"/>
    <xf numFmtId="0" fontId="8" fillId="0" borderId="0" xfId="0" applyFont="1"/>
    <xf numFmtId="0" fontId="0" fillId="0" borderId="9" xfId="0" applyBorder="1"/>
    <xf numFmtId="170" fontId="0" fillId="0" borderId="9" xfId="1" applyNumberFormat="1" applyFont="1" applyBorder="1"/>
    <xf numFmtId="165" fontId="8" fillId="0" borderId="0" xfId="1" applyFont="1"/>
    <xf numFmtId="165" fontId="6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left" indent="1"/>
    </xf>
    <xf numFmtId="164" fontId="0" fillId="0" borderId="0" xfId="4" applyFont="1" applyAlignment="1">
      <alignment horizontal="right" vertical="center"/>
    </xf>
    <xf numFmtId="171" fontId="2" fillId="2" borderId="9" xfId="0" applyNumberFormat="1" applyFont="1" applyFill="1" applyBorder="1"/>
    <xf numFmtId="171" fontId="2" fillId="3" borderId="9" xfId="0" applyNumberFormat="1" applyFont="1" applyFill="1" applyBorder="1"/>
    <xf numFmtId="171" fontId="2" fillId="4" borderId="9" xfId="0" applyNumberFormat="1" applyFont="1" applyFill="1" applyBorder="1"/>
    <xf numFmtId="0" fontId="0" fillId="7" borderId="9" xfId="0" applyFill="1" applyBorder="1" applyAlignment="1">
      <alignment horizontal="center"/>
    </xf>
    <xf numFmtId="0" fontId="0" fillId="0" borderId="0" xfId="0"/>
    <xf numFmtId="49" fontId="1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166" fontId="1" fillId="0" borderId="0" xfId="0" applyNumberFormat="1" applyFon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167" fontId="1" fillId="0" borderId="0" xfId="0" applyNumberFormat="1" applyFont="1" applyAlignment="1">
      <alignment horizontal="right" vertical="center"/>
    </xf>
    <xf numFmtId="167" fontId="0" fillId="0" borderId="0" xfId="0" applyNumberFormat="1" applyAlignment="1">
      <alignment horizontal="right" vertical="center"/>
    </xf>
    <xf numFmtId="0" fontId="0" fillId="0" borderId="0" xfId="0"/>
    <xf numFmtId="49" fontId="1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166" fontId="1" fillId="0" borderId="0" xfId="0" applyNumberFormat="1" applyFon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167" fontId="1" fillId="0" borderId="0" xfId="0" applyNumberFormat="1" applyFont="1" applyAlignment="1">
      <alignment horizontal="right" vertical="center"/>
    </xf>
    <xf numFmtId="167" fontId="0" fillId="0" borderId="0" xfId="0" applyNumberFormat="1" applyAlignment="1">
      <alignment horizontal="right" vertical="center"/>
    </xf>
  </cellXfs>
  <cellStyles count="7">
    <cellStyle name="Milliers" xfId="1" builtinId="3"/>
    <cellStyle name="Milliers 2" xfId="3" xr:uid="{E25FAE35-CC4B-490B-BD10-DC9B0154B958}"/>
    <cellStyle name="Milliers 3" xfId="4" xr:uid="{96DE363A-1D2A-4CCA-9238-CB1C5753D244}"/>
    <cellStyle name="Milliers 4" xfId="5" xr:uid="{BC427049-E0EB-4241-B902-54DDA097A75B}"/>
    <cellStyle name="Milliers 5" xfId="6" xr:uid="{267E38E5-265F-43BC-AE8F-EA5768983DE1}"/>
    <cellStyle name="Normal" xfId="0" builtinId="0"/>
    <cellStyle name="Pourcentage" xfId="2" builtinId="5"/>
  </cellStyles>
  <dxfs count="8">
    <dxf>
      <numFmt numFmtId="165" formatCode="_-* #,##0.00_-;\-* #,##0.00_-;_-* &quot;-&quot;??_-;_-@_-"/>
    </dxf>
    <dxf>
      <numFmt numFmtId="165" formatCode="_-* #,##0.00_-;\-* #,##0.00_-;_-* &quot;-&quot;??_-;_-@_-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165" formatCode="_-* #,##0.00_-;\-* #,##0.00_-;_-* &quot;-&quot;??_-;_-@_-"/>
    </dxf>
    <dxf>
      <font>
        <b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364.475537962964" createdVersion="8" refreshedVersion="8" minRefreshableVersion="3" recordCount="124" xr:uid="{8D586B0C-2710-4CCE-B239-DDFDDAEBA514}">
  <cacheSource type="worksheet">
    <worksheetSource ref="A1:G1048576" sheet="Neuf"/>
  </cacheSource>
  <cacheFields count="7">
    <cacheField name="#Contrôle" numFmtId="49">
      <sharedItems containsBlank="1"/>
    </cacheField>
    <cacheField name="Description" numFmtId="49">
      <sharedItems containsBlank="1" count="13">
        <s v="24 VOLKSWAGEN JETTA GLI"/>
        <s v="24 VOLKSWAGEN ATLAS CROSS SPT"/>
        <s v="24 VOLKSWAGEN TIGUAN"/>
        <s v="24 VOLKSWAGEN TAOS"/>
        <s v="24 VOLKSWAGEN GOLF GTI"/>
        <s v="24 VOLKSWAGEN ATLAS"/>
        <s v="24 VOLKSWAGEN JETTA SEDAN"/>
        <s v="24 VOLKSWAGEN GOLF R"/>
        <s v="23 VOLKSWAGEN JETTA SEDAN"/>
        <s v="23 VOLKSWAGEN TAOS"/>
        <s v="23 VOLKSWAGEN ID.4"/>
        <s v="24 VOLKSWAGEN ID.4"/>
        <m/>
      </sharedItems>
    </cacheField>
    <cacheField name="1402" numFmtId="166">
      <sharedItems containsString="0" containsBlank="1" containsNumber="1" minValue="24360" maxValue="64162.96"/>
    </cacheField>
    <cacheField name="2101" numFmtId="0">
      <sharedItems containsString="0" containsBlank="1" containsNumber="1" minValue="-63435.75" maxValue="-29734.95"/>
    </cacheField>
    <cacheField name="NIV" numFmtId="49">
      <sharedItems containsBlank="1"/>
    </cacheField>
    <cacheField name="Jours en stock" numFmtId="167">
      <sharedItems containsString="0" containsBlank="1" containsNumber="1" containsInteger="1" minValue="0" maxValue="176" count="53">
        <n v="112"/>
        <n v="111"/>
        <n v="105"/>
        <n v="94"/>
        <n v="93"/>
        <n v="90"/>
        <n v="85"/>
        <n v="76"/>
        <n v="73"/>
        <n v="72"/>
        <n v="63"/>
        <n v="62"/>
        <n v="56"/>
        <n v="55"/>
        <n v="52"/>
        <n v="51"/>
        <n v="49"/>
        <n v="48"/>
        <n v="44"/>
        <n v="36"/>
        <n v="35"/>
        <n v="34"/>
        <n v="31"/>
        <n v="176"/>
        <n v="171"/>
        <n v="140"/>
        <n v="133"/>
        <n v="168"/>
        <n v="150"/>
        <n v="146"/>
        <n v="157"/>
        <n v="153"/>
        <n v="142"/>
        <n v="134"/>
        <n v="128"/>
        <n v="122"/>
        <n v="30"/>
        <n v="29"/>
        <n v="27"/>
        <n v="24"/>
        <n v="23"/>
        <n v="16"/>
        <n v="15"/>
        <n v="10"/>
        <n v="9"/>
        <n v="8"/>
        <n v="7"/>
        <n v="6"/>
        <n v="3"/>
        <n v="2"/>
        <n v="1"/>
        <n v="0"/>
        <m/>
      </sharedItems>
    </cacheField>
    <cacheField name="Classement" numFmtId="0">
      <sharedItems containsBlank="1" count="6">
        <s v="91-120"/>
        <s v="61-90"/>
        <s v="31-60"/>
        <s v="121-180"/>
        <s v="0-3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364.483068981484" createdVersion="8" refreshedVersion="8" minRefreshableVersion="3" recordCount="109" xr:uid="{DA170B54-9BC6-4E81-9455-9555988900FC}">
  <cacheSource type="worksheet">
    <worksheetSource ref="A1:G1048576" sheet="Usages"/>
  </cacheSource>
  <cacheFields count="7">
    <cacheField name="#Contrôle" numFmtId="0">
      <sharedItems containsBlank="1"/>
    </cacheField>
    <cacheField name="Description" numFmtId="0">
      <sharedItems containsBlank="1" count="48">
        <s v="11 VOLKSWAGEN JETTA SEDAN"/>
        <s v="20 VOLKSWAGEN E-GOLF"/>
        <s v="19 GMC SAVANA CARGO VA"/>
        <s v="10 VOLKSWAGEN ROUTAN"/>
        <s v="21 VOLKSWAGEN TIGUAN"/>
        <s v="18 CHEVROLET VOLT"/>
        <s v="20 VOLKSWAGEN TIGUAN"/>
        <s v="17 AUDI A3 E-TRON"/>
        <s v="19 VOLKSWAGEN TIGUAN"/>
        <s v="20 VOLKSWAGEN JETTA"/>
        <s v="20 JEEP COMPASS"/>
        <s v="19 VOLKSWAGEN GOLF"/>
        <s v="18 VOLKSWAGEN GOLF"/>
        <s v="15 JEEP CHEROKEE"/>
        <s v="21 VOLKSWAGEN JETTA"/>
        <s v="20 VOLKSWAGEN PASSAT"/>
        <s v="19 VOLKSWAGEN GOLF ALLTRACK"/>
        <s v="24 VOLKSWAGEN GOLF R"/>
        <s v="23 VOLKSWAGEN TIGUAN"/>
        <s v="15 VOLKSWAGEN JETTA SEDAN"/>
        <s v="14 NISSAN TRUCK PATHFINDER"/>
        <s v="22 VOLKSWAGEN GOLF R"/>
        <s v="19 VOLKSWAGEN JETTA"/>
        <s v="20 HONDA PILOT"/>
        <s v="22 VOLKSWAGEN TIGUAN"/>
        <s v="12 VOLKSWAGEN JETTA SEDAN"/>
        <s v="18 VOLKSWAGEN ATLAS"/>
        <s v="21 VOLKSWAGEN GOLF GTI"/>
        <s v="19 VOLKSWAGEN ATLAS"/>
        <s v="21 VOLKSWAGEN GOLF"/>
        <s v="22 VOLKSWAGEN JETTA"/>
        <s v="20 VOLKSWAGEN GOLF GTI"/>
        <s v="20 AUDI Q3"/>
        <s v="19 AUDI Q7"/>
        <s v="20 TOYOTA SIENNA"/>
        <s v="19 VOLKSWAGEN ARTEON"/>
        <s v="19 VOLKSWAGEN GOLF R"/>
        <s v="21 AUDI SQ5"/>
        <s v="23 TESLA MODEL Y"/>
        <s v="19 VOLKSWAGEN GOLF GTI"/>
        <s v="17 VOLKSWAGEN TIGUAN"/>
        <s v="16 MAZDA CX-3"/>
        <s v="17 FORD TRUCK ESCAPE"/>
        <s v="23 LEXUS IS"/>
        <s v="17 SUBARU OUTBACK"/>
        <s v="22 LEXUS NX"/>
        <s v="15 TOYOTA RAV4"/>
        <m/>
      </sharedItems>
    </cacheField>
    <cacheField name="1416" numFmtId="0">
      <sharedItems containsString="0" containsBlank="1" containsNumber="1" minValue="4550" maxValue="57126.15"/>
    </cacheField>
    <cacheField name="2103" numFmtId="0">
      <sharedItems containsString="0" containsBlank="1" containsNumber="1" minValue="-53444.44" maxValue="-8941.48"/>
    </cacheField>
    <cacheField name="NIV" numFmtId="0">
      <sharedItems containsBlank="1"/>
    </cacheField>
    <cacheField name="Jours en stock" numFmtId="0">
      <sharedItems containsString="0" containsBlank="1" containsNumber="1" containsInteger="1" minValue="0" maxValue="645"/>
    </cacheField>
    <cacheField name="Classement" numFmtId="0">
      <sharedItems containsBlank="1" count="8">
        <s v="301 &amp; +"/>
        <s v="181-300"/>
        <s v="121-180"/>
        <s v="91-120"/>
        <s v="61-90"/>
        <s v="31-60"/>
        <s v="0-3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s v="240125"/>
    <x v="0"/>
    <n v="31816.52"/>
    <m/>
    <s v="3VW8T7BU7RM014696"/>
    <x v="0"/>
    <x v="0"/>
  </r>
  <r>
    <s v="240129"/>
    <x v="0"/>
    <n v="31767"/>
    <n v="-31921.05"/>
    <s v="3VW8T7BU8RM016912"/>
    <x v="1"/>
    <x v="0"/>
  </r>
  <r>
    <s v="240156"/>
    <x v="1"/>
    <n v="53794.97"/>
    <n v="-56570.85"/>
    <s v="1V2BE2CA8RC216649"/>
    <x v="2"/>
    <x v="0"/>
  </r>
  <r>
    <s v="240203"/>
    <x v="2"/>
    <n v="44101"/>
    <n v="-46474.05"/>
    <s v="3VV4B7AX6RM025190"/>
    <x v="3"/>
    <x v="0"/>
  </r>
  <r>
    <s v="240206"/>
    <x v="3"/>
    <n v="38195"/>
    <n v="-40225.5"/>
    <s v="3VV4X7B25RM012063"/>
    <x v="4"/>
    <x v="0"/>
  </r>
  <r>
    <s v="240213"/>
    <x v="2"/>
    <n v="45762.95"/>
    <m/>
    <s v="3VV4B7AX1RM023721"/>
    <x v="5"/>
    <x v="1"/>
  </r>
  <r>
    <s v="240220"/>
    <x v="3"/>
    <n v="32705"/>
    <n v="-34423.199999999997"/>
    <s v="3VVEX7B2XRM013066"/>
    <x v="6"/>
    <x v="1"/>
  </r>
  <r>
    <s v="240219"/>
    <x v="3"/>
    <n v="32700"/>
    <n v="-34423.199999999997"/>
    <s v="3VVEX7B20RM012928"/>
    <x v="6"/>
    <x v="1"/>
  </r>
  <r>
    <s v="240238"/>
    <x v="3"/>
    <n v="37766.480000000003"/>
    <m/>
    <s v="3VV4X7B26RM014615"/>
    <x v="7"/>
    <x v="1"/>
  </r>
  <r>
    <s v="240243"/>
    <x v="3"/>
    <n v="37595"/>
    <n v="-39552.449999999997"/>
    <s v="3VV4X7B23RM025278"/>
    <x v="8"/>
    <x v="1"/>
  </r>
  <r>
    <s v="240253"/>
    <x v="2"/>
    <n v="46141.82"/>
    <n v="-45149.85"/>
    <s v="3VV4B7AX0RM043880"/>
    <x v="9"/>
    <x v="1"/>
  </r>
  <r>
    <s v="240259"/>
    <x v="4"/>
    <n v="39792.870000000003"/>
    <n v="-41836.199999999997"/>
    <s v="WVWWA7CD4RW139864"/>
    <x v="9"/>
    <x v="1"/>
  </r>
  <r>
    <s v="240255"/>
    <x v="3"/>
    <n v="35568"/>
    <n v="-37434.6"/>
    <s v="3VVVX7B24RM026699"/>
    <x v="9"/>
    <x v="1"/>
  </r>
  <r>
    <s v="240254"/>
    <x v="3"/>
    <n v="34265"/>
    <n v="-36066.449999999997"/>
    <s v="3VVUX7B25RM026254"/>
    <x v="9"/>
    <x v="1"/>
  </r>
  <r>
    <s v="240270"/>
    <x v="2"/>
    <n v="45292"/>
    <n v="-47718.3"/>
    <s v="3VV4B7AXXRM065708"/>
    <x v="10"/>
    <x v="1"/>
  </r>
  <r>
    <s v="240263"/>
    <x v="2"/>
    <n v="44560"/>
    <n v="-46949.7"/>
    <s v="3VV4B7AXXRM047399"/>
    <x v="10"/>
    <x v="1"/>
  </r>
  <r>
    <s v="240268"/>
    <x v="2"/>
    <n v="44560"/>
    <n v="-46949.7"/>
    <s v="3VV4B7AX3RM061712"/>
    <x v="10"/>
    <x v="1"/>
  </r>
  <r>
    <s v="240267"/>
    <x v="2"/>
    <n v="44107"/>
    <n v="-46474.05"/>
    <s v="3VV4B7AX9RM059415"/>
    <x v="10"/>
    <x v="1"/>
  </r>
  <r>
    <s v="240266"/>
    <x v="4"/>
    <n v="38930.21"/>
    <n v="-40179.300000000003"/>
    <s v="WVWRA7CD7RW142545"/>
    <x v="10"/>
    <x v="1"/>
  </r>
  <r>
    <s v="240273"/>
    <x v="2"/>
    <n v="44560"/>
    <n v="-46949.7"/>
    <s v="3VV4B7AX9RM059835"/>
    <x v="11"/>
    <x v="1"/>
  </r>
  <r>
    <s v="240289"/>
    <x v="5"/>
    <n v="54930.97"/>
    <n v="-57628.2"/>
    <s v="1V2BR2CA3RC544954"/>
    <x v="12"/>
    <x v="2"/>
  </r>
  <r>
    <s v="240284"/>
    <x v="2"/>
    <n v="45292"/>
    <n v="-47718.3"/>
    <s v="3VV4B7AX5RM043356"/>
    <x v="12"/>
    <x v="2"/>
  </r>
  <r>
    <s v="240286"/>
    <x v="2"/>
    <n v="44107"/>
    <n v="-46474.05"/>
    <s v="3VV4B7AX6RM049411"/>
    <x v="12"/>
    <x v="2"/>
  </r>
  <r>
    <s v="240281"/>
    <x v="4"/>
    <n v="40114.92"/>
    <n v="-41836.199999999997"/>
    <s v="WVWWA7CD2RW135456"/>
    <x v="12"/>
    <x v="2"/>
  </r>
  <r>
    <s v="240274"/>
    <x v="3"/>
    <n v="37783"/>
    <n v="-39749.85"/>
    <s v="3VV4X7B28RM025423"/>
    <x v="12"/>
    <x v="2"/>
  </r>
  <r>
    <s v="240288"/>
    <x v="3"/>
    <n v="37778"/>
    <n v="-39744.6"/>
    <s v="3VV4X7B27RM042990"/>
    <x v="12"/>
    <x v="2"/>
  </r>
  <r>
    <s v="240298"/>
    <x v="1"/>
    <n v="53806.97"/>
    <n v="-56570.85"/>
    <s v="1V2BE2CA3RC222066"/>
    <x v="13"/>
    <x v="2"/>
  </r>
  <r>
    <s v="240296"/>
    <x v="2"/>
    <n v="44107"/>
    <n v="-46474.05"/>
    <s v="3VV4B7AX9RM067885"/>
    <x v="13"/>
    <x v="2"/>
  </r>
  <r>
    <s v="240295"/>
    <x v="3"/>
    <n v="38236"/>
    <n v="-40225.5"/>
    <s v="3VV4X7B25RM042518"/>
    <x v="13"/>
    <x v="2"/>
  </r>
  <r>
    <s v="240300"/>
    <x v="3"/>
    <n v="37325"/>
    <n v="-39268.949999999997"/>
    <s v="3VV4X7B21RM043391"/>
    <x v="13"/>
    <x v="2"/>
  </r>
  <r>
    <s v="240293"/>
    <x v="4"/>
    <n v="36942.910000000003"/>
    <n v="-37052.400000000001"/>
    <s v="WVWJA7CD8RW148254"/>
    <x v="13"/>
    <x v="2"/>
  </r>
  <r>
    <s v="240301"/>
    <x v="3"/>
    <n v="37595"/>
    <n v="-39552.449999999997"/>
    <s v="3VV4X7B2XRM025259"/>
    <x v="14"/>
    <x v="2"/>
  </r>
  <r>
    <s v="240302"/>
    <x v="6"/>
    <n v="29647"/>
    <n v="-31102.05"/>
    <s v="3VWSM7BU9RM031325"/>
    <x v="14"/>
    <x v="2"/>
  </r>
  <r>
    <s v="240315"/>
    <x v="6"/>
    <n v="28345"/>
    <n v="-29734.95"/>
    <s v="3VWFM7BU9RM025641"/>
    <x v="15"/>
    <x v="2"/>
  </r>
  <r>
    <s v="240322"/>
    <x v="2"/>
    <n v="42509.8"/>
    <n v="-43358.7"/>
    <s v="3VV8B7AX8RM067751"/>
    <x v="16"/>
    <x v="2"/>
  </r>
  <r>
    <s v="240319"/>
    <x v="3"/>
    <n v="37778"/>
    <n v="-39744.6"/>
    <s v="3VV4X7B29RM042800"/>
    <x v="16"/>
    <x v="2"/>
  </r>
  <r>
    <s v="240323"/>
    <x v="0"/>
    <n v="34593"/>
    <n v="-36295.35"/>
    <s v="3VW2T7BU5RM036735"/>
    <x v="17"/>
    <x v="2"/>
  </r>
  <r>
    <s v="240325"/>
    <x v="6"/>
    <n v="28732"/>
    <n v="-29734.95"/>
    <s v="3VWFM7BU3RM038871"/>
    <x v="17"/>
    <x v="2"/>
  </r>
  <r>
    <s v="240334"/>
    <x v="2"/>
    <n v="44090"/>
    <n v="-46474.05"/>
    <s v="3VV4B7AX3RM048426"/>
    <x v="18"/>
    <x v="2"/>
  </r>
  <r>
    <s v="240332"/>
    <x v="3"/>
    <n v="37325"/>
    <n v="-39268.949999999997"/>
    <s v="3VV4X7B24RM044096"/>
    <x v="18"/>
    <x v="2"/>
  </r>
  <r>
    <s v="240335"/>
    <x v="0"/>
    <n v="34593"/>
    <n v="-36295.35"/>
    <s v="3VW2T7BU0RM031457"/>
    <x v="18"/>
    <x v="2"/>
  </r>
  <r>
    <s v="240336"/>
    <x v="6"/>
    <n v="31507"/>
    <n v="-32918.550000000003"/>
    <s v="3VWGM7BU6RM023740"/>
    <x v="18"/>
    <x v="2"/>
  </r>
  <r>
    <s v="240348"/>
    <x v="3"/>
    <n v="37778"/>
    <n v="-39744.6"/>
    <s v="3VV4X7B24RM043644"/>
    <x v="19"/>
    <x v="2"/>
  </r>
  <r>
    <s v="240352"/>
    <x v="7"/>
    <n v="49558.97"/>
    <n v="-51857.4"/>
    <s v="WVWFB7CD3RW160590"/>
    <x v="20"/>
    <x v="2"/>
  </r>
  <r>
    <s v="240350"/>
    <x v="4"/>
    <n v="41071"/>
    <n v="-43181.25"/>
    <s v="WVWVA7CD1RW153393"/>
    <x v="20"/>
    <x v="2"/>
  </r>
  <r>
    <s v="240354"/>
    <x v="6"/>
    <n v="24360"/>
    <m/>
    <s v="3VWNM7BU0RM031968"/>
    <x v="21"/>
    <x v="2"/>
  </r>
  <r>
    <s v="240358"/>
    <x v="3"/>
    <n v="37325"/>
    <n v="-39268.949999999997"/>
    <s v="3VV4X7B22RM033596"/>
    <x v="22"/>
    <x v="2"/>
  </r>
  <r>
    <s v="230574"/>
    <x v="8"/>
    <n v="30245.52"/>
    <n v="-30997.31"/>
    <s v="3VWGM7BU3PM060824"/>
    <x v="23"/>
    <x v="3"/>
  </r>
  <r>
    <s v="230581"/>
    <x v="9"/>
    <n v="36956.81"/>
    <n v="-39936.75"/>
    <s v="3VV4X7B27PM374246"/>
    <x v="24"/>
    <x v="3"/>
  </r>
  <r>
    <s v="230639"/>
    <x v="9"/>
    <n v="31179.89"/>
    <n v="-32332.959999999999"/>
    <s v="3VVEX7B23PM379190"/>
    <x v="25"/>
    <x v="3"/>
  </r>
  <r>
    <s v="230643"/>
    <x v="9"/>
    <n v="37610"/>
    <n v="-39461.1"/>
    <s v="3VV4X7B2XPM382549"/>
    <x v="26"/>
    <x v="3"/>
  </r>
  <r>
    <s v="240003"/>
    <x v="5"/>
    <n v="50511.98"/>
    <n v="-51427.95"/>
    <s v="1V2LR2CA2RC511786"/>
    <x v="27"/>
    <x v="3"/>
  </r>
  <r>
    <s v="240022"/>
    <x v="5"/>
    <n v="56851.13"/>
    <m/>
    <s v="1V2BR2CA4RC506228"/>
    <x v="28"/>
    <x v="3"/>
  </r>
  <r>
    <s v="240021"/>
    <x v="5"/>
    <n v="46709.05"/>
    <m/>
    <s v="1V2LR2CA8RC516197"/>
    <x v="28"/>
    <x v="3"/>
  </r>
  <r>
    <s v="240027"/>
    <x v="5"/>
    <n v="56871.69"/>
    <n v="-58869.3"/>
    <s v="1V2BR2CA1RC517137"/>
    <x v="29"/>
    <x v="3"/>
  </r>
  <r>
    <s v="240011"/>
    <x v="1"/>
    <n v="47606.05"/>
    <n v="-48579.25"/>
    <s v="1V2LE2CA3RC208611"/>
    <x v="30"/>
    <x v="3"/>
  </r>
  <r>
    <s v="240016"/>
    <x v="1"/>
    <n v="57229.1"/>
    <m/>
    <s v="1V2BE2CA1RC206996"/>
    <x v="31"/>
    <x v="3"/>
  </r>
  <r>
    <s v="240020"/>
    <x v="1"/>
    <n v="54847.55"/>
    <n v="-54199.17"/>
    <s v="1V2BE2CA5RC210341"/>
    <x v="28"/>
    <x v="3"/>
  </r>
  <r>
    <s v="240030"/>
    <x v="1"/>
    <n v="53144.45"/>
    <n v="-58834.65"/>
    <s v="1V2FE2CAXRC211373"/>
    <x v="32"/>
    <x v="3"/>
  </r>
  <r>
    <s v="240042"/>
    <x v="1"/>
    <n v="55950.97"/>
    <n v="-58834.65"/>
    <s v="1V2FE2CA4RC210672"/>
    <x v="33"/>
    <x v="3"/>
  </r>
  <r>
    <s v="240052"/>
    <x v="1"/>
    <n v="56138.27"/>
    <n v="-58834.65"/>
    <s v="1V2FE2CAXRC211504"/>
    <x v="26"/>
    <x v="3"/>
  </r>
  <r>
    <s v="240070"/>
    <x v="1"/>
    <n v="54250"/>
    <n v="-57051.75"/>
    <s v="1V2BE2CA9RC212335"/>
    <x v="34"/>
    <x v="3"/>
  </r>
  <r>
    <s v="240067"/>
    <x v="4"/>
    <n v="37506.9"/>
    <n v="-39440.1"/>
    <s v="WVWGA7CD1RW121181"/>
    <x v="34"/>
    <x v="3"/>
  </r>
  <r>
    <s v="240061"/>
    <x v="0"/>
    <n v="32637"/>
    <n v="-34363.35"/>
    <s v="3VW9T7BUXRM015328"/>
    <x v="34"/>
    <x v="3"/>
  </r>
  <r>
    <s v="240050"/>
    <x v="6"/>
    <n v="29531"/>
    <n v="-31102.05"/>
    <s v="3VWSM7BU4RM014707"/>
    <x v="26"/>
    <x v="3"/>
  </r>
  <r>
    <s v="240083"/>
    <x v="6"/>
    <n v="31082.97"/>
    <n v="-31543.95"/>
    <s v="3VWGM7BU7RM015582"/>
    <x v="35"/>
    <x v="3"/>
  </r>
  <r>
    <s v="230659"/>
    <x v="10"/>
    <n v="59118.92"/>
    <n v="-62155.8"/>
    <s v="1V29NPE8XPC057071"/>
    <x v="36"/>
    <x v="4"/>
  </r>
  <r>
    <s v="240370"/>
    <x v="1"/>
    <n v="57330.42"/>
    <m/>
    <s v="1V2FE2CA5RC224712"/>
    <x v="36"/>
    <x v="4"/>
  </r>
  <r>
    <s v="240365"/>
    <x v="7"/>
    <n v="50619.97"/>
    <n v="-53209.8"/>
    <s v="WVWEB7CD8RW151203"/>
    <x v="36"/>
    <x v="4"/>
  </r>
  <r>
    <s v="240366"/>
    <x v="7"/>
    <n v="49331.97"/>
    <n v="-51857.4"/>
    <s v="WVWFB7CD1RW157784"/>
    <x v="36"/>
    <x v="4"/>
  </r>
  <r>
    <s v="240360"/>
    <x v="2"/>
    <n v="44107"/>
    <n v="-46474.05"/>
    <s v="3VV4B7AX9RM058247"/>
    <x v="36"/>
    <x v="4"/>
  </r>
  <r>
    <s v="240368"/>
    <x v="2"/>
    <n v="44102"/>
    <n v="-46474.05"/>
    <s v="3VV4B7AX9RM058202"/>
    <x v="36"/>
    <x v="4"/>
  </r>
  <r>
    <s v="230674"/>
    <x v="10"/>
    <n v="63321.45"/>
    <n v="-62641.95"/>
    <s v="1V29NPE83PC058434"/>
    <x v="37"/>
    <x v="4"/>
  </r>
  <r>
    <s v="230670"/>
    <x v="10"/>
    <n v="58636"/>
    <n v="-62155.8"/>
    <s v="1V29NPE83PC058336"/>
    <x v="37"/>
    <x v="4"/>
  </r>
  <r>
    <s v="240372"/>
    <x v="3"/>
    <n v="35578"/>
    <n v="-37434.6"/>
    <s v="3VVVX7B24RM036195"/>
    <x v="37"/>
    <x v="4"/>
  </r>
  <r>
    <s v="240378"/>
    <x v="2"/>
    <n v="44610"/>
    <n v="-47002.2"/>
    <s v="3VV4B7AX7RM075418"/>
    <x v="38"/>
    <x v="4"/>
  </r>
  <r>
    <s v="240376"/>
    <x v="2"/>
    <n v="35355"/>
    <m/>
    <s v="3VVFB7AX4RM063283"/>
    <x v="38"/>
    <x v="4"/>
  </r>
  <r>
    <s v="240379"/>
    <x v="3"/>
    <n v="34489.199999999997"/>
    <n v="-34759.199999999997"/>
    <s v="3VVEX7B28RM046812"/>
    <x v="38"/>
    <x v="4"/>
  </r>
  <r>
    <s v="240382"/>
    <x v="7"/>
    <n v="50674.97"/>
    <n v="-53262.3"/>
    <s v="WVWEB7CD6RW147120"/>
    <x v="39"/>
    <x v="4"/>
  </r>
  <r>
    <s v="240385"/>
    <x v="4"/>
    <n v="36452"/>
    <n v="-38336.550000000003"/>
    <s v="WVWHA7CDXRW162185"/>
    <x v="39"/>
    <x v="4"/>
  </r>
  <r>
    <s v="230677"/>
    <x v="10"/>
    <n v="64162.96"/>
    <n v="-63435.75"/>
    <s v="1V26NPE84PC057523"/>
    <x v="40"/>
    <x v="4"/>
  </r>
  <r>
    <s v="240395"/>
    <x v="1"/>
    <n v="54359.97"/>
    <n v="-57156.75"/>
    <s v="1V2BE2CA7RC227674"/>
    <x v="41"/>
    <x v="4"/>
  </r>
  <r>
    <s v="240394"/>
    <x v="7"/>
    <n v="50669.97"/>
    <n v="-53262.3"/>
    <s v="WVWEB7CD3RW163257"/>
    <x v="41"/>
    <x v="4"/>
  </r>
  <r>
    <s v="240397"/>
    <x v="7"/>
    <n v="50266"/>
    <n v="-53552.1"/>
    <s v="WVWEB7CD1RW165475"/>
    <x v="42"/>
    <x v="4"/>
  </r>
  <r>
    <s v="240400"/>
    <x v="4"/>
    <n v="39887"/>
    <n v="-42364.35"/>
    <s v="WVWWA7CD8RW173130"/>
    <x v="43"/>
    <x v="4"/>
  </r>
  <r>
    <s v="240405"/>
    <x v="2"/>
    <n v="44282"/>
    <n v="-46526.55"/>
    <s v="3VV4B7AX2RM087802"/>
    <x v="44"/>
    <x v="4"/>
  </r>
  <r>
    <s v="240403"/>
    <x v="2"/>
    <n v="44152"/>
    <n v="-46526.55"/>
    <s v="3VV4B7AXXRM087661"/>
    <x v="44"/>
    <x v="4"/>
  </r>
  <r>
    <s v="240404"/>
    <x v="2"/>
    <n v="44152"/>
    <n v="-46526.55"/>
    <s v="3VV4B7AX7RM088735"/>
    <x v="44"/>
    <x v="4"/>
  </r>
  <r>
    <s v="240402"/>
    <x v="3"/>
    <n v="37370"/>
    <n v="-39321.449999999997"/>
    <s v="3VV4X7B24RM051484"/>
    <x v="44"/>
    <x v="4"/>
  </r>
  <r>
    <s v="240407"/>
    <x v="3"/>
    <n v="30749"/>
    <n v="-32369.4"/>
    <s v="3VVGX7B22RM052906"/>
    <x v="44"/>
    <x v="4"/>
  </r>
  <r>
    <s v="230681"/>
    <x v="10"/>
    <n v="60230"/>
    <m/>
    <s v="1V29NPE84PC058409"/>
    <x v="45"/>
    <x v="4"/>
  </r>
  <r>
    <s v="230680"/>
    <x v="10"/>
    <n v="59304"/>
    <m/>
    <s v="1V29NPE86PC058699"/>
    <x v="45"/>
    <x v="4"/>
  </r>
  <r>
    <s v="230682"/>
    <x v="10"/>
    <n v="59304"/>
    <m/>
    <s v="1V29NPE84PC057910"/>
    <x v="45"/>
    <x v="4"/>
  </r>
  <r>
    <s v="240415"/>
    <x v="1"/>
    <n v="56510.97"/>
    <n v="-59415.3"/>
    <s v="1V2FE2CAXRC229999"/>
    <x v="45"/>
    <x v="4"/>
  </r>
  <r>
    <s v="240412"/>
    <x v="2"/>
    <n v="44157"/>
    <n v="-46526.55"/>
    <s v="3VV4B7AX1RM086477"/>
    <x v="45"/>
    <x v="4"/>
  </r>
  <r>
    <s v="240410"/>
    <x v="2"/>
    <n v="44152"/>
    <n v="-46526.55"/>
    <s v="3VV4B7AX7RM086533"/>
    <x v="45"/>
    <x v="4"/>
  </r>
  <r>
    <s v="240411"/>
    <x v="2"/>
    <n v="44152"/>
    <n v="-46526.55"/>
    <s v="3VV4B7AX2RM087685"/>
    <x v="45"/>
    <x v="4"/>
  </r>
  <r>
    <s v="240413"/>
    <x v="2"/>
    <n v="44152"/>
    <n v="-46526.55"/>
    <s v="3VV4B7AX5RM087874"/>
    <x v="45"/>
    <x v="4"/>
  </r>
  <r>
    <s v="240414"/>
    <x v="2"/>
    <n v="44152"/>
    <n v="-46526.55"/>
    <s v="3VV4B7AX9RM088719"/>
    <x v="45"/>
    <x v="4"/>
  </r>
  <r>
    <s v="240418"/>
    <x v="5"/>
    <n v="57363.79"/>
    <n v="-61220.25"/>
    <s v="1V2FR2CA2RC555218"/>
    <x v="46"/>
    <x v="4"/>
  </r>
  <r>
    <s v="240416"/>
    <x v="2"/>
    <n v="38137"/>
    <n v="-40205.550000000003"/>
    <s v="3VV2B7AX2RM088021"/>
    <x v="46"/>
    <x v="4"/>
  </r>
  <r>
    <s v="240417"/>
    <x v="3"/>
    <n v="37375"/>
    <n v="-39321.449999999997"/>
    <s v="3VV4X7B29RM054848"/>
    <x v="46"/>
    <x v="4"/>
  </r>
  <r>
    <s v="230684"/>
    <x v="10"/>
    <n v="60990.6"/>
    <m/>
    <s v="1V26NPE84PC058848"/>
    <x v="47"/>
    <x v="4"/>
  </r>
  <r>
    <s v="230685"/>
    <x v="10"/>
    <n v="59871.7"/>
    <m/>
    <s v="1V26NPE86PC042182"/>
    <x v="47"/>
    <x v="4"/>
  </r>
  <r>
    <s v="240421"/>
    <x v="5"/>
    <n v="57510.97"/>
    <n v="-60460.05"/>
    <s v="1V2FR2CA9RC555054"/>
    <x v="47"/>
    <x v="4"/>
  </r>
  <r>
    <s v="240419"/>
    <x v="1"/>
    <n v="56515.97"/>
    <n v="-59415.3"/>
    <s v="1V2FE2CA8RC230407"/>
    <x v="47"/>
    <x v="4"/>
  </r>
  <r>
    <s v="240420"/>
    <x v="5"/>
    <n v="53998.97"/>
    <n v="-56772.45"/>
    <s v="1V2CR2CA6RC556147"/>
    <x v="47"/>
    <x v="4"/>
  </r>
  <r>
    <s v="240422"/>
    <x v="3"/>
    <n v="38286"/>
    <n v="-40278"/>
    <s v="3VV4X7B23RM053873"/>
    <x v="47"/>
    <x v="4"/>
  </r>
  <r>
    <s v="230686"/>
    <x v="10"/>
    <n v="60806.7"/>
    <m/>
    <s v="1V2JNPE83PC042361"/>
    <x v="48"/>
    <x v="4"/>
  </r>
  <r>
    <s v="230689"/>
    <x v="10"/>
    <n v="60334.7"/>
    <m/>
    <s v="1V26NPE81PC042414"/>
    <x v="48"/>
    <x v="4"/>
  </r>
  <r>
    <s v="230690"/>
    <x v="10"/>
    <n v="59871.7"/>
    <m/>
    <s v="1V26NPE88PC051272"/>
    <x v="48"/>
    <x v="4"/>
  </r>
  <r>
    <s v="230687"/>
    <x v="10"/>
    <n v="59628.7"/>
    <m/>
    <s v="1V29NPE82PC048512"/>
    <x v="48"/>
    <x v="4"/>
  </r>
  <r>
    <s v="230688"/>
    <x v="10"/>
    <n v="58702.7"/>
    <m/>
    <s v="1V29NPE80PC049111"/>
    <x v="48"/>
    <x v="4"/>
  </r>
  <r>
    <s v="240424"/>
    <x v="5"/>
    <n v="57021"/>
    <n v="-60460.05"/>
    <s v="1V2FR2CA8RC557345"/>
    <x v="48"/>
    <x v="4"/>
  </r>
  <r>
    <s v="240423"/>
    <x v="1"/>
    <n v="56026"/>
    <n v="-59415.3"/>
    <s v="1V2FE2CA5RC231028"/>
    <x v="48"/>
    <x v="4"/>
  </r>
  <r>
    <s v="240427"/>
    <x v="7"/>
    <n v="49254"/>
    <n v="-52199.7"/>
    <s v="WVWFB7CD8RW173206"/>
    <x v="48"/>
    <x v="4"/>
  </r>
  <r>
    <s v="240425"/>
    <x v="5"/>
    <n v="48981"/>
    <n v="-52018.05"/>
    <s v="1V2LR2CAXRC558208"/>
    <x v="48"/>
    <x v="4"/>
  </r>
  <r>
    <s v="240430"/>
    <x v="5"/>
    <n v="58200"/>
    <m/>
    <s v="1V2FR2CA7RC558227"/>
    <x v="49"/>
    <x v="4"/>
  </r>
  <r>
    <s v="240429"/>
    <x v="3"/>
    <n v="33118"/>
    <m/>
    <s v="3VVEX7B20RM011584"/>
    <x v="49"/>
    <x v="4"/>
  </r>
  <r>
    <s v="240431"/>
    <x v="2"/>
    <n v="35052"/>
    <m/>
    <s v="3VVFB7AX8RM057051"/>
    <x v="50"/>
    <x v="4"/>
  </r>
  <r>
    <s v="240433"/>
    <x v="11"/>
    <n v="56348"/>
    <n v="-59753.4"/>
    <s v="1V27SPE81RC001216"/>
    <x v="51"/>
    <x v="4"/>
  </r>
  <r>
    <s v="240432"/>
    <x v="5"/>
    <n v="48981"/>
    <n v="-52018.05"/>
    <s v="1V2LR2CA7RC556254"/>
    <x v="51"/>
    <x v="4"/>
  </r>
  <r>
    <m/>
    <x v="12"/>
    <m/>
    <m/>
    <m/>
    <x v="52"/>
    <x v="5"/>
  </r>
  <r>
    <m/>
    <x v="12"/>
    <m/>
    <m/>
    <m/>
    <x v="52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s v="5188P"/>
    <x v="0"/>
    <n v="9140.85"/>
    <m/>
    <s v="3VWLL7AJ3BM097101"/>
    <n v="645"/>
    <x v="0"/>
  </r>
  <r>
    <s v="5291P"/>
    <x v="1"/>
    <n v="31516.26"/>
    <m/>
    <s v="WVWPR7AU2LW903993"/>
    <n v="483"/>
    <x v="0"/>
  </r>
  <r>
    <s v="230251A"/>
    <x v="1"/>
    <n v="23672.959999999999"/>
    <m/>
    <s v="WVWPR7AU0LW907198"/>
    <n v="366"/>
    <x v="0"/>
  </r>
  <r>
    <s v="5407P"/>
    <x v="2"/>
    <n v="35284.89"/>
    <m/>
    <s v="1GTW7BFP1K1340423"/>
    <n v="300"/>
    <x v="1"/>
  </r>
  <r>
    <s v="5488P"/>
    <x v="3"/>
    <n v="11646.62"/>
    <m/>
    <s v="2V4RW3DX0AR228009"/>
    <n v="185"/>
    <x v="1"/>
  </r>
  <r>
    <s v="230567A"/>
    <x v="4"/>
    <n v="28635.15"/>
    <n v="-31332.799999999999"/>
    <s v="3VV2B7AX6MM155874"/>
    <n v="164"/>
    <x v="2"/>
  </r>
  <r>
    <s v="230606A"/>
    <x v="5"/>
    <n v="17701.95"/>
    <m/>
    <s v="1G1RA6S50JU104989"/>
    <n v="153"/>
    <x v="2"/>
  </r>
  <r>
    <s v="230596A"/>
    <x v="6"/>
    <n v="27935.05"/>
    <m/>
    <s v="3VV2B7AX4LM005048"/>
    <n v="136"/>
    <x v="2"/>
  </r>
  <r>
    <s v="5509PA"/>
    <x v="7"/>
    <n v="20107"/>
    <m/>
    <s v="WAUSPBFF5HA099610"/>
    <n v="134"/>
    <x v="2"/>
  </r>
  <r>
    <s v="5518P"/>
    <x v="6"/>
    <n v="28075.78"/>
    <n v="-23850"/>
    <s v="3VV4B7AX0LM106225"/>
    <n v="129"/>
    <x v="2"/>
  </r>
  <r>
    <s v="230593A"/>
    <x v="8"/>
    <n v="26815.25"/>
    <m/>
    <s v="3VV4B7AX3KM183332"/>
    <n v="129"/>
    <x v="2"/>
  </r>
  <r>
    <s v="5519P"/>
    <x v="4"/>
    <n v="28447.25"/>
    <n v="-24418.799999999999"/>
    <s v="3VV2B7AX4MM068281"/>
    <n v="128"/>
    <x v="2"/>
  </r>
  <r>
    <s v="240056A"/>
    <x v="9"/>
    <n v="18043.82"/>
    <m/>
    <s v="3VWN57BU2LM040420"/>
    <n v="125"/>
    <x v="2"/>
  </r>
  <r>
    <s v="240079A"/>
    <x v="6"/>
    <n v="30620.3"/>
    <m/>
    <s v="3VV4B7AX5LM110786"/>
    <n v="122"/>
    <x v="2"/>
  </r>
  <r>
    <s v="230564B"/>
    <x v="10"/>
    <n v="28211.38"/>
    <m/>
    <s v="3C4NJDDBXLT155667"/>
    <n v="122"/>
    <x v="2"/>
  </r>
  <r>
    <s v="5521P"/>
    <x v="11"/>
    <n v="18530.25"/>
    <m/>
    <s v="3VWG57AU3KM018998"/>
    <n v="120"/>
    <x v="3"/>
  </r>
  <r>
    <s v="240059A"/>
    <x v="8"/>
    <n v="24896.26"/>
    <m/>
    <s v="3VV2B7AX7KM049091"/>
    <n v="113"/>
    <x v="3"/>
  </r>
  <r>
    <s v="240098A"/>
    <x v="11"/>
    <n v="18294.75"/>
    <m/>
    <s v="3VWG57AU0KM034477"/>
    <n v="108"/>
    <x v="3"/>
  </r>
  <r>
    <s v="240038B"/>
    <x v="12"/>
    <n v="16745.3"/>
    <m/>
    <s v="3VWG17AU9JM275867"/>
    <n v="108"/>
    <x v="3"/>
  </r>
  <r>
    <s v="5526P"/>
    <x v="6"/>
    <n v="24483.1"/>
    <n v="-18876"/>
    <s v="3VV2B7AX9LM002520"/>
    <n v="107"/>
    <x v="3"/>
  </r>
  <r>
    <s v="240121A"/>
    <x v="13"/>
    <n v="15353.9"/>
    <m/>
    <s v="1C4PJMBBXFW775848"/>
    <n v="104"/>
    <x v="3"/>
  </r>
  <r>
    <s v="240062A"/>
    <x v="9"/>
    <n v="21360.2"/>
    <m/>
    <s v="3VWEB7BU9LM051228"/>
    <n v="101"/>
    <x v="3"/>
  </r>
  <r>
    <s v="240127A"/>
    <x v="8"/>
    <n v="27870.3"/>
    <m/>
    <s v="3VV4B7AX2KM185248"/>
    <n v="100"/>
    <x v="3"/>
  </r>
  <r>
    <s v="240169A"/>
    <x v="14"/>
    <n v="24530.400000000001"/>
    <m/>
    <s v="3VWE57BU7MM077268"/>
    <n v="97"/>
    <x v="3"/>
  </r>
  <r>
    <s v="240183A"/>
    <x v="14"/>
    <n v="24459.3"/>
    <m/>
    <s v="3VWE57BU5MM022575"/>
    <n v="93"/>
    <x v="3"/>
  </r>
  <r>
    <s v="240151A"/>
    <x v="15"/>
    <n v="23571.5"/>
    <m/>
    <s v="1VWBA7A31LC005280"/>
    <n v="92"/>
    <x v="3"/>
  </r>
  <r>
    <s v="240198A"/>
    <x v="6"/>
    <n v="30753.25"/>
    <m/>
    <s v="3VV4B7AX7LM138623"/>
    <n v="91"/>
    <x v="3"/>
  </r>
  <r>
    <s v="240123A"/>
    <x v="4"/>
    <n v="29343.25"/>
    <m/>
    <s v="3VV2B7AX9MM038886"/>
    <n v="91"/>
    <x v="3"/>
  </r>
  <r>
    <s v="240195A"/>
    <x v="16"/>
    <n v="23760.2"/>
    <m/>
    <s v="3VWH17AU4KM517860"/>
    <n v="91"/>
    <x v="3"/>
  </r>
  <r>
    <s v="5531P"/>
    <x v="8"/>
    <n v="21769.89"/>
    <n v="-18000"/>
    <s v="3VV2B7AX5KM174266"/>
    <n v="91"/>
    <x v="3"/>
  </r>
  <r>
    <s v="240200A"/>
    <x v="4"/>
    <n v="28553.09"/>
    <m/>
    <s v="3VV2B7AX7MM017972"/>
    <n v="90"/>
    <x v="4"/>
  </r>
  <r>
    <s v="240120A"/>
    <x v="6"/>
    <n v="27580.05"/>
    <m/>
    <s v="3VV2B7AX5LM134416"/>
    <n v="90"/>
    <x v="4"/>
  </r>
  <r>
    <s v="5532P"/>
    <x v="8"/>
    <n v="23078.2"/>
    <n v="-14910"/>
    <s v="3VV2B7AXXKM175526"/>
    <n v="87"/>
    <x v="4"/>
  </r>
  <r>
    <s v="5536P"/>
    <x v="17"/>
    <n v="57126.15"/>
    <n v="-53444.44"/>
    <s v="WVWEB7CD1RW113067"/>
    <n v="86"/>
    <x v="4"/>
  </r>
  <r>
    <s v="5535P"/>
    <x v="18"/>
    <n v="37343.25"/>
    <n v="-31500"/>
    <s v="3VVMB7AX1PM006494"/>
    <n v="86"/>
    <x v="4"/>
  </r>
  <r>
    <s v="5534P"/>
    <x v="4"/>
    <n v="27555.439999999999"/>
    <n v="-26142.19"/>
    <s v="3VV2B7AX0MM070822"/>
    <n v="86"/>
    <x v="4"/>
  </r>
  <r>
    <s v="5539P"/>
    <x v="1"/>
    <n v="24725.279999999999"/>
    <n v="-13011"/>
    <s v="WVWPR7AUXLW900758"/>
    <n v="85"/>
    <x v="4"/>
  </r>
  <r>
    <s v="5540P"/>
    <x v="6"/>
    <n v="24825.89"/>
    <n v="-21121.07"/>
    <s v="3VV2B7AX5LM104042"/>
    <n v="84"/>
    <x v="4"/>
  </r>
  <r>
    <s v="5543P"/>
    <x v="4"/>
    <n v="29849.7"/>
    <n v="-25650"/>
    <s v="3VV4B7AX3MM043848"/>
    <n v="76"/>
    <x v="4"/>
  </r>
  <r>
    <s v="240226A"/>
    <x v="11"/>
    <n v="18947.330000000002"/>
    <n v="-10994"/>
    <s v="3VWG57AU7KM033052"/>
    <n v="76"/>
    <x v="4"/>
  </r>
  <r>
    <s v="240172A"/>
    <x v="19"/>
    <n v="9050"/>
    <m/>
    <s v="3VWG07AJ8FM218642"/>
    <n v="73"/>
    <x v="4"/>
  </r>
  <r>
    <s v="5529PA"/>
    <x v="20"/>
    <n v="10685"/>
    <m/>
    <s v="5N1AR2MM1EC693147"/>
    <n v="72"/>
    <x v="4"/>
  </r>
  <r>
    <s v="5545P"/>
    <x v="21"/>
    <n v="48472.800000000003"/>
    <n v="-42300"/>
    <s v="WVWEB7CD8NW157948"/>
    <n v="71"/>
    <x v="4"/>
  </r>
  <r>
    <s v="240231A"/>
    <x v="22"/>
    <n v="21402.85"/>
    <m/>
    <s v="3VWE57BU8KM269358"/>
    <n v="71"/>
    <x v="4"/>
  </r>
  <r>
    <s v="240191A"/>
    <x v="8"/>
    <n v="20650"/>
    <m/>
    <s v="3VV2B7AX1KM022551"/>
    <n v="70"/>
    <x v="4"/>
  </r>
  <r>
    <s v="240035A"/>
    <x v="23"/>
    <n v="28550"/>
    <m/>
    <s v="5FNYF6H72LB500902"/>
    <n v="69"/>
    <x v="4"/>
  </r>
  <r>
    <s v="240252A"/>
    <x v="6"/>
    <n v="29887.9"/>
    <m/>
    <s v="3VV4B7AX5LM169272"/>
    <n v="64"/>
    <x v="4"/>
  </r>
  <r>
    <s v="5549P"/>
    <x v="4"/>
    <n v="24300"/>
    <m/>
    <s v="3VV2B7AX2MM094183"/>
    <n v="63"/>
    <x v="4"/>
  </r>
  <r>
    <s v="240187A"/>
    <x v="24"/>
    <n v="34584.85"/>
    <m/>
    <s v="3VV4B7AX1NM053652"/>
    <n v="62"/>
    <x v="4"/>
  </r>
  <r>
    <s v="240234A"/>
    <x v="4"/>
    <n v="26837.9"/>
    <m/>
    <s v="3VV2B7AX1MM061112"/>
    <n v="62"/>
    <x v="4"/>
  </r>
  <r>
    <s v="5550P"/>
    <x v="8"/>
    <n v="21607.89"/>
    <m/>
    <s v="3VV2B7AX3KM165971"/>
    <n v="62"/>
    <x v="4"/>
  </r>
  <r>
    <s v="240265A"/>
    <x v="8"/>
    <n v="22662.65"/>
    <m/>
    <s v="3VV2B7AXXKM174943"/>
    <n v="56"/>
    <x v="5"/>
  </r>
  <r>
    <s v="240211A"/>
    <x v="9"/>
    <n v="19200.02"/>
    <m/>
    <s v="3VWCB7BU6LM036242"/>
    <n v="56"/>
    <x v="5"/>
  </r>
  <r>
    <s v="240045A"/>
    <x v="25"/>
    <n v="4550"/>
    <m/>
    <s v="3VWGX7AJ1CM355395"/>
    <n v="56"/>
    <x v="5"/>
  </r>
  <r>
    <s v="240223A"/>
    <x v="11"/>
    <n v="15666.49"/>
    <m/>
    <s v="3VWG57AU5KM026486"/>
    <n v="50"/>
    <x v="5"/>
  </r>
  <r>
    <s v="240278A"/>
    <x v="26"/>
    <n v="27398.68"/>
    <n v="-17092"/>
    <s v="1V2HR2CA3JC585678"/>
    <n v="49"/>
    <x v="5"/>
  </r>
  <r>
    <s v="5552P"/>
    <x v="6"/>
    <n v="20474.86"/>
    <n v="-17100"/>
    <s v="3VV0B7AX4LM103276"/>
    <n v="49"/>
    <x v="5"/>
  </r>
  <r>
    <s v="5556P"/>
    <x v="27"/>
    <n v="31478.25"/>
    <n v="-25488.23"/>
    <s v="3VW6T7AU7MM012478"/>
    <n v="48"/>
    <x v="5"/>
  </r>
  <r>
    <s v="240304A"/>
    <x v="6"/>
    <n v="22358.6"/>
    <m/>
    <s v="3VV0B7AX4LM132762"/>
    <n v="41"/>
    <x v="5"/>
  </r>
  <r>
    <s v="5559P"/>
    <x v="6"/>
    <n v="30050"/>
    <n v="-26550"/>
    <s v="3VV4B7AX4LM129099"/>
    <n v="38"/>
    <x v="5"/>
  </r>
  <r>
    <s v="240299A"/>
    <x v="22"/>
    <n v="19353.37"/>
    <m/>
    <s v="3VWE57BU5KM057162"/>
    <n v="36"/>
    <x v="5"/>
  </r>
  <r>
    <s v="240001A"/>
    <x v="28"/>
    <n v="31567.85"/>
    <n v="-24318.69"/>
    <s v="1V2MR2CA7KC586543"/>
    <n v="30"/>
    <x v="6"/>
  </r>
  <r>
    <s v="240330A"/>
    <x v="9"/>
    <n v="21013.22"/>
    <m/>
    <s v="3VWEB7BU6LM068164"/>
    <n v="30"/>
    <x v="6"/>
  </r>
  <r>
    <s v="5562P"/>
    <x v="8"/>
    <n v="18943.150000000001"/>
    <n v="-16735.07"/>
    <s v="3VV0B7AX8KM161793"/>
    <n v="30"/>
    <x v="6"/>
  </r>
  <r>
    <s v="5525PA"/>
    <x v="12"/>
    <n v="15183.2"/>
    <m/>
    <s v="3VWB17AU2JM269404"/>
    <n v="30"/>
    <x v="6"/>
  </r>
  <r>
    <s v="240318A"/>
    <x v="29"/>
    <n v="19550"/>
    <n v="-17494.490000000002"/>
    <s v="3VWG57AU2MM003122"/>
    <n v="29"/>
    <x v="6"/>
  </r>
  <r>
    <s v="240320A"/>
    <x v="8"/>
    <n v="26958.25"/>
    <n v="-16819.39"/>
    <s v="3VV4B7AX0KM054741"/>
    <n v="27"/>
    <x v="6"/>
  </r>
  <r>
    <s v="240036B"/>
    <x v="22"/>
    <n v="15870.35"/>
    <n v="-8941.48"/>
    <s v="3VWC57BU1KM227184"/>
    <n v="27"/>
    <x v="6"/>
  </r>
  <r>
    <s v="240297A"/>
    <x v="30"/>
    <n v="26208.25"/>
    <n v="-28178.720000000001"/>
    <s v="3VWFM7BU3NM006738"/>
    <n v="23"/>
    <x v="6"/>
  </r>
  <r>
    <s v="240356A"/>
    <x v="14"/>
    <n v="23858.25"/>
    <n v="-23265.919999999998"/>
    <s v="3VW5T7BU2MM063364"/>
    <n v="23"/>
    <x v="6"/>
  </r>
  <r>
    <s v="240357A"/>
    <x v="31"/>
    <n v="27358.25"/>
    <n v="-17728.48"/>
    <s v="3VW5T7AU4LM005546"/>
    <n v="22"/>
    <x v="6"/>
  </r>
  <r>
    <s v="240307A"/>
    <x v="32"/>
    <n v="27050"/>
    <m/>
    <s v="WA1FECF39L1121942"/>
    <n v="21"/>
    <x v="6"/>
  </r>
  <r>
    <s v="5558P"/>
    <x v="33"/>
    <n v="33348"/>
    <n v="-25349.4"/>
    <s v="WA1AAAF76KD019959"/>
    <n v="17"/>
    <x v="6"/>
  </r>
  <r>
    <s v="240346A"/>
    <x v="29"/>
    <n v="19838.25"/>
    <n v="-15088.51"/>
    <s v="3VWG57AU0MM001692"/>
    <n v="17"/>
    <x v="6"/>
  </r>
  <r>
    <s v="240375A"/>
    <x v="9"/>
    <n v="22191.25"/>
    <n v="-13722.48"/>
    <s v="3VWW57BU7LM049294"/>
    <n v="15"/>
    <x v="6"/>
  </r>
  <r>
    <s v="240331A"/>
    <x v="9"/>
    <n v="16800"/>
    <n v="-13922.08"/>
    <s v="3VWEB7BU7LM073180"/>
    <n v="15"/>
    <x v="6"/>
  </r>
  <r>
    <s v="240147A"/>
    <x v="34"/>
    <n v="37550"/>
    <m/>
    <s v="5TDJZ3DC5LS244583"/>
    <n v="14"/>
    <x v="6"/>
  </r>
  <r>
    <s v="5566P"/>
    <x v="35"/>
    <n v="23842.55"/>
    <n v="-22295"/>
    <s v="WVWSR7AN2KE019611"/>
    <n v="14"/>
    <x v="6"/>
  </r>
  <r>
    <s v="230662A"/>
    <x v="6"/>
    <n v="22812.05"/>
    <m/>
    <s v="3VV2B7AX9LM017339"/>
    <n v="14"/>
    <x v="6"/>
  </r>
  <r>
    <s v="5567P"/>
    <x v="36"/>
    <n v="32050"/>
    <m/>
    <s v="WVWVA7AU9KW174050"/>
    <n v="13"/>
    <x v="6"/>
  </r>
  <r>
    <s v="240294A"/>
    <x v="36"/>
    <n v="31843.25"/>
    <n v="-37395.019999999997"/>
    <s v="WVWVA7AU6KW131964"/>
    <n v="13"/>
    <x v="6"/>
  </r>
  <r>
    <s v="240393A"/>
    <x v="6"/>
    <n v="25050"/>
    <n v="-21567"/>
    <s v="3VV4B7AX8LM059655"/>
    <n v="9"/>
    <x v="6"/>
  </r>
  <r>
    <s v="240317A"/>
    <x v="22"/>
    <n v="16323.25"/>
    <n v="-10287.33"/>
    <s v="3VWC57BU5KM269955"/>
    <n v="9"/>
    <x v="6"/>
  </r>
  <r>
    <s v="5569P"/>
    <x v="35"/>
    <n v="27050"/>
    <n v="-23767"/>
    <s v="WVWSR7AN7KE008040"/>
    <n v="7"/>
    <x v="6"/>
  </r>
  <r>
    <s v="240026A"/>
    <x v="4"/>
    <n v="23550"/>
    <m/>
    <s v="3VV2B7AX2MM037837"/>
    <n v="7"/>
    <x v="6"/>
  </r>
  <r>
    <s v="240392A"/>
    <x v="37"/>
    <n v="42550"/>
    <n v="-40359.06"/>
    <s v="WA1A4AFY3M2069488"/>
    <n v="6"/>
    <x v="6"/>
  </r>
  <r>
    <s v="240242A"/>
    <x v="6"/>
    <n v="19050"/>
    <n v="-17813.349999999999"/>
    <s v="3VV1B7AX2LM097773"/>
    <n v="6"/>
    <x v="6"/>
  </r>
  <r>
    <s v="230667A"/>
    <x v="4"/>
    <n v="17850"/>
    <m/>
    <s v="3VV0B7AX8MM008513"/>
    <n v="6"/>
    <x v="6"/>
  </r>
  <r>
    <s v="240399A"/>
    <x v="11"/>
    <n v="17050"/>
    <m/>
    <s v="3VWG57AU4KM019514"/>
    <n v="6"/>
    <x v="6"/>
  </r>
  <r>
    <s v="240383A"/>
    <x v="4"/>
    <n v="25488.2"/>
    <m/>
    <s v="3VV2B7AX4MM037810"/>
    <n v="5"/>
    <x v="6"/>
  </r>
  <r>
    <s v="240380A"/>
    <x v="38"/>
    <n v="52550"/>
    <m/>
    <s v="LRWYGDEE8PC162720"/>
    <n v="4"/>
    <x v="6"/>
  </r>
  <r>
    <s v="240388A"/>
    <x v="6"/>
    <n v="19550"/>
    <m/>
    <s v="3VV0B7AX4LM134706"/>
    <n v="4"/>
    <x v="6"/>
  </r>
  <r>
    <s v="240386A"/>
    <x v="39"/>
    <n v="26550"/>
    <m/>
    <s v="3VW5T7AU9KM037746"/>
    <n v="2"/>
    <x v="6"/>
  </r>
  <r>
    <s v="230678A"/>
    <x v="6"/>
    <n v="22998"/>
    <m/>
    <s v="3VV4B7AX3LM110818"/>
    <n v="2"/>
    <x v="6"/>
  </r>
  <r>
    <s v="240277A"/>
    <x v="6"/>
    <n v="24550"/>
    <m/>
    <s v="3VV4B7AX0LM135367"/>
    <n v="1"/>
    <x v="6"/>
  </r>
  <r>
    <s v="240391A"/>
    <x v="11"/>
    <n v="15900"/>
    <m/>
    <s v="3VWW57AU2KM029759"/>
    <n v="1"/>
    <x v="6"/>
  </r>
  <r>
    <s v="240321A"/>
    <x v="40"/>
    <n v="12550"/>
    <m/>
    <s v="WVGLV7AX7HW508697"/>
    <n v="1"/>
    <x v="6"/>
  </r>
  <r>
    <s v="240343A"/>
    <x v="41"/>
    <n v="10550"/>
    <m/>
    <s v="JM1DKBC72G0120392"/>
    <n v="1"/>
    <x v="6"/>
  </r>
  <r>
    <s v="240306A"/>
    <x v="42"/>
    <n v="8550"/>
    <m/>
    <s v="1FMCU9G91HUD46486"/>
    <n v="1"/>
    <x v="6"/>
  </r>
  <r>
    <s v="240369A"/>
    <x v="43"/>
    <n v="55050"/>
    <m/>
    <s v="JTHGZ1E24P5030473"/>
    <n v="0"/>
    <x v="6"/>
  </r>
  <r>
    <s v="240406A"/>
    <x v="37"/>
    <n v="48050"/>
    <m/>
    <s v="WA1C4AFY6M2073799"/>
    <n v="0"/>
    <x v="6"/>
  </r>
  <r>
    <s v="240428A"/>
    <x v="22"/>
    <n v="20050"/>
    <m/>
    <s v="3VW6T7BU1KM170911"/>
    <n v="0"/>
    <x v="6"/>
  </r>
  <r>
    <s v="240408A"/>
    <x v="9"/>
    <n v="17550"/>
    <m/>
    <s v="3VWCB7BU8LM054547"/>
    <n v="0"/>
    <x v="6"/>
  </r>
  <r>
    <s v="240312A"/>
    <x v="22"/>
    <n v="14300"/>
    <m/>
    <s v="3VWN57BU2KM099546"/>
    <n v="0"/>
    <x v="6"/>
  </r>
  <r>
    <s v="230668A"/>
    <x v="44"/>
    <n v="10550"/>
    <m/>
    <s v="4S4BSCDC6H3384820"/>
    <n v="0"/>
    <x v="6"/>
  </r>
  <r>
    <s v="240190A"/>
    <x v="45"/>
    <n v="49050"/>
    <m/>
    <s v="2T2GGCEZ0NC005114"/>
    <n v="0"/>
    <x v="6"/>
  </r>
  <r>
    <s v="240318A"/>
    <x v="29"/>
    <n v="19550"/>
    <m/>
    <s v="3VWG57AU2MM003122"/>
    <n v="0"/>
    <x v="6"/>
  </r>
  <r>
    <s v="240044B"/>
    <x v="46"/>
    <n v="16050"/>
    <m/>
    <s v="2T3DFREV4FW268997"/>
    <n v="0"/>
    <x v="6"/>
  </r>
  <r>
    <m/>
    <x v="47"/>
    <m/>
    <m/>
    <m/>
    <m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8DF652-85D7-401D-8745-602372F90575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4:M12" firstHeaderRow="0" firstDataRow="1" firstDataCol="1" rowPageCount="1" colPageCount="1"/>
  <pivotFields count="7">
    <pivotField showAll="0"/>
    <pivotField axis="axisRow" showAll="0">
      <items count="14">
        <item x="10"/>
        <item x="8"/>
        <item x="9"/>
        <item x="5"/>
        <item x="1"/>
        <item x="4"/>
        <item x="7"/>
        <item x="11"/>
        <item x="0"/>
        <item x="6"/>
        <item x="3"/>
        <item x="2"/>
        <item x="12"/>
        <item t="default"/>
      </items>
    </pivotField>
    <pivotField dataField="1" showAll="0"/>
    <pivotField showAll="0"/>
    <pivotField dataField="1" showAll="0"/>
    <pivotField showAll="0">
      <items count="54"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35"/>
        <item x="34"/>
        <item x="26"/>
        <item x="33"/>
        <item x="25"/>
        <item x="32"/>
        <item x="29"/>
        <item x="28"/>
        <item x="31"/>
        <item x="30"/>
        <item x="27"/>
        <item x="24"/>
        <item x="23"/>
        <item x="52"/>
        <item t="default"/>
      </items>
    </pivotField>
    <pivotField axis="axisPage" multipleItemSelectionAllowed="1" showAll="0">
      <items count="7">
        <item h="1" x="4"/>
        <item x="3"/>
        <item h="1" x="2"/>
        <item h="1" x="1"/>
        <item h="1" x="0"/>
        <item h="1" x="5"/>
        <item t="default"/>
      </items>
    </pivotField>
  </pivotFields>
  <rowFields count="1">
    <field x="1"/>
  </rowFields>
  <rowItems count="8">
    <i>
      <x v="1"/>
    </i>
    <i>
      <x v="2"/>
    </i>
    <i>
      <x v="3"/>
    </i>
    <i>
      <x v="4"/>
    </i>
    <i>
      <x v="5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Sum of 1402" fld="2" baseField="0" baseItem="0" numFmtId="165"/>
    <dataField name="Count of NIV" fld="4" subtotal="count" baseField="0" baseItem="0"/>
  </dataFields>
  <formats count="2"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7DBD7C-225C-46D7-8EFC-6DD848FC22FF}" name="PivotTable2" cacheId="9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showHeaders="0" outline="1" outlineData="1" multipleFieldFilters="0">
  <location ref="K23:N38" firstHeaderRow="0" firstDataRow="1" firstDataCol="1"/>
  <pivotFields count="7">
    <pivotField showAll="0"/>
    <pivotField axis="axisRow" showAll="0">
      <items count="49">
        <item x="3"/>
        <item x="0"/>
        <item x="25"/>
        <item x="20"/>
        <item x="13"/>
        <item x="46"/>
        <item x="19"/>
        <item x="41"/>
        <item x="7"/>
        <item x="42"/>
        <item x="44"/>
        <item x="40"/>
        <item x="5"/>
        <item x="26"/>
        <item x="12"/>
        <item x="33"/>
        <item x="2"/>
        <item x="35"/>
        <item x="28"/>
        <item x="11"/>
        <item x="16"/>
        <item x="39"/>
        <item x="36"/>
        <item x="22"/>
        <item x="8"/>
        <item x="32"/>
        <item x="23"/>
        <item x="10"/>
        <item x="34"/>
        <item x="1"/>
        <item x="31"/>
        <item x="9"/>
        <item x="15"/>
        <item x="6"/>
        <item x="37"/>
        <item x="29"/>
        <item x="27"/>
        <item x="14"/>
        <item x="4"/>
        <item x="45"/>
        <item x="21"/>
        <item x="30"/>
        <item x="24"/>
        <item x="43"/>
        <item x="38"/>
        <item x="18"/>
        <item x="17"/>
        <item x="47"/>
        <item t="default"/>
      </items>
    </pivotField>
    <pivotField dataField="1" showAll="0"/>
    <pivotField showAll="0"/>
    <pivotField dataField="1" showAll="0"/>
    <pivotField showAll="0"/>
    <pivotField axis="axisRow" dataField="1" multipleItemSelectionAllowed="1" showAll="0">
      <items count="9">
        <item h="1" x="6"/>
        <item x="2"/>
        <item x="1"/>
        <item x="0"/>
        <item h="1" x="5"/>
        <item h="1" x="4"/>
        <item h="1" x="3"/>
        <item h="1" x="7"/>
        <item t="default"/>
      </items>
    </pivotField>
  </pivotFields>
  <rowFields count="2">
    <field x="6"/>
    <field x="1"/>
  </rowFields>
  <rowItems count="15">
    <i>
      <x v="1"/>
    </i>
    <i r="1">
      <x v="8"/>
    </i>
    <i r="1">
      <x v="12"/>
    </i>
    <i r="1">
      <x v="24"/>
    </i>
    <i r="1">
      <x v="27"/>
    </i>
    <i r="1">
      <x v="31"/>
    </i>
    <i r="1">
      <x v="33"/>
    </i>
    <i r="1">
      <x v="38"/>
    </i>
    <i>
      <x v="2"/>
    </i>
    <i r="1">
      <x/>
    </i>
    <i r="1">
      <x v="16"/>
    </i>
    <i>
      <x v="3"/>
    </i>
    <i r="1">
      <x v="1"/>
    </i>
    <i r="1">
      <x v="2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1416" fld="2" baseField="0" baseItem="0" numFmtId="165"/>
    <dataField name="Count of NIV" fld="4" subtotal="count" baseField="0" baseItem="0"/>
    <dataField name="Count of Classement" fld="6" subtotal="count" baseField="0" baseItem="0"/>
  </dataFields>
  <formats count="6">
    <format dxfId="7">
      <pivotArea field="6" type="button" dataOnly="0" labelOnly="1" outline="0" axis="axisRow" fieldPosition="0"/>
    </format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">
      <pivotArea collapsedLevelsAreSubtotals="1" fieldPosition="0">
        <references count="1">
          <reference field="1" count="1">
            <x v="0"/>
          </reference>
        </references>
      </pivotArea>
    </format>
    <format dxfId="4">
      <pivotArea dataOnly="0" labelOnly="1" fieldPosition="0">
        <references count="1">
          <reference field="1" count="1">
            <x v="0"/>
          </reference>
        </references>
      </pivotArea>
    </format>
    <format dxfId="3">
      <pivotArea collapsedLevelsAreSubtotals="1" fieldPosition="0">
        <references count="1">
          <reference field="1" count="1">
            <x v="16"/>
          </reference>
        </references>
      </pivotArea>
    </format>
    <format dxfId="2">
      <pivotArea dataOnly="0" labelOnly="1" fieldPosition="0">
        <references count="1">
          <reference field="1" count="1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030B8-A96B-4D7E-AE18-A651809AABEB}">
  <dimension ref="B2:O72"/>
  <sheetViews>
    <sheetView workbookViewId="0">
      <selection activeCell="K18" sqref="K18"/>
    </sheetView>
  </sheetViews>
  <sheetFormatPr baseColWidth="10" defaultColWidth="9.140625" defaultRowHeight="15" x14ac:dyDescent="0.25"/>
  <cols>
    <col min="2" max="2" width="15.28515625" customWidth="1"/>
    <col min="3" max="3" width="13.140625" customWidth="1"/>
    <col min="4" max="4" width="12.28515625" customWidth="1"/>
    <col min="5" max="5" width="15.140625" customWidth="1"/>
    <col min="6" max="6" width="14" customWidth="1"/>
    <col min="11" max="11" width="29.42578125" bestFit="1" customWidth="1"/>
    <col min="12" max="12" width="11.42578125" style="21" bestFit="1" customWidth="1"/>
    <col min="13" max="13" width="11.85546875" style="21" bestFit="1" customWidth="1"/>
    <col min="14" max="14" width="19" bestFit="1" customWidth="1"/>
  </cols>
  <sheetData>
    <row r="2" spans="2:13" x14ac:dyDescent="0.25">
      <c r="B2" s="25" t="s">
        <v>62</v>
      </c>
      <c r="K2" s="37" t="s">
        <v>41</v>
      </c>
      <c r="L2" s="41" t="s">
        <v>48</v>
      </c>
    </row>
    <row r="4" spans="2:13" x14ac:dyDescent="0.25">
      <c r="B4" s="26" t="s">
        <v>41</v>
      </c>
      <c r="C4" s="26" t="s">
        <v>42</v>
      </c>
      <c r="D4" s="26" t="s">
        <v>43</v>
      </c>
      <c r="E4" s="26" t="s">
        <v>44</v>
      </c>
      <c r="F4" s="26" t="s">
        <v>45</v>
      </c>
      <c r="K4" s="34" t="s">
        <v>56</v>
      </c>
      <c r="L4" s="21" t="s">
        <v>58</v>
      </c>
      <c r="M4" t="s">
        <v>59</v>
      </c>
    </row>
    <row r="5" spans="2:13" x14ac:dyDescent="0.25">
      <c r="B5" s="27" t="s">
        <v>46</v>
      </c>
      <c r="C5" s="28">
        <f>COUNTIF(Neuf!G:G,Sommaire!B5)</f>
        <v>2</v>
      </c>
      <c r="D5" s="29">
        <f>C5/$C$12</f>
        <v>1.2195121951219513E-2</v>
      </c>
      <c r="E5" s="30">
        <f>SUMIF(Neuf!G:G,Sommaire!B5,Neuf!C:C)</f>
        <v>122143.35</v>
      </c>
      <c r="F5" s="29">
        <f>E5/$E$12</f>
        <v>1.683818157947806E-2</v>
      </c>
      <c r="K5" s="35" t="s">
        <v>10</v>
      </c>
      <c r="L5" s="21">
        <v>30245.52</v>
      </c>
      <c r="M5">
        <v>1</v>
      </c>
    </row>
    <row r="6" spans="2:13" x14ac:dyDescent="0.25">
      <c r="B6" s="27" t="s">
        <v>47</v>
      </c>
      <c r="C6" s="28">
        <f>COUNTIF(Neuf!G:G,Sommaire!B6)</f>
        <v>17</v>
      </c>
      <c r="D6" s="29">
        <f t="shared" ref="D6:D11" si="0">C6/$C$12</f>
        <v>0.10365853658536585</v>
      </c>
      <c r="E6" s="30">
        <f>SUMIF(Neuf!G:G,Sommaire!B6,Neuf!C:C)</f>
        <v>666072.35</v>
      </c>
      <c r="F6" s="29">
        <f t="shared" ref="F6:F11" si="1">E6/$E$12</f>
        <v>9.1822004017162298E-2</v>
      </c>
      <c r="K6" s="35" t="s">
        <v>9</v>
      </c>
      <c r="L6" s="21">
        <v>105746.7</v>
      </c>
      <c r="M6">
        <v>3</v>
      </c>
    </row>
    <row r="7" spans="2:13" x14ac:dyDescent="0.25">
      <c r="B7" s="27" t="s">
        <v>48</v>
      </c>
      <c r="C7" s="28">
        <f>COUNTIF(Neuf!G:G,Sommaire!B7)</f>
        <v>12</v>
      </c>
      <c r="D7" s="29">
        <f t="shared" si="0"/>
        <v>7.3170731707317069E-2</v>
      </c>
      <c r="E7" s="30">
        <f>SUMIF(Neuf!G:G,Sommaire!B7,Neuf!C:C)</f>
        <v>508674.91000000003</v>
      </c>
      <c r="F7" s="29">
        <f t="shared" si="1"/>
        <v>7.0123838092738242E-2</v>
      </c>
      <c r="K7" s="35" t="s">
        <v>8</v>
      </c>
      <c r="L7" s="21">
        <v>210943.85</v>
      </c>
      <c r="M7">
        <v>4</v>
      </c>
    </row>
    <row r="8" spans="2:13" x14ac:dyDescent="0.25">
      <c r="B8" s="27" t="s">
        <v>49</v>
      </c>
      <c r="C8" s="28">
        <f>COUNTIF(Neuf!G:G,Sommaire!B8)</f>
        <v>13</v>
      </c>
      <c r="D8" s="29">
        <f t="shared" si="0"/>
        <v>7.926829268292683E-2</v>
      </c>
      <c r="E8" s="30">
        <f>SUMIF(Neuf!G:G,Sommaire!B8,Neuf!C:C)</f>
        <v>568949.44000000006</v>
      </c>
      <c r="F8" s="29">
        <f t="shared" si="1"/>
        <v>7.8433037740182801E-2</v>
      </c>
      <c r="K8" s="35" t="s">
        <v>6</v>
      </c>
      <c r="L8" s="21">
        <v>379166.38999999996</v>
      </c>
      <c r="M8">
        <v>7</v>
      </c>
    </row>
    <row r="9" spans="2:13" x14ac:dyDescent="0.25">
      <c r="B9" s="27" t="s">
        <v>50</v>
      </c>
      <c r="C9" s="28">
        <f>COUNTIF(Neuf!G:G,Sommaire!B9)</f>
        <v>34</v>
      </c>
      <c r="D9" s="29">
        <f t="shared" si="0"/>
        <v>0.2073170731707317</v>
      </c>
      <c r="E9" s="30">
        <f>SUMIF(Neuf!G:G,Sommaire!B9,Neuf!C:C)</f>
        <v>1568494.4900000002</v>
      </c>
      <c r="F9" s="29">
        <f t="shared" si="1"/>
        <v>0.2162262213131606</v>
      </c>
      <c r="K9" s="35" t="s">
        <v>4</v>
      </c>
      <c r="L9" s="21">
        <v>37506.9</v>
      </c>
      <c r="M9">
        <v>1</v>
      </c>
    </row>
    <row r="10" spans="2:13" x14ac:dyDescent="0.25">
      <c r="B10" s="27" t="s">
        <v>51</v>
      </c>
      <c r="C10" s="28">
        <f>COUNTIF(Neuf!G:G,Sommaire!B10)</f>
        <v>45</v>
      </c>
      <c r="D10" s="29">
        <f t="shared" si="0"/>
        <v>0.27439024390243905</v>
      </c>
      <c r="E10" s="30">
        <f>SUMIF(Neuf!G:G,Sommaire!B10,Neuf!C:C)</f>
        <v>2043830.6800000006</v>
      </c>
      <c r="F10" s="29">
        <f t="shared" si="1"/>
        <v>0.28175412011827189</v>
      </c>
      <c r="K10" s="35" t="s">
        <v>7</v>
      </c>
      <c r="L10" s="21">
        <v>32637</v>
      </c>
      <c r="M10">
        <v>1</v>
      </c>
    </row>
    <row r="11" spans="2:13" x14ac:dyDescent="0.25">
      <c r="B11" s="27" t="s">
        <v>52</v>
      </c>
      <c r="C11" s="28">
        <f>COUNTIF(Neuf!G:G,Sommaire!B11)</f>
        <v>41</v>
      </c>
      <c r="D11" s="29">
        <f t="shared" si="0"/>
        <v>0.25</v>
      </c>
      <c r="E11" s="30">
        <f>SUMIF(Neuf!G:G,Sommaire!B11,Neuf!C:C)</f>
        <v>1775786.13</v>
      </c>
      <c r="F11" s="29">
        <f t="shared" si="1"/>
        <v>0.24480259713900615</v>
      </c>
      <c r="K11" s="35" t="s">
        <v>5</v>
      </c>
      <c r="L11" s="21">
        <v>60613.97</v>
      </c>
      <c r="M11">
        <v>2</v>
      </c>
    </row>
    <row r="12" spans="2:13" x14ac:dyDescent="0.25">
      <c r="B12" s="27" t="s">
        <v>53</v>
      </c>
      <c r="C12" s="28">
        <f>SUM(C5:C11)</f>
        <v>164</v>
      </c>
      <c r="D12" s="29">
        <f>SUM(D5:D11)</f>
        <v>1</v>
      </c>
      <c r="E12" s="30">
        <f>SUM(E5:E11)</f>
        <v>7253951.3500000006</v>
      </c>
      <c r="F12" s="29">
        <f>SUM(F5:F11)</f>
        <v>1</v>
      </c>
      <c r="K12" s="35" t="s">
        <v>57</v>
      </c>
      <c r="L12" s="21">
        <v>856860.33000000007</v>
      </c>
      <c r="M12">
        <v>19</v>
      </c>
    </row>
    <row r="13" spans="2:13" x14ac:dyDescent="0.25">
      <c r="B13" s="49" t="s">
        <v>54</v>
      </c>
      <c r="C13" s="49"/>
      <c r="D13" s="49"/>
      <c r="E13" s="31">
        <f>E12/C12</f>
        <v>44231.410670731711</v>
      </c>
      <c r="F13" s="28"/>
      <c r="M13"/>
    </row>
    <row r="14" spans="2:13" x14ac:dyDescent="0.25">
      <c r="M14"/>
    </row>
    <row r="15" spans="2:13" x14ac:dyDescent="0.25">
      <c r="B15" s="26" t="s">
        <v>55</v>
      </c>
      <c r="C15" s="33" t="e">
        <f>#REF!</f>
        <v>#REF!</v>
      </c>
      <c r="D15" s="29" t="e">
        <f>C12/C15</f>
        <v>#REF!</v>
      </c>
      <c r="E15" s="40" t="e">
        <f>#REF!</f>
        <v>#REF!</v>
      </c>
      <c r="F15" s="29" t="e">
        <f>E12/E15</f>
        <v>#REF!</v>
      </c>
      <c r="M15"/>
    </row>
    <row r="16" spans="2:13" x14ac:dyDescent="0.25">
      <c r="B16" s="26" t="s">
        <v>60</v>
      </c>
      <c r="C16" s="33" t="e">
        <f>C12-C15</f>
        <v>#REF!</v>
      </c>
      <c r="D16" s="39"/>
      <c r="E16" s="40" t="e">
        <f>E12-E15</f>
        <v>#REF!</v>
      </c>
      <c r="F16" s="39"/>
      <c r="M16"/>
    </row>
    <row r="17" spans="2:15" x14ac:dyDescent="0.25">
      <c r="B17" s="49" t="s">
        <v>61</v>
      </c>
      <c r="C17" s="49"/>
      <c r="D17" s="49"/>
      <c r="E17" s="31" t="e">
        <f>E15/C15</f>
        <v>#REF!</v>
      </c>
      <c r="F17" s="28"/>
      <c r="M17"/>
    </row>
    <row r="18" spans="2:15" x14ac:dyDescent="0.25">
      <c r="M18"/>
    </row>
    <row r="19" spans="2:15" x14ac:dyDescent="0.25">
      <c r="M19"/>
    </row>
    <row r="20" spans="2:15" x14ac:dyDescent="0.25">
      <c r="M20"/>
    </row>
    <row r="21" spans="2:15" x14ac:dyDescent="0.25">
      <c r="B21" s="25" t="s">
        <v>63</v>
      </c>
      <c r="L21"/>
    </row>
    <row r="22" spans="2:15" x14ac:dyDescent="0.25">
      <c r="O22" s="25"/>
    </row>
    <row r="23" spans="2:15" x14ac:dyDescent="0.25">
      <c r="B23" s="26" t="s">
        <v>41</v>
      </c>
      <c r="C23" s="26" t="s">
        <v>42</v>
      </c>
      <c r="D23" s="26" t="s">
        <v>43</v>
      </c>
      <c r="E23" s="26" t="s">
        <v>44</v>
      </c>
      <c r="F23" s="26" t="s">
        <v>45</v>
      </c>
      <c r="L23" t="s">
        <v>64</v>
      </c>
      <c r="M23" t="s">
        <v>59</v>
      </c>
      <c r="N23" t="s">
        <v>66</v>
      </c>
    </row>
    <row r="24" spans="2:15" x14ac:dyDescent="0.25">
      <c r="B24" s="27" t="s">
        <v>46</v>
      </c>
      <c r="C24" s="28">
        <f>COUNTIF(Usages!G:G,Sommaire!B24)</f>
        <v>3</v>
      </c>
      <c r="D24" s="29">
        <f>C24/$C$31</f>
        <v>4.6153846153846156E-2</v>
      </c>
      <c r="E24" s="30">
        <f>SUMIF(Usages!G:G,Sommaire!B24,Usages!C:C)</f>
        <v>57278.29</v>
      </c>
      <c r="F24" s="29">
        <f>E24/$E$31</f>
        <v>3.7531288747478374E-2</v>
      </c>
      <c r="K24" s="35" t="s">
        <v>48</v>
      </c>
      <c r="L24" s="32">
        <v>254592.92999999996</v>
      </c>
      <c r="M24">
        <v>10</v>
      </c>
      <c r="N24">
        <v>10</v>
      </c>
      <c r="O24" s="38"/>
    </row>
    <row r="25" spans="2:15" x14ac:dyDescent="0.25">
      <c r="B25" s="27" t="s">
        <v>47</v>
      </c>
      <c r="C25" s="28">
        <f>COUNTIF(Usages!G:G,Sommaire!B25)</f>
        <v>0</v>
      </c>
      <c r="D25" s="29">
        <f t="shared" ref="D25:D30" si="2">C25/$C$31</f>
        <v>0</v>
      </c>
      <c r="E25" s="30">
        <f>SUMIF(Usages!G:G,Sommaire!B25,Usages!C:C)</f>
        <v>0</v>
      </c>
      <c r="F25" s="29">
        <f t="shared" ref="F25:F31" si="3">E25/$E$31</f>
        <v>0</v>
      </c>
      <c r="K25" s="36" t="s">
        <v>24</v>
      </c>
      <c r="L25" s="32">
        <v>20107</v>
      </c>
      <c r="M25">
        <v>1</v>
      </c>
      <c r="N25">
        <v>1</v>
      </c>
    </row>
    <row r="26" spans="2:15" x14ac:dyDescent="0.25">
      <c r="B26" s="27" t="s">
        <v>48</v>
      </c>
      <c r="C26" s="28">
        <f>COUNTIF(Usages!G:G,Sommaire!B26)</f>
        <v>2</v>
      </c>
      <c r="D26" s="29">
        <f t="shared" si="2"/>
        <v>3.0769230769230771E-2</v>
      </c>
      <c r="E26" s="30">
        <f>SUMIF(Usages!G:G,Sommaire!B26,Usages!C:C)</f>
        <v>51466.28</v>
      </c>
      <c r="F26" s="29">
        <f t="shared" si="3"/>
        <v>3.3723000729221686E-2</v>
      </c>
      <c r="K26" s="36" t="s">
        <v>25</v>
      </c>
      <c r="L26" s="32">
        <v>17701.95</v>
      </c>
      <c r="M26">
        <v>1</v>
      </c>
      <c r="N26">
        <v>1</v>
      </c>
      <c r="O26" s="25"/>
    </row>
    <row r="27" spans="2:15" x14ac:dyDescent="0.25">
      <c r="B27" s="27" t="s">
        <v>49</v>
      </c>
      <c r="C27" s="28">
        <f>COUNTIF(Usages!G:G,Sommaire!B27)</f>
        <v>0</v>
      </c>
      <c r="D27" s="29">
        <f t="shared" si="2"/>
        <v>0</v>
      </c>
      <c r="E27" s="30">
        <f>SUMIF(Usages!G:G,Sommaire!B27,Usages!C:C)</f>
        <v>0</v>
      </c>
      <c r="F27" s="29">
        <f t="shared" si="3"/>
        <v>0</v>
      </c>
      <c r="K27" s="36" t="s">
        <v>22</v>
      </c>
      <c r="L27" s="32">
        <v>26815.25</v>
      </c>
      <c r="M27">
        <v>1</v>
      </c>
      <c r="N27">
        <v>1</v>
      </c>
    </row>
    <row r="28" spans="2:15" x14ac:dyDescent="0.25">
      <c r="B28" s="27" t="s">
        <v>50</v>
      </c>
      <c r="C28" s="28">
        <f>COUNTIF(Usages!G:G,Sommaire!B28)</f>
        <v>6</v>
      </c>
      <c r="D28" s="29">
        <f t="shared" si="2"/>
        <v>9.2307692307692313E-2</v>
      </c>
      <c r="E28" s="30">
        <f>SUMIF(Usages!G:G,Sommaire!B28,Usages!C:C)</f>
        <v>158280.45000000001</v>
      </c>
      <c r="F28" s="29">
        <f t="shared" si="3"/>
        <v>0.10371240607969989</v>
      </c>
      <c r="K28" s="36" t="s">
        <v>21</v>
      </c>
      <c r="L28" s="32">
        <v>28211.38</v>
      </c>
      <c r="M28">
        <v>1</v>
      </c>
      <c r="N28">
        <v>1</v>
      </c>
      <c r="O28" s="38"/>
    </row>
    <row r="29" spans="2:15" x14ac:dyDescent="0.25">
      <c r="B29" s="27" t="s">
        <v>51</v>
      </c>
      <c r="C29" s="28">
        <f>COUNTIF(Usages!G:G,Sommaire!B29)</f>
        <v>24</v>
      </c>
      <c r="D29" s="29">
        <f t="shared" si="2"/>
        <v>0.36923076923076925</v>
      </c>
      <c r="E29" s="30">
        <f>SUMIF(Usages!G:G,Sommaire!B29,Usages!C:C)</f>
        <v>584378.48</v>
      </c>
      <c r="F29" s="29">
        <f t="shared" si="3"/>
        <v>0.38291082835560414</v>
      </c>
      <c r="K29" s="36" t="s">
        <v>23</v>
      </c>
      <c r="L29" s="32">
        <v>18043.82</v>
      </c>
      <c r="M29">
        <v>1</v>
      </c>
      <c r="N29">
        <v>1</v>
      </c>
    </row>
    <row r="30" spans="2:15" x14ac:dyDescent="0.25">
      <c r="B30" s="27" t="s">
        <v>52</v>
      </c>
      <c r="C30" s="28">
        <f>COUNTIF(Usages!G:G,Sommaire!B30)</f>
        <v>30</v>
      </c>
      <c r="D30" s="29">
        <f t="shared" si="2"/>
        <v>0.46153846153846156</v>
      </c>
      <c r="E30" s="30">
        <f>SUMIF(Usages!G:G,Sommaire!B30,Usages!C:C)</f>
        <v>674744.2</v>
      </c>
      <c r="F30" s="29">
        <f t="shared" si="3"/>
        <v>0.44212247608799593</v>
      </c>
      <c r="K30" s="36" t="s">
        <v>19</v>
      </c>
      <c r="L30" s="32">
        <v>86631.13</v>
      </c>
      <c r="M30">
        <v>3</v>
      </c>
      <c r="N30">
        <v>3</v>
      </c>
    </row>
    <row r="31" spans="2:15" x14ac:dyDescent="0.25">
      <c r="B31" s="27" t="s">
        <v>53</v>
      </c>
      <c r="C31" s="28">
        <f>SUM(C24:C30)</f>
        <v>65</v>
      </c>
      <c r="D31" s="29">
        <f>SUM(D24:D30)</f>
        <v>1</v>
      </c>
      <c r="E31" s="30">
        <f>SUM(E24:E30)</f>
        <v>1526147.7</v>
      </c>
      <c r="F31" s="29">
        <f t="shared" si="3"/>
        <v>1</v>
      </c>
      <c r="K31" s="36" t="s">
        <v>20</v>
      </c>
      <c r="L31" s="32">
        <v>57082.400000000001</v>
      </c>
      <c r="M31">
        <v>2</v>
      </c>
      <c r="N31">
        <v>2</v>
      </c>
    </row>
    <row r="32" spans="2:15" x14ac:dyDescent="0.25">
      <c r="B32" s="49" t="s">
        <v>54</v>
      </c>
      <c r="C32" s="49"/>
      <c r="D32" s="49"/>
      <c r="E32" s="31">
        <f>E31/C31</f>
        <v>23479.195384615385</v>
      </c>
      <c r="F32" s="28"/>
      <c r="K32" s="35" t="s">
        <v>47</v>
      </c>
      <c r="L32" s="32">
        <v>46931.51</v>
      </c>
      <c r="M32">
        <v>2</v>
      </c>
      <c r="N32">
        <v>2</v>
      </c>
    </row>
    <row r="33" spans="2:15" x14ac:dyDescent="0.25">
      <c r="K33" s="44" t="s">
        <v>26</v>
      </c>
      <c r="L33" s="42">
        <v>11646.62</v>
      </c>
      <c r="M33" s="43">
        <v>1</v>
      </c>
      <c r="N33" s="43">
        <v>1</v>
      </c>
      <c r="O33" s="38" t="s">
        <v>65</v>
      </c>
    </row>
    <row r="34" spans="2:15" x14ac:dyDescent="0.25">
      <c r="B34" s="26" t="s">
        <v>55</v>
      </c>
      <c r="C34" s="33" t="e">
        <f>#REF!</f>
        <v>#REF!</v>
      </c>
      <c r="D34" s="29" t="e">
        <f>C31/C34</f>
        <v>#REF!</v>
      </c>
      <c r="E34" s="40" t="e">
        <f>#REF!</f>
        <v>#REF!</v>
      </c>
      <c r="F34" s="29" t="e">
        <f>E31/E34</f>
        <v>#REF!</v>
      </c>
      <c r="K34" s="44" t="s">
        <v>14</v>
      </c>
      <c r="L34" s="42">
        <v>35284.89</v>
      </c>
      <c r="M34" s="43">
        <v>1</v>
      </c>
      <c r="N34" s="43">
        <v>1</v>
      </c>
      <c r="O34" s="38" t="s">
        <v>65</v>
      </c>
    </row>
    <row r="35" spans="2:15" x14ac:dyDescent="0.25">
      <c r="B35" s="26" t="s">
        <v>60</v>
      </c>
      <c r="C35" s="33" t="e">
        <f>C31-C34</f>
        <v>#REF!</v>
      </c>
      <c r="D35" s="39"/>
      <c r="E35" s="40" t="e">
        <f>E31-E34</f>
        <v>#REF!</v>
      </c>
      <c r="F35" s="39"/>
      <c r="K35" s="35" t="s">
        <v>46</v>
      </c>
      <c r="L35" s="32">
        <v>64330.07</v>
      </c>
      <c r="M35">
        <v>3</v>
      </c>
      <c r="N35">
        <v>3</v>
      </c>
    </row>
    <row r="36" spans="2:15" x14ac:dyDescent="0.25">
      <c r="B36" s="49" t="s">
        <v>61</v>
      </c>
      <c r="C36" s="49"/>
      <c r="D36" s="49"/>
      <c r="E36" s="31" t="e">
        <f>E34/C34</f>
        <v>#REF!</v>
      </c>
      <c r="F36" s="28"/>
      <c r="K36" s="36" t="s">
        <v>28</v>
      </c>
      <c r="L36" s="32">
        <v>9140.85</v>
      </c>
      <c r="M36">
        <v>1</v>
      </c>
      <c r="N36">
        <v>1</v>
      </c>
    </row>
    <row r="37" spans="2:15" x14ac:dyDescent="0.25">
      <c r="K37" s="36" t="s">
        <v>17</v>
      </c>
      <c r="L37" s="32">
        <v>55189.22</v>
      </c>
      <c r="M37">
        <v>2</v>
      </c>
      <c r="N37">
        <v>2</v>
      </c>
    </row>
    <row r="38" spans="2:15" x14ac:dyDescent="0.25">
      <c r="K38" s="35" t="s">
        <v>57</v>
      </c>
      <c r="L38" s="32">
        <v>365854.51</v>
      </c>
      <c r="M38">
        <v>15</v>
      </c>
      <c r="N38">
        <v>15</v>
      </c>
    </row>
    <row r="39" spans="2:15" x14ac:dyDescent="0.25">
      <c r="L39"/>
      <c r="M39"/>
    </row>
    <row r="40" spans="2:15" x14ac:dyDescent="0.25">
      <c r="L40"/>
      <c r="M40"/>
    </row>
    <row r="41" spans="2:15" x14ac:dyDescent="0.25">
      <c r="L41"/>
      <c r="M41"/>
    </row>
    <row r="42" spans="2:15" x14ac:dyDescent="0.25">
      <c r="L42"/>
      <c r="M42"/>
    </row>
    <row r="43" spans="2:15" x14ac:dyDescent="0.25">
      <c r="L43"/>
      <c r="M43"/>
    </row>
    <row r="44" spans="2:15" x14ac:dyDescent="0.25">
      <c r="L44"/>
      <c r="M44"/>
    </row>
    <row r="45" spans="2:15" x14ac:dyDescent="0.25">
      <c r="L45"/>
      <c r="M45"/>
    </row>
    <row r="46" spans="2:15" x14ac:dyDescent="0.25">
      <c r="L46"/>
      <c r="M46"/>
    </row>
    <row r="47" spans="2:15" x14ac:dyDescent="0.25">
      <c r="L47"/>
      <c r="M47"/>
    </row>
    <row r="48" spans="2:15" x14ac:dyDescent="0.25">
      <c r="L48"/>
      <c r="M48"/>
    </row>
    <row r="49" spans="12:13" x14ac:dyDescent="0.25">
      <c r="L49"/>
      <c r="M49"/>
    </row>
    <row r="50" spans="12:13" x14ac:dyDescent="0.25">
      <c r="L50"/>
      <c r="M50"/>
    </row>
    <row r="51" spans="12:13" x14ac:dyDescent="0.25">
      <c r="L51"/>
      <c r="M51"/>
    </row>
    <row r="52" spans="12:13" x14ac:dyDescent="0.25">
      <c r="L52"/>
      <c r="M52"/>
    </row>
    <row r="53" spans="12:13" x14ac:dyDescent="0.25">
      <c r="L53"/>
      <c r="M53"/>
    </row>
    <row r="54" spans="12:13" x14ac:dyDescent="0.25">
      <c r="L54"/>
      <c r="M54"/>
    </row>
    <row r="55" spans="12:13" x14ac:dyDescent="0.25">
      <c r="L55"/>
      <c r="M55"/>
    </row>
    <row r="56" spans="12:13" x14ac:dyDescent="0.25">
      <c r="L56"/>
      <c r="M56"/>
    </row>
    <row r="57" spans="12:13" x14ac:dyDescent="0.25">
      <c r="L57"/>
      <c r="M57"/>
    </row>
    <row r="58" spans="12:13" x14ac:dyDescent="0.25">
      <c r="L58"/>
      <c r="M58"/>
    </row>
    <row r="59" spans="12:13" x14ac:dyDescent="0.25">
      <c r="L59"/>
      <c r="M59"/>
    </row>
    <row r="60" spans="12:13" x14ac:dyDescent="0.25">
      <c r="L60"/>
      <c r="M60"/>
    </row>
    <row r="61" spans="12:13" x14ac:dyDescent="0.25">
      <c r="L61"/>
      <c r="M61"/>
    </row>
    <row r="62" spans="12:13" x14ac:dyDescent="0.25">
      <c r="L62"/>
      <c r="M62"/>
    </row>
    <row r="63" spans="12:13" x14ac:dyDescent="0.25">
      <c r="L63"/>
      <c r="M63"/>
    </row>
    <row r="64" spans="12:13" x14ac:dyDescent="0.25">
      <c r="L64"/>
      <c r="M64"/>
    </row>
    <row r="65" spans="12:13" x14ac:dyDescent="0.25">
      <c r="L65"/>
      <c r="M65"/>
    </row>
    <row r="66" spans="12:13" x14ac:dyDescent="0.25">
      <c r="L66"/>
      <c r="M66"/>
    </row>
    <row r="67" spans="12:13" x14ac:dyDescent="0.25">
      <c r="L67"/>
      <c r="M67"/>
    </row>
    <row r="68" spans="12:13" x14ac:dyDescent="0.25">
      <c r="L68"/>
      <c r="M68"/>
    </row>
    <row r="69" spans="12:13" x14ac:dyDescent="0.25">
      <c r="L69"/>
      <c r="M69"/>
    </row>
    <row r="70" spans="12:13" x14ac:dyDescent="0.25">
      <c r="L70"/>
      <c r="M70"/>
    </row>
    <row r="71" spans="12:13" x14ac:dyDescent="0.25">
      <c r="L71"/>
      <c r="M71"/>
    </row>
    <row r="72" spans="12:13" x14ac:dyDescent="0.25">
      <c r="L72"/>
      <c r="M72"/>
    </row>
  </sheetData>
  <mergeCells count="4">
    <mergeCell ref="B13:D13"/>
    <mergeCell ref="B17:D17"/>
    <mergeCell ref="B32:D32"/>
    <mergeCell ref="B36:D36"/>
  </mergeCells>
  <pageMargins left="0.7" right="0.7" top="0.75" bottom="0.75" header="0.3" footer="0.3"/>
  <pageSetup orientation="portrait" verticalDpi="0" r:id="rId3"/>
  <ignoredErrors>
    <ignoredError sqref="E15 E3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5"/>
  <sheetViews>
    <sheetView zoomScaleNormal="100" workbookViewId="0">
      <selection activeCell="E23" sqref="E23"/>
    </sheetView>
  </sheetViews>
  <sheetFormatPr baseColWidth="10" defaultColWidth="9.140625" defaultRowHeight="15" x14ac:dyDescent="0.25"/>
  <cols>
    <col min="1" max="1" width="20.7109375" style="1" customWidth="1"/>
    <col min="2" max="2" width="38.7109375" style="1" customWidth="1"/>
    <col min="3" max="4" width="12.7109375" style="45" customWidth="1"/>
    <col min="5" max="5" width="22" style="1" bestFit="1" customWidth="1"/>
    <col min="6" max="6" width="12.7109375" style="2" customWidth="1"/>
    <col min="7" max="7" width="13.140625" customWidth="1"/>
    <col min="9" max="9" width="21.28515625" bestFit="1" customWidth="1"/>
    <col min="10" max="10" width="13.42578125" bestFit="1" customWidth="1"/>
    <col min="11" max="11" width="14.140625" bestFit="1" customWidth="1"/>
    <col min="14" max="15" width="15.28515625" customWidth="1"/>
    <col min="16" max="16" width="15" customWidth="1"/>
  </cols>
  <sheetData>
    <row r="1" spans="1:16" x14ac:dyDescent="0.25">
      <c r="A1" s="51" t="s">
        <v>0</v>
      </c>
      <c r="B1" s="51" t="s">
        <v>1</v>
      </c>
      <c r="C1" s="53" t="s">
        <v>69</v>
      </c>
      <c r="D1" s="53" t="s">
        <v>70</v>
      </c>
      <c r="E1" s="51" t="s">
        <v>2</v>
      </c>
      <c r="F1" s="55" t="s">
        <v>3</v>
      </c>
      <c r="G1" s="14" t="s">
        <v>41</v>
      </c>
      <c r="I1" s="3"/>
      <c r="J1" s="4" t="s">
        <v>30</v>
      </c>
      <c r="K1" s="5" t="s">
        <v>31</v>
      </c>
      <c r="L1" s="6"/>
      <c r="M1" s="6"/>
      <c r="N1" s="6"/>
    </row>
    <row r="2" spans="1:16" x14ac:dyDescent="0.25">
      <c r="A2" s="52" t="s">
        <v>111</v>
      </c>
      <c r="B2" s="52" t="s">
        <v>71</v>
      </c>
      <c r="C2" s="54">
        <v>84045.84</v>
      </c>
      <c r="D2" s="54">
        <v>-88722.9</v>
      </c>
      <c r="E2" s="52" t="s">
        <v>112</v>
      </c>
      <c r="F2" s="56">
        <v>206</v>
      </c>
      <c r="G2" s="24" t="str">
        <f t="shared" ref="G2:G33" si="0">_xlfn.IFS(F2&lt;31,"0-30",F2&lt;61,"31-60",F2&lt;91,"61-90",F2&lt;121,"91-120",F2&lt;181,"121-180",F2&lt;301,"181-300",F2&gt;300,"301 &amp; +")</f>
        <v>181-300</v>
      </c>
      <c r="I2" s="7" t="s">
        <v>32</v>
      </c>
      <c r="J2" s="8">
        <f>SUM(C:C)</f>
        <v>7253951.350000008</v>
      </c>
      <c r="K2" s="9">
        <f>SUM(D:D)</f>
        <v>-7145614.3299999963</v>
      </c>
      <c r="L2" s="10"/>
      <c r="M2" s="10"/>
      <c r="N2" s="6"/>
    </row>
    <row r="3" spans="1:16" ht="15.75" thickBot="1" x14ac:dyDescent="0.3">
      <c r="A3" s="52" t="s">
        <v>75</v>
      </c>
      <c r="B3" s="52" t="s">
        <v>72</v>
      </c>
      <c r="C3" s="54">
        <v>63437.22</v>
      </c>
      <c r="D3" s="54">
        <v>-66251.850000000006</v>
      </c>
      <c r="E3" s="52" t="s">
        <v>76</v>
      </c>
      <c r="F3" s="56">
        <v>325</v>
      </c>
      <c r="G3" s="24" t="str">
        <f t="shared" si="0"/>
        <v>301 &amp; +</v>
      </c>
      <c r="I3" s="11" t="s">
        <v>33</v>
      </c>
      <c r="J3" s="12">
        <f>COUNT(C:C)</f>
        <v>164</v>
      </c>
      <c r="K3" s="13">
        <f>-K2/J2</f>
        <v>0.985065102483764</v>
      </c>
      <c r="L3" s="6"/>
      <c r="M3" s="6"/>
      <c r="N3" s="6"/>
    </row>
    <row r="4" spans="1:16" x14ac:dyDescent="0.25">
      <c r="A4" s="52" t="s">
        <v>117</v>
      </c>
      <c r="B4" s="52" t="s">
        <v>113</v>
      </c>
      <c r="C4" s="54">
        <v>61769.919999999998</v>
      </c>
      <c r="D4" s="54">
        <v>-63725.55</v>
      </c>
      <c r="E4" s="52" t="s">
        <v>118</v>
      </c>
      <c r="F4" s="56">
        <v>173</v>
      </c>
      <c r="G4" s="24" t="str">
        <f t="shared" si="0"/>
        <v>121-180</v>
      </c>
      <c r="I4" s="6"/>
      <c r="J4" s="6"/>
      <c r="K4" s="6"/>
      <c r="L4" s="6"/>
      <c r="M4" s="6"/>
      <c r="N4" s="6"/>
    </row>
    <row r="5" spans="1:16" x14ac:dyDescent="0.25">
      <c r="A5" s="52" t="s">
        <v>405</v>
      </c>
      <c r="B5" s="52" t="s">
        <v>113</v>
      </c>
      <c r="C5" s="54">
        <v>60670</v>
      </c>
      <c r="D5" s="54">
        <v>-64291.5</v>
      </c>
      <c r="E5" s="52" t="s">
        <v>406</v>
      </c>
      <c r="F5" s="56">
        <v>18</v>
      </c>
      <c r="G5" s="24" t="str">
        <f t="shared" si="0"/>
        <v>0-30</v>
      </c>
      <c r="I5" s="6"/>
      <c r="J5" s="6"/>
      <c r="K5" s="6"/>
      <c r="L5" s="6"/>
      <c r="M5" s="6"/>
      <c r="N5" s="6"/>
    </row>
    <row r="6" spans="1:16" x14ac:dyDescent="0.25">
      <c r="A6" s="52" t="s">
        <v>174</v>
      </c>
      <c r="B6" s="52" t="s">
        <v>113</v>
      </c>
      <c r="C6" s="54">
        <v>60560.67</v>
      </c>
      <c r="D6" s="54">
        <v>-63625.8</v>
      </c>
      <c r="E6" s="52" t="s">
        <v>175</v>
      </c>
      <c r="F6" s="56">
        <v>73</v>
      </c>
      <c r="G6" s="24" t="str">
        <f t="shared" si="0"/>
        <v>61-90</v>
      </c>
      <c r="I6" s="6"/>
      <c r="J6" s="6"/>
      <c r="K6" s="6"/>
      <c r="L6" s="6"/>
      <c r="M6" s="6"/>
      <c r="N6" s="6" t="s">
        <v>38</v>
      </c>
      <c r="O6" t="s">
        <v>39</v>
      </c>
      <c r="P6" t="s">
        <v>40</v>
      </c>
    </row>
    <row r="7" spans="1:16" x14ac:dyDescent="0.25">
      <c r="A7" s="52" t="s">
        <v>178</v>
      </c>
      <c r="B7" s="52" t="s">
        <v>113</v>
      </c>
      <c r="C7" s="54">
        <v>60470.67</v>
      </c>
      <c r="D7" s="54">
        <v>-63625.8</v>
      </c>
      <c r="E7" s="52" t="s">
        <v>179</v>
      </c>
      <c r="F7" s="56">
        <v>66</v>
      </c>
      <c r="G7" s="24" t="str">
        <f t="shared" si="0"/>
        <v>61-90</v>
      </c>
      <c r="I7" s="15" t="s">
        <v>34</v>
      </c>
      <c r="J7" s="16">
        <f>COUNTIF(F:F,"&gt;=365")</f>
        <v>0</v>
      </c>
      <c r="K7" s="17">
        <f>SUMIF(F:F,"&gt;=365",C:C)</f>
        <v>0</v>
      </c>
      <c r="M7" s="16">
        <f>COUNTIFS(F:F,"&gt;=365",D:D,"&lt;&gt;"&amp;"")</f>
        <v>0</v>
      </c>
      <c r="N7" s="17">
        <f>SUMIF(F:F,"&gt;=365",D:D)</f>
        <v>0</v>
      </c>
      <c r="O7" s="22">
        <f>N7*0.07/12</f>
        <v>0</v>
      </c>
      <c r="P7" s="22">
        <f>IF(J7=0,0,O7/J7)</f>
        <v>0</v>
      </c>
    </row>
    <row r="8" spans="1:16" x14ac:dyDescent="0.25">
      <c r="A8" s="52" t="s">
        <v>180</v>
      </c>
      <c r="B8" s="52" t="s">
        <v>113</v>
      </c>
      <c r="C8" s="54">
        <v>60470.67</v>
      </c>
      <c r="D8" s="54">
        <v>-63625.8</v>
      </c>
      <c r="E8" s="52" t="s">
        <v>181</v>
      </c>
      <c r="F8" s="56">
        <v>66</v>
      </c>
      <c r="G8" s="24" t="str">
        <f t="shared" si="0"/>
        <v>61-90</v>
      </c>
      <c r="I8" s="15" t="s">
        <v>35</v>
      </c>
      <c r="J8" s="16">
        <f>COUNTIFS(F:F,"&lt;365",F:F,"&gt;=180")</f>
        <v>19</v>
      </c>
      <c r="K8" s="18">
        <f>SUMIFS(C:C,F:F,"&lt;365",F:F,"&gt;=180")</f>
        <v>788215.7</v>
      </c>
      <c r="M8" s="16">
        <f>COUNTIFS(F:F,"&lt;365",F:F,"&gt;=180",D:D,"&lt;&gt;"&amp;"")</f>
        <v>18</v>
      </c>
      <c r="N8" s="18">
        <f>SUMIFS(D:D,F:F,"&lt;365",F:F,"&gt;=180")</f>
        <v>-776170.53999999992</v>
      </c>
      <c r="O8" s="22">
        <f t="shared" ref="O8:O10" si="1">N8*0.07/12</f>
        <v>-4527.6614833333333</v>
      </c>
      <c r="P8" s="22">
        <f>IF(J8=0,0,O8/J8)</f>
        <v>-238.29797280701754</v>
      </c>
    </row>
    <row r="9" spans="1:16" x14ac:dyDescent="0.25">
      <c r="A9" s="52" t="s">
        <v>317</v>
      </c>
      <c r="B9" s="52" t="s">
        <v>113</v>
      </c>
      <c r="C9" s="54">
        <v>60470.67</v>
      </c>
      <c r="D9" s="54">
        <v>-63531.3</v>
      </c>
      <c r="E9" s="52" t="s">
        <v>318</v>
      </c>
      <c r="F9" s="56">
        <v>47</v>
      </c>
      <c r="G9" s="24" t="str">
        <f t="shared" si="0"/>
        <v>31-60</v>
      </c>
      <c r="I9" s="15" t="s">
        <v>36</v>
      </c>
      <c r="J9" s="16">
        <f>COUNTIFS(F:F,"&lt;180",F:F,"&gt;=90")</f>
        <v>25</v>
      </c>
      <c r="K9" s="19">
        <f>SUMIFS(C:C,F:F,"&lt;180",F:F,"&gt;=90")</f>
        <v>1077624.3499999996</v>
      </c>
      <c r="M9" s="16">
        <f>COUNTIFS(F:F,"&lt;180",F:F,"&gt;=90",D:D,"&lt;&gt;"&amp;"")</f>
        <v>24</v>
      </c>
      <c r="N9" s="19">
        <f>SUMIFS(D:D,F:F,"&lt;180",F:F,"&gt;=90")</f>
        <v>-1080258.8399999999</v>
      </c>
      <c r="O9" s="22">
        <f t="shared" si="1"/>
        <v>-6301.5099</v>
      </c>
      <c r="P9" s="22">
        <f>IF(M9=0,0,O9/M9)</f>
        <v>-262.56291249999998</v>
      </c>
    </row>
    <row r="10" spans="1:16" x14ac:dyDescent="0.25">
      <c r="A10" s="52" t="s">
        <v>319</v>
      </c>
      <c r="B10" s="52" t="s">
        <v>113</v>
      </c>
      <c r="C10" s="54">
        <v>59946</v>
      </c>
      <c r="D10" s="54">
        <v>-63531.3</v>
      </c>
      <c r="E10" s="52" t="s">
        <v>320</v>
      </c>
      <c r="F10" s="56">
        <v>46</v>
      </c>
      <c r="G10" s="24" t="str">
        <f t="shared" si="0"/>
        <v>31-60</v>
      </c>
      <c r="I10" s="15" t="s">
        <v>37</v>
      </c>
      <c r="J10" s="16">
        <f>COUNTIF(F:F,"&lt;90")</f>
        <v>120</v>
      </c>
      <c r="K10" s="20">
        <f>SUMIF(F:F,"&lt;90",C:C)</f>
        <v>5388111.2999999989</v>
      </c>
      <c r="M10" s="16">
        <f>COUNTIFS(F:F,"&lt;90",D:D,"&lt;&gt;"&amp;"")</f>
        <v>111</v>
      </c>
      <c r="N10" s="20">
        <f>SUMIF(F:F,"&lt;90",D:D)</f>
        <v>-5289184.9500000058</v>
      </c>
      <c r="O10" s="22">
        <f t="shared" si="1"/>
        <v>-30853.578875000036</v>
      </c>
      <c r="P10" s="22">
        <f>IF(M10=0,0,O10/M10)</f>
        <v>-277.96017004504534</v>
      </c>
    </row>
    <row r="11" spans="1:16" x14ac:dyDescent="0.25">
      <c r="A11" s="52" t="s">
        <v>321</v>
      </c>
      <c r="B11" s="52" t="s">
        <v>113</v>
      </c>
      <c r="C11" s="54">
        <v>59946</v>
      </c>
      <c r="D11" s="54">
        <v>-63531.3</v>
      </c>
      <c r="E11" s="52" t="s">
        <v>322</v>
      </c>
      <c r="F11" s="56">
        <v>46</v>
      </c>
      <c r="G11" s="24" t="str">
        <f t="shared" si="0"/>
        <v>31-60</v>
      </c>
    </row>
    <row r="12" spans="1:16" x14ac:dyDescent="0.25">
      <c r="A12" s="52" t="s">
        <v>182</v>
      </c>
      <c r="B12" s="52" t="s">
        <v>113</v>
      </c>
      <c r="C12" s="54">
        <v>59836.67</v>
      </c>
      <c r="D12" s="54">
        <v>-62865.599999999999</v>
      </c>
      <c r="E12" s="52" t="s">
        <v>183</v>
      </c>
      <c r="F12" s="56">
        <v>73</v>
      </c>
      <c r="G12" s="24" t="str">
        <f t="shared" si="0"/>
        <v>61-90</v>
      </c>
    </row>
    <row r="13" spans="1:16" x14ac:dyDescent="0.25">
      <c r="A13" s="52" t="s">
        <v>325</v>
      </c>
      <c r="B13" s="52" t="s">
        <v>113</v>
      </c>
      <c r="C13" s="54">
        <v>59836.67</v>
      </c>
      <c r="D13" s="54">
        <v>-62865.599999999999</v>
      </c>
      <c r="E13" s="52" t="s">
        <v>326</v>
      </c>
      <c r="F13" s="56">
        <v>47</v>
      </c>
      <c r="G13" s="24" t="str">
        <f t="shared" si="0"/>
        <v>31-60</v>
      </c>
      <c r="N13" s="21"/>
    </row>
    <row r="14" spans="1:16" x14ac:dyDescent="0.25">
      <c r="A14" s="52" t="s">
        <v>323</v>
      </c>
      <c r="B14" s="52" t="s">
        <v>113</v>
      </c>
      <c r="C14" s="54">
        <v>59831.67</v>
      </c>
      <c r="D14" s="54">
        <v>-62865.599999999999</v>
      </c>
      <c r="E14" s="52" t="s">
        <v>324</v>
      </c>
      <c r="F14" s="56">
        <v>54</v>
      </c>
      <c r="G14" s="24" t="str">
        <f t="shared" si="0"/>
        <v>31-60</v>
      </c>
    </row>
    <row r="15" spans="1:16" x14ac:dyDescent="0.25">
      <c r="A15" s="52" t="s">
        <v>186</v>
      </c>
      <c r="B15" s="52" t="s">
        <v>113</v>
      </c>
      <c r="C15" s="54">
        <v>59746.67</v>
      </c>
      <c r="D15" s="54">
        <v>-62865.599999999999</v>
      </c>
      <c r="E15" s="52" t="s">
        <v>187</v>
      </c>
      <c r="F15" s="56">
        <v>66</v>
      </c>
      <c r="G15" s="24" t="str">
        <f t="shared" si="0"/>
        <v>61-90</v>
      </c>
    </row>
    <row r="16" spans="1:16" x14ac:dyDescent="0.25">
      <c r="A16" s="52" t="s">
        <v>184</v>
      </c>
      <c r="B16" s="52" t="s">
        <v>77</v>
      </c>
      <c r="C16" s="54">
        <v>59550.82</v>
      </c>
      <c r="D16" s="54">
        <v>-62570.55</v>
      </c>
      <c r="E16" s="52" t="s">
        <v>185</v>
      </c>
      <c r="F16" s="56">
        <v>87</v>
      </c>
      <c r="G16" s="24" t="str">
        <f t="shared" si="0"/>
        <v>61-90</v>
      </c>
    </row>
    <row r="17" spans="1:10" x14ac:dyDescent="0.25">
      <c r="A17" s="52" t="s">
        <v>337</v>
      </c>
      <c r="B17" s="52" t="s">
        <v>77</v>
      </c>
      <c r="C17" s="54">
        <v>59516.77</v>
      </c>
      <c r="D17" s="54">
        <v>-61810.35</v>
      </c>
      <c r="E17" s="52" t="s">
        <v>338</v>
      </c>
      <c r="F17" s="56">
        <v>31</v>
      </c>
      <c r="G17" s="24" t="str">
        <f t="shared" si="0"/>
        <v>31-60</v>
      </c>
    </row>
    <row r="18" spans="1:10" x14ac:dyDescent="0.25">
      <c r="A18" s="52" t="s">
        <v>176</v>
      </c>
      <c r="B18" s="52" t="s">
        <v>113</v>
      </c>
      <c r="C18" s="54">
        <v>59333</v>
      </c>
      <c r="D18" s="50"/>
      <c r="E18" s="52" t="s">
        <v>177</v>
      </c>
      <c r="F18" s="56">
        <v>62</v>
      </c>
      <c r="G18" s="24" t="str">
        <f t="shared" si="0"/>
        <v>61-90</v>
      </c>
    </row>
    <row r="19" spans="1:10" x14ac:dyDescent="0.25">
      <c r="A19" s="52" t="s">
        <v>327</v>
      </c>
      <c r="B19" s="52" t="s">
        <v>113</v>
      </c>
      <c r="C19" s="54">
        <v>59312</v>
      </c>
      <c r="D19" s="54">
        <v>-62865.599999999999</v>
      </c>
      <c r="E19" s="52" t="s">
        <v>328</v>
      </c>
      <c r="F19" s="56">
        <v>46</v>
      </c>
      <c r="G19" s="24" t="str">
        <f t="shared" si="0"/>
        <v>31-60</v>
      </c>
    </row>
    <row r="20" spans="1:10" x14ac:dyDescent="0.25">
      <c r="A20" s="52" t="s">
        <v>407</v>
      </c>
      <c r="B20" s="52" t="s">
        <v>113</v>
      </c>
      <c r="C20" s="54">
        <v>59312</v>
      </c>
      <c r="D20" s="54">
        <v>-62865.599999999999</v>
      </c>
      <c r="E20" s="52" t="s">
        <v>408</v>
      </c>
      <c r="F20" s="56">
        <v>24</v>
      </c>
      <c r="G20" s="24" t="str">
        <f t="shared" si="0"/>
        <v>0-30</v>
      </c>
    </row>
    <row r="21" spans="1:10" x14ac:dyDescent="0.25">
      <c r="A21" s="52" t="s">
        <v>409</v>
      </c>
      <c r="B21" s="52" t="s">
        <v>113</v>
      </c>
      <c r="C21" s="54">
        <v>59312</v>
      </c>
      <c r="D21" s="54">
        <v>-62865.599999999999</v>
      </c>
      <c r="E21" s="52" t="s">
        <v>410</v>
      </c>
      <c r="F21" s="56">
        <v>24</v>
      </c>
      <c r="G21" s="24" t="str">
        <f t="shared" si="0"/>
        <v>0-30</v>
      </c>
    </row>
    <row r="22" spans="1:10" x14ac:dyDescent="0.25">
      <c r="A22" s="52" t="s">
        <v>411</v>
      </c>
      <c r="B22" s="52" t="s">
        <v>113</v>
      </c>
      <c r="C22" s="54">
        <v>59312</v>
      </c>
      <c r="D22" s="54">
        <v>-62865.599999999999</v>
      </c>
      <c r="E22" s="52" t="s">
        <v>412</v>
      </c>
      <c r="F22" s="56">
        <v>24</v>
      </c>
      <c r="G22" s="24" t="str">
        <f t="shared" si="0"/>
        <v>0-30</v>
      </c>
    </row>
    <row r="23" spans="1:10" x14ac:dyDescent="0.25">
      <c r="A23" s="52" t="s">
        <v>329</v>
      </c>
      <c r="B23" s="52" t="s">
        <v>77</v>
      </c>
      <c r="C23" s="54">
        <v>59121</v>
      </c>
      <c r="D23" s="54">
        <v>-62570.55</v>
      </c>
      <c r="E23" s="52" t="s">
        <v>330</v>
      </c>
      <c r="F23" s="56">
        <v>54</v>
      </c>
      <c r="G23" s="24" t="str">
        <f t="shared" si="0"/>
        <v>31-60</v>
      </c>
    </row>
    <row r="24" spans="1:10" x14ac:dyDescent="0.25">
      <c r="A24" s="52" t="s">
        <v>339</v>
      </c>
      <c r="B24" s="52" t="s">
        <v>113</v>
      </c>
      <c r="C24" s="54">
        <v>59092.67</v>
      </c>
      <c r="D24" s="54">
        <v>-61757.85</v>
      </c>
      <c r="E24" s="52" t="s">
        <v>340</v>
      </c>
      <c r="F24" s="56">
        <v>47</v>
      </c>
      <c r="G24" s="24" t="str">
        <f t="shared" si="0"/>
        <v>31-60</v>
      </c>
    </row>
    <row r="25" spans="1:10" x14ac:dyDescent="0.25">
      <c r="A25" s="52" t="s">
        <v>335</v>
      </c>
      <c r="B25" s="52" t="s">
        <v>77</v>
      </c>
      <c r="C25" s="54">
        <v>59062.67</v>
      </c>
      <c r="D25" s="54">
        <v>-61810.35</v>
      </c>
      <c r="E25" s="52" t="s">
        <v>336</v>
      </c>
      <c r="F25" s="56">
        <v>60</v>
      </c>
      <c r="G25" s="24" t="str">
        <f t="shared" si="0"/>
        <v>31-60</v>
      </c>
    </row>
    <row r="26" spans="1:10" x14ac:dyDescent="0.25">
      <c r="A26" s="52" t="s">
        <v>331</v>
      </c>
      <c r="B26" s="52" t="s">
        <v>77</v>
      </c>
      <c r="C26" s="54">
        <v>59031</v>
      </c>
      <c r="D26" s="54">
        <v>-62570.55</v>
      </c>
      <c r="E26" s="52" t="s">
        <v>332</v>
      </c>
      <c r="F26" s="56">
        <v>46</v>
      </c>
      <c r="G26" s="24" t="str">
        <f t="shared" si="0"/>
        <v>31-60</v>
      </c>
      <c r="J26" s="23"/>
    </row>
    <row r="27" spans="1:10" x14ac:dyDescent="0.25">
      <c r="A27" s="52" t="s">
        <v>333</v>
      </c>
      <c r="B27" s="52" t="s">
        <v>77</v>
      </c>
      <c r="C27" s="54">
        <v>58826.82</v>
      </c>
      <c r="D27" s="54">
        <v>-61810.35</v>
      </c>
      <c r="E27" s="52" t="s">
        <v>334</v>
      </c>
      <c r="F27" s="56">
        <v>60</v>
      </c>
      <c r="G27" s="24" t="str">
        <f t="shared" si="0"/>
        <v>31-60</v>
      </c>
    </row>
    <row r="28" spans="1:10" x14ac:dyDescent="0.25">
      <c r="A28" s="52" t="s">
        <v>148</v>
      </c>
      <c r="B28" s="52" t="s">
        <v>77</v>
      </c>
      <c r="C28" s="54">
        <v>58826.67</v>
      </c>
      <c r="D28" s="54">
        <v>-61810.35</v>
      </c>
      <c r="E28" s="52" t="s">
        <v>149</v>
      </c>
      <c r="F28" s="56">
        <v>101</v>
      </c>
      <c r="G28" s="24" t="str">
        <f t="shared" si="0"/>
        <v>91-120</v>
      </c>
    </row>
    <row r="29" spans="1:10" x14ac:dyDescent="0.25">
      <c r="A29" s="52" t="s">
        <v>150</v>
      </c>
      <c r="B29" s="52" t="s">
        <v>77</v>
      </c>
      <c r="C29" s="54">
        <v>58826.67</v>
      </c>
      <c r="D29" s="54">
        <v>-61810.35</v>
      </c>
      <c r="E29" s="52" t="s">
        <v>151</v>
      </c>
      <c r="F29" s="56">
        <v>95</v>
      </c>
      <c r="G29" s="24" t="str">
        <f t="shared" si="0"/>
        <v>91-120</v>
      </c>
    </row>
    <row r="30" spans="1:10" x14ac:dyDescent="0.25">
      <c r="A30" s="52" t="s">
        <v>73</v>
      </c>
      <c r="B30" s="52" t="s">
        <v>72</v>
      </c>
      <c r="C30" s="54">
        <v>58706.13</v>
      </c>
      <c r="D30" s="54">
        <v>-60545.1</v>
      </c>
      <c r="E30" s="52" t="s">
        <v>74</v>
      </c>
      <c r="F30" s="56">
        <v>342</v>
      </c>
      <c r="G30" s="24" t="str">
        <f t="shared" si="0"/>
        <v>301 &amp; +</v>
      </c>
    </row>
    <row r="31" spans="1:10" x14ac:dyDescent="0.25">
      <c r="A31" s="52" t="s">
        <v>345</v>
      </c>
      <c r="B31" s="52" t="s">
        <v>113</v>
      </c>
      <c r="C31" s="54">
        <v>58418.67</v>
      </c>
      <c r="D31" s="54">
        <v>-61371.45</v>
      </c>
      <c r="E31" s="52" t="s">
        <v>346</v>
      </c>
      <c r="F31" s="56">
        <v>52</v>
      </c>
      <c r="G31" s="24" t="str">
        <f t="shared" si="0"/>
        <v>31-60</v>
      </c>
    </row>
    <row r="32" spans="1:10" x14ac:dyDescent="0.25">
      <c r="A32" s="52" t="s">
        <v>152</v>
      </c>
      <c r="B32" s="52" t="s">
        <v>113</v>
      </c>
      <c r="C32" s="54">
        <v>58323.67</v>
      </c>
      <c r="D32" s="54">
        <v>-61371.45</v>
      </c>
      <c r="E32" s="52" t="s">
        <v>153</v>
      </c>
      <c r="F32" s="56">
        <v>94</v>
      </c>
      <c r="G32" s="24" t="str">
        <f t="shared" si="0"/>
        <v>91-120</v>
      </c>
    </row>
    <row r="33" spans="1:7" x14ac:dyDescent="0.25">
      <c r="A33" s="52" t="s">
        <v>188</v>
      </c>
      <c r="B33" s="52" t="s">
        <v>113</v>
      </c>
      <c r="C33" s="54">
        <v>58323.67</v>
      </c>
      <c r="D33" s="54">
        <v>-61276.95</v>
      </c>
      <c r="E33" s="52" t="s">
        <v>189</v>
      </c>
      <c r="F33" s="56">
        <v>68</v>
      </c>
      <c r="G33" s="24" t="str">
        <f t="shared" si="0"/>
        <v>61-90</v>
      </c>
    </row>
    <row r="34" spans="1:7" x14ac:dyDescent="0.25">
      <c r="A34" s="52" t="s">
        <v>413</v>
      </c>
      <c r="B34" s="52" t="s">
        <v>77</v>
      </c>
      <c r="C34" s="54">
        <v>58307</v>
      </c>
      <c r="D34" s="54">
        <v>-61810.35</v>
      </c>
      <c r="E34" s="52" t="s">
        <v>414</v>
      </c>
      <c r="F34" s="56">
        <v>18</v>
      </c>
      <c r="G34" s="24" t="str">
        <f t="shared" ref="G34:G65" si="2">_xlfn.IFS(F34&lt;31,"0-30",F34&lt;61,"31-60",F34&lt;91,"61-90",F34&lt;121,"91-120",F34&lt;181,"121-180",F34&lt;301,"181-300",F34&gt;300,"301 &amp; +")</f>
        <v>0-30</v>
      </c>
    </row>
    <row r="35" spans="1:7" x14ac:dyDescent="0.25">
      <c r="A35" s="52" t="s">
        <v>415</v>
      </c>
      <c r="B35" s="52" t="s">
        <v>77</v>
      </c>
      <c r="C35" s="54">
        <v>58307</v>
      </c>
      <c r="D35" s="54">
        <v>-61810.35</v>
      </c>
      <c r="E35" s="52" t="s">
        <v>416</v>
      </c>
      <c r="F35" s="56">
        <v>11</v>
      </c>
      <c r="G35" s="24" t="str">
        <f t="shared" si="2"/>
        <v>0-30</v>
      </c>
    </row>
    <row r="36" spans="1:7" x14ac:dyDescent="0.25">
      <c r="A36" s="52" t="s">
        <v>347</v>
      </c>
      <c r="B36" s="52" t="s">
        <v>113</v>
      </c>
      <c r="C36" s="54">
        <v>58142.67</v>
      </c>
      <c r="D36" s="54">
        <v>-61092.15</v>
      </c>
      <c r="E36" s="52" t="s">
        <v>348</v>
      </c>
      <c r="F36" s="56">
        <v>54</v>
      </c>
      <c r="G36" s="24" t="str">
        <f t="shared" si="2"/>
        <v>31-60</v>
      </c>
    </row>
    <row r="37" spans="1:7" x14ac:dyDescent="0.25">
      <c r="A37" s="52" t="s">
        <v>341</v>
      </c>
      <c r="B37" s="52" t="s">
        <v>113</v>
      </c>
      <c r="C37" s="54">
        <v>58142.67</v>
      </c>
      <c r="D37" s="54">
        <v>-61092.15</v>
      </c>
      <c r="E37" s="52" t="s">
        <v>342</v>
      </c>
      <c r="F37" s="56">
        <v>54</v>
      </c>
      <c r="G37" s="24" t="str">
        <f t="shared" si="2"/>
        <v>31-60</v>
      </c>
    </row>
    <row r="38" spans="1:7" x14ac:dyDescent="0.25">
      <c r="A38" s="52" t="s">
        <v>343</v>
      </c>
      <c r="B38" s="52" t="s">
        <v>113</v>
      </c>
      <c r="C38" s="54">
        <v>57889</v>
      </c>
      <c r="D38" s="54">
        <v>-61371.45</v>
      </c>
      <c r="E38" s="52" t="s">
        <v>344</v>
      </c>
      <c r="F38" s="56">
        <v>52</v>
      </c>
      <c r="G38" s="24" t="str">
        <f t="shared" si="2"/>
        <v>31-60</v>
      </c>
    </row>
    <row r="39" spans="1:7" x14ac:dyDescent="0.25">
      <c r="A39" s="52" t="s">
        <v>417</v>
      </c>
      <c r="B39" s="52" t="s">
        <v>113</v>
      </c>
      <c r="C39" s="54">
        <v>57799</v>
      </c>
      <c r="D39" s="54">
        <v>-61276.95</v>
      </c>
      <c r="E39" s="52" t="s">
        <v>418</v>
      </c>
      <c r="F39" s="56">
        <v>18</v>
      </c>
      <c r="G39" s="24" t="str">
        <f t="shared" si="2"/>
        <v>0-30</v>
      </c>
    </row>
    <row r="40" spans="1:7" x14ac:dyDescent="0.25">
      <c r="A40" s="52" t="s">
        <v>190</v>
      </c>
      <c r="B40" s="52" t="s">
        <v>77</v>
      </c>
      <c r="C40" s="54">
        <v>57765.67</v>
      </c>
      <c r="D40" s="54">
        <v>-60785.55</v>
      </c>
      <c r="E40" s="52" t="s">
        <v>191</v>
      </c>
      <c r="F40" s="56">
        <v>87</v>
      </c>
      <c r="G40" s="24" t="str">
        <f t="shared" si="2"/>
        <v>61-90</v>
      </c>
    </row>
    <row r="41" spans="1:7" x14ac:dyDescent="0.25">
      <c r="A41" s="52" t="s">
        <v>349</v>
      </c>
      <c r="B41" s="52" t="s">
        <v>113</v>
      </c>
      <c r="C41" s="54">
        <v>57684.67</v>
      </c>
      <c r="D41" s="54">
        <v>-60611.25</v>
      </c>
      <c r="E41" s="52" t="s">
        <v>350</v>
      </c>
      <c r="F41" s="56">
        <v>60</v>
      </c>
      <c r="G41" s="24" t="str">
        <f t="shared" si="2"/>
        <v>31-60</v>
      </c>
    </row>
    <row r="42" spans="1:7" x14ac:dyDescent="0.25">
      <c r="A42" s="52" t="s">
        <v>353</v>
      </c>
      <c r="B42" s="52" t="s">
        <v>77</v>
      </c>
      <c r="C42" s="54">
        <v>56673.67</v>
      </c>
      <c r="D42" s="54">
        <v>-59544.45</v>
      </c>
      <c r="E42" s="52" t="s">
        <v>354</v>
      </c>
      <c r="F42" s="56">
        <v>47</v>
      </c>
      <c r="G42" s="24" t="str">
        <f t="shared" si="2"/>
        <v>31-60</v>
      </c>
    </row>
    <row r="43" spans="1:7" x14ac:dyDescent="0.25">
      <c r="A43" s="52" t="s">
        <v>192</v>
      </c>
      <c r="B43" s="52" t="s">
        <v>113</v>
      </c>
      <c r="C43" s="54">
        <v>56378.67</v>
      </c>
      <c r="D43" s="54">
        <v>-59145.45</v>
      </c>
      <c r="E43" s="52" t="s">
        <v>193</v>
      </c>
      <c r="F43" s="56">
        <v>62</v>
      </c>
      <c r="G43" s="24" t="str">
        <f t="shared" si="2"/>
        <v>61-90</v>
      </c>
    </row>
    <row r="44" spans="1:7" x14ac:dyDescent="0.25">
      <c r="A44" s="52" t="s">
        <v>351</v>
      </c>
      <c r="B44" s="52" t="s">
        <v>77</v>
      </c>
      <c r="C44" s="54">
        <v>56149</v>
      </c>
      <c r="D44" s="54">
        <v>-59544.45</v>
      </c>
      <c r="E44" s="52" t="s">
        <v>352</v>
      </c>
      <c r="F44" s="56">
        <v>52</v>
      </c>
      <c r="G44" s="24" t="str">
        <f t="shared" si="2"/>
        <v>31-60</v>
      </c>
    </row>
    <row r="45" spans="1:7" x14ac:dyDescent="0.25">
      <c r="A45" s="52" t="s">
        <v>419</v>
      </c>
      <c r="B45" s="52" t="s">
        <v>110</v>
      </c>
      <c r="C45" s="54">
        <v>55064</v>
      </c>
      <c r="D45" s="54">
        <v>-58300.2</v>
      </c>
      <c r="E45" s="52" t="s">
        <v>420</v>
      </c>
      <c r="F45" s="56">
        <v>12</v>
      </c>
      <c r="G45" s="24" t="str">
        <f t="shared" si="2"/>
        <v>0-30</v>
      </c>
    </row>
    <row r="46" spans="1:7" x14ac:dyDescent="0.25">
      <c r="A46" s="52" t="s">
        <v>194</v>
      </c>
      <c r="B46" s="52" t="s">
        <v>110</v>
      </c>
      <c r="C46" s="54">
        <v>54720.32</v>
      </c>
      <c r="D46" s="54">
        <v>-55885.2</v>
      </c>
      <c r="E46" s="52" t="s">
        <v>195</v>
      </c>
      <c r="F46" s="56">
        <v>87</v>
      </c>
      <c r="G46" s="24" t="str">
        <f t="shared" si="2"/>
        <v>61-90</v>
      </c>
    </row>
    <row r="47" spans="1:7" x14ac:dyDescent="0.25">
      <c r="A47" s="52" t="s">
        <v>421</v>
      </c>
      <c r="B47" s="52" t="s">
        <v>110</v>
      </c>
      <c r="C47" s="54">
        <v>54601.67</v>
      </c>
      <c r="D47" s="54">
        <v>-57000.3</v>
      </c>
      <c r="E47" s="52" t="s">
        <v>422</v>
      </c>
      <c r="F47" s="56">
        <v>12</v>
      </c>
      <c r="G47" s="24" t="str">
        <f t="shared" si="2"/>
        <v>0-30</v>
      </c>
    </row>
    <row r="48" spans="1:7" x14ac:dyDescent="0.25">
      <c r="A48" s="52" t="s">
        <v>355</v>
      </c>
      <c r="B48" s="52" t="s">
        <v>113</v>
      </c>
      <c r="C48" s="54">
        <v>52472.67</v>
      </c>
      <c r="D48" s="54">
        <v>-55133.4</v>
      </c>
      <c r="E48" s="52" t="s">
        <v>356</v>
      </c>
      <c r="F48" s="56">
        <v>54</v>
      </c>
      <c r="G48" s="24" t="str">
        <f t="shared" si="2"/>
        <v>31-60</v>
      </c>
    </row>
    <row r="49" spans="1:7" x14ac:dyDescent="0.25">
      <c r="A49" s="52" t="s">
        <v>196</v>
      </c>
      <c r="B49" s="52" t="s">
        <v>110</v>
      </c>
      <c r="C49" s="54">
        <v>51506.67</v>
      </c>
      <c r="D49" s="54">
        <v>-54102.3</v>
      </c>
      <c r="E49" s="52" t="s">
        <v>197</v>
      </c>
      <c r="F49" s="56">
        <v>83</v>
      </c>
      <c r="G49" s="24" t="str">
        <f t="shared" si="2"/>
        <v>61-90</v>
      </c>
    </row>
    <row r="50" spans="1:7" x14ac:dyDescent="0.25">
      <c r="A50" s="52" t="s">
        <v>357</v>
      </c>
      <c r="B50" s="52" t="s">
        <v>110</v>
      </c>
      <c r="C50" s="54">
        <v>51457.7</v>
      </c>
      <c r="D50" s="54">
        <v>-54102.3</v>
      </c>
      <c r="E50" s="52" t="s">
        <v>358</v>
      </c>
      <c r="F50" s="56">
        <v>41</v>
      </c>
      <c r="G50" s="24" t="str">
        <f t="shared" si="2"/>
        <v>31-60</v>
      </c>
    </row>
    <row r="51" spans="1:7" x14ac:dyDescent="0.25">
      <c r="A51" s="52" t="s">
        <v>140</v>
      </c>
      <c r="B51" s="52" t="s">
        <v>93</v>
      </c>
      <c r="C51" s="54">
        <v>49534.67</v>
      </c>
      <c r="D51" s="54">
        <v>-51351.3</v>
      </c>
      <c r="E51" s="52" t="s">
        <v>141</v>
      </c>
      <c r="F51" s="56">
        <v>139</v>
      </c>
      <c r="G51" s="24" t="str">
        <f t="shared" si="2"/>
        <v>121-180</v>
      </c>
    </row>
    <row r="52" spans="1:7" x14ac:dyDescent="0.25">
      <c r="A52" s="52" t="s">
        <v>138</v>
      </c>
      <c r="B52" s="52" t="s">
        <v>93</v>
      </c>
      <c r="C52" s="54">
        <v>49244.82</v>
      </c>
      <c r="D52" s="54">
        <v>-51832.2</v>
      </c>
      <c r="E52" s="52" t="s">
        <v>139</v>
      </c>
      <c r="F52" s="56">
        <v>139</v>
      </c>
      <c r="G52" s="24" t="str">
        <f t="shared" si="2"/>
        <v>121-180</v>
      </c>
    </row>
    <row r="53" spans="1:7" x14ac:dyDescent="0.25">
      <c r="A53" s="52" t="s">
        <v>154</v>
      </c>
      <c r="B53" s="52" t="s">
        <v>93</v>
      </c>
      <c r="C53" s="54">
        <v>49159.82</v>
      </c>
      <c r="D53" s="54">
        <v>-51832.2</v>
      </c>
      <c r="E53" s="52" t="s">
        <v>155</v>
      </c>
      <c r="F53" s="56">
        <v>97</v>
      </c>
      <c r="G53" s="24" t="str">
        <f t="shared" si="2"/>
        <v>91-120</v>
      </c>
    </row>
    <row r="54" spans="1:7" x14ac:dyDescent="0.25">
      <c r="A54" s="52" t="s">
        <v>200</v>
      </c>
      <c r="B54" s="52" t="s">
        <v>93</v>
      </c>
      <c r="C54" s="54">
        <v>48786.82</v>
      </c>
      <c r="D54" s="54">
        <v>-51351.3</v>
      </c>
      <c r="E54" s="52" t="s">
        <v>201</v>
      </c>
      <c r="F54" s="56">
        <v>83</v>
      </c>
      <c r="G54" s="24" t="str">
        <f t="shared" si="2"/>
        <v>61-90</v>
      </c>
    </row>
    <row r="55" spans="1:7" x14ac:dyDescent="0.25">
      <c r="A55" s="52" t="s">
        <v>198</v>
      </c>
      <c r="B55" s="52" t="s">
        <v>93</v>
      </c>
      <c r="C55" s="54">
        <v>47636.82</v>
      </c>
      <c r="D55" s="54">
        <v>-50143.8</v>
      </c>
      <c r="E55" s="52" t="s">
        <v>199</v>
      </c>
      <c r="F55" s="56">
        <v>87</v>
      </c>
      <c r="G55" s="24" t="str">
        <f t="shared" si="2"/>
        <v>61-90</v>
      </c>
    </row>
    <row r="56" spans="1:7" x14ac:dyDescent="0.25">
      <c r="A56" s="52" t="s">
        <v>423</v>
      </c>
      <c r="B56" s="52" t="s">
        <v>93</v>
      </c>
      <c r="C56" s="54">
        <v>45252</v>
      </c>
      <c r="D56" s="50"/>
      <c r="E56" s="52" t="s">
        <v>424</v>
      </c>
      <c r="F56" s="56">
        <v>4</v>
      </c>
      <c r="G56" s="24" t="str">
        <f t="shared" si="2"/>
        <v>0-30</v>
      </c>
    </row>
    <row r="57" spans="1:7" x14ac:dyDescent="0.25">
      <c r="A57" s="52" t="s">
        <v>425</v>
      </c>
      <c r="B57" s="52" t="s">
        <v>93</v>
      </c>
      <c r="C57" s="54">
        <v>45143.82</v>
      </c>
      <c r="D57" s="54">
        <v>-46877.25</v>
      </c>
      <c r="E57" s="52" t="s">
        <v>426</v>
      </c>
      <c r="F57" s="56">
        <v>27</v>
      </c>
      <c r="G57" s="24" t="str">
        <f t="shared" si="2"/>
        <v>0-30</v>
      </c>
    </row>
    <row r="58" spans="1:7" x14ac:dyDescent="0.25">
      <c r="A58" s="52" t="s">
        <v>427</v>
      </c>
      <c r="B58" s="52" t="s">
        <v>93</v>
      </c>
      <c r="C58" s="54">
        <v>45047</v>
      </c>
      <c r="D58" s="50"/>
      <c r="E58" s="52" t="s">
        <v>428</v>
      </c>
      <c r="F58" s="56">
        <v>5</v>
      </c>
      <c r="G58" s="24" t="str">
        <f t="shared" si="2"/>
        <v>0-30</v>
      </c>
    </row>
    <row r="59" spans="1:7" x14ac:dyDescent="0.25">
      <c r="A59" s="52" t="s">
        <v>429</v>
      </c>
      <c r="B59" s="52" t="s">
        <v>93</v>
      </c>
      <c r="C59" s="54">
        <v>44927</v>
      </c>
      <c r="D59" s="50"/>
      <c r="E59" s="52" t="s">
        <v>430</v>
      </c>
      <c r="F59" s="56">
        <v>20</v>
      </c>
      <c r="G59" s="24" t="str">
        <f t="shared" si="2"/>
        <v>0-30</v>
      </c>
    </row>
    <row r="60" spans="1:7" x14ac:dyDescent="0.25">
      <c r="A60" s="52" t="s">
        <v>431</v>
      </c>
      <c r="B60" s="52" t="s">
        <v>93</v>
      </c>
      <c r="C60" s="54">
        <v>44547</v>
      </c>
      <c r="D60" s="54">
        <v>-47362.35</v>
      </c>
      <c r="E60" s="52" t="s">
        <v>432</v>
      </c>
      <c r="F60" s="56">
        <v>11</v>
      </c>
      <c r="G60" s="24" t="str">
        <f t="shared" si="2"/>
        <v>0-30</v>
      </c>
    </row>
    <row r="61" spans="1:7" x14ac:dyDescent="0.25">
      <c r="A61" s="52" t="s">
        <v>158</v>
      </c>
      <c r="B61" s="52" t="s">
        <v>93</v>
      </c>
      <c r="C61" s="54">
        <v>44525.82</v>
      </c>
      <c r="D61" s="54">
        <v>-46877.25</v>
      </c>
      <c r="E61" s="52" t="s">
        <v>159</v>
      </c>
      <c r="F61" s="56">
        <v>103</v>
      </c>
      <c r="G61" s="24" t="str">
        <f t="shared" si="2"/>
        <v>91-120</v>
      </c>
    </row>
    <row r="62" spans="1:7" x14ac:dyDescent="0.25">
      <c r="A62" s="52" t="s">
        <v>202</v>
      </c>
      <c r="B62" s="52" t="s">
        <v>93</v>
      </c>
      <c r="C62" s="54">
        <v>44525.82</v>
      </c>
      <c r="D62" s="54">
        <v>-46877.25</v>
      </c>
      <c r="E62" s="52" t="s">
        <v>203</v>
      </c>
      <c r="F62" s="56">
        <v>83</v>
      </c>
      <c r="G62" s="24" t="str">
        <f t="shared" si="2"/>
        <v>61-90</v>
      </c>
    </row>
    <row r="63" spans="1:7" x14ac:dyDescent="0.25">
      <c r="A63" s="52" t="s">
        <v>156</v>
      </c>
      <c r="B63" s="52" t="s">
        <v>93</v>
      </c>
      <c r="C63" s="54">
        <v>44440.82</v>
      </c>
      <c r="D63" s="54">
        <v>-46877.25</v>
      </c>
      <c r="E63" s="52" t="s">
        <v>157</v>
      </c>
      <c r="F63" s="56">
        <v>103</v>
      </c>
      <c r="G63" s="24" t="str">
        <f t="shared" si="2"/>
        <v>91-120</v>
      </c>
    </row>
    <row r="64" spans="1:7" x14ac:dyDescent="0.25">
      <c r="A64" s="52" t="s">
        <v>433</v>
      </c>
      <c r="B64" s="52" t="s">
        <v>93</v>
      </c>
      <c r="C64" s="54">
        <v>44175</v>
      </c>
      <c r="D64" s="54">
        <v>-46877.25</v>
      </c>
      <c r="E64" s="52" t="s">
        <v>434</v>
      </c>
      <c r="F64" s="56">
        <v>10</v>
      </c>
      <c r="G64" s="24" t="str">
        <f t="shared" si="2"/>
        <v>0-30</v>
      </c>
    </row>
    <row r="65" spans="1:7" x14ac:dyDescent="0.25">
      <c r="A65" s="52" t="s">
        <v>435</v>
      </c>
      <c r="B65" s="52" t="s">
        <v>93</v>
      </c>
      <c r="C65" s="54">
        <v>44170</v>
      </c>
      <c r="D65" s="54">
        <v>-46877.25</v>
      </c>
      <c r="E65" s="52" t="s">
        <v>436</v>
      </c>
      <c r="F65" s="56">
        <v>10</v>
      </c>
      <c r="G65" s="24" t="str">
        <f t="shared" si="2"/>
        <v>0-30</v>
      </c>
    </row>
    <row r="66" spans="1:7" x14ac:dyDescent="0.25">
      <c r="A66" s="52" t="s">
        <v>142</v>
      </c>
      <c r="B66" s="52" t="s">
        <v>93</v>
      </c>
      <c r="C66" s="54">
        <v>44159.27</v>
      </c>
      <c r="D66" s="50"/>
      <c r="E66" s="52" t="s">
        <v>143</v>
      </c>
      <c r="F66" s="56">
        <v>130</v>
      </c>
      <c r="G66" s="24" t="str">
        <f t="shared" ref="G66:G97" si="3">_xlfn.IFS(F66&lt;31,"0-30",F66&lt;61,"31-60",F66&lt;91,"61-90",F66&lt;121,"91-120",F66&lt;181,"121-180",F66&lt;301,"181-300",F66&gt;300,"301 &amp; +")</f>
        <v>121-180</v>
      </c>
    </row>
    <row r="67" spans="1:7" x14ac:dyDescent="0.25">
      <c r="A67" s="52" t="s">
        <v>437</v>
      </c>
      <c r="B67" s="52" t="s">
        <v>93</v>
      </c>
      <c r="C67" s="54">
        <v>44085</v>
      </c>
      <c r="D67" s="54">
        <v>-46877.25</v>
      </c>
      <c r="E67" s="52" t="s">
        <v>438</v>
      </c>
      <c r="F67" s="56">
        <v>24</v>
      </c>
      <c r="G67" s="24" t="str">
        <f t="shared" si="3"/>
        <v>0-30</v>
      </c>
    </row>
    <row r="68" spans="1:7" x14ac:dyDescent="0.25">
      <c r="A68" s="52" t="s">
        <v>439</v>
      </c>
      <c r="B68" s="52" t="s">
        <v>93</v>
      </c>
      <c r="C68" s="54">
        <v>44085</v>
      </c>
      <c r="D68" s="54">
        <v>-46877.25</v>
      </c>
      <c r="E68" s="52" t="s">
        <v>440</v>
      </c>
      <c r="F68" s="56">
        <v>11</v>
      </c>
      <c r="G68" s="24" t="str">
        <f t="shared" si="3"/>
        <v>0-30</v>
      </c>
    </row>
    <row r="69" spans="1:7" x14ac:dyDescent="0.25">
      <c r="A69" s="52" t="s">
        <v>359</v>
      </c>
      <c r="B69" s="52" t="s">
        <v>93</v>
      </c>
      <c r="C69" s="54">
        <v>44062.82</v>
      </c>
      <c r="D69" s="54">
        <v>-46391.1</v>
      </c>
      <c r="E69" s="52" t="s">
        <v>360</v>
      </c>
      <c r="F69" s="56">
        <v>60</v>
      </c>
      <c r="G69" s="24" t="str">
        <f t="shared" si="3"/>
        <v>31-60</v>
      </c>
    </row>
    <row r="70" spans="1:7" x14ac:dyDescent="0.25">
      <c r="A70" s="52" t="s">
        <v>361</v>
      </c>
      <c r="B70" s="52" t="s">
        <v>93</v>
      </c>
      <c r="C70" s="54">
        <v>44062.82</v>
      </c>
      <c r="D70" s="54">
        <v>-46391.1</v>
      </c>
      <c r="E70" s="52" t="s">
        <v>362</v>
      </c>
      <c r="F70" s="56">
        <v>54</v>
      </c>
      <c r="G70" s="24" t="str">
        <f t="shared" si="3"/>
        <v>31-60</v>
      </c>
    </row>
    <row r="71" spans="1:7" x14ac:dyDescent="0.25">
      <c r="A71" s="52" t="s">
        <v>363</v>
      </c>
      <c r="B71" s="52" t="s">
        <v>93</v>
      </c>
      <c r="C71" s="54">
        <v>44062.82</v>
      </c>
      <c r="D71" s="54">
        <v>-46391.1</v>
      </c>
      <c r="E71" s="52" t="s">
        <v>364</v>
      </c>
      <c r="F71" s="56">
        <v>54</v>
      </c>
      <c r="G71" s="24" t="str">
        <f t="shared" si="3"/>
        <v>31-60</v>
      </c>
    </row>
    <row r="72" spans="1:7" x14ac:dyDescent="0.25">
      <c r="A72" s="52" t="s">
        <v>441</v>
      </c>
      <c r="B72" s="52" t="s">
        <v>93</v>
      </c>
      <c r="C72" s="54">
        <v>43712</v>
      </c>
      <c r="D72" s="54">
        <v>-46391.1</v>
      </c>
      <c r="E72" s="52" t="s">
        <v>442</v>
      </c>
      <c r="F72" s="56">
        <v>9</v>
      </c>
      <c r="G72" s="24" t="str">
        <f t="shared" si="3"/>
        <v>0-30</v>
      </c>
    </row>
    <row r="73" spans="1:7" x14ac:dyDescent="0.25">
      <c r="A73" s="52" t="s">
        <v>443</v>
      </c>
      <c r="B73" s="52" t="s">
        <v>93</v>
      </c>
      <c r="C73" s="54">
        <v>43707</v>
      </c>
      <c r="D73" s="54">
        <v>-46391.1</v>
      </c>
      <c r="E73" s="52" t="s">
        <v>444</v>
      </c>
      <c r="F73" s="56">
        <v>10</v>
      </c>
      <c r="G73" s="24" t="str">
        <f t="shared" si="3"/>
        <v>0-30</v>
      </c>
    </row>
    <row r="74" spans="1:7" x14ac:dyDescent="0.25">
      <c r="A74" s="52" t="s">
        <v>445</v>
      </c>
      <c r="B74" s="52" t="s">
        <v>93</v>
      </c>
      <c r="C74" s="54">
        <v>43622</v>
      </c>
      <c r="D74" s="54">
        <v>-46391.1</v>
      </c>
      <c r="E74" s="52" t="s">
        <v>446</v>
      </c>
      <c r="F74" s="56">
        <v>24</v>
      </c>
      <c r="G74" s="24" t="str">
        <f t="shared" si="3"/>
        <v>0-30</v>
      </c>
    </row>
    <row r="75" spans="1:7" x14ac:dyDescent="0.25">
      <c r="A75" s="52" t="s">
        <v>447</v>
      </c>
      <c r="B75" s="52" t="s">
        <v>93</v>
      </c>
      <c r="C75" s="54">
        <v>43622</v>
      </c>
      <c r="D75" s="54">
        <v>-46391.1</v>
      </c>
      <c r="E75" s="52" t="s">
        <v>448</v>
      </c>
      <c r="F75" s="56">
        <v>24</v>
      </c>
      <c r="G75" s="24" t="str">
        <f t="shared" si="3"/>
        <v>0-30</v>
      </c>
    </row>
    <row r="76" spans="1:7" x14ac:dyDescent="0.25">
      <c r="A76" s="52" t="s">
        <v>449</v>
      </c>
      <c r="B76" s="52" t="s">
        <v>93</v>
      </c>
      <c r="C76" s="54">
        <v>43622</v>
      </c>
      <c r="D76" s="54">
        <v>-46391.1</v>
      </c>
      <c r="E76" s="52" t="s">
        <v>450</v>
      </c>
      <c r="F76" s="56">
        <v>20</v>
      </c>
      <c r="G76" s="24" t="str">
        <f t="shared" si="3"/>
        <v>0-30</v>
      </c>
    </row>
    <row r="77" spans="1:7" x14ac:dyDescent="0.25">
      <c r="A77" s="52" t="s">
        <v>451</v>
      </c>
      <c r="B77" s="52" t="s">
        <v>93</v>
      </c>
      <c r="C77" s="54">
        <v>43622</v>
      </c>
      <c r="D77" s="54">
        <v>-46391.1</v>
      </c>
      <c r="E77" s="52" t="s">
        <v>452</v>
      </c>
      <c r="F77" s="56">
        <v>20</v>
      </c>
      <c r="G77" s="24" t="str">
        <f t="shared" si="3"/>
        <v>0-30</v>
      </c>
    </row>
    <row r="78" spans="1:7" x14ac:dyDescent="0.25">
      <c r="A78" s="52" t="s">
        <v>204</v>
      </c>
      <c r="B78" s="52" t="s">
        <v>93</v>
      </c>
      <c r="C78" s="54">
        <v>41821.74</v>
      </c>
      <c r="D78" s="54">
        <v>-42989.1</v>
      </c>
      <c r="E78" s="52" t="s">
        <v>205</v>
      </c>
      <c r="F78" s="56">
        <v>87</v>
      </c>
      <c r="G78" s="24" t="str">
        <f t="shared" si="3"/>
        <v>61-90</v>
      </c>
    </row>
    <row r="79" spans="1:7" x14ac:dyDescent="0.25">
      <c r="A79" s="52" t="s">
        <v>453</v>
      </c>
      <c r="B79" s="52" t="s">
        <v>93</v>
      </c>
      <c r="C79" s="54">
        <v>41020.5</v>
      </c>
      <c r="D79" s="50"/>
      <c r="E79" s="52" t="s">
        <v>454</v>
      </c>
      <c r="F79" s="56">
        <v>4</v>
      </c>
      <c r="G79" s="24" t="str">
        <f t="shared" si="3"/>
        <v>0-30</v>
      </c>
    </row>
    <row r="80" spans="1:7" x14ac:dyDescent="0.25">
      <c r="A80" s="52" t="s">
        <v>208</v>
      </c>
      <c r="B80" s="52" t="s">
        <v>93</v>
      </c>
      <c r="C80" s="54">
        <v>40912.769999999997</v>
      </c>
      <c r="D80" s="54">
        <v>-42989.1</v>
      </c>
      <c r="E80" s="52" t="s">
        <v>209</v>
      </c>
      <c r="F80" s="56">
        <v>69</v>
      </c>
      <c r="G80" s="24" t="str">
        <f t="shared" si="3"/>
        <v>61-90</v>
      </c>
    </row>
    <row r="81" spans="1:7" x14ac:dyDescent="0.25">
      <c r="A81" s="52" t="s">
        <v>212</v>
      </c>
      <c r="B81" s="52" t="s">
        <v>93</v>
      </c>
      <c r="C81" s="54">
        <v>40822.82</v>
      </c>
      <c r="D81" s="54">
        <v>-42989.1</v>
      </c>
      <c r="E81" s="52" t="s">
        <v>213</v>
      </c>
      <c r="F81" s="56">
        <v>69</v>
      </c>
      <c r="G81" s="24" t="str">
        <f t="shared" si="3"/>
        <v>61-90</v>
      </c>
    </row>
    <row r="82" spans="1:7" x14ac:dyDescent="0.25">
      <c r="A82" s="52" t="s">
        <v>210</v>
      </c>
      <c r="B82" s="52" t="s">
        <v>93</v>
      </c>
      <c r="C82" s="54">
        <v>40822.82</v>
      </c>
      <c r="D82" s="54">
        <v>-42989.1</v>
      </c>
      <c r="E82" s="52" t="s">
        <v>211</v>
      </c>
      <c r="F82" s="56">
        <v>69</v>
      </c>
      <c r="G82" s="24" t="str">
        <f t="shared" si="3"/>
        <v>61-90</v>
      </c>
    </row>
    <row r="83" spans="1:7" x14ac:dyDescent="0.25">
      <c r="A83" s="52" t="s">
        <v>214</v>
      </c>
      <c r="B83" s="52" t="s">
        <v>93</v>
      </c>
      <c r="C83" s="54">
        <v>40822.82</v>
      </c>
      <c r="D83" s="54">
        <v>-42989.1</v>
      </c>
      <c r="E83" s="52" t="s">
        <v>215</v>
      </c>
      <c r="F83" s="56">
        <v>68</v>
      </c>
      <c r="G83" s="24" t="str">
        <f t="shared" si="3"/>
        <v>61-90</v>
      </c>
    </row>
    <row r="84" spans="1:7" x14ac:dyDescent="0.25">
      <c r="A84" s="52" t="s">
        <v>216</v>
      </c>
      <c r="B84" s="52" t="s">
        <v>93</v>
      </c>
      <c r="C84" s="54">
        <v>40822.82</v>
      </c>
      <c r="D84" s="54">
        <v>-42989.1</v>
      </c>
      <c r="E84" s="52" t="s">
        <v>217</v>
      </c>
      <c r="F84" s="56">
        <v>61</v>
      </c>
      <c r="G84" s="24" t="str">
        <f t="shared" si="3"/>
        <v>61-90</v>
      </c>
    </row>
    <row r="85" spans="1:7" x14ac:dyDescent="0.25">
      <c r="A85" s="52" t="s">
        <v>206</v>
      </c>
      <c r="B85" s="52" t="s">
        <v>93</v>
      </c>
      <c r="C85" s="54">
        <v>40737.82</v>
      </c>
      <c r="D85" s="54">
        <v>-42989.1</v>
      </c>
      <c r="E85" s="52" t="s">
        <v>207</v>
      </c>
      <c r="F85" s="56">
        <v>69</v>
      </c>
      <c r="G85" s="24" t="str">
        <f t="shared" si="3"/>
        <v>61-90</v>
      </c>
    </row>
    <row r="86" spans="1:7" x14ac:dyDescent="0.25">
      <c r="A86" s="52" t="s">
        <v>218</v>
      </c>
      <c r="B86" s="52" t="s">
        <v>93</v>
      </c>
      <c r="C86" s="54">
        <v>40737.82</v>
      </c>
      <c r="D86" s="54">
        <v>-42989.1</v>
      </c>
      <c r="E86" s="52" t="s">
        <v>219</v>
      </c>
      <c r="F86" s="56">
        <v>59</v>
      </c>
      <c r="G86" s="24" t="str">
        <f t="shared" si="3"/>
        <v>31-60</v>
      </c>
    </row>
    <row r="87" spans="1:7" x14ac:dyDescent="0.25">
      <c r="A87" s="52" t="s">
        <v>365</v>
      </c>
      <c r="B87" s="52" t="s">
        <v>93</v>
      </c>
      <c r="C87" s="54">
        <v>40382</v>
      </c>
      <c r="D87" s="54">
        <v>-42989.1</v>
      </c>
      <c r="E87" s="52" t="s">
        <v>366</v>
      </c>
      <c r="F87" s="56">
        <v>60</v>
      </c>
      <c r="G87" s="24" t="str">
        <f t="shared" si="3"/>
        <v>31-60</v>
      </c>
    </row>
    <row r="88" spans="1:7" x14ac:dyDescent="0.25">
      <c r="A88" s="52" t="s">
        <v>89</v>
      </c>
      <c r="B88" s="52" t="s">
        <v>78</v>
      </c>
      <c r="C88" s="54">
        <v>40158.82</v>
      </c>
      <c r="D88" s="54">
        <v>-41963.25</v>
      </c>
      <c r="E88" s="52" t="s">
        <v>90</v>
      </c>
      <c r="F88" s="56">
        <v>241</v>
      </c>
      <c r="G88" s="24" t="str">
        <f t="shared" si="3"/>
        <v>181-300</v>
      </c>
    </row>
    <row r="89" spans="1:7" x14ac:dyDescent="0.25">
      <c r="A89" s="52" t="s">
        <v>79</v>
      </c>
      <c r="B89" s="52" t="s">
        <v>78</v>
      </c>
      <c r="C89" s="54">
        <v>39961.17</v>
      </c>
      <c r="D89" s="54">
        <v>-41482.35</v>
      </c>
      <c r="E89" s="52" t="s">
        <v>80</v>
      </c>
      <c r="F89" s="56">
        <v>256</v>
      </c>
      <c r="G89" s="24" t="str">
        <f t="shared" si="3"/>
        <v>181-300</v>
      </c>
    </row>
    <row r="90" spans="1:7" x14ac:dyDescent="0.25">
      <c r="A90" s="52" t="s">
        <v>98</v>
      </c>
      <c r="B90" s="52" t="s">
        <v>93</v>
      </c>
      <c r="C90" s="54">
        <v>39827.61</v>
      </c>
      <c r="D90" s="54">
        <v>-41778.449999999997</v>
      </c>
      <c r="E90" s="52" t="s">
        <v>99</v>
      </c>
      <c r="F90" s="56">
        <v>221</v>
      </c>
      <c r="G90" s="24" t="str">
        <f t="shared" si="3"/>
        <v>181-300</v>
      </c>
    </row>
    <row r="91" spans="1:7" x14ac:dyDescent="0.25">
      <c r="A91" s="52" t="s">
        <v>83</v>
      </c>
      <c r="B91" s="52" t="s">
        <v>78</v>
      </c>
      <c r="C91" s="54">
        <v>39700.82</v>
      </c>
      <c r="D91" s="54">
        <v>-41482.35</v>
      </c>
      <c r="E91" s="52" t="s">
        <v>84</v>
      </c>
      <c r="F91" s="56">
        <v>250</v>
      </c>
      <c r="G91" s="24" t="str">
        <f t="shared" si="3"/>
        <v>181-300</v>
      </c>
    </row>
    <row r="92" spans="1:7" x14ac:dyDescent="0.25">
      <c r="A92" s="52" t="s">
        <v>102</v>
      </c>
      <c r="B92" s="52" t="s">
        <v>78</v>
      </c>
      <c r="C92" s="54">
        <v>39700.82</v>
      </c>
      <c r="D92" s="54">
        <v>-41482.35</v>
      </c>
      <c r="E92" s="52" t="s">
        <v>103</v>
      </c>
      <c r="F92" s="56">
        <v>220</v>
      </c>
      <c r="G92" s="24" t="str">
        <f t="shared" si="3"/>
        <v>181-300</v>
      </c>
    </row>
    <row r="93" spans="1:7" x14ac:dyDescent="0.25">
      <c r="A93" s="52" t="s">
        <v>144</v>
      </c>
      <c r="B93" s="52" t="s">
        <v>78</v>
      </c>
      <c r="C93" s="54">
        <v>39700.82</v>
      </c>
      <c r="D93" s="54">
        <v>-41482.35</v>
      </c>
      <c r="E93" s="52" t="s">
        <v>145</v>
      </c>
      <c r="F93" s="56">
        <v>144</v>
      </c>
      <c r="G93" s="24" t="str">
        <f t="shared" si="3"/>
        <v>121-180</v>
      </c>
    </row>
    <row r="94" spans="1:7" x14ac:dyDescent="0.25">
      <c r="A94" s="52" t="s">
        <v>81</v>
      </c>
      <c r="B94" s="52" t="s">
        <v>78</v>
      </c>
      <c r="C94" s="54">
        <v>39695.82</v>
      </c>
      <c r="D94" s="54">
        <v>-41482.35</v>
      </c>
      <c r="E94" s="52" t="s">
        <v>82</v>
      </c>
      <c r="F94" s="56">
        <v>251</v>
      </c>
      <c r="G94" s="24" t="str">
        <f t="shared" si="3"/>
        <v>181-300</v>
      </c>
    </row>
    <row r="95" spans="1:7" x14ac:dyDescent="0.25">
      <c r="A95" s="52" t="s">
        <v>121</v>
      </c>
      <c r="B95" s="52" t="s">
        <v>78</v>
      </c>
      <c r="C95" s="54">
        <v>39466.82</v>
      </c>
      <c r="D95" s="54">
        <v>-41482.35</v>
      </c>
      <c r="E95" s="52" t="s">
        <v>122</v>
      </c>
      <c r="F95" s="56">
        <v>173</v>
      </c>
      <c r="G95" s="24" t="str">
        <f t="shared" si="3"/>
        <v>121-180</v>
      </c>
    </row>
    <row r="96" spans="1:7" x14ac:dyDescent="0.25">
      <c r="A96" s="52" t="s">
        <v>367</v>
      </c>
      <c r="B96" s="52" t="s">
        <v>78</v>
      </c>
      <c r="C96" s="54">
        <v>39466.82</v>
      </c>
      <c r="D96" s="54">
        <v>-41482.35</v>
      </c>
      <c r="E96" s="52" t="s">
        <v>368</v>
      </c>
      <c r="F96" s="56">
        <v>54</v>
      </c>
      <c r="G96" s="24" t="str">
        <f t="shared" si="3"/>
        <v>31-60</v>
      </c>
    </row>
    <row r="97" spans="1:7" x14ac:dyDescent="0.25">
      <c r="A97" s="52" t="s">
        <v>119</v>
      </c>
      <c r="B97" s="52" t="s">
        <v>78</v>
      </c>
      <c r="C97" s="54">
        <v>39381.82</v>
      </c>
      <c r="D97" s="54">
        <v>-41482.35</v>
      </c>
      <c r="E97" s="52" t="s">
        <v>120</v>
      </c>
      <c r="F97" s="56">
        <v>172</v>
      </c>
      <c r="G97" s="24" t="str">
        <f t="shared" si="3"/>
        <v>121-180</v>
      </c>
    </row>
    <row r="98" spans="1:7" x14ac:dyDescent="0.25">
      <c r="A98" s="52" t="s">
        <v>123</v>
      </c>
      <c r="B98" s="52" t="s">
        <v>78</v>
      </c>
      <c r="C98" s="54">
        <v>38700.82</v>
      </c>
      <c r="D98" s="54">
        <v>-40432.35</v>
      </c>
      <c r="E98" s="52" t="s">
        <v>124</v>
      </c>
      <c r="F98" s="56">
        <v>181</v>
      </c>
      <c r="G98" s="24" t="str">
        <f t="shared" ref="G98:G129" si="4">_xlfn.IFS(F98&lt;31,"0-30",F98&lt;61,"31-60",F98&lt;91,"61-90",F98&lt;121,"91-120",F98&lt;181,"121-180",F98&lt;301,"181-300",F98&gt;300,"301 &amp; +")</f>
        <v>181-300</v>
      </c>
    </row>
    <row r="99" spans="1:7" x14ac:dyDescent="0.25">
      <c r="A99" s="52" t="s">
        <v>226</v>
      </c>
      <c r="B99" s="52" t="s">
        <v>93</v>
      </c>
      <c r="C99" s="54">
        <v>38575.82</v>
      </c>
      <c r="D99" s="54">
        <v>-40629.75</v>
      </c>
      <c r="E99" s="52" t="s">
        <v>227</v>
      </c>
      <c r="F99" s="56">
        <v>76</v>
      </c>
      <c r="G99" s="24" t="str">
        <f t="shared" si="4"/>
        <v>61-90</v>
      </c>
    </row>
    <row r="100" spans="1:7" x14ac:dyDescent="0.25">
      <c r="A100" s="52" t="s">
        <v>104</v>
      </c>
      <c r="B100" s="52" t="s">
        <v>93</v>
      </c>
      <c r="C100" s="54">
        <v>38552.089999999997</v>
      </c>
      <c r="D100" s="54">
        <v>-38935.050000000003</v>
      </c>
      <c r="E100" s="52" t="s">
        <v>105</v>
      </c>
      <c r="F100" s="56">
        <v>220</v>
      </c>
      <c r="G100" s="24" t="str">
        <f t="shared" si="4"/>
        <v>181-300</v>
      </c>
    </row>
    <row r="101" spans="1:7" x14ac:dyDescent="0.25">
      <c r="A101" s="52" t="s">
        <v>160</v>
      </c>
      <c r="B101" s="52" t="s">
        <v>78</v>
      </c>
      <c r="C101" s="54">
        <v>38466.82</v>
      </c>
      <c r="D101" s="54">
        <v>-40432.35</v>
      </c>
      <c r="E101" s="52" t="s">
        <v>161</v>
      </c>
      <c r="F101" s="56">
        <v>104</v>
      </c>
      <c r="G101" s="24" t="str">
        <f t="shared" si="4"/>
        <v>91-120</v>
      </c>
    </row>
    <row r="102" spans="1:7" x14ac:dyDescent="0.25">
      <c r="A102" s="52" t="s">
        <v>236</v>
      </c>
      <c r="B102" s="52" t="s">
        <v>93</v>
      </c>
      <c r="C102" s="54">
        <v>38465.82</v>
      </c>
      <c r="D102" s="54">
        <v>-40148.85</v>
      </c>
      <c r="E102" s="52" t="s">
        <v>237</v>
      </c>
      <c r="F102" s="56">
        <v>73</v>
      </c>
      <c r="G102" s="24" t="str">
        <f t="shared" si="4"/>
        <v>61-90</v>
      </c>
    </row>
    <row r="103" spans="1:7" x14ac:dyDescent="0.25">
      <c r="A103" s="52" t="s">
        <v>220</v>
      </c>
      <c r="B103" s="52" t="s">
        <v>78</v>
      </c>
      <c r="C103" s="54">
        <v>38461.82</v>
      </c>
      <c r="D103" s="54">
        <v>-40427.1</v>
      </c>
      <c r="E103" s="52" t="s">
        <v>221</v>
      </c>
      <c r="F103" s="56">
        <v>87</v>
      </c>
      <c r="G103" s="24" t="str">
        <f t="shared" si="4"/>
        <v>61-90</v>
      </c>
    </row>
    <row r="104" spans="1:7" x14ac:dyDescent="0.25">
      <c r="A104" s="52" t="s">
        <v>224</v>
      </c>
      <c r="B104" s="52" t="s">
        <v>78</v>
      </c>
      <c r="C104" s="54">
        <v>38376.82</v>
      </c>
      <c r="D104" s="54">
        <v>-40427.1</v>
      </c>
      <c r="E104" s="52" t="s">
        <v>225</v>
      </c>
      <c r="F104" s="56">
        <v>76</v>
      </c>
      <c r="G104" s="24" t="str">
        <f t="shared" si="4"/>
        <v>61-90</v>
      </c>
    </row>
    <row r="105" spans="1:7" x14ac:dyDescent="0.25">
      <c r="A105" s="52" t="s">
        <v>100</v>
      </c>
      <c r="B105" s="52" t="s">
        <v>78</v>
      </c>
      <c r="C105" s="54">
        <v>38237.82</v>
      </c>
      <c r="D105" s="54">
        <v>-39946.199999999997</v>
      </c>
      <c r="E105" s="52" t="s">
        <v>101</v>
      </c>
      <c r="F105" s="56">
        <v>221</v>
      </c>
      <c r="G105" s="24" t="str">
        <f t="shared" si="4"/>
        <v>181-300</v>
      </c>
    </row>
    <row r="106" spans="1:7" x14ac:dyDescent="0.25">
      <c r="A106" s="52" t="s">
        <v>238</v>
      </c>
      <c r="B106" s="52" t="s">
        <v>93</v>
      </c>
      <c r="C106" s="54">
        <v>38207.769999999997</v>
      </c>
      <c r="D106" s="54">
        <v>-40148.85</v>
      </c>
      <c r="E106" s="52" t="s">
        <v>239</v>
      </c>
      <c r="F106" s="56">
        <v>69</v>
      </c>
      <c r="G106" s="24" t="str">
        <f t="shared" si="4"/>
        <v>61-90</v>
      </c>
    </row>
    <row r="107" spans="1:7" x14ac:dyDescent="0.25">
      <c r="A107" s="52" t="s">
        <v>127</v>
      </c>
      <c r="B107" s="52" t="s">
        <v>93</v>
      </c>
      <c r="C107" s="54">
        <v>38122.82</v>
      </c>
      <c r="D107" s="54">
        <v>-40148.85</v>
      </c>
      <c r="E107" s="52" t="s">
        <v>128</v>
      </c>
      <c r="F107" s="56">
        <v>174</v>
      </c>
      <c r="G107" s="24" t="str">
        <f t="shared" si="4"/>
        <v>121-180</v>
      </c>
    </row>
    <row r="108" spans="1:7" x14ac:dyDescent="0.25">
      <c r="A108" s="52" t="s">
        <v>166</v>
      </c>
      <c r="B108" s="52" t="s">
        <v>93</v>
      </c>
      <c r="C108" s="54">
        <v>38122.82</v>
      </c>
      <c r="D108" s="54">
        <v>-40148.85</v>
      </c>
      <c r="E108" s="52" t="s">
        <v>167</v>
      </c>
      <c r="F108" s="56">
        <v>109</v>
      </c>
      <c r="G108" s="24" t="str">
        <f t="shared" si="4"/>
        <v>91-120</v>
      </c>
    </row>
    <row r="109" spans="1:7" x14ac:dyDescent="0.25">
      <c r="A109" s="52" t="s">
        <v>228</v>
      </c>
      <c r="B109" s="52" t="s">
        <v>93</v>
      </c>
      <c r="C109" s="54">
        <v>38122.82</v>
      </c>
      <c r="D109" s="54">
        <v>-40148.85</v>
      </c>
      <c r="E109" s="52" t="s">
        <v>229</v>
      </c>
      <c r="F109" s="56">
        <v>73</v>
      </c>
      <c r="G109" s="24" t="str">
        <f t="shared" si="4"/>
        <v>61-90</v>
      </c>
    </row>
    <row r="110" spans="1:7" x14ac:dyDescent="0.25">
      <c r="A110" s="52" t="s">
        <v>162</v>
      </c>
      <c r="B110" s="52" t="s">
        <v>93</v>
      </c>
      <c r="C110" s="54">
        <v>38117.82</v>
      </c>
      <c r="D110" s="54">
        <v>-40148.85</v>
      </c>
      <c r="E110" s="52" t="s">
        <v>163</v>
      </c>
      <c r="F110" s="56">
        <v>109</v>
      </c>
      <c r="G110" s="24" t="str">
        <f t="shared" si="4"/>
        <v>91-120</v>
      </c>
    </row>
    <row r="111" spans="1:7" x14ac:dyDescent="0.25">
      <c r="A111" s="52" t="s">
        <v>373</v>
      </c>
      <c r="B111" s="52" t="s">
        <v>93</v>
      </c>
      <c r="C111" s="54">
        <v>38117.82</v>
      </c>
      <c r="D111" s="54">
        <v>-40148.85</v>
      </c>
      <c r="E111" s="52" t="s">
        <v>374</v>
      </c>
      <c r="F111" s="56">
        <v>54</v>
      </c>
      <c r="G111" s="24" t="str">
        <f t="shared" si="4"/>
        <v>31-60</v>
      </c>
    </row>
    <row r="112" spans="1:7" x14ac:dyDescent="0.25">
      <c r="A112" s="52" t="s">
        <v>232</v>
      </c>
      <c r="B112" s="52" t="s">
        <v>93</v>
      </c>
      <c r="C112" s="54">
        <v>38081.919999999998</v>
      </c>
      <c r="D112" s="54">
        <v>-40148.85</v>
      </c>
      <c r="E112" s="52" t="s">
        <v>233</v>
      </c>
      <c r="F112" s="56">
        <v>76</v>
      </c>
      <c r="G112" s="24" t="str">
        <f t="shared" si="4"/>
        <v>61-90</v>
      </c>
    </row>
    <row r="113" spans="1:7" x14ac:dyDescent="0.25">
      <c r="A113" s="52" t="s">
        <v>230</v>
      </c>
      <c r="B113" s="52" t="s">
        <v>93</v>
      </c>
      <c r="C113" s="54">
        <v>38032.82</v>
      </c>
      <c r="D113" s="54">
        <v>-40148.85</v>
      </c>
      <c r="E113" s="52" t="s">
        <v>231</v>
      </c>
      <c r="F113" s="56">
        <v>68</v>
      </c>
      <c r="G113" s="24" t="str">
        <f t="shared" si="4"/>
        <v>61-90</v>
      </c>
    </row>
    <row r="114" spans="1:7" x14ac:dyDescent="0.25">
      <c r="A114" s="52" t="s">
        <v>371</v>
      </c>
      <c r="B114" s="52" t="s">
        <v>93</v>
      </c>
      <c r="C114" s="54">
        <v>38032.82</v>
      </c>
      <c r="D114" s="54">
        <v>-40148.85</v>
      </c>
      <c r="E114" s="52" t="s">
        <v>372</v>
      </c>
      <c r="F114" s="56">
        <v>60</v>
      </c>
      <c r="G114" s="24" t="str">
        <f t="shared" si="4"/>
        <v>31-60</v>
      </c>
    </row>
    <row r="115" spans="1:7" x14ac:dyDescent="0.25">
      <c r="A115" s="52" t="s">
        <v>455</v>
      </c>
      <c r="B115" s="52" t="s">
        <v>93</v>
      </c>
      <c r="C115" s="54">
        <v>38032.82</v>
      </c>
      <c r="D115" s="54">
        <v>-40148.85</v>
      </c>
      <c r="E115" s="52" t="s">
        <v>456</v>
      </c>
      <c r="F115" s="56">
        <v>20</v>
      </c>
      <c r="G115" s="24" t="str">
        <f t="shared" si="4"/>
        <v>0-30</v>
      </c>
    </row>
    <row r="116" spans="1:7" x14ac:dyDescent="0.25">
      <c r="A116" s="52" t="s">
        <v>369</v>
      </c>
      <c r="B116" s="52" t="s">
        <v>78</v>
      </c>
      <c r="C116" s="54">
        <v>38032</v>
      </c>
      <c r="D116" s="54">
        <v>-40432.35</v>
      </c>
      <c r="E116" s="52" t="s">
        <v>370</v>
      </c>
      <c r="F116" s="56">
        <v>60</v>
      </c>
      <c r="G116" s="24" t="str">
        <f t="shared" si="4"/>
        <v>31-60</v>
      </c>
    </row>
    <row r="117" spans="1:7" x14ac:dyDescent="0.25">
      <c r="A117" s="52" t="s">
        <v>125</v>
      </c>
      <c r="B117" s="52" t="s">
        <v>78</v>
      </c>
      <c r="C117" s="54">
        <v>38003.82</v>
      </c>
      <c r="D117" s="54">
        <v>-39946.199999999997</v>
      </c>
      <c r="E117" s="52" t="s">
        <v>126</v>
      </c>
      <c r="F117" s="56">
        <v>173</v>
      </c>
      <c r="G117" s="24" t="str">
        <f t="shared" si="4"/>
        <v>121-180</v>
      </c>
    </row>
    <row r="118" spans="1:7" x14ac:dyDescent="0.25">
      <c r="A118" s="52" t="s">
        <v>91</v>
      </c>
      <c r="B118" s="52" t="s">
        <v>78</v>
      </c>
      <c r="C118" s="54">
        <v>37968.870000000003</v>
      </c>
      <c r="D118" s="50"/>
      <c r="E118" s="52" t="s">
        <v>92</v>
      </c>
      <c r="F118" s="56">
        <v>234</v>
      </c>
      <c r="G118" s="24" t="str">
        <f t="shared" si="4"/>
        <v>181-300</v>
      </c>
    </row>
    <row r="119" spans="1:7" x14ac:dyDescent="0.25">
      <c r="A119" s="52" t="s">
        <v>222</v>
      </c>
      <c r="B119" s="52" t="s">
        <v>78</v>
      </c>
      <c r="C119" s="54">
        <v>37947</v>
      </c>
      <c r="D119" s="54">
        <v>-40432.35</v>
      </c>
      <c r="E119" s="52" t="s">
        <v>223</v>
      </c>
      <c r="F119" s="56">
        <v>69</v>
      </c>
      <c r="G119" s="24" t="str">
        <f t="shared" si="4"/>
        <v>61-90</v>
      </c>
    </row>
    <row r="120" spans="1:7" x14ac:dyDescent="0.25">
      <c r="A120" s="52" t="s">
        <v>457</v>
      </c>
      <c r="B120" s="52" t="s">
        <v>78</v>
      </c>
      <c r="C120" s="54">
        <v>37947</v>
      </c>
      <c r="D120" s="54">
        <v>-40432.35</v>
      </c>
      <c r="E120" s="52" t="s">
        <v>458</v>
      </c>
      <c r="F120" s="56">
        <v>18</v>
      </c>
      <c r="G120" s="24" t="str">
        <f t="shared" si="4"/>
        <v>0-30</v>
      </c>
    </row>
    <row r="121" spans="1:7" x14ac:dyDescent="0.25">
      <c r="A121" s="52" t="s">
        <v>129</v>
      </c>
      <c r="B121" s="52" t="s">
        <v>93</v>
      </c>
      <c r="C121" s="54">
        <v>37923.99</v>
      </c>
      <c r="D121" s="54">
        <v>-36988.29</v>
      </c>
      <c r="E121" s="52" t="s">
        <v>130</v>
      </c>
      <c r="F121" s="56">
        <v>174</v>
      </c>
      <c r="G121" s="24" t="str">
        <f t="shared" si="4"/>
        <v>121-180</v>
      </c>
    </row>
    <row r="122" spans="1:7" x14ac:dyDescent="0.25">
      <c r="A122" s="52" t="s">
        <v>375</v>
      </c>
      <c r="B122" s="52" t="s">
        <v>93</v>
      </c>
      <c r="C122" s="54">
        <v>37677</v>
      </c>
      <c r="D122" s="54">
        <v>-40148.85</v>
      </c>
      <c r="E122" s="52" t="s">
        <v>376</v>
      </c>
      <c r="F122" s="56">
        <v>47</v>
      </c>
      <c r="G122" s="24" t="str">
        <f t="shared" si="4"/>
        <v>31-60</v>
      </c>
    </row>
    <row r="123" spans="1:7" x14ac:dyDescent="0.25">
      <c r="A123" s="52" t="s">
        <v>459</v>
      </c>
      <c r="B123" s="52" t="s">
        <v>93</v>
      </c>
      <c r="C123" s="54">
        <v>37677</v>
      </c>
      <c r="D123" s="54">
        <v>-40148.85</v>
      </c>
      <c r="E123" s="52" t="s">
        <v>460</v>
      </c>
      <c r="F123" s="56">
        <v>18</v>
      </c>
      <c r="G123" s="24" t="str">
        <f t="shared" si="4"/>
        <v>0-30</v>
      </c>
    </row>
    <row r="124" spans="1:7" x14ac:dyDescent="0.25">
      <c r="A124" s="52" t="s">
        <v>461</v>
      </c>
      <c r="B124" s="52" t="s">
        <v>93</v>
      </c>
      <c r="C124" s="54">
        <v>37677</v>
      </c>
      <c r="D124" s="54">
        <v>-40148.85</v>
      </c>
      <c r="E124" s="52" t="s">
        <v>462</v>
      </c>
      <c r="F124" s="56">
        <v>18</v>
      </c>
      <c r="G124" s="24" t="str">
        <f t="shared" si="4"/>
        <v>0-30</v>
      </c>
    </row>
    <row r="125" spans="1:7" x14ac:dyDescent="0.25">
      <c r="A125" s="52" t="s">
        <v>463</v>
      </c>
      <c r="B125" s="52" t="s">
        <v>93</v>
      </c>
      <c r="C125" s="54">
        <v>37677</v>
      </c>
      <c r="D125" s="54">
        <v>-40148.85</v>
      </c>
      <c r="E125" s="52" t="s">
        <v>464</v>
      </c>
      <c r="F125" s="56">
        <v>18</v>
      </c>
      <c r="G125" s="24" t="str">
        <f t="shared" si="4"/>
        <v>0-30</v>
      </c>
    </row>
    <row r="126" spans="1:7" x14ac:dyDescent="0.25">
      <c r="A126" s="52" t="s">
        <v>465</v>
      </c>
      <c r="B126" s="52" t="s">
        <v>93</v>
      </c>
      <c r="C126" s="54">
        <v>37677</v>
      </c>
      <c r="D126" s="54">
        <v>-40148.85</v>
      </c>
      <c r="E126" s="52" t="s">
        <v>466</v>
      </c>
      <c r="F126" s="56">
        <v>11</v>
      </c>
      <c r="G126" s="24" t="str">
        <f t="shared" si="4"/>
        <v>0-30</v>
      </c>
    </row>
    <row r="127" spans="1:7" x14ac:dyDescent="0.25">
      <c r="A127" s="52" t="s">
        <v>467</v>
      </c>
      <c r="B127" s="52" t="s">
        <v>114</v>
      </c>
      <c r="C127" s="54">
        <v>37669</v>
      </c>
      <c r="D127" s="50"/>
      <c r="E127" s="52" t="s">
        <v>468</v>
      </c>
      <c r="F127" s="56">
        <v>1</v>
      </c>
      <c r="G127" s="24" t="str">
        <f t="shared" si="4"/>
        <v>0-30</v>
      </c>
    </row>
    <row r="128" spans="1:7" x14ac:dyDescent="0.25">
      <c r="A128" s="52" t="s">
        <v>115</v>
      </c>
      <c r="B128" s="52" t="s">
        <v>93</v>
      </c>
      <c r="C128" s="54">
        <v>37576.78</v>
      </c>
      <c r="D128" s="54">
        <v>-36988.29</v>
      </c>
      <c r="E128" s="52" t="s">
        <v>116</v>
      </c>
      <c r="F128" s="56">
        <v>188</v>
      </c>
      <c r="G128" s="24" t="str">
        <f t="shared" si="4"/>
        <v>181-300</v>
      </c>
    </row>
    <row r="129" spans="1:7" x14ac:dyDescent="0.25">
      <c r="A129" s="52" t="s">
        <v>234</v>
      </c>
      <c r="B129" s="52" t="s">
        <v>78</v>
      </c>
      <c r="C129" s="54">
        <v>37452.82</v>
      </c>
      <c r="D129" s="54">
        <v>-39456.9</v>
      </c>
      <c r="E129" s="52" t="s">
        <v>235</v>
      </c>
      <c r="F129" s="56">
        <v>76</v>
      </c>
      <c r="G129" s="24" t="str">
        <f t="shared" si="4"/>
        <v>61-90</v>
      </c>
    </row>
    <row r="130" spans="1:7" x14ac:dyDescent="0.25">
      <c r="A130" s="52" t="s">
        <v>164</v>
      </c>
      <c r="B130" s="52" t="s">
        <v>93</v>
      </c>
      <c r="C130" s="54">
        <v>37399.82</v>
      </c>
      <c r="D130" s="54">
        <v>-38940.300000000003</v>
      </c>
      <c r="E130" s="52" t="s">
        <v>165</v>
      </c>
      <c r="F130" s="56">
        <v>104</v>
      </c>
      <c r="G130" s="24" t="str">
        <f t="shared" ref="G130:G161" si="5">_xlfn.IFS(F130&lt;31,"0-30",F130&lt;61,"31-60",F130&lt;91,"61-90",F130&lt;121,"91-120",F130&lt;181,"121-180",F130&lt;301,"181-300",F130&gt;300,"301 &amp; +")</f>
        <v>91-120</v>
      </c>
    </row>
    <row r="131" spans="1:7" x14ac:dyDescent="0.25">
      <c r="A131" s="52" t="s">
        <v>168</v>
      </c>
      <c r="B131" s="52" t="s">
        <v>93</v>
      </c>
      <c r="C131" s="54">
        <v>36959.51</v>
      </c>
      <c r="D131" s="54">
        <v>-38940.300000000003</v>
      </c>
      <c r="E131" s="52" t="s">
        <v>169</v>
      </c>
      <c r="F131" s="56">
        <v>103</v>
      </c>
      <c r="G131" s="24" t="str">
        <f t="shared" si="5"/>
        <v>91-120</v>
      </c>
    </row>
    <row r="132" spans="1:7" x14ac:dyDescent="0.25">
      <c r="A132" s="52" t="s">
        <v>146</v>
      </c>
      <c r="B132" s="52" t="s">
        <v>93</v>
      </c>
      <c r="C132" s="54">
        <v>36954.51</v>
      </c>
      <c r="D132" s="54">
        <v>-38940.300000000003</v>
      </c>
      <c r="E132" s="52" t="s">
        <v>147</v>
      </c>
      <c r="F132" s="56">
        <v>143</v>
      </c>
      <c r="G132" s="24" t="str">
        <f t="shared" si="5"/>
        <v>121-180</v>
      </c>
    </row>
    <row r="133" spans="1:7" x14ac:dyDescent="0.25">
      <c r="A133" s="52" t="s">
        <v>469</v>
      </c>
      <c r="B133" s="52" t="s">
        <v>85</v>
      </c>
      <c r="C133" s="54">
        <v>36073.82</v>
      </c>
      <c r="D133" s="54">
        <v>-37814.699999999997</v>
      </c>
      <c r="E133" s="52" t="s">
        <v>470</v>
      </c>
      <c r="F133" s="56">
        <v>10</v>
      </c>
      <c r="G133" s="24" t="str">
        <f t="shared" si="5"/>
        <v>0-30</v>
      </c>
    </row>
    <row r="134" spans="1:7" x14ac:dyDescent="0.25">
      <c r="A134" s="52" t="s">
        <v>377</v>
      </c>
      <c r="B134" s="52" t="s">
        <v>85</v>
      </c>
      <c r="C134" s="54">
        <v>35698.82</v>
      </c>
      <c r="D134" s="54">
        <v>-37331.699999999997</v>
      </c>
      <c r="E134" s="52" t="s">
        <v>378</v>
      </c>
      <c r="F134" s="56">
        <v>39</v>
      </c>
      <c r="G134" s="24" t="str">
        <f t="shared" si="5"/>
        <v>31-60</v>
      </c>
    </row>
    <row r="135" spans="1:7" x14ac:dyDescent="0.25">
      <c r="A135" s="52" t="s">
        <v>94</v>
      </c>
      <c r="B135" s="52" t="s">
        <v>78</v>
      </c>
      <c r="C135" s="54">
        <v>34455.29</v>
      </c>
      <c r="D135" s="54">
        <v>-34633.199999999997</v>
      </c>
      <c r="E135" s="52" t="s">
        <v>95</v>
      </c>
      <c r="F135" s="56">
        <v>229</v>
      </c>
      <c r="G135" s="24" t="str">
        <f t="shared" si="5"/>
        <v>181-300</v>
      </c>
    </row>
    <row r="136" spans="1:7" x14ac:dyDescent="0.25">
      <c r="A136" s="52" t="s">
        <v>131</v>
      </c>
      <c r="B136" s="52" t="s">
        <v>78</v>
      </c>
      <c r="C136" s="54">
        <v>34411.629999999997</v>
      </c>
      <c r="D136" s="54">
        <v>-34559.699999999997</v>
      </c>
      <c r="E136" s="52" t="s">
        <v>132</v>
      </c>
      <c r="F136" s="56">
        <v>159</v>
      </c>
      <c r="G136" s="24" t="str">
        <f t="shared" si="5"/>
        <v>121-180</v>
      </c>
    </row>
    <row r="137" spans="1:7" x14ac:dyDescent="0.25">
      <c r="A137" s="52" t="s">
        <v>471</v>
      </c>
      <c r="B137" s="52" t="s">
        <v>78</v>
      </c>
      <c r="C137" s="54">
        <v>34003.5</v>
      </c>
      <c r="D137" s="50"/>
      <c r="E137" s="52" t="s">
        <v>472</v>
      </c>
      <c r="F137" s="56">
        <v>6</v>
      </c>
      <c r="G137" s="24" t="str">
        <f t="shared" si="5"/>
        <v>0-30</v>
      </c>
    </row>
    <row r="138" spans="1:7" x14ac:dyDescent="0.25">
      <c r="A138" s="52" t="s">
        <v>473</v>
      </c>
      <c r="B138" s="52" t="s">
        <v>78</v>
      </c>
      <c r="C138" s="54">
        <v>33809</v>
      </c>
      <c r="D138" s="50"/>
      <c r="E138" s="52" t="s">
        <v>474</v>
      </c>
      <c r="F138" s="56">
        <v>3</v>
      </c>
      <c r="G138" s="24" t="str">
        <f t="shared" si="5"/>
        <v>0-30</v>
      </c>
    </row>
    <row r="139" spans="1:7" x14ac:dyDescent="0.25">
      <c r="A139" s="52" t="s">
        <v>475</v>
      </c>
      <c r="B139" s="52" t="s">
        <v>78</v>
      </c>
      <c r="C139" s="54">
        <v>33804</v>
      </c>
      <c r="D139" s="50"/>
      <c r="E139" s="52" t="s">
        <v>476</v>
      </c>
      <c r="F139" s="56">
        <v>3</v>
      </c>
      <c r="G139" s="24" t="str">
        <f t="shared" si="5"/>
        <v>0-30</v>
      </c>
    </row>
    <row r="140" spans="1:7" x14ac:dyDescent="0.25">
      <c r="A140" s="52" t="s">
        <v>379</v>
      </c>
      <c r="B140" s="52" t="s">
        <v>78</v>
      </c>
      <c r="C140" s="54">
        <v>33094</v>
      </c>
      <c r="D140" s="54">
        <v>-35247.449999999997</v>
      </c>
      <c r="E140" s="52" t="s">
        <v>380</v>
      </c>
      <c r="F140" s="56">
        <v>39</v>
      </c>
      <c r="G140" s="24" t="str">
        <f t="shared" si="5"/>
        <v>31-60</v>
      </c>
    </row>
    <row r="141" spans="1:7" x14ac:dyDescent="0.25">
      <c r="A141" s="52" t="s">
        <v>172</v>
      </c>
      <c r="B141" s="52" t="s">
        <v>78</v>
      </c>
      <c r="C141" s="54">
        <v>32889.589999999997</v>
      </c>
      <c r="D141" s="54">
        <v>-34564.949999999997</v>
      </c>
      <c r="E141" s="52" t="s">
        <v>173</v>
      </c>
      <c r="F141" s="56">
        <v>95</v>
      </c>
      <c r="G141" s="24" t="str">
        <f t="shared" si="5"/>
        <v>91-120</v>
      </c>
    </row>
    <row r="142" spans="1:7" x14ac:dyDescent="0.25">
      <c r="A142" s="52" t="s">
        <v>170</v>
      </c>
      <c r="B142" s="52" t="s">
        <v>78</v>
      </c>
      <c r="C142" s="54">
        <v>32889.589999999997</v>
      </c>
      <c r="D142" s="54">
        <v>-34564.949999999997</v>
      </c>
      <c r="E142" s="52" t="s">
        <v>171</v>
      </c>
      <c r="F142" s="56">
        <v>95</v>
      </c>
      <c r="G142" s="24" t="str">
        <f t="shared" si="5"/>
        <v>91-120</v>
      </c>
    </row>
    <row r="143" spans="1:7" x14ac:dyDescent="0.25">
      <c r="A143" s="52" t="s">
        <v>87</v>
      </c>
      <c r="B143" s="52" t="s">
        <v>78</v>
      </c>
      <c r="C143" s="54">
        <v>32784.28</v>
      </c>
      <c r="D143" s="54">
        <v>-34559.699999999997</v>
      </c>
      <c r="E143" s="52" t="s">
        <v>88</v>
      </c>
      <c r="F143" s="56">
        <v>257</v>
      </c>
      <c r="G143" s="24" t="str">
        <f t="shared" si="5"/>
        <v>181-300</v>
      </c>
    </row>
    <row r="144" spans="1:7" x14ac:dyDescent="0.25">
      <c r="A144" s="52" t="s">
        <v>240</v>
      </c>
      <c r="B144" s="52" t="s">
        <v>86</v>
      </c>
      <c r="C144" s="54">
        <v>32163.82</v>
      </c>
      <c r="D144" s="54">
        <v>-33083.4</v>
      </c>
      <c r="E144" s="52" t="s">
        <v>241</v>
      </c>
      <c r="F144" s="56">
        <v>68</v>
      </c>
      <c r="G144" s="24" t="str">
        <f t="shared" si="5"/>
        <v>61-90</v>
      </c>
    </row>
    <row r="145" spans="1:7" x14ac:dyDescent="0.25">
      <c r="A145" s="52" t="s">
        <v>381</v>
      </c>
      <c r="B145" s="52" t="s">
        <v>86</v>
      </c>
      <c r="C145" s="54">
        <v>31048</v>
      </c>
      <c r="D145" s="54">
        <v>-33083.4</v>
      </c>
      <c r="E145" s="52" t="s">
        <v>382</v>
      </c>
      <c r="F145" s="56">
        <v>31</v>
      </c>
      <c r="G145" s="24" t="str">
        <f t="shared" si="5"/>
        <v>31-60</v>
      </c>
    </row>
    <row r="146" spans="1:7" x14ac:dyDescent="0.25">
      <c r="A146" s="52" t="s">
        <v>477</v>
      </c>
      <c r="B146" s="52" t="s">
        <v>86</v>
      </c>
      <c r="C146" s="54">
        <v>31048</v>
      </c>
      <c r="D146" s="54">
        <v>-33083.4</v>
      </c>
      <c r="E146" s="52" t="s">
        <v>478</v>
      </c>
      <c r="F146" s="56">
        <v>18</v>
      </c>
      <c r="G146" s="24" t="str">
        <f t="shared" si="5"/>
        <v>0-30</v>
      </c>
    </row>
    <row r="147" spans="1:7" x14ac:dyDescent="0.25">
      <c r="A147" s="52" t="s">
        <v>479</v>
      </c>
      <c r="B147" s="52" t="s">
        <v>86</v>
      </c>
      <c r="C147" s="54">
        <v>31048</v>
      </c>
      <c r="D147" s="54">
        <v>-33083.4</v>
      </c>
      <c r="E147" s="52" t="s">
        <v>480</v>
      </c>
      <c r="F147" s="56">
        <v>12</v>
      </c>
      <c r="G147" s="24" t="str">
        <f t="shared" si="5"/>
        <v>0-30</v>
      </c>
    </row>
    <row r="148" spans="1:7" x14ac:dyDescent="0.25">
      <c r="A148" s="52" t="s">
        <v>383</v>
      </c>
      <c r="B148" s="52" t="s">
        <v>86</v>
      </c>
      <c r="C148" s="54">
        <v>30110</v>
      </c>
      <c r="D148" s="54">
        <v>-32004</v>
      </c>
      <c r="E148" s="52" t="s">
        <v>384</v>
      </c>
      <c r="F148" s="56">
        <v>46</v>
      </c>
      <c r="G148" s="24" t="str">
        <f t="shared" si="5"/>
        <v>31-60</v>
      </c>
    </row>
    <row r="149" spans="1:7" x14ac:dyDescent="0.25">
      <c r="A149" s="52" t="s">
        <v>387</v>
      </c>
      <c r="B149" s="52" t="s">
        <v>86</v>
      </c>
      <c r="C149" s="54">
        <v>30084.82</v>
      </c>
      <c r="D149" s="54">
        <v>-31521</v>
      </c>
      <c r="E149" s="52" t="s">
        <v>388</v>
      </c>
      <c r="F149" s="56">
        <v>54</v>
      </c>
      <c r="G149" s="24" t="str">
        <f t="shared" si="5"/>
        <v>31-60</v>
      </c>
    </row>
    <row r="150" spans="1:7" x14ac:dyDescent="0.25">
      <c r="A150" s="52" t="s">
        <v>385</v>
      </c>
      <c r="B150" s="52" t="s">
        <v>86</v>
      </c>
      <c r="C150" s="54">
        <v>30020</v>
      </c>
      <c r="D150" s="54">
        <v>-32004</v>
      </c>
      <c r="E150" s="52" t="s">
        <v>386</v>
      </c>
      <c r="F150" s="56">
        <v>41</v>
      </c>
      <c r="G150" s="24" t="str">
        <f t="shared" si="5"/>
        <v>31-60</v>
      </c>
    </row>
    <row r="151" spans="1:7" x14ac:dyDescent="0.25">
      <c r="A151" s="52" t="s">
        <v>389</v>
      </c>
      <c r="B151" s="52" t="s">
        <v>86</v>
      </c>
      <c r="C151" s="54">
        <v>29645</v>
      </c>
      <c r="D151" s="54">
        <v>-31521</v>
      </c>
      <c r="E151" s="52" t="s">
        <v>390</v>
      </c>
      <c r="F151" s="56">
        <v>39</v>
      </c>
      <c r="G151" s="24" t="str">
        <f t="shared" si="5"/>
        <v>31-60</v>
      </c>
    </row>
    <row r="152" spans="1:7" x14ac:dyDescent="0.25">
      <c r="A152" s="52" t="s">
        <v>391</v>
      </c>
      <c r="B152" s="52" t="s">
        <v>86</v>
      </c>
      <c r="C152" s="54">
        <v>28667.82</v>
      </c>
      <c r="D152" s="54">
        <v>-30033.15</v>
      </c>
      <c r="E152" s="52" t="s">
        <v>392</v>
      </c>
      <c r="F152" s="56">
        <v>60</v>
      </c>
      <c r="G152" s="24" t="str">
        <f t="shared" si="5"/>
        <v>31-60</v>
      </c>
    </row>
    <row r="153" spans="1:7" x14ac:dyDescent="0.25">
      <c r="A153" s="52" t="s">
        <v>393</v>
      </c>
      <c r="B153" s="52" t="s">
        <v>86</v>
      </c>
      <c r="C153" s="54">
        <v>28662.82</v>
      </c>
      <c r="D153" s="54">
        <v>-30033.15</v>
      </c>
      <c r="E153" s="52" t="s">
        <v>394</v>
      </c>
      <c r="F153" s="56">
        <v>60</v>
      </c>
      <c r="G153" s="24" t="str">
        <f t="shared" si="5"/>
        <v>31-60</v>
      </c>
    </row>
    <row r="154" spans="1:7" x14ac:dyDescent="0.25">
      <c r="A154" s="52" t="s">
        <v>108</v>
      </c>
      <c r="B154" s="52" t="s">
        <v>86</v>
      </c>
      <c r="C154" s="54">
        <v>28425.84</v>
      </c>
      <c r="D154" s="54">
        <v>-27529</v>
      </c>
      <c r="E154" s="52" t="s">
        <v>109</v>
      </c>
      <c r="F154" s="56">
        <v>220</v>
      </c>
      <c r="G154" s="24" t="str">
        <f t="shared" si="5"/>
        <v>181-300</v>
      </c>
    </row>
    <row r="155" spans="1:7" x14ac:dyDescent="0.25">
      <c r="A155" s="52" t="s">
        <v>106</v>
      </c>
      <c r="B155" s="52" t="s">
        <v>86</v>
      </c>
      <c r="C155" s="54">
        <v>28371.84</v>
      </c>
      <c r="D155" s="54">
        <v>-28977.9</v>
      </c>
      <c r="E155" s="52" t="s">
        <v>107</v>
      </c>
      <c r="F155" s="56">
        <v>220</v>
      </c>
      <c r="G155" s="24" t="str">
        <f t="shared" si="5"/>
        <v>181-300</v>
      </c>
    </row>
    <row r="156" spans="1:7" x14ac:dyDescent="0.25">
      <c r="A156" s="52" t="s">
        <v>242</v>
      </c>
      <c r="B156" s="52" t="s">
        <v>86</v>
      </c>
      <c r="C156" s="54">
        <v>28228</v>
      </c>
      <c r="D156" s="54">
        <v>-30033.15</v>
      </c>
      <c r="E156" s="52" t="s">
        <v>243</v>
      </c>
      <c r="F156" s="56">
        <v>76</v>
      </c>
      <c r="G156" s="24" t="str">
        <f t="shared" si="5"/>
        <v>61-90</v>
      </c>
    </row>
    <row r="157" spans="1:7" x14ac:dyDescent="0.25">
      <c r="A157" s="52" t="s">
        <v>395</v>
      </c>
      <c r="B157" s="52" t="s">
        <v>86</v>
      </c>
      <c r="C157" s="54">
        <v>28228</v>
      </c>
      <c r="D157" s="54">
        <v>-30033.15</v>
      </c>
      <c r="E157" s="52" t="s">
        <v>396</v>
      </c>
      <c r="F157" s="56">
        <v>39</v>
      </c>
      <c r="G157" s="24" t="str">
        <f t="shared" si="5"/>
        <v>31-60</v>
      </c>
    </row>
    <row r="158" spans="1:7" x14ac:dyDescent="0.25">
      <c r="A158" s="52" t="s">
        <v>397</v>
      </c>
      <c r="B158" s="52" t="s">
        <v>86</v>
      </c>
      <c r="C158" s="54">
        <v>28228</v>
      </c>
      <c r="D158" s="54">
        <v>-30033.15</v>
      </c>
      <c r="E158" s="52" t="s">
        <v>398</v>
      </c>
      <c r="F158" s="56">
        <v>39</v>
      </c>
      <c r="G158" s="24" t="str">
        <f t="shared" si="5"/>
        <v>31-60</v>
      </c>
    </row>
    <row r="159" spans="1:7" x14ac:dyDescent="0.25">
      <c r="A159" s="52" t="s">
        <v>399</v>
      </c>
      <c r="B159" s="52" t="s">
        <v>86</v>
      </c>
      <c r="C159" s="54">
        <v>28228</v>
      </c>
      <c r="D159" s="54">
        <v>-30033.15</v>
      </c>
      <c r="E159" s="52" t="s">
        <v>400</v>
      </c>
      <c r="F159" s="56">
        <v>33</v>
      </c>
      <c r="G159" s="24" t="str">
        <f t="shared" si="5"/>
        <v>31-60</v>
      </c>
    </row>
    <row r="160" spans="1:7" x14ac:dyDescent="0.25">
      <c r="A160" s="52" t="s">
        <v>401</v>
      </c>
      <c r="B160" s="52" t="s">
        <v>86</v>
      </c>
      <c r="C160" s="54">
        <v>28228</v>
      </c>
      <c r="D160" s="54">
        <v>-30033.15</v>
      </c>
      <c r="E160" s="52" t="s">
        <v>402</v>
      </c>
      <c r="F160" s="56">
        <v>31</v>
      </c>
      <c r="G160" s="24" t="str">
        <f t="shared" si="5"/>
        <v>31-60</v>
      </c>
    </row>
    <row r="161" spans="1:7" x14ac:dyDescent="0.25">
      <c r="A161" s="52" t="s">
        <v>403</v>
      </c>
      <c r="B161" s="52" t="s">
        <v>86</v>
      </c>
      <c r="C161" s="54">
        <v>28228</v>
      </c>
      <c r="D161" s="54">
        <v>-30033.15</v>
      </c>
      <c r="E161" s="52" t="s">
        <v>404</v>
      </c>
      <c r="F161" s="56">
        <v>31</v>
      </c>
      <c r="G161" s="24" t="str">
        <f t="shared" si="5"/>
        <v>31-60</v>
      </c>
    </row>
    <row r="162" spans="1:7" x14ac:dyDescent="0.25">
      <c r="A162" s="52" t="s">
        <v>481</v>
      </c>
      <c r="B162" s="52" t="s">
        <v>86</v>
      </c>
      <c r="C162" s="54">
        <v>28228</v>
      </c>
      <c r="D162" s="54">
        <v>-30033.15</v>
      </c>
      <c r="E162" s="52" t="s">
        <v>482</v>
      </c>
      <c r="F162" s="56">
        <v>27</v>
      </c>
      <c r="G162" s="24" t="str">
        <f t="shared" ref="G162:G165" si="6">_xlfn.IFS(F162&lt;31,"0-30",F162&lt;61,"31-60",F162&lt;91,"61-90",F162&lt;121,"91-120",F162&lt;181,"121-180",F162&lt;301,"181-300",F162&gt;300,"301 &amp; +")</f>
        <v>0-30</v>
      </c>
    </row>
    <row r="163" spans="1:7" x14ac:dyDescent="0.25">
      <c r="A163" s="52" t="s">
        <v>483</v>
      </c>
      <c r="B163" s="52" t="s">
        <v>86</v>
      </c>
      <c r="C163" s="54">
        <v>28228</v>
      </c>
      <c r="D163" s="54">
        <v>-30033.15</v>
      </c>
      <c r="E163" s="52" t="s">
        <v>484</v>
      </c>
      <c r="F163" s="56">
        <v>24</v>
      </c>
      <c r="G163" s="24" t="str">
        <f t="shared" si="6"/>
        <v>0-30</v>
      </c>
    </row>
    <row r="164" spans="1:7" x14ac:dyDescent="0.25">
      <c r="A164" s="52" t="s">
        <v>485</v>
      </c>
      <c r="B164" s="52" t="s">
        <v>86</v>
      </c>
      <c r="C164" s="54">
        <v>28143</v>
      </c>
      <c r="D164" s="54">
        <v>-30033.15</v>
      </c>
      <c r="E164" s="52" t="s">
        <v>486</v>
      </c>
      <c r="F164" s="56">
        <v>12</v>
      </c>
      <c r="G164" s="24" t="str">
        <f t="shared" si="6"/>
        <v>0-30</v>
      </c>
    </row>
    <row r="165" spans="1:7" x14ac:dyDescent="0.25">
      <c r="A165" s="52" t="s">
        <v>96</v>
      </c>
      <c r="B165" s="52" t="s">
        <v>86</v>
      </c>
      <c r="C165" s="54">
        <v>27907.82</v>
      </c>
      <c r="D165" s="54">
        <v>-28977.9</v>
      </c>
      <c r="E165" s="52" t="s">
        <v>97</v>
      </c>
      <c r="F165" s="56">
        <v>229</v>
      </c>
      <c r="G165" s="24" t="str">
        <f t="shared" si="6"/>
        <v>181-300</v>
      </c>
    </row>
  </sheetData>
  <autoFilter ref="A1:G81" xr:uid="{00000000-0001-0000-0000-000000000000}">
    <sortState xmlns:xlrd2="http://schemas.microsoft.com/office/spreadsheetml/2017/richdata2" ref="A2:G180">
      <sortCondition descending="1" ref="F1:F81"/>
    </sortState>
  </autoFilter>
  <sortState xmlns:xlrd2="http://schemas.microsoft.com/office/spreadsheetml/2017/richdata2" ref="A22:F56">
    <sortCondition descending="1" ref="C1:C5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6"/>
  <sheetViews>
    <sheetView tabSelected="1" workbookViewId="0">
      <selection activeCell="F12" sqref="F12"/>
    </sheetView>
  </sheetViews>
  <sheetFormatPr baseColWidth="10" defaultColWidth="9.140625" defaultRowHeight="15" x14ac:dyDescent="0.25"/>
  <cols>
    <col min="1" max="1" width="9.42578125" bestFit="1" customWidth="1"/>
    <col min="2" max="2" width="33.85546875" bestFit="1" customWidth="1"/>
    <col min="3" max="4" width="12.7109375" style="45" customWidth="1"/>
    <col min="5" max="5" width="21.7109375" bestFit="1" customWidth="1"/>
    <col min="6" max="6" width="13" bestFit="1" customWidth="1"/>
    <col min="7" max="7" width="13.140625" customWidth="1"/>
    <col min="9" max="9" width="21.28515625" bestFit="1" customWidth="1"/>
    <col min="10" max="10" width="13.42578125" bestFit="1" customWidth="1"/>
    <col min="11" max="11" width="14.85546875" bestFit="1" customWidth="1"/>
    <col min="13" max="13" width="12.28515625" bestFit="1" customWidth="1"/>
    <col min="14" max="14" width="14.28515625" customWidth="1"/>
    <col min="15" max="15" width="14.42578125" customWidth="1"/>
    <col min="16" max="16" width="12.7109375" customWidth="1"/>
  </cols>
  <sheetData>
    <row r="1" spans="1:16" x14ac:dyDescent="0.25">
      <c r="A1" s="58" t="s">
        <v>0</v>
      </c>
      <c r="B1" s="58" t="s">
        <v>1</v>
      </c>
      <c r="C1" s="60" t="s">
        <v>11</v>
      </c>
      <c r="D1" s="60" t="s">
        <v>12</v>
      </c>
      <c r="E1" s="58" t="s">
        <v>2</v>
      </c>
      <c r="F1" s="62" t="s">
        <v>3</v>
      </c>
      <c r="G1" s="14" t="s">
        <v>41</v>
      </c>
      <c r="I1" s="3"/>
      <c r="J1" s="4" t="s">
        <v>30</v>
      </c>
      <c r="K1" s="5" t="s">
        <v>31</v>
      </c>
    </row>
    <row r="2" spans="1:16" x14ac:dyDescent="0.25">
      <c r="A2" s="59" t="s">
        <v>27</v>
      </c>
      <c r="B2" s="59" t="s">
        <v>28</v>
      </c>
      <c r="C2" s="61">
        <v>7407.04</v>
      </c>
      <c r="D2" s="57"/>
      <c r="E2" s="59" t="s">
        <v>29</v>
      </c>
      <c r="F2" s="63">
        <v>1467</v>
      </c>
      <c r="G2" s="24" t="str">
        <f>_xlfn.IFS(F2&lt;31,"0-30",F2&lt;61,"31-60",F2&lt;91,"61-90",F2&lt;121,"91-120",F2&lt;181,"121-180",F2&lt;301,"181-300",F2&gt;300,"301 &amp; +")</f>
        <v>301 &amp; +</v>
      </c>
      <c r="I2" s="7" t="s">
        <v>32</v>
      </c>
      <c r="J2" s="8">
        <f>SUM(C:C)</f>
        <v>1526147.6999999995</v>
      </c>
      <c r="K2" s="9">
        <f>SUM(D:D)</f>
        <v>-736689.4800000001</v>
      </c>
    </row>
    <row r="3" spans="1:16" ht="15.75" thickBot="1" x14ac:dyDescent="0.3">
      <c r="A3" s="59" t="s">
        <v>16</v>
      </c>
      <c r="B3" s="59" t="s">
        <v>17</v>
      </c>
      <c r="C3" s="61">
        <v>18835.53</v>
      </c>
      <c r="D3" s="57"/>
      <c r="E3" s="59" t="s">
        <v>18</v>
      </c>
      <c r="F3" s="63">
        <v>1305</v>
      </c>
      <c r="G3" s="24" t="str">
        <f>_xlfn.IFS(F3&lt;31,"0-30",F3&lt;61,"31-60",F3&lt;91,"61-90",F3&lt;121,"91-120",F3&lt;181,"121-180",F3&lt;301,"181-300",F3&gt;300,"301 &amp; +")</f>
        <v>301 &amp; +</v>
      </c>
      <c r="I3" s="11" t="s">
        <v>33</v>
      </c>
      <c r="J3" s="12">
        <f>COUNT(C:C)</f>
        <v>65</v>
      </c>
      <c r="K3" s="13">
        <f>-K2/J2</f>
        <v>0.4827117847112703</v>
      </c>
    </row>
    <row r="4" spans="1:16" x14ac:dyDescent="0.25">
      <c r="A4" s="59" t="s">
        <v>13</v>
      </c>
      <c r="B4" s="59" t="s">
        <v>14</v>
      </c>
      <c r="C4" s="61">
        <v>31035.72</v>
      </c>
      <c r="D4" s="57"/>
      <c r="E4" s="59" t="s">
        <v>15</v>
      </c>
      <c r="F4" s="63">
        <v>1122</v>
      </c>
      <c r="G4" s="24" t="str">
        <f>_xlfn.IFS(F4&lt;31,"0-30",F4&lt;61,"31-60",F4&lt;91,"61-90",F4&lt;121,"91-120",F4&lt;181,"121-180",F4&lt;301,"181-300",F4&gt;300,"301 &amp; +")</f>
        <v>301 &amp; +</v>
      </c>
      <c r="I4" s="6"/>
      <c r="J4" s="6"/>
      <c r="K4" s="6"/>
    </row>
    <row r="5" spans="1:16" x14ac:dyDescent="0.25">
      <c r="A5" s="59" t="s">
        <v>134</v>
      </c>
      <c r="B5" s="59" t="s">
        <v>133</v>
      </c>
      <c r="C5" s="61">
        <v>29432.29</v>
      </c>
      <c r="D5" s="57"/>
      <c r="E5" s="59" t="s">
        <v>135</v>
      </c>
      <c r="F5" s="63">
        <v>121</v>
      </c>
      <c r="G5" s="24" t="str">
        <f>_xlfn.IFS(F5&lt;31,"0-30",F5&lt;61,"31-60",F5&lt;91,"61-90",F5&lt;121,"91-120",F5&lt;181,"121-180",F5&lt;301,"181-300",F5&gt;300,"301 &amp; +")</f>
        <v>121-180</v>
      </c>
      <c r="I5" s="6"/>
      <c r="J5" s="6"/>
      <c r="K5" s="6"/>
    </row>
    <row r="6" spans="1:16" x14ac:dyDescent="0.25">
      <c r="A6" s="59" t="s">
        <v>136</v>
      </c>
      <c r="B6" s="59" t="s">
        <v>68</v>
      </c>
      <c r="C6" s="61">
        <v>22033.99</v>
      </c>
      <c r="D6" s="61">
        <v>-20549</v>
      </c>
      <c r="E6" s="59" t="s">
        <v>137</v>
      </c>
      <c r="F6" s="63">
        <v>121</v>
      </c>
      <c r="G6" s="24" t="str">
        <f>_xlfn.IFS(F6&lt;31,"0-30",F6&lt;61,"31-60",F6&lt;91,"61-90",F6&lt;121,"91-120",F6&lt;181,"121-180",F6&lt;301,"181-300",F6&gt;300,"301 &amp; +")</f>
        <v>121-180</v>
      </c>
      <c r="I6" s="6"/>
      <c r="J6" s="6"/>
      <c r="K6" s="6"/>
      <c r="L6" s="6"/>
      <c r="M6" s="6"/>
      <c r="N6" s="6" t="s">
        <v>38</v>
      </c>
      <c r="O6" t="s">
        <v>39</v>
      </c>
      <c r="P6" t="s">
        <v>40</v>
      </c>
    </row>
    <row r="7" spans="1:16" x14ac:dyDescent="0.25">
      <c r="A7" s="59" t="s">
        <v>247</v>
      </c>
      <c r="B7" s="59" t="s">
        <v>248</v>
      </c>
      <c r="C7" s="61">
        <v>31450.34</v>
      </c>
      <c r="D7" s="61">
        <v>-36846.85</v>
      </c>
      <c r="E7" s="59" t="s">
        <v>249</v>
      </c>
      <c r="F7" s="63">
        <v>88</v>
      </c>
      <c r="G7" s="24" t="str">
        <f>_xlfn.IFS(F7&lt;31,"0-30",F7&lt;61,"31-60",F7&lt;91,"61-90",F7&lt;121,"91-120",F7&lt;181,"121-180",F7&lt;301,"181-300",F7&gt;300,"301 &amp; +")</f>
        <v>61-90</v>
      </c>
      <c r="I7" s="15" t="s">
        <v>34</v>
      </c>
      <c r="J7" s="16">
        <f>COUNTIF(F:F,"&gt;=365")</f>
        <v>3</v>
      </c>
      <c r="K7" s="46">
        <f>SUMIF(F:F,"&gt;=365",C:C)</f>
        <v>57278.29</v>
      </c>
      <c r="M7" s="16">
        <f>COUNTIFS(F:F,"&gt;=365",D:D,"&lt;&gt;"&amp;"")</f>
        <v>0</v>
      </c>
      <c r="N7" s="17">
        <f>SUMIF(F:F,"&gt;=365",D:D)</f>
        <v>0</v>
      </c>
      <c r="O7" s="22">
        <f>N7*0.07/12</f>
        <v>0</v>
      </c>
      <c r="P7" s="22">
        <f>IF(J7=0,0,O7/J7)</f>
        <v>0</v>
      </c>
    </row>
    <row r="8" spans="1:16" x14ac:dyDescent="0.25">
      <c r="A8" s="59" t="s">
        <v>289</v>
      </c>
      <c r="B8" s="59" t="s">
        <v>290</v>
      </c>
      <c r="C8" s="61">
        <v>21114.13</v>
      </c>
      <c r="D8" s="57"/>
      <c r="E8" s="59" t="s">
        <v>291</v>
      </c>
      <c r="F8" s="63">
        <v>80</v>
      </c>
      <c r="G8" s="24" t="str">
        <f>_xlfn.IFS(F8&lt;31,"0-30",F8&lt;61,"31-60",F8&lt;91,"61-90",F8&lt;121,"91-120",F8&lt;181,"121-180",F8&lt;301,"181-300",F8&gt;300,"301 &amp; +")</f>
        <v>61-90</v>
      </c>
      <c r="I8" s="15" t="s">
        <v>35</v>
      </c>
      <c r="J8" s="16">
        <f>COUNTIFS(F:F,"&lt;365",F:F,"&gt;=180")</f>
        <v>0</v>
      </c>
      <c r="K8" s="47">
        <f>SUMIFS(C:C,F:F,"&lt;365",F:F,"&gt;=180")</f>
        <v>0</v>
      </c>
      <c r="M8" s="16">
        <f>COUNTIFS(F:F,"&lt;365",F:F,"&gt;=180",D:D,"&lt;&gt;"&amp;"")</f>
        <v>0</v>
      </c>
      <c r="N8" s="18">
        <f>SUMIFS(D:D,F:F,"&lt;365",F:F,"&gt;=180")</f>
        <v>0</v>
      </c>
      <c r="O8" s="22">
        <f t="shared" ref="O8:O10" si="0">N8*0.07/12</f>
        <v>0</v>
      </c>
      <c r="P8" s="22">
        <f>IF(J8=0,0,O8/J8)</f>
        <v>0</v>
      </c>
    </row>
    <row r="9" spans="1:16" x14ac:dyDescent="0.25">
      <c r="A9" s="59" t="s">
        <v>244</v>
      </c>
      <c r="B9" s="59" t="s">
        <v>245</v>
      </c>
      <c r="C9" s="61">
        <v>37953.19</v>
      </c>
      <c r="D9" s="61">
        <v>-29343</v>
      </c>
      <c r="E9" s="59" t="s">
        <v>246</v>
      </c>
      <c r="F9" s="63">
        <v>74</v>
      </c>
      <c r="G9" s="24" t="str">
        <f>_xlfn.IFS(F9&lt;31,"0-30",F9&lt;61,"31-60",F9&lt;91,"61-90",F9&lt;121,"91-120",F9&lt;181,"121-180",F9&lt;301,"181-300",F9&gt;300,"301 &amp; +")</f>
        <v>61-90</v>
      </c>
      <c r="I9" s="15" t="s">
        <v>36</v>
      </c>
      <c r="J9" s="16">
        <f>COUNTIFS(F:F,"&lt;180",F:F,"&gt;=90")</f>
        <v>2</v>
      </c>
      <c r="K9" s="48">
        <f>SUMIFS(C:C,F:F,"&lt;180",F:F,"&gt;=90")</f>
        <v>51466.28</v>
      </c>
      <c r="M9" s="16">
        <f>COUNTIFS(F:F,"&lt;180",F:F,"&gt;=90",D:D,"&lt;&gt;"&amp;"")</f>
        <v>1</v>
      </c>
      <c r="N9" s="19">
        <f>SUMIFS(D:D,F:F,"&lt;180",F:F,"&gt;=90")</f>
        <v>-20549</v>
      </c>
      <c r="O9" s="22">
        <f t="shared" si="0"/>
        <v>-119.86916666666667</v>
      </c>
      <c r="P9" s="22">
        <f>IF(M9=0,0,O9/M9)</f>
        <v>-119.86916666666667</v>
      </c>
    </row>
    <row r="10" spans="1:16" x14ac:dyDescent="0.25">
      <c r="A10" s="59" t="s">
        <v>252</v>
      </c>
      <c r="B10" s="59" t="s">
        <v>9</v>
      </c>
      <c r="C10" s="61">
        <v>18054.189999999999</v>
      </c>
      <c r="D10" s="61">
        <v>-19882.080000000002</v>
      </c>
      <c r="E10" s="59" t="s">
        <v>253</v>
      </c>
      <c r="F10" s="63">
        <v>67</v>
      </c>
      <c r="G10" s="24" t="str">
        <f>_xlfn.IFS(F10&lt;31,"0-30",F10&lt;61,"31-60",F10&lt;91,"61-90",F10&lt;121,"91-120",F10&lt;181,"121-180",F10&lt;301,"181-300",F10&gt;300,"301 &amp; +")</f>
        <v>61-90</v>
      </c>
      <c r="I10" s="15" t="s">
        <v>37</v>
      </c>
      <c r="J10" s="16">
        <f>COUNTIF(F:F,"&lt;90")</f>
        <v>60</v>
      </c>
      <c r="K10" s="20">
        <f>SUMIF(F:F,"&lt;90",C:C)</f>
        <v>1417403.13</v>
      </c>
      <c r="M10" s="16">
        <f>COUNTIFS(F:F,"&lt;90",D:D,"&lt;&gt;"&amp;"")</f>
        <v>27</v>
      </c>
      <c r="N10" s="20">
        <f>SUMIF(F:F,"&lt;90",D:D)</f>
        <v>-716140.4800000001</v>
      </c>
      <c r="O10" s="22">
        <f t="shared" si="0"/>
        <v>-4177.4861333333347</v>
      </c>
      <c r="P10" s="22">
        <f>IF(M10=0,0,O10/M10)</f>
        <v>-154.72170864197537</v>
      </c>
    </row>
    <row r="11" spans="1:16" x14ac:dyDescent="0.25">
      <c r="A11" s="59" t="s">
        <v>276</v>
      </c>
      <c r="B11" s="59" t="s">
        <v>277</v>
      </c>
      <c r="C11" s="61">
        <v>24209.41</v>
      </c>
      <c r="D11" s="57"/>
      <c r="E11" s="59" t="s">
        <v>278</v>
      </c>
      <c r="F11" s="63">
        <v>65</v>
      </c>
      <c r="G11" s="24" t="str">
        <f>_xlfn.IFS(F11&lt;31,"0-30",F11&lt;61,"31-60",F11&lt;91,"61-90",F11&lt;121,"91-120",F11&lt;181,"121-180",F11&lt;301,"181-300",F11&gt;300,"301 &amp; +")</f>
        <v>61-90</v>
      </c>
    </row>
    <row r="12" spans="1:16" x14ac:dyDescent="0.25">
      <c r="A12" s="59" t="s">
        <v>250</v>
      </c>
      <c r="B12" s="59" t="s">
        <v>4</v>
      </c>
      <c r="C12" s="61">
        <v>25499.19</v>
      </c>
      <c r="D12" s="61">
        <v>-23838</v>
      </c>
      <c r="E12" s="59" t="s">
        <v>251</v>
      </c>
      <c r="F12" s="63">
        <v>61</v>
      </c>
      <c r="G12" s="24" t="str">
        <f>_xlfn.IFS(F12&lt;31,"0-30",F12&lt;61,"31-60",F12&lt;91,"61-90",F12&lt;121,"91-120",F12&lt;181,"121-180",F12&lt;301,"181-300",F12&gt;300,"301 &amp; +")</f>
        <v>61-90</v>
      </c>
    </row>
    <row r="13" spans="1:16" x14ac:dyDescent="0.25">
      <c r="A13" s="59" t="s">
        <v>268</v>
      </c>
      <c r="B13" s="59" t="s">
        <v>269</v>
      </c>
      <c r="C13" s="61">
        <v>25834.29</v>
      </c>
      <c r="D13" s="57"/>
      <c r="E13" s="59" t="s">
        <v>270</v>
      </c>
      <c r="F13" s="63">
        <v>59</v>
      </c>
      <c r="G13" s="24" t="str">
        <f>_xlfn.IFS(F13&lt;31,"0-30",F13&lt;61,"31-60",F13&lt;91,"61-90",F13&lt;121,"91-120",F13&lt;181,"121-180",F13&lt;301,"181-300",F13&gt;300,"301 &amp; +")</f>
        <v>31-60</v>
      </c>
    </row>
    <row r="14" spans="1:16" x14ac:dyDescent="0.25">
      <c r="A14" s="59" t="s">
        <v>265</v>
      </c>
      <c r="B14" s="59" t="s">
        <v>266</v>
      </c>
      <c r="C14" s="61">
        <v>28386.23</v>
      </c>
      <c r="D14" s="61">
        <v>-27291</v>
      </c>
      <c r="E14" s="59" t="s">
        <v>267</v>
      </c>
      <c r="F14" s="63">
        <v>54</v>
      </c>
      <c r="G14" s="24" t="str">
        <f>_xlfn.IFS(F14&lt;31,"0-30",F14&lt;61,"31-60",F14&lt;91,"61-90",F14&lt;121,"91-120",F14&lt;181,"121-180",F14&lt;301,"181-300",F14&gt;300,"301 &amp; +")</f>
        <v>31-60</v>
      </c>
    </row>
    <row r="15" spans="1:16" x14ac:dyDescent="0.25">
      <c r="A15" s="59" t="s">
        <v>310</v>
      </c>
      <c r="B15" s="59" t="s">
        <v>309</v>
      </c>
      <c r="C15" s="61">
        <v>15924.29</v>
      </c>
      <c r="D15" s="61">
        <v>-13174.51</v>
      </c>
      <c r="E15" s="59" t="s">
        <v>311</v>
      </c>
      <c r="F15" s="63">
        <v>54</v>
      </c>
      <c r="G15" s="24" t="str">
        <f>_xlfn.IFS(F15&lt;31,"0-30",F15&lt;61,"31-60",F15&lt;91,"61-90",F15&lt;121,"91-120",F15&lt;181,"121-180",F15&lt;301,"181-300",F15&gt;300,"301 &amp; +")</f>
        <v>31-60</v>
      </c>
    </row>
    <row r="16" spans="1:16" x14ac:dyDescent="0.25">
      <c r="A16" s="59" t="s">
        <v>287</v>
      </c>
      <c r="B16" s="59" t="s">
        <v>67</v>
      </c>
      <c r="C16" s="61">
        <v>21295.23</v>
      </c>
      <c r="D16" s="61">
        <v>-20283.25</v>
      </c>
      <c r="E16" s="59" t="s">
        <v>288</v>
      </c>
      <c r="F16" s="63">
        <v>48</v>
      </c>
      <c r="G16" s="24" t="str">
        <f>_xlfn.IFS(F16&lt;31,"0-30",F16&lt;61,"31-60",F16&lt;91,"61-90",F16&lt;121,"91-120",F16&lt;181,"121-180",F16&lt;301,"181-300",F16&gt;300,"301 &amp; +")</f>
        <v>31-60</v>
      </c>
    </row>
    <row r="17" spans="1:7" x14ac:dyDescent="0.25">
      <c r="A17" s="59" t="s">
        <v>285</v>
      </c>
      <c r="B17" s="59" t="s">
        <v>67</v>
      </c>
      <c r="C17" s="61">
        <v>22210.18</v>
      </c>
      <c r="D17" s="61">
        <v>-20204.16</v>
      </c>
      <c r="E17" s="59" t="s">
        <v>286</v>
      </c>
      <c r="F17" s="63">
        <v>45</v>
      </c>
      <c r="G17" s="24" t="str">
        <f>_xlfn.IFS(F17&lt;31,"0-30",F17&lt;61,"31-60",F17&lt;91,"61-90",F17&lt;121,"91-120",F17&lt;181,"121-180",F17&lt;301,"181-300",F17&gt;300,"301 &amp; +")</f>
        <v>31-60</v>
      </c>
    </row>
    <row r="18" spans="1:7" x14ac:dyDescent="0.25">
      <c r="A18" s="59" t="s">
        <v>306</v>
      </c>
      <c r="B18" s="59" t="s">
        <v>307</v>
      </c>
      <c r="C18" s="61">
        <v>16754.38</v>
      </c>
      <c r="D18" s="57"/>
      <c r="E18" s="59" t="s">
        <v>308</v>
      </c>
      <c r="F18" s="63">
        <v>45</v>
      </c>
      <c r="G18" s="24" t="str">
        <f>_xlfn.IFS(F18&lt;31,"0-30",F18&lt;61,"31-60",F18&lt;91,"61-90",F18&lt;121,"91-120",F18&lt;181,"121-180",F18&lt;301,"181-300",F18&gt;300,"301 &amp; +")</f>
        <v>31-60</v>
      </c>
    </row>
    <row r="19" spans="1:7" x14ac:dyDescent="0.25">
      <c r="A19" s="59" t="s">
        <v>292</v>
      </c>
      <c r="B19" s="59" t="s">
        <v>67</v>
      </c>
      <c r="C19" s="61">
        <v>20865.18</v>
      </c>
      <c r="D19" s="61">
        <v>-19153</v>
      </c>
      <c r="E19" s="59" t="s">
        <v>293</v>
      </c>
      <c r="F19" s="63">
        <v>40</v>
      </c>
      <c r="G19" s="24" t="str">
        <f>_xlfn.IFS(F19&lt;31,"0-30",F19&lt;61,"31-60",F19&lt;91,"61-90",F19&lt;121,"91-120",F19&lt;181,"121-180",F19&lt;301,"181-300",F19&gt;300,"301 &amp; +")</f>
        <v>31-60</v>
      </c>
    </row>
    <row r="20" spans="1:7" x14ac:dyDescent="0.25">
      <c r="A20" s="59" t="s">
        <v>261</v>
      </c>
      <c r="B20" s="59" t="s">
        <v>4</v>
      </c>
      <c r="C20" s="61">
        <v>30704.93</v>
      </c>
      <c r="D20" s="61">
        <v>-30100.19</v>
      </c>
      <c r="E20" s="59" t="s">
        <v>262</v>
      </c>
      <c r="F20" s="63">
        <v>39</v>
      </c>
      <c r="G20" s="24" t="str">
        <f>_xlfn.IFS(F20&lt;31,"0-30",F20&lt;61,"31-60",F20&lt;91,"61-90",F20&lt;121,"91-120",F20&lt;181,"121-180",F20&lt;301,"181-300",F20&gt;300,"301 &amp; +")</f>
        <v>31-60</v>
      </c>
    </row>
    <row r="21" spans="1:7" x14ac:dyDescent="0.25">
      <c r="A21" s="59" t="s">
        <v>294</v>
      </c>
      <c r="B21" s="59" t="s">
        <v>67</v>
      </c>
      <c r="C21" s="61">
        <v>21395.18</v>
      </c>
      <c r="D21" s="57"/>
      <c r="E21" s="59" t="s">
        <v>295</v>
      </c>
      <c r="F21" s="63">
        <v>38</v>
      </c>
      <c r="G21" s="24" t="str">
        <f>_xlfn.IFS(F21&lt;31,"0-30",F21&lt;61,"31-60",F21&lt;91,"61-90",F21&lt;121,"91-120",F21&lt;181,"121-180",F21&lt;301,"181-300",F21&gt;300,"301 &amp; +")</f>
        <v>31-60</v>
      </c>
    </row>
    <row r="22" spans="1:7" x14ac:dyDescent="0.25">
      <c r="A22" s="59" t="s">
        <v>259</v>
      </c>
      <c r="B22" s="59" t="s">
        <v>255</v>
      </c>
      <c r="C22" s="61">
        <v>34095.230000000003</v>
      </c>
      <c r="D22" s="61">
        <v>-33894.97</v>
      </c>
      <c r="E22" s="59" t="s">
        <v>260</v>
      </c>
      <c r="F22" s="63">
        <v>37</v>
      </c>
      <c r="G22" s="24" t="str">
        <f>_xlfn.IFS(F22&lt;31,"0-30",F22&lt;61,"31-60",F22&lt;91,"61-90",F22&lt;121,"91-120",F22&lt;181,"121-180",F22&lt;301,"181-300",F22&gt;300,"301 &amp; +")</f>
        <v>31-60</v>
      </c>
    </row>
    <row r="23" spans="1:7" x14ac:dyDescent="0.25">
      <c r="A23" s="59" t="s">
        <v>296</v>
      </c>
      <c r="B23" s="59" t="s">
        <v>297</v>
      </c>
      <c r="C23" s="61">
        <v>21095.23</v>
      </c>
      <c r="D23" s="61">
        <v>-22561.65</v>
      </c>
      <c r="E23" s="59" t="s">
        <v>298</v>
      </c>
      <c r="F23" s="63">
        <v>37</v>
      </c>
      <c r="G23" s="24" t="str">
        <f>_xlfn.IFS(F23&lt;31,"0-30",F23&lt;61,"31-60",F23&lt;91,"61-90",F23&lt;121,"91-120",F23&lt;181,"121-180",F23&lt;301,"181-300",F23&gt;300,"301 &amp; +")</f>
        <v>31-60</v>
      </c>
    </row>
    <row r="24" spans="1:7" x14ac:dyDescent="0.25">
      <c r="A24" s="59" t="s">
        <v>263</v>
      </c>
      <c r="B24" s="59" t="s">
        <v>133</v>
      </c>
      <c r="C24" s="61">
        <v>29550.53</v>
      </c>
      <c r="D24" s="61">
        <v>-36254.239999999998</v>
      </c>
      <c r="E24" s="59" t="s">
        <v>264</v>
      </c>
      <c r="F24" s="63">
        <v>34</v>
      </c>
      <c r="G24" s="24" t="str">
        <f>_xlfn.IFS(F24&lt;31,"0-30",F24&lt;61,"31-60",F24&lt;91,"61-90",F24&lt;121,"91-120",F24&lt;181,"121-180",F24&lt;301,"181-300",F24&gt;300,"301 &amp; +")</f>
        <v>31-60</v>
      </c>
    </row>
    <row r="25" spans="1:7" x14ac:dyDescent="0.25">
      <c r="A25" s="59" t="s">
        <v>281</v>
      </c>
      <c r="B25" s="59" t="s">
        <v>272</v>
      </c>
      <c r="C25" s="61">
        <v>24095.23</v>
      </c>
      <c r="D25" s="61">
        <v>-28554.46</v>
      </c>
      <c r="E25" s="59" t="s">
        <v>282</v>
      </c>
      <c r="F25" s="63">
        <v>34</v>
      </c>
      <c r="G25" s="24" t="str">
        <f>_xlfn.IFS(F25&lt;31,"0-30",F25&lt;61,"31-60",F25&lt;91,"61-90",F25&lt;121,"91-120",F25&lt;181,"121-180",F25&lt;301,"181-300",F25&gt;300,"301 &amp; +")</f>
        <v>31-60</v>
      </c>
    </row>
    <row r="26" spans="1:7" x14ac:dyDescent="0.25">
      <c r="A26" s="59" t="s">
        <v>299</v>
      </c>
      <c r="B26" s="59" t="s">
        <v>68</v>
      </c>
      <c r="C26" s="61">
        <v>20738.2</v>
      </c>
      <c r="D26" s="57"/>
      <c r="E26" s="59" t="s">
        <v>300</v>
      </c>
      <c r="F26" s="63">
        <v>34</v>
      </c>
      <c r="G26" s="24" t="str">
        <f>_xlfn.IFS(F26&lt;31,"0-30",F26&lt;61,"31-60",F26&lt;91,"61-90",F26&lt;121,"91-120",F26&lt;181,"121-180",F26&lt;301,"181-300",F26&gt;300,"301 &amp; +")</f>
        <v>31-60</v>
      </c>
    </row>
    <row r="27" spans="1:7" x14ac:dyDescent="0.25">
      <c r="A27" s="59" t="s">
        <v>303</v>
      </c>
      <c r="B27" s="59" t="s">
        <v>304</v>
      </c>
      <c r="C27" s="61">
        <v>17954.38</v>
      </c>
      <c r="D27" s="57"/>
      <c r="E27" s="59" t="s">
        <v>305</v>
      </c>
      <c r="F27" s="63">
        <v>34</v>
      </c>
      <c r="G27" s="24" t="str">
        <f>_xlfn.IFS(F27&lt;31,"0-30",F27&lt;61,"31-60",F27&lt;91,"61-90",F27&lt;121,"91-120",F27&lt;181,"121-180",F27&lt;301,"181-300",F27&gt;300,"301 &amp; +")</f>
        <v>31-60</v>
      </c>
    </row>
    <row r="28" spans="1:7" x14ac:dyDescent="0.25">
      <c r="A28" s="59" t="s">
        <v>254</v>
      </c>
      <c r="B28" s="59" t="s">
        <v>255</v>
      </c>
      <c r="C28" s="61">
        <v>39095.230000000003</v>
      </c>
      <c r="D28" s="61">
        <v>-41850</v>
      </c>
      <c r="E28" s="59" t="s">
        <v>256</v>
      </c>
      <c r="F28" s="63">
        <v>33</v>
      </c>
      <c r="G28" s="24" t="str">
        <f>_xlfn.IFS(F28&lt;31,"0-30",F28&lt;61,"31-60",F28&lt;91,"61-90",F28&lt;121,"91-120",F28&lt;181,"121-180",F28&lt;301,"181-300",F28&gt;300,"301 &amp; +")</f>
        <v>31-60</v>
      </c>
    </row>
    <row r="29" spans="1:7" x14ac:dyDescent="0.25">
      <c r="A29" s="59" t="s">
        <v>279</v>
      </c>
      <c r="B29" s="59" t="s">
        <v>67</v>
      </c>
      <c r="C29" s="61">
        <v>24443.23</v>
      </c>
      <c r="D29" s="61">
        <v>-22817</v>
      </c>
      <c r="E29" s="59" t="s">
        <v>280</v>
      </c>
      <c r="F29" s="63">
        <v>33</v>
      </c>
      <c r="G29" s="24" t="str">
        <f>_xlfn.IFS(F29&lt;31,"0-30",F29&lt;61,"31-60",F29&lt;91,"61-90",F29&lt;121,"91-120",F29&lt;181,"121-180",F29&lt;301,"181-300",F29&gt;300,"301 &amp; +")</f>
        <v>31-60</v>
      </c>
    </row>
    <row r="30" spans="1:7" x14ac:dyDescent="0.25">
      <c r="A30" s="59" t="s">
        <v>312</v>
      </c>
      <c r="B30" s="59" t="s">
        <v>68</v>
      </c>
      <c r="C30" s="61">
        <v>16095.23</v>
      </c>
      <c r="D30" s="57"/>
      <c r="E30" s="59" t="s">
        <v>313</v>
      </c>
      <c r="F30" s="63">
        <v>33</v>
      </c>
      <c r="G30" s="24" t="str">
        <f>_xlfn.IFS(F30&lt;31,"0-30",F30&lt;61,"31-60",F30&lt;91,"61-90",F30&lt;121,"91-120",F30&lt;181,"121-180",F30&lt;301,"181-300",F30&gt;300,"301 &amp; +")</f>
        <v>31-60</v>
      </c>
    </row>
    <row r="31" spans="1:7" x14ac:dyDescent="0.25">
      <c r="A31" s="59" t="s">
        <v>257</v>
      </c>
      <c r="B31" s="59" t="s">
        <v>248</v>
      </c>
      <c r="C31" s="61">
        <v>38095.230000000003</v>
      </c>
      <c r="D31" s="61">
        <v>-36558.81</v>
      </c>
      <c r="E31" s="59" t="s">
        <v>258</v>
      </c>
      <c r="F31" s="63">
        <v>32</v>
      </c>
      <c r="G31" s="24" t="str">
        <f>_xlfn.IFS(F31&lt;31,"0-30",F31&lt;61,"31-60",F31&lt;91,"61-90",F31&lt;121,"91-120",F31&lt;181,"121-180",F31&lt;301,"181-300",F31&gt;300,"301 &amp; +")</f>
        <v>31-60</v>
      </c>
    </row>
    <row r="32" spans="1:7" x14ac:dyDescent="0.25">
      <c r="A32" s="59" t="s">
        <v>271</v>
      </c>
      <c r="B32" s="59" t="s">
        <v>272</v>
      </c>
      <c r="C32" s="61">
        <v>26095.23</v>
      </c>
      <c r="D32" s="61">
        <v>-30000</v>
      </c>
      <c r="E32" s="59" t="s">
        <v>273</v>
      </c>
      <c r="F32" s="63">
        <v>32</v>
      </c>
      <c r="G32" s="24" t="str">
        <f>_xlfn.IFS(F32&lt;31,"0-30",F32&lt;61,"31-60",F32&lt;91,"61-90",F32&lt;121,"91-120",F32&lt;181,"121-180",F32&lt;301,"181-300",F32&gt;300,"301 &amp; +")</f>
        <v>31-60</v>
      </c>
    </row>
    <row r="33" spans="1:7" x14ac:dyDescent="0.25">
      <c r="A33" s="59" t="s">
        <v>274</v>
      </c>
      <c r="B33" s="59" t="s">
        <v>7</v>
      </c>
      <c r="C33" s="61">
        <v>24450</v>
      </c>
      <c r="D33" s="61">
        <v>-26074.39</v>
      </c>
      <c r="E33" s="59" t="s">
        <v>275</v>
      </c>
      <c r="F33" s="63">
        <v>32</v>
      </c>
      <c r="G33" s="24" t="str">
        <f>_xlfn.IFS(F33&lt;31,"0-30",F33&lt;61,"31-60",F33&lt;91,"61-90",F33&lt;121,"91-120",F33&lt;181,"121-180",F33&lt;301,"181-300",F33&gt;300,"301 &amp; +")</f>
        <v>31-60</v>
      </c>
    </row>
    <row r="34" spans="1:7" x14ac:dyDescent="0.25">
      <c r="A34" s="59" t="s">
        <v>283</v>
      </c>
      <c r="B34" s="59" t="s">
        <v>266</v>
      </c>
      <c r="C34" s="61">
        <v>24095.23</v>
      </c>
      <c r="D34" s="61">
        <v>-25221.69</v>
      </c>
      <c r="E34" s="59" t="s">
        <v>284</v>
      </c>
      <c r="F34" s="63">
        <v>32</v>
      </c>
      <c r="G34" s="24" t="str">
        <f>_xlfn.IFS(F34&lt;31,"0-30",F34&lt;61,"31-60",F34&lt;91,"61-90",F34&lt;121,"91-120",F34&lt;181,"121-180",F34&lt;301,"181-300",F34&gt;300,"301 &amp; +")</f>
        <v>31-60</v>
      </c>
    </row>
    <row r="35" spans="1:7" x14ac:dyDescent="0.25">
      <c r="A35" s="59" t="s">
        <v>315</v>
      </c>
      <c r="B35" s="59" t="s">
        <v>67</v>
      </c>
      <c r="C35" s="61">
        <v>22265.18</v>
      </c>
      <c r="D35" s="57"/>
      <c r="E35" s="59" t="s">
        <v>316</v>
      </c>
      <c r="F35" s="63">
        <v>31</v>
      </c>
      <c r="G35" s="24" t="str">
        <f>_xlfn.IFS(F35&lt;31,"0-30",F35&lt;61,"31-60",F35&lt;91,"61-90",F35&lt;121,"91-120",F35&lt;181,"121-180",F35&lt;301,"181-300",F35&gt;300,"301 &amp; +")</f>
        <v>31-60</v>
      </c>
    </row>
    <row r="36" spans="1:7" x14ac:dyDescent="0.25">
      <c r="A36" s="59" t="s">
        <v>301</v>
      </c>
      <c r="B36" s="59" t="s">
        <v>9</v>
      </c>
      <c r="C36" s="61">
        <v>18845.23</v>
      </c>
      <c r="D36" s="61">
        <v>-18475</v>
      </c>
      <c r="E36" s="59" t="s">
        <v>302</v>
      </c>
      <c r="F36" s="63">
        <v>31</v>
      </c>
      <c r="G36" s="24" t="str">
        <f>_xlfn.IFS(F36&lt;31,"0-30",F36&lt;61,"31-60",F36&lt;91,"61-90",F36&lt;121,"91-120",F36&lt;181,"121-180",F36&lt;301,"181-300",F36&gt;300,"301 &amp; +")</f>
        <v>31-60</v>
      </c>
    </row>
    <row r="37" spans="1:7" x14ac:dyDescent="0.25">
      <c r="A37" s="59" t="s">
        <v>496</v>
      </c>
      <c r="B37" s="59" t="s">
        <v>255</v>
      </c>
      <c r="C37" s="61">
        <v>33095.230000000003</v>
      </c>
      <c r="D37" s="61">
        <v>-35150</v>
      </c>
      <c r="E37" s="59" t="s">
        <v>497</v>
      </c>
      <c r="F37" s="63">
        <v>20</v>
      </c>
      <c r="G37" s="24" t="str">
        <f>_xlfn.IFS(F37&lt;31,"0-30",F37&lt;61,"31-60",F37&lt;91,"61-90",F37&lt;121,"91-120",F37&lt;181,"121-180",F37&lt;301,"181-300",F37&gt;300,"301 &amp; +")</f>
        <v>0-30</v>
      </c>
    </row>
    <row r="38" spans="1:7" x14ac:dyDescent="0.25">
      <c r="A38" s="59" t="s">
        <v>519</v>
      </c>
      <c r="B38" s="59" t="s">
        <v>68</v>
      </c>
      <c r="C38" s="61">
        <v>21095.23</v>
      </c>
      <c r="D38" s="61">
        <v>-21045</v>
      </c>
      <c r="E38" s="59" t="s">
        <v>520</v>
      </c>
      <c r="F38" s="63">
        <v>20</v>
      </c>
      <c r="G38" s="24" t="str">
        <f>_xlfn.IFS(F38&lt;31,"0-30",F38&lt;61,"31-60",F38&lt;91,"61-90",F38&lt;121,"91-120",F38&lt;181,"121-180",F38&lt;301,"181-300",F38&gt;300,"301 &amp; +")</f>
        <v>0-30</v>
      </c>
    </row>
    <row r="39" spans="1:7" x14ac:dyDescent="0.25">
      <c r="A39" s="59" t="s">
        <v>498</v>
      </c>
      <c r="B39" s="59" t="s">
        <v>255</v>
      </c>
      <c r="C39" s="61">
        <v>33095.230000000003</v>
      </c>
      <c r="D39" s="57"/>
      <c r="E39" s="59" t="s">
        <v>499</v>
      </c>
      <c r="F39" s="63">
        <v>19</v>
      </c>
      <c r="G39" s="24" t="str">
        <f>_xlfn.IFS(F39&lt;31,"0-30",F39&lt;61,"31-60",F39&lt;91,"61-90",F39&lt;121,"91-120",F39&lt;181,"121-180",F39&lt;301,"181-300",F39&gt;300,"301 &amp; +")</f>
        <v>0-30</v>
      </c>
    </row>
    <row r="40" spans="1:7" x14ac:dyDescent="0.25">
      <c r="A40" s="59" t="s">
        <v>500</v>
      </c>
      <c r="B40" s="59" t="s">
        <v>248</v>
      </c>
      <c r="C40" s="61">
        <v>30595.23</v>
      </c>
      <c r="D40" s="61">
        <v>-32705.62</v>
      </c>
      <c r="E40" s="59" t="s">
        <v>501</v>
      </c>
      <c r="F40" s="63">
        <v>19</v>
      </c>
      <c r="G40" s="24" t="str">
        <f>_xlfn.IFS(F40&lt;31,"0-30",F40&lt;61,"31-60",F40&lt;91,"61-90",F40&lt;121,"91-120",F40&lt;181,"121-180",F40&lt;301,"181-300",F40&gt;300,"301 &amp; +")</f>
        <v>0-30</v>
      </c>
    </row>
    <row r="41" spans="1:7" x14ac:dyDescent="0.25">
      <c r="A41" s="59" t="s">
        <v>541</v>
      </c>
      <c r="B41" s="59" t="s">
        <v>68</v>
      </c>
      <c r="C41" s="61">
        <v>17095.23</v>
      </c>
      <c r="D41" s="57"/>
      <c r="E41" s="59" t="s">
        <v>542</v>
      </c>
      <c r="F41" s="63">
        <v>19</v>
      </c>
      <c r="G41" s="24" t="str">
        <f>_xlfn.IFS(F41&lt;31,"0-30",F41&lt;61,"31-60",F41&lt;91,"61-90",F41&lt;121,"91-120",F41&lt;181,"121-180",F41&lt;301,"181-300",F41&gt;300,"301 &amp; +")</f>
        <v>0-30</v>
      </c>
    </row>
    <row r="42" spans="1:7" x14ac:dyDescent="0.25">
      <c r="A42" s="59" t="s">
        <v>502</v>
      </c>
      <c r="B42" s="59" t="s">
        <v>266</v>
      </c>
      <c r="C42" s="61">
        <v>24805.13</v>
      </c>
      <c r="D42" s="57"/>
      <c r="E42" s="59" t="s">
        <v>503</v>
      </c>
      <c r="F42" s="63">
        <v>18</v>
      </c>
      <c r="G42" s="24" t="str">
        <f>_xlfn.IFS(F42&lt;31,"0-30",F42&lt;61,"31-60",F42&lt;91,"61-90",F42&lt;121,"91-120",F42&lt;181,"121-180",F42&lt;301,"181-300",F42&gt;300,"301 &amp; +")</f>
        <v>0-30</v>
      </c>
    </row>
    <row r="43" spans="1:7" x14ac:dyDescent="0.25">
      <c r="A43" s="59" t="s">
        <v>533</v>
      </c>
      <c r="B43" s="59" t="s">
        <v>528</v>
      </c>
      <c r="C43" s="61">
        <v>19095.23</v>
      </c>
      <c r="D43" s="57"/>
      <c r="E43" s="59" t="s">
        <v>534</v>
      </c>
      <c r="F43" s="63">
        <v>18</v>
      </c>
      <c r="G43" s="24" t="str">
        <f>_xlfn.IFS(F43&lt;31,"0-30",F43&lt;61,"31-60",F43&lt;91,"61-90",F43&lt;121,"91-120",F43&lt;181,"121-180",F43&lt;301,"181-300",F43&gt;300,"301 &amp; +")</f>
        <v>0-30</v>
      </c>
    </row>
    <row r="44" spans="1:7" x14ac:dyDescent="0.25">
      <c r="A44" s="59" t="s">
        <v>490</v>
      </c>
      <c r="B44" s="59" t="s">
        <v>93</v>
      </c>
      <c r="C44" s="61">
        <v>36040.230000000003</v>
      </c>
      <c r="D44" s="57"/>
      <c r="E44" s="59" t="s">
        <v>491</v>
      </c>
      <c r="F44" s="63">
        <v>17</v>
      </c>
      <c r="G44" s="24" t="str">
        <f>_xlfn.IFS(F44&lt;31,"0-30",F44&lt;61,"31-60",F44&lt;91,"61-90",F44&lt;121,"91-120",F44&lt;181,"121-180",F44&lt;301,"181-300",F44&gt;300,"301 &amp; +")</f>
        <v>0-30</v>
      </c>
    </row>
    <row r="45" spans="1:7" x14ac:dyDescent="0.25">
      <c r="A45" s="59" t="s">
        <v>508</v>
      </c>
      <c r="B45" s="59" t="s">
        <v>509</v>
      </c>
      <c r="C45" s="61">
        <v>23450</v>
      </c>
      <c r="D45" s="61">
        <v>-26998.68</v>
      </c>
      <c r="E45" s="59" t="s">
        <v>510</v>
      </c>
      <c r="F45" s="63">
        <v>17</v>
      </c>
      <c r="G45" s="24" t="str">
        <f>_xlfn.IFS(F45&lt;31,"0-30",F45&lt;61,"31-60",F45&lt;91,"61-90",F45&lt;121,"91-120",F45&lt;181,"121-180",F45&lt;301,"181-300",F45&gt;300,"301 &amp; +")</f>
        <v>0-30</v>
      </c>
    </row>
    <row r="46" spans="1:7" x14ac:dyDescent="0.25">
      <c r="A46" s="59" t="s">
        <v>537</v>
      </c>
      <c r="B46" s="59" t="s">
        <v>9</v>
      </c>
      <c r="C46" s="61">
        <v>17622.18</v>
      </c>
      <c r="D46" s="61">
        <v>-18000</v>
      </c>
      <c r="E46" s="59" t="s">
        <v>538</v>
      </c>
      <c r="F46" s="63">
        <v>16</v>
      </c>
      <c r="G46" s="24" t="str">
        <f>_xlfn.IFS(F46&lt;31,"0-30",F46&lt;61,"31-60",F46&lt;91,"61-90",F46&lt;121,"91-120",F46&lt;181,"121-180",F46&lt;301,"181-300",F46&gt;300,"301 &amp; +")</f>
        <v>0-30</v>
      </c>
    </row>
    <row r="47" spans="1:7" x14ac:dyDescent="0.25">
      <c r="A47" s="59" t="s">
        <v>517</v>
      </c>
      <c r="B47" s="59" t="s">
        <v>67</v>
      </c>
      <c r="C47" s="61">
        <v>21225.18</v>
      </c>
      <c r="D47" s="57"/>
      <c r="E47" s="59" t="s">
        <v>518</v>
      </c>
      <c r="F47" s="63">
        <v>12</v>
      </c>
      <c r="G47" s="24" t="str">
        <f>_xlfn.IFS(F47&lt;31,"0-30",F47&lt;61,"31-60",F47&lt;91,"61-90",F47&lt;121,"91-120",F47&lt;181,"121-180",F47&lt;301,"181-300",F47&gt;300,"301 &amp; +")</f>
        <v>0-30</v>
      </c>
    </row>
    <row r="48" spans="1:7" x14ac:dyDescent="0.25">
      <c r="A48" s="59" t="s">
        <v>530</v>
      </c>
      <c r="B48" s="59" t="s">
        <v>531</v>
      </c>
      <c r="C48" s="61">
        <v>19095.23</v>
      </c>
      <c r="D48" s="57"/>
      <c r="E48" s="59" t="s">
        <v>532</v>
      </c>
      <c r="F48" s="63">
        <v>12</v>
      </c>
      <c r="G48" s="24" t="str">
        <f>_xlfn.IFS(F48&lt;31,"0-30",F48&lt;61,"31-60",F48&lt;91,"61-90",F48&lt;121,"91-120",F48&lt;181,"121-180",F48&lt;301,"181-300",F48&gt;300,"301 &amp; +")</f>
        <v>0-30</v>
      </c>
    </row>
    <row r="49" spans="1:7" x14ac:dyDescent="0.25">
      <c r="A49" s="59" t="s">
        <v>513</v>
      </c>
      <c r="B49" s="59" t="s">
        <v>67</v>
      </c>
      <c r="C49" s="61">
        <v>22345.23</v>
      </c>
      <c r="D49" s="57"/>
      <c r="E49" s="59" t="s">
        <v>514</v>
      </c>
      <c r="F49" s="63">
        <v>10</v>
      </c>
      <c r="G49" s="24" t="str">
        <f>_xlfn.IFS(F49&lt;31,"0-30",F49&lt;61,"31-60",F49&lt;91,"61-90",F49&lt;121,"91-120",F49&lt;181,"121-180",F49&lt;301,"181-300",F49&gt;300,"301 &amp; +")</f>
        <v>0-30</v>
      </c>
    </row>
    <row r="50" spans="1:7" x14ac:dyDescent="0.25">
      <c r="A50" s="59" t="s">
        <v>494</v>
      </c>
      <c r="B50" s="59" t="s">
        <v>255</v>
      </c>
      <c r="C50" s="61">
        <v>34095.230000000003</v>
      </c>
      <c r="D50" s="57"/>
      <c r="E50" s="59" t="s">
        <v>495</v>
      </c>
      <c r="F50" s="63">
        <v>9</v>
      </c>
      <c r="G50" s="24" t="str">
        <f>_xlfn.IFS(F50&lt;31,"0-30",F50&lt;61,"31-60",F50&lt;91,"61-90",F50&lt;121,"91-120",F50&lt;181,"121-180",F50&lt;301,"181-300",F50&gt;300,"301 &amp; +")</f>
        <v>0-30</v>
      </c>
    </row>
    <row r="51" spans="1:7" x14ac:dyDescent="0.25">
      <c r="A51" s="59" t="s">
        <v>521</v>
      </c>
      <c r="B51" s="59" t="s">
        <v>67</v>
      </c>
      <c r="C51" s="61">
        <v>20845.23</v>
      </c>
      <c r="D51" s="61">
        <v>-19862.93</v>
      </c>
      <c r="E51" s="59" t="s">
        <v>522</v>
      </c>
      <c r="F51" s="63">
        <v>9</v>
      </c>
      <c r="G51" s="24" t="str">
        <f>_xlfn.IFS(F51&lt;31,"0-30",F51&lt;61,"31-60",F51&lt;91,"61-90",F51&lt;121,"91-120",F51&lt;181,"121-180",F51&lt;301,"181-300",F51&gt;300,"301 &amp; +")</f>
        <v>0-30</v>
      </c>
    </row>
    <row r="52" spans="1:7" x14ac:dyDescent="0.25">
      <c r="A52" s="59" t="s">
        <v>492</v>
      </c>
      <c r="B52" s="59" t="s">
        <v>255</v>
      </c>
      <c r="C52" s="61">
        <v>34095.230000000003</v>
      </c>
      <c r="D52" s="57"/>
      <c r="E52" s="59" t="s">
        <v>493</v>
      </c>
      <c r="F52" s="63">
        <v>6</v>
      </c>
      <c r="G52" s="24" t="str">
        <f>_xlfn.IFS(F52&lt;31,"0-30",F52&lt;61,"31-60",F52&lt;91,"61-90",F52&lt;121,"91-120",F52&lt;181,"121-180",F52&lt;301,"181-300",F52&gt;300,"301 &amp; +")</f>
        <v>0-30</v>
      </c>
    </row>
    <row r="53" spans="1:7" x14ac:dyDescent="0.25">
      <c r="A53" s="59" t="s">
        <v>511</v>
      </c>
      <c r="B53" s="59" t="s">
        <v>266</v>
      </c>
      <c r="C53" s="61">
        <v>22450</v>
      </c>
      <c r="D53" s="57"/>
      <c r="E53" s="59" t="s">
        <v>512</v>
      </c>
      <c r="F53" s="63">
        <v>6</v>
      </c>
      <c r="G53" s="24" t="str">
        <f>_xlfn.IFS(F53&lt;31,"0-30",F53&lt;61,"31-60",F53&lt;91,"61-90",F53&lt;121,"91-120",F53&lt;181,"121-180",F53&lt;301,"181-300",F53&gt;300,"301 &amp; +")</f>
        <v>0-30</v>
      </c>
    </row>
    <row r="54" spans="1:7" x14ac:dyDescent="0.25">
      <c r="A54" s="59" t="s">
        <v>527</v>
      </c>
      <c r="B54" s="59" t="s">
        <v>528</v>
      </c>
      <c r="C54" s="61">
        <v>19450</v>
      </c>
      <c r="D54" s="57"/>
      <c r="E54" s="59" t="s">
        <v>529</v>
      </c>
      <c r="F54" s="63">
        <v>6</v>
      </c>
      <c r="G54" s="24" t="str">
        <f>_xlfn.IFS(F54&lt;31,"0-30",F54&lt;61,"31-60",F54&lt;91,"61-90",F54&lt;121,"91-120",F54&lt;181,"121-180",F54&lt;301,"181-300",F54&gt;300,"301 &amp; +")</f>
        <v>0-30</v>
      </c>
    </row>
    <row r="55" spans="1:7" x14ac:dyDescent="0.25">
      <c r="A55" s="59" t="s">
        <v>535</v>
      </c>
      <c r="B55" s="59" t="s">
        <v>68</v>
      </c>
      <c r="C55" s="61">
        <v>18950</v>
      </c>
      <c r="D55" s="57"/>
      <c r="E55" s="59" t="s">
        <v>536</v>
      </c>
      <c r="F55" s="63">
        <v>5</v>
      </c>
      <c r="G55" s="24" t="str">
        <f>_xlfn.IFS(F55&lt;31,"0-30",F55&lt;61,"31-60",F55&lt;91,"61-90",F55&lt;121,"91-120",F55&lt;181,"121-180",F55&lt;301,"181-300",F55&gt;300,"301 &amp; +")</f>
        <v>0-30</v>
      </c>
    </row>
    <row r="56" spans="1:7" x14ac:dyDescent="0.25">
      <c r="A56" s="59" t="s">
        <v>552</v>
      </c>
      <c r="B56" s="59" t="s">
        <v>309</v>
      </c>
      <c r="C56" s="61">
        <v>2295.9499999999998</v>
      </c>
      <c r="D56" s="57"/>
      <c r="E56" s="59" t="s">
        <v>553</v>
      </c>
      <c r="F56" s="63">
        <v>4</v>
      </c>
      <c r="G56" s="24" t="str">
        <f>_xlfn.IFS(F56&lt;31,"0-30",F56&lt;61,"31-60",F56&lt;91,"61-90",F56&lt;121,"91-120",F56&lt;181,"121-180",F56&lt;301,"181-300",F56&gt;300,"301 &amp; +")</f>
        <v>0-30</v>
      </c>
    </row>
    <row r="57" spans="1:7" x14ac:dyDescent="0.25">
      <c r="A57" s="59" t="s">
        <v>487</v>
      </c>
      <c r="B57" s="59" t="s">
        <v>488</v>
      </c>
      <c r="C57" s="61">
        <v>63450</v>
      </c>
      <c r="D57" s="57"/>
      <c r="E57" s="59" t="s">
        <v>489</v>
      </c>
      <c r="F57" s="63">
        <v>3</v>
      </c>
      <c r="G57" s="24" t="str">
        <f>_xlfn.IFS(F57&lt;31,"0-30",F57&lt;61,"31-60",F57&lt;91,"61-90",F57&lt;121,"91-120",F57&lt;181,"121-180",F57&lt;301,"181-300",F57&gt;300,"301 &amp; +")</f>
        <v>0-30</v>
      </c>
    </row>
    <row r="58" spans="1:7" x14ac:dyDescent="0.25">
      <c r="A58" s="59" t="s">
        <v>549</v>
      </c>
      <c r="B58" s="59" t="s">
        <v>550</v>
      </c>
      <c r="C58" s="61">
        <v>2450</v>
      </c>
      <c r="D58" s="57"/>
      <c r="E58" s="59" t="s">
        <v>551</v>
      </c>
      <c r="F58" s="63">
        <v>3</v>
      </c>
      <c r="G58" s="24" t="str">
        <f>_xlfn.IFS(F58&lt;31,"0-30",F58&lt;61,"31-60",F58&lt;91,"61-90",F58&lt;121,"91-120",F58&lt;181,"121-180",F58&lt;301,"181-300",F58&gt;300,"301 &amp; +")</f>
        <v>0-30</v>
      </c>
    </row>
    <row r="59" spans="1:7" x14ac:dyDescent="0.25">
      <c r="A59" s="59" t="s">
        <v>504</v>
      </c>
      <c r="B59" s="59" t="s">
        <v>266</v>
      </c>
      <c r="C59" s="61">
        <v>24450</v>
      </c>
      <c r="D59" s="57"/>
      <c r="E59" s="59" t="s">
        <v>505</v>
      </c>
      <c r="F59" s="63">
        <v>2</v>
      </c>
      <c r="G59" s="24" t="str">
        <f>_xlfn.IFS(F59&lt;31,"0-30",F59&lt;61,"31-60",F59&lt;91,"61-90",F59&lt;121,"91-120",F59&lt;181,"121-180",F59&lt;301,"181-300",F59&gt;300,"301 &amp; +")</f>
        <v>0-30</v>
      </c>
    </row>
    <row r="60" spans="1:7" x14ac:dyDescent="0.25">
      <c r="A60" s="59" t="s">
        <v>506</v>
      </c>
      <c r="B60" s="59" t="s">
        <v>314</v>
      </c>
      <c r="C60" s="61">
        <v>24300</v>
      </c>
      <c r="D60" s="57"/>
      <c r="E60" s="59" t="s">
        <v>507</v>
      </c>
      <c r="F60" s="63">
        <v>2</v>
      </c>
      <c r="G60" s="24" t="str">
        <f>_xlfn.IFS(F60&lt;31,"0-30",F60&lt;61,"31-60",F60&lt;91,"61-90",F60&lt;121,"91-120",F60&lt;181,"121-180",F60&lt;301,"181-300",F60&gt;300,"301 &amp; +")</f>
        <v>0-30</v>
      </c>
    </row>
    <row r="61" spans="1:7" x14ac:dyDescent="0.25">
      <c r="A61" s="59" t="s">
        <v>515</v>
      </c>
      <c r="B61" s="59" t="s">
        <v>9</v>
      </c>
      <c r="C61" s="61">
        <v>21308</v>
      </c>
      <c r="D61" s="57"/>
      <c r="E61" s="59" t="s">
        <v>516</v>
      </c>
      <c r="F61" s="63">
        <v>2</v>
      </c>
      <c r="G61" s="24" t="str">
        <f>_xlfn.IFS(F61&lt;31,"0-30",F61&lt;61,"31-60",F61&lt;91,"61-90",F61&lt;121,"91-120",F61&lt;181,"121-180",F61&lt;301,"181-300",F61&gt;300,"301 &amp; +")</f>
        <v>0-30</v>
      </c>
    </row>
    <row r="62" spans="1:7" x14ac:dyDescent="0.25">
      <c r="A62" s="59" t="s">
        <v>523</v>
      </c>
      <c r="B62" s="59" t="s">
        <v>68</v>
      </c>
      <c r="C62" s="61">
        <v>20100</v>
      </c>
      <c r="D62" s="57"/>
      <c r="E62" s="59" t="s">
        <v>524</v>
      </c>
      <c r="F62" s="63">
        <v>2</v>
      </c>
      <c r="G62" s="24" t="str">
        <f>_xlfn.IFS(F62&lt;31,"0-30",F62&lt;61,"31-60",F62&lt;91,"61-90",F62&lt;121,"91-120",F62&lt;181,"121-180",F62&lt;301,"181-300",F62&gt;300,"301 &amp; +")</f>
        <v>0-30</v>
      </c>
    </row>
    <row r="63" spans="1:7" x14ac:dyDescent="0.25">
      <c r="A63" s="59" t="s">
        <v>525</v>
      </c>
      <c r="B63" s="59" t="s">
        <v>297</v>
      </c>
      <c r="C63" s="61">
        <v>19750</v>
      </c>
      <c r="D63" s="57"/>
      <c r="E63" s="59" t="s">
        <v>526</v>
      </c>
      <c r="F63" s="63">
        <v>2</v>
      </c>
      <c r="G63" s="24" t="str">
        <f>_xlfn.IFS(F63&lt;31,"0-30",F63&lt;61,"31-60",F63&lt;91,"61-90",F63&lt;121,"91-120",F63&lt;181,"121-180",F63&lt;301,"181-300",F63&gt;300,"301 &amp; +")</f>
        <v>0-30</v>
      </c>
    </row>
    <row r="64" spans="1:7" x14ac:dyDescent="0.25">
      <c r="A64" s="59" t="s">
        <v>539</v>
      </c>
      <c r="B64" s="59" t="s">
        <v>20</v>
      </c>
      <c r="C64" s="61">
        <v>17450</v>
      </c>
      <c r="D64" s="57"/>
      <c r="E64" s="59" t="s">
        <v>540</v>
      </c>
      <c r="F64" s="63">
        <v>2</v>
      </c>
      <c r="G64" s="24" t="str">
        <f>_xlfn.IFS(F64&lt;31,"0-30",F64&lt;61,"31-60",F64&lt;91,"61-90",F64&lt;121,"91-120",F64&lt;181,"121-180",F64&lt;301,"181-300",F64&gt;300,"301 &amp; +")</f>
        <v>0-30</v>
      </c>
    </row>
    <row r="65" spans="1:7" x14ac:dyDescent="0.25">
      <c r="A65" s="59" t="s">
        <v>543</v>
      </c>
      <c r="B65" s="59" t="s">
        <v>544</v>
      </c>
      <c r="C65" s="61">
        <v>6700</v>
      </c>
      <c r="D65" s="57"/>
      <c r="E65" s="59" t="s">
        <v>545</v>
      </c>
      <c r="F65" s="63">
        <v>2</v>
      </c>
      <c r="G65" s="24" t="str">
        <f>_xlfn.IFS(F65&lt;31,"0-30",F65&lt;61,"31-60",F65&lt;91,"61-90",F65&lt;121,"91-120",F65&lt;181,"121-180",F65&lt;301,"181-300",F65&gt;300,"301 &amp; +")</f>
        <v>0-30</v>
      </c>
    </row>
    <row r="66" spans="1:7" x14ac:dyDescent="0.25">
      <c r="A66" s="59" t="s">
        <v>546</v>
      </c>
      <c r="B66" s="59" t="s">
        <v>547</v>
      </c>
      <c r="C66" s="61">
        <v>3950</v>
      </c>
      <c r="D66" s="57"/>
      <c r="E66" s="59" t="s">
        <v>548</v>
      </c>
      <c r="F66" s="63">
        <v>2</v>
      </c>
      <c r="G66" s="24" t="str">
        <f>_xlfn.IFS(F66&lt;31,"0-30",F66&lt;61,"31-60",F66&lt;91,"61-90",F66&lt;121,"91-120",F66&lt;181,"121-180",F66&lt;301,"181-300",F66&gt;300,"301 &amp; +")</f>
        <v>0-30</v>
      </c>
    </row>
  </sheetData>
  <autoFilter ref="A1:G38" xr:uid="{00000000-0001-0000-0100-000000000000}">
    <sortState xmlns:xlrd2="http://schemas.microsoft.com/office/spreadsheetml/2017/richdata2" ref="A2:G66">
      <sortCondition descending="1" ref="F1:F3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Sommaire</vt:lpstr>
      <vt:lpstr>Neuf</vt:lpstr>
      <vt:lpstr>Usages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2024-02-13T15:14:10Z</dcterms:created>
  <dcterms:modified xsi:type="dcterms:W3CDTF">2026-06-09T19:02:00Z</dcterms:modified>
</cp:coreProperties>
</file>