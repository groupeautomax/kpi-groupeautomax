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pager" sheetId="1" r:id="rId4"/>
  </sheets>
  <externalReferences>
    <externalReference r:id="rId5"/>
    <externalReference r:id="rId6"/>
    <externalReference r:id="rId7"/>
    <externalReference r:id="rId8"/>
  </externalReferences>
  <definedNames>
    <definedName name="wrn.persrep.">#REF!</definedName>
    <definedName name="wrn.prospectus.">#REF!</definedName>
    <definedName localSheetId="0" name="wrn.prospectus..">#REF!</definedName>
    <definedName name="wrn.COMPCO.">#REF!</definedName>
    <definedName localSheetId="0" name="kjjkghkhj">#REF!</definedName>
    <definedName name="wrn.PROSPECTUS_amendement.">#REF!</definedName>
    <definedName name="SLEVIN">#REF!</definedName>
    <definedName name="wrn.magicrep.">#REF!</definedName>
    <definedName localSheetId="0" name="wrn.PROSPECTUS_amendement.">#REF!</definedName>
    <definedName name="Compco2">#REF!</definedName>
    <definedName localSheetId="0" name="SLEVIN">#REF!</definedName>
    <definedName name="lkhkhj">#REF!</definedName>
    <definedName localSheetId="0" name="zbt">#REF!</definedName>
    <definedName name="Ticker">#REF!</definedName>
    <definedName name="value2">#REF!</definedName>
    <definedName name="wrn.PrintAll.">#REF!</definedName>
    <definedName name="wrn.full._.report.">#REF!</definedName>
    <definedName localSheetId="0" name="wrn.execsum.">#REF!</definedName>
    <definedName localSheetId="0" name="m">#REF!</definedName>
    <definedName localSheetId="0" name="wrn.Finanalysis.">#REF!</definedName>
    <definedName name="kjjkghkhj">#REF!</definedName>
    <definedName name="wrn.Finanalysis.">#REF!</definedName>
    <definedName localSheetId="0" name="Output">#REF!</definedName>
    <definedName localSheetId="0" name="Output1">#REF!</definedName>
    <definedName name="wrn.prospectus..">#REF!</definedName>
    <definedName name="BROWN">#REF!</definedName>
    <definedName localSheetId="0" name="wrn.PROSPECTUS_amendement..">#REF!</definedName>
    <definedName localSheetId="0" name="wrn.detail.">#REF!</definedName>
    <definedName localSheetId="0" name="BLANK">#REF!</definedName>
    <definedName name="DateRangePrice2">#REF!</definedName>
    <definedName name="ERT">#REF!</definedName>
    <definedName name="wrn.sales.">#REF!</definedName>
    <definedName localSheetId="0" name="wrn.amendement.">#REF!</definedName>
    <definedName name="test">#REF!</definedName>
    <definedName localSheetId="0" name="wrn.full._.report.">#REF!</definedName>
    <definedName name="DateRangePr">#REF!</definedName>
    <definedName name="wrn.amendement.">#REF!</definedName>
    <definedName localSheetId="0" name="Compco1">#REF!</definedName>
    <definedName name="m">#REF!</definedName>
    <definedName name="Output1">#REF!</definedName>
    <definedName localSheetId="0" name="wrn.magicrep.">#REF!</definedName>
    <definedName name="wrn.execsum.">#REF!</definedName>
    <definedName localSheetId="0" name="a">#REF!</definedName>
    <definedName localSheetId="0" name="wrn.sales.">#REF!</definedName>
    <definedName name="Compco1">#REF!</definedName>
    <definedName name="zbt">#REF!</definedName>
    <definedName localSheetId="0" name="wrn.SUMMARY.">#REF!</definedName>
    <definedName localSheetId="0" name="z">#REF!</definedName>
    <definedName localSheetId="0" name="BROWN">#REF!</definedName>
    <definedName name="z">#REF!</definedName>
    <definedName localSheetId="0" name="wrn.COMPCO.">#REF!</definedName>
    <definedName localSheetId="0" name="ERT">#REF!</definedName>
    <definedName localSheetId="0" name="lkhkhj">#REF!</definedName>
    <definedName localSheetId="0" name="wrn.Delchamps.">#REF!</definedName>
    <definedName name="a">#REF!</definedName>
    <definedName name="test21">#REF!</definedName>
    <definedName localSheetId="0" name="wrn.PrintAll.">#REF!</definedName>
    <definedName name="DateRangePrice">#REF!</definedName>
    <definedName name="Output">#REF!</definedName>
    <definedName name="wrn.amendement..">#REF!</definedName>
    <definedName localSheetId="0" name="wrn.amendement..">#REF!</definedName>
    <definedName localSheetId="0" name="wrn.prospectus.">#REF!</definedName>
    <definedName localSheetId="0" name="test">#REF!</definedName>
    <definedName name="wrn.SUMMARY.">#REF!</definedName>
    <definedName name="DateRangePrice1">#REF!</definedName>
    <definedName name="wrn.PROSPECTUS_amendement..">#REF!</definedName>
    <definedName name="value">#REF!</definedName>
    <definedName localSheetId="0" name="Compco2">#REF!</definedName>
    <definedName name="wrn.detail.">#REF!</definedName>
    <definedName name="wrn.Delchamps.">#REF!</definedName>
    <definedName localSheetId="0" name="wrn.persrep.">#REF!</definedName>
    <definedName name="PriceRange">#REF!</definedName>
    <definedName name="BLANK">#REF!</definedName>
    <definedName name="PriceRange2">#REF!</definedName>
  </definedNames>
  <calcPr/>
  <extLst>
    <ext uri="GoogleSheetsCustomDataVersion1">
      <go:sheetsCustomData xmlns:go="http://customooxmlschemas.google.com/" r:id="rId9" roundtripDataSignature="AMtx7mjprRQxI0s5ACfJdBpMSCGiCoMZGg=="/>
    </ext>
  </extLst>
</workbook>
</file>

<file path=xl/sharedStrings.xml><?xml version="1.0" encoding="utf-8"?>
<sst xmlns="http://schemas.openxmlformats.org/spreadsheetml/2006/main" count="137" uniqueCount="67">
  <si>
    <t>Volks 2 pager Février 2021</t>
  </si>
  <si>
    <t>New</t>
  </si>
  <si>
    <t>Actual</t>
  </si>
  <si>
    <t>Forecast</t>
  </si>
  <si>
    <t>Budget</t>
  </si>
  <si>
    <t>▲ Forecast</t>
  </si>
  <si>
    <t>▲ Budget</t>
  </si>
  <si>
    <t>▲2019</t>
  </si>
  <si>
    <t>% ▲ Forecast</t>
  </si>
  <si>
    <t>% ▲ Budget</t>
  </si>
  <si>
    <t>% ▲ 2019</t>
  </si>
  <si>
    <t>Commentaires</t>
  </si>
  <si>
    <t>Units</t>
  </si>
  <si>
    <t>-Excellente moyenne en ligne avec V3. Volume aussi au RV pour février.
-Salaire et commission encore légèrement élevé. à suivre de près
-F&amp;I aussi difficile chez VW. Moyenne plus tough avec le type d'acheteur hivernal moins émotif.
-Other incomes explosé par le versement final des TOTS et beaucoup de HB. 
- Bonne gestion des frais variable de Louis et son équipe dans le neuf.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</si>
  <si>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</si>
  <si>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</si>
  <si>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</si>
  <si>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</si>
  <si>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</si>
  <si>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</si>
  <si>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</si>
  <si>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</si>
  <si>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</si>
  <si>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</si>
  <si>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</si>
  <si>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</si>
  <si>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$</t>
  </si>
  <si>
    <t>Used</t>
  </si>
  <si>
    <t>-Front margin au budegt. Volume au RV. Il faut continuer de travailler la moyenne chez VW dans le used
-Salaire et commissions en ligne cependant
-F&amp;I tout près du budget. Donc ok!
-Frais variable par unités un peu élevé. à surveiller!
-autre revenus. ok!</t>
  </si>
  <si>
    <t>Service</t>
  </si>
  <si>
    <t>Revenus</t>
  </si>
  <si>
    <t xml:space="preserve">-Belle réalisatio presque qu'a budget en client. Mars sera bon pour VW!
-Moyenne par bon légèrement sous la cible. à suivre de près sans over sale.
-Bonne gestion des salaires
-Véhicule de compagnie en lien avec le budget
-Bonne gestion du lost time
-Gestion efficace, maintenant il faut entrer du volume!
</t>
  </si>
  <si>
    <t>Gross margin</t>
  </si>
  <si>
    <t>$ Revenus / #WO client</t>
  </si>
  <si>
    <t>$ Revenus / #WO garantie</t>
  </si>
  <si>
    <t>Lost time</t>
  </si>
  <si>
    <t>Total salaries</t>
  </si>
  <si>
    <t>Salaries</t>
  </si>
  <si>
    <t>Fringes</t>
  </si>
  <si>
    <t>Total salaries / Revenus</t>
  </si>
  <si>
    <t>Frais véhicules de cie</t>
  </si>
  <si>
    <t>Pieces</t>
  </si>
  <si>
    <t>- Retard sur budget en client. Travaux de relance au QG snipper
- Travaux à faire avec l'équipe de Mario. Volume à ramener pour mars-avril-mai</t>
  </si>
  <si>
    <t>Clients</t>
  </si>
  <si>
    <t>Garantie</t>
  </si>
  <si>
    <t>Wholesale</t>
  </si>
  <si>
    <t>Tires</t>
  </si>
  <si>
    <t>All others</t>
  </si>
  <si>
    <t>Salaires autres</t>
  </si>
  <si>
    <t>Others</t>
  </si>
  <si>
    <t>Total salaries / Gross profits</t>
  </si>
  <si>
    <t xml:space="preserve">- Bonne gestion du personnel en place. 
</t>
  </si>
  <si>
    <t>Headcounts</t>
  </si>
  <si>
    <t>Marketing</t>
  </si>
  <si>
    <t>Other semi-fixed expenses</t>
  </si>
  <si>
    <t>Floor plan interest</t>
  </si>
  <si>
    <t>Others Revenues</t>
  </si>
  <si>
    <t>P&amp;L</t>
  </si>
  <si>
    <t>Selling and Marketing</t>
  </si>
  <si>
    <t>- erxcellent bas de page, il faut absolument mettre du volume pour mars-avril-mai! Go team go!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</si>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</sst>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%"/>
  </numFmts>
  <fonts count="5">
    <font>
      <sz val="11.0"/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/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3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</border>
    <border>
      <left style="thin">
        <color rgb="FF000000"/>
      </left>
    </border>
    <border>
      <left style="hair">
        <color rgb="FF000000"/>
      </left>
      <right style="hair">
        <color rgb="FF000000"/>
      </right>
    </border>
    <border>
      <right style="thin">
        <color rgb="FF000000"/>
      </right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0" fillId="0" fontId="1" numFmtId="0" xfId="0" applyAlignment="1" applyFont="1">
      <alignment horizontal="center"/>
    </xf>
    <xf borderId="2" fillId="2" fontId="4" numFmtId="0" xfId="0" applyAlignment="1" applyBorder="1" applyFill="1" applyFont="1">
      <alignment horizontal="center"/>
    </xf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8" fillId="0" fontId="4" numFmtId="0" xfId="0" applyBorder="1" applyFont="1"/>
    <xf borderId="9" fillId="0" fontId="4" numFmtId="37" xfId="0" applyAlignment="1" applyBorder="1" applyFont="1" applyNumberFormat="1">
      <alignment horizontal="center"/>
    </xf>
    <xf borderId="10" fillId="0" fontId="4" numFmtId="1" xfId="0" applyAlignment="1" applyBorder="1" applyFont="1" applyNumberFormat="1">
      <alignment horizontal="center"/>
    </xf>
    <xf borderId="11" fillId="0" fontId="4" numFmtId="1" xfId="0" applyAlignment="1" applyBorder="1" applyFont="1" applyNumberFormat="1">
      <alignment horizontal="center"/>
    </xf>
    <xf borderId="12" fillId="0" fontId="4" numFmtId="1" xfId="0" applyAlignment="1" applyBorder="1" applyFont="1" applyNumberFormat="1">
      <alignment horizontal="center"/>
    </xf>
    <xf borderId="13" fillId="0" fontId="4" numFmtId="9" xfId="0" applyAlignment="1" applyBorder="1" applyFont="1" applyNumberFormat="1">
      <alignment horizontal="center"/>
    </xf>
    <xf borderId="14" fillId="0" fontId="4" numFmtId="9" xfId="0" applyAlignment="1" applyBorder="1" applyFont="1" applyNumberFormat="1">
      <alignment horizontal="center"/>
    </xf>
    <xf borderId="15" fillId="0" fontId="4" numFmtId="9" xfId="0" applyAlignment="1" applyBorder="1" applyFont="1" applyNumberFormat="1">
      <alignment horizontal="center"/>
    </xf>
    <xf borderId="16" fillId="3" fontId="1" numFmtId="0" xfId="0" applyAlignment="1" applyBorder="1" applyFill="1" applyFont="1">
      <alignment horizontal="left" readingOrder="0" shrinkToFit="0" vertical="top" wrapText="1"/>
    </xf>
    <xf borderId="8" fillId="0" fontId="1" numFmtId="0" xfId="0" applyBorder="1" applyFont="1"/>
    <xf borderId="9" fillId="0" fontId="1" numFmtId="164" xfId="0" applyAlignment="1" applyBorder="1" applyFont="1" applyNumberFormat="1">
      <alignment horizontal="center"/>
    </xf>
    <xf borderId="10" fillId="0" fontId="1" numFmtId="164" xfId="0" applyAlignment="1" applyBorder="1" applyFont="1" applyNumberFormat="1">
      <alignment horizontal="center"/>
    </xf>
    <xf borderId="11" fillId="0" fontId="1" numFmtId="164" xfId="0" applyAlignment="1" applyBorder="1" applyFont="1" applyNumberFormat="1">
      <alignment horizontal="center"/>
    </xf>
    <xf borderId="12" fillId="0" fontId="1" numFmtId="164" xfId="0" applyAlignment="1" applyBorder="1" applyFont="1" applyNumberFormat="1">
      <alignment horizontal="center"/>
    </xf>
    <xf borderId="9" fillId="0" fontId="1" numFmtId="9" xfId="0" applyAlignment="1" applyBorder="1" applyFont="1" applyNumberFormat="1">
      <alignment horizontal="center"/>
    </xf>
    <xf borderId="11" fillId="0" fontId="1" numFmtId="9" xfId="0" applyAlignment="1" applyBorder="1" applyFont="1" applyNumberFormat="1">
      <alignment horizontal="center"/>
    </xf>
    <xf borderId="17" fillId="0" fontId="1" numFmtId="9" xfId="0" applyAlignment="1" applyBorder="1" applyFont="1" applyNumberFormat="1">
      <alignment horizontal="center"/>
    </xf>
    <xf borderId="8" fillId="0" fontId="3" numFmtId="0" xfId="0" applyBorder="1" applyFont="1"/>
    <xf borderId="10" fillId="0" fontId="1" numFmtId="2" xfId="0" applyAlignment="1" applyBorder="1" applyFont="1" applyNumberFormat="1">
      <alignment horizontal="center"/>
    </xf>
    <xf borderId="11" fillId="0" fontId="1" numFmtId="2" xfId="0" applyAlignment="1" applyBorder="1" applyFont="1" applyNumberFormat="1">
      <alignment horizontal="center"/>
    </xf>
    <xf borderId="12" fillId="0" fontId="1" numFmtId="2" xfId="0" applyAlignment="1" applyBorder="1" applyFont="1" applyNumberFormat="1">
      <alignment horizontal="center"/>
    </xf>
    <xf borderId="10" fillId="0" fontId="1" numFmtId="9" xfId="0" applyAlignment="1" applyBorder="1" applyFont="1" applyNumberFormat="1">
      <alignment horizontal="center"/>
    </xf>
    <xf borderId="12" fillId="0" fontId="1" numFmtId="9" xfId="0" applyAlignment="1" applyBorder="1" applyFont="1" applyNumberFormat="1">
      <alignment horizontal="center"/>
    </xf>
    <xf borderId="18" fillId="0" fontId="4" numFmtId="0" xfId="0" applyBorder="1" applyFont="1"/>
    <xf borderId="19" fillId="0" fontId="1" numFmtId="0" xfId="0" applyBorder="1" applyFont="1"/>
    <xf borderId="20" fillId="0" fontId="1" numFmtId="164" xfId="0" applyAlignment="1" applyBorder="1" applyFont="1" applyNumberFormat="1">
      <alignment horizontal="center"/>
    </xf>
    <xf borderId="21" fillId="0" fontId="1" numFmtId="164" xfId="0" applyAlignment="1" applyBorder="1" applyFont="1" applyNumberFormat="1">
      <alignment horizontal="center"/>
    </xf>
    <xf borderId="22" fillId="0" fontId="1" numFmtId="164" xfId="0" applyAlignment="1" applyBorder="1" applyFont="1" applyNumberFormat="1">
      <alignment horizontal="center"/>
    </xf>
    <xf borderId="19" fillId="0" fontId="1" numFmtId="9" xfId="0" applyAlignment="1" applyBorder="1" applyFont="1" applyNumberFormat="1">
      <alignment horizontal="center"/>
    </xf>
    <xf borderId="21" fillId="0" fontId="1" numFmtId="9" xfId="0" applyAlignment="1" applyBorder="1" applyFont="1" applyNumberFormat="1">
      <alignment horizontal="center"/>
    </xf>
    <xf borderId="23" fillId="0" fontId="1" numFmtId="9" xfId="0" applyAlignment="1" applyBorder="1" applyFont="1" applyNumberFormat="1">
      <alignment horizontal="center"/>
    </xf>
    <xf borderId="24" fillId="4" fontId="1" numFmtId="0" xfId="0" applyAlignment="1" applyBorder="1" applyFill="1" applyFont="1">
      <alignment horizontal="left"/>
    </xf>
    <xf borderId="25" fillId="4" fontId="1" numFmtId="0" xfId="0" applyAlignment="1" applyBorder="1" applyFont="1">
      <alignment horizontal="center"/>
    </xf>
    <xf borderId="26" fillId="4" fontId="1" numFmtId="0" xfId="0" applyAlignment="1" applyBorder="1" applyFont="1">
      <alignment horizontal="left"/>
    </xf>
    <xf borderId="27" fillId="4" fontId="1" numFmtId="164" xfId="0" applyAlignment="1" applyBorder="1" applyFont="1" applyNumberFormat="1">
      <alignment horizontal="center"/>
    </xf>
    <xf borderId="28" fillId="0" fontId="1" numFmtId="164" xfId="0" applyAlignment="1" applyBorder="1" applyFont="1" applyNumberFormat="1">
      <alignment horizontal="center"/>
    </xf>
    <xf borderId="29" fillId="0" fontId="1" numFmtId="164" xfId="0" applyAlignment="1" applyBorder="1" applyFont="1" applyNumberFormat="1">
      <alignment horizontal="center"/>
    </xf>
    <xf borderId="30" fillId="0" fontId="1" numFmtId="164" xfId="0" applyAlignment="1" applyBorder="1" applyFont="1" applyNumberFormat="1">
      <alignment horizontal="center"/>
    </xf>
    <xf borderId="31" fillId="0" fontId="1" numFmtId="9" xfId="0" applyAlignment="1" applyBorder="1" applyFont="1" applyNumberFormat="1">
      <alignment horizontal="center"/>
    </xf>
    <xf borderId="29" fillId="0" fontId="1" numFmtId="9" xfId="0" applyAlignment="1" applyBorder="1" applyFont="1" applyNumberFormat="1">
      <alignment horizontal="center"/>
    </xf>
    <xf borderId="32" fillId="0" fontId="1" numFmtId="9" xfId="0" applyAlignment="1" applyBorder="1" applyFont="1" applyNumberFormat="1">
      <alignment horizontal="center"/>
    </xf>
    <xf borderId="33" fillId="0" fontId="3" numFmtId="0" xfId="0" applyBorder="1" applyFont="1"/>
    <xf borderId="2" fillId="5" fontId="4" numFmtId="0" xfId="0" applyAlignment="1" applyBorder="1" applyFill="1" applyFont="1">
      <alignment horizontal="center"/>
    </xf>
    <xf borderId="3" fillId="5" fontId="4" numFmtId="0" xfId="0" applyAlignment="1" applyBorder="1" applyFont="1">
      <alignment horizontal="center"/>
    </xf>
    <xf borderId="6" fillId="5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7" fillId="5" fontId="4" numFmtId="0" xfId="0" applyAlignment="1" applyBorder="1" applyFont="1">
      <alignment horizontal="center"/>
    </xf>
    <xf borderId="2" fillId="6" fontId="4" numFmtId="0" xfId="0" applyAlignment="1" applyBorder="1" applyFill="1" applyFont="1">
      <alignment horizontal="center"/>
    </xf>
    <xf borderId="3" fillId="6" fontId="4" numFmtId="0" xfId="0" applyAlignment="1" applyBorder="1" applyFont="1">
      <alignment horizontal="center"/>
    </xf>
    <xf borderId="6" fillId="6" fontId="4" numFmtId="0" xfId="0" applyAlignment="1" applyBorder="1" applyFont="1">
      <alignment horizontal="center"/>
    </xf>
    <xf borderId="4" fillId="6" fontId="4" numFmtId="0" xfId="0" applyAlignment="1" applyBorder="1" applyFont="1">
      <alignment horizontal="center"/>
    </xf>
    <xf borderId="7" fillId="6" fontId="4" numFmtId="0" xfId="0" applyAlignment="1" applyBorder="1" applyFont="1">
      <alignment horizontal="center"/>
    </xf>
    <xf borderId="9" fillId="0" fontId="4" numFmtId="164" xfId="0" applyAlignment="1" applyBorder="1" applyFont="1" applyNumberFormat="1">
      <alignment horizontal="center"/>
    </xf>
    <xf borderId="10" fillId="0" fontId="4" numFmtId="164" xfId="0" applyAlignment="1" applyBorder="1" applyFont="1" applyNumberFormat="1">
      <alignment horizontal="center"/>
    </xf>
    <xf borderId="11" fillId="0" fontId="4" numFmtId="164" xfId="0" applyAlignment="1" applyBorder="1" applyFont="1" applyNumberFormat="1">
      <alignment horizontal="center"/>
    </xf>
    <xf borderId="12" fillId="0" fontId="4" numFmtId="164" xfId="0" applyAlignment="1" applyBorder="1" applyFont="1" applyNumberFormat="1">
      <alignment horizontal="center"/>
    </xf>
    <xf borderId="9" fillId="0" fontId="4" numFmtId="9" xfId="0" applyAlignment="1" applyBorder="1" applyFont="1" applyNumberFormat="1">
      <alignment horizontal="center"/>
    </xf>
    <xf borderId="11" fillId="0" fontId="4" numFmtId="9" xfId="0" applyAlignment="1" applyBorder="1" applyFont="1" applyNumberFormat="1">
      <alignment horizontal="center"/>
    </xf>
    <xf borderId="17" fillId="0" fontId="4" numFmtId="9" xfId="0" applyAlignment="1" applyBorder="1" applyFont="1" applyNumberFormat="1">
      <alignment horizontal="center"/>
    </xf>
    <xf borderId="8" fillId="0" fontId="1" numFmtId="0" xfId="0" applyAlignment="1" applyBorder="1" applyFont="1">
      <alignment horizontal="left"/>
    </xf>
    <xf borderId="33" fillId="0" fontId="1" numFmtId="0" xfId="0" applyBorder="1" applyFont="1"/>
    <xf borderId="31" fillId="0" fontId="1" numFmtId="164" xfId="0" applyAlignment="1" applyBorder="1" applyFont="1" applyNumberFormat="1">
      <alignment horizontal="center"/>
    </xf>
    <xf borderId="2" fillId="7" fontId="4" numFmtId="0" xfId="0" applyAlignment="1" applyBorder="1" applyFill="1" applyFont="1">
      <alignment horizontal="center"/>
    </xf>
    <xf borderId="3" fillId="7" fontId="4" numFmtId="0" xfId="0" applyAlignment="1" applyBorder="1" applyFont="1">
      <alignment horizontal="center"/>
    </xf>
    <xf borderId="6" fillId="7" fontId="4" numFmtId="0" xfId="0" applyAlignment="1" applyBorder="1" applyFont="1">
      <alignment horizontal="center"/>
    </xf>
    <xf borderId="4" fillId="7" fontId="4" numFmtId="0" xfId="0" applyAlignment="1" applyBorder="1" applyFont="1">
      <alignment horizontal="center"/>
    </xf>
    <xf borderId="7" fillId="7" fontId="4" numFmtId="0" xfId="0" applyAlignment="1" applyBorder="1" applyFont="1">
      <alignment horizontal="center"/>
    </xf>
    <xf borderId="8" fillId="0" fontId="4" numFmtId="0" xfId="0" applyAlignment="1" applyBorder="1" applyFont="1">
      <alignment horizontal="left"/>
    </xf>
    <xf borderId="2" fillId="8" fontId="4" numFmtId="0" xfId="0" applyAlignment="1" applyBorder="1" applyFill="1" applyFont="1">
      <alignment horizontal="center"/>
    </xf>
    <xf borderId="3" fillId="8" fontId="4" numFmtId="0" xfId="0" applyAlignment="1" applyBorder="1" applyFont="1">
      <alignment horizontal="center"/>
    </xf>
    <xf borderId="6" fillId="8" fontId="4" numFmtId="0" xfId="0" applyAlignment="1" applyBorder="1" applyFont="1">
      <alignment horizontal="center"/>
    </xf>
    <xf borderId="4" fillId="8" fontId="4" numFmtId="0" xfId="0" applyAlignment="1" applyBorder="1" applyFont="1">
      <alignment horizontal="center"/>
    </xf>
    <xf borderId="7" fillId="8" fontId="4" numFmtId="0" xfId="0" applyAlignment="1" applyBorder="1" applyFont="1">
      <alignment horizontal="center"/>
    </xf>
    <xf borderId="25" fillId="4" fontId="1" numFmtId="1" xfId="0" applyAlignment="1" applyBorder="1" applyFont="1" applyNumberFormat="1">
      <alignment horizontal="center"/>
    </xf>
    <xf borderId="10" fillId="0" fontId="1" numFmtId="1" xfId="0" applyAlignment="1" applyBorder="1" applyFont="1" applyNumberFormat="1">
      <alignment horizontal="center"/>
    </xf>
    <xf borderId="11" fillId="0" fontId="1" numFmtId="1" xfId="0" applyAlignment="1" applyBorder="1" applyFont="1" applyNumberFormat="1">
      <alignment horizontal="center"/>
    </xf>
    <xf borderId="12" fillId="0" fontId="1" numFmtId="1" xfId="0" applyAlignment="1" applyBorder="1" applyFont="1" applyNumberFormat="1">
      <alignment horizontal="center"/>
    </xf>
    <xf borderId="33" fillId="0" fontId="1" numFmtId="0" xfId="0" applyAlignment="1" applyBorder="1" applyFont="1">
      <alignment horizontal="left"/>
    </xf>
    <xf borderId="2" fillId="9" fontId="4" numFmtId="0" xfId="0" applyAlignment="1" applyBorder="1" applyFill="1" applyFont="1">
      <alignment horizontal="center"/>
    </xf>
    <xf borderId="3" fillId="9" fontId="4" numFmtId="0" xfId="0" applyAlignment="1" applyBorder="1" applyFont="1">
      <alignment horizontal="center"/>
    </xf>
    <xf borderId="6" fillId="9" fontId="4" numFmtId="0" xfId="0" applyAlignment="1" applyBorder="1" applyFont="1">
      <alignment horizontal="center"/>
    </xf>
    <xf borderId="4" fillId="9" fontId="4" numFmtId="0" xfId="0" applyAlignment="1" applyBorder="1" applyFont="1">
      <alignment horizontal="center"/>
    </xf>
    <xf borderId="7" fillId="9" fontId="4" numFmtId="0" xfId="0" applyAlignment="1" applyBorder="1" applyFont="1">
      <alignment horizontal="center"/>
    </xf>
    <xf borderId="34" fillId="0" fontId="1" numFmtId="164" xfId="0" applyAlignment="1" applyBorder="1" applyFont="1" applyNumberFormat="1">
      <alignment horizontal="center"/>
    </xf>
    <xf borderId="14" fillId="0" fontId="1" numFmtId="164" xfId="0" applyAlignment="1" applyBorder="1" applyFont="1" applyNumberFormat="1">
      <alignment horizontal="center"/>
    </xf>
    <xf borderId="35" fillId="0" fontId="1" numFmtId="164" xfId="0" applyAlignment="1" applyBorder="1" applyFont="1" applyNumberFormat="1">
      <alignment horizontal="center"/>
    </xf>
    <xf borderId="0" fillId="0" fontId="4" numFmtId="0" xfId="0" applyFont="1"/>
    <xf borderId="9" fillId="0" fontId="1" numFmtId="165" xfId="0" applyAlignment="1" applyBorder="1" applyFont="1" applyNumberFormat="1">
      <alignment horizontal="center"/>
    </xf>
    <xf borderId="31" fillId="0" fontId="1" numFmtId="165" xfId="0" applyAlignment="1" applyBorder="1" applyFont="1" applyNumberFormat="1">
      <alignment horizontal="center"/>
    </xf>
    <xf borderId="28" fillId="0" fontId="1" numFmtId="2" xfId="0" applyAlignment="1" applyBorder="1" applyFont="1" applyNumberFormat="1">
      <alignment horizontal="center"/>
    </xf>
    <xf borderId="29" fillId="0" fontId="1" numFmtId="2" xfId="0" applyAlignment="1" applyBorder="1" applyFont="1" applyNumberFormat="1">
      <alignment horizontal="center"/>
    </xf>
    <xf borderId="30" fillId="0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23.25"/>
    <col customWidth="1" min="3" max="12" width="11.75"/>
    <col customWidth="1" min="13" max="13" width="58.63"/>
    <col customWidth="1" min="14" max="26" width="9.3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 t="s">
        <v>2</v>
      </c>
      <c r="D3" s="7" t="s">
        <v>3</v>
      </c>
      <c r="E3" s="7" t="s">
        <v>4</v>
      </c>
      <c r="F3" s="8">
        <v>2019.0</v>
      </c>
      <c r="G3" s="9" t="s">
        <v>5</v>
      </c>
      <c r="H3" s="7" t="s">
        <v>6</v>
      </c>
      <c r="I3" s="10" t="s">
        <v>7</v>
      </c>
      <c r="J3" s="9" t="s">
        <v>8</v>
      </c>
      <c r="K3" s="7" t="s">
        <v>9</v>
      </c>
      <c r="L3" s="10" t="s">
        <v>10</v>
      </c>
      <c r="M3" s="5" t="s">
        <v>11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 t="s">
        <v>12</v>
      </c>
      <c r="C4" s="12">
        <v>49.0</v>
      </c>
      <c r="D4" s="12">
        <v>42.05330720652069</v>
      </c>
      <c r="E4" s="12">
        <v>42.05330720652069</v>
      </c>
      <c r="F4" s="12">
        <v>47.0</v>
      </c>
      <c r="G4" s="13">
        <f t="shared" ref="G4:I4" si="1">+IFERROR($C4-D4,"")</f>
        <v>6.946692793</v>
      </c>
      <c r="H4" s="14">
        <f t="shared" si="1"/>
        <v>6.946692793</v>
      </c>
      <c r="I4" s="15">
        <f t="shared" si="1"/>
        <v>2</v>
      </c>
      <c r="J4" s="16">
        <f t="shared" ref="J4:J15" si="3">+IFERROR(G4/ABS($D4),"")</f>
        <v>0.165187788</v>
      </c>
      <c r="K4" s="17">
        <f t="shared" ref="K4:K15" si="4">+IFERROR(H4/ABS($E4),"")</f>
        <v>0.165187788</v>
      </c>
      <c r="L4" s="18">
        <f t="shared" ref="L4:L15" si="5">+IFERROR(I4/ABS($F4),"")</f>
        <v>0.04255319149</v>
      </c>
      <c r="M4" s="19" t="s">
        <v>13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0" t="s">
        <v>14</v>
      </c>
      <c r="C5" s="21">
        <v>73123.0200000001</v>
      </c>
      <c r="D5" s="21">
        <v>55829.51765699926</v>
      </c>
      <c r="E5" s="21">
        <v>40127.65194030374</v>
      </c>
      <c r="F5" s="21">
        <v>28218.130000000012</v>
      </c>
      <c r="G5" s="22">
        <f t="shared" ref="G5:I5" si="2">+IFERROR($C5-D5,"")</f>
        <v>17293.50234</v>
      </c>
      <c r="H5" s="23">
        <f t="shared" si="2"/>
        <v>32995.36806</v>
      </c>
      <c r="I5" s="24">
        <f t="shared" si="2"/>
        <v>44904.89</v>
      </c>
      <c r="J5" s="25">
        <f t="shared" si="3"/>
        <v>0.3097555392</v>
      </c>
      <c r="K5" s="26">
        <f t="shared" si="4"/>
        <v>0.822260124</v>
      </c>
      <c r="L5" s="27">
        <f t="shared" si="5"/>
        <v>1.591348895</v>
      </c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0" t="s">
        <v>15</v>
      </c>
      <c r="C6" s="21">
        <f t="shared" ref="C6:F6" si="6">+C5/C4</f>
        <v>1492.306531</v>
      </c>
      <c r="D6" s="21">
        <f t="shared" si="6"/>
        <v>1327.589228</v>
      </c>
      <c r="E6" s="21">
        <f t="shared" si="6"/>
        <v>954.2091837</v>
      </c>
      <c r="F6" s="21">
        <f t="shared" si="6"/>
        <v>600.3857447</v>
      </c>
      <c r="G6" s="22">
        <f t="shared" ref="G6:I6" si="7">+IFERROR($C6-D6,"")</f>
        <v>164.7173024</v>
      </c>
      <c r="H6" s="23">
        <f t="shared" si="7"/>
        <v>538.0973469</v>
      </c>
      <c r="I6" s="24">
        <f t="shared" si="7"/>
        <v>891.9207859</v>
      </c>
      <c r="J6" s="25">
        <f t="shared" si="3"/>
        <v>0.1240724909</v>
      </c>
      <c r="K6" s="26">
        <f t="shared" si="4"/>
        <v>0.5639196899</v>
      </c>
      <c r="L6" s="27">
        <f t="shared" si="5"/>
        <v>1.485579553</v>
      </c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0" t="s">
        <v>16</v>
      </c>
      <c r="C7" s="21">
        <v>28099.75</v>
      </c>
      <c r="D7" s="21">
        <v>18320.291705879852</v>
      </c>
      <c r="E7" s="21">
        <v>18009.480509059926</v>
      </c>
      <c r="F7" s="21">
        <v>29284.78</v>
      </c>
      <c r="G7" s="22">
        <f t="shared" ref="G7:I7" si="8">+IFERROR($C7-D7,"")</f>
        <v>9779.458294</v>
      </c>
      <c r="H7" s="23">
        <f t="shared" si="8"/>
        <v>10090.26949</v>
      </c>
      <c r="I7" s="24">
        <f t="shared" si="8"/>
        <v>-1185.03</v>
      </c>
      <c r="J7" s="25">
        <f t="shared" si="3"/>
        <v>0.533804726</v>
      </c>
      <c r="K7" s="26">
        <f t="shared" si="4"/>
        <v>0.560275433</v>
      </c>
      <c r="L7" s="27">
        <f t="shared" si="5"/>
        <v>-0.04046572998</v>
      </c>
      <c r="M7" s="28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0" t="s">
        <v>17</v>
      </c>
      <c r="C8" s="25">
        <f t="shared" ref="C8:F8" si="9">+C7/C5</f>
        <v>0.3842804906</v>
      </c>
      <c r="D8" s="25">
        <f t="shared" si="9"/>
        <v>0.3281470533</v>
      </c>
      <c r="E8" s="25">
        <f t="shared" si="9"/>
        <v>0.4488047428</v>
      </c>
      <c r="F8" s="25">
        <f t="shared" si="9"/>
        <v>1.037800166</v>
      </c>
      <c r="G8" s="29">
        <f t="shared" ref="G8:I8" si="10">+IFERROR($C8-D8,"")</f>
        <v>0.05613343731</v>
      </c>
      <c r="H8" s="30">
        <f t="shared" si="10"/>
        <v>-0.06452425222</v>
      </c>
      <c r="I8" s="31">
        <f t="shared" si="10"/>
        <v>-0.6535196755</v>
      </c>
      <c r="J8" s="25">
        <f t="shared" si="3"/>
        <v>0.1710618357</v>
      </c>
      <c r="K8" s="26">
        <f t="shared" si="4"/>
        <v>-0.1437690961</v>
      </c>
      <c r="L8" s="27">
        <f t="shared" si="5"/>
        <v>-0.6297162949</v>
      </c>
      <c r="M8" s="2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0" t="s">
        <v>18</v>
      </c>
      <c r="C9" s="21">
        <v>32755.629999999997</v>
      </c>
      <c r="D9" s="21">
        <v>35745.31112554258</v>
      </c>
      <c r="E9" s="21">
        <v>35745.31112554258</v>
      </c>
      <c r="F9" s="21">
        <v>41824.700000000004</v>
      </c>
      <c r="G9" s="22">
        <f t="shared" ref="G9:I9" si="11">+IFERROR($C9-D9,"")</f>
        <v>-2989.681126</v>
      </c>
      <c r="H9" s="23">
        <f t="shared" si="11"/>
        <v>-2989.681126</v>
      </c>
      <c r="I9" s="24">
        <f t="shared" si="11"/>
        <v>-9069.07</v>
      </c>
      <c r="J9" s="25">
        <f t="shared" si="3"/>
        <v>-0.08363841386</v>
      </c>
      <c r="K9" s="26">
        <f t="shared" si="4"/>
        <v>-0.08363841386</v>
      </c>
      <c r="L9" s="27">
        <f t="shared" si="5"/>
        <v>-0.2168352672</v>
      </c>
      <c r="M9" s="2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 t="s">
        <v>19</v>
      </c>
      <c r="C10" s="21">
        <f t="shared" ref="C10:F10" si="12">+C9/C4</f>
        <v>668.4822449</v>
      </c>
      <c r="D10" s="21">
        <f t="shared" si="12"/>
        <v>850</v>
      </c>
      <c r="E10" s="21">
        <f t="shared" si="12"/>
        <v>850</v>
      </c>
      <c r="F10" s="21">
        <f t="shared" si="12"/>
        <v>889.887234</v>
      </c>
      <c r="G10" s="22">
        <f t="shared" ref="G10:I10" si="13">+IFERROR($C10-D10,"")</f>
        <v>-181.5177551</v>
      </c>
      <c r="H10" s="23">
        <f t="shared" si="13"/>
        <v>-181.5177551</v>
      </c>
      <c r="I10" s="24">
        <f t="shared" si="13"/>
        <v>-221.4049891</v>
      </c>
      <c r="J10" s="25">
        <f t="shared" si="3"/>
        <v>-0.2135503001</v>
      </c>
      <c r="K10" s="26">
        <f t="shared" si="4"/>
        <v>-0.2135503001</v>
      </c>
      <c r="L10" s="27">
        <f t="shared" si="5"/>
        <v>-0.2488011747</v>
      </c>
      <c r="M10" s="28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 t="s">
        <v>20</v>
      </c>
      <c r="C11" s="21">
        <v>9454.99</v>
      </c>
      <c r="D11" s="21">
        <v>10723.593337662775</v>
      </c>
      <c r="E11" s="21">
        <v>10723.593337662775</v>
      </c>
      <c r="F11" s="21">
        <v>10198.26</v>
      </c>
      <c r="G11" s="22">
        <f t="shared" ref="G11:I11" si="14">+IFERROR($C11-D11,"")</f>
        <v>-1268.603338</v>
      </c>
      <c r="H11" s="23">
        <f t="shared" si="14"/>
        <v>-1268.603338</v>
      </c>
      <c r="I11" s="24">
        <f t="shared" si="14"/>
        <v>-743.27</v>
      </c>
      <c r="J11" s="25">
        <f t="shared" si="3"/>
        <v>-0.1183002094</v>
      </c>
      <c r="K11" s="26">
        <f t="shared" si="4"/>
        <v>-0.1183002094</v>
      </c>
      <c r="L11" s="27">
        <f t="shared" si="5"/>
        <v>-0.07288204066</v>
      </c>
      <c r="M11" s="28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 t="s">
        <v>21</v>
      </c>
      <c r="C12" s="25">
        <f t="shared" ref="C12:F12" si="15">+C11/C9</f>
        <v>0.288652363</v>
      </c>
      <c r="D12" s="25">
        <f t="shared" si="15"/>
        <v>0.3</v>
      </c>
      <c r="E12" s="25">
        <f t="shared" si="15"/>
        <v>0.3</v>
      </c>
      <c r="F12" s="25">
        <f t="shared" si="15"/>
        <v>0.2438334286</v>
      </c>
      <c r="G12" s="32">
        <f t="shared" ref="G12:I12" si="16">+IFERROR($C12-D12,"")</f>
        <v>-0.01134763703</v>
      </c>
      <c r="H12" s="26">
        <f t="shared" si="16"/>
        <v>-0.01134763703</v>
      </c>
      <c r="I12" s="33">
        <f t="shared" si="16"/>
        <v>0.0448189344</v>
      </c>
      <c r="J12" s="25">
        <f t="shared" si="3"/>
        <v>-0.03782545677</v>
      </c>
      <c r="K12" s="26">
        <f t="shared" si="4"/>
        <v>-0.03782545677</v>
      </c>
      <c r="L12" s="27">
        <f t="shared" si="5"/>
        <v>0.1838096386</v>
      </c>
      <c r="M12" s="28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 t="s">
        <v>22</v>
      </c>
      <c r="C13" s="21">
        <v>28774.749999999993</v>
      </c>
      <c r="D13" s="21">
        <v>31563.117139845526</v>
      </c>
      <c r="E13" s="21">
        <v>31466.476862809788</v>
      </c>
      <c r="F13" s="21">
        <v>35194.07</v>
      </c>
      <c r="G13" s="22">
        <f t="shared" ref="G13:I13" si="17">+IFERROR($C13-D13,"")</f>
        <v>-2788.36714</v>
      </c>
      <c r="H13" s="23">
        <f t="shared" si="17"/>
        <v>-2691.726863</v>
      </c>
      <c r="I13" s="24">
        <f t="shared" si="17"/>
        <v>-6419.32</v>
      </c>
      <c r="J13" s="25">
        <f t="shared" si="3"/>
        <v>-0.08834257806</v>
      </c>
      <c r="K13" s="26">
        <f t="shared" si="4"/>
        <v>-0.08554268324</v>
      </c>
      <c r="L13" s="27">
        <f t="shared" si="5"/>
        <v>-0.1823977733</v>
      </c>
      <c r="M13" s="28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 t="s">
        <v>23</v>
      </c>
      <c r="C14" s="21">
        <f t="shared" ref="C14:F14" si="18">+C13/C4</f>
        <v>587.2397959</v>
      </c>
      <c r="D14" s="21">
        <f t="shared" si="18"/>
        <v>750.5501763</v>
      </c>
      <c r="E14" s="21">
        <f t="shared" si="18"/>
        <v>748.2521341</v>
      </c>
      <c r="F14" s="21">
        <f t="shared" si="18"/>
        <v>748.81</v>
      </c>
      <c r="G14" s="22">
        <f t="shared" ref="G14:I14" si="19">+IFERROR($C14-D14,"")</f>
        <v>-163.3103804</v>
      </c>
      <c r="H14" s="23">
        <f t="shared" si="19"/>
        <v>-161.0123382</v>
      </c>
      <c r="I14" s="24">
        <f t="shared" si="19"/>
        <v>-161.5702041</v>
      </c>
      <c r="J14" s="25">
        <f t="shared" si="3"/>
        <v>-0.2175875585</v>
      </c>
      <c r="K14" s="26">
        <f t="shared" si="4"/>
        <v>-0.2151846027</v>
      </c>
      <c r="L14" s="27">
        <f t="shared" si="5"/>
        <v>-0.2157692927</v>
      </c>
      <c r="M14" s="2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 t="s">
        <v>24</v>
      </c>
      <c r="C15" s="21">
        <v>150967.22</v>
      </c>
      <c r="D15" s="21">
        <v>51373.31656145089</v>
      </c>
      <c r="E15" s="21">
        <v>72275.54629356816</v>
      </c>
      <c r="F15" s="21">
        <v>138815.0</v>
      </c>
      <c r="G15" s="22">
        <f t="shared" ref="G15:I15" si="20">+IFERROR($C15-D15,"")</f>
        <v>99593.90344</v>
      </c>
      <c r="H15" s="23">
        <f t="shared" si="20"/>
        <v>78691.67371</v>
      </c>
      <c r="I15" s="24">
        <f t="shared" si="20"/>
        <v>12152.22</v>
      </c>
      <c r="J15" s="25">
        <f t="shared" si="3"/>
        <v>1.938630988</v>
      </c>
      <c r="K15" s="26">
        <f t="shared" si="4"/>
        <v>1.088773143</v>
      </c>
      <c r="L15" s="27">
        <f t="shared" si="5"/>
        <v>0.08754255664</v>
      </c>
      <c r="M15" s="2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 t="s">
        <v>25</v>
      </c>
      <c r="C16" s="35"/>
      <c r="D16" s="35"/>
      <c r="E16" s="35"/>
      <c r="F16" s="35"/>
      <c r="G16" s="36"/>
      <c r="H16" s="37"/>
      <c r="I16" s="38"/>
      <c r="J16" s="39"/>
      <c r="K16" s="40"/>
      <c r="L16" s="41"/>
      <c r="M16" s="28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2" t="s">
        <v>12</v>
      </c>
      <c r="C17" s="43">
        <v>164.0</v>
      </c>
      <c r="D17" s="43">
        <v>164.0</v>
      </c>
      <c r="E17" s="43">
        <v>141.0</v>
      </c>
      <c r="F17" s="43">
        <v>306.0</v>
      </c>
      <c r="G17" s="22">
        <f t="shared" ref="G17:I17" si="21">+IFERROR($C17-D17,"")</f>
        <v>0</v>
      </c>
      <c r="H17" s="23">
        <f t="shared" si="21"/>
        <v>23</v>
      </c>
      <c r="I17" s="24">
        <f t="shared" si="21"/>
        <v>-142</v>
      </c>
      <c r="J17" s="25">
        <f t="shared" ref="J17:J18" si="23">+IFERROR(G17/ABS($D17),"")</f>
        <v>0</v>
      </c>
      <c r="K17" s="26">
        <f t="shared" ref="K17:K18" si="24">+IFERROR(H17/ABS($E17),"")</f>
        <v>0.1631205674</v>
      </c>
      <c r="L17" s="27">
        <f t="shared" ref="L17:L18" si="25">+IFERROR(I17/ABS($F17),"")</f>
        <v>-0.4640522876</v>
      </c>
      <c r="M17" s="2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4" t="s">
        <v>26</v>
      </c>
      <c r="C18" s="45">
        <v>5689693.18</v>
      </c>
      <c r="D18" s="45">
        <v>5689693.18</v>
      </c>
      <c r="E18" s="45">
        <v>4513319.0</v>
      </c>
      <c r="F18" s="45">
        <v>9372292.86</v>
      </c>
      <c r="G18" s="46">
        <f t="shared" ref="G18:I18" si="22">+IFERROR($C18-D18,"")</f>
        <v>0</v>
      </c>
      <c r="H18" s="47">
        <f t="shared" si="22"/>
        <v>1176374.18</v>
      </c>
      <c r="I18" s="48">
        <f t="shared" si="22"/>
        <v>-3682599.68</v>
      </c>
      <c r="J18" s="49">
        <f t="shared" si="23"/>
        <v>0</v>
      </c>
      <c r="K18" s="50">
        <f t="shared" si="24"/>
        <v>0.2606450331</v>
      </c>
      <c r="L18" s="51">
        <f t="shared" si="25"/>
        <v>-0.3929240939</v>
      </c>
      <c r="M18" s="5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3" t="s">
        <v>27</v>
      </c>
      <c r="C20" s="54" t="s">
        <v>2</v>
      </c>
      <c r="D20" s="54" t="s">
        <v>3</v>
      </c>
      <c r="E20" s="54" t="s">
        <v>4</v>
      </c>
      <c r="F20" s="54">
        <v>2019.0</v>
      </c>
      <c r="G20" s="55" t="s">
        <v>5</v>
      </c>
      <c r="H20" s="56" t="s">
        <v>6</v>
      </c>
      <c r="I20" s="57" t="s">
        <v>7</v>
      </c>
      <c r="J20" s="55" t="s">
        <v>8</v>
      </c>
      <c r="K20" s="56" t="s">
        <v>9</v>
      </c>
      <c r="L20" s="57" t="s">
        <v>10</v>
      </c>
      <c r="M20" s="53" t="s">
        <v>11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 t="s">
        <v>12</v>
      </c>
      <c r="C21" s="12">
        <v>30.0</v>
      </c>
      <c r="D21" s="12">
        <v>25.70847616411523</v>
      </c>
      <c r="E21" s="12">
        <v>25.70847616411523</v>
      </c>
      <c r="F21" s="12">
        <v>28.0</v>
      </c>
      <c r="G21" s="13">
        <f t="shared" ref="G21:I21" si="26">+IFERROR($C21-D21,"")</f>
        <v>4.291523836</v>
      </c>
      <c r="H21" s="14">
        <f t="shared" si="26"/>
        <v>4.291523836</v>
      </c>
      <c r="I21" s="15">
        <f t="shared" si="26"/>
        <v>2</v>
      </c>
      <c r="J21" s="16">
        <f t="shared" ref="J21:J32" si="28">+IFERROR(G21/ABS($D21),"")</f>
        <v>0.1669303077</v>
      </c>
      <c r="K21" s="17">
        <f t="shared" ref="K21:K32" si="29">+IFERROR(H21/ABS($E21),"")</f>
        <v>0.1669303077</v>
      </c>
      <c r="L21" s="18">
        <f t="shared" ref="L21:L32" si="30">+IFERROR(I21/ABS($F21),"")</f>
        <v>0.07142857143</v>
      </c>
      <c r="M21" s="19" t="s">
        <v>28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0" t="s">
        <v>14</v>
      </c>
      <c r="C22" s="21">
        <v>22956.91999999997</v>
      </c>
      <c r="D22" s="21">
        <v>19281.35712308642</v>
      </c>
      <c r="E22" s="21">
        <v>19281.35712308642</v>
      </c>
      <c r="F22" s="21">
        <v>13292.33999999997</v>
      </c>
      <c r="G22" s="22">
        <f t="shared" ref="G22:I22" si="27">+IFERROR($C22-D22,"")</f>
        <v>3675.562877</v>
      </c>
      <c r="H22" s="23">
        <f t="shared" si="27"/>
        <v>3675.562877</v>
      </c>
      <c r="I22" s="24">
        <f t="shared" si="27"/>
        <v>9664.58</v>
      </c>
      <c r="J22" s="25">
        <f t="shared" si="28"/>
        <v>0.1906278097</v>
      </c>
      <c r="K22" s="26">
        <f t="shared" si="29"/>
        <v>0.1906278097</v>
      </c>
      <c r="L22" s="27">
        <f t="shared" si="30"/>
        <v>0.7270789041</v>
      </c>
      <c r="M22" s="2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0" t="s">
        <v>15</v>
      </c>
      <c r="C23" s="21">
        <f t="shared" ref="C23:F23" si="31">+C22/C21</f>
        <v>765.2306667</v>
      </c>
      <c r="D23" s="21">
        <f t="shared" si="31"/>
        <v>750</v>
      </c>
      <c r="E23" s="21">
        <f t="shared" si="31"/>
        <v>750</v>
      </c>
      <c r="F23" s="21">
        <f t="shared" si="31"/>
        <v>474.7264286</v>
      </c>
      <c r="G23" s="22">
        <f t="shared" ref="G23:I23" si="32">+IFERROR($C23-D23,"")</f>
        <v>15.23066667</v>
      </c>
      <c r="H23" s="23">
        <f t="shared" si="32"/>
        <v>15.23066667</v>
      </c>
      <c r="I23" s="24">
        <f t="shared" si="32"/>
        <v>290.5042381</v>
      </c>
      <c r="J23" s="25">
        <f t="shared" si="28"/>
        <v>0.02030755556</v>
      </c>
      <c r="K23" s="26">
        <f t="shared" si="29"/>
        <v>0.02030755556</v>
      </c>
      <c r="L23" s="27">
        <f t="shared" si="30"/>
        <v>0.6119403105</v>
      </c>
      <c r="M23" s="2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0" t="s">
        <v>16</v>
      </c>
      <c r="C24" s="21">
        <v>11594.14</v>
      </c>
      <c r="D24" s="21">
        <v>12124.88177869568</v>
      </c>
      <c r="E24" s="21">
        <v>12124.88177869568</v>
      </c>
      <c r="F24" s="21">
        <v>16898.05</v>
      </c>
      <c r="G24" s="22">
        <f t="shared" ref="G24:I24" si="33">+IFERROR($C24-D24,"")</f>
        <v>-530.7417787</v>
      </c>
      <c r="H24" s="23">
        <f t="shared" si="33"/>
        <v>-530.7417787</v>
      </c>
      <c r="I24" s="24">
        <f t="shared" si="33"/>
        <v>-5303.91</v>
      </c>
      <c r="J24" s="25">
        <f t="shared" si="28"/>
        <v>-0.04377294463</v>
      </c>
      <c r="K24" s="26">
        <f t="shared" si="29"/>
        <v>-0.04377294463</v>
      </c>
      <c r="L24" s="27">
        <f t="shared" si="30"/>
        <v>-0.313877045</v>
      </c>
      <c r="M24" s="2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0" t="s">
        <v>17</v>
      </c>
      <c r="C25" s="25">
        <f t="shared" ref="C25:F25" si="34">+C24/C22</f>
        <v>0.5050390035</v>
      </c>
      <c r="D25" s="25">
        <f t="shared" si="34"/>
        <v>0.6288396455</v>
      </c>
      <c r="E25" s="25">
        <f t="shared" si="34"/>
        <v>0.6288396455</v>
      </c>
      <c r="F25" s="25">
        <f t="shared" si="34"/>
        <v>1.271262246</v>
      </c>
      <c r="G25" s="29">
        <f t="shared" ref="G25:I25" si="35">+IFERROR($C25-D25,"")</f>
        <v>-0.123800642</v>
      </c>
      <c r="H25" s="30">
        <f t="shared" si="35"/>
        <v>-0.123800642</v>
      </c>
      <c r="I25" s="31">
        <f t="shared" si="35"/>
        <v>-0.7662232423</v>
      </c>
      <c r="J25" s="25">
        <f t="shared" si="28"/>
        <v>-0.1968715601</v>
      </c>
      <c r="K25" s="26">
        <f t="shared" si="29"/>
        <v>-0.1968715601</v>
      </c>
      <c r="L25" s="27">
        <f t="shared" si="30"/>
        <v>-0.6027263413</v>
      </c>
      <c r="M25" s="2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0" t="s">
        <v>18</v>
      </c>
      <c r="C26" s="21">
        <v>48828.55</v>
      </c>
      <c r="D26" s="21">
        <v>44100.30998912554</v>
      </c>
      <c r="E26" s="21">
        <v>44100.30998912554</v>
      </c>
      <c r="F26" s="21">
        <v>28507.37</v>
      </c>
      <c r="G26" s="22">
        <f t="shared" ref="G26:I26" si="36">+IFERROR($C26-D26,"")</f>
        <v>4728.240011</v>
      </c>
      <c r="H26" s="23">
        <f t="shared" si="36"/>
        <v>4728.240011</v>
      </c>
      <c r="I26" s="24">
        <f t="shared" si="36"/>
        <v>20321.18</v>
      </c>
      <c r="J26" s="25">
        <f t="shared" si="28"/>
        <v>0.1072155731</v>
      </c>
      <c r="K26" s="26">
        <f t="shared" si="29"/>
        <v>0.1072155731</v>
      </c>
      <c r="L26" s="27">
        <f t="shared" si="30"/>
        <v>0.7128395218</v>
      </c>
      <c r="M26" s="2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0" t="s">
        <v>19</v>
      </c>
      <c r="C27" s="21">
        <f t="shared" ref="C27:F27" si="37">+C26/C21</f>
        <v>1627.618333</v>
      </c>
      <c r="D27" s="21">
        <f t="shared" si="37"/>
        <v>1715.39961</v>
      </c>
      <c r="E27" s="21">
        <f t="shared" si="37"/>
        <v>1715.39961</v>
      </c>
      <c r="F27" s="21">
        <f t="shared" si="37"/>
        <v>1018.120357</v>
      </c>
      <c r="G27" s="22">
        <f t="shared" ref="G27:I27" si="38">+IFERROR($C27-D27,"")</f>
        <v>-87.7812768</v>
      </c>
      <c r="H27" s="23">
        <f t="shared" si="38"/>
        <v>-87.7812768</v>
      </c>
      <c r="I27" s="24">
        <f t="shared" si="38"/>
        <v>609.4979762</v>
      </c>
      <c r="J27" s="25">
        <f t="shared" si="28"/>
        <v>-0.05117249432</v>
      </c>
      <c r="K27" s="26">
        <f t="shared" si="29"/>
        <v>-0.05117249432</v>
      </c>
      <c r="L27" s="27">
        <f t="shared" si="30"/>
        <v>0.5986502204</v>
      </c>
      <c r="M27" s="2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0" t="s">
        <v>20</v>
      </c>
      <c r="C28" s="21">
        <v>13719.98</v>
      </c>
      <c r="D28" s="21">
        <v>13230.092996737661</v>
      </c>
      <c r="E28" s="21">
        <v>13230.092996737661</v>
      </c>
      <c r="F28" s="21">
        <v>5474.49</v>
      </c>
      <c r="G28" s="22">
        <f t="shared" ref="G28:I28" si="39">+IFERROR($C28-D28,"")</f>
        <v>489.8870033</v>
      </c>
      <c r="H28" s="23">
        <f t="shared" si="39"/>
        <v>489.8870033</v>
      </c>
      <c r="I28" s="24">
        <f t="shared" si="39"/>
        <v>8245.49</v>
      </c>
      <c r="J28" s="25">
        <f t="shared" si="28"/>
        <v>0.03702823581</v>
      </c>
      <c r="K28" s="26">
        <f t="shared" si="29"/>
        <v>0.03702823581</v>
      </c>
      <c r="L28" s="27">
        <f t="shared" si="30"/>
        <v>1.506165871</v>
      </c>
      <c r="M28" s="2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0" t="s">
        <v>21</v>
      </c>
      <c r="C29" s="25">
        <f t="shared" ref="C29:F29" si="40">+C28/C26</f>
        <v>0.2809827447</v>
      </c>
      <c r="D29" s="25">
        <f t="shared" si="40"/>
        <v>0.3</v>
      </c>
      <c r="E29" s="25">
        <f t="shared" si="40"/>
        <v>0.3</v>
      </c>
      <c r="F29" s="25">
        <f t="shared" si="40"/>
        <v>0.1920377081</v>
      </c>
      <c r="G29" s="32">
        <f t="shared" ref="G29:I29" si="41">+IFERROR($C29-D29,"")</f>
        <v>-0.01901725527</v>
      </c>
      <c r="H29" s="26">
        <f t="shared" si="41"/>
        <v>-0.01901725527</v>
      </c>
      <c r="I29" s="33">
        <f t="shared" si="41"/>
        <v>0.08894503658</v>
      </c>
      <c r="J29" s="25">
        <f t="shared" si="28"/>
        <v>-0.06339085091</v>
      </c>
      <c r="K29" s="26">
        <f t="shared" si="29"/>
        <v>-0.06339085091</v>
      </c>
      <c r="L29" s="27">
        <f t="shared" si="30"/>
        <v>0.463164435</v>
      </c>
      <c r="M29" s="28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0" t="s">
        <v>22</v>
      </c>
      <c r="C30" s="21">
        <v>13643.329999999998</v>
      </c>
      <c r="D30" s="21">
        <v>7481.593386979865</v>
      </c>
      <c r="E30" s="21">
        <v>7481.593386979865</v>
      </c>
      <c r="F30" s="21">
        <v>10076.080000000004</v>
      </c>
      <c r="G30" s="22">
        <f t="shared" ref="G30:I30" si="42">+IFERROR($C30-D30,"")</f>
        <v>6161.736613</v>
      </c>
      <c r="H30" s="23">
        <f t="shared" si="42"/>
        <v>6161.736613</v>
      </c>
      <c r="I30" s="24">
        <f t="shared" si="42"/>
        <v>3567.25</v>
      </c>
      <c r="J30" s="25">
        <f t="shared" si="28"/>
        <v>0.8235861392</v>
      </c>
      <c r="K30" s="26">
        <f t="shared" si="29"/>
        <v>0.8235861392</v>
      </c>
      <c r="L30" s="27">
        <f t="shared" si="30"/>
        <v>0.3540315281</v>
      </c>
      <c r="M30" s="28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0" t="s">
        <v>23</v>
      </c>
      <c r="C31" s="21">
        <f t="shared" ref="C31:F31" si="43">+C30/C21</f>
        <v>454.7776667</v>
      </c>
      <c r="D31" s="21">
        <f t="shared" si="43"/>
        <v>291.0166024</v>
      </c>
      <c r="E31" s="21">
        <f t="shared" si="43"/>
        <v>291.0166024</v>
      </c>
      <c r="F31" s="21">
        <f t="shared" si="43"/>
        <v>359.86</v>
      </c>
      <c r="G31" s="22">
        <f t="shared" ref="G31:I31" si="44">+IFERROR($C31-D31,"")</f>
        <v>163.7610642</v>
      </c>
      <c r="H31" s="23">
        <f t="shared" si="44"/>
        <v>163.7610642</v>
      </c>
      <c r="I31" s="24">
        <f t="shared" si="44"/>
        <v>94.91766667</v>
      </c>
      <c r="J31" s="25">
        <f t="shared" si="28"/>
        <v>0.5627206931</v>
      </c>
      <c r="K31" s="26">
        <f t="shared" si="29"/>
        <v>0.5627206931</v>
      </c>
      <c r="L31" s="27">
        <f t="shared" si="30"/>
        <v>0.2637627596</v>
      </c>
      <c r="M31" s="28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0" t="s">
        <v>24</v>
      </c>
      <c r="C32" s="21">
        <v>10470.0</v>
      </c>
      <c r="D32" s="21">
        <v>8075.0323631485935</v>
      </c>
      <c r="E32" s="21">
        <v>8075.0323631485935</v>
      </c>
      <c r="F32" s="21">
        <v>0.0</v>
      </c>
      <c r="G32" s="22">
        <f t="shared" ref="G32:I32" si="45">+IFERROR($C32-D32,"")</f>
        <v>2394.967637</v>
      </c>
      <c r="H32" s="23">
        <f t="shared" si="45"/>
        <v>2394.967637</v>
      </c>
      <c r="I32" s="24">
        <f t="shared" si="45"/>
        <v>10470</v>
      </c>
      <c r="J32" s="25">
        <f t="shared" si="28"/>
        <v>0.2965892307</v>
      </c>
      <c r="K32" s="26">
        <f t="shared" si="29"/>
        <v>0.2965892307</v>
      </c>
      <c r="L32" s="27" t="str">
        <f t="shared" si="30"/>
        <v/>
      </c>
      <c r="M32" s="2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4" t="s">
        <v>25</v>
      </c>
      <c r="C33" s="35"/>
      <c r="D33" s="35"/>
      <c r="E33" s="35"/>
      <c r="F33" s="35"/>
      <c r="G33" s="36"/>
      <c r="H33" s="37"/>
      <c r="I33" s="38"/>
      <c r="J33" s="39"/>
      <c r="K33" s="40"/>
      <c r="L33" s="41"/>
      <c r="M33" s="28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42" t="s">
        <v>12</v>
      </c>
      <c r="C34" s="43">
        <v>92.0</v>
      </c>
      <c r="D34" s="43">
        <v>92.0</v>
      </c>
      <c r="E34" s="43">
        <v>55.0</v>
      </c>
      <c r="F34" s="43">
        <v>49.0</v>
      </c>
      <c r="G34" s="22">
        <f t="shared" ref="G34:I34" si="46">+IFERROR($C34-D34,"")</f>
        <v>0</v>
      </c>
      <c r="H34" s="23">
        <f t="shared" si="46"/>
        <v>37</v>
      </c>
      <c r="I34" s="24">
        <f t="shared" si="46"/>
        <v>43</v>
      </c>
      <c r="J34" s="25">
        <f t="shared" ref="J34:J35" si="48">+IFERROR(G34/ABS($D34),"")</f>
        <v>0</v>
      </c>
      <c r="K34" s="26">
        <f t="shared" ref="K34:K35" si="49">+IFERROR(H34/ABS($E34),"")</f>
        <v>0.6727272727</v>
      </c>
      <c r="L34" s="27">
        <f t="shared" ref="L34:L35" si="50">+IFERROR(I34/ABS($F34),"")</f>
        <v>0.8775510204</v>
      </c>
      <c r="M34" s="2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44" t="s">
        <v>26</v>
      </c>
      <c r="C35" s="45">
        <v>1510979.0</v>
      </c>
      <c r="D35" s="45">
        <v>1510979.0</v>
      </c>
      <c r="E35" s="45">
        <v>919262.0</v>
      </c>
      <c r="F35" s="45">
        <v>813537.0</v>
      </c>
      <c r="G35" s="46">
        <f t="shared" ref="G35:I35" si="47">+IFERROR($C35-D35,"")</f>
        <v>0</v>
      </c>
      <c r="H35" s="47">
        <f t="shared" si="47"/>
        <v>591717</v>
      </c>
      <c r="I35" s="48">
        <f t="shared" si="47"/>
        <v>697442</v>
      </c>
      <c r="J35" s="49">
        <f t="shared" si="48"/>
        <v>0</v>
      </c>
      <c r="K35" s="50">
        <f t="shared" si="49"/>
        <v>0.6436870011</v>
      </c>
      <c r="L35" s="51">
        <f t="shared" si="50"/>
        <v>0.8572959804</v>
      </c>
      <c r="M35" s="5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8" t="s">
        <v>29</v>
      </c>
      <c r="C37" s="59" t="s">
        <v>2</v>
      </c>
      <c r="D37" s="59" t="s">
        <v>3</v>
      </c>
      <c r="E37" s="59" t="s">
        <v>4</v>
      </c>
      <c r="F37" s="59">
        <v>2019.0</v>
      </c>
      <c r="G37" s="60" t="s">
        <v>5</v>
      </c>
      <c r="H37" s="61" t="s">
        <v>6</v>
      </c>
      <c r="I37" s="62" t="s">
        <v>7</v>
      </c>
      <c r="J37" s="60" t="s">
        <v>8</v>
      </c>
      <c r="K37" s="61" t="s">
        <v>9</v>
      </c>
      <c r="L37" s="62" t="s">
        <v>10</v>
      </c>
      <c r="M37" s="58" t="s">
        <v>11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1" t="s">
        <v>30</v>
      </c>
      <c r="C38" s="63">
        <v>168732.88999999998</v>
      </c>
      <c r="D38" s="63">
        <v>193666.11828077197</v>
      </c>
      <c r="E38" s="63">
        <v>193666.11828077197</v>
      </c>
      <c r="F38" s="63">
        <v>193807.03999999998</v>
      </c>
      <c r="G38" s="64">
        <f t="shared" ref="G38:I38" si="51">+IFERROR($C38-D38,"")</f>
        <v>-24933.22828</v>
      </c>
      <c r="H38" s="65">
        <f t="shared" si="51"/>
        <v>-24933.22828</v>
      </c>
      <c r="I38" s="66">
        <f t="shared" si="51"/>
        <v>-25074.15</v>
      </c>
      <c r="J38" s="16">
        <f t="shared" ref="J38:J47" si="53">+IFERROR(G38/ABS($D38),"")</f>
        <v>-0.1287433677</v>
      </c>
      <c r="K38" s="17">
        <f t="shared" ref="K38:K47" si="54">+IFERROR(H38/ABS($E38),"")</f>
        <v>-0.1287433677</v>
      </c>
      <c r="L38" s="18">
        <f t="shared" ref="L38:L47" si="55">+IFERROR(I38/ABS($F38),"")</f>
        <v>-0.1293768792</v>
      </c>
      <c r="M38" s="19" t="s">
        <v>31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1" t="s">
        <v>32</v>
      </c>
      <c r="C39" s="63">
        <v>110208.16</v>
      </c>
      <c r="D39" s="63">
        <v>129640.08089998038</v>
      </c>
      <c r="E39" s="63">
        <v>129640.08089998038</v>
      </c>
      <c r="F39" s="63">
        <v>125061.47</v>
      </c>
      <c r="G39" s="64">
        <f t="shared" ref="G39:I39" si="52">+IFERROR($C39-D39,"")</f>
        <v>-19431.9209</v>
      </c>
      <c r="H39" s="65">
        <f t="shared" si="52"/>
        <v>-19431.9209</v>
      </c>
      <c r="I39" s="66">
        <f t="shared" si="52"/>
        <v>-14853.31</v>
      </c>
      <c r="J39" s="67">
        <f t="shared" si="53"/>
        <v>-0.149891305</v>
      </c>
      <c r="K39" s="68">
        <f t="shared" si="54"/>
        <v>-0.149891305</v>
      </c>
      <c r="L39" s="69">
        <f t="shared" si="55"/>
        <v>-0.1187680746</v>
      </c>
      <c r="M39" s="2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0" t="s">
        <v>33</v>
      </c>
      <c r="C40" s="21">
        <v>230.64432314410482</v>
      </c>
      <c r="D40" s="21">
        <v>245.43848580441644</v>
      </c>
      <c r="E40" s="21">
        <v>245.43848580441644</v>
      </c>
      <c r="F40" s="21">
        <v>230.52213333333333</v>
      </c>
      <c r="G40" s="22">
        <f t="shared" ref="G40:I40" si="56">+IFERROR($C40-D40,"")</f>
        <v>-14.79416266</v>
      </c>
      <c r="H40" s="23">
        <f t="shared" si="56"/>
        <v>-14.79416266</v>
      </c>
      <c r="I40" s="24">
        <f t="shared" si="56"/>
        <v>0.1221898108</v>
      </c>
      <c r="J40" s="25">
        <f t="shared" si="53"/>
        <v>-0.06027645832</v>
      </c>
      <c r="K40" s="26">
        <f t="shared" si="54"/>
        <v>-0.06027645832</v>
      </c>
      <c r="L40" s="27">
        <f t="shared" si="55"/>
        <v>0.0005300567412</v>
      </c>
      <c r="M40" s="2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0" t="s">
        <v>34</v>
      </c>
      <c r="C41" s="21">
        <v>194.10842741935483</v>
      </c>
      <c r="D41" s="21">
        <v>176.7340025094103</v>
      </c>
      <c r="E41" s="21">
        <v>176.7340025094103</v>
      </c>
      <c r="F41" s="21">
        <v>262.82362831858404</v>
      </c>
      <c r="G41" s="22">
        <f t="shared" ref="G41:I41" si="57">+IFERROR($C41-D41,"")</f>
        <v>17.37442491</v>
      </c>
      <c r="H41" s="23">
        <f t="shared" si="57"/>
        <v>17.37442491</v>
      </c>
      <c r="I41" s="24">
        <f t="shared" si="57"/>
        <v>-68.7152009</v>
      </c>
      <c r="J41" s="25">
        <f t="shared" si="53"/>
        <v>0.09830833152</v>
      </c>
      <c r="K41" s="26">
        <f t="shared" si="54"/>
        <v>0.09830833152</v>
      </c>
      <c r="L41" s="27">
        <f t="shared" si="55"/>
        <v>-0.2614498603</v>
      </c>
      <c r="M41" s="2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0" t="s">
        <v>35</v>
      </c>
      <c r="C42" s="21">
        <v>-1992.56</v>
      </c>
      <c r="D42" s="21">
        <v>-3065.663209743899</v>
      </c>
      <c r="E42" s="21">
        <v>-3065.663209743899</v>
      </c>
      <c r="F42" s="21">
        <v>-2330.34</v>
      </c>
      <c r="G42" s="22">
        <f t="shared" ref="G42:I42" si="58">+IFERROR($C42-D42,"")</f>
        <v>1073.10321</v>
      </c>
      <c r="H42" s="23">
        <f t="shared" si="58"/>
        <v>1073.10321</v>
      </c>
      <c r="I42" s="24">
        <f t="shared" si="58"/>
        <v>337.78</v>
      </c>
      <c r="J42" s="25">
        <f t="shared" si="53"/>
        <v>0.3500394976</v>
      </c>
      <c r="K42" s="26">
        <f t="shared" si="54"/>
        <v>0.3500394976</v>
      </c>
      <c r="L42" s="27">
        <f t="shared" si="55"/>
        <v>0.1449488058</v>
      </c>
      <c r="M42" s="2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0" t="s">
        <v>36</v>
      </c>
      <c r="C43" s="21">
        <v>75424.90000000001</v>
      </c>
      <c r="D43" s="21">
        <v>107149.61970304993</v>
      </c>
      <c r="E43" s="21">
        <v>107149.61970304993</v>
      </c>
      <c r="F43" s="21">
        <v>86642.99</v>
      </c>
      <c r="G43" s="22">
        <f t="shared" ref="G43:I43" si="59">+IFERROR($C43-D43,"")</f>
        <v>-31724.7197</v>
      </c>
      <c r="H43" s="23">
        <f t="shared" si="59"/>
        <v>-31724.7197</v>
      </c>
      <c r="I43" s="24">
        <f t="shared" si="59"/>
        <v>-11218.09</v>
      </c>
      <c r="J43" s="25">
        <f t="shared" si="53"/>
        <v>-0.2960786962</v>
      </c>
      <c r="K43" s="26">
        <f t="shared" si="54"/>
        <v>-0.2960786962</v>
      </c>
      <c r="L43" s="27">
        <f t="shared" si="55"/>
        <v>-0.1294748715</v>
      </c>
      <c r="M43" s="2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70" t="s">
        <v>37</v>
      </c>
      <c r="C44" s="21">
        <v>43331.700000000004</v>
      </c>
      <c r="D44" s="21">
        <v>61041.02741682759</v>
      </c>
      <c r="E44" s="21">
        <v>61041.02741682759</v>
      </c>
      <c r="F44" s="21">
        <v>50719.8</v>
      </c>
      <c r="G44" s="22">
        <f t="shared" ref="G44:I44" si="60">+IFERROR($C44-D44,"")</f>
        <v>-17709.32742</v>
      </c>
      <c r="H44" s="23">
        <f t="shared" si="60"/>
        <v>-17709.32742</v>
      </c>
      <c r="I44" s="24">
        <f t="shared" si="60"/>
        <v>-7388.1</v>
      </c>
      <c r="J44" s="25">
        <f t="shared" si="53"/>
        <v>-0.2901217127</v>
      </c>
      <c r="K44" s="26">
        <f t="shared" si="54"/>
        <v>-0.2901217127</v>
      </c>
      <c r="L44" s="27">
        <f t="shared" si="55"/>
        <v>-0.1456650066</v>
      </c>
      <c r="M44" s="2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70" t="s">
        <v>38</v>
      </c>
      <c r="C45" s="21">
        <v>32093.2</v>
      </c>
      <c r="D45" s="21">
        <v>46108.59228622234</v>
      </c>
      <c r="E45" s="21">
        <v>46108.59228622234</v>
      </c>
      <c r="F45" s="21">
        <v>35923.19</v>
      </c>
      <c r="G45" s="22">
        <f t="shared" ref="G45:I45" si="61">+IFERROR($C45-D45,"")</f>
        <v>-14015.39229</v>
      </c>
      <c r="H45" s="23">
        <f t="shared" si="61"/>
        <v>-14015.39229</v>
      </c>
      <c r="I45" s="24">
        <f t="shared" si="61"/>
        <v>-3829.99</v>
      </c>
      <c r="J45" s="25">
        <f t="shared" si="53"/>
        <v>-0.3039648706</v>
      </c>
      <c r="K45" s="26">
        <f t="shared" si="54"/>
        <v>-0.3039648706</v>
      </c>
      <c r="L45" s="27">
        <f t="shared" si="55"/>
        <v>-0.1066160884</v>
      </c>
      <c r="M45" s="2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0" t="s">
        <v>39</v>
      </c>
      <c r="C46" s="25">
        <f t="shared" ref="C46:F46" si="62">+C43/C38</f>
        <v>0.4470076936</v>
      </c>
      <c r="D46" s="25">
        <f t="shared" si="62"/>
        <v>0.5532698267</v>
      </c>
      <c r="E46" s="25">
        <f t="shared" si="62"/>
        <v>0.5532698267</v>
      </c>
      <c r="F46" s="25">
        <f t="shared" si="62"/>
        <v>0.4470580119</v>
      </c>
      <c r="G46" s="29">
        <f t="shared" ref="G46:I46" si="63">+IFERROR($C46-D46,"")</f>
        <v>-0.1062621331</v>
      </c>
      <c r="H46" s="30">
        <f t="shared" si="63"/>
        <v>-0.1062621331</v>
      </c>
      <c r="I46" s="31">
        <f t="shared" si="63"/>
        <v>-0.0000503182884</v>
      </c>
      <c r="J46" s="25">
        <f t="shared" si="53"/>
        <v>-0.1920620427</v>
      </c>
      <c r="K46" s="26">
        <f t="shared" si="54"/>
        <v>-0.1920620427</v>
      </c>
      <c r="L46" s="27">
        <f t="shared" si="55"/>
        <v>-0.0001125542705</v>
      </c>
      <c r="M46" s="2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71" t="s">
        <v>40</v>
      </c>
      <c r="C47" s="72">
        <v>12895.16</v>
      </c>
      <c r="D47" s="72">
        <v>16764.08</v>
      </c>
      <c r="E47" s="72">
        <v>16764.08</v>
      </c>
      <c r="F47" s="72">
        <v>10544.8</v>
      </c>
      <c r="G47" s="46">
        <f t="shared" ref="G47:I47" si="64">+IFERROR($C47-D47,"")</f>
        <v>-3868.92</v>
      </c>
      <c r="H47" s="47">
        <f t="shared" si="64"/>
        <v>-3868.92</v>
      </c>
      <c r="I47" s="48">
        <f t="shared" si="64"/>
        <v>2350.36</v>
      </c>
      <c r="J47" s="49">
        <f t="shared" si="53"/>
        <v>-0.2307863002</v>
      </c>
      <c r="K47" s="50">
        <f t="shared" si="54"/>
        <v>-0.2307863002</v>
      </c>
      <c r="L47" s="51">
        <f t="shared" si="55"/>
        <v>0.2228928002</v>
      </c>
      <c r="M47" s="5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73" t="s">
        <v>41</v>
      </c>
      <c r="C49" s="74" t="s">
        <v>2</v>
      </c>
      <c r="D49" s="74" t="s">
        <v>3</v>
      </c>
      <c r="E49" s="74" t="s">
        <v>4</v>
      </c>
      <c r="F49" s="74">
        <v>2019.0</v>
      </c>
      <c r="G49" s="75" t="s">
        <v>5</v>
      </c>
      <c r="H49" s="76" t="s">
        <v>6</v>
      </c>
      <c r="I49" s="77" t="s">
        <v>7</v>
      </c>
      <c r="J49" s="75" t="s">
        <v>8</v>
      </c>
      <c r="K49" s="76" t="s">
        <v>9</v>
      </c>
      <c r="L49" s="77" t="s">
        <v>10</v>
      </c>
      <c r="M49" s="73" t="s">
        <v>11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78" t="s">
        <v>30</v>
      </c>
      <c r="C50" s="63">
        <v>266002.44</v>
      </c>
      <c r="D50" s="63">
        <v>352952.0715395245</v>
      </c>
      <c r="E50" s="63">
        <v>352952.0715395245</v>
      </c>
      <c r="F50" s="63">
        <v>356648.99999999994</v>
      </c>
      <c r="G50" s="64">
        <f t="shared" ref="G50:I50" si="65">+IFERROR($C50-D50,"")</f>
        <v>-86949.63154</v>
      </c>
      <c r="H50" s="65">
        <f t="shared" si="65"/>
        <v>-86949.63154</v>
      </c>
      <c r="I50" s="66">
        <f t="shared" si="65"/>
        <v>-90646.56</v>
      </c>
      <c r="J50" s="16">
        <f t="shared" ref="J50:J59" si="67">+IFERROR(G50/ABS($D50),"")</f>
        <v>-0.2463496847</v>
      </c>
      <c r="K50" s="17">
        <f t="shared" ref="K50:K59" si="68">+IFERROR(H50/ABS($E50),"")</f>
        <v>-0.2463496847</v>
      </c>
      <c r="L50" s="18">
        <f t="shared" ref="L50:L59" si="69">+IFERROR(I50/ABS($F50),"")</f>
        <v>-0.254161823</v>
      </c>
      <c r="M50" s="19" t="s">
        <v>42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70" t="s">
        <v>43</v>
      </c>
      <c r="C51" s="21">
        <v>50576.29</v>
      </c>
      <c r="D51" s="21">
        <v>59119.003061909214</v>
      </c>
      <c r="E51" s="21">
        <v>59119.003061909214</v>
      </c>
      <c r="F51" s="21">
        <v>58381.590000000004</v>
      </c>
      <c r="G51" s="22">
        <f t="shared" ref="G51:I51" si="66">+IFERROR($C51-D51,"")</f>
        <v>-8542.713062</v>
      </c>
      <c r="H51" s="23">
        <f t="shared" si="66"/>
        <v>-8542.713062</v>
      </c>
      <c r="I51" s="24">
        <f t="shared" si="66"/>
        <v>-7805.3</v>
      </c>
      <c r="J51" s="25">
        <f t="shared" si="67"/>
        <v>-0.1445002896</v>
      </c>
      <c r="K51" s="26">
        <f t="shared" si="68"/>
        <v>-0.1445002896</v>
      </c>
      <c r="L51" s="27">
        <f t="shared" si="69"/>
        <v>-0.1336945431</v>
      </c>
      <c r="M51" s="2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70" t="s">
        <v>44</v>
      </c>
      <c r="C52" s="21">
        <v>62874.61</v>
      </c>
      <c r="D52" s="21">
        <v>86359.14236108668</v>
      </c>
      <c r="E52" s="21">
        <v>86359.14236108668</v>
      </c>
      <c r="F52" s="21">
        <v>87050.41</v>
      </c>
      <c r="G52" s="22">
        <f t="shared" ref="G52:I52" si="70">+IFERROR($C52-D52,"")</f>
        <v>-23484.53236</v>
      </c>
      <c r="H52" s="23">
        <f t="shared" si="70"/>
        <v>-23484.53236</v>
      </c>
      <c r="I52" s="24">
        <f t="shared" si="70"/>
        <v>-24175.8</v>
      </c>
      <c r="J52" s="25">
        <f t="shared" si="67"/>
        <v>-0.2719403148</v>
      </c>
      <c r="K52" s="26">
        <f t="shared" si="68"/>
        <v>-0.2719403148</v>
      </c>
      <c r="L52" s="27">
        <f t="shared" si="69"/>
        <v>-0.2777218396</v>
      </c>
      <c r="M52" s="2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70" t="s">
        <v>45</v>
      </c>
      <c r="C53" s="21">
        <v>31303.1</v>
      </c>
      <c r="D53" s="21">
        <v>56324.52011009617</v>
      </c>
      <c r="E53" s="21">
        <v>56324.52011009617</v>
      </c>
      <c r="F53" s="21">
        <v>41816.26</v>
      </c>
      <c r="G53" s="22">
        <f t="shared" ref="G53:I53" si="71">+IFERROR($C53-D53,"")</f>
        <v>-25021.42011</v>
      </c>
      <c r="H53" s="23">
        <f t="shared" si="71"/>
        <v>-25021.42011</v>
      </c>
      <c r="I53" s="24">
        <f t="shared" si="71"/>
        <v>-10513.16</v>
      </c>
      <c r="J53" s="25">
        <f t="shared" si="67"/>
        <v>-0.4442367207</v>
      </c>
      <c r="K53" s="26">
        <f t="shared" si="68"/>
        <v>-0.4442367207</v>
      </c>
      <c r="L53" s="27">
        <f t="shared" si="69"/>
        <v>-0.2514132063</v>
      </c>
      <c r="M53" s="2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70" t="s">
        <v>46</v>
      </c>
      <c r="C54" s="21">
        <v>28481.280000000002</v>
      </c>
      <c r="D54" s="21">
        <v>39790.08176904562</v>
      </c>
      <c r="E54" s="21">
        <v>39790.08176904562</v>
      </c>
      <c r="F54" s="21">
        <v>45755.36</v>
      </c>
      <c r="G54" s="22">
        <f t="shared" ref="G54:I54" si="72">+IFERROR($C54-D54,"")</f>
        <v>-11308.80177</v>
      </c>
      <c r="H54" s="23">
        <f t="shared" si="72"/>
        <v>-11308.80177</v>
      </c>
      <c r="I54" s="24">
        <f t="shared" si="72"/>
        <v>-17274.08</v>
      </c>
      <c r="J54" s="25">
        <f t="shared" si="67"/>
        <v>-0.284211574</v>
      </c>
      <c r="K54" s="26">
        <f t="shared" si="68"/>
        <v>-0.284211574</v>
      </c>
      <c r="L54" s="27">
        <f t="shared" si="69"/>
        <v>-0.3775312881</v>
      </c>
      <c r="M54" s="2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70" t="s">
        <v>47</v>
      </c>
      <c r="C55" s="21">
        <f t="shared" ref="C55:F55" si="73">+C50-SUM(C51:C54)</f>
        <v>92767.16</v>
      </c>
      <c r="D55" s="21">
        <f t="shared" si="73"/>
        <v>111359.3242</v>
      </c>
      <c r="E55" s="21">
        <f t="shared" si="73"/>
        <v>111359.3242</v>
      </c>
      <c r="F55" s="21">
        <f t="shared" si="73"/>
        <v>123645.38</v>
      </c>
      <c r="G55" s="22">
        <f t="shared" ref="G55:I55" si="74">+IFERROR($C55-D55,"")</f>
        <v>-18592.16424</v>
      </c>
      <c r="H55" s="23">
        <f t="shared" si="74"/>
        <v>-18592.16424</v>
      </c>
      <c r="I55" s="24">
        <f t="shared" si="74"/>
        <v>-30878.22</v>
      </c>
      <c r="J55" s="25">
        <f t="shared" si="67"/>
        <v>-0.166956511</v>
      </c>
      <c r="K55" s="26">
        <f t="shared" si="68"/>
        <v>-0.166956511</v>
      </c>
      <c r="L55" s="27">
        <f t="shared" si="69"/>
        <v>-0.2497320967</v>
      </c>
      <c r="M55" s="2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1" t="s">
        <v>32</v>
      </c>
      <c r="C56" s="63">
        <v>73282.35999999999</v>
      </c>
      <c r="D56" s="63">
        <v>103216.72684977336</v>
      </c>
      <c r="E56" s="63">
        <v>103216.72684977336</v>
      </c>
      <c r="F56" s="63">
        <v>100276.88</v>
      </c>
      <c r="G56" s="64">
        <f t="shared" ref="G56:I56" si="75">+IFERROR($C56-D56,"")</f>
        <v>-29934.36685</v>
      </c>
      <c r="H56" s="65">
        <f t="shared" si="75"/>
        <v>-29934.36685</v>
      </c>
      <c r="I56" s="66">
        <f t="shared" si="75"/>
        <v>-26994.52</v>
      </c>
      <c r="J56" s="67">
        <f t="shared" si="67"/>
        <v>-0.2900146882</v>
      </c>
      <c r="K56" s="68">
        <f t="shared" si="68"/>
        <v>-0.2900146882</v>
      </c>
      <c r="L56" s="69">
        <f t="shared" si="69"/>
        <v>-0.2691998395</v>
      </c>
      <c r="M56" s="2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0" t="s">
        <v>33</v>
      </c>
      <c r="C57" s="21">
        <v>220.8571615720524</v>
      </c>
      <c r="D57" s="21">
        <v>195.61410165740412</v>
      </c>
      <c r="E57" s="21">
        <v>195.61410165740412</v>
      </c>
      <c r="F57" s="21">
        <v>194.6053</v>
      </c>
      <c r="G57" s="22">
        <f t="shared" ref="G57:I57" si="76">+IFERROR($C57-D57,"")</f>
        <v>25.24305991</v>
      </c>
      <c r="H57" s="23">
        <f t="shared" si="76"/>
        <v>25.24305991</v>
      </c>
      <c r="I57" s="24">
        <f t="shared" si="76"/>
        <v>26.25186157</v>
      </c>
      <c r="J57" s="25">
        <f t="shared" si="67"/>
        <v>0.1290451951</v>
      </c>
      <c r="K57" s="26">
        <f t="shared" si="68"/>
        <v>0.1290451951</v>
      </c>
      <c r="L57" s="27">
        <f t="shared" si="69"/>
        <v>0.1348979785</v>
      </c>
      <c r="M57" s="2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0" t="s">
        <v>34</v>
      </c>
      <c r="C58" s="21">
        <v>253.52665322580646</v>
      </c>
      <c r="D58" s="21">
        <v>329.57482299690076</v>
      </c>
      <c r="E58" s="21">
        <v>329.57482299690076</v>
      </c>
      <c r="F58" s="21">
        <v>385.1788053097345</v>
      </c>
      <c r="G58" s="22">
        <f t="shared" ref="G58:I58" si="77">+IFERROR($C58-D58,"")</f>
        <v>-76.04816977</v>
      </c>
      <c r="H58" s="23">
        <f t="shared" si="77"/>
        <v>-76.04816977</v>
      </c>
      <c r="I58" s="24">
        <f t="shared" si="77"/>
        <v>-131.6521521</v>
      </c>
      <c r="J58" s="25">
        <f t="shared" si="67"/>
        <v>-0.2307462963</v>
      </c>
      <c r="K58" s="26">
        <f t="shared" si="68"/>
        <v>-0.2307462963</v>
      </c>
      <c r="L58" s="27">
        <f t="shared" si="69"/>
        <v>-0.3417949022</v>
      </c>
      <c r="M58" s="2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71" t="s">
        <v>48</v>
      </c>
      <c r="C59" s="72">
        <v>15461.49</v>
      </c>
      <c r="D59" s="72">
        <v>15060.610375111111</v>
      </c>
      <c r="E59" s="72">
        <v>15060.610375111111</v>
      </c>
      <c r="F59" s="72">
        <v>15936.34</v>
      </c>
      <c r="G59" s="46">
        <f t="shared" ref="G59:I59" si="78">+IFERROR($C59-D59,"")</f>
        <v>400.8796249</v>
      </c>
      <c r="H59" s="47">
        <f t="shared" si="78"/>
        <v>400.8796249</v>
      </c>
      <c r="I59" s="48">
        <f t="shared" si="78"/>
        <v>-474.85</v>
      </c>
      <c r="J59" s="49">
        <f t="shared" si="67"/>
        <v>0.02661775419</v>
      </c>
      <c r="K59" s="50">
        <f t="shared" si="68"/>
        <v>0.02661775419</v>
      </c>
      <c r="L59" s="51">
        <f t="shared" si="69"/>
        <v>-0.02979667853</v>
      </c>
      <c r="M59" s="5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79" t="s">
        <v>49</v>
      </c>
      <c r="C61" s="80" t="s">
        <v>2</v>
      </c>
      <c r="D61" s="80" t="s">
        <v>3</v>
      </c>
      <c r="E61" s="80" t="s">
        <v>4</v>
      </c>
      <c r="F61" s="80">
        <v>2019.0</v>
      </c>
      <c r="G61" s="81" t="s">
        <v>5</v>
      </c>
      <c r="H61" s="82" t="s">
        <v>6</v>
      </c>
      <c r="I61" s="83" t="s">
        <v>7</v>
      </c>
      <c r="J61" s="81" t="s">
        <v>8</v>
      </c>
      <c r="K61" s="82" t="s">
        <v>9</v>
      </c>
      <c r="L61" s="83" t="s">
        <v>10</v>
      </c>
      <c r="M61" s="79" t="s">
        <v>11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70" t="s">
        <v>50</v>
      </c>
      <c r="C62" s="25">
        <v>0.5833583069987288</v>
      </c>
      <c r="D62" s="25">
        <v>0.5929240658313129</v>
      </c>
      <c r="E62" s="25">
        <v>0.6179522865353142</v>
      </c>
      <c r="F62" s="25">
        <v>0.6912345815177924</v>
      </c>
      <c r="G62" s="29">
        <f t="shared" ref="G62:I62" si="79">+IFERROR($C62-D62,"")</f>
        <v>-0.009565758833</v>
      </c>
      <c r="H62" s="30">
        <f t="shared" si="79"/>
        <v>-0.03459397954</v>
      </c>
      <c r="I62" s="31">
        <f t="shared" si="79"/>
        <v>-0.1078762745</v>
      </c>
      <c r="J62" s="25">
        <f t="shared" ref="J62:J67" si="81">+IFERROR(G62/ABS($D62),"")</f>
        <v>-0.01613319375</v>
      </c>
      <c r="K62" s="26">
        <f t="shared" ref="K62:K67" si="82">+IFERROR(H62/ABS($E62),"")</f>
        <v>-0.0559816353</v>
      </c>
      <c r="L62" s="27">
        <f t="shared" ref="L62:L67" si="83">+IFERROR(I62/ABS($F62),"")</f>
        <v>-0.156063191</v>
      </c>
      <c r="M62" s="19" t="s">
        <v>51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42" t="s">
        <v>52</v>
      </c>
      <c r="C63" s="84">
        <v>42.0</v>
      </c>
      <c r="D63" s="84">
        <v>42.0</v>
      </c>
      <c r="E63" s="84">
        <v>50.8</v>
      </c>
      <c r="F63" s="84">
        <v>62.0</v>
      </c>
      <c r="G63" s="85">
        <f t="shared" ref="G63:I63" si="80">+IFERROR($C63-D63,"")</f>
        <v>0</v>
      </c>
      <c r="H63" s="86">
        <f t="shared" si="80"/>
        <v>-8.8</v>
      </c>
      <c r="I63" s="87">
        <f t="shared" si="80"/>
        <v>-20</v>
      </c>
      <c r="J63" s="25">
        <f t="shared" si="81"/>
        <v>0</v>
      </c>
      <c r="K63" s="26">
        <f t="shared" si="82"/>
        <v>-0.1732283465</v>
      </c>
      <c r="L63" s="27">
        <f t="shared" si="83"/>
        <v>-0.3225806452</v>
      </c>
      <c r="M63" s="2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70" t="s">
        <v>53</v>
      </c>
      <c r="C64" s="21">
        <v>25818.58</v>
      </c>
      <c r="D64" s="21">
        <v>19184.272189732463</v>
      </c>
      <c r="E64" s="21">
        <v>19184.272189732463</v>
      </c>
      <c r="F64" s="21">
        <v>26588.489999999998</v>
      </c>
      <c r="G64" s="22">
        <f t="shared" ref="G64:I64" si="84">+IFERROR($C64-D64,"")</f>
        <v>6634.30781</v>
      </c>
      <c r="H64" s="23">
        <f t="shared" si="84"/>
        <v>6634.30781</v>
      </c>
      <c r="I64" s="24">
        <f t="shared" si="84"/>
        <v>-769.91</v>
      </c>
      <c r="J64" s="25">
        <f t="shared" si="81"/>
        <v>0.345820146</v>
      </c>
      <c r="K64" s="26">
        <f t="shared" si="82"/>
        <v>0.345820146</v>
      </c>
      <c r="L64" s="27">
        <f t="shared" si="83"/>
        <v>-0.02895651464</v>
      </c>
      <c r="M64" s="2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70" t="s">
        <v>54</v>
      </c>
      <c r="C65" s="21">
        <v>69519.12999999999</v>
      </c>
      <c r="D65" s="21">
        <v>99340.89269423137</v>
      </c>
      <c r="E65" s="21">
        <v>99340.89269423137</v>
      </c>
      <c r="F65" s="21">
        <v>115980.26000000001</v>
      </c>
      <c r="G65" s="22">
        <f t="shared" ref="G65:I65" si="85">+IFERROR($C65-D65,"")</f>
        <v>-29821.76269</v>
      </c>
      <c r="H65" s="23">
        <f t="shared" si="85"/>
        <v>-29821.76269</v>
      </c>
      <c r="I65" s="24">
        <f t="shared" si="85"/>
        <v>-46461.13</v>
      </c>
      <c r="J65" s="25">
        <f t="shared" si="81"/>
        <v>-0.3001962423</v>
      </c>
      <c r="K65" s="26">
        <f t="shared" si="82"/>
        <v>-0.3001962423</v>
      </c>
      <c r="L65" s="27">
        <f t="shared" si="83"/>
        <v>-0.400595153</v>
      </c>
      <c r="M65" s="2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70" t="s">
        <v>55</v>
      </c>
      <c r="C66" s="21">
        <v>12365.49</v>
      </c>
      <c r="D66" s="21">
        <v>15119.773106375509</v>
      </c>
      <c r="E66" s="21">
        <v>15023.132829339766</v>
      </c>
      <c r="F66" s="21">
        <v>16559.48</v>
      </c>
      <c r="G66" s="22">
        <f t="shared" ref="G66:I66" si="86">+IFERROR($C66-D66,"")</f>
        <v>-2754.283106</v>
      </c>
      <c r="H66" s="23">
        <f t="shared" si="86"/>
        <v>-2657.642829</v>
      </c>
      <c r="I66" s="24">
        <f t="shared" si="86"/>
        <v>-4193.99</v>
      </c>
      <c r="J66" s="25">
        <f t="shared" si="81"/>
        <v>-0.1821643147</v>
      </c>
      <c r="K66" s="26">
        <f t="shared" si="82"/>
        <v>-0.1769033703</v>
      </c>
      <c r="L66" s="27">
        <f t="shared" si="83"/>
        <v>-0.2532682186</v>
      </c>
      <c r="M66" s="2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88" t="s">
        <v>56</v>
      </c>
      <c r="C67" s="72">
        <v>32108.190000000002</v>
      </c>
      <c r="D67" s="72">
        <v>0.0</v>
      </c>
      <c r="E67" s="72">
        <v>0.0</v>
      </c>
      <c r="F67" s="72">
        <v>3204.0</v>
      </c>
      <c r="G67" s="46">
        <f t="shared" ref="G67:I67" si="87">+IFERROR($C67-D67,"")</f>
        <v>32108.19</v>
      </c>
      <c r="H67" s="47">
        <f t="shared" si="87"/>
        <v>32108.19</v>
      </c>
      <c r="I67" s="48">
        <f t="shared" si="87"/>
        <v>28904.19</v>
      </c>
      <c r="J67" s="49" t="str">
        <f t="shared" si="81"/>
        <v/>
      </c>
      <c r="K67" s="50" t="str">
        <f t="shared" si="82"/>
        <v/>
      </c>
      <c r="L67" s="51">
        <f t="shared" si="83"/>
        <v>9.021282772</v>
      </c>
      <c r="M67" s="5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89" t="s">
        <v>57</v>
      </c>
      <c r="C69" s="90" t="s">
        <v>2</v>
      </c>
      <c r="D69" s="90" t="s">
        <v>3</v>
      </c>
      <c r="E69" s="90" t="s">
        <v>4</v>
      </c>
      <c r="F69" s="90">
        <v>2019.0</v>
      </c>
      <c r="G69" s="91" t="s">
        <v>5</v>
      </c>
      <c r="H69" s="92" t="s">
        <v>6</v>
      </c>
      <c r="I69" s="93" t="s">
        <v>7</v>
      </c>
      <c r="J69" s="91" t="s">
        <v>8</v>
      </c>
      <c r="K69" s="92" t="s">
        <v>9</v>
      </c>
      <c r="L69" s="93" t="s">
        <v>10</v>
      </c>
      <c r="M69" s="89" t="s">
        <v>11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70" t="s">
        <v>58</v>
      </c>
      <c r="C70" s="21">
        <v>121801.00999999998</v>
      </c>
      <c r="D70" s="21">
        <v>120171.69515996898</v>
      </c>
      <c r="E70" s="21">
        <v>119860.88396314904</v>
      </c>
      <c r="F70" s="21">
        <v>147289.46999999997</v>
      </c>
      <c r="G70" s="94">
        <f t="shared" ref="G70:I70" si="88">+IFERROR($C70-D70,"")</f>
        <v>1629.31484</v>
      </c>
      <c r="H70" s="95">
        <f t="shared" si="88"/>
        <v>1940.126037</v>
      </c>
      <c r="I70" s="96">
        <f t="shared" si="88"/>
        <v>-25488.46</v>
      </c>
      <c r="J70" s="25">
        <f t="shared" ref="J70:J77" si="90">+IFERROR(G70/ABS($D70),"")</f>
        <v>0.01355822465</v>
      </c>
      <c r="K70" s="26">
        <f t="shared" ref="K70:K77" si="91">+IFERROR(H70/ABS($E70),"")</f>
        <v>0.01618648197</v>
      </c>
      <c r="L70" s="27">
        <f t="shared" ref="L70:L77" si="92">+IFERROR(I70/ABS($F70),"")</f>
        <v>-0.1730501169</v>
      </c>
      <c r="M70" s="19" t="s">
        <v>59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0" t="s">
        <v>60</v>
      </c>
      <c r="C71" s="25">
        <v>0.316746025884541</v>
      </c>
      <c r="D71" s="25">
        <v>0.2916001932406806</v>
      </c>
      <c r="E71" s="25">
        <v>0.3032565153976019</v>
      </c>
      <c r="F71" s="25">
        <v>0.40950748630700073</v>
      </c>
      <c r="G71" s="29">
        <f t="shared" ref="G71:I71" si="89">+IFERROR($C71-D71,"")</f>
        <v>0.02514583264</v>
      </c>
      <c r="H71" s="30">
        <f t="shared" si="89"/>
        <v>0.01348951049</v>
      </c>
      <c r="I71" s="31">
        <f t="shared" si="89"/>
        <v>-0.09276146042</v>
      </c>
      <c r="J71" s="25">
        <f t="shared" si="90"/>
        <v>0.08623393683</v>
      </c>
      <c r="K71" s="26">
        <f t="shared" si="91"/>
        <v>0.04448217862</v>
      </c>
      <c r="L71" s="27">
        <f t="shared" si="92"/>
        <v>-0.2265195717</v>
      </c>
      <c r="M71" s="28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0" t="s">
        <v>61</v>
      </c>
      <c r="C72" s="21">
        <v>321670.74000000005</v>
      </c>
      <c r="D72" s="21">
        <v>362370.7052455964</v>
      </c>
      <c r="E72" s="21">
        <v>362263.1645714967</v>
      </c>
      <c r="F72" s="21">
        <v>374494.10000000003</v>
      </c>
      <c r="G72" s="22">
        <f t="shared" ref="G72:I72" si="93">+IFERROR($C72-D72,"")</f>
        <v>-40699.96525</v>
      </c>
      <c r="H72" s="23">
        <f t="shared" si="93"/>
        <v>-40592.42457</v>
      </c>
      <c r="I72" s="24">
        <f t="shared" si="93"/>
        <v>-52823.36</v>
      </c>
      <c r="J72" s="25">
        <f t="shared" si="90"/>
        <v>-0.1123158265</v>
      </c>
      <c r="K72" s="26">
        <f t="shared" si="91"/>
        <v>-0.1120523104</v>
      </c>
      <c r="L72" s="27">
        <f t="shared" si="92"/>
        <v>-0.1410525827</v>
      </c>
      <c r="M72" s="28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0" t="s">
        <v>62</v>
      </c>
      <c r="C73" s="25">
        <v>0.8365113601138404</v>
      </c>
      <c r="D73" s="25">
        <v>0.8793032962855052</v>
      </c>
      <c r="E73" s="25">
        <v>0.9165514328981245</v>
      </c>
      <c r="F73" s="25">
        <v>1.041202317638882</v>
      </c>
      <c r="G73" s="29">
        <f t="shared" ref="G73:I73" si="94">+IFERROR($C73-D73,"")</f>
        <v>-0.04279193617</v>
      </c>
      <c r="H73" s="30">
        <f t="shared" si="94"/>
        <v>-0.08004007278</v>
      </c>
      <c r="I73" s="31">
        <f t="shared" si="94"/>
        <v>-0.2046909575</v>
      </c>
      <c r="J73" s="25">
        <f t="shared" si="90"/>
        <v>-0.04866572928</v>
      </c>
      <c r="K73" s="26">
        <f t="shared" si="91"/>
        <v>-0.08732742093</v>
      </c>
      <c r="L73" s="27">
        <f t="shared" si="92"/>
        <v>-0.1965909546</v>
      </c>
      <c r="M73" s="28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97"/>
      <c r="B74" s="78" t="s">
        <v>63</v>
      </c>
      <c r="C74" s="63">
        <v>134612.06000000003</v>
      </c>
      <c r="D74" s="63">
        <v>-10982.887134850967</v>
      </c>
      <c r="E74" s="63">
        <v>-6527.604159269877</v>
      </c>
      <c r="F74" s="63">
        <v>-20089.90000000012</v>
      </c>
      <c r="G74" s="64">
        <f t="shared" ref="G74:I74" si="95">+IFERROR($C74-D74,"")</f>
        <v>145594.9471</v>
      </c>
      <c r="H74" s="65">
        <f t="shared" si="95"/>
        <v>141139.6642</v>
      </c>
      <c r="I74" s="66">
        <f t="shared" si="95"/>
        <v>154701.96</v>
      </c>
      <c r="J74" s="67">
        <f t="shared" si="90"/>
        <v>13.25652766</v>
      </c>
      <c r="K74" s="68">
        <f t="shared" si="91"/>
        <v>21.62197044</v>
      </c>
      <c r="L74" s="69">
        <f t="shared" si="92"/>
        <v>7.700484323</v>
      </c>
      <c r="M74" s="28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ht="15.75" customHeight="1">
      <c r="A75" s="1"/>
      <c r="B75" s="20" t="s">
        <v>64</v>
      </c>
      <c r="C75" s="98">
        <v>0.038652874806856675</v>
      </c>
      <c r="D75" s="98">
        <v>-0.005869025302273388</v>
      </c>
      <c r="E75" s="98">
        <v>-0.0034882152118646684</v>
      </c>
      <c r="F75" s="98">
        <v>-0.005925232577522688</v>
      </c>
      <c r="G75" s="29">
        <f t="shared" ref="G75:I75" si="96">+IFERROR($C75-D75,"")</f>
        <v>0.04452190011</v>
      </c>
      <c r="H75" s="30">
        <f t="shared" si="96"/>
        <v>0.04214109002</v>
      </c>
      <c r="I75" s="31">
        <f t="shared" si="96"/>
        <v>0.04457810738</v>
      </c>
      <c r="J75" s="25">
        <f t="shared" si="90"/>
        <v>7.585910405</v>
      </c>
      <c r="K75" s="26">
        <f t="shared" si="91"/>
        <v>12.08098912</v>
      </c>
      <c r="L75" s="27">
        <f t="shared" si="92"/>
        <v>7.523435882</v>
      </c>
      <c r="M75" s="28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97"/>
      <c r="B76" s="78" t="s">
        <v>65</v>
      </c>
      <c r="C76" s="63">
        <v>112898.53000000004</v>
      </c>
      <c r="D76" s="63">
        <v>-36298.253364016506</v>
      </c>
      <c r="E76" s="63">
        <v>-31746.33011139967</v>
      </c>
      <c r="F76" s="63">
        <v>-49525.44000000012</v>
      </c>
      <c r="G76" s="64">
        <f t="shared" ref="G76:I76" si="97">+IFERROR($C76-D76,"")</f>
        <v>149196.7834</v>
      </c>
      <c r="H76" s="65">
        <f t="shared" si="97"/>
        <v>144644.8601</v>
      </c>
      <c r="I76" s="66">
        <f t="shared" si="97"/>
        <v>162423.97</v>
      </c>
      <c r="J76" s="67">
        <f t="shared" si="90"/>
        <v>4.110301999</v>
      </c>
      <c r="K76" s="68">
        <f t="shared" si="91"/>
        <v>4.556270271</v>
      </c>
      <c r="L76" s="69">
        <f t="shared" si="92"/>
        <v>3.279606804</v>
      </c>
      <c r="M76" s="28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ht="15.75" customHeight="1">
      <c r="A77" s="1"/>
      <c r="B77" s="88" t="s">
        <v>66</v>
      </c>
      <c r="C77" s="99">
        <v>0.0324179924589829</v>
      </c>
      <c r="D77" s="99">
        <v>-0.019397027831210046</v>
      </c>
      <c r="E77" s="99">
        <v>-0.016964575196889382</v>
      </c>
      <c r="F77" s="99">
        <v>-0.014606829825143192</v>
      </c>
      <c r="G77" s="100">
        <f t="shared" ref="G77:I77" si="98">+IFERROR($C77-D77,"")</f>
        <v>0.05181502029</v>
      </c>
      <c r="H77" s="101">
        <f t="shared" si="98"/>
        <v>0.04938256766</v>
      </c>
      <c r="I77" s="102">
        <f t="shared" si="98"/>
        <v>0.04702482228</v>
      </c>
      <c r="J77" s="49">
        <f t="shared" si="90"/>
        <v>2.671286588</v>
      </c>
      <c r="K77" s="50">
        <f t="shared" si="91"/>
        <v>2.910922737</v>
      </c>
      <c r="L77" s="51">
        <f t="shared" si="92"/>
        <v>3.219372228</v>
      </c>
      <c r="M77" s="5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1:M1"/>
    <mergeCell ref="M4:M18"/>
    <mergeCell ref="M21:M35"/>
    <mergeCell ref="M38:M47"/>
    <mergeCell ref="M50:M59"/>
    <mergeCell ref="M62:M67"/>
    <mergeCell ref="M70:M77"/>
  </mergeCells>
  <printOptions horizontalCentered="1"/>
  <pageMargins bottom="0.0" footer="0.0" header="0.0" left="1.0" right="0.0" top="0.0"/>
  <pageSetup paperSize="3" orientation="landscape"/>
  <rowBreaks count="1" manualBreakCount="1">
    <brk id="3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2021-03-12T21:43:50Z</dcterms:created>
  <dc:creator>user</dc:creator>
</cp:coreProperties>
</file>