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2- QG FP&amp;A\2.1- Analyses récurrentes\2.1.1 Forecast &amp; réalisés\2025\02-Février\Analyse fin de mois\"/>
    </mc:Choice>
  </mc:AlternateContent>
  <xr:revisionPtr revIDLastSave="0" documentId="13_ncr:1_{7D5B5F9A-B848-44DF-AC8D-0C8061DA9454}" xr6:coauthVersionLast="47" xr6:coauthVersionMax="47" xr10:uidLastSave="{00000000-0000-0000-0000-000000000000}"/>
  <bookViews>
    <workbookView xWindow="-28920" yWindow="-120" windowWidth="29040" windowHeight="15720" xr2:uid="{DE8B427F-FBD3-4231-82C4-501A075F2F58}"/>
  </bookViews>
  <sheets>
    <sheet name="Dir. Mois " sheetId="1" r:id="rId1"/>
    <sheet name="Dir. AAD" sheetId="2" r:id="rId2"/>
  </sheets>
  <definedNames>
    <definedName name="a" localSheetId="1">#REF!</definedName>
    <definedName name="a">#REF!</definedName>
    <definedName name="BLANK" localSheetId="1">#REF!</definedName>
    <definedName name="BLANK">#REF!</definedName>
    <definedName name="BROWN" localSheetId="1">#REF!</definedName>
    <definedName name="BROWN">#REF!</definedName>
    <definedName name="Compco1" localSheetId="1">#REF!</definedName>
    <definedName name="Compco1">#REF!</definedName>
    <definedName name="Compco2" localSheetId="1">#REF!</definedName>
    <definedName name="Compco2">#REF!</definedName>
    <definedName name="DateRangePr" localSheetId="1">#REF!</definedName>
    <definedName name="DateRangePr">#REF!</definedName>
    <definedName name="DateRangePrice" localSheetId="1">#REF!</definedName>
    <definedName name="DateRangePrice">#REF!</definedName>
    <definedName name="DateRangePrice1" localSheetId="1">#REF!</definedName>
    <definedName name="DateRangePrice1">#REF!</definedName>
    <definedName name="DateRangePrice2" localSheetId="1">#REF!</definedName>
    <definedName name="DateRangePrice2">#REF!</definedName>
    <definedName name="ERT" localSheetId="1">#REF!</definedName>
    <definedName name="ERT">#REF!</definedName>
    <definedName name="kjjkghkhj" localSheetId="1">#REF!</definedName>
    <definedName name="kjjkghkhj">#REF!</definedName>
    <definedName name="lkhkhj" localSheetId="1">#REF!</definedName>
    <definedName name="lkhkhj">#REF!</definedName>
    <definedName name="m" localSheetId="1">#REF!</definedName>
    <definedName name="m">#REF!</definedName>
    <definedName name="NamedRange1" localSheetId="1">#REF!</definedName>
    <definedName name="NamedRange1">#REF!</definedName>
    <definedName name="oui" localSheetId="1">#REF!</definedName>
    <definedName name="oui">#REF!</definedName>
    <definedName name="Output" localSheetId="1">#REF!</definedName>
    <definedName name="Output">#REF!</definedName>
    <definedName name="Output1" localSheetId="1">#REF!</definedName>
    <definedName name="Output1">#REF!</definedName>
    <definedName name="PriceRange" localSheetId="1">#REF!</definedName>
    <definedName name="PriceRange">#REF!</definedName>
    <definedName name="PriceRange2" localSheetId="1">#REF!</definedName>
    <definedName name="PriceRange2">#REF!</definedName>
    <definedName name="SLEVIN" localSheetId="1">#REF!</definedName>
    <definedName name="SLEVIN">#REF!</definedName>
    <definedName name="test" localSheetId="1">#REF!</definedName>
    <definedName name="test">#REF!</definedName>
    <definedName name="test21" localSheetId="1">#REF!</definedName>
    <definedName name="test21">#REF!</definedName>
    <definedName name="Ticker" localSheetId="1">#REF!</definedName>
    <definedName name="Ticker">#REF!</definedName>
    <definedName name="value" localSheetId="1">#REF!</definedName>
    <definedName name="value">#REF!</definedName>
    <definedName name="value2" localSheetId="1">#REF!</definedName>
    <definedName name="value2">#REF!</definedName>
    <definedName name="wrn.amendement." localSheetId="1">#REF!</definedName>
    <definedName name="wrn.amendement.">#REF!</definedName>
    <definedName name="wrn.amendement.." localSheetId="1">#REF!</definedName>
    <definedName name="wrn.amendement..">#REF!</definedName>
    <definedName name="wrn.COMPCO." localSheetId="1">#REF!</definedName>
    <definedName name="wrn.COMPCO.">#REF!</definedName>
    <definedName name="wrn.Delchamps." localSheetId="1">#REF!</definedName>
    <definedName name="wrn.Delchamps.">#REF!</definedName>
    <definedName name="wrn.detail." localSheetId="1">#REF!</definedName>
    <definedName name="wrn.detail.">#REF!</definedName>
    <definedName name="wrn.execsum." localSheetId="1">#REF!</definedName>
    <definedName name="wrn.execsum.">#REF!</definedName>
    <definedName name="wrn.Finanalysis." localSheetId="1">#REF!</definedName>
    <definedName name="wrn.Finanalysis.">#REF!</definedName>
    <definedName name="wrn.full._.report." localSheetId="1">#REF!</definedName>
    <definedName name="wrn.full._.report.">#REF!</definedName>
    <definedName name="wrn.magicrep." localSheetId="1">#REF!</definedName>
    <definedName name="wrn.magicrep.">#REF!</definedName>
    <definedName name="wrn.persrep." localSheetId="1">#REF!</definedName>
    <definedName name="wrn.persrep.">#REF!</definedName>
    <definedName name="wrn.PrintAll." localSheetId="1">#REF!</definedName>
    <definedName name="wrn.PrintAll.">#REF!</definedName>
    <definedName name="wrn.prospectus." localSheetId="1">#REF!</definedName>
    <definedName name="wrn.prospectus.">#REF!</definedName>
    <definedName name="wrn.prospectus.." localSheetId="1">#REF!</definedName>
    <definedName name="wrn.prospectus..">#REF!</definedName>
    <definedName name="wrn.PROSPECTUS_amendement." localSheetId="1">#REF!</definedName>
    <definedName name="wrn.PROSPECTUS_amendement.">#REF!</definedName>
    <definedName name="wrn.PROSPECTUS_amendement.." localSheetId="1">#REF!</definedName>
    <definedName name="wrn.PROSPECTUS_amendement..">#REF!</definedName>
    <definedName name="wrn.sales." localSheetId="1">#REF!</definedName>
    <definedName name="wrn.sales.">#REF!</definedName>
    <definedName name="wrn.SUMMARY." localSheetId="1">#REF!</definedName>
    <definedName name="wrn.SUMMARY.">#REF!</definedName>
    <definedName name="z" localSheetId="1">#REF!</definedName>
    <definedName name="z">#REF!</definedName>
    <definedName name="zb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AK2" i="2" s="1"/>
  <c r="G3" i="2"/>
  <c r="J3" i="2"/>
  <c r="M3" i="2"/>
  <c r="M91" i="2" s="1"/>
  <c r="P3" i="2"/>
  <c r="S3" i="2"/>
  <c r="V3" i="2"/>
  <c r="Y3" i="2"/>
  <c r="AB3" i="2"/>
  <c r="AB238" i="2" s="1"/>
  <c r="AE3" i="2"/>
  <c r="AE358" i="2" s="1"/>
  <c r="AH3" i="2"/>
  <c r="AH358" i="2" s="1"/>
  <c r="AK3" i="2"/>
  <c r="AK91" i="2" s="1"/>
  <c r="AN3" i="2"/>
  <c r="AQ3" i="2"/>
  <c r="AT3" i="2"/>
  <c r="AW3" i="2"/>
  <c r="AW91" i="2" s="1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F5" i="2"/>
  <c r="D6" i="2"/>
  <c r="F6" i="2"/>
  <c r="D7" i="2"/>
  <c r="E7" i="2" s="1"/>
  <c r="F7" i="2"/>
  <c r="D8" i="2"/>
  <c r="F8" i="2"/>
  <c r="D9" i="2"/>
  <c r="F9" i="2"/>
  <c r="D10" i="2"/>
  <c r="E10" i="2" s="1"/>
  <c r="F10" i="2"/>
  <c r="D11" i="2"/>
  <c r="E11" i="2" s="1"/>
  <c r="F11" i="2"/>
  <c r="D12" i="2"/>
  <c r="E12" i="2" s="1"/>
  <c r="F12" i="2"/>
  <c r="D15" i="2"/>
  <c r="E15" i="2" s="1"/>
  <c r="F15" i="2"/>
  <c r="D17" i="2"/>
  <c r="F17" i="2"/>
  <c r="D19" i="2"/>
  <c r="F19" i="2"/>
  <c r="F20" i="2"/>
  <c r="D21" i="2"/>
  <c r="F21" i="2"/>
  <c r="D22" i="2"/>
  <c r="F22" i="2"/>
  <c r="D23" i="2"/>
  <c r="F23" i="2"/>
  <c r="F31" i="2"/>
  <c r="F32" i="2"/>
  <c r="F33" i="2"/>
  <c r="F34" i="2"/>
  <c r="F35" i="2"/>
  <c r="F36" i="2"/>
  <c r="F37" i="2"/>
  <c r="F38" i="2"/>
  <c r="E38" i="2" s="1"/>
  <c r="F39" i="2"/>
  <c r="E39" i="2" s="1"/>
  <c r="F40" i="2"/>
  <c r="E40" i="2" s="1"/>
  <c r="F42" i="2"/>
  <c r="F43" i="2"/>
  <c r="F44" i="2"/>
  <c r="F45" i="2"/>
  <c r="F46" i="2"/>
  <c r="F47" i="2"/>
  <c r="F48" i="2"/>
  <c r="F49" i="2"/>
  <c r="F50" i="2"/>
  <c r="F51" i="2"/>
  <c r="F52" i="2"/>
  <c r="F53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5" i="2"/>
  <c r="F76" i="2"/>
  <c r="F77" i="2"/>
  <c r="F78" i="2"/>
  <c r="F79" i="2"/>
  <c r="F80" i="2"/>
  <c r="F81" i="2"/>
  <c r="F82" i="2"/>
  <c r="C89" i="2"/>
  <c r="AK89" i="2" s="1"/>
  <c r="D91" i="2"/>
  <c r="G91" i="2"/>
  <c r="J91" i="2"/>
  <c r="P91" i="2"/>
  <c r="S91" i="2"/>
  <c r="V91" i="2"/>
  <c r="Y91" i="2"/>
  <c r="AE91" i="2"/>
  <c r="AN91" i="2"/>
  <c r="AQ91" i="2"/>
  <c r="AT91" i="2"/>
  <c r="G92" i="2"/>
  <c r="H92" i="2"/>
  <c r="I92" i="2"/>
  <c r="F93" i="2"/>
  <c r="D94" i="2"/>
  <c r="F94" i="2"/>
  <c r="D95" i="2"/>
  <c r="F95" i="2"/>
  <c r="D96" i="2"/>
  <c r="F96" i="2"/>
  <c r="D100" i="2"/>
  <c r="E100" i="2" s="1"/>
  <c r="F100" i="2"/>
  <c r="D102" i="2"/>
  <c r="F102" i="2"/>
  <c r="D103" i="2"/>
  <c r="F103" i="2"/>
  <c r="D104" i="2"/>
  <c r="F104" i="2"/>
  <c r="D106" i="2"/>
  <c r="D107" i="2"/>
  <c r="F112" i="2"/>
  <c r="F113" i="2"/>
  <c r="F114" i="2"/>
  <c r="F115" i="2"/>
  <c r="F116" i="2"/>
  <c r="F117" i="2"/>
  <c r="F118" i="2"/>
  <c r="F119" i="2"/>
  <c r="F120" i="2"/>
  <c r="F121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6" i="2"/>
  <c r="F163" i="2" s="1"/>
  <c r="F157" i="2"/>
  <c r="F158" i="2"/>
  <c r="F159" i="2"/>
  <c r="F160" i="2"/>
  <c r="F161" i="2"/>
  <c r="F162" i="2"/>
  <c r="C168" i="2"/>
  <c r="AK168" i="2" s="1"/>
  <c r="D170" i="2"/>
  <c r="G170" i="2"/>
  <c r="J170" i="2"/>
  <c r="M170" i="2"/>
  <c r="P170" i="2"/>
  <c r="S170" i="2"/>
  <c r="V170" i="2"/>
  <c r="Y170" i="2"/>
  <c r="AB170" i="2"/>
  <c r="AE170" i="2"/>
  <c r="AN170" i="2"/>
  <c r="AQ170" i="2"/>
  <c r="AT170" i="2"/>
  <c r="AW170" i="2"/>
  <c r="G171" i="2"/>
  <c r="H171" i="2"/>
  <c r="I171" i="2"/>
  <c r="D172" i="2"/>
  <c r="E172" i="2"/>
  <c r="E174" i="2" s="1"/>
  <c r="F172" i="2"/>
  <c r="F173" i="2" s="1"/>
  <c r="D175" i="2"/>
  <c r="E175" i="2"/>
  <c r="F175" i="2"/>
  <c r="D178" i="2"/>
  <c r="E178" i="2"/>
  <c r="E180" i="2" s="1"/>
  <c r="F178" i="2"/>
  <c r="D181" i="2"/>
  <c r="E181" i="2"/>
  <c r="E183" i="2" s="1"/>
  <c r="F181" i="2"/>
  <c r="E184" i="2"/>
  <c r="F184" i="2"/>
  <c r="D185" i="2"/>
  <c r="D188" i="2"/>
  <c r="E188" i="2"/>
  <c r="F188" i="2"/>
  <c r="D191" i="2"/>
  <c r="E191" i="2"/>
  <c r="F191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C236" i="2"/>
  <c r="AK236" i="2" s="1"/>
  <c r="D238" i="2"/>
  <c r="G238" i="2"/>
  <c r="J238" i="2"/>
  <c r="M238" i="2"/>
  <c r="P238" i="2"/>
  <c r="S238" i="2"/>
  <c r="V238" i="2"/>
  <c r="Y238" i="2"/>
  <c r="AN238" i="2"/>
  <c r="AQ238" i="2"/>
  <c r="AT238" i="2"/>
  <c r="AW238" i="2"/>
  <c r="G239" i="2"/>
  <c r="H239" i="2"/>
  <c r="I239" i="2"/>
  <c r="D241" i="2"/>
  <c r="E241" i="2"/>
  <c r="E250" i="2" s="1"/>
  <c r="F241" i="2"/>
  <c r="D244" i="2"/>
  <c r="E244" i="2"/>
  <c r="F244" i="2"/>
  <c r="D247" i="2"/>
  <c r="E247" i="2"/>
  <c r="F247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C291" i="2"/>
  <c r="AK291" i="2"/>
  <c r="D293" i="2"/>
  <c r="G293" i="2"/>
  <c r="J293" i="2"/>
  <c r="M293" i="2"/>
  <c r="P293" i="2"/>
  <c r="S293" i="2"/>
  <c r="V293" i="2"/>
  <c r="Y293" i="2"/>
  <c r="AH293" i="2"/>
  <c r="AN293" i="2"/>
  <c r="AQ293" i="2"/>
  <c r="AT293" i="2"/>
  <c r="AW293" i="2"/>
  <c r="G294" i="2"/>
  <c r="H294" i="2"/>
  <c r="I294" i="2"/>
  <c r="D295" i="2"/>
  <c r="F295" i="2"/>
  <c r="D296" i="2"/>
  <c r="F296" i="2"/>
  <c r="D297" i="2"/>
  <c r="E297" i="2" s="1"/>
  <c r="F297" i="2"/>
  <c r="D298" i="2"/>
  <c r="E298" i="2" s="1"/>
  <c r="F298" i="2"/>
  <c r="D299" i="2"/>
  <c r="F299" i="2"/>
  <c r="E299" i="2" s="1"/>
  <c r="D300" i="2"/>
  <c r="F300" i="2"/>
  <c r="D301" i="2"/>
  <c r="E301" i="2" s="1"/>
  <c r="F301" i="2"/>
  <c r="D302" i="2"/>
  <c r="E302" i="2" s="1"/>
  <c r="F302" i="2"/>
  <c r="D303" i="2"/>
  <c r="E303" i="2" s="1"/>
  <c r="F303" i="2"/>
  <c r="D307" i="2"/>
  <c r="E307" i="2" s="1"/>
  <c r="F307" i="2"/>
  <c r="D308" i="2"/>
  <c r="F308" i="2"/>
  <c r="D312" i="2"/>
  <c r="E312" i="2" s="1"/>
  <c r="F312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C356" i="2"/>
  <c r="D358" i="2"/>
  <c r="G358" i="2"/>
  <c r="J358" i="2"/>
  <c r="M358" i="2"/>
  <c r="P358" i="2"/>
  <c r="S358" i="2"/>
  <c r="V358" i="2"/>
  <c r="Y358" i="2"/>
  <c r="AB358" i="2"/>
  <c r="AN358" i="2"/>
  <c r="AQ358" i="2"/>
  <c r="AT358" i="2"/>
  <c r="AW358" i="2"/>
  <c r="G359" i="2"/>
  <c r="H359" i="2"/>
  <c r="I359" i="2"/>
  <c r="D360" i="2"/>
  <c r="F360" i="2"/>
  <c r="D362" i="2"/>
  <c r="E362" i="2" s="1"/>
  <c r="F362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E395" i="2"/>
  <c r="E397" i="2"/>
  <c r="C2" i="1"/>
  <c r="AK2" i="1" s="1"/>
  <c r="G3" i="1"/>
  <c r="G238" i="1" s="1"/>
  <c r="J3" i="1"/>
  <c r="J238" i="1" s="1"/>
  <c r="M3" i="1"/>
  <c r="P3" i="1"/>
  <c r="P293" i="1" s="1"/>
  <c r="S3" i="1"/>
  <c r="S91" i="1" s="1"/>
  <c r="V3" i="1"/>
  <c r="Y3" i="1"/>
  <c r="AB3" i="1"/>
  <c r="AB293" i="1" s="1"/>
  <c r="AE3" i="1"/>
  <c r="AH3" i="1"/>
  <c r="AK3" i="1"/>
  <c r="AK170" i="1" s="1"/>
  <c r="AN3" i="1"/>
  <c r="AN358" i="1" s="1"/>
  <c r="AQ3" i="1"/>
  <c r="AQ238" i="1" s="1"/>
  <c r="AT3" i="1"/>
  <c r="AT238" i="1" s="1"/>
  <c r="AW3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F5" i="1"/>
  <c r="D6" i="1"/>
  <c r="F6" i="1"/>
  <c r="D7" i="1"/>
  <c r="F7" i="1"/>
  <c r="D8" i="1"/>
  <c r="F8" i="1"/>
  <c r="D9" i="1"/>
  <c r="E9" i="1" s="1"/>
  <c r="F9" i="1"/>
  <c r="D10" i="1"/>
  <c r="E10" i="1" s="1"/>
  <c r="F10" i="1"/>
  <c r="D11" i="1"/>
  <c r="E11" i="1" s="1"/>
  <c r="F11" i="1"/>
  <c r="D12" i="1"/>
  <c r="E12" i="1" s="1"/>
  <c r="F12" i="1"/>
  <c r="D15" i="1"/>
  <c r="E15" i="1" s="1"/>
  <c r="F15" i="1"/>
  <c r="D17" i="1"/>
  <c r="F17" i="1"/>
  <c r="D19" i="1"/>
  <c r="F19" i="1"/>
  <c r="F20" i="1"/>
  <c r="D21" i="1"/>
  <c r="F21" i="1"/>
  <c r="D22" i="1"/>
  <c r="F22" i="1"/>
  <c r="D23" i="1"/>
  <c r="F23" i="1"/>
  <c r="F31" i="1"/>
  <c r="F32" i="1"/>
  <c r="F33" i="1"/>
  <c r="F34" i="1"/>
  <c r="F35" i="1"/>
  <c r="F36" i="1"/>
  <c r="F37" i="1"/>
  <c r="F38" i="1"/>
  <c r="E38" i="1" s="1"/>
  <c r="F39" i="1"/>
  <c r="E39" i="1" s="1"/>
  <c r="F40" i="1"/>
  <c r="E40" i="1" s="1"/>
  <c r="F42" i="1"/>
  <c r="F43" i="1"/>
  <c r="F44" i="1"/>
  <c r="F45" i="1"/>
  <c r="F46" i="1"/>
  <c r="F47" i="1"/>
  <c r="F48" i="1"/>
  <c r="F49" i="1"/>
  <c r="F50" i="1"/>
  <c r="F51" i="1"/>
  <c r="F52" i="1"/>
  <c r="F53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5" i="1"/>
  <c r="F76" i="1"/>
  <c r="F77" i="1"/>
  <c r="F78" i="1"/>
  <c r="F79" i="1"/>
  <c r="F80" i="1"/>
  <c r="F81" i="1"/>
  <c r="F82" i="1"/>
  <c r="C89" i="1"/>
  <c r="AK89" i="1"/>
  <c r="D91" i="1"/>
  <c r="M91" i="1"/>
  <c r="P91" i="1"/>
  <c r="V91" i="1"/>
  <c r="Y91" i="1"/>
  <c r="AE91" i="1"/>
  <c r="AH91" i="1"/>
  <c r="AK91" i="1"/>
  <c r="AW91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F93" i="1"/>
  <c r="D94" i="1"/>
  <c r="F94" i="1"/>
  <c r="D95" i="1"/>
  <c r="F95" i="1"/>
  <c r="D96" i="1"/>
  <c r="F96" i="1"/>
  <c r="D100" i="1"/>
  <c r="F100" i="1"/>
  <c r="D102" i="1"/>
  <c r="F102" i="1"/>
  <c r="D103" i="1"/>
  <c r="F103" i="1"/>
  <c r="D104" i="1"/>
  <c r="F104" i="1"/>
  <c r="D106" i="1"/>
  <c r="D107" i="1"/>
  <c r="F112" i="1"/>
  <c r="F113" i="1"/>
  <c r="F114" i="1"/>
  <c r="F115" i="1"/>
  <c r="F116" i="1"/>
  <c r="F117" i="1"/>
  <c r="F118" i="1"/>
  <c r="F119" i="1"/>
  <c r="F120" i="1"/>
  <c r="F121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6" i="1"/>
  <c r="F157" i="1"/>
  <c r="F158" i="1"/>
  <c r="F159" i="1"/>
  <c r="F160" i="1"/>
  <c r="F161" i="1"/>
  <c r="F162" i="1"/>
  <c r="C168" i="1"/>
  <c r="AK168" i="1" s="1"/>
  <c r="D170" i="1"/>
  <c r="J170" i="1"/>
  <c r="M170" i="1"/>
  <c r="P170" i="1"/>
  <c r="S170" i="1"/>
  <c r="V170" i="1"/>
  <c r="Y170" i="1"/>
  <c r="AE170" i="1"/>
  <c r="AH170" i="1"/>
  <c r="AW170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D172" i="1"/>
  <c r="E172" i="1"/>
  <c r="F172" i="1"/>
  <c r="D175" i="1"/>
  <c r="E175" i="1"/>
  <c r="F175" i="1"/>
  <c r="F176" i="1" s="1"/>
  <c r="D178" i="1"/>
  <c r="E178" i="1"/>
  <c r="F178" i="1"/>
  <c r="F179" i="1" s="1"/>
  <c r="D181" i="1"/>
  <c r="E181" i="1"/>
  <c r="F181" i="1"/>
  <c r="F182" i="1" s="1"/>
  <c r="E184" i="1"/>
  <c r="F184" i="1"/>
  <c r="D188" i="1"/>
  <c r="E188" i="1"/>
  <c r="F188" i="1"/>
  <c r="D191" i="1"/>
  <c r="E191" i="1"/>
  <c r="F191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C236" i="1"/>
  <c r="AK236" i="1" s="1"/>
  <c r="D238" i="1"/>
  <c r="M238" i="1"/>
  <c r="S238" i="1"/>
  <c r="V238" i="1"/>
  <c r="Y238" i="1"/>
  <c r="AE238" i="1"/>
  <c r="AH238" i="1"/>
  <c r="AK238" i="1"/>
  <c r="AN238" i="1"/>
  <c r="AW238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D241" i="1"/>
  <c r="E241" i="1"/>
  <c r="F241" i="1"/>
  <c r="D244" i="1"/>
  <c r="E244" i="1"/>
  <c r="F244" i="1"/>
  <c r="D247" i="1"/>
  <c r="E247" i="1"/>
  <c r="F247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C291" i="1"/>
  <c r="AK291" i="1" s="1"/>
  <c r="D293" i="1"/>
  <c r="M293" i="1"/>
  <c r="S293" i="1"/>
  <c r="V293" i="1"/>
  <c r="Y293" i="1"/>
  <c r="AE293" i="1"/>
  <c r="AH293" i="1"/>
  <c r="AK293" i="1"/>
  <c r="AN293" i="1"/>
  <c r="AW293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D295" i="1"/>
  <c r="F295" i="1"/>
  <c r="D296" i="1"/>
  <c r="F296" i="1"/>
  <c r="D297" i="1"/>
  <c r="F297" i="1"/>
  <c r="E297" i="1" s="1"/>
  <c r="D298" i="1"/>
  <c r="F298" i="1"/>
  <c r="D299" i="1"/>
  <c r="F299" i="1"/>
  <c r="D300" i="1"/>
  <c r="F300" i="1"/>
  <c r="E300" i="1" s="1"/>
  <c r="D301" i="1"/>
  <c r="E301" i="1" s="1"/>
  <c r="F301" i="1"/>
  <c r="D302" i="1"/>
  <c r="E302" i="1" s="1"/>
  <c r="F302" i="1"/>
  <c r="D303" i="1"/>
  <c r="E303" i="1" s="1"/>
  <c r="F303" i="1"/>
  <c r="D307" i="1"/>
  <c r="F307" i="1"/>
  <c r="D308" i="1"/>
  <c r="E308" i="1" s="1"/>
  <c r="F308" i="1"/>
  <c r="D312" i="1"/>
  <c r="E312" i="1" s="1"/>
  <c r="F312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C356" i="1"/>
  <c r="D358" i="1"/>
  <c r="M358" i="1"/>
  <c r="S358" i="1"/>
  <c r="V358" i="1"/>
  <c r="Y358" i="1"/>
  <c r="AB358" i="1"/>
  <c r="AE358" i="1"/>
  <c r="AH358" i="1"/>
  <c r="AK358" i="1"/>
  <c r="AW358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K359" i="1"/>
  <c r="AL359" i="1"/>
  <c r="AM359" i="1"/>
  <c r="AN359" i="1"/>
  <c r="AO359" i="1"/>
  <c r="AP359" i="1"/>
  <c r="AQ359" i="1"/>
  <c r="AR359" i="1"/>
  <c r="AS359" i="1"/>
  <c r="AT359" i="1"/>
  <c r="AU359" i="1"/>
  <c r="AV359" i="1"/>
  <c r="AW359" i="1"/>
  <c r="AX359" i="1"/>
  <c r="AY359" i="1"/>
  <c r="D360" i="1"/>
  <c r="F360" i="1"/>
  <c r="E360" i="1" s="1"/>
  <c r="D362" i="1"/>
  <c r="E362" i="1" s="1"/>
  <c r="F362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E395" i="1"/>
  <c r="E397" i="1"/>
  <c r="F97" i="2" l="1"/>
  <c r="F229" i="2"/>
  <c r="F192" i="1"/>
  <c r="E180" i="1"/>
  <c r="F41" i="1"/>
  <c r="E17" i="1"/>
  <c r="F189" i="1"/>
  <c r="F24" i="1"/>
  <c r="E177" i="1"/>
  <c r="E6" i="1"/>
  <c r="E183" i="1"/>
  <c r="F266" i="2"/>
  <c r="F135" i="1"/>
  <c r="F330" i="1"/>
  <c r="F173" i="1"/>
  <c r="E100" i="1"/>
  <c r="AB91" i="1"/>
  <c r="F377" i="1"/>
  <c r="E174" i="1"/>
  <c r="E96" i="1"/>
  <c r="AB238" i="1"/>
  <c r="F153" i="1"/>
  <c r="F97" i="1"/>
  <c r="D304" i="1"/>
  <c r="D309" i="1" s="1"/>
  <c r="E295" i="1"/>
  <c r="F83" i="1"/>
  <c r="F210" i="1"/>
  <c r="D97" i="1"/>
  <c r="E112" i="1" s="1"/>
  <c r="F250" i="1"/>
  <c r="AB170" i="1"/>
  <c r="E299" i="1"/>
  <c r="E250" i="1"/>
  <c r="D250" i="1"/>
  <c r="F229" i="1"/>
  <c r="F163" i="1"/>
  <c r="F105" i="1"/>
  <c r="E8" i="1"/>
  <c r="E298" i="1"/>
  <c r="F285" i="1"/>
  <c r="F266" i="1"/>
  <c r="F287" i="1" s="1"/>
  <c r="F72" i="1"/>
  <c r="D24" i="1"/>
  <c r="E7" i="1"/>
  <c r="D304" i="2"/>
  <c r="F285" i="2"/>
  <c r="D250" i="2"/>
  <c r="E17" i="2"/>
  <c r="E8" i="2"/>
  <c r="E300" i="2"/>
  <c r="F192" i="2"/>
  <c r="F179" i="2"/>
  <c r="F41" i="2"/>
  <c r="E308" i="2"/>
  <c r="F122" i="2"/>
  <c r="F13" i="2"/>
  <c r="F377" i="2"/>
  <c r="F189" i="2"/>
  <c r="F176" i="2"/>
  <c r="E96" i="2"/>
  <c r="D24" i="2"/>
  <c r="E24" i="2" s="1"/>
  <c r="F395" i="2"/>
  <c r="AK358" i="2"/>
  <c r="E95" i="2"/>
  <c r="AB91" i="2"/>
  <c r="E94" i="2"/>
  <c r="E360" i="2"/>
  <c r="E296" i="2"/>
  <c r="F349" i="2"/>
  <c r="F304" i="2"/>
  <c r="F309" i="2" s="1"/>
  <c r="F314" i="2" s="1"/>
  <c r="F250" i="2"/>
  <c r="F182" i="2"/>
  <c r="F83" i="2"/>
  <c r="E9" i="2"/>
  <c r="F330" i="2"/>
  <c r="AK293" i="2"/>
  <c r="AK238" i="2"/>
  <c r="F24" i="2"/>
  <c r="AH238" i="2"/>
  <c r="F185" i="2"/>
  <c r="F194" i="2" s="1"/>
  <c r="F135" i="2"/>
  <c r="F108" i="2"/>
  <c r="E122" i="2" s="1"/>
  <c r="E185" i="2"/>
  <c r="E194" i="2" s="1"/>
  <c r="E177" i="2"/>
  <c r="F153" i="2"/>
  <c r="D97" i="2"/>
  <c r="D105" i="2" s="1"/>
  <c r="AK170" i="2"/>
  <c r="AH170" i="2"/>
  <c r="F54" i="2"/>
  <c r="F105" i="2"/>
  <c r="F72" i="2"/>
  <c r="F210" i="2"/>
  <c r="F231" i="2" s="1"/>
  <c r="F233" i="2" s="1"/>
  <c r="AH91" i="2"/>
  <c r="F304" i="1"/>
  <c r="F309" i="1" s="1"/>
  <c r="F314" i="1" s="1"/>
  <c r="AT170" i="1"/>
  <c r="J358" i="1"/>
  <c r="J293" i="1"/>
  <c r="D185" i="1"/>
  <c r="D13" i="1"/>
  <c r="E22" i="1" s="1"/>
  <c r="AT293" i="1"/>
  <c r="G293" i="1"/>
  <c r="F185" i="1"/>
  <c r="F194" i="1" s="1"/>
  <c r="F54" i="1"/>
  <c r="F74" i="1" s="1"/>
  <c r="F349" i="1"/>
  <c r="AQ293" i="1"/>
  <c r="E185" i="1"/>
  <c r="E194" i="1" s="1"/>
  <c r="F395" i="1"/>
  <c r="AT358" i="1"/>
  <c r="E307" i="1"/>
  <c r="F122" i="1"/>
  <c r="AT91" i="1"/>
  <c r="J91" i="1"/>
  <c r="AQ91" i="1"/>
  <c r="G91" i="1"/>
  <c r="AN91" i="1"/>
  <c r="F27" i="2"/>
  <c r="D27" i="1"/>
  <c r="E21" i="1"/>
  <c r="E23" i="1"/>
  <c r="E117" i="1"/>
  <c r="E103" i="1"/>
  <c r="E104" i="1"/>
  <c r="E113" i="1"/>
  <c r="E119" i="1"/>
  <c r="E102" i="1"/>
  <c r="D105" i="1"/>
  <c r="E105" i="1" s="1"/>
  <c r="E114" i="1"/>
  <c r="E120" i="1"/>
  <c r="E115" i="1"/>
  <c r="E121" i="1"/>
  <c r="E296" i="1"/>
  <c r="E95" i="1"/>
  <c r="E295" i="2"/>
  <c r="E6" i="2"/>
  <c r="AQ170" i="1"/>
  <c r="G170" i="1"/>
  <c r="AE293" i="2"/>
  <c r="AE238" i="2"/>
  <c r="P358" i="1"/>
  <c r="AN170" i="1"/>
  <c r="E94" i="1"/>
  <c r="E32" i="1"/>
  <c r="AB293" i="2"/>
  <c r="P238" i="1"/>
  <c r="D13" i="2"/>
  <c r="AQ358" i="1"/>
  <c r="G358" i="1"/>
  <c r="F13" i="1"/>
  <c r="F27" i="1" s="1"/>
  <c r="E36" i="1"/>
  <c r="F287" i="2" l="1"/>
  <c r="F289" i="2" s="1"/>
  <c r="E32" i="2"/>
  <c r="E36" i="2"/>
  <c r="E304" i="2"/>
  <c r="F351" i="2"/>
  <c r="E37" i="2"/>
  <c r="E105" i="2"/>
  <c r="F351" i="1"/>
  <c r="F353" i="1" s="1"/>
  <c r="F155" i="1"/>
  <c r="E24" i="1"/>
  <c r="F108" i="1"/>
  <c r="E122" i="1" s="1"/>
  <c r="F397" i="2"/>
  <c r="F399" i="2" s="1"/>
  <c r="F397" i="1"/>
  <c r="F399" i="1" s="1"/>
  <c r="D309" i="2"/>
  <c r="E304" i="1"/>
  <c r="F231" i="1"/>
  <c r="F155" i="2"/>
  <c r="F165" i="2" s="1"/>
  <c r="F233" i="1"/>
  <c r="F289" i="1"/>
  <c r="E33" i="1"/>
  <c r="E31" i="1"/>
  <c r="E37" i="1"/>
  <c r="E97" i="1"/>
  <c r="E27" i="1"/>
  <c r="D108" i="1"/>
  <c r="E108" i="1" s="1"/>
  <c r="E118" i="1"/>
  <c r="E116" i="1"/>
  <c r="E35" i="1"/>
  <c r="E34" i="1"/>
  <c r="F353" i="2"/>
  <c r="E31" i="2"/>
  <c r="E35" i="2"/>
  <c r="E33" i="2"/>
  <c r="E34" i="2"/>
  <c r="F74" i="2"/>
  <c r="F85" i="2" s="1"/>
  <c r="E104" i="2"/>
  <c r="E114" i="2"/>
  <c r="E115" i="2"/>
  <c r="E112" i="2"/>
  <c r="E118" i="2"/>
  <c r="E97" i="2"/>
  <c r="E119" i="2"/>
  <c r="E120" i="2"/>
  <c r="E121" i="2"/>
  <c r="E103" i="2"/>
  <c r="E113" i="2"/>
  <c r="D108" i="2"/>
  <c r="E108" i="2" s="1"/>
  <c r="E117" i="2"/>
  <c r="E102" i="2"/>
  <c r="E116" i="2"/>
  <c r="D314" i="1"/>
  <c r="E314" i="1" s="1"/>
  <c r="E309" i="1"/>
  <c r="E23" i="2"/>
  <c r="D27" i="2"/>
  <c r="E27" i="2" s="1"/>
  <c r="E21" i="2"/>
  <c r="E22" i="2"/>
  <c r="D314" i="2"/>
  <c r="E314" i="2" s="1"/>
  <c r="E309" i="2"/>
  <c r="F85" i="1"/>
  <c r="F165" i="1" l="1"/>
</calcChain>
</file>

<file path=xl/sharedStrings.xml><?xml version="1.0" encoding="utf-8"?>
<sst xmlns="http://schemas.openxmlformats.org/spreadsheetml/2006/main" count="1440" uniqueCount="131">
  <si>
    <t>PROFIT DÉPARTEMENTAL</t>
  </si>
  <si>
    <t>TOTAL DES DÉPENSES</t>
  </si>
  <si>
    <t>TOTAL SEMI-FIXES</t>
  </si>
  <si>
    <t>[...]</t>
  </si>
  <si>
    <t>Frais bancaires</t>
  </si>
  <si>
    <t>Formation</t>
  </si>
  <si>
    <t>Divers</t>
  </si>
  <si>
    <t>Frais postaux</t>
  </si>
  <si>
    <t>Téléphone</t>
  </si>
  <si>
    <t>Papeterie</t>
  </si>
  <si>
    <t>Uniformes</t>
  </si>
  <si>
    <t>Fournitures autres</t>
  </si>
  <si>
    <t>Services extérieurs</t>
  </si>
  <si>
    <t>Frais de déplacement</t>
  </si>
  <si>
    <t>Informatique</t>
  </si>
  <si>
    <t>Frais véhicules de cie</t>
  </si>
  <si>
    <t>Service gratuit 2</t>
  </si>
  <si>
    <t>Publicité 2</t>
  </si>
  <si>
    <t>% brut</t>
  </si>
  <si>
    <t>TOTAL PERSONNEL</t>
  </si>
  <si>
    <t>Csst</t>
  </si>
  <si>
    <t>Bénéfices marginaux</t>
  </si>
  <si>
    <t>Déduction à la source</t>
  </si>
  <si>
    <t>Salaires en absences</t>
  </si>
  <si>
    <t>Salaires spécialistes</t>
  </si>
  <si>
    <t>Salaires autres</t>
  </si>
  <si>
    <t>Salaires commis</t>
  </si>
  <si>
    <t>Salaires cadres</t>
  </si>
  <si>
    <t>DEPENSES</t>
  </si>
  <si>
    <t>Total Dépt. Boutique</t>
  </si>
  <si>
    <t>Boutique</t>
  </si>
  <si>
    <t>$PROFITS</t>
  </si>
  <si>
    <t>% P. BRUT</t>
  </si>
  <si>
    <t>$VENTES</t>
  </si>
  <si>
    <t>Fournitures d'atelier</t>
  </si>
  <si>
    <t>Total Dépt. Pièces</t>
  </si>
  <si>
    <t>Autostock</t>
  </si>
  <si>
    <t>Sous-total Pièces et Acc.</t>
  </si>
  <si>
    <t>Huiles et Graisse</t>
  </si>
  <si>
    <t>Ventes Pneus</t>
  </si>
  <si>
    <t>Sous-total Pièces</t>
  </si>
  <si>
    <t>Rectif. Inventaire</t>
  </si>
  <si>
    <t>Escomptes</t>
  </si>
  <si>
    <t>Ventes de Gros</t>
  </si>
  <si>
    <t>Ventes Détails</t>
  </si>
  <si>
    <t>Ventes Internes</t>
  </si>
  <si>
    <t>P/A Garantie</t>
  </si>
  <si>
    <t>Pièces Ro Carrosserie</t>
  </si>
  <si>
    <t>Pièces Ro Clients</t>
  </si>
  <si>
    <t>Pièces</t>
  </si>
  <si>
    <t>#DIV/0!</t>
  </si>
  <si>
    <t>Total Mécanique</t>
  </si>
  <si>
    <t>% profit / ventes</t>
  </si>
  <si>
    <t>M/O Esthétique Carr.</t>
  </si>
  <si>
    <t>M/O Carrosserie</t>
  </si>
  <si>
    <t>M/O Sous-traitement</t>
  </si>
  <si>
    <t>#</t>
  </si>
  <si>
    <t>Carrosserie</t>
  </si>
  <si>
    <t>%brut</t>
  </si>
  <si>
    <t>M.O. Recond. MCPA</t>
  </si>
  <si>
    <t>Sous-traitement</t>
  </si>
  <si>
    <t>% protit / ventes</t>
  </si>
  <si>
    <t>Sous-total M/O</t>
  </si>
  <si>
    <t>Ajustement M/O</t>
  </si>
  <si>
    <t>M/O Esthétique</t>
  </si>
  <si>
    <t>M/O Interne</t>
  </si>
  <si>
    <t>M/O Garantie</t>
  </si>
  <si>
    <t>M/O Client</t>
  </si>
  <si>
    <t>Service</t>
  </si>
  <si>
    <t>AUTRES REVENUS</t>
  </si>
  <si>
    <t>Frais administration</t>
  </si>
  <si>
    <t>Programme used 3</t>
  </si>
  <si>
    <t>Programme used 2</t>
  </si>
  <si>
    <t>Programme used 1</t>
  </si>
  <si>
    <t>TOTAL VARIABLES</t>
  </si>
  <si>
    <t>Intérêt de gros</t>
  </si>
  <si>
    <t>Publicité 1</t>
  </si>
  <si>
    <t>Entretien stock</t>
  </si>
  <si>
    <t>Service gratuit 1</t>
  </si>
  <si>
    <t>Frais de livraison</t>
  </si>
  <si>
    <t>Comm. F&amp;I</t>
  </si>
  <si>
    <t>Comm. vendeurs</t>
  </si>
  <si>
    <t>Total Dépt. Usagés</t>
  </si>
  <si>
    <t>Total F&amp;I</t>
  </si>
  <si>
    <t>Rev. Autres</t>
  </si>
  <si>
    <t>Rev. Protections</t>
  </si>
  <si>
    <t>Rev. Finances</t>
  </si>
  <si>
    <t>Ventes au Gros</t>
  </si>
  <si>
    <t>Total Usagés</t>
  </si>
  <si>
    <t>Autres Marques</t>
  </si>
  <si>
    <t>Non Certifié</t>
  </si>
  <si>
    <t>Certifié</t>
  </si>
  <si>
    <t>Ventes nettes</t>
  </si>
  <si>
    <t>$P/UNITÉ</t>
  </si>
  <si>
    <t>UNITE</t>
  </si>
  <si>
    <t>Véhicules usagés</t>
  </si>
  <si>
    <t>Holdbacks</t>
  </si>
  <si>
    <t>Programme neuf 3</t>
  </si>
  <si>
    <t>Programme neuf 2</t>
  </si>
  <si>
    <t>Programme neuf 1</t>
  </si>
  <si>
    <t xml:space="preserve">  </t>
  </si>
  <si>
    <t>Total Dépt. Neufs</t>
  </si>
  <si>
    <t>Rachat bail</t>
  </si>
  <si>
    <t>Flottes</t>
  </si>
  <si>
    <t>Ex-Démos et courtoisies</t>
  </si>
  <si>
    <t>Total Neufs</t>
  </si>
  <si>
    <t>Moto détail</t>
  </si>
  <si>
    <t>Sprinter</t>
  </si>
  <si>
    <t>Camions détail</t>
  </si>
  <si>
    <t>Autos détail</t>
  </si>
  <si>
    <t>Conso</t>
  </si>
  <si>
    <t>Véhicules neufs</t>
  </si>
  <si>
    <t>LHD</t>
  </si>
  <si>
    <t>Volks</t>
  </si>
  <si>
    <t>Toyota</t>
  </si>
  <si>
    <t>Honda</t>
  </si>
  <si>
    <t>Infiniti</t>
  </si>
  <si>
    <t>Mini</t>
  </si>
  <si>
    <t>Volvo</t>
  </si>
  <si>
    <t>LEXUS</t>
  </si>
  <si>
    <t>JLR</t>
  </si>
  <si>
    <t>AUDI</t>
  </si>
  <si>
    <t>SSMB</t>
  </si>
  <si>
    <t>MBQ</t>
  </si>
  <si>
    <t>BMW SHER</t>
  </si>
  <si>
    <t>BMW STJ</t>
  </si>
  <si>
    <t>BMW PA</t>
  </si>
  <si>
    <t>$P/UNITE</t>
  </si>
  <si>
    <t>UNITÉS</t>
  </si>
  <si>
    <t>Lexus</t>
  </si>
  <si>
    <t>Audi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</si>
</sst>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_)"/>
    <numFmt numFmtId="166" formatCode="dd\/mm\/yy_)"/>
    <numFmt numFmtId="167" formatCode="_(* #,##0_);_(* \(#,##0\);_(* &quot;-&quot;??_);_(@_)"/>
    <numFmt numFmtId="168" formatCode="0.00_)"/>
    <numFmt numFmtId="169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name val="Calibri"/>
      <family val="2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sz val="11"/>
      <name val="Calibri"/>
      <family val="2"/>
      <scheme val="minor"/>
    </font>
    <font>
      <sz val="20"/>
      <name val="Calibri"/>
      <family val="2"/>
    </font>
    <font>
      <b/>
      <sz val="2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3">
    <xf numFmtId="0" fontId="0" fillId="0" borderId="0" xfId="0"/>
    <xf numFmtId="37" fontId="1" fillId="0" borderId="0" xfId="0" applyNumberFormat="1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37" fontId="2" fillId="3" borderId="1" xfId="0" applyNumberFormat="1" applyFont="1" applyFill="1" applyBorder="1"/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37" fontId="2" fillId="3" borderId="6" xfId="0" applyNumberFormat="1" applyFont="1" applyFill="1" applyBorder="1"/>
    <xf numFmtId="164" fontId="2" fillId="2" borderId="7" xfId="0" applyNumberFormat="1" applyFont="1" applyFill="1" applyBorder="1"/>
    <xf numFmtId="164" fontId="2" fillId="3" borderId="7" xfId="0" applyNumberFormat="1" applyFont="1" applyFill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3" fontId="3" fillId="0" borderId="4" xfId="0" applyNumberFormat="1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3" fontId="3" fillId="0" borderId="12" xfId="0" applyNumberFormat="1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37" fontId="2" fillId="3" borderId="8" xfId="0" applyNumberFormat="1" applyFont="1" applyFill="1" applyBorder="1"/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3" fontId="2" fillId="0" borderId="4" xfId="0" applyNumberFormat="1" applyFont="1" applyBorder="1"/>
    <xf numFmtId="164" fontId="2" fillId="0" borderId="0" xfId="0" applyNumberFormat="1" applyFont="1"/>
    <xf numFmtId="37" fontId="2" fillId="0" borderId="15" xfId="0" applyNumberFormat="1" applyFont="1" applyBorder="1"/>
    <xf numFmtId="0" fontId="2" fillId="2" borderId="16" xfId="0" applyFont="1" applyFill="1" applyBorder="1"/>
    <xf numFmtId="0" fontId="2" fillId="2" borderId="17" xfId="0" applyFont="1" applyFill="1" applyBorder="1"/>
    <xf numFmtId="0" fontId="2" fillId="2" borderId="18" xfId="0" applyFont="1" applyFill="1" applyBorder="1"/>
    <xf numFmtId="0" fontId="2" fillId="2" borderId="19" xfId="0" applyFont="1" applyFill="1" applyBorder="1"/>
    <xf numFmtId="0" fontId="2" fillId="2" borderId="20" xfId="0" applyFont="1" applyFill="1" applyBorder="1"/>
    <xf numFmtId="0" fontId="2" fillId="2" borderId="21" xfId="0" applyFont="1" applyFill="1" applyBorder="1"/>
    <xf numFmtId="0" fontId="2" fillId="2" borderId="22" xfId="0" applyFont="1" applyFill="1" applyBorder="1"/>
    <xf numFmtId="0" fontId="2" fillId="2" borderId="15" xfId="0" applyFont="1" applyFill="1" applyBorder="1"/>
    <xf numFmtId="37" fontId="3" fillId="3" borderId="23" xfId="0" applyNumberFormat="1" applyFont="1" applyFill="1" applyBorder="1"/>
    <xf numFmtId="164" fontId="3" fillId="2" borderId="24" xfId="0" applyNumberFormat="1" applyFont="1" applyFill="1" applyBorder="1"/>
    <xf numFmtId="37" fontId="3" fillId="3" borderId="25" xfId="0" applyNumberFormat="1" applyFont="1" applyFill="1" applyBorder="1"/>
    <xf numFmtId="37" fontId="2" fillId="2" borderId="21" xfId="0" applyNumberFormat="1" applyFont="1" applyFill="1" applyBorder="1"/>
    <xf numFmtId="164" fontId="2" fillId="2" borderId="22" xfId="0" applyNumberFormat="1" applyFont="1" applyFill="1" applyBorder="1"/>
    <xf numFmtId="37" fontId="2" fillId="2" borderId="15" xfId="0" applyNumberFormat="1" applyFont="1" applyFill="1" applyBorder="1"/>
    <xf numFmtId="3" fontId="3" fillId="0" borderId="4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5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5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37" fontId="2" fillId="3" borderId="16" xfId="0" applyNumberFormat="1" applyFont="1" applyFill="1" applyBorder="1"/>
    <xf numFmtId="10" fontId="2" fillId="3" borderId="17" xfId="0" applyNumberFormat="1" applyFont="1" applyFill="1" applyBorder="1"/>
    <xf numFmtId="0" fontId="2" fillId="3" borderId="18" xfId="0" applyFont="1" applyFill="1" applyBorder="1"/>
    <xf numFmtId="0" fontId="2" fillId="3" borderId="17" xfId="0" applyFont="1" applyFill="1" applyBorder="1"/>
    <xf numFmtId="37" fontId="3" fillId="0" borderId="4" xfId="0" applyNumberFormat="1" applyFont="1" applyBorder="1"/>
    <xf numFmtId="0" fontId="2" fillId="3" borderId="8" xfId="0" applyFont="1" applyFill="1" applyBorder="1" applyAlignment="1">
      <alignment horizontal="center"/>
    </xf>
    <xf numFmtId="37" fontId="3" fillId="0" borderId="12" xfId="0" applyNumberFormat="1" applyFont="1" applyBorder="1"/>
    <xf numFmtId="0" fontId="3" fillId="0" borderId="13" xfId="0" applyFont="1" applyBorder="1"/>
    <xf numFmtId="0" fontId="3" fillId="0" borderId="14" xfId="0" applyFont="1" applyBorder="1"/>
    <xf numFmtId="3" fontId="3" fillId="0" borderId="9" xfId="0" applyNumberFormat="1" applyFont="1" applyBorder="1"/>
    <xf numFmtId="37" fontId="2" fillId="2" borderId="6" xfId="0" applyNumberFormat="1" applyFont="1" applyFill="1" applyBorder="1"/>
    <xf numFmtId="0" fontId="2" fillId="2" borderId="8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37" fontId="3" fillId="0" borderId="5" xfId="0" applyNumberFormat="1" applyFont="1" applyBorder="1"/>
    <xf numFmtId="37" fontId="2" fillId="0" borderId="4" xfId="0" applyNumberFormat="1" applyFont="1" applyBorder="1"/>
    <xf numFmtId="165" fontId="2" fillId="0" borderId="0" xfId="0" applyNumberFormat="1" applyFont="1"/>
    <xf numFmtId="37" fontId="2" fillId="0" borderId="5" xfId="0" applyNumberFormat="1" applyFont="1" applyBorder="1"/>
    <xf numFmtId="37" fontId="2" fillId="2" borderId="16" xfId="0" applyNumberFormat="1" applyFont="1" applyFill="1" applyBorder="1"/>
    <xf numFmtId="165" fontId="2" fillId="2" borderId="17" xfId="0" applyNumberFormat="1" applyFont="1" applyFill="1" applyBorder="1"/>
    <xf numFmtId="37" fontId="2" fillId="2" borderId="18" xfId="0" applyNumberFormat="1" applyFont="1" applyFill="1" applyBorder="1"/>
    <xf numFmtId="164" fontId="3" fillId="0" borderId="0" xfId="0" applyNumberFormat="1" applyFont="1"/>
    <xf numFmtId="164" fontId="3" fillId="0" borderId="13" xfId="0" applyNumberFormat="1" applyFont="1" applyBorder="1"/>
    <xf numFmtId="3" fontId="3" fillId="0" borderId="14" xfId="0" applyNumberFormat="1" applyFont="1" applyBorder="1"/>
    <xf numFmtId="37" fontId="2" fillId="0" borderId="9" xfId="0" applyNumberFormat="1" applyFont="1" applyBorder="1"/>
    <xf numFmtId="164" fontId="2" fillId="0" borderId="10" xfId="0" applyNumberFormat="1" applyFont="1" applyBorder="1"/>
    <xf numFmtId="37" fontId="2" fillId="0" borderId="11" xfId="0" applyNumberFormat="1" applyFont="1" applyBorder="1"/>
    <xf numFmtId="3" fontId="3" fillId="0" borderId="5" xfId="0" applyNumberFormat="1" applyFont="1" applyBorder="1"/>
    <xf numFmtId="0" fontId="3" fillId="0" borderId="12" xfId="0" applyFont="1" applyBorder="1"/>
    <xf numFmtId="0" fontId="7" fillId="0" borderId="0" xfId="0" applyFont="1"/>
    <xf numFmtId="166" fontId="7" fillId="0" borderId="0" xfId="0" applyNumberFormat="1" applyFont="1" applyAlignment="1">
      <alignment horizontal="left"/>
    </xf>
    <xf numFmtId="37" fontId="3" fillId="0" borderId="0" xfId="0" applyNumberFormat="1" applyFont="1"/>
    <xf numFmtId="10" fontId="2" fillId="2" borderId="17" xfId="0" applyNumberFormat="1" applyFont="1" applyFill="1" applyBorder="1"/>
    <xf numFmtId="164" fontId="2" fillId="2" borderId="26" xfId="0" applyNumberFormat="1" applyFont="1" applyFill="1" applyBorder="1"/>
    <xf numFmtId="37" fontId="2" fillId="2" borderId="19" xfId="0" applyNumberFormat="1" applyFont="1" applyFill="1" applyBorder="1"/>
    <xf numFmtId="37" fontId="2" fillId="2" borderId="20" xfId="0" applyNumberFormat="1" applyFont="1" applyFill="1" applyBorder="1"/>
    <xf numFmtId="37" fontId="2" fillId="2" borderId="22" xfId="0" applyNumberFormat="1" applyFont="1" applyFill="1" applyBorder="1"/>
    <xf numFmtId="164" fontId="3" fillId="0" borderId="4" xfId="0" applyNumberFormat="1" applyFont="1" applyBorder="1"/>
    <xf numFmtId="3" fontId="3" fillId="0" borderId="0" xfId="0" applyNumberFormat="1" applyFont="1"/>
    <xf numFmtId="37" fontId="3" fillId="0" borderId="11" xfId="0" applyNumberFormat="1" applyFont="1" applyBorder="1"/>
    <xf numFmtId="164" fontId="3" fillId="0" borderId="12" xfId="0" applyNumberFormat="1" applyFont="1" applyBorder="1"/>
    <xf numFmtId="2" fontId="3" fillId="0" borderId="13" xfId="0" applyNumberFormat="1" applyFont="1" applyBorder="1"/>
    <xf numFmtId="37" fontId="3" fillId="0" borderId="14" xfId="0" applyNumberFormat="1" applyFont="1" applyBorder="1"/>
    <xf numFmtId="3" fontId="3" fillId="0" borderId="10" xfId="0" applyNumberFormat="1" applyFont="1" applyBorder="1"/>
    <xf numFmtId="37" fontId="7" fillId="0" borderId="0" xfId="0" applyNumberFormat="1" applyFont="1"/>
    <xf numFmtId="9" fontId="3" fillId="0" borderId="10" xfId="0" applyNumberFormat="1" applyFont="1" applyBorder="1"/>
    <xf numFmtId="9" fontId="3" fillId="0" borderId="0" xfId="0" applyNumberFormat="1" applyFont="1"/>
    <xf numFmtId="164" fontId="2" fillId="0" borderId="4" xfId="0" applyNumberFormat="1" applyFont="1" applyBorder="1"/>
    <xf numFmtId="164" fontId="2" fillId="3" borderId="26" xfId="0" applyNumberFormat="1" applyFont="1" applyFill="1" applyBorder="1"/>
    <xf numFmtId="37" fontId="2" fillId="3" borderId="19" xfId="0" applyNumberFormat="1" applyFont="1" applyFill="1" applyBorder="1"/>
    <xf numFmtId="37" fontId="2" fillId="3" borderId="20" xfId="0" applyNumberFormat="1" applyFont="1" applyFill="1" applyBorder="1"/>
    <xf numFmtId="0" fontId="2" fillId="3" borderId="19" xfId="0" applyFont="1" applyFill="1" applyBorder="1"/>
    <xf numFmtId="0" fontId="2" fillId="3" borderId="20" xfId="0" applyFont="1" applyFill="1" applyBorder="1"/>
    <xf numFmtId="37" fontId="2" fillId="3" borderId="21" xfId="0" applyNumberFormat="1" applyFont="1" applyFill="1" applyBorder="1"/>
    <xf numFmtId="37" fontId="2" fillId="3" borderId="22" xfId="0" applyNumberFormat="1" applyFont="1" applyFill="1" applyBorder="1"/>
    <xf numFmtId="37" fontId="2" fillId="3" borderId="15" xfId="0" applyNumberFormat="1" applyFont="1" applyFill="1" applyBorder="1"/>
    <xf numFmtId="165" fontId="2" fillId="0" borderId="10" xfId="0" applyNumberFormat="1" applyFont="1" applyBorder="1"/>
    <xf numFmtId="0" fontId="2" fillId="4" borderId="11" xfId="0" applyFont="1" applyFill="1" applyBorder="1"/>
    <xf numFmtId="0" fontId="2" fillId="0" borderId="11" xfId="0" applyFont="1" applyBorder="1"/>
    <xf numFmtId="39" fontId="2" fillId="0" borderId="13" xfId="0" applyNumberFormat="1" applyFont="1" applyBorder="1"/>
    <xf numFmtId="37" fontId="2" fillId="0" borderId="14" xfId="0" applyNumberFormat="1" applyFont="1" applyBorder="1"/>
    <xf numFmtId="0" fontId="2" fillId="4" borderId="14" xfId="0" applyFont="1" applyFill="1" applyBorder="1"/>
    <xf numFmtId="37" fontId="2" fillId="0" borderId="21" xfId="0" applyNumberFormat="1" applyFont="1" applyBorder="1"/>
    <xf numFmtId="37" fontId="2" fillId="0" borderId="22" xfId="0" applyNumberFormat="1" applyFont="1" applyBorder="1"/>
    <xf numFmtId="0" fontId="2" fillId="4" borderId="15" xfId="0" applyFont="1" applyFill="1" applyBorder="1"/>
    <xf numFmtId="167" fontId="3" fillId="0" borderId="4" xfId="0" applyNumberFormat="1" applyFont="1" applyBorder="1"/>
    <xf numFmtId="3" fontId="3" fillId="0" borderId="13" xfId="0" applyNumberFormat="1" applyFont="1" applyBorder="1"/>
    <xf numFmtId="168" fontId="3" fillId="0" borderId="0" xfId="0" applyNumberFormat="1" applyFont="1"/>
    <xf numFmtId="165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37" fontId="3" fillId="0" borderId="13" xfId="0" applyNumberFormat="1" applyFont="1" applyBorder="1"/>
    <xf numFmtId="9" fontId="3" fillId="0" borderId="5" xfId="0" applyNumberFormat="1" applyFont="1" applyBorder="1"/>
    <xf numFmtId="1" fontId="3" fillId="0" borderId="5" xfId="0" applyNumberFormat="1" applyFont="1" applyBorder="1"/>
    <xf numFmtId="0" fontId="2" fillId="0" borderId="5" xfId="0" applyFont="1" applyBorder="1" applyAlignment="1">
      <alignment horizontal="center"/>
    </xf>
    <xf numFmtId="164" fontId="3" fillId="0" borderId="14" xfId="0" applyNumberFormat="1" applyFont="1" applyBorder="1"/>
    <xf numFmtId="164" fontId="3" fillId="0" borderId="5" xfId="0" applyNumberFormat="1" applyFont="1" applyBorder="1"/>
    <xf numFmtId="3" fontId="2" fillId="3" borderId="19" xfId="0" applyNumberFormat="1" applyFont="1" applyFill="1" applyBorder="1"/>
    <xf numFmtId="165" fontId="2" fillId="3" borderId="22" xfId="0" applyNumberFormat="1" applyFont="1" applyFill="1" applyBorder="1"/>
    <xf numFmtId="3" fontId="2" fillId="0" borderId="9" xfId="0" applyNumberFormat="1" applyFont="1" applyBorder="1"/>
    <xf numFmtId="3" fontId="2" fillId="0" borderId="10" xfId="0" applyNumberFormat="1" applyFont="1" applyBorder="1"/>
    <xf numFmtId="3" fontId="2" fillId="0" borderId="11" xfId="0" applyNumberFormat="1" applyFont="1" applyBorder="1"/>
    <xf numFmtId="1" fontId="3" fillId="0" borderId="14" xfId="0" applyNumberFormat="1" applyFont="1" applyBorder="1"/>
    <xf numFmtId="0" fontId="8" fillId="0" borderId="0" xfId="0" applyFont="1"/>
    <xf numFmtId="37" fontId="8" fillId="0" borderId="0" xfId="0" applyNumberFormat="1" applyFont="1"/>
    <xf numFmtId="10" fontId="3" fillId="3" borderId="17" xfId="0" applyNumberFormat="1" applyFont="1" applyFill="1" applyBorder="1"/>
    <xf numFmtId="0" fontId="3" fillId="3" borderId="18" xfId="0" applyFont="1" applyFill="1" applyBorder="1"/>
    <xf numFmtId="0" fontId="3" fillId="3" borderId="17" xfId="0" applyFont="1" applyFill="1" applyBorder="1"/>
    <xf numFmtId="0" fontId="2" fillId="4" borderId="5" xfId="0" applyFont="1" applyFill="1" applyBorder="1"/>
    <xf numFmtId="169" fontId="3" fillId="0" borderId="0" xfId="0" applyNumberFormat="1" applyFont="1"/>
    <xf numFmtId="9" fontId="3" fillId="0" borderId="14" xfId="0" applyNumberFormat="1" applyFont="1" applyBorder="1"/>
    <xf numFmtId="0" fontId="2" fillId="0" borderId="21" xfId="0" applyFont="1" applyBorder="1"/>
    <xf numFmtId="165" fontId="2" fillId="2" borderId="22" xfId="0" applyNumberFormat="1" applyFont="1" applyFill="1" applyBorder="1"/>
    <xf numFmtId="0" fontId="2" fillId="0" borderId="14" xfId="0" applyFont="1" applyBorder="1"/>
    <xf numFmtId="3" fontId="2" fillId="0" borderId="13" xfId="0" applyNumberFormat="1" applyFont="1" applyBorder="1"/>
    <xf numFmtId="3" fontId="2" fillId="0" borderId="14" xfId="0" applyNumberFormat="1" applyFont="1" applyBorder="1"/>
    <xf numFmtId="3" fontId="2" fillId="0" borderId="12" xfId="0" applyNumberFormat="1" applyFont="1" applyBorder="1"/>
    <xf numFmtId="0" fontId="9" fillId="0" borderId="0" xfId="0" applyFont="1"/>
    <xf numFmtId="0" fontId="10" fillId="0" borderId="0" xfId="0" applyFont="1"/>
    <xf numFmtId="0" fontId="5" fillId="0" borderId="0" xfId="0" applyFont="1"/>
    <xf numFmtId="0" fontId="11" fillId="0" borderId="0" xfId="0" applyFont="1" applyAlignment="1">
      <alignment horizontal="center"/>
    </xf>
    <xf numFmtId="0" fontId="9" fillId="0" borderId="0" xfId="0" applyFont="1"/>
    <xf numFmtId="0" fontId="2" fillId="0" borderId="29" xfId="0" applyFont="1" applyBorder="1" applyAlignment="1">
      <alignment horizontal="center"/>
    </xf>
    <xf numFmtId="0" fontId="5" fillId="0" borderId="28" xfId="0" applyFont="1" applyBorder="1"/>
    <xf numFmtId="0" fontId="5" fillId="0" borderId="27" xfId="0" applyFont="1" applyBorder="1"/>
    <xf numFmtId="0" fontId="6" fillId="0" borderId="0" xfId="0" applyFont="1" applyAlignment="1">
      <alignment horizontal="center"/>
    </xf>
    <xf numFmtId="0" fontId="0" fillId="0" borderId="0" xfId="0"/>
    <xf numFmtId="0" fontId="2" fillId="0" borderId="25" xfId="0" applyFont="1" applyBorder="1" applyAlignment="1">
      <alignment horizontal="center"/>
    </xf>
    <xf numFmtId="0" fontId="5" fillId="0" borderId="24" xfId="0" applyFont="1" applyBorder="1"/>
    <xf numFmtId="0" fontId="5" fillId="0" borderId="23" xfId="0" applyFont="1" applyBorder="1"/>
    <xf numFmtId="0" fontId="2" fillId="0" borderId="24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7" xfId="0" applyFont="1" applyBorder="1" applyAlignment="1">
      <alignment horizontal="center"/>
    </xf>
  </cellXfs>
  <cellStyles count="1">
    <cellStyle name="Normal" xfId="0" builtinId="0"/>
  </cellStyles>
  <dxfs count="416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6FD9-5129-4BCD-932A-12DC3D31212A}">
  <sheetPr>
    <tabColor rgb="FFBDD6EE"/>
    <pageSetUpPr fitToPage="1"/>
  </sheetPr>
  <dimension ref="A1:BY408"/>
  <sheetViews>
    <sheetView tabSelected="1" workbookViewId="0">
      <pane ySplit="1" topLeftCell="A2" activePane="bottomLeft" state="frozen"/>
      <selection activeCell="A392" sqref="A392:XFD394"/>
      <selection pane="bottomLeft" activeCell="E18" sqref="E18"/>
    </sheetView>
  </sheetViews>
  <sheetFormatPr baseColWidth="10" defaultColWidth="14.42578125" defaultRowHeight="15" customHeight="1" x14ac:dyDescent="0.25"/>
  <cols>
    <col min="1" max="1" width="3" customWidth="1"/>
    <col min="2" max="2" width="3.28515625" customWidth="1"/>
    <col min="3" max="3" width="42" customWidth="1"/>
    <col min="4" max="24" width="19.140625" customWidth="1"/>
    <col min="25" max="25" width="16" customWidth="1"/>
    <col min="26" max="26" width="16.5703125" customWidth="1"/>
    <col min="27" max="27" width="22.42578125" customWidth="1"/>
    <col min="28" max="28" width="14.5703125" customWidth="1"/>
    <col min="29" max="29" width="16.5703125" customWidth="1"/>
    <col min="30" max="30" width="22.42578125" customWidth="1"/>
    <col min="31" max="31" width="14.5703125" customWidth="1"/>
    <col min="32" max="32" width="16.5703125" customWidth="1"/>
    <col min="33" max="33" width="22.42578125" customWidth="1"/>
    <col min="34" max="34" width="14.5703125" customWidth="1"/>
    <col min="35" max="35" width="16.5703125" customWidth="1"/>
    <col min="36" max="36" width="22.42578125" customWidth="1"/>
    <col min="37" max="37" width="14.5703125" customWidth="1"/>
    <col min="38" max="38" width="16.5703125" customWidth="1"/>
    <col min="39" max="39" width="22.42578125" customWidth="1"/>
    <col min="40" max="40" width="14.5703125" customWidth="1"/>
    <col min="41" max="41" width="16.5703125" customWidth="1"/>
    <col min="42" max="42" width="22.42578125" customWidth="1"/>
    <col min="43" max="43" width="14.5703125" customWidth="1"/>
    <col min="44" max="44" width="16.5703125" customWidth="1"/>
    <col min="45" max="45" width="22.42578125" customWidth="1"/>
    <col min="46" max="46" width="14.5703125" customWidth="1"/>
    <col min="47" max="47" width="16.5703125" customWidth="1"/>
    <col min="48" max="48" width="22.42578125" customWidth="1"/>
    <col min="49" max="49" width="14.5703125" customWidth="1"/>
    <col min="50" max="50" width="16.5703125" customWidth="1"/>
    <col min="51" max="51" width="22.42578125" customWidth="1"/>
    <col min="52" max="52" width="14.5703125" hidden="1" customWidth="1"/>
    <col min="53" max="53" width="16.5703125" hidden="1" customWidth="1"/>
    <col min="54" max="54" width="22.42578125" hidden="1" customWidth="1"/>
    <col min="55" max="55" width="14.5703125" hidden="1" customWidth="1"/>
    <col min="56" max="56" width="16.5703125" hidden="1" customWidth="1"/>
    <col min="57" max="57" width="22.42578125" hidden="1" customWidth="1"/>
    <col min="58" max="58" width="14.5703125" hidden="1" customWidth="1"/>
    <col min="59" max="59" width="16.5703125" hidden="1" customWidth="1"/>
    <col min="60" max="60" width="22.42578125" hidden="1" customWidth="1"/>
    <col min="61" max="61" width="19.5703125" customWidth="1"/>
    <col min="62" max="62" width="9.7109375" customWidth="1"/>
    <col min="63" max="63" width="10.7109375" customWidth="1"/>
    <col min="64" max="64" width="10.140625" customWidth="1"/>
    <col min="65" max="65" width="6.7109375" customWidth="1"/>
    <col min="66" max="66" width="11.5703125" customWidth="1"/>
    <col min="67" max="67" width="13.140625" customWidth="1"/>
    <col min="68" max="68" width="10" customWidth="1"/>
    <col min="69" max="69" width="15.28515625" customWidth="1"/>
    <col min="70" max="70" width="14" customWidth="1"/>
    <col min="71" max="71" width="14.85546875" customWidth="1"/>
    <col min="72" max="72" width="12.140625" customWidth="1"/>
    <col min="73" max="73" width="8.28515625" customWidth="1"/>
    <col min="74" max="74" width="10.5703125" customWidth="1"/>
    <col min="75" max="75" width="15.28515625" customWidth="1"/>
    <col min="76" max="77" width="10.7109375" customWidth="1"/>
  </cols>
  <sheetData>
    <row r="1" spans="1:77" s="156" customFormat="1" ht="30" x14ac:dyDescent="0.4">
      <c r="A1" s="158"/>
      <c r="B1" s="158"/>
      <c r="C1" s="158"/>
      <c r="D1" s="159" t="s">
        <v>110</v>
      </c>
      <c r="E1" s="160"/>
      <c r="F1" s="160"/>
      <c r="G1" s="159" t="s">
        <v>126</v>
      </c>
      <c r="H1" s="160"/>
      <c r="I1" s="160"/>
      <c r="J1" s="159" t="s">
        <v>125</v>
      </c>
      <c r="K1" s="160"/>
      <c r="L1" s="160"/>
      <c r="M1" s="159" t="s">
        <v>124</v>
      </c>
      <c r="N1" s="160"/>
      <c r="O1" s="160"/>
      <c r="P1" s="159" t="s">
        <v>123</v>
      </c>
      <c r="Q1" s="160"/>
      <c r="R1" s="160"/>
      <c r="S1" s="159" t="s">
        <v>122</v>
      </c>
      <c r="T1" s="160"/>
      <c r="U1" s="160"/>
      <c r="V1" s="159" t="s">
        <v>121</v>
      </c>
      <c r="W1" s="160"/>
      <c r="X1" s="160"/>
      <c r="Y1" s="159" t="s">
        <v>120</v>
      </c>
      <c r="Z1" s="160"/>
      <c r="AA1" s="160"/>
      <c r="AB1" s="159" t="s">
        <v>119</v>
      </c>
      <c r="AC1" s="160"/>
      <c r="AD1" s="160"/>
      <c r="AE1" s="159" t="s">
        <v>118</v>
      </c>
      <c r="AF1" s="160"/>
      <c r="AG1" s="160"/>
      <c r="AH1" s="159" t="s">
        <v>117</v>
      </c>
      <c r="AI1" s="160"/>
      <c r="AJ1" s="160"/>
      <c r="AK1" s="159" t="s">
        <v>116</v>
      </c>
      <c r="AL1" s="160"/>
      <c r="AM1" s="160"/>
      <c r="AN1" s="159" t="s">
        <v>115</v>
      </c>
      <c r="AO1" s="160"/>
      <c r="AP1" s="160"/>
      <c r="AQ1" s="159" t="s">
        <v>114</v>
      </c>
      <c r="AR1" s="160"/>
      <c r="AS1" s="160"/>
      <c r="AT1" s="159" t="s">
        <v>113</v>
      </c>
      <c r="AU1" s="160"/>
      <c r="AV1" s="160"/>
      <c r="AW1" s="159" t="s">
        <v>112</v>
      </c>
      <c r="AX1" s="160"/>
      <c r="AY1" s="160"/>
      <c r="AZ1" s="159"/>
      <c r="BA1" s="160"/>
      <c r="BB1" s="160"/>
      <c r="BC1" s="159"/>
      <c r="BD1" s="159"/>
      <c r="BE1" s="159"/>
      <c r="BF1" s="159"/>
      <c r="BG1" s="159"/>
      <c r="BH1" s="159"/>
      <c r="BI1" s="158"/>
      <c r="BJ1" s="157"/>
      <c r="BK1" s="157"/>
      <c r="BL1" s="157"/>
      <c r="BM1" s="157"/>
      <c r="BN1" s="157"/>
      <c r="BO1" s="157"/>
      <c r="BP1" s="157"/>
      <c r="BQ1" s="157"/>
      <c r="BR1" s="157"/>
      <c r="BS1" s="157"/>
      <c r="BT1" s="157"/>
      <c r="BU1" s="157"/>
      <c r="BV1" s="157"/>
      <c r="BW1" s="157"/>
      <c r="BX1" s="157"/>
      <c r="BY1" s="157"/>
    </row>
    <row r="2" spans="1:77" ht="36" thickBot="1" x14ac:dyDescent="0.55000000000000004">
      <c r="C2" s="58" t="str">
        <f>Y2</f>
        <v>Véhicules neufs</v>
      </c>
      <c r="D2" s="58"/>
      <c r="E2" s="58"/>
      <c r="Y2" s="164" t="s">
        <v>111</v>
      </c>
      <c r="Z2" s="165"/>
      <c r="AA2" s="165"/>
      <c r="AB2" s="164"/>
      <c r="AC2" s="165"/>
      <c r="AD2" s="165"/>
      <c r="AE2" s="164"/>
      <c r="AF2" s="165"/>
      <c r="AG2" s="165"/>
      <c r="AH2" s="164"/>
      <c r="AI2" s="165"/>
      <c r="AJ2" s="165"/>
      <c r="AK2" s="164" t="str">
        <f>C2</f>
        <v>Véhicules neufs</v>
      </c>
      <c r="AL2" s="165"/>
      <c r="AM2" s="165"/>
      <c r="AN2" s="164"/>
      <c r="AO2" s="165"/>
      <c r="AP2" s="165"/>
      <c r="AQ2" s="164"/>
      <c r="AR2" s="165"/>
      <c r="AS2" s="165"/>
      <c r="AT2" s="164"/>
      <c r="AU2" s="165"/>
      <c r="AV2" s="165"/>
      <c r="AW2" s="164"/>
      <c r="AX2" s="165"/>
      <c r="AY2" s="165"/>
      <c r="AZ2" s="57"/>
      <c r="BA2" s="57"/>
      <c r="BB2" s="57"/>
      <c r="BC2" s="57"/>
      <c r="BD2" s="57"/>
      <c r="BE2" s="57"/>
      <c r="BF2" s="57"/>
      <c r="BG2" s="57"/>
      <c r="BH2" s="57"/>
    </row>
    <row r="3" spans="1:77" ht="21.75" thickTop="1" thickBot="1" x14ac:dyDescent="0.35">
      <c r="C3" s="56"/>
      <c r="D3" s="161" t="s">
        <v>110</v>
      </c>
      <c r="E3" s="162"/>
      <c r="F3" s="163"/>
      <c r="G3" s="161" t="str">
        <f>G1</f>
        <v>BMW PA</v>
      </c>
      <c r="H3" s="162"/>
      <c r="I3" s="163"/>
      <c r="J3" s="161" t="str">
        <f>J1</f>
        <v>BMW STJ</v>
      </c>
      <c r="K3" s="162"/>
      <c r="L3" s="163"/>
      <c r="M3" s="161" t="str">
        <f>M1</f>
        <v>BMW SHER</v>
      </c>
      <c r="N3" s="162"/>
      <c r="O3" s="163"/>
      <c r="P3" s="161" t="str">
        <f>P1</f>
        <v>MBQ</v>
      </c>
      <c r="Q3" s="162"/>
      <c r="R3" s="163"/>
      <c r="S3" s="161" t="str">
        <f>S1</f>
        <v>SSMB</v>
      </c>
      <c r="T3" s="162"/>
      <c r="U3" s="163"/>
      <c r="V3" s="161" t="str">
        <f>V1</f>
        <v>AUDI</v>
      </c>
      <c r="W3" s="162"/>
      <c r="X3" s="163"/>
      <c r="Y3" s="161" t="str">
        <f>Y1</f>
        <v>JLR</v>
      </c>
      <c r="Z3" s="162"/>
      <c r="AA3" s="163"/>
      <c r="AB3" s="161" t="str">
        <f>AB1</f>
        <v>LEXUS</v>
      </c>
      <c r="AC3" s="162"/>
      <c r="AD3" s="163"/>
      <c r="AE3" s="161" t="str">
        <f>AE1</f>
        <v>Volvo</v>
      </c>
      <c r="AF3" s="162"/>
      <c r="AG3" s="163"/>
      <c r="AH3" s="161" t="str">
        <f>AH1</f>
        <v>Mini</v>
      </c>
      <c r="AI3" s="162"/>
      <c r="AJ3" s="163"/>
      <c r="AK3" s="161" t="str">
        <f>AK1</f>
        <v>Infiniti</v>
      </c>
      <c r="AL3" s="162"/>
      <c r="AM3" s="163"/>
      <c r="AN3" s="161" t="str">
        <f>AN1</f>
        <v>Honda</v>
      </c>
      <c r="AO3" s="162"/>
      <c r="AP3" s="163"/>
      <c r="AQ3" s="161" t="str">
        <f>AQ1</f>
        <v>Toyota</v>
      </c>
      <c r="AR3" s="162"/>
      <c r="AS3" s="163"/>
      <c r="AT3" s="161" t="str">
        <f>AT1</f>
        <v>Volks</v>
      </c>
      <c r="AU3" s="162"/>
      <c r="AV3" s="163"/>
      <c r="AW3" s="161" t="str">
        <f>AW1</f>
        <v>LHD</v>
      </c>
      <c r="AX3" s="162"/>
      <c r="AY3" s="163"/>
      <c r="AZ3" s="161"/>
      <c r="BA3" s="162"/>
      <c r="BB3" s="163"/>
      <c r="BC3" s="161"/>
      <c r="BD3" s="171"/>
      <c r="BE3" s="172"/>
      <c r="BF3" s="161"/>
      <c r="BG3" s="171"/>
      <c r="BH3" s="172"/>
    </row>
    <row r="4" spans="1:77" ht="20.25" x14ac:dyDescent="0.3">
      <c r="C4" s="72"/>
      <c r="D4" s="52" t="s">
        <v>94</v>
      </c>
      <c r="E4" s="51" t="s">
        <v>93</v>
      </c>
      <c r="F4" s="50" t="s">
        <v>31</v>
      </c>
      <c r="G4" s="52" t="str">
        <f>$D4</f>
        <v>UNITE</v>
      </c>
      <c r="H4" s="51" t="str">
        <f>$E4</f>
        <v>$P/UNITÉ</v>
      </c>
      <c r="I4" s="50" t="str">
        <f>$F4</f>
        <v>$PROFITS</v>
      </c>
      <c r="J4" s="52" t="str">
        <f>$D4</f>
        <v>UNITE</v>
      </c>
      <c r="K4" s="51" t="str">
        <f>$E4</f>
        <v>$P/UNITÉ</v>
      </c>
      <c r="L4" s="50" t="str">
        <f>$F4</f>
        <v>$PROFITS</v>
      </c>
      <c r="M4" s="52" t="str">
        <f>$D4</f>
        <v>UNITE</v>
      </c>
      <c r="N4" s="51" t="str">
        <f>$E4</f>
        <v>$P/UNITÉ</v>
      </c>
      <c r="O4" s="50" t="str">
        <f>$F4</f>
        <v>$PROFITS</v>
      </c>
      <c r="P4" s="52" t="str">
        <f>$D4</f>
        <v>UNITE</v>
      </c>
      <c r="Q4" s="51" t="str">
        <f>$E4</f>
        <v>$P/UNITÉ</v>
      </c>
      <c r="R4" s="50" t="str">
        <f>$F4</f>
        <v>$PROFITS</v>
      </c>
      <c r="S4" s="52" t="str">
        <f>$D4</f>
        <v>UNITE</v>
      </c>
      <c r="T4" s="51" t="str">
        <f>$E4</f>
        <v>$P/UNITÉ</v>
      </c>
      <c r="U4" s="50" t="str">
        <f>$F4</f>
        <v>$PROFITS</v>
      </c>
      <c r="V4" s="52" t="str">
        <f>$D4</f>
        <v>UNITE</v>
      </c>
      <c r="W4" s="51" t="str">
        <f>$E4</f>
        <v>$P/UNITÉ</v>
      </c>
      <c r="X4" s="50" t="str">
        <f>$F4</f>
        <v>$PROFITS</v>
      </c>
      <c r="Y4" s="52" t="str">
        <f>$D4</f>
        <v>UNITE</v>
      </c>
      <c r="Z4" s="51" t="str">
        <f>$E4</f>
        <v>$P/UNITÉ</v>
      </c>
      <c r="AA4" s="50" t="str">
        <f>$F4</f>
        <v>$PROFITS</v>
      </c>
      <c r="AB4" s="52" t="str">
        <f>$D4</f>
        <v>UNITE</v>
      </c>
      <c r="AC4" s="51" t="str">
        <f>$E4</f>
        <v>$P/UNITÉ</v>
      </c>
      <c r="AD4" s="50" t="str">
        <f>$F4</f>
        <v>$PROFITS</v>
      </c>
      <c r="AE4" s="52" t="str">
        <f>$D4</f>
        <v>UNITE</v>
      </c>
      <c r="AF4" s="51" t="str">
        <f>$E4</f>
        <v>$P/UNITÉ</v>
      </c>
      <c r="AG4" s="50" t="str">
        <f>$F4</f>
        <v>$PROFITS</v>
      </c>
      <c r="AH4" s="52" t="str">
        <f>$D4</f>
        <v>UNITE</v>
      </c>
      <c r="AI4" s="51" t="str">
        <f>$E4</f>
        <v>$P/UNITÉ</v>
      </c>
      <c r="AJ4" s="50" t="str">
        <f>$F4</f>
        <v>$PROFITS</v>
      </c>
      <c r="AK4" s="52" t="str">
        <f>$D4</f>
        <v>UNITE</v>
      </c>
      <c r="AL4" s="51" t="str">
        <f>$E4</f>
        <v>$P/UNITÉ</v>
      </c>
      <c r="AM4" s="50" t="str">
        <f>$F4</f>
        <v>$PROFITS</v>
      </c>
      <c r="AN4" s="52" t="str">
        <f>$D4</f>
        <v>UNITE</v>
      </c>
      <c r="AO4" s="51" t="str">
        <f>$E4</f>
        <v>$P/UNITÉ</v>
      </c>
      <c r="AP4" s="50" t="str">
        <f>$F4</f>
        <v>$PROFITS</v>
      </c>
      <c r="AQ4" s="52" t="str">
        <f>$D4</f>
        <v>UNITE</v>
      </c>
      <c r="AR4" s="51" t="str">
        <f>$E4</f>
        <v>$P/UNITÉ</v>
      </c>
      <c r="AS4" s="50" t="str">
        <f>$F4</f>
        <v>$PROFITS</v>
      </c>
      <c r="AT4" s="52" t="str">
        <f>$D4</f>
        <v>UNITE</v>
      </c>
      <c r="AU4" s="51" t="str">
        <f>$E4</f>
        <v>$P/UNITÉ</v>
      </c>
      <c r="AV4" s="50" t="str">
        <f>$F4</f>
        <v>$PROFITS</v>
      </c>
      <c r="AW4" s="52" t="str">
        <f>$D4</f>
        <v>UNITE</v>
      </c>
      <c r="AX4" s="51" t="str">
        <f>$E4</f>
        <v>$P/UNITÉ</v>
      </c>
      <c r="AY4" s="50" t="str">
        <f>$F4</f>
        <v>$PROFITS</v>
      </c>
      <c r="AZ4" s="52"/>
      <c r="BA4" s="51"/>
      <c r="BB4" s="50"/>
      <c r="BC4" s="52"/>
      <c r="BD4" s="51"/>
      <c r="BE4" s="50"/>
      <c r="BF4" s="52"/>
      <c r="BG4" s="51"/>
      <c r="BH4" s="50"/>
    </row>
    <row r="5" spans="1:77" ht="20.25" x14ac:dyDescent="0.3">
      <c r="C5" s="67" t="s">
        <v>92</v>
      </c>
      <c r="D5" s="67"/>
      <c r="E5" s="125"/>
      <c r="F5" s="22">
        <f t="shared" ref="F5:F12" si="0">+SUM(I5,L5,O5,R5,U5,X5,AA5,AD5,AG5,AJ5,AM5,AP5,AS5,AV5,AY5,BB5,BE5,BH5)</f>
        <v>46825689.879999883</v>
      </c>
      <c r="G5" s="67">
        <v>0</v>
      </c>
      <c r="H5" s="125">
        <v>0</v>
      </c>
      <c r="I5" s="22">
        <v>2250252.52</v>
      </c>
      <c r="J5" s="67">
        <v>0</v>
      </c>
      <c r="K5" s="125">
        <v>0</v>
      </c>
      <c r="L5" s="22">
        <v>1912118.5999999901</v>
      </c>
      <c r="M5" s="67">
        <v>0</v>
      </c>
      <c r="N5" s="125">
        <v>0</v>
      </c>
      <c r="O5" s="22">
        <v>894956.53</v>
      </c>
      <c r="P5" s="67">
        <v>0</v>
      </c>
      <c r="Q5" s="125">
        <v>0</v>
      </c>
      <c r="R5" s="22">
        <v>4306267.51</v>
      </c>
      <c r="S5" s="82">
        <v>0</v>
      </c>
      <c r="T5" s="125">
        <v>0</v>
      </c>
      <c r="U5" s="22">
        <v>16854569.4099999</v>
      </c>
      <c r="V5" s="82">
        <v>0</v>
      </c>
      <c r="W5" s="125">
        <v>0</v>
      </c>
      <c r="X5" s="22">
        <v>4603742.7699999996</v>
      </c>
      <c r="Y5" s="82">
        <v>0</v>
      </c>
      <c r="Z5" s="125">
        <v>0</v>
      </c>
      <c r="AA5" s="22">
        <v>4252715.01</v>
      </c>
      <c r="AB5" s="67">
        <v>0</v>
      </c>
      <c r="AC5" s="125">
        <v>0</v>
      </c>
      <c r="AD5" s="22">
        <v>1929319.65</v>
      </c>
      <c r="AE5" s="67">
        <v>0</v>
      </c>
      <c r="AF5" s="125">
        <v>0</v>
      </c>
      <c r="AG5" s="22">
        <v>2155322.2999999998</v>
      </c>
      <c r="AH5" s="67">
        <v>0</v>
      </c>
      <c r="AI5" s="125">
        <v>0</v>
      </c>
      <c r="AJ5" s="22">
        <v>563142.75</v>
      </c>
      <c r="AK5" s="67">
        <v>0</v>
      </c>
      <c r="AL5" s="125">
        <v>0</v>
      </c>
      <c r="AM5" s="22">
        <v>1462788.95</v>
      </c>
      <c r="AN5" s="67">
        <v>0</v>
      </c>
      <c r="AO5" s="125">
        <v>0</v>
      </c>
      <c r="AP5" s="22">
        <v>1415556.6199999901</v>
      </c>
      <c r="AQ5" s="67">
        <v>0</v>
      </c>
      <c r="AR5" s="125">
        <v>0</v>
      </c>
      <c r="AS5" s="22">
        <v>1638152.93</v>
      </c>
      <c r="AT5" s="67">
        <v>0</v>
      </c>
      <c r="AU5" s="125">
        <v>0</v>
      </c>
      <c r="AV5" s="22">
        <v>2075892.06</v>
      </c>
      <c r="AW5" s="67">
        <v>0</v>
      </c>
      <c r="AX5" s="125">
        <v>0</v>
      </c>
      <c r="AY5" s="22">
        <v>510892.27</v>
      </c>
      <c r="AZ5" s="67"/>
      <c r="BA5" s="125"/>
      <c r="BB5" s="22"/>
      <c r="BC5" s="67"/>
      <c r="BD5" s="125"/>
      <c r="BE5" s="22"/>
      <c r="BF5" s="67"/>
      <c r="BG5" s="125"/>
      <c r="BH5" s="22"/>
    </row>
    <row r="6" spans="1:77" ht="20.25" x14ac:dyDescent="0.3">
      <c r="C6" s="8" t="s">
        <v>109</v>
      </c>
      <c r="D6" s="86">
        <f t="shared" ref="D6:D12" si="1">+SUM(G6,J6,M6,P6,S6,V6,Y6,AB6,AE6,AH6,AK6,AN6,AQ6,AT6,AW6,AZ6,BC6,BF6)</f>
        <v>78</v>
      </c>
      <c r="E6" s="97">
        <f t="shared" ref="E6:E12" si="2">IF(D6=0,0,F6/D6)</f>
        <v>2564.9603846153714</v>
      </c>
      <c r="F6" s="18">
        <f t="shared" si="0"/>
        <v>200066.90999999896</v>
      </c>
      <c r="G6" s="86">
        <v>5</v>
      </c>
      <c r="H6" s="97">
        <v>6977.3119999999999</v>
      </c>
      <c r="I6" s="18">
        <v>34886.559999999998</v>
      </c>
      <c r="J6" s="86">
        <v>3</v>
      </c>
      <c r="K6" s="97">
        <v>4460.0633333333199</v>
      </c>
      <c r="L6" s="18">
        <v>13380.1899999999</v>
      </c>
      <c r="M6" s="86">
        <v>1</v>
      </c>
      <c r="N6" s="97">
        <v>7048.8999999999896</v>
      </c>
      <c r="O6" s="18">
        <v>7048.8999999999896</v>
      </c>
      <c r="P6" s="86">
        <v>1</v>
      </c>
      <c r="Q6" s="97">
        <v>235.169999999998</v>
      </c>
      <c r="R6" s="18">
        <v>235.169999999998</v>
      </c>
      <c r="S6" s="86">
        <v>25</v>
      </c>
      <c r="T6" s="97">
        <v>2697.7495999999701</v>
      </c>
      <c r="U6" s="18">
        <v>67443.739999999205</v>
      </c>
      <c r="V6" s="86">
        <v>12</v>
      </c>
      <c r="W6" s="97">
        <v>3220.7883333333298</v>
      </c>
      <c r="X6" s="18">
        <v>38649.46</v>
      </c>
      <c r="Y6" s="86">
        <v>0</v>
      </c>
      <c r="Z6" s="97">
        <v>0</v>
      </c>
      <c r="AA6" s="18">
        <v>0</v>
      </c>
      <c r="AB6" s="86">
        <v>3</v>
      </c>
      <c r="AC6" s="97">
        <v>4915.6466666666602</v>
      </c>
      <c r="AD6" s="18">
        <v>14746.94</v>
      </c>
      <c r="AE6" s="86">
        <v>0</v>
      </c>
      <c r="AF6" s="97">
        <v>0</v>
      </c>
      <c r="AG6" s="18">
        <v>0</v>
      </c>
      <c r="AH6" s="86">
        <v>5</v>
      </c>
      <c r="AI6" s="97">
        <v>1624.1699999999901</v>
      </c>
      <c r="AJ6" s="18">
        <v>8120.8499999999704</v>
      </c>
      <c r="AK6" s="86">
        <v>0</v>
      </c>
      <c r="AL6" s="97">
        <v>0</v>
      </c>
      <c r="AM6" s="18">
        <v>0</v>
      </c>
      <c r="AN6" s="86">
        <v>13</v>
      </c>
      <c r="AO6" s="97">
        <v>45.286153846150498</v>
      </c>
      <c r="AP6" s="18">
        <v>588.71999999995705</v>
      </c>
      <c r="AQ6" s="86">
        <v>6</v>
      </c>
      <c r="AR6" s="97">
        <v>1597.08833333332</v>
      </c>
      <c r="AS6" s="18">
        <v>9582.5299999999606</v>
      </c>
      <c r="AT6" s="86">
        <v>4</v>
      </c>
      <c r="AU6" s="97">
        <v>1345.9624999999901</v>
      </c>
      <c r="AV6" s="18">
        <v>5383.8499999999904</v>
      </c>
      <c r="AW6" s="86">
        <v>0</v>
      </c>
      <c r="AX6" s="97">
        <v>0</v>
      </c>
      <c r="AY6" s="18">
        <v>0</v>
      </c>
      <c r="AZ6" s="86"/>
      <c r="BA6" s="97"/>
      <c r="BB6" s="18"/>
      <c r="BC6" s="86"/>
      <c r="BD6" s="97"/>
      <c r="BE6" s="18"/>
      <c r="BF6" s="86"/>
      <c r="BG6" s="97"/>
      <c r="BH6" s="18"/>
    </row>
    <row r="7" spans="1:77" ht="20.25" x14ac:dyDescent="0.3">
      <c r="C7" s="8" t="s">
        <v>108</v>
      </c>
      <c r="D7" s="86">
        <f t="shared" si="1"/>
        <v>266</v>
      </c>
      <c r="E7" s="97">
        <f t="shared" si="2"/>
        <v>3154.6909398496327</v>
      </c>
      <c r="F7" s="18">
        <f t="shared" si="0"/>
        <v>839147.79000000237</v>
      </c>
      <c r="G7" s="86">
        <v>7</v>
      </c>
      <c r="H7" s="97">
        <v>4153.2928571428602</v>
      </c>
      <c r="I7" s="18">
        <v>29073.05</v>
      </c>
      <c r="J7" s="86">
        <v>10</v>
      </c>
      <c r="K7" s="97">
        <v>2889.04</v>
      </c>
      <c r="L7" s="18">
        <v>28890.400000000001</v>
      </c>
      <c r="M7" s="86">
        <v>5</v>
      </c>
      <c r="N7" s="97">
        <v>4052.4760000000001</v>
      </c>
      <c r="O7" s="18">
        <v>20262.38</v>
      </c>
      <c r="P7" s="86">
        <v>11</v>
      </c>
      <c r="Q7" s="97">
        <v>907.15090909090702</v>
      </c>
      <c r="R7" s="18">
        <v>9978.6599999999798</v>
      </c>
      <c r="S7" s="86">
        <v>76</v>
      </c>
      <c r="T7" s="97">
        <v>4228.1103947368701</v>
      </c>
      <c r="U7" s="18">
        <v>321336.39000000199</v>
      </c>
      <c r="V7" s="86">
        <v>17</v>
      </c>
      <c r="W7" s="97">
        <v>3031.96941176472</v>
      </c>
      <c r="X7" s="18">
        <v>51543.4800000002</v>
      </c>
      <c r="Y7" s="86">
        <v>25</v>
      </c>
      <c r="Z7" s="97">
        <v>3985.9168</v>
      </c>
      <c r="AA7" s="18">
        <v>99647.92</v>
      </c>
      <c r="AB7" s="86">
        <v>18</v>
      </c>
      <c r="AC7" s="97">
        <v>3602.4733333333202</v>
      </c>
      <c r="AD7" s="18">
        <v>64844.5199999998</v>
      </c>
      <c r="AE7" s="86">
        <v>17</v>
      </c>
      <c r="AF7" s="97">
        <v>4373.5570588235396</v>
      </c>
      <c r="AG7" s="18">
        <v>74350.470000000205</v>
      </c>
      <c r="AH7" s="86">
        <v>4</v>
      </c>
      <c r="AI7" s="97">
        <v>2530.0774999999999</v>
      </c>
      <c r="AJ7" s="18">
        <v>10120.31</v>
      </c>
      <c r="AK7" s="86">
        <v>13</v>
      </c>
      <c r="AL7" s="97">
        <v>1.79100495118361E-11</v>
      </c>
      <c r="AM7" s="18">
        <v>2.3283064365386901E-10</v>
      </c>
      <c r="AN7" s="86">
        <v>19</v>
      </c>
      <c r="AO7" s="97">
        <v>804.63421052631202</v>
      </c>
      <c r="AP7" s="18">
        <v>15288.049999999899</v>
      </c>
      <c r="AQ7" s="86">
        <v>18</v>
      </c>
      <c r="AR7" s="97">
        <v>2603.8166666666598</v>
      </c>
      <c r="AS7" s="18">
        <v>46868.7</v>
      </c>
      <c r="AT7" s="86">
        <v>26</v>
      </c>
      <c r="AU7" s="97">
        <v>2574.7484615384601</v>
      </c>
      <c r="AV7" s="18">
        <v>66943.459999999905</v>
      </c>
      <c r="AW7" s="86">
        <v>0</v>
      </c>
      <c r="AX7" s="97">
        <v>0</v>
      </c>
      <c r="AY7" s="18">
        <v>0</v>
      </c>
      <c r="AZ7" s="86"/>
      <c r="BA7" s="97"/>
      <c r="BB7" s="18"/>
      <c r="BC7" s="86"/>
      <c r="BD7" s="97"/>
      <c r="BE7" s="18"/>
      <c r="BF7" s="86"/>
      <c r="BG7" s="97"/>
      <c r="BH7" s="18"/>
    </row>
    <row r="8" spans="1:77" ht="20.25" x14ac:dyDescent="0.3">
      <c r="C8" s="8" t="s">
        <v>107</v>
      </c>
      <c r="D8" s="86">
        <f t="shared" si="1"/>
        <v>17</v>
      </c>
      <c r="E8" s="97">
        <f t="shared" si="2"/>
        <v>3691.4341176470471</v>
      </c>
      <c r="F8" s="18">
        <f t="shared" si="0"/>
        <v>62754.379999999801</v>
      </c>
      <c r="G8" s="86">
        <v>0</v>
      </c>
      <c r="H8" s="97">
        <v>0</v>
      </c>
      <c r="I8" s="18">
        <v>0</v>
      </c>
      <c r="J8" s="86">
        <v>0</v>
      </c>
      <c r="K8" s="97">
        <v>0</v>
      </c>
      <c r="L8" s="18">
        <v>0</v>
      </c>
      <c r="M8" s="86">
        <v>0</v>
      </c>
      <c r="N8" s="97">
        <v>0</v>
      </c>
      <c r="O8" s="18">
        <v>0</v>
      </c>
      <c r="P8" s="86">
        <v>8</v>
      </c>
      <c r="Q8" s="97">
        <v>2665.12499999999</v>
      </c>
      <c r="R8" s="18">
        <v>21320.999999999902</v>
      </c>
      <c r="S8" s="86">
        <v>9</v>
      </c>
      <c r="T8" s="97">
        <v>4603.7088888888802</v>
      </c>
      <c r="U8" s="18">
        <v>41433.379999999903</v>
      </c>
      <c r="V8" s="86">
        <v>0</v>
      </c>
      <c r="W8" s="97">
        <v>0</v>
      </c>
      <c r="X8" s="18">
        <v>0</v>
      </c>
      <c r="Y8" s="86">
        <v>0</v>
      </c>
      <c r="Z8" s="97">
        <v>0</v>
      </c>
      <c r="AA8" s="18">
        <v>0</v>
      </c>
      <c r="AB8" s="86">
        <v>0</v>
      </c>
      <c r="AC8" s="97">
        <v>0</v>
      </c>
      <c r="AD8" s="18">
        <v>0</v>
      </c>
      <c r="AE8" s="86">
        <v>0</v>
      </c>
      <c r="AF8" s="97">
        <v>0</v>
      </c>
      <c r="AG8" s="18">
        <v>0</v>
      </c>
      <c r="AH8" s="86">
        <v>0</v>
      </c>
      <c r="AI8" s="97">
        <v>0</v>
      </c>
      <c r="AJ8" s="18">
        <v>0</v>
      </c>
      <c r="AK8" s="86">
        <v>0</v>
      </c>
      <c r="AL8" s="97">
        <v>0</v>
      </c>
      <c r="AM8" s="18">
        <v>0</v>
      </c>
      <c r="AN8" s="86">
        <v>0</v>
      </c>
      <c r="AO8" s="97">
        <v>0</v>
      </c>
      <c r="AP8" s="18">
        <v>0</v>
      </c>
      <c r="AQ8" s="86">
        <v>0</v>
      </c>
      <c r="AR8" s="97">
        <v>0</v>
      </c>
      <c r="AS8" s="18">
        <v>0</v>
      </c>
      <c r="AT8" s="86">
        <v>0</v>
      </c>
      <c r="AU8" s="97">
        <v>0</v>
      </c>
      <c r="AV8" s="18">
        <v>0</v>
      </c>
      <c r="AW8" s="86">
        <v>0</v>
      </c>
      <c r="AX8" s="97">
        <v>0</v>
      </c>
      <c r="AY8" s="18">
        <v>0</v>
      </c>
      <c r="AZ8" s="86"/>
      <c r="BA8" s="97"/>
      <c r="BB8" s="18"/>
      <c r="BC8" s="86"/>
      <c r="BD8" s="97"/>
      <c r="BE8" s="18"/>
      <c r="BF8" s="86"/>
      <c r="BG8" s="97"/>
      <c r="BH8" s="18"/>
    </row>
    <row r="9" spans="1:77" ht="20.25" x14ac:dyDescent="0.3">
      <c r="C9" s="8" t="s">
        <v>106</v>
      </c>
      <c r="D9" s="86">
        <f t="shared" si="1"/>
        <v>13</v>
      </c>
      <c r="E9" s="97">
        <f t="shared" si="2"/>
        <v>3242.6453846153845</v>
      </c>
      <c r="F9" s="18">
        <f t="shared" si="0"/>
        <v>42154.39</v>
      </c>
      <c r="G9" s="86">
        <v>0</v>
      </c>
      <c r="H9" s="97">
        <v>0</v>
      </c>
      <c r="I9" s="18">
        <v>0</v>
      </c>
      <c r="J9" s="86">
        <v>0</v>
      </c>
      <c r="K9" s="97">
        <v>0</v>
      </c>
      <c r="L9" s="18">
        <v>0</v>
      </c>
      <c r="M9" s="86">
        <v>0</v>
      </c>
      <c r="N9" s="97">
        <v>0</v>
      </c>
      <c r="O9" s="18">
        <v>0</v>
      </c>
      <c r="P9" s="86">
        <v>0</v>
      </c>
      <c r="Q9" s="97">
        <v>0</v>
      </c>
      <c r="R9" s="18">
        <v>0</v>
      </c>
      <c r="S9" s="86">
        <v>0</v>
      </c>
      <c r="T9" s="97">
        <v>0</v>
      </c>
      <c r="U9" s="18">
        <v>0</v>
      </c>
      <c r="V9" s="86">
        <v>0</v>
      </c>
      <c r="W9" s="97">
        <v>0</v>
      </c>
      <c r="X9" s="18">
        <v>0</v>
      </c>
      <c r="Y9" s="86">
        <v>0</v>
      </c>
      <c r="Z9" s="97">
        <v>0</v>
      </c>
      <c r="AA9" s="18">
        <v>0</v>
      </c>
      <c r="AB9" s="86">
        <v>0</v>
      </c>
      <c r="AC9" s="97">
        <v>0</v>
      </c>
      <c r="AD9" s="18">
        <v>0</v>
      </c>
      <c r="AE9" s="86">
        <v>0</v>
      </c>
      <c r="AF9" s="97">
        <v>0</v>
      </c>
      <c r="AG9" s="18">
        <v>0</v>
      </c>
      <c r="AH9" s="86">
        <v>0</v>
      </c>
      <c r="AI9" s="97">
        <v>0</v>
      </c>
      <c r="AJ9" s="18">
        <v>0</v>
      </c>
      <c r="AK9" s="86">
        <v>0</v>
      </c>
      <c r="AL9" s="97">
        <v>0</v>
      </c>
      <c r="AM9" s="18">
        <v>0</v>
      </c>
      <c r="AN9" s="86">
        <v>0</v>
      </c>
      <c r="AO9" s="97">
        <v>0</v>
      </c>
      <c r="AP9" s="18">
        <v>0</v>
      </c>
      <c r="AQ9" s="86">
        <v>0</v>
      </c>
      <c r="AR9" s="97">
        <v>0</v>
      </c>
      <c r="AS9" s="18">
        <v>0</v>
      </c>
      <c r="AT9" s="86">
        <v>0</v>
      </c>
      <c r="AU9" s="97">
        <v>0</v>
      </c>
      <c r="AV9" s="18">
        <v>0</v>
      </c>
      <c r="AW9" s="86">
        <v>13</v>
      </c>
      <c r="AX9" s="97">
        <v>3242.64538461538</v>
      </c>
      <c r="AY9" s="18">
        <v>42154.39</v>
      </c>
      <c r="AZ9" s="86"/>
      <c r="BA9" s="97"/>
      <c r="BB9" s="18"/>
      <c r="BC9" s="86"/>
      <c r="BD9" s="97"/>
      <c r="BE9" s="18"/>
      <c r="BF9" s="86"/>
      <c r="BG9" s="97"/>
      <c r="BH9" s="18"/>
    </row>
    <row r="10" spans="1:77" ht="20.25" hidden="1" x14ac:dyDescent="0.3">
      <c r="C10" s="8" t="s">
        <v>3</v>
      </c>
      <c r="D10" s="86">
        <f t="shared" si="1"/>
        <v>0</v>
      </c>
      <c r="E10" s="97">
        <f t="shared" si="2"/>
        <v>0</v>
      </c>
      <c r="F10" s="18">
        <f t="shared" si="0"/>
        <v>0</v>
      </c>
      <c r="G10" s="86">
        <v>0</v>
      </c>
      <c r="H10" s="97">
        <v>0</v>
      </c>
      <c r="I10" s="18">
        <v>0</v>
      </c>
      <c r="J10" s="86">
        <v>0</v>
      </c>
      <c r="K10" s="97">
        <v>0</v>
      </c>
      <c r="L10" s="18">
        <v>0</v>
      </c>
      <c r="M10" s="86">
        <v>0</v>
      </c>
      <c r="N10" s="97">
        <v>0</v>
      </c>
      <c r="O10" s="18">
        <v>0</v>
      </c>
      <c r="P10" s="86">
        <v>0</v>
      </c>
      <c r="Q10" s="97">
        <v>0</v>
      </c>
      <c r="R10" s="18">
        <v>0</v>
      </c>
      <c r="S10" s="86">
        <v>0</v>
      </c>
      <c r="T10" s="97">
        <v>0</v>
      </c>
      <c r="U10" s="18">
        <v>0</v>
      </c>
      <c r="V10" s="86">
        <v>0</v>
      </c>
      <c r="W10" s="97">
        <v>0</v>
      </c>
      <c r="X10" s="18">
        <v>0</v>
      </c>
      <c r="Y10" s="86">
        <v>0</v>
      </c>
      <c r="Z10" s="97">
        <v>0</v>
      </c>
      <c r="AA10" s="18">
        <v>0</v>
      </c>
      <c r="AB10" s="86">
        <v>0</v>
      </c>
      <c r="AC10" s="97">
        <v>0</v>
      </c>
      <c r="AD10" s="18">
        <v>0</v>
      </c>
      <c r="AE10" s="86">
        <v>0</v>
      </c>
      <c r="AF10" s="97">
        <v>0</v>
      </c>
      <c r="AG10" s="18">
        <v>0</v>
      </c>
      <c r="AH10" s="86">
        <v>0</v>
      </c>
      <c r="AI10" s="97">
        <v>0</v>
      </c>
      <c r="AJ10" s="18">
        <v>0</v>
      </c>
      <c r="AK10" s="86">
        <v>0</v>
      </c>
      <c r="AL10" s="97">
        <v>0</v>
      </c>
      <c r="AM10" s="18">
        <v>0</v>
      </c>
      <c r="AN10" s="86">
        <v>0</v>
      </c>
      <c r="AO10" s="97">
        <v>0</v>
      </c>
      <c r="AP10" s="18">
        <v>0</v>
      </c>
      <c r="AQ10" s="86">
        <v>0</v>
      </c>
      <c r="AR10" s="97">
        <v>0</v>
      </c>
      <c r="AS10" s="18">
        <v>0</v>
      </c>
      <c r="AT10" s="86">
        <v>0</v>
      </c>
      <c r="AU10" s="97">
        <v>0</v>
      </c>
      <c r="AV10" s="18">
        <v>0</v>
      </c>
      <c r="AW10" s="86">
        <v>0</v>
      </c>
      <c r="AX10" s="97">
        <v>0</v>
      </c>
      <c r="AY10" s="18">
        <v>0</v>
      </c>
      <c r="AZ10" s="86"/>
      <c r="BA10" s="97"/>
      <c r="BB10" s="18"/>
      <c r="BC10" s="86"/>
      <c r="BD10" s="97"/>
      <c r="BE10" s="18"/>
      <c r="BF10" s="86"/>
      <c r="BG10" s="97"/>
      <c r="BH10" s="18"/>
    </row>
    <row r="11" spans="1:77" ht="20.25" hidden="1" x14ac:dyDescent="0.3">
      <c r="C11" s="8" t="s">
        <v>3</v>
      </c>
      <c r="D11" s="86">
        <f t="shared" si="1"/>
        <v>0</v>
      </c>
      <c r="E11" s="97">
        <f t="shared" si="2"/>
        <v>0</v>
      </c>
      <c r="F11" s="18">
        <f t="shared" si="0"/>
        <v>0</v>
      </c>
      <c r="G11" s="86">
        <v>0</v>
      </c>
      <c r="H11" s="97">
        <v>0</v>
      </c>
      <c r="I11" s="18">
        <v>0</v>
      </c>
      <c r="J11" s="86">
        <v>0</v>
      </c>
      <c r="K11" s="97">
        <v>0</v>
      </c>
      <c r="L11" s="18">
        <v>0</v>
      </c>
      <c r="M11" s="86">
        <v>0</v>
      </c>
      <c r="N11" s="97">
        <v>0</v>
      </c>
      <c r="O11" s="18">
        <v>0</v>
      </c>
      <c r="P11" s="86">
        <v>0</v>
      </c>
      <c r="Q11" s="97">
        <v>0</v>
      </c>
      <c r="R11" s="18">
        <v>0</v>
      </c>
      <c r="S11" s="86">
        <v>0</v>
      </c>
      <c r="T11" s="97">
        <v>0</v>
      </c>
      <c r="U11" s="18">
        <v>0</v>
      </c>
      <c r="V11" s="86">
        <v>0</v>
      </c>
      <c r="W11" s="97">
        <v>0</v>
      </c>
      <c r="X11" s="18">
        <v>0</v>
      </c>
      <c r="Y11" s="86">
        <v>0</v>
      </c>
      <c r="Z11" s="97">
        <v>0</v>
      </c>
      <c r="AA11" s="18">
        <v>0</v>
      </c>
      <c r="AB11" s="86">
        <v>0</v>
      </c>
      <c r="AC11" s="97">
        <v>0</v>
      </c>
      <c r="AD11" s="18">
        <v>0</v>
      </c>
      <c r="AE11" s="86">
        <v>0</v>
      </c>
      <c r="AF11" s="97">
        <v>0</v>
      </c>
      <c r="AG11" s="18">
        <v>0</v>
      </c>
      <c r="AH11" s="86">
        <v>0</v>
      </c>
      <c r="AI11" s="97">
        <v>0</v>
      </c>
      <c r="AJ11" s="18">
        <v>0</v>
      </c>
      <c r="AK11" s="86">
        <v>0</v>
      </c>
      <c r="AL11" s="97">
        <v>0</v>
      </c>
      <c r="AM11" s="18">
        <v>0</v>
      </c>
      <c r="AN11" s="86">
        <v>0</v>
      </c>
      <c r="AO11" s="97">
        <v>0</v>
      </c>
      <c r="AP11" s="18">
        <v>0</v>
      </c>
      <c r="AQ11" s="86">
        <v>0</v>
      </c>
      <c r="AR11" s="97">
        <v>0</v>
      </c>
      <c r="AS11" s="18">
        <v>0</v>
      </c>
      <c r="AT11" s="86">
        <v>0</v>
      </c>
      <c r="AU11" s="97">
        <v>0</v>
      </c>
      <c r="AV11" s="18">
        <v>0</v>
      </c>
      <c r="AW11" s="86">
        <v>0</v>
      </c>
      <c r="AX11" s="97">
        <v>0</v>
      </c>
      <c r="AY11" s="18">
        <v>0</v>
      </c>
      <c r="AZ11" s="86"/>
      <c r="BA11" s="97"/>
      <c r="BB11" s="18"/>
      <c r="BC11" s="86"/>
      <c r="BD11" s="97"/>
      <c r="BE11" s="18"/>
      <c r="BF11" s="86"/>
      <c r="BG11" s="97"/>
      <c r="BH11" s="18"/>
    </row>
    <row r="12" spans="1:77" ht="20.25" hidden="1" x14ac:dyDescent="0.3">
      <c r="C12" s="8" t="s">
        <v>3</v>
      </c>
      <c r="D12" s="86">
        <f t="shared" si="1"/>
        <v>0</v>
      </c>
      <c r="E12" s="97">
        <f t="shared" si="2"/>
        <v>0</v>
      </c>
      <c r="F12" s="18">
        <f t="shared" si="0"/>
        <v>0</v>
      </c>
      <c r="G12" s="86">
        <v>0</v>
      </c>
      <c r="H12" s="97">
        <v>0</v>
      </c>
      <c r="I12" s="18">
        <v>0</v>
      </c>
      <c r="J12" s="86">
        <v>0</v>
      </c>
      <c r="K12" s="97">
        <v>0</v>
      </c>
      <c r="L12" s="18">
        <v>0</v>
      </c>
      <c r="M12" s="86">
        <v>0</v>
      </c>
      <c r="N12" s="97">
        <v>0</v>
      </c>
      <c r="O12" s="18">
        <v>0</v>
      </c>
      <c r="P12" s="86">
        <v>0</v>
      </c>
      <c r="Q12" s="97">
        <v>0</v>
      </c>
      <c r="R12" s="18">
        <v>0</v>
      </c>
      <c r="S12" s="86">
        <v>0</v>
      </c>
      <c r="T12" s="97">
        <v>0</v>
      </c>
      <c r="U12" s="18">
        <v>0</v>
      </c>
      <c r="V12" s="86">
        <v>0</v>
      </c>
      <c r="W12" s="97">
        <v>0</v>
      </c>
      <c r="X12" s="18">
        <v>0</v>
      </c>
      <c r="Y12" s="86">
        <v>0</v>
      </c>
      <c r="Z12" s="97">
        <v>0</v>
      </c>
      <c r="AA12" s="18">
        <v>0</v>
      </c>
      <c r="AB12" s="86">
        <v>0</v>
      </c>
      <c r="AC12" s="97">
        <v>0</v>
      </c>
      <c r="AD12" s="18">
        <v>0</v>
      </c>
      <c r="AE12" s="86">
        <v>0</v>
      </c>
      <c r="AF12" s="97">
        <v>0</v>
      </c>
      <c r="AG12" s="18">
        <v>0</v>
      </c>
      <c r="AH12" s="86">
        <v>0</v>
      </c>
      <c r="AI12" s="97">
        <v>0</v>
      </c>
      <c r="AJ12" s="18">
        <v>0</v>
      </c>
      <c r="AK12" s="86">
        <v>0</v>
      </c>
      <c r="AL12" s="97">
        <v>0</v>
      </c>
      <c r="AM12" s="18">
        <v>0</v>
      </c>
      <c r="AN12" s="86">
        <v>0</v>
      </c>
      <c r="AO12" s="97">
        <v>0</v>
      </c>
      <c r="AP12" s="18">
        <v>0</v>
      </c>
      <c r="AQ12" s="86">
        <v>0</v>
      </c>
      <c r="AR12" s="97">
        <v>0</v>
      </c>
      <c r="AS12" s="18">
        <v>0</v>
      </c>
      <c r="AT12" s="86">
        <v>0</v>
      </c>
      <c r="AU12" s="97">
        <v>0</v>
      </c>
      <c r="AV12" s="18">
        <v>0</v>
      </c>
      <c r="AW12" s="86">
        <v>0</v>
      </c>
      <c r="AX12" s="97">
        <v>0</v>
      </c>
      <c r="AY12" s="18">
        <v>0</v>
      </c>
      <c r="AZ12" s="86"/>
      <c r="BA12" s="97"/>
      <c r="BB12" s="18"/>
      <c r="BC12" s="86"/>
      <c r="BD12" s="97"/>
      <c r="BE12" s="18"/>
      <c r="BF12" s="86"/>
      <c r="BG12" s="97"/>
      <c r="BH12" s="18"/>
    </row>
    <row r="13" spans="1:77" ht="20.25" x14ac:dyDescent="0.3">
      <c r="C13" s="117" t="s">
        <v>105</v>
      </c>
      <c r="D13" s="140">
        <f>SUM(D6:D9)</f>
        <v>374</v>
      </c>
      <c r="E13" s="139"/>
      <c r="F13" s="138">
        <f>SUM(F6:F9)</f>
        <v>1144123.4700000011</v>
      </c>
      <c r="G13" s="140">
        <v>12</v>
      </c>
      <c r="H13" s="139">
        <v>5329.9674999999997</v>
      </c>
      <c r="I13" s="138">
        <v>63959.61</v>
      </c>
      <c r="J13" s="140">
        <v>13</v>
      </c>
      <c r="K13" s="139">
        <v>3251.5838461538401</v>
      </c>
      <c r="L13" s="138">
        <v>42270.59</v>
      </c>
      <c r="M13" s="140">
        <v>6</v>
      </c>
      <c r="N13" s="139">
        <v>4551.88</v>
      </c>
      <c r="O13" s="138">
        <v>27311.279999999999</v>
      </c>
      <c r="P13" s="140">
        <v>20</v>
      </c>
      <c r="Q13" s="139">
        <v>1576.7414999999901</v>
      </c>
      <c r="R13" s="138">
        <v>31534.8299999999</v>
      </c>
      <c r="S13" s="140">
        <v>110</v>
      </c>
      <c r="T13" s="139">
        <v>3911.0319090909202</v>
      </c>
      <c r="U13" s="138">
        <v>430213.510000001</v>
      </c>
      <c r="V13" s="140">
        <v>29</v>
      </c>
      <c r="W13" s="139">
        <v>3110.1013793103498</v>
      </c>
      <c r="X13" s="138">
        <v>90192.940000000293</v>
      </c>
      <c r="Y13" s="140">
        <v>25</v>
      </c>
      <c r="Z13" s="139">
        <v>3985.9168</v>
      </c>
      <c r="AA13" s="138">
        <v>99647.92</v>
      </c>
      <c r="AB13" s="140">
        <v>21</v>
      </c>
      <c r="AC13" s="139">
        <v>3790.06952380951</v>
      </c>
      <c r="AD13" s="138">
        <v>79591.459999999803</v>
      </c>
      <c r="AE13" s="140">
        <v>17</v>
      </c>
      <c r="AF13" s="139">
        <v>4373.5570588235396</v>
      </c>
      <c r="AG13" s="138">
        <v>74350.470000000205</v>
      </c>
      <c r="AH13" s="140">
        <v>9</v>
      </c>
      <c r="AI13" s="139">
        <v>2026.79555555555</v>
      </c>
      <c r="AJ13" s="138">
        <v>18241.159999999902</v>
      </c>
      <c r="AK13" s="140">
        <v>13</v>
      </c>
      <c r="AL13" s="139">
        <v>1.79100495118361E-11</v>
      </c>
      <c r="AM13" s="138">
        <v>2.3283064365386901E-10</v>
      </c>
      <c r="AN13" s="140">
        <v>32</v>
      </c>
      <c r="AO13" s="139">
        <v>496.14906249999598</v>
      </c>
      <c r="AP13" s="138">
        <v>15876.7699999998</v>
      </c>
      <c r="AQ13" s="140">
        <v>24</v>
      </c>
      <c r="AR13" s="139">
        <v>2352.1345833333298</v>
      </c>
      <c r="AS13" s="138">
        <v>56451.23</v>
      </c>
      <c r="AT13" s="140">
        <v>30</v>
      </c>
      <c r="AU13" s="139">
        <v>2410.9103333333301</v>
      </c>
      <c r="AV13" s="138">
        <v>72327.309999999896</v>
      </c>
      <c r="AW13" s="140">
        <v>13</v>
      </c>
      <c r="AX13" s="139">
        <v>3242.64538461538</v>
      </c>
      <c r="AY13" s="138">
        <v>42154.39</v>
      </c>
      <c r="AZ13" s="140"/>
      <c r="BA13" s="139"/>
      <c r="BB13" s="138"/>
      <c r="BC13" s="140"/>
      <c r="BD13" s="139"/>
      <c r="BE13" s="138"/>
      <c r="BF13" s="140"/>
      <c r="BG13" s="139"/>
      <c r="BH13" s="138"/>
    </row>
    <row r="14" spans="1:77" ht="20.25" x14ac:dyDescent="0.3">
      <c r="C14" s="8"/>
      <c r="D14" s="8"/>
      <c r="E14" s="97"/>
      <c r="F14" s="6"/>
      <c r="G14" s="8"/>
      <c r="H14" s="97"/>
      <c r="I14" s="6"/>
      <c r="J14" s="8"/>
      <c r="K14" s="97"/>
      <c r="L14" s="6"/>
      <c r="M14" s="8"/>
      <c r="N14" s="97"/>
      <c r="O14" s="6"/>
      <c r="P14" s="8"/>
      <c r="Q14" s="97"/>
      <c r="R14" s="6"/>
      <c r="S14" s="8"/>
      <c r="T14" s="97"/>
      <c r="U14" s="6"/>
      <c r="V14" s="8"/>
      <c r="W14" s="97"/>
      <c r="X14" s="6"/>
      <c r="Y14" s="8"/>
      <c r="Z14" s="97"/>
      <c r="AA14" s="6"/>
      <c r="AB14" s="8"/>
      <c r="AC14" s="97"/>
      <c r="AD14" s="6"/>
      <c r="AE14" s="8"/>
      <c r="AF14" s="97"/>
      <c r="AG14" s="6"/>
      <c r="AH14" s="8"/>
      <c r="AI14" s="97"/>
      <c r="AJ14" s="6"/>
      <c r="AK14" s="8"/>
      <c r="AL14" s="97"/>
      <c r="AM14" s="6"/>
      <c r="AN14" s="8"/>
      <c r="AO14" s="97"/>
      <c r="AP14" s="6"/>
      <c r="AQ14" s="8"/>
      <c r="AR14" s="97"/>
      <c r="AS14" s="6"/>
      <c r="AT14" s="8"/>
      <c r="AU14" s="97"/>
      <c r="AV14" s="6"/>
      <c r="AW14" s="8"/>
      <c r="AX14" s="97"/>
      <c r="AY14" s="6"/>
      <c r="AZ14" s="8"/>
      <c r="BA14" s="97"/>
      <c r="BB14" s="6"/>
      <c r="BC14" s="8"/>
      <c r="BD14" s="97"/>
      <c r="BE14" s="6"/>
      <c r="BF14" s="8"/>
      <c r="BG14" s="97"/>
      <c r="BH14" s="6"/>
    </row>
    <row r="15" spans="1:77" ht="20.25" x14ac:dyDescent="0.3">
      <c r="C15" s="152" t="s">
        <v>104</v>
      </c>
      <c r="D15" s="154">
        <f>+SUM(G15,J15,M15,P15,S15,V15,Y15,AB15,AE15,AH15,AK15,AN15,AQ15,AT15,AW15,AZ15,BC15,BF15)</f>
        <v>83</v>
      </c>
      <c r="E15" s="153">
        <f>IF(D15=0,0,F15/D15)</f>
        <v>-156.03915662650445</v>
      </c>
      <c r="F15" s="155">
        <f>+SUM(I15,L15,O15,R15,U15,X15,AA15,AD15,AG15,AJ15,AM15,AP15,AS15,AV15,AY15,BB15,BE15,BH15)</f>
        <v>-12951.249999999869</v>
      </c>
      <c r="G15" s="154">
        <v>7</v>
      </c>
      <c r="H15" s="153">
        <v>1549.54714285715</v>
      </c>
      <c r="I15" s="155">
        <v>10846.83</v>
      </c>
      <c r="J15" s="154">
        <v>6</v>
      </c>
      <c r="K15" s="153">
        <v>1052.7933333333301</v>
      </c>
      <c r="L15" s="155">
        <v>6316.76</v>
      </c>
      <c r="M15" s="154">
        <v>3</v>
      </c>
      <c r="N15" s="153">
        <v>3620.9866666666699</v>
      </c>
      <c r="O15" s="155">
        <v>10862.96</v>
      </c>
      <c r="P15" s="154">
        <v>12</v>
      </c>
      <c r="Q15" s="153">
        <v>363.76750000000402</v>
      </c>
      <c r="R15" s="155">
        <v>4365.2100000000501</v>
      </c>
      <c r="S15" s="154">
        <v>20</v>
      </c>
      <c r="T15" s="153">
        <v>-4868.6509999999898</v>
      </c>
      <c r="U15" s="155">
        <v>-97373.019999999902</v>
      </c>
      <c r="V15" s="154">
        <v>15</v>
      </c>
      <c r="W15" s="153">
        <v>1876.6279999999999</v>
      </c>
      <c r="X15" s="155">
        <v>28149.42</v>
      </c>
      <c r="Y15" s="154">
        <v>0</v>
      </c>
      <c r="Z15" s="153">
        <v>0</v>
      </c>
      <c r="AA15" s="155">
        <v>0</v>
      </c>
      <c r="AB15" s="154">
        <v>0</v>
      </c>
      <c r="AC15" s="153">
        <v>0</v>
      </c>
      <c r="AD15" s="155">
        <v>0</v>
      </c>
      <c r="AE15" s="154">
        <v>9</v>
      </c>
      <c r="AF15" s="153">
        <v>1997.0855555555499</v>
      </c>
      <c r="AG15" s="155">
        <v>17973.77</v>
      </c>
      <c r="AH15" s="154">
        <v>1</v>
      </c>
      <c r="AI15" s="153">
        <v>2824.4899999999898</v>
      </c>
      <c r="AJ15" s="155">
        <v>2824.4899999999898</v>
      </c>
      <c r="AK15" s="154">
        <v>6</v>
      </c>
      <c r="AL15" s="153">
        <v>0</v>
      </c>
      <c r="AM15" s="155">
        <v>0</v>
      </c>
      <c r="AN15" s="154">
        <v>2</v>
      </c>
      <c r="AO15" s="153">
        <v>0.46500000000014502</v>
      </c>
      <c r="AP15" s="155">
        <v>0.93000000000029104</v>
      </c>
      <c r="AQ15" s="154">
        <v>0</v>
      </c>
      <c r="AR15" s="153">
        <v>0</v>
      </c>
      <c r="AS15" s="155">
        <v>0</v>
      </c>
      <c r="AT15" s="154">
        <v>2</v>
      </c>
      <c r="AU15" s="153">
        <v>1540.69999999999</v>
      </c>
      <c r="AV15" s="155">
        <v>3081.3999999999901</v>
      </c>
      <c r="AW15" s="154">
        <v>0</v>
      </c>
      <c r="AX15" s="153">
        <v>0</v>
      </c>
      <c r="AY15" s="155">
        <v>0</v>
      </c>
      <c r="AZ15" s="154"/>
      <c r="BA15" s="153"/>
      <c r="BB15" s="155"/>
      <c r="BC15" s="154"/>
      <c r="BD15" s="153"/>
      <c r="BE15" s="22"/>
      <c r="BF15" s="154"/>
      <c r="BG15" s="153"/>
      <c r="BH15" s="22"/>
    </row>
    <row r="16" spans="1:77" ht="20.25" x14ac:dyDescent="0.3">
      <c r="C16" s="8"/>
      <c r="D16" s="8"/>
      <c r="E16" s="97"/>
      <c r="F16" s="18"/>
      <c r="G16" s="8"/>
      <c r="H16" s="97"/>
      <c r="I16" s="18"/>
      <c r="J16" s="8"/>
      <c r="K16" s="97"/>
      <c r="L16" s="18"/>
      <c r="M16" s="8"/>
      <c r="N16" s="97"/>
      <c r="O16" s="18"/>
      <c r="P16" s="8"/>
      <c r="Q16" s="97"/>
      <c r="R16" s="18"/>
      <c r="S16" s="8"/>
      <c r="T16" s="97"/>
      <c r="U16" s="18"/>
      <c r="V16" s="8"/>
      <c r="W16" s="97"/>
      <c r="X16" s="18"/>
      <c r="Y16" s="8"/>
      <c r="Z16" s="97"/>
      <c r="AA16" s="18"/>
      <c r="AB16" s="8"/>
      <c r="AC16" s="97"/>
      <c r="AD16" s="18"/>
      <c r="AE16" s="8"/>
      <c r="AF16" s="97"/>
      <c r="AG16" s="18"/>
      <c r="AH16" s="8"/>
      <c r="AI16" s="97"/>
      <c r="AJ16" s="18"/>
      <c r="AK16" s="8"/>
      <c r="AL16" s="97"/>
      <c r="AM16" s="18"/>
      <c r="AN16" s="8"/>
      <c r="AO16" s="97"/>
      <c r="AP16" s="18"/>
      <c r="AQ16" s="8"/>
      <c r="AR16" s="97"/>
      <c r="AS16" s="18"/>
      <c r="AT16" s="8"/>
      <c r="AU16" s="97"/>
      <c r="AV16" s="18"/>
      <c r="AW16" s="8"/>
      <c r="AX16" s="97"/>
      <c r="AY16" s="18"/>
      <c r="AZ16" s="8"/>
      <c r="BA16" s="97"/>
      <c r="BB16" s="18"/>
      <c r="BC16" s="8"/>
      <c r="BD16" s="97"/>
      <c r="BE16" s="18"/>
      <c r="BF16" s="8"/>
      <c r="BG16" s="97"/>
      <c r="BH16" s="18"/>
    </row>
    <row r="17" spans="3:60" ht="20.25" x14ac:dyDescent="0.3">
      <c r="C17" s="32" t="s">
        <v>103</v>
      </c>
      <c r="D17" s="82">
        <f>+SUM(G17,J17,M17,P17,S17,V17,Y17,AB17,AE17,AH17,AK17,AN17,AQ17,AT17,AW17,AZ17,BC17,BF17)</f>
        <v>66</v>
      </c>
      <c r="E17" s="97">
        <f>IF(D17=0,0,F17/D17)</f>
        <v>2107.5198484848465</v>
      </c>
      <c r="F17" s="18">
        <f>+SUM(I17,L17,O17,R17,U17,X17,AA17,AD17,AG17,AJ17,AM17,AP17,AS17,AV17,AY17,BB17,BE17,BH17)</f>
        <v>139096.30999999988</v>
      </c>
      <c r="G17" s="82">
        <v>6</v>
      </c>
      <c r="H17" s="97">
        <v>1629.9066666666599</v>
      </c>
      <c r="I17" s="18">
        <v>9779.44</v>
      </c>
      <c r="J17" s="82">
        <v>2</v>
      </c>
      <c r="K17" s="97">
        <v>-149.56499999999801</v>
      </c>
      <c r="L17" s="18">
        <v>-299.12999999999698</v>
      </c>
      <c r="M17" s="82">
        <v>0</v>
      </c>
      <c r="N17" s="97">
        <v>0</v>
      </c>
      <c r="O17" s="18">
        <v>0</v>
      </c>
      <c r="P17" s="82">
        <v>10</v>
      </c>
      <c r="Q17" s="97">
        <v>9174.83500000001</v>
      </c>
      <c r="R17" s="18">
        <v>91748.350000000093</v>
      </c>
      <c r="S17" s="82">
        <v>0</v>
      </c>
      <c r="T17" s="97">
        <v>0</v>
      </c>
      <c r="U17" s="18">
        <v>0</v>
      </c>
      <c r="V17" s="82">
        <v>20</v>
      </c>
      <c r="W17" s="97">
        <v>-736.977000000001</v>
      </c>
      <c r="X17" s="18">
        <v>-14739.54</v>
      </c>
      <c r="Y17" s="82">
        <v>10</v>
      </c>
      <c r="Z17" s="97">
        <v>1575.55899999999</v>
      </c>
      <c r="AA17" s="18">
        <v>15755.5899999999</v>
      </c>
      <c r="AB17" s="82">
        <v>1</v>
      </c>
      <c r="AC17" s="97">
        <v>3328.05</v>
      </c>
      <c r="AD17" s="18">
        <v>3328.05</v>
      </c>
      <c r="AE17" s="82">
        <v>0</v>
      </c>
      <c r="AF17" s="97">
        <v>0</v>
      </c>
      <c r="AG17" s="18">
        <v>0</v>
      </c>
      <c r="AH17" s="82">
        <v>1</v>
      </c>
      <c r="AI17" s="97">
        <v>0</v>
      </c>
      <c r="AJ17" s="18">
        <v>0</v>
      </c>
      <c r="AK17" s="82">
        <v>0</v>
      </c>
      <c r="AL17" s="97">
        <v>0</v>
      </c>
      <c r="AM17" s="18">
        <v>0</v>
      </c>
      <c r="AN17" s="82">
        <v>0</v>
      </c>
      <c r="AO17" s="97">
        <v>0</v>
      </c>
      <c r="AP17" s="18">
        <v>0</v>
      </c>
      <c r="AQ17" s="82">
        <v>8</v>
      </c>
      <c r="AR17" s="97">
        <v>1528.3487499999901</v>
      </c>
      <c r="AS17" s="18">
        <v>12226.789999999901</v>
      </c>
      <c r="AT17" s="82">
        <v>8</v>
      </c>
      <c r="AU17" s="97">
        <v>2662.0949999999998</v>
      </c>
      <c r="AV17" s="18">
        <v>21296.76</v>
      </c>
      <c r="AW17" s="82">
        <v>0</v>
      </c>
      <c r="AX17" s="97">
        <v>0</v>
      </c>
      <c r="AY17" s="18">
        <v>0</v>
      </c>
      <c r="AZ17" s="82"/>
      <c r="BA17" s="97"/>
      <c r="BB17" s="18"/>
      <c r="BC17" s="82"/>
      <c r="BD17" s="97"/>
      <c r="BE17" s="18"/>
      <c r="BF17" s="82"/>
      <c r="BG17" s="97"/>
      <c r="BH17" s="18"/>
    </row>
    <row r="18" spans="3:60" ht="20.25" x14ac:dyDescent="0.3">
      <c r="C18" s="117"/>
      <c r="D18" s="86"/>
      <c r="E18" s="102"/>
      <c r="F18" s="68"/>
      <c r="G18" s="86"/>
      <c r="H18" s="102"/>
      <c r="I18" s="68"/>
      <c r="J18" s="86"/>
      <c r="K18" s="102"/>
      <c r="L18" s="68"/>
      <c r="M18" s="86"/>
      <c r="N18" s="102"/>
      <c r="O18" s="68"/>
      <c r="P18" s="86"/>
      <c r="Q18" s="102"/>
      <c r="R18" s="68"/>
      <c r="S18" s="86"/>
      <c r="T18" s="102"/>
      <c r="U18" s="68"/>
      <c r="V18" s="86"/>
      <c r="W18" s="102"/>
      <c r="X18" s="68"/>
      <c r="Y18" s="86"/>
      <c r="Z18" s="102"/>
      <c r="AA18" s="68"/>
      <c r="AB18" s="86"/>
      <c r="AC18" s="102"/>
      <c r="AD18" s="68"/>
      <c r="AE18" s="86"/>
      <c r="AF18" s="102"/>
      <c r="AG18" s="68"/>
      <c r="AH18" s="86"/>
      <c r="AI18" s="102"/>
      <c r="AJ18" s="68"/>
      <c r="AK18" s="86"/>
      <c r="AL18" s="102"/>
      <c r="AM18" s="68"/>
      <c r="AN18" s="86"/>
      <c r="AO18" s="102"/>
      <c r="AP18" s="68"/>
      <c r="AQ18" s="86"/>
      <c r="AR18" s="102"/>
      <c r="AS18" s="68"/>
      <c r="AT18" s="86"/>
      <c r="AU18" s="102"/>
      <c r="AV18" s="68"/>
      <c r="AW18" s="86"/>
      <c r="AX18" s="102"/>
      <c r="AY18" s="68"/>
      <c r="AZ18" s="86"/>
      <c r="BA18" s="102"/>
      <c r="BB18" s="68"/>
      <c r="BC18" s="86"/>
      <c r="BD18" s="102"/>
      <c r="BE18" s="68"/>
      <c r="BF18" s="86"/>
      <c r="BG18" s="102"/>
      <c r="BH18" s="68"/>
    </row>
    <row r="19" spans="3:60" ht="20.25" x14ac:dyDescent="0.3">
      <c r="C19" s="152" t="s">
        <v>102</v>
      </c>
      <c r="D19" s="82">
        <f>+SUM(G19,J19,M19,P19,S19,V19,Y19,AB19,AE19,AH19,AK19,AN19,AQ19,AT19,AW19,AZ19,BC19,BF19)</f>
        <v>0</v>
      </c>
      <c r="E19" s="97"/>
      <c r="F19" s="18">
        <f>+SUM(I19,L19,O19,R19,U19,X19,AA19,AD19,AG19,AJ19,AM19,AP19,AS19,AV19,AY19,BB19,BE19,BH19)</f>
        <v>43098.860000000015</v>
      </c>
      <c r="G19" s="82">
        <v>0</v>
      </c>
      <c r="H19" s="97">
        <v>0</v>
      </c>
      <c r="I19" s="18">
        <v>3453.51999999998</v>
      </c>
      <c r="J19" s="82">
        <v>0</v>
      </c>
      <c r="K19" s="97">
        <v>0</v>
      </c>
      <c r="L19" s="18">
        <v>4495</v>
      </c>
      <c r="M19" s="82">
        <v>0</v>
      </c>
      <c r="N19" s="97">
        <v>0</v>
      </c>
      <c r="O19" s="18">
        <v>5939.6500000000196</v>
      </c>
      <c r="P19" s="82">
        <v>0</v>
      </c>
      <c r="Q19" s="97">
        <v>0</v>
      </c>
      <c r="R19" s="18">
        <v>-207.4</v>
      </c>
      <c r="S19" s="82">
        <v>0</v>
      </c>
      <c r="T19" s="97">
        <v>0</v>
      </c>
      <c r="U19" s="18">
        <v>0</v>
      </c>
      <c r="V19" s="82">
        <v>0</v>
      </c>
      <c r="W19" s="97">
        <v>0</v>
      </c>
      <c r="X19" s="18">
        <v>12049.82</v>
      </c>
      <c r="Y19" s="82">
        <v>0</v>
      </c>
      <c r="Z19" s="97">
        <v>0</v>
      </c>
      <c r="AA19" s="18">
        <v>0</v>
      </c>
      <c r="AB19" s="82">
        <v>0</v>
      </c>
      <c r="AC19" s="97">
        <v>0</v>
      </c>
      <c r="AD19" s="18">
        <v>915.47000000000105</v>
      </c>
      <c r="AE19" s="82">
        <v>0</v>
      </c>
      <c r="AF19" s="97">
        <v>0</v>
      </c>
      <c r="AG19" s="18">
        <v>1125.47</v>
      </c>
      <c r="AH19" s="82">
        <v>0</v>
      </c>
      <c r="AI19" s="97">
        <v>0</v>
      </c>
      <c r="AJ19" s="18">
        <v>1000</v>
      </c>
      <c r="AK19" s="82">
        <v>0</v>
      </c>
      <c r="AL19" s="97">
        <v>0</v>
      </c>
      <c r="AM19" s="18">
        <v>974.08</v>
      </c>
      <c r="AN19" s="82">
        <v>0</v>
      </c>
      <c r="AO19" s="97">
        <v>0</v>
      </c>
      <c r="AP19" s="18">
        <v>2227.5</v>
      </c>
      <c r="AQ19" s="82">
        <v>0</v>
      </c>
      <c r="AR19" s="97">
        <v>0</v>
      </c>
      <c r="AS19" s="18">
        <v>4375.3</v>
      </c>
      <c r="AT19" s="82">
        <v>0</v>
      </c>
      <c r="AU19" s="97">
        <v>0</v>
      </c>
      <c r="AV19" s="18">
        <v>6750.4500000000098</v>
      </c>
      <c r="AW19" s="82">
        <v>0</v>
      </c>
      <c r="AX19" s="97">
        <v>0</v>
      </c>
      <c r="AY19" s="18">
        <v>0</v>
      </c>
      <c r="AZ19" s="82"/>
      <c r="BA19" s="97"/>
      <c r="BB19" s="18"/>
      <c r="BC19" s="82"/>
      <c r="BD19" s="97"/>
      <c r="BE19" s="18"/>
      <c r="BF19" s="82"/>
      <c r="BG19" s="97"/>
      <c r="BH19" s="18"/>
    </row>
    <row r="20" spans="3:60" ht="20.25" x14ac:dyDescent="0.3">
      <c r="C20" s="117"/>
      <c r="D20" s="86"/>
      <c r="E20" s="102"/>
      <c r="F20" s="68">
        <f>+SUM(I20,L20,O20,R20,U20,X20,AA20,AD20,AG20,AJ20,AM20,AP20,AS20,AV20,AY20,BB20,BE20,BH20)</f>
        <v>0</v>
      </c>
      <c r="G20" s="86">
        <v>0</v>
      </c>
      <c r="H20" s="102">
        <v>0</v>
      </c>
      <c r="I20" s="68">
        <v>0</v>
      </c>
      <c r="J20" s="86">
        <v>0</v>
      </c>
      <c r="K20" s="102">
        <v>0</v>
      </c>
      <c r="L20" s="68">
        <v>0</v>
      </c>
      <c r="M20" s="86">
        <v>0</v>
      </c>
      <c r="N20" s="102">
        <v>0</v>
      </c>
      <c r="O20" s="68">
        <v>0</v>
      </c>
      <c r="P20" s="86">
        <v>0</v>
      </c>
      <c r="Q20" s="102">
        <v>0</v>
      </c>
      <c r="R20" s="68">
        <v>0</v>
      </c>
      <c r="S20" s="86">
        <v>0</v>
      </c>
      <c r="T20" s="102">
        <v>0</v>
      </c>
      <c r="U20" s="68">
        <v>0</v>
      </c>
      <c r="V20" s="86">
        <v>0</v>
      </c>
      <c r="W20" s="102">
        <v>0</v>
      </c>
      <c r="X20" s="68">
        <v>0</v>
      </c>
      <c r="Y20" s="86">
        <v>0</v>
      </c>
      <c r="Z20" s="102">
        <v>0</v>
      </c>
      <c r="AA20" s="68">
        <v>0</v>
      </c>
      <c r="AB20" s="86">
        <v>0</v>
      </c>
      <c r="AC20" s="102">
        <v>0</v>
      </c>
      <c r="AD20" s="68">
        <v>0</v>
      </c>
      <c r="AE20" s="86">
        <v>0</v>
      </c>
      <c r="AF20" s="102">
        <v>0</v>
      </c>
      <c r="AG20" s="68">
        <v>0</v>
      </c>
      <c r="AH20" s="86">
        <v>0</v>
      </c>
      <c r="AI20" s="102">
        <v>0</v>
      </c>
      <c r="AJ20" s="68">
        <v>0</v>
      </c>
      <c r="AK20" s="86">
        <v>0</v>
      </c>
      <c r="AL20" s="102">
        <v>0</v>
      </c>
      <c r="AM20" s="68">
        <v>0</v>
      </c>
      <c r="AN20" s="86">
        <v>0</v>
      </c>
      <c r="AO20" s="102">
        <v>0</v>
      </c>
      <c r="AP20" s="68">
        <v>0</v>
      </c>
      <c r="AQ20" s="86">
        <v>0</v>
      </c>
      <c r="AR20" s="102">
        <v>0</v>
      </c>
      <c r="AS20" s="68">
        <v>0</v>
      </c>
      <c r="AT20" s="86">
        <v>0</v>
      </c>
      <c r="AU20" s="102">
        <v>0</v>
      </c>
      <c r="AV20" s="68">
        <v>0</v>
      </c>
      <c r="AW20" s="86">
        <v>0</v>
      </c>
      <c r="AX20" s="102">
        <v>0</v>
      </c>
      <c r="AY20" s="68">
        <v>0</v>
      </c>
      <c r="AZ20" s="86"/>
      <c r="BA20" s="102"/>
      <c r="BB20" s="68"/>
      <c r="BC20" s="86"/>
      <c r="BD20" s="102"/>
      <c r="BE20" s="68"/>
      <c r="BF20" s="86"/>
      <c r="BG20" s="102"/>
      <c r="BH20" s="68"/>
    </row>
    <row r="21" spans="3:60" ht="20.25" x14ac:dyDescent="0.3">
      <c r="C21" s="8" t="s">
        <v>86</v>
      </c>
      <c r="D21" s="86">
        <f>+SUM(G21,J21,M21,P21,S21,V21,Y21,AB21,AE21,AH21,AK21,AN21,AQ21,AT21,AW21,AZ21,BC21,BF21)</f>
        <v>0</v>
      </c>
      <c r="E21" s="97">
        <f>IF(D13=0,0,F21/(D13+D15))</f>
        <v>202.18671772428885</v>
      </c>
      <c r="F21" s="18">
        <f>+SUM(I21,L21,O21,R21,U21,X21,AA21,AD21,AG21,AJ21,AM21,AP21,AS21,AV21,AY21,BB21,BE21,BH21)</f>
        <v>92399.33</v>
      </c>
      <c r="G21" s="86">
        <v>0</v>
      </c>
      <c r="H21" s="97">
        <v>103.164210526315</v>
      </c>
      <c r="I21" s="18">
        <v>1960.12</v>
      </c>
      <c r="J21" s="86">
        <v>0</v>
      </c>
      <c r="K21" s="97">
        <v>0</v>
      </c>
      <c r="L21" s="18">
        <v>0</v>
      </c>
      <c r="M21" s="86">
        <v>0</v>
      </c>
      <c r="N21" s="97">
        <v>0</v>
      </c>
      <c r="O21" s="18">
        <v>0</v>
      </c>
      <c r="P21" s="86">
        <v>0</v>
      </c>
      <c r="Q21" s="97">
        <v>911.50250000000005</v>
      </c>
      <c r="R21" s="18">
        <v>29168.080000000002</v>
      </c>
      <c r="S21" s="86">
        <v>0</v>
      </c>
      <c r="T21" s="97">
        <v>334.058999999999</v>
      </c>
      <c r="U21" s="18">
        <v>43427.67</v>
      </c>
      <c r="V21" s="86">
        <v>0</v>
      </c>
      <c r="W21" s="97">
        <v>3.4090909090908998</v>
      </c>
      <c r="X21" s="18">
        <v>150</v>
      </c>
      <c r="Y21" s="86">
        <v>0</v>
      </c>
      <c r="Z21" s="97">
        <v>0</v>
      </c>
      <c r="AA21" s="18">
        <v>0</v>
      </c>
      <c r="AB21" s="86">
        <v>0</v>
      </c>
      <c r="AC21" s="97">
        <v>0</v>
      </c>
      <c r="AD21" s="18">
        <v>0</v>
      </c>
      <c r="AE21" s="86">
        <v>0</v>
      </c>
      <c r="AF21" s="97">
        <v>0</v>
      </c>
      <c r="AG21" s="18">
        <v>0</v>
      </c>
      <c r="AH21" s="86">
        <v>0</v>
      </c>
      <c r="AI21" s="97">
        <v>30</v>
      </c>
      <c r="AJ21" s="18">
        <v>300</v>
      </c>
      <c r="AK21" s="86">
        <v>0</v>
      </c>
      <c r="AL21" s="97">
        <v>0</v>
      </c>
      <c r="AM21" s="18">
        <v>0</v>
      </c>
      <c r="AN21" s="86">
        <v>0</v>
      </c>
      <c r="AO21" s="97">
        <v>231.495</v>
      </c>
      <c r="AP21" s="18">
        <v>7870.83</v>
      </c>
      <c r="AQ21" s="86">
        <v>0</v>
      </c>
      <c r="AR21" s="97">
        <v>0</v>
      </c>
      <c r="AS21" s="18">
        <v>0</v>
      </c>
      <c r="AT21" s="86">
        <v>0</v>
      </c>
      <c r="AU21" s="97">
        <v>19.229687500000001</v>
      </c>
      <c r="AV21" s="18">
        <v>615.35</v>
      </c>
      <c r="AW21" s="86">
        <v>0</v>
      </c>
      <c r="AX21" s="97">
        <v>685.17538461538402</v>
      </c>
      <c r="AY21" s="18">
        <v>8907.2800000000007</v>
      </c>
      <c r="AZ21" s="86"/>
      <c r="BA21" s="97"/>
      <c r="BB21" s="18"/>
      <c r="BC21" s="86"/>
      <c r="BD21" s="97"/>
      <c r="BE21" s="18"/>
      <c r="BF21" s="86"/>
      <c r="BG21" s="97"/>
      <c r="BH21" s="18"/>
    </row>
    <row r="22" spans="3:60" ht="20.25" x14ac:dyDescent="0.3">
      <c r="C22" s="8" t="s">
        <v>85</v>
      </c>
      <c r="D22" s="86">
        <f>+SUM(G22,J22,M22,P22,S22,V22,Y22,AB22,AE22,AH22,AK22,AN22,AQ22,AT22,AW22,AZ22,BC22,BF22)</f>
        <v>0</v>
      </c>
      <c r="E22" s="97">
        <f>IF(D13=0,0,F22/(D13+D15))</f>
        <v>730.8895185995616</v>
      </c>
      <c r="F22" s="18">
        <f>+SUM(I22,L22,O22,R22,U22,X22,AA22,AD22,AG22,AJ22,AM22,AP22,AS22,AV22,AY22,BB22,BE22,BH22)</f>
        <v>334016.50999999966</v>
      </c>
      <c r="G22" s="86">
        <v>0</v>
      </c>
      <c r="H22" s="97">
        <v>391.15263157894702</v>
      </c>
      <c r="I22" s="18">
        <v>7431.9</v>
      </c>
      <c r="J22" s="86">
        <v>0</v>
      </c>
      <c r="K22" s="97">
        <v>583.32473684210504</v>
      </c>
      <c r="L22" s="18">
        <v>11083.1699999999</v>
      </c>
      <c r="M22" s="86">
        <v>0</v>
      </c>
      <c r="N22" s="97">
        <v>1222.34777777777</v>
      </c>
      <c r="O22" s="18">
        <v>11001.13</v>
      </c>
      <c r="P22" s="86">
        <v>0</v>
      </c>
      <c r="Q22" s="97">
        <v>684.0625</v>
      </c>
      <c r="R22" s="18">
        <v>21890</v>
      </c>
      <c r="S22" s="86">
        <v>0</v>
      </c>
      <c r="T22" s="97">
        <v>465.08553846153802</v>
      </c>
      <c r="U22" s="18">
        <v>60461.119999999901</v>
      </c>
      <c r="V22" s="86">
        <v>0</v>
      </c>
      <c r="W22" s="97">
        <v>1311.9088636363599</v>
      </c>
      <c r="X22" s="18">
        <v>57723.99</v>
      </c>
      <c r="Y22" s="86">
        <v>0</v>
      </c>
      <c r="Z22" s="97">
        <v>1115.2359999999901</v>
      </c>
      <c r="AA22" s="18">
        <v>27880.8999999999</v>
      </c>
      <c r="AB22" s="86">
        <v>0</v>
      </c>
      <c r="AC22" s="97">
        <v>366.35380952380899</v>
      </c>
      <c r="AD22" s="18">
        <v>7693.43</v>
      </c>
      <c r="AE22" s="86">
        <v>0</v>
      </c>
      <c r="AF22" s="97">
        <v>1326.1392307692299</v>
      </c>
      <c r="AG22" s="18">
        <v>34479.620000000003</v>
      </c>
      <c r="AH22" s="86">
        <v>0</v>
      </c>
      <c r="AI22" s="97">
        <v>1048.9000000000001</v>
      </c>
      <c r="AJ22" s="18">
        <v>10489</v>
      </c>
      <c r="AK22" s="86">
        <v>0</v>
      </c>
      <c r="AL22" s="97">
        <v>292.57894736842098</v>
      </c>
      <c r="AM22" s="18">
        <v>5559</v>
      </c>
      <c r="AN22" s="86">
        <v>0</v>
      </c>
      <c r="AO22" s="97">
        <v>457.35294117646998</v>
      </c>
      <c r="AP22" s="18">
        <v>15550</v>
      </c>
      <c r="AQ22" s="86">
        <v>0</v>
      </c>
      <c r="AR22" s="97">
        <v>417.08333333333297</v>
      </c>
      <c r="AS22" s="18">
        <v>10010</v>
      </c>
      <c r="AT22" s="86">
        <v>0</v>
      </c>
      <c r="AU22" s="97">
        <v>984.25156249999998</v>
      </c>
      <c r="AV22" s="18">
        <v>31496.05</v>
      </c>
      <c r="AW22" s="86">
        <v>0</v>
      </c>
      <c r="AX22" s="97">
        <v>1635.9384615384599</v>
      </c>
      <c r="AY22" s="18">
        <v>21267.200000000001</v>
      </c>
      <c r="AZ22" s="86"/>
      <c r="BA22" s="97"/>
      <c r="BB22" s="18"/>
      <c r="BC22" s="86"/>
      <c r="BD22" s="97"/>
      <c r="BE22" s="18"/>
      <c r="BF22" s="86"/>
      <c r="BG22" s="97"/>
      <c r="BH22" s="18"/>
    </row>
    <row r="23" spans="3:60" ht="20.25" x14ac:dyDescent="0.3">
      <c r="C23" s="8" t="s">
        <v>84</v>
      </c>
      <c r="D23" s="86">
        <f>+SUM(G23,J23,M23,P23,S23,V23,Y23,AB23,AE23,AH23,AK23,AN23,AQ23,AT23,AW23,AZ23,BC23,BF23)</f>
        <v>0</v>
      </c>
      <c r="E23" s="97">
        <f>IF(D13=0,0,F23/(D13+D15))</f>
        <v>382.33146608315025</v>
      </c>
      <c r="F23" s="18">
        <f>+SUM(I23,L23,O23,R23,U23,X23,AA23,AD23,AG23,AJ23,AM23,AP23,AS23,AV23,AY23,BB23,BE23,BH23)</f>
        <v>174725.47999999966</v>
      </c>
      <c r="G23" s="86">
        <v>0</v>
      </c>
      <c r="H23" s="97">
        <v>823.25789473684199</v>
      </c>
      <c r="I23" s="18">
        <v>15641.8999999999</v>
      </c>
      <c r="J23" s="86">
        <v>0</v>
      </c>
      <c r="K23" s="97">
        <v>593.28421052631495</v>
      </c>
      <c r="L23" s="18">
        <v>11272.4</v>
      </c>
      <c r="M23" s="86">
        <v>0</v>
      </c>
      <c r="N23" s="97">
        <v>605.32222222222197</v>
      </c>
      <c r="O23" s="18">
        <v>5447.9</v>
      </c>
      <c r="P23" s="86">
        <v>0</v>
      </c>
      <c r="Q23" s="97">
        <v>309.68437499999999</v>
      </c>
      <c r="R23" s="18">
        <v>9909.9</v>
      </c>
      <c r="S23" s="86">
        <v>0</v>
      </c>
      <c r="T23" s="97">
        <v>405.21338461538397</v>
      </c>
      <c r="U23" s="18">
        <v>52677.74</v>
      </c>
      <c r="V23" s="86">
        <v>0</v>
      </c>
      <c r="W23" s="97">
        <v>0</v>
      </c>
      <c r="X23" s="18">
        <v>0</v>
      </c>
      <c r="Y23" s="86">
        <v>0</v>
      </c>
      <c r="Z23" s="97">
        <v>410.52</v>
      </c>
      <c r="AA23" s="18">
        <v>10263</v>
      </c>
      <c r="AB23" s="86">
        <v>0</v>
      </c>
      <c r="AC23" s="97">
        <v>868.29428571428502</v>
      </c>
      <c r="AD23" s="18">
        <v>18234.18</v>
      </c>
      <c r="AE23" s="86">
        <v>0</v>
      </c>
      <c r="AF23" s="97">
        <v>38.771153846153801</v>
      </c>
      <c r="AG23" s="18">
        <v>1008.05</v>
      </c>
      <c r="AH23" s="86">
        <v>0</v>
      </c>
      <c r="AI23" s="97">
        <v>605.90199999999902</v>
      </c>
      <c r="AJ23" s="18">
        <v>6059.0199999999904</v>
      </c>
      <c r="AK23" s="86">
        <v>0</v>
      </c>
      <c r="AL23" s="97">
        <v>461.82105263157899</v>
      </c>
      <c r="AM23" s="18">
        <v>8774.6</v>
      </c>
      <c r="AN23" s="86">
        <v>0</v>
      </c>
      <c r="AO23" s="97">
        <v>634.89264705882294</v>
      </c>
      <c r="AP23" s="18">
        <v>21586.3499999999</v>
      </c>
      <c r="AQ23" s="86">
        <v>0</v>
      </c>
      <c r="AR23" s="97">
        <v>525.34541666666598</v>
      </c>
      <c r="AS23" s="18">
        <v>12608.289999999901</v>
      </c>
      <c r="AT23" s="86">
        <v>0</v>
      </c>
      <c r="AU23" s="97">
        <v>13.862500000000001</v>
      </c>
      <c r="AV23" s="18">
        <v>443.6</v>
      </c>
      <c r="AW23" s="86">
        <v>0</v>
      </c>
      <c r="AX23" s="97">
        <v>61.426923076923003</v>
      </c>
      <c r="AY23" s="18">
        <v>798.55</v>
      </c>
      <c r="AZ23" s="86"/>
      <c r="BA23" s="97"/>
      <c r="BB23" s="18"/>
      <c r="BC23" s="86"/>
      <c r="BD23" s="97"/>
      <c r="BE23" s="18"/>
      <c r="BF23" s="86"/>
      <c r="BG23" s="97"/>
      <c r="BH23" s="18"/>
    </row>
    <row r="24" spans="3:60" ht="20.25" x14ac:dyDescent="0.3">
      <c r="C24" s="117" t="s">
        <v>83</v>
      </c>
      <c r="D24" s="140">
        <f>SUM(D6:D9,D15)</f>
        <v>457</v>
      </c>
      <c r="E24" s="139">
        <f>IF(D24&lt;=0,0,F24/D24)</f>
        <v>1315.4077024070009</v>
      </c>
      <c r="F24" s="138">
        <f>SUM(F20:F23)</f>
        <v>601141.31999999937</v>
      </c>
      <c r="G24" s="140">
        <v>19</v>
      </c>
      <c r="H24" s="139">
        <v>1317.5747368421</v>
      </c>
      <c r="I24" s="138">
        <v>25033.919999999998</v>
      </c>
      <c r="J24" s="140">
        <v>19</v>
      </c>
      <c r="K24" s="139">
        <v>1176.6089473684201</v>
      </c>
      <c r="L24" s="138">
        <v>22355.57</v>
      </c>
      <c r="M24" s="140">
        <v>9</v>
      </c>
      <c r="N24" s="139">
        <v>1827.6699999999901</v>
      </c>
      <c r="O24" s="138">
        <v>16449.03</v>
      </c>
      <c r="P24" s="140">
        <v>32</v>
      </c>
      <c r="Q24" s="139">
        <v>1905.2493750000001</v>
      </c>
      <c r="R24" s="138">
        <v>60967.98</v>
      </c>
      <c r="S24" s="140">
        <v>130</v>
      </c>
      <c r="T24" s="139">
        <v>1204.3579230769201</v>
      </c>
      <c r="U24" s="138">
        <v>156566.53</v>
      </c>
      <c r="V24" s="140">
        <v>44</v>
      </c>
      <c r="W24" s="139">
        <v>1315.31795454545</v>
      </c>
      <c r="X24" s="138">
        <v>57873.99</v>
      </c>
      <c r="Y24" s="140">
        <v>25</v>
      </c>
      <c r="Z24" s="139">
        <v>1525.7559999999901</v>
      </c>
      <c r="AA24" s="138">
        <v>38143.8999999999</v>
      </c>
      <c r="AB24" s="140">
        <v>21</v>
      </c>
      <c r="AC24" s="139">
        <v>1234.64809523809</v>
      </c>
      <c r="AD24" s="138">
        <v>25927.61</v>
      </c>
      <c r="AE24" s="140">
        <v>26</v>
      </c>
      <c r="AF24" s="139">
        <v>1364.9103846153801</v>
      </c>
      <c r="AG24" s="138">
        <v>35487.67</v>
      </c>
      <c r="AH24" s="140">
        <v>10</v>
      </c>
      <c r="AI24" s="139">
        <v>1684.8019999999999</v>
      </c>
      <c r="AJ24" s="138">
        <v>16848.02</v>
      </c>
      <c r="AK24" s="140">
        <v>19</v>
      </c>
      <c r="AL24" s="139">
        <v>754.4</v>
      </c>
      <c r="AM24" s="138">
        <v>14333.6</v>
      </c>
      <c r="AN24" s="140">
        <v>34</v>
      </c>
      <c r="AO24" s="139">
        <v>1323.74058823529</v>
      </c>
      <c r="AP24" s="138">
        <v>45007.179999999898</v>
      </c>
      <c r="AQ24" s="140">
        <v>24</v>
      </c>
      <c r="AR24" s="139">
        <v>942.42874999999901</v>
      </c>
      <c r="AS24" s="138">
        <v>22618.289999999899</v>
      </c>
      <c r="AT24" s="140">
        <v>32</v>
      </c>
      <c r="AU24" s="139">
        <v>1017.34374999999</v>
      </c>
      <c r="AV24" s="138">
        <v>32554.999999999902</v>
      </c>
      <c r="AW24" s="140">
        <v>13</v>
      </c>
      <c r="AX24" s="139">
        <v>2382.5407692307599</v>
      </c>
      <c r="AY24" s="138">
        <v>30973.03</v>
      </c>
      <c r="AZ24" s="140"/>
      <c r="BA24" s="139"/>
      <c r="BB24" s="138"/>
      <c r="BC24" s="140"/>
      <c r="BD24" s="139"/>
      <c r="BE24" s="138"/>
      <c r="BF24" s="140"/>
      <c r="BG24" s="139"/>
      <c r="BH24" s="138"/>
    </row>
    <row r="25" spans="3:60" ht="20.25" x14ac:dyDescent="0.3">
      <c r="C25" s="8"/>
      <c r="D25" s="8"/>
      <c r="E25" s="7"/>
      <c r="F25" s="63"/>
      <c r="G25" s="8"/>
      <c r="H25" s="7"/>
      <c r="I25" s="63"/>
      <c r="J25" s="8"/>
      <c r="K25" s="7"/>
      <c r="L25" s="63"/>
      <c r="M25" s="8"/>
      <c r="N25" s="7"/>
      <c r="O25" s="63"/>
      <c r="P25" s="8"/>
      <c r="Q25" s="7"/>
      <c r="R25" s="63"/>
      <c r="S25" s="8"/>
      <c r="T25" s="7"/>
      <c r="U25" s="63"/>
      <c r="V25" s="8"/>
      <c r="W25" s="7"/>
      <c r="X25" s="63"/>
      <c r="Y25" s="8"/>
      <c r="Z25" s="7"/>
      <c r="AA25" s="63"/>
      <c r="AB25" s="8"/>
      <c r="AC25" s="7"/>
      <c r="AD25" s="63"/>
      <c r="AE25" s="8"/>
      <c r="AF25" s="7"/>
      <c r="AG25" s="63"/>
      <c r="AH25" s="8"/>
      <c r="AI25" s="7"/>
      <c r="AJ25" s="63"/>
      <c r="AK25" s="8"/>
      <c r="AL25" s="7"/>
      <c r="AM25" s="63"/>
      <c r="AN25" s="8"/>
      <c r="AO25" s="7"/>
      <c r="AP25" s="63"/>
      <c r="AQ25" s="8"/>
      <c r="AR25" s="7"/>
      <c r="AS25" s="63"/>
      <c r="AT25" s="8"/>
      <c r="AU25" s="7"/>
      <c r="AV25" s="63"/>
      <c r="AW25" s="8"/>
      <c r="AX25" s="7"/>
      <c r="AY25" s="63"/>
      <c r="AZ25" s="8"/>
      <c r="BA25" s="7"/>
      <c r="BB25" s="63"/>
      <c r="BC25" s="8"/>
      <c r="BD25" s="7"/>
      <c r="BE25" s="63"/>
      <c r="BF25" s="8"/>
      <c r="BG25" s="7"/>
      <c r="BH25" s="63"/>
    </row>
    <row r="26" spans="3:60" ht="21" thickBot="1" x14ac:dyDescent="0.35">
      <c r="C26" s="8"/>
      <c r="D26" s="8"/>
      <c r="E26" s="7"/>
      <c r="F26" s="6"/>
      <c r="G26" s="8"/>
      <c r="H26" s="7"/>
      <c r="I26" s="6"/>
      <c r="J26" s="8"/>
      <c r="K26" s="7"/>
      <c r="L26" s="6"/>
      <c r="M26" s="8"/>
      <c r="N26" s="7"/>
      <c r="O26" s="6"/>
      <c r="P26" s="8"/>
      <c r="Q26" s="7"/>
      <c r="R26" s="6"/>
      <c r="S26" s="8"/>
      <c r="T26" s="7"/>
      <c r="U26" s="6"/>
      <c r="V26" s="8"/>
      <c r="W26" s="7"/>
      <c r="X26" s="6"/>
      <c r="Y26" s="8"/>
      <c r="Z26" s="7"/>
      <c r="AA26" s="6"/>
      <c r="AB26" s="8"/>
      <c r="AC26" s="7"/>
      <c r="AD26" s="6"/>
      <c r="AE26" s="8"/>
      <c r="AF26" s="7"/>
      <c r="AG26" s="6"/>
      <c r="AH26" s="8"/>
      <c r="AI26" s="7"/>
      <c r="AJ26" s="6"/>
      <c r="AK26" s="8"/>
      <c r="AL26" s="7"/>
      <c r="AM26" s="6"/>
      <c r="AN26" s="8"/>
      <c r="AO26" s="7"/>
      <c r="AP26" s="6"/>
      <c r="AQ26" s="8"/>
      <c r="AR26" s="7"/>
      <c r="AS26" s="6"/>
      <c r="AT26" s="8"/>
      <c r="AU26" s="7"/>
      <c r="AV26" s="6"/>
      <c r="AW26" s="8"/>
      <c r="AX26" s="7"/>
      <c r="AY26" s="6"/>
      <c r="AZ26" s="8"/>
      <c r="BA26" s="7"/>
      <c r="BB26" s="6"/>
      <c r="BC26" s="8"/>
      <c r="BD26" s="7"/>
      <c r="BE26" s="6"/>
      <c r="BF26" s="8"/>
      <c r="BG26" s="7"/>
      <c r="BH26" s="6"/>
    </row>
    <row r="27" spans="3:60" ht="21" thickTop="1" x14ac:dyDescent="0.3">
      <c r="C27" s="43" t="s">
        <v>101</v>
      </c>
      <c r="D27" s="49">
        <f>D13+D15+D17</f>
        <v>523</v>
      </c>
      <c r="E27" s="151">
        <f>IF(D27&lt;=0,0,F27/D27)</f>
        <v>3660.6285086042076</v>
      </c>
      <c r="F27" s="47">
        <f>F13+F15+F17+F19+F24</f>
        <v>1914508.7100000007</v>
      </c>
      <c r="G27" s="49">
        <v>25</v>
      </c>
      <c r="H27" s="151">
        <v>4522.9327999999996</v>
      </c>
      <c r="I27" s="47">
        <v>113073.32</v>
      </c>
      <c r="J27" s="49">
        <v>21</v>
      </c>
      <c r="K27" s="151">
        <v>3578.03761904762</v>
      </c>
      <c r="L27" s="47">
        <v>75138.789999999994</v>
      </c>
      <c r="M27" s="49">
        <v>9</v>
      </c>
      <c r="N27" s="151">
        <v>6729.2133333333404</v>
      </c>
      <c r="O27" s="47">
        <v>60562.92</v>
      </c>
      <c r="P27" s="49">
        <v>42</v>
      </c>
      <c r="Q27" s="151">
        <v>4485.9278571428504</v>
      </c>
      <c r="R27" s="47">
        <v>188408.97</v>
      </c>
      <c r="S27" s="49">
        <v>130</v>
      </c>
      <c r="T27" s="151">
        <v>3764.6693846153898</v>
      </c>
      <c r="U27" s="47">
        <v>489407.02000000101</v>
      </c>
      <c r="V27" s="49">
        <v>64</v>
      </c>
      <c r="W27" s="151">
        <v>2711.3535937500001</v>
      </c>
      <c r="X27" s="47">
        <v>173526.63</v>
      </c>
      <c r="Y27" s="49">
        <v>35</v>
      </c>
      <c r="Z27" s="151">
        <v>4387.06885714285</v>
      </c>
      <c r="AA27" s="47">
        <v>153547.41</v>
      </c>
      <c r="AB27" s="49">
        <v>22</v>
      </c>
      <c r="AC27" s="151">
        <v>4989.2086363636199</v>
      </c>
      <c r="AD27" s="47">
        <v>109762.58999999901</v>
      </c>
      <c r="AE27" s="49">
        <v>26</v>
      </c>
      <c r="AF27" s="151">
        <v>4959.1300000000101</v>
      </c>
      <c r="AG27" s="47">
        <v>128937.38</v>
      </c>
      <c r="AH27" s="49">
        <v>11</v>
      </c>
      <c r="AI27" s="151">
        <v>3537.6063636363601</v>
      </c>
      <c r="AJ27" s="47">
        <v>38913.669999999896</v>
      </c>
      <c r="AK27" s="49">
        <v>19</v>
      </c>
      <c r="AL27" s="151">
        <v>805.667368421064</v>
      </c>
      <c r="AM27" s="47">
        <v>15307.6800000002</v>
      </c>
      <c r="AN27" s="49">
        <v>34</v>
      </c>
      <c r="AO27" s="151">
        <v>1856.2464705882301</v>
      </c>
      <c r="AP27" s="47">
        <v>63112.379999999801</v>
      </c>
      <c r="AQ27" s="49">
        <v>32</v>
      </c>
      <c r="AR27" s="151">
        <v>2989.73781249999</v>
      </c>
      <c r="AS27" s="47">
        <v>95671.609999999899</v>
      </c>
      <c r="AT27" s="49">
        <v>40</v>
      </c>
      <c r="AU27" s="151">
        <v>3400.2730000000001</v>
      </c>
      <c r="AV27" s="47">
        <v>136010.92000000001</v>
      </c>
      <c r="AW27" s="49">
        <v>13</v>
      </c>
      <c r="AX27" s="151">
        <v>5625.1861538461499</v>
      </c>
      <c r="AY27" s="47">
        <v>73127.42</v>
      </c>
      <c r="AZ27" s="49"/>
      <c r="BA27" s="151"/>
      <c r="BB27" s="47"/>
      <c r="BC27" s="49"/>
      <c r="BD27" s="151"/>
      <c r="BE27" s="47"/>
      <c r="BF27" s="49"/>
      <c r="BG27" s="151"/>
      <c r="BH27" s="47"/>
    </row>
    <row r="28" spans="3:60" ht="21" thickBot="1" x14ac:dyDescent="0.35">
      <c r="C28" s="40"/>
      <c r="D28" s="40"/>
      <c r="E28" s="39"/>
      <c r="F28" s="92"/>
      <c r="G28" s="94">
        <v>0</v>
      </c>
      <c r="H28" s="39">
        <v>0</v>
      </c>
      <c r="I28" s="92">
        <v>0</v>
      </c>
      <c r="J28" s="94">
        <v>0</v>
      </c>
      <c r="K28" s="39">
        <v>0</v>
      </c>
      <c r="L28" s="92">
        <v>0</v>
      </c>
      <c r="M28" s="94">
        <v>0</v>
      </c>
      <c r="N28" s="39">
        <v>0</v>
      </c>
      <c r="O28" s="92">
        <v>0</v>
      </c>
      <c r="P28" s="94">
        <v>0</v>
      </c>
      <c r="Q28" s="39">
        <v>0</v>
      </c>
      <c r="R28" s="92">
        <v>0</v>
      </c>
      <c r="S28" s="94">
        <v>0</v>
      </c>
      <c r="T28" s="39">
        <v>0</v>
      </c>
      <c r="U28" s="92">
        <v>0</v>
      </c>
      <c r="V28" s="94">
        <v>0</v>
      </c>
      <c r="W28" s="39">
        <v>0</v>
      </c>
      <c r="X28" s="92">
        <v>1.0441762545450299</v>
      </c>
      <c r="Y28" s="94">
        <v>0</v>
      </c>
      <c r="Z28" s="39">
        <v>0</v>
      </c>
      <c r="AA28" s="92">
        <v>0</v>
      </c>
      <c r="AB28" s="94">
        <v>0</v>
      </c>
      <c r="AC28" s="39">
        <v>0</v>
      </c>
      <c r="AD28" s="92">
        <v>0</v>
      </c>
      <c r="AE28" s="94">
        <v>0</v>
      </c>
      <c r="AF28" s="39">
        <v>0</v>
      </c>
      <c r="AG28" s="92">
        <v>0</v>
      </c>
      <c r="AH28" s="94">
        <v>0</v>
      </c>
      <c r="AI28" s="39">
        <v>0</v>
      </c>
      <c r="AJ28" s="92">
        <v>0</v>
      </c>
      <c r="AK28" s="94">
        <v>0</v>
      </c>
      <c r="AL28" s="39">
        <v>0</v>
      </c>
      <c r="AM28" s="92">
        <v>0</v>
      </c>
      <c r="AN28" s="94">
        <v>0</v>
      </c>
      <c r="AO28" s="39">
        <v>0</v>
      </c>
      <c r="AP28" s="92">
        <v>0</v>
      </c>
      <c r="AQ28" s="94">
        <v>0</v>
      </c>
      <c r="AR28" s="39">
        <v>0</v>
      </c>
      <c r="AS28" s="92">
        <v>0</v>
      </c>
      <c r="AT28" s="94">
        <v>0</v>
      </c>
      <c r="AU28" s="39">
        <v>0</v>
      </c>
      <c r="AV28" s="92">
        <v>0.72464345276517095</v>
      </c>
      <c r="AW28" s="94">
        <v>0</v>
      </c>
      <c r="AX28" s="39">
        <v>0</v>
      </c>
      <c r="AY28" s="92">
        <v>0</v>
      </c>
      <c r="AZ28" s="94"/>
      <c r="BA28" s="39"/>
      <c r="BB28" s="92"/>
      <c r="BC28" s="94"/>
      <c r="BD28" s="39"/>
      <c r="BE28" s="92"/>
      <c r="BF28" s="94"/>
      <c r="BG28" s="39"/>
      <c r="BH28" s="92"/>
    </row>
    <row r="29" spans="3:60" ht="21" thickTop="1" x14ac:dyDescent="0.3">
      <c r="C29" s="32"/>
      <c r="D29" s="32"/>
      <c r="E29" s="31"/>
      <c r="F29" s="150"/>
      <c r="G29" s="32"/>
      <c r="H29" s="31"/>
      <c r="I29" s="150"/>
      <c r="J29" s="32"/>
      <c r="K29" s="31"/>
      <c r="L29" s="150"/>
      <c r="M29" s="32"/>
      <c r="N29" s="31"/>
      <c r="O29" s="150"/>
      <c r="P29" s="32"/>
      <c r="Q29" s="31"/>
      <c r="R29" s="150"/>
      <c r="S29" s="32"/>
      <c r="T29" s="31"/>
      <c r="U29" s="150"/>
      <c r="V29" s="32"/>
      <c r="W29" s="31"/>
      <c r="X29" s="150"/>
      <c r="Y29" s="32"/>
      <c r="Z29" s="31"/>
      <c r="AA29" s="150"/>
      <c r="AB29" s="32"/>
      <c r="AC29" s="31"/>
      <c r="AD29" s="150"/>
      <c r="AE29" s="32"/>
      <c r="AF29" s="31"/>
      <c r="AG29" s="150"/>
      <c r="AH29" s="32"/>
      <c r="AI29" s="31"/>
      <c r="AJ29" s="150"/>
      <c r="AK29" s="32"/>
      <c r="AL29" s="31"/>
      <c r="AM29" s="150"/>
      <c r="AN29" s="32"/>
      <c r="AO29" s="31"/>
      <c r="AP29" s="150"/>
      <c r="AQ29" s="32"/>
      <c r="AR29" s="31"/>
      <c r="AS29" s="150"/>
      <c r="AT29" s="32"/>
      <c r="AU29" s="31"/>
      <c r="AV29" s="150"/>
      <c r="AW29" s="32"/>
      <c r="AX29" s="31"/>
      <c r="AY29" s="150"/>
      <c r="AZ29" s="32"/>
      <c r="BA29" s="31"/>
      <c r="BB29" s="150"/>
      <c r="BC29" s="32"/>
      <c r="BD29" s="31"/>
      <c r="BE29" s="150"/>
      <c r="BF29" s="32"/>
      <c r="BG29" s="31"/>
      <c r="BH29" s="150"/>
    </row>
    <row r="30" spans="3:60" ht="20.25" x14ac:dyDescent="0.3">
      <c r="C30" s="29" t="s">
        <v>28</v>
      </c>
      <c r="D30" s="8"/>
      <c r="E30" s="54"/>
      <c r="F30" s="6"/>
      <c r="G30" s="8"/>
      <c r="H30" s="54"/>
      <c r="I30" s="6"/>
      <c r="J30" s="8"/>
      <c r="K30" s="54"/>
      <c r="L30" s="6"/>
      <c r="M30" s="8"/>
      <c r="N30" s="54"/>
      <c r="O30" s="6"/>
      <c r="P30" s="8"/>
      <c r="Q30" s="54"/>
      <c r="R30" s="6"/>
      <c r="S30" s="8"/>
      <c r="T30" s="54"/>
      <c r="U30" s="6"/>
      <c r="V30" s="8"/>
      <c r="W30" s="54"/>
      <c r="X30" s="6"/>
      <c r="Y30" s="8"/>
      <c r="Z30" s="54"/>
      <c r="AA30" s="6"/>
      <c r="AB30" s="8"/>
      <c r="AC30" s="54"/>
      <c r="AD30" s="6"/>
      <c r="AE30" s="8"/>
      <c r="AF30" s="54"/>
      <c r="AG30" s="6"/>
      <c r="AH30" s="8"/>
      <c r="AI30" s="54"/>
      <c r="AJ30" s="6"/>
      <c r="AK30" s="8"/>
      <c r="AL30" s="54"/>
      <c r="AM30" s="6"/>
      <c r="AN30" s="8"/>
      <c r="AO30" s="54"/>
      <c r="AP30" s="6"/>
      <c r="AQ30" s="8"/>
      <c r="AR30" s="54"/>
      <c r="AS30" s="6"/>
      <c r="AT30" s="8"/>
      <c r="AU30" s="54"/>
      <c r="AV30" s="6"/>
      <c r="AW30" s="8"/>
      <c r="AX30" s="54"/>
      <c r="AY30" s="6"/>
      <c r="AZ30" s="8"/>
      <c r="BA30" s="54"/>
      <c r="BB30" s="6"/>
      <c r="BC30" s="8"/>
      <c r="BD30" s="54"/>
      <c r="BE30" s="6"/>
      <c r="BF30" s="8"/>
      <c r="BG30" s="54"/>
      <c r="BH30" s="6"/>
    </row>
    <row r="31" spans="3:60" ht="20.25" x14ac:dyDescent="0.3">
      <c r="C31" s="8" t="s">
        <v>81</v>
      </c>
      <c r="D31" s="131"/>
      <c r="E31" s="90">
        <f t="shared" ref="E31:E40" si="3">IF(F31=0,0,F31/D$24)</f>
        <v>845.31625820568922</v>
      </c>
      <c r="F31" s="18">
        <f t="shared" ref="F31:F40" si="4">+SUM(I31,L31,O31,R31,U31,X31,AA31,AD31,AG31,AJ31,AM31,AP31,AS31,AV31,AY31,BB31,BE31,BH31)</f>
        <v>386309.52999999997</v>
      </c>
      <c r="G31" s="131">
        <v>0.35025273225139297</v>
      </c>
      <c r="H31" s="90">
        <v>1379.00842105263</v>
      </c>
      <c r="I31" s="18">
        <v>26201.16</v>
      </c>
      <c r="J31" s="131">
        <v>0.35723351860103397</v>
      </c>
      <c r="K31" s="90">
        <v>913.52789473684197</v>
      </c>
      <c r="L31" s="18">
        <v>17357.03</v>
      </c>
      <c r="M31" s="131">
        <v>0.237693009736408</v>
      </c>
      <c r="N31" s="90">
        <v>1008.19444444444</v>
      </c>
      <c r="O31" s="18">
        <v>9073.75</v>
      </c>
      <c r="P31" s="131">
        <v>0</v>
      </c>
      <c r="Q31" s="90">
        <v>1234.2653124999999</v>
      </c>
      <c r="R31" s="18">
        <v>39496.49</v>
      </c>
      <c r="S31" s="131">
        <v>0.224849266385828</v>
      </c>
      <c r="T31" s="90">
        <v>575.68415384615298</v>
      </c>
      <c r="U31" s="18">
        <v>74838.94</v>
      </c>
      <c r="V31" s="131">
        <v>0.55797062280736898</v>
      </c>
      <c r="W31" s="90">
        <v>1313.8029545454499</v>
      </c>
      <c r="X31" s="18">
        <v>57807.33</v>
      </c>
      <c r="Y31" s="131">
        <v>0.27531352385478702</v>
      </c>
      <c r="Z31" s="90">
        <v>1097.3768</v>
      </c>
      <c r="AA31" s="18">
        <v>27434.42</v>
      </c>
      <c r="AB31" s="131">
        <v>0.223685957623242</v>
      </c>
      <c r="AC31" s="90">
        <v>883.23476190476197</v>
      </c>
      <c r="AD31" s="18">
        <v>18547.93</v>
      </c>
      <c r="AE31" s="131">
        <v>0.257419936519379</v>
      </c>
      <c r="AF31" s="90">
        <v>914.08076923076896</v>
      </c>
      <c r="AG31" s="18">
        <v>23766.1</v>
      </c>
      <c r="AH31" s="131">
        <v>0.342534884990494</v>
      </c>
      <c r="AI31" s="90">
        <v>721.572</v>
      </c>
      <c r="AJ31" s="18">
        <v>7215.72</v>
      </c>
      <c r="AK31" s="131">
        <v>40959857561436.102</v>
      </c>
      <c r="AL31" s="90">
        <v>501.93210526315698</v>
      </c>
      <c r="AM31" s="18">
        <v>9536.7099999999991</v>
      </c>
      <c r="AN31" s="131">
        <v>0.96173969894380895</v>
      </c>
      <c r="AO31" s="90">
        <v>449.09764705882299</v>
      </c>
      <c r="AP31" s="18">
        <v>15269.32</v>
      </c>
      <c r="AQ31" s="131">
        <v>0.44791424385261303</v>
      </c>
      <c r="AR31" s="90">
        <v>1053.5545833333299</v>
      </c>
      <c r="AS31" s="18">
        <v>25285.31</v>
      </c>
      <c r="AT31" s="131">
        <v>0.28012810443918001</v>
      </c>
      <c r="AU31" s="90">
        <v>846.56</v>
      </c>
      <c r="AV31" s="18">
        <v>27089.919999999998</v>
      </c>
      <c r="AW31" s="131">
        <v>0.17529372385651801</v>
      </c>
      <c r="AX31" s="90">
        <v>568.41538461538403</v>
      </c>
      <c r="AY31" s="18">
        <v>7389.4</v>
      </c>
      <c r="AZ31" s="131"/>
      <c r="BA31" s="90"/>
      <c r="BB31" s="18"/>
      <c r="BC31" s="131"/>
      <c r="BD31" s="90"/>
      <c r="BE31" s="18"/>
      <c r="BF31" s="131"/>
      <c r="BG31" s="90"/>
      <c r="BH31" s="18"/>
    </row>
    <row r="32" spans="3:60" ht="20.25" x14ac:dyDescent="0.3">
      <c r="C32" s="67" t="s">
        <v>80</v>
      </c>
      <c r="D32" s="149"/>
      <c r="E32" s="130">
        <f t="shared" si="3"/>
        <v>348.57264770240693</v>
      </c>
      <c r="F32" s="22">
        <f t="shared" si="4"/>
        <v>159297.69999999995</v>
      </c>
      <c r="G32" s="149">
        <v>0.27781266377778602</v>
      </c>
      <c r="H32" s="130">
        <v>366.03894736842102</v>
      </c>
      <c r="I32" s="22">
        <v>6954.74</v>
      </c>
      <c r="J32" s="149">
        <v>0.27554922553976402</v>
      </c>
      <c r="K32" s="130">
        <v>324.21368421052603</v>
      </c>
      <c r="L32" s="22">
        <v>6160.06</v>
      </c>
      <c r="M32" s="149">
        <v>0.27717865430362698</v>
      </c>
      <c r="N32" s="130">
        <v>506.59111111111099</v>
      </c>
      <c r="O32" s="22">
        <v>4559.32</v>
      </c>
      <c r="P32" s="149">
        <v>0</v>
      </c>
      <c r="Q32" s="130">
        <v>725.96687499999996</v>
      </c>
      <c r="R32" s="22">
        <v>23230.94</v>
      </c>
      <c r="S32" s="149">
        <v>0.230883254549998</v>
      </c>
      <c r="T32" s="130">
        <v>278.06607692307603</v>
      </c>
      <c r="U32" s="22">
        <v>36148.589999999997</v>
      </c>
      <c r="V32" s="149">
        <v>0.30241408964545202</v>
      </c>
      <c r="W32" s="130">
        <v>397.770681818181</v>
      </c>
      <c r="X32" s="22">
        <v>17501.91</v>
      </c>
      <c r="Y32" s="149">
        <v>0.26029876336714303</v>
      </c>
      <c r="Z32" s="130">
        <v>397.1524</v>
      </c>
      <c r="AA32" s="22">
        <v>9928.81</v>
      </c>
      <c r="AB32" s="149">
        <v>0.14890227059107999</v>
      </c>
      <c r="AC32" s="130">
        <v>183.841904761904</v>
      </c>
      <c r="AD32" s="22">
        <v>3860.68</v>
      </c>
      <c r="AE32" s="149">
        <v>0.22498518499523901</v>
      </c>
      <c r="AF32" s="130">
        <v>307.08461538461501</v>
      </c>
      <c r="AG32" s="22">
        <v>7984.2</v>
      </c>
      <c r="AH32" s="149">
        <v>0.299999643875066</v>
      </c>
      <c r="AI32" s="130">
        <v>505.43999999999897</v>
      </c>
      <c r="AJ32" s="22">
        <v>5054.3999999999996</v>
      </c>
      <c r="AK32" s="149">
        <v>0.15</v>
      </c>
      <c r="AL32" s="130">
        <v>113.16</v>
      </c>
      <c r="AM32" s="22">
        <v>2150.04</v>
      </c>
      <c r="AN32" s="149">
        <v>0.25772843355215702</v>
      </c>
      <c r="AO32" s="130">
        <v>341.16558823529402</v>
      </c>
      <c r="AP32" s="22">
        <v>11599.63</v>
      </c>
      <c r="AQ32" s="149">
        <v>0.273928754118901</v>
      </c>
      <c r="AR32" s="130">
        <v>258.15833333333302</v>
      </c>
      <c r="AS32" s="22">
        <v>6195.8</v>
      </c>
      <c r="AT32" s="149">
        <v>0.24998525572108701</v>
      </c>
      <c r="AU32" s="130">
        <v>254.32093750000001</v>
      </c>
      <c r="AV32" s="22">
        <v>8138.27</v>
      </c>
      <c r="AW32" s="149">
        <v>0.31738289731421099</v>
      </c>
      <c r="AX32" s="130">
        <v>756.17769230769204</v>
      </c>
      <c r="AY32" s="22">
        <v>9830.31</v>
      </c>
      <c r="AZ32" s="149"/>
      <c r="BA32" s="130"/>
      <c r="BB32" s="22"/>
      <c r="BC32" s="149"/>
      <c r="BD32" s="130"/>
      <c r="BE32" s="22"/>
      <c r="BF32" s="149"/>
      <c r="BG32" s="130"/>
      <c r="BH32" s="22"/>
    </row>
    <row r="33" spans="3:60" ht="20.25" x14ac:dyDescent="0.3">
      <c r="C33" s="8" t="s">
        <v>79</v>
      </c>
      <c r="D33" s="8"/>
      <c r="E33" s="90">
        <f t="shared" si="3"/>
        <v>104.90159737417942</v>
      </c>
      <c r="F33" s="18">
        <f t="shared" si="4"/>
        <v>47940.029999999992</v>
      </c>
      <c r="G33" s="8">
        <v>0</v>
      </c>
      <c r="H33" s="90">
        <v>10.4057894736842</v>
      </c>
      <c r="I33" s="18">
        <v>197.71</v>
      </c>
      <c r="J33" s="8">
        <v>0</v>
      </c>
      <c r="K33" s="90">
        <v>149.057894736842</v>
      </c>
      <c r="L33" s="18">
        <v>2832.1</v>
      </c>
      <c r="M33" s="8">
        <v>0</v>
      </c>
      <c r="N33" s="90">
        <v>124.061111111111</v>
      </c>
      <c r="O33" s="18">
        <v>1116.55</v>
      </c>
      <c r="P33" s="8">
        <v>0</v>
      </c>
      <c r="Q33" s="90">
        <v>21.954062499999999</v>
      </c>
      <c r="R33" s="18">
        <v>702.53</v>
      </c>
      <c r="S33" s="8">
        <v>0</v>
      </c>
      <c r="T33" s="90">
        <v>40.224230769230701</v>
      </c>
      <c r="U33" s="18">
        <v>5229.1499999999996</v>
      </c>
      <c r="V33" s="8">
        <v>0</v>
      </c>
      <c r="W33" s="90">
        <v>380.19136363636301</v>
      </c>
      <c r="X33" s="18">
        <v>16728.419999999998</v>
      </c>
      <c r="Y33" s="8">
        <v>0</v>
      </c>
      <c r="Z33" s="90">
        <v>265.5224</v>
      </c>
      <c r="AA33" s="18">
        <v>6638.0599999999904</v>
      </c>
      <c r="AB33" s="8">
        <v>0</v>
      </c>
      <c r="AC33" s="90">
        <v>70.318571428571403</v>
      </c>
      <c r="AD33" s="18">
        <v>1476.69</v>
      </c>
      <c r="AE33" s="8">
        <v>0</v>
      </c>
      <c r="AF33" s="90">
        <v>-6.3449999999999998</v>
      </c>
      <c r="AG33" s="18">
        <v>-164.97</v>
      </c>
      <c r="AH33" s="8">
        <v>0</v>
      </c>
      <c r="AI33" s="90">
        <v>126.89</v>
      </c>
      <c r="AJ33" s="18">
        <v>1268.9000000000001</v>
      </c>
      <c r="AK33" s="8">
        <v>0</v>
      </c>
      <c r="AL33" s="90">
        <v>158.808947368421</v>
      </c>
      <c r="AM33" s="18">
        <v>3017.37</v>
      </c>
      <c r="AN33" s="8">
        <v>0</v>
      </c>
      <c r="AO33" s="90">
        <v>19.7014705882352</v>
      </c>
      <c r="AP33" s="18">
        <v>669.85</v>
      </c>
      <c r="AQ33" s="8">
        <v>0</v>
      </c>
      <c r="AR33" s="90">
        <v>211.715</v>
      </c>
      <c r="AS33" s="18">
        <v>5081.16</v>
      </c>
      <c r="AT33" s="8">
        <v>0</v>
      </c>
      <c r="AU33" s="90">
        <v>98.328437500000007</v>
      </c>
      <c r="AV33" s="18">
        <v>3146.51</v>
      </c>
      <c r="AW33" s="8">
        <v>0</v>
      </c>
      <c r="AX33" s="90">
        <v>0</v>
      </c>
      <c r="AY33" s="18">
        <v>0</v>
      </c>
      <c r="AZ33" s="8"/>
      <c r="BA33" s="90"/>
      <c r="BB33" s="18"/>
      <c r="BC33" s="8"/>
      <c r="BD33" s="90"/>
      <c r="BE33" s="18"/>
      <c r="BF33" s="8"/>
      <c r="BG33" s="90"/>
      <c r="BH33" s="18"/>
    </row>
    <row r="34" spans="3:60" ht="20.25" x14ac:dyDescent="0.3">
      <c r="C34" s="8" t="s">
        <v>78</v>
      </c>
      <c r="D34" s="8"/>
      <c r="E34" s="90">
        <f t="shared" si="3"/>
        <v>32.452472647702407</v>
      </c>
      <c r="F34" s="18">
        <f t="shared" si="4"/>
        <v>14830.779999999999</v>
      </c>
      <c r="G34" s="8">
        <v>0</v>
      </c>
      <c r="H34" s="90">
        <v>32.8331578947368</v>
      </c>
      <c r="I34" s="18">
        <v>623.83000000000004</v>
      </c>
      <c r="J34" s="8">
        <v>0</v>
      </c>
      <c r="K34" s="90">
        <v>33.188947368420997</v>
      </c>
      <c r="L34" s="18">
        <v>630.59</v>
      </c>
      <c r="M34" s="8">
        <v>0</v>
      </c>
      <c r="N34" s="90">
        <v>98.681111111111093</v>
      </c>
      <c r="O34" s="18">
        <v>888.13</v>
      </c>
      <c r="P34" s="8">
        <v>0</v>
      </c>
      <c r="Q34" s="90">
        <v>18.41</v>
      </c>
      <c r="R34" s="18">
        <v>589.12</v>
      </c>
      <c r="S34" s="8">
        <v>0</v>
      </c>
      <c r="T34" s="90">
        <v>81.312846153846095</v>
      </c>
      <c r="U34" s="18">
        <v>10570.67</v>
      </c>
      <c r="V34" s="8">
        <v>0</v>
      </c>
      <c r="W34" s="90">
        <v>9.2447727272727196</v>
      </c>
      <c r="X34" s="18">
        <v>406.77</v>
      </c>
      <c r="Y34" s="8">
        <v>0</v>
      </c>
      <c r="Z34" s="90">
        <v>0</v>
      </c>
      <c r="AA34" s="18">
        <v>0</v>
      </c>
      <c r="AB34" s="8">
        <v>0</v>
      </c>
      <c r="AC34" s="90">
        <v>73.518571428571406</v>
      </c>
      <c r="AD34" s="18">
        <v>1543.89</v>
      </c>
      <c r="AE34" s="8">
        <v>0</v>
      </c>
      <c r="AF34" s="90">
        <v>-196.82999999999899</v>
      </c>
      <c r="AG34" s="18">
        <v>-5117.58</v>
      </c>
      <c r="AH34" s="8">
        <v>0</v>
      </c>
      <c r="AI34" s="90">
        <v>-9.9000000000000005E-2</v>
      </c>
      <c r="AJ34" s="18">
        <v>-0.99</v>
      </c>
      <c r="AK34" s="8">
        <v>0</v>
      </c>
      <c r="AL34" s="90">
        <v>52.5831578947368</v>
      </c>
      <c r="AM34" s="18">
        <v>999.08</v>
      </c>
      <c r="AN34" s="8">
        <v>0</v>
      </c>
      <c r="AO34" s="90">
        <v>-4.7044117647058803</v>
      </c>
      <c r="AP34" s="18">
        <v>-159.94999999999999</v>
      </c>
      <c r="AQ34" s="8">
        <v>0</v>
      </c>
      <c r="AR34" s="90">
        <v>107.065416666666</v>
      </c>
      <c r="AS34" s="18">
        <v>2569.5700000000002</v>
      </c>
      <c r="AT34" s="8">
        <v>0</v>
      </c>
      <c r="AU34" s="90">
        <v>30.533124999999998</v>
      </c>
      <c r="AV34" s="18">
        <v>977.06</v>
      </c>
      <c r="AW34" s="8">
        <v>0</v>
      </c>
      <c r="AX34" s="90">
        <v>23.891538461538399</v>
      </c>
      <c r="AY34" s="18">
        <v>310.58999999999997</v>
      </c>
      <c r="AZ34" s="8"/>
      <c r="BA34" s="90"/>
      <c r="BB34" s="18"/>
      <c r="BC34" s="8"/>
      <c r="BD34" s="90"/>
      <c r="BE34" s="18"/>
      <c r="BF34" s="8"/>
      <c r="BG34" s="90"/>
      <c r="BH34" s="18"/>
    </row>
    <row r="35" spans="3:60" ht="20.25" x14ac:dyDescent="0.3">
      <c r="C35" s="67" t="s">
        <v>77</v>
      </c>
      <c r="D35" s="67"/>
      <c r="E35" s="130">
        <f t="shared" si="3"/>
        <v>110.37647702407001</v>
      </c>
      <c r="F35" s="22">
        <f t="shared" si="4"/>
        <v>50442.049999999996</v>
      </c>
      <c r="G35" s="67">
        <v>0</v>
      </c>
      <c r="H35" s="130">
        <v>517.52947368420996</v>
      </c>
      <c r="I35" s="22">
        <v>9833.06</v>
      </c>
      <c r="J35" s="67">
        <v>0</v>
      </c>
      <c r="K35" s="130">
        <v>47.8615789473684</v>
      </c>
      <c r="L35" s="22">
        <v>909.37</v>
      </c>
      <c r="M35" s="67">
        <v>0</v>
      </c>
      <c r="N35" s="130">
        <v>197.15444444444401</v>
      </c>
      <c r="O35" s="22">
        <v>1774.39</v>
      </c>
      <c r="P35" s="67">
        <v>0</v>
      </c>
      <c r="Q35" s="130">
        <v>0</v>
      </c>
      <c r="R35" s="22">
        <v>0</v>
      </c>
      <c r="S35" s="67">
        <v>0</v>
      </c>
      <c r="T35" s="130">
        <v>0</v>
      </c>
      <c r="U35" s="22">
        <v>0</v>
      </c>
      <c r="V35" s="67">
        <v>0</v>
      </c>
      <c r="W35" s="130">
        <v>148.57477272727201</v>
      </c>
      <c r="X35" s="22">
        <v>6537.29</v>
      </c>
      <c r="Y35" s="67">
        <v>0</v>
      </c>
      <c r="Z35" s="130">
        <v>128.99199999999999</v>
      </c>
      <c r="AA35" s="22">
        <v>3224.8</v>
      </c>
      <c r="AB35" s="67">
        <v>0</v>
      </c>
      <c r="AC35" s="130">
        <v>368.23238095238003</v>
      </c>
      <c r="AD35" s="22">
        <v>7732.88</v>
      </c>
      <c r="AE35" s="67">
        <v>0</v>
      </c>
      <c r="AF35" s="130">
        <v>53.656153846153799</v>
      </c>
      <c r="AG35" s="22">
        <v>1395.06</v>
      </c>
      <c r="AH35" s="67">
        <v>0</v>
      </c>
      <c r="AI35" s="130">
        <v>612.46600000000001</v>
      </c>
      <c r="AJ35" s="22">
        <v>6124.66</v>
      </c>
      <c r="AK35" s="67">
        <v>0</v>
      </c>
      <c r="AL35" s="130">
        <v>51.628947368421002</v>
      </c>
      <c r="AM35" s="22">
        <v>980.95</v>
      </c>
      <c r="AN35" s="67">
        <v>0</v>
      </c>
      <c r="AO35" s="130">
        <v>51.608823529411701</v>
      </c>
      <c r="AP35" s="22">
        <v>1754.7</v>
      </c>
      <c r="AQ35" s="67">
        <v>0</v>
      </c>
      <c r="AR35" s="130">
        <v>65.37</v>
      </c>
      <c r="AS35" s="22">
        <v>1568.88</v>
      </c>
      <c r="AT35" s="67">
        <v>0</v>
      </c>
      <c r="AU35" s="130">
        <v>268.93781250000001</v>
      </c>
      <c r="AV35" s="22">
        <v>8606.01</v>
      </c>
      <c r="AW35" s="67">
        <v>0</v>
      </c>
      <c r="AX35" s="130">
        <v>0</v>
      </c>
      <c r="AY35" s="22">
        <v>0</v>
      </c>
      <c r="AZ35" s="67"/>
      <c r="BA35" s="130"/>
      <c r="BB35" s="22"/>
      <c r="BC35" s="67"/>
      <c r="BD35" s="130"/>
      <c r="BE35" s="22"/>
      <c r="BF35" s="67"/>
      <c r="BG35" s="130"/>
      <c r="BH35" s="22"/>
    </row>
    <row r="36" spans="3:60" ht="20.25" x14ac:dyDescent="0.3">
      <c r="C36" s="8" t="s">
        <v>76</v>
      </c>
      <c r="D36" s="8"/>
      <c r="E36" s="90">
        <f t="shared" si="3"/>
        <v>473.46135667396044</v>
      </c>
      <c r="F36" s="68">
        <f t="shared" si="4"/>
        <v>216371.83999999991</v>
      </c>
      <c r="G36" s="8">
        <v>0</v>
      </c>
      <c r="H36" s="90">
        <v>917.75684210526299</v>
      </c>
      <c r="I36" s="68">
        <v>17437.379999999899</v>
      </c>
      <c r="J36" s="8">
        <v>0</v>
      </c>
      <c r="K36" s="90">
        <v>1078.3468421052601</v>
      </c>
      <c r="L36" s="68">
        <v>20488.59</v>
      </c>
      <c r="M36" s="8">
        <v>0</v>
      </c>
      <c r="N36" s="90">
        <v>1074.7277777777699</v>
      </c>
      <c r="O36" s="68">
        <v>9672.5499999999993</v>
      </c>
      <c r="P36" s="8">
        <v>0</v>
      </c>
      <c r="Q36" s="90">
        <v>737.859375</v>
      </c>
      <c r="R36" s="68">
        <v>23611.5</v>
      </c>
      <c r="S36" s="8">
        <v>0</v>
      </c>
      <c r="T36" s="90">
        <v>247.57269230769199</v>
      </c>
      <c r="U36" s="68">
        <v>32184.45</v>
      </c>
      <c r="V36" s="8">
        <v>0</v>
      </c>
      <c r="W36" s="90">
        <v>312.27249999999998</v>
      </c>
      <c r="X36" s="68">
        <v>13739.99</v>
      </c>
      <c r="Y36" s="8">
        <v>0</v>
      </c>
      <c r="Z36" s="90">
        <v>488.21640000000002</v>
      </c>
      <c r="AA36" s="68">
        <v>12205.41</v>
      </c>
      <c r="AB36" s="8">
        <v>0</v>
      </c>
      <c r="AC36" s="90">
        <v>546.02714285714205</v>
      </c>
      <c r="AD36" s="68">
        <v>11466.57</v>
      </c>
      <c r="AE36" s="8">
        <v>0</v>
      </c>
      <c r="AF36" s="90">
        <v>523.71730769230703</v>
      </c>
      <c r="AG36" s="68">
        <v>13616.65</v>
      </c>
      <c r="AH36" s="8">
        <v>0</v>
      </c>
      <c r="AI36" s="90">
        <v>1505.309</v>
      </c>
      <c r="AJ36" s="68">
        <v>15053.09</v>
      </c>
      <c r="AK36" s="8">
        <v>0</v>
      </c>
      <c r="AL36" s="90">
        <v>437.52526315789402</v>
      </c>
      <c r="AM36" s="68">
        <v>8312.98</v>
      </c>
      <c r="AN36" s="8">
        <v>0</v>
      </c>
      <c r="AO36" s="90">
        <v>234.12823529411699</v>
      </c>
      <c r="AP36" s="68">
        <v>7960.36</v>
      </c>
      <c r="AQ36" s="8">
        <v>0</v>
      </c>
      <c r="AR36" s="90">
        <v>468.45875000000001</v>
      </c>
      <c r="AS36" s="68">
        <v>11243.01</v>
      </c>
      <c r="AT36" s="8">
        <v>0</v>
      </c>
      <c r="AU36" s="90">
        <v>137.4765625</v>
      </c>
      <c r="AV36" s="68">
        <v>4399.25</v>
      </c>
      <c r="AW36" s="8">
        <v>0</v>
      </c>
      <c r="AX36" s="90">
        <v>1152.3123076923</v>
      </c>
      <c r="AY36" s="68">
        <v>14980.06</v>
      </c>
      <c r="AZ36" s="8"/>
      <c r="BA36" s="90"/>
      <c r="BB36" s="68"/>
      <c r="BC36" s="8"/>
      <c r="BD36" s="90"/>
      <c r="BE36" s="68"/>
      <c r="BF36" s="8"/>
      <c r="BG36" s="90"/>
      <c r="BH36" s="68"/>
    </row>
    <row r="37" spans="3:60" ht="20.25" x14ac:dyDescent="0.3">
      <c r="C37" s="8" t="s">
        <v>75</v>
      </c>
      <c r="D37" s="8"/>
      <c r="E37" s="90">
        <f t="shared" si="3"/>
        <v>1187.431663019694</v>
      </c>
      <c r="F37" s="18">
        <f t="shared" si="4"/>
        <v>542656.27000000014</v>
      </c>
      <c r="G37" s="8">
        <v>0</v>
      </c>
      <c r="H37" s="90">
        <v>2683.52263157894</v>
      </c>
      <c r="I37" s="18">
        <v>50986.93</v>
      </c>
      <c r="J37" s="8">
        <v>0</v>
      </c>
      <c r="K37" s="90">
        <v>1574.59210526315</v>
      </c>
      <c r="L37" s="18">
        <v>29917.25</v>
      </c>
      <c r="M37" s="8">
        <v>0</v>
      </c>
      <c r="N37" s="90">
        <v>2120.36666666666</v>
      </c>
      <c r="O37" s="18">
        <v>19083.3</v>
      </c>
      <c r="P37" s="8">
        <v>0</v>
      </c>
      <c r="Q37" s="90">
        <v>2614.3068750000002</v>
      </c>
      <c r="R37" s="18">
        <v>83657.820000000007</v>
      </c>
      <c r="S37" s="8">
        <v>0</v>
      </c>
      <c r="T37" s="90">
        <v>1258.6061538461499</v>
      </c>
      <c r="U37" s="18">
        <v>163618.79999999999</v>
      </c>
      <c r="V37" s="8">
        <v>0</v>
      </c>
      <c r="W37" s="90">
        <v>1526.9475</v>
      </c>
      <c r="X37" s="18">
        <v>67185.69</v>
      </c>
      <c r="Y37" s="8">
        <v>0</v>
      </c>
      <c r="Z37" s="90">
        <v>1482.4107999999901</v>
      </c>
      <c r="AA37" s="18">
        <v>37060.269999999997</v>
      </c>
      <c r="AB37" s="8">
        <v>0</v>
      </c>
      <c r="AC37" s="90">
        <v>885.13476190476194</v>
      </c>
      <c r="AD37" s="18">
        <v>18587.830000000002</v>
      </c>
      <c r="AE37" s="8">
        <v>0</v>
      </c>
      <c r="AF37" s="90">
        <v>1063.9473076923</v>
      </c>
      <c r="AG37" s="18">
        <v>27662.63</v>
      </c>
      <c r="AH37" s="8">
        <v>0</v>
      </c>
      <c r="AI37" s="90">
        <v>1921.0360000000001</v>
      </c>
      <c r="AJ37" s="18">
        <v>19210.36</v>
      </c>
      <c r="AK37" s="8">
        <v>0</v>
      </c>
      <c r="AL37" s="90">
        <v>565.108421052631</v>
      </c>
      <c r="AM37" s="18">
        <v>10737.06</v>
      </c>
      <c r="AN37" s="8">
        <v>0</v>
      </c>
      <c r="AO37" s="90">
        <v>302.07529411764699</v>
      </c>
      <c r="AP37" s="18">
        <v>10270.56</v>
      </c>
      <c r="AQ37" s="8">
        <v>0</v>
      </c>
      <c r="AR37" s="90">
        <v>180.79499999999999</v>
      </c>
      <c r="AS37" s="18">
        <v>4339.08</v>
      </c>
      <c r="AT37" s="8">
        <v>0</v>
      </c>
      <c r="AU37" s="90">
        <v>-353.66</v>
      </c>
      <c r="AV37" s="18">
        <v>-11317.12</v>
      </c>
      <c r="AW37" s="8">
        <v>0</v>
      </c>
      <c r="AX37" s="90">
        <v>896.60076923076895</v>
      </c>
      <c r="AY37" s="18">
        <v>11655.81</v>
      </c>
      <c r="AZ37" s="8"/>
      <c r="BA37" s="90"/>
      <c r="BB37" s="18"/>
      <c r="BC37" s="8"/>
      <c r="BD37" s="90"/>
      <c r="BE37" s="18"/>
      <c r="BF37" s="8"/>
      <c r="BG37" s="90"/>
      <c r="BH37" s="18"/>
    </row>
    <row r="38" spans="3:60" ht="20.25" hidden="1" x14ac:dyDescent="0.3">
      <c r="C38" s="8" t="s">
        <v>3</v>
      </c>
      <c r="D38" s="8"/>
      <c r="E38" s="90">
        <f t="shared" si="3"/>
        <v>0</v>
      </c>
      <c r="F38" s="18">
        <f t="shared" si="4"/>
        <v>0</v>
      </c>
      <c r="G38" s="8">
        <v>0</v>
      </c>
      <c r="H38" s="90">
        <v>0</v>
      </c>
      <c r="I38" s="18">
        <v>0</v>
      </c>
      <c r="J38" s="8">
        <v>0</v>
      </c>
      <c r="K38" s="90">
        <v>0</v>
      </c>
      <c r="L38" s="18">
        <v>0</v>
      </c>
      <c r="M38" s="8">
        <v>0</v>
      </c>
      <c r="N38" s="90">
        <v>0</v>
      </c>
      <c r="O38" s="18">
        <v>0</v>
      </c>
      <c r="P38" s="8">
        <v>0</v>
      </c>
      <c r="Q38" s="90">
        <v>0</v>
      </c>
      <c r="R38" s="18">
        <v>0</v>
      </c>
      <c r="S38" s="8">
        <v>0</v>
      </c>
      <c r="T38" s="90">
        <v>0</v>
      </c>
      <c r="U38" s="18">
        <v>0</v>
      </c>
      <c r="V38" s="8">
        <v>0</v>
      </c>
      <c r="W38" s="90">
        <v>0</v>
      </c>
      <c r="X38" s="18">
        <v>0</v>
      </c>
      <c r="Y38" s="8">
        <v>0</v>
      </c>
      <c r="Z38" s="90">
        <v>0</v>
      </c>
      <c r="AA38" s="18">
        <v>0</v>
      </c>
      <c r="AB38" s="8">
        <v>0</v>
      </c>
      <c r="AC38" s="90">
        <v>0</v>
      </c>
      <c r="AD38" s="18">
        <v>0</v>
      </c>
      <c r="AE38" s="8">
        <v>0</v>
      </c>
      <c r="AF38" s="90">
        <v>0</v>
      </c>
      <c r="AG38" s="18">
        <v>0</v>
      </c>
      <c r="AH38" s="8">
        <v>0</v>
      </c>
      <c r="AI38" s="90">
        <v>0</v>
      </c>
      <c r="AJ38" s="18">
        <v>0</v>
      </c>
      <c r="AK38" s="8">
        <v>0</v>
      </c>
      <c r="AL38" s="90">
        <v>0</v>
      </c>
      <c r="AM38" s="18">
        <v>0</v>
      </c>
      <c r="AN38" s="8">
        <v>0</v>
      </c>
      <c r="AO38" s="90">
        <v>0</v>
      </c>
      <c r="AP38" s="18">
        <v>0</v>
      </c>
      <c r="AQ38" s="8">
        <v>0</v>
      </c>
      <c r="AR38" s="90">
        <v>0</v>
      </c>
      <c r="AS38" s="18">
        <v>0</v>
      </c>
      <c r="AT38" s="8">
        <v>0</v>
      </c>
      <c r="AU38" s="90">
        <v>0</v>
      </c>
      <c r="AV38" s="18">
        <v>0</v>
      </c>
      <c r="AW38" s="8">
        <v>0</v>
      </c>
      <c r="AX38" s="90">
        <v>0</v>
      </c>
      <c r="AY38" s="18">
        <v>0</v>
      </c>
      <c r="AZ38" s="8"/>
      <c r="BA38" s="90"/>
      <c r="BB38" s="18"/>
      <c r="BC38" s="8"/>
      <c r="BD38" s="90"/>
      <c r="BE38" s="18"/>
      <c r="BF38" s="8"/>
      <c r="BG38" s="90"/>
      <c r="BH38" s="18"/>
    </row>
    <row r="39" spans="3:60" ht="20.25" hidden="1" x14ac:dyDescent="0.3">
      <c r="C39" s="8" t="s">
        <v>3</v>
      </c>
      <c r="D39" s="8"/>
      <c r="E39" s="90">
        <f t="shared" si="3"/>
        <v>0</v>
      </c>
      <c r="F39" s="18">
        <f t="shared" si="4"/>
        <v>0</v>
      </c>
      <c r="G39" s="8">
        <v>0</v>
      </c>
      <c r="H39" s="90">
        <v>0</v>
      </c>
      <c r="I39" s="18">
        <v>0</v>
      </c>
      <c r="J39" s="8">
        <v>0</v>
      </c>
      <c r="K39" s="90">
        <v>0</v>
      </c>
      <c r="L39" s="18">
        <v>0</v>
      </c>
      <c r="M39" s="8">
        <v>0</v>
      </c>
      <c r="N39" s="90">
        <v>0</v>
      </c>
      <c r="O39" s="18">
        <v>0</v>
      </c>
      <c r="P39" s="8">
        <v>0</v>
      </c>
      <c r="Q39" s="90">
        <v>0</v>
      </c>
      <c r="R39" s="18">
        <v>0</v>
      </c>
      <c r="S39" s="8">
        <v>0</v>
      </c>
      <c r="T39" s="90">
        <v>0</v>
      </c>
      <c r="U39" s="18">
        <v>0</v>
      </c>
      <c r="V39" s="8">
        <v>0</v>
      </c>
      <c r="W39" s="90">
        <v>0</v>
      </c>
      <c r="X39" s="18">
        <v>0</v>
      </c>
      <c r="Y39" s="8">
        <v>0</v>
      </c>
      <c r="Z39" s="90">
        <v>0</v>
      </c>
      <c r="AA39" s="18">
        <v>0</v>
      </c>
      <c r="AB39" s="8">
        <v>0</v>
      </c>
      <c r="AC39" s="90">
        <v>0</v>
      </c>
      <c r="AD39" s="18">
        <v>0</v>
      </c>
      <c r="AE39" s="8">
        <v>0</v>
      </c>
      <c r="AF39" s="90">
        <v>0</v>
      </c>
      <c r="AG39" s="18">
        <v>0</v>
      </c>
      <c r="AH39" s="8">
        <v>0</v>
      </c>
      <c r="AI39" s="90">
        <v>0</v>
      </c>
      <c r="AJ39" s="18">
        <v>0</v>
      </c>
      <c r="AK39" s="8">
        <v>0</v>
      </c>
      <c r="AL39" s="90">
        <v>0</v>
      </c>
      <c r="AM39" s="18">
        <v>0</v>
      </c>
      <c r="AN39" s="8">
        <v>0</v>
      </c>
      <c r="AO39" s="90">
        <v>0</v>
      </c>
      <c r="AP39" s="18">
        <v>0</v>
      </c>
      <c r="AQ39" s="8">
        <v>0</v>
      </c>
      <c r="AR39" s="90">
        <v>0</v>
      </c>
      <c r="AS39" s="18">
        <v>0</v>
      </c>
      <c r="AT39" s="8">
        <v>0</v>
      </c>
      <c r="AU39" s="90">
        <v>0</v>
      </c>
      <c r="AV39" s="18">
        <v>0</v>
      </c>
      <c r="AW39" s="8">
        <v>0</v>
      </c>
      <c r="AX39" s="90">
        <v>0</v>
      </c>
      <c r="AY39" s="18">
        <v>0</v>
      </c>
      <c r="AZ39" s="8"/>
      <c r="BA39" s="90"/>
      <c r="BB39" s="18"/>
      <c r="BC39" s="8"/>
      <c r="BD39" s="90"/>
      <c r="BE39" s="18"/>
      <c r="BF39" s="8"/>
      <c r="BG39" s="90"/>
      <c r="BH39" s="18"/>
    </row>
    <row r="40" spans="3:60" ht="20.25" hidden="1" x14ac:dyDescent="0.3">
      <c r="C40" s="8" t="s">
        <v>3</v>
      </c>
      <c r="D40" s="8"/>
      <c r="E40" s="90">
        <f t="shared" si="3"/>
        <v>0</v>
      </c>
      <c r="F40" s="22">
        <f t="shared" si="4"/>
        <v>0</v>
      </c>
      <c r="G40" s="8">
        <v>0</v>
      </c>
      <c r="H40" s="90">
        <v>0</v>
      </c>
      <c r="I40" s="22">
        <v>0</v>
      </c>
      <c r="J40" s="8">
        <v>0</v>
      </c>
      <c r="K40" s="90">
        <v>0</v>
      </c>
      <c r="L40" s="22">
        <v>0</v>
      </c>
      <c r="M40" s="8">
        <v>0</v>
      </c>
      <c r="N40" s="90">
        <v>0</v>
      </c>
      <c r="O40" s="22">
        <v>0</v>
      </c>
      <c r="P40" s="8">
        <v>0</v>
      </c>
      <c r="Q40" s="90">
        <v>0</v>
      </c>
      <c r="R40" s="22">
        <v>0</v>
      </c>
      <c r="S40" s="8">
        <v>0</v>
      </c>
      <c r="T40" s="90">
        <v>0</v>
      </c>
      <c r="U40" s="22">
        <v>0</v>
      </c>
      <c r="V40" s="8">
        <v>0</v>
      </c>
      <c r="W40" s="90">
        <v>0</v>
      </c>
      <c r="X40" s="22">
        <v>0</v>
      </c>
      <c r="Y40" s="8">
        <v>0</v>
      </c>
      <c r="Z40" s="90">
        <v>0</v>
      </c>
      <c r="AA40" s="22">
        <v>0</v>
      </c>
      <c r="AB40" s="8">
        <v>0</v>
      </c>
      <c r="AC40" s="90">
        <v>0</v>
      </c>
      <c r="AD40" s="22">
        <v>0</v>
      </c>
      <c r="AE40" s="8">
        <v>0</v>
      </c>
      <c r="AF40" s="90">
        <v>0</v>
      </c>
      <c r="AG40" s="22">
        <v>0</v>
      </c>
      <c r="AH40" s="8">
        <v>0</v>
      </c>
      <c r="AI40" s="90">
        <v>0</v>
      </c>
      <c r="AJ40" s="22">
        <v>0</v>
      </c>
      <c r="AK40" s="8">
        <v>0</v>
      </c>
      <c r="AL40" s="90">
        <v>0</v>
      </c>
      <c r="AM40" s="22">
        <v>0</v>
      </c>
      <c r="AN40" s="8">
        <v>0</v>
      </c>
      <c r="AO40" s="90">
        <v>0</v>
      </c>
      <c r="AP40" s="22">
        <v>0</v>
      </c>
      <c r="AQ40" s="8">
        <v>0</v>
      </c>
      <c r="AR40" s="90">
        <v>0</v>
      </c>
      <c r="AS40" s="22">
        <v>0</v>
      </c>
      <c r="AT40" s="8">
        <v>0</v>
      </c>
      <c r="AU40" s="90">
        <v>0</v>
      </c>
      <c r="AV40" s="22">
        <v>0</v>
      </c>
      <c r="AW40" s="8">
        <v>0</v>
      </c>
      <c r="AX40" s="90">
        <v>0</v>
      </c>
      <c r="AY40" s="22">
        <v>0</v>
      </c>
      <c r="AZ40" s="8"/>
      <c r="BA40" s="90"/>
      <c r="BB40" s="22"/>
      <c r="BC40" s="8"/>
      <c r="BD40" s="90"/>
      <c r="BE40" s="22"/>
      <c r="BF40" s="8"/>
      <c r="BG40" s="90"/>
      <c r="BH40" s="22"/>
    </row>
    <row r="41" spans="3:60" ht="20.25" x14ac:dyDescent="0.3">
      <c r="C41" s="11" t="s">
        <v>74</v>
      </c>
      <c r="D41" s="70"/>
      <c r="E41" s="13"/>
      <c r="F41" s="69">
        <f>SUM(F31:F37)</f>
        <v>1417848.2000000002</v>
      </c>
      <c r="G41" s="70" t="s">
        <v>18</v>
      </c>
      <c r="H41" s="13">
        <v>0.99258436915091797</v>
      </c>
      <c r="I41" s="69">
        <v>112234.81</v>
      </c>
      <c r="J41" s="70" t="s">
        <v>18</v>
      </c>
      <c r="K41" s="13">
        <v>1.0420049351340299</v>
      </c>
      <c r="L41" s="69">
        <v>78294.989999999903</v>
      </c>
      <c r="M41" s="70" t="s">
        <v>18</v>
      </c>
      <c r="N41" s="13">
        <v>0.76231446568296102</v>
      </c>
      <c r="O41" s="69">
        <v>46167.99</v>
      </c>
      <c r="P41" s="70" t="s">
        <v>18</v>
      </c>
      <c r="Q41" s="13">
        <v>0.90913081261470596</v>
      </c>
      <c r="R41" s="69">
        <v>171288.4</v>
      </c>
      <c r="S41" s="70" t="s">
        <v>18</v>
      </c>
      <c r="T41" s="13">
        <v>0.65914583734413601</v>
      </c>
      <c r="U41" s="69">
        <v>322590.59999999998</v>
      </c>
      <c r="V41" s="70" t="s">
        <v>18</v>
      </c>
      <c r="W41" s="13">
        <v>1.03677112844293</v>
      </c>
      <c r="X41" s="69">
        <v>179907.4</v>
      </c>
      <c r="Y41" s="70" t="s">
        <v>18</v>
      </c>
      <c r="Z41" s="13">
        <v>0.62841678671102197</v>
      </c>
      <c r="AA41" s="69">
        <v>96491.769999999902</v>
      </c>
      <c r="AB41" s="70" t="s">
        <v>18</v>
      </c>
      <c r="AC41" s="13">
        <v>0.57593821355709696</v>
      </c>
      <c r="AD41" s="69">
        <v>63216.47</v>
      </c>
      <c r="AE41" s="70" t="s">
        <v>18</v>
      </c>
      <c r="AF41" s="13">
        <v>0.53624550149847805</v>
      </c>
      <c r="AG41" s="69">
        <v>69142.09</v>
      </c>
      <c r="AH41" s="70" t="s">
        <v>18</v>
      </c>
      <c r="AI41" s="13">
        <v>1.3857891070156001</v>
      </c>
      <c r="AJ41" s="69">
        <v>53926.14</v>
      </c>
      <c r="AK41" s="70" t="s">
        <v>18</v>
      </c>
      <c r="AL41" s="13">
        <v>2.3343961985094701</v>
      </c>
      <c r="AM41" s="69">
        <v>35734.1899999999</v>
      </c>
      <c r="AN41" s="70" t="s">
        <v>18</v>
      </c>
      <c r="AO41" s="13">
        <v>0.750478273834707</v>
      </c>
      <c r="AP41" s="69">
        <v>47364.469999999899</v>
      </c>
      <c r="AQ41" s="70" t="s">
        <v>18</v>
      </c>
      <c r="AR41" s="13">
        <v>0.58829165726384203</v>
      </c>
      <c r="AS41" s="69">
        <v>56282.81</v>
      </c>
      <c r="AT41" s="70" t="s">
        <v>18</v>
      </c>
      <c r="AU41" s="13">
        <v>0.30173974266183901</v>
      </c>
      <c r="AV41" s="69">
        <v>41039.9</v>
      </c>
      <c r="AW41" s="70" t="s">
        <v>18</v>
      </c>
      <c r="AX41" s="13">
        <v>0.60396182444286906</v>
      </c>
      <c r="AY41" s="69">
        <v>44166.17</v>
      </c>
      <c r="AZ41" s="70"/>
      <c r="BA41" s="13"/>
      <c r="BB41" s="69"/>
      <c r="BC41" s="70"/>
      <c r="BD41" s="13"/>
      <c r="BE41" s="69"/>
      <c r="BF41" s="70"/>
      <c r="BG41" s="13"/>
      <c r="BH41" s="69"/>
    </row>
    <row r="42" spans="3:60" ht="20.25" x14ac:dyDescent="0.3">
      <c r="C42" s="17" t="s">
        <v>27</v>
      </c>
      <c r="D42" s="8"/>
      <c r="E42" s="7"/>
      <c r="F42" s="18">
        <f t="shared" ref="F42:F53" si="5">+SUM(I42,L42,O42,R42,U42,X42,AA42,AD42,AG42,AJ42,AM42,AP42,AS42,AV42,AY42,BB42,BE42,BH42)</f>
        <v>254611.22</v>
      </c>
      <c r="G42" s="8">
        <v>0</v>
      </c>
      <c r="H42" s="105">
        <v>0</v>
      </c>
      <c r="I42" s="18">
        <v>16105.48</v>
      </c>
      <c r="J42" s="8">
        <v>0</v>
      </c>
      <c r="K42" s="105">
        <v>0</v>
      </c>
      <c r="L42" s="18">
        <v>13028.68</v>
      </c>
      <c r="M42" s="8">
        <v>0</v>
      </c>
      <c r="N42" s="105">
        <v>0</v>
      </c>
      <c r="O42" s="18">
        <v>9339.9500000000007</v>
      </c>
      <c r="P42" s="8">
        <v>0</v>
      </c>
      <c r="Q42" s="105">
        <v>0</v>
      </c>
      <c r="R42" s="18">
        <v>13696.46</v>
      </c>
      <c r="S42" s="8">
        <v>0</v>
      </c>
      <c r="T42" s="105">
        <v>0</v>
      </c>
      <c r="U42" s="18">
        <v>43655.34</v>
      </c>
      <c r="V42" s="8">
        <v>0</v>
      </c>
      <c r="W42" s="105">
        <v>0</v>
      </c>
      <c r="X42" s="18">
        <v>28714.52</v>
      </c>
      <c r="Y42" s="8">
        <v>0</v>
      </c>
      <c r="Z42" s="105">
        <v>0</v>
      </c>
      <c r="AA42" s="18">
        <v>17763.13</v>
      </c>
      <c r="AB42" s="8">
        <v>0</v>
      </c>
      <c r="AC42" s="105">
        <v>0</v>
      </c>
      <c r="AD42" s="18">
        <v>14739.42</v>
      </c>
      <c r="AE42" s="8">
        <v>0</v>
      </c>
      <c r="AF42" s="105">
        <v>0</v>
      </c>
      <c r="AG42" s="18">
        <v>17395.09</v>
      </c>
      <c r="AH42" s="8">
        <v>0</v>
      </c>
      <c r="AI42" s="105">
        <v>0</v>
      </c>
      <c r="AJ42" s="18">
        <v>12790.55</v>
      </c>
      <c r="AK42" s="8">
        <v>0</v>
      </c>
      <c r="AL42" s="105">
        <v>0</v>
      </c>
      <c r="AM42" s="18">
        <v>9140.16</v>
      </c>
      <c r="AN42" s="8">
        <v>0</v>
      </c>
      <c r="AO42" s="105">
        <v>0</v>
      </c>
      <c r="AP42" s="18">
        <v>14019.12</v>
      </c>
      <c r="AQ42" s="8">
        <v>0</v>
      </c>
      <c r="AR42" s="105">
        <v>0</v>
      </c>
      <c r="AS42" s="18">
        <v>15848.2</v>
      </c>
      <c r="AT42" s="8">
        <v>0</v>
      </c>
      <c r="AU42" s="105">
        <v>0</v>
      </c>
      <c r="AV42" s="18">
        <v>19757.52</v>
      </c>
      <c r="AW42" s="8">
        <v>0</v>
      </c>
      <c r="AX42" s="105">
        <v>0</v>
      </c>
      <c r="AY42" s="18">
        <v>8617.6</v>
      </c>
      <c r="AZ42" s="8"/>
      <c r="BA42" s="105"/>
      <c r="BB42" s="18"/>
      <c r="BC42" s="8"/>
      <c r="BD42" s="105"/>
      <c r="BE42" s="18"/>
      <c r="BF42" s="8"/>
      <c r="BG42" s="105"/>
      <c r="BH42" s="18"/>
    </row>
    <row r="43" spans="3:60" ht="20.25" x14ac:dyDescent="0.3">
      <c r="C43" s="25" t="s">
        <v>26</v>
      </c>
      <c r="D43" s="8"/>
      <c r="E43" s="7"/>
      <c r="F43" s="18">
        <f t="shared" si="5"/>
        <v>146821.75999999998</v>
      </c>
      <c r="G43" s="8">
        <v>0</v>
      </c>
      <c r="H43" s="7">
        <v>0</v>
      </c>
      <c r="I43" s="18">
        <v>8602.52</v>
      </c>
      <c r="J43" s="8">
        <v>0</v>
      </c>
      <c r="K43" s="7">
        <v>0</v>
      </c>
      <c r="L43" s="18">
        <v>8103.2</v>
      </c>
      <c r="M43" s="8">
        <v>0</v>
      </c>
      <c r="N43" s="7">
        <v>0</v>
      </c>
      <c r="O43" s="18">
        <v>9452.14</v>
      </c>
      <c r="P43" s="8">
        <v>0</v>
      </c>
      <c r="Q43" s="7">
        <v>0</v>
      </c>
      <c r="R43" s="18">
        <v>9122.5</v>
      </c>
      <c r="S43" s="8">
        <v>0</v>
      </c>
      <c r="T43" s="7">
        <v>0</v>
      </c>
      <c r="U43" s="18">
        <v>26849.48</v>
      </c>
      <c r="V43" s="8">
        <v>0</v>
      </c>
      <c r="W43" s="7">
        <v>0</v>
      </c>
      <c r="X43" s="18">
        <v>13158.26</v>
      </c>
      <c r="Y43" s="8">
        <v>0</v>
      </c>
      <c r="Z43" s="7">
        <v>0</v>
      </c>
      <c r="AA43" s="18">
        <v>8709.82</v>
      </c>
      <c r="AB43" s="8">
        <v>0</v>
      </c>
      <c r="AC43" s="7">
        <v>0</v>
      </c>
      <c r="AD43" s="18">
        <v>6768.98</v>
      </c>
      <c r="AE43" s="8">
        <v>0</v>
      </c>
      <c r="AF43" s="7">
        <v>0</v>
      </c>
      <c r="AG43" s="18">
        <v>13569.78</v>
      </c>
      <c r="AH43" s="8">
        <v>0</v>
      </c>
      <c r="AI43" s="7">
        <v>0</v>
      </c>
      <c r="AJ43" s="18">
        <v>4395.6000000000004</v>
      </c>
      <c r="AK43" s="8">
        <v>0</v>
      </c>
      <c r="AL43" s="7">
        <v>0</v>
      </c>
      <c r="AM43" s="18">
        <v>4232.55</v>
      </c>
      <c r="AN43" s="8">
        <v>0</v>
      </c>
      <c r="AO43" s="7">
        <v>0</v>
      </c>
      <c r="AP43" s="18">
        <v>7531.68</v>
      </c>
      <c r="AQ43" s="8">
        <v>0</v>
      </c>
      <c r="AR43" s="7">
        <v>0</v>
      </c>
      <c r="AS43" s="18">
        <v>10737.64</v>
      </c>
      <c r="AT43" s="8">
        <v>0</v>
      </c>
      <c r="AU43" s="7">
        <v>0</v>
      </c>
      <c r="AV43" s="18">
        <v>12111.66</v>
      </c>
      <c r="AW43" s="8">
        <v>0</v>
      </c>
      <c r="AX43" s="7">
        <v>0</v>
      </c>
      <c r="AY43" s="18">
        <v>3475.95</v>
      </c>
      <c r="AZ43" s="8"/>
      <c r="BA43" s="7"/>
      <c r="BB43" s="18"/>
      <c r="BC43" s="8"/>
      <c r="BD43" s="7"/>
      <c r="BE43" s="18"/>
      <c r="BF43" s="8"/>
      <c r="BG43" s="7"/>
      <c r="BH43" s="18"/>
    </row>
    <row r="44" spans="3:60" ht="20.25" x14ac:dyDescent="0.3">
      <c r="C44" s="17" t="s">
        <v>25</v>
      </c>
      <c r="D44" s="72"/>
      <c r="E44" s="71"/>
      <c r="F44" s="68">
        <f t="shared" si="5"/>
        <v>72617.759999999907</v>
      </c>
      <c r="G44" s="72">
        <v>0</v>
      </c>
      <c r="H44" s="71">
        <v>0</v>
      </c>
      <c r="I44" s="68">
        <v>2905.55</v>
      </c>
      <c r="J44" s="72">
        <v>0</v>
      </c>
      <c r="K44" s="71">
        <v>0</v>
      </c>
      <c r="L44" s="68">
        <v>1903.6</v>
      </c>
      <c r="M44" s="72">
        <v>0</v>
      </c>
      <c r="N44" s="71">
        <v>0</v>
      </c>
      <c r="O44" s="68">
        <v>342</v>
      </c>
      <c r="P44" s="72">
        <v>0</v>
      </c>
      <c r="Q44" s="71">
        <v>0</v>
      </c>
      <c r="R44" s="68">
        <v>5863.96</v>
      </c>
      <c r="S44" s="72">
        <v>0</v>
      </c>
      <c r="T44" s="71">
        <v>0</v>
      </c>
      <c r="U44" s="68">
        <v>40118.409999999902</v>
      </c>
      <c r="V44" s="72">
        <v>0</v>
      </c>
      <c r="W44" s="71">
        <v>0</v>
      </c>
      <c r="X44" s="68">
        <v>10679.6</v>
      </c>
      <c r="Y44" s="72">
        <v>0</v>
      </c>
      <c r="Z44" s="71">
        <v>0</v>
      </c>
      <c r="AA44" s="68">
        <v>342</v>
      </c>
      <c r="AB44" s="72">
        <v>0</v>
      </c>
      <c r="AC44" s="71">
        <v>0</v>
      </c>
      <c r="AD44" s="68">
        <v>3688.27</v>
      </c>
      <c r="AE44" s="72">
        <v>0</v>
      </c>
      <c r="AF44" s="71">
        <v>0</v>
      </c>
      <c r="AG44" s="68">
        <v>770.73</v>
      </c>
      <c r="AH44" s="72">
        <v>0</v>
      </c>
      <c r="AI44" s="71">
        <v>0</v>
      </c>
      <c r="AJ44" s="68">
        <v>2457.3000000000002</v>
      </c>
      <c r="AK44" s="72">
        <v>0</v>
      </c>
      <c r="AL44" s="71">
        <v>0</v>
      </c>
      <c r="AM44" s="68">
        <v>266</v>
      </c>
      <c r="AN44" s="72">
        <v>0</v>
      </c>
      <c r="AO44" s="71">
        <v>0</v>
      </c>
      <c r="AP44" s="68">
        <v>1151</v>
      </c>
      <c r="AQ44" s="72">
        <v>0</v>
      </c>
      <c r="AR44" s="71">
        <v>0</v>
      </c>
      <c r="AS44" s="68">
        <v>1795.71</v>
      </c>
      <c r="AT44" s="72">
        <v>0</v>
      </c>
      <c r="AU44" s="71">
        <v>0</v>
      </c>
      <c r="AV44" s="68">
        <v>2451</v>
      </c>
      <c r="AW44" s="72">
        <v>0</v>
      </c>
      <c r="AX44" s="71">
        <v>0</v>
      </c>
      <c r="AY44" s="68">
        <v>-2117.37</v>
      </c>
      <c r="AZ44" s="72"/>
      <c r="BA44" s="71"/>
      <c r="BB44" s="68"/>
      <c r="BC44" s="72"/>
      <c r="BD44" s="71"/>
      <c r="BE44" s="68"/>
      <c r="BF44" s="72"/>
      <c r="BG44" s="71"/>
      <c r="BH44" s="68"/>
    </row>
    <row r="45" spans="3:60" ht="20.25" x14ac:dyDescent="0.3">
      <c r="C45" s="17" t="s">
        <v>24</v>
      </c>
      <c r="D45" s="8"/>
      <c r="E45" s="7"/>
      <c r="F45" s="18">
        <f t="shared" si="5"/>
        <v>0</v>
      </c>
      <c r="G45" s="8">
        <v>0</v>
      </c>
      <c r="H45" s="7">
        <v>0</v>
      </c>
      <c r="I45" s="18">
        <v>0</v>
      </c>
      <c r="J45" s="8">
        <v>0</v>
      </c>
      <c r="K45" s="7">
        <v>0</v>
      </c>
      <c r="L45" s="18">
        <v>0</v>
      </c>
      <c r="M45" s="8">
        <v>0</v>
      </c>
      <c r="N45" s="7">
        <v>0</v>
      </c>
      <c r="O45" s="18">
        <v>0</v>
      </c>
      <c r="P45" s="8">
        <v>0</v>
      </c>
      <c r="Q45" s="7">
        <v>0</v>
      </c>
      <c r="R45" s="18">
        <v>0</v>
      </c>
      <c r="S45" s="8">
        <v>0</v>
      </c>
      <c r="T45" s="7">
        <v>0</v>
      </c>
      <c r="U45" s="18">
        <v>0</v>
      </c>
      <c r="V45" s="8">
        <v>0</v>
      </c>
      <c r="W45" s="7">
        <v>0</v>
      </c>
      <c r="X45" s="18">
        <v>0</v>
      </c>
      <c r="Y45" s="8">
        <v>0</v>
      </c>
      <c r="Z45" s="7">
        <v>0</v>
      </c>
      <c r="AA45" s="18">
        <v>0</v>
      </c>
      <c r="AB45" s="8">
        <v>0</v>
      </c>
      <c r="AC45" s="7">
        <v>0</v>
      </c>
      <c r="AD45" s="18">
        <v>0</v>
      </c>
      <c r="AE45" s="8">
        <v>0</v>
      </c>
      <c r="AF45" s="7">
        <v>0</v>
      </c>
      <c r="AG45" s="18">
        <v>0</v>
      </c>
      <c r="AH45" s="8">
        <v>0</v>
      </c>
      <c r="AI45" s="7">
        <v>0</v>
      </c>
      <c r="AJ45" s="18">
        <v>0</v>
      </c>
      <c r="AK45" s="8">
        <v>0</v>
      </c>
      <c r="AL45" s="7">
        <v>0</v>
      </c>
      <c r="AM45" s="18">
        <v>0</v>
      </c>
      <c r="AN45" s="8">
        <v>0</v>
      </c>
      <c r="AO45" s="7">
        <v>0</v>
      </c>
      <c r="AP45" s="18">
        <v>0</v>
      </c>
      <c r="AQ45" s="8">
        <v>0</v>
      </c>
      <c r="AR45" s="7">
        <v>0</v>
      </c>
      <c r="AS45" s="18">
        <v>0</v>
      </c>
      <c r="AT45" s="8">
        <v>0</v>
      </c>
      <c r="AU45" s="7">
        <v>0</v>
      </c>
      <c r="AV45" s="18">
        <v>0</v>
      </c>
      <c r="AW45" s="8">
        <v>0</v>
      </c>
      <c r="AX45" s="7">
        <v>0</v>
      </c>
      <c r="AY45" s="18">
        <v>0</v>
      </c>
      <c r="AZ45" s="8"/>
      <c r="BA45" s="7"/>
      <c r="BB45" s="18"/>
      <c r="BC45" s="8"/>
      <c r="BD45" s="7"/>
      <c r="BE45" s="18"/>
      <c r="BF45" s="8"/>
      <c r="BG45" s="7"/>
      <c r="BH45" s="18"/>
    </row>
    <row r="46" spans="3:60" ht="20.25" hidden="1" x14ac:dyDescent="0.3">
      <c r="C46" s="17" t="s">
        <v>3</v>
      </c>
      <c r="D46" s="8"/>
      <c r="E46" s="7"/>
      <c r="F46" s="18">
        <f t="shared" si="5"/>
        <v>0</v>
      </c>
      <c r="G46" s="8">
        <v>0</v>
      </c>
      <c r="H46" s="7">
        <v>0</v>
      </c>
      <c r="I46" s="18">
        <v>0</v>
      </c>
      <c r="J46" s="8">
        <v>0</v>
      </c>
      <c r="K46" s="7">
        <v>0</v>
      </c>
      <c r="L46" s="18">
        <v>0</v>
      </c>
      <c r="M46" s="8">
        <v>0</v>
      </c>
      <c r="N46" s="7">
        <v>0</v>
      </c>
      <c r="O46" s="18">
        <v>0</v>
      </c>
      <c r="P46" s="8">
        <v>0</v>
      </c>
      <c r="Q46" s="7">
        <v>0</v>
      </c>
      <c r="R46" s="18">
        <v>0</v>
      </c>
      <c r="S46" s="8">
        <v>0</v>
      </c>
      <c r="T46" s="7">
        <v>0</v>
      </c>
      <c r="U46" s="18">
        <v>0</v>
      </c>
      <c r="V46" s="8">
        <v>0</v>
      </c>
      <c r="W46" s="7">
        <v>0</v>
      </c>
      <c r="X46" s="18">
        <v>0</v>
      </c>
      <c r="Y46" s="8">
        <v>0</v>
      </c>
      <c r="Z46" s="7">
        <v>0</v>
      </c>
      <c r="AA46" s="18">
        <v>0</v>
      </c>
      <c r="AB46" s="8">
        <v>0</v>
      </c>
      <c r="AC46" s="7">
        <v>0</v>
      </c>
      <c r="AD46" s="18">
        <v>0</v>
      </c>
      <c r="AE46" s="8">
        <v>0</v>
      </c>
      <c r="AF46" s="7">
        <v>0</v>
      </c>
      <c r="AG46" s="18">
        <v>0</v>
      </c>
      <c r="AH46" s="8">
        <v>0</v>
      </c>
      <c r="AI46" s="7">
        <v>0</v>
      </c>
      <c r="AJ46" s="18">
        <v>0</v>
      </c>
      <c r="AK46" s="8">
        <v>0</v>
      </c>
      <c r="AL46" s="7">
        <v>0</v>
      </c>
      <c r="AM46" s="18">
        <v>0</v>
      </c>
      <c r="AN46" s="8">
        <v>0</v>
      </c>
      <c r="AO46" s="7">
        <v>0</v>
      </c>
      <c r="AP46" s="18">
        <v>0</v>
      </c>
      <c r="AQ46" s="8">
        <v>0</v>
      </c>
      <c r="AR46" s="7">
        <v>0</v>
      </c>
      <c r="AS46" s="18">
        <v>0</v>
      </c>
      <c r="AT46" s="8">
        <v>0</v>
      </c>
      <c r="AU46" s="7">
        <v>0</v>
      </c>
      <c r="AV46" s="18">
        <v>0</v>
      </c>
      <c r="AW46" s="8">
        <v>0</v>
      </c>
      <c r="AX46" s="7">
        <v>0</v>
      </c>
      <c r="AY46" s="18">
        <v>0</v>
      </c>
      <c r="AZ46" s="8"/>
      <c r="BA46" s="7"/>
      <c r="BB46" s="18"/>
      <c r="BC46" s="8"/>
      <c r="BD46" s="7"/>
      <c r="BE46" s="18"/>
      <c r="BF46" s="8"/>
      <c r="BG46" s="7"/>
      <c r="BH46" s="18"/>
    </row>
    <row r="47" spans="3:60" ht="20.25" hidden="1" x14ac:dyDescent="0.3">
      <c r="C47" s="17" t="s">
        <v>3</v>
      </c>
      <c r="D47" s="8"/>
      <c r="E47" s="7"/>
      <c r="F47" s="18">
        <f t="shared" si="5"/>
        <v>0</v>
      </c>
      <c r="G47" s="8">
        <v>0</v>
      </c>
      <c r="H47" s="7">
        <v>0</v>
      </c>
      <c r="I47" s="18">
        <v>0</v>
      </c>
      <c r="J47" s="8">
        <v>0</v>
      </c>
      <c r="K47" s="7">
        <v>0</v>
      </c>
      <c r="L47" s="18">
        <v>0</v>
      </c>
      <c r="M47" s="8">
        <v>0</v>
      </c>
      <c r="N47" s="7">
        <v>0</v>
      </c>
      <c r="O47" s="18">
        <v>0</v>
      </c>
      <c r="P47" s="8">
        <v>0</v>
      </c>
      <c r="Q47" s="7">
        <v>0</v>
      </c>
      <c r="R47" s="18">
        <v>0</v>
      </c>
      <c r="S47" s="8">
        <v>0</v>
      </c>
      <c r="T47" s="7">
        <v>0</v>
      </c>
      <c r="U47" s="18">
        <v>0</v>
      </c>
      <c r="V47" s="8">
        <v>0</v>
      </c>
      <c r="W47" s="7">
        <v>0</v>
      </c>
      <c r="X47" s="18">
        <v>0</v>
      </c>
      <c r="Y47" s="8">
        <v>0</v>
      </c>
      <c r="Z47" s="7">
        <v>0</v>
      </c>
      <c r="AA47" s="18">
        <v>0</v>
      </c>
      <c r="AB47" s="8">
        <v>0</v>
      </c>
      <c r="AC47" s="7">
        <v>0</v>
      </c>
      <c r="AD47" s="18">
        <v>0</v>
      </c>
      <c r="AE47" s="8">
        <v>0</v>
      </c>
      <c r="AF47" s="7">
        <v>0</v>
      </c>
      <c r="AG47" s="18">
        <v>0</v>
      </c>
      <c r="AH47" s="8">
        <v>0</v>
      </c>
      <c r="AI47" s="7">
        <v>0</v>
      </c>
      <c r="AJ47" s="18">
        <v>0</v>
      </c>
      <c r="AK47" s="8">
        <v>0</v>
      </c>
      <c r="AL47" s="7">
        <v>0</v>
      </c>
      <c r="AM47" s="18">
        <v>0</v>
      </c>
      <c r="AN47" s="8">
        <v>0</v>
      </c>
      <c r="AO47" s="7">
        <v>0</v>
      </c>
      <c r="AP47" s="18">
        <v>0</v>
      </c>
      <c r="AQ47" s="8">
        <v>0</v>
      </c>
      <c r="AR47" s="7">
        <v>0</v>
      </c>
      <c r="AS47" s="18">
        <v>0</v>
      </c>
      <c r="AT47" s="8">
        <v>0</v>
      </c>
      <c r="AU47" s="7">
        <v>0</v>
      </c>
      <c r="AV47" s="18">
        <v>0</v>
      </c>
      <c r="AW47" s="8">
        <v>0</v>
      </c>
      <c r="AX47" s="7">
        <v>0</v>
      </c>
      <c r="AY47" s="18">
        <v>0</v>
      </c>
      <c r="AZ47" s="8"/>
      <c r="BA47" s="7"/>
      <c r="BB47" s="18"/>
      <c r="BC47" s="8"/>
      <c r="BD47" s="7"/>
      <c r="BE47" s="18"/>
      <c r="BF47" s="8"/>
      <c r="BG47" s="7"/>
      <c r="BH47" s="18"/>
    </row>
    <row r="48" spans="3:60" ht="20.25" hidden="1" x14ac:dyDescent="0.3">
      <c r="C48" s="17" t="s">
        <v>3</v>
      </c>
      <c r="D48" s="8"/>
      <c r="E48" s="7"/>
      <c r="F48" s="18">
        <f t="shared" si="5"/>
        <v>0</v>
      </c>
      <c r="G48" s="8">
        <v>0</v>
      </c>
      <c r="H48" s="7">
        <v>0</v>
      </c>
      <c r="I48" s="18">
        <v>0</v>
      </c>
      <c r="J48" s="8">
        <v>0</v>
      </c>
      <c r="K48" s="7">
        <v>0</v>
      </c>
      <c r="L48" s="18">
        <v>0</v>
      </c>
      <c r="M48" s="8">
        <v>0</v>
      </c>
      <c r="N48" s="7">
        <v>0</v>
      </c>
      <c r="O48" s="18">
        <v>0</v>
      </c>
      <c r="P48" s="8">
        <v>0</v>
      </c>
      <c r="Q48" s="7">
        <v>0</v>
      </c>
      <c r="R48" s="18">
        <v>0</v>
      </c>
      <c r="S48" s="8">
        <v>0</v>
      </c>
      <c r="T48" s="7">
        <v>0</v>
      </c>
      <c r="U48" s="18">
        <v>0</v>
      </c>
      <c r="V48" s="8">
        <v>0</v>
      </c>
      <c r="W48" s="7">
        <v>0</v>
      </c>
      <c r="X48" s="18">
        <v>0</v>
      </c>
      <c r="Y48" s="8">
        <v>0</v>
      </c>
      <c r="Z48" s="7">
        <v>0</v>
      </c>
      <c r="AA48" s="18">
        <v>0</v>
      </c>
      <c r="AB48" s="8">
        <v>0</v>
      </c>
      <c r="AC48" s="7">
        <v>0</v>
      </c>
      <c r="AD48" s="18">
        <v>0</v>
      </c>
      <c r="AE48" s="8">
        <v>0</v>
      </c>
      <c r="AF48" s="7">
        <v>0</v>
      </c>
      <c r="AG48" s="18">
        <v>0</v>
      </c>
      <c r="AH48" s="8">
        <v>0</v>
      </c>
      <c r="AI48" s="7">
        <v>0</v>
      </c>
      <c r="AJ48" s="18">
        <v>0</v>
      </c>
      <c r="AK48" s="8">
        <v>0</v>
      </c>
      <c r="AL48" s="7">
        <v>0</v>
      </c>
      <c r="AM48" s="18">
        <v>0</v>
      </c>
      <c r="AN48" s="8">
        <v>0</v>
      </c>
      <c r="AO48" s="7">
        <v>0</v>
      </c>
      <c r="AP48" s="18">
        <v>0</v>
      </c>
      <c r="AQ48" s="8">
        <v>0</v>
      </c>
      <c r="AR48" s="7">
        <v>0</v>
      </c>
      <c r="AS48" s="18">
        <v>0</v>
      </c>
      <c r="AT48" s="8">
        <v>0</v>
      </c>
      <c r="AU48" s="7">
        <v>0</v>
      </c>
      <c r="AV48" s="18">
        <v>0</v>
      </c>
      <c r="AW48" s="8">
        <v>0</v>
      </c>
      <c r="AX48" s="7">
        <v>0</v>
      </c>
      <c r="AY48" s="18">
        <v>0</v>
      </c>
      <c r="AZ48" s="8"/>
      <c r="BA48" s="7"/>
      <c r="BB48" s="18"/>
      <c r="BC48" s="8"/>
      <c r="BD48" s="7"/>
      <c r="BE48" s="18"/>
      <c r="BF48" s="8"/>
      <c r="BG48" s="7"/>
      <c r="BH48" s="18"/>
    </row>
    <row r="49" spans="3:60" ht="20.25" x14ac:dyDescent="0.3">
      <c r="C49" s="25" t="s">
        <v>23</v>
      </c>
      <c r="D49" s="8"/>
      <c r="E49" s="7"/>
      <c r="F49" s="22">
        <f t="shared" si="5"/>
        <v>134020.91999999998</v>
      </c>
      <c r="G49" s="8">
        <v>0</v>
      </c>
      <c r="H49" s="7">
        <v>0</v>
      </c>
      <c r="I49" s="22">
        <v>10506.92</v>
      </c>
      <c r="J49" s="8">
        <v>0</v>
      </c>
      <c r="K49" s="7">
        <v>0</v>
      </c>
      <c r="L49" s="22">
        <v>7422.51</v>
      </c>
      <c r="M49" s="8">
        <v>0</v>
      </c>
      <c r="N49" s="7">
        <v>0</v>
      </c>
      <c r="O49" s="22">
        <v>5995.26</v>
      </c>
      <c r="P49" s="8">
        <v>0</v>
      </c>
      <c r="Q49" s="7">
        <v>0</v>
      </c>
      <c r="R49" s="22">
        <v>12911.31</v>
      </c>
      <c r="S49" s="8">
        <v>0</v>
      </c>
      <c r="T49" s="7">
        <v>0</v>
      </c>
      <c r="U49" s="22">
        <v>28139.45</v>
      </c>
      <c r="V49" s="8">
        <v>0</v>
      </c>
      <c r="W49" s="7">
        <v>0</v>
      </c>
      <c r="X49" s="22">
        <v>16270</v>
      </c>
      <c r="Y49" s="8">
        <v>0</v>
      </c>
      <c r="Z49" s="7">
        <v>0</v>
      </c>
      <c r="AA49" s="22">
        <v>3181.18</v>
      </c>
      <c r="AB49" s="8">
        <v>0</v>
      </c>
      <c r="AC49" s="7">
        <v>0</v>
      </c>
      <c r="AD49" s="22">
        <v>7809.15</v>
      </c>
      <c r="AE49" s="8">
        <v>0</v>
      </c>
      <c r="AF49" s="7">
        <v>0</v>
      </c>
      <c r="AG49" s="22">
        <v>6106.02</v>
      </c>
      <c r="AH49" s="8">
        <v>0</v>
      </c>
      <c r="AI49" s="7">
        <v>0</v>
      </c>
      <c r="AJ49" s="22">
        <v>2842.16</v>
      </c>
      <c r="AK49" s="8">
        <v>0</v>
      </c>
      <c r="AL49" s="7">
        <v>0</v>
      </c>
      <c r="AM49" s="22">
        <v>4048.54</v>
      </c>
      <c r="AN49" s="8">
        <v>0</v>
      </c>
      <c r="AO49" s="7">
        <v>0</v>
      </c>
      <c r="AP49" s="22">
        <v>2465.88</v>
      </c>
      <c r="AQ49" s="8">
        <v>0</v>
      </c>
      <c r="AR49" s="7">
        <v>0</v>
      </c>
      <c r="AS49" s="22">
        <v>9415.56</v>
      </c>
      <c r="AT49" s="8">
        <v>0</v>
      </c>
      <c r="AU49" s="7">
        <v>0</v>
      </c>
      <c r="AV49" s="22">
        <v>8944.73</v>
      </c>
      <c r="AW49" s="8">
        <v>0</v>
      </c>
      <c r="AX49" s="7">
        <v>0</v>
      </c>
      <c r="AY49" s="22">
        <v>7962.25</v>
      </c>
      <c r="AZ49" s="8"/>
      <c r="BA49" s="7"/>
      <c r="BB49" s="22"/>
      <c r="BC49" s="8"/>
      <c r="BD49" s="7"/>
      <c r="BE49" s="22"/>
      <c r="BF49" s="8"/>
      <c r="BG49" s="7"/>
      <c r="BH49" s="22"/>
    </row>
    <row r="50" spans="3:60" ht="20.25" x14ac:dyDescent="0.3">
      <c r="C50" s="17" t="s">
        <v>22</v>
      </c>
      <c r="D50" s="72"/>
      <c r="E50" s="71"/>
      <c r="F50" s="18">
        <f t="shared" si="5"/>
        <v>219577.97</v>
      </c>
      <c r="G50" s="72">
        <v>0</v>
      </c>
      <c r="H50" s="71">
        <v>0</v>
      </c>
      <c r="I50" s="18">
        <v>14744.36</v>
      </c>
      <c r="J50" s="72">
        <v>0</v>
      </c>
      <c r="K50" s="71">
        <v>0</v>
      </c>
      <c r="L50" s="18">
        <v>11273.52</v>
      </c>
      <c r="M50" s="72">
        <v>0</v>
      </c>
      <c r="N50" s="71">
        <v>0</v>
      </c>
      <c r="O50" s="18">
        <v>9498.4599999999991</v>
      </c>
      <c r="P50" s="72">
        <v>0</v>
      </c>
      <c r="Q50" s="71">
        <v>0</v>
      </c>
      <c r="R50" s="18">
        <v>13266.29</v>
      </c>
      <c r="S50" s="72">
        <v>0</v>
      </c>
      <c r="T50" s="71">
        <v>0</v>
      </c>
      <c r="U50" s="18">
        <v>53165.1</v>
      </c>
      <c r="V50" s="72">
        <v>0</v>
      </c>
      <c r="W50" s="71">
        <v>0</v>
      </c>
      <c r="X50" s="18">
        <v>18361.95</v>
      </c>
      <c r="Y50" s="72">
        <v>0</v>
      </c>
      <c r="Z50" s="71">
        <v>0</v>
      </c>
      <c r="AA50" s="18">
        <v>11678.65</v>
      </c>
      <c r="AB50" s="72">
        <v>0</v>
      </c>
      <c r="AC50" s="71">
        <v>0</v>
      </c>
      <c r="AD50" s="18">
        <v>10059.299999999999</v>
      </c>
      <c r="AE50" s="72">
        <v>0</v>
      </c>
      <c r="AF50" s="71">
        <v>0</v>
      </c>
      <c r="AG50" s="18">
        <v>16939.009999999998</v>
      </c>
      <c r="AH50" s="72">
        <v>0</v>
      </c>
      <c r="AI50" s="71">
        <v>0</v>
      </c>
      <c r="AJ50" s="18">
        <v>8507.34</v>
      </c>
      <c r="AK50" s="72">
        <v>0</v>
      </c>
      <c r="AL50" s="71">
        <v>0</v>
      </c>
      <c r="AM50" s="18">
        <v>7435.32</v>
      </c>
      <c r="AN50" s="72">
        <v>0</v>
      </c>
      <c r="AO50" s="71">
        <v>0</v>
      </c>
      <c r="AP50" s="18">
        <v>8619.74</v>
      </c>
      <c r="AQ50" s="72">
        <v>0</v>
      </c>
      <c r="AR50" s="71">
        <v>0</v>
      </c>
      <c r="AS50" s="18">
        <v>14964.45</v>
      </c>
      <c r="AT50" s="72">
        <v>0</v>
      </c>
      <c r="AU50" s="71">
        <v>0</v>
      </c>
      <c r="AV50" s="18">
        <v>12821.25</v>
      </c>
      <c r="AW50" s="72">
        <v>0</v>
      </c>
      <c r="AX50" s="71">
        <v>0</v>
      </c>
      <c r="AY50" s="18">
        <v>8243.23</v>
      </c>
      <c r="AZ50" s="72"/>
      <c r="BA50" s="71"/>
      <c r="BB50" s="18"/>
      <c r="BC50" s="72"/>
      <c r="BD50" s="71"/>
      <c r="BE50" s="18"/>
      <c r="BF50" s="72"/>
      <c r="BG50" s="71"/>
      <c r="BH50" s="18"/>
    </row>
    <row r="51" spans="3:60" ht="20.25" x14ac:dyDescent="0.3">
      <c r="C51" s="17" t="s">
        <v>21</v>
      </c>
      <c r="D51" s="8"/>
      <c r="E51" s="7"/>
      <c r="F51" s="18">
        <f t="shared" si="5"/>
        <v>77108.319999999992</v>
      </c>
      <c r="G51" s="8">
        <v>0</v>
      </c>
      <c r="H51" s="7">
        <v>0</v>
      </c>
      <c r="I51" s="18">
        <v>6164.26</v>
      </c>
      <c r="J51" s="8">
        <v>0</v>
      </c>
      <c r="K51" s="7">
        <v>0</v>
      </c>
      <c r="L51" s="18">
        <v>2235.23</v>
      </c>
      <c r="M51" s="8">
        <v>0</v>
      </c>
      <c r="N51" s="7">
        <v>0</v>
      </c>
      <c r="O51" s="18">
        <v>3980.66</v>
      </c>
      <c r="P51" s="8">
        <v>0</v>
      </c>
      <c r="Q51" s="7">
        <v>0</v>
      </c>
      <c r="R51" s="18">
        <v>8195.15</v>
      </c>
      <c r="S51" s="8">
        <v>0</v>
      </c>
      <c r="T51" s="7">
        <v>0</v>
      </c>
      <c r="U51" s="18">
        <v>16494.46</v>
      </c>
      <c r="V51" s="8">
        <v>0</v>
      </c>
      <c r="W51" s="7">
        <v>0</v>
      </c>
      <c r="X51" s="18">
        <v>10745.32</v>
      </c>
      <c r="Y51" s="8">
        <v>0</v>
      </c>
      <c r="Z51" s="7">
        <v>0</v>
      </c>
      <c r="AA51" s="18">
        <v>1900.34</v>
      </c>
      <c r="AB51" s="8">
        <v>0</v>
      </c>
      <c r="AC51" s="7">
        <v>0</v>
      </c>
      <c r="AD51" s="18">
        <v>5151.6000000000004</v>
      </c>
      <c r="AE51" s="8">
        <v>0</v>
      </c>
      <c r="AF51" s="7">
        <v>0</v>
      </c>
      <c r="AG51" s="18">
        <v>4131.38</v>
      </c>
      <c r="AH51" s="8">
        <v>0</v>
      </c>
      <c r="AI51" s="7">
        <v>0</v>
      </c>
      <c r="AJ51" s="18">
        <v>3037.82</v>
      </c>
      <c r="AK51" s="8">
        <v>0</v>
      </c>
      <c r="AL51" s="7">
        <v>0</v>
      </c>
      <c r="AM51" s="18">
        <v>1533.9</v>
      </c>
      <c r="AN51" s="8">
        <v>0</v>
      </c>
      <c r="AO51" s="7">
        <v>0</v>
      </c>
      <c r="AP51" s="18">
        <v>1751.75</v>
      </c>
      <c r="AQ51" s="8">
        <v>0</v>
      </c>
      <c r="AR51" s="7">
        <v>0</v>
      </c>
      <c r="AS51" s="18">
        <v>4391.75</v>
      </c>
      <c r="AT51" s="8">
        <v>0</v>
      </c>
      <c r="AU51" s="7">
        <v>0</v>
      </c>
      <c r="AV51" s="18">
        <v>4964.91</v>
      </c>
      <c r="AW51" s="8">
        <v>0</v>
      </c>
      <c r="AX51" s="7">
        <v>0</v>
      </c>
      <c r="AY51" s="18">
        <v>2429.79</v>
      </c>
      <c r="AZ51" s="8"/>
      <c r="BA51" s="7"/>
      <c r="BB51" s="18"/>
      <c r="BC51" s="8"/>
      <c r="BD51" s="7"/>
      <c r="BE51" s="18"/>
      <c r="BF51" s="8"/>
      <c r="BG51" s="7"/>
      <c r="BH51" s="18"/>
    </row>
    <row r="52" spans="3:60" ht="20.25" x14ac:dyDescent="0.3">
      <c r="C52" s="17" t="s">
        <v>20</v>
      </c>
      <c r="D52" s="8"/>
      <c r="E52" s="7"/>
      <c r="F52" s="18">
        <f t="shared" si="5"/>
        <v>28550.210000000003</v>
      </c>
      <c r="G52" s="8">
        <v>0</v>
      </c>
      <c r="H52" s="7">
        <v>0</v>
      </c>
      <c r="I52" s="18">
        <v>2404.33</v>
      </c>
      <c r="J52" s="8">
        <v>0</v>
      </c>
      <c r="K52" s="7">
        <v>0</v>
      </c>
      <c r="L52" s="18">
        <v>1327.73</v>
      </c>
      <c r="M52" s="8">
        <v>0</v>
      </c>
      <c r="N52" s="7">
        <v>0</v>
      </c>
      <c r="O52" s="18">
        <v>1097.44</v>
      </c>
      <c r="P52" s="8">
        <v>0</v>
      </c>
      <c r="Q52" s="7">
        <v>0</v>
      </c>
      <c r="R52" s="18">
        <v>3282.09</v>
      </c>
      <c r="S52" s="8">
        <v>0</v>
      </c>
      <c r="T52" s="7">
        <v>0</v>
      </c>
      <c r="U52" s="18">
        <v>4159.8100000000004</v>
      </c>
      <c r="V52" s="8">
        <v>0</v>
      </c>
      <c r="W52" s="7">
        <v>0</v>
      </c>
      <c r="X52" s="18">
        <v>3741.6</v>
      </c>
      <c r="Y52" s="8">
        <v>0</v>
      </c>
      <c r="Z52" s="7">
        <v>0</v>
      </c>
      <c r="AA52" s="18">
        <v>1321.09</v>
      </c>
      <c r="AB52" s="8">
        <v>0</v>
      </c>
      <c r="AC52" s="7">
        <v>0</v>
      </c>
      <c r="AD52" s="18">
        <v>1886.61</v>
      </c>
      <c r="AE52" s="8">
        <v>0</v>
      </c>
      <c r="AF52" s="7">
        <v>0</v>
      </c>
      <c r="AG52" s="18">
        <v>1631.48</v>
      </c>
      <c r="AH52" s="8">
        <v>0</v>
      </c>
      <c r="AI52" s="7">
        <v>0</v>
      </c>
      <c r="AJ52" s="18">
        <v>938.86</v>
      </c>
      <c r="AK52" s="8">
        <v>0</v>
      </c>
      <c r="AL52" s="7">
        <v>0</v>
      </c>
      <c r="AM52" s="18">
        <v>498.25</v>
      </c>
      <c r="AN52" s="8">
        <v>0</v>
      </c>
      <c r="AO52" s="7">
        <v>0</v>
      </c>
      <c r="AP52" s="18">
        <v>942.45</v>
      </c>
      <c r="AQ52" s="8">
        <v>0</v>
      </c>
      <c r="AR52" s="7">
        <v>0</v>
      </c>
      <c r="AS52" s="18">
        <v>1406.7</v>
      </c>
      <c r="AT52" s="8">
        <v>0</v>
      </c>
      <c r="AU52" s="7">
        <v>0</v>
      </c>
      <c r="AV52" s="18">
        <v>3329.22</v>
      </c>
      <c r="AW52" s="8">
        <v>0</v>
      </c>
      <c r="AX52" s="7">
        <v>0</v>
      </c>
      <c r="AY52" s="18">
        <v>582.54999999999995</v>
      </c>
      <c r="AZ52" s="8"/>
      <c r="BA52" s="7"/>
      <c r="BB52" s="18"/>
      <c r="BC52" s="8"/>
      <c r="BD52" s="7"/>
      <c r="BE52" s="18"/>
      <c r="BF52" s="8"/>
      <c r="BG52" s="7"/>
      <c r="BH52" s="18"/>
    </row>
    <row r="53" spans="3:60" ht="20.25" hidden="1" x14ac:dyDescent="0.3">
      <c r="C53" s="8" t="s">
        <v>3</v>
      </c>
      <c r="D53" s="67"/>
      <c r="E53" s="66"/>
      <c r="F53" s="18">
        <f t="shared" si="5"/>
        <v>0</v>
      </c>
      <c r="G53" s="67">
        <v>0</v>
      </c>
      <c r="H53" s="66">
        <v>0</v>
      </c>
      <c r="I53" s="18">
        <v>0</v>
      </c>
      <c r="J53" s="67">
        <v>0</v>
      </c>
      <c r="K53" s="66">
        <v>0</v>
      </c>
      <c r="L53" s="18">
        <v>0</v>
      </c>
      <c r="M53" s="67">
        <v>0</v>
      </c>
      <c r="N53" s="66">
        <v>0</v>
      </c>
      <c r="O53" s="18">
        <v>0</v>
      </c>
      <c r="P53" s="67">
        <v>0</v>
      </c>
      <c r="Q53" s="66">
        <v>0</v>
      </c>
      <c r="R53" s="18">
        <v>0</v>
      </c>
      <c r="S53" s="67">
        <v>0</v>
      </c>
      <c r="T53" s="66">
        <v>0</v>
      </c>
      <c r="U53" s="18">
        <v>0</v>
      </c>
      <c r="V53" s="67">
        <v>0</v>
      </c>
      <c r="W53" s="66">
        <v>0</v>
      </c>
      <c r="X53" s="18">
        <v>0</v>
      </c>
      <c r="Y53" s="67">
        <v>0</v>
      </c>
      <c r="Z53" s="66">
        <v>0</v>
      </c>
      <c r="AA53" s="18">
        <v>0</v>
      </c>
      <c r="AB53" s="67">
        <v>0</v>
      </c>
      <c r="AC53" s="66">
        <v>0</v>
      </c>
      <c r="AD53" s="18">
        <v>0</v>
      </c>
      <c r="AE53" s="67">
        <v>0</v>
      </c>
      <c r="AF53" s="66">
        <v>0</v>
      </c>
      <c r="AG53" s="18">
        <v>0</v>
      </c>
      <c r="AH53" s="67">
        <v>0</v>
      </c>
      <c r="AI53" s="66">
        <v>0</v>
      </c>
      <c r="AJ53" s="18">
        <v>0</v>
      </c>
      <c r="AK53" s="67">
        <v>0</v>
      </c>
      <c r="AL53" s="66">
        <v>0</v>
      </c>
      <c r="AM53" s="18">
        <v>0</v>
      </c>
      <c r="AN53" s="67">
        <v>0</v>
      </c>
      <c r="AO53" s="66">
        <v>0</v>
      </c>
      <c r="AP53" s="18">
        <v>0</v>
      </c>
      <c r="AQ53" s="67">
        <v>0</v>
      </c>
      <c r="AR53" s="66">
        <v>0</v>
      </c>
      <c r="AS53" s="18">
        <v>0</v>
      </c>
      <c r="AT53" s="67">
        <v>0</v>
      </c>
      <c r="AU53" s="66">
        <v>0</v>
      </c>
      <c r="AV53" s="18">
        <v>0</v>
      </c>
      <c r="AW53" s="67">
        <v>0</v>
      </c>
      <c r="AX53" s="66">
        <v>0</v>
      </c>
      <c r="AY53" s="18">
        <v>0</v>
      </c>
      <c r="AZ53" s="67"/>
      <c r="BA53" s="66"/>
      <c r="BB53" s="18"/>
      <c r="BC53" s="67"/>
      <c r="BD53" s="66"/>
      <c r="BE53" s="18"/>
      <c r="BF53" s="67"/>
      <c r="BG53" s="66"/>
      <c r="BH53" s="18"/>
    </row>
    <row r="54" spans="3:60" ht="20.25" x14ac:dyDescent="0.3">
      <c r="C54" s="11" t="s">
        <v>19</v>
      </c>
      <c r="D54" s="64"/>
      <c r="E54" s="14"/>
      <c r="F54" s="12">
        <f>SUM(F42:F52)</f>
        <v>933308.1599999998</v>
      </c>
      <c r="G54" s="64" t="s">
        <v>18</v>
      </c>
      <c r="H54" s="14">
        <v>0.54330606017405203</v>
      </c>
      <c r="I54" s="12">
        <v>61433.42</v>
      </c>
      <c r="J54" s="64" t="s">
        <v>18</v>
      </c>
      <c r="K54" s="14">
        <v>0.60281074528881795</v>
      </c>
      <c r="L54" s="12">
        <v>45294.47</v>
      </c>
      <c r="M54" s="64" t="s">
        <v>18</v>
      </c>
      <c r="N54" s="14">
        <v>0.65561419429578205</v>
      </c>
      <c r="O54" s="12">
        <v>39705.910000000003</v>
      </c>
      <c r="P54" s="64" t="s">
        <v>18</v>
      </c>
      <c r="Q54" s="14">
        <v>0.35209448891950201</v>
      </c>
      <c r="R54" s="12">
        <v>66337.759999999995</v>
      </c>
      <c r="S54" s="64" t="s">
        <v>18</v>
      </c>
      <c r="T54" s="14">
        <v>0.43436657283746999</v>
      </c>
      <c r="U54" s="12">
        <v>212582.05</v>
      </c>
      <c r="V54" s="64" t="s">
        <v>18</v>
      </c>
      <c r="W54" s="14">
        <v>0.58591151110351003</v>
      </c>
      <c r="X54" s="12">
        <v>101671.25</v>
      </c>
      <c r="Y54" s="64" t="s">
        <v>18</v>
      </c>
      <c r="Z54" s="14">
        <v>0.29239314424124702</v>
      </c>
      <c r="AA54" s="12">
        <v>44896.209999999897</v>
      </c>
      <c r="AB54" s="64" t="s">
        <v>18</v>
      </c>
      <c r="AC54" s="14">
        <v>0.45647000494430801</v>
      </c>
      <c r="AD54" s="12">
        <v>50103.3299999999</v>
      </c>
      <c r="AE54" s="64" t="s">
        <v>18</v>
      </c>
      <c r="AF54" s="14">
        <v>0.46955731534175599</v>
      </c>
      <c r="AG54" s="12">
        <v>60543.49</v>
      </c>
      <c r="AH54" s="64" t="s">
        <v>18</v>
      </c>
      <c r="AI54" s="14">
        <v>0.89864641397226197</v>
      </c>
      <c r="AJ54" s="12">
        <v>34969.629999999997</v>
      </c>
      <c r="AK54" s="64" t="s">
        <v>18</v>
      </c>
      <c r="AL54" s="14">
        <v>1.77392785843443</v>
      </c>
      <c r="AM54" s="12">
        <v>27154.720000000001</v>
      </c>
      <c r="AN54" s="64" t="s">
        <v>18</v>
      </c>
      <c r="AO54" s="14">
        <v>0.57804221612304996</v>
      </c>
      <c r="AP54" s="12">
        <v>36481.620000000003</v>
      </c>
      <c r="AQ54" s="64" t="s">
        <v>18</v>
      </c>
      <c r="AR54" s="14">
        <v>0.61209391166303095</v>
      </c>
      <c r="AS54" s="12">
        <v>58560.0099999999</v>
      </c>
      <c r="AT54" s="64" t="s">
        <v>18</v>
      </c>
      <c r="AU54" s="14">
        <v>0.47334647835629601</v>
      </c>
      <c r="AV54" s="12">
        <v>64380.29</v>
      </c>
      <c r="AW54" s="64" t="s">
        <v>18</v>
      </c>
      <c r="AX54" s="14">
        <v>0.39922097620837699</v>
      </c>
      <c r="AY54" s="12">
        <v>29194</v>
      </c>
      <c r="AZ54" s="64"/>
      <c r="BA54" s="14"/>
      <c r="BB54" s="12"/>
      <c r="BC54" s="64"/>
      <c r="BD54" s="14"/>
      <c r="BE54" s="12"/>
      <c r="BF54" s="64"/>
      <c r="BG54" s="14"/>
      <c r="BH54" s="12"/>
    </row>
    <row r="55" spans="3:60" ht="20.25" x14ac:dyDescent="0.3">
      <c r="C55" s="8" t="s">
        <v>17</v>
      </c>
      <c r="D55" s="8"/>
      <c r="E55" s="7"/>
      <c r="F55" s="18">
        <f t="shared" ref="F55:F71" si="6">+SUM(I55,L55,O55,R55,U55,X55,AA55,AD55,AG55,AJ55,AM55,AP55,AS55,AV55,AY55,BB55,BE55,BH55)</f>
        <v>0</v>
      </c>
      <c r="G55" s="8">
        <v>0</v>
      </c>
      <c r="H55" s="7">
        <v>0</v>
      </c>
      <c r="I55" s="18">
        <v>0</v>
      </c>
      <c r="J55" s="8">
        <v>0</v>
      </c>
      <c r="K55" s="7">
        <v>0</v>
      </c>
      <c r="L55" s="18">
        <v>0</v>
      </c>
      <c r="M55" s="8">
        <v>0</v>
      </c>
      <c r="N55" s="7">
        <v>0</v>
      </c>
      <c r="O55" s="18">
        <v>0</v>
      </c>
      <c r="P55" s="8">
        <v>0</v>
      </c>
      <c r="Q55" s="7">
        <v>0</v>
      </c>
      <c r="R55" s="18">
        <v>0</v>
      </c>
      <c r="S55" s="8">
        <v>0</v>
      </c>
      <c r="T55" s="7">
        <v>0</v>
      </c>
      <c r="U55" s="18">
        <v>0</v>
      </c>
      <c r="V55" s="8">
        <v>0</v>
      </c>
      <c r="W55" s="7">
        <v>0</v>
      </c>
      <c r="X55" s="18">
        <v>0</v>
      </c>
      <c r="Y55" s="8">
        <v>0</v>
      </c>
      <c r="Z55" s="7">
        <v>0</v>
      </c>
      <c r="AA55" s="18">
        <v>0</v>
      </c>
      <c r="AB55" s="8">
        <v>0</v>
      </c>
      <c r="AC55" s="7">
        <v>0</v>
      </c>
      <c r="AD55" s="18">
        <v>0</v>
      </c>
      <c r="AE55" s="8">
        <v>0</v>
      </c>
      <c r="AF55" s="7">
        <v>0</v>
      </c>
      <c r="AG55" s="18">
        <v>0</v>
      </c>
      <c r="AH55" s="8">
        <v>0</v>
      </c>
      <c r="AI55" s="7">
        <v>0</v>
      </c>
      <c r="AJ55" s="18">
        <v>0</v>
      </c>
      <c r="AK55" s="8">
        <v>0</v>
      </c>
      <c r="AL55" s="7">
        <v>0</v>
      </c>
      <c r="AM55" s="18">
        <v>0</v>
      </c>
      <c r="AN55" s="8">
        <v>0</v>
      </c>
      <c r="AO55" s="7">
        <v>0</v>
      </c>
      <c r="AP55" s="18">
        <v>0</v>
      </c>
      <c r="AQ55" s="8">
        <v>0</v>
      </c>
      <c r="AR55" s="7">
        <v>0</v>
      </c>
      <c r="AS55" s="18">
        <v>0</v>
      </c>
      <c r="AT55" s="8">
        <v>0</v>
      </c>
      <c r="AU55" s="7">
        <v>0</v>
      </c>
      <c r="AV55" s="18">
        <v>0</v>
      </c>
      <c r="AW55" s="8">
        <v>0</v>
      </c>
      <c r="AX55" s="7">
        <v>0</v>
      </c>
      <c r="AY55" s="18">
        <v>0</v>
      </c>
      <c r="AZ55" s="8"/>
      <c r="BA55" s="7"/>
      <c r="BB55" s="18"/>
      <c r="BC55" s="8"/>
      <c r="BD55" s="7"/>
      <c r="BE55" s="18"/>
      <c r="BF55" s="8"/>
      <c r="BG55" s="7"/>
      <c r="BH55" s="18"/>
    </row>
    <row r="56" spans="3:60" ht="20.25" x14ac:dyDescent="0.3">
      <c r="C56" s="8" t="s">
        <v>16</v>
      </c>
      <c r="D56" s="8"/>
      <c r="E56" s="7"/>
      <c r="F56" s="18">
        <f t="shared" si="6"/>
        <v>0</v>
      </c>
      <c r="G56" s="8">
        <v>0</v>
      </c>
      <c r="H56" s="7">
        <v>0</v>
      </c>
      <c r="I56" s="18">
        <v>0</v>
      </c>
      <c r="J56" s="8">
        <v>0</v>
      </c>
      <c r="K56" s="7">
        <v>0</v>
      </c>
      <c r="L56" s="18">
        <v>0</v>
      </c>
      <c r="M56" s="8">
        <v>0</v>
      </c>
      <c r="N56" s="7">
        <v>0</v>
      </c>
      <c r="O56" s="18">
        <v>0</v>
      </c>
      <c r="P56" s="8">
        <v>0</v>
      </c>
      <c r="Q56" s="7">
        <v>0</v>
      </c>
      <c r="R56" s="18">
        <v>0</v>
      </c>
      <c r="S56" s="8">
        <v>0</v>
      </c>
      <c r="T56" s="7">
        <v>0</v>
      </c>
      <c r="U56" s="18">
        <v>0</v>
      </c>
      <c r="V56" s="8">
        <v>0</v>
      </c>
      <c r="W56" s="7">
        <v>0</v>
      </c>
      <c r="X56" s="18">
        <v>0</v>
      </c>
      <c r="Y56" s="8">
        <v>0</v>
      </c>
      <c r="Z56" s="7">
        <v>0</v>
      </c>
      <c r="AA56" s="18">
        <v>0</v>
      </c>
      <c r="AB56" s="8">
        <v>0</v>
      </c>
      <c r="AC56" s="7">
        <v>0</v>
      </c>
      <c r="AD56" s="18">
        <v>0</v>
      </c>
      <c r="AE56" s="8">
        <v>0</v>
      </c>
      <c r="AF56" s="7">
        <v>0</v>
      </c>
      <c r="AG56" s="18">
        <v>0</v>
      </c>
      <c r="AH56" s="8">
        <v>0</v>
      </c>
      <c r="AI56" s="7">
        <v>0</v>
      </c>
      <c r="AJ56" s="18">
        <v>0</v>
      </c>
      <c r="AK56" s="8">
        <v>0</v>
      </c>
      <c r="AL56" s="7">
        <v>0</v>
      </c>
      <c r="AM56" s="18">
        <v>0</v>
      </c>
      <c r="AN56" s="8">
        <v>0</v>
      </c>
      <c r="AO56" s="7">
        <v>0</v>
      </c>
      <c r="AP56" s="18">
        <v>0</v>
      </c>
      <c r="AQ56" s="8">
        <v>0</v>
      </c>
      <c r="AR56" s="7">
        <v>0</v>
      </c>
      <c r="AS56" s="18">
        <v>0</v>
      </c>
      <c r="AT56" s="8">
        <v>0</v>
      </c>
      <c r="AU56" s="7">
        <v>0</v>
      </c>
      <c r="AV56" s="18">
        <v>0</v>
      </c>
      <c r="AW56" s="8">
        <v>0</v>
      </c>
      <c r="AX56" s="7">
        <v>0</v>
      </c>
      <c r="AY56" s="18">
        <v>0</v>
      </c>
      <c r="AZ56" s="8"/>
      <c r="BA56" s="7"/>
      <c r="BB56" s="18"/>
      <c r="BC56" s="8"/>
      <c r="BD56" s="7"/>
      <c r="BE56" s="18"/>
      <c r="BF56" s="8"/>
      <c r="BG56" s="7"/>
      <c r="BH56" s="18"/>
    </row>
    <row r="57" spans="3:60" ht="20.25" x14ac:dyDescent="0.3">
      <c r="C57" s="67" t="s">
        <v>15</v>
      </c>
      <c r="D57" s="67"/>
      <c r="E57" s="66"/>
      <c r="F57" s="22">
        <f t="shared" si="6"/>
        <v>131366.96</v>
      </c>
      <c r="G57" s="67">
        <v>0</v>
      </c>
      <c r="H57" s="66">
        <v>0</v>
      </c>
      <c r="I57" s="22">
        <v>9411.7000000000007</v>
      </c>
      <c r="J57" s="67">
        <v>0</v>
      </c>
      <c r="K57" s="66">
        <v>0</v>
      </c>
      <c r="L57" s="22">
        <v>6231.05</v>
      </c>
      <c r="M57" s="67">
        <v>0</v>
      </c>
      <c r="N57" s="66">
        <v>0</v>
      </c>
      <c r="O57" s="22">
        <v>6196.97</v>
      </c>
      <c r="P57" s="67">
        <v>0</v>
      </c>
      <c r="Q57" s="66">
        <v>0</v>
      </c>
      <c r="R57" s="22">
        <v>29429.69</v>
      </c>
      <c r="S57" s="67">
        <v>0</v>
      </c>
      <c r="T57" s="66">
        <v>0</v>
      </c>
      <c r="U57" s="22">
        <v>17731.62</v>
      </c>
      <c r="V57" s="67">
        <v>0</v>
      </c>
      <c r="W57" s="66">
        <v>0</v>
      </c>
      <c r="X57" s="22">
        <v>17971.62</v>
      </c>
      <c r="Y57" s="67">
        <v>0</v>
      </c>
      <c r="Z57" s="66">
        <v>0</v>
      </c>
      <c r="AA57" s="22">
        <v>4048.91</v>
      </c>
      <c r="AB57" s="67">
        <v>0</v>
      </c>
      <c r="AC57" s="66">
        <v>0</v>
      </c>
      <c r="AD57" s="22">
        <v>6805.57</v>
      </c>
      <c r="AE57" s="67">
        <v>0</v>
      </c>
      <c r="AF57" s="66">
        <v>0</v>
      </c>
      <c r="AG57" s="22">
        <v>7223.96</v>
      </c>
      <c r="AH57" s="67">
        <v>0</v>
      </c>
      <c r="AI57" s="66">
        <v>0</v>
      </c>
      <c r="AJ57" s="22">
        <v>2246.21</v>
      </c>
      <c r="AK57" s="67">
        <v>0</v>
      </c>
      <c r="AL57" s="66">
        <v>0</v>
      </c>
      <c r="AM57" s="22">
        <v>1410.01</v>
      </c>
      <c r="AN57" s="67">
        <v>0</v>
      </c>
      <c r="AO57" s="66">
        <v>0</v>
      </c>
      <c r="AP57" s="22">
        <v>3702.79</v>
      </c>
      <c r="AQ57" s="67">
        <v>0</v>
      </c>
      <c r="AR57" s="66">
        <v>0</v>
      </c>
      <c r="AS57" s="22">
        <v>5591.83</v>
      </c>
      <c r="AT57" s="67">
        <v>0</v>
      </c>
      <c r="AU57" s="66">
        <v>0</v>
      </c>
      <c r="AV57" s="22">
        <v>10438.73</v>
      </c>
      <c r="AW57" s="67">
        <v>0</v>
      </c>
      <c r="AX57" s="66">
        <v>0</v>
      </c>
      <c r="AY57" s="22">
        <v>2926.3</v>
      </c>
      <c r="AZ57" s="67"/>
      <c r="BA57" s="66"/>
      <c r="BB57" s="22"/>
      <c r="BC57" s="67"/>
      <c r="BD57" s="66"/>
      <c r="BE57" s="22"/>
      <c r="BF57" s="67"/>
      <c r="BG57" s="66"/>
      <c r="BH57" s="22"/>
    </row>
    <row r="58" spans="3:60" ht="20.25" x14ac:dyDescent="0.3">
      <c r="C58" s="8" t="s">
        <v>14</v>
      </c>
      <c r="D58" s="8"/>
      <c r="E58" s="7"/>
      <c r="F58" s="18">
        <f t="shared" si="6"/>
        <v>108987.08</v>
      </c>
      <c r="G58" s="8">
        <v>0</v>
      </c>
      <c r="H58" s="7">
        <v>0</v>
      </c>
      <c r="I58" s="18">
        <v>9860.5499999999993</v>
      </c>
      <c r="J58" s="8">
        <v>0</v>
      </c>
      <c r="K58" s="7">
        <v>0</v>
      </c>
      <c r="L58" s="18">
        <v>6540.97</v>
      </c>
      <c r="M58" s="8">
        <v>0</v>
      </c>
      <c r="N58" s="7">
        <v>0</v>
      </c>
      <c r="O58" s="18">
        <v>5591.73</v>
      </c>
      <c r="P58" s="8">
        <v>0</v>
      </c>
      <c r="Q58" s="7">
        <v>0</v>
      </c>
      <c r="R58" s="18">
        <v>6683.7</v>
      </c>
      <c r="S58" s="8">
        <v>0</v>
      </c>
      <c r="T58" s="7">
        <v>0</v>
      </c>
      <c r="U58" s="18">
        <v>22281.9</v>
      </c>
      <c r="V58" s="8">
        <v>0</v>
      </c>
      <c r="W58" s="7">
        <v>0</v>
      </c>
      <c r="X58" s="18">
        <v>9982.02</v>
      </c>
      <c r="Y58" s="8">
        <v>0</v>
      </c>
      <c r="Z58" s="7">
        <v>0</v>
      </c>
      <c r="AA58" s="18">
        <v>5858.05</v>
      </c>
      <c r="AB58" s="8">
        <v>0</v>
      </c>
      <c r="AC58" s="7">
        <v>0</v>
      </c>
      <c r="AD58" s="18">
        <v>3161.79</v>
      </c>
      <c r="AE58" s="8">
        <v>0</v>
      </c>
      <c r="AF58" s="7">
        <v>0</v>
      </c>
      <c r="AG58" s="18">
        <v>7025.76</v>
      </c>
      <c r="AH58" s="8">
        <v>0</v>
      </c>
      <c r="AI58" s="7">
        <v>0</v>
      </c>
      <c r="AJ58" s="18">
        <v>5045.3100000000004</v>
      </c>
      <c r="AK58" s="8">
        <v>0</v>
      </c>
      <c r="AL58" s="7">
        <v>0</v>
      </c>
      <c r="AM58" s="18">
        <v>3929.74</v>
      </c>
      <c r="AN58" s="8">
        <v>0</v>
      </c>
      <c r="AO58" s="7">
        <v>0</v>
      </c>
      <c r="AP58" s="18">
        <v>6694.58</v>
      </c>
      <c r="AQ58" s="8">
        <v>0</v>
      </c>
      <c r="AR58" s="7">
        <v>0</v>
      </c>
      <c r="AS58" s="18">
        <v>6892.81</v>
      </c>
      <c r="AT58" s="8">
        <v>0</v>
      </c>
      <c r="AU58" s="7">
        <v>0</v>
      </c>
      <c r="AV58" s="18">
        <v>6313.34</v>
      </c>
      <c r="AW58" s="8">
        <v>0</v>
      </c>
      <c r="AX58" s="7">
        <v>0</v>
      </c>
      <c r="AY58" s="18">
        <v>3124.83</v>
      </c>
      <c r="AZ58" s="8"/>
      <c r="BA58" s="7"/>
      <c r="BB58" s="18"/>
      <c r="BC58" s="8"/>
      <c r="BD58" s="7"/>
      <c r="BE58" s="18"/>
      <c r="BF58" s="8"/>
      <c r="BG58" s="7"/>
      <c r="BH58" s="18"/>
    </row>
    <row r="59" spans="3:60" ht="20.25" x14ac:dyDescent="0.3">
      <c r="C59" s="8" t="s">
        <v>13</v>
      </c>
      <c r="D59" s="8"/>
      <c r="E59" s="7"/>
      <c r="F59" s="18">
        <f t="shared" si="6"/>
        <v>26095.53</v>
      </c>
      <c r="G59" s="8">
        <v>0</v>
      </c>
      <c r="H59" s="7">
        <v>0</v>
      </c>
      <c r="I59" s="18">
        <v>3772.84</v>
      </c>
      <c r="J59" s="8">
        <v>0</v>
      </c>
      <c r="K59" s="7">
        <v>0</v>
      </c>
      <c r="L59" s="18">
        <v>1911.38</v>
      </c>
      <c r="M59" s="8">
        <v>0</v>
      </c>
      <c r="N59" s="7">
        <v>0</v>
      </c>
      <c r="O59" s="18">
        <v>928.42</v>
      </c>
      <c r="P59" s="8">
        <v>0</v>
      </c>
      <c r="Q59" s="7">
        <v>0</v>
      </c>
      <c r="R59" s="18">
        <v>1510.26</v>
      </c>
      <c r="S59" s="8">
        <v>0</v>
      </c>
      <c r="T59" s="7">
        <v>0</v>
      </c>
      <c r="U59" s="18">
        <v>5477.42</v>
      </c>
      <c r="V59" s="8">
        <v>0</v>
      </c>
      <c r="W59" s="7">
        <v>0</v>
      </c>
      <c r="X59" s="18">
        <v>2444.3000000000002</v>
      </c>
      <c r="Y59" s="8">
        <v>0</v>
      </c>
      <c r="Z59" s="7">
        <v>0</v>
      </c>
      <c r="AA59" s="18">
        <v>822.21</v>
      </c>
      <c r="AB59" s="8">
        <v>0</v>
      </c>
      <c r="AC59" s="7">
        <v>0</v>
      </c>
      <c r="AD59" s="18">
        <v>2644.89</v>
      </c>
      <c r="AE59" s="8">
        <v>0</v>
      </c>
      <c r="AF59" s="7">
        <v>0</v>
      </c>
      <c r="AG59" s="18">
        <v>734.8</v>
      </c>
      <c r="AH59" s="8">
        <v>0</v>
      </c>
      <c r="AI59" s="7">
        <v>0</v>
      </c>
      <c r="AJ59" s="18">
        <v>213.14</v>
      </c>
      <c r="AK59" s="8">
        <v>0</v>
      </c>
      <c r="AL59" s="7">
        <v>0</v>
      </c>
      <c r="AM59" s="18">
        <v>816.91</v>
      </c>
      <c r="AN59" s="8">
        <v>0</v>
      </c>
      <c r="AO59" s="7">
        <v>0</v>
      </c>
      <c r="AP59" s="18">
        <v>797.43</v>
      </c>
      <c r="AQ59" s="8">
        <v>0</v>
      </c>
      <c r="AR59" s="7">
        <v>0</v>
      </c>
      <c r="AS59" s="18">
        <v>2637.73</v>
      </c>
      <c r="AT59" s="8">
        <v>0</v>
      </c>
      <c r="AU59" s="7">
        <v>0</v>
      </c>
      <c r="AV59" s="18">
        <v>995.9</v>
      </c>
      <c r="AW59" s="8">
        <v>0</v>
      </c>
      <c r="AX59" s="7">
        <v>0</v>
      </c>
      <c r="AY59" s="18">
        <v>387.9</v>
      </c>
      <c r="AZ59" s="8"/>
      <c r="BA59" s="7"/>
      <c r="BB59" s="18"/>
      <c r="BC59" s="8"/>
      <c r="BD59" s="7"/>
      <c r="BE59" s="18"/>
      <c r="BF59" s="8"/>
      <c r="BG59" s="7"/>
      <c r="BH59" s="18"/>
    </row>
    <row r="60" spans="3:60" ht="20.25" x14ac:dyDescent="0.3">
      <c r="C60" s="67" t="s">
        <v>12</v>
      </c>
      <c r="D60" s="67"/>
      <c r="E60" s="66"/>
      <c r="F60" s="22">
        <f t="shared" si="6"/>
        <v>151434.54999999987</v>
      </c>
      <c r="G60" s="67">
        <v>0</v>
      </c>
      <c r="H60" s="66">
        <v>0</v>
      </c>
      <c r="I60" s="22">
        <v>11979.19</v>
      </c>
      <c r="J60" s="67">
        <v>0</v>
      </c>
      <c r="K60" s="66">
        <v>0</v>
      </c>
      <c r="L60" s="22">
        <v>15380.61</v>
      </c>
      <c r="M60" s="67">
        <v>0</v>
      </c>
      <c r="N60" s="66">
        <v>0</v>
      </c>
      <c r="O60" s="22">
        <v>3354.83</v>
      </c>
      <c r="P60" s="67">
        <v>0</v>
      </c>
      <c r="Q60" s="66">
        <v>0</v>
      </c>
      <c r="R60" s="22">
        <v>7109.59</v>
      </c>
      <c r="S60" s="67">
        <v>0</v>
      </c>
      <c r="T60" s="66">
        <v>0</v>
      </c>
      <c r="U60" s="22">
        <v>26127.319999999901</v>
      </c>
      <c r="V60" s="67">
        <v>0</v>
      </c>
      <c r="W60" s="66">
        <v>0</v>
      </c>
      <c r="X60" s="22">
        <v>15660.29</v>
      </c>
      <c r="Y60" s="67">
        <v>0</v>
      </c>
      <c r="Z60" s="66">
        <v>0</v>
      </c>
      <c r="AA60" s="22">
        <v>7059.54</v>
      </c>
      <c r="AB60" s="67">
        <v>0</v>
      </c>
      <c r="AC60" s="66">
        <v>0</v>
      </c>
      <c r="AD60" s="22">
        <v>3844.67</v>
      </c>
      <c r="AE60" s="67">
        <v>0</v>
      </c>
      <c r="AF60" s="66">
        <v>0</v>
      </c>
      <c r="AG60" s="22">
        <v>14168.1</v>
      </c>
      <c r="AH60" s="67">
        <v>0</v>
      </c>
      <c r="AI60" s="66">
        <v>0</v>
      </c>
      <c r="AJ60" s="22">
        <v>2779.8</v>
      </c>
      <c r="AK60" s="67">
        <v>0</v>
      </c>
      <c r="AL60" s="66">
        <v>0</v>
      </c>
      <c r="AM60" s="22">
        <v>7017.33</v>
      </c>
      <c r="AN60" s="67">
        <v>0</v>
      </c>
      <c r="AO60" s="66">
        <v>0</v>
      </c>
      <c r="AP60" s="22">
        <v>11656.09</v>
      </c>
      <c r="AQ60" s="67">
        <v>0</v>
      </c>
      <c r="AR60" s="66">
        <v>0</v>
      </c>
      <c r="AS60" s="22">
        <v>14025.93</v>
      </c>
      <c r="AT60" s="67">
        <v>0</v>
      </c>
      <c r="AU60" s="66">
        <v>0</v>
      </c>
      <c r="AV60" s="22">
        <v>7771.09</v>
      </c>
      <c r="AW60" s="67">
        <v>0</v>
      </c>
      <c r="AX60" s="66">
        <v>0</v>
      </c>
      <c r="AY60" s="22">
        <v>3500.1699999999901</v>
      </c>
      <c r="AZ60" s="67"/>
      <c r="BA60" s="66"/>
      <c r="BB60" s="22"/>
      <c r="BC60" s="67"/>
      <c r="BD60" s="66"/>
      <c r="BE60" s="22"/>
      <c r="BF60" s="67"/>
      <c r="BG60" s="66"/>
      <c r="BH60" s="22"/>
    </row>
    <row r="61" spans="3:60" ht="20.25" x14ac:dyDescent="0.3">
      <c r="C61" s="8" t="s">
        <v>11</v>
      </c>
      <c r="D61" s="8"/>
      <c r="E61" s="7"/>
      <c r="F61" s="18">
        <f t="shared" si="6"/>
        <v>1383.1299999999999</v>
      </c>
      <c r="G61" s="8">
        <v>0</v>
      </c>
      <c r="H61" s="7">
        <v>0</v>
      </c>
      <c r="I61" s="18">
        <v>81.64</v>
      </c>
      <c r="J61" s="8">
        <v>0</v>
      </c>
      <c r="K61" s="7">
        <v>0</v>
      </c>
      <c r="L61" s="18">
        <v>26.91</v>
      </c>
      <c r="M61" s="8">
        <v>0</v>
      </c>
      <c r="N61" s="7">
        <v>0</v>
      </c>
      <c r="O61" s="18">
        <v>4.9400000000000004</v>
      </c>
      <c r="P61" s="8">
        <v>0</v>
      </c>
      <c r="Q61" s="7">
        <v>0</v>
      </c>
      <c r="R61" s="18">
        <v>637.52</v>
      </c>
      <c r="S61" s="8">
        <v>0</v>
      </c>
      <c r="T61" s="7">
        <v>0</v>
      </c>
      <c r="U61" s="18">
        <v>38.03</v>
      </c>
      <c r="V61" s="8">
        <v>0</v>
      </c>
      <c r="W61" s="7">
        <v>0</v>
      </c>
      <c r="X61" s="18">
        <v>0</v>
      </c>
      <c r="Y61" s="8">
        <v>0</v>
      </c>
      <c r="Z61" s="7">
        <v>0</v>
      </c>
      <c r="AA61" s="18">
        <v>0</v>
      </c>
      <c r="AB61" s="8">
        <v>0</v>
      </c>
      <c r="AC61" s="7">
        <v>0</v>
      </c>
      <c r="AD61" s="18">
        <v>0</v>
      </c>
      <c r="AE61" s="8">
        <v>0</v>
      </c>
      <c r="AF61" s="7">
        <v>0</v>
      </c>
      <c r="AG61" s="18">
        <v>43.43</v>
      </c>
      <c r="AH61" s="8">
        <v>0</v>
      </c>
      <c r="AI61" s="7">
        <v>0</v>
      </c>
      <c r="AJ61" s="18">
        <v>274.52</v>
      </c>
      <c r="AK61" s="8">
        <v>0</v>
      </c>
      <c r="AL61" s="7">
        <v>0</v>
      </c>
      <c r="AM61" s="18">
        <v>0</v>
      </c>
      <c r="AN61" s="8">
        <v>0</v>
      </c>
      <c r="AO61" s="7">
        <v>0</v>
      </c>
      <c r="AP61" s="18">
        <v>0</v>
      </c>
      <c r="AQ61" s="8">
        <v>0</v>
      </c>
      <c r="AR61" s="7">
        <v>0</v>
      </c>
      <c r="AS61" s="18">
        <v>110.16</v>
      </c>
      <c r="AT61" s="8">
        <v>0</v>
      </c>
      <c r="AU61" s="7">
        <v>0</v>
      </c>
      <c r="AV61" s="18">
        <v>165.98</v>
      </c>
      <c r="AW61" s="8">
        <v>0</v>
      </c>
      <c r="AX61" s="7">
        <v>0</v>
      </c>
      <c r="AY61" s="18">
        <v>0</v>
      </c>
      <c r="AZ61" s="8"/>
      <c r="BA61" s="7"/>
      <c r="BB61" s="18"/>
      <c r="BC61" s="8"/>
      <c r="BD61" s="7"/>
      <c r="BE61" s="18"/>
      <c r="BF61" s="8"/>
      <c r="BG61" s="7"/>
      <c r="BH61" s="18"/>
    </row>
    <row r="62" spans="3:60" ht="20.25" x14ac:dyDescent="0.3">
      <c r="C62" s="8" t="s">
        <v>10</v>
      </c>
      <c r="D62" s="8"/>
      <c r="E62" s="7"/>
      <c r="F62" s="18">
        <f t="shared" si="6"/>
        <v>766.43999999999892</v>
      </c>
      <c r="G62" s="8">
        <v>0</v>
      </c>
      <c r="H62" s="7">
        <v>0</v>
      </c>
      <c r="I62" s="18">
        <v>0</v>
      </c>
      <c r="J62" s="8">
        <v>0</v>
      </c>
      <c r="K62" s="7">
        <v>0</v>
      </c>
      <c r="L62" s="18">
        <v>0</v>
      </c>
      <c r="M62" s="8">
        <v>0</v>
      </c>
      <c r="N62" s="7">
        <v>0</v>
      </c>
      <c r="O62" s="18">
        <v>0</v>
      </c>
      <c r="P62" s="8">
        <v>0</v>
      </c>
      <c r="Q62" s="7">
        <v>0</v>
      </c>
      <c r="R62" s="18">
        <v>0</v>
      </c>
      <c r="S62" s="8">
        <v>0</v>
      </c>
      <c r="T62" s="7">
        <v>0</v>
      </c>
      <c r="U62" s="18">
        <v>323.29999999999899</v>
      </c>
      <c r="V62" s="8">
        <v>0</v>
      </c>
      <c r="W62" s="7">
        <v>0</v>
      </c>
      <c r="X62" s="18">
        <v>0</v>
      </c>
      <c r="Y62" s="8">
        <v>0</v>
      </c>
      <c r="Z62" s="7">
        <v>0</v>
      </c>
      <c r="AA62" s="18">
        <v>60</v>
      </c>
      <c r="AB62" s="8">
        <v>0</v>
      </c>
      <c r="AC62" s="7">
        <v>0</v>
      </c>
      <c r="AD62" s="18">
        <v>0</v>
      </c>
      <c r="AE62" s="8">
        <v>0</v>
      </c>
      <c r="AF62" s="7">
        <v>0</v>
      </c>
      <c r="AG62" s="18">
        <v>0</v>
      </c>
      <c r="AH62" s="8">
        <v>0</v>
      </c>
      <c r="AI62" s="7">
        <v>0</v>
      </c>
      <c r="AJ62" s="18">
        <v>0</v>
      </c>
      <c r="AK62" s="8">
        <v>0</v>
      </c>
      <c r="AL62" s="7">
        <v>0</v>
      </c>
      <c r="AM62" s="18">
        <v>0</v>
      </c>
      <c r="AN62" s="8">
        <v>0</v>
      </c>
      <c r="AO62" s="7">
        <v>0</v>
      </c>
      <c r="AP62" s="18">
        <v>0</v>
      </c>
      <c r="AQ62" s="8">
        <v>0</v>
      </c>
      <c r="AR62" s="7">
        <v>0</v>
      </c>
      <c r="AS62" s="18">
        <v>383.14</v>
      </c>
      <c r="AT62" s="8">
        <v>0</v>
      </c>
      <c r="AU62" s="7">
        <v>0</v>
      </c>
      <c r="AV62" s="18">
        <v>0</v>
      </c>
      <c r="AW62" s="8">
        <v>0</v>
      </c>
      <c r="AX62" s="7">
        <v>0</v>
      </c>
      <c r="AY62" s="18">
        <v>0</v>
      </c>
      <c r="AZ62" s="8"/>
      <c r="BA62" s="7"/>
      <c r="BB62" s="18"/>
      <c r="BC62" s="8"/>
      <c r="BD62" s="7"/>
      <c r="BE62" s="18"/>
      <c r="BF62" s="8"/>
      <c r="BG62" s="7"/>
      <c r="BH62" s="18"/>
    </row>
    <row r="63" spans="3:60" ht="20.25" x14ac:dyDescent="0.3">
      <c r="C63" s="8" t="s">
        <v>9</v>
      </c>
      <c r="D63" s="8"/>
      <c r="E63" s="7"/>
      <c r="F63" s="18">
        <f t="shared" si="6"/>
        <v>11003.71</v>
      </c>
      <c r="G63" s="8">
        <v>0</v>
      </c>
      <c r="H63" s="7">
        <v>0</v>
      </c>
      <c r="I63" s="18">
        <v>1009.61</v>
      </c>
      <c r="J63" s="8">
        <v>0</v>
      </c>
      <c r="K63" s="7">
        <v>0</v>
      </c>
      <c r="L63" s="18">
        <v>682.89</v>
      </c>
      <c r="M63" s="8">
        <v>0</v>
      </c>
      <c r="N63" s="7">
        <v>0</v>
      </c>
      <c r="O63" s="18">
        <v>516.23</v>
      </c>
      <c r="P63" s="8">
        <v>0</v>
      </c>
      <c r="Q63" s="7">
        <v>0</v>
      </c>
      <c r="R63" s="18">
        <v>1763.58</v>
      </c>
      <c r="S63" s="8">
        <v>0</v>
      </c>
      <c r="T63" s="7">
        <v>0</v>
      </c>
      <c r="U63" s="18">
        <v>1009.94</v>
      </c>
      <c r="V63" s="8">
        <v>0</v>
      </c>
      <c r="W63" s="7">
        <v>0</v>
      </c>
      <c r="X63" s="18">
        <v>1487.58</v>
      </c>
      <c r="Y63" s="8">
        <v>0</v>
      </c>
      <c r="Z63" s="7">
        <v>0</v>
      </c>
      <c r="AA63" s="18">
        <v>740.56999999999903</v>
      </c>
      <c r="AB63" s="8">
        <v>0</v>
      </c>
      <c r="AC63" s="7">
        <v>0</v>
      </c>
      <c r="AD63" s="18">
        <v>593.9</v>
      </c>
      <c r="AE63" s="8">
        <v>0</v>
      </c>
      <c r="AF63" s="7">
        <v>0</v>
      </c>
      <c r="AG63" s="18">
        <v>396.92</v>
      </c>
      <c r="AH63" s="8">
        <v>0</v>
      </c>
      <c r="AI63" s="7">
        <v>0</v>
      </c>
      <c r="AJ63" s="18">
        <v>399.45</v>
      </c>
      <c r="AK63" s="8">
        <v>0</v>
      </c>
      <c r="AL63" s="7">
        <v>0</v>
      </c>
      <c r="AM63" s="18">
        <v>327.75</v>
      </c>
      <c r="AN63" s="8">
        <v>0</v>
      </c>
      <c r="AO63" s="7">
        <v>0</v>
      </c>
      <c r="AP63" s="18">
        <v>370.64</v>
      </c>
      <c r="AQ63" s="8">
        <v>0</v>
      </c>
      <c r="AR63" s="7">
        <v>0</v>
      </c>
      <c r="AS63" s="18">
        <v>22.69</v>
      </c>
      <c r="AT63" s="8">
        <v>0</v>
      </c>
      <c r="AU63" s="7">
        <v>0</v>
      </c>
      <c r="AV63" s="18">
        <v>1041.95</v>
      </c>
      <c r="AW63" s="8">
        <v>0</v>
      </c>
      <c r="AX63" s="7">
        <v>0</v>
      </c>
      <c r="AY63" s="18">
        <v>640.01</v>
      </c>
      <c r="AZ63" s="8"/>
      <c r="BA63" s="7"/>
      <c r="BB63" s="18"/>
      <c r="BC63" s="8"/>
      <c r="BD63" s="7"/>
      <c r="BE63" s="18"/>
      <c r="BF63" s="8"/>
      <c r="BG63" s="7"/>
      <c r="BH63" s="18"/>
    </row>
    <row r="64" spans="3:60" ht="20.25" x14ac:dyDescent="0.3">
      <c r="C64" s="8" t="s">
        <v>8</v>
      </c>
      <c r="D64" s="8"/>
      <c r="E64" s="7"/>
      <c r="F64" s="18">
        <f t="shared" si="6"/>
        <v>6203.3799999999992</v>
      </c>
      <c r="G64" s="8">
        <v>0</v>
      </c>
      <c r="H64" s="7">
        <v>0</v>
      </c>
      <c r="I64" s="18">
        <v>617.01</v>
      </c>
      <c r="J64" s="8">
        <v>0</v>
      </c>
      <c r="K64" s="7">
        <v>0</v>
      </c>
      <c r="L64" s="18">
        <v>420.71</v>
      </c>
      <c r="M64" s="8">
        <v>0</v>
      </c>
      <c r="N64" s="7">
        <v>0</v>
      </c>
      <c r="O64" s="18">
        <v>327.58999999999997</v>
      </c>
      <c r="P64" s="8">
        <v>0</v>
      </c>
      <c r="Q64" s="7">
        <v>0</v>
      </c>
      <c r="R64" s="18">
        <v>357.75</v>
      </c>
      <c r="S64" s="8">
        <v>0</v>
      </c>
      <c r="T64" s="7">
        <v>0</v>
      </c>
      <c r="U64" s="18">
        <v>2129.11</v>
      </c>
      <c r="V64" s="8">
        <v>0</v>
      </c>
      <c r="W64" s="7">
        <v>0</v>
      </c>
      <c r="X64" s="18">
        <v>362.4</v>
      </c>
      <c r="Y64" s="8">
        <v>0</v>
      </c>
      <c r="Z64" s="7">
        <v>0</v>
      </c>
      <c r="AA64" s="18">
        <v>138.15</v>
      </c>
      <c r="AB64" s="8">
        <v>0</v>
      </c>
      <c r="AC64" s="7">
        <v>0</v>
      </c>
      <c r="AD64" s="18">
        <v>209.46</v>
      </c>
      <c r="AE64" s="8">
        <v>0</v>
      </c>
      <c r="AF64" s="7">
        <v>0</v>
      </c>
      <c r="AG64" s="18">
        <v>168.96</v>
      </c>
      <c r="AH64" s="8">
        <v>0</v>
      </c>
      <c r="AI64" s="7">
        <v>0</v>
      </c>
      <c r="AJ64" s="18">
        <v>155.5</v>
      </c>
      <c r="AK64" s="8">
        <v>0</v>
      </c>
      <c r="AL64" s="7">
        <v>0</v>
      </c>
      <c r="AM64" s="18">
        <v>279.69</v>
      </c>
      <c r="AN64" s="8">
        <v>0</v>
      </c>
      <c r="AO64" s="7">
        <v>0</v>
      </c>
      <c r="AP64" s="18">
        <v>195.29</v>
      </c>
      <c r="AQ64" s="8">
        <v>0</v>
      </c>
      <c r="AR64" s="7">
        <v>0</v>
      </c>
      <c r="AS64" s="18">
        <v>216.96</v>
      </c>
      <c r="AT64" s="8">
        <v>0</v>
      </c>
      <c r="AU64" s="7">
        <v>0</v>
      </c>
      <c r="AV64" s="18">
        <v>439.54</v>
      </c>
      <c r="AW64" s="8">
        <v>0</v>
      </c>
      <c r="AX64" s="7">
        <v>0</v>
      </c>
      <c r="AY64" s="18">
        <v>185.26</v>
      </c>
      <c r="AZ64" s="8"/>
      <c r="BA64" s="7"/>
      <c r="BB64" s="18"/>
      <c r="BC64" s="8"/>
      <c r="BD64" s="7"/>
      <c r="BE64" s="18"/>
      <c r="BF64" s="8"/>
      <c r="BG64" s="7"/>
      <c r="BH64" s="18"/>
    </row>
    <row r="65" spans="3:60" ht="20.25" x14ac:dyDescent="0.3">
      <c r="C65" s="8" t="s">
        <v>7</v>
      </c>
      <c r="D65" s="8"/>
      <c r="E65" s="7"/>
      <c r="F65" s="18">
        <f t="shared" si="6"/>
        <v>2743.119999999999</v>
      </c>
      <c r="G65" s="8">
        <v>0</v>
      </c>
      <c r="H65" s="7">
        <v>0</v>
      </c>
      <c r="I65" s="18">
        <v>553.5</v>
      </c>
      <c r="J65" s="8">
        <v>0</v>
      </c>
      <c r="K65" s="7">
        <v>0</v>
      </c>
      <c r="L65" s="18">
        <v>271.35000000000002</v>
      </c>
      <c r="M65" s="8">
        <v>0</v>
      </c>
      <c r="N65" s="7">
        <v>0</v>
      </c>
      <c r="O65" s="18">
        <v>147.97999999999999</v>
      </c>
      <c r="P65" s="8">
        <v>0</v>
      </c>
      <c r="Q65" s="7">
        <v>0</v>
      </c>
      <c r="R65" s="18">
        <v>267.58999999999997</v>
      </c>
      <c r="S65" s="8">
        <v>0</v>
      </c>
      <c r="T65" s="7">
        <v>0</v>
      </c>
      <c r="U65" s="18">
        <v>384.19</v>
      </c>
      <c r="V65" s="8">
        <v>0</v>
      </c>
      <c r="W65" s="7">
        <v>0</v>
      </c>
      <c r="X65" s="18">
        <v>-107.64</v>
      </c>
      <c r="Y65" s="8">
        <v>0</v>
      </c>
      <c r="Z65" s="7">
        <v>0</v>
      </c>
      <c r="AA65" s="18">
        <v>131.85999999999899</v>
      </c>
      <c r="AB65" s="8">
        <v>0</v>
      </c>
      <c r="AC65" s="7">
        <v>0</v>
      </c>
      <c r="AD65" s="18">
        <v>179.36</v>
      </c>
      <c r="AE65" s="8">
        <v>0</v>
      </c>
      <c r="AF65" s="7">
        <v>0</v>
      </c>
      <c r="AG65" s="18">
        <v>230.73</v>
      </c>
      <c r="AH65" s="8">
        <v>0</v>
      </c>
      <c r="AI65" s="7">
        <v>0</v>
      </c>
      <c r="AJ65" s="18">
        <v>14.85</v>
      </c>
      <c r="AK65" s="8">
        <v>0</v>
      </c>
      <c r="AL65" s="7">
        <v>0</v>
      </c>
      <c r="AM65" s="18">
        <v>90.83</v>
      </c>
      <c r="AN65" s="8">
        <v>0</v>
      </c>
      <c r="AO65" s="7">
        <v>0</v>
      </c>
      <c r="AP65" s="18">
        <v>57.63</v>
      </c>
      <c r="AQ65" s="8">
        <v>0</v>
      </c>
      <c r="AR65" s="7">
        <v>0</v>
      </c>
      <c r="AS65" s="18">
        <v>72.989999999999995</v>
      </c>
      <c r="AT65" s="8">
        <v>0</v>
      </c>
      <c r="AU65" s="7">
        <v>0</v>
      </c>
      <c r="AV65" s="18">
        <v>447.9</v>
      </c>
      <c r="AW65" s="8">
        <v>0</v>
      </c>
      <c r="AX65" s="7">
        <v>0</v>
      </c>
      <c r="AY65" s="18">
        <v>0</v>
      </c>
      <c r="AZ65" s="8"/>
      <c r="BA65" s="7"/>
      <c r="BB65" s="18"/>
      <c r="BC65" s="8"/>
      <c r="BD65" s="7"/>
      <c r="BE65" s="18"/>
      <c r="BF65" s="8"/>
      <c r="BG65" s="7"/>
      <c r="BH65" s="18"/>
    </row>
    <row r="66" spans="3:60" ht="20.25" x14ac:dyDescent="0.3">
      <c r="C66" s="8" t="s">
        <v>6</v>
      </c>
      <c r="D66" s="8"/>
      <c r="E66" s="7"/>
      <c r="F66" s="18">
        <f t="shared" si="6"/>
        <v>17550.739999999991</v>
      </c>
      <c r="G66" s="8">
        <v>0</v>
      </c>
      <c r="H66" s="7">
        <v>0</v>
      </c>
      <c r="I66" s="18">
        <v>3594.64</v>
      </c>
      <c r="J66" s="8">
        <v>0</v>
      </c>
      <c r="K66" s="7">
        <v>0</v>
      </c>
      <c r="L66" s="18">
        <v>2039.21</v>
      </c>
      <c r="M66" s="8">
        <v>0</v>
      </c>
      <c r="N66" s="7">
        <v>0</v>
      </c>
      <c r="O66" s="18">
        <v>682.2</v>
      </c>
      <c r="P66" s="8">
        <v>0</v>
      </c>
      <c r="Q66" s="7">
        <v>0</v>
      </c>
      <c r="R66" s="18">
        <v>1320.9</v>
      </c>
      <c r="S66" s="8">
        <v>0</v>
      </c>
      <c r="T66" s="7">
        <v>0</v>
      </c>
      <c r="U66" s="18">
        <v>63</v>
      </c>
      <c r="V66" s="8">
        <v>0</v>
      </c>
      <c r="W66" s="7">
        <v>0</v>
      </c>
      <c r="X66" s="18">
        <v>62.72</v>
      </c>
      <c r="Y66" s="8">
        <v>0</v>
      </c>
      <c r="Z66" s="7">
        <v>0</v>
      </c>
      <c r="AA66" s="18">
        <v>2094.7600000000002</v>
      </c>
      <c r="AB66" s="8">
        <v>0</v>
      </c>
      <c r="AC66" s="7">
        <v>0</v>
      </c>
      <c r="AD66" s="18">
        <v>968.29</v>
      </c>
      <c r="AE66" s="8">
        <v>0</v>
      </c>
      <c r="AF66" s="7">
        <v>0</v>
      </c>
      <c r="AG66" s="18">
        <v>1872.01</v>
      </c>
      <c r="AH66" s="8">
        <v>0</v>
      </c>
      <c r="AI66" s="7">
        <v>0</v>
      </c>
      <c r="AJ66" s="18">
        <v>1293.98999999999</v>
      </c>
      <c r="AK66" s="8">
        <v>0</v>
      </c>
      <c r="AL66" s="7">
        <v>0</v>
      </c>
      <c r="AM66" s="18">
        <v>291.66000000000003</v>
      </c>
      <c r="AN66" s="8">
        <v>0</v>
      </c>
      <c r="AO66" s="7">
        <v>0</v>
      </c>
      <c r="AP66" s="18">
        <v>1591.65</v>
      </c>
      <c r="AQ66" s="8">
        <v>0</v>
      </c>
      <c r="AR66" s="7" t="s">
        <v>100</v>
      </c>
      <c r="AS66" s="18">
        <v>1512.24</v>
      </c>
      <c r="AT66" s="8">
        <v>0</v>
      </c>
      <c r="AU66" s="7">
        <v>0</v>
      </c>
      <c r="AV66" s="18">
        <v>71.209999999999994</v>
      </c>
      <c r="AW66" s="8">
        <v>0</v>
      </c>
      <c r="AX66" s="7">
        <v>0</v>
      </c>
      <c r="AY66" s="18">
        <v>92.26</v>
      </c>
      <c r="AZ66" s="8"/>
      <c r="BA66" s="7"/>
      <c r="BB66" s="18"/>
      <c r="BC66" s="8"/>
      <c r="BD66" s="7"/>
      <c r="BE66" s="18"/>
      <c r="BF66" s="8"/>
      <c r="BG66" s="7"/>
      <c r="BH66" s="18"/>
    </row>
    <row r="67" spans="3:60" ht="20.25" x14ac:dyDescent="0.3">
      <c r="C67" s="8" t="s">
        <v>5</v>
      </c>
      <c r="D67" s="8"/>
      <c r="E67" s="7"/>
      <c r="F67" s="18">
        <f t="shared" si="6"/>
        <v>16899.239999999998</v>
      </c>
      <c r="G67" s="8">
        <v>0</v>
      </c>
      <c r="H67" s="7">
        <v>0</v>
      </c>
      <c r="I67" s="18">
        <v>2711.88</v>
      </c>
      <c r="J67" s="8">
        <v>0</v>
      </c>
      <c r="K67" s="7">
        <v>0</v>
      </c>
      <c r="L67" s="18">
        <v>1893.17</v>
      </c>
      <c r="M67" s="8">
        <v>0</v>
      </c>
      <c r="N67" s="7">
        <v>0</v>
      </c>
      <c r="O67" s="18">
        <v>589.37</v>
      </c>
      <c r="P67" s="8">
        <v>0</v>
      </c>
      <c r="Q67" s="7">
        <v>0</v>
      </c>
      <c r="R67" s="18">
        <v>95.7</v>
      </c>
      <c r="S67" s="8">
        <v>0</v>
      </c>
      <c r="T67" s="7">
        <v>0</v>
      </c>
      <c r="U67" s="18">
        <v>6174</v>
      </c>
      <c r="V67" s="8">
        <v>0</v>
      </c>
      <c r="W67" s="7">
        <v>0</v>
      </c>
      <c r="X67" s="18">
        <v>2036.32</v>
      </c>
      <c r="Y67" s="8">
        <v>0</v>
      </c>
      <c r="Z67" s="7">
        <v>0</v>
      </c>
      <c r="AA67" s="18">
        <v>143.53</v>
      </c>
      <c r="AB67" s="8">
        <v>0</v>
      </c>
      <c r="AC67" s="7">
        <v>0</v>
      </c>
      <c r="AD67" s="18">
        <v>111.65</v>
      </c>
      <c r="AE67" s="8">
        <v>0</v>
      </c>
      <c r="AF67" s="7">
        <v>0</v>
      </c>
      <c r="AG67" s="18">
        <v>143.54</v>
      </c>
      <c r="AH67" s="8">
        <v>0</v>
      </c>
      <c r="AI67" s="7">
        <v>0</v>
      </c>
      <c r="AJ67" s="18">
        <v>1847.18</v>
      </c>
      <c r="AK67" s="8">
        <v>0</v>
      </c>
      <c r="AL67" s="7">
        <v>0</v>
      </c>
      <c r="AM67" s="18">
        <v>111.65</v>
      </c>
      <c r="AN67" s="8">
        <v>0</v>
      </c>
      <c r="AO67" s="7">
        <v>0</v>
      </c>
      <c r="AP67" s="18">
        <v>111.65</v>
      </c>
      <c r="AQ67" s="8">
        <v>0</v>
      </c>
      <c r="AR67" s="7">
        <v>0</v>
      </c>
      <c r="AS67" s="18">
        <v>111.65</v>
      </c>
      <c r="AT67" s="8">
        <v>0</v>
      </c>
      <c r="AU67" s="7">
        <v>0</v>
      </c>
      <c r="AV67" s="18">
        <v>683.97</v>
      </c>
      <c r="AW67" s="8">
        <v>0</v>
      </c>
      <c r="AX67" s="7">
        <v>0</v>
      </c>
      <c r="AY67" s="18">
        <v>133.97999999999999</v>
      </c>
      <c r="AZ67" s="8"/>
      <c r="BA67" s="7"/>
      <c r="BB67" s="18"/>
      <c r="BC67" s="8"/>
      <c r="BD67" s="7"/>
      <c r="BE67" s="18"/>
      <c r="BF67" s="8"/>
      <c r="BG67" s="7"/>
      <c r="BH67" s="18"/>
    </row>
    <row r="68" spans="3:60" ht="20.25" x14ac:dyDescent="0.3">
      <c r="C68" s="8" t="s">
        <v>4</v>
      </c>
      <c r="D68" s="8"/>
      <c r="E68" s="7"/>
      <c r="F68" s="18">
        <f t="shared" si="6"/>
        <v>20242.382799999999</v>
      </c>
      <c r="G68" s="8">
        <v>0</v>
      </c>
      <c r="H68" s="7">
        <v>0</v>
      </c>
      <c r="I68" s="18">
        <v>3258.15</v>
      </c>
      <c r="J68" s="8">
        <v>0</v>
      </c>
      <c r="K68" s="7">
        <v>0</v>
      </c>
      <c r="L68" s="18">
        <v>1738.91</v>
      </c>
      <c r="M68" s="8">
        <v>0</v>
      </c>
      <c r="N68" s="7">
        <v>0</v>
      </c>
      <c r="O68" s="18">
        <v>1540</v>
      </c>
      <c r="P68" s="8">
        <v>0</v>
      </c>
      <c r="Q68" s="7">
        <v>0</v>
      </c>
      <c r="R68" s="18">
        <v>367.35</v>
      </c>
      <c r="S68" s="8">
        <v>0</v>
      </c>
      <c r="T68" s="7">
        <v>0</v>
      </c>
      <c r="U68" s="18">
        <v>2087.11</v>
      </c>
      <c r="V68" s="8">
        <v>0</v>
      </c>
      <c r="W68" s="7">
        <v>0</v>
      </c>
      <c r="X68" s="18">
        <v>3225.79</v>
      </c>
      <c r="Y68" s="8">
        <v>0</v>
      </c>
      <c r="Z68" s="7">
        <v>0</v>
      </c>
      <c r="AA68" s="18">
        <v>1856.91</v>
      </c>
      <c r="AB68" s="8">
        <v>0</v>
      </c>
      <c r="AC68" s="7">
        <v>0</v>
      </c>
      <c r="AD68" s="18">
        <v>714.65</v>
      </c>
      <c r="AE68" s="8">
        <v>0</v>
      </c>
      <c r="AF68" s="7">
        <v>0</v>
      </c>
      <c r="AG68" s="18">
        <v>1724.16</v>
      </c>
      <c r="AH68" s="8">
        <v>0</v>
      </c>
      <c r="AI68" s="7">
        <v>0</v>
      </c>
      <c r="AJ68" s="18">
        <v>546.69000000000005</v>
      </c>
      <c r="AK68" s="8">
        <v>0</v>
      </c>
      <c r="AL68" s="7">
        <v>0</v>
      </c>
      <c r="AM68" s="18">
        <v>372.33280000000002</v>
      </c>
      <c r="AN68" s="8">
        <v>0</v>
      </c>
      <c r="AO68" s="7">
        <v>0</v>
      </c>
      <c r="AP68" s="18">
        <v>-199.53</v>
      </c>
      <c r="AQ68" s="8">
        <v>0</v>
      </c>
      <c r="AR68" s="7">
        <v>0</v>
      </c>
      <c r="AS68" s="18">
        <v>-178.43</v>
      </c>
      <c r="AT68" s="8">
        <v>0</v>
      </c>
      <c r="AU68" s="7">
        <v>0</v>
      </c>
      <c r="AV68" s="18">
        <v>2165.37</v>
      </c>
      <c r="AW68" s="8">
        <v>0</v>
      </c>
      <c r="AX68" s="7">
        <v>0</v>
      </c>
      <c r="AY68" s="18">
        <v>1022.92</v>
      </c>
      <c r="AZ68" s="8"/>
      <c r="BA68" s="7"/>
      <c r="BB68" s="18"/>
      <c r="BC68" s="8"/>
      <c r="BD68" s="7"/>
      <c r="BE68" s="18"/>
      <c r="BF68" s="8"/>
      <c r="BG68" s="7"/>
      <c r="BH68" s="18"/>
    </row>
    <row r="69" spans="3:60" ht="20.25" hidden="1" x14ac:dyDescent="0.3">
      <c r="C69" s="8" t="s">
        <v>3</v>
      </c>
      <c r="D69" s="8"/>
      <c r="E69" s="7"/>
      <c r="F69" s="18">
        <f t="shared" si="6"/>
        <v>0</v>
      </c>
      <c r="G69" s="8">
        <v>0</v>
      </c>
      <c r="H69" s="7">
        <v>0</v>
      </c>
      <c r="I69" s="18">
        <v>0</v>
      </c>
      <c r="J69" s="8">
        <v>0</v>
      </c>
      <c r="K69" s="7">
        <v>0</v>
      </c>
      <c r="L69" s="18">
        <v>0</v>
      </c>
      <c r="M69" s="8">
        <v>0</v>
      </c>
      <c r="N69" s="7">
        <v>0</v>
      </c>
      <c r="O69" s="18">
        <v>0</v>
      </c>
      <c r="P69" s="8">
        <v>0</v>
      </c>
      <c r="Q69" s="7">
        <v>0</v>
      </c>
      <c r="R69" s="18">
        <v>0</v>
      </c>
      <c r="S69" s="8">
        <v>0</v>
      </c>
      <c r="T69" s="7">
        <v>0</v>
      </c>
      <c r="U69" s="18">
        <v>0</v>
      </c>
      <c r="V69" s="8">
        <v>0</v>
      </c>
      <c r="W69" s="7">
        <v>0</v>
      </c>
      <c r="X69" s="18">
        <v>0</v>
      </c>
      <c r="Y69" s="8">
        <v>0</v>
      </c>
      <c r="Z69" s="7">
        <v>0</v>
      </c>
      <c r="AA69" s="18">
        <v>0</v>
      </c>
      <c r="AB69" s="8">
        <v>0</v>
      </c>
      <c r="AC69" s="7">
        <v>0</v>
      </c>
      <c r="AD69" s="18">
        <v>0</v>
      </c>
      <c r="AE69" s="8">
        <v>0</v>
      </c>
      <c r="AF69" s="7">
        <v>0</v>
      </c>
      <c r="AG69" s="18">
        <v>0</v>
      </c>
      <c r="AH69" s="8">
        <v>0</v>
      </c>
      <c r="AI69" s="7">
        <v>0</v>
      </c>
      <c r="AJ69" s="18">
        <v>0</v>
      </c>
      <c r="AK69" s="8">
        <v>0</v>
      </c>
      <c r="AL69" s="7">
        <v>0</v>
      </c>
      <c r="AM69" s="18">
        <v>0</v>
      </c>
      <c r="AN69" s="8">
        <v>0</v>
      </c>
      <c r="AO69" s="7">
        <v>0</v>
      </c>
      <c r="AP69" s="18">
        <v>0</v>
      </c>
      <c r="AQ69" s="8">
        <v>0</v>
      </c>
      <c r="AR69" s="7">
        <v>0</v>
      </c>
      <c r="AS69" s="18">
        <v>0</v>
      </c>
      <c r="AT69" s="8">
        <v>0</v>
      </c>
      <c r="AU69" s="7">
        <v>0</v>
      </c>
      <c r="AV69" s="18">
        <v>0</v>
      </c>
      <c r="AW69" s="8">
        <v>0</v>
      </c>
      <c r="AX69" s="7">
        <v>0</v>
      </c>
      <c r="AY69" s="18">
        <v>0</v>
      </c>
      <c r="AZ69" s="8"/>
      <c r="BA69" s="7"/>
      <c r="BB69" s="18"/>
      <c r="BC69" s="8"/>
      <c r="BD69" s="7"/>
      <c r="BE69" s="18"/>
      <c r="BF69" s="8"/>
      <c r="BG69" s="7"/>
      <c r="BH69" s="18"/>
    </row>
    <row r="70" spans="3:60" ht="20.25" hidden="1" x14ac:dyDescent="0.3">
      <c r="C70" s="8" t="s">
        <v>3</v>
      </c>
      <c r="D70" s="8"/>
      <c r="E70" s="7"/>
      <c r="F70" s="18">
        <f t="shared" si="6"/>
        <v>0</v>
      </c>
      <c r="G70" s="8">
        <v>0</v>
      </c>
      <c r="H70" s="7">
        <v>0</v>
      </c>
      <c r="I70" s="18">
        <v>0</v>
      </c>
      <c r="J70" s="8">
        <v>0</v>
      </c>
      <c r="K70" s="7">
        <v>0</v>
      </c>
      <c r="L70" s="18">
        <v>0</v>
      </c>
      <c r="M70" s="8">
        <v>0</v>
      </c>
      <c r="N70" s="7">
        <v>0</v>
      </c>
      <c r="O70" s="18">
        <v>0</v>
      </c>
      <c r="P70" s="8">
        <v>0</v>
      </c>
      <c r="Q70" s="7">
        <v>0</v>
      </c>
      <c r="R70" s="18">
        <v>0</v>
      </c>
      <c r="S70" s="8">
        <v>0</v>
      </c>
      <c r="T70" s="7">
        <v>0</v>
      </c>
      <c r="U70" s="18">
        <v>0</v>
      </c>
      <c r="V70" s="8">
        <v>0</v>
      </c>
      <c r="W70" s="7">
        <v>0</v>
      </c>
      <c r="X70" s="18">
        <v>0</v>
      </c>
      <c r="Y70" s="8">
        <v>0</v>
      </c>
      <c r="Z70" s="7">
        <v>0</v>
      </c>
      <c r="AA70" s="18">
        <v>0</v>
      </c>
      <c r="AB70" s="8">
        <v>0</v>
      </c>
      <c r="AC70" s="7">
        <v>0</v>
      </c>
      <c r="AD70" s="18">
        <v>0</v>
      </c>
      <c r="AE70" s="8">
        <v>0</v>
      </c>
      <c r="AF70" s="7">
        <v>0</v>
      </c>
      <c r="AG70" s="18">
        <v>0</v>
      </c>
      <c r="AH70" s="8">
        <v>0</v>
      </c>
      <c r="AI70" s="7">
        <v>0</v>
      </c>
      <c r="AJ70" s="18">
        <v>0</v>
      </c>
      <c r="AK70" s="8">
        <v>0</v>
      </c>
      <c r="AL70" s="7">
        <v>0</v>
      </c>
      <c r="AM70" s="18">
        <v>0</v>
      </c>
      <c r="AN70" s="8">
        <v>0</v>
      </c>
      <c r="AO70" s="7">
        <v>0</v>
      </c>
      <c r="AP70" s="18">
        <v>0</v>
      </c>
      <c r="AQ70" s="8">
        <v>0</v>
      </c>
      <c r="AR70" s="7">
        <v>0</v>
      </c>
      <c r="AS70" s="18">
        <v>0</v>
      </c>
      <c r="AT70" s="8">
        <v>0</v>
      </c>
      <c r="AU70" s="7">
        <v>0</v>
      </c>
      <c r="AV70" s="18">
        <v>0</v>
      </c>
      <c r="AW70" s="8">
        <v>0</v>
      </c>
      <c r="AX70" s="7">
        <v>0</v>
      </c>
      <c r="AY70" s="18">
        <v>0</v>
      </c>
      <c r="AZ70" s="8"/>
      <c r="BA70" s="7"/>
      <c r="BB70" s="18"/>
      <c r="BC70" s="8"/>
      <c r="BD70" s="7"/>
      <c r="BE70" s="18"/>
      <c r="BF70" s="8"/>
      <c r="BG70" s="7"/>
      <c r="BH70" s="18"/>
    </row>
    <row r="71" spans="3:60" ht="20.25" hidden="1" x14ac:dyDescent="0.3">
      <c r="C71" s="8" t="s">
        <v>3</v>
      </c>
      <c r="D71" s="8"/>
      <c r="E71" s="7"/>
      <c r="F71" s="18">
        <f t="shared" si="6"/>
        <v>0</v>
      </c>
      <c r="G71" s="8">
        <v>0</v>
      </c>
      <c r="H71" s="7">
        <v>0</v>
      </c>
      <c r="I71" s="18">
        <v>0</v>
      </c>
      <c r="J71" s="8">
        <v>0</v>
      </c>
      <c r="K71" s="7">
        <v>0</v>
      </c>
      <c r="L71" s="18">
        <v>0</v>
      </c>
      <c r="M71" s="8">
        <v>0</v>
      </c>
      <c r="N71" s="7">
        <v>0</v>
      </c>
      <c r="O71" s="18">
        <v>0</v>
      </c>
      <c r="P71" s="8">
        <v>0</v>
      </c>
      <c r="Q71" s="7">
        <v>0</v>
      </c>
      <c r="R71" s="18">
        <v>0</v>
      </c>
      <c r="S71" s="8">
        <v>0</v>
      </c>
      <c r="T71" s="7">
        <v>0</v>
      </c>
      <c r="U71" s="18">
        <v>0</v>
      </c>
      <c r="V71" s="8">
        <v>0</v>
      </c>
      <c r="W71" s="7">
        <v>0</v>
      </c>
      <c r="X71" s="18">
        <v>0</v>
      </c>
      <c r="Y71" s="8">
        <v>0</v>
      </c>
      <c r="Z71" s="7">
        <v>0</v>
      </c>
      <c r="AA71" s="18">
        <v>0</v>
      </c>
      <c r="AB71" s="8">
        <v>0</v>
      </c>
      <c r="AC71" s="7">
        <v>0</v>
      </c>
      <c r="AD71" s="18">
        <v>0</v>
      </c>
      <c r="AE71" s="8">
        <v>0</v>
      </c>
      <c r="AF71" s="7">
        <v>0</v>
      </c>
      <c r="AG71" s="18">
        <v>0</v>
      </c>
      <c r="AH71" s="8">
        <v>0</v>
      </c>
      <c r="AI71" s="7">
        <v>0</v>
      </c>
      <c r="AJ71" s="18">
        <v>0</v>
      </c>
      <c r="AK71" s="8">
        <v>0</v>
      </c>
      <c r="AL71" s="7">
        <v>0</v>
      </c>
      <c r="AM71" s="18">
        <v>0</v>
      </c>
      <c r="AN71" s="8">
        <v>0</v>
      </c>
      <c r="AO71" s="7">
        <v>0</v>
      </c>
      <c r="AP71" s="18">
        <v>0</v>
      </c>
      <c r="AQ71" s="8">
        <v>0</v>
      </c>
      <c r="AR71" s="7">
        <v>0</v>
      </c>
      <c r="AS71" s="18">
        <v>0</v>
      </c>
      <c r="AT71" s="8">
        <v>0</v>
      </c>
      <c r="AU71" s="7">
        <v>0</v>
      </c>
      <c r="AV71" s="18">
        <v>0</v>
      </c>
      <c r="AW71" s="8">
        <v>0</v>
      </c>
      <c r="AX71" s="7">
        <v>0</v>
      </c>
      <c r="AY71" s="18">
        <v>0</v>
      </c>
      <c r="AZ71" s="8"/>
      <c r="BA71" s="7"/>
      <c r="BB71" s="18"/>
      <c r="BC71" s="8"/>
      <c r="BD71" s="7"/>
      <c r="BE71" s="18"/>
      <c r="BF71" s="8"/>
      <c r="BG71" s="7"/>
      <c r="BH71" s="18"/>
    </row>
    <row r="72" spans="3:60" ht="20.25" x14ac:dyDescent="0.3">
      <c r="C72" s="11" t="s">
        <v>2</v>
      </c>
      <c r="D72" s="64"/>
      <c r="E72" s="14"/>
      <c r="F72" s="12">
        <f>SUM(F55:F68)</f>
        <v>494676.26279999985</v>
      </c>
      <c r="G72" s="64" t="s">
        <v>18</v>
      </c>
      <c r="H72" s="14">
        <v>0.414339209284736</v>
      </c>
      <c r="I72" s="12">
        <v>46850.71</v>
      </c>
      <c r="J72" s="64" t="s">
        <v>18</v>
      </c>
      <c r="K72" s="14">
        <v>0.49424751183776</v>
      </c>
      <c r="L72" s="12">
        <v>37137.160000000003</v>
      </c>
      <c r="M72" s="64" t="s">
        <v>18</v>
      </c>
      <c r="N72" s="14">
        <v>0.32825795057437701</v>
      </c>
      <c r="O72" s="12">
        <v>19880.259999999998</v>
      </c>
      <c r="P72" s="64" t="s">
        <v>18</v>
      </c>
      <c r="Q72" s="14">
        <v>0.26295791543258201</v>
      </c>
      <c r="R72" s="12">
        <v>49543.63</v>
      </c>
      <c r="S72" s="64" t="s">
        <v>18</v>
      </c>
      <c r="T72" s="14">
        <v>0.17128266774759299</v>
      </c>
      <c r="U72" s="12">
        <v>83826.94</v>
      </c>
      <c r="V72" s="64" t="s">
        <v>18</v>
      </c>
      <c r="W72" s="14">
        <v>0.30615128064205399</v>
      </c>
      <c r="X72" s="12">
        <v>53125.4</v>
      </c>
      <c r="Y72" s="64" t="s">
        <v>18</v>
      </c>
      <c r="Z72" s="14">
        <v>0.14949447861087301</v>
      </c>
      <c r="AA72" s="12">
        <v>22954.49</v>
      </c>
      <c r="AB72" s="64" t="s">
        <v>18</v>
      </c>
      <c r="AC72" s="14">
        <v>0.17523484094170899</v>
      </c>
      <c r="AD72" s="12">
        <v>19234.23</v>
      </c>
      <c r="AE72" s="64" t="s">
        <v>18</v>
      </c>
      <c r="AF72" s="14">
        <v>0.26161823669753398</v>
      </c>
      <c r="AG72" s="12">
        <v>33732.370000000003</v>
      </c>
      <c r="AH72" s="64" t="s">
        <v>18</v>
      </c>
      <c r="AI72" s="14">
        <v>0.38075668524711198</v>
      </c>
      <c r="AJ72" s="12">
        <v>14816.64</v>
      </c>
      <c r="AK72" s="64" t="s">
        <v>18</v>
      </c>
      <c r="AL72" s="14">
        <v>0.95689894223029004</v>
      </c>
      <c r="AM72" s="12">
        <v>14647.9028</v>
      </c>
      <c r="AN72" s="64" t="s">
        <v>18</v>
      </c>
      <c r="AO72" s="14">
        <v>0.39577369764854398</v>
      </c>
      <c r="AP72" s="12">
        <v>24978.22</v>
      </c>
      <c r="AQ72" s="64" t="s">
        <v>18</v>
      </c>
      <c r="AR72" s="14">
        <v>0.32820290157132298</v>
      </c>
      <c r="AS72" s="12">
        <v>31399.7</v>
      </c>
      <c r="AT72" s="64" t="s">
        <v>18</v>
      </c>
      <c r="AU72" s="14">
        <v>0.22450388542331701</v>
      </c>
      <c r="AV72" s="12">
        <v>30534.98</v>
      </c>
      <c r="AW72" s="64" t="s">
        <v>18</v>
      </c>
      <c r="AX72" s="14">
        <v>0.16428352046332201</v>
      </c>
      <c r="AY72" s="12">
        <v>12013.63</v>
      </c>
      <c r="AZ72" s="64"/>
      <c r="BA72" s="14"/>
      <c r="BB72" s="12"/>
      <c r="BC72" s="64"/>
      <c r="BD72" s="14"/>
      <c r="BE72" s="12"/>
      <c r="BF72" s="64"/>
      <c r="BG72" s="14"/>
      <c r="BH72" s="12"/>
    </row>
    <row r="73" spans="3:60" ht="20.25" x14ac:dyDescent="0.3">
      <c r="C73" s="67"/>
      <c r="D73" s="67"/>
      <c r="E73" s="66"/>
      <c r="F73" s="65"/>
      <c r="G73" s="67">
        <v>0</v>
      </c>
      <c r="H73" s="66">
        <v>0</v>
      </c>
      <c r="I73" s="65">
        <v>0</v>
      </c>
      <c r="J73" s="67">
        <v>0</v>
      </c>
      <c r="K73" s="66">
        <v>0</v>
      </c>
      <c r="L73" s="65">
        <v>0</v>
      </c>
      <c r="M73" s="67">
        <v>0</v>
      </c>
      <c r="N73" s="66">
        <v>0</v>
      </c>
      <c r="O73" s="65">
        <v>0</v>
      </c>
      <c r="P73" s="67">
        <v>0</v>
      </c>
      <c r="Q73" s="66">
        <v>0</v>
      </c>
      <c r="R73" s="65">
        <v>0</v>
      </c>
      <c r="S73" s="67">
        <v>0</v>
      </c>
      <c r="T73" s="66">
        <v>0</v>
      </c>
      <c r="U73" s="65">
        <v>0</v>
      </c>
      <c r="V73" s="67">
        <v>0</v>
      </c>
      <c r="W73" s="66">
        <v>0</v>
      </c>
      <c r="X73" s="65">
        <v>0</v>
      </c>
      <c r="Y73" s="67">
        <v>0</v>
      </c>
      <c r="Z73" s="66">
        <v>0</v>
      </c>
      <c r="AA73" s="65">
        <v>0</v>
      </c>
      <c r="AB73" s="67">
        <v>0</v>
      </c>
      <c r="AC73" s="66">
        <v>0</v>
      </c>
      <c r="AD73" s="65">
        <v>0</v>
      </c>
      <c r="AE73" s="67">
        <v>0</v>
      </c>
      <c r="AF73" s="66">
        <v>0</v>
      </c>
      <c r="AG73" s="65">
        <v>0</v>
      </c>
      <c r="AH73" s="67">
        <v>0</v>
      </c>
      <c r="AI73" s="66">
        <v>0</v>
      </c>
      <c r="AJ73" s="65">
        <v>0</v>
      </c>
      <c r="AK73" s="67">
        <v>0</v>
      </c>
      <c r="AL73" s="66">
        <v>0</v>
      </c>
      <c r="AM73" s="65">
        <v>0</v>
      </c>
      <c r="AN73" s="67">
        <v>0</v>
      </c>
      <c r="AO73" s="66">
        <v>0</v>
      </c>
      <c r="AP73" s="65">
        <v>0</v>
      </c>
      <c r="AQ73" s="67">
        <v>0</v>
      </c>
      <c r="AR73" s="66">
        <v>0</v>
      </c>
      <c r="AS73" s="65">
        <v>0</v>
      </c>
      <c r="AT73" s="67">
        <v>0</v>
      </c>
      <c r="AU73" s="66">
        <v>0</v>
      </c>
      <c r="AV73" s="65">
        <v>0</v>
      </c>
      <c r="AW73" s="67">
        <v>0</v>
      </c>
      <c r="AX73" s="66">
        <v>0</v>
      </c>
      <c r="AY73" s="65">
        <v>0</v>
      </c>
      <c r="AZ73" s="67"/>
      <c r="BA73" s="66"/>
      <c r="BB73" s="65"/>
      <c r="BC73" s="67"/>
      <c r="BD73" s="66"/>
      <c r="BE73" s="65"/>
      <c r="BF73" s="67"/>
      <c r="BG73" s="66"/>
      <c r="BH73" s="65"/>
    </row>
    <row r="74" spans="3:60" ht="20.25" x14ac:dyDescent="0.3">
      <c r="C74" s="11" t="s">
        <v>1</v>
      </c>
      <c r="D74" s="64"/>
      <c r="E74" s="14"/>
      <c r="F74" s="12">
        <f>F41+F54+F72</f>
        <v>2845832.6227999995</v>
      </c>
      <c r="G74" s="64" t="s">
        <v>18</v>
      </c>
      <c r="H74" s="14">
        <v>1.9502296386097</v>
      </c>
      <c r="I74" s="12">
        <v>220518.94</v>
      </c>
      <c r="J74" s="64" t="s">
        <v>18</v>
      </c>
      <c r="K74" s="14">
        <v>2.1390631922606098</v>
      </c>
      <c r="L74" s="12">
        <v>160726.62</v>
      </c>
      <c r="M74" s="64" t="s">
        <v>18</v>
      </c>
      <c r="N74" s="14">
        <v>1.7461866105531201</v>
      </c>
      <c r="O74" s="12">
        <v>105754.16</v>
      </c>
      <c r="P74" s="64" t="s">
        <v>18</v>
      </c>
      <c r="Q74" s="14">
        <v>1.5241832169667899</v>
      </c>
      <c r="R74" s="12">
        <v>287169.78999999998</v>
      </c>
      <c r="S74" s="64" t="s">
        <v>18</v>
      </c>
      <c r="T74" s="14">
        <v>1.2647950779292001</v>
      </c>
      <c r="U74" s="12">
        <v>618999.58999999904</v>
      </c>
      <c r="V74" s="64" t="s">
        <v>18</v>
      </c>
      <c r="W74" s="14">
        <v>1.9288339201885001</v>
      </c>
      <c r="X74" s="12">
        <v>334704.05</v>
      </c>
      <c r="Y74" s="64" t="s">
        <v>18</v>
      </c>
      <c r="Z74" s="14">
        <v>1.07030440956314</v>
      </c>
      <c r="AA74" s="12">
        <v>164342.46999999901</v>
      </c>
      <c r="AB74" s="64" t="s">
        <v>18</v>
      </c>
      <c r="AC74" s="14">
        <v>1.20764305944311</v>
      </c>
      <c r="AD74" s="12">
        <v>132554.03</v>
      </c>
      <c r="AE74" s="64" t="s">
        <v>18</v>
      </c>
      <c r="AF74" s="14">
        <v>1.2674210535377599</v>
      </c>
      <c r="AG74" s="12">
        <v>163417.95000000001</v>
      </c>
      <c r="AH74" s="64" t="s">
        <v>18</v>
      </c>
      <c r="AI74" s="14">
        <v>2.66519220623498</v>
      </c>
      <c r="AJ74" s="12">
        <v>103712.41</v>
      </c>
      <c r="AK74" s="64" t="s">
        <v>18</v>
      </c>
      <c r="AL74" s="14">
        <v>5.0652229991741899</v>
      </c>
      <c r="AM74" s="12">
        <v>77536.8128</v>
      </c>
      <c r="AN74" s="64" t="s">
        <v>18</v>
      </c>
      <c r="AO74" s="14">
        <v>1.7242941876063</v>
      </c>
      <c r="AP74" s="12">
        <v>108824.31</v>
      </c>
      <c r="AQ74" s="64" t="s">
        <v>18</v>
      </c>
      <c r="AR74" s="14">
        <v>1.52858847049819</v>
      </c>
      <c r="AS74" s="12">
        <v>146242.51999999999</v>
      </c>
      <c r="AT74" s="64" t="s">
        <v>18</v>
      </c>
      <c r="AU74" s="14">
        <v>0.99959010644145296</v>
      </c>
      <c r="AV74" s="12">
        <v>135955.17000000001</v>
      </c>
      <c r="AW74" s="64" t="s">
        <v>18</v>
      </c>
      <c r="AX74" s="14">
        <v>1.1674663211145599</v>
      </c>
      <c r="AY74" s="12">
        <v>85373.8</v>
      </c>
      <c r="AZ74" s="64"/>
      <c r="BA74" s="14"/>
      <c r="BB74" s="12"/>
      <c r="BC74" s="64"/>
      <c r="BD74" s="14"/>
      <c r="BE74" s="12"/>
      <c r="BF74" s="64"/>
      <c r="BG74" s="14"/>
      <c r="BH74" s="12"/>
    </row>
    <row r="75" spans="3:60" ht="20.25" x14ac:dyDescent="0.3">
      <c r="C75" s="8" t="s">
        <v>99</v>
      </c>
      <c r="D75" s="8"/>
      <c r="E75" s="7"/>
      <c r="F75" s="18">
        <f t="shared" ref="F75:F82" si="7">+SUM(I75,L75,O75,R75,U75,X75,AA75,AD75,AG75,AJ75,AM75,AP75,AS75,AV75,AY75,BB75,BE75,BH75)</f>
        <v>1156784.73</v>
      </c>
      <c r="G75" s="8">
        <v>0</v>
      </c>
      <c r="H75" s="97">
        <v>0</v>
      </c>
      <c r="I75" s="18">
        <v>21060.46</v>
      </c>
      <c r="J75" s="8">
        <v>0</v>
      </c>
      <c r="K75" s="97">
        <v>0</v>
      </c>
      <c r="L75" s="18">
        <v>26771.51</v>
      </c>
      <c r="M75" s="8">
        <v>0</v>
      </c>
      <c r="N75" s="97">
        <v>0</v>
      </c>
      <c r="O75" s="18">
        <v>12930.84</v>
      </c>
      <c r="P75" s="8">
        <v>0</v>
      </c>
      <c r="Q75" s="97">
        <v>0</v>
      </c>
      <c r="R75" s="18">
        <v>290100</v>
      </c>
      <c r="S75" s="8">
        <v>0</v>
      </c>
      <c r="T75" s="97">
        <v>0</v>
      </c>
      <c r="U75" s="18">
        <v>550254.19999999995</v>
      </c>
      <c r="V75" s="8">
        <v>0</v>
      </c>
      <c r="W75" s="97">
        <v>1250</v>
      </c>
      <c r="X75" s="18">
        <v>80000</v>
      </c>
      <c r="Y75" s="8">
        <v>0</v>
      </c>
      <c r="Z75" s="97">
        <v>0</v>
      </c>
      <c r="AA75" s="18">
        <v>39615.81</v>
      </c>
      <c r="AB75" s="8">
        <v>0</v>
      </c>
      <c r="AC75" s="97">
        <v>0</v>
      </c>
      <c r="AD75" s="18">
        <v>27959</v>
      </c>
      <c r="AE75" s="8">
        <v>0</v>
      </c>
      <c r="AF75" s="97">
        <v>0</v>
      </c>
      <c r="AG75" s="18">
        <v>80462</v>
      </c>
      <c r="AH75" s="8">
        <v>0</v>
      </c>
      <c r="AI75" s="97">
        <v>0</v>
      </c>
      <c r="AJ75" s="18">
        <v>866.52</v>
      </c>
      <c r="AK75" s="8">
        <v>0</v>
      </c>
      <c r="AL75" s="97">
        <v>0</v>
      </c>
      <c r="AM75" s="18">
        <v>9818.39</v>
      </c>
      <c r="AN75" s="8">
        <v>0</v>
      </c>
      <c r="AO75" s="97">
        <v>0</v>
      </c>
      <c r="AP75" s="18">
        <v>3721</v>
      </c>
      <c r="AQ75" s="8">
        <v>0</v>
      </c>
      <c r="AR75" s="97">
        <v>0</v>
      </c>
      <c r="AS75" s="18">
        <v>8612</v>
      </c>
      <c r="AT75" s="8">
        <v>0</v>
      </c>
      <c r="AU75" s="97">
        <v>0</v>
      </c>
      <c r="AV75" s="18">
        <v>0</v>
      </c>
      <c r="AW75" s="8">
        <v>0</v>
      </c>
      <c r="AX75" s="97">
        <v>0</v>
      </c>
      <c r="AY75" s="18">
        <v>4613</v>
      </c>
      <c r="AZ75" s="8"/>
      <c r="BA75" s="97"/>
      <c r="BB75" s="18"/>
      <c r="BC75" s="8"/>
      <c r="BD75" s="97"/>
      <c r="BE75" s="18"/>
      <c r="BF75" s="8"/>
      <c r="BG75" s="97"/>
      <c r="BH75" s="18"/>
    </row>
    <row r="76" spans="3:60" ht="20.25" x14ac:dyDescent="0.3">
      <c r="C76" s="8" t="s">
        <v>98</v>
      </c>
      <c r="D76" s="8"/>
      <c r="E76" s="7"/>
      <c r="F76" s="18">
        <f t="shared" si="7"/>
        <v>48351.740000000005</v>
      </c>
      <c r="G76" s="8">
        <v>0</v>
      </c>
      <c r="H76" s="7">
        <v>0</v>
      </c>
      <c r="I76" s="18">
        <v>0</v>
      </c>
      <c r="J76" s="8">
        <v>0</v>
      </c>
      <c r="K76" s="7">
        <v>0</v>
      </c>
      <c r="L76" s="18">
        <v>0</v>
      </c>
      <c r="M76" s="8">
        <v>0</v>
      </c>
      <c r="N76" s="7">
        <v>0</v>
      </c>
      <c r="O76" s="18">
        <v>0</v>
      </c>
      <c r="P76" s="8">
        <v>0</v>
      </c>
      <c r="Q76" s="7">
        <v>0</v>
      </c>
      <c r="R76" s="18">
        <v>22940.74</v>
      </c>
      <c r="S76" s="8">
        <v>0</v>
      </c>
      <c r="T76" s="7">
        <v>0</v>
      </c>
      <c r="U76" s="18">
        <v>0</v>
      </c>
      <c r="V76" s="8">
        <v>0</v>
      </c>
      <c r="W76" s="7">
        <v>0</v>
      </c>
      <c r="X76" s="18">
        <v>6550</v>
      </c>
      <c r="Y76" s="8">
        <v>0</v>
      </c>
      <c r="Z76" s="7">
        <v>0</v>
      </c>
      <c r="AA76" s="18">
        <v>0</v>
      </c>
      <c r="AB76" s="8">
        <v>0</v>
      </c>
      <c r="AC76" s="7">
        <v>0</v>
      </c>
      <c r="AD76" s="18">
        <v>16150</v>
      </c>
      <c r="AE76" s="8">
        <v>0</v>
      </c>
      <c r="AF76" s="7">
        <v>0</v>
      </c>
      <c r="AG76" s="18">
        <v>0</v>
      </c>
      <c r="AH76" s="8">
        <v>0</v>
      </c>
      <c r="AI76" s="7">
        <v>0</v>
      </c>
      <c r="AJ76" s="18">
        <v>0</v>
      </c>
      <c r="AK76" s="8">
        <v>0</v>
      </c>
      <c r="AL76" s="7">
        <v>0</v>
      </c>
      <c r="AM76" s="18">
        <v>0</v>
      </c>
      <c r="AN76" s="8">
        <v>0</v>
      </c>
      <c r="AO76" s="7">
        <v>0</v>
      </c>
      <c r="AP76" s="18">
        <v>0</v>
      </c>
      <c r="AQ76" s="8">
        <v>0</v>
      </c>
      <c r="AR76" s="7">
        <v>0</v>
      </c>
      <c r="AS76" s="18">
        <v>2711</v>
      </c>
      <c r="AT76" s="8">
        <v>0</v>
      </c>
      <c r="AU76" s="7">
        <v>0</v>
      </c>
      <c r="AV76" s="18">
        <v>0</v>
      </c>
      <c r="AW76" s="8">
        <v>0</v>
      </c>
      <c r="AX76" s="7">
        <v>0</v>
      </c>
      <c r="AY76" s="18">
        <v>0</v>
      </c>
      <c r="AZ76" s="8"/>
      <c r="BA76" s="7"/>
      <c r="BB76" s="18"/>
      <c r="BC76" s="8"/>
      <c r="BD76" s="7"/>
      <c r="BE76" s="18"/>
      <c r="BF76" s="8"/>
      <c r="BG76" s="7"/>
      <c r="BH76" s="18"/>
    </row>
    <row r="77" spans="3:60" ht="20.25" x14ac:dyDescent="0.3">
      <c r="C77" s="8" t="s">
        <v>97</v>
      </c>
      <c r="D77" s="8"/>
      <c r="E77" s="7"/>
      <c r="F77" s="18">
        <f t="shared" si="7"/>
        <v>0</v>
      </c>
      <c r="G77" s="8">
        <v>0</v>
      </c>
      <c r="H77" s="7">
        <v>0</v>
      </c>
      <c r="I77" s="18">
        <v>0</v>
      </c>
      <c r="J77" s="8">
        <v>0</v>
      </c>
      <c r="K77" s="7">
        <v>0</v>
      </c>
      <c r="L77" s="18">
        <v>0</v>
      </c>
      <c r="M77" s="8">
        <v>0</v>
      </c>
      <c r="N77" s="7">
        <v>0</v>
      </c>
      <c r="O77" s="18">
        <v>0</v>
      </c>
      <c r="P77" s="8">
        <v>0</v>
      </c>
      <c r="Q77" s="7">
        <v>0</v>
      </c>
      <c r="R77" s="18">
        <v>0</v>
      </c>
      <c r="S77" s="8">
        <v>0</v>
      </c>
      <c r="T77" s="7">
        <v>0</v>
      </c>
      <c r="U77" s="18">
        <v>0</v>
      </c>
      <c r="V77" s="8">
        <v>0</v>
      </c>
      <c r="W77" s="7">
        <v>0</v>
      </c>
      <c r="X77" s="18">
        <v>0</v>
      </c>
      <c r="Y77" s="8">
        <v>0</v>
      </c>
      <c r="Z77" s="7">
        <v>0</v>
      </c>
      <c r="AA77" s="18">
        <v>0</v>
      </c>
      <c r="AB77" s="8">
        <v>0</v>
      </c>
      <c r="AC77" s="7">
        <v>0</v>
      </c>
      <c r="AD77" s="18">
        <v>0</v>
      </c>
      <c r="AE77" s="8">
        <v>0</v>
      </c>
      <c r="AF77" s="7">
        <v>0</v>
      </c>
      <c r="AG77" s="18">
        <v>0</v>
      </c>
      <c r="AH77" s="8">
        <v>0</v>
      </c>
      <c r="AI77" s="7">
        <v>0</v>
      </c>
      <c r="AJ77" s="18">
        <v>0</v>
      </c>
      <c r="AK77" s="8">
        <v>0</v>
      </c>
      <c r="AL77" s="7">
        <v>0</v>
      </c>
      <c r="AM77" s="18">
        <v>0</v>
      </c>
      <c r="AN77" s="8">
        <v>0</v>
      </c>
      <c r="AO77" s="7">
        <v>0</v>
      </c>
      <c r="AP77" s="18">
        <v>0</v>
      </c>
      <c r="AQ77" s="8">
        <v>0</v>
      </c>
      <c r="AR77" s="7">
        <v>0</v>
      </c>
      <c r="AS77" s="18">
        <v>0</v>
      </c>
      <c r="AT77" s="8">
        <v>0</v>
      </c>
      <c r="AU77" s="7">
        <v>0</v>
      </c>
      <c r="AV77" s="18">
        <v>0</v>
      </c>
      <c r="AW77" s="8">
        <v>0</v>
      </c>
      <c r="AX77" s="7">
        <v>0</v>
      </c>
      <c r="AY77" s="18">
        <v>0</v>
      </c>
      <c r="AZ77" s="8"/>
      <c r="BA77" s="7"/>
      <c r="BB77" s="18"/>
      <c r="BC77" s="8"/>
      <c r="BD77" s="7"/>
      <c r="BE77" s="18"/>
      <c r="BF77" s="8"/>
      <c r="BG77" s="7"/>
      <c r="BH77" s="18"/>
    </row>
    <row r="78" spans="3:60" ht="20.25" x14ac:dyDescent="0.3">
      <c r="C78" s="8" t="s">
        <v>96</v>
      </c>
      <c r="D78" s="8"/>
      <c r="E78" s="7"/>
      <c r="F78" s="18">
        <f t="shared" si="7"/>
        <v>990084.87999999989</v>
      </c>
      <c r="G78" s="8">
        <v>0</v>
      </c>
      <c r="H78" s="97">
        <v>0</v>
      </c>
      <c r="I78" s="18">
        <v>47084.6</v>
      </c>
      <c r="J78" s="8">
        <v>0</v>
      </c>
      <c r="K78" s="97">
        <v>0</v>
      </c>
      <c r="L78" s="18">
        <v>32085</v>
      </c>
      <c r="M78" s="8">
        <v>0</v>
      </c>
      <c r="N78" s="97">
        <v>0</v>
      </c>
      <c r="O78" s="18">
        <v>13544</v>
      </c>
      <c r="P78" s="8">
        <v>0</v>
      </c>
      <c r="Q78" s="97">
        <v>0</v>
      </c>
      <c r="R78" s="18">
        <v>134425.54999999999</v>
      </c>
      <c r="S78" s="8">
        <v>0</v>
      </c>
      <c r="T78" s="97">
        <v>0</v>
      </c>
      <c r="U78" s="18">
        <v>385213.85</v>
      </c>
      <c r="V78" s="131">
        <v>1.2328563948006399</v>
      </c>
      <c r="W78" s="97">
        <v>2418.59375</v>
      </c>
      <c r="X78" s="18">
        <v>154790</v>
      </c>
      <c r="Y78" s="8">
        <v>0</v>
      </c>
      <c r="Z78" s="97">
        <v>0</v>
      </c>
      <c r="AA78" s="18">
        <v>0</v>
      </c>
      <c r="AB78" s="8">
        <v>0</v>
      </c>
      <c r="AC78" s="97">
        <v>0</v>
      </c>
      <c r="AD78" s="18">
        <v>31114.45</v>
      </c>
      <c r="AE78" s="8">
        <v>0</v>
      </c>
      <c r="AF78" s="97">
        <v>0</v>
      </c>
      <c r="AG78" s="18">
        <v>0</v>
      </c>
      <c r="AH78" s="8">
        <v>0</v>
      </c>
      <c r="AI78" s="97">
        <v>0</v>
      </c>
      <c r="AJ78" s="18">
        <v>5234.55</v>
      </c>
      <c r="AK78" s="8">
        <v>0</v>
      </c>
      <c r="AL78" s="97">
        <v>0</v>
      </c>
      <c r="AM78" s="18">
        <v>73022.679999999993</v>
      </c>
      <c r="AN78" s="8">
        <v>0</v>
      </c>
      <c r="AO78" s="148">
        <v>0</v>
      </c>
      <c r="AP78" s="18">
        <v>44147.199999999997</v>
      </c>
      <c r="AQ78" s="8">
        <v>0</v>
      </c>
      <c r="AR78" s="97">
        <v>0</v>
      </c>
      <c r="AS78" s="18">
        <v>21788</v>
      </c>
      <c r="AT78" s="8">
        <v>0</v>
      </c>
      <c r="AU78" s="97">
        <v>1190.875</v>
      </c>
      <c r="AV78" s="18">
        <v>47635</v>
      </c>
      <c r="AW78" s="8">
        <v>0</v>
      </c>
      <c r="AX78" s="97">
        <v>0</v>
      </c>
      <c r="AY78" s="18">
        <v>0</v>
      </c>
      <c r="AZ78" s="8"/>
      <c r="BA78" s="97"/>
      <c r="BB78" s="18"/>
      <c r="BC78" s="8"/>
      <c r="BD78" s="97"/>
      <c r="BE78" s="18"/>
      <c r="BF78" s="8"/>
      <c r="BG78" s="97"/>
      <c r="BH78" s="18"/>
    </row>
    <row r="79" spans="3:60" ht="20.25" hidden="1" x14ac:dyDescent="0.3">
      <c r="C79" s="8" t="s">
        <v>3</v>
      </c>
      <c r="D79" s="8"/>
      <c r="E79" s="7"/>
      <c r="F79" s="18">
        <f t="shared" si="7"/>
        <v>0</v>
      </c>
      <c r="G79" s="8">
        <v>0</v>
      </c>
      <c r="H79" s="7">
        <v>0</v>
      </c>
      <c r="I79" s="18">
        <v>0</v>
      </c>
      <c r="J79" s="8">
        <v>0</v>
      </c>
      <c r="K79" s="7">
        <v>0</v>
      </c>
      <c r="L79" s="18">
        <v>0</v>
      </c>
      <c r="M79" s="8">
        <v>0</v>
      </c>
      <c r="N79" s="7">
        <v>0</v>
      </c>
      <c r="O79" s="18">
        <v>0</v>
      </c>
      <c r="P79" s="8">
        <v>0</v>
      </c>
      <c r="Q79" s="7">
        <v>0</v>
      </c>
      <c r="R79" s="18">
        <v>0</v>
      </c>
      <c r="S79" s="8">
        <v>0</v>
      </c>
      <c r="T79" s="7">
        <v>0</v>
      </c>
      <c r="U79" s="18">
        <v>0</v>
      </c>
      <c r="V79" s="8">
        <v>0</v>
      </c>
      <c r="W79" s="7">
        <v>0</v>
      </c>
      <c r="X79" s="18">
        <v>0</v>
      </c>
      <c r="Y79" s="8">
        <v>0</v>
      </c>
      <c r="Z79" s="7">
        <v>0</v>
      </c>
      <c r="AA79" s="18">
        <v>0</v>
      </c>
      <c r="AB79" s="8">
        <v>0</v>
      </c>
      <c r="AC79" s="7">
        <v>0</v>
      </c>
      <c r="AD79" s="18">
        <v>0</v>
      </c>
      <c r="AE79" s="8">
        <v>0</v>
      </c>
      <c r="AF79" s="7">
        <v>0</v>
      </c>
      <c r="AG79" s="18">
        <v>0</v>
      </c>
      <c r="AH79" s="8">
        <v>0</v>
      </c>
      <c r="AI79" s="7">
        <v>0</v>
      </c>
      <c r="AJ79" s="18">
        <v>0</v>
      </c>
      <c r="AK79" s="8">
        <v>0</v>
      </c>
      <c r="AL79" s="7">
        <v>0</v>
      </c>
      <c r="AM79" s="18">
        <v>0</v>
      </c>
      <c r="AN79" s="8">
        <v>0</v>
      </c>
      <c r="AO79" s="7">
        <v>0</v>
      </c>
      <c r="AP79" s="18">
        <v>0</v>
      </c>
      <c r="AQ79" s="8">
        <v>0</v>
      </c>
      <c r="AR79" s="7">
        <v>0</v>
      </c>
      <c r="AS79" s="18">
        <v>0</v>
      </c>
      <c r="AT79" s="8">
        <v>0</v>
      </c>
      <c r="AU79" s="7">
        <v>0</v>
      </c>
      <c r="AV79" s="18">
        <v>0</v>
      </c>
      <c r="AW79" s="8">
        <v>0</v>
      </c>
      <c r="AX79" s="7">
        <v>0</v>
      </c>
      <c r="AY79" s="18">
        <v>0</v>
      </c>
      <c r="AZ79" s="8"/>
      <c r="BA79" s="7"/>
      <c r="BB79" s="18"/>
      <c r="BC79" s="8"/>
      <c r="BD79" s="7"/>
      <c r="BE79" s="18"/>
      <c r="BF79" s="8"/>
      <c r="BG79" s="7"/>
      <c r="BH79" s="18"/>
    </row>
    <row r="80" spans="3:60" ht="20.25" hidden="1" x14ac:dyDescent="0.3">
      <c r="C80" s="8" t="s">
        <v>3</v>
      </c>
      <c r="D80" s="8"/>
      <c r="E80" s="7"/>
      <c r="F80" s="18">
        <f t="shared" si="7"/>
        <v>0</v>
      </c>
      <c r="G80" s="8">
        <v>0</v>
      </c>
      <c r="H80" s="7">
        <v>0</v>
      </c>
      <c r="I80" s="18">
        <v>0</v>
      </c>
      <c r="J80" s="8">
        <v>0</v>
      </c>
      <c r="K80" s="7">
        <v>0</v>
      </c>
      <c r="L80" s="18">
        <v>0</v>
      </c>
      <c r="M80" s="8">
        <v>0</v>
      </c>
      <c r="N80" s="7">
        <v>0</v>
      </c>
      <c r="O80" s="18">
        <v>0</v>
      </c>
      <c r="P80" s="8">
        <v>0</v>
      </c>
      <c r="Q80" s="7">
        <v>0</v>
      </c>
      <c r="R80" s="18">
        <v>0</v>
      </c>
      <c r="S80" s="8">
        <v>0</v>
      </c>
      <c r="T80" s="7">
        <v>0</v>
      </c>
      <c r="U80" s="18">
        <v>0</v>
      </c>
      <c r="V80" s="8">
        <v>0</v>
      </c>
      <c r="W80" s="7">
        <v>0</v>
      </c>
      <c r="X80" s="18">
        <v>0</v>
      </c>
      <c r="Y80" s="8">
        <v>0</v>
      </c>
      <c r="Z80" s="7">
        <v>0</v>
      </c>
      <c r="AA80" s="18">
        <v>0</v>
      </c>
      <c r="AB80" s="8">
        <v>0</v>
      </c>
      <c r="AC80" s="7">
        <v>0</v>
      </c>
      <c r="AD80" s="18">
        <v>0</v>
      </c>
      <c r="AE80" s="8">
        <v>0</v>
      </c>
      <c r="AF80" s="7">
        <v>0</v>
      </c>
      <c r="AG80" s="18">
        <v>0</v>
      </c>
      <c r="AH80" s="8">
        <v>0</v>
      </c>
      <c r="AI80" s="7">
        <v>0</v>
      </c>
      <c r="AJ80" s="18">
        <v>0</v>
      </c>
      <c r="AK80" s="8">
        <v>0</v>
      </c>
      <c r="AL80" s="7">
        <v>0</v>
      </c>
      <c r="AM80" s="18">
        <v>0</v>
      </c>
      <c r="AN80" s="8">
        <v>0</v>
      </c>
      <c r="AO80" s="7">
        <v>0</v>
      </c>
      <c r="AP80" s="18">
        <v>0</v>
      </c>
      <c r="AQ80" s="8">
        <v>0</v>
      </c>
      <c r="AR80" s="7">
        <v>0</v>
      </c>
      <c r="AS80" s="18">
        <v>0</v>
      </c>
      <c r="AT80" s="8">
        <v>0</v>
      </c>
      <c r="AU80" s="7">
        <v>0</v>
      </c>
      <c r="AV80" s="18">
        <v>0</v>
      </c>
      <c r="AW80" s="8">
        <v>0</v>
      </c>
      <c r="AX80" s="7">
        <v>0</v>
      </c>
      <c r="AY80" s="18">
        <v>0</v>
      </c>
      <c r="AZ80" s="8"/>
      <c r="BA80" s="7"/>
      <c r="BB80" s="18"/>
      <c r="BC80" s="8"/>
      <c r="BD80" s="7"/>
      <c r="BE80" s="18"/>
      <c r="BF80" s="8"/>
      <c r="BG80" s="7"/>
      <c r="BH80" s="18"/>
    </row>
    <row r="81" spans="3:60" ht="20.25" hidden="1" x14ac:dyDescent="0.3">
      <c r="C81" s="8" t="s">
        <v>3</v>
      </c>
      <c r="D81" s="8"/>
      <c r="E81" s="7"/>
      <c r="F81" s="18">
        <f t="shared" si="7"/>
        <v>0</v>
      </c>
      <c r="G81" s="8">
        <v>0</v>
      </c>
      <c r="H81" s="7">
        <v>0</v>
      </c>
      <c r="I81" s="18">
        <v>0</v>
      </c>
      <c r="J81" s="8">
        <v>0</v>
      </c>
      <c r="K81" s="7">
        <v>0</v>
      </c>
      <c r="L81" s="18">
        <v>0</v>
      </c>
      <c r="M81" s="8">
        <v>0</v>
      </c>
      <c r="N81" s="7">
        <v>0</v>
      </c>
      <c r="O81" s="18">
        <v>0</v>
      </c>
      <c r="P81" s="8">
        <v>0</v>
      </c>
      <c r="Q81" s="7">
        <v>0</v>
      </c>
      <c r="R81" s="18">
        <v>0</v>
      </c>
      <c r="S81" s="8">
        <v>0</v>
      </c>
      <c r="T81" s="7">
        <v>0</v>
      </c>
      <c r="U81" s="18">
        <v>0</v>
      </c>
      <c r="V81" s="8">
        <v>0</v>
      </c>
      <c r="W81" s="7">
        <v>0</v>
      </c>
      <c r="X81" s="18">
        <v>0</v>
      </c>
      <c r="Y81" s="8">
        <v>0</v>
      </c>
      <c r="Z81" s="7">
        <v>0</v>
      </c>
      <c r="AA81" s="18">
        <v>0</v>
      </c>
      <c r="AB81" s="8">
        <v>0</v>
      </c>
      <c r="AC81" s="7">
        <v>0</v>
      </c>
      <c r="AD81" s="18">
        <v>0</v>
      </c>
      <c r="AE81" s="8">
        <v>0</v>
      </c>
      <c r="AF81" s="7">
        <v>0</v>
      </c>
      <c r="AG81" s="18">
        <v>0</v>
      </c>
      <c r="AH81" s="8">
        <v>0</v>
      </c>
      <c r="AI81" s="7">
        <v>0</v>
      </c>
      <c r="AJ81" s="18">
        <v>0</v>
      </c>
      <c r="AK81" s="8">
        <v>0</v>
      </c>
      <c r="AL81" s="7">
        <v>0</v>
      </c>
      <c r="AM81" s="18">
        <v>0</v>
      </c>
      <c r="AN81" s="8">
        <v>0</v>
      </c>
      <c r="AO81" s="7">
        <v>0</v>
      </c>
      <c r="AP81" s="18">
        <v>0</v>
      </c>
      <c r="AQ81" s="8">
        <v>0</v>
      </c>
      <c r="AR81" s="7">
        <v>0</v>
      </c>
      <c r="AS81" s="18">
        <v>0</v>
      </c>
      <c r="AT81" s="8">
        <v>0</v>
      </c>
      <c r="AU81" s="7">
        <v>0</v>
      </c>
      <c r="AV81" s="18">
        <v>0</v>
      </c>
      <c r="AW81" s="8">
        <v>0</v>
      </c>
      <c r="AX81" s="7">
        <v>0</v>
      </c>
      <c r="AY81" s="18">
        <v>0</v>
      </c>
      <c r="AZ81" s="8"/>
      <c r="BA81" s="7"/>
      <c r="BB81" s="18"/>
      <c r="BC81" s="8"/>
      <c r="BD81" s="7"/>
      <c r="BE81" s="18"/>
      <c r="BF81" s="8"/>
      <c r="BG81" s="7"/>
      <c r="BH81" s="18"/>
    </row>
    <row r="82" spans="3:60" ht="20.25" x14ac:dyDescent="0.3">
      <c r="C82" s="8" t="s">
        <v>70</v>
      </c>
      <c r="D82" s="8"/>
      <c r="E82" s="128"/>
      <c r="F82" s="18">
        <f t="shared" si="7"/>
        <v>186560</v>
      </c>
      <c r="G82" s="8">
        <v>0</v>
      </c>
      <c r="H82" s="128">
        <v>0</v>
      </c>
      <c r="I82" s="18">
        <v>11305</v>
      </c>
      <c r="J82" s="8">
        <v>0</v>
      </c>
      <c r="K82" s="128">
        <v>0</v>
      </c>
      <c r="L82" s="18">
        <v>11305</v>
      </c>
      <c r="M82" s="8">
        <v>0</v>
      </c>
      <c r="N82" s="128">
        <v>0</v>
      </c>
      <c r="O82" s="18">
        <v>5355</v>
      </c>
      <c r="P82" s="8">
        <v>0</v>
      </c>
      <c r="Q82" s="128">
        <v>0</v>
      </c>
      <c r="R82" s="18">
        <v>12475</v>
      </c>
      <c r="S82" s="8">
        <v>0</v>
      </c>
      <c r="T82" s="128">
        <v>0</v>
      </c>
      <c r="U82" s="18">
        <v>0</v>
      </c>
      <c r="V82" s="131">
        <v>0.93181818181818099</v>
      </c>
      <c r="W82" s="128">
        <v>441.68181818181802</v>
      </c>
      <c r="X82" s="18">
        <v>19434</v>
      </c>
      <c r="Y82" s="8">
        <v>0</v>
      </c>
      <c r="Z82" s="128">
        <v>0</v>
      </c>
      <c r="AA82" s="18">
        <v>23976</v>
      </c>
      <c r="AB82" s="8">
        <v>0</v>
      </c>
      <c r="AC82" s="128">
        <v>0</v>
      </c>
      <c r="AD82" s="18">
        <v>11305</v>
      </c>
      <c r="AE82" s="8">
        <v>0</v>
      </c>
      <c r="AF82" s="128">
        <v>0</v>
      </c>
      <c r="AG82" s="18">
        <v>17126</v>
      </c>
      <c r="AH82" s="8">
        <v>0</v>
      </c>
      <c r="AI82" s="128">
        <v>0</v>
      </c>
      <c r="AJ82" s="18">
        <v>4990</v>
      </c>
      <c r="AK82" s="8">
        <v>0</v>
      </c>
      <c r="AL82" s="128">
        <v>0</v>
      </c>
      <c r="AM82" s="18">
        <v>11973</v>
      </c>
      <c r="AN82" s="132">
        <v>0</v>
      </c>
      <c r="AO82" s="128">
        <v>0</v>
      </c>
      <c r="AP82" s="18">
        <v>16567</v>
      </c>
      <c r="AQ82" s="8">
        <v>0</v>
      </c>
      <c r="AR82" s="128">
        <v>0</v>
      </c>
      <c r="AS82" s="18">
        <v>21576</v>
      </c>
      <c r="AT82" s="131">
        <v>1.0506329113924</v>
      </c>
      <c r="AU82" s="128">
        <v>498</v>
      </c>
      <c r="AV82" s="18">
        <v>15936</v>
      </c>
      <c r="AW82" s="8">
        <v>0</v>
      </c>
      <c r="AX82" s="128">
        <v>0</v>
      </c>
      <c r="AY82" s="18">
        <v>3237</v>
      </c>
      <c r="AZ82" s="8"/>
      <c r="BA82" s="128"/>
      <c r="BB82" s="18"/>
      <c r="BC82" s="8"/>
      <c r="BD82" s="128"/>
      <c r="BE82" s="18"/>
      <c r="BF82" s="8"/>
      <c r="BG82" s="128"/>
      <c r="BH82" s="18"/>
    </row>
    <row r="83" spans="3:60" ht="20.25" x14ac:dyDescent="0.3">
      <c r="C83" s="11" t="s">
        <v>69</v>
      </c>
      <c r="D83" s="64"/>
      <c r="E83" s="14"/>
      <c r="F83" s="12">
        <f>SUM(F75:F82)</f>
        <v>2381781.3499999996</v>
      </c>
      <c r="G83" s="64">
        <v>0</v>
      </c>
      <c r="H83" s="14">
        <v>0</v>
      </c>
      <c r="I83" s="12">
        <v>79450.06</v>
      </c>
      <c r="J83" s="64">
        <v>0</v>
      </c>
      <c r="K83" s="14">
        <v>0</v>
      </c>
      <c r="L83" s="12">
        <v>70161.509999999995</v>
      </c>
      <c r="M83" s="64">
        <v>0</v>
      </c>
      <c r="N83" s="14">
        <v>0</v>
      </c>
      <c r="O83" s="12">
        <v>31829.84</v>
      </c>
      <c r="P83" s="64">
        <v>0</v>
      </c>
      <c r="Q83" s="14">
        <v>0</v>
      </c>
      <c r="R83" s="12">
        <v>459941.29</v>
      </c>
      <c r="S83" s="64">
        <v>0</v>
      </c>
      <c r="T83" s="14">
        <v>0</v>
      </c>
      <c r="U83" s="12">
        <v>935468.049999999</v>
      </c>
      <c r="V83" s="64">
        <v>0</v>
      </c>
      <c r="W83" s="14">
        <v>0</v>
      </c>
      <c r="X83" s="12">
        <v>260774</v>
      </c>
      <c r="Y83" s="64">
        <v>0</v>
      </c>
      <c r="Z83" s="14">
        <v>0</v>
      </c>
      <c r="AA83" s="12">
        <v>63591.81</v>
      </c>
      <c r="AB83" s="64">
        <v>0</v>
      </c>
      <c r="AC83" s="14">
        <v>0</v>
      </c>
      <c r="AD83" s="12">
        <v>86528.45</v>
      </c>
      <c r="AE83" s="64">
        <v>0</v>
      </c>
      <c r="AF83" s="14">
        <v>0</v>
      </c>
      <c r="AG83" s="12">
        <v>97588</v>
      </c>
      <c r="AH83" s="64">
        <v>0</v>
      </c>
      <c r="AI83" s="14">
        <v>0</v>
      </c>
      <c r="AJ83" s="12">
        <v>11091.07</v>
      </c>
      <c r="AK83" s="64">
        <v>0</v>
      </c>
      <c r="AL83" s="14">
        <v>0</v>
      </c>
      <c r="AM83" s="12">
        <v>94814.069999999905</v>
      </c>
      <c r="AN83" s="64">
        <v>0</v>
      </c>
      <c r="AO83" s="14">
        <v>0</v>
      </c>
      <c r="AP83" s="12">
        <v>64435.199999999997</v>
      </c>
      <c r="AQ83" s="64">
        <v>0</v>
      </c>
      <c r="AR83" s="14">
        <v>0</v>
      </c>
      <c r="AS83" s="12">
        <v>54687</v>
      </c>
      <c r="AT83" s="64">
        <v>0</v>
      </c>
      <c r="AU83" s="14">
        <v>0</v>
      </c>
      <c r="AV83" s="12">
        <v>63571</v>
      </c>
      <c r="AW83" s="64">
        <v>0</v>
      </c>
      <c r="AX83" s="14">
        <v>0</v>
      </c>
      <c r="AY83" s="12">
        <v>7850</v>
      </c>
      <c r="AZ83" s="64"/>
      <c r="BA83" s="14"/>
      <c r="BB83" s="12"/>
      <c r="BC83" s="64"/>
      <c r="BD83" s="14"/>
      <c r="BE83" s="12"/>
      <c r="BF83" s="64"/>
      <c r="BG83" s="14"/>
      <c r="BH83" s="12"/>
    </row>
    <row r="84" spans="3:60" ht="20.25" x14ac:dyDescent="0.3">
      <c r="C84" s="147"/>
      <c r="D84" s="67"/>
      <c r="E84" s="66"/>
      <c r="F84" s="74"/>
      <c r="G84" s="67"/>
      <c r="H84" s="66"/>
      <c r="I84" s="74"/>
      <c r="J84" s="67"/>
      <c r="K84" s="66"/>
      <c r="L84" s="74"/>
      <c r="M84" s="67"/>
      <c r="N84" s="66"/>
      <c r="O84" s="74"/>
      <c r="P84" s="67"/>
      <c r="Q84" s="66"/>
      <c r="R84" s="74"/>
      <c r="S84" s="67"/>
      <c r="T84" s="66"/>
      <c r="U84" s="74"/>
      <c r="V84" s="67"/>
      <c r="W84" s="66"/>
      <c r="X84" s="74"/>
      <c r="Y84" s="67"/>
      <c r="Z84" s="66"/>
      <c r="AA84" s="74"/>
      <c r="AB84" s="67"/>
      <c r="AC84" s="66"/>
      <c r="AD84" s="74"/>
      <c r="AE84" s="67"/>
      <c r="AF84" s="66"/>
      <c r="AG84" s="74"/>
      <c r="AH84" s="67"/>
      <c r="AI84" s="66"/>
      <c r="AJ84" s="74"/>
      <c r="AK84" s="67"/>
      <c r="AL84" s="66"/>
      <c r="AM84" s="74"/>
      <c r="AN84" s="67"/>
      <c r="AO84" s="66"/>
      <c r="AP84" s="74"/>
      <c r="AQ84" s="67"/>
      <c r="AR84" s="66"/>
      <c r="AS84" s="74"/>
      <c r="AT84" s="67"/>
      <c r="AU84" s="66"/>
      <c r="AV84" s="74"/>
      <c r="AW84" s="67"/>
      <c r="AX84" s="66"/>
      <c r="AY84" s="74"/>
      <c r="AZ84" s="67"/>
      <c r="BA84" s="66"/>
      <c r="BB84" s="74"/>
      <c r="BC84" s="67"/>
      <c r="BD84" s="66"/>
      <c r="BE84" s="74"/>
      <c r="BF84" s="67"/>
      <c r="BG84" s="66"/>
      <c r="BH84" s="74"/>
    </row>
    <row r="85" spans="3:60" ht="21" thickBot="1" x14ac:dyDescent="0.35">
      <c r="C85" s="38" t="s">
        <v>0</v>
      </c>
      <c r="D85" s="145"/>
      <c r="E85" s="146"/>
      <c r="F85" s="59">
        <f>F27-F74+F83</f>
        <v>1450457.4372000007</v>
      </c>
      <c r="G85" s="145">
        <v>0</v>
      </c>
      <c r="H85" s="144">
        <v>0</v>
      </c>
      <c r="I85" s="59">
        <v>-27995.559999999801</v>
      </c>
      <c r="J85" s="145">
        <v>0</v>
      </c>
      <c r="K85" s="144">
        <v>0</v>
      </c>
      <c r="L85" s="59">
        <v>-15426.3199999999</v>
      </c>
      <c r="M85" s="145">
        <v>0</v>
      </c>
      <c r="N85" s="144">
        <v>0</v>
      </c>
      <c r="O85" s="59">
        <v>-13361.3999999999</v>
      </c>
      <c r="P85" s="145">
        <v>0</v>
      </c>
      <c r="Q85" s="144">
        <v>0</v>
      </c>
      <c r="R85" s="59">
        <v>361180.47</v>
      </c>
      <c r="S85" s="145">
        <v>0</v>
      </c>
      <c r="T85" s="144">
        <v>0</v>
      </c>
      <c r="U85" s="59">
        <v>805875.48000000103</v>
      </c>
      <c r="V85" s="145">
        <v>0</v>
      </c>
      <c r="W85" s="144">
        <v>2.1633828164556699E-2</v>
      </c>
      <c r="X85" s="59">
        <v>99596.580000000205</v>
      </c>
      <c r="Y85" s="145">
        <v>0</v>
      </c>
      <c r="Z85" s="144">
        <v>0</v>
      </c>
      <c r="AA85" s="59">
        <v>52796.75</v>
      </c>
      <c r="AB85" s="145">
        <v>0</v>
      </c>
      <c r="AC85" s="144">
        <v>0</v>
      </c>
      <c r="AD85" s="59">
        <v>63737.009999999798</v>
      </c>
      <c r="AE85" s="145">
        <v>0</v>
      </c>
      <c r="AF85" s="144">
        <v>0</v>
      </c>
      <c r="AG85" s="59">
        <v>63107.430000000197</v>
      </c>
      <c r="AH85" s="145">
        <v>0</v>
      </c>
      <c r="AI85" s="144">
        <v>0</v>
      </c>
      <c r="AJ85" s="59">
        <v>-53707.67</v>
      </c>
      <c r="AK85" s="145">
        <v>0</v>
      </c>
      <c r="AL85" s="144">
        <v>0</v>
      </c>
      <c r="AM85" s="59">
        <v>32584.9372000002</v>
      </c>
      <c r="AN85" s="145">
        <v>0</v>
      </c>
      <c r="AO85" s="144">
        <v>0</v>
      </c>
      <c r="AP85" s="59">
        <v>18723.2699999998</v>
      </c>
      <c r="AQ85" s="145">
        <v>0</v>
      </c>
      <c r="AR85" s="144">
        <v>0</v>
      </c>
      <c r="AS85" s="59">
        <v>4116.0899999999601</v>
      </c>
      <c r="AT85" s="145">
        <v>0</v>
      </c>
      <c r="AU85" s="144">
        <v>0</v>
      </c>
      <c r="AV85" s="59">
        <v>63626.75</v>
      </c>
      <c r="AW85" s="145">
        <v>0</v>
      </c>
      <c r="AX85" s="144">
        <v>0</v>
      </c>
      <c r="AY85" s="59">
        <v>-4396.3799999999901</v>
      </c>
      <c r="AZ85" s="145"/>
      <c r="BA85" s="144"/>
      <c r="BB85" s="59"/>
      <c r="BC85" s="145"/>
      <c r="BD85" s="144"/>
      <c r="BE85" s="59"/>
      <c r="BF85" s="145"/>
      <c r="BG85" s="144"/>
      <c r="BH85" s="59"/>
    </row>
    <row r="86" spans="3:60" ht="24" thickTop="1" x14ac:dyDescent="0.35">
      <c r="C86" s="142"/>
      <c r="D86" s="142"/>
      <c r="E86" s="142"/>
      <c r="F86" s="143"/>
      <c r="G86" s="142"/>
      <c r="H86" s="142"/>
      <c r="I86" s="143"/>
      <c r="J86" s="142"/>
      <c r="K86" s="142"/>
      <c r="L86" s="143"/>
      <c r="M86" s="142"/>
      <c r="N86" s="142"/>
      <c r="O86" s="143"/>
      <c r="P86" s="142"/>
      <c r="Q86" s="142"/>
      <c r="R86" s="143"/>
      <c r="S86" s="142"/>
      <c r="T86" s="142"/>
      <c r="U86" s="143"/>
      <c r="V86" s="142"/>
      <c r="W86" s="142"/>
      <c r="X86" s="143"/>
      <c r="Y86" s="142"/>
      <c r="Z86" s="142"/>
      <c r="AA86" s="143"/>
      <c r="AB86" s="142"/>
      <c r="AC86" s="142"/>
      <c r="AD86" s="143"/>
      <c r="AE86" s="142"/>
      <c r="AF86" s="142"/>
      <c r="AG86" s="143"/>
      <c r="AH86" s="142"/>
      <c r="AI86" s="142"/>
      <c r="AJ86" s="143"/>
      <c r="AK86" s="142"/>
      <c r="AL86" s="142"/>
      <c r="AM86" s="143"/>
      <c r="AN86" s="142"/>
      <c r="AO86" s="142"/>
      <c r="AP86" s="143"/>
      <c r="AQ86" s="142"/>
      <c r="AR86" s="142"/>
      <c r="AS86" s="143"/>
      <c r="AT86" s="142"/>
      <c r="AU86" s="142"/>
      <c r="AV86" s="143"/>
      <c r="AW86" s="142"/>
      <c r="AX86" s="142"/>
      <c r="AY86" s="143"/>
      <c r="AZ86" s="142"/>
      <c r="BA86" s="142"/>
      <c r="BB86" s="143"/>
      <c r="BC86" s="142"/>
      <c r="BD86" s="142"/>
      <c r="BE86" s="143"/>
      <c r="BF86" s="142"/>
      <c r="BG86" s="142"/>
      <c r="BH86" s="143"/>
    </row>
    <row r="87" spans="3:60" ht="23.25" x14ac:dyDescent="0.35"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2"/>
      <c r="AL87" s="142"/>
      <c r="AM87" s="142"/>
      <c r="AN87" s="142"/>
      <c r="AO87" s="142"/>
      <c r="AP87" s="142"/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  <c r="BA87" s="142"/>
      <c r="BB87" s="142"/>
      <c r="BC87" s="142"/>
      <c r="BD87" s="142"/>
      <c r="BE87" s="142"/>
      <c r="BF87" s="142"/>
      <c r="BG87" s="142"/>
      <c r="BH87" s="142"/>
    </row>
    <row r="88" spans="3:60" ht="15.75" x14ac:dyDescent="0.25"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8"/>
      <c r="BF88" s="88"/>
      <c r="BG88" s="88"/>
      <c r="BH88" s="88"/>
    </row>
    <row r="89" spans="3:60" ht="35.25" x14ac:dyDescent="0.5">
      <c r="C89" s="58" t="str">
        <f>Y89</f>
        <v>Véhicules usagés</v>
      </c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164" t="s">
        <v>95</v>
      </c>
      <c r="Z89" s="165"/>
      <c r="AA89" s="165"/>
      <c r="AB89" s="57"/>
      <c r="AC89" s="57"/>
      <c r="AD89" s="57"/>
      <c r="AE89" s="57"/>
      <c r="AF89" s="57"/>
      <c r="AG89" s="57"/>
      <c r="AH89" s="57"/>
      <c r="AI89" s="57"/>
      <c r="AJ89" s="57"/>
      <c r="AK89" s="57" t="str">
        <f>C89</f>
        <v>Véhicules usagés</v>
      </c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</row>
    <row r="90" spans="3:60" ht="16.5" thickBot="1" x14ac:dyDescent="0.3">
      <c r="C90" s="89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8"/>
      <c r="BE90" s="88"/>
      <c r="BF90" s="88"/>
      <c r="BG90" s="88"/>
      <c r="BH90" s="88"/>
    </row>
    <row r="91" spans="3:60" ht="21" thickTop="1" x14ac:dyDescent="0.3">
      <c r="C91" s="56"/>
      <c r="D91" s="166" t="str">
        <f>D$3</f>
        <v>Conso</v>
      </c>
      <c r="E91" s="167"/>
      <c r="F91" s="168"/>
      <c r="G91" s="166" t="str">
        <f>G$3</f>
        <v>BMW PA</v>
      </c>
      <c r="H91" s="167"/>
      <c r="I91" s="168"/>
      <c r="J91" s="166" t="str">
        <f>J$3</f>
        <v>BMW STJ</v>
      </c>
      <c r="K91" s="167"/>
      <c r="L91" s="168"/>
      <c r="M91" s="166" t="str">
        <f>M$3</f>
        <v>BMW SHER</v>
      </c>
      <c r="N91" s="167"/>
      <c r="O91" s="168"/>
      <c r="P91" s="166" t="str">
        <f>P$3</f>
        <v>MBQ</v>
      </c>
      <c r="Q91" s="167"/>
      <c r="R91" s="168"/>
      <c r="S91" s="166" t="str">
        <f>S$3</f>
        <v>SSMB</v>
      </c>
      <c r="T91" s="167"/>
      <c r="U91" s="168"/>
      <c r="V91" s="166" t="str">
        <f>V$3</f>
        <v>AUDI</v>
      </c>
      <c r="W91" s="167"/>
      <c r="X91" s="168"/>
      <c r="Y91" s="166" t="str">
        <f>Y$3</f>
        <v>JLR</v>
      </c>
      <c r="Z91" s="167"/>
      <c r="AA91" s="168"/>
      <c r="AB91" s="166" t="str">
        <f>AB$3</f>
        <v>LEXUS</v>
      </c>
      <c r="AC91" s="167"/>
      <c r="AD91" s="168"/>
      <c r="AE91" s="166" t="str">
        <f>AE$3</f>
        <v>Volvo</v>
      </c>
      <c r="AF91" s="167"/>
      <c r="AG91" s="168"/>
      <c r="AH91" s="166" t="str">
        <f>AH$3</f>
        <v>Mini</v>
      </c>
      <c r="AI91" s="167"/>
      <c r="AJ91" s="168"/>
      <c r="AK91" s="166" t="str">
        <f>AK$3</f>
        <v>Infiniti</v>
      </c>
      <c r="AL91" s="167"/>
      <c r="AM91" s="168"/>
      <c r="AN91" s="166" t="str">
        <f>AN$3</f>
        <v>Honda</v>
      </c>
      <c r="AO91" s="167"/>
      <c r="AP91" s="168"/>
      <c r="AQ91" s="166" t="str">
        <f>AQ$3</f>
        <v>Toyota</v>
      </c>
      <c r="AR91" s="167"/>
      <c r="AS91" s="168"/>
      <c r="AT91" s="166" t="str">
        <f>AT$3</f>
        <v>Volks</v>
      </c>
      <c r="AU91" s="167"/>
      <c r="AV91" s="168"/>
      <c r="AW91" s="166" t="str">
        <f>AW$3</f>
        <v>LHD</v>
      </c>
      <c r="AX91" s="167"/>
      <c r="AY91" s="168"/>
      <c r="AZ91" s="166"/>
      <c r="BA91" s="167"/>
      <c r="BB91" s="168"/>
      <c r="BC91" s="166"/>
      <c r="BD91" s="169"/>
      <c r="BE91" s="170"/>
      <c r="BF91" s="166"/>
      <c r="BG91" s="169"/>
      <c r="BH91" s="170"/>
    </row>
    <row r="92" spans="3:60" ht="20.25" x14ac:dyDescent="0.3">
      <c r="C92" s="8"/>
      <c r="D92" s="52" t="s">
        <v>94</v>
      </c>
      <c r="E92" s="51" t="s">
        <v>93</v>
      </c>
      <c r="F92" s="50" t="s">
        <v>31</v>
      </c>
      <c r="G92" s="52" t="str">
        <f>$D92</f>
        <v>UNITE</v>
      </c>
      <c r="H92" s="51" t="str">
        <f>$E92</f>
        <v>$P/UNITÉ</v>
      </c>
      <c r="I92" s="50" t="str">
        <f>$F92</f>
        <v>$PROFITS</v>
      </c>
      <c r="J92" s="52" t="str">
        <f>$D92</f>
        <v>UNITE</v>
      </c>
      <c r="K92" s="51" t="str">
        <f>$E92</f>
        <v>$P/UNITÉ</v>
      </c>
      <c r="L92" s="50" t="str">
        <f>$F92</f>
        <v>$PROFITS</v>
      </c>
      <c r="M92" s="52" t="str">
        <f>$D92</f>
        <v>UNITE</v>
      </c>
      <c r="N92" s="51" t="str">
        <f>$E92</f>
        <v>$P/UNITÉ</v>
      </c>
      <c r="O92" s="50" t="str">
        <f>$F92</f>
        <v>$PROFITS</v>
      </c>
      <c r="P92" s="52" t="str">
        <f>$D92</f>
        <v>UNITE</v>
      </c>
      <c r="Q92" s="51" t="str">
        <f>$E92</f>
        <v>$P/UNITÉ</v>
      </c>
      <c r="R92" s="50" t="str">
        <f>$F92</f>
        <v>$PROFITS</v>
      </c>
      <c r="S92" s="52" t="str">
        <f>$D92</f>
        <v>UNITE</v>
      </c>
      <c r="T92" s="51" t="str">
        <f>$E92</f>
        <v>$P/UNITÉ</v>
      </c>
      <c r="U92" s="50" t="str">
        <f>$F92</f>
        <v>$PROFITS</v>
      </c>
      <c r="V92" s="52" t="str">
        <f>$D92</f>
        <v>UNITE</v>
      </c>
      <c r="W92" s="51" t="str">
        <f>$E92</f>
        <v>$P/UNITÉ</v>
      </c>
      <c r="X92" s="50" t="str">
        <f>$F92</f>
        <v>$PROFITS</v>
      </c>
      <c r="Y92" s="52" t="str">
        <f>$D92</f>
        <v>UNITE</v>
      </c>
      <c r="Z92" s="51" t="str">
        <f>$E92</f>
        <v>$P/UNITÉ</v>
      </c>
      <c r="AA92" s="50" t="str">
        <f>$F92</f>
        <v>$PROFITS</v>
      </c>
      <c r="AB92" s="52" t="str">
        <f>$D92</f>
        <v>UNITE</v>
      </c>
      <c r="AC92" s="51" t="str">
        <f>$E92</f>
        <v>$P/UNITÉ</v>
      </c>
      <c r="AD92" s="50" t="str">
        <f>$F92</f>
        <v>$PROFITS</v>
      </c>
      <c r="AE92" s="52" t="str">
        <f>$D92</f>
        <v>UNITE</v>
      </c>
      <c r="AF92" s="51" t="str">
        <f>$E92</f>
        <v>$P/UNITÉ</v>
      </c>
      <c r="AG92" s="50" t="str">
        <f>$F92</f>
        <v>$PROFITS</v>
      </c>
      <c r="AH92" s="52" t="str">
        <f>$D92</f>
        <v>UNITE</v>
      </c>
      <c r="AI92" s="51" t="str">
        <f>$E92</f>
        <v>$P/UNITÉ</v>
      </c>
      <c r="AJ92" s="50" t="str">
        <f>$F92</f>
        <v>$PROFITS</v>
      </c>
      <c r="AK92" s="52" t="str">
        <f>$D92</f>
        <v>UNITE</v>
      </c>
      <c r="AL92" s="51" t="str">
        <f>$E92</f>
        <v>$P/UNITÉ</v>
      </c>
      <c r="AM92" s="50" t="str">
        <f>$F92</f>
        <v>$PROFITS</v>
      </c>
      <c r="AN92" s="52" t="str">
        <f>$D92</f>
        <v>UNITE</v>
      </c>
      <c r="AO92" s="51" t="str">
        <f>$E92</f>
        <v>$P/UNITÉ</v>
      </c>
      <c r="AP92" s="50" t="str">
        <f>$F92</f>
        <v>$PROFITS</v>
      </c>
      <c r="AQ92" s="52" t="str">
        <f>$D92</f>
        <v>UNITE</v>
      </c>
      <c r="AR92" s="51" t="str">
        <f>$E92</f>
        <v>$P/UNITÉ</v>
      </c>
      <c r="AS92" s="50" t="str">
        <f>$F92</f>
        <v>$PROFITS</v>
      </c>
      <c r="AT92" s="52" t="str">
        <f>$D92</f>
        <v>UNITE</v>
      </c>
      <c r="AU92" s="51" t="str">
        <f>$E92</f>
        <v>$P/UNITÉ</v>
      </c>
      <c r="AV92" s="50" t="str">
        <f>$F92</f>
        <v>$PROFITS</v>
      </c>
      <c r="AW92" s="52" t="str">
        <f>$D92</f>
        <v>UNITE</v>
      </c>
      <c r="AX92" s="51" t="str">
        <f>$E92</f>
        <v>$P/UNITÉ</v>
      </c>
      <c r="AY92" s="50" t="str">
        <f>$F92</f>
        <v>$PROFITS</v>
      </c>
      <c r="AZ92" s="52"/>
      <c r="BA92" s="51"/>
      <c r="BB92" s="50"/>
      <c r="BC92" s="55"/>
      <c r="BD92" s="54"/>
      <c r="BE92" s="53"/>
      <c r="BF92" s="55"/>
      <c r="BG92" s="54"/>
      <c r="BH92" s="53"/>
    </row>
    <row r="93" spans="3:60" ht="20.25" x14ac:dyDescent="0.3">
      <c r="C93" s="67" t="s">
        <v>92</v>
      </c>
      <c r="D93" s="141"/>
      <c r="E93" s="125"/>
      <c r="F93" s="22">
        <f>+SUM(I93,L93,O93,R93,U93,X93,AA93,AD93,AG93,AJ93,AM93,AP93,AS93,AV93,AY93,BB93,BE93,BH93)</f>
        <v>18269613.400000002</v>
      </c>
      <c r="G93" s="141">
        <v>0</v>
      </c>
      <c r="H93" s="125">
        <v>0</v>
      </c>
      <c r="I93" s="22">
        <v>1438487.8</v>
      </c>
      <c r="J93" s="141">
        <v>0</v>
      </c>
      <c r="K93" s="125">
        <v>0</v>
      </c>
      <c r="L93" s="22">
        <v>1296683.78</v>
      </c>
      <c r="M93" s="141">
        <v>0</v>
      </c>
      <c r="N93" s="125">
        <v>0</v>
      </c>
      <c r="O93" s="22">
        <v>851178.52</v>
      </c>
      <c r="P93" s="141">
        <v>0</v>
      </c>
      <c r="Q93" s="125">
        <v>0</v>
      </c>
      <c r="R93" s="22">
        <v>2152755.5299999998</v>
      </c>
      <c r="S93" s="141">
        <v>0</v>
      </c>
      <c r="T93" s="125">
        <v>0</v>
      </c>
      <c r="U93" s="22">
        <v>3566248.46</v>
      </c>
      <c r="V93" s="141">
        <v>0</v>
      </c>
      <c r="W93" s="125">
        <v>0</v>
      </c>
      <c r="X93" s="22">
        <v>1577284.17</v>
      </c>
      <c r="Y93" s="67">
        <v>0</v>
      </c>
      <c r="Z93" s="125">
        <v>0</v>
      </c>
      <c r="AA93" s="22">
        <v>1990468</v>
      </c>
      <c r="AB93" s="67">
        <v>0</v>
      </c>
      <c r="AC93" s="125">
        <v>0</v>
      </c>
      <c r="AD93" s="22">
        <v>1174631</v>
      </c>
      <c r="AE93" s="67">
        <v>0</v>
      </c>
      <c r="AF93" s="125">
        <v>0</v>
      </c>
      <c r="AG93" s="22">
        <v>1171965.67</v>
      </c>
      <c r="AH93" s="67">
        <v>0</v>
      </c>
      <c r="AI93" s="125">
        <v>0</v>
      </c>
      <c r="AJ93" s="22">
        <v>179536</v>
      </c>
      <c r="AK93" s="67">
        <v>0</v>
      </c>
      <c r="AL93" s="125">
        <v>0</v>
      </c>
      <c r="AM93" s="22">
        <v>341710</v>
      </c>
      <c r="AN93" s="67">
        <v>0</v>
      </c>
      <c r="AO93" s="125">
        <v>0</v>
      </c>
      <c r="AP93" s="22">
        <v>447070.1</v>
      </c>
      <c r="AQ93" s="67">
        <v>0</v>
      </c>
      <c r="AR93" s="125">
        <v>0</v>
      </c>
      <c r="AS93" s="22">
        <v>1004214.13</v>
      </c>
      <c r="AT93" s="67">
        <v>0</v>
      </c>
      <c r="AU93" s="125">
        <v>0</v>
      </c>
      <c r="AV93" s="22">
        <v>616311.43999999994</v>
      </c>
      <c r="AW93" s="67">
        <v>0</v>
      </c>
      <c r="AX93" s="125">
        <v>0</v>
      </c>
      <c r="AY93" s="22">
        <v>461068.79999999999</v>
      </c>
      <c r="AZ93" s="67"/>
      <c r="BA93" s="125"/>
      <c r="BB93" s="22"/>
      <c r="BC93" s="67"/>
      <c r="BD93" s="125"/>
      <c r="BE93" s="22"/>
      <c r="BF93" s="67"/>
      <c r="BG93" s="125"/>
      <c r="BH93" s="22"/>
    </row>
    <row r="94" spans="3:60" ht="20.25" x14ac:dyDescent="0.3">
      <c r="C94" s="8" t="s">
        <v>91</v>
      </c>
      <c r="D94" s="86">
        <f>+SUM(G94,J94,M94,P94,S94,V94,Y94,AB94,AE94,AH94,AK94,AN94,AQ94,AT94,AW94,AZ94,BC94,BF94)</f>
        <v>159</v>
      </c>
      <c r="E94" s="97">
        <f>IF(D94=0,0,F94/D94)</f>
        <v>1957.3617610062859</v>
      </c>
      <c r="F94" s="18">
        <f>+SUM(I94,L94,O94,R94,U94,X94,AA94,AD94,AG94,AJ94,AM94,AP94,AS94,AV94,AY94,BB94,BE94,BH94)</f>
        <v>311220.51999999944</v>
      </c>
      <c r="G94" s="86">
        <v>8</v>
      </c>
      <c r="H94" s="97">
        <v>1361.2537499999901</v>
      </c>
      <c r="I94" s="18">
        <v>10890.029999999901</v>
      </c>
      <c r="J94" s="86">
        <v>11</v>
      </c>
      <c r="K94" s="97">
        <v>1584.52636363635</v>
      </c>
      <c r="L94" s="18">
        <v>17429.789999999899</v>
      </c>
      <c r="M94" s="86">
        <v>3</v>
      </c>
      <c r="N94" s="97">
        <v>3005.8566666666502</v>
      </c>
      <c r="O94" s="18">
        <v>9017.5699999999706</v>
      </c>
      <c r="P94" s="86">
        <v>13</v>
      </c>
      <c r="Q94" s="97">
        <v>3813.15846153846</v>
      </c>
      <c r="R94" s="18">
        <v>49571.06</v>
      </c>
      <c r="S94" s="86">
        <v>31</v>
      </c>
      <c r="T94" s="97">
        <v>437.980000000004</v>
      </c>
      <c r="U94" s="18">
        <v>13577.380000000099</v>
      </c>
      <c r="V94" s="86">
        <v>20</v>
      </c>
      <c r="W94" s="97">
        <v>2312.72099999999</v>
      </c>
      <c r="X94" s="18">
        <v>46254.419999999896</v>
      </c>
      <c r="Y94" s="86">
        <v>2</v>
      </c>
      <c r="Z94" s="97">
        <v>3436.3599999999901</v>
      </c>
      <c r="AA94" s="18">
        <v>6872.7199999999903</v>
      </c>
      <c r="AB94" s="86">
        <v>16</v>
      </c>
      <c r="AC94" s="97">
        <v>994.74249999999597</v>
      </c>
      <c r="AD94" s="18">
        <v>15915.879999999899</v>
      </c>
      <c r="AE94" s="86">
        <v>17</v>
      </c>
      <c r="AF94" s="97">
        <v>3617.6905882352899</v>
      </c>
      <c r="AG94" s="18">
        <v>61500.74</v>
      </c>
      <c r="AH94" s="86">
        <v>0</v>
      </c>
      <c r="AI94" s="97">
        <v>0</v>
      </c>
      <c r="AJ94" s="18">
        <v>-324.72000000000003</v>
      </c>
      <c r="AK94" s="86">
        <v>0</v>
      </c>
      <c r="AL94" s="97">
        <v>0</v>
      </c>
      <c r="AM94" s="18">
        <v>0</v>
      </c>
      <c r="AN94" s="86">
        <v>5</v>
      </c>
      <c r="AO94" s="97">
        <v>2123.33</v>
      </c>
      <c r="AP94" s="18">
        <v>10616.65</v>
      </c>
      <c r="AQ94" s="86">
        <v>20</v>
      </c>
      <c r="AR94" s="97">
        <v>2522.9359999999901</v>
      </c>
      <c r="AS94" s="18">
        <v>50458.719999999899</v>
      </c>
      <c r="AT94" s="86">
        <v>13</v>
      </c>
      <c r="AU94" s="97">
        <v>1495.4061538461499</v>
      </c>
      <c r="AV94" s="18">
        <v>19440.279999999901</v>
      </c>
      <c r="AW94" s="86">
        <v>0</v>
      </c>
      <c r="AX94" s="97">
        <v>0</v>
      </c>
      <c r="AY94" s="18">
        <v>0</v>
      </c>
      <c r="AZ94" s="86"/>
      <c r="BA94" s="97"/>
      <c r="BB94" s="18"/>
      <c r="BC94" s="86"/>
      <c r="BD94" s="97"/>
      <c r="BE94" s="18"/>
      <c r="BF94" s="86"/>
      <c r="BG94" s="97"/>
      <c r="BH94" s="18"/>
    </row>
    <row r="95" spans="3:60" ht="20.25" x14ac:dyDescent="0.3">
      <c r="C95" s="8" t="s">
        <v>90</v>
      </c>
      <c r="D95" s="86">
        <f>+SUM(G95,J95,M95,P95,S95,V95,Y95,AB95,AE95,AH95,AK95,AN95,AQ95,AT95,AW95,AZ95,BC95,BF95)</f>
        <v>73</v>
      </c>
      <c r="E95" s="97">
        <f>IF(D95=0,0,F95/D95)</f>
        <v>1861.7841095890367</v>
      </c>
      <c r="F95" s="18">
        <f>+SUM(I95,L95,O95,R95,U95,X95,AA95,AD95,AG95,AJ95,AM95,AP95,AS95,AV95,AY95,BB95,BE95,BH95)</f>
        <v>135910.23999999967</v>
      </c>
      <c r="G95" s="86">
        <v>8</v>
      </c>
      <c r="H95" s="97">
        <v>2169.3825000000002</v>
      </c>
      <c r="I95" s="18">
        <v>17355.060000000001</v>
      </c>
      <c r="J95" s="86">
        <v>6</v>
      </c>
      <c r="K95" s="97">
        <v>1321.5933333333301</v>
      </c>
      <c r="L95" s="18">
        <v>7929.56</v>
      </c>
      <c r="M95" s="86">
        <v>7</v>
      </c>
      <c r="N95" s="97">
        <v>2588.0242857142798</v>
      </c>
      <c r="O95" s="18">
        <v>18116.1699999999</v>
      </c>
      <c r="P95" s="86">
        <v>3</v>
      </c>
      <c r="Q95" s="97">
        <v>373.666666666666</v>
      </c>
      <c r="R95" s="18">
        <v>1121</v>
      </c>
      <c r="S95" s="86">
        <v>6</v>
      </c>
      <c r="T95" s="97">
        <v>4567.9399999999996</v>
      </c>
      <c r="U95" s="18">
        <v>27407.64</v>
      </c>
      <c r="V95" s="86">
        <v>4</v>
      </c>
      <c r="W95" s="97">
        <v>1413.5974999999901</v>
      </c>
      <c r="X95" s="18">
        <v>5654.3899999999803</v>
      </c>
      <c r="Y95" s="86">
        <v>2</v>
      </c>
      <c r="Z95" s="97">
        <v>7276.2349999999897</v>
      </c>
      <c r="AA95" s="18">
        <v>14552.469999999899</v>
      </c>
      <c r="AB95" s="86">
        <v>3</v>
      </c>
      <c r="AC95" s="97">
        <v>994.86333333333505</v>
      </c>
      <c r="AD95" s="18">
        <v>2984.59</v>
      </c>
      <c r="AE95" s="86">
        <v>0</v>
      </c>
      <c r="AF95" s="97">
        <v>0</v>
      </c>
      <c r="AG95" s="18">
        <v>-400</v>
      </c>
      <c r="AH95" s="86">
        <v>1</v>
      </c>
      <c r="AI95" s="97">
        <v>1314.6799999999901</v>
      </c>
      <c r="AJ95" s="18">
        <v>1314.6799999999901</v>
      </c>
      <c r="AK95" s="86">
        <v>0</v>
      </c>
      <c r="AL95" s="97">
        <v>0</v>
      </c>
      <c r="AM95" s="18">
        <v>0</v>
      </c>
      <c r="AN95" s="86">
        <v>9</v>
      </c>
      <c r="AO95" s="97">
        <v>1798.37</v>
      </c>
      <c r="AP95" s="18">
        <v>16185.33</v>
      </c>
      <c r="AQ95" s="86">
        <v>3</v>
      </c>
      <c r="AR95" s="97">
        <v>1585.02666666666</v>
      </c>
      <c r="AS95" s="18">
        <v>4755.0799999999899</v>
      </c>
      <c r="AT95" s="86">
        <v>2</v>
      </c>
      <c r="AU95" s="97">
        <v>-169.79499999999899</v>
      </c>
      <c r="AV95" s="18">
        <v>-339.58999999999901</v>
      </c>
      <c r="AW95" s="86">
        <v>19</v>
      </c>
      <c r="AX95" s="97">
        <v>1014.41368421052</v>
      </c>
      <c r="AY95" s="18">
        <v>19273.859999999899</v>
      </c>
      <c r="AZ95" s="86"/>
      <c r="BA95" s="97"/>
      <c r="BB95" s="18"/>
      <c r="BC95" s="86"/>
      <c r="BD95" s="97"/>
      <c r="BE95" s="18"/>
      <c r="BF95" s="86"/>
      <c r="BG95" s="97"/>
      <c r="BH95" s="18"/>
    </row>
    <row r="96" spans="3:60" ht="20.25" x14ac:dyDescent="0.3">
      <c r="C96" s="8" t="s">
        <v>89</v>
      </c>
      <c r="D96" s="86">
        <f>+SUM(G96,J96,M96,P96,S96,V96,Y96,AB96,AE96,AH96,AK96,AN96,AQ96,AT96,AW96,AZ96,BC96,BF96)</f>
        <v>17</v>
      </c>
      <c r="E96" s="97">
        <f>IF(D96=0,0,F96/D96)</f>
        <v>1344.5058823529405</v>
      </c>
      <c r="F96" s="18">
        <f>+SUM(I96,L96,O96,R96,U96,X96,AA96,AD96,AG96,AJ96,AM96,AP96,AS96,AV96,AY96,BB96,BE96,BH96)</f>
        <v>22856.599999999988</v>
      </c>
      <c r="G96" s="86">
        <v>1</v>
      </c>
      <c r="H96" s="97">
        <v>575</v>
      </c>
      <c r="I96" s="18">
        <v>575</v>
      </c>
      <c r="J96" s="86">
        <v>3</v>
      </c>
      <c r="K96" s="97">
        <v>2680.38</v>
      </c>
      <c r="L96" s="18">
        <v>8041.14</v>
      </c>
      <c r="M96" s="86">
        <v>3</v>
      </c>
      <c r="N96" s="97">
        <v>798.81666666666695</v>
      </c>
      <c r="O96" s="18">
        <v>2396.4499999999998</v>
      </c>
      <c r="P96" s="86">
        <v>4</v>
      </c>
      <c r="Q96" s="97">
        <v>432.364999999997</v>
      </c>
      <c r="R96" s="18">
        <v>1729.45999999999</v>
      </c>
      <c r="S96" s="86">
        <v>0</v>
      </c>
      <c r="T96" s="97">
        <v>0</v>
      </c>
      <c r="U96" s="18">
        <v>0</v>
      </c>
      <c r="V96" s="86">
        <v>0</v>
      </c>
      <c r="W96" s="97">
        <v>0</v>
      </c>
      <c r="X96" s="18">
        <v>0</v>
      </c>
      <c r="Y96" s="86">
        <v>0</v>
      </c>
      <c r="Z96" s="97">
        <v>0</v>
      </c>
      <c r="AA96" s="18">
        <v>0</v>
      </c>
      <c r="AB96" s="86">
        <v>3</v>
      </c>
      <c r="AC96" s="97">
        <v>2551.61</v>
      </c>
      <c r="AD96" s="18">
        <v>7654.83</v>
      </c>
      <c r="AE96" s="86">
        <v>0</v>
      </c>
      <c r="AF96" s="97">
        <v>0</v>
      </c>
      <c r="AG96" s="18">
        <v>0</v>
      </c>
      <c r="AH96" s="86">
        <v>0</v>
      </c>
      <c r="AI96" s="97">
        <v>0</v>
      </c>
      <c r="AJ96" s="18">
        <v>0</v>
      </c>
      <c r="AK96" s="86">
        <v>0</v>
      </c>
      <c r="AL96" s="97">
        <v>0</v>
      </c>
      <c r="AM96" s="18">
        <v>0</v>
      </c>
      <c r="AN96" s="86">
        <v>0</v>
      </c>
      <c r="AO96" s="97">
        <v>0</v>
      </c>
      <c r="AP96" s="18">
        <v>0</v>
      </c>
      <c r="AQ96" s="86">
        <v>1</v>
      </c>
      <c r="AR96" s="97">
        <v>-1356.63</v>
      </c>
      <c r="AS96" s="18">
        <v>-1356.63</v>
      </c>
      <c r="AT96" s="86">
        <v>2</v>
      </c>
      <c r="AU96" s="97">
        <v>1908.175</v>
      </c>
      <c r="AV96" s="18">
        <v>3816.35</v>
      </c>
      <c r="AW96" s="86">
        <v>0</v>
      </c>
      <c r="AX96" s="97">
        <v>0</v>
      </c>
      <c r="AY96" s="18">
        <v>0</v>
      </c>
      <c r="AZ96" s="86"/>
      <c r="BA96" s="97"/>
      <c r="BB96" s="18"/>
      <c r="BC96" s="86"/>
      <c r="BD96" s="97"/>
      <c r="BE96" s="18"/>
      <c r="BF96" s="86"/>
      <c r="BG96" s="97"/>
      <c r="BH96" s="18"/>
    </row>
    <row r="97" spans="3:60" ht="20.25" x14ac:dyDescent="0.3">
      <c r="C97" s="117" t="s">
        <v>88</v>
      </c>
      <c r="D97" s="140">
        <f>SUM(D94:D96)</f>
        <v>249</v>
      </c>
      <c r="E97" s="139">
        <f>IF(D97=0,0,F97/D97)</f>
        <v>1887.4994377510002</v>
      </c>
      <c r="F97" s="138">
        <f>SUM(F94:F96)</f>
        <v>469987.35999999905</v>
      </c>
      <c r="G97" s="140">
        <v>17</v>
      </c>
      <c r="H97" s="139">
        <v>1695.2994117646999</v>
      </c>
      <c r="I97" s="138">
        <v>28820.089999999898</v>
      </c>
      <c r="J97" s="140">
        <v>20</v>
      </c>
      <c r="K97" s="139">
        <v>1670.02449999999</v>
      </c>
      <c r="L97" s="138">
        <v>33400.489999999903</v>
      </c>
      <c r="M97" s="140">
        <v>13</v>
      </c>
      <c r="N97" s="139">
        <v>2271.55307692307</v>
      </c>
      <c r="O97" s="138">
        <v>29530.1899999999</v>
      </c>
      <c r="P97" s="140">
        <v>20</v>
      </c>
      <c r="Q97" s="139">
        <v>2621.076</v>
      </c>
      <c r="R97" s="138">
        <v>52421.52</v>
      </c>
      <c r="S97" s="140">
        <v>37</v>
      </c>
      <c r="T97" s="139">
        <v>1107.70324324324</v>
      </c>
      <c r="U97" s="138">
        <v>40985.020000000099</v>
      </c>
      <c r="V97" s="140">
        <v>24</v>
      </c>
      <c r="W97" s="139">
        <v>2162.8670833333299</v>
      </c>
      <c r="X97" s="138">
        <v>51908.809999999903</v>
      </c>
      <c r="Y97" s="140">
        <v>4</v>
      </c>
      <c r="Z97" s="139">
        <v>5356.2974999999897</v>
      </c>
      <c r="AA97" s="138">
        <v>21425.1899999999</v>
      </c>
      <c r="AB97" s="140">
        <v>22</v>
      </c>
      <c r="AC97" s="139">
        <v>1207.0590909090799</v>
      </c>
      <c r="AD97" s="138">
        <v>26555.299999999901</v>
      </c>
      <c r="AE97" s="140">
        <v>17</v>
      </c>
      <c r="AF97" s="139">
        <v>3594.1611764705799</v>
      </c>
      <c r="AG97" s="138">
        <v>61100.74</v>
      </c>
      <c r="AH97" s="140">
        <v>1</v>
      </c>
      <c r="AI97" s="139">
        <v>989.95999999999594</v>
      </c>
      <c r="AJ97" s="138">
        <v>989.95999999999594</v>
      </c>
      <c r="AK97" s="140">
        <v>0</v>
      </c>
      <c r="AL97" s="139">
        <v>0</v>
      </c>
      <c r="AM97" s="138">
        <v>0</v>
      </c>
      <c r="AN97" s="140">
        <v>14</v>
      </c>
      <c r="AO97" s="139">
        <v>1914.4271428571401</v>
      </c>
      <c r="AP97" s="138">
        <v>26801.98</v>
      </c>
      <c r="AQ97" s="140">
        <v>24</v>
      </c>
      <c r="AR97" s="139">
        <v>2244.0487499999899</v>
      </c>
      <c r="AS97" s="138">
        <v>53857.169999999896</v>
      </c>
      <c r="AT97" s="140">
        <v>17</v>
      </c>
      <c r="AU97" s="139">
        <v>1348.06117647058</v>
      </c>
      <c r="AV97" s="138">
        <v>22917.039999999899</v>
      </c>
      <c r="AW97" s="140">
        <v>19</v>
      </c>
      <c r="AX97" s="139">
        <v>1014.41368421052</v>
      </c>
      <c r="AY97" s="138">
        <v>19273.859999999899</v>
      </c>
      <c r="AZ97" s="140"/>
      <c r="BA97" s="139"/>
      <c r="BB97" s="138"/>
      <c r="BC97" s="140"/>
      <c r="BD97" s="139"/>
      <c r="BE97" s="138"/>
      <c r="BF97" s="140"/>
      <c r="BG97" s="139"/>
      <c r="BH97" s="138"/>
    </row>
    <row r="98" spans="3:60" ht="20.25" x14ac:dyDescent="0.3">
      <c r="C98" s="8"/>
      <c r="D98" s="8"/>
      <c r="E98" s="7"/>
      <c r="F98" s="6"/>
      <c r="G98" s="8"/>
      <c r="H98" s="7"/>
      <c r="I98" s="6"/>
      <c r="J98" s="8"/>
      <c r="K98" s="7"/>
      <c r="L98" s="6"/>
      <c r="M98" s="8"/>
      <c r="N98" s="7"/>
      <c r="O98" s="6"/>
      <c r="P98" s="8"/>
      <c r="Q98" s="7"/>
      <c r="R98" s="6"/>
      <c r="S98" s="8"/>
      <c r="T98" s="7"/>
      <c r="U98" s="6"/>
      <c r="V98" s="8"/>
      <c r="W98" s="7"/>
      <c r="X98" s="6"/>
      <c r="Y98" s="8"/>
      <c r="Z98" s="7"/>
      <c r="AA98" s="6"/>
      <c r="AB98" s="8"/>
      <c r="AC98" s="7"/>
      <c r="AD98" s="6"/>
      <c r="AE98" s="8"/>
      <c r="AF98" s="7"/>
      <c r="AG98" s="6"/>
      <c r="AH98" s="8"/>
      <c r="AI98" s="7"/>
      <c r="AJ98" s="6"/>
      <c r="AK98" s="8"/>
      <c r="AL98" s="7"/>
      <c r="AM98" s="6"/>
      <c r="AN98" s="8"/>
      <c r="AO98" s="7"/>
      <c r="AP98" s="6"/>
      <c r="AQ98" s="8"/>
      <c r="AR98" s="7"/>
      <c r="AS98" s="6"/>
      <c r="AT98" s="8"/>
      <c r="AU98" s="7"/>
      <c r="AV98" s="6"/>
      <c r="AW98" s="8"/>
      <c r="AX98" s="7"/>
      <c r="AY98" s="6"/>
      <c r="AZ98" s="8"/>
      <c r="BA98" s="7"/>
      <c r="BB98" s="6"/>
      <c r="BC98" s="8"/>
      <c r="BD98" s="7"/>
      <c r="BE98" s="6"/>
      <c r="BF98" s="8"/>
      <c r="BG98" s="7"/>
      <c r="BH98" s="6"/>
    </row>
    <row r="99" spans="3:60" ht="20.25" x14ac:dyDescent="0.3">
      <c r="C99" s="8"/>
      <c r="D99" s="86"/>
      <c r="E99" s="97"/>
      <c r="F99" s="18"/>
      <c r="G99" s="86"/>
      <c r="H99" s="97"/>
      <c r="I99" s="18"/>
      <c r="J99" s="86"/>
      <c r="K99" s="97"/>
      <c r="L99" s="18"/>
      <c r="M99" s="86"/>
      <c r="N99" s="97"/>
      <c r="O99" s="18"/>
      <c r="P99" s="86"/>
      <c r="Q99" s="97"/>
      <c r="R99" s="18"/>
      <c r="S99" s="86"/>
      <c r="T99" s="97"/>
      <c r="U99" s="18"/>
      <c r="V99" s="86"/>
      <c r="W99" s="97"/>
      <c r="X99" s="18"/>
      <c r="Y99" s="86"/>
      <c r="Z99" s="97"/>
      <c r="AA99" s="18"/>
      <c r="AB99" s="86"/>
      <c r="AC99" s="97"/>
      <c r="AD99" s="18"/>
      <c r="AE99" s="86"/>
      <c r="AF99" s="97"/>
      <c r="AG99" s="18"/>
      <c r="AH99" s="86"/>
      <c r="AI99" s="97"/>
      <c r="AJ99" s="18"/>
      <c r="AK99" s="86"/>
      <c r="AL99" s="97"/>
      <c r="AM99" s="18"/>
      <c r="AN99" s="86"/>
      <c r="AO99" s="97"/>
      <c r="AP99" s="18"/>
      <c r="AQ99" s="86"/>
      <c r="AR99" s="97"/>
      <c r="AS99" s="18"/>
      <c r="AT99" s="86"/>
      <c r="AU99" s="97"/>
      <c r="AV99" s="18"/>
      <c r="AW99" s="86"/>
      <c r="AX99" s="97"/>
      <c r="AY99" s="18"/>
      <c r="AZ99" s="86"/>
      <c r="BA99" s="97"/>
      <c r="BB99" s="18"/>
      <c r="BC99" s="86"/>
      <c r="BD99" s="97"/>
      <c r="BE99" s="18"/>
      <c r="BF99" s="86"/>
      <c r="BG99" s="97"/>
      <c r="BH99" s="18"/>
    </row>
    <row r="100" spans="3:60" ht="20.25" x14ac:dyDescent="0.3">
      <c r="C100" s="8" t="s">
        <v>87</v>
      </c>
      <c r="D100" s="86">
        <f>+SUM(G100,J100,M100,P100,S100,V100,Y100,AB100,AE100,AH100,AK100,AN100,AQ100,AT100,AW100,AZ100,BC100,BF100)</f>
        <v>257</v>
      </c>
      <c r="E100" s="97">
        <f>IF(D100=0,0,F100/D100)</f>
        <v>873.48385214007533</v>
      </c>
      <c r="F100" s="18">
        <f>+SUM(I100,L100,O100,R100,U100,X100,AA100,AD100,AG100,AJ100,AM100,AP100,AS100,AV100,AY100,BB100,BE100,BH100)</f>
        <v>224485.34999999937</v>
      </c>
      <c r="G100" s="86">
        <v>22</v>
      </c>
      <c r="H100" s="97">
        <v>357.95545454544998</v>
      </c>
      <c r="I100" s="18">
        <v>7875.0199999999004</v>
      </c>
      <c r="J100" s="86">
        <v>11</v>
      </c>
      <c r="K100" s="97">
        <v>427.387272727273</v>
      </c>
      <c r="L100" s="18">
        <v>4701.26</v>
      </c>
      <c r="M100" s="86">
        <v>15</v>
      </c>
      <c r="N100" s="97">
        <v>338.43599999999799</v>
      </c>
      <c r="O100" s="18">
        <v>5076.53999999997</v>
      </c>
      <c r="P100" s="86">
        <v>25</v>
      </c>
      <c r="Q100" s="97">
        <v>1146.0732</v>
      </c>
      <c r="R100" s="18">
        <v>28651.83</v>
      </c>
      <c r="S100" s="86">
        <v>39</v>
      </c>
      <c r="T100" s="97">
        <v>1333.66076923076</v>
      </c>
      <c r="U100" s="18">
        <v>52012.77</v>
      </c>
      <c r="V100" s="86">
        <v>21</v>
      </c>
      <c r="W100" s="97">
        <v>856.41190476190502</v>
      </c>
      <c r="X100" s="18">
        <v>17984.650000000001</v>
      </c>
      <c r="Y100" s="86">
        <v>30</v>
      </c>
      <c r="Z100" s="97">
        <v>628.97866666666198</v>
      </c>
      <c r="AA100" s="18">
        <v>18869.3599999998</v>
      </c>
      <c r="AB100" s="86">
        <v>17</v>
      </c>
      <c r="AC100" s="97">
        <v>983.24588235294004</v>
      </c>
      <c r="AD100" s="18">
        <v>16715.179999999898</v>
      </c>
      <c r="AE100" s="86">
        <v>15</v>
      </c>
      <c r="AF100" s="97">
        <v>1549.0406666666599</v>
      </c>
      <c r="AG100" s="18">
        <v>23235.609999999899</v>
      </c>
      <c r="AH100" s="86">
        <v>8</v>
      </c>
      <c r="AI100" s="97">
        <v>758.40499999999804</v>
      </c>
      <c r="AJ100" s="18">
        <v>6067.2399999999898</v>
      </c>
      <c r="AK100" s="86">
        <v>15</v>
      </c>
      <c r="AL100" s="97">
        <v>-678.76266666666595</v>
      </c>
      <c r="AM100" s="18">
        <v>-10181.44</v>
      </c>
      <c r="AN100" s="86">
        <v>9</v>
      </c>
      <c r="AO100" s="97">
        <v>695.66777777777702</v>
      </c>
      <c r="AP100" s="18">
        <v>6261.0099999999902</v>
      </c>
      <c r="AQ100" s="86">
        <v>15</v>
      </c>
      <c r="AR100" s="97">
        <v>2262.6266666666602</v>
      </c>
      <c r="AS100" s="18">
        <v>33939.3999999999</v>
      </c>
      <c r="AT100" s="86">
        <v>10</v>
      </c>
      <c r="AU100" s="97">
        <v>743.69200000000103</v>
      </c>
      <c r="AV100" s="18">
        <v>7436.9200000000101</v>
      </c>
      <c r="AW100" s="86">
        <v>5</v>
      </c>
      <c r="AX100" s="97">
        <v>1168</v>
      </c>
      <c r="AY100" s="18">
        <v>5840</v>
      </c>
      <c r="AZ100" s="86"/>
      <c r="BA100" s="97"/>
      <c r="BB100" s="18"/>
      <c r="BC100" s="86"/>
      <c r="BD100" s="97"/>
      <c r="BE100" s="18"/>
      <c r="BF100" s="86"/>
      <c r="BG100" s="97"/>
      <c r="BH100" s="18"/>
    </row>
    <row r="101" spans="3:60" ht="20.25" x14ac:dyDescent="0.3">
      <c r="C101" s="67"/>
      <c r="D101" s="82"/>
      <c r="E101" s="125"/>
      <c r="F101" s="22"/>
      <c r="G101" s="82"/>
      <c r="H101" s="125"/>
      <c r="I101" s="22"/>
      <c r="J101" s="82"/>
      <c r="K101" s="125"/>
      <c r="L101" s="22"/>
      <c r="M101" s="82"/>
      <c r="N101" s="125"/>
      <c r="O101" s="22"/>
      <c r="P101" s="82"/>
      <c r="Q101" s="125"/>
      <c r="R101" s="22"/>
      <c r="S101" s="82"/>
      <c r="T101" s="125"/>
      <c r="U101" s="22"/>
      <c r="V101" s="82"/>
      <c r="W101" s="125"/>
      <c r="X101" s="22"/>
      <c r="Y101" s="82"/>
      <c r="Z101" s="125"/>
      <c r="AA101" s="22"/>
      <c r="AB101" s="82"/>
      <c r="AC101" s="125"/>
      <c r="AD101" s="22"/>
      <c r="AE101" s="82"/>
      <c r="AF101" s="125"/>
      <c r="AG101" s="22"/>
      <c r="AH101" s="82"/>
      <c r="AI101" s="125"/>
      <c r="AJ101" s="22"/>
      <c r="AK101" s="82"/>
      <c r="AL101" s="125"/>
      <c r="AM101" s="22"/>
      <c r="AN101" s="82"/>
      <c r="AO101" s="125"/>
      <c r="AP101" s="22"/>
      <c r="AQ101" s="82"/>
      <c r="AR101" s="125"/>
      <c r="AS101" s="22"/>
      <c r="AT101" s="82"/>
      <c r="AU101" s="125"/>
      <c r="AV101" s="22"/>
      <c r="AW101" s="82"/>
      <c r="AX101" s="125"/>
      <c r="AY101" s="22"/>
      <c r="AZ101" s="82"/>
      <c r="BA101" s="125"/>
      <c r="BB101" s="22"/>
      <c r="BC101" s="82"/>
      <c r="BD101" s="125"/>
      <c r="BE101" s="22"/>
      <c r="BF101" s="82"/>
      <c r="BG101" s="125"/>
      <c r="BH101" s="22"/>
    </row>
    <row r="102" spans="3:60" ht="20.25" x14ac:dyDescent="0.3">
      <c r="C102" s="8" t="s">
        <v>86</v>
      </c>
      <c r="D102" s="86">
        <f>+SUM(G102,J102,M102,P102,S102,V102,Y102,AB102,AE102,AH102,AK102,AN102,AQ102,AT102,AW102,AZ102,BC102,BF102)</f>
        <v>0</v>
      </c>
      <c r="E102" s="97">
        <f>IF(D97=0,0,F102/D97)</f>
        <v>480.52815261044168</v>
      </c>
      <c r="F102" s="18">
        <f>+SUM(I102,L102,O102,R102,U102,X102,AA102,AD102,AG102,AJ102,AM102,AP102,AS102,AV102,AY102,BB102,BE102,BH102)</f>
        <v>119651.50999999998</v>
      </c>
      <c r="G102" s="86">
        <v>0</v>
      </c>
      <c r="H102" s="97">
        <v>264.98823529411698</v>
      </c>
      <c r="I102" s="18">
        <v>4504.8</v>
      </c>
      <c r="J102" s="86">
        <v>0</v>
      </c>
      <c r="K102" s="97">
        <v>481.81849999999997</v>
      </c>
      <c r="L102" s="18">
        <v>9636.3699999999899</v>
      </c>
      <c r="M102" s="86">
        <v>0</v>
      </c>
      <c r="N102" s="97">
        <v>376.75153846153802</v>
      </c>
      <c r="O102" s="18">
        <v>4897.7700000000004</v>
      </c>
      <c r="P102" s="86">
        <v>0</v>
      </c>
      <c r="Q102" s="97">
        <v>530.67449999999997</v>
      </c>
      <c r="R102" s="18">
        <v>10613.49</v>
      </c>
      <c r="S102" s="86">
        <v>0</v>
      </c>
      <c r="T102" s="97">
        <v>1191.1667567567499</v>
      </c>
      <c r="U102" s="18">
        <v>44073.17</v>
      </c>
      <c r="V102" s="86">
        <v>0</v>
      </c>
      <c r="W102" s="97">
        <v>407.28416666666601</v>
      </c>
      <c r="X102" s="18">
        <v>9774.82</v>
      </c>
      <c r="Y102" s="86">
        <v>0</v>
      </c>
      <c r="Z102" s="97">
        <v>0</v>
      </c>
      <c r="AA102" s="18">
        <v>0</v>
      </c>
      <c r="AB102" s="86">
        <v>0</v>
      </c>
      <c r="AC102" s="97">
        <v>346.29500000000002</v>
      </c>
      <c r="AD102" s="18">
        <v>7618.49</v>
      </c>
      <c r="AE102" s="86">
        <v>0</v>
      </c>
      <c r="AF102" s="97">
        <v>0</v>
      </c>
      <c r="AG102" s="18">
        <v>0</v>
      </c>
      <c r="AH102" s="86">
        <v>0</v>
      </c>
      <c r="AI102" s="97">
        <v>0</v>
      </c>
      <c r="AJ102" s="18">
        <v>0</v>
      </c>
      <c r="AK102" s="86">
        <v>0</v>
      </c>
      <c r="AL102" s="97">
        <v>0</v>
      </c>
      <c r="AM102" s="18">
        <v>600</v>
      </c>
      <c r="AN102" s="86">
        <v>0</v>
      </c>
      <c r="AO102" s="97">
        <v>516.686428571428</v>
      </c>
      <c r="AP102" s="18">
        <v>7233.61</v>
      </c>
      <c r="AQ102" s="86">
        <v>0</v>
      </c>
      <c r="AR102" s="97">
        <v>260.06625000000003</v>
      </c>
      <c r="AS102" s="18">
        <v>6241.59</v>
      </c>
      <c r="AT102" s="86">
        <v>0</v>
      </c>
      <c r="AU102" s="97">
        <v>230.15882352941099</v>
      </c>
      <c r="AV102" s="18">
        <v>3912.7</v>
      </c>
      <c r="AW102" s="86">
        <v>0</v>
      </c>
      <c r="AX102" s="97">
        <v>554.984210526315</v>
      </c>
      <c r="AY102" s="18">
        <v>10544.7</v>
      </c>
      <c r="AZ102" s="86"/>
      <c r="BA102" s="97"/>
      <c r="BB102" s="18"/>
      <c r="BC102" s="86"/>
      <c r="BD102" s="97"/>
      <c r="BE102" s="18"/>
      <c r="BF102" s="86"/>
      <c r="BG102" s="97"/>
      <c r="BH102" s="18"/>
    </row>
    <row r="103" spans="3:60" ht="20.25" x14ac:dyDescent="0.3">
      <c r="C103" s="8" t="s">
        <v>85</v>
      </c>
      <c r="D103" s="86">
        <f>+SUM(G103,J103,M103,P103,S103,V103,Y103,AB103,AE103,AH103,AK103,AN103,AQ103,AT103,AW103,AZ103,BC103,BF103)</f>
        <v>0</v>
      </c>
      <c r="E103" s="97">
        <f>IF(D97=0,0,F103/D97)</f>
        <v>834.09433734939637</v>
      </c>
      <c r="F103" s="18">
        <f>+SUM(I103,L103,O103,R103,U103,X103,AA103,AD103,AG103,AJ103,AM103,AP103,AS103,AV103,AY103,BB103,BE103,BH103)</f>
        <v>207689.4899999997</v>
      </c>
      <c r="G103" s="86">
        <v>0</v>
      </c>
      <c r="H103" s="97">
        <v>1498.9464705882301</v>
      </c>
      <c r="I103" s="18">
        <v>25482.089999999898</v>
      </c>
      <c r="J103" s="86">
        <v>0</v>
      </c>
      <c r="K103" s="97">
        <v>716.15</v>
      </c>
      <c r="L103" s="18">
        <v>14323</v>
      </c>
      <c r="M103" s="86">
        <v>0</v>
      </c>
      <c r="N103" s="97">
        <v>692.888461538461</v>
      </c>
      <c r="O103" s="18">
        <v>9007.5499999999993</v>
      </c>
      <c r="P103" s="86">
        <v>0</v>
      </c>
      <c r="Q103" s="97">
        <v>663.07949999999903</v>
      </c>
      <c r="R103" s="18">
        <v>13261.5899999999</v>
      </c>
      <c r="S103" s="86">
        <v>0</v>
      </c>
      <c r="T103" s="97">
        <v>1020.71702702702</v>
      </c>
      <c r="U103" s="18">
        <v>37766.53</v>
      </c>
      <c r="V103" s="86">
        <v>0</v>
      </c>
      <c r="W103" s="97">
        <v>1024.3895833333299</v>
      </c>
      <c r="X103" s="18">
        <v>24585.35</v>
      </c>
      <c r="Y103" s="86">
        <v>0</v>
      </c>
      <c r="Z103" s="97">
        <v>1087.5</v>
      </c>
      <c r="AA103" s="18">
        <v>4350</v>
      </c>
      <c r="AB103" s="86">
        <v>0</v>
      </c>
      <c r="AC103" s="97">
        <v>349.754545454545</v>
      </c>
      <c r="AD103" s="18">
        <v>7694.6</v>
      </c>
      <c r="AE103" s="86">
        <v>0</v>
      </c>
      <c r="AF103" s="97">
        <v>845.088235294117</v>
      </c>
      <c r="AG103" s="18">
        <v>14366.5</v>
      </c>
      <c r="AH103" s="86">
        <v>0</v>
      </c>
      <c r="AI103" s="97">
        <v>0</v>
      </c>
      <c r="AJ103" s="18">
        <v>0</v>
      </c>
      <c r="AK103" s="86">
        <v>0</v>
      </c>
      <c r="AL103" s="97">
        <v>0</v>
      </c>
      <c r="AM103" s="18">
        <v>0</v>
      </c>
      <c r="AN103" s="86">
        <v>0</v>
      </c>
      <c r="AO103" s="97">
        <v>741.10642857142795</v>
      </c>
      <c r="AP103" s="18">
        <v>10375.4899999999</v>
      </c>
      <c r="AQ103" s="86">
        <v>0</v>
      </c>
      <c r="AR103" s="97">
        <v>357.08333333333297</v>
      </c>
      <c r="AS103" s="18">
        <v>8570</v>
      </c>
      <c r="AT103" s="86">
        <v>0</v>
      </c>
      <c r="AU103" s="97">
        <v>1336.4476470588199</v>
      </c>
      <c r="AV103" s="18">
        <v>22719.61</v>
      </c>
      <c r="AW103" s="86">
        <v>0</v>
      </c>
      <c r="AX103" s="97">
        <v>799.32526315789403</v>
      </c>
      <c r="AY103" s="18">
        <v>15187.18</v>
      </c>
      <c r="AZ103" s="86"/>
      <c r="BA103" s="97"/>
      <c r="BB103" s="18"/>
      <c r="BC103" s="86"/>
      <c r="BD103" s="97"/>
      <c r="BE103" s="18"/>
      <c r="BF103" s="86"/>
      <c r="BG103" s="97"/>
      <c r="BH103" s="18"/>
    </row>
    <row r="104" spans="3:60" ht="20.25" x14ac:dyDescent="0.3">
      <c r="C104" s="8" t="s">
        <v>84</v>
      </c>
      <c r="D104" s="86">
        <f>+SUM(G104,J104,M104,P104,S104,V104,Y104,AB104,AE104,AH104,AK104,AN104,AQ104,AT104,AW104,AZ104,BC104,BF104)</f>
        <v>0</v>
      </c>
      <c r="E104" s="125">
        <f>IF(D97=0,0,F104/D97)</f>
        <v>187.32445783132528</v>
      </c>
      <c r="F104" s="18">
        <f>+SUM(I104,L104,O104,R104,U104,X104,AA104,AD104,AG104,AJ104,AM104,AP104,AS104,AV104,AY104,BB104,BE104,BH104)</f>
        <v>46643.789999999994</v>
      </c>
      <c r="G104" s="86">
        <v>0</v>
      </c>
      <c r="H104" s="125">
        <v>545.077647058823</v>
      </c>
      <c r="I104" s="18">
        <v>9266.3199999999906</v>
      </c>
      <c r="J104" s="86">
        <v>0</v>
      </c>
      <c r="K104" s="125">
        <v>413.75</v>
      </c>
      <c r="L104" s="18">
        <v>8275</v>
      </c>
      <c r="M104" s="86">
        <v>0</v>
      </c>
      <c r="N104" s="125">
        <v>75.923076923076906</v>
      </c>
      <c r="O104" s="18">
        <v>987</v>
      </c>
      <c r="P104" s="86">
        <v>0</v>
      </c>
      <c r="Q104" s="125">
        <v>13.7475</v>
      </c>
      <c r="R104" s="18">
        <v>274.95</v>
      </c>
      <c r="S104" s="86">
        <v>0</v>
      </c>
      <c r="T104" s="125">
        <v>267.46864864864801</v>
      </c>
      <c r="U104" s="18">
        <v>9896.34</v>
      </c>
      <c r="V104" s="86">
        <v>0</v>
      </c>
      <c r="W104" s="125">
        <v>0</v>
      </c>
      <c r="X104" s="18">
        <v>0</v>
      </c>
      <c r="Y104" s="86">
        <v>0</v>
      </c>
      <c r="Z104" s="125">
        <v>0</v>
      </c>
      <c r="AA104" s="18">
        <v>0</v>
      </c>
      <c r="AB104" s="86">
        <v>0</v>
      </c>
      <c r="AC104" s="125">
        <v>318.43318181818103</v>
      </c>
      <c r="AD104" s="18">
        <v>7005.53</v>
      </c>
      <c r="AE104" s="86">
        <v>0</v>
      </c>
      <c r="AF104" s="125">
        <v>51.764705882352899</v>
      </c>
      <c r="AG104" s="18">
        <v>880</v>
      </c>
      <c r="AH104" s="86">
        <v>0</v>
      </c>
      <c r="AI104" s="125">
        <v>189</v>
      </c>
      <c r="AJ104" s="18">
        <v>189</v>
      </c>
      <c r="AK104" s="86">
        <v>0</v>
      </c>
      <c r="AL104" s="125">
        <v>0</v>
      </c>
      <c r="AM104" s="18">
        <v>0</v>
      </c>
      <c r="AN104" s="86">
        <v>0</v>
      </c>
      <c r="AO104" s="125">
        <v>136.40714285714199</v>
      </c>
      <c r="AP104" s="18">
        <v>1909.7</v>
      </c>
      <c r="AQ104" s="86">
        <v>0</v>
      </c>
      <c r="AR104" s="125">
        <v>321.12833333333299</v>
      </c>
      <c r="AS104" s="18">
        <v>7707.08</v>
      </c>
      <c r="AT104" s="86">
        <v>0</v>
      </c>
      <c r="AU104" s="125">
        <v>14.874705882352901</v>
      </c>
      <c r="AV104" s="18">
        <v>252.87</v>
      </c>
      <c r="AW104" s="86">
        <v>0</v>
      </c>
      <c r="AX104" s="125">
        <v>0</v>
      </c>
      <c r="AY104" s="18">
        <v>0</v>
      </c>
      <c r="AZ104" s="86"/>
      <c r="BA104" s="125"/>
      <c r="BB104" s="18"/>
      <c r="BC104" s="86"/>
      <c r="BD104" s="125"/>
      <c r="BE104" s="18"/>
      <c r="BF104" s="86"/>
      <c r="BG104" s="125"/>
      <c r="BH104" s="18"/>
    </row>
    <row r="105" spans="3:60" ht="20.25" x14ac:dyDescent="0.3">
      <c r="C105" s="117" t="s">
        <v>83</v>
      </c>
      <c r="D105" s="140">
        <f>D97</f>
        <v>249</v>
      </c>
      <c r="E105" s="139">
        <f>IF(D105=0,0,F105/D105)</f>
        <v>1501.9469477911632</v>
      </c>
      <c r="F105" s="138">
        <f>SUM(F102:F104)</f>
        <v>373984.78999999963</v>
      </c>
      <c r="G105" s="140">
        <v>17</v>
      </c>
      <c r="H105" s="139">
        <v>2309.0123529411699</v>
      </c>
      <c r="I105" s="138">
        <v>39253.209999999897</v>
      </c>
      <c r="J105" s="140">
        <v>20</v>
      </c>
      <c r="K105" s="139">
        <v>1611.7184999999999</v>
      </c>
      <c r="L105" s="138">
        <v>32234.37</v>
      </c>
      <c r="M105" s="140">
        <v>13</v>
      </c>
      <c r="N105" s="139">
        <v>1145.56307692307</v>
      </c>
      <c r="O105" s="138">
        <v>14892.32</v>
      </c>
      <c r="P105" s="140">
        <v>20</v>
      </c>
      <c r="Q105" s="139">
        <v>1207.5014999999901</v>
      </c>
      <c r="R105" s="138">
        <v>24150.029999999901</v>
      </c>
      <c r="S105" s="140">
        <v>37</v>
      </c>
      <c r="T105" s="139">
        <v>2479.3524324324299</v>
      </c>
      <c r="U105" s="138">
        <v>91736.04</v>
      </c>
      <c r="V105" s="140">
        <v>24</v>
      </c>
      <c r="W105" s="139">
        <v>1431.6737499999999</v>
      </c>
      <c r="X105" s="138">
        <v>34360.17</v>
      </c>
      <c r="Y105" s="140">
        <v>4</v>
      </c>
      <c r="Z105" s="139">
        <v>1087.5</v>
      </c>
      <c r="AA105" s="138">
        <v>4350</v>
      </c>
      <c r="AB105" s="140">
        <v>22</v>
      </c>
      <c r="AC105" s="139">
        <v>1014.48272727272</v>
      </c>
      <c r="AD105" s="138">
        <v>22318.62</v>
      </c>
      <c r="AE105" s="140">
        <v>17</v>
      </c>
      <c r="AF105" s="139">
        <v>896.85294117647004</v>
      </c>
      <c r="AG105" s="138">
        <v>15246.5</v>
      </c>
      <c r="AH105" s="140">
        <v>1</v>
      </c>
      <c r="AI105" s="139">
        <v>189</v>
      </c>
      <c r="AJ105" s="138">
        <v>189</v>
      </c>
      <c r="AK105" s="140">
        <v>0</v>
      </c>
      <c r="AL105" s="139">
        <v>0</v>
      </c>
      <c r="AM105" s="138">
        <v>600</v>
      </c>
      <c r="AN105" s="140">
        <v>14</v>
      </c>
      <c r="AO105" s="139">
        <v>1394.2</v>
      </c>
      <c r="AP105" s="138">
        <v>19518.8</v>
      </c>
      <c r="AQ105" s="140">
        <v>24</v>
      </c>
      <c r="AR105" s="139">
        <v>938.27791666666599</v>
      </c>
      <c r="AS105" s="138">
        <v>22518.67</v>
      </c>
      <c r="AT105" s="140">
        <v>17</v>
      </c>
      <c r="AU105" s="139">
        <v>1581.4811764705801</v>
      </c>
      <c r="AV105" s="138">
        <v>26885.18</v>
      </c>
      <c r="AW105" s="140">
        <v>19</v>
      </c>
      <c r="AX105" s="139">
        <v>1354.3094736842099</v>
      </c>
      <c r="AY105" s="138">
        <v>25731.88</v>
      </c>
      <c r="AZ105" s="140"/>
      <c r="BA105" s="139"/>
      <c r="BB105" s="138"/>
      <c r="BC105" s="140"/>
      <c r="BD105" s="139"/>
      <c r="BE105" s="138"/>
      <c r="BF105" s="140"/>
      <c r="BG105" s="139"/>
      <c r="BH105" s="138"/>
    </row>
    <row r="106" spans="3:60" ht="20.25" x14ac:dyDescent="0.3">
      <c r="C106" s="8"/>
      <c r="D106" s="8">
        <f>+SUM(G106,J106,M106,P106,S106,V106,Y106,AB106,AE106,AH106,AK106,AN106,AQ106,AT106,AW106,AZ106,BC106,BF106)</f>
        <v>0</v>
      </c>
      <c r="E106" s="7"/>
      <c r="F106" s="63"/>
      <c r="G106" s="8"/>
      <c r="H106" s="7"/>
      <c r="I106" s="63"/>
      <c r="J106" s="8"/>
      <c r="K106" s="7"/>
      <c r="L106" s="63"/>
      <c r="M106" s="8"/>
      <c r="N106" s="7"/>
      <c r="O106" s="63"/>
      <c r="P106" s="8"/>
      <c r="Q106" s="7"/>
      <c r="R106" s="63"/>
      <c r="S106" s="8"/>
      <c r="T106" s="7"/>
      <c r="U106" s="63"/>
      <c r="V106" s="8"/>
      <c r="W106" s="7"/>
      <c r="X106" s="63"/>
      <c r="Y106" s="8"/>
      <c r="Z106" s="7"/>
      <c r="AA106" s="63"/>
      <c r="AB106" s="8"/>
      <c r="AC106" s="7"/>
      <c r="AD106" s="63"/>
      <c r="AE106" s="8"/>
      <c r="AF106" s="7"/>
      <c r="AG106" s="63"/>
      <c r="AH106" s="8"/>
      <c r="AI106" s="7"/>
      <c r="AJ106" s="63"/>
      <c r="AK106" s="8"/>
      <c r="AL106" s="7"/>
      <c r="AM106" s="63"/>
      <c r="AN106" s="8"/>
      <c r="AO106" s="7"/>
      <c r="AP106" s="63"/>
      <c r="AQ106" s="8"/>
      <c r="AR106" s="7"/>
      <c r="AS106" s="63"/>
      <c r="AT106" s="8"/>
      <c r="AU106" s="7"/>
      <c r="AV106" s="63"/>
      <c r="AW106" s="8"/>
      <c r="AX106" s="7"/>
      <c r="AY106" s="63"/>
      <c r="AZ106" s="8"/>
      <c r="BA106" s="7"/>
      <c r="BB106" s="63"/>
      <c r="BC106" s="8"/>
      <c r="BD106" s="7"/>
      <c r="BE106" s="63"/>
      <c r="BF106" s="8"/>
      <c r="BG106" s="7"/>
      <c r="BH106" s="63"/>
    </row>
    <row r="107" spans="3:60" ht="21" thickBot="1" x14ac:dyDescent="0.35">
      <c r="C107" s="8"/>
      <c r="D107" s="8">
        <f>+SUM(G107,J107,M107,P107,S107,V107,Y107,AB107,AE107,AH107,AK107,AN107,AQ107,AT107,AW107,AZ107,BC107,BF107)</f>
        <v>0</v>
      </c>
      <c r="E107" s="7"/>
      <c r="F107" s="63"/>
      <c r="G107" s="8"/>
      <c r="H107" s="7"/>
      <c r="I107" s="63"/>
      <c r="J107" s="8"/>
      <c r="K107" s="7"/>
      <c r="L107" s="63"/>
      <c r="M107" s="8"/>
      <c r="N107" s="7"/>
      <c r="O107" s="63"/>
      <c r="P107" s="8"/>
      <c r="Q107" s="7"/>
      <c r="R107" s="63"/>
      <c r="S107" s="8"/>
      <c r="T107" s="7"/>
      <c r="U107" s="63"/>
      <c r="V107" s="8"/>
      <c r="W107" s="7"/>
      <c r="X107" s="63"/>
      <c r="Y107" s="8"/>
      <c r="Z107" s="7"/>
      <c r="AA107" s="63"/>
      <c r="AB107" s="8"/>
      <c r="AC107" s="7"/>
      <c r="AD107" s="63"/>
      <c r="AE107" s="8"/>
      <c r="AF107" s="7"/>
      <c r="AG107" s="63"/>
      <c r="AH107" s="8"/>
      <c r="AI107" s="7"/>
      <c r="AJ107" s="63"/>
      <c r="AK107" s="8"/>
      <c r="AL107" s="7"/>
      <c r="AM107" s="63"/>
      <c r="AN107" s="8"/>
      <c r="AO107" s="7"/>
      <c r="AP107" s="63"/>
      <c r="AQ107" s="8"/>
      <c r="AR107" s="7"/>
      <c r="AS107" s="63"/>
      <c r="AT107" s="8"/>
      <c r="AU107" s="7"/>
      <c r="AV107" s="63"/>
      <c r="AW107" s="8"/>
      <c r="AX107" s="7"/>
      <c r="AY107" s="63"/>
      <c r="AZ107" s="8"/>
      <c r="BA107" s="7"/>
      <c r="BB107" s="63"/>
      <c r="BC107" s="8"/>
      <c r="BD107" s="7"/>
      <c r="BE107" s="63"/>
      <c r="BF107" s="8"/>
      <c r="BG107" s="7"/>
      <c r="BH107" s="63"/>
    </row>
    <row r="108" spans="3:60" ht="21" thickTop="1" x14ac:dyDescent="0.3">
      <c r="C108" s="43" t="s">
        <v>82</v>
      </c>
      <c r="D108" s="114">
        <f>D97+D100</f>
        <v>506</v>
      </c>
      <c r="E108" s="137">
        <f>IF(D108=0,0,F108/D108)</f>
        <v>2111.5760869565179</v>
      </c>
      <c r="F108" s="112">
        <f>F97+F100+F105</f>
        <v>1068457.4999999981</v>
      </c>
      <c r="G108" s="114">
        <v>39</v>
      </c>
      <c r="H108" s="137">
        <v>1947.39282051281</v>
      </c>
      <c r="I108" s="112">
        <v>75948.319999999803</v>
      </c>
      <c r="J108" s="114">
        <v>31</v>
      </c>
      <c r="K108" s="137">
        <v>2268.90709677419</v>
      </c>
      <c r="L108" s="112">
        <v>70336.119999999893</v>
      </c>
      <c r="M108" s="114">
        <v>28</v>
      </c>
      <c r="N108" s="137">
        <v>1767.82321428571</v>
      </c>
      <c r="O108" s="112">
        <v>49499.049999999901</v>
      </c>
      <c r="P108" s="114">
        <v>45</v>
      </c>
      <c r="Q108" s="137">
        <v>2338.2973333333298</v>
      </c>
      <c r="R108" s="112">
        <v>105223.38</v>
      </c>
      <c r="S108" s="114">
        <v>76</v>
      </c>
      <c r="T108" s="137">
        <v>2430.70828947368</v>
      </c>
      <c r="U108" s="112">
        <v>184733.83</v>
      </c>
      <c r="V108" s="114">
        <v>45</v>
      </c>
      <c r="W108" s="137">
        <v>2316.7473333333301</v>
      </c>
      <c r="X108" s="112">
        <v>104253.629999999</v>
      </c>
      <c r="Y108" s="114">
        <v>34</v>
      </c>
      <c r="Z108" s="137">
        <v>1313.07499999999</v>
      </c>
      <c r="AA108" s="112">
        <v>44644.549999999799</v>
      </c>
      <c r="AB108" s="114">
        <v>39</v>
      </c>
      <c r="AC108" s="137">
        <v>1681.77179487179</v>
      </c>
      <c r="AD108" s="112">
        <v>65589.099999999904</v>
      </c>
      <c r="AE108" s="114">
        <v>32</v>
      </c>
      <c r="AF108" s="137">
        <v>3111.9640624999902</v>
      </c>
      <c r="AG108" s="112">
        <v>99582.849999999904</v>
      </c>
      <c r="AH108" s="114">
        <v>9</v>
      </c>
      <c r="AI108" s="137">
        <v>805.13333333333105</v>
      </c>
      <c r="AJ108" s="112">
        <v>7246.1999999999798</v>
      </c>
      <c r="AK108" s="114">
        <v>15</v>
      </c>
      <c r="AL108" s="137">
        <v>-638.76266666666595</v>
      </c>
      <c r="AM108" s="112">
        <v>-9581.44</v>
      </c>
      <c r="AN108" s="114">
        <v>23</v>
      </c>
      <c r="AO108" s="137">
        <v>2286.1647826086901</v>
      </c>
      <c r="AP108" s="112">
        <v>52581.789999999899</v>
      </c>
      <c r="AQ108" s="114">
        <v>39</v>
      </c>
      <c r="AR108" s="137">
        <v>2828.59589743589</v>
      </c>
      <c r="AS108" s="112">
        <v>110315.239999999</v>
      </c>
      <c r="AT108" s="114">
        <v>27</v>
      </c>
      <c r="AU108" s="137">
        <v>2119.9681481481398</v>
      </c>
      <c r="AV108" s="112">
        <v>57239.139999999898</v>
      </c>
      <c r="AW108" s="114">
        <v>24</v>
      </c>
      <c r="AX108" s="137">
        <v>2118.5724999999902</v>
      </c>
      <c r="AY108" s="112">
        <v>50845.739999999903</v>
      </c>
      <c r="AZ108" s="114"/>
      <c r="BA108" s="137"/>
      <c r="BB108" s="112"/>
      <c r="BC108" s="114"/>
      <c r="BD108" s="137"/>
      <c r="BE108" s="112"/>
      <c r="BF108" s="114"/>
      <c r="BG108" s="137"/>
      <c r="BH108" s="112"/>
    </row>
    <row r="109" spans="3:60" ht="21" thickBot="1" x14ac:dyDescent="0.35">
      <c r="C109" s="40"/>
      <c r="D109" s="111"/>
      <c r="E109" s="110"/>
      <c r="F109" s="107"/>
      <c r="G109" s="111">
        <v>0</v>
      </c>
      <c r="H109" s="110">
        <v>0</v>
      </c>
      <c r="I109" s="107">
        <v>0</v>
      </c>
      <c r="J109" s="111">
        <v>0</v>
      </c>
      <c r="K109" s="110">
        <v>0</v>
      </c>
      <c r="L109" s="107">
        <v>0</v>
      </c>
      <c r="M109" s="111">
        <v>0</v>
      </c>
      <c r="N109" s="110">
        <v>0</v>
      </c>
      <c r="O109" s="107">
        <v>0</v>
      </c>
      <c r="P109" s="111">
        <v>0</v>
      </c>
      <c r="Q109" s="110">
        <v>0</v>
      </c>
      <c r="R109" s="107">
        <v>0</v>
      </c>
      <c r="S109" s="111">
        <v>0</v>
      </c>
      <c r="T109" s="110">
        <v>0</v>
      </c>
      <c r="U109" s="107">
        <v>0</v>
      </c>
      <c r="V109" s="111">
        <v>0</v>
      </c>
      <c r="W109" s="110">
        <v>0</v>
      </c>
      <c r="X109" s="107">
        <v>1.0728331069399799</v>
      </c>
      <c r="Y109" s="109">
        <v>0</v>
      </c>
      <c r="Z109" s="136">
        <v>0</v>
      </c>
      <c r="AA109" s="107">
        <v>0</v>
      </c>
      <c r="AB109" s="109">
        <v>0</v>
      </c>
      <c r="AC109" s="136">
        <v>0</v>
      </c>
      <c r="AD109" s="107">
        <v>0</v>
      </c>
      <c r="AE109" s="109">
        <v>0</v>
      </c>
      <c r="AF109" s="136">
        <v>0</v>
      </c>
      <c r="AG109" s="107">
        <v>0</v>
      </c>
      <c r="AH109" s="109">
        <v>0</v>
      </c>
      <c r="AI109" s="136">
        <v>0</v>
      </c>
      <c r="AJ109" s="107">
        <v>0</v>
      </c>
      <c r="AK109" s="109">
        <v>0</v>
      </c>
      <c r="AL109" s="136">
        <v>0</v>
      </c>
      <c r="AM109" s="107">
        <v>0</v>
      </c>
      <c r="AN109" s="109">
        <v>0</v>
      </c>
      <c r="AO109" s="136">
        <v>0</v>
      </c>
      <c r="AP109" s="107">
        <v>0</v>
      </c>
      <c r="AQ109" s="109">
        <v>0</v>
      </c>
      <c r="AR109" s="136">
        <v>0</v>
      </c>
      <c r="AS109" s="107">
        <v>0</v>
      </c>
      <c r="AT109" s="109">
        <v>0</v>
      </c>
      <c r="AU109" s="136">
        <v>0</v>
      </c>
      <c r="AV109" s="107">
        <v>0.60125147058823503</v>
      </c>
      <c r="AW109" s="109">
        <v>0</v>
      </c>
      <c r="AX109" s="136">
        <v>0</v>
      </c>
      <c r="AY109" s="107">
        <v>0</v>
      </c>
      <c r="AZ109" s="109"/>
      <c r="BA109" s="136"/>
      <c r="BB109" s="107"/>
      <c r="BC109" s="109"/>
      <c r="BD109" s="136"/>
      <c r="BE109" s="107"/>
      <c r="BF109" s="109"/>
      <c r="BG109" s="136"/>
      <c r="BH109" s="107"/>
    </row>
    <row r="110" spans="3:60" ht="21" thickTop="1" x14ac:dyDescent="0.3">
      <c r="C110" s="32"/>
      <c r="D110" s="32"/>
      <c r="E110" s="31"/>
      <c r="F110" s="30"/>
      <c r="G110" s="32"/>
      <c r="H110" s="31"/>
      <c r="I110" s="30"/>
      <c r="J110" s="32"/>
      <c r="K110" s="31"/>
      <c r="L110" s="30"/>
      <c r="M110" s="32"/>
      <c r="N110" s="31"/>
      <c r="O110" s="30"/>
      <c r="P110" s="32"/>
      <c r="Q110" s="31"/>
      <c r="R110" s="30"/>
      <c r="S110" s="32"/>
      <c r="T110" s="31"/>
      <c r="U110" s="30"/>
      <c r="V110" s="32"/>
      <c r="W110" s="31"/>
      <c r="X110" s="30"/>
      <c r="Y110" s="32"/>
      <c r="Z110" s="31"/>
      <c r="AA110" s="30"/>
      <c r="AB110" s="32"/>
      <c r="AC110" s="31"/>
      <c r="AD110" s="30"/>
      <c r="AE110" s="32"/>
      <c r="AF110" s="31"/>
      <c r="AG110" s="30"/>
      <c r="AH110" s="32"/>
      <c r="AI110" s="31"/>
      <c r="AJ110" s="30"/>
      <c r="AK110" s="32"/>
      <c r="AL110" s="31"/>
      <c r="AM110" s="30"/>
      <c r="AN110" s="32"/>
      <c r="AO110" s="31"/>
      <c r="AP110" s="30"/>
      <c r="AQ110" s="32"/>
      <c r="AR110" s="31"/>
      <c r="AS110" s="30"/>
      <c r="AT110" s="32"/>
      <c r="AU110" s="31"/>
      <c r="AV110" s="30"/>
      <c r="AW110" s="32"/>
      <c r="AX110" s="31"/>
      <c r="AY110" s="30"/>
      <c r="AZ110" s="32"/>
      <c r="BA110" s="31"/>
      <c r="BB110" s="30"/>
      <c r="BC110" s="32"/>
      <c r="BD110" s="31"/>
      <c r="BE110" s="30"/>
      <c r="BF110" s="32"/>
      <c r="BG110" s="31"/>
      <c r="BH110" s="30"/>
    </row>
    <row r="111" spans="3:60" ht="20.25" x14ac:dyDescent="0.3">
      <c r="C111" s="29" t="s">
        <v>28</v>
      </c>
      <c r="D111" s="8"/>
      <c r="E111" s="54"/>
      <c r="F111" s="6"/>
      <c r="G111" s="8"/>
      <c r="H111" s="54"/>
      <c r="I111" s="6"/>
      <c r="J111" s="8"/>
      <c r="K111" s="54"/>
      <c r="L111" s="6"/>
      <c r="M111" s="8"/>
      <c r="N111" s="54"/>
      <c r="O111" s="6"/>
      <c r="P111" s="8"/>
      <c r="Q111" s="54"/>
      <c r="R111" s="6"/>
      <c r="S111" s="8"/>
      <c r="T111" s="54"/>
      <c r="U111" s="6"/>
      <c r="V111" s="8"/>
      <c r="W111" s="54"/>
      <c r="X111" s="6"/>
      <c r="Y111" s="8"/>
      <c r="Z111" s="54"/>
      <c r="AA111" s="6"/>
      <c r="AB111" s="8"/>
      <c r="AC111" s="54"/>
      <c r="AD111" s="6"/>
      <c r="AE111" s="8"/>
      <c r="AF111" s="54"/>
      <c r="AG111" s="6"/>
      <c r="AH111" s="8"/>
      <c r="AI111" s="54"/>
      <c r="AJ111" s="6"/>
      <c r="AK111" s="8"/>
      <c r="AL111" s="54"/>
      <c r="AM111" s="6"/>
      <c r="AN111" s="8"/>
      <c r="AO111" s="54"/>
      <c r="AP111" s="6"/>
      <c r="AQ111" s="8"/>
      <c r="AR111" s="54"/>
      <c r="AS111" s="6"/>
      <c r="AT111" s="8"/>
      <c r="AU111" s="54"/>
      <c r="AV111" s="6"/>
      <c r="AW111" s="8"/>
      <c r="AX111" s="54"/>
      <c r="AY111" s="6"/>
      <c r="AZ111" s="8"/>
      <c r="BA111" s="54"/>
      <c r="BB111" s="6"/>
      <c r="BC111" s="8"/>
      <c r="BD111" s="54"/>
      <c r="BE111" s="6"/>
      <c r="BF111" s="8"/>
      <c r="BG111" s="54"/>
      <c r="BH111" s="6"/>
    </row>
    <row r="112" spans="3:60" ht="20.25" x14ac:dyDescent="0.3">
      <c r="C112" s="8" t="s">
        <v>81</v>
      </c>
      <c r="D112" s="135"/>
      <c r="E112" s="90">
        <f t="shared" ref="E112:E121" si="8">IF(D$97=0,0,F112/(D$94+D$95))</f>
        <v>797.43780172413778</v>
      </c>
      <c r="F112" s="18">
        <f t="shared" ref="F112:F121" si="9">+SUM(I112,L112,O112,R112,U112,X112,AA112,AD112,AG112,AJ112,AM112,AP112,AS112,AV112,AY112,BB112,BE112,BH112)</f>
        <v>185005.56999999998</v>
      </c>
      <c r="G112" s="135">
        <v>0.54322106558307004</v>
      </c>
      <c r="H112" s="90">
        <v>920.92235294117597</v>
      </c>
      <c r="I112" s="18">
        <v>15655.68</v>
      </c>
      <c r="J112" s="135">
        <v>0.236358697192315</v>
      </c>
      <c r="K112" s="90">
        <v>775.66849999999999</v>
      </c>
      <c r="L112" s="18">
        <v>15513.37</v>
      </c>
      <c r="M112" s="135">
        <v>0.27257935014979601</v>
      </c>
      <c r="N112" s="90">
        <v>619.17846153846097</v>
      </c>
      <c r="O112" s="18">
        <v>8049.32</v>
      </c>
      <c r="P112" s="135">
        <v>0</v>
      </c>
      <c r="Q112" s="90">
        <v>1011.8805</v>
      </c>
      <c r="R112" s="18">
        <v>20237.61</v>
      </c>
      <c r="S112" s="135">
        <v>0.46151203537292201</v>
      </c>
      <c r="T112" s="90">
        <v>511.21837837837802</v>
      </c>
      <c r="U112" s="18">
        <v>18915.080000000002</v>
      </c>
      <c r="V112" s="135">
        <v>0.321405557168427</v>
      </c>
      <c r="W112" s="90">
        <v>695.157499999999</v>
      </c>
      <c r="X112" s="18">
        <v>16683.78</v>
      </c>
      <c r="Y112" s="135">
        <v>0.27531331110715901</v>
      </c>
      <c r="Z112" s="90">
        <v>1474.66</v>
      </c>
      <c r="AA112" s="18">
        <v>5898.64</v>
      </c>
      <c r="AB112" s="135">
        <v>0.45783741851909099</v>
      </c>
      <c r="AC112" s="90">
        <v>552.63681818181794</v>
      </c>
      <c r="AD112" s="18">
        <v>12158.01</v>
      </c>
      <c r="AE112" s="135">
        <v>0.35772005379967498</v>
      </c>
      <c r="AF112" s="90">
        <v>1285.70352941176</v>
      </c>
      <c r="AG112" s="18">
        <v>21856.959999999999</v>
      </c>
      <c r="AH112" s="135">
        <v>0.24997979716352201</v>
      </c>
      <c r="AI112" s="90">
        <v>247.47</v>
      </c>
      <c r="AJ112" s="18">
        <v>247.47</v>
      </c>
      <c r="AK112" s="135" t="s">
        <v>50</v>
      </c>
      <c r="AL112" s="90">
        <v>0</v>
      </c>
      <c r="AM112" s="18">
        <v>3843.3</v>
      </c>
      <c r="AN112" s="135">
        <v>0.33833992861721401</v>
      </c>
      <c r="AO112" s="90">
        <v>647.72714285714198</v>
      </c>
      <c r="AP112" s="18">
        <v>9068.18</v>
      </c>
      <c r="AQ112" s="135">
        <v>0.38949205834617701</v>
      </c>
      <c r="AR112" s="90">
        <v>874.03916666666601</v>
      </c>
      <c r="AS112" s="18">
        <v>20976.94</v>
      </c>
      <c r="AT112" s="135">
        <v>0.38884166541577803</v>
      </c>
      <c r="AU112" s="90">
        <v>524.18235294117596</v>
      </c>
      <c r="AV112" s="18">
        <v>8911.1</v>
      </c>
      <c r="AW112" s="135">
        <v>0.36267410887077101</v>
      </c>
      <c r="AX112" s="90">
        <v>367.90157894736802</v>
      </c>
      <c r="AY112" s="18">
        <v>6990.13</v>
      </c>
      <c r="AZ112" s="135"/>
      <c r="BA112" s="90"/>
      <c r="BB112" s="18"/>
      <c r="BC112" s="135"/>
      <c r="BD112" s="90"/>
      <c r="BE112" s="18"/>
      <c r="BF112" s="135"/>
      <c r="BG112" s="90"/>
      <c r="BH112" s="18"/>
    </row>
    <row r="113" spans="3:60" ht="20.25" x14ac:dyDescent="0.3">
      <c r="C113" s="67" t="s">
        <v>80</v>
      </c>
      <c r="D113" s="134"/>
      <c r="E113" s="130">
        <f t="shared" si="8"/>
        <v>447.01021551724142</v>
      </c>
      <c r="F113" s="18">
        <f t="shared" si="9"/>
        <v>103706.37000000001</v>
      </c>
      <c r="G113" s="134">
        <v>0.274895783404629</v>
      </c>
      <c r="H113" s="130">
        <v>690.58235294117605</v>
      </c>
      <c r="I113" s="18">
        <v>11739.9</v>
      </c>
      <c r="J113" s="134">
        <v>0.29152038273457997</v>
      </c>
      <c r="K113" s="130">
        <v>535.36800000000005</v>
      </c>
      <c r="L113" s="18">
        <v>10707.36</v>
      </c>
      <c r="M113" s="134">
        <v>0.22996148350290599</v>
      </c>
      <c r="N113" s="130">
        <v>263.43538461538401</v>
      </c>
      <c r="O113" s="18">
        <v>3424.66</v>
      </c>
      <c r="P113" s="134">
        <v>0</v>
      </c>
      <c r="Q113" s="130">
        <v>433.50400000000002</v>
      </c>
      <c r="R113" s="18">
        <v>8670.08</v>
      </c>
      <c r="S113" s="134">
        <v>0.228676319579524</v>
      </c>
      <c r="T113" s="130">
        <v>283.484594594594</v>
      </c>
      <c r="U113" s="18">
        <v>20977.86</v>
      </c>
      <c r="V113" s="134">
        <v>0.30658928637430999</v>
      </c>
      <c r="W113" s="130">
        <v>438.93583333333299</v>
      </c>
      <c r="X113" s="18">
        <v>10534.46</v>
      </c>
      <c r="Y113" s="134">
        <v>0.26029885057471203</v>
      </c>
      <c r="Z113" s="130">
        <v>283.07499999999999</v>
      </c>
      <c r="AA113" s="18">
        <v>1132.3</v>
      </c>
      <c r="AB113" s="134">
        <v>0.21699146273380601</v>
      </c>
      <c r="AC113" s="130">
        <v>220.13409090908999</v>
      </c>
      <c r="AD113" s="18">
        <v>4842.95</v>
      </c>
      <c r="AE113" s="134">
        <v>0.27512215918407501</v>
      </c>
      <c r="AF113" s="130">
        <v>246.744117647058</v>
      </c>
      <c r="AG113" s="18">
        <v>4194.6499999999996</v>
      </c>
      <c r="AH113" s="134">
        <v>0.19205214465937701</v>
      </c>
      <c r="AI113" s="130">
        <v>228.35</v>
      </c>
      <c r="AJ113" s="18">
        <v>228.35</v>
      </c>
      <c r="AK113" s="134">
        <v>0.24351666666666599</v>
      </c>
      <c r="AL113" s="130">
        <v>0</v>
      </c>
      <c r="AM113" s="18">
        <v>146.11000000000001</v>
      </c>
      <c r="AN113" s="134">
        <v>0.27475708511332902</v>
      </c>
      <c r="AO113" s="130">
        <v>426.78214285714199</v>
      </c>
      <c r="AP113" s="18">
        <v>5974.95</v>
      </c>
      <c r="AQ113" s="134">
        <v>0.26057737106124501</v>
      </c>
      <c r="AR113" s="130">
        <v>291.99833333333299</v>
      </c>
      <c r="AS113" s="18">
        <v>7007.96</v>
      </c>
      <c r="AT113" s="134">
        <v>0.249992374981309</v>
      </c>
      <c r="AU113" s="130">
        <v>395.35823529411698</v>
      </c>
      <c r="AV113" s="18">
        <v>6721.09</v>
      </c>
      <c r="AW113" s="134">
        <v>0.28772441034234503</v>
      </c>
      <c r="AX113" s="130">
        <v>389.66789473684202</v>
      </c>
      <c r="AY113" s="18">
        <v>7403.69</v>
      </c>
      <c r="AZ113" s="134"/>
      <c r="BA113" s="130"/>
      <c r="BB113" s="18"/>
      <c r="BC113" s="134"/>
      <c r="BD113" s="130"/>
      <c r="BE113" s="18"/>
      <c r="BF113" s="134"/>
      <c r="BG113" s="130"/>
      <c r="BH113" s="18"/>
    </row>
    <row r="114" spans="3:60" ht="20.25" x14ac:dyDescent="0.3">
      <c r="C114" s="8" t="s">
        <v>79</v>
      </c>
      <c r="D114" s="8"/>
      <c r="E114" s="90">
        <f t="shared" si="8"/>
        <v>114.19517241379309</v>
      </c>
      <c r="F114" s="68">
        <f t="shared" si="9"/>
        <v>26493.279999999995</v>
      </c>
      <c r="G114" s="8">
        <v>0</v>
      </c>
      <c r="H114" s="90">
        <v>114.69294117647</v>
      </c>
      <c r="I114" s="68">
        <v>1949.78</v>
      </c>
      <c r="J114" s="8">
        <v>0</v>
      </c>
      <c r="K114" s="90">
        <v>124.694</v>
      </c>
      <c r="L114" s="68">
        <v>2493.88</v>
      </c>
      <c r="M114" s="8">
        <v>0</v>
      </c>
      <c r="N114" s="90">
        <v>83.379230769230702</v>
      </c>
      <c r="O114" s="68">
        <v>1083.93</v>
      </c>
      <c r="P114" s="8">
        <v>0</v>
      </c>
      <c r="Q114" s="90">
        <v>376.392</v>
      </c>
      <c r="R114" s="68">
        <v>7527.84</v>
      </c>
      <c r="S114" s="8">
        <v>0</v>
      </c>
      <c r="T114" s="90">
        <v>81.2548648648648</v>
      </c>
      <c r="U114" s="68">
        <v>3006.43</v>
      </c>
      <c r="V114" s="8">
        <v>0</v>
      </c>
      <c r="W114" s="90">
        <v>233.56125</v>
      </c>
      <c r="X114" s="68">
        <v>5605.47</v>
      </c>
      <c r="Y114" s="8">
        <v>0</v>
      </c>
      <c r="Z114" s="90">
        <v>207.4375</v>
      </c>
      <c r="AA114" s="68">
        <v>829.75</v>
      </c>
      <c r="AB114" s="8">
        <v>0</v>
      </c>
      <c r="AC114" s="90">
        <v>10.871363636363601</v>
      </c>
      <c r="AD114" s="68">
        <v>239.17</v>
      </c>
      <c r="AE114" s="8">
        <v>0</v>
      </c>
      <c r="AF114" s="90">
        <v>58.823529411764703</v>
      </c>
      <c r="AG114" s="68">
        <v>1000</v>
      </c>
      <c r="AH114" s="8">
        <v>0</v>
      </c>
      <c r="AI114" s="90">
        <v>358.1</v>
      </c>
      <c r="AJ114" s="68">
        <v>358.1</v>
      </c>
      <c r="AK114" s="8">
        <v>0</v>
      </c>
      <c r="AL114" s="90">
        <v>0</v>
      </c>
      <c r="AM114" s="68">
        <v>94.1</v>
      </c>
      <c r="AN114" s="8">
        <v>0</v>
      </c>
      <c r="AO114" s="90">
        <v>86.795714285714297</v>
      </c>
      <c r="AP114" s="68">
        <v>1215.1400000000001</v>
      </c>
      <c r="AQ114" s="8">
        <v>0</v>
      </c>
      <c r="AR114" s="90">
        <v>74.577391304347799</v>
      </c>
      <c r="AS114" s="68">
        <v>1715.28</v>
      </c>
      <c r="AT114" s="8">
        <v>0</v>
      </c>
      <c r="AU114" s="90">
        <v>-39.4582352941176</v>
      </c>
      <c r="AV114" s="68">
        <v>-670.79</v>
      </c>
      <c r="AW114" s="8">
        <v>0</v>
      </c>
      <c r="AX114" s="90">
        <v>2.3789473684210498</v>
      </c>
      <c r="AY114" s="68">
        <v>45.2</v>
      </c>
      <c r="AZ114" s="8"/>
      <c r="BA114" s="90"/>
      <c r="BB114" s="68"/>
      <c r="BC114" s="8"/>
      <c r="BD114" s="90"/>
      <c r="BE114" s="68"/>
      <c r="BF114" s="8"/>
      <c r="BG114" s="90"/>
      <c r="BH114" s="68"/>
    </row>
    <row r="115" spans="3:60" ht="20.25" x14ac:dyDescent="0.3">
      <c r="C115" s="8" t="s">
        <v>78</v>
      </c>
      <c r="D115" s="8"/>
      <c r="E115" s="90">
        <f t="shared" si="8"/>
        <v>149.92124999999999</v>
      </c>
      <c r="F115" s="18">
        <f t="shared" si="9"/>
        <v>34781.729999999996</v>
      </c>
      <c r="G115" s="8">
        <v>0</v>
      </c>
      <c r="H115" s="90">
        <v>99.225294117646996</v>
      </c>
      <c r="I115" s="18">
        <v>1686.83</v>
      </c>
      <c r="J115" s="8">
        <v>0</v>
      </c>
      <c r="K115" s="90">
        <v>40.588999999999999</v>
      </c>
      <c r="L115" s="18">
        <v>811.78</v>
      </c>
      <c r="M115" s="8">
        <v>0</v>
      </c>
      <c r="N115" s="90">
        <v>32.221538461538401</v>
      </c>
      <c r="O115" s="18">
        <v>418.88</v>
      </c>
      <c r="P115" s="8">
        <v>0</v>
      </c>
      <c r="Q115" s="90">
        <v>141.52699999999999</v>
      </c>
      <c r="R115" s="18">
        <v>2830.54</v>
      </c>
      <c r="S115" s="8">
        <v>0</v>
      </c>
      <c r="T115" s="90">
        <v>146.55783783783701</v>
      </c>
      <c r="U115" s="18">
        <v>5422.64</v>
      </c>
      <c r="V115" s="8">
        <v>0</v>
      </c>
      <c r="W115" s="90">
        <v>2.7945833333333301</v>
      </c>
      <c r="X115" s="18">
        <v>67.069999999999993</v>
      </c>
      <c r="Y115" s="8">
        <v>0</v>
      </c>
      <c r="Z115" s="90">
        <v>0</v>
      </c>
      <c r="AA115" s="18">
        <v>0</v>
      </c>
      <c r="AB115" s="8">
        <v>0</v>
      </c>
      <c r="AC115" s="90">
        <v>612.33000000000004</v>
      </c>
      <c r="AD115" s="18">
        <v>13471.26</v>
      </c>
      <c r="AE115" s="8">
        <v>0</v>
      </c>
      <c r="AF115" s="90">
        <v>309.16705882352898</v>
      </c>
      <c r="AG115" s="18">
        <v>5255.84</v>
      </c>
      <c r="AH115" s="8">
        <v>0</v>
      </c>
      <c r="AI115" s="90">
        <v>0</v>
      </c>
      <c r="AJ115" s="18">
        <v>0</v>
      </c>
      <c r="AK115" s="8">
        <v>0</v>
      </c>
      <c r="AL115" s="90">
        <v>0</v>
      </c>
      <c r="AM115" s="18">
        <v>731.34</v>
      </c>
      <c r="AN115" s="8">
        <v>0</v>
      </c>
      <c r="AO115" s="90">
        <v>88.4828571428571</v>
      </c>
      <c r="AP115" s="18">
        <v>1238.76</v>
      </c>
      <c r="AQ115" s="8">
        <v>0</v>
      </c>
      <c r="AR115" s="90">
        <v>20.9270833333333</v>
      </c>
      <c r="AS115" s="18">
        <v>502.25</v>
      </c>
      <c r="AT115" s="8">
        <v>0</v>
      </c>
      <c r="AU115" s="90">
        <v>25.291176470588201</v>
      </c>
      <c r="AV115" s="18">
        <v>429.95</v>
      </c>
      <c r="AW115" s="8">
        <v>0</v>
      </c>
      <c r="AX115" s="90">
        <v>100.767894736842</v>
      </c>
      <c r="AY115" s="18">
        <v>1914.59</v>
      </c>
      <c r="AZ115" s="8"/>
      <c r="BA115" s="90"/>
      <c r="BB115" s="18"/>
      <c r="BC115" s="8"/>
      <c r="BD115" s="90"/>
      <c r="BE115" s="18"/>
      <c r="BF115" s="8"/>
      <c r="BG115" s="90"/>
      <c r="BH115" s="18"/>
    </row>
    <row r="116" spans="3:60" ht="20.25" x14ac:dyDescent="0.3">
      <c r="C116" s="67" t="s">
        <v>77</v>
      </c>
      <c r="D116" s="67"/>
      <c r="E116" s="130">
        <f t="shared" si="8"/>
        <v>144.7353879310345</v>
      </c>
      <c r="F116" s="22">
        <f t="shared" si="9"/>
        <v>33578.61</v>
      </c>
      <c r="G116" s="67">
        <v>0</v>
      </c>
      <c r="H116" s="130">
        <v>325.68705882352901</v>
      </c>
      <c r="I116" s="22">
        <v>5536.68</v>
      </c>
      <c r="J116" s="67">
        <v>0</v>
      </c>
      <c r="K116" s="130">
        <v>174.059</v>
      </c>
      <c r="L116" s="22">
        <v>3481.18</v>
      </c>
      <c r="M116" s="67">
        <v>0</v>
      </c>
      <c r="N116" s="130">
        <v>194.09846153846101</v>
      </c>
      <c r="O116" s="22">
        <v>2523.2800000000002</v>
      </c>
      <c r="P116" s="67">
        <v>0</v>
      </c>
      <c r="Q116" s="130">
        <v>0</v>
      </c>
      <c r="R116" s="22">
        <v>0</v>
      </c>
      <c r="S116" s="67">
        <v>0</v>
      </c>
      <c r="T116" s="130">
        <v>0</v>
      </c>
      <c r="U116" s="22">
        <v>0</v>
      </c>
      <c r="V116" s="67">
        <v>0</v>
      </c>
      <c r="W116" s="130">
        <v>168.363333333333</v>
      </c>
      <c r="X116" s="22">
        <v>4040.72</v>
      </c>
      <c r="Y116" s="67">
        <v>0</v>
      </c>
      <c r="Z116" s="130">
        <v>585.02</v>
      </c>
      <c r="AA116" s="22">
        <v>2340.08</v>
      </c>
      <c r="AB116" s="67">
        <v>0</v>
      </c>
      <c r="AC116" s="130">
        <v>127.31409090909</v>
      </c>
      <c r="AD116" s="22">
        <v>2800.91</v>
      </c>
      <c r="AE116" s="67">
        <v>0</v>
      </c>
      <c r="AF116" s="130">
        <v>150.261764705882</v>
      </c>
      <c r="AG116" s="22">
        <v>2554.4499999999998</v>
      </c>
      <c r="AH116" s="67">
        <v>0</v>
      </c>
      <c r="AI116" s="130">
        <v>1585.93</v>
      </c>
      <c r="AJ116" s="22">
        <v>1585.93</v>
      </c>
      <c r="AK116" s="67">
        <v>0</v>
      </c>
      <c r="AL116" s="130">
        <v>0</v>
      </c>
      <c r="AM116" s="22">
        <v>1620.71</v>
      </c>
      <c r="AN116" s="67">
        <v>0</v>
      </c>
      <c r="AO116" s="130">
        <v>163.449285714285</v>
      </c>
      <c r="AP116" s="22">
        <v>2288.29</v>
      </c>
      <c r="AQ116" s="67">
        <v>0</v>
      </c>
      <c r="AR116" s="130">
        <v>125.47416666666599</v>
      </c>
      <c r="AS116" s="22">
        <v>3011.38</v>
      </c>
      <c r="AT116" s="67">
        <v>0</v>
      </c>
      <c r="AU116" s="130">
        <v>105.588235294117</v>
      </c>
      <c r="AV116" s="22">
        <v>1795</v>
      </c>
      <c r="AW116" s="67">
        <v>0</v>
      </c>
      <c r="AX116" s="130">
        <v>0</v>
      </c>
      <c r="AY116" s="22">
        <v>0</v>
      </c>
      <c r="AZ116" s="67"/>
      <c r="BA116" s="130"/>
      <c r="BB116" s="22"/>
      <c r="BC116" s="67"/>
      <c r="BD116" s="130"/>
      <c r="BE116" s="22"/>
      <c r="BF116" s="67"/>
      <c r="BG116" s="130"/>
      <c r="BH116" s="22"/>
    </row>
    <row r="117" spans="3:60" ht="20.25" x14ac:dyDescent="0.3">
      <c r="C117" s="8" t="s">
        <v>76</v>
      </c>
      <c r="D117" s="8"/>
      <c r="E117" s="90">
        <f t="shared" si="8"/>
        <v>639.87418103448272</v>
      </c>
      <c r="F117" s="18">
        <f t="shared" si="9"/>
        <v>148450.81</v>
      </c>
      <c r="G117" s="8">
        <v>0</v>
      </c>
      <c r="H117" s="90">
        <v>727.37411764705803</v>
      </c>
      <c r="I117" s="18">
        <v>12365.36</v>
      </c>
      <c r="J117" s="8">
        <v>0</v>
      </c>
      <c r="K117" s="90">
        <v>628.23450000000003</v>
      </c>
      <c r="L117" s="18">
        <v>12564.69</v>
      </c>
      <c r="M117" s="8">
        <v>0</v>
      </c>
      <c r="N117" s="90">
        <v>415.85692307692301</v>
      </c>
      <c r="O117" s="18">
        <v>5406.14</v>
      </c>
      <c r="P117" s="8">
        <v>0</v>
      </c>
      <c r="Q117" s="90">
        <v>779.32050000000004</v>
      </c>
      <c r="R117" s="18">
        <v>15586.41</v>
      </c>
      <c r="S117" s="8">
        <v>0</v>
      </c>
      <c r="T117" s="90">
        <v>653.40945945945896</v>
      </c>
      <c r="U117" s="18">
        <v>24176.15</v>
      </c>
      <c r="V117" s="8">
        <v>0</v>
      </c>
      <c r="W117" s="90">
        <v>359.05541666666602</v>
      </c>
      <c r="X117" s="18">
        <v>8617.33</v>
      </c>
      <c r="Y117" s="8">
        <v>0</v>
      </c>
      <c r="Z117" s="90">
        <v>2233.1974999999902</v>
      </c>
      <c r="AA117" s="18">
        <v>8932.78999999999</v>
      </c>
      <c r="AB117" s="8">
        <v>0</v>
      </c>
      <c r="AC117" s="90">
        <v>656.80499999999995</v>
      </c>
      <c r="AD117" s="18">
        <v>14449.71</v>
      </c>
      <c r="AE117" s="8">
        <v>0</v>
      </c>
      <c r="AF117" s="90">
        <v>586.86882352941097</v>
      </c>
      <c r="AG117" s="18">
        <v>9976.77</v>
      </c>
      <c r="AH117" s="8">
        <v>0</v>
      </c>
      <c r="AI117" s="90">
        <v>5327.72</v>
      </c>
      <c r="AJ117" s="18">
        <v>5327.72</v>
      </c>
      <c r="AK117" s="8">
        <v>0</v>
      </c>
      <c r="AL117" s="90">
        <v>0</v>
      </c>
      <c r="AM117" s="18">
        <v>2242.83</v>
      </c>
      <c r="AN117" s="8">
        <v>0</v>
      </c>
      <c r="AO117" s="90">
        <v>548.95785714285705</v>
      </c>
      <c r="AP117" s="18">
        <v>7685.41</v>
      </c>
      <c r="AQ117" s="8">
        <v>0</v>
      </c>
      <c r="AR117" s="90">
        <v>384.51333333333298</v>
      </c>
      <c r="AS117" s="18">
        <v>9228.32</v>
      </c>
      <c r="AT117" s="8">
        <v>0</v>
      </c>
      <c r="AU117" s="90">
        <v>412.91823529411698</v>
      </c>
      <c r="AV117" s="18">
        <v>7019.61</v>
      </c>
      <c r="AW117" s="8">
        <v>0</v>
      </c>
      <c r="AX117" s="90">
        <v>256.39842105263102</v>
      </c>
      <c r="AY117" s="18">
        <v>4871.57</v>
      </c>
      <c r="AZ117" s="8"/>
      <c r="BA117" s="90"/>
      <c r="BB117" s="18"/>
      <c r="BC117" s="8"/>
      <c r="BD117" s="90"/>
      <c r="BE117" s="18"/>
      <c r="BF117" s="8"/>
      <c r="BG117" s="90"/>
      <c r="BH117" s="18"/>
    </row>
    <row r="118" spans="3:60" ht="20.25" x14ac:dyDescent="0.3">
      <c r="C118" s="8" t="s">
        <v>75</v>
      </c>
      <c r="D118" s="8"/>
      <c r="E118" s="90">
        <f t="shared" si="8"/>
        <v>136.47125</v>
      </c>
      <c r="F118" s="18">
        <f t="shared" si="9"/>
        <v>31661.33</v>
      </c>
      <c r="G118" s="8">
        <v>0</v>
      </c>
      <c r="H118" s="90">
        <v>52.130588235294098</v>
      </c>
      <c r="I118" s="18">
        <v>886.22</v>
      </c>
      <c r="J118" s="8">
        <v>0</v>
      </c>
      <c r="K118" s="90">
        <v>19.564</v>
      </c>
      <c r="L118" s="18">
        <v>391.28</v>
      </c>
      <c r="M118" s="8">
        <v>0</v>
      </c>
      <c r="N118" s="90">
        <v>367.18538461538401</v>
      </c>
      <c r="O118" s="18">
        <v>4773.41</v>
      </c>
      <c r="P118" s="8">
        <v>0</v>
      </c>
      <c r="Q118" s="90">
        <v>209.971</v>
      </c>
      <c r="R118" s="18">
        <v>4199.42</v>
      </c>
      <c r="S118" s="8">
        <v>0</v>
      </c>
      <c r="T118" s="90">
        <v>192.001081081081</v>
      </c>
      <c r="U118" s="18">
        <v>7104.04</v>
      </c>
      <c r="V118" s="8">
        <v>0</v>
      </c>
      <c r="W118" s="90">
        <v>105.793333333333</v>
      </c>
      <c r="X118" s="18">
        <v>2539.04</v>
      </c>
      <c r="Y118" s="8">
        <v>0</v>
      </c>
      <c r="Z118" s="90">
        <v>309.625</v>
      </c>
      <c r="AA118" s="18">
        <v>1238.5</v>
      </c>
      <c r="AB118" s="8">
        <v>0</v>
      </c>
      <c r="AC118" s="90">
        <v>58.303636363636301</v>
      </c>
      <c r="AD118" s="18">
        <v>1282.68</v>
      </c>
      <c r="AE118" s="8">
        <v>0</v>
      </c>
      <c r="AF118" s="90">
        <v>302.19</v>
      </c>
      <c r="AG118" s="18">
        <v>5137.2299999999996</v>
      </c>
      <c r="AH118" s="8">
        <v>0</v>
      </c>
      <c r="AI118" s="90">
        <v>42.02</v>
      </c>
      <c r="AJ118" s="18">
        <v>42.02</v>
      </c>
      <c r="AK118" s="8">
        <v>0</v>
      </c>
      <c r="AL118" s="90">
        <v>0</v>
      </c>
      <c r="AM118" s="18">
        <v>558.54</v>
      </c>
      <c r="AN118" s="8">
        <v>0</v>
      </c>
      <c r="AO118" s="90">
        <v>40.774285714285703</v>
      </c>
      <c r="AP118" s="18">
        <v>570.84</v>
      </c>
      <c r="AQ118" s="8">
        <v>0</v>
      </c>
      <c r="AR118" s="90">
        <v>33.987499999999997</v>
      </c>
      <c r="AS118" s="18">
        <v>815.7</v>
      </c>
      <c r="AT118" s="8">
        <v>0</v>
      </c>
      <c r="AU118" s="90">
        <v>124.847647058823</v>
      </c>
      <c r="AV118" s="18">
        <v>2122.41</v>
      </c>
      <c r="AW118" s="8">
        <v>0</v>
      </c>
      <c r="AX118" s="90">
        <v>0</v>
      </c>
      <c r="AY118" s="18">
        <v>0</v>
      </c>
      <c r="AZ118" s="8"/>
      <c r="BA118" s="90"/>
      <c r="BB118" s="18"/>
      <c r="BC118" s="8"/>
      <c r="BD118" s="90"/>
      <c r="BE118" s="18"/>
      <c r="BF118" s="8"/>
      <c r="BG118" s="90"/>
      <c r="BH118" s="18"/>
    </row>
    <row r="119" spans="3:60" ht="20.25" hidden="1" x14ac:dyDescent="0.3">
      <c r="C119" s="8" t="s">
        <v>3</v>
      </c>
      <c r="D119" s="8"/>
      <c r="E119" s="90">
        <f t="shared" si="8"/>
        <v>0</v>
      </c>
      <c r="F119" s="18">
        <f t="shared" si="9"/>
        <v>0</v>
      </c>
      <c r="G119" s="8">
        <v>0</v>
      </c>
      <c r="H119" s="90">
        <v>0</v>
      </c>
      <c r="I119" s="18">
        <v>0</v>
      </c>
      <c r="J119" s="8">
        <v>0</v>
      </c>
      <c r="K119" s="90">
        <v>0</v>
      </c>
      <c r="L119" s="18">
        <v>0</v>
      </c>
      <c r="M119" s="8">
        <v>0</v>
      </c>
      <c r="N119" s="90">
        <v>0</v>
      </c>
      <c r="O119" s="18">
        <v>0</v>
      </c>
      <c r="P119" s="8">
        <v>0</v>
      </c>
      <c r="Q119" s="90">
        <v>0</v>
      </c>
      <c r="R119" s="18">
        <v>0</v>
      </c>
      <c r="S119" s="8">
        <v>0</v>
      </c>
      <c r="T119" s="90">
        <v>0</v>
      </c>
      <c r="U119" s="18">
        <v>0</v>
      </c>
      <c r="V119" s="8">
        <v>0</v>
      </c>
      <c r="W119" s="90">
        <v>0</v>
      </c>
      <c r="X119" s="18">
        <v>0</v>
      </c>
      <c r="Y119" s="8">
        <v>0</v>
      </c>
      <c r="Z119" s="90">
        <v>0</v>
      </c>
      <c r="AA119" s="18">
        <v>0</v>
      </c>
      <c r="AB119" s="8">
        <v>0</v>
      </c>
      <c r="AC119" s="90">
        <v>0</v>
      </c>
      <c r="AD119" s="18">
        <v>0</v>
      </c>
      <c r="AE119" s="8">
        <v>0</v>
      </c>
      <c r="AF119" s="90">
        <v>0</v>
      </c>
      <c r="AG119" s="18">
        <v>0</v>
      </c>
      <c r="AH119" s="8">
        <v>0</v>
      </c>
      <c r="AI119" s="90">
        <v>0</v>
      </c>
      <c r="AJ119" s="18">
        <v>0</v>
      </c>
      <c r="AK119" s="8">
        <v>0</v>
      </c>
      <c r="AL119" s="90">
        <v>0</v>
      </c>
      <c r="AM119" s="18">
        <v>0</v>
      </c>
      <c r="AN119" s="8">
        <v>0</v>
      </c>
      <c r="AO119" s="90">
        <v>0</v>
      </c>
      <c r="AP119" s="18">
        <v>0</v>
      </c>
      <c r="AQ119" s="8">
        <v>0</v>
      </c>
      <c r="AR119" s="90">
        <v>0</v>
      </c>
      <c r="AS119" s="18">
        <v>0</v>
      </c>
      <c r="AT119" s="8">
        <v>0</v>
      </c>
      <c r="AU119" s="90">
        <v>0</v>
      </c>
      <c r="AV119" s="18">
        <v>0</v>
      </c>
      <c r="AW119" s="8">
        <v>0</v>
      </c>
      <c r="AX119" s="90">
        <v>0</v>
      </c>
      <c r="AY119" s="18">
        <v>0</v>
      </c>
      <c r="AZ119" s="8"/>
      <c r="BA119" s="90"/>
      <c r="BB119" s="18"/>
      <c r="BC119" s="8"/>
      <c r="BD119" s="90"/>
      <c r="BE119" s="18"/>
      <c r="BF119" s="8"/>
      <c r="BG119" s="90"/>
      <c r="BH119" s="18"/>
    </row>
    <row r="120" spans="3:60" ht="20.25" hidden="1" x14ac:dyDescent="0.3">
      <c r="C120" s="8" t="s">
        <v>3</v>
      </c>
      <c r="D120" s="8"/>
      <c r="E120" s="90">
        <f t="shared" si="8"/>
        <v>0</v>
      </c>
      <c r="F120" s="18">
        <f t="shared" si="9"/>
        <v>0</v>
      </c>
      <c r="G120" s="8">
        <v>0</v>
      </c>
      <c r="H120" s="90">
        <v>0</v>
      </c>
      <c r="I120" s="18">
        <v>0</v>
      </c>
      <c r="J120" s="8">
        <v>0</v>
      </c>
      <c r="K120" s="90">
        <v>0</v>
      </c>
      <c r="L120" s="18">
        <v>0</v>
      </c>
      <c r="M120" s="8">
        <v>0</v>
      </c>
      <c r="N120" s="90">
        <v>0</v>
      </c>
      <c r="O120" s="18">
        <v>0</v>
      </c>
      <c r="P120" s="8">
        <v>0</v>
      </c>
      <c r="Q120" s="90">
        <v>0</v>
      </c>
      <c r="R120" s="18">
        <v>0</v>
      </c>
      <c r="S120" s="8">
        <v>0</v>
      </c>
      <c r="T120" s="90">
        <v>0</v>
      </c>
      <c r="U120" s="18">
        <v>0</v>
      </c>
      <c r="V120" s="8">
        <v>0</v>
      </c>
      <c r="W120" s="90">
        <v>0</v>
      </c>
      <c r="X120" s="18">
        <v>0</v>
      </c>
      <c r="Y120" s="8">
        <v>0</v>
      </c>
      <c r="Z120" s="90">
        <v>0</v>
      </c>
      <c r="AA120" s="18">
        <v>0</v>
      </c>
      <c r="AB120" s="8">
        <v>0</v>
      </c>
      <c r="AC120" s="90">
        <v>0</v>
      </c>
      <c r="AD120" s="18">
        <v>0</v>
      </c>
      <c r="AE120" s="8">
        <v>0</v>
      </c>
      <c r="AF120" s="90">
        <v>0</v>
      </c>
      <c r="AG120" s="18">
        <v>0</v>
      </c>
      <c r="AH120" s="8">
        <v>0</v>
      </c>
      <c r="AI120" s="90">
        <v>0</v>
      </c>
      <c r="AJ120" s="18">
        <v>0</v>
      </c>
      <c r="AK120" s="8">
        <v>0</v>
      </c>
      <c r="AL120" s="90">
        <v>0</v>
      </c>
      <c r="AM120" s="18">
        <v>0</v>
      </c>
      <c r="AN120" s="8">
        <v>0</v>
      </c>
      <c r="AO120" s="90">
        <v>0</v>
      </c>
      <c r="AP120" s="18">
        <v>0</v>
      </c>
      <c r="AQ120" s="8">
        <v>0</v>
      </c>
      <c r="AR120" s="90">
        <v>0</v>
      </c>
      <c r="AS120" s="18">
        <v>0</v>
      </c>
      <c r="AT120" s="8">
        <v>0</v>
      </c>
      <c r="AU120" s="90">
        <v>0</v>
      </c>
      <c r="AV120" s="18">
        <v>0</v>
      </c>
      <c r="AW120" s="8">
        <v>0</v>
      </c>
      <c r="AX120" s="90">
        <v>0</v>
      </c>
      <c r="AY120" s="18">
        <v>0</v>
      </c>
      <c r="AZ120" s="8"/>
      <c r="BA120" s="90"/>
      <c r="BB120" s="18"/>
      <c r="BC120" s="8"/>
      <c r="BD120" s="90"/>
      <c r="BE120" s="18"/>
      <c r="BF120" s="8"/>
      <c r="BG120" s="90"/>
      <c r="BH120" s="18"/>
    </row>
    <row r="121" spans="3:60" ht="20.25" hidden="1" x14ac:dyDescent="0.3">
      <c r="C121" s="8" t="s">
        <v>3</v>
      </c>
      <c r="D121" s="8"/>
      <c r="E121" s="90">
        <f t="shared" si="8"/>
        <v>0</v>
      </c>
      <c r="F121" s="18">
        <f t="shared" si="9"/>
        <v>0</v>
      </c>
      <c r="G121" s="8">
        <v>0</v>
      </c>
      <c r="H121" s="90">
        <v>0</v>
      </c>
      <c r="I121" s="18">
        <v>0</v>
      </c>
      <c r="J121" s="8">
        <v>0</v>
      </c>
      <c r="K121" s="90">
        <v>0</v>
      </c>
      <c r="L121" s="18">
        <v>0</v>
      </c>
      <c r="M121" s="8">
        <v>0</v>
      </c>
      <c r="N121" s="90">
        <v>0</v>
      </c>
      <c r="O121" s="18">
        <v>0</v>
      </c>
      <c r="P121" s="8">
        <v>0</v>
      </c>
      <c r="Q121" s="90">
        <v>0</v>
      </c>
      <c r="R121" s="18">
        <v>0</v>
      </c>
      <c r="S121" s="8">
        <v>0</v>
      </c>
      <c r="T121" s="90">
        <v>0</v>
      </c>
      <c r="U121" s="18">
        <v>0</v>
      </c>
      <c r="V121" s="8">
        <v>0</v>
      </c>
      <c r="W121" s="90">
        <v>0</v>
      </c>
      <c r="X121" s="18">
        <v>0</v>
      </c>
      <c r="Y121" s="8">
        <v>0</v>
      </c>
      <c r="Z121" s="90">
        <v>0</v>
      </c>
      <c r="AA121" s="18">
        <v>0</v>
      </c>
      <c r="AB121" s="8">
        <v>0</v>
      </c>
      <c r="AC121" s="90">
        <v>0</v>
      </c>
      <c r="AD121" s="18">
        <v>0</v>
      </c>
      <c r="AE121" s="8">
        <v>0</v>
      </c>
      <c r="AF121" s="90">
        <v>0</v>
      </c>
      <c r="AG121" s="18">
        <v>0</v>
      </c>
      <c r="AH121" s="8">
        <v>0</v>
      </c>
      <c r="AI121" s="90">
        <v>0</v>
      </c>
      <c r="AJ121" s="18">
        <v>0</v>
      </c>
      <c r="AK121" s="8">
        <v>0</v>
      </c>
      <c r="AL121" s="90">
        <v>0</v>
      </c>
      <c r="AM121" s="18">
        <v>0</v>
      </c>
      <c r="AN121" s="8">
        <v>0</v>
      </c>
      <c r="AO121" s="90">
        <v>0</v>
      </c>
      <c r="AP121" s="18">
        <v>0</v>
      </c>
      <c r="AQ121" s="8">
        <v>0</v>
      </c>
      <c r="AR121" s="90">
        <v>0</v>
      </c>
      <c r="AS121" s="18">
        <v>0</v>
      </c>
      <c r="AT121" s="8">
        <v>0</v>
      </c>
      <c r="AU121" s="90">
        <v>0</v>
      </c>
      <c r="AV121" s="18">
        <v>0</v>
      </c>
      <c r="AW121" s="8">
        <v>0</v>
      </c>
      <c r="AX121" s="90">
        <v>0</v>
      </c>
      <c r="AY121" s="18">
        <v>0</v>
      </c>
      <c r="AZ121" s="8"/>
      <c r="BA121" s="90"/>
      <c r="BB121" s="18"/>
      <c r="BC121" s="8"/>
      <c r="BD121" s="90"/>
      <c r="BE121" s="18"/>
      <c r="BF121" s="8"/>
      <c r="BG121" s="90"/>
      <c r="BH121" s="18"/>
    </row>
    <row r="122" spans="3:60" ht="20.25" x14ac:dyDescent="0.3">
      <c r="C122" s="11" t="s">
        <v>74</v>
      </c>
      <c r="D122" s="64"/>
      <c r="E122" s="14">
        <f>IFERROR(F122/F$108,0)</f>
        <v>0.52756211641548756</v>
      </c>
      <c r="F122" s="12">
        <f>SUM(F112:F118)</f>
        <v>563677.69999999984</v>
      </c>
      <c r="G122" s="64" t="s">
        <v>18</v>
      </c>
      <c r="H122" s="14">
        <v>0.65597830208752494</v>
      </c>
      <c r="I122" s="12">
        <v>49820.45</v>
      </c>
      <c r="J122" s="64" t="s">
        <v>18</v>
      </c>
      <c r="K122" s="14">
        <v>0.65348415579363806</v>
      </c>
      <c r="L122" s="12">
        <v>45963.54</v>
      </c>
      <c r="M122" s="64" t="s">
        <v>18</v>
      </c>
      <c r="N122" s="14">
        <v>0.51879015859900401</v>
      </c>
      <c r="O122" s="12">
        <v>25679.62</v>
      </c>
      <c r="P122" s="64" t="s">
        <v>18</v>
      </c>
      <c r="Q122" s="14">
        <v>0.56120512380423404</v>
      </c>
      <c r="R122" s="12">
        <v>59051.8999999999</v>
      </c>
      <c r="S122" s="64" t="s">
        <v>18</v>
      </c>
      <c r="T122" s="14">
        <v>0.43090212550673501</v>
      </c>
      <c r="U122" s="12">
        <v>79602.2</v>
      </c>
      <c r="V122" s="64" t="s">
        <v>18</v>
      </c>
      <c r="W122" s="14">
        <v>0.46125847128776198</v>
      </c>
      <c r="X122" s="12">
        <v>48087.87</v>
      </c>
      <c r="Y122" s="64" t="s">
        <v>18</v>
      </c>
      <c r="Z122" s="14">
        <v>0.45631684046541099</v>
      </c>
      <c r="AA122" s="12">
        <v>20372.059999999899</v>
      </c>
      <c r="AB122" s="64" t="s">
        <v>18</v>
      </c>
      <c r="AC122" s="14">
        <v>0.75080600282668897</v>
      </c>
      <c r="AD122" s="12">
        <v>49244.69</v>
      </c>
      <c r="AE122" s="64" t="s">
        <v>18</v>
      </c>
      <c r="AF122" s="14">
        <v>0.50185247761035101</v>
      </c>
      <c r="AG122" s="12">
        <v>49975.8999999999</v>
      </c>
      <c r="AH122" s="64" t="s">
        <v>18</v>
      </c>
      <c r="AI122" s="14">
        <v>1.07498964974745</v>
      </c>
      <c r="AJ122" s="12">
        <v>7789.59</v>
      </c>
      <c r="AK122" s="64" t="s">
        <v>18</v>
      </c>
      <c r="AL122" s="14">
        <v>-0.96404402678511703</v>
      </c>
      <c r="AM122" s="12">
        <v>9236.93</v>
      </c>
      <c r="AN122" s="64" t="s">
        <v>18</v>
      </c>
      <c r="AO122" s="14">
        <v>0.53329432109481201</v>
      </c>
      <c r="AP122" s="12">
        <v>28041.57</v>
      </c>
      <c r="AQ122" s="64" t="s">
        <v>18</v>
      </c>
      <c r="AR122" s="14">
        <v>0.39212922892612101</v>
      </c>
      <c r="AS122" s="12">
        <v>43257.8299999999</v>
      </c>
      <c r="AT122" s="64" t="s">
        <v>18</v>
      </c>
      <c r="AU122" s="14">
        <v>0.45997144611187302</v>
      </c>
      <c r="AV122" s="12">
        <v>26328.37</v>
      </c>
      <c r="AW122" s="64" t="s">
        <v>18</v>
      </c>
      <c r="AX122" s="14">
        <v>0.41744264121241997</v>
      </c>
      <c r="AY122" s="12">
        <v>21225.18</v>
      </c>
      <c r="AZ122" s="64"/>
      <c r="BA122" s="14"/>
      <c r="BB122" s="12"/>
      <c r="BC122" s="64"/>
      <c r="BD122" s="14"/>
      <c r="BE122" s="12"/>
      <c r="BF122" s="64"/>
      <c r="BG122" s="14"/>
      <c r="BH122" s="12"/>
    </row>
    <row r="123" spans="3:60" ht="20.25" x14ac:dyDescent="0.3">
      <c r="C123" s="17" t="s">
        <v>27</v>
      </c>
      <c r="D123" s="8"/>
      <c r="E123" s="7"/>
      <c r="F123" s="18">
        <f t="shared" ref="F123:F134" si="10">+SUM(I123,L123,O123,R123,U123,X123,AA123,AD123,AG123,AJ123,AM123,AP123,AS123,AV123,AY123,BB123,BE123,BH123)</f>
        <v>136629.00999999998</v>
      </c>
      <c r="G123" s="8">
        <v>0</v>
      </c>
      <c r="H123" s="7">
        <v>0</v>
      </c>
      <c r="I123" s="18">
        <v>9571.89</v>
      </c>
      <c r="J123" s="8">
        <v>0</v>
      </c>
      <c r="K123" s="7">
        <v>0</v>
      </c>
      <c r="L123" s="18">
        <v>8499.2800000000007</v>
      </c>
      <c r="M123" s="8">
        <v>0</v>
      </c>
      <c r="N123" s="7">
        <v>0</v>
      </c>
      <c r="O123" s="18">
        <v>3027.94</v>
      </c>
      <c r="P123" s="8">
        <v>0</v>
      </c>
      <c r="Q123" s="7">
        <v>0</v>
      </c>
      <c r="R123" s="18">
        <v>11078.67</v>
      </c>
      <c r="S123" s="8">
        <v>0</v>
      </c>
      <c r="T123" s="7">
        <v>0</v>
      </c>
      <c r="U123" s="18">
        <v>31995.040000000001</v>
      </c>
      <c r="V123" s="8">
        <v>0</v>
      </c>
      <c r="W123" s="7">
        <v>0</v>
      </c>
      <c r="X123" s="18">
        <v>12219.08</v>
      </c>
      <c r="Y123" s="8">
        <v>0</v>
      </c>
      <c r="Z123" s="7">
        <v>0</v>
      </c>
      <c r="AA123" s="18">
        <v>7645.15</v>
      </c>
      <c r="AB123" s="8">
        <v>0</v>
      </c>
      <c r="AC123" s="7">
        <v>0</v>
      </c>
      <c r="AD123" s="18">
        <v>12305.19</v>
      </c>
      <c r="AE123" s="8">
        <v>0</v>
      </c>
      <c r="AF123" s="7">
        <v>0</v>
      </c>
      <c r="AG123" s="18">
        <v>5154.1499999999996</v>
      </c>
      <c r="AH123" s="8">
        <v>0</v>
      </c>
      <c r="AI123" s="7">
        <v>0</v>
      </c>
      <c r="AJ123" s="18">
        <v>1288.4000000000001</v>
      </c>
      <c r="AK123" s="8">
        <v>0</v>
      </c>
      <c r="AL123" s="7">
        <v>0</v>
      </c>
      <c r="AM123" s="18">
        <v>5486.44</v>
      </c>
      <c r="AN123" s="8">
        <v>0</v>
      </c>
      <c r="AO123" s="7">
        <v>0</v>
      </c>
      <c r="AP123" s="18">
        <v>8406</v>
      </c>
      <c r="AQ123" s="8">
        <v>0</v>
      </c>
      <c r="AR123" s="7">
        <v>0</v>
      </c>
      <c r="AS123" s="18">
        <v>6831.21</v>
      </c>
      <c r="AT123" s="8">
        <v>0</v>
      </c>
      <c r="AU123" s="7">
        <v>0</v>
      </c>
      <c r="AV123" s="18">
        <v>6449.93</v>
      </c>
      <c r="AW123" s="8">
        <v>0</v>
      </c>
      <c r="AX123" s="7">
        <v>0</v>
      </c>
      <c r="AY123" s="18">
        <v>6670.6399999999903</v>
      </c>
      <c r="AZ123" s="8"/>
      <c r="BA123" s="7"/>
      <c r="BB123" s="18"/>
      <c r="BC123" s="8"/>
      <c r="BD123" s="7"/>
      <c r="BE123" s="18"/>
      <c r="BF123" s="8"/>
      <c r="BG123" s="7"/>
      <c r="BH123" s="18"/>
    </row>
    <row r="124" spans="3:60" ht="20.25" x14ac:dyDescent="0.3">
      <c r="C124" s="25" t="s">
        <v>26</v>
      </c>
      <c r="D124" s="8"/>
      <c r="E124" s="7"/>
      <c r="F124" s="22">
        <f t="shared" si="10"/>
        <v>69052.100000000006</v>
      </c>
      <c r="G124" s="8">
        <v>0</v>
      </c>
      <c r="H124" s="7">
        <v>0</v>
      </c>
      <c r="I124" s="22">
        <v>1911.67</v>
      </c>
      <c r="J124" s="8">
        <v>0</v>
      </c>
      <c r="K124" s="7">
        <v>0</v>
      </c>
      <c r="L124" s="22">
        <v>1800.71</v>
      </c>
      <c r="M124" s="8">
        <v>0</v>
      </c>
      <c r="N124" s="7">
        <v>0</v>
      </c>
      <c r="O124" s="22">
        <v>3111.23</v>
      </c>
      <c r="P124" s="8">
        <v>0</v>
      </c>
      <c r="Q124" s="7">
        <v>0</v>
      </c>
      <c r="R124" s="22">
        <v>8477.6299999999992</v>
      </c>
      <c r="S124" s="8">
        <v>0</v>
      </c>
      <c r="T124" s="7">
        <v>0</v>
      </c>
      <c r="U124" s="22">
        <v>13012.16</v>
      </c>
      <c r="V124" s="8">
        <v>0</v>
      </c>
      <c r="W124" s="7">
        <v>0</v>
      </c>
      <c r="X124" s="22">
        <v>8335.16</v>
      </c>
      <c r="Y124" s="8">
        <v>0</v>
      </c>
      <c r="Z124" s="7">
        <v>0</v>
      </c>
      <c r="AA124" s="22">
        <v>2931.73</v>
      </c>
      <c r="AB124" s="8">
        <v>0</v>
      </c>
      <c r="AC124" s="7">
        <v>0</v>
      </c>
      <c r="AD124" s="22">
        <v>2900.99</v>
      </c>
      <c r="AE124" s="8">
        <v>0</v>
      </c>
      <c r="AF124" s="7">
        <v>0</v>
      </c>
      <c r="AG124" s="22">
        <v>3832.73</v>
      </c>
      <c r="AH124" s="8">
        <v>0</v>
      </c>
      <c r="AI124" s="7">
        <v>0</v>
      </c>
      <c r="AJ124" s="22">
        <v>976.8</v>
      </c>
      <c r="AK124" s="8">
        <v>0</v>
      </c>
      <c r="AL124" s="7">
        <v>0</v>
      </c>
      <c r="AM124" s="22">
        <v>1813.95</v>
      </c>
      <c r="AN124" s="8">
        <v>0</v>
      </c>
      <c r="AO124" s="7">
        <v>0</v>
      </c>
      <c r="AP124" s="22">
        <v>4196.5</v>
      </c>
      <c r="AQ124" s="8">
        <v>0</v>
      </c>
      <c r="AR124" s="7">
        <v>0</v>
      </c>
      <c r="AS124" s="22">
        <v>4601.87</v>
      </c>
      <c r="AT124" s="8">
        <v>0</v>
      </c>
      <c r="AU124" s="7">
        <v>0</v>
      </c>
      <c r="AV124" s="22">
        <v>5400.97</v>
      </c>
      <c r="AW124" s="8">
        <v>0</v>
      </c>
      <c r="AX124" s="7">
        <v>0</v>
      </c>
      <c r="AY124" s="22">
        <v>5748</v>
      </c>
      <c r="AZ124" s="8"/>
      <c r="BA124" s="7"/>
      <c r="BB124" s="22"/>
      <c r="BC124" s="8"/>
      <c r="BD124" s="7"/>
      <c r="BE124" s="22"/>
      <c r="BF124" s="8"/>
      <c r="BG124" s="7"/>
      <c r="BH124" s="22"/>
    </row>
    <row r="125" spans="3:60" ht="20.25" x14ac:dyDescent="0.3">
      <c r="C125" s="17" t="s">
        <v>25</v>
      </c>
      <c r="D125" s="72"/>
      <c r="E125" s="71"/>
      <c r="F125" s="18">
        <f t="shared" si="10"/>
        <v>68071.570000000007</v>
      </c>
      <c r="G125" s="72">
        <v>0</v>
      </c>
      <c r="H125" s="71">
        <v>0</v>
      </c>
      <c r="I125" s="18">
        <v>6187.55</v>
      </c>
      <c r="J125" s="72">
        <v>0</v>
      </c>
      <c r="K125" s="71">
        <v>0</v>
      </c>
      <c r="L125" s="18">
        <v>5970.11</v>
      </c>
      <c r="M125" s="72">
        <v>0</v>
      </c>
      <c r="N125" s="71">
        <v>0</v>
      </c>
      <c r="O125" s="18">
        <v>2809</v>
      </c>
      <c r="P125" s="72">
        <v>0</v>
      </c>
      <c r="Q125" s="71">
        <v>0</v>
      </c>
      <c r="R125" s="18">
        <v>8035.62</v>
      </c>
      <c r="S125" s="72">
        <v>0</v>
      </c>
      <c r="T125" s="71">
        <v>0</v>
      </c>
      <c r="U125" s="18">
        <v>6745.99</v>
      </c>
      <c r="V125" s="72">
        <v>0</v>
      </c>
      <c r="W125" s="71">
        <v>0</v>
      </c>
      <c r="X125" s="18">
        <v>8349.7000000000007</v>
      </c>
      <c r="Y125" s="72">
        <v>0</v>
      </c>
      <c r="Z125" s="71">
        <v>0</v>
      </c>
      <c r="AA125" s="18">
        <v>2809</v>
      </c>
      <c r="AB125" s="72">
        <v>0</v>
      </c>
      <c r="AC125" s="71">
        <v>0</v>
      </c>
      <c r="AD125" s="18">
        <v>340.65</v>
      </c>
      <c r="AE125" s="72">
        <v>0</v>
      </c>
      <c r="AF125" s="71">
        <v>0</v>
      </c>
      <c r="AG125" s="18">
        <v>3237.73</v>
      </c>
      <c r="AH125" s="72">
        <v>0</v>
      </c>
      <c r="AI125" s="71">
        <v>0</v>
      </c>
      <c r="AJ125" s="18">
        <v>3509</v>
      </c>
      <c r="AK125" s="72">
        <v>0</v>
      </c>
      <c r="AL125" s="71">
        <v>0</v>
      </c>
      <c r="AM125" s="18">
        <v>2847</v>
      </c>
      <c r="AN125" s="72">
        <v>0</v>
      </c>
      <c r="AO125" s="71">
        <v>0</v>
      </c>
      <c r="AP125" s="18">
        <v>4252</v>
      </c>
      <c r="AQ125" s="72">
        <v>0</v>
      </c>
      <c r="AR125" s="71">
        <v>0</v>
      </c>
      <c r="AS125" s="18">
        <v>4317.6000000000004</v>
      </c>
      <c r="AT125" s="72">
        <v>0</v>
      </c>
      <c r="AU125" s="71">
        <v>0</v>
      </c>
      <c r="AV125" s="18">
        <v>5999</v>
      </c>
      <c r="AW125" s="72">
        <v>0</v>
      </c>
      <c r="AX125" s="71">
        <v>0</v>
      </c>
      <c r="AY125" s="18">
        <v>2661.62</v>
      </c>
      <c r="AZ125" s="72"/>
      <c r="BA125" s="71"/>
      <c r="BB125" s="18"/>
      <c r="BC125" s="72"/>
      <c r="BD125" s="71"/>
      <c r="BE125" s="18"/>
      <c r="BF125" s="72"/>
      <c r="BG125" s="71"/>
      <c r="BH125" s="18"/>
    </row>
    <row r="126" spans="3:60" ht="20.25" x14ac:dyDescent="0.3">
      <c r="C126" s="17" t="s">
        <v>24</v>
      </c>
      <c r="D126" s="8"/>
      <c r="E126" s="7"/>
      <c r="F126" s="18">
        <f t="shared" si="10"/>
        <v>0</v>
      </c>
      <c r="G126" s="8">
        <v>0</v>
      </c>
      <c r="H126" s="7">
        <v>0</v>
      </c>
      <c r="I126" s="18">
        <v>0</v>
      </c>
      <c r="J126" s="8">
        <v>0</v>
      </c>
      <c r="K126" s="7">
        <v>0</v>
      </c>
      <c r="L126" s="18">
        <v>0</v>
      </c>
      <c r="M126" s="8">
        <v>0</v>
      </c>
      <c r="N126" s="7">
        <v>0</v>
      </c>
      <c r="O126" s="18">
        <v>0</v>
      </c>
      <c r="P126" s="8">
        <v>0</v>
      </c>
      <c r="Q126" s="7">
        <v>0</v>
      </c>
      <c r="R126" s="18">
        <v>0</v>
      </c>
      <c r="S126" s="8">
        <v>0</v>
      </c>
      <c r="T126" s="7">
        <v>0</v>
      </c>
      <c r="U126" s="18">
        <v>0</v>
      </c>
      <c r="V126" s="8">
        <v>0</v>
      </c>
      <c r="W126" s="7">
        <v>0</v>
      </c>
      <c r="X126" s="18">
        <v>0</v>
      </c>
      <c r="Y126" s="8">
        <v>0</v>
      </c>
      <c r="Z126" s="7">
        <v>0</v>
      </c>
      <c r="AA126" s="18">
        <v>0</v>
      </c>
      <c r="AB126" s="8">
        <v>0</v>
      </c>
      <c r="AC126" s="7">
        <v>0</v>
      </c>
      <c r="AD126" s="18">
        <v>0</v>
      </c>
      <c r="AE126" s="8">
        <v>0</v>
      </c>
      <c r="AF126" s="7">
        <v>0</v>
      </c>
      <c r="AG126" s="18">
        <v>0</v>
      </c>
      <c r="AH126" s="8">
        <v>0</v>
      </c>
      <c r="AI126" s="7">
        <v>0</v>
      </c>
      <c r="AJ126" s="18">
        <v>0</v>
      </c>
      <c r="AK126" s="8">
        <v>0</v>
      </c>
      <c r="AL126" s="7">
        <v>0</v>
      </c>
      <c r="AM126" s="18">
        <v>0</v>
      </c>
      <c r="AN126" s="8">
        <v>0</v>
      </c>
      <c r="AO126" s="7">
        <v>0</v>
      </c>
      <c r="AP126" s="18">
        <v>0</v>
      </c>
      <c r="AQ126" s="8">
        <v>0</v>
      </c>
      <c r="AR126" s="7">
        <v>0</v>
      </c>
      <c r="AS126" s="18">
        <v>0</v>
      </c>
      <c r="AT126" s="8">
        <v>0</v>
      </c>
      <c r="AU126" s="7">
        <v>0</v>
      </c>
      <c r="AV126" s="18">
        <v>0</v>
      </c>
      <c r="AW126" s="8">
        <v>0</v>
      </c>
      <c r="AX126" s="7">
        <v>0</v>
      </c>
      <c r="AY126" s="18">
        <v>0</v>
      </c>
      <c r="AZ126" s="8"/>
      <c r="BA126" s="7"/>
      <c r="BB126" s="18"/>
      <c r="BC126" s="8"/>
      <c r="BD126" s="7"/>
      <c r="BE126" s="18"/>
      <c r="BF126" s="8"/>
      <c r="BG126" s="7"/>
      <c r="BH126" s="18"/>
    </row>
    <row r="127" spans="3:60" ht="20.25" hidden="1" x14ac:dyDescent="0.3">
      <c r="C127" s="17" t="s">
        <v>3</v>
      </c>
      <c r="D127" s="8"/>
      <c r="E127" s="7"/>
      <c r="F127" s="18">
        <f t="shared" si="10"/>
        <v>0</v>
      </c>
      <c r="G127" s="8">
        <v>0</v>
      </c>
      <c r="H127" s="7">
        <v>0</v>
      </c>
      <c r="I127" s="18">
        <v>0</v>
      </c>
      <c r="J127" s="8">
        <v>0</v>
      </c>
      <c r="K127" s="7">
        <v>0</v>
      </c>
      <c r="L127" s="18">
        <v>0</v>
      </c>
      <c r="M127" s="8">
        <v>0</v>
      </c>
      <c r="N127" s="7">
        <v>0</v>
      </c>
      <c r="O127" s="18">
        <v>0</v>
      </c>
      <c r="P127" s="8">
        <v>0</v>
      </c>
      <c r="Q127" s="7">
        <v>0</v>
      </c>
      <c r="R127" s="18">
        <v>0</v>
      </c>
      <c r="S127" s="8">
        <v>0</v>
      </c>
      <c r="T127" s="7">
        <v>0</v>
      </c>
      <c r="U127" s="18">
        <v>0</v>
      </c>
      <c r="V127" s="8">
        <v>0</v>
      </c>
      <c r="W127" s="7">
        <v>0</v>
      </c>
      <c r="X127" s="18">
        <v>0</v>
      </c>
      <c r="Y127" s="8">
        <v>0</v>
      </c>
      <c r="Z127" s="7">
        <v>0</v>
      </c>
      <c r="AA127" s="18">
        <v>0</v>
      </c>
      <c r="AB127" s="8">
        <v>0</v>
      </c>
      <c r="AC127" s="7">
        <v>0</v>
      </c>
      <c r="AD127" s="18">
        <v>0</v>
      </c>
      <c r="AE127" s="8">
        <v>0</v>
      </c>
      <c r="AF127" s="7">
        <v>0</v>
      </c>
      <c r="AG127" s="18">
        <v>0</v>
      </c>
      <c r="AH127" s="8">
        <v>0</v>
      </c>
      <c r="AI127" s="7">
        <v>0</v>
      </c>
      <c r="AJ127" s="18">
        <v>0</v>
      </c>
      <c r="AK127" s="8">
        <v>0</v>
      </c>
      <c r="AL127" s="7">
        <v>0</v>
      </c>
      <c r="AM127" s="18">
        <v>0</v>
      </c>
      <c r="AN127" s="8">
        <v>0</v>
      </c>
      <c r="AO127" s="7">
        <v>0</v>
      </c>
      <c r="AP127" s="18">
        <v>0</v>
      </c>
      <c r="AQ127" s="8">
        <v>0</v>
      </c>
      <c r="AR127" s="7">
        <v>0</v>
      </c>
      <c r="AS127" s="18">
        <v>0</v>
      </c>
      <c r="AT127" s="8">
        <v>0</v>
      </c>
      <c r="AU127" s="7">
        <v>0</v>
      </c>
      <c r="AV127" s="18">
        <v>0</v>
      </c>
      <c r="AW127" s="8">
        <v>0</v>
      </c>
      <c r="AX127" s="7">
        <v>0</v>
      </c>
      <c r="AY127" s="18">
        <v>0</v>
      </c>
      <c r="AZ127" s="8"/>
      <c r="BA127" s="7"/>
      <c r="BB127" s="18"/>
      <c r="BC127" s="8"/>
      <c r="BD127" s="7"/>
      <c r="BE127" s="18"/>
      <c r="BF127" s="8"/>
      <c r="BG127" s="7"/>
      <c r="BH127" s="18"/>
    </row>
    <row r="128" spans="3:60" ht="20.25" hidden="1" x14ac:dyDescent="0.3">
      <c r="C128" s="17" t="s">
        <v>3</v>
      </c>
      <c r="D128" s="8"/>
      <c r="E128" s="7"/>
      <c r="F128" s="18">
        <f t="shared" si="10"/>
        <v>0</v>
      </c>
      <c r="G128" s="8">
        <v>0</v>
      </c>
      <c r="H128" s="7">
        <v>0</v>
      </c>
      <c r="I128" s="18">
        <v>0</v>
      </c>
      <c r="J128" s="8">
        <v>0</v>
      </c>
      <c r="K128" s="7">
        <v>0</v>
      </c>
      <c r="L128" s="18">
        <v>0</v>
      </c>
      <c r="M128" s="8">
        <v>0</v>
      </c>
      <c r="N128" s="7">
        <v>0</v>
      </c>
      <c r="O128" s="18">
        <v>0</v>
      </c>
      <c r="P128" s="8">
        <v>0</v>
      </c>
      <c r="Q128" s="7">
        <v>0</v>
      </c>
      <c r="R128" s="18">
        <v>0</v>
      </c>
      <c r="S128" s="8">
        <v>0</v>
      </c>
      <c r="T128" s="7">
        <v>0</v>
      </c>
      <c r="U128" s="18">
        <v>0</v>
      </c>
      <c r="V128" s="8">
        <v>0</v>
      </c>
      <c r="W128" s="7">
        <v>0</v>
      </c>
      <c r="X128" s="18">
        <v>0</v>
      </c>
      <c r="Y128" s="8">
        <v>0</v>
      </c>
      <c r="Z128" s="7">
        <v>0</v>
      </c>
      <c r="AA128" s="18">
        <v>0</v>
      </c>
      <c r="AB128" s="8">
        <v>0</v>
      </c>
      <c r="AC128" s="7">
        <v>0</v>
      </c>
      <c r="AD128" s="18">
        <v>0</v>
      </c>
      <c r="AE128" s="8">
        <v>0</v>
      </c>
      <c r="AF128" s="7">
        <v>0</v>
      </c>
      <c r="AG128" s="18">
        <v>0</v>
      </c>
      <c r="AH128" s="8">
        <v>0</v>
      </c>
      <c r="AI128" s="7">
        <v>0</v>
      </c>
      <c r="AJ128" s="18">
        <v>0</v>
      </c>
      <c r="AK128" s="8">
        <v>0</v>
      </c>
      <c r="AL128" s="7">
        <v>0</v>
      </c>
      <c r="AM128" s="18">
        <v>0</v>
      </c>
      <c r="AN128" s="8">
        <v>0</v>
      </c>
      <c r="AO128" s="7">
        <v>0</v>
      </c>
      <c r="AP128" s="18">
        <v>0</v>
      </c>
      <c r="AQ128" s="8">
        <v>0</v>
      </c>
      <c r="AR128" s="7">
        <v>0</v>
      </c>
      <c r="AS128" s="18">
        <v>0</v>
      </c>
      <c r="AT128" s="8">
        <v>0</v>
      </c>
      <c r="AU128" s="7">
        <v>0</v>
      </c>
      <c r="AV128" s="18">
        <v>0</v>
      </c>
      <c r="AW128" s="8">
        <v>0</v>
      </c>
      <c r="AX128" s="7">
        <v>0</v>
      </c>
      <c r="AY128" s="18">
        <v>0</v>
      </c>
      <c r="AZ128" s="8"/>
      <c r="BA128" s="7"/>
      <c r="BB128" s="18"/>
      <c r="BC128" s="8"/>
      <c r="BD128" s="7"/>
      <c r="BE128" s="18"/>
      <c r="BF128" s="8"/>
      <c r="BG128" s="7"/>
      <c r="BH128" s="18"/>
    </row>
    <row r="129" spans="3:60" ht="20.25" hidden="1" x14ac:dyDescent="0.3">
      <c r="C129" s="17" t="s">
        <v>3</v>
      </c>
      <c r="D129" s="8"/>
      <c r="E129" s="7"/>
      <c r="F129" s="18">
        <f t="shared" si="10"/>
        <v>0</v>
      </c>
      <c r="G129" s="8">
        <v>0</v>
      </c>
      <c r="H129" s="7">
        <v>0</v>
      </c>
      <c r="I129" s="18">
        <v>0</v>
      </c>
      <c r="J129" s="8">
        <v>0</v>
      </c>
      <c r="K129" s="7">
        <v>0</v>
      </c>
      <c r="L129" s="18">
        <v>0</v>
      </c>
      <c r="M129" s="8">
        <v>0</v>
      </c>
      <c r="N129" s="7">
        <v>0</v>
      </c>
      <c r="O129" s="18">
        <v>0</v>
      </c>
      <c r="P129" s="8">
        <v>0</v>
      </c>
      <c r="Q129" s="7">
        <v>0</v>
      </c>
      <c r="R129" s="18">
        <v>0</v>
      </c>
      <c r="S129" s="8">
        <v>0</v>
      </c>
      <c r="T129" s="7">
        <v>0</v>
      </c>
      <c r="U129" s="18">
        <v>0</v>
      </c>
      <c r="V129" s="8">
        <v>0</v>
      </c>
      <c r="W129" s="7">
        <v>0</v>
      </c>
      <c r="X129" s="18">
        <v>0</v>
      </c>
      <c r="Y129" s="8">
        <v>0</v>
      </c>
      <c r="Z129" s="7">
        <v>0</v>
      </c>
      <c r="AA129" s="18">
        <v>0</v>
      </c>
      <c r="AB129" s="8">
        <v>0</v>
      </c>
      <c r="AC129" s="7">
        <v>0</v>
      </c>
      <c r="AD129" s="18">
        <v>0</v>
      </c>
      <c r="AE129" s="8">
        <v>0</v>
      </c>
      <c r="AF129" s="7">
        <v>0</v>
      </c>
      <c r="AG129" s="18">
        <v>0</v>
      </c>
      <c r="AH129" s="8">
        <v>0</v>
      </c>
      <c r="AI129" s="7">
        <v>0</v>
      </c>
      <c r="AJ129" s="18">
        <v>0</v>
      </c>
      <c r="AK129" s="8">
        <v>0</v>
      </c>
      <c r="AL129" s="7">
        <v>0</v>
      </c>
      <c r="AM129" s="18">
        <v>0</v>
      </c>
      <c r="AN129" s="8">
        <v>0</v>
      </c>
      <c r="AO129" s="7">
        <v>0</v>
      </c>
      <c r="AP129" s="18">
        <v>0</v>
      </c>
      <c r="AQ129" s="8">
        <v>0</v>
      </c>
      <c r="AR129" s="7">
        <v>0</v>
      </c>
      <c r="AS129" s="18">
        <v>0</v>
      </c>
      <c r="AT129" s="8">
        <v>0</v>
      </c>
      <c r="AU129" s="7">
        <v>0</v>
      </c>
      <c r="AV129" s="18">
        <v>0</v>
      </c>
      <c r="AW129" s="8">
        <v>0</v>
      </c>
      <c r="AX129" s="7">
        <v>0</v>
      </c>
      <c r="AY129" s="18">
        <v>0</v>
      </c>
      <c r="AZ129" s="8"/>
      <c r="BA129" s="7"/>
      <c r="BB129" s="18"/>
      <c r="BC129" s="8"/>
      <c r="BD129" s="7"/>
      <c r="BE129" s="18"/>
      <c r="BF129" s="8"/>
      <c r="BG129" s="7"/>
      <c r="BH129" s="18"/>
    </row>
    <row r="130" spans="3:60" ht="20.25" x14ac:dyDescent="0.3">
      <c r="C130" s="25" t="s">
        <v>23</v>
      </c>
      <c r="D130" s="8"/>
      <c r="E130" s="7"/>
      <c r="F130" s="18">
        <f t="shared" si="10"/>
        <v>66511.959999999992</v>
      </c>
      <c r="G130" s="8">
        <v>0</v>
      </c>
      <c r="H130" s="7">
        <v>0</v>
      </c>
      <c r="I130" s="18">
        <v>2401.1799999999998</v>
      </c>
      <c r="J130" s="8">
        <v>0</v>
      </c>
      <c r="K130" s="7">
        <v>0</v>
      </c>
      <c r="L130" s="18">
        <v>4558.3100000000004</v>
      </c>
      <c r="M130" s="8">
        <v>0</v>
      </c>
      <c r="N130" s="7">
        <v>0</v>
      </c>
      <c r="O130" s="18">
        <v>2785.02</v>
      </c>
      <c r="P130" s="8">
        <v>0</v>
      </c>
      <c r="Q130" s="7">
        <v>0</v>
      </c>
      <c r="R130" s="18">
        <v>7980.13</v>
      </c>
      <c r="S130" s="8">
        <v>0</v>
      </c>
      <c r="T130" s="7">
        <v>0</v>
      </c>
      <c r="U130" s="18">
        <v>10457.67</v>
      </c>
      <c r="V130" s="8">
        <v>0</v>
      </c>
      <c r="W130" s="7">
        <v>0</v>
      </c>
      <c r="X130" s="18">
        <v>5917.81</v>
      </c>
      <c r="Y130" s="8">
        <v>0</v>
      </c>
      <c r="Z130" s="7">
        <v>0</v>
      </c>
      <c r="AA130" s="18">
        <v>1687.84</v>
      </c>
      <c r="AB130" s="8">
        <v>0</v>
      </c>
      <c r="AC130" s="7">
        <v>0</v>
      </c>
      <c r="AD130" s="18">
        <v>1951.75</v>
      </c>
      <c r="AE130" s="8">
        <v>0</v>
      </c>
      <c r="AF130" s="7">
        <v>0</v>
      </c>
      <c r="AG130" s="18">
        <v>3668.56</v>
      </c>
      <c r="AH130" s="8">
        <v>0</v>
      </c>
      <c r="AI130" s="7">
        <v>0</v>
      </c>
      <c r="AJ130" s="18">
        <v>45.46</v>
      </c>
      <c r="AK130" s="8">
        <v>0</v>
      </c>
      <c r="AL130" s="7">
        <v>0</v>
      </c>
      <c r="AM130" s="18">
        <v>2373.58</v>
      </c>
      <c r="AN130" s="8">
        <v>0</v>
      </c>
      <c r="AO130" s="7">
        <v>0</v>
      </c>
      <c r="AP130" s="18">
        <v>1645.88</v>
      </c>
      <c r="AQ130" s="8">
        <v>0</v>
      </c>
      <c r="AR130" s="7">
        <v>0</v>
      </c>
      <c r="AS130" s="18">
        <v>6785.19</v>
      </c>
      <c r="AT130" s="8">
        <v>0</v>
      </c>
      <c r="AU130" s="7">
        <v>0</v>
      </c>
      <c r="AV130" s="18">
        <v>6772.12</v>
      </c>
      <c r="AW130" s="8">
        <v>0</v>
      </c>
      <c r="AX130" s="7">
        <v>0</v>
      </c>
      <c r="AY130" s="18">
        <v>7481.46</v>
      </c>
      <c r="AZ130" s="8"/>
      <c r="BA130" s="7"/>
      <c r="BB130" s="18"/>
      <c r="BC130" s="8"/>
      <c r="BD130" s="7"/>
      <c r="BE130" s="18"/>
      <c r="BF130" s="8"/>
      <c r="BG130" s="7"/>
      <c r="BH130" s="18"/>
    </row>
    <row r="131" spans="3:60" ht="20.25" x14ac:dyDescent="0.3">
      <c r="C131" s="17" t="s">
        <v>22</v>
      </c>
      <c r="D131" s="72"/>
      <c r="E131" s="71"/>
      <c r="F131" s="68">
        <f t="shared" si="10"/>
        <v>99792.099999999991</v>
      </c>
      <c r="G131" s="72">
        <v>0</v>
      </c>
      <c r="H131" s="71">
        <v>0</v>
      </c>
      <c r="I131" s="68">
        <v>6761.63</v>
      </c>
      <c r="J131" s="72">
        <v>0</v>
      </c>
      <c r="K131" s="71">
        <v>0</v>
      </c>
      <c r="L131" s="68">
        <v>6386.49</v>
      </c>
      <c r="M131" s="72">
        <v>0</v>
      </c>
      <c r="N131" s="71">
        <v>0</v>
      </c>
      <c r="O131" s="68">
        <v>3621.47</v>
      </c>
      <c r="P131" s="72">
        <v>0</v>
      </c>
      <c r="Q131" s="71">
        <v>0</v>
      </c>
      <c r="R131" s="68">
        <v>8769.56</v>
      </c>
      <c r="S131" s="72">
        <v>0</v>
      </c>
      <c r="T131" s="71">
        <v>0</v>
      </c>
      <c r="U131" s="68">
        <v>16479.330000000002</v>
      </c>
      <c r="V131" s="72">
        <v>0</v>
      </c>
      <c r="W131" s="71">
        <v>0</v>
      </c>
      <c r="X131" s="68">
        <v>7215.42</v>
      </c>
      <c r="Y131" s="72">
        <v>0</v>
      </c>
      <c r="Z131" s="71">
        <v>0</v>
      </c>
      <c r="AA131" s="68">
        <v>4756.99</v>
      </c>
      <c r="AB131" s="72">
        <v>0</v>
      </c>
      <c r="AC131" s="71">
        <v>0</v>
      </c>
      <c r="AD131" s="68">
        <v>5133.3599999999997</v>
      </c>
      <c r="AE131" s="72">
        <v>0</v>
      </c>
      <c r="AF131" s="71">
        <v>0</v>
      </c>
      <c r="AG131" s="68">
        <v>7412.76</v>
      </c>
      <c r="AH131" s="72">
        <v>0</v>
      </c>
      <c r="AI131" s="71">
        <v>0</v>
      </c>
      <c r="AJ131" s="68">
        <v>1861.49</v>
      </c>
      <c r="AK131" s="72">
        <v>0</v>
      </c>
      <c r="AL131" s="71">
        <v>0</v>
      </c>
      <c r="AM131" s="68">
        <v>4177.51</v>
      </c>
      <c r="AN131" s="72">
        <v>0</v>
      </c>
      <c r="AO131" s="71">
        <v>0</v>
      </c>
      <c r="AP131" s="68">
        <v>4921.7299999999996</v>
      </c>
      <c r="AQ131" s="72">
        <v>0</v>
      </c>
      <c r="AR131" s="71">
        <v>0</v>
      </c>
      <c r="AS131" s="68">
        <v>7598.41</v>
      </c>
      <c r="AT131" s="72">
        <v>0</v>
      </c>
      <c r="AU131" s="71">
        <v>0</v>
      </c>
      <c r="AV131" s="68">
        <v>8042.92</v>
      </c>
      <c r="AW131" s="72">
        <v>0</v>
      </c>
      <c r="AX131" s="71">
        <v>0</v>
      </c>
      <c r="AY131" s="68">
        <v>6653.03</v>
      </c>
      <c r="AZ131" s="72"/>
      <c r="BA131" s="71"/>
      <c r="BB131" s="68"/>
      <c r="BC131" s="72"/>
      <c r="BD131" s="71"/>
      <c r="BE131" s="68"/>
      <c r="BF131" s="72"/>
      <c r="BG131" s="71"/>
      <c r="BH131" s="68"/>
    </row>
    <row r="132" spans="3:60" ht="20.25" x14ac:dyDescent="0.3">
      <c r="C132" s="17" t="s">
        <v>21</v>
      </c>
      <c r="D132" s="8"/>
      <c r="E132" s="7"/>
      <c r="F132" s="18">
        <f t="shared" si="10"/>
        <v>34117.609999999986</v>
      </c>
      <c r="G132" s="8">
        <v>0</v>
      </c>
      <c r="H132" s="7">
        <v>0</v>
      </c>
      <c r="I132" s="18">
        <v>2176.4299999999998</v>
      </c>
      <c r="J132" s="8">
        <v>0</v>
      </c>
      <c r="K132" s="7">
        <v>0</v>
      </c>
      <c r="L132" s="18">
        <v>3235.04</v>
      </c>
      <c r="M132" s="8">
        <v>0</v>
      </c>
      <c r="N132" s="7">
        <v>0</v>
      </c>
      <c r="O132" s="18">
        <v>1885.91</v>
      </c>
      <c r="P132" s="8">
        <v>0</v>
      </c>
      <c r="Q132" s="7">
        <v>0</v>
      </c>
      <c r="R132" s="18">
        <v>5982.2999999999902</v>
      </c>
      <c r="S132" s="8">
        <v>0</v>
      </c>
      <c r="T132" s="7">
        <v>0</v>
      </c>
      <c r="U132" s="18">
        <v>1784.96</v>
      </c>
      <c r="V132" s="8">
        <v>0</v>
      </c>
      <c r="W132" s="7">
        <v>0</v>
      </c>
      <c r="X132" s="18">
        <v>3541.91</v>
      </c>
      <c r="Y132" s="8">
        <v>0</v>
      </c>
      <c r="Z132" s="7">
        <v>0</v>
      </c>
      <c r="AA132" s="18">
        <v>1159.19</v>
      </c>
      <c r="AB132" s="8">
        <v>0</v>
      </c>
      <c r="AC132" s="7">
        <v>0</v>
      </c>
      <c r="AD132" s="18">
        <v>1400.47</v>
      </c>
      <c r="AE132" s="8">
        <v>0</v>
      </c>
      <c r="AF132" s="7">
        <v>0</v>
      </c>
      <c r="AG132" s="18">
        <v>1675.95</v>
      </c>
      <c r="AH132" s="8">
        <v>0</v>
      </c>
      <c r="AI132" s="7">
        <v>0</v>
      </c>
      <c r="AJ132" s="18">
        <v>12.16</v>
      </c>
      <c r="AK132" s="8">
        <v>0</v>
      </c>
      <c r="AL132" s="7">
        <v>0</v>
      </c>
      <c r="AM132" s="18">
        <v>939.23</v>
      </c>
      <c r="AN132" s="8">
        <v>0</v>
      </c>
      <c r="AO132" s="7">
        <v>0</v>
      </c>
      <c r="AP132" s="18">
        <v>1200.53</v>
      </c>
      <c r="AQ132" s="8">
        <v>0</v>
      </c>
      <c r="AR132" s="7">
        <v>0</v>
      </c>
      <c r="AS132" s="18">
        <v>2494.34</v>
      </c>
      <c r="AT132" s="8">
        <v>0</v>
      </c>
      <c r="AU132" s="7">
        <v>0</v>
      </c>
      <c r="AV132" s="18">
        <v>4219.8599999999997</v>
      </c>
      <c r="AW132" s="8">
        <v>0</v>
      </c>
      <c r="AX132" s="7">
        <v>0</v>
      </c>
      <c r="AY132" s="18">
        <v>2409.33</v>
      </c>
      <c r="AZ132" s="8"/>
      <c r="BA132" s="7"/>
      <c r="BB132" s="18"/>
      <c r="BC132" s="8"/>
      <c r="BD132" s="7"/>
      <c r="BE132" s="18"/>
      <c r="BF132" s="8"/>
      <c r="BG132" s="7"/>
      <c r="BH132" s="18"/>
    </row>
    <row r="133" spans="3:60" ht="20.25" x14ac:dyDescent="0.3">
      <c r="C133" s="17" t="s">
        <v>20</v>
      </c>
      <c r="D133" s="8"/>
      <c r="E133" s="7"/>
      <c r="F133" s="18">
        <f t="shared" si="10"/>
        <v>12967.130000000001</v>
      </c>
      <c r="G133" s="8">
        <v>0</v>
      </c>
      <c r="H133" s="7">
        <v>0</v>
      </c>
      <c r="I133" s="18">
        <v>925.38</v>
      </c>
      <c r="J133" s="8">
        <v>0</v>
      </c>
      <c r="K133" s="7">
        <v>0</v>
      </c>
      <c r="L133" s="18">
        <v>1016.85</v>
      </c>
      <c r="M133" s="8">
        <v>0</v>
      </c>
      <c r="N133" s="7">
        <v>0</v>
      </c>
      <c r="O133" s="18">
        <v>514.15</v>
      </c>
      <c r="P133" s="8">
        <v>0</v>
      </c>
      <c r="Q133" s="7">
        <v>0</v>
      </c>
      <c r="R133" s="18">
        <v>971.01</v>
      </c>
      <c r="S133" s="8">
        <v>0</v>
      </c>
      <c r="T133" s="7">
        <v>0</v>
      </c>
      <c r="U133" s="18">
        <v>1890.82</v>
      </c>
      <c r="V133" s="8">
        <v>0</v>
      </c>
      <c r="W133" s="7">
        <v>0</v>
      </c>
      <c r="X133" s="18">
        <v>1517.59</v>
      </c>
      <c r="Y133" s="8">
        <v>0</v>
      </c>
      <c r="Z133" s="7">
        <v>0</v>
      </c>
      <c r="AA133" s="18">
        <v>668.01</v>
      </c>
      <c r="AB133" s="8">
        <v>0</v>
      </c>
      <c r="AC133" s="7">
        <v>0</v>
      </c>
      <c r="AD133" s="18">
        <v>883.56</v>
      </c>
      <c r="AE133" s="8">
        <v>0</v>
      </c>
      <c r="AF133" s="7">
        <v>0</v>
      </c>
      <c r="AG133" s="18">
        <v>843.56</v>
      </c>
      <c r="AH133" s="8">
        <v>0</v>
      </c>
      <c r="AI133" s="7">
        <v>0</v>
      </c>
      <c r="AJ133" s="18">
        <v>14.03</v>
      </c>
      <c r="AK133" s="8">
        <v>0</v>
      </c>
      <c r="AL133" s="7">
        <v>0</v>
      </c>
      <c r="AM133" s="18">
        <v>332.15</v>
      </c>
      <c r="AN133" s="8">
        <v>0</v>
      </c>
      <c r="AO133" s="7">
        <v>0</v>
      </c>
      <c r="AP133" s="18">
        <v>626.41999999999996</v>
      </c>
      <c r="AQ133" s="8">
        <v>0</v>
      </c>
      <c r="AR133" s="7">
        <v>0</v>
      </c>
      <c r="AS133" s="18">
        <v>745.12</v>
      </c>
      <c r="AT133" s="8">
        <v>0</v>
      </c>
      <c r="AU133" s="7">
        <v>0</v>
      </c>
      <c r="AV133" s="18">
        <v>1459.12</v>
      </c>
      <c r="AW133" s="8">
        <v>0</v>
      </c>
      <c r="AX133" s="7">
        <v>0</v>
      </c>
      <c r="AY133" s="18">
        <v>559.36</v>
      </c>
      <c r="AZ133" s="8"/>
      <c r="BA133" s="7"/>
      <c r="BB133" s="18"/>
      <c r="BC133" s="8"/>
      <c r="BD133" s="7"/>
      <c r="BE133" s="18"/>
      <c r="BF133" s="8"/>
      <c r="BG133" s="7"/>
      <c r="BH133" s="18"/>
    </row>
    <row r="134" spans="3:60" ht="20.25" hidden="1" x14ac:dyDescent="0.3">
      <c r="C134" s="8" t="s">
        <v>3</v>
      </c>
      <c r="D134" s="67"/>
      <c r="E134" s="66"/>
      <c r="F134" s="18">
        <f t="shared" si="10"/>
        <v>0</v>
      </c>
      <c r="G134" s="67">
        <v>0</v>
      </c>
      <c r="H134" s="66">
        <v>0</v>
      </c>
      <c r="I134" s="18">
        <v>0</v>
      </c>
      <c r="J134" s="67">
        <v>0</v>
      </c>
      <c r="K134" s="66">
        <v>0</v>
      </c>
      <c r="L134" s="18">
        <v>0</v>
      </c>
      <c r="M134" s="67">
        <v>0</v>
      </c>
      <c r="N134" s="66">
        <v>0</v>
      </c>
      <c r="O134" s="18">
        <v>0</v>
      </c>
      <c r="P134" s="67">
        <v>0</v>
      </c>
      <c r="Q134" s="66">
        <v>0</v>
      </c>
      <c r="R134" s="18">
        <v>0</v>
      </c>
      <c r="S134" s="67">
        <v>0</v>
      </c>
      <c r="T134" s="66">
        <v>0</v>
      </c>
      <c r="U134" s="18">
        <v>0</v>
      </c>
      <c r="V134" s="67">
        <v>0</v>
      </c>
      <c r="W134" s="66">
        <v>0</v>
      </c>
      <c r="X134" s="18">
        <v>0</v>
      </c>
      <c r="Y134" s="67">
        <v>0</v>
      </c>
      <c r="Z134" s="66">
        <v>0</v>
      </c>
      <c r="AA134" s="18">
        <v>0</v>
      </c>
      <c r="AB134" s="67">
        <v>0</v>
      </c>
      <c r="AC134" s="66">
        <v>0</v>
      </c>
      <c r="AD134" s="18">
        <v>0</v>
      </c>
      <c r="AE134" s="67">
        <v>0</v>
      </c>
      <c r="AF134" s="66">
        <v>0</v>
      </c>
      <c r="AG134" s="18">
        <v>0</v>
      </c>
      <c r="AH134" s="67">
        <v>0</v>
      </c>
      <c r="AI134" s="66">
        <v>0</v>
      </c>
      <c r="AJ134" s="18">
        <v>0</v>
      </c>
      <c r="AK134" s="67">
        <v>0</v>
      </c>
      <c r="AL134" s="66">
        <v>0</v>
      </c>
      <c r="AM134" s="18">
        <v>0</v>
      </c>
      <c r="AN134" s="67">
        <v>0</v>
      </c>
      <c r="AO134" s="66">
        <v>0</v>
      </c>
      <c r="AP134" s="18">
        <v>0</v>
      </c>
      <c r="AQ134" s="67">
        <v>0</v>
      </c>
      <c r="AR134" s="66">
        <v>0</v>
      </c>
      <c r="AS134" s="18">
        <v>0</v>
      </c>
      <c r="AT134" s="67">
        <v>0</v>
      </c>
      <c r="AU134" s="66">
        <v>0</v>
      </c>
      <c r="AV134" s="18">
        <v>0</v>
      </c>
      <c r="AW134" s="67">
        <v>0</v>
      </c>
      <c r="AX134" s="66">
        <v>0</v>
      </c>
      <c r="AY134" s="18">
        <v>0</v>
      </c>
      <c r="AZ134" s="67"/>
      <c r="BA134" s="66"/>
      <c r="BB134" s="18"/>
      <c r="BC134" s="67"/>
      <c r="BD134" s="66"/>
      <c r="BE134" s="18"/>
      <c r="BF134" s="67"/>
      <c r="BG134" s="66"/>
      <c r="BH134" s="18"/>
    </row>
    <row r="135" spans="3:60" ht="20.25" x14ac:dyDescent="0.3">
      <c r="C135" s="11" t="s">
        <v>19</v>
      </c>
      <c r="D135" s="64"/>
      <c r="E135" s="14"/>
      <c r="F135" s="12">
        <f>SUM(F123:F133)</f>
        <v>487141.48</v>
      </c>
      <c r="G135" s="64" t="s">
        <v>18</v>
      </c>
      <c r="H135" s="14">
        <v>0.39415921247500901</v>
      </c>
      <c r="I135" s="12">
        <v>29935.73</v>
      </c>
      <c r="J135" s="64" t="s">
        <v>18</v>
      </c>
      <c r="K135" s="14">
        <v>0.44737739300945201</v>
      </c>
      <c r="L135" s="12">
        <v>31466.79</v>
      </c>
      <c r="M135" s="64" t="s">
        <v>18</v>
      </c>
      <c r="N135" s="14">
        <v>0.35868809603416602</v>
      </c>
      <c r="O135" s="12">
        <v>17754.72</v>
      </c>
      <c r="P135" s="64" t="s">
        <v>18</v>
      </c>
      <c r="Q135" s="14">
        <v>0.48748595606793799</v>
      </c>
      <c r="R135" s="12">
        <v>51294.919999999896</v>
      </c>
      <c r="S135" s="64" t="s">
        <v>18</v>
      </c>
      <c r="T135" s="14">
        <v>0.44586294778817598</v>
      </c>
      <c r="U135" s="12">
        <v>82365.97</v>
      </c>
      <c r="V135" s="64" t="s">
        <v>18</v>
      </c>
      <c r="W135" s="14">
        <v>0.45175088867409202</v>
      </c>
      <c r="X135" s="12">
        <v>47096.67</v>
      </c>
      <c r="Y135" s="64" t="s">
        <v>18</v>
      </c>
      <c r="Z135" s="14">
        <v>0.439703836477987</v>
      </c>
      <c r="AA135" s="12">
        <v>21657.909999999902</v>
      </c>
      <c r="AB135" s="64" t="s">
        <v>18</v>
      </c>
      <c r="AC135" s="14">
        <v>0.37987973611469</v>
      </c>
      <c r="AD135" s="12">
        <v>24915.97</v>
      </c>
      <c r="AE135" s="64" t="s">
        <v>18</v>
      </c>
      <c r="AF135" s="14">
        <v>0.259336221046093</v>
      </c>
      <c r="AG135" s="12">
        <v>25825.439999999999</v>
      </c>
      <c r="AH135" s="64" t="s">
        <v>18</v>
      </c>
      <c r="AI135" s="14">
        <v>1.06363887278849</v>
      </c>
      <c r="AJ135" s="12">
        <v>7707.3399999999901</v>
      </c>
      <c r="AK135" s="64" t="s">
        <v>18</v>
      </c>
      <c r="AL135" s="14">
        <v>-1.8754863569567799</v>
      </c>
      <c r="AM135" s="12">
        <v>17969.86</v>
      </c>
      <c r="AN135" s="64" t="s">
        <v>18</v>
      </c>
      <c r="AO135" s="14">
        <v>0.48018639152451797</v>
      </c>
      <c r="AP135" s="12">
        <v>25249.059999999899</v>
      </c>
      <c r="AQ135" s="64" t="s">
        <v>18</v>
      </c>
      <c r="AR135" s="14">
        <v>0.30253063855909601</v>
      </c>
      <c r="AS135" s="12">
        <v>33373.74</v>
      </c>
      <c r="AT135" s="64" t="s">
        <v>18</v>
      </c>
      <c r="AU135" s="14">
        <v>0.66988986906511905</v>
      </c>
      <c r="AV135" s="12">
        <v>38343.919999999998</v>
      </c>
      <c r="AW135" s="64" t="s">
        <v>18</v>
      </c>
      <c r="AX135" s="14">
        <v>0.63296236813546203</v>
      </c>
      <c r="AY135" s="12">
        <v>32183.4399999999</v>
      </c>
      <c r="AZ135" s="64"/>
      <c r="BA135" s="14"/>
      <c r="BB135" s="12"/>
      <c r="BC135" s="64"/>
      <c r="BD135" s="14"/>
      <c r="BE135" s="12"/>
      <c r="BF135" s="64"/>
      <c r="BG135" s="14"/>
      <c r="BH135" s="12"/>
    </row>
    <row r="136" spans="3:60" ht="20.25" x14ac:dyDescent="0.3">
      <c r="C136" s="8" t="s">
        <v>17</v>
      </c>
      <c r="D136" s="8"/>
      <c r="E136" s="7"/>
      <c r="F136" s="18">
        <f t="shared" ref="F136:F152" si="11">+SUM(I136,L136,O136,R136,U136,X136,AA136,AD136,AG136,AJ136,AM136,AP136,AS136,AV136,AY136,BB136,BE136,BH136)</f>
        <v>0</v>
      </c>
      <c r="G136" s="8">
        <v>0</v>
      </c>
      <c r="H136" s="7">
        <v>0</v>
      </c>
      <c r="I136" s="18">
        <v>0</v>
      </c>
      <c r="J136" s="8">
        <v>0</v>
      </c>
      <c r="K136" s="7">
        <v>0</v>
      </c>
      <c r="L136" s="18">
        <v>0</v>
      </c>
      <c r="M136" s="8">
        <v>0</v>
      </c>
      <c r="N136" s="7">
        <v>0</v>
      </c>
      <c r="O136" s="18">
        <v>0</v>
      </c>
      <c r="P136" s="8">
        <v>0</v>
      </c>
      <c r="Q136" s="7">
        <v>0</v>
      </c>
      <c r="R136" s="18">
        <v>0</v>
      </c>
      <c r="S136" s="8">
        <v>0</v>
      </c>
      <c r="T136" s="7">
        <v>0</v>
      </c>
      <c r="U136" s="18">
        <v>0</v>
      </c>
      <c r="V136" s="8">
        <v>0</v>
      </c>
      <c r="W136" s="7">
        <v>0</v>
      </c>
      <c r="X136" s="18">
        <v>0</v>
      </c>
      <c r="Y136" s="8">
        <v>0</v>
      </c>
      <c r="Z136" s="7">
        <v>0</v>
      </c>
      <c r="AA136" s="18">
        <v>0</v>
      </c>
      <c r="AB136" s="8">
        <v>0</v>
      </c>
      <c r="AC136" s="7">
        <v>0</v>
      </c>
      <c r="AD136" s="18">
        <v>0</v>
      </c>
      <c r="AE136" s="8">
        <v>0</v>
      </c>
      <c r="AF136" s="7">
        <v>0</v>
      </c>
      <c r="AG136" s="18">
        <v>0</v>
      </c>
      <c r="AH136" s="8">
        <v>0</v>
      </c>
      <c r="AI136" s="7">
        <v>0</v>
      </c>
      <c r="AJ136" s="18">
        <v>0</v>
      </c>
      <c r="AK136" s="8">
        <v>0</v>
      </c>
      <c r="AL136" s="7">
        <v>0</v>
      </c>
      <c r="AM136" s="18">
        <v>0</v>
      </c>
      <c r="AN136" s="8">
        <v>0</v>
      </c>
      <c r="AO136" s="7">
        <v>0</v>
      </c>
      <c r="AP136" s="18">
        <v>0</v>
      </c>
      <c r="AQ136" s="8">
        <v>0</v>
      </c>
      <c r="AR136" s="7">
        <v>0</v>
      </c>
      <c r="AS136" s="18">
        <v>0</v>
      </c>
      <c r="AT136" s="8">
        <v>0</v>
      </c>
      <c r="AU136" s="7">
        <v>0</v>
      </c>
      <c r="AV136" s="18">
        <v>0</v>
      </c>
      <c r="AW136" s="8">
        <v>0</v>
      </c>
      <c r="AX136" s="7">
        <v>0</v>
      </c>
      <c r="AY136" s="18">
        <v>0</v>
      </c>
      <c r="AZ136" s="8"/>
      <c r="BA136" s="7"/>
      <c r="BB136" s="18"/>
      <c r="BC136" s="8"/>
      <c r="BD136" s="7"/>
      <c r="BE136" s="18"/>
      <c r="BF136" s="8"/>
      <c r="BG136" s="7"/>
      <c r="BH136" s="18"/>
    </row>
    <row r="137" spans="3:60" ht="20.25" x14ac:dyDescent="0.3">
      <c r="C137" s="8" t="s">
        <v>16</v>
      </c>
      <c r="D137" s="8"/>
      <c r="E137" s="7"/>
      <c r="F137" s="18">
        <f t="shared" si="11"/>
        <v>0</v>
      </c>
      <c r="G137" s="8">
        <v>0</v>
      </c>
      <c r="H137" s="7">
        <v>0</v>
      </c>
      <c r="I137" s="18">
        <v>0</v>
      </c>
      <c r="J137" s="8">
        <v>0</v>
      </c>
      <c r="K137" s="7">
        <v>0</v>
      </c>
      <c r="L137" s="18">
        <v>0</v>
      </c>
      <c r="M137" s="8">
        <v>0</v>
      </c>
      <c r="N137" s="7">
        <v>0</v>
      </c>
      <c r="O137" s="18">
        <v>0</v>
      </c>
      <c r="P137" s="8">
        <v>0</v>
      </c>
      <c r="Q137" s="7">
        <v>0</v>
      </c>
      <c r="R137" s="18">
        <v>0</v>
      </c>
      <c r="S137" s="8">
        <v>0</v>
      </c>
      <c r="T137" s="7">
        <v>0</v>
      </c>
      <c r="U137" s="18">
        <v>0</v>
      </c>
      <c r="V137" s="8">
        <v>0</v>
      </c>
      <c r="W137" s="7">
        <v>0</v>
      </c>
      <c r="X137" s="18">
        <v>0</v>
      </c>
      <c r="Y137" s="8">
        <v>0</v>
      </c>
      <c r="Z137" s="7">
        <v>0</v>
      </c>
      <c r="AA137" s="18">
        <v>0</v>
      </c>
      <c r="AB137" s="8">
        <v>0</v>
      </c>
      <c r="AC137" s="7">
        <v>0</v>
      </c>
      <c r="AD137" s="18">
        <v>0</v>
      </c>
      <c r="AE137" s="8">
        <v>0</v>
      </c>
      <c r="AF137" s="7">
        <v>0</v>
      </c>
      <c r="AG137" s="18">
        <v>0</v>
      </c>
      <c r="AH137" s="8">
        <v>0</v>
      </c>
      <c r="AI137" s="7">
        <v>0</v>
      </c>
      <c r="AJ137" s="18">
        <v>0</v>
      </c>
      <c r="AK137" s="8">
        <v>0</v>
      </c>
      <c r="AL137" s="7">
        <v>0</v>
      </c>
      <c r="AM137" s="18">
        <v>0</v>
      </c>
      <c r="AN137" s="8">
        <v>0</v>
      </c>
      <c r="AO137" s="7">
        <v>0</v>
      </c>
      <c r="AP137" s="18">
        <v>0</v>
      </c>
      <c r="AQ137" s="8">
        <v>0</v>
      </c>
      <c r="AR137" s="7">
        <v>0</v>
      </c>
      <c r="AS137" s="18">
        <v>0</v>
      </c>
      <c r="AT137" s="8">
        <v>0</v>
      </c>
      <c r="AU137" s="7">
        <v>0</v>
      </c>
      <c r="AV137" s="18">
        <v>0</v>
      </c>
      <c r="AW137" s="8">
        <v>0</v>
      </c>
      <c r="AX137" s="7">
        <v>0</v>
      </c>
      <c r="AY137" s="18">
        <v>0</v>
      </c>
      <c r="AZ137" s="8"/>
      <c r="BA137" s="7"/>
      <c r="BB137" s="18"/>
      <c r="BC137" s="8"/>
      <c r="BD137" s="7"/>
      <c r="BE137" s="18"/>
      <c r="BF137" s="8"/>
      <c r="BG137" s="7"/>
      <c r="BH137" s="18"/>
    </row>
    <row r="138" spans="3:60" ht="20.25" x14ac:dyDescent="0.3">
      <c r="C138" s="67" t="s">
        <v>15</v>
      </c>
      <c r="D138" s="67"/>
      <c r="E138" s="66"/>
      <c r="F138" s="22">
        <f t="shared" si="11"/>
        <v>27483.080000000005</v>
      </c>
      <c r="G138" s="67">
        <v>0</v>
      </c>
      <c r="H138" s="66">
        <v>0</v>
      </c>
      <c r="I138" s="22">
        <v>2050.62</v>
      </c>
      <c r="J138" s="67">
        <v>0</v>
      </c>
      <c r="K138" s="66">
        <v>0</v>
      </c>
      <c r="L138" s="22">
        <v>1393.18</v>
      </c>
      <c r="M138" s="67">
        <v>0</v>
      </c>
      <c r="N138" s="66">
        <v>0</v>
      </c>
      <c r="O138" s="22">
        <v>941.68</v>
      </c>
      <c r="P138" s="67">
        <v>0</v>
      </c>
      <c r="Q138" s="66">
        <v>0</v>
      </c>
      <c r="R138" s="22">
        <v>6188.2</v>
      </c>
      <c r="S138" s="67">
        <v>0</v>
      </c>
      <c r="T138" s="66">
        <v>0</v>
      </c>
      <c r="U138" s="22">
        <v>0</v>
      </c>
      <c r="V138" s="67">
        <v>0</v>
      </c>
      <c r="W138" s="66">
        <v>0</v>
      </c>
      <c r="X138" s="22">
        <v>2921.36</v>
      </c>
      <c r="Y138" s="67">
        <v>0</v>
      </c>
      <c r="Z138" s="66">
        <v>0</v>
      </c>
      <c r="AA138" s="22">
        <v>2279.13</v>
      </c>
      <c r="AB138" s="67">
        <v>0</v>
      </c>
      <c r="AC138" s="66">
        <v>0</v>
      </c>
      <c r="AD138" s="22">
        <v>1028.8900000000001</v>
      </c>
      <c r="AE138" s="67">
        <v>0</v>
      </c>
      <c r="AF138" s="66">
        <v>0</v>
      </c>
      <c r="AG138" s="22">
        <v>3421.74</v>
      </c>
      <c r="AH138" s="67">
        <v>0</v>
      </c>
      <c r="AI138" s="66">
        <v>0</v>
      </c>
      <c r="AJ138" s="22">
        <v>181.2</v>
      </c>
      <c r="AK138" s="67">
        <v>0</v>
      </c>
      <c r="AL138" s="66">
        <v>0</v>
      </c>
      <c r="AM138" s="22">
        <v>779.77</v>
      </c>
      <c r="AN138" s="67">
        <v>0</v>
      </c>
      <c r="AO138" s="66">
        <v>0</v>
      </c>
      <c r="AP138" s="22">
        <v>324.06</v>
      </c>
      <c r="AQ138" s="67">
        <v>0</v>
      </c>
      <c r="AR138" s="66">
        <v>0</v>
      </c>
      <c r="AS138" s="22">
        <v>1840.67</v>
      </c>
      <c r="AT138" s="67">
        <v>0</v>
      </c>
      <c r="AU138" s="66">
        <v>0</v>
      </c>
      <c r="AV138" s="22">
        <v>2944.73</v>
      </c>
      <c r="AW138" s="67">
        <v>0</v>
      </c>
      <c r="AX138" s="66">
        <v>0</v>
      </c>
      <c r="AY138" s="22">
        <v>1187.8499999999999</v>
      </c>
      <c r="AZ138" s="67"/>
      <c r="BA138" s="66"/>
      <c r="BB138" s="22"/>
      <c r="BC138" s="67"/>
      <c r="BD138" s="66"/>
      <c r="BE138" s="22"/>
      <c r="BF138" s="67"/>
      <c r="BG138" s="66"/>
      <c r="BH138" s="22"/>
    </row>
    <row r="139" spans="3:60" ht="20.25" x14ac:dyDescent="0.3">
      <c r="C139" s="8" t="s">
        <v>14</v>
      </c>
      <c r="D139" s="8"/>
      <c r="E139" s="7"/>
      <c r="F139" s="18">
        <f t="shared" si="11"/>
        <v>35495.25</v>
      </c>
      <c r="G139" s="8">
        <v>0</v>
      </c>
      <c r="H139" s="7">
        <v>0</v>
      </c>
      <c r="I139" s="18">
        <v>2191.2399999999998</v>
      </c>
      <c r="J139" s="8">
        <v>0</v>
      </c>
      <c r="K139" s="7">
        <v>0</v>
      </c>
      <c r="L139" s="18">
        <v>1453.56</v>
      </c>
      <c r="M139" s="8">
        <v>0</v>
      </c>
      <c r="N139" s="7">
        <v>0</v>
      </c>
      <c r="O139" s="18">
        <v>1425.17</v>
      </c>
      <c r="P139" s="8">
        <v>0</v>
      </c>
      <c r="Q139" s="7">
        <v>0</v>
      </c>
      <c r="R139" s="18">
        <v>4337.2700000000004</v>
      </c>
      <c r="S139" s="8">
        <v>0</v>
      </c>
      <c r="T139" s="7">
        <v>0</v>
      </c>
      <c r="U139" s="18">
        <v>3761.37</v>
      </c>
      <c r="V139" s="8">
        <v>0</v>
      </c>
      <c r="W139" s="7">
        <v>0</v>
      </c>
      <c r="X139" s="18">
        <v>5094.7299999999996</v>
      </c>
      <c r="Y139" s="8">
        <v>0</v>
      </c>
      <c r="Z139" s="7">
        <v>0</v>
      </c>
      <c r="AA139" s="18">
        <v>1470.94</v>
      </c>
      <c r="AB139" s="8">
        <v>0</v>
      </c>
      <c r="AC139" s="7">
        <v>0</v>
      </c>
      <c r="AD139" s="18">
        <v>1189.0899999999999</v>
      </c>
      <c r="AE139" s="8">
        <v>0</v>
      </c>
      <c r="AF139" s="7">
        <v>0</v>
      </c>
      <c r="AG139" s="18">
        <v>1878.12</v>
      </c>
      <c r="AH139" s="8">
        <v>0</v>
      </c>
      <c r="AI139" s="7">
        <v>0</v>
      </c>
      <c r="AJ139" s="18">
        <v>1121.19</v>
      </c>
      <c r="AK139" s="8">
        <v>0</v>
      </c>
      <c r="AL139" s="7">
        <v>0</v>
      </c>
      <c r="AM139" s="18">
        <v>1663.93</v>
      </c>
      <c r="AN139" s="8">
        <v>0</v>
      </c>
      <c r="AO139" s="7">
        <v>0</v>
      </c>
      <c r="AP139" s="18">
        <v>2878.47</v>
      </c>
      <c r="AQ139" s="8">
        <v>0</v>
      </c>
      <c r="AR139" s="7">
        <v>0</v>
      </c>
      <c r="AS139" s="18">
        <v>3052.52</v>
      </c>
      <c r="AT139" s="8">
        <v>0</v>
      </c>
      <c r="AU139" s="7">
        <v>0</v>
      </c>
      <c r="AV139" s="18">
        <v>2511.36</v>
      </c>
      <c r="AW139" s="8">
        <v>0</v>
      </c>
      <c r="AX139" s="7">
        <v>0</v>
      </c>
      <c r="AY139" s="18">
        <v>1466.29</v>
      </c>
      <c r="AZ139" s="8"/>
      <c r="BA139" s="7"/>
      <c r="BB139" s="18"/>
      <c r="BC139" s="8"/>
      <c r="BD139" s="7"/>
      <c r="BE139" s="18"/>
      <c r="BF139" s="8"/>
      <c r="BG139" s="7"/>
      <c r="BH139" s="18"/>
    </row>
    <row r="140" spans="3:60" ht="20.25" x14ac:dyDescent="0.3">
      <c r="C140" s="8" t="s">
        <v>13</v>
      </c>
      <c r="D140" s="8"/>
      <c r="E140" s="7"/>
      <c r="F140" s="18">
        <f t="shared" si="11"/>
        <v>6192.3099999999995</v>
      </c>
      <c r="G140" s="8">
        <v>0</v>
      </c>
      <c r="H140" s="7">
        <v>0</v>
      </c>
      <c r="I140" s="18">
        <v>828.97</v>
      </c>
      <c r="J140" s="8">
        <v>0</v>
      </c>
      <c r="K140" s="7">
        <v>0</v>
      </c>
      <c r="L140" s="18">
        <v>295.20999999999998</v>
      </c>
      <c r="M140" s="8">
        <v>0</v>
      </c>
      <c r="N140" s="7">
        <v>0</v>
      </c>
      <c r="O140" s="18">
        <v>179.53</v>
      </c>
      <c r="P140" s="8">
        <v>0</v>
      </c>
      <c r="Q140" s="7">
        <v>0</v>
      </c>
      <c r="R140" s="18">
        <v>613.64</v>
      </c>
      <c r="S140" s="8">
        <v>0</v>
      </c>
      <c r="T140" s="7">
        <v>0</v>
      </c>
      <c r="U140" s="18">
        <v>64.8</v>
      </c>
      <c r="V140" s="8">
        <v>0</v>
      </c>
      <c r="W140" s="7">
        <v>0</v>
      </c>
      <c r="X140" s="18">
        <v>1216.5</v>
      </c>
      <c r="Y140" s="8">
        <v>0</v>
      </c>
      <c r="Z140" s="7">
        <v>0</v>
      </c>
      <c r="AA140" s="18">
        <v>182.74</v>
      </c>
      <c r="AB140" s="8">
        <v>0</v>
      </c>
      <c r="AC140" s="7">
        <v>0</v>
      </c>
      <c r="AD140" s="18">
        <v>679.59</v>
      </c>
      <c r="AE140" s="8">
        <v>0</v>
      </c>
      <c r="AF140" s="7">
        <v>0</v>
      </c>
      <c r="AG140" s="18">
        <v>118.47</v>
      </c>
      <c r="AH140" s="8">
        <v>0</v>
      </c>
      <c r="AI140" s="7">
        <v>0</v>
      </c>
      <c r="AJ140" s="18">
        <v>47.37</v>
      </c>
      <c r="AK140" s="8">
        <v>0</v>
      </c>
      <c r="AL140" s="7">
        <v>0</v>
      </c>
      <c r="AM140" s="18">
        <v>287.47000000000003</v>
      </c>
      <c r="AN140" s="8">
        <v>0</v>
      </c>
      <c r="AO140" s="7">
        <v>0</v>
      </c>
      <c r="AP140" s="18">
        <v>341.75</v>
      </c>
      <c r="AQ140" s="8">
        <v>0</v>
      </c>
      <c r="AR140" s="7">
        <v>0</v>
      </c>
      <c r="AS140" s="18">
        <v>628.44000000000005</v>
      </c>
      <c r="AT140" s="8">
        <v>0</v>
      </c>
      <c r="AU140" s="7">
        <v>0</v>
      </c>
      <c r="AV140" s="18">
        <v>520.13</v>
      </c>
      <c r="AW140" s="8">
        <v>0</v>
      </c>
      <c r="AX140" s="7">
        <v>0</v>
      </c>
      <c r="AY140" s="18">
        <v>187.7</v>
      </c>
      <c r="AZ140" s="8"/>
      <c r="BA140" s="7"/>
      <c r="BB140" s="18"/>
      <c r="BC140" s="8"/>
      <c r="BD140" s="7"/>
      <c r="BE140" s="18"/>
      <c r="BF140" s="8"/>
      <c r="BG140" s="7"/>
      <c r="BH140" s="18"/>
    </row>
    <row r="141" spans="3:60" ht="20.25" x14ac:dyDescent="0.3">
      <c r="C141" s="67" t="s">
        <v>12</v>
      </c>
      <c r="D141" s="67"/>
      <c r="E141" s="66"/>
      <c r="F141" s="22">
        <f t="shared" si="11"/>
        <v>49798.76999999999</v>
      </c>
      <c r="G141" s="67">
        <v>0</v>
      </c>
      <c r="H141" s="66">
        <v>0</v>
      </c>
      <c r="I141" s="22">
        <v>1950.6</v>
      </c>
      <c r="J141" s="67">
        <v>0</v>
      </c>
      <c r="K141" s="66">
        <v>0</v>
      </c>
      <c r="L141" s="22">
        <v>1835.8</v>
      </c>
      <c r="M141" s="67">
        <v>0</v>
      </c>
      <c r="N141" s="66">
        <v>0</v>
      </c>
      <c r="O141" s="22">
        <v>758.72</v>
      </c>
      <c r="P141" s="67">
        <v>0</v>
      </c>
      <c r="Q141" s="66">
        <v>0</v>
      </c>
      <c r="R141" s="22">
        <v>6748.27</v>
      </c>
      <c r="S141" s="67">
        <v>0</v>
      </c>
      <c r="T141" s="66">
        <v>0</v>
      </c>
      <c r="U141" s="22">
        <v>6493.3799999999901</v>
      </c>
      <c r="V141" s="67">
        <v>0</v>
      </c>
      <c r="W141" s="66">
        <v>0</v>
      </c>
      <c r="X141" s="22">
        <v>12439.31</v>
      </c>
      <c r="Y141" s="67">
        <v>0</v>
      </c>
      <c r="Z141" s="66">
        <v>0</v>
      </c>
      <c r="AA141" s="22">
        <v>1159.3399999999999</v>
      </c>
      <c r="AB141" s="67">
        <v>0</v>
      </c>
      <c r="AC141" s="66">
        <v>0</v>
      </c>
      <c r="AD141" s="22">
        <v>1723.9</v>
      </c>
      <c r="AE141" s="67">
        <v>0</v>
      </c>
      <c r="AF141" s="66">
        <v>0</v>
      </c>
      <c r="AG141" s="22">
        <v>2563.7199999999998</v>
      </c>
      <c r="AH141" s="67">
        <v>0</v>
      </c>
      <c r="AI141" s="66">
        <v>0</v>
      </c>
      <c r="AJ141" s="22">
        <v>617.73</v>
      </c>
      <c r="AK141" s="67">
        <v>0</v>
      </c>
      <c r="AL141" s="66">
        <v>0</v>
      </c>
      <c r="AM141" s="22">
        <v>2668.3</v>
      </c>
      <c r="AN141" s="67">
        <v>0</v>
      </c>
      <c r="AO141" s="66">
        <v>0</v>
      </c>
      <c r="AP141" s="22">
        <v>3313.68</v>
      </c>
      <c r="AQ141" s="67">
        <v>0</v>
      </c>
      <c r="AR141" s="66">
        <v>0</v>
      </c>
      <c r="AS141" s="22">
        <v>4553.16</v>
      </c>
      <c r="AT141" s="67">
        <v>0</v>
      </c>
      <c r="AU141" s="66">
        <v>0</v>
      </c>
      <c r="AV141" s="22">
        <v>2466.6999999999998</v>
      </c>
      <c r="AW141" s="67">
        <v>0</v>
      </c>
      <c r="AX141" s="66">
        <v>0</v>
      </c>
      <c r="AY141" s="22">
        <v>506.16</v>
      </c>
      <c r="AZ141" s="67"/>
      <c r="BA141" s="66"/>
      <c r="BB141" s="22"/>
      <c r="BC141" s="67"/>
      <c r="BD141" s="66"/>
      <c r="BE141" s="22"/>
      <c r="BF141" s="67"/>
      <c r="BG141" s="66"/>
      <c r="BH141" s="22"/>
    </row>
    <row r="142" spans="3:60" ht="20.25" x14ac:dyDescent="0.3">
      <c r="C142" s="8" t="s">
        <v>11</v>
      </c>
      <c r="D142" s="8"/>
      <c r="E142" s="7"/>
      <c r="F142" s="18">
        <f t="shared" si="11"/>
        <v>2430.71</v>
      </c>
      <c r="G142" s="8">
        <v>0</v>
      </c>
      <c r="H142" s="7">
        <v>0</v>
      </c>
      <c r="I142" s="18">
        <v>18.149999999999999</v>
      </c>
      <c r="J142" s="8">
        <v>0</v>
      </c>
      <c r="K142" s="7">
        <v>0</v>
      </c>
      <c r="L142" s="18">
        <v>5.98</v>
      </c>
      <c r="M142" s="8">
        <v>0</v>
      </c>
      <c r="N142" s="7">
        <v>0</v>
      </c>
      <c r="O142" s="18">
        <v>1.1000000000000001</v>
      </c>
      <c r="P142" s="8">
        <v>0</v>
      </c>
      <c r="Q142" s="7">
        <v>0</v>
      </c>
      <c r="R142" s="18">
        <v>1365.79</v>
      </c>
      <c r="S142" s="8">
        <v>0</v>
      </c>
      <c r="T142" s="7">
        <v>0</v>
      </c>
      <c r="U142" s="18">
        <v>0</v>
      </c>
      <c r="V142" s="8">
        <v>0</v>
      </c>
      <c r="W142" s="7">
        <v>0</v>
      </c>
      <c r="X142" s="18">
        <v>5.58</v>
      </c>
      <c r="Y142" s="8">
        <v>0</v>
      </c>
      <c r="Z142" s="7">
        <v>0</v>
      </c>
      <c r="AA142" s="18">
        <v>0</v>
      </c>
      <c r="AB142" s="8">
        <v>0</v>
      </c>
      <c r="AC142" s="7">
        <v>0</v>
      </c>
      <c r="AD142" s="18">
        <v>745.17</v>
      </c>
      <c r="AE142" s="8">
        <v>0</v>
      </c>
      <c r="AF142" s="7">
        <v>0</v>
      </c>
      <c r="AG142" s="18">
        <v>24.45</v>
      </c>
      <c r="AH142" s="8">
        <v>0</v>
      </c>
      <c r="AI142" s="7">
        <v>0</v>
      </c>
      <c r="AJ142" s="18">
        <v>61.01</v>
      </c>
      <c r="AK142" s="8">
        <v>0</v>
      </c>
      <c r="AL142" s="7">
        <v>0</v>
      </c>
      <c r="AM142" s="18">
        <v>0</v>
      </c>
      <c r="AN142" s="8">
        <v>0</v>
      </c>
      <c r="AO142" s="7">
        <v>0</v>
      </c>
      <c r="AP142" s="18">
        <v>0</v>
      </c>
      <c r="AQ142" s="8">
        <v>0</v>
      </c>
      <c r="AR142" s="7">
        <v>0</v>
      </c>
      <c r="AS142" s="18">
        <v>37.5</v>
      </c>
      <c r="AT142" s="8">
        <v>0</v>
      </c>
      <c r="AU142" s="7">
        <v>0</v>
      </c>
      <c r="AV142" s="18">
        <v>165.98</v>
      </c>
      <c r="AW142" s="8">
        <v>0</v>
      </c>
      <c r="AX142" s="7">
        <v>0</v>
      </c>
      <c r="AY142" s="18">
        <v>0</v>
      </c>
      <c r="AZ142" s="8"/>
      <c r="BA142" s="7"/>
      <c r="BB142" s="18"/>
      <c r="BC142" s="8"/>
      <c r="BD142" s="7"/>
      <c r="BE142" s="18"/>
      <c r="BF142" s="8"/>
      <c r="BG142" s="7"/>
      <c r="BH142" s="18"/>
    </row>
    <row r="143" spans="3:60" ht="20.25" x14ac:dyDescent="0.3">
      <c r="C143" s="8" t="s">
        <v>10</v>
      </c>
      <c r="D143" s="8"/>
      <c r="E143" s="7"/>
      <c r="F143" s="18">
        <f t="shared" si="11"/>
        <v>164.22</v>
      </c>
      <c r="G143" s="8">
        <v>0</v>
      </c>
      <c r="H143" s="7">
        <v>0</v>
      </c>
      <c r="I143" s="18">
        <v>0</v>
      </c>
      <c r="J143" s="8">
        <v>0</v>
      </c>
      <c r="K143" s="7">
        <v>0</v>
      </c>
      <c r="L143" s="18">
        <v>0</v>
      </c>
      <c r="M143" s="8">
        <v>0</v>
      </c>
      <c r="N143" s="7">
        <v>0</v>
      </c>
      <c r="O143" s="18">
        <v>0</v>
      </c>
      <c r="P143" s="8">
        <v>0</v>
      </c>
      <c r="Q143" s="7">
        <v>0</v>
      </c>
      <c r="R143" s="18">
        <v>0</v>
      </c>
      <c r="S143" s="8">
        <v>0</v>
      </c>
      <c r="T143" s="7">
        <v>0</v>
      </c>
      <c r="U143" s="18">
        <v>0</v>
      </c>
      <c r="V143" s="8">
        <v>0</v>
      </c>
      <c r="W143" s="7">
        <v>0</v>
      </c>
      <c r="X143" s="18">
        <v>0</v>
      </c>
      <c r="Y143" s="8">
        <v>0</v>
      </c>
      <c r="Z143" s="7">
        <v>0</v>
      </c>
      <c r="AA143" s="18">
        <v>0</v>
      </c>
      <c r="AB143" s="8">
        <v>0</v>
      </c>
      <c r="AC143" s="7">
        <v>0</v>
      </c>
      <c r="AD143" s="18">
        <v>0</v>
      </c>
      <c r="AE143" s="8">
        <v>0</v>
      </c>
      <c r="AF143" s="7">
        <v>0</v>
      </c>
      <c r="AG143" s="18">
        <v>0</v>
      </c>
      <c r="AH143" s="8">
        <v>0</v>
      </c>
      <c r="AI143" s="7">
        <v>0</v>
      </c>
      <c r="AJ143" s="18">
        <v>0</v>
      </c>
      <c r="AK143" s="8">
        <v>0</v>
      </c>
      <c r="AL143" s="7">
        <v>0</v>
      </c>
      <c r="AM143" s="18">
        <v>0</v>
      </c>
      <c r="AN143" s="8">
        <v>0</v>
      </c>
      <c r="AO143" s="7">
        <v>0</v>
      </c>
      <c r="AP143" s="18">
        <v>0</v>
      </c>
      <c r="AQ143" s="8">
        <v>0</v>
      </c>
      <c r="AR143" s="7">
        <v>0</v>
      </c>
      <c r="AS143" s="18">
        <v>164.22</v>
      </c>
      <c r="AT143" s="8">
        <v>0</v>
      </c>
      <c r="AU143" s="7">
        <v>0</v>
      </c>
      <c r="AV143" s="18">
        <v>0</v>
      </c>
      <c r="AW143" s="8">
        <v>0</v>
      </c>
      <c r="AX143" s="7">
        <v>0</v>
      </c>
      <c r="AY143" s="18">
        <v>0</v>
      </c>
      <c r="AZ143" s="8"/>
      <c r="BA143" s="7"/>
      <c r="BB143" s="18"/>
      <c r="BC143" s="8"/>
      <c r="BD143" s="7"/>
      <c r="BE143" s="18"/>
      <c r="BF143" s="8"/>
      <c r="BG143" s="7"/>
      <c r="BH143" s="18"/>
    </row>
    <row r="144" spans="3:60" ht="20.25" x14ac:dyDescent="0.3">
      <c r="C144" s="8" t="s">
        <v>9</v>
      </c>
      <c r="D144" s="8"/>
      <c r="E144" s="7"/>
      <c r="F144" s="18">
        <f t="shared" si="11"/>
        <v>4366.369999999999</v>
      </c>
      <c r="G144" s="8">
        <v>0</v>
      </c>
      <c r="H144" s="7">
        <v>0</v>
      </c>
      <c r="I144" s="18">
        <v>224.36</v>
      </c>
      <c r="J144" s="8">
        <v>0</v>
      </c>
      <c r="K144" s="7">
        <v>0</v>
      </c>
      <c r="L144" s="18">
        <v>151.76</v>
      </c>
      <c r="M144" s="8">
        <v>0</v>
      </c>
      <c r="N144" s="7">
        <v>0</v>
      </c>
      <c r="O144" s="18">
        <v>114.72</v>
      </c>
      <c r="P144" s="8">
        <v>0</v>
      </c>
      <c r="Q144" s="7">
        <v>0</v>
      </c>
      <c r="R144" s="18">
        <v>817.55</v>
      </c>
      <c r="S144" s="8">
        <v>0</v>
      </c>
      <c r="T144" s="7">
        <v>0</v>
      </c>
      <c r="U144" s="18">
        <v>48.06</v>
      </c>
      <c r="V144" s="8">
        <v>0</v>
      </c>
      <c r="W144" s="7">
        <v>0</v>
      </c>
      <c r="X144" s="18">
        <v>1404.32</v>
      </c>
      <c r="Y144" s="8">
        <v>0</v>
      </c>
      <c r="Z144" s="7">
        <v>0</v>
      </c>
      <c r="AA144" s="18">
        <v>164.61</v>
      </c>
      <c r="AB144" s="8">
        <v>0</v>
      </c>
      <c r="AC144" s="7">
        <v>0</v>
      </c>
      <c r="AD144" s="18">
        <v>254.52</v>
      </c>
      <c r="AE144" s="8">
        <v>0</v>
      </c>
      <c r="AF144" s="7">
        <v>0</v>
      </c>
      <c r="AG144" s="18">
        <v>88.2</v>
      </c>
      <c r="AH144" s="8">
        <v>0</v>
      </c>
      <c r="AI144" s="7">
        <v>0</v>
      </c>
      <c r="AJ144" s="18">
        <v>88.77</v>
      </c>
      <c r="AK144" s="8">
        <v>0</v>
      </c>
      <c r="AL144" s="7">
        <v>0</v>
      </c>
      <c r="AM144" s="18">
        <v>140.47</v>
      </c>
      <c r="AN144" s="8">
        <v>0</v>
      </c>
      <c r="AO144" s="7">
        <v>0</v>
      </c>
      <c r="AP144" s="18">
        <v>158.85</v>
      </c>
      <c r="AQ144" s="8">
        <v>0</v>
      </c>
      <c r="AR144" s="7">
        <v>0</v>
      </c>
      <c r="AS144" s="18">
        <v>9.73</v>
      </c>
      <c r="AT144" s="8">
        <v>0</v>
      </c>
      <c r="AU144" s="7">
        <v>0</v>
      </c>
      <c r="AV144" s="18">
        <v>390.74</v>
      </c>
      <c r="AW144" s="8">
        <v>0</v>
      </c>
      <c r="AX144" s="7">
        <v>0</v>
      </c>
      <c r="AY144" s="18">
        <v>309.70999999999998</v>
      </c>
      <c r="AZ144" s="8"/>
      <c r="BA144" s="7"/>
      <c r="BB144" s="18"/>
      <c r="BC144" s="8"/>
      <c r="BD144" s="7"/>
      <c r="BE144" s="18"/>
      <c r="BF144" s="8"/>
      <c r="BG144" s="7"/>
      <c r="BH144" s="18"/>
    </row>
    <row r="145" spans="3:60" ht="20.25" x14ac:dyDescent="0.3">
      <c r="C145" s="8" t="s">
        <v>8</v>
      </c>
      <c r="D145" s="8"/>
      <c r="E145" s="7"/>
      <c r="F145" s="18">
        <f t="shared" si="11"/>
        <v>1504.3999999999996</v>
      </c>
      <c r="G145" s="8">
        <v>0</v>
      </c>
      <c r="H145" s="7">
        <v>0</v>
      </c>
      <c r="I145" s="18">
        <v>157.65</v>
      </c>
      <c r="J145" s="8">
        <v>0</v>
      </c>
      <c r="K145" s="7">
        <v>0</v>
      </c>
      <c r="L145" s="18">
        <v>77.08</v>
      </c>
      <c r="M145" s="8">
        <v>0</v>
      </c>
      <c r="N145" s="7">
        <v>0</v>
      </c>
      <c r="O145" s="18">
        <v>92.46</v>
      </c>
      <c r="P145" s="8">
        <v>0</v>
      </c>
      <c r="Q145" s="7">
        <v>0</v>
      </c>
      <c r="R145" s="18">
        <v>146.37</v>
      </c>
      <c r="S145" s="8">
        <v>0</v>
      </c>
      <c r="T145" s="7">
        <v>0</v>
      </c>
      <c r="U145" s="18">
        <v>389.02</v>
      </c>
      <c r="V145" s="8">
        <v>0</v>
      </c>
      <c r="W145" s="7">
        <v>0</v>
      </c>
      <c r="X145" s="18">
        <v>93.76</v>
      </c>
      <c r="Y145" s="8">
        <v>0</v>
      </c>
      <c r="Z145" s="7">
        <v>0</v>
      </c>
      <c r="AA145" s="18">
        <v>30.71</v>
      </c>
      <c r="AB145" s="8">
        <v>0</v>
      </c>
      <c r="AC145" s="7">
        <v>0</v>
      </c>
      <c r="AD145" s="18">
        <v>42.3</v>
      </c>
      <c r="AE145" s="8">
        <v>0</v>
      </c>
      <c r="AF145" s="7">
        <v>0</v>
      </c>
      <c r="AG145" s="18">
        <v>57.22</v>
      </c>
      <c r="AH145" s="8">
        <v>0</v>
      </c>
      <c r="AI145" s="7">
        <v>0</v>
      </c>
      <c r="AJ145" s="18">
        <v>26.36</v>
      </c>
      <c r="AK145" s="8">
        <v>0</v>
      </c>
      <c r="AL145" s="7">
        <v>0</v>
      </c>
      <c r="AM145" s="18">
        <v>0</v>
      </c>
      <c r="AN145" s="8">
        <v>0</v>
      </c>
      <c r="AO145" s="7">
        <v>0</v>
      </c>
      <c r="AP145" s="18">
        <v>52.05</v>
      </c>
      <c r="AQ145" s="8">
        <v>0</v>
      </c>
      <c r="AR145" s="7">
        <v>0</v>
      </c>
      <c r="AS145" s="18">
        <v>61.32</v>
      </c>
      <c r="AT145" s="8">
        <v>0</v>
      </c>
      <c r="AU145" s="7">
        <v>0</v>
      </c>
      <c r="AV145" s="18">
        <v>94.99</v>
      </c>
      <c r="AW145" s="8">
        <v>0</v>
      </c>
      <c r="AX145" s="7">
        <v>0</v>
      </c>
      <c r="AY145" s="18">
        <v>183.11</v>
      </c>
      <c r="AZ145" s="8"/>
      <c r="BA145" s="7"/>
      <c r="BB145" s="18"/>
      <c r="BC145" s="8"/>
      <c r="BD145" s="7"/>
      <c r="BE145" s="18"/>
      <c r="BF145" s="8"/>
      <c r="BG145" s="7"/>
      <c r="BH145" s="18"/>
    </row>
    <row r="146" spans="3:60" ht="20.25" x14ac:dyDescent="0.3">
      <c r="C146" s="8" t="s">
        <v>7</v>
      </c>
      <c r="D146" s="8"/>
      <c r="E146" s="7"/>
      <c r="F146" s="18">
        <f t="shared" si="11"/>
        <v>645.83000000000004</v>
      </c>
      <c r="G146" s="8">
        <v>0</v>
      </c>
      <c r="H146" s="7">
        <v>0</v>
      </c>
      <c r="I146" s="18">
        <v>123</v>
      </c>
      <c r="J146" s="8">
        <v>0</v>
      </c>
      <c r="K146" s="7">
        <v>0</v>
      </c>
      <c r="L146" s="18">
        <v>60.3</v>
      </c>
      <c r="M146" s="8">
        <v>0</v>
      </c>
      <c r="N146" s="7">
        <v>0</v>
      </c>
      <c r="O146" s="18">
        <v>38.99</v>
      </c>
      <c r="P146" s="8">
        <v>0</v>
      </c>
      <c r="Q146" s="7">
        <v>0</v>
      </c>
      <c r="R146" s="18">
        <v>40.200000000000003</v>
      </c>
      <c r="S146" s="8">
        <v>0</v>
      </c>
      <c r="T146" s="7">
        <v>0</v>
      </c>
      <c r="U146" s="18">
        <v>0</v>
      </c>
      <c r="V146" s="8">
        <v>0</v>
      </c>
      <c r="W146" s="7">
        <v>0</v>
      </c>
      <c r="X146" s="18">
        <v>-40.35</v>
      </c>
      <c r="Y146" s="8">
        <v>0</v>
      </c>
      <c r="Z146" s="7">
        <v>0</v>
      </c>
      <c r="AA146" s="18">
        <v>29.31</v>
      </c>
      <c r="AB146" s="8">
        <v>0</v>
      </c>
      <c r="AC146" s="7">
        <v>0</v>
      </c>
      <c r="AD146" s="18">
        <v>76.88</v>
      </c>
      <c r="AE146" s="8">
        <v>0</v>
      </c>
      <c r="AF146" s="7">
        <v>0</v>
      </c>
      <c r="AG146" s="18">
        <v>51.27</v>
      </c>
      <c r="AH146" s="8">
        <v>0</v>
      </c>
      <c r="AI146" s="7">
        <v>0</v>
      </c>
      <c r="AJ146" s="18">
        <v>3.3</v>
      </c>
      <c r="AK146" s="8">
        <v>0</v>
      </c>
      <c r="AL146" s="7">
        <v>0</v>
      </c>
      <c r="AM146" s="18">
        <v>38.94</v>
      </c>
      <c r="AN146" s="8">
        <v>0</v>
      </c>
      <c r="AO146" s="7">
        <v>0</v>
      </c>
      <c r="AP146" s="18">
        <v>24.72</v>
      </c>
      <c r="AQ146" s="8">
        <v>0</v>
      </c>
      <c r="AR146" s="7">
        <v>0</v>
      </c>
      <c r="AS146" s="18">
        <v>31.3</v>
      </c>
      <c r="AT146" s="8">
        <v>0</v>
      </c>
      <c r="AU146" s="7">
        <v>0</v>
      </c>
      <c r="AV146" s="18">
        <v>167.97</v>
      </c>
      <c r="AW146" s="8">
        <v>0</v>
      </c>
      <c r="AX146" s="7">
        <v>0</v>
      </c>
      <c r="AY146" s="18">
        <v>0</v>
      </c>
      <c r="AZ146" s="8"/>
      <c r="BA146" s="7"/>
      <c r="BB146" s="18"/>
      <c r="BC146" s="8"/>
      <c r="BD146" s="7"/>
      <c r="BE146" s="18"/>
      <c r="BF146" s="8"/>
      <c r="BG146" s="7"/>
      <c r="BH146" s="18"/>
    </row>
    <row r="147" spans="3:60" ht="20.25" x14ac:dyDescent="0.3">
      <c r="C147" s="8" t="s">
        <v>6</v>
      </c>
      <c r="D147" s="8"/>
      <c r="E147" s="7"/>
      <c r="F147" s="18">
        <f t="shared" si="11"/>
        <v>5884.4900000000016</v>
      </c>
      <c r="G147" s="8">
        <v>0</v>
      </c>
      <c r="H147" s="7">
        <v>0</v>
      </c>
      <c r="I147" s="18">
        <v>798.81</v>
      </c>
      <c r="J147" s="8">
        <v>0</v>
      </c>
      <c r="K147" s="7">
        <v>0</v>
      </c>
      <c r="L147" s="18">
        <v>453.15</v>
      </c>
      <c r="M147" s="8">
        <v>0</v>
      </c>
      <c r="N147" s="7">
        <v>0</v>
      </c>
      <c r="O147" s="18">
        <v>151.6</v>
      </c>
      <c r="P147" s="8">
        <v>0</v>
      </c>
      <c r="Q147" s="7">
        <v>0</v>
      </c>
      <c r="R147" s="18">
        <v>838.61</v>
      </c>
      <c r="S147" s="8">
        <v>0</v>
      </c>
      <c r="T147" s="7">
        <v>0</v>
      </c>
      <c r="U147" s="18">
        <v>0</v>
      </c>
      <c r="V147" s="8">
        <v>0</v>
      </c>
      <c r="W147" s="7">
        <v>0</v>
      </c>
      <c r="X147" s="18">
        <v>23.52</v>
      </c>
      <c r="Y147" s="8">
        <v>0</v>
      </c>
      <c r="Z147" s="7">
        <v>0</v>
      </c>
      <c r="AA147" s="18">
        <v>465.53</v>
      </c>
      <c r="AB147" s="8">
        <v>0</v>
      </c>
      <c r="AC147" s="7">
        <v>0</v>
      </c>
      <c r="AD147" s="18">
        <v>414.98</v>
      </c>
      <c r="AE147" s="8">
        <v>0</v>
      </c>
      <c r="AF147" s="7">
        <v>0</v>
      </c>
      <c r="AG147" s="18">
        <v>987.26</v>
      </c>
      <c r="AH147" s="8">
        <v>0</v>
      </c>
      <c r="AI147" s="7">
        <v>0</v>
      </c>
      <c r="AJ147" s="18">
        <v>287.55</v>
      </c>
      <c r="AK147" s="8">
        <v>0</v>
      </c>
      <c r="AL147" s="7">
        <v>0</v>
      </c>
      <c r="AM147" s="18">
        <v>124.99</v>
      </c>
      <c r="AN147" s="8">
        <v>0</v>
      </c>
      <c r="AO147" s="7">
        <v>0</v>
      </c>
      <c r="AP147" s="18">
        <v>767.85</v>
      </c>
      <c r="AQ147" s="8">
        <v>0</v>
      </c>
      <c r="AR147" s="7">
        <v>0</v>
      </c>
      <c r="AS147" s="18">
        <v>709.27</v>
      </c>
      <c r="AT147" s="8">
        <v>0</v>
      </c>
      <c r="AU147" s="7">
        <v>0</v>
      </c>
      <c r="AV147" s="18">
        <v>26.7</v>
      </c>
      <c r="AW147" s="8">
        <v>0</v>
      </c>
      <c r="AX147" s="7">
        <v>0</v>
      </c>
      <c r="AY147" s="18">
        <v>-165.32999999999899</v>
      </c>
      <c r="AZ147" s="8"/>
      <c r="BA147" s="7"/>
      <c r="BB147" s="18"/>
      <c r="BC147" s="8"/>
      <c r="BD147" s="7"/>
      <c r="BE147" s="18"/>
      <c r="BF147" s="8"/>
      <c r="BG147" s="7"/>
      <c r="BH147" s="18"/>
    </row>
    <row r="148" spans="3:60" ht="20.25" x14ac:dyDescent="0.3">
      <c r="C148" s="8" t="s">
        <v>5</v>
      </c>
      <c r="D148" s="8"/>
      <c r="E148" s="7"/>
      <c r="F148" s="18">
        <f t="shared" si="11"/>
        <v>5337.670000000001</v>
      </c>
      <c r="G148" s="8">
        <v>0</v>
      </c>
      <c r="H148" s="7">
        <v>0</v>
      </c>
      <c r="I148" s="18">
        <v>758.2</v>
      </c>
      <c r="J148" s="8">
        <v>0</v>
      </c>
      <c r="K148" s="7">
        <v>0</v>
      </c>
      <c r="L148" s="18">
        <v>420.7</v>
      </c>
      <c r="M148" s="8">
        <v>0</v>
      </c>
      <c r="N148" s="7">
        <v>0</v>
      </c>
      <c r="O148" s="18">
        <v>130.97</v>
      </c>
      <c r="P148" s="8">
        <v>0</v>
      </c>
      <c r="Q148" s="7">
        <v>0</v>
      </c>
      <c r="R148" s="18">
        <v>63.8</v>
      </c>
      <c r="S148" s="8">
        <v>0</v>
      </c>
      <c r="T148" s="7">
        <v>0</v>
      </c>
      <c r="U148" s="18">
        <v>2646</v>
      </c>
      <c r="V148" s="8">
        <v>0</v>
      </c>
      <c r="W148" s="7">
        <v>0</v>
      </c>
      <c r="X148" s="18">
        <v>596.54999999999995</v>
      </c>
      <c r="Y148" s="8">
        <v>0</v>
      </c>
      <c r="Z148" s="7">
        <v>0</v>
      </c>
      <c r="AA148" s="18">
        <v>31.91</v>
      </c>
      <c r="AB148" s="8">
        <v>0</v>
      </c>
      <c r="AC148" s="7">
        <v>0</v>
      </c>
      <c r="AD148" s="18">
        <v>47.85</v>
      </c>
      <c r="AE148" s="8">
        <v>0</v>
      </c>
      <c r="AF148" s="7">
        <v>0</v>
      </c>
      <c r="AG148" s="18">
        <v>31.9</v>
      </c>
      <c r="AH148" s="8">
        <v>0</v>
      </c>
      <c r="AI148" s="7">
        <v>0</v>
      </c>
      <c r="AJ148" s="18">
        <v>158.6</v>
      </c>
      <c r="AK148" s="8">
        <v>0</v>
      </c>
      <c r="AL148" s="7">
        <v>0</v>
      </c>
      <c r="AM148" s="18">
        <v>47.85</v>
      </c>
      <c r="AN148" s="8">
        <v>0</v>
      </c>
      <c r="AO148" s="7">
        <v>0</v>
      </c>
      <c r="AP148" s="18">
        <v>47.85</v>
      </c>
      <c r="AQ148" s="8">
        <v>0</v>
      </c>
      <c r="AR148" s="7">
        <v>0</v>
      </c>
      <c r="AS148" s="18">
        <v>47.85</v>
      </c>
      <c r="AT148" s="8">
        <v>0</v>
      </c>
      <c r="AU148" s="7">
        <v>0</v>
      </c>
      <c r="AV148" s="18">
        <v>240.65</v>
      </c>
      <c r="AW148" s="8">
        <v>0</v>
      </c>
      <c r="AX148" s="7">
        <v>0</v>
      </c>
      <c r="AY148" s="18">
        <v>66.989999999999995</v>
      </c>
      <c r="AZ148" s="8"/>
      <c r="BA148" s="7"/>
      <c r="BB148" s="18"/>
      <c r="BC148" s="8"/>
      <c r="BD148" s="7"/>
      <c r="BE148" s="18"/>
      <c r="BF148" s="8"/>
      <c r="BG148" s="7"/>
      <c r="BH148" s="18"/>
    </row>
    <row r="149" spans="3:60" ht="20.25" x14ac:dyDescent="0.3">
      <c r="C149" s="8" t="s">
        <v>4</v>
      </c>
      <c r="D149" s="8"/>
      <c r="E149" s="7"/>
      <c r="F149" s="18">
        <f t="shared" si="11"/>
        <v>7921.5647999999992</v>
      </c>
      <c r="G149" s="8">
        <v>0</v>
      </c>
      <c r="H149" s="7">
        <v>0</v>
      </c>
      <c r="I149" s="18">
        <v>671.59</v>
      </c>
      <c r="J149" s="8">
        <v>0</v>
      </c>
      <c r="K149" s="7">
        <v>0</v>
      </c>
      <c r="L149" s="18">
        <v>984.53</v>
      </c>
      <c r="M149" s="8">
        <v>0</v>
      </c>
      <c r="N149" s="7">
        <v>0</v>
      </c>
      <c r="O149" s="18">
        <v>342.23</v>
      </c>
      <c r="P149" s="8">
        <v>0</v>
      </c>
      <c r="Q149" s="7">
        <v>0</v>
      </c>
      <c r="R149" s="18">
        <v>734.66</v>
      </c>
      <c r="S149" s="8">
        <v>0</v>
      </c>
      <c r="T149" s="7">
        <v>0</v>
      </c>
      <c r="U149" s="18">
        <v>1730.7</v>
      </c>
      <c r="V149" s="8">
        <v>0</v>
      </c>
      <c r="W149" s="7">
        <v>0</v>
      </c>
      <c r="X149" s="18">
        <v>1209.67</v>
      </c>
      <c r="Y149" s="8">
        <v>0</v>
      </c>
      <c r="Z149" s="7">
        <v>0</v>
      </c>
      <c r="AA149" s="18">
        <v>412.67</v>
      </c>
      <c r="AB149" s="8">
        <v>0</v>
      </c>
      <c r="AC149" s="7">
        <v>0</v>
      </c>
      <c r="AD149" s="18">
        <v>306.3</v>
      </c>
      <c r="AE149" s="8">
        <v>0</v>
      </c>
      <c r="AF149" s="7">
        <v>0</v>
      </c>
      <c r="AG149" s="18">
        <v>480.82</v>
      </c>
      <c r="AH149" s="8">
        <v>0</v>
      </c>
      <c r="AI149" s="7">
        <v>0</v>
      </c>
      <c r="AJ149" s="18">
        <v>111.49</v>
      </c>
      <c r="AK149" s="8">
        <v>0</v>
      </c>
      <c r="AL149" s="7">
        <v>0</v>
      </c>
      <c r="AM149" s="18">
        <v>139.62479999999999</v>
      </c>
      <c r="AN149" s="8">
        <v>0</v>
      </c>
      <c r="AO149" s="7">
        <v>0</v>
      </c>
      <c r="AP149" s="18">
        <v>-102.4</v>
      </c>
      <c r="AQ149" s="8">
        <v>0</v>
      </c>
      <c r="AR149" s="7">
        <v>0</v>
      </c>
      <c r="AS149" s="18">
        <v>-76.459999999999994</v>
      </c>
      <c r="AT149" s="8">
        <v>0</v>
      </c>
      <c r="AU149" s="7">
        <v>0</v>
      </c>
      <c r="AV149" s="18">
        <v>481.19</v>
      </c>
      <c r="AW149" s="8">
        <v>0</v>
      </c>
      <c r="AX149" s="7">
        <v>0</v>
      </c>
      <c r="AY149" s="18">
        <v>494.95</v>
      </c>
      <c r="AZ149" s="8"/>
      <c r="BA149" s="7"/>
      <c r="BB149" s="18"/>
      <c r="BC149" s="8"/>
      <c r="BD149" s="7"/>
      <c r="BE149" s="18"/>
      <c r="BF149" s="8"/>
      <c r="BG149" s="7"/>
      <c r="BH149" s="18"/>
    </row>
    <row r="150" spans="3:60" ht="20.25" hidden="1" x14ac:dyDescent="0.3">
      <c r="C150" s="8" t="s">
        <v>3</v>
      </c>
      <c r="D150" s="8"/>
      <c r="E150" s="7"/>
      <c r="F150" s="18">
        <f t="shared" si="11"/>
        <v>0</v>
      </c>
      <c r="G150" s="8">
        <v>0</v>
      </c>
      <c r="H150" s="7">
        <v>0</v>
      </c>
      <c r="I150" s="18">
        <v>0</v>
      </c>
      <c r="J150" s="8">
        <v>0</v>
      </c>
      <c r="K150" s="7">
        <v>0</v>
      </c>
      <c r="L150" s="18">
        <v>0</v>
      </c>
      <c r="M150" s="8">
        <v>0</v>
      </c>
      <c r="N150" s="7">
        <v>0</v>
      </c>
      <c r="O150" s="18">
        <v>0</v>
      </c>
      <c r="P150" s="8">
        <v>0</v>
      </c>
      <c r="Q150" s="7">
        <v>0</v>
      </c>
      <c r="R150" s="18">
        <v>0</v>
      </c>
      <c r="S150" s="8">
        <v>0</v>
      </c>
      <c r="T150" s="7">
        <v>0</v>
      </c>
      <c r="U150" s="18">
        <v>0</v>
      </c>
      <c r="V150" s="8">
        <v>0</v>
      </c>
      <c r="W150" s="7">
        <v>0</v>
      </c>
      <c r="X150" s="18">
        <v>0</v>
      </c>
      <c r="Y150" s="8">
        <v>0</v>
      </c>
      <c r="Z150" s="7">
        <v>0</v>
      </c>
      <c r="AA150" s="18">
        <v>0</v>
      </c>
      <c r="AB150" s="8">
        <v>0</v>
      </c>
      <c r="AC150" s="7">
        <v>0</v>
      </c>
      <c r="AD150" s="18">
        <v>0</v>
      </c>
      <c r="AE150" s="8">
        <v>0</v>
      </c>
      <c r="AF150" s="7">
        <v>0</v>
      </c>
      <c r="AG150" s="18">
        <v>0</v>
      </c>
      <c r="AH150" s="8">
        <v>0</v>
      </c>
      <c r="AI150" s="7">
        <v>0</v>
      </c>
      <c r="AJ150" s="18">
        <v>0</v>
      </c>
      <c r="AK150" s="8">
        <v>0</v>
      </c>
      <c r="AL150" s="7">
        <v>0</v>
      </c>
      <c r="AM150" s="18">
        <v>0</v>
      </c>
      <c r="AN150" s="8">
        <v>0</v>
      </c>
      <c r="AO150" s="7">
        <v>0</v>
      </c>
      <c r="AP150" s="18">
        <v>0</v>
      </c>
      <c r="AQ150" s="8">
        <v>0</v>
      </c>
      <c r="AR150" s="7">
        <v>0</v>
      </c>
      <c r="AS150" s="18">
        <v>0</v>
      </c>
      <c r="AT150" s="8">
        <v>0</v>
      </c>
      <c r="AU150" s="7">
        <v>0</v>
      </c>
      <c r="AV150" s="18">
        <v>0</v>
      </c>
      <c r="AW150" s="8">
        <v>0</v>
      </c>
      <c r="AX150" s="7">
        <v>0</v>
      </c>
      <c r="AY150" s="18">
        <v>0</v>
      </c>
      <c r="AZ150" s="8"/>
      <c r="BA150" s="7"/>
      <c r="BB150" s="18"/>
      <c r="BC150" s="8"/>
      <c r="BD150" s="7"/>
      <c r="BE150" s="18"/>
      <c r="BF150" s="8"/>
      <c r="BG150" s="7"/>
      <c r="BH150" s="18"/>
    </row>
    <row r="151" spans="3:60" ht="20.25" hidden="1" x14ac:dyDescent="0.3">
      <c r="C151" s="8" t="s">
        <v>3</v>
      </c>
      <c r="D151" s="8"/>
      <c r="E151" s="7"/>
      <c r="F151" s="18">
        <f t="shared" si="11"/>
        <v>0</v>
      </c>
      <c r="G151" s="8">
        <v>0</v>
      </c>
      <c r="H151" s="7">
        <v>0</v>
      </c>
      <c r="I151" s="18">
        <v>0</v>
      </c>
      <c r="J151" s="8">
        <v>0</v>
      </c>
      <c r="K151" s="7">
        <v>0</v>
      </c>
      <c r="L151" s="18">
        <v>0</v>
      </c>
      <c r="M151" s="8">
        <v>0</v>
      </c>
      <c r="N151" s="7">
        <v>0</v>
      </c>
      <c r="O151" s="18">
        <v>0</v>
      </c>
      <c r="P151" s="8">
        <v>0</v>
      </c>
      <c r="Q151" s="7">
        <v>0</v>
      </c>
      <c r="R151" s="18">
        <v>0</v>
      </c>
      <c r="S151" s="8">
        <v>0</v>
      </c>
      <c r="T151" s="7">
        <v>0</v>
      </c>
      <c r="U151" s="18">
        <v>0</v>
      </c>
      <c r="V151" s="8">
        <v>0</v>
      </c>
      <c r="W151" s="7">
        <v>0</v>
      </c>
      <c r="X151" s="18">
        <v>0</v>
      </c>
      <c r="Y151" s="8">
        <v>0</v>
      </c>
      <c r="Z151" s="7">
        <v>0</v>
      </c>
      <c r="AA151" s="18">
        <v>0</v>
      </c>
      <c r="AB151" s="8">
        <v>0</v>
      </c>
      <c r="AC151" s="7">
        <v>0</v>
      </c>
      <c r="AD151" s="18">
        <v>0</v>
      </c>
      <c r="AE151" s="8">
        <v>0</v>
      </c>
      <c r="AF151" s="7">
        <v>0</v>
      </c>
      <c r="AG151" s="18">
        <v>0</v>
      </c>
      <c r="AH151" s="8">
        <v>0</v>
      </c>
      <c r="AI151" s="7">
        <v>0</v>
      </c>
      <c r="AJ151" s="18">
        <v>0</v>
      </c>
      <c r="AK151" s="8">
        <v>0</v>
      </c>
      <c r="AL151" s="7">
        <v>0</v>
      </c>
      <c r="AM151" s="18">
        <v>0</v>
      </c>
      <c r="AN151" s="8">
        <v>0</v>
      </c>
      <c r="AO151" s="7">
        <v>0</v>
      </c>
      <c r="AP151" s="18">
        <v>0</v>
      </c>
      <c r="AQ151" s="8">
        <v>0</v>
      </c>
      <c r="AR151" s="7">
        <v>0</v>
      </c>
      <c r="AS151" s="18">
        <v>0</v>
      </c>
      <c r="AT151" s="8">
        <v>0</v>
      </c>
      <c r="AU151" s="7">
        <v>0</v>
      </c>
      <c r="AV151" s="18">
        <v>0</v>
      </c>
      <c r="AW151" s="8">
        <v>0</v>
      </c>
      <c r="AX151" s="7">
        <v>0</v>
      </c>
      <c r="AY151" s="18">
        <v>0</v>
      </c>
      <c r="AZ151" s="8"/>
      <c r="BA151" s="7"/>
      <c r="BB151" s="18"/>
      <c r="BC151" s="8"/>
      <c r="BD151" s="7"/>
      <c r="BE151" s="18"/>
      <c r="BF151" s="8"/>
      <c r="BG151" s="7"/>
      <c r="BH151" s="18"/>
    </row>
    <row r="152" spans="3:60" ht="20.25" hidden="1" x14ac:dyDescent="0.3">
      <c r="C152" s="8" t="s">
        <v>3</v>
      </c>
      <c r="D152" s="8"/>
      <c r="E152" s="7"/>
      <c r="F152" s="18">
        <f t="shared" si="11"/>
        <v>0</v>
      </c>
      <c r="G152" s="8">
        <v>0</v>
      </c>
      <c r="H152" s="7">
        <v>0</v>
      </c>
      <c r="I152" s="18">
        <v>0</v>
      </c>
      <c r="J152" s="8">
        <v>0</v>
      </c>
      <c r="K152" s="7">
        <v>0</v>
      </c>
      <c r="L152" s="18">
        <v>0</v>
      </c>
      <c r="M152" s="8">
        <v>0</v>
      </c>
      <c r="N152" s="7">
        <v>0</v>
      </c>
      <c r="O152" s="18">
        <v>0</v>
      </c>
      <c r="P152" s="8">
        <v>0</v>
      </c>
      <c r="Q152" s="7">
        <v>0</v>
      </c>
      <c r="R152" s="18">
        <v>0</v>
      </c>
      <c r="S152" s="8">
        <v>0</v>
      </c>
      <c r="T152" s="7">
        <v>0</v>
      </c>
      <c r="U152" s="18">
        <v>0</v>
      </c>
      <c r="V152" s="8">
        <v>0</v>
      </c>
      <c r="W152" s="7">
        <v>0</v>
      </c>
      <c r="X152" s="18">
        <v>0</v>
      </c>
      <c r="Y152" s="8">
        <v>0</v>
      </c>
      <c r="Z152" s="7">
        <v>0</v>
      </c>
      <c r="AA152" s="18">
        <v>0</v>
      </c>
      <c r="AB152" s="8">
        <v>0</v>
      </c>
      <c r="AC152" s="7">
        <v>0</v>
      </c>
      <c r="AD152" s="18">
        <v>0</v>
      </c>
      <c r="AE152" s="8">
        <v>0</v>
      </c>
      <c r="AF152" s="7">
        <v>0</v>
      </c>
      <c r="AG152" s="18">
        <v>0</v>
      </c>
      <c r="AH152" s="8">
        <v>0</v>
      </c>
      <c r="AI152" s="7">
        <v>0</v>
      </c>
      <c r="AJ152" s="18">
        <v>0</v>
      </c>
      <c r="AK152" s="8">
        <v>0</v>
      </c>
      <c r="AL152" s="7">
        <v>0</v>
      </c>
      <c r="AM152" s="18">
        <v>0</v>
      </c>
      <c r="AN152" s="8">
        <v>0</v>
      </c>
      <c r="AO152" s="7">
        <v>0</v>
      </c>
      <c r="AP152" s="18">
        <v>0</v>
      </c>
      <c r="AQ152" s="8">
        <v>0</v>
      </c>
      <c r="AR152" s="7">
        <v>0</v>
      </c>
      <c r="AS152" s="18">
        <v>0</v>
      </c>
      <c r="AT152" s="8">
        <v>0</v>
      </c>
      <c r="AU152" s="7">
        <v>0</v>
      </c>
      <c r="AV152" s="18">
        <v>0</v>
      </c>
      <c r="AW152" s="8">
        <v>0</v>
      </c>
      <c r="AX152" s="7">
        <v>0</v>
      </c>
      <c r="AY152" s="18">
        <v>0</v>
      </c>
      <c r="AZ152" s="8"/>
      <c r="BA152" s="7"/>
      <c r="BB152" s="18"/>
      <c r="BC152" s="8"/>
      <c r="BD152" s="7"/>
      <c r="BE152" s="18"/>
      <c r="BF152" s="8"/>
      <c r="BG152" s="7"/>
      <c r="BH152" s="18"/>
    </row>
    <row r="153" spans="3:60" ht="20.25" x14ac:dyDescent="0.3">
      <c r="C153" s="11" t="s">
        <v>2</v>
      </c>
      <c r="D153" s="64"/>
      <c r="E153" s="14"/>
      <c r="F153" s="12">
        <f>SUM(F136:F149)</f>
        <v>147224.6648</v>
      </c>
      <c r="G153" s="64" t="s">
        <v>18</v>
      </c>
      <c r="H153" s="14">
        <v>0.12868210909734401</v>
      </c>
      <c r="I153" s="12">
        <v>9773.19</v>
      </c>
      <c r="J153" s="64" t="s">
        <v>18</v>
      </c>
      <c r="K153" s="14">
        <v>0.101388163009276</v>
      </c>
      <c r="L153" s="12">
        <v>7131.24999999999</v>
      </c>
      <c r="M153" s="64" t="s">
        <v>18</v>
      </c>
      <c r="N153" s="14">
        <v>8.4388892312074706E-2</v>
      </c>
      <c r="O153" s="12">
        <v>4177.17</v>
      </c>
      <c r="P153" s="64" t="s">
        <v>18</v>
      </c>
      <c r="Q153" s="14">
        <v>0.208075049480448</v>
      </c>
      <c r="R153" s="12">
        <v>21894.36</v>
      </c>
      <c r="S153" s="64" t="s">
        <v>18</v>
      </c>
      <c r="T153" s="14">
        <v>8.1919646228305804E-2</v>
      </c>
      <c r="U153" s="12">
        <v>15133.33</v>
      </c>
      <c r="V153" s="64" t="s">
        <v>18</v>
      </c>
      <c r="W153" s="14">
        <v>0.239463604288886</v>
      </c>
      <c r="X153" s="12">
        <v>24964.95</v>
      </c>
      <c r="Y153" s="64" t="s">
        <v>18</v>
      </c>
      <c r="Z153" s="14">
        <v>0.139477047030377</v>
      </c>
      <c r="AA153" s="12">
        <v>6226.89</v>
      </c>
      <c r="AB153" s="64" t="s">
        <v>18</v>
      </c>
      <c r="AC153" s="14">
        <v>9.9246216215804206E-2</v>
      </c>
      <c r="AD153" s="12">
        <v>6509.47</v>
      </c>
      <c r="AE153" s="64" t="s">
        <v>18</v>
      </c>
      <c r="AF153" s="14">
        <v>9.7438163298198405E-2</v>
      </c>
      <c r="AG153" s="12">
        <v>9703.1699999999892</v>
      </c>
      <c r="AH153" s="64" t="s">
        <v>18</v>
      </c>
      <c r="AI153" s="14">
        <v>0.37323976705031597</v>
      </c>
      <c r="AJ153" s="12">
        <v>2704.57</v>
      </c>
      <c r="AK153" s="64" t="s">
        <v>18</v>
      </c>
      <c r="AL153" s="14">
        <v>-0.61487049963262197</v>
      </c>
      <c r="AM153" s="12">
        <v>5891.3447999999999</v>
      </c>
      <c r="AN153" s="64" t="s">
        <v>18</v>
      </c>
      <c r="AO153" s="14">
        <v>0.14847117224423101</v>
      </c>
      <c r="AP153" s="12">
        <v>7806.88</v>
      </c>
      <c r="AQ153" s="64" t="s">
        <v>18</v>
      </c>
      <c r="AR153" s="14">
        <v>0.100253781798417</v>
      </c>
      <c r="AS153" s="12">
        <v>11059.52</v>
      </c>
      <c r="AT153" s="64" t="s">
        <v>18</v>
      </c>
      <c r="AU153" s="14">
        <v>0.17490025182069399</v>
      </c>
      <c r="AV153" s="12">
        <v>10011.14</v>
      </c>
      <c r="AW153" s="64" t="s">
        <v>18</v>
      </c>
      <c r="AX153" s="14">
        <v>8.3338938522676598E-2</v>
      </c>
      <c r="AY153" s="12">
        <v>4237.4299999999903</v>
      </c>
      <c r="AZ153" s="64"/>
      <c r="BA153" s="14"/>
      <c r="BB153" s="12"/>
      <c r="BC153" s="64"/>
      <c r="BD153" s="14"/>
      <c r="BE153" s="12"/>
      <c r="BF153" s="64"/>
      <c r="BG153" s="14"/>
      <c r="BH153" s="12"/>
    </row>
    <row r="154" spans="3:60" ht="20.25" x14ac:dyDescent="0.3">
      <c r="C154" s="67"/>
      <c r="D154" s="67"/>
      <c r="E154" s="66"/>
      <c r="F154" s="65"/>
      <c r="G154" s="67"/>
      <c r="H154" s="66"/>
      <c r="I154" s="65"/>
      <c r="J154" s="67"/>
      <c r="K154" s="66"/>
      <c r="L154" s="65"/>
      <c r="M154" s="67"/>
      <c r="N154" s="66"/>
      <c r="O154" s="65"/>
      <c r="P154" s="67"/>
      <c r="Q154" s="66"/>
      <c r="R154" s="65"/>
      <c r="S154" s="67"/>
      <c r="T154" s="66"/>
      <c r="U154" s="65"/>
      <c r="V154" s="67"/>
      <c r="W154" s="66"/>
      <c r="X154" s="65"/>
      <c r="Y154" s="67"/>
      <c r="Z154" s="66"/>
      <c r="AA154" s="65"/>
      <c r="AB154" s="67"/>
      <c r="AC154" s="66"/>
      <c r="AD154" s="65"/>
      <c r="AE154" s="67"/>
      <c r="AF154" s="66"/>
      <c r="AG154" s="65"/>
      <c r="AH154" s="67"/>
      <c r="AI154" s="66"/>
      <c r="AJ154" s="65"/>
      <c r="AK154" s="67"/>
      <c r="AL154" s="66"/>
      <c r="AM154" s="65"/>
      <c r="AN154" s="67"/>
      <c r="AO154" s="66"/>
      <c r="AP154" s="65"/>
      <c r="AQ154" s="67"/>
      <c r="AR154" s="66"/>
      <c r="AS154" s="65"/>
      <c r="AT154" s="67"/>
      <c r="AU154" s="66"/>
      <c r="AV154" s="65"/>
      <c r="AW154" s="67"/>
      <c r="AX154" s="66"/>
      <c r="AY154" s="65"/>
      <c r="AZ154" s="67"/>
      <c r="BA154" s="66"/>
      <c r="BB154" s="65"/>
      <c r="BC154" s="67"/>
      <c r="BD154" s="66"/>
      <c r="BE154" s="65"/>
      <c r="BF154" s="67"/>
      <c r="BG154" s="66"/>
      <c r="BH154" s="65"/>
    </row>
    <row r="155" spans="3:60" ht="20.25" x14ac:dyDescent="0.3">
      <c r="C155" s="11" t="s">
        <v>1</v>
      </c>
      <c r="D155" s="64"/>
      <c r="E155" s="14"/>
      <c r="F155" s="12">
        <f>F122+F135+F153</f>
        <v>1198043.8447999996</v>
      </c>
      <c r="G155" s="64" t="s">
        <v>18</v>
      </c>
      <c r="H155" s="14">
        <v>1.17881962365988</v>
      </c>
      <c r="I155" s="12">
        <v>89529.37</v>
      </c>
      <c r="J155" s="64" t="s">
        <v>18</v>
      </c>
      <c r="K155" s="14">
        <v>1.2022497118123601</v>
      </c>
      <c r="L155" s="12">
        <v>84561.58</v>
      </c>
      <c r="M155" s="64" t="s">
        <v>18</v>
      </c>
      <c r="N155" s="14">
        <v>0.961867146945245</v>
      </c>
      <c r="O155" s="12">
        <v>47611.5099999999</v>
      </c>
      <c r="P155" s="64" t="s">
        <v>18</v>
      </c>
      <c r="Q155" s="14">
        <v>1.25676612935262</v>
      </c>
      <c r="R155" s="12">
        <v>132241.18</v>
      </c>
      <c r="S155" s="64" t="s">
        <v>18</v>
      </c>
      <c r="T155" s="14">
        <v>0.95868471952321799</v>
      </c>
      <c r="U155" s="12">
        <v>177101.5</v>
      </c>
      <c r="V155" s="64" t="s">
        <v>18</v>
      </c>
      <c r="W155" s="14">
        <v>1.1524729642507401</v>
      </c>
      <c r="X155" s="12">
        <v>120149.49</v>
      </c>
      <c r="Y155" s="64" t="s">
        <v>18</v>
      </c>
      <c r="Z155" s="14">
        <v>1.0809126757913301</v>
      </c>
      <c r="AA155" s="12">
        <v>48256.859999999899</v>
      </c>
      <c r="AB155" s="64" t="s">
        <v>18</v>
      </c>
      <c r="AC155" s="14">
        <v>1.2299319551571799</v>
      </c>
      <c r="AD155" s="12">
        <v>80670.13</v>
      </c>
      <c r="AE155" s="64" t="s">
        <v>18</v>
      </c>
      <c r="AF155" s="14">
        <v>0.85862686195464399</v>
      </c>
      <c r="AG155" s="12">
        <v>85504.51</v>
      </c>
      <c r="AH155" s="64" t="s">
        <v>18</v>
      </c>
      <c r="AI155" s="14">
        <v>2.5118682895862698</v>
      </c>
      <c r="AJ155" s="12">
        <v>18201.5</v>
      </c>
      <c r="AK155" s="64" t="s">
        <v>18</v>
      </c>
      <c r="AL155" s="14">
        <v>-3.4544008833745199</v>
      </c>
      <c r="AM155" s="12">
        <v>33098.1348</v>
      </c>
      <c r="AN155" s="64" t="s">
        <v>18</v>
      </c>
      <c r="AO155" s="14">
        <v>1.1619518848635599</v>
      </c>
      <c r="AP155" s="12">
        <v>61097.5099999999</v>
      </c>
      <c r="AQ155" s="64" t="s">
        <v>18</v>
      </c>
      <c r="AR155" s="14">
        <v>0.79491364928363495</v>
      </c>
      <c r="AS155" s="12">
        <v>87691.09</v>
      </c>
      <c r="AT155" s="64" t="s">
        <v>18</v>
      </c>
      <c r="AU155" s="14">
        <v>1.30476156699768</v>
      </c>
      <c r="AV155" s="12">
        <v>74683.429999999993</v>
      </c>
      <c r="AW155" s="64" t="s">
        <v>18</v>
      </c>
      <c r="AX155" s="14">
        <v>1.13374394787055</v>
      </c>
      <c r="AY155" s="12">
        <v>57646.049999999901</v>
      </c>
      <c r="AZ155" s="64"/>
      <c r="BA155" s="14"/>
      <c r="BB155" s="12"/>
      <c r="BC155" s="64"/>
      <c r="BD155" s="14"/>
      <c r="BE155" s="12"/>
      <c r="BF155" s="64"/>
      <c r="BG155" s="14"/>
      <c r="BH155" s="12"/>
    </row>
    <row r="156" spans="3:60" ht="20.25" x14ac:dyDescent="0.3">
      <c r="C156" s="8" t="s">
        <v>73</v>
      </c>
      <c r="D156" s="133"/>
      <c r="E156" s="34"/>
      <c r="F156" s="18">
        <f t="shared" ref="F156:F162" si="12">+SUM(I156,L156,O156,R156,U156,X156,AA156,AD156,AG156,AJ156,AM156,AP156,AS156,AV156,AY156,BB156,BE156,BH156)</f>
        <v>81875.81</v>
      </c>
      <c r="G156" s="133">
        <v>0</v>
      </c>
      <c r="H156" s="34">
        <v>0</v>
      </c>
      <c r="I156" s="18">
        <v>0</v>
      </c>
      <c r="J156" s="133">
        <v>0</v>
      </c>
      <c r="K156" s="34">
        <v>0</v>
      </c>
      <c r="L156" s="18">
        <v>6000</v>
      </c>
      <c r="M156" s="133">
        <v>0</v>
      </c>
      <c r="N156" s="34">
        <v>0</v>
      </c>
      <c r="O156" s="18">
        <v>1000</v>
      </c>
      <c r="P156" s="133">
        <v>0</v>
      </c>
      <c r="Q156" s="34">
        <v>0</v>
      </c>
      <c r="R156" s="18">
        <v>3568</v>
      </c>
      <c r="S156" s="133">
        <v>0</v>
      </c>
      <c r="T156" s="34">
        <v>0</v>
      </c>
      <c r="U156" s="18">
        <v>27000</v>
      </c>
      <c r="V156" s="133">
        <v>0</v>
      </c>
      <c r="W156" s="34">
        <v>0</v>
      </c>
      <c r="X156" s="18">
        <v>0</v>
      </c>
      <c r="Y156" s="133">
        <v>0</v>
      </c>
      <c r="Z156" s="34">
        <v>0</v>
      </c>
      <c r="AA156" s="18">
        <v>39615.81</v>
      </c>
      <c r="AB156" s="133">
        <v>0</v>
      </c>
      <c r="AC156" s="34">
        <v>0</v>
      </c>
      <c r="AD156" s="18">
        <v>1735</v>
      </c>
      <c r="AE156" s="133">
        <v>0</v>
      </c>
      <c r="AF156" s="34">
        <v>0</v>
      </c>
      <c r="AG156" s="18">
        <v>0</v>
      </c>
      <c r="AH156" s="133">
        <v>0</v>
      </c>
      <c r="AI156" s="34">
        <v>0</v>
      </c>
      <c r="AJ156" s="18">
        <v>0</v>
      </c>
      <c r="AK156" s="133">
        <v>0</v>
      </c>
      <c r="AL156" s="34">
        <v>0</v>
      </c>
      <c r="AM156" s="18">
        <v>0</v>
      </c>
      <c r="AN156" s="133">
        <v>0</v>
      </c>
      <c r="AO156" s="34">
        <v>0</v>
      </c>
      <c r="AP156" s="18">
        <v>0</v>
      </c>
      <c r="AQ156" s="133">
        <v>0</v>
      </c>
      <c r="AR156" s="34">
        <v>0</v>
      </c>
      <c r="AS156" s="18">
        <v>2957</v>
      </c>
      <c r="AT156" s="133">
        <v>0</v>
      </c>
      <c r="AU156" s="34">
        <v>0</v>
      </c>
      <c r="AV156" s="18">
        <v>0</v>
      </c>
      <c r="AW156" s="133">
        <v>0</v>
      </c>
      <c r="AX156" s="34">
        <v>0</v>
      </c>
      <c r="AY156" s="18">
        <v>0</v>
      </c>
      <c r="AZ156" s="133"/>
      <c r="BA156" s="34"/>
      <c r="BB156" s="18"/>
      <c r="BC156" s="133"/>
      <c r="BD156" s="34"/>
      <c r="BE156" s="18"/>
      <c r="BF156" s="133"/>
      <c r="BG156" s="34"/>
      <c r="BH156" s="18"/>
    </row>
    <row r="157" spans="3:60" ht="20.25" x14ac:dyDescent="0.3">
      <c r="C157" s="8" t="s">
        <v>72</v>
      </c>
      <c r="D157" s="133"/>
      <c r="E157" s="34"/>
      <c r="F157" s="18">
        <f t="shared" si="12"/>
        <v>24344.36</v>
      </c>
      <c r="G157" s="133">
        <v>0</v>
      </c>
      <c r="H157" s="34">
        <v>0</v>
      </c>
      <c r="I157" s="18">
        <v>2800</v>
      </c>
      <c r="J157" s="133">
        <v>0</v>
      </c>
      <c r="K157" s="34">
        <v>0</v>
      </c>
      <c r="L157" s="18">
        <v>1050</v>
      </c>
      <c r="M157" s="133">
        <v>0</v>
      </c>
      <c r="N157" s="34">
        <v>0</v>
      </c>
      <c r="O157" s="18">
        <v>825</v>
      </c>
      <c r="P157" s="133">
        <v>0</v>
      </c>
      <c r="Q157" s="34">
        <v>0</v>
      </c>
      <c r="R157" s="18">
        <v>0</v>
      </c>
      <c r="S157" s="133">
        <v>0</v>
      </c>
      <c r="T157" s="34">
        <v>0</v>
      </c>
      <c r="U157" s="18">
        <v>0</v>
      </c>
      <c r="V157" s="133">
        <v>0</v>
      </c>
      <c r="W157" s="34">
        <v>0</v>
      </c>
      <c r="X157" s="18">
        <v>17800</v>
      </c>
      <c r="Y157" s="133">
        <v>0</v>
      </c>
      <c r="Z157" s="34">
        <v>0</v>
      </c>
      <c r="AA157" s="18">
        <v>0</v>
      </c>
      <c r="AB157" s="133">
        <v>0</v>
      </c>
      <c r="AC157" s="34">
        <v>0</v>
      </c>
      <c r="AD157" s="18">
        <v>669.36</v>
      </c>
      <c r="AE157" s="133">
        <v>0</v>
      </c>
      <c r="AF157" s="34">
        <v>0</v>
      </c>
      <c r="AG157" s="18">
        <v>0</v>
      </c>
      <c r="AH157" s="133">
        <v>0</v>
      </c>
      <c r="AI157" s="34">
        <v>0</v>
      </c>
      <c r="AJ157" s="18">
        <v>1200</v>
      </c>
      <c r="AK157" s="133">
        <v>0</v>
      </c>
      <c r="AL157" s="34">
        <v>0</v>
      </c>
      <c r="AM157" s="18">
        <v>0</v>
      </c>
      <c r="AN157" s="133">
        <v>0</v>
      </c>
      <c r="AO157" s="34">
        <v>0</v>
      </c>
      <c r="AP157" s="18">
        <v>0</v>
      </c>
      <c r="AQ157" s="133">
        <v>0</v>
      </c>
      <c r="AR157" s="34">
        <v>0</v>
      </c>
      <c r="AS157" s="18">
        <v>0</v>
      </c>
      <c r="AT157" s="133">
        <v>0</v>
      </c>
      <c r="AU157" s="34">
        <v>0</v>
      </c>
      <c r="AV157" s="18">
        <v>0</v>
      </c>
      <c r="AW157" s="133">
        <v>0</v>
      </c>
      <c r="AX157" s="34">
        <v>0</v>
      </c>
      <c r="AY157" s="18">
        <v>0</v>
      </c>
      <c r="AZ157" s="133"/>
      <c r="BA157" s="34"/>
      <c r="BB157" s="18"/>
      <c r="BC157" s="133"/>
      <c r="BD157" s="34"/>
      <c r="BE157" s="18"/>
      <c r="BF157" s="133"/>
      <c r="BG157" s="34"/>
      <c r="BH157" s="18"/>
    </row>
    <row r="158" spans="3:60" ht="20.25" x14ac:dyDescent="0.3">
      <c r="C158" s="8" t="s">
        <v>71</v>
      </c>
      <c r="D158" s="8"/>
      <c r="E158" s="7"/>
      <c r="F158" s="18">
        <f t="shared" si="12"/>
        <v>0</v>
      </c>
      <c r="G158" s="8">
        <v>0</v>
      </c>
      <c r="H158" s="7">
        <v>0</v>
      </c>
      <c r="I158" s="18">
        <v>0</v>
      </c>
      <c r="J158" s="8">
        <v>0</v>
      </c>
      <c r="K158" s="7">
        <v>0</v>
      </c>
      <c r="L158" s="18">
        <v>0</v>
      </c>
      <c r="M158" s="8">
        <v>0</v>
      </c>
      <c r="N158" s="7">
        <v>0</v>
      </c>
      <c r="O158" s="18">
        <v>0</v>
      </c>
      <c r="P158" s="8">
        <v>0</v>
      </c>
      <c r="Q158" s="7">
        <v>0</v>
      </c>
      <c r="R158" s="18">
        <v>0</v>
      </c>
      <c r="S158" s="8">
        <v>0</v>
      </c>
      <c r="T158" s="7">
        <v>0</v>
      </c>
      <c r="U158" s="18">
        <v>0</v>
      </c>
      <c r="V158" s="8">
        <v>0</v>
      </c>
      <c r="W158" s="7">
        <v>0</v>
      </c>
      <c r="X158" s="18">
        <v>0</v>
      </c>
      <c r="Y158" s="8">
        <v>0</v>
      </c>
      <c r="Z158" s="7">
        <v>0</v>
      </c>
      <c r="AA158" s="18">
        <v>0</v>
      </c>
      <c r="AB158" s="8">
        <v>0</v>
      </c>
      <c r="AC158" s="7">
        <v>0</v>
      </c>
      <c r="AD158" s="18">
        <v>0</v>
      </c>
      <c r="AE158" s="8">
        <v>0</v>
      </c>
      <c r="AF158" s="7">
        <v>0</v>
      </c>
      <c r="AG158" s="18">
        <v>0</v>
      </c>
      <c r="AH158" s="8">
        <v>0</v>
      </c>
      <c r="AI158" s="7">
        <v>0</v>
      </c>
      <c r="AJ158" s="18">
        <v>0</v>
      </c>
      <c r="AK158" s="8">
        <v>0</v>
      </c>
      <c r="AL158" s="7">
        <v>0</v>
      </c>
      <c r="AM158" s="18">
        <v>0</v>
      </c>
      <c r="AN158" s="8">
        <v>0</v>
      </c>
      <c r="AO158" s="7">
        <v>0</v>
      </c>
      <c r="AP158" s="18">
        <v>0</v>
      </c>
      <c r="AQ158" s="8">
        <v>0</v>
      </c>
      <c r="AR158" s="7">
        <v>0</v>
      </c>
      <c r="AS158" s="18">
        <v>0</v>
      </c>
      <c r="AT158" s="8">
        <v>0</v>
      </c>
      <c r="AU158" s="7">
        <v>0</v>
      </c>
      <c r="AV158" s="18">
        <v>0</v>
      </c>
      <c r="AW158" s="8">
        <v>0</v>
      </c>
      <c r="AX158" s="7">
        <v>0</v>
      </c>
      <c r="AY158" s="18">
        <v>0</v>
      </c>
      <c r="AZ158" s="8"/>
      <c r="BA158" s="7"/>
      <c r="BB158" s="18"/>
      <c r="BC158" s="8"/>
      <c r="BD158" s="7"/>
      <c r="BE158" s="18"/>
      <c r="BF158" s="8"/>
      <c r="BG158" s="7"/>
      <c r="BH158" s="18"/>
    </row>
    <row r="159" spans="3:60" ht="20.25" x14ac:dyDescent="0.3">
      <c r="C159" s="8" t="s">
        <v>70</v>
      </c>
      <c r="D159" s="8"/>
      <c r="E159" s="97"/>
      <c r="F159" s="18">
        <f t="shared" si="12"/>
        <v>103314</v>
      </c>
      <c r="G159" s="8">
        <v>0</v>
      </c>
      <c r="H159" s="97">
        <v>0</v>
      </c>
      <c r="I159" s="18">
        <v>9520</v>
      </c>
      <c r="J159" s="8">
        <v>0</v>
      </c>
      <c r="K159" s="97">
        <v>0</v>
      </c>
      <c r="L159" s="18">
        <v>10115</v>
      </c>
      <c r="M159" s="8">
        <v>0</v>
      </c>
      <c r="N159" s="97">
        <v>0</v>
      </c>
      <c r="O159" s="18">
        <v>5950</v>
      </c>
      <c r="P159" s="8">
        <v>0</v>
      </c>
      <c r="Q159" s="97">
        <v>0</v>
      </c>
      <c r="R159" s="18">
        <v>9481</v>
      </c>
      <c r="S159" s="8">
        <v>0</v>
      </c>
      <c r="T159" s="97">
        <v>0</v>
      </c>
      <c r="U159" s="18">
        <v>0</v>
      </c>
      <c r="V159" s="131">
        <v>1</v>
      </c>
      <c r="W159" s="97">
        <v>474</v>
      </c>
      <c r="X159" s="18">
        <v>11376</v>
      </c>
      <c r="Y159" s="8">
        <v>0</v>
      </c>
      <c r="Z159" s="97">
        <v>0</v>
      </c>
      <c r="AA159" s="18">
        <v>2547</v>
      </c>
      <c r="AB159" s="8">
        <v>0</v>
      </c>
      <c r="AC159" s="97">
        <v>0</v>
      </c>
      <c r="AD159" s="18">
        <v>13090</v>
      </c>
      <c r="AE159" s="8">
        <v>0</v>
      </c>
      <c r="AF159" s="97">
        <v>0</v>
      </c>
      <c r="AG159" s="18">
        <v>11883</v>
      </c>
      <c r="AH159" s="8">
        <v>0</v>
      </c>
      <c r="AI159" s="97">
        <v>0</v>
      </c>
      <c r="AJ159" s="18">
        <v>499</v>
      </c>
      <c r="AK159" s="8">
        <v>0</v>
      </c>
      <c r="AL159" s="97">
        <v>0</v>
      </c>
      <c r="AM159" s="18">
        <v>0</v>
      </c>
      <c r="AN159" s="132">
        <v>0</v>
      </c>
      <c r="AO159" s="97">
        <v>0</v>
      </c>
      <c r="AP159" s="18">
        <v>6986</v>
      </c>
      <c r="AQ159" s="8">
        <v>0</v>
      </c>
      <c r="AR159" s="97">
        <v>0</v>
      </c>
      <c r="AS159" s="18">
        <v>9177</v>
      </c>
      <c r="AT159" s="131">
        <v>1.0186150409530901</v>
      </c>
      <c r="AU159" s="97">
        <v>482.82352941176401</v>
      </c>
      <c r="AV159" s="18">
        <v>8208</v>
      </c>
      <c r="AW159" s="8">
        <v>0</v>
      </c>
      <c r="AX159" s="97">
        <v>0</v>
      </c>
      <c r="AY159" s="18">
        <v>4482</v>
      </c>
      <c r="AZ159" s="8"/>
      <c r="BA159" s="97"/>
      <c r="BB159" s="18"/>
      <c r="BC159" s="8"/>
      <c r="BD159" s="97"/>
      <c r="BE159" s="18"/>
      <c r="BF159" s="8"/>
      <c r="BG159" s="97"/>
      <c r="BH159" s="18"/>
    </row>
    <row r="160" spans="3:60" ht="20.25" hidden="1" x14ac:dyDescent="0.3">
      <c r="C160" s="8" t="s">
        <v>3</v>
      </c>
      <c r="D160" s="8"/>
      <c r="E160" s="7"/>
      <c r="F160" s="18">
        <f t="shared" si="12"/>
        <v>0</v>
      </c>
      <c r="G160" s="8">
        <v>0</v>
      </c>
      <c r="H160" s="7">
        <v>0</v>
      </c>
      <c r="I160" s="18">
        <v>0</v>
      </c>
      <c r="J160" s="8">
        <v>0</v>
      </c>
      <c r="K160" s="7">
        <v>0</v>
      </c>
      <c r="L160" s="18">
        <v>0</v>
      </c>
      <c r="M160" s="8">
        <v>0</v>
      </c>
      <c r="N160" s="7">
        <v>0</v>
      </c>
      <c r="O160" s="18">
        <v>0</v>
      </c>
      <c r="P160" s="8">
        <v>0</v>
      </c>
      <c r="Q160" s="7">
        <v>0</v>
      </c>
      <c r="R160" s="18">
        <v>0</v>
      </c>
      <c r="S160" s="8">
        <v>0</v>
      </c>
      <c r="T160" s="7">
        <v>0</v>
      </c>
      <c r="U160" s="18">
        <v>0</v>
      </c>
      <c r="V160" s="8">
        <v>0</v>
      </c>
      <c r="W160" s="7">
        <v>0</v>
      </c>
      <c r="X160" s="18">
        <v>0</v>
      </c>
      <c r="Y160" s="8">
        <v>0</v>
      </c>
      <c r="Z160" s="97">
        <v>0</v>
      </c>
      <c r="AA160" s="18">
        <v>0</v>
      </c>
      <c r="AB160" s="8">
        <v>0</v>
      </c>
      <c r="AC160" s="97">
        <v>0</v>
      </c>
      <c r="AD160" s="18">
        <v>0</v>
      </c>
      <c r="AE160" s="8">
        <v>0</v>
      </c>
      <c r="AF160" s="97">
        <v>0</v>
      </c>
      <c r="AG160" s="18">
        <v>0</v>
      </c>
      <c r="AH160" s="8">
        <v>0</v>
      </c>
      <c r="AI160" s="97">
        <v>0</v>
      </c>
      <c r="AJ160" s="18">
        <v>0</v>
      </c>
      <c r="AK160" s="8">
        <v>0</v>
      </c>
      <c r="AL160" s="97">
        <v>0</v>
      </c>
      <c r="AM160" s="18">
        <v>0</v>
      </c>
      <c r="AN160" s="8">
        <v>0</v>
      </c>
      <c r="AO160" s="97">
        <v>0</v>
      </c>
      <c r="AP160" s="18">
        <v>0</v>
      </c>
      <c r="AQ160" s="8">
        <v>0</v>
      </c>
      <c r="AR160" s="97">
        <v>0</v>
      </c>
      <c r="AS160" s="18">
        <v>0</v>
      </c>
      <c r="AT160" s="8">
        <v>0</v>
      </c>
      <c r="AU160" s="97">
        <v>0</v>
      </c>
      <c r="AV160" s="18">
        <v>0</v>
      </c>
      <c r="AW160" s="8">
        <v>0</v>
      </c>
      <c r="AX160" s="97">
        <v>0</v>
      </c>
      <c r="AY160" s="18">
        <v>0</v>
      </c>
      <c r="AZ160" s="8"/>
      <c r="BA160" s="97"/>
      <c r="BB160" s="18"/>
      <c r="BC160" s="8"/>
      <c r="BD160" s="97"/>
      <c r="BE160" s="18"/>
      <c r="BF160" s="8"/>
      <c r="BG160" s="97"/>
      <c r="BH160" s="18"/>
    </row>
    <row r="161" spans="3:60" ht="20.25" hidden="1" x14ac:dyDescent="0.3">
      <c r="C161" s="8" t="s">
        <v>3</v>
      </c>
      <c r="D161" s="8"/>
      <c r="E161" s="7"/>
      <c r="F161" s="18">
        <f t="shared" si="12"/>
        <v>0</v>
      </c>
      <c r="G161" s="8">
        <v>0</v>
      </c>
      <c r="H161" s="7">
        <v>0</v>
      </c>
      <c r="I161" s="18">
        <v>0</v>
      </c>
      <c r="J161" s="8">
        <v>0</v>
      </c>
      <c r="K161" s="7">
        <v>0</v>
      </c>
      <c r="L161" s="18">
        <v>0</v>
      </c>
      <c r="M161" s="8">
        <v>0</v>
      </c>
      <c r="N161" s="7">
        <v>0</v>
      </c>
      <c r="O161" s="18">
        <v>0</v>
      </c>
      <c r="P161" s="8">
        <v>0</v>
      </c>
      <c r="Q161" s="7">
        <v>0</v>
      </c>
      <c r="R161" s="18">
        <v>0</v>
      </c>
      <c r="S161" s="8">
        <v>0</v>
      </c>
      <c r="T161" s="7">
        <v>0</v>
      </c>
      <c r="U161" s="18">
        <v>0</v>
      </c>
      <c r="V161" s="8">
        <v>0</v>
      </c>
      <c r="W161" s="7">
        <v>0</v>
      </c>
      <c r="X161" s="18">
        <v>0</v>
      </c>
      <c r="Y161" s="8">
        <v>0</v>
      </c>
      <c r="Z161" s="7">
        <v>0</v>
      </c>
      <c r="AA161" s="18">
        <v>0</v>
      </c>
      <c r="AB161" s="8">
        <v>0</v>
      </c>
      <c r="AC161" s="7">
        <v>0</v>
      </c>
      <c r="AD161" s="18">
        <v>0</v>
      </c>
      <c r="AE161" s="8">
        <v>0</v>
      </c>
      <c r="AF161" s="7">
        <v>0</v>
      </c>
      <c r="AG161" s="18">
        <v>0</v>
      </c>
      <c r="AH161" s="8">
        <v>0</v>
      </c>
      <c r="AI161" s="7">
        <v>0</v>
      </c>
      <c r="AJ161" s="18">
        <v>0</v>
      </c>
      <c r="AK161" s="8">
        <v>0</v>
      </c>
      <c r="AL161" s="7">
        <v>0</v>
      </c>
      <c r="AM161" s="18">
        <v>0</v>
      </c>
      <c r="AN161" s="8">
        <v>0</v>
      </c>
      <c r="AO161" s="7">
        <v>0</v>
      </c>
      <c r="AP161" s="18">
        <v>0</v>
      </c>
      <c r="AQ161" s="8">
        <v>0</v>
      </c>
      <c r="AR161" s="7">
        <v>0</v>
      </c>
      <c r="AS161" s="18">
        <v>0</v>
      </c>
      <c r="AT161" s="8">
        <v>0</v>
      </c>
      <c r="AU161" s="7">
        <v>0</v>
      </c>
      <c r="AV161" s="18">
        <v>0</v>
      </c>
      <c r="AW161" s="8">
        <v>0</v>
      </c>
      <c r="AX161" s="7">
        <v>0</v>
      </c>
      <c r="AY161" s="18">
        <v>0</v>
      </c>
      <c r="AZ161" s="8"/>
      <c r="BA161" s="7"/>
      <c r="BB161" s="18"/>
      <c r="BC161" s="8"/>
      <c r="BD161" s="7"/>
      <c r="BE161" s="18"/>
      <c r="BF161" s="8"/>
      <c r="BG161" s="7"/>
      <c r="BH161" s="18"/>
    </row>
    <row r="162" spans="3:60" ht="20.25" hidden="1" x14ac:dyDescent="0.3">
      <c r="C162" s="67" t="s">
        <v>3</v>
      </c>
      <c r="D162" s="8"/>
      <c r="E162" s="7"/>
      <c r="F162" s="18">
        <f t="shared" si="12"/>
        <v>0</v>
      </c>
      <c r="G162" s="8">
        <v>0</v>
      </c>
      <c r="H162" s="7">
        <v>0</v>
      </c>
      <c r="I162" s="18">
        <v>0</v>
      </c>
      <c r="J162" s="8">
        <v>0</v>
      </c>
      <c r="K162" s="7">
        <v>0</v>
      </c>
      <c r="L162" s="18">
        <v>0</v>
      </c>
      <c r="M162" s="8">
        <v>0</v>
      </c>
      <c r="N162" s="7">
        <v>0</v>
      </c>
      <c r="O162" s="18">
        <v>0</v>
      </c>
      <c r="P162" s="8">
        <v>0</v>
      </c>
      <c r="Q162" s="7">
        <v>0</v>
      </c>
      <c r="R162" s="18">
        <v>0</v>
      </c>
      <c r="S162" s="8">
        <v>0</v>
      </c>
      <c r="T162" s="7">
        <v>0</v>
      </c>
      <c r="U162" s="18">
        <v>0</v>
      </c>
      <c r="V162" s="8">
        <v>0</v>
      </c>
      <c r="W162" s="7">
        <v>0</v>
      </c>
      <c r="X162" s="18">
        <v>0</v>
      </c>
      <c r="Y162" s="8">
        <v>0</v>
      </c>
      <c r="Z162" s="7">
        <v>0</v>
      </c>
      <c r="AA162" s="18">
        <v>0</v>
      </c>
      <c r="AB162" s="8">
        <v>0</v>
      </c>
      <c r="AC162" s="7">
        <v>0</v>
      </c>
      <c r="AD162" s="18">
        <v>0</v>
      </c>
      <c r="AE162" s="8">
        <v>0</v>
      </c>
      <c r="AF162" s="7">
        <v>0</v>
      </c>
      <c r="AG162" s="18">
        <v>0</v>
      </c>
      <c r="AH162" s="8">
        <v>0</v>
      </c>
      <c r="AI162" s="7">
        <v>0</v>
      </c>
      <c r="AJ162" s="18">
        <v>0</v>
      </c>
      <c r="AK162" s="8">
        <v>0</v>
      </c>
      <c r="AL162" s="7">
        <v>0</v>
      </c>
      <c r="AM162" s="18">
        <v>0</v>
      </c>
      <c r="AN162" s="8">
        <v>0</v>
      </c>
      <c r="AO162" s="7">
        <v>0</v>
      </c>
      <c r="AP162" s="18">
        <v>0</v>
      </c>
      <c r="AQ162" s="8">
        <v>0</v>
      </c>
      <c r="AR162" s="7">
        <v>0</v>
      </c>
      <c r="AS162" s="18">
        <v>0</v>
      </c>
      <c r="AT162" s="8">
        <v>0</v>
      </c>
      <c r="AU162" s="7">
        <v>0</v>
      </c>
      <c r="AV162" s="18">
        <v>0</v>
      </c>
      <c r="AW162" s="8">
        <v>0</v>
      </c>
      <c r="AX162" s="7">
        <v>0</v>
      </c>
      <c r="AY162" s="18">
        <v>0</v>
      </c>
      <c r="AZ162" s="8"/>
      <c r="BA162" s="7"/>
      <c r="BB162" s="18"/>
      <c r="BC162" s="8"/>
      <c r="BD162" s="7"/>
      <c r="BE162" s="18"/>
      <c r="BF162" s="8"/>
      <c r="BG162" s="7"/>
      <c r="BH162" s="18"/>
    </row>
    <row r="163" spans="3:60" ht="20.25" x14ac:dyDescent="0.3">
      <c r="C163" s="11" t="s">
        <v>69</v>
      </c>
      <c r="D163" s="64"/>
      <c r="E163" s="14"/>
      <c r="F163" s="12">
        <f>SUM(F156:F159)</f>
        <v>209534.16999999998</v>
      </c>
      <c r="G163" s="64">
        <v>0</v>
      </c>
      <c r="H163" s="14">
        <v>0</v>
      </c>
      <c r="I163" s="12">
        <v>12320</v>
      </c>
      <c r="J163" s="64">
        <v>0</v>
      </c>
      <c r="K163" s="14">
        <v>0</v>
      </c>
      <c r="L163" s="12">
        <v>17165</v>
      </c>
      <c r="M163" s="64">
        <v>0</v>
      </c>
      <c r="N163" s="14">
        <v>0</v>
      </c>
      <c r="O163" s="12">
        <v>7775</v>
      </c>
      <c r="P163" s="64">
        <v>0</v>
      </c>
      <c r="Q163" s="14">
        <v>0</v>
      </c>
      <c r="R163" s="12">
        <v>13049</v>
      </c>
      <c r="S163" s="64">
        <v>0</v>
      </c>
      <c r="T163" s="14">
        <v>0</v>
      </c>
      <c r="U163" s="12">
        <v>27000</v>
      </c>
      <c r="V163" s="64">
        <v>0</v>
      </c>
      <c r="W163" s="14">
        <v>0</v>
      </c>
      <c r="X163" s="12">
        <v>29176</v>
      </c>
      <c r="Y163" s="64">
        <v>0</v>
      </c>
      <c r="Z163" s="14">
        <v>0</v>
      </c>
      <c r="AA163" s="12">
        <v>42162.81</v>
      </c>
      <c r="AB163" s="64">
        <v>0</v>
      </c>
      <c r="AC163" s="14">
        <v>0</v>
      </c>
      <c r="AD163" s="12">
        <v>15494.36</v>
      </c>
      <c r="AE163" s="64">
        <v>0</v>
      </c>
      <c r="AF163" s="14">
        <v>0</v>
      </c>
      <c r="AG163" s="12">
        <v>11883</v>
      </c>
      <c r="AH163" s="64">
        <v>0</v>
      </c>
      <c r="AI163" s="14">
        <v>0</v>
      </c>
      <c r="AJ163" s="12">
        <v>1699</v>
      </c>
      <c r="AK163" s="64">
        <v>0</v>
      </c>
      <c r="AL163" s="14">
        <v>0</v>
      </c>
      <c r="AM163" s="12">
        <v>0</v>
      </c>
      <c r="AN163" s="64">
        <v>0</v>
      </c>
      <c r="AO163" s="14">
        <v>0</v>
      </c>
      <c r="AP163" s="12">
        <v>6986</v>
      </c>
      <c r="AQ163" s="64">
        <v>0</v>
      </c>
      <c r="AR163" s="14">
        <v>0</v>
      </c>
      <c r="AS163" s="12">
        <v>12134</v>
      </c>
      <c r="AT163" s="64">
        <v>0</v>
      </c>
      <c r="AU163" s="14">
        <v>0</v>
      </c>
      <c r="AV163" s="12">
        <v>8208</v>
      </c>
      <c r="AW163" s="64">
        <v>0</v>
      </c>
      <c r="AX163" s="14">
        <v>0</v>
      </c>
      <c r="AY163" s="12">
        <v>4482</v>
      </c>
      <c r="AZ163" s="64"/>
      <c r="BA163" s="14"/>
      <c r="BB163" s="12"/>
      <c r="BC163" s="64"/>
      <c r="BD163" s="14"/>
      <c r="BE163" s="12"/>
      <c r="BF163" s="64"/>
      <c r="BG163" s="14"/>
      <c r="BH163" s="12"/>
    </row>
    <row r="164" spans="3:60" ht="20.25" x14ac:dyDescent="0.3">
      <c r="C164" s="8"/>
      <c r="D164" s="8"/>
      <c r="E164" s="7"/>
      <c r="F164" s="63"/>
      <c r="G164" s="8"/>
      <c r="H164" s="7"/>
      <c r="I164" s="63"/>
      <c r="J164" s="8"/>
      <c r="K164" s="7"/>
      <c r="L164" s="63"/>
      <c r="M164" s="8"/>
      <c r="N164" s="7"/>
      <c r="O164" s="63"/>
      <c r="P164" s="8"/>
      <c r="Q164" s="7"/>
      <c r="R164" s="63"/>
      <c r="S164" s="8"/>
      <c r="T164" s="7"/>
      <c r="U164" s="63"/>
      <c r="V164" s="8"/>
      <c r="W164" s="7"/>
      <c r="X164" s="63"/>
      <c r="Y164" s="8"/>
      <c r="Z164" s="7"/>
      <c r="AA164" s="63"/>
      <c r="AB164" s="8"/>
      <c r="AC164" s="7"/>
      <c r="AD164" s="63"/>
      <c r="AE164" s="8"/>
      <c r="AF164" s="7"/>
      <c r="AG164" s="63"/>
      <c r="AH164" s="8"/>
      <c r="AI164" s="7"/>
      <c r="AJ164" s="63"/>
      <c r="AK164" s="8"/>
      <c r="AL164" s="7"/>
      <c r="AM164" s="63"/>
      <c r="AN164" s="8"/>
      <c r="AO164" s="7"/>
      <c r="AP164" s="63"/>
      <c r="AQ164" s="8"/>
      <c r="AR164" s="7"/>
      <c r="AS164" s="63"/>
      <c r="AT164" s="8"/>
      <c r="AU164" s="7"/>
      <c r="AV164" s="63"/>
      <c r="AW164" s="8"/>
      <c r="AX164" s="7"/>
      <c r="AY164" s="63"/>
      <c r="AZ164" s="8"/>
      <c r="BA164" s="7"/>
      <c r="BB164" s="63"/>
      <c r="BC164" s="8"/>
      <c r="BD164" s="7"/>
      <c r="BE164" s="63"/>
      <c r="BF164" s="8"/>
      <c r="BG164" s="7"/>
      <c r="BH164" s="63"/>
    </row>
    <row r="165" spans="3:60" ht="21" thickBot="1" x14ac:dyDescent="0.35">
      <c r="C165" s="38" t="s">
        <v>0</v>
      </c>
      <c r="D165" s="61"/>
      <c r="E165" s="62"/>
      <c r="F165" s="59">
        <f>F108-F155+F163</f>
        <v>79947.825199998508</v>
      </c>
      <c r="G165" s="61">
        <v>0</v>
      </c>
      <c r="H165" s="60">
        <v>0</v>
      </c>
      <c r="I165" s="59">
        <v>-1261.05000000011</v>
      </c>
      <c r="J165" s="61">
        <v>0</v>
      </c>
      <c r="K165" s="60">
        <v>0</v>
      </c>
      <c r="L165" s="59">
        <v>2939.5399999999199</v>
      </c>
      <c r="M165" s="61">
        <v>0</v>
      </c>
      <c r="N165" s="60">
        <v>0</v>
      </c>
      <c r="O165" s="59">
        <v>9662.5399999999499</v>
      </c>
      <c r="P165" s="61">
        <v>0</v>
      </c>
      <c r="Q165" s="60">
        <v>0</v>
      </c>
      <c r="R165" s="59">
        <v>-13968.799999999899</v>
      </c>
      <c r="S165" s="61">
        <v>0</v>
      </c>
      <c r="T165" s="60">
        <v>0</v>
      </c>
      <c r="U165" s="59">
        <v>34632.330000000104</v>
      </c>
      <c r="V165" s="61">
        <v>0</v>
      </c>
      <c r="W165" s="60">
        <v>8.4196242202823294E-3</v>
      </c>
      <c r="X165" s="59">
        <v>13280.139999999899</v>
      </c>
      <c r="Y165" s="61">
        <v>0</v>
      </c>
      <c r="Z165" s="60">
        <v>0</v>
      </c>
      <c r="AA165" s="59">
        <v>38550.499999999804</v>
      </c>
      <c r="AB165" s="61">
        <v>0</v>
      </c>
      <c r="AC165" s="60">
        <v>0</v>
      </c>
      <c r="AD165" s="59">
        <v>413.32999999994303</v>
      </c>
      <c r="AE165" s="61">
        <v>0</v>
      </c>
      <c r="AF165" s="60">
        <v>0</v>
      </c>
      <c r="AG165" s="59">
        <v>25961.339999999898</v>
      </c>
      <c r="AH165" s="61">
        <v>0</v>
      </c>
      <c r="AI165" s="60">
        <v>0</v>
      </c>
      <c r="AJ165" s="59">
        <v>-9256.3000000000102</v>
      </c>
      <c r="AK165" s="61">
        <v>0</v>
      </c>
      <c r="AL165" s="60">
        <v>0</v>
      </c>
      <c r="AM165" s="59">
        <v>-42679.574800000002</v>
      </c>
      <c r="AN165" s="61">
        <v>0</v>
      </c>
      <c r="AO165" s="60">
        <v>0</v>
      </c>
      <c r="AP165" s="59">
        <v>-1529.72</v>
      </c>
      <c r="AQ165" s="61">
        <v>0</v>
      </c>
      <c r="AR165" s="60">
        <v>0</v>
      </c>
      <c r="AS165" s="59">
        <v>34758.1499999999</v>
      </c>
      <c r="AT165" s="61">
        <v>0</v>
      </c>
      <c r="AU165" s="60">
        <v>0</v>
      </c>
      <c r="AV165" s="59">
        <v>-9236.2900000000209</v>
      </c>
      <c r="AW165" s="61">
        <v>0</v>
      </c>
      <c r="AX165" s="60">
        <v>0</v>
      </c>
      <c r="AY165" s="59">
        <v>-2318.31</v>
      </c>
      <c r="AZ165" s="61"/>
      <c r="BA165" s="60"/>
      <c r="BB165" s="59"/>
      <c r="BC165" s="61"/>
      <c r="BD165" s="60"/>
      <c r="BE165" s="59"/>
      <c r="BF165" s="61"/>
      <c r="BG165" s="60"/>
      <c r="BH165" s="59"/>
    </row>
    <row r="166" spans="3:60" ht="16.5" thickTop="1" x14ac:dyDescent="0.25">
      <c r="C166" s="88"/>
      <c r="D166" s="88"/>
      <c r="E166" s="88"/>
      <c r="F166" s="103"/>
      <c r="G166" s="88"/>
      <c r="H166" s="88"/>
      <c r="I166" s="103"/>
      <c r="J166" s="88"/>
      <c r="K166" s="88"/>
      <c r="L166" s="103"/>
      <c r="M166" s="88"/>
      <c r="N166" s="88"/>
      <c r="O166" s="103"/>
      <c r="P166" s="88"/>
      <c r="Q166" s="88"/>
      <c r="R166" s="103"/>
      <c r="S166" s="88"/>
      <c r="T166" s="88"/>
      <c r="U166" s="103"/>
      <c r="V166" s="88"/>
      <c r="W166" s="88"/>
      <c r="X166" s="103"/>
      <c r="Y166" s="88"/>
      <c r="Z166" s="88"/>
      <c r="AA166" s="103"/>
      <c r="AB166" s="88"/>
      <c r="AC166" s="88"/>
      <c r="AD166" s="103"/>
      <c r="AE166" s="88"/>
      <c r="AF166" s="88"/>
      <c r="AG166" s="103"/>
      <c r="AH166" s="88"/>
      <c r="AI166" s="88"/>
      <c r="AJ166" s="103"/>
      <c r="AK166" s="88"/>
      <c r="AL166" s="88"/>
      <c r="AM166" s="103"/>
      <c r="AN166" s="88"/>
      <c r="AO166" s="88"/>
      <c r="AP166" s="103"/>
      <c r="AQ166" s="88"/>
      <c r="AR166" s="88"/>
      <c r="AS166" s="103"/>
      <c r="AT166" s="88"/>
      <c r="AU166" s="88"/>
      <c r="AV166" s="103"/>
      <c r="AW166" s="88"/>
      <c r="AX166" s="88"/>
      <c r="AY166" s="103"/>
      <c r="AZ166" s="88"/>
      <c r="BA166" s="88"/>
      <c r="BB166" s="103"/>
      <c r="BC166" s="88"/>
      <c r="BD166" s="88"/>
      <c r="BE166" s="103"/>
      <c r="BF166" s="88"/>
      <c r="BG166" s="88"/>
      <c r="BH166" s="103"/>
    </row>
    <row r="167" spans="3:60" ht="15.75" x14ac:dyDescent="0.25"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  <c r="BA167" s="88"/>
      <c r="BB167" s="88"/>
      <c r="BC167" s="88"/>
      <c r="BD167" s="88"/>
      <c r="BE167" s="88"/>
      <c r="BF167" s="88"/>
      <c r="BG167" s="88"/>
      <c r="BH167" s="88"/>
    </row>
    <row r="168" spans="3:60" ht="35.25" x14ac:dyDescent="0.5">
      <c r="C168" s="58" t="str">
        <f>Y168</f>
        <v>Service</v>
      </c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164" t="s">
        <v>68</v>
      </c>
      <c r="Z168" s="165"/>
      <c r="AA168" s="165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 t="str">
        <f>C168</f>
        <v>Service</v>
      </c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</row>
    <row r="169" spans="3:60" ht="16.5" thickBot="1" x14ac:dyDescent="0.3">
      <c r="C169" s="89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  <c r="BC169" s="88"/>
      <c r="BD169" s="88"/>
      <c r="BE169" s="88"/>
      <c r="BF169" s="88"/>
      <c r="BG169" s="88"/>
      <c r="BH169" s="88"/>
    </row>
    <row r="170" spans="3:60" ht="21" thickTop="1" x14ac:dyDescent="0.3">
      <c r="C170" s="56"/>
      <c r="D170" s="166" t="str">
        <f>D$3</f>
        <v>Conso</v>
      </c>
      <c r="E170" s="167"/>
      <c r="F170" s="168"/>
      <c r="G170" s="166" t="str">
        <f>G$3</f>
        <v>BMW PA</v>
      </c>
      <c r="H170" s="167"/>
      <c r="I170" s="168"/>
      <c r="J170" s="166" t="str">
        <f>J$3</f>
        <v>BMW STJ</v>
      </c>
      <c r="K170" s="167"/>
      <c r="L170" s="168"/>
      <c r="M170" s="166" t="str">
        <f>M$3</f>
        <v>BMW SHER</v>
      </c>
      <c r="N170" s="167"/>
      <c r="O170" s="168"/>
      <c r="P170" s="166" t="str">
        <f>P$3</f>
        <v>MBQ</v>
      </c>
      <c r="Q170" s="167"/>
      <c r="R170" s="168"/>
      <c r="S170" s="166" t="str">
        <f>S$3</f>
        <v>SSMB</v>
      </c>
      <c r="T170" s="167"/>
      <c r="U170" s="168"/>
      <c r="V170" s="166" t="str">
        <f>V$3</f>
        <v>AUDI</v>
      </c>
      <c r="W170" s="167"/>
      <c r="X170" s="168"/>
      <c r="Y170" s="166" t="str">
        <f>Y$3</f>
        <v>JLR</v>
      </c>
      <c r="Z170" s="167"/>
      <c r="AA170" s="168"/>
      <c r="AB170" s="166" t="str">
        <f>AB$3</f>
        <v>LEXUS</v>
      </c>
      <c r="AC170" s="167"/>
      <c r="AD170" s="168"/>
      <c r="AE170" s="166" t="str">
        <f>AE$3</f>
        <v>Volvo</v>
      </c>
      <c r="AF170" s="167"/>
      <c r="AG170" s="168"/>
      <c r="AH170" s="166" t="str">
        <f>AH$3</f>
        <v>Mini</v>
      </c>
      <c r="AI170" s="167"/>
      <c r="AJ170" s="168"/>
      <c r="AK170" s="166" t="str">
        <f>AK$3</f>
        <v>Infiniti</v>
      </c>
      <c r="AL170" s="167"/>
      <c r="AM170" s="168"/>
      <c r="AN170" s="166" t="str">
        <f>AN$3</f>
        <v>Honda</v>
      </c>
      <c r="AO170" s="167"/>
      <c r="AP170" s="168"/>
      <c r="AQ170" s="166" t="str">
        <f>AQ$3</f>
        <v>Toyota</v>
      </c>
      <c r="AR170" s="167"/>
      <c r="AS170" s="168"/>
      <c r="AT170" s="166" t="str">
        <f>AT$3</f>
        <v>Volks</v>
      </c>
      <c r="AU170" s="167"/>
      <c r="AV170" s="168"/>
      <c r="AW170" s="166" t="str">
        <f>AW$3</f>
        <v>LHD</v>
      </c>
      <c r="AX170" s="167"/>
      <c r="AY170" s="168"/>
      <c r="AZ170" s="166"/>
      <c r="BA170" s="167"/>
      <c r="BB170" s="168"/>
      <c r="BC170" s="166"/>
      <c r="BD170" s="169"/>
      <c r="BE170" s="170"/>
      <c r="BF170" s="166"/>
      <c r="BG170" s="169"/>
      <c r="BH170" s="170"/>
    </row>
    <row r="171" spans="3:60" ht="20.25" x14ac:dyDescent="0.3">
      <c r="C171" s="8"/>
      <c r="D171" s="55" t="s">
        <v>56</v>
      </c>
      <c r="E171" s="54" t="s">
        <v>33</v>
      </c>
      <c r="F171" s="53" t="s">
        <v>31</v>
      </c>
      <c r="G171" s="52" t="str">
        <f>$D171</f>
        <v>#</v>
      </c>
      <c r="H171" s="51" t="str">
        <f>$E171</f>
        <v>$VENTES</v>
      </c>
      <c r="I171" s="50" t="str">
        <f>$F171</f>
        <v>$PROFITS</v>
      </c>
      <c r="J171" s="52" t="str">
        <f>$D171</f>
        <v>#</v>
      </c>
      <c r="K171" s="51" t="str">
        <f>$E171</f>
        <v>$VENTES</v>
      </c>
      <c r="L171" s="50" t="str">
        <f>$F171</f>
        <v>$PROFITS</v>
      </c>
      <c r="M171" s="52" t="str">
        <f>$D171</f>
        <v>#</v>
      </c>
      <c r="N171" s="51" t="str">
        <f>$E171</f>
        <v>$VENTES</v>
      </c>
      <c r="O171" s="50" t="str">
        <f>$F171</f>
        <v>$PROFITS</v>
      </c>
      <c r="P171" s="52" t="str">
        <f>$D171</f>
        <v>#</v>
      </c>
      <c r="Q171" s="51" t="str">
        <f>$E171</f>
        <v>$VENTES</v>
      </c>
      <c r="R171" s="50" t="str">
        <f>$F171</f>
        <v>$PROFITS</v>
      </c>
      <c r="S171" s="52" t="str">
        <f>$D171</f>
        <v>#</v>
      </c>
      <c r="T171" s="51" t="str">
        <f>$E171</f>
        <v>$VENTES</v>
      </c>
      <c r="U171" s="50" t="str">
        <f>$F171</f>
        <v>$PROFITS</v>
      </c>
      <c r="V171" s="52" t="str">
        <f>$D171</f>
        <v>#</v>
      </c>
      <c r="W171" s="51" t="str">
        <f>$E171</f>
        <v>$VENTES</v>
      </c>
      <c r="X171" s="50" t="str">
        <f>$F171</f>
        <v>$PROFITS</v>
      </c>
      <c r="Y171" s="52" t="str">
        <f>$D171</f>
        <v>#</v>
      </c>
      <c r="Z171" s="51" t="str">
        <f>$E171</f>
        <v>$VENTES</v>
      </c>
      <c r="AA171" s="50" t="str">
        <f>$F171</f>
        <v>$PROFITS</v>
      </c>
      <c r="AB171" s="52" t="str">
        <f>$D171</f>
        <v>#</v>
      </c>
      <c r="AC171" s="51" t="str">
        <f>$E171</f>
        <v>$VENTES</v>
      </c>
      <c r="AD171" s="50" t="str">
        <f>$F171</f>
        <v>$PROFITS</v>
      </c>
      <c r="AE171" s="52" t="str">
        <f>$D171</f>
        <v>#</v>
      </c>
      <c r="AF171" s="51" t="str">
        <f>$E171</f>
        <v>$VENTES</v>
      </c>
      <c r="AG171" s="50" t="str">
        <f>$F171</f>
        <v>$PROFITS</v>
      </c>
      <c r="AH171" s="52" t="str">
        <f>$D171</f>
        <v>#</v>
      </c>
      <c r="AI171" s="51" t="str">
        <f>$E171</f>
        <v>$VENTES</v>
      </c>
      <c r="AJ171" s="50" t="str">
        <f>$F171</f>
        <v>$PROFITS</v>
      </c>
      <c r="AK171" s="52" t="str">
        <f>$D171</f>
        <v>#</v>
      </c>
      <c r="AL171" s="51" t="str">
        <f>$E171</f>
        <v>$VENTES</v>
      </c>
      <c r="AM171" s="50" t="str">
        <f>$F171</f>
        <v>$PROFITS</v>
      </c>
      <c r="AN171" s="52" t="str">
        <f>$D171</f>
        <v>#</v>
      </c>
      <c r="AO171" s="51" t="str">
        <f>$E171</f>
        <v>$VENTES</v>
      </c>
      <c r="AP171" s="50" t="str">
        <f>$F171</f>
        <v>$PROFITS</v>
      </c>
      <c r="AQ171" s="52" t="str">
        <f>$D171</f>
        <v>#</v>
      </c>
      <c r="AR171" s="51" t="str">
        <f>$E171</f>
        <v>$VENTES</v>
      </c>
      <c r="AS171" s="50" t="str">
        <f>$F171</f>
        <v>$PROFITS</v>
      </c>
      <c r="AT171" s="52" t="str">
        <f>$D171</f>
        <v>#</v>
      </c>
      <c r="AU171" s="51" t="str">
        <f>$E171</f>
        <v>$VENTES</v>
      </c>
      <c r="AV171" s="50" t="str">
        <f>$F171</f>
        <v>$PROFITS</v>
      </c>
      <c r="AW171" s="52" t="str">
        <f>$D171</f>
        <v>#</v>
      </c>
      <c r="AX171" s="51" t="str">
        <f>$E171</f>
        <v>$VENTES</v>
      </c>
      <c r="AY171" s="50" t="str">
        <f>$F171</f>
        <v>$PROFITS</v>
      </c>
      <c r="AZ171" s="52"/>
      <c r="BA171" s="51"/>
      <c r="BB171" s="50"/>
      <c r="BC171" s="55"/>
      <c r="BD171" s="54"/>
      <c r="BE171" s="53"/>
      <c r="BF171" s="55"/>
      <c r="BG171" s="54"/>
      <c r="BH171" s="53"/>
    </row>
    <row r="172" spans="3:60" ht="20.25" x14ac:dyDescent="0.3">
      <c r="C172" s="8" t="s">
        <v>67</v>
      </c>
      <c r="D172" s="73">
        <f>+SUM(G172,J172,M172,P172,S172,V172,Y172,AB172,AE172,AH172,AK172,AN172,AQ172,AT172,AW172,AZ172,BC172,BF172)</f>
        <v>3779</v>
      </c>
      <c r="E172" s="97">
        <f>+SUM(H172,K172,N172,Q172,T172,W172,Z172,AC172,AF172,AI172,AL172,AO172,AR172,AU172,AX172,BA172,BD172,BG172)</f>
        <v>1495937.19</v>
      </c>
      <c r="F172" s="18">
        <f>+SUM(I172,L172,O172,R172,U172,X172,AA172,AD172,AG172,AJ172,AM172,AP172,AS172,AV172,AY172,BB172,BE172,BH172)</f>
        <v>1127644.1343999989</v>
      </c>
      <c r="G172" s="73">
        <v>254</v>
      </c>
      <c r="H172" s="97">
        <v>125241.34</v>
      </c>
      <c r="I172" s="18">
        <v>86027.39</v>
      </c>
      <c r="J172" s="73">
        <v>231</v>
      </c>
      <c r="K172" s="97">
        <v>85258.4</v>
      </c>
      <c r="L172" s="18">
        <v>66032.259999999995</v>
      </c>
      <c r="M172" s="73">
        <v>91</v>
      </c>
      <c r="N172" s="97">
        <v>37107.5</v>
      </c>
      <c r="O172" s="18">
        <v>29517.7399999999</v>
      </c>
      <c r="P172" s="73">
        <v>299</v>
      </c>
      <c r="Q172" s="97">
        <v>146484.62</v>
      </c>
      <c r="R172" s="18">
        <v>116378.65</v>
      </c>
      <c r="S172" s="73">
        <v>580</v>
      </c>
      <c r="T172" s="97">
        <v>308791.78999999998</v>
      </c>
      <c r="U172" s="18">
        <v>207848.299999999</v>
      </c>
      <c r="V172" s="73">
        <v>372</v>
      </c>
      <c r="W172" s="97">
        <v>183882.31</v>
      </c>
      <c r="X172" s="18">
        <v>145241.85</v>
      </c>
      <c r="Y172" s="73">
        <v>124</v>
      </c>
      <c r="Z172" s="97">
        <v>91009.09</v>
      </c>
      <c r="AA172" s="18">
        <v>74834.28</v>
      </c>
      <c r="AB172" s="73">
        <v>162</v>
      </c>
      <c r="AC172" s="97">
        <v>43767.37</v>
      </c>
      <c r="AD172" s="18">
        <v>33058.910000000003</v>
      </c>
      <c r="AE172" s="73">
        <v>235</v>
      </c>
      <c r="AF172" s="97">
        <v>104914.14</v>
      </c>
      <c r="AG172" s="18">
        <v>86190.76</v>
      </c>
      <c r="AH172" s="73">
        <v>107</v>
      </c>
      <c r="AI172" s="97">
        <v>41326.81</v>
      </c>
      <c r="AJ172" s="18">
        <v>29986.6899999999</v>
      </c>
      <c r="AK172" s="73">
        <v>63</v>
      </c>
      <c r="AL172" s="97">
        <v>18165.27</v>
      </c>
      <c r="AM172" s="18">
        <v>14067.74</v>
      </c>
      <c r="AN172" s="73">
        <v>388</v>
      </c>
      <c r="AO172" s="97">
        <v>71240.69</v>
      </c>
      <c r="AP172" s="18">
        <v>54547.15</v>
      </c>
      <c r="AQ172" s="73">
        <v>490</v>
      </c>
      <c r="AR172" s="97">
        <v>85454.36</v>
      </c>
      <c r="AS172" s="18">
        <v>61850.74</v>
      </c>
      <c r="AT172" s="73">
        <v>248</v>
      </c>
      <c r="AU172" s="97">
        <v>93892</v>
      </c>
      <c r="AV172" s="18">
        <v>74019.72</v>
      </c>
      <c r="AW172" s="73">
        <v>135</v>
      </c>
      <c r="AX172" s="97">
        <v>59401.5</v>
      </c>
      <c r="AY172" s="18">
        <v>48041.954400000002</v>
      </c>
      <c r="AZ172" s="73"/>
      <c r="BA172" s="97"/>
      <c r="BB172" s="18"/>
      <c r="BC172" s="73"/>
      <c r="BD172" s="97"/>
      <c r="BE172" s="18"/>
      <c r="BF172" s="73"/>
      <c r="BG172" s="97"/>
      <c r="BH172" s="18"/>
    </row>
    <row r="173" spans="3:60" ht="20.25" x14ac:dyDescent="0.3">
      <c r="C173" s="8" t="s">
        <v>52</v>
      </c>
      <c r="D173" s="73"/>
      <c r="E173" s="7"/>
      <c r="F173" s="96">
        <f>IF(F172=0,0,F172/E172)</f>
        <v>0.75380446581450322</v>
      </c>
      <c r="G173" s="73">
        <v>0</v>
      </c>
      <c r="H173" s="7">
        <v>0</v>
      </c>
      <c r="I173" s="96">
        <v>0.68689292209744801</v>
      </c>
      <c r="J173" s="73">
        <v>0</v>
      </c>
      <c r="K173" s="7">
        <v>0</v>
      </c>
      <c r="L173" s="96">
        <v>0.77449565086841798</v>
      </c>
      <c r="M173" s="73">
        <v>0</v>
      </c>
      <c r="N173" s="7">
        <v>0</v>
      </c>
      <c r="O173" s="96">
        <v>0.79546560668328503</v>
      </c>
      <c r="P173" s="73">
        <v>0</v>
      </c>
      <c r="Q173" s="7">
        <v>0</v>
      </c>
      <c r="R173" s="96">
        <v>0.79447692187753205</v>
      </c>
      <c r="S173" s="73">
        <v>0</v>
      </c>
      <c r="T173" s="7">
        <v>0</v>
      </c>
      <c r="U173" s="96">
        <v>0.67310176867072702</v>
      </c>
      <c r="V173" s="73">
        <v>0</v>
      </c>
      <c r="W173" s="7">
        <v>0</v>
      </c>
      <c r="X173" s="96">
        <v>0.78986309232247498</v>
      </c>
      <c r="Y173" s="73">
        <v>0</v>
      </c>
      <c r="Z173" s="97">
        <v>0</v>
      </c>
      <c r="AA173" s="96">
        <v>0.82227258837551198</v>
      </c>
      <c r="AB173" s="73">
        <v>0</v>
      </c>
      <c r="AC173" s="97">
        <v>0</v>
      </c>
      <c r="AD173" s="96">
        <v>0.75533234005150396</v>
      </c>
      <c r="AE173" s="73">
        <v>0</v>
      </c>
      <c r="AF173" s="97">
        <v>0</v>
      </c>
      <c r="AG173" s="96">
        <v>0.82153616280894004</v>
      </c>
      <c r="AH173" s="73">
        <v>0</v>
      </c>
      <c r="AI173" s="97">
        <v>0</v>
      </c>
      <c r="AJ173" s="96">
        <v>0.72559895138289099</v>
      </c>
      <c r="AK173" s="73">
        <v>0</v>
      </c>
      <c r="AL173" s="97">
        <v>0</v>
      </c>
      <c r="AM173" s="96">
        <v>0.77443054796322797</v>
      </c>
      <c r="AN173" s="73">
        <v>0</v>
      </c>
      <c r="AO173" s="97">
        <v>0</v>
      </c>
      <c r="AP173" s="96">
        <v>0.76567408316791896</v>
      </c>
      <c r="AQ173" s="73">
        <v>0</v>
      </c>
      <c r="AR173" s="97">
        <v>0</v>
      </c>
      <c r="AS173" s="96">
        <v>0.723786826090558</v>
      </c>
      <c r="AT173" s="73">
        <v>0</v>
      </c>
      <c r="AU173" s="97">
        <v>0</v>
      </c>
      <c r="AV173" s="96">
        <v>0.78834959314957598</v>
      </c>
      <c r="AW173" s="73">
        <v>0</v>
      </c>
      <c r="AX173" s="97">
        <v>0</v>
      </c>
      <c r="AY173" s="96">
        <v>0.80876668770990601</v>
      </c>
      <c r="AZ173" s="73"/>
      <c r="BA173" s="97"/>
      <c r="BB173" s="96"/>
      <c r="BC173" s="73"/>
      <c r="BD173" s="97"/>
      <c r="BE173" s="96"/>
      <c r="BF173" s="73"/>
      <c r="BG173" s="97"/>
      <c r="BH173" s="96"/>
    </row>
    <row r="174" spans="3:60" ht="20.25" x14ac:dyDescent="0.3">
      <c r="C174" s="67"/>
      <c r="D174" s="101"/>
      <c r="E174" s="130">
        <f>IFERROR(E172/D172,0)</f>
        <v>395.85530299020905</v>
      </c>
      <c r="F174" s="99"/>
      <c r="G174" s="101">
        <v>0</v>
      </c>
      <c r="H174" s="130">
        <v>493.07614173228302</v>
      </c>
      <c r="I174" s="99">
        <v>0</v>
      </c>
      <c r="J174" s="101">
        <v>0</v>
      </c>
      <c r="K174" s="130">
        <v>369.08398268398201</v>
      </c>
      <c r="L174" s="99">
        <v>0</v>
      </c>
      <c r="M174" s="101">
        <v>0</v>
      </c>
      <c r="N174" s="130">
        <v>407.77472527472497</v>
      </c>
      <c r="O174" s="99">
        <v>0</v>
      </c>
      <c r="P174" s="101">
        <v>0</v>
      </c>
      <c r="Q174" s="130">
        <v>489.91511705685599</v>
      </c>
      <c r="R174" s="99">
        <v>0</v>
      </c>
      <c r="S174" s="101">
        <v>0</v>
      </c>
      <c r="T174" s="130">
        <v>532.39963793103402</v>
      </c>
      <c r="U174" s="99">
        <v>0</v>
      </c>
      <c r="V174" s="101">
        <v>0</v>
      </c>
      <c r="W174" s="130">
        <v>494.307284946236</v>
      </c>
      <c r="X174" s="99">
        <v>0</v>
      </c>
      <c r="Y174" s="101">
        <v>0</v>
      </c>
      <c r="Z174" s="130">
        <v>733.94427419354804</v>
      </c>
      <c r="AA174" s="99">
        <v>0</v>
      </c>
      <c r="AB174" s="101">
        <v>0</v>
      </c>
      <c r="AC174" s="130">
        <v>270.16895061728297</v>
      </c>
      <c r="AD174" s="99">
        <v>0</v>
      </c>
      <c r="AE174" s="101">
        <v>0</v>
      </c>
      <c r="AF174" s="130">
        <v>446.44314893617002</v>
      </c>
      <c r="AG174" s="99">
        <v>0</v>
      </c>
      <c r="AH174" s="101">
        <v>0</v>
      </c>
      <c r="AI174" s="130">
        <v>386.231869158878</v>
      </c>
      <c r="AJ174" s="99">
        <v>0</v>
      </c>
      <c r="AK174" s="101">
        <v>0</v>
      </c>
      <c r="AL174" s="130">
        <v>288.337619047619</v>
      </c>
      <c r="AM174" s="99">
        <v>0</v>
      </c>
      <c r="AN174" s="101">
        <v>0</v>
      </c>
      <c r="AO174" s="130">
        <v>183.61002577319499</v>
      </c>
      <c r="AP174" s="99">
        <v>0</v>
      </c>
      <c r="AQ174" s="101">
        <v>0</v>
      </c>
      <c r="AR174" s="130">
        <v>174.39665306122399</v>
      </c>
      <c r="AS174" s="99">
        <v>0</v>
      </c>
      <c r="AT174" s="101">
        <v>0</v>
      </c>
      <c r="AU174" s="130">
        <v>378.59677419354801</v>
      </c>
      <c r="AV174" s="99">
        <v>0</v>
      </c>
      <c r="AW174" s="101">
        <v>0</v>
      </c>
      <c r="AX174" s="130">
        <v>440.01111111111101</v>
      </c>
      <c r="AY174" s="99">
        <v>0</v>
      </c>
      <c r="AZ174" s="101"/>
      <c r="BA174" s="130"/>
      <c r="BB174" s="99"/>
      <c r="BC174" s="101"/>
      <c r="BD174" s="130"/>
      <c r="BE174" s="99"/>
      <c r="BF174" s="101"/>
      <c r="BG174" s="130"/>
      <c r="BH174" s="99"/>
    </row>
    <row r="175" spans="3:60" ht="20.25" x14ac:dyDescent="0.3">
      <c r="C175" s="72" t="s">
        <v>66</v>
      </c>
      <c r="D175" s="98">
        <f>+SUM(G175,J175,M175,P175,S175,V175,Y175,AB175,AE175,AH175,AK175,AN175,AQ175,AT175,AW175,AZ175,BC175,BF175)</f>
        <v>3600</v>
      </c>
      <c r="E175" s="102">
        <f>+SUM(H175,K175,N175,Q175,T175,W175,Z175,AC175,AF175,AI175,AL175,AO175,AR175,AU175,AX175,BA175,BD175,BG175)</f>
        <v>1101491.5799999998</v>
      </c>
      <c r="F175" s="18">
        <f>+SUM(I175,L175,O175,R175,U175,X175,AA175,AD175,AG175,AJ175,AM175,AP175,AS175,AV175,AY175,BB175,BE175,BH175)</f>
        <v>744462.3899999999</v>
      </c>
      <c r="G175" s="98">
        <v>432</v>
      </c>
      <c r="H175" s="102">
        <v>116061.74</v>
      </c>
      <c r="I175" s="18">
        <v>67978.100000000006</v>
      </c>
      <c r="J175" s="98">
        <v>397</v>
      </c>
      <c r="K175" s="102">
        <v>90390.289999999906</v>
      </c>
      <c r="L175" s="18">
        <v>64024.1499999999</v>
      </c>
      <c r="M175" s="98">
        <v>135</v>
      </c>
      <c r="N175" s="102">
        <v>33479.46</v>
      </c>
      <c r="O175" s="18">
        <v>22326.12</v>
      </c>
      <c r="P175" s="98">
        <v>360</v>
      </c>
      <c r="Q175" s="102">
        <v>143593.5</v>
      </c>
      <c r="R175" s="18">
        <v>94361.35</v>
      </c>
      <c r="S175" s="98">
        <v>424</v>
      </c>
      <c r="T175" s="102">
        <v>252135.1</v>
      </c>
      <c r="U175" s="18">
        <v>175269.3</v>
      </c>
      <c r="V175" s="98">
        <v>483</v>
      </c>
      <c r="W175" s="102">
        <v>141199.04000000001</v>
      </c>
      <c r="X175" s="18">
        <v>95043.31</v>
      </c>
      <c r="Y175" s="98">
        <v>84</v>
      </c>
      <c r="Z175" s="102">
        <v>44267.040000000001</v>
      </c>
      <c r="AA175" s="18">
        <v>28780.71</v>
      </c>
      <c r="AB175" s="98">
        <v>108</v>
      </c>
      <c r="AC175" s="102">
        <v>13930.34</v>
      </c>
      <c r="AD175" s="18">
        <v>9972.92</v>
      </c>
      <c r="AE175" s="98">
        <v>170</v>
      </c>
      <c r="AF175" s="102">
        <v>58368.77</v>
      </c>
      <c r="AG175" s="18">
        <v>44763.979999999901</v>
      </c>
      <c r="AH175" s="98">
        <v>128</v>
      </c>
      <c r="AI175" s="102">
        <v>26776.32</v>
      </c>
      <c r="AJ175" s="18">
        <v>17655.16</v>
      </c>
      <c r="AK175" s="98">
        <v>40</v>
      </c>
      <c r="AL175" s="102">
        <v>14748.62</v>
      </c>
      <c r="AM175" s="18">
        <v>7514.8</v>
      </c>
      <c r="AN175" s="98">
        <v>346</v>
      </c>
      <c r="AO175" s="102">
        <v>40938.300000000003</v>
      </c>
      <c r="AP175" s="18">
        <v>28859.35</v>
      </c>
      <c r="AQ175" s="98">
        <v>216</v>
      </c>
      <c r="AR175" s="102">
        <v>48772.01</v>
      </c>
      <c r="AS175" s="18">
        <v>35207.25</v>
      </c>
      <c r="AT175" s="98">
        <v>258</v>
      </c>
      <c r="AU175" s="102">
        <v>67450.92</v>
      </c>
      <c r="AV175" s="18">
        <v>45677.440000000002</v>
      </c>
      <c r="AW175" s="98">
        <v>19</v>
      </c>
      <c r="AX175" s="102">
        <v>9380.1299999999992</v>
      </c>
      <c r="AY175" s="18">
        <v>7028.4499999999898</v>
      </c>
      <c r="AZ175" s="98"/>
      <c r="BA175" s="102"/>
      <c r="BB175" s="18"/>
      <c r="BC175" s="98"/>
      <c r="BD175" s="102"/>
      <c r="BE175" s="18"/>
      <c r="BF175" s="98"/>
      <c r="BG175" s="102"/>
      <c r="BH175" s="18"/>
    </row>
    <row r="176" spans="3:60" ht="20.25" x14ac:dyDescent="0.3">
      <c r="C176" s="8" t="s">
        <v>52</v>
      </c>
      <c r="D176" s="8"/>
      <c r="E176" s="7"/>
      <c r="F176" s="96">
        <f>IF(F175=0,0,F175/E175)</f>
        <v>0.67586752683120832</v>
      </c>
      <c r="G176" s="8">
        <v>0</v>
      </c>
      <c r="H176" s="129">
        <v>268.66143518518498</v>
      </c>
      <c r="I176" s="96">
        <v>0.58570636628401396</v>
      </c>
      <c r="J176" s="8">
        <v>0</v>
      </c>
      <c r="K176" s="7">
        <v>0</v>
      </c>
      <c r="L176" s="96">
        <v>0.70830782819703297</v>
      </c>
      <c r="M176" s="8">
        <v>0</v>
      </c>
      <c r="N176" s="7">
        <v>0</v>
      </c>
      <c r="O176" s="96">
        <v>0.66686021817556196</v>
      </c>
      <c r="P176" s="8">
        <v>0</v>
      </c>
      <c r="Q176" s="7">
        <v>0</v>
      </c>
      <c r="R176" s="96">
        <v>0.657142210476101</v>
      </c>
      <c r="S176" s="8">
        <v>0</v>
      </c>
      <c r="T176" s="7">
        <v>0</v>
      </c>
      <c r="U176" s="96">
        <v>0.69514042273368504</v>
      </c>
      <c r="V176" s="8">
        <v>0</v>
      </c>
      <c r="W176" s="7">
        <v>0</v>
      </c>
      <c r="X176" s="96">
        <v>0.67311583704818301</v>
      </c>
      <c r="Y176" s="73">
        <v>0</v>
      </c>
      <c r="Z176" s="97">
        <v>0</v>
      </c>
      <c r="AA176" s="96">
        <v>0.65016115827938703</v>
      </c>
      <c r="AB176" s="73">
        <v>0</v>
      </c>
      <c r="AC176" s="97">
        <v>0</v>
      </c>
      <c r="AD176" s="96">
        <v>0.71591361014878296</v>
      </c>
      <c r="AE176" s="73">
        <v>0</v>
      </c>
      <c r="AF176" s="97">
        <v>0</v>
      </c>
      <c r="AG176" s="96">
        <v>0.76691662339295397</v>
      </c>
      <c r="AH176" s="73">
        <v>0</v>
      </c>
      <c r="AI176" s="97">
        <v>0</v>
      </c>
      <c r="AJ176" s="96">
        <v>0.65935722309861799</v>
      </c>
      <c r="AK176" s="73">
        <v>0</v>
      </c>
      <c r="AL176" s="97">
        <v>0</v>
      </c>
      <c r="AM176" s="96">
        <v>0.50952563697484898</v>
      </c>
      <c r="AN176" s="73">
        <v>0</v>
      </c>
      <c r="AO176" s="97">
        <v>0</v>
      </c>
      <c r="AP176" s="96">
        <v>0.70494744530183195</v>
      </c>
      <c r="AQ176" s="73">
        <v>0</v>
      </c>
      <c r="AR176" s="97">
        <v>0</v>
      </c>
      <c r="AS176" s="96">
        <v>0.72187408310627299</v>
      </c>
      <c r="AT176" s="73">
        <v>0</v>
      </c>
      <c r="AU176" s="97">
        <v>0</v>
      </c>
      <c r="AV176" s="96">
        <v>0.677195210977107</v>
      </c>
      <c r="AW176" s="73">
        <v>0</v>
      </c>
      <c r="AX176" s="97">
        <v>0</v>
      </c>
      <c r="AY176" s="96">
        <v>0.74929132112241503</v>
      </c>
      <c r="AZ176" s="73"/>
      <c r="BA176" s="97"/>
      <c r="BB176" s="96"/>
      <c r="BC176" s="73"/>
      <c r="BD176" s="97"/>
      <c r="BE176" s="96"/>
      <c r="BF176" s="73"/>
      <c r="BG176" s="97"/>
      <c r="BH176" s="96"/>
    </row>
    <row r="177" spans="3:60" ht="20.25" x14ac:dyDescent="0.3">
      <c r="C177" s="67"/>
      <c r="D177" s="67"/>
      <c r="E177" s="128">
        <f>IFERROR(E175/D175,0)</f>
        <v>305.96988333333331</v>
      </c>
      <c r="F177" s="99"/>
      <c r="G177" s="101">
        <v>0</v>
      </c>
      <c r="H177" s="128">
        <v>0</v>
      </c>
      <c r="I177" s="99">
        <v>0</v>
      </c>
      <c r="J177" s="101">
        <v>0</v>
      </c>
      <c r="K177" s="128">
        <v>0</v>
      </c>
      <c r="L177" s="99">
        <v>0</v>
      </c>
      <c r="M177" s="101">
        <v>0</v>
      </c>
      <c r="N177" s="128">
        <v>0</v>
      </c>
      <c r="O177" s="99">
        <v>0</v>
      </c>
      <c r="P177" s="101">
        <v>0</v>
      </c>
      <c r="Q177" s="128">
        <v>398.870833333333</v>
      </c>
      <c r="R177" s="99">
        <v>0</v>
      </c>
      <c r="S177" s="101">
        <v>0</v>
      </c>
      <c r="T177" s="128">
        <v>594.65825471698099</v>
      </c>
      <c r="U177" s="99">
        <v>0</v>
      </c>
      <c r="V177" s="101">
        <v>0</v>
      </c>
      <c r="W177" s="128">
        <v>292.33755693581702</v>
      </c>
      <c r="X177" s="99">
        <v>0</v>
      </c>
      <c r="Y177" s="101">
        <v>0</v>
      </c>
      <c r="Z177" s="128">
        <v>526.98857142857105</v>
      </c>
      <c r="AA177" s="99">
        <v>0</v>
      </c>
      <c r="AB177" s="101">
        <v>0</v>
      </c>
      <c r="AC177" s="128">
        <v>0</v>
      </c>
      <c r="AD177" s="99">
        <v>0</v>
      </c>
      <c r="AE177" s="101">
        <v>0</v>
      </c>
      <c r="AF177" s="128">
        <v>343.34570588235198</v>
      </c>
      <c r="AG177" s="99">
        <v>0</v>
      </c>
      <c r="AH177" s="101">
        <v>0</v>
      </c>
      <c r="AI177" s="128">
        <v>0</v>
      </c>
      <c r="AJ177" s="99">
        <v>0</v>
      </c>
      <c r="AK177" s="101">
        <v>0</v>
      </c>
      <c r="AL177" s="128">
        <v>368.71550000000002</v>
      </c>
      <c r="AM177" s="99">
        <v>0</v>
      </c>
      <c r="AN177" s="101">
        <v>0</v>
      </c>
      <c r="AO177" s="128">
        <v>118.318786127167</v>
      </c>
      <c r="AP177" s="99">
        <v>0</v>
      </c>
      <c r="AQ177" s="101">
        <v>0</v>
      </c>
      <c r="AR177" s="128">
        <v>225.796342592592</v>
      </c>
      <c r="AS177" s="99">
        <v>0</v>
      </c>
      <c r="AT177" s="101">
        <v>0</v>
      </c>
      <c r="AU177" s="128">
        <v>261.43767441860399</v>
      </c>
      <c r="AV177" s="99">
        <v>0</v>
      </c>
      <c r="AW177" s="101">
        <v>0</v>
      </c>
      <c r="AX177" s="128">
        <v>493.69105263157797</v>
      </c>
      <c r="AY177" s="99">
        <v>0</v>
      </c>
      <c r="AZ177" s="101"/>
      <c r="BA177" s="128"/>
      <c r="BB177" s="99"/>
      <c r="BC177" s="101"/>
      <c r="BD177" s="128"/>
      <c r="BE177" s="99"/>
      <c r="BF177" s="101"/>
      <c r="BG177" s="128"/>
      <c r="BH177" s="99"/>
    </row>
    <row r="178" spans="3:60" ht="20.25" x14ac:dyDescent="0.3">
      <c r="C178" s="8" t="s">
        <v>65</v>
      </c>
      <c r="D178" s="73">
        <f>+SUM(G178,J178,M178,P178,S178,V178,Y178,AB178,AE178,AH178,AK178,AN178,AQ178,AT178,AW178,AZ178,BC178,BF178)</f>
        <v>3164</v>
      </c>
      <c r="E178" s="102">
        <f>+SUM(H178,K178,N178,Q178,T178,W178,Z178,AC178,AF178,AI178,AL178,AO178,AR178,AU178,AX178,BA178,BD178,BG178)</f>
        <v>783438.41999999981</v>
      </c>
      <c r="F178" s="18">
        <f>+SUM(I178,L178,O178,R178,U178,X178,AA178,AD178,AG178,AJ178,AM178,AP178,AS178,AV178,AY178,BB178,BE178,BH178)</f>
        <v>549754.13999999966</v>
      </c>
      <c r="G178" s="73">
        <v>167</v>
      </c>
      <c r="H178" s="102">
        <v>68870.3</v>
      </c>
      <c r="I178" s="18">
        <v>46568.13</v>
      </c>
      <c r="J178" s="73">
        <v>147</v>
      </c>
      <c r="K178" s="102">
        <v>48139.21</v>
      </c>
      <c r="L178" s="18">
        <v>36105.279999999999</v>
      </c>
      <c r="M178" s="73">
        <v>92</v>
      </c>
      <c r="N178" s="102">
        <v>37720.46</v>
      </c>
      <c r="O178" s="18">
        <v>26315.41</v>
      </c>
      <c r="P178" s="73">
        <v>373</v>
      </c>
      <c r="Q178" s="102">
        <v>67874.0799999999</v>
      </c>
      <c r="R178" s="18">
        <v>48532.319999999898</v>
      </c>
      <c r="S178" s="73">
        <v>1077</v>
      </c>
      <c r="T178" s="102">
        <v>146020.13</v>
      </c>
      <c r="U178" s="18">
        <v>107285.84</v>
      </c>
      <c r="V178" s="73">
        <v>326</v>
      </c>
      <c r="W178" s="102">
        <v>110169.83</v>
      </c>
      <c r="X178" s="18">
        <v>69250.84</v>
      </c>
      <c r="Y178" s="73">
        <v>139</v>
      </c>
      <c r="Z178" s="102">
        <v>53454.38</v>
      </c>
      <c r="AA178" s="18">
        <v>39208.86</v>
      </c>
      <c r="AB178" s="73">
        <v>156</v>
      </c>
      <c r="AC178" s="102">
        <v>57317.24</v>
      </c>
      <c r="AD178" s="18">
        <v>36845.39</v>
      </c>
      <c r="AE178" s="73">
        <v>117</v>
      </c>
      <c r="AF178" s="102">
        <v>30208.23</v>
      </c>
      <c r="AG178" s="18">
        <v>23032.11</v>
      </c>
      <c r="AH178" s="73">
        <v>81</v>
      </c>
      <c r="AI178" s="102">
        <v>19376.099999999999</v>
      </c>
      <c r="AJ178" s="18">
        <v>12663.3399999999</v>
      </c>
      <c r="AK178" s="73">
        <v>33</v>
      </c>
      <c r="AL178" s="102">
        <v>9200.7000000000007</v>
      </c>
      <c r="AM178" s="18">
        <v>6833.4</v>
      </c>
      <c r="AN178" s="73">
        <v>174</v>
      </c>
      <c r="AO178" s="102">
        <v>32088.560000000001</v>
      </c>
      <c r="AP178" s="18">
        <v>21803.58</v>
      </c>
      <c r="AQ178" s="73">
        <v>97</v>
      </c>
      <c r="AR178" s="102">
        <v>38245.86</v>
      </c>
      <c r="AS178" s="18">
        <v>26554.85</v>
      </c>
      <c r="AT178" s="73">
        <v>185</v>
      </c>
      <c r="AU178" s="102">
        <v>64753.34</v>
      </c>
      <c r="AV178" s="18">
        <v>48754.789999999899</v>
      </c>
      <c r="AW178" s="73">
        <v>0</v>
      </c>
      <c r="AX178" s="102">
        <v>0</v>
      </c>
      <c r="AY178" s="18">
        <v>0</v>
      </c>
      <c r="AZ178" s="73"/>
      <c r="BA178" s="102"/>
      <c r="BB178" s="18"/>
      <c r="BC178" s="73"/>
      <c r="BD178" s="102"/>
      <c r="BE178" s="18"/>
      <c r="BF178" s="73"/>
      <c r="BG178" s="102"/>
      <c r="BH178" s="18"/>
    </row>
    <row r="179" spans="3:60" ht="20.25" x14ac:dyDescent="0.3">
      <c r="C179" s="8" t="s">
        <v>52</v>
      </c>
      <c r="D179" s="73"/>
      <c r="E179" s="127"/>
      <c r="F179" s="96">
        <f>IF(F178=0,0,F178/E178)</f>
        <v>0.70171965781305412</v>
      </c>
      <c r="G179" s="73">
        <v>0</v>
      </c>
      <c r="H179" s="127">
        <v>0</v>
      </c>
      <c r="I179" s="96">
        <v>0.67617144110015404</v>
      </c>
      <c r="J179" s="73">
        <v>0</v>
      </c>
      <c r="K179" s="127">
        <v>0</v>
      </c>
      <c r="L179" s="96">
        <v>0.75001812451845296</v>
      </c>
      <c r="M179" s="73">
        <v>0</v>
      </c>
      <c r="N179" s="127">
        <v>0</v>
      </c>
      <c r="O179" s="96">
        <v>0.69764287073911602</v>
      </c>
      <c r="P179" s="73">
        <v>0</v>
      </c>
      <c r="Q179" s="127">
        <v>0</v>
      </c>
      <c r="R179" s="96">
        <v>0.71503466418992301</v>
      </c>
      <c r="S179" s="73">
        <v>0</v>
      </c>
      <c r="T179" s="127">
        <v>0</v>
      </c>
      <c r="U179" s="96">
        <v>0.73473321794741497</v>
      </c>
      <c r="V179" s="73">
        <v>0</v>
      </c>
      <c r="W179" s="127">
        <v>0</v>
      </c>
      <c r="X179" s="96">
        <v>0.62858261649309899</v>
      </c>
      <c r="Y179" s="73">
        <v>0</v>
      </c>
      <c r="Z179" s="127">
        <v>0</v>
      </c>
      <c r="AA179" s="96">
        <v>0.73350135199398003</v>
      </c>
      <c r="AB179" s="73">
        <v>0</v>
      </c>
      <c r="AC179" s="127">
        <v>0</v>
      </c>
      <c r="AD179" s="96">
        <v>0.64283259277662297</v>
      </c>
      <c r="AE179" s="73">
        <v>0</v>
      </c>
      <c r="AF179" s="127">
        <v>0</v>
      </c>
      <c r="AG179" s="96">
        <v>0.76244487015624496</v>
      </c>
      <c r="AH179" s="73">
        <v>0</v>
      </c>
      <c r="AI179" s="127">
        <v>0</v>
      </c>
      <c r="AJ179" s="96">
        <v>0.65355463689803395</v>
      </c>
      <c r="AK179" s="73">
        <v>0</v>
      </c>
      <c r="AL179" s="127">
        <v>0</v>
      </c>
      <c r="AM179" s="96">
        <v>0.74270435945091096</v>
      </c>
      <c r="AN179" s="73">
        <v>0</v>
      </c>
      <c r="AO179" s="127">
        <v>0</v>
      </c>
      <c r="AP179" s="96">
        <v>0.67948141019727903</v>
      </c>
      <c r="AQ179" s="73">
        <v>0</v>
      </c>
      <c r="AR179" s="127">
        <v>0</v>
      </c>
      <c r="AS179" s="96">
        <v>0.69431959432994805</v>
      </c>
      <c r="AT179" s="73">
        <v>0</v>
      </c>
      <c r="AU179" s="127">
        <v>0</v>
      </c>
      <c r="AV179" s="96">
        <v>0.75293089128684298</v>
      </c>
      <c r="AW179" s="73">
        <v>0</v>
      </c>
      <c r="AX179" s="127">
        <v>0</v>
      </c>
      <c r="AY179" s="96">
        <v>0</v>
      </c>
      <c r="AZ179" s="73"/>
      <c r="BA179" s="127"/>
      <c r="BB179" s="96"/>
      <c r="BC179" s="73"/>
      <c r="BD179" s="127"/>
      <c r="BE179" s="96"/>
      <c r="BF179" s="73"/>
      <c r="BG179" s="127"/>
      <c r="BH179" s="96"/>
    </row>
    <row r="180" spans="3:60" ht="20.25" x14ac:dyDescent="0.3">
      <c r="C180" s="8"/>
      <c r="D180" s="73"/>
      <c r="E180" s="126">
        <f>IFERROR(E178/D178,0)</f>
        <v>247.61012010113774</v>
      </c>
      <c r="F180" s="96"/>
      <c r="G180" s="73">
        <v>0</v>
      </c>
      <c r="H180" s="126">
        <v>0</v>
      </c>
      <c r="I180" s="96">
        <v>0</v>
      </c>
      <c r="J180" s="73">
        <v>0</v>
      </c>
      <c r="K180" s="126">
        <v>0</v>
      </c>
      <c r="L180" s="96">
        <v>0</v>
      </c>
      <c r="M180" s="73">
        <v>0</v>
      </c>
      <c r="N180" s="126">
        <v>0</v>
      </c>
      <c r="O180" s="96">
        <v>0</v>
      </c>
      <c r="P180" s="73">
        <v>0</v>
      </c>
      <c r="Q180" s="126">
        <v>181.96804289544201</v>
      </c>
      <c r="R180" s="96">
        <v>0</v>
      </c>
      <c r="S180" s="73">
        <v>0</v>
      </c>
      <c r="T180" s="126">
        <v>135.58043639740001</v>
      </c>
      <c r="U180" s="96">
        <v>0</v>
      </c>
      <c r="V180" s="73">
        <v>0</v>
      </c>
      <c r="W180" s="126">
        <v>337.944263803681</v>
      </c>
      <c r="X180" s="96">
        <v>0</v>
      </c>
      <c r="Y180" s="73">
        <v>0</v>
      </c>
      <c r="Z180" s="126">
        <v>384.56388489208598</v>
      </c>
      <c r="AA180" s="96">
        <v>0</v>
      </c>
      <c r="AB180" s="73">
        <v>0</v>
      </c>
      <c r="AC180" s="126">
        <v>0</v>
      </c>
      <c r="AD180" s="96">
        <v>0</v>
      </c>
      <c r="AE180" s="73">
        <v>0</v>
      </c>
      <c r="AF180" s="126">
        <v>258.19</v>
      </c>
      <c r="AG180" s="96">
        <v>0</v>
      </c>
      <c r="AH180" s="73">
        <v>0</v>
      </c>
      <c r="AI180" s="126">
        <v>0</v>
      </c>
      <c r="AJ180" s="96">
        <v>0</v>
      </c>
      <c r="AK180" s="73">
        <v>0</v>
      </c>
      <c r="AL180" s="126">
        <v>278.80909090909</v>
      </c>
      <c r="AM180" s="96">
        <v>0</v>
      </c>
      <c r="AN180" s="73">
        <v>0</v>
      </c>
      <c r="AO180" s="126">
        <v>184.41701149425199</v>
      </c>
      <c r="AP180" s="96">
        <v>0</v>
      </c>
      <c r="AQ180" s="73">
        <v>0</v>
      </c>
      <c r="AR180" s="126">
        <v>394.28721649484498</v>
      </c>
      <c r="AS180" s="96">
        <v>0</v>
      </c>
      <c r="AT180" s="73">
        <v>0</v>
      </c>
      <c r="AU180" s="126">
        <v>350.01805405405401</v>
      </c>
      <c r="AV180" s="96">
        <v>0</v>
      </c>
      <c r="AW180" s="73">
        <v>0</v>
      </c>
      <c r="AX180" s="126">
        <v>0</v>
      </c>
      <c r="AY180" s="96">
        <v>0</v>
      </c>
      <c r="AZ180" s="73"/>
      <c r="BA180" s="126"/>
      <c r="BB180" s="96"/>
      <c r="BC180" s="73"/>
      <c r="BD180" s="126"/>
      <c r="BE180" s="96"/>
      <c r="BF180" s="73"/>
      <c r="BG180" s="126"/>
      <c r="BH180" s="96"/>
    </row>
    <row r="181" spans="3:60" ht="20.25" x14ac:dyDescent="0.3">
      <c r="C181" s="72" t="s">
        <v>64</v>
      </c>
      <c r="D181" s="98">
        <f>+SUM(G181,J181,M181,P181,S181,V181,Y181,AB181,AE181,AH181,AK181,AN181,AQ181,AT181,AW181,AZ181,BC181,BF181)</f>
        <v>344</v>
      </c>
      <c r="E181" s="102">
        <f>+SUM(H181,K181,N181,Q181,T181,W181,Z181,AC181,AF181,AI181,AL181,AO181,AR181,AU181,AX181,BA181,BD181,BG181)</f>
        <v>62837.790000000008</v>
      </c>
      <c r="F181" s="68">
        <f>+SUM(I181,L181,O181,R181,U181,X181,AA181,AD181,AG181,AJ181,AM181,AP181,AS181,AV181,AY181,BB181,BE181,BH181)</f>
        <v>44194.569999999992</v>
      </c>
      <c r="G181" s="98">
        <v>40</v>
      </c>
      <c r="H181" s="102">
        <v>8409.48</v>
      </c>
      <c r="I181" s="68">
        <v>5203.03</v>
      </c>
      <c r="J181" s="98">
        <v>53</v>
      </c>
      <c r="K181" s="102">
        <v>8954.32</v>
      </c>
      <c r="L181" s="68">
        <v>7154.45</v>
      </c>
      <c r="M181" s="98">
        <v>18</v>
      </c>
      <c r="N181" s="102">
        <v>3815.06</v>
      </c>
      <c r="O181" s="68">
        <v>2392.87</v>
      </c>
      <c r="P181" s="98">
        <v>0</v>
      </c>
      <c r="Q181" s="102">
        <v>0</v>
      </c>
      <c r="R181" s="68">
        <v>0</v>
      </c>
      <c r="S181" s="98">
        <v>0</v>
      </c>
      <c r="T181" s="102">
        <v>0</v>
      </c>
      <c r="U181" s="68">
        <v>0</v>
      </c>
      <c r="V181" s="98">
        <v>72</v>
      </c>
      <c r="W181" s="102">
        <v>18375.11</v>
      </c>
      <c r="X181" s="68">
        <v>14406.67</v>
      </c>
      <c r="Y181" s="98">
        <v>21</v>
      </c>
      <c r="Z181" s="102">
        <v>3431.98</v>
      </c>
      <c r="AA181" s="68">
        <v>2171.84</v>
      </c>
      <c r="AB181" s="98">
        <v>32</v>
      </c>
      <c r="AC181" s="102">
        <v>4229.26</v>
      </c>
      <c r="AD181" s="68">
        <v>2122.69</v>
      </c>
      <c r="AE181" s="98">
        <v>0</v>
      </c>
      <c r="AF181" s="102">
        <v>1708.37</v>
      </c>
      <c r="AG181" s="68">
        <v>1563.42</v>
      </c>
      <c r="AH181" s="98">
        <v>7</v>
      </c>
      <c r="AI181" s="102">
        <v>826.64</v>
      </c>
      <c r="AJ181" s="68">
        <v>518.72</v>
      </c>
      <c r="AK181" s="98">
        <v>2</v>
      </c>
      <c r="AL181" s="102">
        <v>156.9</v>
      </c>
      <c r="AM181" s="68">
        <v>131.35</v>
      </c>
      <c r="AN181" s="98">
        <v>68</v>
      </c>
      <c r="AO181" s="102">
        <v>5732.5</v>
      </c>
      <c r="AP181" s="68">
        <v>3354.56</v>
      </c>
      <c r="AQ181" s="98">
        <v>31</v>
      </c>
      <c r="AR181" s="102">
        <v>3428.46</v>
      </c>
      <c r="AS181" s="68">
        <v>2317.56</v>
      </c>
      <c r="AT181" s="98">
        <v>0</v>
      </c>
      <c r="AU181" s="102">
        <v>3769.71</v>
      </c>
      <c r="AV181" s="68">
        <v>2857.41</v>
      </c>
      <c r="AW181" s="98">
        <v>0</v>
      </c>
      <c r="AX181" s="102">
        <v>0</v>
      </c>
      <c r="AY181" s="68">
        <v>0</v>
      </c>
      <c r="AZ181" s="98"/>
      <c r="BA181" s="102"/>
      <c r="BB181" s="68"/>
      <c r="BC181" s="98"/>
      <c r="BD181" s="102"/>
      <c r="BE181" s="68"/>
      <c r="BF181" s="98"/>
      <c r="BG181" s="102"/>
      <c r="BH181" s="68"/>
    </row>
    <row r="182" spans="3:60" ht="20.25" x14ac:dyDescent="0.3">
      <c r="C182" s="8" t="s">
        <v>52</v>
      </c>
      <c r="D182" s="76"/>
      <c r="E182" s="75"/>
      <c r="F182" s="96">
        <f>IF(F181=0,0,F181/E181)</f>
        <v>0.70331197198373763</v>
      </c>
      <c r="G182" s="97">
        <v>0</v>
      </c>
      <c r="H182" s="75">
        <v>210.23699999999999</v>
      </c>
      <c r="I182" s="96">
        <v>0.61871007482032103</v>
      </c>
      <c r="J182" s="76">
        <v>0</v>
      </c>
      <c r="K182" s="75">
        <v>168.94943396226401</v>
      </c>
      <c r="L182" s="96">
        <v>0.79899422848412804</v>
      </c>
      <c r="M182" s="76">
        <v>0</v>
      </c>
      <c r="N182" s="75">
        <v>0</v>
      </c>
      <c r="O182" s="96">
        <v>0.62721687208064802</v>
      </c>
      <c r="P182" s="76">
        <v>0</v>
      </c>
      <c r="Q182" s="75">
        <v>0</v>
      </c>
      <c r="R182" s="96">
        <v>0</v>
      </c>
      <c r="S182" s="76">
        <v>0</v>
      </c>
      <c r="T182" s="75">
        <v>0</v>
      </c>
      <c r="U182" s="96">
        <v>0</v>
      </c>
      <c r="V182" s="76">
        <v>0</v>
      </c>
      <c r="W182" s="75">
        <v>0</v>
      </c>
      <c r="X182" s="96">
        <v>0.78403176906151795</v>
      </c>
      <c r="Y182" s="76">
        <v>0</v>
      </c>
      <c r="Z182" s="75">
        <v>0</v>
      </c>
      <c r="AA182" s="96">
        <v>0.63282420060722899</v>
      </c>
      <c r="AB182" s="76">
        <v>0</v>
      </c>
      <c r="AC182" s="75">
        <v>0</v>
      </c>
      <c r="AD182" s="96">
        <v>0.50190577074949205</v>
      </c>
      <c r="AE182" s="76">
        <v>0</v>
      </c>
      <c r="AF182" s="75">
        <v>0</v>
      </c>
      <c r="AG182" s="96">
        <v>0.915153040617664</v>
      </c>
      <c r="AH182" s="76">
        <v>0</v>
      </c>
      <c r="AI182" s="75">
        <v>118.091428571428</v>
      </c>
      <c r="AJ182" s="96">
        <v>0.62750411303590403</v>
      </c>
      <c r="AK182" s="76">
        <v>0</v>
      </c>
      <c r="AL182" s="75">
        <v>0</v>
      </c>
      <c r="AM182" s="96">
        <v>0.83715742511153501</v>
      </c>
      <c r="AN182" s="76">
        <v>0</v>
      </c>
      <c r="AO182" s="75">
        <v>0</v>
      </c>
      <c r="AP182" s="96">
        <v>0.58518273004797206</v>
      </c>
      <c r="AQ182" s="76">
        <v>0</v>
      </c>
      <c r="AR182" s="75">
        <v>0</v>
      </c>
      <c r="AS182" s="96">
        <v>0.67597696925149997</v>
      </c>
      <c r="AT182" s="76">
        <v>0</v>
      </c>
      <c r="AU182" s="75">
        <v>0</v>
      </c>
      <c r="AV182" s="96">
        <v>0.75799199407911999</v>
      </c>
      <c r="AW182" s="76">
        <v>0</v>
      </c>
      <c r="AX182" s="75">
        <v>0</v>
      </c>
      <c r="AY182" s="96">
        <v>0</v>
      </c>
      <c r="AZ182" s="76"/>
      <c r="BA182" s="75"/>
      <c r="BB182" s="96"/>
      <c r="BC182" s="76"/>
      <c r="BD182" s="75"/>
      <c r="BE182" s="96"/>
      <c r="BF182" s="76"/>
      <c r="BG182" s="75"/>
      <c r="BH182" s="96"/>
    </row>
    <row r="183" spans="3:60" ht="20.25" x14ac:dyDescent="0.3">
      <c r="C183" s="67"/>
      <c r="D183" s="119"/>
      <c r="E183" s="125">
        <f>IFERROR(E181/D181,0)</f>
        <v>182.66799418604654</v>
      </c>
      <c r="F183" s="99"/>
      <c r="G183" s="82">
        <v>0</v>
      </c>
      <c r="H183" s="125">
        <v>0</v>
      </c>
      <c r="I183" s="99">
        <v>0</v>
      </c>
      <c r="J183" s="119">
        <v>0</v>
      </c>
      <c r="K183" s="125">
        <v>0</v>
      </c>
      <c r="L183" s="99">
        <v>0</v>
      </c>
      <c r="M183" s="119">
        <v>0</v>
      </c>
      <c r="N183" s="125">
        <v>0</v>
      </c>
      <c r="O183" s="99">
        <v>0</v>
      </c>
      <c r="P183" s="119">
        <v>0</v>
      </c>
      <c r="Q183" s="125">
        <v>0</v>
      </c>
      <c r="R183" s="99">
        <v>0</v>
      </c>
      <c r="S183" s="119">
        <v>0</v>
      </c>
      <c r="T183" s="125">
        <v>0</v>
      </c>
      <c r="U183" s="99">
        <v>0</v>
      </c>
      <c r="V183" s="119">
        <v>0</v>
      </c>
      <c r="W183" s="125">
        <v>255.209861111111</v>
      </c>
      <c r="X183" s="99">
        <v>0</v>
      </c>
      <c r="Y183" s="119">
        <v>0</v>
      </c>
      <c r="Z183" s="125">
        <v>0</v>
      </c>
      <c r="AA183" s="99">
        <v>0</v>
      </c>
      <c r="AB183" s="119">
        <v>0</v>
      </c>
      <c r="AC183" s="125">
        <v>0</v>
      </c>
      <c r="AD183" s="99">
        <v>0</v>
      </c>
      <c r="AE183" s="119">
        <v>0</v>
      </c>
      <c r="AF183" s="125">
        <v>0</v>
      </c>
      <c r="AG183" s="99">
        <v>0</v>
      </c>
      <c r="AH183" s="119">
        <v>0</v>
      </c>
      <c r="AI183" s="125">
        <v>0</v>
      </c>
      <c r="AJ183" s="99">
        <v>0</v>
      </c>
      <c r="AK183" s="119">
        <v>0</v>
      </c>
      <c r="AL183" s="125">
        <v>78.45</v>
      </c>
      <c r="AM183" s="99">
        <v>0</v>
      </c>
      <c r="AN183" s="119">
        <v>0</v>
      </c>
      <c r="AO183" s="125">
        <v>84.301470588235205</v>
      </c>
      <c r="AP183" s="99">
        <v>0</v>
      </c>
      <c r="AQ183" s="119">
        <v>0</v>
      </c>
      <c r="AR183" s="125">
        <v>110.595483870967</v>
      </c>
      <c r="AS183" s="99">
        <v>0</v>
      </c>
      <c r="AT183" s="119">
        <v>0</v>
      </c>
      <c r="AU183" s="125">
        <v>0</v>
      </c>
      <c r="AV183" s="99">
        <v>0</v>
      </c>
      <c r="AW183" s="119">
        <v>0</v>
      </c>
      <c r="AX183" s="125">
        <v>0</v>
      </c>
      <c r="AY183" s="99">
        <v>0</v>
      </c>
      <c r="AZ183" s="119"/>
      <c r="BA183" s="125"/>
      <c r="BB183" s="99"/>
      <c r="BC183" s="119"/>
      <c r="BD183" s="125"/>
      <c r="BE183" s="99"/>
      <c r="BF183" s="119"/>
      <c r="BG183" s="125"/>
      <c r="BH183" s="99"/>
    </row>
    <row r="184" spans="3:60" ht="21" thickBot="1" x14ac:dyDescent="0.35">
      <c r="C184" s="8" t="s">
        <v>63</v>
      </c>
      <c r="D184" s="73"/>
      <c r="E184" s="90">
        <f>+SUM(H184,K184,N184,Q184,T184,W184,Z184,AC184,AF184,AI184,AL184,AO184,AR184,AU184,AX184,BA184,BD184,BG184)</f>
        <v>0</v>
      </c>
      <c r="F184" s="124">
        <f>+SUM(I184,L184,O184,R184,U184,X184,AA184,AD184,AG184,AJ184,AM184,AP184,AS184,AV184,AY184,BB184,BE184,BH184)</f>
        <v>-66619.794399999999</v>
      </c>
      <c r="G184" s="73">
        <v>0</v>
      </c>
      <c r="H184" s="90">
        <v>0</v>
      </c>
      <c r="I184" s="124">
        <v>-4806.01</v>
      </c>
      <c r="J184" s="73">
        <v>0</v>
      </c>
      <c r="K184" s="90">
        <v>0</v>
      </c>
      <c r="L184" s="124">
        <v>-3355.24</v>
      </c>
      <c r="M184" s="73">
        <v>0</v>
      </c>
      <c r="N184" s="90">
        <v>0</v>
      </c>
      <c r="O184" s="124">
        <v>-1752.17</v>
      </c>
      <c r="P184" s="73">
        <v>0</v>
      </c>
      <c r="Q184" s="90">
        <v>0</v>
      </c>
      <c r="R184" s="124">
        <v>-2368.0300000000002</v>
      </c>
      <c r="S184" s="73">
        <v>0</v>
      </c>
      <c r="T184" s="90">
        <v>0</v>
      </c>
      <c r="U184" s="124">
        <v>-10604.64</v>
      </c>
      <c r="V184" s="73">
        <v>0</v>
      </c>
      <c r="W184" s="90">
        <v>0</v>
      </c>
      <c r="X184" s="124">
        <v>-2780.16</v>
      </c>
      <c r="Y184" s="73">
        <v>0</v>
      </c>
      <c r="Z184" s="90">
        <v>0</v>
      </c>
      <c r="AA184" s="124">
        <v>-6120.8</v>
      </c>
      <c r="AB184" s="73">
        <v>0</v>
      </c>
      <c r="AC184" s="90">
        <v>0</v>
      </c>
      <c r="AD184" s="124">
        <v>-4476.5200000000004</v>
      </c>
      <c r="AE184" s="73">
        <v>0</v>
      </c>
      <c r="AF184" s="90">
        <v>0</v>
      </c>
      <c r="AG184" s="124">
        <v>-6525.94</v>
      </c>
      <c r="AH184" s="73">
        <v>0</v>
      </c>
      <c r="AI184" s="90">
        <v>0</v>
      </c>
      <c r="AJ184" s="124">
        <v>-4527</v>
      </c>
      <c r="AK184" s="73">
        <v>0</v>
      </c>
      <c r="AL184" s="90">
        <v>0</v>
      </c>
      <c r="AM184" s="124">
        <v>-6952.64</v>
      </c>
      <c r="AN184" s="73">
        <v>0</v>
      </c>
      <c r="AO184" s="90">
        <v>0</v>
      </c>
      <c r="AP184" s="124">
        <v>-5318.97</v>
      </c>
      <c r="AQ184" s="73">
        <v>0</v>
      </c>
      <c r="AR184" s="90">
        <v>0</v>
      </c>
      <c r="AS184" s="124">
        <v>-4027.17</v>
      </c>
      <c r="AT184" s="73">
        <v>0</v>
      </c>
      <c r="AU184" s="90">
        <v>0</v>
      </c>
      <c r="AV184" s="124">
        <v>-1540.85</v>
      </c>
      <c r="AW184" s="73">
        <v>0</v>
      </c>
      <c r="AX184" s="90">
        <v>0</v>
      </c>
      <c r="AY184" s="124">
        <v>-1463.6543999999999</v>
      </c>
      <c r="AZ184" s="73"/>
      <c r="BA184" s="90"/>
      <c r="BB184" s="124"/>
      <c r="BC184" s="73"/>
      <c r="BD184" s="90"/>
      <c r="BE184" s="124"/>
      <c r="BF184" s="73"/>
      <c r="BG184" s="90"/>
      <c r="BH184" s="124"/>
    </row>
    <row r="185" spans="3:60" ht="21" thickTop="1" x14ac:dyDescent="0.3">
      <c r="C185" s="123" t="s">
        <v>62</v>
      </c>
      <c r="D185" s="35">
        <f>+SUM(D172:D184)</f>
        <v>10887</v>
      </c>
      <c r="E185" s="122">
        <f>E172+E175+E178+E181+E184</f>
        <v>3443704.9799999995</v>
      </c>
      <c r="F185" s="121">
        <f>F172+F175+F178+F181+F184</f>
        <v>2399435.4399999981</v>
      </c>
      <c r="G185" s="35">
        <v>893</v>
      </c>
      <c r="H185" s="122">
        <v>318582.86</v>
      </c>
      <c r="I185" s="121">
        <v>200970.64</v>
      </c>
      <c r="J185" s="35">
        <v>828</v>
      </c>
      <c r="K185" s="122">
        <v>232742.22</v>
      </c>
      <c r="L185" s="121">
        <v>169960.9</v>
      </c>
      <c r="M185" s="35">
        <v>336</v>
      </c>
      <c r="N185" s="122">
        <v>112122.47999999901</v>
      </c>
      <c r="O185" s="121">
        <v>78799.97</v>
      </c>
      <c r="P185" s="35">
        <v>1032</v>
      </c>
      <c r="Q185" s="122">
        <v>357952.19999999902</v>
      </c>
      <c r="R185" s="121">
        <v>256904.29</v>
      </c>
      <c r="S185" s="35">
        <v>2081</v>
      </c>
      <c r="T185" s="122">
        <v>706947.02</v>
      </c>
      <c r="U185" s="121">
        <v>479798.799999999</v>
      </c>
      <c r="V185" s="35">
        <v>1253</v>
      </c>
      <c r="W185" s="122">
        <v>453626.29</v>
      </c>
      <c r="X185" s="121">
        <v>321162.51</v>
      </c>
      <c r="Y185" s="35">
        <v>368</v>
      </c>
      <c r="Z185" s="122">
        <v>192162.49</v>
      </c>
      <c r="AA185" s="121">
        <v>138874.889999999</v>
      </c>
      <c r="AB185" s="35">
        <v>458</v>
      </c>
      <c r="AC185" s="122">
        <v>119244.21</v>
      </c>
      <c r="AD185" s="121">
        <v>77523.39</v>
      </c>
      <c r="AE185" s="35">
        <v>522</v>
      </c>
      <c r="AF185" s="122">
        <v>195199.51</v>
      </c>
      <c r="AG185" s="121">
        <v>149024.32999999999</v>
      </c>
      <c r="AH185" s="35">
        <v>323</v>
      </c>
      <c r="AI185" s="122">
        <v>88305.87</v>
      </c>
      <c r="AJ185" s="121">
        <v>56296.909999999902</v>
      </c>
      <c r="AK185" s="35">
        <v>138</v>
      </c>
      <c r="AL185" s="122">
        <v>42271.49</v>
      </c>
      <c r="AM185" s="121">
        <v>21594.65</v>
      </c>
      <c r="AN185" s="35">
        <v>976</v>
      </c>
      <c r="AO185" s="122">
        <v>150000.04999999999</v>
      </c>
      <c r="AP185" s="121">
        <v>103245.67</v>
      </c>
      <c r="AQ185" s="35">
        <v>834</v>
      </c>
      <c r="AR185" s="122">
        <v>175900.68999999901</v>
      </c>
      <c r="AS185" s="121">
        <v>121903.23</v>
      </c>
      <c r="AT185" s="35">
        <v>691</v>
      </c>
      <c r="AU185" s="122">
        <v>229865.96999999901</v>
      </c>
      <c r="AV185" s="121">
        <v>169768.51</v>
      </c>
      <c r="AW185" s="35">
        <v>154</v>
      </c>
      <c r="AX185" s="122">
        <v>68781.63</v>
      </c>
      <c r="AY185" s="121">
        <v>53606.75</v>
      </c>
      <c r="AZ185" s="35"/>
      <c r="BA185" s="122"/>
      <c r="BB185" s="121"/>
      <c r="BC185" s="35"/>
      <c r="BD185" s="122"/>
      <c r="BE185" s="121"/>
      <c r="BF185" s="35"/>
      <c r="BG185" s="122"/>
      <c r="BH185" s="121"/>
    </row>
    <row r="186" spans="3:60" ht="20.25" x14ac:dyDescent="0.3">
      <c r="C186" s="120" t="s">
        <v>61</v>
      </c>
      <c r="D186" s="119"/>
      <c r="E186" s="118"/>
      <c r="F186" s="106"/>
      <c r="G186" s="119">
        <v>0</v>
      </c>
      <c r="H186" s="118">
        <v>356.755722284434</v>
      </c>
      <c r="I186" s="106">
        <v>0.630826906381592</v>
      </c>
      <c r="J186" s="119">
        <v>0</v>
      </c>
      <c r="K186" s="118">
        <v>281.08963768115899</v>
      </c>
      <c r="L186" s="106">
        <v>0.730253840493572</v>
      </c>
      <c r="M186" s="119">
        <v>0</v>
      </c>
      <c r="N186" s="118">
        <v>333.697857142857</v>
      </c>
      <c r="O186" s="106">
        <v>0.70280259587550997</v>
      </c>
      <c r="P186" s="119">
        <v>0</v>
      </c>
      <c r="Q186" s="118">
        <v>346.85290697674401</v>
      </c>
      <c r="R186" s="106">
        <v>0.71770557633114096</v>
      </c>
      <c r="S186" s="119">
        <v>0</v>
      </c>
      <c r="T186" s="118">
        <v>339.71505045651099</v>
      </c>
      <c r="U186" s="106">
        <v>0.678691311266861</v>
      </c>
      <c r="V186" s="119">
        <v>0</v>
      </c>
      <c r="W186" s="118">
        <v>362.03215482841102</v>
      </c>
      <c r="X186" s="106">
        <v>0.70798919083812295</v>
      </c>
      <c r="Y186" s="119">
        <v>0</v>
      </c>
      <c r="Z186" s="118">
        <v>522.18067934782596</v>
      </c>
      <c r="AA186" s="106">
        <v>0.72269510038093199</v>
      </c>
      <c r="AB186" s="119">
        <v>0</v>
      </c>
      <c r="AC186" s="118">
        <v>260.35853711790298</v>
      </c>
      <c r="AD186" s="106">
        <v>0.65012288646970695</v>
      </c>
      <c r="AE186" s="119">
        <v>0</v>
      </c>
      <c r="AF186" s="118">
        <v>373.945421455938</v>
      </c>
      <c r="AG186" s="106">
        <v>0.76344622996236</v>
      </c>
      <c r="AH186" s="119">
        <v>0</v>
      </c>
      <c r="AI186" s="118">
        <v>273.392786377709</v>
      </c>
      <c r="AJ186" s="106">
        <v>0.63752171854487105</v>
      </c>
      <c r="AK186" s="119">
        <v>0</v>
      </c>
      <c r="AL186" s="118">
        <v>306.31514492753598</v>
      </c>
      <c r="AM186" s="106">
        <v>0.51085613495052995</v>
      </c>
      <c r="AN186" s="119">
        <v>0</v>
      </c>
      <c r="AO186" s="118">
        <v>153.688575819672</v>
      </c>
      <c r="AP186" s="106">
        <v>0.68830423723192002</v>
      </c>
      <c r="AQ186" s="119">
        <v>0</v>
      </c>
      <c r="AR186" s="118">
        <v>210.912098321342</v>
      </c>
      <c r="AS186" s="106">
        <v>0.69302303475898797</v>
      </c>
      <c r="AT186" s="119">
        <v>0</v>
      </c>
      <c r="AU186" s="118">
        <v>332.65697539797299</v>
      </c>
      <c r="AV186" s="106">
        <v>0.73855434103621298</v>
      </c>
      <c r="AW186" s="119">
        <v>0</v>
      </c>
      <c r="AX186" s="118">
        <v>446.63396103896099</v>
      </c>
      <c r="AY186" s="106">
        <v>0.77937597582377705</v>
      </c>
      <c r="AZ186" s="119"/>
      <c r="BA186" s="118"/>
      <c r="BB186" s="106"/>
      <c r="BC186" s="119"/>
      <c r="BD186" s="118"/>
      <c r="BE186" s="106"/>
      <c r="BF186" s="119"/>
      <c r="BG186" s="118"/>
      <c r="BH186" s="106"/>
    </row>
    <row r="187" spans="3:60" ht="20.25" x14ac:dyDescent="0.3">
      <c r="C187" s="117"/>
      <c r="D187" s="85"/>
      <c r="E187" s="115"/>
      <c r="F187" s="83"/>
      <c r="G187" s="73">
        <v>0</v>
      </c>
      <c r="H187" s="97">
        <v>0</v>
      </c>
      <c r="I187" s="83">
        <v>0</v>
      </c>
      <c r="J187" s="73">
        <v>0</v>
      </c>
      <c r="K187" s="115">
        <v>0</v>
      </c>
      <c r="L187" s="83">
        <v>0</v>
      </c>
      <c r="M187" s="73">
        <v>0</v>
      </c>
      <c r="N187" s="115">
        <v>0</v>
      </c>
      <c r="O187" s="83">
        <v>0</v>
      </c>
      <c r="P187" s="73">
        <v>0</v>
      </c>
      <c r="Q187" s="115">
        <v>0</v>
      </c>
      <c r="R187" s="83">
        <v>0</v>
      </c>
      <c r="S187" s="73">
        <v>0</v>
      </c>
      <c r="T187" s="115">
        <v>0</v>
      </c>
      <c r="U187" s="83">
        <v>0</v>
      </c>
      <c r="V187" s="73">
        <v>0</v>
      </c>
      <c r="W187" s="115">
        <v>0</v>
      </c>
      <c r="X187" s="83">
        <v>0</v>
      </c>
      <c r="Y187" s="73">
        <v>0</v>
      </c>
      <c r="Z187" s="115">
        <v>0</v>
      </c>
      <c r="AA187" s="83">
        <v>53287.6</v>
      </c>
      <c r="AB187" s="73">
        <v>0</v>
      </c>
      <c r="AC187" s="115">
        <v>0</v>
      </c>
      <c r="AD187" s="83">
        <v>0</v>
      </c>
      <c r="AE187" s="73">
        <v>0</v>
      </c>
      <c r="AF187" s="115">
        <v>0</v>
      </c>
      <c r="AG187" s="83">
        <v>0</v>
      </c>
      <c r="AH187" s="73">
        <v>0</v>
      </c>
      <c r="AI187" s="115">
        <v>0</v>
      </c>
      <c r="AJ187" s="83">
        <v>0</v>
      </c>
      <c r="AK187" s="73">
        <v>0</v>
      </c>
      <c r="AL187" s="115">
        <v>0</v>
      </c>
      <c r="AM187" s="83">
        <v>0</v>
      </c>
      <c r="AN187" s="85">
        <v>0</v>
      </c>
      <c r="AO187" s="115">
        <v>0</v>
      </c>
      <c r="AP187" s="83">
        <v>0</v>
      </c>
      <c r="AQ187" s="73">
        <v>0</v>
      </c>
      <c r="AR187" s="115">
        <v>0</v>
      </c>
      <c r="AS187" s="83">
        <v>0</v>
      </c>
      <c r="AT187" s="85">
        <v>0</v>
      </c>
      <c r="AU187" s="115">
        <v>0</v>
      </c>
      <c r="AV187" s="83">
        <v>0</v>
      </c>
      <c r="AW187" s="73">
        <v>0</v>
      </c>
      <c r="AX187" s="115">
        <v>0</v>
      </c>
      <c r="AY187" s="83">
        <v>0</v>
      </c>
      <c r="AZ187" s="73"/>
      <c r="BA187" s="115"/>
      <c r="BB187" s="83"/>
      <c r="BC187" s="85"/>
      <c r="BD187" s="115"/>
      <c r="BE187" s="83"/>
      <c r="BF187" s="85"/>
      <c r="BG187" s="115"/>
      <c r="BH187" s="83"/>
    </row>
    <row r="188" spans="3:60" ht="20.25" x14ac:dyDescent="0.3">
      <c r="C188" s="8" t="s">
        <v>60</v>
      </c>
      <c r="D188" s="73">
        <f>+SUM(G188,J188,M188,P188,S188,V188,Y188,AB188,AE188,AH188,AK188,AN188,AQ188,AT188,AW188,AZ188,BC188,BF188)</f>
        <v>0</v>
      </c>
      <c r="E188" s="97">
        <f>+SUM(H188,K188,N188,Q188,T188,W188,Z188,AC188,AF188,AI188,AL188,AO188,AR188,AU188,AX188,BA188,BD188,BG188)</f>
        <v>332231.97999999986</v>
      </c>
      <c r="F188" s="18">
        <f>+SUM(I188,L188,O188,R188,U188,X188,AA188,AD188,AG188,AJ188,AM188,AP188,AS188,AV188,AY188,BB188,BE188,BH188)</f>
        <v>81710.609999999753</v>
      </c>
      <c r="G188" s="73">
        <v>0</v>
      </c>
      <c r="H188" s="97">
        <v>43575.02</v>
      </c>
      <c r="I188" s="18">
        <v>13852.869999999901</v>
      </c>
      <c r="J188" s="73">
        <v>0</v>
      </c>
      <c r="K188" s="97">
        <v>14649.1899999999</v>
      </c>
      <c r="L188" s="18">
        <v>4782.9499999999898</v>
      </c>
      <c r="M188" s="73">
        <v>0</v>
      </c>
      <c r="N188" s="97">
        <v>5922.63</v>
      </c>
      <c r="O188" s="18">
        <v>1489.23</v>
      </c>
      <c r="P188" s="73">
        <v>0</v>
      </c>
      <c r="Q188" s="97">
        <v>11863.79</v>
      </c>
      <c r="R188" s="18">
        <v>2473.9499999999998</v>
      </c>
      <c r="S188" s="73">
        <v>0</v>
      </c>
      <c r="T188" s="97">
        <v>160784.56</v>
      </c>
      <c r="U188" s="18">
        <v>39988.739999999903</v>
      </c>
      <c r="V188" s="73">
        <v>0</v>
      </c>
      <c r="W188" s="97">
        <v>12457.05</v>
      </c>
      <c r="X188" s="18">
        <v>1364.49999999999</v>
      </c>
      <c r="Y188" s="73">
        <v>0</v>
      </c>
      <c r="Z188" s="97">
        <v>-1125.75</v>
      </c>
      <c r="AA188" s="18">
        <v>1301.8399999999999</v>
      </c>
      <c r="AB188" s="73">
        <v>0</v>
      </c>
      <c r="AC188" s="97">
        <v>11928.59</v>
      </c>
      <c r="AD188" s="18">
        <v>2729.5699999999902</v>
      </c>
      <c r="AE188" s="73">
        <v>0</v>
      </c>
      <c r="AF188" s="97">
        <v>15365.78</v>
      </c>
      <c r="AG188" s="18">
        <v>1414</v>
      </c>
      <c r="AH188" s="73">
        <v>0</v>
      </c>
      <c r="AI188" s="97">
        <v>6310.14</v>
      </c>
      <c r="AJ188" s="18">
        <v>2113.14</v>
      </c>
      <c r="AK188" s="73">
        <v>0</v>
      </c>
      <c r="AL188" s="97">
        <v>1854.5</v>
      </c>
      <c r="AM188" s="18">
        <v>364.5</v>
      </c>
      <c r="AN188" s="73">
        <v>0</v>
      </c>
      <c r="AO188" s="97">
        <v>9513.41</v>
      </c>
      <c r="AP188" s="18">
        <v>2023.93</v>
      </c>
      <c r="AQ188" s="73">
        <v>0</v>
      </c>
      <c r="AR188" s="97">
        <v>11248.99</v>
      </c>
      <c r="AS188" s="18">
        <v>2276.6399999999899</v>
      </c>
      <c r="AT188" s="73">
        <v>0</v>
      </c>
      <c r="AU188" s="97">
        <v>19410.400000000001</v>
      </c>
      <c r="AV188" s="18">
        <v>3435.9</v>
      </c>
      <c r="AW188" s="73">
        <v>0</v>
      </c>
      <c r="AX188" s="97">
        <v>8473.68</v>
      </c>
      <c r="AY188" s="18">
        <v>2098.85</v>
      </c>
      <c r="AZ188" s="73"/>
      <c r="BA188" s="97"/>
      <c r="BB188" s="18"/>
      <c r="BC188" s="73"/>
      <c r="BD188" s="97"/>
      <c r="BE188" s="18"/>
      <c r="BF188" s="73"/>
      <c r="BG188" s="97"/>
      <c r="BH188" s="18"/>
    </row>
    <row r="189" spans="3:60" ht="20.25" x14ac:dyDescent="0.3">
      <c r="C189" s="8" t="s">
        <v>52</v>
      </c>
      <c r="D189" s="76"/>
      <c r="E189" s="75"/>
      <c r="F189" s="96">
        <f>IF(F188=0,0,F188/E188)</f>
        <v>0.24594444520361883</v>
      </c>
      <c r="G189" s="73">
        <v>0</v>
      </c>
      <c r="H189" s="97">
        <v>0</v>
      </c>
      <c r="I189" s="96">
        <v>0.31790851731106401</v>
      </c>
      <c r="J189" s="73">
        <v>0</v>
      </c>
      <c r="K189" s="97">
        <v>0</v>
      </c>
      <c r="L189" s="96">
        <v>0.32649928084760899</v>
      </c>
      <c r="M189" s="73">
        <v>0</v>
      </c>
      <c r="N189" s="97">
        <v>0</v>
      </c>
      <c r="O189" s="96">
        <v>0.25144741440880097</v>
      </c>
      <c r="P189" s="73">
        <v>0</v>
      </c>
      <c r="Q189" s="97">
        <v>0</v>
      </c>
      <c r="R189" s="96">
        <v>0.20852948341128699</v>
      </c>
      <c r="S189" s="73">
        <v>0</v>
      </c>
      <c r="T189" s="97">
        <v>0</v>
      </c>
      <c r="U189" s="96">
        <v>0.24871007514651899</v>
      </c>
      <c r="V189" s="73">
        <v>0</v>
      </c>
      <c r="W189" s="97">
        <v>0</v>
      </c>
      <c r="X189" s="96">
        <v>0.109536366956863</v>
      </c>
      <c r="Y189" s="73">
        <v>0</v>
      </c>
      <c r="Z189" s="97">
        <v>0</v>
      </c>
      <c r="AA189" s="96">
        <v>-1.1564201643348799</v>
      </c>
      <c r="AB189" s="73">
        <v>0</v>
      </c>
      <c r="AC189" s="97">
        <v>0</v>
      </c>
      <c r="AD189" s="96">
        <v>0.22882587128906201</v>
      </c>
      <c r="AE189" s="73">
        <v>0</v>
      </c>
      <c r="AF189" s="97">
        <v>0</v>
      </c>
      <c r="AG189" s="96">
        <v>9.2022663346735395E-2</v>
      </c>
      <c r="AH189" s="73">
        <v>0</v>
      </c>
      <c r="AI189" s="97">
        <v>0</v>
      </c>
      <c r="AJ189" s="96">
        <v>0.33488005020490802</v>
      </c>
      <c r="AK189" s="73">
        <v>0</v>
      </c>
      <c r="AL189" s="97">
        <v>0</v>
      </c>
      <c r="AM189" s="96">
        <v>0.19654893502291701</v>
      </c>
      <c r="AN189" s="76">
        <v>0</v>
      </c>
      <c r="AO189" s="97">
        <v>0</v>
      </c>
      <c r="AP189" s="96">
        <v>0.21274495685563799</v>
      </c>
      <c r="AQ189" s="73">
        <v>0</v>
      </c>
      <c r="AR189" s="97">
        <v>0</v>
      </c>
      <c r="AS189" s="96">
        <v>0.202386169780575</v>
      </c>
      <c r="AT189" s="76">
        <v>0</v>
      </c>
      <c r="AU189" s="97">
        <v>0</v>
      </c>
      <c r="AV189" s="96">
        <v>0.17701335366607501</v>
      </c>
      <c r="AW189" s="73">
        <v>0</v>
      </c>
      <c r="AX189" s="97">
        <v>0</v>
      </c>
      <c r="AY189" s="96">
        <v>0.24769049574683</v>
      </c>
      <c r="AZ189" s="73"/>
      <c r="BA189" s="97"/>
      <c r="BB189" s="96"/>
      <c r="BC189" s="76"/>
      <c r="BD189" s="75"/>
      <c r="BE189" s="96"/>
      <c r="BF189" s="76"/>
      <c r="BG189" s="75"/>
      <c r="BH189" s="96"/>
    </row>
    <row r="190" spans="3:60" ht="20.25" x14ac:dyDescent="0.3">
      <c r="C190" s="8"/>
      <c r="D190" s="76"/>
      <c r="E190" s="75"/>
      <c r="F190" s="96"/>
      <c r="G190" s="73">
        <v>0</v>
      </c>
      <c r="H190" s="97">
        <v>0</v>
      </c>
      <c r="I190" s="96">
        <v>0</v>
      </c>
      <c r="J190" s="73">
        <v>0</v>
      </c>
      <c r="K190" s="97">
        <v>0</v>
      </c>
      <c r="L190" s="96">
        <v>0</v>
      </c>
      <c r="M190" s="73">
        <v>0</v>
      </c>
      <c r="N190" s="97">
        <v>0</v>
      </c>
      <c r="O190" s="96">
        <v>0</v>
      </c>
      <c r="P190" s="73">
        <v>0</v>
      </c>
      <c r="Q190" s="97">
        <v>0</v>
      </c>
      <c r="R190" s="96">
        <v>0</v>
      </c>
      <c r="S190" s="73">
        <v>0</v>
      </c>
      <c r="T190" s="97">
        <v>0</v>
      </c>
      <c r="U190" s="96">
        <v>0</v>
      </c>
      <c r="V190" s="73">
        <v>0</v>
      </c>
      <c r="W190" s="97">
        <v>0</v>
      </c>
      <c r="X190" s="96">
        <v>0</v>
      </c>
      <c r="Y190" s="73">
        <v>0</v>
      </c>
      <c r="Z190" s="97">
        <v>0</v>
      </c>
      <c r="AA190" s="96">
        <v>0</v>
      </c>
      <c r="AB190" s="73">
        <v>0</v>
      </c>
      <c r="AC190" s="97">
        <v>0</v>
      </c>
      <c r="AD190" s="96">
        <v>0</v>
      </c>
      <c r="AE190" s="73">
        <v>0</v>
      </c>
      <c r="AF190" s="97">
        <v>0</v>
      </c>
      <c r="AG190" s="96">
        <v>0</v>
      </c>
      <c r="AH190" s="73">
        <v>0</v>
      </c>
      <c r="AI190" s="97">
        <v>0</v>
      </c>
      <c r="AJ190" s="96">
        <v>0.33488005020490802</v>
      </c>
      <c r="AK190" s="73">
        <v>0</v>
      </c>
      <c r="AL190" s="97">
        <v>0</v>
      </c>
      <c r="AM190" s="96">
        <v>0</v>
      </c>
      <c r="AN190" s="76">
        <v>0</v>
      </c>
      <c r="AO190" s="97">
        <v>0</v>
      </c>
      <c r="AP190" s="96">
        <v>0</v>
      </c>
      <c r="AQ190" s="73">
        <v>0</v>
      </c>
      <c r="AR190" s="97">
        <v>0</v>
      </c>
      <c r="AS190" s="96">
        <v>0</v>
      </c>
      <c r="AT190" s="76">
        <v>0</v>
      </c>
      <c r="AU190" s="97">
        <v>0</v>
      </c>
      <c r="AV190" s="96">
        <v>0</v>
      </c>
      <c r="AW190" s="73">
        <v>0</v>
      </c>
      <c r="AX190" s="97">
        <v>0</v>
      </c>
      <c r="AY190" s="96">
        <v>0</v>
      </c>
      <c r="AZ190" s="73"/>
      <c r="BA190" s="97"/>
      <c r="BB190" s="96"/>
      <c r="BC190" s="76"/>
      <c r="BD190" s="75"/>
      <c r="BE190" s="96"/>
      <c r="BF190" s="76"/>
      <c r="BG190" s="75"/>
      <c r="BH190" s="96"/>
    </row>
    <row r="191" spans="3:60" ht="20.25" x14ac:dyDescent="0.3">
      <c r="C191" s="8" t="s">
        <v>59</v>
      </c>
      <c r="D191" s="73">
        <f>+SUM(G191,J191,M191,P191,S191,V191,Y191,AB191,AE191,AH191,AK191,AN191,AQ191,AT191,AW191,AZ191,BC191,BF191)</f>
        <v>103</v>
      </c>
      <c r="E191" s="97">
        <f>+SUM(H191,K191,N191,Q191,T191,W191,Z191,AC191,AF191,AI191,AL191,AO191,AR191,AU191,AX191,BA191,BD191,BG191)</f>
        <v>14746.7</v>
      </c>
      <c r="F191" s="18">
        <f>+SUM(I191,L191,O191,R191,U191,X191,AA191,AD191,AG191,AJ191,AM191,AP191,AS191,AV191,AY191,BB191,BE191,BH191)</f>
        <v>7269.45</v>
      </c>
      <c r="G191" s="73">
        <v>0</v>
      </c>
      <c r="H191" s="97">
        <v>0</v>
      </c>
      <c r="I191" s="18">
        <v>0</v>
      </c>
      <c r="J191" s="73">
        <v>0</v>
      </c>
      <c r="K191" s="97">
        <v>0</v>
      </c>
      <c r="L191" s="18">
        <v>0</v>
      </c>
      <c r="M191" s="73">
        <v>0</v>
      </c>
      <c r="N191" s="97">
        <v>0</v>
      </c>
      <c r="O191" s="18">
        <v>0</v>
      </c>
      <c r="P191" s="73">
        <v>0</v>
      </c>
      <c r="Q191" s="97">
        <v>0</v>
      </c>
      <c r="R191" s="18">
        <v>0</v>
      </c>
      <c r="S191" s="73">
        <v>0</v>
      </c>
      <c r="T191" s="97">
        <v>0</v>
      </c>
      <c r="U191" s="18">
        <v>0</v>
      </c>
      <c r="V191" s="73">
        <v>0</v>
      </c>
      <c r="W191" s="97">
        <v>0</v>
      </c>
      <c r="X191" s="18">
        <v>0</v>
      </c>
      <c r="Y191" s="73">
        <v>0</v>
      </c>
      <c r="Z191" s="97">
        <v>0</v>
      </c>
      <c r="AA191" s="18">
        <v>0</v>
      </c>
      <c r="AB191" s="73">
        <v>0</v>
      </c>
      <c r="AC191" s="97">
        <v>0</v>
      </c>
      <c r="AD191" s="18">
        <v>0</v>
      </c>
      <c r="AE191" s="73">
        <v>0</v>
      </c>
      <c r="AF191" s="97">
        <v>0</v>
      </c>
      <c r="AG191" s="18">
        <v>0</v>
      </c>
      <c r="AH191" s="73">
        <v>0</v>
      </c>
      <c r="AI191" s="97">
        <v>0</v>
      </c>
      <c r="AJ191" s="18">
        <v>0</v>
      </c>
      <c r="AK191" s="73">
        <v>0</v>
      </c>
      <c r="AL191" s="97">
        <v>0</v>
      </c>
      <c r="AM191" s="18">
        <v>0</v>
      </c>
      <c r="AN191" s="76">
        <v>71</v>
      </c>
      <c r="AO191" s="97">
        <v>7822.75</v>
      </c>
      <c r="AP191" s="18">
        <v>1931.5</v>
      </c>
      <c r="AQ191" s="73">
        <v>0</v>
      </c>
      <c r="AR191" s="97">
        <v>0</v>
      </c>
      <c r="AS191" s="18">
        <v>0</v>
      </c>
      <c r="AT191" s="76">
        <v>32</v>
      </c>
      <c r="AU191" s="97">
        <v>6923.95</v>
      </c>
      <c r="AV191" s="18">
        <v>5337.95</v>
      </c>
      <c r="AW191" s="73">
        <v>0</v>
      </c>
      <c r="AX191" s="97">
        <v>0</v>
      </c>
      <c r="AY191" s="18">
        <v>0</v>
      </c>
      <c r="AZ191" s="73"/>
      <c r="BA191" s="97"/>
      <c r="BB191" s="18"/>
      <c r="BC191" s="76"/>
      <c r="BD191" s="97"/>
      <c r="BE191" s="96"/>
      <c r="BF191" s="76"/>
      <c r="BG191" s="97"/>
      <c r="BH191" s="96"/>
    </row>
    <row r="192" spans="3:60" ht="20.25" x14ac:dyDescent="0.3">
      <c r="C192" s="8" t="s">
        <v>52</v>
      </c>
      <c r="D192" s="76"/>
      <c r="E192" s="75"/>
      <c r="F192" s="96">
        <f>IF(F191=0,0,F191/E191)</f>
        <v>0.49295435588979225</v>
      </c>
      <c r="G192" s="73">
        <v>0</v>
      </c>
      <c r="H192" s="97">
        <v>0</v>
      </c>
      <c r="I192" s="96">
        <v>0</v>
      </c>
      <c r="J192" s="73">
        <v>0</v>
      </c>
      <c r="K192" s="97">
        <v>0</v>
      </c>
      <c r="L192" s="96">
        <v>0</v>
      </c>
      <c r="M192" s="73">
        <v>0</v>
      </c>
      <c r="N192" s="97">
        <v>0</v>
      </c>
      <c r="O192" s="96">
        <v>0</v>
      </c>
      <c r="P192" s="73">
        <v>0</v>
      </c>
      <c r="Q192" s="97">
        <v>0</v>
      </c>
      <c r="R192" s="96">
        <v>0</v>
      </c>
      <c r="S192" s="73">
        <v>0</v>
      </c>
      <c r="T192" s="97">
        <v>0</v>
      </c>
      <c r="U192" s="96">
        <v>0</v>
      </c>
      <c r="V192" s="73">
        <v>0</v>
      </c>
      <c r="W192" s="97">
        <v>0</v>
      </c>
      <c r="X192" s="96">
        <v>0</v>
      </c>
      <c r="Y192" s="73">
        <v>0</v>
      </c>
      <c r="Z192" s="97">
        <v>0</v>
      </c>
      <c r="AA192" s="96">
        <v>0</v>
      </c>
      <c r="AB192" s="73">
        <v>0</v>
      </c>
      <c r="AC192" s="97">
        <v>0</v>
      </c>
      <c r="AD192" s="96">
        <v>0</v>
      </c>
      <c r="AE192" s="73">
        <v>0</v>
      </c>
      <c r="AF192" s="97">
        <v>0</v>
      </c>
      <c r="AG192" s="96">
        <v>0</v>
      </c>
      <c r="AH192" s="73">
        <v>0</v>
      </c>
      <c r="AI192" s="97">
        <v>0</v>
      </c>
      <c r="AJ192" s="96">
        <v>0</v>
      </c>
      <c r="AK192" s="73">
        <v>0</v>
      </c>
      <c r="AL192" s="97">
        <v>0</v>
      </c>
      <c r="AM192" s="96">
        <v>0</v>
      </c>
      <c r="AN192" s="76">
        <v>0</v>
      </c>
      <c r="AO192" s="97">
        <v>110.179577464788</v>
      </c>
      <c r="AP192" s="96">
        <v>0.246908056629701</v>
      </c>
      <c r="AQ192" s="73">
        <v>0</v>
      </c>
      <c r="AR192" s="97">
        <v>0</v>
      </c>
      <c r="AS192" s="96">
        <v>0</v>
      </c>
      <c r="AT192" s="76">
        <v>0</v>
      </c>
      <c r="AU192" s="97">
        <v>0</v>
      </c>
      <c r="AV192" s="96">
        <v>0.77093999812245895</v>
      </c>
      <c r="AW192" s="73">
        <v>0</v>
      </c>
      <c r="AX192" s="97">
        <v>0</v>
      </c>
      <c r="AY192" s="96">
        <v>0</v>
      </c>
      <c r="AZ192" s="73"/>
      <c r="BA192" s="97"/>
      <c r="BB192" s="96"/>
      <c r="BC192" s="76"/>
      <c r="BD192" s="75"/>
      <c r="BE192" s="96"/>
      <c r="BF192" s="76"/>
      <c r="BG192" s="75"/>
      <c r="BH192" s="96"/>
    </row>
    <row r="193" spans="3:60" ht="21" thickBot="1" x14ac:dyDescent="0.35">
      <c r="C193" s="116"/>
      <c r="D193" s="85"/>
      <c r="E193" s="115"/>
      <c r="F193" s="83"/>
      <c r="G193" s="85">
        <v>0</v>
      </c>
      <c r="H193" s="115">
        <v>0</v>
      </c>
      <c r="I193" s="83">
        <v>0</v>
      </c>
      <c r="J193" s="85">
        <v>0</v>
      </c>
      <c r="K193" s="115">
        <v>0</v>
      </c>
      <c r="L193" s="83">
        <v>0</v>
      </c>
      <c r="M193" s="85">
        <v>0</v>
      </c>
      <c r="N193" s="115">
        <v>0</v>
      </c>
      <c r="O193" s="83">
        <v>0</v>
      </c>
      <c r="P193" s="85">
        <v>0</v>
      </c>
      <c r="Q193" s="115">
        <v>0</v>
      </c>
      <c r="R193" s="83">
        <v>0</v>
      </c>
      <c r="S193" s="85">
        <v>0</v>
      </c>
      <c r="T193" s="115">
        <v>0</v>
      </c>
      <c r="U193" s="83">
        <v>0</v>
      </c>
      <c r="V193" s="85">
        <v>0</v>
      </c>
      <c r="W193" s="115">
        <v>0</v>
      </c>
      <c r="X193" s="83">
        <v>0</v>
      </c>
      <c r="Y193" s="85">
        <v>0</v>
      </c>
      <c r="Z193" s="115">
        <v>0</v>
      </c>
      <c r="AA193" s="83">
        <v>0</v>
      </c>
      <c r="AB193" s="85">
        <v>0</v>
      </c>
      <c r="AC193" s="115">
        <v>0</v>
      </c>
      <c r="AD193" s="83">
        <v>0</v>
      </c>
      <c r="AE193" s="85">
        <v>0</v>
      </c>
      <c r="AF193" s="115">
        <v>0</v>
      </c>
      <c r="AG193" s="83">
        <v>0</v>
      </c>
      <c r="AH193" s="85">
        <v>0</v>
      </c>
      <c r="AI193" s="115">
        <v>0</v>
      </c>
      <c r="AJ193" s="83">
        <v>0</v>
      </c>
      <c r="AK193" s="85">
        <v>0</v>
      </c>
      <c r="AL193" s="115">
        <v>0</v>
      </c>
      <c r="AM193" s="83">
        <v>0</v>
      </c>
      <c r="AN193" s="85">
        <v>0</v>
      </c>
      <c r="AO193" s="115">
        <v>0</v>
      </c>
      <c r="AP193" s="83">
        <v>0</v>
      </c>
      <c r="AQ193" s="85">
        <v>0</v>
      </c>
      <c r="AR193" s="115">
        <v>0</v>
      </c>
      <c r="AS193" s="83">
        <v>0</v>
      </c>
      <c r="AT193" s="85">
        <v>373.52021428571402</v>
      </c>
      <c r="AU193" s="115">
        <v>104585.66</v>
      </c>
      <c r="AV193" s="83">
        <v>280</v>
      </c>
      <c r="AW193" s="85">
        <v>0</v>
      </c>
      <c r="AX193" s="115">
        <v>0</v>
      </c>
      <c r="AY193" s="83">
        <v>0</v>
      </c>
      <c r="AZ193" s="85"/>
      <c r="BA193" s="115"/>
      <c r="BB193" s="83"/>
      <c r="BC193" s="85"/>
      <c r="BD193" s="115"/>
      <c r="BE193" s="83"/>
      <c r="BF193" s="85"/>
      <c r="BG193" s="115"/>
      <c r="BH193" s="83"/>
    </row>
    <row r="194" spans="3:60" ht="21" thickTop="1" x14ac:dyDescent="0.3">
      <c r="C194" s="43" t="s">
        <v>51</v>
      </c>
      <c r="D194" s="114"/>
      <c r="E194" s="113">
        <f>E185+E188+E191</f>
        <v>3790683.6599999997</v>
      </c>
      <c r="F194" s="112">
        <f>F185+F188+F191</f>
        <v>2488415.4999999981</v>
      </c>
      <c r="G194" s="114">
        <v>0</v>
      </c>
      <c r="H194" s="113">
        <v>362157.88</v>
      </c>
      <c r="I194" s="112">
        <v>214823.51</v>
      </c>
      <c r="J194" s="114">
        <v>0</v>
      </c>
      <c r="K194" s="113">
        <v>247391.41</v>
      </c>
      <c r="L194" s="112">
        <v>174743.85</v>
      </c>
      <c r="M194" s="114">
        <v>0</v>
      </c>
      <c r="N194" s="113">
        <v>118045.109999999</v>
      </c>
      <c r="O194" s="112">
        <v>80289.2</v>
      </c>
      <c r="P194" s="114">
        <v>0</v>
      </c>
      <c r="Q194" s="113">
        <v>369815.989999999</v>
      </c>
      <c r="R194" s="112">
        <v>259378.24</v>
      </c>
      <c r="S194" s="114">
        <v>0</v>
      </c>
      <c r="T194" s="113">
        <v>867731.58</v>
      </c>
      <c r="U194" s="112">
        <v>519787.53999999899</v>
      </c>
      <c r="V194" s="114">
        <v>0</v>
      </c>
      <c r="W194" s="113">
        <v>466083.33999999898</v>
      </c>
      <c r="X194" s="112">
        <v>322527.01</v>
      </c>
      <c r="Y194" s="114">
        <v>0</v>
      </c>
      <c r="Z194" s="113">
        <v>191036.74</v>
      </c>
      <c r="AA194" s="112">
        <v>140176.72999999899</v>
      </c>
      <c r="AB194" s="114">
        <v>0</v>
      </c>
      <c r="AC194" s="113">
        <v>131172.79999999999</v>
      </c>
      <c r="AD194" s="112">
        <v>80252.959999999905</v>
      </c>
      <c r="AE194" s="114">
        <v>0</v>
      </c>
      <c r="AF194" s="113">
        <v>210565.29</v>
      </c>
      <c r="AG194" s="112">
        <v>150438.32999999999</v>
      </c>
      <c r="AH194" s="114">
        <v>0</v>
      </c>
      <c r="AI194" s="113">
        <v>94616.01</v>
      </c>
      <c r="AJ194" s="112">
        <v>58410.049999999901</v>
      </c>
      <c r="AK194" s="114">
        <v>0</v>
      </c>
      <c r="AL194" s="113">
        <v>44125.99</v>
      </c>
      <c r="AM194" s="112">
        <v>21959.15</v>
      </c>
      <c r="AN194" s="114">
        <v>0</v>
      </c>
      <c r="AO194" s="113">
        <v>167336.21</v>
      </c>
      <c r="AP194" s="112">
        <v>107201.1</v>
      </c>
      <c r="AQ194" s="114">
        <v>0</v>
      </c>
      <c r="AR194" s="113">
        <v>187149.679999999</v>
      </c>
      <c r="AS194" s="112">
        <v>124179.87</v>
      </c>
      <c r="AT194" s="114">
        <v>0</v>
      </c>
      <c r="AU194" s="113">
        <v>256200.31999999899</v>
      </c>
      <c r="AV194" s="112">
        <v>178542.36</v>
      </c>
      <c r="AW194" s="114">
        <v>0</v>
      </c>
      <c r="AX194" s="113">
        <v>77255.31</v>
      </c>
      <c r="AY194" s="112">
        <v>55705.599999999999</v>
      </c>
      <c r="AZ194" s="114"/>
      <c r="BA194" s="113"/>
      <c r="BB194" s="112"/>
      <c r="BC194" s="114"/>
      <c r="BD194" s="113"/>
      <c r="BE194" s="112"/>
      <c r="BF194" s="114"/>
      <c r="BG194" s="113"/>
      <c r="BH194" s="112"/>
    </row>
    <row r="195" spans="3:60" ht="21" thickBot="1" x14ac:dyDescent="0.35">
      <c r="C195" s="40"/>
      <c r="D195" s="111"/>
      <c r="E195" s="110"/>
      <c r="F195" s="107"/>
      <c r="G195" s="111">
        <v>0</v>
      </c>
      <c r="H195" s="110">
        <v>0</v>
      </c>
      <c r="I195" s="107">
        <v>0.59317640693059004</v>
      </c>
      <c r="J195" s="111">
        <v>0</v>
      </c>
      <c r="K195" s="110">
        <v>0</v>
      </c>
      <c r="L195" s="107">
        <v>0.70634566495255402</v>
      </c>
      <c r="M195" s="111">
        <v>0</v>
      </c>
      <c r="N195" s="110">
        <v>0</v>
      </c>
      <c r="O195" s="107">
        <v>0.68015693322662796</v>
      </c>
      <c r="P195" s="111">
        <v>0</v>
      </c>
      <c r="Q195" s="110">
        <v>0</v>
      </c>
      <c r="R195" s="107">
        <v>0.70137107916831798</v>
      </c>
      <c r="S195" s="111">
        <v>0</v>
      </c>
      <c r="T195" s="110">
        <v>0</v>
      </c>
      <c r="U195" s="107">
        <v>0.59901881178509098</v>
      </c>
      <c r="V195" s="111">
        <v>0</v>
      </c>
      <c r="W195" s="110">
        <v>0</v>
      </c>
      <c r="X195" s="107">
        <v>0.69199429011987401</v>
      </c>
      <c r="Y195" s="109">
        <v>0</v>
      </c>
      <c r="Z195" s="108">
        <v>0</v>
      </c>
      <c r="AA195" s="107">
        <v>0.73376843637511802</v>
      </c>
      <c r="AB195" s="109">
        <v>0</v>
      </c>
      <c r="AC195" s="108">
        <v>0</v>
      </c>
      <c r="AD195" s="107">
        <v>0.61181098520424904</v>
      </c>
      <c r="AE195" s="109">
        <v>0</v>
      </c>
      <c r="AF195" s="108">
        <v>0</v>
      </c>
      <c r="AG195" s="107">
        <v>0.71444980319405904</v>
      </c>
      <c r="AH195" s="109">
        <v>0</v>
      </c>
      <c r="AI195" s="108">
        <v>0</v>
      </c>
      <c r="AJ195" s="107">
        <v>0.61733791141689398</v>
      </c>
      <c r="AK195" s="109">
        <v>0</v>
      </c>
      <c r="AL195" s="108">
        <v>0</v>
      </c>
      <c r="AM195" s="107">
        <v>0.49764662503889401</v>
      </c>
      <c r="AN195" s="109">
        <v>0</v>
      </c>
      <c r="AO195" s="108">
        <v>0</v>
      </c>
      <c r="AP195" s="107">
        <v>0.64063301063170897</v>
      </c>
      <c r="AQ195" s="109">
        <v>0</v>
      </c>
      <c r="AR195" s="108">
        <v>0</v>
      </c>
      <c r="AS195" s="107">
        <v>0.66353236617877198</v>
      </c>
      <c r="AT195" s="109">
        <v>0</v>
      </c>
      <c r="AU195" s="108">
        <v>0</v>
      </c>
      <c r="AV195" s="107">
        <v>0.69688578062665896</v>
      </c>
      <c r="AW195" s="109">
        <v>0</v>
      </c>
      <c r="AX195" s="108">
        <v>0</v>
      </c>
      <c r="AY195" s="107">
        <v>0.72105852659189296</v>
      </c>
      <c r="AZ195" s="109"/>
      <c r="BA195" s="108"/>
      <c r="BB195" s="107"/>
      <c r="BC195" s="109"/>
      <c r="BD195" s="108"/>
      <c r="BE195" s="107"/>
      <c r="BF195" s="109"/>
      <c r="BG195" s="108"/>
      <c r="BH195" s="107"/>
    </row>
    <row r="196" spans="3:60" ht="21" thickTop="1" x14ac:dyDescent="0.3">
      <c r="C196" s="32"/>
      <c r="D196" s="32"/>
      <c r="E196" s="31"/>
      <c r="F196" s="106"/>
      <c r="G196" s="32">
        <v>0</v>
      </c>
      <c r="H196" s="31">
        <v>0</v>
      </c>
      <c r="I196" s="106">
        <v>0</v>
      </c>
      <c r="J196" s="32">
        <v>0</v>
      </c>
      <c r="K196" s="31">
        <v>0</v>
      </c>
      <c r="L196" s="106">
        <v>0</v>
      </c>
      <c r="M196" s="32">
        <v>0</v>
      </c>
      <c r="N196" s="31">
        <v>0</v>
      </c>
      <c r="O196" s="106">
        <v>0</v>
      </c>
      <c r="P196" s="32">
        <v>0</v>
      </c>
      <c r="Q196" s="31">
        <v>0</v>
      </c>
      <c r="R196" s="106">
        <v>0</v>
      </c>
      <c r="S196" s="32">
        <v>0</v>
      </c>
      <c r="T196" s="31">
        <v>0</v>
      </c>
      <c r="U196" s="106">
        <v>0</v>
      </c>
      <c r="V196" s="32">
        <v>0</v>
      </c>
      <c r="W196" s="31">
        <v>0</v>
      </c>
      <c r="X196" s="106">
        <v>0</v>
      </c>
      <c r="Y196" s="32">
        <v>0</v>
      </c>
      <c r="Z196" s="31">
        <v>0</v>
      </c>
      <c r="AA196" s="106">
        <v>0</v>
      </c>
      <c r="AB196" s="32">
        <v>0</v>
      </c>
      <c r="AC196" s="31">
        <v>0</v>
      </c>
      <c r="AD196" s="106">
        <v>0</v>
      </c>
      <c r="AE196" s="32">
        <v>0</v>
      </c>
      <c r="AF196" s="31">
        <v>0</v>
      </c>
      <c r="AG196" s="106">
        <v>0</v>
      </c>
      <c r="AH196" s="32">
        <v>0</v>
      </c>
      <c r="AI196" s="31">
        <v>0</v>
      </c>
      <c r="AJ196" s="106">
        <v>0</v>
      </c>
      <c r="AK196" s="32">
        <v>0</v>
      </c>
      <c r="AL196" s="31">
        <v>0</v>
      </c>
      <c r="AM196" s="106">
        <v>0</v>
      </c>
      <c r="AN196" s="32">
        <v>0</v>
      </c>
      <c r="AO196" s="31">
        <v>0</v>
      </c>
      <c r="AP196" s="106">
        <v>0</v>
      </c>
      <c r="AQ196" s="32">
        <v>0</v>
      </c>
      <c r="AR196" s="31">
        <v>0</v>
      </c>
      <c r="AS196" s="106">
        <v>0</v>
      </c>
      <c r="AT196" s="32">
        <v>0</v>
      </c>
      <c r="AU196" s="31">
        <v>0</v>
      </c>
      <c r="AV196" s="106">
        <v>0</v>
      </c>
      <c r="AW196" s="32">
        <v>0</v>
      </c>
      <c r="AX196" s="31">
        <v>0</v>
      </c>
      <c r="AY196" s="106">
        <v>0</v>
      </c>
      <c r="AZ196" s="32"/>
      <c r="BA196" s="31"/>
      <c r="BB196" s="106"/>
      <c r="BC196" s="32"/>
      <c r="BD196" s="31"/>
      <c r="BE196" s="106"/>
      <c r="BF196" s="32"/>
      <c r="BG196" s="31"/>
      <c r="BH196" s="106"/>
    </row>
    <row r="197" spans="3:60" ht="20.25" x14ac:dyDescent="0.3">
      <c r="C197" s="29" t="s">
        <v>28</v>
      </c>
      <c r="D197" s="8"/>
      <c r="E197" s="7"/>
      <c r="F197" s="6">
        <f t="shared" ref="F197:F209" si="13">+SUM(I197,L197,O197,R197,U197,X197,AA197,AD197,AG197,AJ197,AM197,AP197,AS197,AV197,AY197,BB197,BE197,BH197)</f>
        <v>0</v>
      </c>
      <c r="G197" s="8">
        <v>0</v>
      </c>
      <c r="H197" s="7">
        <v>0</v>
      </c>
      <c r="I197" s="6">
        <v>0</v>
      </c>
      <c r="J197" s="8">
        <v>0</v>
      </c>
      <c r="K197" s="7">
        <v>0</v>
      </c>
      <c r="L197" s="6">
        <v>0</v>
      </c>
      <c r="M197" s="8">
        <v>0</v>
      </c>
      <c r="N197" s="7">
        <v>0</v>
      </c>
      <c r="O197" s="6">
        <v>0</v>
      </c>
      <c r="P197" s="8">
        <v>0</v>
      </c>
      <c r="Q197" s="7">
        <v>0</v>
      </c>
      <c r="R197" s="6">
        <v>0</v>
      </c>
      <c r="S197" s="8">
        <v>0</v>
      </c>
      <c r="T197" s="7">
        <v>0</v>
      </c>
      <c r="U197" s="6">
        <v>0</v>
      </c>
      <c r="V197" s="8">
        <v>0</v>
      </c>
      <c r="W197" s="7">
        <v>0</v>
      </c>
      <c r="X197" s="6">
        <v>0</v>
      </c>
      <c r="Y197" s="8">
        <v>0</v>
      </c>
      <c r="Z197" s="7">
        <v>0</v>
      </c>
      <c r="AA197" s="6">
        <v>0</v>
      </c>
      <c r="AB197" s="8">
        <v>0</v>
      </c>
      <c r="AC197" s="7">
        <v>0</v>
      </c>
      <c r="AD197" s="6">
        <v>0</v>
      </c>
      <c r="AE197" s="8">
        <v>0</v>
      </c>
      <c r="AF197" s="7">
        <v>0</v>
      </c>
      <c r="AG197" s="6">
        <v>0</v>
      </c>
      <c r="AH197" s="8">
        <v>0</v>
      </c>
      <c r="AI197" s="7">
        <v>0</v>
      </c>
      <c r="AJ197" s="6">
        <v>0</v>
      </c>
      <c r="AK197" s="8">
        <v>0</v>
      </c>
      <c r="AL197" s="7">
        <v>0</v>
      </c>
      <c r="AM197" s="6">
        <v>0</v>
      </c>
      <c r="AN197" s="8">
        <v>0</v>
      </c>
      <c r="AO197" s="7">
        <v>0</v>
      </c>
      <c r="AP197" s="6">
        <v>0</v>
      </c>
      <c r="AQ197" s="8">
        <v>0</v>
      </c>
      <c r="AR197" s="7">
        <v>0</v>
      </c>
      <c r="AS197" s="6">
        <v>0</v>
      </c>
      <c r="AT197" s="8">
        <v>0</v>
      </c>
      <c r="AU197" s="7">
        <v>0</v>
      </c>
      <c r="AV197" s="6">
        <v>0</v>
      </c>
      <c r="AW197" s="8">
        <v>0</v>
      </c>
      <c r="AX197" s="7">
        <v>0</v>
      </c>
      <c r="AY197" s="6">
        <v>0</v>
      </c>
      <c r="AZ197" s="8"/>
      <c r="BA197" s="7"/>
      <c r="BB197" s="6"/>
      <c r="BC197" s="8"/>
      <c r="BD197" s="7"/>
      <c r="BE197" s="6"/>
      <c r="BF197" s="8"/>
      <c r="BG197" s="7"/>
      <c r="BH197" s="6"/>
    </row>
    <row r="198" spans="3:60" ht="20.25" x14ac:dyDescent="0.3">
      <c r="C198" s="17" t="s">
        <v>27</v>
      </c>
      <c r="D198" s="8"/>
      <c r="E198" s="7"/>
      <c r="F198" s="18">
        <f t="shared" si="13"/>
        <v>182622.68999999997</v>
      </c>
      <c r="G198" s="8">
        <v>0</v>
      </c>
      <c r="H198" s="7">
        <v>0</v>
      </c>
      <c r="I198" s="18">
        <v>8862.85</v>
      </c>
      <c r="J198" s="8">
        <v>0</v>
      </c>
      <c r="K198" s="7">
        <v>0</v>
      </c>
      <c r="L198" s="18">
        <v>9905.7199999999993</v>
      </c>
      <c r="M198" s="8">
        <v>0</v>
      </c>
      <c r="N198" s="7">
        <v>0</v>
      </c>
      <c r="O198" s="18">
        <v>12847.5</v>
      </c>
      <c r="P198" s="8">
        <v>0</v>
      </c>
      <c r="Q198" s="7">
        <v>0</v>
      </c>
      <c r="R198" s="18">
        <v>10990.89</v>
      </c>
      <c r="S198" s="8">
        <v>0</v>
      </c>
      <c r="T198" s="7">
        <v>0</v>
      </c>
      <c r="U198" s="18">
        <v>28817.35</v>
      </c>
      <c r="V198" s="8">
        <v>0</v>
      </c>
      <c r="W198" s="7">
        <v>0</v>
      </c>
      <c r="X198" s="18">
        <v>9720.7199999999993</v>
      </c>
      <c r="Y198" s="8">
        <v>0</v>
      </c>
      <c r="Z198" s="7">
        <v>0</v>
      </c>
      <c r="AA198" s="18">
        <v>9031.74</v>
      </c>
      <c r="AB198" s="8">
        <v>0</v>
      </c>
      <c r="AC198" s="7">
        <v>0</v>
      </c>
      <c r="AD198" s="18">
        <v>11796.44</v>
      </c>
      <c r="AE198" s="8">
        <v>0</v>
      </c>
      <c r="AF198" s="7">
        <v>0</v>
      </c>
      <c r="AG198" s="18">
        <v>9924.58</v>
      </c>
      <c r="AH198" s="8">
        <v>0</v>
      </c>
      <c r="AI198" s="7">
        <v>0</v>
      </c>
      <c r="AJ198" s="18">
        <v>10108.93</v>
      </c>
      <c r="AK198" s="8">
        <v>0</v>
      </c>
      <c r="AL198" s="7">
        <v>0</v>
      </c>
      <c r="AM198" s="18">
        <v>7062.49</v>
      </c>
      <c r="AN198" s="8">
        <v>0</v>
      </c>
      <c r="AO198" s="7">
        <v>0</v>
      </c>
      <c r="AP198" s="18">
        <v>16004.47</v>
      </c>
      <c r="AQ198" s="8">
        <v>0</v>
      </c>
      <c r="AR198" s="7">
        <v>0</v>
      </c>
      <c r="AS198" s="18">
        <v>12508.61</v>
      </c>
      <c r="AT198" s="8">
        <v>0</v>
      </c>
      <c r="AU198" s="7">
        <v>0</v>
      </c>
      <c r="AV198" s="18">
        <v>14675.88</v>
      </c>
      <c r="AW198" s="8">
        <v>0</v>
      </c>
      <c r="AX198" s="7">
        <v>0</v>
      </c>
      <c r="AY198" s="18">
        <v>10364.52</v>
      </c>
      <c r="AZ198" s="8"/>
      <c r="BA198" s="7"/>
      <c r="BB198" s="18"/>
      <c r="BC198" s="8"/>
      <c r="BD198" s="7"/>
      <c r="BE198" s="18"/>
      <c r="BF198" s="8"/>
      <c r="BG198" s="7"/>
      <c r="BH198" s="18"/>
    </row>
    <row r="199" spans="3:60" ht="20.25" x14ac:dyDescent="0.3">
      <c r="C199" s="25" t="s">
        <v>26</v>
      </c>
      <c r="D199" s="8"/>
      <c r="E199" s="7"/>
      <c r="F199" s="18">
        <f t="shared" si="13"/>
        <v>202037.87999999998</v>
      </c>
      <c r="G199" s="8">
        <v>0</v>
      </c>
      <c r="H199" s="7">
        <v>0</v>
      </c>
      <c r="I199" s="18">
        <v>15238.18</v>
      </c>
      <c r="J199" s="8">
        <v>0</v>
      </c>
      <c r="K199" s="7">
        <v>0</v>
      </c>
      <c r="L199" s="18">
        <v>6911.61</v>
      </c>
      <c r="M199" s="8">
        <v>0</v>
      </c>
      <c r="N199" s="7">
        <v>0</v>
      </c>
      <c r="O199" s="18">
        <v>4773.1499999999996</v>
      </c>
      <c r="P199" s="8">
        <v>0</v>
      </c>
      <c r="Q199" s="7">
        <v>0</v>
      </c>
      <c r="R199" s="18">
        <v>29196.33</v>
      </c>
      <c r="S199" s="8">
        <v>0</v>
      </c>
      <c r="T199" s="7">
        <v>0</v>
      </c>
      <c r="U199" s="18">
        <v>75820.649999999994</v>
      </c>
      <c r="V199" s="8">
        <v>0</v>
      </c>
      <c r="W199" s="7">
        <v>0</v>
      </c>
      <c r="X199" s="18">
        <v>16887.43</v>
      </c>
      <c r="Y199" s="8">
        <v>0</v>
      </c>
      <c r="Z199" s="7">
        <v>0</v>
      </c>
      <c r="AA199" s="18">
        <v>11547.93</v>
      </c>
      <c r="AB199" s="8">
        <v>0</v>
      </c>
      <c r="AC199" s="7">
        <v>0</v>
      </c>
      <c r="AD199" s="18">
        <v>6382.18</v>
      </c>
      <c r="AE199" s="8">
        <v>0</v>
      </c>
      <c r="AF199" s="7">
        <v>0</v>
      </c>
      <c r="AG199" s="18">
        <v>6552.42</v>
      </c>
      <c r="AH199" s="8">
        <v>0</v>
      </c>
      <c r="AI199" s="7">
        <v>0</v>
      </c>
      <c r="AJ199" s="18">
        <v>3941</v>
      </c>
      <c r="AK199" s="8">
        <v>0</v>
      </c>
      <c r="AL199" s="7">
        <v>0</v>
      </c>
      <c r="AM199" s="18">
        <v>3990.69</v>
      </c>
      <c r="AN199" s="8">
        <v>0</v>
      </c>
      <c r="AO199" s="7">
        <v>0</v>
      </c>
      <c r="AP199" s="18">
        <v>4863.3</v>
      </c>
      <c r="AQ199" s="8">
        <v>0</v>
      </c>
      <c r="AR199" s="7">
        <v>0</v>
      </c>
      <c r="AS199" s="18">
        <v>5559.35</v>
      </c>
      <c r="AT199" s="8">
        <v>0</v>
      </c>
      <c r="AU199" s="7">
        <v>0</v>
      </c>
      <c r="AV199" s="18">
        <v>8467.49</v>
      </c>
      <c r="AW199" s="8">
        <v>0</v>
      </c>
      <c r="AX199" s="7">
        <v>0</v>
      </c>
      <c r="AY199" s="18">
        <v>1906.17</v>
      </c>
      <c r="AZ199" s="8"/>
      <c r="BA199" s="7"/>
      <c r="BB199" s="18"/>
      <c r="BC199" s="8"/>
      <c r="BD199" s="7"/>
      <c r="BE199" s="18"/>
      <c r="BF199" s="8"/>
      <c r="BG199" s="7"/>
      <c r="BH199" s="18"/>
    </row>
    <row r="200" spans="3:60" ht="20.25" x14ac:dyDescent="0.3">
      <c r="C200" s="17" t="s">
        <v>25</v>
      </c>
      <c r="D200" s="72"/>
      <c r="E200" s="71"/>
      <c r="F200" s="68">
        <f t="shared" si="13"/>
        <v>267133.14999999991</v>
      </c>
      <c r="G200" s="72">
        <v>0</v>
      </c>
      <c r="H200" s="71">
        <v>0</v>
      </c>
      <c r="I200" s="68">
        <v>14932.75</v>
      </c>
      <c r="J200" s="72">
        <v>0</v>
      </c>
      <c r="K200" s="71">
        <v>0</v>
      </c>
      <c r="L200" s="68">
        <v>10661.19</v>
      </c>
      <c r="M200" s="72">
        <v>0</v>
      </c>
      <c r="N200" s="71">
        <v>0</v>
      </c>
      <c r="O200" s="68">
        <v>7721</v>
      </c>
      <c r="P200" s="72">
        <v>0</v>
      </c>
      <c r="Q200" s="71">
        <v>0</v>
      </c>
      <c r="R200" s="68">
        <v>44972.639999999999</v>
      </c>
      <c r="S200" s="72">
        <v>0</v>
      </c>
      <c r="T200" s="71">
        <v>0</v>
      </c>
      <c r="U200" s="68">
        <v>73215.819999999905</v>
      </c>
      <c r="V200" s="72">
        <v>0</v>
      </c>
      <c r="W200" s="71">
        <v>0</v>
      </c>
      <c r="X200" s="68">
        <v>19715.27</v>
      </c>
      <c r="Y200" s="72">
        <v>0</v>
      </c>
      <c r="Z200" s="71">
        <v>0</v>
      </c>
      <c r="AA200" s="68">
        <v>4759.78</v>
      </c>
      <c r="AB200" s="72">
        <v>0</v>
      </c>
      <c r="AC200" s="71">
        <v>0</v>
      </c>
      <c r="AD200" s="68">
        <v>4145.4799999999996</v>
      </c>
      <c r="AE200" s="72">
        <v>0</v>
      </c>
      <c r="AF200" s="71">
        <v>0</v>
      </c>
      <c r="AG200" s="68">
        <v>23455.31</v>
      </c>
      <c r="AH200" s="72">
        <v>0</v>
      </c>
      <c r="AI200" s="71">
        <v>0</v>
      </c>
      <c r="AJ200" s="68">
        <v>12467.5</v>
      </c>
      <c r="AK200" s="72">
        <v>0</v>
      </c>
      <c r="AL200" s="71">
        <v>0</v>
      </c>
      <c r="AM200" s="68">
        <v>9849.0400000000009</v>
      </c>
      <c r="AN200" s="72">
        <v>0</v>
      </c>
      <c r="AO200" s="71">
        <v>0</v>
      </c>
      <c r="AP200" s="68">
        <v>9328.17</v>
      </c>
      <c r="AQ200" s="72">
        <v>0</v>
      </c>
      <c r="AR200" s="71">
        <v>0</v>
      </c>
      <c r="AS200" s="68">
        <v>5080.1099999999997</v>
      </c>
      <c r="AT200" s="72">
        <v>0</v>
      </c>
      <c r="AU200" s="71">
        <v>0</v>
      </c>
      <c r="AV200" s="68">
        <v>14529.05</v>
      </c>
      <c r="AW200" s="72">
        <v>0</v>
      </c>
      <c r="AX200" s="71">
        <v>0</v>
      </c>
      <c r="AY200" s="68">
        <v>12300.04</v>
      </c>
      <c r="AZ200" s="72"/>
      <c r="BA200" s="71"/>
      <c r="BB200" s="68"/>
      <c r="BC200" s="72"/>
      <c r="BD200" s="71"/>
      <c r="BE200" s="68"/>
      <c r="BF200" s="72"/>
      <c r="BG200" s="71"/>
      <c r="BH200" s="68"/>
    </row>
    <row r="201" spans="3:60" ht="20.25" x14ac:dyDescent="0.3">
      <c r="C201" s="17" t="s">
        <v>24</v>
      </c>
      <c r="D201" s="8"/>
      <c r="E201" s="7"/>
      <c r="F201" s="18">
        <f t="shared" si="13"/>
        <v>334275.72000000003</v>
      </c>
      <c r="G201" s="8">
        <v>0</v>
      </c>
      <c r="H201" s="105">
        <v>0.26091520579386901</v>
      </c>
      <c r="I201" s="18">
        <v>32677.37</v>
      </c>
      <c r="J201" s="8">
        <v>0</v>
      </c>
      <c r="K201" s="105">
        <v>0.19823700655888399</v>
      </c>
      <c r="L201" s="18">
        <v>16901.37</v>
      </c>
      <c r="M201" s="8">
        <v>0</v>
      </c>
      <c r="N201" s="7">
        <v>0</v>
      </c>
      <c r="O201" s="18">
        <v>13794.78</v>
      </c>
      <c r="P201" s="8">
        <v>0</v>
      </c>
      <c r="Q201" s="7">
        <v>0</v>
      </c>
      <c r="R201" s="18">
        <v>45254.54</v>
      </c>
      <c r="S201" s="8">
        <v>0</v>
      </c>
      <c r="T201" s="7">
        <v>0</v>
      </c>
      <c r="U201" s="18">
        <v>38473.660000000003</v>
      </c>
      <c r="V201" s="8">
        <v>0</v>
      </c>
      <c r="W201" s="105">
        <v>0.33444957266416703</v>
      </c>
      <c r="X201" s="18">
        <v>61499.360000000001</v>
      </c>
      <c r="Y201" s="8">
        <v>0</v>
      </c>
      <c r="Z201" s="7">
        <v>0</v>
      </c>
      <c r="AA201" s="18">
        <v>14312.22</v>
      </c>
      <c r="AB201" s="8">
        <v>0</v>
      </c>
      <c r="AC201" s="7">
        <v>0</v>
      </c>
      <c r="AD201" s="18">
        <v>7987.56</v>
      </c>
      <c r="AE201" s="8">
        <v>0</v>
      </c>
      <c r="AF201" s="105">
        <v>0.25236093056665099</v>
      </c>
      <c r="AG201" s="18">
        <v>26476.23</v>
      </c>
      <c r="AH201" s="8">
        <v>0</v>
      </c>
      <c r="AI201" s="105">
        <v>0.13928270776283</v>
      </c>
      <c r="AJ201" s="18">
        <v>5756.11</v>
      </c>
      <c r="AK201" s="8">
        <v>0</v>
      </c>
      <c r="AL201" s="105">
        <v>0.26705135679238401</v>
      </c>
      <c r="AM201" s="18">
        <v>4851.0600000000004</v>
      </c>
      <c r="AN201" s="8">
        <v>0</v>
      </c>
      <c r="AO201" s="7">
        <v>0</v>
      </c>
      <c r="AP201" s="18">
        <v>20930.28</v>
      </c>
      <c r="AQ201" s="8">
        <v>0</v>
      </c>
      <c r="AR201" s="7">
        <v>0</v>
      </c>
      <c r="AS201" s="18">
        <v>26868.400000000001</v>
      </c>
      <c r="AT201" s="8">
        <v>0</v>
      </c>
      <c r="AU201" s="80">
        <v>0.156569356281685</v>
      </c>
      <c r="AV201" s="18">
        <v>14700.61</v>
      </c>
      <c r="AW201" s="8">
        <v>0</v>
      </c>
      <c r="AX201" s="7">
        <v>0</v>
      </c>
      <c r="AY201" s="18">
        <v>3792.17</v>
      </c>
      <c r="AZ201" s="8"/>
      <c r="BA201" s="7"/>
      <c r="BB201" s="18"/>
      <c r="BC201" s="8"/>
      <c r="BD201" s="7"/>
      <c r="BE201" s="18"/>
      <c r="BF201" s="8"/>
      <c r="BG201" s="7"/>
      <c r="BH201" s="18"/>
    </row>
    <row r="202" spans="3:60" ht="20.25" hidden="1" x14ac:dyDescent="0.3">
      <c r="C202" s="8" t="s">
        <v>3</v>
      </c>
      <c r="D202" s="8"/>
      <c r="E202" s="7"/>
      <c r="F202" s="18">
        <f t="shared" si="13"/>
        <v>0</v>
      </c>
      <c r="G202" s="8">
        <v>0</v>
      </c>
      <c r="H202" s="7">
        <v>0</v>
      </c>
      <c r="I202" s="18">
        <v>0</v>
      </c>
      <c r="J202" s="8">
        <v>0</v>
      </c>
      <c r="K202" s="7">
        <v>0</v>
      </c>
      <c r="L202" s="18">
        <v>0</v>
      </c>
      <c r="M202" s="8">
        <v>0</v>
      </c>
      <c r="N202" s="7">
        <v>0</v>
      </c>
      <c r="O202" s="18">
        <v>0</v>
      </c>
      <c r="P202" s="8">
        <v>0</v>
      </c>
      <c r="Q202" s="7">
        <v>0</v>
      </c>
      <c r="R202" s="18">
        <v>0</v>
      </c>
      <c r="S202" s="8">
        <v>0</v>
      </c>
      <c r="T202" s="7">
        <v>0</v>
      </c>
      <c r="U202" s="18">
        <v>0</v>
      </c>
      <c r="V202" s="8">
        <v>0</v>
      </c>
      <c r="W202" s="7">
        <v>0</v>
      </c>
      <c r="X202" s="18">
        <v>0</v>
      </c>
      <c r="Y202" s="8">
        <v>0</v>
      </c>
      <c r="Z202" s="7">
        <v>0</v>
      </c>
      <c r="AA202" s="18">
        <v>0</v>
      </c>
      <c r="AB202" s="8">
        <v>0</v>
      </c>
      <c r="AC202" s="7">
        <v>0</v>
      </c>
      <c r="AD202" s="18">
        <v>0</v>
      </c>
      <c r="AE202" s="8">
        <v>0</v>
      </c>
      <c r="AF202" s="7">
        <v>0</v>
      </c>
      <c r="AG202" s="18">
        <v>0</v>
      </c>
      <c r="AH202" s="8">
        <v>0</v>
      </c>
      <c r="AI202" s="7">
        <v>0</v>
      </c>
      <c r="AJ202" s="18">
        <v>0</v>
      </c>
      <c r="AK202" s="8">
        <v>0</v>
      </c>
      <c r="AL202" s="7">
        <v>0</v>
      </c>
      <c r="AM202" s="18">
        <v>0</v>
      </c>
      <c r="AN202" s="8">
        <v>0</v>
      </c>
      <c r="AO202" s="7">
        <v>0</v>
      </c>
      <c r="AP202" s="18">
        <v>0</v>
      </c>
      <c r="AQ202" s="8">
        <v>0</v>
      </c>
      <c r="AR202" s="7">
        <v>0</v>
      </c>
      <c r="AS202" s="18">
        <v>0</v>
      </c>
      <c r="AT202" s="8">
        <v>0</v>
      </c>
      <c r="AU202" s="7">
        <v>0</v>
      </c>
      <c r="AV202" s="18">
        <v>0</v>
      </c>
      <c r="AW202" s="8">
        <v>0</v>
      </c>
      <c r="AX202" s="7">
        <v>0</v>
      </c>
      <c r="AY202" s="18">
        <v>0</v>
      </c>
      <c r="AZ202" s="8"/>
      <c r="BA202" s="7"/>
      <c r="BB202" s="18"/>
      <c r="BC202" s="8"/>
      <c r="BD202" s="7"/>
      <c r="BE202" s="18"/>
      <c r="BF202" s="8"/>
      <c r="BG202" s="7"/>
      <c r="BH202" s="18"/>
    </row>
    <row r="203" spans="3:60" ht="20.25" hidden="1" x14ac:dyDescent="0.3">
      <c r="C203" s="8" t="s">
        <v>3</v>
      </c>
      <c r="D203" s="8"/>
      <c r="E203" s="7"/>
      <c r="F203" s="18">
        <f t="shared" si="13"/>
        <v>0</v>
      </c>
      <c r="G203" s="8">
        <v>0</v>
      </c>
      <c r="H203" s="7">
        <v>0</v>
      </c>
      <c r="I203" s="18">
        <v>0</v>
      </c>
      <c r="J203" s="8">
        <v>0</v>
      </c>
      <c r="K203" s="7">
        <v>0</v>
      </c>
      <c r="L203" s="18">
        <v>0</v>
      </c>
      <c r="M203" s="8">
        <v>0</v>
      </c>
      <c r="N203" s="7">
        <v>0</v>
      </c>
      <c r="O203" s="18">
        <v>0</v>
      </c>
      <c r="P203" s="8">
        <v>0</v>
      </c>
      <c r="Q203" s="7">
        <v>0</v>
      </c>
      <c r="R203" s="18">
        <v>0</v>
      </c>
      <c r="S203" s="8">
        <v>0</v>
      </c>
      <c r="T203" s="7">
        <v>0</v>
      </c>
      <c r="U203" s="18">
        <v>0</v>
      </c>
      <c r="V203" s="8">
        <v>0</v>
      </c>
      <c r="W203" s="7">
        <v>0</v>
      </c>
      <c r="X203" s="18">
        <v>0</v>
      </c>
      <c r="Y203" s="8">
        <v>0</v>
      </c>
      <c r="Z203" s="7">
        <v>0</v>
      </c>
      <c r="AA203" s="18">
        <v>0</v>
      </c>
      <c r="AB203" s="8">
        <v>0</v>
      </c>
      <c r="AC203" s="7">
        <v>0</v>
      </c>
      <c r="AD203" s="18">
        <v>0</v>
      </c>
      <c r="AE203" s="8">
        <v>0</v>
      </c>
      <c r="AF203" s="7">
        <v>0</v>
      </c>
      <c r="AG203" s="18">
        <v>0</v>
      </c>
      <c r="AH203" s="8">
        <v>0</v>
      </c>
      <c r="AI203" s="7">
        <v>0</v>
      </c>
      <c r="AJ203" s="18">
        <v>0</v>
      </c>
      <c r="AK203" s="8">
        <v>0</v>
      </c>
      <c r="AL203" s="7">
        <v>0</v>
      </c>
      <c r="AM203" s="18">
        <v>0</v>
      </c>
      <c r="AN203" s="8">
        <v>0</v>
      </c>
      <c r="AO203" s="7">
        <v>0</v>
      </c>
      <c r="AP203" s="18">
        <v>0</v>
      </c>
      <c r="AQ203" s="8">
        <v>0</v>
      </c>
      <c r="AR203" s="7">
        <v>0</v>
      </c>
      <c r="AS203" s="18">
        <v>0</v>
      </c>
      <c r="AT203" s="8">
        <v>0</v>
      </c>
      <c r="AU203" s="7">
        <v>0</v>
      </c>
      <c r="AV203" s="18">
        <v>0</v>
      </c>
      <c r="AW203" s="8">
        <v>0</v>
      </c>
      <c r="AX203" s="7">
        <v>0</v>
      </c>
      <c r="AY203" s="18">
        <v>0</v>
      </c>
      <c r="AZ203" s="8"/>
      <c r="BA203" s="7"/>
      <c r="BB203" s="18"/>
      <c r="BC203" s="8"/>
      <c r="BD203" s="7"/>
      <c r="BE203" s="18"/>
      <c r="BF203" s="8"/>
      <c r="BG203" s="7"/>
      <c r="BH203" s="18"/>
    </row>
    <row r="204" spans="3:60" ht="20.25" hidden="1" x14ac:dyDescent="0.3">
      <c r="C204" s="8" t="s">
        <v>3</v>
      </c>
      <c r="D204" s="8"/>
      <c r="E204" s="7"/>
      <c r="F204" s="18">
        <f t="shared" si="13"/>
        <v>0</v>
      </c>
      <c r="G204" s="8">
        <v>0</v>
      </c>
      <c r="H204" s="7">
        <v>0</v>
      </c>
      <c r="I204" s="18">
        <v>0</v>
      </c>
      <c r="J204" s="8">
        <v>0</v>
      </c>
      <c r="K204" s="7">
        <v>0</v>
      </c>
      <c r="L204" s="18">
        <v>0</v>
      </c>
      <c r="M204" s="8">
        <v>0</v>
      </c>
      <c r="N204" s="7">
        <v>0</v>
      </c>
      <c r="O204" s="18">
        <v>0</v>
      </c>
      <c r="P204" s="8">
        <v>0</v>
      </c>
      <c r="Q204" s="7">
        <v>0</v>
      </c>
      <c r="R204" s="18">
        <v>0</v>
      </c>
      <c r="S204" s="8">
        <v>0</v>
      </c>
      <c r="T204" s="7">
        <v>0</v>
      </c>
      <c r="U204" s="18">
        <v>0</v>
      </c>
      <c r="V204" s="8">
        <v>0</v>
      </c>
      <c r="W204" s="7">
        <v>0</v>
      </c>
      <c r="X204" s="18">
        <v>0</v>
      </c>
      <c r="Y204" s="8">
        <v>0</v>
      </c>
      <c r="Z204" s="7">
        <v>0</v>
      </c>
      <c r="AA204" s="18">
        <v>0</v>
      </c>
      <c r="AB204" s="8">
        <v>0</v>
      </c>
      <c r="AC204" s="7">
        <v>0</v>
      </c>
      <c r="AD204" s="18">
        <v>0</v>
      </c>
      <c r="AE204" s="8">
        <v>0</v>
      </c>
      <c r="AF204" s="7">
        <v>0</v>
      </c>
      <c r="AG204" s="18">
        <v>0</v>
      </c>
      <c r="AH204" s="8">
        <v>0</v>
      </c>
      <c r="AI204" s="7">
        <v>0</v>
      </c>
      <c r="AJ204" s="18">
        <v>0</v>
      </c>
      <c r="AK204" s="8">
        <v>0</v>
      </c>
      <c r="AL204" s="7">
        <v>0</v>
      </c>
      <c r="AM204" s="18">
        <v>0</v>
      </c>
      <c r="AN204" s="8">
        <v>0</v>
      </c>
      <c r="AO204" s="7">
        <v>0</v>
      </c>
      <c r="AP204" s="18">
        <v>0</v>
      </c>
      <c r="AQ204" s="8">
        <v>0</v>
      </c>
      <c r="AR204" s="7">
        <v>0</v>
      </c>
      <c r="AS204" s="18">
        <v>0</v>
      </c>
      <c r="AT204" s="8">
        <v>0</v>
      </c>
      <c r="AU204" s="7">
        <v>0</v>
      </c>
      <c r="AV204" s="18">
        <v>0</v>
      </c>
      <c r="AW204" s="8">
        <v>0</v>
      </c>
      <c r="AX204" s="7">
        <v>0</v>
      </c>
      <c r="AY204" s="18">
        <v>0</v>
      </c>
      <c r="AZ204" s="8"/>
      <c r="BA204" s="7"/>
      <c r="BB204" s="18"/>
      <c r="BC204" s="8"/>
      <c r="BD204" s="7"/>
      <c r="BE204" s="18"/>
      <c r="BF204" s="8"/>
      <c r="BG204" s="7"/>
      <c r="BH204" s="18"/>
    </row>
    <row r="205" spans="3:60" ht="20.25" x14ac:dyDescent="0.3">
      <c r="C205" s="25" t="s">
        <v>23</v>
      </c>
      <c r="D205" s="8"/>
      <c r="E205" s="7"/>
      <c r="F205" s="18">
        <f t="shared" si="13"/>
        <v>302065.65000000002</v>
      </c>
      <c r="G205" s="8">
        <v>0</v>
      </c>
      <c r="H205" s="7">
        <v>0</v>
      </c>
      <c r="I205" s="18">
        <v>38515.730000000003</v>
      </c>
      <c r="J205" s="8">
        <v>0</v>
      </c>
      <c r="K205" s="7">
        <v>0</v>
      </c>
      <c r="L205" s="18">
        <v>18367.82</v>
      </c>
      <c r="M205" s="8">
        <v>0</v>
      </c>
      <c r="N205" s="7">
        <v>0</v>
      </c>
      <c r="O205" s="18">
        <v>5023.3599999999997</v>
      </c>
      <c r="P205" s="8">
        <v>0</v>
      </c>
      <c r="Q205" s="7">
        <v>0</v>
      </c>
      <c r="R205" s="18">
        <v>28195.05</v>
      </c>
      <c r="S205" s="8">
        <v>0</v>
      </c>
      <c r="T205" s="7">
        <v>0</v>
      </c>
      <c r="U205" s="18">
        <v>73295.509999999995</v>
      </c>
      <c r="V205" s="8">
        <v>0</v>
      </c>
      <c r="W205" s="7">
        <v>0</v>
      </c>
      <c r="X205" s="18">
        <v>26511.83</v>
      </c>
      <c r="Y205" s="8">
        <v>0</v>
      </c>
      <c r="Z205" s="7">
        <v>0</v>
      </c>
      <c r="AA205" s="18">
        <v>10473.58</v>
      </c>
      <c r="AB205" s="8">
        <v>0</v>
      </c>
      <c r="AC205" s="7">
        <v>0</v>
      </c>
      <c r="AD205" s="18">
        <v>9739.93</v>
      </c>
      <c r="AE205" s="8">
        <v>0</v>
      </c>
      <c r="AF205" s="7">
        <v>0</v>
      </c>
      <c r="AG205" s="18">
        <v>10392.89</v>
      </c>
      <c r="AH205" s="8">
        <v>0</v>
      </c>
      <c r="AI205" s="7">
        <v>0</v>
      </c>
      <c r="AJ205" s="18">
        <v>9405.0400000000009</v>
      </c>
      <c r="AK205" s="8">
        <v>0</v>
      </c>
      <c r="AL205" s="7">
        <v>0</v>
      </c>
      <c r="AM205" s="18">
        <v>20675.599999999999</v>
      </c>
      <c r="AN205" s="8">
        <v>0</v>
      </c>
      <c r="AO205" s="7">
        <v>0</v>
      </c>
      <c r="AP205" s="18">
        <v>14240.52</v>
      </c>
      <c r="AQ205" s="8">
        <v>0</v>
      </c>
      <c r="AR205" s="7">
        <v>0</v>
      </c>
      <c r="AS205" s="18">
        <v>19406.830000000002</v>
      </c>
      <c r="AT205" s="8">
        <v>0</v>
      </c>
      <c r="AU205" s="7">
        <v>0</v>
      </c>
      <c r="AV205" s="18">
        <v>12747.9</v>
      </c>
      <c r="AW205" s="8">
        <v>0</v>
      </c>
      <c r="AX205" s="7">
        <v>0</v>
      </c>
      <c r="AY205" s="18">
        <v>5074.0600000000004</v>
      </c>
      <c r="AZ205" s="8"/>
      <c r="BA205" s="7"/>
      <c r="BB205" s="18"/>
      <c r="BC205" s="8"/>
      <c r="BD205" s="7"/>
      <c r="BE205" s="18"/>
      <c r="BF205" s="8"/>
      <c r="BG205" s="7"/>
      <c r="BH205" s="18"/>
    </row>
    <row r="206" spans="3:60" ht="20.25" x14ac:dyDescent="0.3">
      <c r="C206" s="17" t="s">
        <v>22</v>
      </c>
      <c r="D206" s="72"/>
      <c r="E206" s="71"/>
      <c r="F206" s="68">
        <f t="shared" si="13"/>
        <v>327121.72000000003</v>
      </c>
      <c r="G206" s="72">
        <v>0</v>
      </c>
      <c r="H206" s="104">
        <v>0.11584460007085599</v>
      </c>
      <c r="I206" s="68">
        <v>29837.08</v>
      </c>
      <c r="J206" s="72">
        <v>0</v>
      </c>
      <c r="K206" s="71">
        <v>0</v>
      </c>
      <c r="L206" s="68">
        <v>16349.44</v>
      </c>
      <c r="M206" s="72">
        <v>0</v>
      </c>
      <c r="N206" s="71">
        <v>0</v>
      </c>
      <c r="O206" s="68">
        <v>10435.459999999999</v>
      </c>
      <c r="P206" s="72">
        <v>0</v>
      </c>
      <c r="Q206" s="71">
        <v>0</v>
      </c>
      <c r="R206" s="68">
        <v>31946.9</v>
      </c>
      <c r="S206" s="72">
        <v>0</v>
      </c>
      <c r="T206" s="71">
        <v>0</v>
      </c>
      <c r="U206" s="68">
        <v>64387.03</v>
      </c>
      <c r="V206" s="72">
        <v>0</v>
      </c>
      <c r="W206" s="71">
        <v>0</v>
      </c>
      <c r="X206" s="68">
        <v>29501.03</v>
      </c>
      <c r="Y206" s="72">
        <v>0</v>
      </c>
      <c r="Z206" s="71">
        <v>0</v>
      </c>
      <c r="AA206" s="68">
        <v>17300.32</v>
      </c>
      <c r="AB206" s="72">
        <v>0</v>
      </c>
      <c r="AC206" s="71">
        <v>0</v>
      </c>
      <c r="AD206" s="68">
        <v>12113.89</v>
      </c>
      <c r="AE206" s="72">
        <v>0</v>
      </c>
      <c r="AF206" s="71">
        <v>0</v>
      </c>
      <c r="AG206" s="68">
        <v>18311.919999999998</v>
      </c>
      <c r="AH206" s="72">
        <v>0</v>
      </c>
      <c r="AI206" s="71">
        <v>0</v>
      </c>
      <c r="AJ206" s="68">
        <v>10969.74</v>
      </c>
      <c r="AK206" s="72">
        <v>0</v>
      </c>
      <c r="AL206" s="71">
        <v>0</v>
      </c>
      <c r="AM206" s="68">
        <v>21638.959999999999</v>
      </c>
      <c r="AN206" s="72">
        <v>0</v>
      </c>
      <c r="AO206" s="71">
        <v>0</v>
      </c>
      <c r="AP206" s="68">
        <v>18147.150000000001</v>
      </c>
      <c r="AQ206" s="72">
        <v>0</v>
      </c>
      <c r="AR206" s="71">
        <v>0</v>
      </c>
      <c r="AS206" s="68">
        <v>21898.07</v>
      </c>
      <c r="AT206" s="72">
        <v>0</v>
      </c>
      <c r="AU206" s="71">
        <v>0</v>
      </c>
      <c r="AV206" s="68">
        <v>15622.95</v>
      </c>
      <c r="AW206" s="72">
        <v>0</v>
      </c>
      <c r="AX206" s="71">
        <v>0</v>
      </c>
      <c r="AY206" s="68">
        <v>8661.7799999999897</v>
      </c>
      <c r="AZ206" s="72"/>
      <c r="BA206" s="71"/>
      <c r="BB206" s="68"/>
      <c r="BC206" s="72"/>
      <c r="BD206" s="71"/>
      <c r="BE206" s="68"/>
      <c r="BF206" s="72"/>
      <c r="BG206" s="71"/>
      <c r="BH206" s="68"/>
    </row>
    <row r="207" spans="3:60" ht="20.25" x14ac:dyDescent="0.3">
      <c r="C207" s="17" t="s">
        <v>21</v>
      </c>
      <c r="D207" s="8"/>
      <c r="E207" s="7"/>
      <c r="F207" s="18">
        <f t="shared" si="13"/>
        <v>239126.51999999993</v>
      </c>
      <c r="G207" s="8">
        <v>0</v>
      </c>
      <c r="H207" s="7">
        <v>0</v>
      </c>
      <c r="I207" s="18">
        <v>24664.73</v>
      </c>
      <c r="J207" s="8">
        <v>0</v>
      </c>
      <c r="K207" s="7">
        <v>0</v>
      </c>
      <c r="L207" s="18">
        <v>10226.700000000001</v>
      </c>
      <c r="M207" s="8">
        <v>0</v>
      </c>
      <c r="N207" s="7">
        <v>0</v>
      </c>
      <c r="O207" s="18">
        <v>4335.25</v>
      </c>
      <c r="P207" s="8">
        <v>0</v>
      </c>
      <c r="Q207" s="7">
        <v>0</v>
      </c>
      <c r="R207" s="18">
        <v>28662.449999999899</v>
      </c>
      <c r="S207" s="8">
        <v>0</v>
      </c>
      <c r="T207" s="7">
        <v>0</v>
      </c>
      <c r="U207" s="18">
        <v>62586.16</v>
      </c>
      <c r="V207" s="8">
        <v>0</v>
      </c>
      <c r="W207" s="7">
        <v>0</v>
      </c>
      <c r="X207" s="18">
        <v>16965.09</v>
      </c>
      <c r="Y207" s="8">
        <v>0</v>
      </c>
      <c r="Z207" s="7">
        <v>0</v>
      </c>
      <c r="AA207" s="18">
        <v>12459.9</v>
      </c>
      <c r="AB207" s="8">
        <v>0</v>
      </c>
      <c r="AC207" s="7">
        <v>0</v>
      </c>
      <c r="AD207" s="18">
        <v>5010.57</v>
      </c>
      <c r="AE207" s="8">
        <v>0</v>
      </c>
      <c r="AF207" s="7">
        <v>0</v>
      </c>
      <c r="AG207" s="18">
        <v>9473.1200000000008</v>
      </c>
      <c r="AH207" s="8">
        <v>0</v>
      </c>
      <c r="AI207" s="7">
        <v>0</v>
      </c>
      <c r="AJ207" s="18">
        <v>8174.81</v>
      </c>
      <c r="AK207" s="8">
        <v>0</v>
      </c>
      <c r="AL207" s="7">
        <v>0</v>
      </c>
      <c r="AM207" s="18">
        <v>19397.63</v>
      </c>
      <c r="AN207" s="8">
        <v>0</v>
      </c>
      <c r="AO207" s="7">
        <v>0</v>
      </c>
      <c r="AP207" s="18">
        <v>11194.17</v>
      </c>
      <c r="AQ207" s="8">
        <v>0</v>
      </c>
      <c r="AR207" s="7">
        <v>0</v>
      </c>
      <c r="AS207" s="18">
        <v>13113.46</v>
      </c>
      <c r="AT207" s="8">
        <v>0</v>
      </c>
      <c r="AU207" s="7">
        <v>0</v>
      </c>
      <c r="AV207" s="18">
        <v>8530.35</v>
      </c>
      <c r="AW207" s="8">
        <v>0</v>
      </c>
      <c r="AX207" s="7">
        <v>0</v>
      </c>
      <c r="AY207" s="18">
        <v>4332.13</v>
      </c>
      <c r="AZ207" s="8"/>
      <c r="BA207" s="7"/>
      <c r="BB207" s="18"/>
      <c r="BC207" s="8"/>
      <c r="BD207" s="7"/>
      <c r="BE207" s="18"/>
      <c r="BF207" s="8"/>
      <c r="BG207" s="7"/>
      <c r="BH207" s="18"/>
    </row>
    <row r="208" spans="3:60" ht="20.25" x14ac:dyDescent="0.3">
      <c r="C208" s="17" t="s">
        <v>20</v>
      </c>
      <c r="D208" s="8"/>
      <c r="E208" s="7"/>
      <c r="F208" s="18">
        <f t="shared" si="13"/>
        <v>49251.490000000005</v>
      </c>
      <c r="G208" s="8">
        <v>0</v>
      </c>
      <c r="H208" s="7">
        <v>0</v>
      </c>
      <c r="I208" s="18">
        <v>4838.07</v>
      </c>
      <c r="J208" s="8">
        <v>0</v>
      </c>
      <c r="K208" s="7">
        <v>0</v>
      </c>
      <c r="L208" s="18">
        <v>2550.44</v>
      </c>
      <c r="M208" s="8">
        <v>0</v>
      </c>
      <c r="N208" s="7">
        <v>0</v>
      </c>
      <c r="O208" s="18">
        <v>1508.89</v>
      </c>
      <c r="P208" s="8">
        <v>0</v>
      </c>
      <c r="Q208" s="7">
        <v>0</v>
      </c>
      <c r="R208" s="18">
        <v>3686.11</v>
      </c>
      <c r="S208" s="8">
        <v>0</v>
      </c>
      <c r="T208" s="7">
        <v>0</v>
      </c>
      <c r="U208" s="18">
        <v>10210.379999999999</v>
      </c>
      <c r="V208" s="8">
        <v>0</v>
      </c>
      <c r="W208" s="7">
        <v>0</v>
      </c>
      <c r="X208" s="18">
        <v>5824.97</v>
      </c>
      <c r="Y208" s="8">
        <v>0</v>
      </c>
      <c r="Z208" s="7">
        <v>0</v>
      </c>
      <c r="AA208" s="18">
        <v>2618.59</v>
      </c>
      <c r="AB208" s="8">
        <v>0</v>
      </c>
      <c r="AC208" s="7">
        <v>0</v>
      </c>
      <c r="AD208" s="18">
        <v>2303.12</v>
      </c>
      <c r="AE208" s="8">
        <v>0</v>
      </c>
      <c r="AF208" s="7">
        <v>0</v>
      </c>
      <c r="AG208" s="18">
        <v>2114.81</v>
      </c>
      <c r="AH208" s="8">
        <v>0</v>
      </c>
      <c r="AI208" s="7">
        <v>0</v>
      </c>
      <c r="AJ208" s="18">
        <v>1607.52</v>
      </c>
      <c r="AK208" s="8">
        <v>0</v>
      </c>
      <c r="AL208" s="7">
        <v>0</v>
      </c>
      <c r="AM208" s="18">
        <v>2188.0500000000002</v>
      </c>
      <c r="AN208" s="8">
        <v>0</v>
      </c>
      <c r="AO208" s="7">
        <v>0</v>
      </c>
      <c r="AP208" s="18">
        <v>2682.73</v>
      </c>
      <c r="AQ208" s="8">
        <v>0</v>
      </c>
      <c r="AR208" s="7">
        <v>0</v>
      </c>
      <c r="AS208" s="18">
        <v>2324.44</v>
      </c>
      <c r="AT208" s="8">
        <v>0</v>
      </c>
      <c r="AU208" s="7">
        <v>0</v>
      </c>
      <c r="AV208" s="18">
        <v>4013.11</v>
      </c>
      <c r="AW208" s="8">
        <v>0</v>
      </c>
      <c r="AX208" s="7">
        <v>0</v>
      </c>
      <c r="AY208" s="18">
        <v>780.26</v>
      </c>
      <c r="AZ208" s="8"/>
      <c r="BA208" s="7"/>
      <c r="BB208" s="18"/>
      <c r="BC208" s="8"/>
      <c r="BD208" s="7"/>
      <c r="BE208" s="18"/>
      <c r="BF208" s="8"/>
      <c r="BG208" s="7"/>
      <c r="BH208" s="18"/>
    </row>
    <row r="209" spans="3:60" ht="20.25" hidden="1" x14ac:dyDescent="0.3">
      <c r="C209" s="8" t="s">
        <v>3</v>
      </c>
      <c r="D209" s="67"/>
      <c r="E209" s="66"/>
      <c r="F209" s="18">
        <f t="shared" si="13"/>
        <v>0</v>
      </c>
      <c r="G209" s="67">
        <v>0</v>
      </c>
      <c r="H209" s="66">
        <v>0</v>
      </c>
      <c r="I209" s="18">
        <v>0</v>
      </c>
      <c r="J209" s="67">
        <v>0</v>
      </c>
      <c r="K209" s="66">
        <v>0</v>
      </c>
      <c r="L209" s="18">
        <v>0</v>
      </c>
      <c r="M209" s="67">
        <v>0</v>
      </c>
      <c r="N209" s="66">
        <v>0</v>
      </c>
      <c r="O209" s="18">
        <v>0</v>
      </c>
      <c r="P209" s="67">
        <v>0</v>
      </c>
      <c r="Q209" s="66">
        <v>0</v>
      </c>
      <c r="R209" s="18">
        <v>0</v>
      </c>
      <c r="S209" s="67">
        <v>0</v>
      </c>
      <c r="T209" s="66">
        <v>0</v>
      </c>
      <c r="U209" s="18">
        <v>0</v>
      </c>
      <c r="V209" s="67">
        <v>0</v>
      </c>
      <c r="W209" s="66">
        <v>0</v>
      </c>
      <c r="X209" s="18">
        <v>0</v>
      </c>
      <c r="Y209" s="67">
        <v>0</v>
      </c>
      <c r="Z209" s="66">
        <v>0</v>
      </c>
      <c r="AA209" s="18">
        <v>0</v>
      </c>
      <c r="AB209" s="67">
        <v>0</v>
      </c>
      <c r="AC209" s="66">
        <v>0</v>
      </c>
      <c r="AD209" s="18">
        <v>0</v>
      </c>
      <c r="AE209" s="67">
        <v>0</v>
      </c>
      <c r="AF209" s="66">
        <v>0</v>
      </c>
      <c r="AG209" s="18">
        <v>0</v>
      </c>
      <c r="AH209" s="67">
        <v>0</v>
      </c>
      <c r="AI209" s="66">
        <v>0</v>
      </c>
      <c r="AJ209" s="18">
        <v>0</v>
      </c>
      <c r="AK209" s="67">
        <v>0</v>
      </c>
      <c r="AL209" s="66">
        <v>0</v>
      </c>
      <c r="AM209" s="18">
        <v>0</v>
      </c>
      <c r="AN209" s="67">
        <v>0</v>
      </c>
      <c r="AO209" s="66">
        <v>0</v>
      </c>
      <c r="AP209" s="18">
        <v>0</v>
      </c>
      <c r="AQ209" s="67">
        <v>0</v>
      </c>
      <c r="AR209" s="66">
        <v>0</v>
      </c>
      <c r="AS209" s="18">
        <v>0</v>
      </c>
      <c r="AT209" s="67">
        <v>0</v>
      </c>
      <c r="AU209" s="66">
        <v>0</v>
      </c>
      <c r="AV209" s="18">
        <v>0</v>
      </c>
      <c r="AW209" s="67">
        <v>0</v>
      </c>
      <c r="AX209" s="66">
        <v>0</v>
      </c>
      <c r="AY209" s="18">
        <v>0</v>
      </c>
      <c r="AZ209" s="67"/>
      <c r="BA209" s="66"/>
      <c r="BB209" s="18"/>
      <c r="BC209" s="67"/>
      <c r="BD209" s="66"/>
      <c r="BE209" s="18"/>
      <c r="BF209" s="67"/>
      <c r="BG209" s="66"/>
      <c r="BH209" s="18"/>
    </row>
    <row r="210" spans="3:60" ht="20.25" x14ac:dyDescent="0.3">
      <c r="C210" s="11" t="s">
        <v>19</v>
      </c>
      <c r="D210" s="64"/>
      <c r="E210" s="14"/>
      <c r="F210" s="12">
        <f>SUM(F198:F209)</f>
        <v>1903634.8199999998</v>
      </c>
      <c r="G210" s="64" t="s">
        <v>58</v>
      </c>
      <c r="H210" s="14">
        <v>0.78933055325276102</v>
      </c>
      <c r="I210" s="12">
        <v>169566.76</v>
      </c>
      <c r="J210" s="64" t="s">
        <v>58</v>
      </c>
      <c r="K210" s="14">
        <v>0.52576551334996902</v>
      </c>
      <c r="L210" s="12">
        <v>91874.29</v>
      </c>
      <c r="M210" s="64" t="s">
        <v>58</v>
      </c>
      <c r="N210" s="14">
        <v>0.75277110744658005</v>
      </c>
      <c r="O210" s="12">
        <v>60439.39</v>
      </c>
      <c r="P210" s="64" t="s">
        <v>58</v>
      </c>
      <c r="Q210" s="14">
        <v>0.859381689073069</v>
      </c>
      <c r="R210" s="12">
        <v>222904.90999999901</v>
      </c>
      <c r="S210" s="64" t="s">
        <v>58</v>
      </c>
      <c r="T210" s="14">
        <v>0.82111733574837098</v>
      </c>
      <c r="U210" s="12">
        <v>426806.56</v>
      </c>
      <c r="V210" s="64" t="s">
        <v>58</v>
      </c>
      <c r="W210" s="14">
        <v>0.57863587920899995</v>
      </c>
      <c r="X210" s="12">
        <v>186625.69999999899</v>
      </c>
      <c r="Y210" s="64" t="s">
        <v>58</v>
      </c>
      <c r="Z210" s="14">
        <v>0.58857172656260404</v>
      </c>
      <c r="AA210" s="12">
        <v>82504.06</v>
      </c>
      <c r="AB210" s="64" t="s">
        <v>58</v>
      </c>
      <c r="AC210" s="14">
        <v>0.74114612096550703</v>
      </c>
      <c r="AD210" s="12">
        <v>59479.17</v>
      </c>
      <c r="AE210" s="64" t="s">
        <v>58</v>
      </c>
      <c r="AF210" s="14">
        <v>0.70926924009326597</v>
      </c>
      <c r="AG210" s="12">
        <v>106701.27999999899</v>
      </c>
      <c r="AH210" s="64" t="s">
        <v>58</v>
      </c>
      <c r="AI210" s="14">
        <v>1.0688340448261899</v>
      </c>
      <c r="AJ210" s="12">
        <v>62430.6499999999</v>
      </c>
      <c r="AK210" s="64" t="s">
        <v>58</v>
      </c>
      <c r="AL210" s="14">
        <v>4.0827409075487804</v>
      </c>
      <c r="AM210" s="12">
        <v>89653.52</v>
      </c>
      <c r="AN210" s="64" t="s">
        <v>58</v>
      </c>
      <c r="AO210" s="14">
        <v>0.90848685321325995</v>
      </c>
      <c r="AP210" s="12">
        <v>97390.79</v>
      </c>
      <c r="AQ210" s="64" t="s">
        <v>58</v>
      </c>
      <c r="AR210" s="14">
        <v>0.85971478308038096</v>
      </c>
      <c r="AS210" s="12">
        <v>106759.269999999</v>
      </c>
      <c r="AT210" s="64" t="s">
        <v>58</v>
      </c>
      <c r="AU210" s="14">
        <v>0.52249415768896501</v>
      </c>
      <c r="AV210" s="12">
        <v>93287.34</v>
      </c>
      <c r="AW210" s="64" t="s">
        <v>58</v>
      </c>
      <c r="AX210" s="14">
        <v>0.84751138126148895</v>
      </c>
      <c r="AY210" s="12">
        <v>47211.13</v>
      </c>
      <c r="AZ210" s="64"/>
      <c r="BA210" s="14"/>
      <c r="BB210" s="12"/>
      <c r="BC210" s="64"/>
      <c r="BD210" s="14"/>
      <c r="BE210" s="12"/>
      <c r="BF210" s="64"/>
      <c r="BG210" s="14"/>
      <c r="BH210" s="12"/>
    </row>
    <row r="211" spans="3:60" ht="20.25" x14ac:dyDescent="0.3">
      <c r="C211" s="8" t="s">
        <v>17</v>
      </c>
      <c r="D211" s="8"/>
      <c r="E211" s="7"/>
      <c r="F211" s="18">
        <f t="shared" ref="F211:F228" si="14">+SUM(I211,L211,O211,R211,U211,X211,AA211,AD211,AG211,AJ211,AM211,AP211,AS211,AV211,AY211,BB211,BE211,BH211)</f>
        <v>99174.97</v>
      </c>
      <c r="G211" s="8">
        <v>0</v>
      </c>
      <c r="H211" s="7">
        <v>0</v>
      </c>
      <c r="I211" s="18">
        <v>7681.09</v>
      </c>
      <c r="J211" s="8">
        <v>0</v>
      </c>
      <c r="K211" s="7">
        <v>0</v>
      </c>
      <c r="L211" s="18">
        <v>4834.78</v>
      </c>
      <c r="M211" s="8">
        <v>0</v>
      </c>
      <c r="N211" s="7">
        <v>0</v>
      </c>
      <c r="O211" s="18">
        <v>6458.72</v>
      </c>
      <c r="P211" s="8">
        <v>0</v>
      </c>
      <c r="Q211" s="7">
        <v>0</v>
      </c>
      <c r="R211" s="18">
        <v>1094.94</v>
      </c>
      <c r="S211" s="8">
        <v>0</v>
      </c>
      <c r="T211" s="7">
        <v>0</v>
      </c>
      <c r="U211" s="18">
        <v>1493.1</v>
      </c>
      <c r="V211" s="8">
        <v>0</v>
      </c>
      <c r="W211" s="7">
        <v>0</v>
      </c>
      <c r="X211" s="18">
        <v>16019.05</v>
      </c>
      <c r="Y211" s="8">
        <v>0</v>
      </c>
      <c r="Z211" s="7">
        <v>0</v>
      </c>
      <c r="AA211" s="18">
        <v>4590.34</v>
      </c>
      <c r="AB211" s="8">
        <v>0</v>
      </c>
      <c r="AC211" s="7">
        <v>0</v>
      </c>
      <c r="AD211" s="18">
        <v>8253.26</v>
      </c>
      <c r="AE211" s="8">
        <v>0</v>
      </c>
      <c r="AF211" s="7">
        <v>0</v>
      </c>
      <c r="AG211" s="18">
        <v>2501.89</v>
      </c>
      <c r="AH211" s="8">
        <v>0</v>
      </c>
      <c r="AI211" s="7">
        <v>0</v>
      </c>
      <c r="AJ211" s="18">
        <v>3710.45</v>
      </c>
      <c r="AK211" s="8">
        <v>0</v>
      </c>
      <c r="AL211" s="7">
        <v>0</v>
      </c>
      <c r="AM211" s="18">
        <v>4973.97</v>
      </c>
      <c r="AN211" s="8">
        <v>0</v>
      </c>
      <c r="AO211" s="7">
        <v>0</v>
      </c>
      <c r="AP211" s="18">
        <v>10212.969999999999</v>
      </c>
      <c r="AQ211" s="8">
        <v>0</v>
      </c>
      <c r="AR211" s="7">
        <v>0</v>
      </c>
      <c r="AS211" s="18">
        <v>11534.18</v>
      </c>
      <c r="AT211" s="8">
        <v>0</v>
      </c>
      <c r="AU211" s="7">
        <v>0</v>
      </c>
      <c r="AV211" s="18">
        <v>10924.02</v>
      </c>
      <c r="AW211" s="8">
        <v>0</v>
      </c>
      <c r="AX211" s="7">
        <v>0</v>
      </c>
      <c r="AY211" s="18">
        <v>4892.21</v>
      </c>
      <c r="AZ211" s="8"/>
      <c r="BA211" s="7"/>
      <c r="BB211" s="18"/>
      <c r="BC211" s="8"/>
      <c r="BD211" s="7"/>
      <c r="BE211" s="18"/>
      <c r="BF211" s="8"/>
      <c r="BG211" s="7"/>
      <c r="BH211" s="18"/>
    </row>
    <row r="212" spans="3:60" ht="20.25" x14ac:dyDescent="0.3">
      <c r="C212" s="8" t="s">
        <v>16</v>
      </c>
      <c r="D212" s="8"/>
      <c r="E212" s="7"/>
      <c r="F212" s="18">
        <f t="shared" si="14"/>
        <v>105662.45999999999</v>
      </c>
      <c r="G212" s="8">
        <v>0</v>
      </c>
      <c r="H212" s="7">
        <v>0</v>
      </c>
      <c r="I212" s="18">
        <v>10041.32</v>
      </c>
      <c r="J212" s="8">
        <v>0</v>
      </c>
      <c r="K212" s="7">
        <v>0</v>
      </c>
      <c r="L212" s="18">
        <v>7823.67</v>
      </c>
      <c r="M212" s="8">
        <v>0</v>
      </c>
      <c r="N212" s="7">
        <v>0</v>
      </c>
      <c r="O212" s="18">
        <v>2697.76</v>
      </c>
      <c r="P212" s="8">
        <v>0</v>
      </c>
      <c r="Q212" s="7">
        <v>0</v>
      </c>
      <c r="R212" s="18">
        <v>15183.1</v>
      </c>
      <c r="S212" s="8">
        <v>0</v>
      </c>
      <c r="T212" s="7">
        <v>0</v>
      </c>
      <c r="U212" s="18">
        <v>35648.6</v>
      </c>
      <c r="V212" s="8">
        <v>0</v>
      </c>
      <c r="W212" s="7">
        <v>0</v>
      </c>
      <c r="X212" s="18">
        <v>9186.41</v>
      </c>
      <c r="Y212" s="8">
        <v>0</v>
      </c>
      <c r="Z212" s="7">
        <v>0</v>
      </c>
      <c r="AA212" s="18">
        <v>2369.12</v>
      </c>
      <c r="AB212" s="8">
        <v>0</v>
      </c>
      <c r="AC212" s="7">
        <v>0</v>
      </c>
      <c r="AD212" s="18">
        <v>6334.86</v>
      </c>
      <c r="AE212" s="8">
        <v>0</v>
      </c>
      <c r="AF212" s="7">
        <v>0</v>
      </c>
      <c r="AG212" s="18">
        <v>4947.88</v>
      </c>
      <c r="AH212" s="8">
        <v>0</v>
      </c>
      <c r="AI212" s="7">
        <v>0</v>
      </c>
      <c r="AJ212" s="18">
        <v>1958.05</v>
      </c>
      <c r="AK212" s="8">
        <v>0</v>
      </c>
      <c r="AL212" s="7">
        <v>0</v>
      </c>
      <c r="AM212" s="18">
        <v>2347.6299999999901</v>
      </c>
      <c r="AN212" s="8">
        <v>0</v>
      </c>
      <c r="AO212" s="7">
        <v>0</v>
      </c>
      <c r="AP212" s="18">
        <v>2748.99</v>
      </c>
      <c r="AQ212" s="8">
        <v>0</v>
      </c>
      <c r="AR212" s="7">
        <v>0</v>
      </c>
      <c r="AS212" s="18">
        <v>41.64</v>
      </c>
      <c r="AT212" s="8">
        <v>0</v>
      </c>
      <c r="AU212" s="7">
        <v>0</v>
      </c>
      <c r="AV212" s="18">
        <v>3416.5899999999901</v>
      </c>
      <c r="AW212" s="8">
        <v>0</v>
      </c>
      <c r="AX212" s="7">
        <v>0</v>
      </c>
      <c r="AY212" s="18">
        <v>916.84</v>
      </c>
      <c r="AZ212" s="8"/>
      <c r="BA212" s="7"/>
      <c r="BB212" s="18"/>
      <c r="BC212" s="8"/>
      <c r="BD212" s="7"/>
      <c r="BE212" s="18"/>
      <c r="BF212" s="8"/>
      <c r="BG212" s="7"/>
      <c r="BH212" s="18"/>
    </row>
    <row r="213" spans="3:60" ht="20.25" x14ac:dyDescent="0.3">
      <c r="C213" s="67" t="s">
        <v>15</v>
      </c>
      <c r="D213" s="67"/>
      <c r="E213" s="66"/>
      <c r="F213" s="18">
        <f t="shared" si="14"/>
        <v>318402.19999999984</v>
      </c>
      <c r="G213" s="67">
        <v>0</v>
      </c>
      <c r="H213" s="66">
        <v>0</v>
      </c>
      <c r="I213" s="18">
        <v>16540.59</v>
      </c>
      <c r="J213" s="67">
        <v>0</v>
      </c>
      <c r="K213" s="66">
        <v>0</v>
      </c>
      <c r="L213" s="18">
        <v>11734.7</v>
      </c>
      <c r="M213" s="67">
        <v>0</v>
      </c>
      <c r="N213" s="66">
        <v>0</v>
      </c>
      <c r="O213" s="18">
        <v>5947.23</v>
      </c>
      <c r="P213" s="67">
        <v>0</v>
      </c>
      <c r="Q213" s="66">
        <v>0</v>
      </c>
      <c r="R213" s="18">
        <v>58332</v>
      </c>
      <c r="S213" s="67">
        <v>0</v>
      </c>
      <c r="T213" s="66">
        <v>0</v>
      </c>
      <c r="U213" s="18">
        <v>44494.7599999999</v>
      </c>
      <c r="V213" s="67">
        <v>0</v>
      </c>
      <c r="W213" s="66">
        <v>0</v>
      </c>
      <c r="X213" s="18">
        <v>66552.98</v>
      </c>
      <c r="Y213" s="67">
        <v>0</v>
      </c>
      <c r="Z213" s="66">
        <v>0</v>
      </c>
      <c r="AA213" s="18">
        <v>44453.3</v>
      </c>
      <c r="AB213" s="67">
        <v>0</v>
      </c>
      <c r="AC213" s="66">
        <v>0</v>
      </c>
      <c r="AD213" s="18">
        <v>9936</v>
      </c>
      <c r="AE213" s="67">
        <v>0</v>
      </c>
      <c r="AF213" s="66">
        <v>0</v>
      </c>
      <c r="AG213" s="18">
        <v>23033.62</v>
      </c>
      <c r="AH213" s="67">
        <v>0</v>
      </c>
      <c r="AI213" s="66">
        <v>0</v>
      </c>
      <c r="AJ213" s="18">
        <v>2536.1799999999998</v>
      </c>
      <c r="AK213" s="67">
        <v>0</v>
      </c>
      <c r="AL213" s="66">
        <v>0</v>
      </c>
      <c r="AM213" s="18">
        <v>6262.5</v>
      </c>
      <c r="AN213" s="67">
        <v>0</v>
      </c>
      <c r="AO213" s="66">
        <v>0</v>
      </c>
      <c r="AP213" s="18">
        <v>6659.06</v>
      </c>
      <c r="AQ213" s="67">
        <v>0</v>
      </c>
      <c r="AR213" s="66">
        <v>0</v>
      </c>
      <c r="AS213" s="18">
        <v>8015.43</v>
      </c>
      <c r="AT213" s="67">
        <v>0</v>
      </c>
      <c r="AU213" s="66">
        <v>0</v>
      </c>
      <c r="AV213" s="18">
        <v>9690.11</v>
      </c>
      <c r="AW213" s="67">
        <v>0</v>
      </c>
      <c r="AX213" s="66">
        <v>0</v>
      </c>
      <c r="AY213" s="18">
        <v>4213.74</v>
      </c>
      <c r="AZ213" s="67"/>
      <c r="BA213" s="66"/>
      <c r="BB213" s="18"/>
      <c r="BC213" s="67"/>
      <c r="BD213" s="66"/>
      <c r="BE213" s="18"/>
      <c r="BF213" s="67"/>
      <c r="BG213" s="66"/>
      <c r="BH213" s="18"/>
    </row>
    <row r="214" spans="3:60" ht="20.25" x14ac:dyDescent="0.3">
      <c r="C214" s="8" t="s">
        <v>14</v>
      </c>
      <c r="D214" s="8"/>
      <c r="E214" s="7"/>
      <c r="F214" s="68">
        <f t="shared" si="14"/>
        <v>135293.95000000001</v>
      </c>
      <c r="G214" s="8">
        <v>0</v>
      </c>
      <c r="H214" s="7">
        <v>0</v>
      </c>
      <c r="I214" s="68">
        <v>7872.6</v>
      </c>
      <c r="J214" s="8">
        <v>0</v>
      </c>
      <c r="K214" s="7">
        <v>0</v>
      </c>
      <c r="L214" s="68">
        <v>8221.44</v>
      </c>
      <c r="M214" s="8">
        <v>0</v>
      </c>
      <c r="N214" s="7">
        <v>0</v>
      </c>
      <c r="O214" s="68">
        <v>7590.95</v>
      </c>
      <c r="P214" s="8">
        <v>0</v>
      </c>
      <c r="Q214" s="7">
        <v>0</v>
      </c>
      <c r="R214" s="68">
        <v>19137.580000000002</v>
      </c>
      <c r="S214" s="8">
        <v>0</v>
      </c>
      <c r="T214" s="7">
        <v>0</v>
      </c>
      <c r="U214" s="68">
        <v>23719.22</v>
      </c>
      <c r="V214" s="8">
        <v>0</v>
      </c>
      <c r="W214" s="7">
        <v>0</v>
      </c>
      <c r="X214" s="68">
        <v>10571.13</v>
      </c>
      <c r="Y214" s="8">
        <v>0</v>
      </c>
      <c r="Z214" s="7">
        <v>0</v>
      </c>
      <c r="AA214" s="68">
        <v>10385.99</v>
      </c>
      <c r="AB214" s="8">
        <v>0</v>
      </c>
      <c r="AC214" s="7">
        <v>0</v>
      </c>
      <c r="AD214" s="68">
        <v>2919.95</v>
      </c>
      <c r="AE214" s="8">
        <v>0</v>
      </c>
      <c r="AF214" s="7">
        <v>0</v>
      </c>
      <c r="AG214" s="68">
        <v>7427.21</v>
      </c>
      <c r="AH214" s="8">
        <v>0</v>
      </c>
      <c r="AI214" s="7">
        <v>0</v>
      </c>
      <c r="AJ214" s="68">
        <v>5197.37</v>
      </c>
      <c r="AK214" s="8">
        <v>0</v>
      </c>
      <c r="AL214" s="7">
        <v>0</v>
      </c>
      <c r="AM214" s="68">
        <v>5697.58</v>
      </c>
      <c r="AN214" s="8">
        <v>0</v>
      </c>
      <c r="AO214" s="7">
        <v>0</v>
      </c>
      <c r="AP214" s="68">
        <v>8677.24</v>
      </c>
      <c r="AQ214" s="8">
        <v>0</v>
      </c>
      <c r="AR214" s="7">
        <v>0</v>
      </c>
      <c r="AS214" s="68">
        <v>10112.65</v>
      </c>
      <c r="AT214" s="8">
        <v>0</v>
      </c>
      <c r="AU214" s="7">
        <v>0</v>
      </c>
      <c r="AV214" s="68">
        <v>5191.2</v>
      </c>
      <c r="AW214" s="8">
        <v>0</v>
      </c>
      <c r="AX214" s="7">
        <v>0</v>
      </c>
      <c r="AY214" s="68">
        <v>2571.84</v>
      </c>
      <c r="AZ214" s="8"/>
      <c r="BA214" s="7"/>
      <c r="BB214" s="68"/>
      <c r="BC214" s="8"/>
      <c r="BD214" s="7"/>
      <c r="BE214" s="68"/>
      <c r="BF214" s="8"/>
      <c r="BG214" s="7"/>
      <c r="BH214" s="68"/>
    </row>
    <row r="215" spans="3:60" ht="20.25" x14ac:dyDescent="0.3">
      <c r="C215" s="8" t="s">
        <v>13</v>
      </c>
      <c r="D215" s="8"/>
      <c r="E215" s="7"/>
      <c r="F215" s="18">
        <f t="shared" si="14"/>
        <v>20695.419999999998</v>
      </c>
      <c r="G215" s="8">
        <v>0</v>
      </c>
      <c r="H215" s="7">
        <v>0</v>
      </c>
      <c r="I215" s="18">
        <v>2094.67</v>
      </c>
      <c r="J215" s="8">
        <v>0</v>
      </c>
      <c r="K215" s="7">
        <v>0</v>
      </c>
      <c r="L215" s="18">
        <v>738.03</v>
      </c>
      <c r="M215" s="8">
        <v>0</v>
      </c>
      <c r="N215" s="7">
        <v>0</v>
      </c>
      <c r="O215" s="18">
        <v>1223.28</v>
      </c>
      <c r="P215" s="8">
        <v>0</v>
      </c>
      <c r="Q215" s="7">
        <v>0</v>
      </c>
      <c r="R215" s="18">
        <v>1139.8900000000001</v>
      </c>
      <c r="S215" s="8">
        <v>0</v>
      </c>
      <c r="T215" s="7">
        <v>0</v>
      </c>
      <c r="U215" s="18">
        <v>6761.39</v>
      </c>
      <c r="V215" s="8">
        <v>0</v>
      </c>
      <c r="W215" s="7">
        <v>0</v>
      </c>
      <c r="X215" s="18">
        <v>1900.02</v>
      </c>
      <c r="Y215" s="8">
        <v>0</v>
      </c>
      <c r="Z215" s="7">
        <v>0</v>
      </c>
      <c r="AA215" s="18">
        <v>1260.5</v>
      </c>
      <c r="AB215" s="8">
        <v>0</v>
      </c>
      <c r="AC215" s="7">
        <v>0</v>
      </c>
      <c r="AD215" s="18">
        <v>432.4</v>
      </c>
      <c r="AE215" s="8">
        <v>0</v>
      </c>
      <c r="AF215" s="7">
        <v>0</v>
      </c>
      <c r="AG215" s="18">
        <v>585.59</v>
      </c>
      <c r="AH215" s="8">
        <v>0</v>
      </c>
      <c r="AI215" s="7">
        <v>0</v>
      </c>
      <c r="AJ215" s="18">
        <v>118.42</v>
      </c>
      <c r="AK215" s="8">
        <v>0</v>
      </c>
      <c r="AL215" s="7">
        <v>0</v>
      </c>
      <c r="AM215" s="18">
        <v>644.72</v>
      </c>
      <c r="AN215" s="8">
        <v>0</v>
      </c>
      <c r="AO215" s="7">
        <v>0</v>
      </c>
      <c r="AP215" s="18">
        <v>771.34</v>
      </c>
      <c r="AQ215" s="8">
        <v>0</v>
      </c>
      <c r="AR215" s="7">
        <v>0</v>
      </c>
      <c r="AS215" s="18">
        <v>2113.0700000000002</v>
      </c>
      <c r="AT215" s="8">
        <v>0</v>
      </c>
      <c r="AU215" s="7">
        <v>0</v>
      </c>
      <c r="AV215" s="18">
        <v>699.39</v>
      </c>
      <c r="AW215" s="8">
        <v>0</v>
      </c>
      <c r="AX215" s="7">
        <v>0</v>
      </c>
      <c r="AY215" s="18">
        <v>212.70999999999901</v>
      </c>
      <c r="AZ215" s="8"/>
      <c r="BA215" s="7"/>
      <c r="BB215" s="18"/>
      <c r="BC215" s="8"/>
      <c r="BD215" s="7"/>
      <c r="BE215" s="18"/>
      <c r="BF215" s="8"/>
      <c r="BG215" s="7"/>
      <c r="BH215" s="18"/>
    </row>
    <row r="216" spans="3:60" ht="20.25" x14ac:dyDescent="0.3">
      <c r="C216" s="67" t="s">
        <v>12</v>
      </c>
      <c r="D216" s="67"/>
      <c r="E216" s="66"/>
      <c r="F216" s="18">
        <f t="shared" si="14"/>
        <v>129349.68</v>
      </c>
      <c r="G216" s="67">
        <v>0</v>
      </c>
      <c r="H216" s="66">
        <v>0</v>
      </c>
      <c r="I216" s="18">
        <v>4876.5200000000004</v>
      </c>
      <c r="J216" s="67">
        <v>0</v>
      </c>
      <c r="K216" s="66">
        <v>0</v>
      </c>
      <c r="L216" s="18">
        <v>5205.57</v>
      </c>
      <c r="M216" s="67">
        <v>0</v>
      </c>
      <c r="N216" s="66">
        <v>0</v>
      </c>
      <c r="O216" s="18">
        <v>1847.31</v>
      </c>
      <c r="P216" s="67">
        <v>0</v>
      </c>
      <c r="Q216" s="66">
        <v>0</v>
      </c>
      <c r="R216" s="18">
        <v>6704.12</v>
      </c>
      <c r="S216" s="67">
        <v>0</v>
      </c>
      <c r="T216" s="66">
        <v>0</v>
      </c>
      <c r="U216" s="18">
        <v>18199.939999999999</v>
      </c>
      <c r="V216" s="67">
        <v>0</v>
      </c>
      <c r="W216" s="66">
        <v>0</v>
      </c>
      <c r="X216" s="18">
        <v>24127.62</v>
      </c>
      <c r="Y216" s="67">
        <v>0</v>
      </c>
      <c r="Z216" s="66">
        <v>0</v>
      </c>
      <c r="AA216" s="18">
        <v>2578.7799999999902</v>
      </c>
      <c r="AB216" s="67">
        <v>0</v>
      </c>
      <c r="AC216" s="66">
        <v>0</v>
      </c>
      <c r="AD216" s="18">
        <v>5239.53</v>
      </c>
      <c r="AE216" s="67">
        <v>0</v>
      </c>
      <c r="AF216" s="66">
        <v>0</v>
      </c>
      <c r="AG216" s="18">
        <v>12822.11</v>
      </c>
      <c r="AH216" s="67">
        <v>0</v>
      </c>
      <c r="AI216" s="66">
        <v>0</v>
      </c>
      <c r="AJ216" s="18">
        <v>1544.34</v>
      </c>
      <c r="AK216" s="67">
        <v>0</v>
      </c>
      <c r="AL216" s="66">
        <v>0</v>
      </c>
      <c r="AM216" s="18">
        <v>4574.26</v>
      </c>
      <c r="AN216" s="67">
        <v>0</v>
      </c>
      <c r="AO216" s="66">
        <v>0</v>
      </c>
      <c r="AP216" s="18">
        <v>9884.07</v>
      </c>
      <c r="AQ216" s="67">
        <v>0</v>
      </c>
      <c r="AR216" s="66">
        <v>0</v>
      </c>
      <c r="AS216" s="18">
        <v>15821.08</v>
      </c>
      <c r="AT216" s="67">
        <v>0</v>
      </c>
      <c r="AU216" s="66">
        <v>0</v>
      </c>
      <c r="AV216" s="18">
        <v>15317.24</v>
      </c>
      <c r="AW216" s="67">
        <v>0</v>
      </c>
      <c r="AX216" s="66">
        <v>0</v>
      </c>
      <c r="AY216" s="18">
        <v>607.18999999999903</v>
      </c>
      <c r="AZ216" s="67"/>
      <c r="BA216" s="66"/>
      <c r="BB216" s="18"/>
      <c r="BC216" s="67"/>
      <c r="BD216" s="66"/>
      <c r="BE216" s="18"/>
      <c r="BF216" s="67"/>
      <c r="BG216" s="66"/>
      <c r="BH216" s="18"/>
    </row>
    <row r="217" spans="3:60" ht="20.25" x14ac:dyDescent="0.3">
      <c r="C217" s="8" t="s">
        <v>34</v>
      </c>
      <c r="D217" s="8"/>
      <c r="E217" s="7"/>
      <c r="F217" s="68">
        <f t="shared" si="14"/>
        <v>-1510.4299999999901</v>
      </c>
      <c r="G217" s="8">
        <v>0</v>
      </c>
      <c r="H217" s="7">
        <v>0</v>
      </c>
      <c r="I217" s="68">
        <v>0</v>
      </c>
      <c r="J217" s="8">
        <v>0</v>
      </c>
      <c r="K217" s="7">
        <v>0</v>
      </c>
      <c r="L217" s="68">
        <v>0</v>
      </c>
      <c r="M217" s="8">
        <v>0</v>
      </c>
      <c r="N217" s="7">
        <v>0</v>
      </c>
      <c r="O217" s="68">
        <v>0</v>
      </c>
      <c r="P217" s="8">
        <v>0</v>
      </c>
      <c r="Q217" s="7">
        <v>0</v>
      </c>
      <c r="R217" s="68">
        <v>0</v>
      </c>
      <c r="S217" s="8">
        <v>0</v>
      </c>
      <c r="T217" s="7">
        <v>0</v>
      </c>
      <c r="U217" s="68">
        <v>0</v>
      </c>
      <c r="V217" s="8">
        <v>0</v>
      </c>
      <c r="W217" s="7">
        <v>0</v>
      </c>
      <c r="X217" s="68">
        <v>-1510.4299999999901</v>
      </c>
      <c r="Y217" s="8">
        <v>0</v>
      </c>
      <c r="Z217" s="7">
        <v>0</v>
      </c>
      <c r="AA217" s="68">
        <v>0</v>
      </c>
      <c r="AB217" s="8">
        <v>0</v>
      </c>
      <c r="AC217" s="7">
        <v>0</v>
      </c>
      <c r="AD217" s="68">
        <v>0</v>
      </c>
      <c r="AE217" s="8">
        <v>0</v>
      </c>
      <c r="AF217" s="7">
        <v>0</v>
      </c>
      <c r="AG217" s="68">
        <v>0</v>
      </c>
      <c r="AH217" s="8">
        <v>0</v>
      </c>
      <c r="AI217" s="7">
        <v>0</v>
      </c>
      <c r="AJ217" s="68">
        <v>0</v>
      </c>
      <c r="AK217" s="8">
        <v>0</v>
      </c>
      <c r="AL217" s="7">
        <v>0</v>
      </c>
      <c r="AM217" s="68">
        <v>0</v>
      </c>
      <c r="AN217" s="8">
        <v>0</v>
      </c>
      <c r="AO217" s="7">
        <v>0</v>
      </c>
      <c r="AP217" s="68">
        <v>0</v>
      </c>
      <c r="AQ217" s="8">
        <v>0</v>
      </c>
      <c r="AR217" s="7">
        <v>0</v>
      </c>
      <c r="AS217" s="68">
        <v>0</v>
      </c>
      <c r="AT217" s="8">
        <v>0</v>
      </c>
      <c r="AU217" s="7">
        <v>0</v>
      </c>
      <c r="AV217" s="68">
        <v>0</v>
      </c>
      <c r="AW217" s="8">
        <v>0</v>
      </c>
      <c r="AX217" s="7">
        <v>0</v>
      </c>
      <c r="AY217" s="68">
        <v>0</v>
      </c>
      <c r="AZ217" s="8"/>
      <c r="BA217" s="7"/>
      <c r="BB217" s="68"/>
      <c r="BC217" s="8"/>
      <c r="BD217" s="7"/>
      <c r="BE217" s="68"/>
      <c r="BF217" s="8"/>
      <c r="BG217" s="7"/>
      <c r="BH217" s="68"/>
    </row>
    <row r="218" spans="3:60" ht="20.25" x14ac:dyDescent="0.3">
      <c r="C218" s="8" t="s">
        <v>11</v>
      </c>
      <c r="D218" s="8"/>
      <c r="E218" s="7"/>
      <c r="F218" s="18">
        <f t="shared" si="14"/>
        <v>66790.080000000002</v>
      </c>
      <c r="G218" s="8">
        <v>0</v>
      </c>
      <c r="H218" s="7">
        <v>0</v>
      </c>
      <c r="I218" s="18">
        <v>5927.93</v>
      </c>
      <c r="J218" s="8">
        <v>0</v>
      </c>
      <c r="K218" s="7">
        <v>0</v>
      </c>
      <c r="L218" s="18">
        <v>4021.51</v>
      </c>
      <c r="M218" s="8">
        <v>0</v>
      </c>
      <c r="N218" s="7">
        <v>0</v>
      </c>
      <c r="O218" s="18">
        <v>3041.06</v>
      </c>
      <c r="P218" s="8">
        <v>0</v>
      </c>
      <c r="Q218" s="7">
        <v>0</v>
      </c>
      <c r="R218" s="18">
        <v>7465.24</v>
      </c>
      <c r="S218" s="8">
        <v>0</v>
      </c>
      <c r="T218" s="7">
        <v>0</v>
      </c>
      <c r="U218" s="18">
        <v>12057.9</v>
      </c>
      <c r="V218" s="8">
        <v>0</v>
      </c>
      <c r="W218" s="7">
        <v>0</v>
      </c>
      <c r="X218" s="18">
        <v>11387.16</v>
      </c>
      <c r="Y218" s="8">
        <v>0</v>
      </c>
      <c r="Z218" s="7">
        <v>0</v>
      </c>
      <c r="AA218" s="18">
        <v>3055.65</v>
      </c>
      <c r="AB218" s="8">
        <v>0</v>
      </c>
      <c r="AC218" s="7">
        <v>0</v>
      </c>
      <c r="AD218" s="18">
        <v>864.19</v>
      </c>
      <c r="AE218" s="8">
        <v>0</v>
      </c>
      <c r="AF218" s="7">
        <v>0</v>
      </c>
      <c r="AG218" s="18">
        <v>3212.73</v>
      </c>
      <c r="AH218" s="8">
        <v>0</v>
      </c>
      <c r="AI218" s="7">
        <v>0</v>
      </c>
      <c r="AJ218" s="18">
        <v>2536.84</v>
      </c>
      <c r="AK218" s="8">
        <v>0</v>
      </c>
      <c r="AL218" s="7">
        <v>0</v>
      </c>
      <c r="AM218" s="18">
        <v>1307.79</v>
      </c>
      <c r="AN218" s="8">
        <v>0</v>
      </c>
      <c r="AO218" s="7">
        <v>0</v>
      </c>
      <c r="AP218" s="18">
        <v>3181.6</v>
      </c>
      <c r="AQ218" s="8">
        <v>0</v>
      </c>
      <c r="AR218" s="7">
        <v>0</v>
      </c>
      <c r="AS218" s="18">
        <v>-41.6</v>
      </c>
      <c r="AT218" s="8">
        <v>0</v>
      </c>
      <c r="AU218" s="7">
        <v>0</v>
      </c>
      <c r="AV218" s="18">
        <v>6854.16</v>
      </c>
      <c r="AW218" s="8">
        <v>0</v>
      </c>
      <c r="AX218" s="7">
        <v>0</v>
      </c>
      <c r="AY218" s="18">
        <v>1917.92</v>
      </c>
      <c r="AZ218" s="8"/>
      <c r="BA218" s="7"/>
      <c r="BB218" s="18"/>
      <c r="BC218" s="8"/>
      <c r="BD218" s="7"/>
      <c r="BE218" s="18"/>
      <c r="BF218" s="8"/>
      <c r="BG218" s="7"/>
      <c r="BH218" s="18"/>
    </row>
    <row r="219" spans="3:60" ht="20.25" x14ac:dyDescent="0.3">
      <c r="C219" s="8" t="s">
        <v>10</v>
      </c>
      <c r="D219" s="8"/>
      <c r="E219" s="7"/>
      <c r="F219" s="18">
        <f t="shared" si="14"/>
        <v>20496.41</v>
      </c>
      <c r="G219" s="8">
        <v>0</v>
      </c>
      <c r="H219" s="7">
        <v>0</v>
      </c>
      <c r="I219" s="18">
        <v>3663.04</v>
      </c>
      <c r="J219" s="8">
        <v>0</v>
      </c>
      <c r="K219" s="7">
        <v>0</v>
      </c>
      <c r="L219" s="18">
        <v>1670.46</v>
      </c>
      <c r="M219" s="8">
        <v>0</v>
      </c>
      <c r="N219" s="7">
        <v>0</v>
      </c>
      <c r="O219" s="18">
        <v>1193.76</v>
      </c>
      <c r="P219" s="8">
        <v>0</v>
      </c>
      <c r="Q219" s="7">
        <v>0</v>
      </c>
      <c r="R219" s="18">
        <v>2467.6</v>
      </c>
      <c r="S219" s="8">
        <v>0</v>
      </c>
      <c r="T219" s="7">
        <v>0</v>
      </c>
      <c r="U219" s="18">
        <v>2079.16</v>
      </c>
      <c r="V219" s="8">
        <v>0</v>
      </c>
      <c r="W219" s="7">
        <v>0</v>
      </c>
      <c r="X219" s="18">
        <v>1807.03</v>
      </c>
      <c r="Y219" s="8">
        <v>0</v>
      </c>
      <c r="Z219" s="7">
        <v>0</v>
      </c>
      <c r="AA219" s="18">
        <v>736.22</v>
      </c>
      <c r="AB219" s="8">
        <v>0</v>
      </c>
      <c r="AC219" s="7">
        <v>0</v>
      </c>
      <c r="AD219" s="18">
        <v>2077.6799999999998</v>
      </c>
      <c r="AE219" s="8">
        <v>0</v>
      </c>
      <c r="AF219" s="7">
        <v>0</v>
      </c>
      <c r="AG219" s="18">
        <v>1474.05</v>
      </c>
      <c r="AH219" s="8">
        <v>0</v>
      </c>
      <c r="AI219" s="7">
        <v>0</v>
      </c>
      <c r="AJ219" s="18">
        <v>629.4</v>
      </c>
      <c r="AK219" s="8">
        <v>0</v>
      </c>
      <c r="AL219" s="7">
        <v>0</v>
      </c>
      <c r="AM219" s="18">
        <v>277.68</v>
      </c>
      <c r="AN219" s="8">
        <v>0</v>
      </c>
      <c r="AO219" s="7">
        <v>0</v>
      </c>
      <c r="AP219" s="18">
        <v>1453.21</v>
      </c>
      <c r="AQ219" s="8">
        <v>0</v>
      </c>
      <c r="AR219" s="7">
        <v>0</v>
      </c>
      <c r="AS219" s="18">
        <v>361.23</v>
      </c>
      <c r="AT219" s="8">
        <v>0</v>
      </c>
      <c r="AU219" s="7">
        <v>0</v>
      </c>
      <c r="AV219" s="18">
        <v>605.89</v>
      </c>
      <c r="AW219" s="8">
        <v>0</v>
      </c>
      <c r="AX219" s="7">
        <v>0</v>
      </c>
      <c r="AY219" s="18">
        <v>0</v>
      </c>
      <c r="AZ219" s="8"/>
      <c r="BA219" s="7"/>
      <c r="BB219" s="18"/>
      <c r="BC219" s="8"/>
      <c r="BD219" s="7"/>
      <c r="BE219" s="18"/>
      <c r="BF219" s="8"/>
      <c r="BG219" s="7"/>
      <c r="BH219" s="18"/>
    </row>
    <row r="220" spans="3:60" ht="20.25" x14ac:dyDescent="0.3">
      <c r="C220" s="8" t="s">
        <v>9</v>
      </c>
      <c r="D220" s="8"/>
      <c r="E220" s="7"/>
      <c r="F220" s="18">
        <f t="shared" si="14"/>
        <v>4898.4099999999989</v>
      </c>
      <c r="G220" s="8">
        <v>0</v>
      </c>
      <c r="H220" s="7">
        <v>0</v>
      </c>
      <c r="I220" s="18">
        <v>560.9</v>
      </c>
      <c r="J220" s="8">
        <v>0</v>
      </c>
      <c r="K220" s="7">
        <v>0</v>
      </c>
      <c r="L220" s="18">
        <v>379.39</v>
      </c>
      <c r="M220" s="8">
        <v>0</v>
      </c>
      <c r="N220" s="7">
        <v>0</v>
      </c>
      <c r="O220" s="18">
        <v>663.76</v>
      </c>
      <c r="P220" s="8">
        <v>0</v>
      </c>
      <c r="Q220" s="7">
        <v>0</v>
      </c>
      <c r="R220" s="18">
        <v>1144.57</v>
      </c>
      <c r="S220" s="8">
        <v>0</v>
      </c>
      <c r="T220" s="7">
        <v>0</v>
      </c>
      <c r="U220" s="18">
        <v>1272.04</v>
      </c>
      <c r="V220" s="8">
        <v>0</v>
      </c>
      <c r="W220" s="7">
        <v>0</v>
      </c>
      <c r="X220" s="18">
        <v>-2365.46</v>
      </c>
      <c r="Y220" s="8">
        <v>0</v>
      </c>
      <c r="Z220" s="7">
        <v>0</v>
      </c>
      <c r="AA220" s="18">
        <v>370.30999999999898</v>
      </c>
      <c r="AB220" s="8">
        <v>0</v>
      </c>
      <c r="AC220" s="7">
        <v>0</v>
      </c>
      <c r="AD220" s="18">
        <v>671.98</v>
      </c>
      <c r="AE220" s="8">
        <v>0</v>
      </c>
      <c r="AF220" s="7">
        <v>0</v>
      </c>
      <c r="AG220" s="18">
        <v>198.45</v>
      </c>
      <c r="AH220" s="8">
        <v>0</v>
      </c>
      <c r="AI220" s="7">
        <v>0</v>
      </c>
      <c r="AJ220" s="18">
        <v>221.92</v>
      </c>
      <c r="AK220" s="8">
        <v>0</v>
      </c>
      <c r="AL220" s="7">
        <v>0</v>
      </c>
      <c r="AM220" s="18">
        <v>309.02</v>
      </c>
      <c r="AN220" s="8">
        <v>0</v>
      </c>
      <c r="AO220" s="7">
        <v>0</v>
      </c>
      <c r="AP220" s="18">
        <v>317.67</v>
      </c>
      <c r="AQ220" s="8">
        <v>0</v>
      </c>
      <c r="AR220" s="7">
        <v>0</v>
      </c>
      <c r="AS220" s="18">
        <v>21.4</v>
      </c>
      <c r="AT220" s="8">
        <v>0</v>
      </c>
      <c r="AU220" s="7">
        <v>0</v>
      </c>
      <c r="AV220" s="18">
        <v>781.46</v>
      </c>
      <c r="AW220" s="8">
        <v>0</v>
      </c>
      <c r="AX220" s="7">
        <v>0</v>
      </c>
      <c r="AY220" s="18">
        <v>351</v>
      </c>
      <c r="AZ220" s="8"/>
      <c r="BA220" s="7"/>
      <c r="BB220" s="18"/>
      <c r="BC220" s="8"/>
      <c r="BD220" s="7"/>
      <c r="BE220" s="18"/>
      <c r="BF220" s="8"/>
      <c r="BG220" s="7"/>
      <c r="BH220" s="18"/>
    </row>
    <row r="221" spans="3:60" ht="20.25" x14ac:dyDescent="0.3">
      <c r="C221" s="8" t="s">
        <v>8</v>
      </c>
      <c r="D221" s="8"/>
      <c r="E221" s="7"/>
      <c r="F221" s="18">
        <f t="shared" si="14"/>
        <v>4600.8400000000011</v>
      </c>
      <c r="G221" s="8">
        <v>0</v>
      </c>
      <c r="H221" s="7">
        <v>0</v>
      </c>
      <c r="I221" s="18">
        <v>375.6</v>
      </c>
      <c r="J221" s="8">
        <v>0</v>
      </c>
      <c r="K221" s="7">
        <v>0</v>
      </c>
      <c r="L221" s="18">
        <v>229.64</v>
      </c>
      <c r="M221" s="8">
        <v>0</v>
      </c>
      <c r="N221" s="7">
        <v>0</v>
      </c>
      <c r="O221" s="18">
        <v>194.29</v>
      </c>
      <c r="P221" s="8">
        <v>0</v>
      </c>
      <c r="Q221" s="7">
        <v>0</v>
      </c>
      <c r="R221" s="18">
        <v>984.39</v>
      </c>
      <c r="S221" s="8">
        <v>0</v>
      </c>
      <c r="T221" s="7">
        <v>0</v>
      </c>
      <c r="U221" s="18">
        <v>1003.91</v>
      </c>
      <c r="V221" s="8">
        <v>0</v>
      </c>
      <c r="W221" s="7">
        <v>0</v>
      </c>
      <c r="X221" s="18">
        <v>317.26</v>
      </c>
      <c r="Y221" s="8">
        <v>0</v>
      </c>
      <c r="Z221" s="7">
        <v>0</v>
      </c>
      <c r="AA221" s="18">
        <v>69.069999999999993</v>
      </c>
      <c r="AB221" s="8">
        <v>0</v>
      </c>
      <c r="AC221" s="7">
        <v>0</v>
      </c>
      <c r="AD221" s="18">
        <v>203.82</v>
      </c>
      <c r="AE221" s="8">
        <v>0</v>
      </c>
      <c r="AF221" s="7">
        <v>0</v>
      </c>
      <c r="AG221" s="18">
        <v>62.33</v>
      </c>
      <c r="AH221" s="8">
        <v>0</v>
      </c>
      <c r="AI221" s="7">
        <v>0</v>
      </c>
      <c r="AJ221" s="18">
        <v>102.82</v>
      </c>
      <c r="AK221" s="8">
        <v>0</v>
      </c>
      <c r="AL221" s="7">
        <v>0</v>
      </c>
      <c r="AM221" s="18">
        <v>27.69</v>
      </c>
      <c r="AN221" s="8">
        <v>0</v>
      </c>
      <c r="AO221" s="7">
        <v>0</v>
      </c>
      <c r="AP221" s="18">
        <v>253.58</v>
      </c>
      <c r="AQ221" s="8">
        <v>0</v>
      </c>
      <c r="AR221" s="7">
        <v>0</v>
      </c>
      <c r="AS221" s="18">
        <v>426.23</v>
      </c>
      <c r="AT221" s="8">
        <v>0</v>
      </c>
      <c r="AU221" s="7">
        <v>0</v>
      </c>
      <c r="AV221" s="18">
        <v>226.91</v>
      </c>
      <c r="AW221" s="8">
        <v>0</v>
      </c>
      <c r="AX221" s="7">
        <v>0</v>
      </c>
      <c r="AY221" s="18">
        <v>123.3</v>
      </c>
      <c r="AZ221" s="8"/>
      <c r="BA221" s="7"/>
      <c r="BB221" s="18"/>
      <c r="BC221" s="8"/>
      <c r="BD221" s="7"/>
      <c r="BE221" s="18"/>
      <c r="BF221" s="8"/>
      <c r="BG221" s="7"/>
      <c r="BH221" s="18"/>
    </row>
    <row r="222" spans="3:60" ht="20.25" x14ac:dyDescent="0.3">
      <c r="C222" s="8" t="s">
        <v>7</v>
      </c>
      <c r="D222" s="8"/>
      <c r="E222" s="7"/>
      <c r="F222" s="18">
        <f t="shared" si="14"/>
        <v>1491.89</v>
      </c>
      <c r="G222" s="8">
        <v>0</v>
      </c>
      <c r="H222" s="7">
        <v>0</v>
      </c>
      <c r="I222" s="18">
        <v>307.5</v>
      </c>
      <c r="J222" s="8">
        <v>0</v>
      </c>
      <c r="K222" s="7">
        <v>0</v>
      </c>
      <c r="L222" s="18">
        <v>150.75</v>
      </c>
      <c r="M222" s="8">
        <v>0</v>
      </c>
      <c r="N222" s="7">
        <v>0</v>
      </c>
      <c r="O222" s="18">
        <v>84.59</v>
      </c>
      <c r="P222" s="8">
        <v>0</v>
      </c>
      <c r="Q222" s="7">
        <v>0</v>
      </c>
      <c r="R222" s="18">
        <v>56.28</v>
      </c>
      <c r="S222" s="8">
        <v>0</v>
      </c>
      <c r="T222" s="7">
        <v>0</v>
      </c>
      <c r="U222" s="18">
        <v>0</v>
      </c>
      <c r="V222" s="8">
        <v>0</v>
      </c>
      <c r="W222" s="7">
        <v>0</v>
      </c>
      <c r="X222" s="18">
        <v>-80.72</v>
      </c>
      <c r="Y222" s="8">
        <v>0</v>
      </c>
      <c r="Z222" s="7">
        <v>0</v>
      </c>
      <c r="AA222" s="18">
        <v>65.95</v>
      </c>
      <c r="AB222" s="8">
        <v>0</v>
      </c>
      <c r="AC222" s="7">
        <v>0</v>
      </c>
      <c r="AD222" s="18">
        <v>169.12</v>
      </c>
      <c r="AE222" s="8">
        <v>0</v>
      </c>
      <c r="AF222" s="7">
        <v>0</v>
      </c>
      <c r="AG222" s="18">
        <v>190.37</v>
      </c>
      <c r="AH222" s="8">
        <v>0</v>
      </c>
      <c r="AI222" s="7">
        <v>0</v>
      </c>
      <c r="AJ222" s="18">
        <v>8.25</v>
      </c>
      <c r="AK222" s="8">
        <v>0</v>
      </c>
      <c r="AL222" s="7">
        <v>0</v>
      </c>
      <c r="AM222" s="18">
        <v>85.63</v>
      </c>
      <c r="AN222" s="8">
        <v>0</v>
      </c>
      <c r="AO222" s="7">
        <v>0</v>
      </c>
      <c r="AP222" s="18">
        <v>49.41</v>
      </c>
      <c r="AQ222" s="8">
        <v>0</v>
      </c>
      <c r="AR222" s="7">
        <v>0</v>
      </c>
      <c r="AS222" s="18">
        <v>68.84</v>
      </c>
      <c r="AT222" s="8">
        <v>0</v>
      </c>
      <c r="AU222" s="7">
        <v>0</v>
      </c>
      <c r="AV222" s="18">
        <v>335.92</v>
      </c>
      <c r="AW222" s="8">
        <v>0</v>
      </c>
      <c r="AX222" s="7">
        <v>0</v>
      </c>
      <c r="AY222" s="18">
        <v>0</v>
      </c>
      <c r="AZ222" s="8"/>
      <c r="BA222" s="7"/>
      <c r="BB222" s="18"/>
      <c r="BC222" s="8"/>
      <c r="BD222" s="7"/>
      <c r="BE222" s="18"/>
      <c r="BF222" s="8"/>
      <c r="BG222" s="7"/>
      <c r="BH222" s="18"/>
    </row>
    <row r="223" spans="3:60" ht="20.25" x14ac:dyDescent="0.3">
      <c r="C223" s="8" t="s">
        <v>6</v>
      </c>
      <c r="D223" s="8"/>
      <c r="E223" s="7"/>
      <c r="F223" s="18">
        <f t="shared" si="14"/>
        <v>11013.22999999998</v>
      </c>
      <c r="G223" s="8">
        <v>0</v>
      </c>
      <c r="H223" s="7">
        <v>0</v>
      </c>
      <c r="I223" s="18">
        <v>1997.02</v>
      </c>
      <c r="J223" s="8">
        <v>0</v>
      </c>
      <c r="K223" s="7">
        <v>0</v>
      </c>
      <c r="L223" s="18">
        <v>1132.8899999999901</v>
      </c>
      <c r="M223" s="8">
        <v>0</v>
      </c>
      <c r="N223" s="7">
        <v>0</v>
      </c>
      <c r="O223" s="18">
        <v>379</v>
      </c>
      <c r="P223" s="8">
        <v>0</v>
      </c>
      <c r="Q223" s="7">
        <v>0</v>
      </c>
      <c r="R223" s="18">
        <v>1257.92</v>
      </c>
      <c r="S223" s="8">
        <v>0</v>
      </c>
      <c r="T223" s="7">
        <v>0</v>
      </c>
      <c r="U223" s="18">
        <v>-1.03</v>
      </c>
      <c r="V223" s="8">
        <v>0</v>
      </c>
      <c r="W223" s="7">
        <v>0</v>
      </c>
      <c r="X223" s="18">
        <v>47.04</v>
      </c>
      <c r="Y223" s="8">
        <v>0</v>
      </c>
      <c r="Z223" s="7">
        <v>0</v>
      </c>
      <c r="AA223" s="18">
        <v>1047.3899999999901</v>
      </c>
      <c r="AB223" s="8">
        <v>0</v>
      </c>
      <c r="AC223" s="7">
        <v>0</v>
      </c>
      <c r="AD223" s="18">
        <v>912.96</v>
      </c>
      <c r="AE223" s="8">
        <v>0</v>
      </c>
      <c r="AF223" s="7">
        <v>0</v>
      </c>
      <c r="AG223" s="18">
        <v>936.03</v>
      </c>
      <c r="AH223" s="8">
        <v>0</v>
      </c>
      <c r="AI223" s="7">
        <v>0</v>
      </c>
      <c r="AJ223" s="18">
        <v>718.89</v>
      </c>
      <c r="AK223" s="8">
        <v>0</v>
      </c>
      <c r="AL223" s="7">
        <v>0</v>
      </c>
      <c r="AM223" s="18">
        <v>275</v>
      </c>
      <c r="AN223" s="8">
        <v>0</v>
      </c>
      <c r="AO223" s="7">
        <v>0</v>
      </c>
      <c r="AP223" s="18">
        <v>1305.7</v>
      </c>
      <c r="AQ223" s="8">
        <v>0</v>
      </c>
      <c r="AR223" s="7">
        <v>0</v>
      </c>
      <c r="AS223" s="18">
        <v>900.39</v>
      </c>
      <c r="AT223" s="8">
        <v>0</v>
      </c>
      <c r="AU223" s="7">
        <v>0</v>
      </c>
      <c r="AV223" s="18">
        <v>53.4</v>
      </c>
      <c r="AW223" s="8">
        <v>0</v>
      </c>
      <c r="AX223" s="7">
        <v>0</v>
      </c>
      <c r="AY223" s="18">
        <v>50.63</v>
      </c>
      <c r="AZ223" s="8"/>
      <c r="BA223" s="7"/>
      <c r="BB223" s="18"/>
      <c r="BC223" s="8"/>
      <c r="BD223" s="7"/>
      <c r="BE223" s="18"/>
      <c r="BF223" s="8"/>
      <c r="BG223" s="7"/>
      <c r="BH223" s="18"/>
    </row>
    <row r="224" spans="3:60" ht="20.25" x14ac:dyDescent="0.3">
      <c r="C224" s="8" t="s">
        <v>5</v>
      </c>
      <c r="D224" s="8"/>
      <c r="E224" s="7"/>
      <c r="F224" s="18">
        <f t="shared" si="14"/>
        <v>44895.009999999995</v>
      </c>
      <c r="G224" s="8">
        <v>0</v>
      </c>
      <c r="H224" s="7">
        <v>0</v>
      </c>
      <c r="I224" s="18">
        <v>7665.05</v>
      </c>
      <c r="J224" s="8">
        <v>0</v>
      </c>
      <c r="K224" s="7">
        <v>0</v>
      </c>
      <c r="L224" s="18">
        <v>1269.2</v>
      </c>
      <c r="M224" s="8">
        <v>0</v>
      </c>
      <c r="N224" s="7">
        <v>0</v>
      </c>
      <c r="O224" s="18">
        <v>2267.85</v>
      </c>
      <c r="P224" s="8">
        <v>0</v>
      </c>
      <c r="Q224" s="7">
        <v>0</v>
      </c>
      <c r="R224" s="18">
        <v>16816.07</v>
      </c>
      <c r="S224" s="8">
        <v>0</v>
      </c>
      <c r="T224" s="7">
        <v>0</v>
      </c>
      <c r="U224" s="18">
        <v>2654.2</v>
      </c>
      <c r="V224" s="8">
        <v>0</v>
      </c>
      <c r="W224" s="7">
        <v>0</v>
      </c>
      <c r="X224" s="18">
        <v>408.04</v>
      </c>
      <c r="Y224" s="8">
        <v>0</v>
      </c>
      <c r="Z224" s="7">
        <v>0</v>
      </c>
      <c r="AA224" s="18">
        <v>1341.78</v>
      </c>
      <c r="AB224" s="8">
        <v>0</v>
      </c>
      <c r="AC224" s="7">
        <v>0</v>
      </c>
      <c r="AD224" s="18">
        <v>105.27</v>
      </c>
      <c r="AE224" s="8">
        <v>0</v>
      </c>
      <c r="AF224" s="7">
        <v>0</v>
      </c>
      <c r="AG224" s="18">
        <v>4493.6000000000004</v>
      </c>
      <c r="AH224" s="8">
        <v>0</v>
      </c>
      <c r="AI224" s="7">
        <v>0</v>
      </c>
      <c r="AJ224" s="18">
        <v>1995.13</v>
      </c>
      <c r="AK224" s="8">
        <v>0</v>
      </c>
      <c r="AL224" s="7">
        <v>0</v>
      </c>
      <c r="AM224" s="18">
        <v>105.27</v>
      </c>
      <c r="AN224" s="8">
        <v>0</v>
      </c>
      <c r="AO224" s="7">
        <v>0</v>
      </c>
      <c r="AP224" s="18">
        <v>2218.14</v>
      </c>
      <c r="AQ224" s="8">
        <v>0</v>
      </c>
      <c r="AR224" s="7">
        <v>0</v>
      </c>
      <c r="AS224" s="18">
        <v>2011.48</v>
      </c>
      <c r="AT224" s="8">
        <v>0</v>
      </c>
      <c r="AU224" s="7">
        <v>0</v>
      </c>
      <c r="AV224" s="18">
        <v>955.51</v>
      </c>
      <c r="AW224" s="8">
        <v>0</v>
      </c>
      <c r="AX224" s="7">
        <v>0</v>
      </c>
      <c r="AY224" s="18">
        <v>588.41999999999996</v>
      </c>
      <c r="AZ224" s="8"/>
      <c r="BA224" s="7"/>
      <c r="BB224" s="18"/>
      <c r="BC224" s="8"/>
      <c r="BD224" s="7"/>
      <c r="BE224" s="18"/>
      <c r="BF224" s="8"/>
      <c r="BG224" s="7"/>
      <c r="BH224" s="18"/>
    </row>
    <row r="225" spans="3:60" ht="20.25" x14ac:dyDescent="0.3">
      <c r="C225" s="8" t="s">
        <v>4</v>
      </c>
      <c r="D225" s="8"/>
      <c r="E225" s="7"/>
      <c r="F225" s="18">
        <f t="shared" si="14"/>
        <v>21846.657399999996</v>
      </c>
      <c r="G225" s="8">
        <v>0</v>
      </c>
      <c r="H225" s="7">
        <v>0</v>
      </c>
      <c r="I225" s="18">
        <v>1678.96</v>
      </c>
      <c r="J225" s="8">
        <v>0</v>
      </c>
      <c r="K225" s="7">
        <v>0</v>
      </c>
      <c r="L225" s="18">
        <v>873.85</v>
      </c>
      <c r="M225" s="8">
        <v>0</v>
      </c>
      <c r="N225" s="7">
        <v>0</v>
      </c>
      <c r="O225" s="18">
        <v>855.55</v>
      </c>
      <c r="P225" s="8">
        <v>0</v>
      </c>
      <c r="Q225" s="7">
        <v>0</v>
      </c>
      <c r="R225" s="18">
        <v>2621.27</v>
      </c>
      <c r="S225" s="8">
        <v>0</v>
      </c>
      <c r="T225" s="7">
        <v>0</v>
      </c>
      <c r="U225" s="18">
        <v>7478.4</v>
      </c>
      <c r="V225" s="8">
        <v>0</v>
      </c>
      <c r="W225" s="7">
        <v>0</v>
      </c>
      <c r="X225" s="18">
        <v>2419.35</v>
      </c>
      <c r="Y225" s="8">
        <v>0</v>
      </c>
      <c r="Z225" s="7">
        <v>0</v>
      </c>
      <c r="AA225" s="18">
        <v>1400.84</v>
      </c>
      <c r="AB225" s="8">
        <v>0</v>
      </c>
      <c r="AC225" s="7">
        <v>0</v>
      </c>
      <c r="AD225" s="18">
        <v>673.81</v>
      </c>
      <c r="AE225" s="8">
        <v>0</v>
      </c>
      <c r="AF225" s="7">
        <v>0</v>
      </c>
      <c r="AG225" s="18">
        <v>1582.97</v>
      </c>
      <c r="AH225" s="8">
        <v>0</v>
      </c>
      <c r="AI225" s="7">
        <v>0</v>
      </c>
      <c r="AJ225" s="18">
        <v>278.73</v>
      </c>
      <c r="AK225" s="8">
        <v>0</v>
      </c>
      <c r="AL225" s="7">
        <v>0</v>
      </c>
      <c r="AM225" s="18">
        <v>360.69739999999899</v>
      </c>
      <c r="AN225" s="8">
        <v>0</v>
      </c>
      <c r="AO225" s="7">
        <v>0</v>
      </c>
      <c r="AP225" s="18">
        <v>146.83000000000001</v>
      </c>
      <c r="AQ225" s="8">
        <v>0</v>
      </c>
      <c r="AR225" s="7">
        <v>0</v>
      </c>
      <c r="AS225" s="18">
        <v>-168.25</v>
      </c>
      <c r="AT225" s="8">
        <v>0</v>
      </c>
      <c r="AU225" s="7">
        <v>0</v>
      </c>
      <c r="AV225" s="18">
        <v>1082.69</v>
      </c>
      <c r="AW225" s="8">
        <v>0</v>
      </c>
      <c r="AX225" s="7">
        <v>0</v>
      </c>
      <c r="AY225" s="18">
        <v>560.96</v>
      </c>
      <c r="AZ225" s="8"/>
      <c r="BA225" s="7"/>
      <c r="BB225" s="18"/>
      <c r="BC225" s="8"/>
      <c r="BD225" s="7"/>
      <c r="BE225" s="18"/>
      <c r="BF225" s="8"/>
      <c r="BG225" s="7"/>
      <c r="BH225" s="18"/>
    </row>
    <row r="226" spans="3:60" ht="20.25" hidden="1" x14ac:dyDescent="0.3">
      <c r="C226" s="8" t="s">
        <v>3</v>
      </c>
      <c r="D226" s="8"/>
      <c r="E226" s="7"/>
      <c r="F226" s="18">
        <f t="shared" si="14"/>
        <v>0</v>
      </c>
      <c r="G226" s="8">
        <v>0</v>
      </c>
      <c r="H226" s="7">
        <v>0</v>
      </c>
      <c r="I226" s="18">
        <v>0</v>
      </c>
      <c r="J226" s="8">
        <v>0</v>
      </c>
      <c r="K226" s="7">
        <v>0</v>
      </c>
      <c r="L226" s="18">
        <v>0</v>
      </c>
      <c r="M226" s="8">
        <v>0</v>
      </c>
      <c r="N226" s="7">
        <v>0</v>
      </c>
      <c r="O226" s="18">
        <v>0</v>
      </c>
      <c r="P226" s="8">
        <v>0</v>
      </c>
      <c r="Q226" s="7">
        <v>0</v>
      </c>
      <c r="R226" s="18">
        <v>0</v>
      </c>
      <c r="S226" s="8">
        <v>0</v>
      </c>
      <c r="T226" s="7">
        <v>0</v>
      </c>
      <c r="U226" s="18">
        <v>0</v>
      </c>
      <c r="V226" s="8">
        <v>0</v>
      </c>
      <c r="W226" s="7">
        <v>0</v>
      </c>
      <c r="X226" s="18">
        <v>0</v>
      </c>
      <c r="Y226" s="8">
        <v>0</v>
      </c>
      <c r="Z226" s="7">
        <v>0</v>
      </c>
      <c r="AA226" s="18">
        <v>0</v>
      </c>
      <c r="AB226" s="8">
        <v>0</v>
      </c>
      <c r="AC226" s="7">
        <v>0</v>
      </c>
      <c r="AD226" s="18">
        <v>0</v>
      </c>
      <c r="AE226" s="8">
        <v>0</v>
      </c>
      <c r="AF226" s="7">
        <v>0</v>
      </c>
      <c r="AG226" s="18">
        <v>0</v>
      </c>
      <c r="AH226" s="8">
        <v>0</v>
      </c>
      <c r="AI226" s="7">
        <v>0</v>
      </c>
      <c r="AJ226" s="18">
        <v>0</v>
      </c>
      <c r="AK226" s="8">
        <v>0</v>
      </c>
      <c r="AL226" s="7">
        <v>0</v>
      </c>
      <c r="AM226" s="18">
        <v>0</v>
      </c>
      <c r="AN226" s="8">
        <v>0</v>
      </c>
      <c r="AO226" s="7">
        <v>0</v>
      </c>
      <c r="AP226" s="18">
        <v>0</v>
      </c>
      <c r="AQ226" s="8">
        <v>0</v>
      </c>
      <c r="AR226" s="7">
        <v>0</v>
      </c>
      <c r="AS226" s="18">
        <v>0</v>
      </c>
      <c r="AT226" s="8">
        <v>0</v>
      </c>
      <c r="AU226" s="7">
        <v>0</v>
      </c>
      <c r="AV226" s="18">
        <v>0</v>
      </c>
      <c r="AW226" s="8">
        <v>0</v>
      </c>
      <c r="AX226" s="7">
        <v>0</v>
      </c>
      <c r="AY226" s="18">
        <v>0</v>
      </c>
      <c r="AZ226" s="8"/>
      <c r="BA226" s="7"/>
      <c r="BB226" s="18"/>
      <c r="BC226" s="8"/>
      <c r="BD226" s="7"/>
      <c r="BE226" s="18"/>
      <c r="BF226" s="8"/>
      <c r="BG226" s="7"/>
      <c r="BH226" s="18"/>
    </row>
    <row r="227" spans="3:60" ht="20.25" hidden="1" x14ac:dyDescent="0.3">
      <c r="C227" s="8" t="s">
        <v>3</v>
      </c>
      <c r="D227" s="8"/>
      <c r="E227" s="7"/>
      <c r="F227" s="18">
        <f t="shared" si="14"/>
        <v>0</v>
      </c>
      <c r="G227" s="8">
        <v>0</v>
      </c>
      <c r="H227" s="7">
        <v>0</v>
      </c>
      <c r="I227" s="18">
        <v>0</v>
      </c>
      <c r="J227" s="8">
        <v>0</v>
      </c>
      <c r="K227" s="7">
        <v>0</v>
      </c>
      <c r="L227" s="18">
        <v>0</v>
      </c>
      <c r="M227" s="8">
        <v>0</v>
      </c>
      <c r="N227" s="7">
        <v>0</v>
      </c>
      <c r="O227" s="18">
        <v>0</v>
      </c>
      <c r="P227" s="8">
        <v>0</v>
      </c>
      <c r="Q227" s="7">
        <v>0</v>
      </c>
      <c r="R227" s="18">
        <v>0</v>
      </c>
      <c r="S227" s="8">
        <v>0</v>
      </c>
      <c r="T227" s="7">
        <v>0</v>
      </c>
      <c r="U227" s="18">
        <v>0</v>
      </c>
      <c r="V227" s="8">
        <v>0</v>
      </c>
      <c r="W227" s="7">
        <v>0</v>
      </c>
      <c r="X227" s="18">
        <v>0</v>
      </c>
      <c r="Y227" s="8">
        <v>0</v>
      </c>
      <c r="Z227" s="7">
        <v>0</v>
      </c>
      <c r="AA227" s="18">
        <v>0</v>
      </c>
      <c r="AB227" s="8">
        <v>0</v>
      </c>
      <c r="AC227" s="7">
        <v>0</v>
      </c>
      <c r="AD227" s="18">
        <v>0</v>
      </c>
      <c r="AE227" s="8">
        <v>0</v>
      </c>
      <c r="AF227" s="7">
        <v>0</v>
      </c>
      <c r="AG227" s="18">
        <v>0</v>
      </c>
      <c r="AH227" s="8">
        <v>0</v>
      </c>
      <c r="AI227" s="7">
        <v>0</v>
      </c>
      <c r="AJ227" s="18">
        <v>0</v>
      </c>
      <c r="AK227" s="8">
        <v>0</v>
      </c>
      <c r="AL227" s="7">
        <v>0</v>
      </c>
      <c r="AM227" s="18">
        <v>0</v>
      </c>
      <c r="AN227" s="8">
        <v>0</v>
      </c>
      <c r="AO227" s="7">
        <v>0</v>
      </c>
      <c r="AP227" s="18">
        <v>0</v>
      </c>
      <c r="AQ227" s="8">
        <v>0</v>
      </c>
      <c r="AR227" s="7">
        <v>0</v>
      </c>
      <c r="AS227" s="18">
        <v>0</v>
      </c>
      <c r="AT227" s="8">
        <v>0</v>
      </c>
      <c r="AU227" s="7">
        <v>0</v>
      </c>
      <c r="AV227" s="18">
        <v>0</v>
      </c>
      <c r="AW227" s="8">
        <v>0</v>
      </c>
      <c r="AX227" s="7">
        <v>0</v>
      </c>
      <c r="AY227" s="18">
        <v>0</v>
      </c>
      <c r="AZ227" s="8"/>
      <c r="BA227" s="7"/>
      <c r="BB227" s="18"/>
      <c r="BC227" s="8"/>
      <c r="BD227" s="7"/>
      <c r="BE227" s="18"/>
      <c r="BF227" s="8"/>
      <c r="BG227" s="7"/>
      <c r="BH227" s="18"/>
    </row>
    <row r="228" spans="3:60" ht="20.25" hidden="1" x14ac:dyDescent="0.3">
      <c r="C228" s="8" t="s">
        <v>3</v>
      </c>
      <c r="D228" s="8"/>
      <c r="E228" s="7"/>
      <c r="F228" s="18">
        <f t="shared" si="14"/>
        <v>0</v>
      </c>
      <c r="G228" s="8">
        <v>0</v>
      </c>
      <c r="H228" s="7">
        <v>0</v>
      </c>
      <c r="I228" s="18">
        <v>0</v>
      </c>
      <c r="J228" s="8">
        <v>0</v>
      </c>
      <c r="K228" s="7">
        <v>0</v>
      </c>
      <c r="L228" s="18">
        <v>0</v>
      </c>
      <c r="M228" s="8">
        <v>0</v>
      </c>
      <c r="N228" s="7">
        <v>0</v>
      </c>
      <c r="O228" s="18">
        <v>0</v>
      </c>
      <c r="P228" s="8">
        <v>0</v>
      </c>
      <c r="Q228" s="7">
        <v>0</v>
      </c>
      <c r="R228" s="18">
        <v>0</v>
      </c>
      <c r="S228" s="8">
        <v>0</v>
      </c>
      <c r="T228" s="7">
        <v>0</v>
      </c>
      <c r="U228" s="18">
        <v>0</v>
      </c>
      <c r="V228" s="8">
        <v>0</v>
      </c>
      <c r="W228" s="7">
        <v>0</v>
      </c>
      <c r="X228" s="18">
        <v>0</v>
      </c>
      <c r="Y228" s="8">
        <v>0</v>
      </c>
      <c r="Z228" s="7">
        <v>0</v>
      </c>
      <c r="AA228" s="18">
        <v>0</v>
      </c>
      <c r="AB228" s="8">
        <v>0</v>
      </c>
      <c r="AC228" s="7">
        <v>0</v>
      </c>
      <c r="AD228" s="18">
        <v>0</v>
      </c>
      <c r="AE228" s="8">
        <v>0</v>
      </c>
      <c r="AF228" s="7">
        <v>0</v>
      </c>
      <c r="AG228" s="18">
        <v>0</v>
      </c>
      <c r="AH228" s="8">
        <v>0</v>
      </c>
      <c r="AI228" s="7">
        <v>0</v>
      </c>
      <c r="AJ228" s="18">
        <v>0</v>
      </c>
      <c r="AK228" s="8">
        <v>0</v>
      </c>
      <c r="AL228" s="7">
        <v>0</v>
      </c>
      <c r="AM228" s="18">
        <v>0</v>
      </c>
      <c r="AN228" s="8">
        <v>0</v>
      </c>
      <c r="AO228" s="7">
        <v>0</v>
      </c>
      <c r="AP228" s="18">
        <v>0</v>
      </c>
      <c r="AQ228" s="8">
        <v>0</v>
      </c>
      <c r="AR228" s="7">
        <v>0</v>
      </c>
      <c r="AS228" s="18">
        <v>0</v>
      </c>
      <c r="AT228" s="8">
        <v>0</v>
      </c>
      <c r="AU228" s="7">
        <v>0</v>
      </c>
      <c r="AV228" s="18">
        <v>0</v>
      </c>
      <c r="AW228" s="8">
        <v>0</v>
      </c>
      <c r="AX228" s="7">
        <v>0</v>
      </c>
      <c r="AY228" s="18">
        <v>0</v>
      </c>
      <c r="AZ228" s="8"/>
      <c r="BA228" s="7"/>
      <c r="BB228" s="18"/>
      <c r="BC228" s="8"/>
      <c r="BD228" s="7"/>
      <c r="BE228" s="18"/>
      <c r="BF228" s="8"/>
      <c r="BG228" s="7"/>
      <c r="BH228" s="18"/>
    </row>
    <row r="229" spans="3:60" ht="20.25" x14ac:dyDescent="0.3">
      <c r="C229" s="11" t="s">
        <v>2</v>
      </c>
      <c r="D229" s="70"/>
      <c r="E229" s="13"/>
      <c r="F229" s="69">
        <f>SUM(F211:F225)</f>
        <v>983100.77740000002</v>
      </c>
      <c r="G229" s="70" t="s">
        <v>58</v>
      </c>
      <c r="H229" s="13">
        <v>0.33182024630358098</v>
      </c>
      <c r="I229" s="69">
        <v>71282.789999999994</v>
      </c>
      <c r="J229" s="70" t="s">
        <v>58</v>
      </c>
      <c r="K229" s="13">
        <v>0.276323773340234</v>
      </c>
      <c r="L229" s="69">
        <v>48285.88</v>
      </c>
      <c r="M229" s="70" t="s">
        <v>58</v>
      </c>
      <c r="N229" s="13">
        <v>0.42901299303019502</v>
      </c>
      <c r="O229" s="69">
        <v>34445.11</v>
      </c>
      <c r="P229" s="70" t="s">
        <v>58</v>
      </c>
      <c r="Q229" s="13">
        <v>0.518181363247742</v>
      </c>
      <c r="R229" s="69">
        <v>134404.97</v>
      </c>
      <c r="S229" s="70" t="s">
        <v>58</v>
      </c>
      <c r="T229" s="13">
        <v>0.30178020427346097</v>
      </c>
      <c r="U229" s="69">
        <v>156861.59</v>
      </c>
      <c r="V229" s="70" t="s">
        <v>58</v>
      </c>
      <c r="W229" s="13">
        <v>0.436510666191957</v>
      </c>
      <c r="X229" s="69">
        <v>140786.48000000001</v>
      </c>
      <c r="Y229" s="70" t="s">
        <v>58</v>
      </c>
      <c r="Z229" s="13">
        <v>0.52594492680775196</v>
      </c>
      <c r="AA229" s="69">
        <v>73725.239999999903</v>
      </c>
      <c r="AB229" s="70" t="s">
        <v>58</v>
      </c>
      <c r="AC229" s="13">
        <v>0.483406842563813</v>
      </c>
      <c r="AD229" s="69">
        <v>38794.83</v>
      </c>
      <c r="AE229" s="70" t="s">
        <v>58</v>
      </c>
      <c r="AF229" s="13">
        <v>0.42189267854807999</v>
      </c>
      <c r="AG229" s="69">
        <v>63468.83</v>
      </c>
      <c r="AH229" s="70" t="s">
        <v>58</v>
      </c>
      <c r="AI229" s="13">
        <v>0.369059605324768</v>
      </c>
      <c r="AJ229" s="69">
        <v>21556.79</v>
      </c>
      <c r="AK229" s="70" t="s">
        <v>58</v>
      </c>
      <c r="AL229" s="13">
        <v>1.24091494433983</v>
      </c>
      <c r="AM229" s="69">
        <v>27249.437399999999</v>
      </c>
      <c r="AN229" s="70" t="s">
        <v>58</v>
      </c>
      <c r="AO229" s="13">
        <v>0.44663543564385</v>
      </c>
      <c r="AP229" s="69">
        <v>47879.81</v>
      </c>
      <c r="AQ229" s="70" t="s">
        <v>58</v>
      </c>
      <c r="AR229" s="13">
        <v>0.41244824946265402</v>
      </c>
      <c r="AS229" s="69">
        <v>51217.77</v>
      </c>
      <c r="AT229" s="70" t="s">
        <v>58</v>
      </c>
      <c r="AU229" s="13">
        <v>0.31440432399347701</v>
      </c>
      <c r="AV229" s="69">
        <v>56134.49</v>
      </c>
      <c r="AW229" s="70" t="s">
        <v>58</v>
      </c>
      <c r="AX229" s="13">
        <v>0.30529713350183801</v>
      </c>
      <c r="AY229" s="69">
        <v>17006.759999999998</v>
      </c>
      <c r="AZ229" s="70"/>
      <c r="BA229" s="13"/>
      <c r="BB229" s="69"/>
      <c r="BC229" s="70"/>
      <c r="BD229" s="13"/>
      <c r="BE229" s="69"/>
      <c r="BF229" s="70"/>
      <c r="BG229" s="13"/>
      <c r="BH229" s="69"/>
    </row>
    <row r="230" spans="3:60" ht="20.25" x14ac:dyDescent="0.3">
      <c r="C230" s="67"/>
      <c r="D230" s="67"/>
      <c r="E230" s="66"/>
      <c r="F230" s="65"/>
      <c r="G230" s="67"/>
      <c r="H230" s="66"/>
      <c r="I230" s="65"/>
      <c r="J230" s="67"/>
      <c r="K230" s="66"/>
      <c r="L230" s="65"/>
      <c r="M230" s="67"/>
      <c r="N230" s="66"/>
      <c r="O230" s="65"/>
      <c r="P230" s="67"/>
      <c r="Q230" s="66"/>
      <c r="R230" s="65"/>
      <c r="S230" s="67"/>
      <c r="T230" s="66"/>
      <c r="U230" s="65"/>
      <c r="V230" s="67"/>
      <c r="W230" s="66"/>
      <c r="X230" s="65"/>
      <c r="Y230" s="67"/>
      <c r="Z230" s="66"/>
      <c r="AA230" s="65"/>
      <c r="AB230" s="67"/>
      <c r="AC230" s="66"/>
      <c r="AD230" s="65"/>
      <c r="AE230" s="67"/>
      <c r="AF230" s="66"/>
      <c r="AG230" s="65"/>
      <c r="AH230" s="67"/>
      <c r="AI230" s="66"/>
      <c r="AJ230" s="65"/>
      <c r="AK230" s="67"/>
      <c r="AL230" s="66"/>
      <c r="AM230" s="65"/>
      <c r="AN230" s="67"/>
      <c r="AO230" s="66"/>
      <c r="AP230" s="65"/>
      <c r="AQ230" s="67"/>
      <c r="AR230" s="66"/>
      <c r="AS230" s="65"/>
      <c r="AT230" s="67"/>
      <c r="AU230" s="66"/>
      <c r="AV230" s="65"/>
      <c r="AW230" s="67"/>
      <c r="AX230" s="66"/>
      <c r="AY230" s="65"/>
      <c r="AZ230" s="67"/>
      <c r="BA230" s="66"/>
      <c r="BB230" s="65"/>
      <c r="BC230" s="67"/>
      <c r="BD230" s="66"/>
      <c r="BE230" s="65"/>
      <c r="BF230" s="67"/>
      <c r="BG230" s="66"/>
      <c r="BH230" s="65"/>
    </row>
    <row r="231" spans="3:60" ht="20.25" x14ac:dyDescent="0.3">
      <c r="C231" s="11" t="s">
        <v>1</v>
      </c>
      <c r="D231" s="70"/>
      <c r="E231" s="13"/>
      <c r="F231" s="69">
        <f>F210+F229</f>
        <v>2886735.5973999999</v>
      </c>
      <c r="G231" s="70" t="s">
        <v>18</v>
      </c>
      <c r="H231" s="13">
        <v>1.1211507995563399</v>
      </c>
      <c r="I231" s="69">
        <v>240849.55</v>
      </c>
      <c r="J231" s="70" t="s">
        <v>18</v>
      </c>
      <c r="K231" s="13">
        <v>0.80208928669020296</v>
      </c>
      <c r="L231" s="69">
        <v>140160.16999999899</v>
      </c>
      <c r="M231" s="70" t="s">
        <v>18</v>
      </c>
      <c r="N231" s="13">
        <v>1.18178410047677</v>
      </c>
      <c r="O231" s="69">
        <v>94884.5</v>
      </c>
      <c r="P231" s="70" t="s">
        <v>18</v>
      </c>
      <c r="Q231" s="13">
        <v>1.37756305232081</v>
      </c>
      <c r="R231" s="69">
        <v>357309.88</v>
      </c>
      <c r="S231" s="70" t="s">
        <v>18</v>
      </c>
      <c r="T231" s="13">
        <v>1.12289754002183</v>
      </c>
      <c r="U231" s="69">
        <v>583668.15</v>
      </c>
      <c r="V231" s="70" t="s">
        <v>18</v>
      </c>
      <c r="W231" s="13">
        <v>1.0151465454009501</v>
      </c>
      <c r="X231" s="69">
        <v>327412.18</v>
      </c>
      <c r="Y231" s="70" t="s">
        <v>18</v>
      </c>
      <c r="Z231" s="13">
        <v>1.1145166533703501</v>
      </c>
      <c r="AA231" s="69">
        <v>156229.29999999999</v>
      </c>
      <c r="AB231" s="70" t="s">
        <v>18</v>
      </c>
      <c r="AC231" s="13">
        <v>1.22455296352932</v>
      </c>
      <c r="AD231" s="69">
        <v>98274</v>
      </c>
      <c r="AE231" s="70" t="s">
        <v>18</v>
      </c>
      <c r="AF231" s="13">
        <v>1.13116191864134</v>
      </c>
      <c r="AG231" s="69">
        <v>170170.11</v>
      </c>
      <c r="AH231" s="70" t="s">
        <v>18</v>
      </c>
      <c r="AI231" s="13">
        <v>1.4378936501509501</v>
      </c>
      <c r="AJ231" s="69">
        <v>83987.44</v>
      </c>
      <c r="AK231" s="70" t="s">
        <v>18</v>
      </c>
      <c r="AL231" s="13">
        <v>5.3236558518886197</v>
      </c>
      <c r="AM231" s="69">
        <v>116902.9574</v>
      </c>
      <c r="AN231" s="70" t="s">
        <v>18</v>
      </c>
      <c r="AO231" s="13">
        <v>1.3551222888571099</v>
      </c>
      <c r="AP231" s="69">
        <v>145270.6</v>
      </c>
      <c r="AQ231" s="70" t="s">
        <v>18</v>
      </c>
      <c r="AR231" s="13">
        <v>1.27216303254303</v>
      </c>
      <c r="AS231" s="69">
        <v>157977.04</v>
      </c>
      <c r="AT231" s="70" t="s">
        <v>18</v>
      </c>
      <c r="AU231" s="13">
        <v>0.83689848168244196</v>
      </c>
      <c r="AV231" s="69">
        <v>149421.82999999999</v>
      </c>
      <c r="AW231" s="70" t="s">
        <v>18</v>
      </c>
      <c r="AX231" s="13">
        <v>1.15280851476332</v>
      </c>
      <c r="AY231" s="69">
        <v>64217.89</v>
      </c>
      <c r="AZ231" s="70"/>
      <c r="BA231" s="13"/>
      <c r="BB231" s="69"/>
      <c r="BC231" s="70"/>
      <c r="BD231" s="13"/>
      <c r="BE231" s="69"/>
      <c r="BF231" s="70"/>
      <c r="BG231" s="13"/>
      <c r="BH231" s="69"/>
    </row>
    <row r="232" spans="3:60" ht="20.25" x14ac:dyDescent="0.3">
      <c r="C232" s="8"/>
      <c r="D232" s="8"/>
      <c r="E232" s="7"/>
      <c r="F232" s="63"/>
      <c r="G232" s="8"/>
      <c r="H232" s="7"/>
      <c r="I232" s="63"/>
      <c r="J232" s="8"/>
      <c r="K232" s="7"/>
      <c r="L232" s="63"/>
      <c r="M232" s="8"/>
      <c r="N232" s="7"/>
      <c r="O232" s="63"/>
      <c r="P232" s="8"/>
      <c r="Q232" s="7"/>
      <c r="R232" s="63"/>
      <c r="S232" s="8"/>
      <c r="T232" s="7"/>
      <c r="U232" s="63"/>
      <c r="V232" s="8"/>
      <c r="W232" s="7"/>
      <c r="X232" s="63"/>
      <c r="Y232" s="8"/>
      <c r="Z232" s="7"/>
      <c r="AA232" s="63"/>
      <c r="AB232" s="8"/>
      <c r="AC232" s="7"/>
      <c r="AD232" s="63"/>
      <c r="AE232" s="8"/>
      <c r="AF232" s="7"/>
      <c r="AG232" s="63"/>
      <c r="AH232" s="8"/>
      <c r="AI232" s="7"/>
      <c r="AJ232" s="63"/>
      <c r="AK232" s="8"/>
      <c r="AL232" s="7"/>
      <c r="AM232" s="63"/>
      <c r="AN232" s="8"/>
      <c r="AO232" s="7"/>
      <c r="AP232" s="63"/>
      <c r="AQ232" s="8"/>
      <c r="AR232" s="7"/>
      <c r="AS232" s="63"/>
      <c r="AT232" s="8"/>
      <c r="AU232" s="7"/>
      <c r="AV232" s="63"/>
      <c r="AW232" s="8"/>
      <c r="AX232" s="7"/>
      <c r="AY232" s="63"/>
      <c r="AZ232" s="8"/>
      <c r="BA232" s="7"/>
      <c r="BB232" s="63"/>
      <c r="BC232" s="8"/>
      <c r="BD232" s="7"/>
      <c r="BE232" s="63"/>
      <c r="BF232" s="8"/>
      <c r="BG232" s="7"/>
      <c r="BH232" s="63"/>
    </row>
    <row r="233" spans="3:60" ht="21" thickBot="1" x14ac:dyDescent="0.35">
      <c r="C233" s="38" t="s">
        <v>0</v>
      </c>
      <c r="D233" s="38"/>
      <c r="E233" s="37"/>
      <c r="F233" s="77">
        <f>F194-F231</f>
        <v>-398320.09740000172</v>
      </c>
      <c r="G233" s="38">
        <v>0</v>
      </c>
      <c r="H233" s="91">
        <v>0</v>
      </c>
      <c r="I233" s="77">
        <v>-26026.04</v>
      </c>
      <c r="J233" s="38">
        <v>0</v>
      </c>
      <c r="K233" s="91">
        <v>0</v>
      </c>
      <c r="L233" s="77">
        <v>34583.68</v>
      </c>
      <c r="M233" s="38">
        <v>0</v>
      </c>
      <c r="N233" s="91">
        <v>0</v>
      </c>
      <c r="O233" s="77">
        <v>-14595.3</v>
      </c>
      <c r="P233" s="38">
        <v>0</v>
      </c>
      <c r="Q233" s="91">
        <v>0</v>
      </c>
      <c r="R233" s="77">
        <v>-97931.639999999898</v>
      </c>
      <c r="S233" s="38">
        <v>0</v>
      </c>
      <c r="T233" s="91">
        <v>0</v>
      </c>
      <c r="U233" s="77">
        <v>-63880.610000000197</v>
      </c>
      <c r="V233" s="38">
        <v>0</v>
      </c>
      <c r="W233" s="91">
        <v>-1.04813229325039E-2</v>
      </c>
      <c r="X233" s="77">
        <v>-4885.1700000000401</v>
      </c>
      <c r="Y233" s="38">
        <v>0</v>
      </c>
      <c r="Z233" s="91">
        <v>0</v>
      </c>
      <c r="AA233" s="77">
        <v>-16052.57</v>
      </c>
      <c r="AB233" s="38">
        <v>0</v>
      </c>
      <c r="AC233" s="91">
        <v>0</v>
      </c>
      <c r="AD233" s="77">
        <v>-18021.04</v>
      </c>
      <c r="AE233" s="38">
        <v>0</v>
      </c>
      <c r="AF233" s="91">
        <v>0</v>
      </c>
      <c r="AG233" s="77">
        <v>-19731.78</v>
      </c>
      <c r="AH233" s="38">
        <v>0</v>
      </c>
      <c r="AI233" s="91">
        <v>0</v>
      </c>
      <c r="AJ233" s="77">
        <v>-25577.39</v>
      </c>
      <c r="AK233" s="38">
        <v>0</v>
      </c>
      <c r="AL233" s="91">
        <v>0</v>
      </c>
      <c r="AM233" s="77">
        <v>-94943.807400000005</v>
      </c>
      <c r="AN233" s="38">
        <v>0</v>
      </c>
      <c r="AO233" s="91">
        <v>0</v>
      </c>
      <c r="AP233" s="77">
        <v>-38069.5</v>
      </c>
      <c r="AQ233" s="38">
        <v>0</v>
      </c>
      <c r="AR233" s="91">
        <v>0</v>
      </c>
      <c r="AS233" s="77">
        <v>-33797.17</v>
      </c>
      <c r="AT233" s="38">
        <v>0</v>
      </c>
      <c r="AU233" s="91">
        <v>0</v>
      </c>
      <c r="AV233" s="77">
        <v>29120.53</v>
      </c>
      <c r="AW233" s="38">
        <v>0</v>
      </c>
      <c r="AX233" s="91">
        <v>0</v>
      </c>
      <c r="AY233" s="77">
        <v>-8512.2900000000009</v>
      </c>
      <c r="AZ233" s="38"/>
      <c r="BA233" s="91"/>
      <c r="BB233" s="77"/>
      <c r="BC233" s="38"/>
      <c r="BD233" s="91"/>
      <c r="BE233" s="77"/>
      <c r="BF233" s="38"/>
      <c r="BG233" s="91"/>
      <c r="BH233" s="77"/>
    </row>
    <row r="234" spans="3:60" ht="21" thickTop="1" x14ac:dyDescent="0.3">
      <c r="C234" s="7"/>
      <c r="D234" s="7"/>
      <c r="E234" s="7"/>
      <c r="F234" s="90"/>
      <c r="G234" s="7"/>
      <c r="H234" s="7"/>
      <c r="I234" s="90"/>
      <c r="J234" s="7"/>
      <c r="K234" s="7"/>
      <c r="L234" s="90"/>
      <c r="M234" s="7"/>
      <c r="N234" s="7"/>
      <c r="O234" s="90"/>
      <c r="P234" s="7"/>
      <c r="Q234" s="7"/>
      <c r="R234" s="90"/>
      <c r="S234" s="7"/>
      <c r="T234" s="7"/>
      <c r="U234" s="90"/>
      <c r="V234" s="7"/>
      <c r="W234" s="7"/>
      <c r="X234" s="90"/>
      <c r="Y234" s="7"/>
      <c r="Z234" s="7"/>
      <c r="AA234" s="90"/>
      <c r="AB234" s="7"/>
      <c r="AC234" s="7"/>
      <c r="AD234" s="90"/>
      <c r="AE234" s="7"/>
      <c r="AF234" s="7"/>
      <c r="AG234" s="90"/>
      <c r="AH234" s="7"/>
      <c r="AI234" s="7"/>
      <c r="AJ234" s="90"/>
      <c r="AK234" s="7"/>
      <c r="AL234" s="7"/>
      <c r="AM234" s="90"/>
      <c r="AN234" s="7"/>
      <c r="AO234" s="7"/>
      <c r="AP234" s="90"/>
      <c r="AQ234" s="7"/>
      <c r="AR234" s="7"/>
      <c r="AS234" s="90"/>
      <c r="AT234" s="7"/>
      <c r="AU234" s="7"/>
      <c r="AV234" s="90"/>
      <c r="AW234" s="7"/>
      <c r="AX234" s="7"/>
      <c r="AY234" s="90"/>
      <c r="AZ234" s="7"/>
      <c r="BA234" s="7"/>
      <c r="BB234" s="90"/>
      <c r="BC234" s="7"/>
      <c r="BD234" s="7"/>
      <c r="BE234" s="90"/>
      <c r="BF234" s="7"/>
      <c r="BG234" s="7"/>
      <c r="BH234" s="90"/>
    </row>
    <row r="235" spans="3:60" ht="15.75" x14ac:dyDescent="0.25">
      <c r="C235" s="88"/>
      <c r="D235" s="88"/>
      <c r="E235" s="88"/>
      <c r="F235" s="103"/>
      <c r="G235" s="88"/>
      <c r="H235" s="88"/>
      <c r="I235" s="103"/>
      <c r="J235" s="88"/>
      <c r="K235" s="88"/>
      <c r="L235" s="103"/>
      <c r="M235" s="88"/>
      <c r="N235" s="88"/>
      <c r="O235" s="103"/>
      <c r="P235" s="88"/>
      <c r="Q235" s="88"/>
      <c r="R235" s="103"/>
      <c r="S235" s="88"/>
      <c r="T235" s="88"/>
      <c r="U235" s="103"/>
      <c r="V235" s="88"/>
      <c r="W235" s="88"/>
      <c r="X235" s="103"/>
      <c r="Y235" s="88"/>
      <c r="Z235" s="88"/>
      <c r="AA235" s="103"/>
      <c r="AB235" s="88"/>
      <c r="AC235" s="88"/>
      <c r="AD235" s="103"/>
      <c r="AE235" s="88"/>
      <c r="AF235" s="88"/>
      <c r="AG235" s="103"/>
      <c r="AH235" s="88"/>
      <c r="AI235" s="88"/>
      <c r="AJ235" s="103"/>
      <c r="AK235" s="88"/>
      <c r="AL235" s="88"/>
      <c r="AM235" s="103"/>
      <c r="AN235" s="88"/>
      <c r="AO235" s="88"/>
      <c r="AP235" s="103"/>
      <c r="AQ235" s="88"/>
      <c r="AR235" s="88"/>
      <c r="AS235" s="103"/>
      <c r="AT235" s="88"/>
      <c r="AU235" s="88"/>
      <c r="AV235" s="103"/>
      <c r="AW235" s="88"/>
      <c r="AX235" s="88"/>
      <c r="AY235" s="103"/>
      <c r="AZ235" s="88"/>
      <c r="BA235" s="88"/>
      <c r="BB235" s="103"/>
      <c r="BC235" s="88"/>
      <c r="BD235" s="88"/>
      <c r="BE235" s="103"/>
      <c r="BF235" s="88"/>
      <c r="BG235" s="88"/>
      <c r="BH235" s="103"/>
    </row>
    <row r="236" spans="3:60" ht="35.25" x14ac:dyDescent="0.5">
      <c r="C236" s="58" t="str">
        <f>Y236</f>
        <v>Carrosserie</v>
      </c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164" t="s">
        <v>57</v>
      </c>
      <c r="Z236" s="165"/>
      <c r="AA236" s="165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 t="str">
        <f>C236</f>
        <v>Carrosserie</v>
      </c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  <c r="BD236" s="57"/>
      <c r="BE236" s="57"/>
      <c r="BF236" s="57"/>
      <c r="BG236" s="57"/>
      <c r="BH236" s="57"/>
    </row>
    <row r="237" spans="3:60" ht="16.5" thickBot="1" x14ac:dyDescent="0.3">
      <c r="C237" s="89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  <c r="AQ237" s="88"/>
      <c r="AR237" s="88"/>
      <c r="AS237" s="88"/>
      <c r="AT237" s="88"/>
      <c r="AU237" s="88"/>
      <c r="AV237" s="88"/>
      <c r="AW237" s="88"/>
      <c r="AX237" s="88"/>
      <c r="AY237" s="88"/>
      <c r="AZ237" s="88"/>
      <c r="BA237" s="88"/>
      <c r="BB237" s="88"/>
      <c r="BC237" s="88"/>
      <c r="BD237" s="88"/>
      <c r="BE237" s="88"/>
      <c r="BF237" s="88"/>
      <c r="BG237" s="88"/>
      <c r="BH237" s="88"/>
    </row>
    <row r="238" spans="3:60" ht="21" thickTop="1" x14ac:dyDescent="0.3">
      <c r="C238" s="56"/>
      <c r="D238" s="166" t="str">
        <f>D$3</f>
        <v>Conso</v>
      </c>
      <c r="E238" s="167"/>
      <c r="F238" s="168"/>
      <c r="G238" s="166" t="str">
        <f>G$3</f>
        <v>BMW PA</v>
      </c>
      <c r="H238" s="167"/>
      <c r="I238" s="168"/>
      <c r="J238" s="166" t="str">
        <f>J$3</f>
        <v>BMW STJ</v>
      </c>
      <c r="K238" s="167"/>
      <c r="L238" s="168"/>
      <c r="M238" s="166" t="str">
        <f>M$3</f>
        <v>BMW SHER</v>
      </c>
      <c r="N238" s="167"/>
      <c r="O238" s="168"/>
      <c r="P238" s="166" t="str">
        <f>P$3</f>
        <v>MBQ</v>
      </c>
      <c r="Q238" s="167"/>
      <c r="R238" s="168"/>
      <c r="S238" s="166" t="str">
        <f>S$3</f>
        <v>SSMB</v>
      </c>
      <c r="T238" s="167"/>
      <c r="U238" s="168"/>
      <c r="V238" s="166" t="str">
        <f>V$3</f>
        <v>AUDI</v>
      </c>
      <c r="W238" s="167"/>
      <c r="X238" s="168"/>
      <c r="Y238" s="166" t="str">
        <f>Y$3</f>
        <v>JLR</v>
      </c>
      <c r="Z238" s="167"/>
      <c r="AA238" s="168"/>
      <c r="AB238" s="166" t="str">
        <f>AB$3</f>
        <v>LEXUS</v>
      </c>
      <c r="AC238" s="167"/>
      <c r="AD238" s="168"/>
      <c r="AE238" s="166" t="str">
        <f>AE$3</f>
        <v>Volvo</v>
      </c>
      <c r="AF238" s="167"/>
      <c r="AG238" s="168"/>
      <c r="AH238" s="166" t="str">
        <f>AH$3</f>
        <v>Mini</v>
      </c>
      <c r="AI238" s="167"/>
      <c r="AJ238" s="168"/>
      <c r="AK238" s="166" t="str">
        <f>AK$3</f>
        <v>Infiniti</v>
      </c>
      <c r="AL238" s="167"/>
      <c r="AM238" s="168"/>
      <c r="AN238" s="166" t="str">
        <f>AN$3</f>
        <v>Honda</v>
      </c>
      <c r="AO238" s="167"/>
      <c r="AP238" s="168"/>
      <c r="AQ238" s="166" t="str">
        <f>AQ$3</f>
        <v>Toyota</v>
      </c>
      <c r="AR238" s="167"/>
      <c r="AS238" s="168"/>
      <c r="AT238" s="166" t="str">
        <f>AT$3</f>
        <v>Volks</v>
      </c>
      <c r="AU238" s="167"/>
      <c r="AV238" s="168"/>
      <c r="AW238" s="166" t="str">
        <f>AW$3</f>
        <v>LHD</v>
      </c>
      <c r="AX238" s="167"/>
      <c r="AY238" s="168"/>
      <c r="AZ238" s="166"/>
      <c r="BA238" s="167"/>
      <c r="BB238" s="168"/>
      <c r="BC238" s="166"/>
      <c r="BD238" s="169"/>
      <c r="BE238" s="170"/>
      <c r="BF238" s="166"/>
      <c r="BG238" s="169"/>
      <c r="BH238" s="170"/>
    </row>
    <row r="239" spans="3:60" ht="20.25" x14ac:dyDescent="0.3">
      <c r="C239" s="8"/>
      <c r="D239" s="55" t="s">
        <v>56</v>
      </c>
      <c r="E239" s="54" t="s">
        <v>33</v>
      </c>
      <c r="F239" s="53" t="s">
        <v>31</v>
      </c>
      <c r="G239" s="52" t="str">
        <f>$D239</f>
        <v>#</v>
      </c>
      <c r="H239" s="51" t="str">
        <f>$E239</f>
        <v>$VENTES</v>
      </c>
      <c r="I239" s="50" t="str">
        <f>$F239</f>
        <v>$PROFITS</v>
      </c>
      <c r="J239" s="52" t="str">
        <f>$D239</f>
        <v>#</v>
      </c>
      <c r="K239" s="51" t="str">
        <f>$E239</f>
        <v>$VENTES</v>
      </c>
      <c r="L239" s="50" t="str">
        <f>$F239</f>
        <v>$PROFITS</v>
      </c>
      <c r="M239" s="52" t="str">
        <f>$D239</f>
        <v>#</v>
      </c>
      <c r="N239" s="51" t="str">
        <f>$E239</f>
        <v>$VENTES</v>
      </c>
      <c r="O239" s="50" t="str">
        <f>$F239</f>
        <v>$PROFITS</v>
      </c>
      <c r="P239" s="52" t="str">
        <f>$D239</f>
        <v>#</v>
      </c>
      <c r="Q239" s="51" t="str">
        <f>$E239</f>
        <v>$VENTES</v>
      </c>
      <c r="R239" s="50" t="str">
        <f>$F239</f>
        <v>$PROFITS</v>
      </c>
      <c r="S239" s="52" t="str">
        <f>$D239</f>
        <v>#</v>
      </c>
      <c r="T239" s="51" t="str">
        <f>$E239</f>
        <v>$VENTES</v>
      </c>
      <c r="U239" s="50" t="str">
        <f>$F239</f>
        <v>$PROFITS</v>
      </c>
      <c r="V239" s="52" t="str">
        <f>$D239</f>
        <v>#</v>
      </c>
      <c r="W239" s="51" t="str">
        <f>$E239</f>
        <v>$VENTES</v>
      </c>
      <c r="X239" s="50" t="str">
        <f>$F239</f>
        <v>$PROFITS</v>
      </c>
      <c r="Y239" s="52" t="str">
        <f>$D239</f>
        <v>#</v>
      </c>
      <c r="Z239" s="51" t="str">
        <f>$E239</f>
        <v>$VENTES</v>
      </c>
      <c r="AA239" s="50" t="str">
        <f>$F239</f>
        <v>$PROFITS</v>
      </c>
      <c r="AB239" s="52" t="str">
        <f>$D239</f>
        <v>#</v>
      </c>
      <c r="AC239" s="51" t="str">
        <f>$E239</f>
        <v>$VENTES</v>
      </c>
      <c r="AD239" s="50" t="str">
        <f>$F239</f>
        <v>$PROFITS</v>
      </c>
      <c r="AE239" s="52" t="str">
        <f>$D239</f>
        <v>#</v>
      </c>
      <c r="AF239" s="51" t="str">
        <f>$E239</f>
        <v>$VENTES</v>
      </c>
      <c r="AG239" s="50" t="str">
        <f>$F239</f>
        <v>$PROFITS</v>
      </c>
      <c r="AH239" s="52" t="str">
        <f>$D239</f>
        <v>#</v>
      </c>
      <c r="AI239" s="51" t="str">
        <f>$E239</f>
        <v>$VENTES</v>
      </c>
      <c r="AJ239" s="50" t="str">
        <f>$F239</f>
        <v>$PROFITS</v>
      </c>
      <c r="AK239" s="52" t="str">
        <f>$D239</f>
        <v>#</v>
      </c>
      <c r="AL239" s="51" t="str">
        <f>$E239</f>
        <v>$VENTES</v>
      </c>
      <c r="AM239" s="50" t="str">
        <f>$F239</f>
        <v>$PROFITS</v>
      </c>
      <c r="AN239" s="52" t="str">
        <f>$D239</f>
        <v>#</v>
      </c>
      <c r="AO239" s="51" t="str">
        <f>$E239</f>
        <v>$VENTES</v>
      </c>
      <c r="AP239" s="50" t="str">
        <f>$F239</f>
        <v>$PROFITS</v>
      </c>
      <c r="AQ239" s="52" t="str">
        <f>$D239</f>
        <v>#</v>
      </c>
      <c r="AR239" s="51" t="str">
        <f>$E239</f>
        <v>$VENTES</v>
      </c>
      <c r="AS239" s="50" t="str">
        <f>$F239</f>
        <v>$PROFITS</v>
      </c>
      <c r="AT239" s="52" t="str">
        <f>$D239</f>
        <v>#</v>
      </c>
      <c r="AU239" s="51" t="str">
        <f>$E239</f>
        <v>$VENTES</v>
      </c>
      <c r="AV239" s="50" t="str">
        <f>$F239</f>
        <v>$PROFITS</v>
      </c>
      <c r="AW239" s="52" t="str">
        <f>$D239</f>
        <v>#</v>
      </c>
      <c r="AX239" s="51" t="str">
        <f>$E239</f>
        <v>$VENTES</v>
      </c>
      <c r="AY239" s="50" t="str">
        <f>$F239</f>
        <v>$PROFITS</v>
      </c>
      <c r="AZ239" s="52"/>
      <c r="BA239" s="51"/>
      <c r="BB239" s="50"/>
      <c r="BC239" s="55"/>
      <c r="BD239" s="54"/>
      <c r="BE239" s="53"/>
      <c r="BF239" s="55"/>
      <c r="BG239" s="54"/>
      <c r="BH239" s="53"/>
    </row>
    <row r="240" spans="3:60" ht="20.25" x14ac:dyDescent="0.3">
      <c r="C240" s="8"/>
      <c r="D240" s="55"/>
      <c r="E240" s="97"/>
      <c r="F240" s="18"/>
      <c r="G240" s="55"/>
      <c r="H240" s="97"/>
      <c r="I240" s="18"/>
      <c r="J240" s="55"/>
      <c r="K240" s="97"/>
      <c r="L240" s="18"/>
      <c r="M240" s="55"/>
      <c r="N240" s="97"/>
      <c r="O240" s="18"/>
      <c r="P240" s="55"/>
      <c r="Q240" s="97"/>
      <c r="R240" s="18"/>
      <c r="S240" s="55"/>
      <c r="T240" s="97"/>
      <c r="U240" s="18"/>
      <c r="V240" s="55"/>
      <c r="W240" s="97"/>
      <c r="X240" s="18"/>
      <c r="Y240" s="55"/>
      <c r="Z240" s="97"/>
      <c r="AA240" s="18"/>
      <c r="AB240" s="55"/>
      <c r="AC240" s="97"/>
      <c r="AD240" s="18"/>
      <c r="AE240" s="55"/>
      <c r="AF240" s="97"/>
      <c r="AG240" s="18"/>
      <c r="AH240" s="55"/>
      <c r="AI240" s="97"/>
      <c r="AJ240" s="18"/>
      <c r="AK240" s="55"/>
      <c r="AL240" s="97"/>
      <c r="AM240" s="18"/>
      <c r="AN240" s="55"/>
      <c r="AO240" s="97"/>
      <c r="AP240" s="18"/>
      <c r="AQ240" s="55"/>
      <c r="AR240" s="97"/>
      <c r="AS240" s="18"/>
      <c r="AT240" s="55"/>
      <c r="AU240" s="97"/>
      <c r="AV240" s="18"/>
      <c r="AW240" s="55"/>
      <c r="AX240" s="97"/>
      <c r="AY240" s="18"/>
      <c r="AZ240" s="55"/>
      <c r="BA240" s="97"/>
      <c r="BB240" s="18"/>
      <c r="BC240" s="55"/>
      <c r="BD240" s="97"/>
      <c r="BE240" s="18"/>
      <c r="BF240" s="55"/>
      <c r="BG240" s="97"/>
      <c r="BH240" s="18"/>
    </row>
    <row r="241" spans="3:60" ht="20.25" x14ac:dyDescent="0.3">
      <c r="C241" s="8" t="s">
        <v>55</v>
      </c>
      <c r="D241" s="73">
        <f>+SUM(G241,J241,M241,P241,S241,V241,Y241,AB241,AE241,AH241,AK241,AN241,AQ241,AT241,AW241,AZ241,BC241,BF241)</f>
        <v>155</v>
      </c>
      <c r="E241" s="97">
        <f>+SUM(H241,K241,N241,Q241,T241,W241,Z241,AC241,AF241,AI241,AL241,AO241,AR241,AU241,AX241,BA241,BD241,BG241)</f>
        <v>314800.80999999994</v>
      </c>
      <c r="F241" s="18">
        <f>+SUM(I241,L241,O241,R241,U241,X241,AA241,AD241,AG241,AJ241,AM241,AP241,AS241,AV241,AY241,BB241,BE241,BH241)</f>
        <v>68044.029999999912</v>
      </c>
      <c r="G241" s="73">
        <v>0</v>
      </c>
      <c r="H241" s="97">
        <v>2660.51</v>
      </c>
      <c r="I241" s="18">
        <v>2660.51</v>
      </c>
      <c r="J241" s="73">
        <v>0</v>
      </c>
      <c r="K241" s="97">
        <v>0</v>
      </c>
      <c r="L241" s="18">
        <v>0</v>
      </c>
      <c r="M241" s="73">
        <v>8</v>
      </c>
      <c r="N241" s="97">
        <v>0</v>
      </c>
      <c r="O241" s="18">
        <v>0</v>
      </c>
      <c r="P241" s="73">
        <v>27</v>
      </c>
      <c r="Q241" s="97">
        <v>16660.34</v>
      </c>
      <c r="R241" s="18">
        <v>3769.01</v>
      </c>
      <c r="S241" s="73">
        <v>63</v>
      </c>
      <c r="T241" s="97">
        <v>225815.54</v>
      </c>
      <c r="U241" s="18">
        <v>37237</v>
      </c>
      <c r="V241" s="73">
        <v>48</v>
      </c>
      <c r="W241" s="97">
        <v>46889.0099999999</v>
      </c>
      <c r="X241" s="18">
        <v>17317.519999999899</v>
      </c>
      <c r="Y241" s="73">
        <v>0</v>
      </c>
      <c r="Z241" s="97">
        <v>0</v>
      </c>
      <c r="AA241" s="18">
        <v>0</v>
      </c>
      <c r="AB241" s="73">
        <v>0</v>
      </c>
      <c r="AC241" s="97">
        <v>0</v>
      </c>
      <c r="AD241" s="18">
        <v>0</v>
      </c>
      <c r="AE241" s="73">
        <v>0</v>
      </c>
      <c r="AF241" s="97">
        <v>421.68</v>
      </c>
      <c r="AG241" s="18">
        <v>409.25</v>
      </c>
      <c r="AH241" s="73">
        <v>0</v>
      </c>
      <c r="AI241" s="97">
        <v>313.22000000000003</v>
      </c>
      <c r="AJ241" s="18">
        <v>313.22000000000003</v>
      </c>
      <c r="AK241" s="73">
        <v>0</v>
      </c>
      <c r="AL241" s="97">
        <v>0</v>
      </c>
      <c r="AM241" s="18">
        <v>0</v>
      </c>
      <c r="AN241" s="73">
        <v>1</v>
      </c>
      <c r="AO241" s="97">
        <v>636.15</v>
      </c>
      <c r="AP241" s="18">
        <v>636.15</v>
      </c>
      <c r="AQ241" s="73">
        <v>0</v>
      </c>
      <c r="AR241" s="97">
        <v>795.46</v>
      </c>
      <c r="AS241" s="18">
        <v>795.46</v>
      </c>
      <c r="AT241" s="73">
        <v>8</v>
      </c>
      <c r="AU241" s="97">
        <v>20608.900000000001</v>
      </c>
      <c r="AV241" s="18">
        <v>4905.91</v>
      </c>
      <c r="AW241" s="73">
        <v>0</v>
      </c>
      <c r="AX241" s="97">
        <v>0</v>
      </c>
      <c r="AY241" s="18">
        <v>0</v>
      </c>
      <c r="AZ241" s="73"/>
      <c r="BA241" s="97"/>
      <c r="BB241" s="18"/>
      <c r="BC241" s="73"/>
      <c r="BD241" s="97"/>
      <c r="BE241" s="18"/>
      <c r="BF241" s="73"/>
      <c r="BG241" s="97"/>
      <c r="BH241" s="18"/>
    </row>
    <row r="242" spans="3:60" ht="20.25" x14ac:dyDescent="0.3">
      <c r="C242" s="8" t="s">
        <v>52</v>
      </c>
      <c r="D242" s="73"/>
      <c r="E242" s="7"/>
      <c r="F242" s="96"/>
      <c r="G242" s="73">
        <v>0</v>
      </c>
      <c r="H242" s="7">
        <v>0</v>
      </c>
      <c r="I242" s="96">
        <v>1</v>
      </c>
      <c r="J242" s="73">
        <v>0</v>
      </c>
      <c r="K242" s="7">
        <v>0</v>
      </c>
      <c r="L242" s="96">
        <v>0</v>
      </c>
      <c r="M242" s="73">
        <v>0</v>
      </c>
      <c r="N242" s="7">
        <v>0</v>
      </c>
      <c r="O242" s="96">
        <v>0</v>
      </c>
      <c r="P242" s="73">
        <v>0</v>
      </c>
      <c r="Q242" s="7">
        <v>0</v>
      </c>
      <c r="R242" s="96">
        <v>0.22622647557012601</v>
      </c>
      <c r="S242" s="73">
        <v>0</v>
      </c>
      <c r="T242" s="7">
        <v>0</v>
      </c>
      <c r="U242" s="96">
        <v>0.16490007729317399</v>
      </c>
      <c r="V242" s="73">
        <v>0</v>
      </c>
      <c r="W242" s="7">
        <v>0</v>
      </c>
      <c r="X242" s="96">
        <v>0.369330041303921</v>
      </c>
      <c r="Y242" s="73">
        <v>0</v>
      </c>
      <c r="Z242" s="97">
        <v>0</v>
      </c>
      <c r="AA242" s="96">
        <v>0</v>
      </c>
      <c r="AB242" s="73">
        <v>0</v>
      </c>
      <c r="AC242" s="97">
        <v>0</v>
      </c>
      <c r="AD242" s="96">
        <v>0</v>
      </c>
      <c r="AE242" s="73">
        <v>0</v>
      </c>
      <c r="AF242" s="97">
        <v>0</v>
      </c>
      <c r="AG242" s="96">
        <v>0.970522671219882</v>
      </c>
      <c r="AH242" s="73">
        <v>0</v>
      </c>
      <c r="AI242" s="97">
        <v>0</v>
      </c>
      <c r="AJ242" s="96">
        <v>1</v>
      </c>
      <c r="AK242" s="73">
        <v>0</v>
      </c>
      <c r="AL242" s="97">
        <v>0</v>
      </c>
      <c r="AM242" s="96">
        <v>0</v>
      </c>
      <c r="AN242" s="73">
        <v>0</v>
      </c>
      <c r="AO242" s="97">
        <v>0</v>
      </c>
      <c r="AP242" s="96">
        <v>1</v>
      </c>
      <c r="AQ242" s="73">
        <v>0</v>
      </c>
      <c r="AR242" s="97">
        <v>0</v>
      </c>
      <c r="AS242" s="96">
        <v>1</v>
      </c>
      <c r="AT242" s="73">
        <v>0</v>
      </c>
      <c r="AU242" s="97">
        <v>0</v>
      </c>
      <c r="AV242" s="96">
        <v>0.23804812483926799</v>
      </c>
      <c r="AW242" s="73">
        <v>0</v>
      </c>
      <c r="AX242" s="97">
        <v>0</v>
      </c>
      <c r="AY242" s="96">
        <v>0</v>
      </c>
      <c r="AZ242" s="73"/>
      <c r="BA242" s="97"/>
      <c r="BB242" s="96"/>
      <c r="BC242" s="73"/>
      <c r="BD242" s="97"/>
      <c r="BE242" s="96"/>
      <c r="BF242" s="73"/>
      <c r="BG242" s="97"/>
      <c r="BH242" s="96"/>
    </row>
    <row r="243" spans="3:60" ht="20.25" x14ac:dyDescent="0.3">
      <c r="C243" s="8"/>
      <c r="D243" s="55"/>
      <c r="E243" s="54"/>
      <c r="F243" s="53"/>
      <c r="G243" s="55"/>
      <c r="H243" s="54"/>
      <c r="I243" s="53"/>
      <c r="J243" s="55"/>
      <c r="K243" s="54"/>
      <c r="L243" s="53"/>
      <c r="M243" s="55"/>
      <c r="N243" s="54"/>
      <c r="O243" s="53"/>
      <c r="P243" s="55"/>
      <c r="Q243" s="54"/>
      <c r="R243" s="53"/>
      <c r="S243" s="55"/>
      <c r="T243" s="54"/>
      <c r="U243" s="53"/>
      <c r="V243" s="55"/>
      <c r="W243" s="54"/>
      <c r="X243" s="53"/>
      <c r="Y243" s="55"/>
      <c r="Z243" s="54"/>
      <c r="AA243" s="53"/>
      <c r="AB243" s="55"/>
      <c r="AC243" s="54"/>
      <c r="AD243" s="53"/>
      <c r="AE243" s="55"/>
      <c r="AF243" s="54"/>
      <c r="AG243" s="53"/>
      <c r="AH243" s="55"/>
      <c r="AI243" s="54"/>
      <c r="AJ243" s="53"/>
      <c r="AK243" s="55"/>
      <c r="AL243" s="54"/>
      <c r="AM243" s="53"/>
      <c r="AN243" s="55"/>
      <c r="AO243" s="54"/>
      <c r="AP243" s="53"/>
      <c r="AQ243" s="55"/>
      <c r="AR243" s="54"/>
      <c r="AS243" s="53"/>
      <c r="AT243" s="55"/>
      <c r="AU243" s="54"/>
      <c r="AV243" s="53"/>
      <c r="AW243" s="55"/>
      <c r="AX243" s="54"/>
      <c r="AY243" s="53"/>
      <c r="AZ243" s="55"/>
      <c r="BA243" s="54"/>
      <c r="BB243" s="53"/>
      <c r="BC243" s="55"/>
      <c r="BD243" s="54"/>
      <c r="BE243" s="53"/>
      <c r="BF243" s="55"/>
      <c r="BG243" s="54"/>
      <c r="BH243" s="53"/>
    </row>
    <row r="244" spans="3:60" ht="20.25" x14ac:dyDescent="0.3">
      <c r="C244" s="72" t="s">
        <v>54</v>
      </c>
      <c r="D244" s="98">
        <f>+SUM(G244,J244,M244,P244,S244,V244,Y244,AB244,AE244,AH244,AK244,AN244,AQ244,AT244,AW244,AZ244,BC244,BF244)</f>
        <v>68</v>
      </c>
      <c r="E244" s="102">
        <f>+SUM(H244,K244,N244,Q244,T244,W244,Z244,AC244,AF244,AI244,AL244,AO244,AR244,AU244,AX244,BA244,BD244,BG244)</f>
        <v>114728.15</v>
      </c>
      <c r="F244" s="68">
        <f>+SUM(I244,L244,O244,R244,U244,X244,AA244,AD244,AG244,AJ244,AM244,AP244,AS244,AV244,AY244,BB244,BE244,BH244)</f>
        <v>90929.2</v>
      </c>
      <c r="G244" s="98">
        <v>0</v>
      </c>
      <c r="H244" s="102">
        <v>0</v>
      </c>
      <c r="I244" s="68">
        <v>0</v>
      </c>
      <c r="J244" s="98">
        <v>0</v>
      </c>
      <c r="K244" s="102">
        <v>0</v>
      </c>
      <c r="L244" s="68">
        <v>0</v>
      </c>
      <c r="M244" s="98">
        <v>0</v>
      </c>
      <c r="N244" s="102">
        <v>0</v>
      </c>
      <c r="O244" s="68">
        <v>0</v>
      </c>
      <c r="P244" s="98">
        <v>68</v>
      </c>
      <c r="Q244" s="102">
        <v>114728.15</v>
      </c>
      <c r="R244" s="68">
        <v>90929.2</v>
      </c>
      <c r="S244" s="98">
        <v>0</v>
      </c>
      <c r="T244" s="102">
        <v>0</v>
      </c>
      <c r="U244" s="68">
        <v>0</v>
      </c>
      <c r="V244" s="98">
        <v>0</v>
      </c>
      <c r="W244" s="102">
        <v>0</v>
      </c>
      <c r="X244" s="68">
        <v>0</v>
      </c>
      <c r="Y244" s="98">
        <v>0</v>
      </c>
      <c r="Z244" s="102">
        <v>0</v>
      </c>
      <c r="AA244" s="68">
        <v>0</v>
      </c>
      <c r="AB244" s="98">
        <v>0</v>
      </c>
      <c r="AC244" s="102">
        <v>0</v>
      </c>
      <c r="AD244" s="68">
        <v>0</v>
      </c>
      <c r="AE244" s="98">
        <v>0</v>
      </c>
      <c r="AF244" s="102">
        <v>0</v>
      </c>
      <c r="AG244" s="68">
        <v>0</v>
      </c>
      <c r="AH244" s="98">
        <v>0</v>
      </c>
      <c r="AI244" s="102">
        <v>0</v>
      </c>
      <c r="AJ244" s="68">
        <v>0</v>
      </c>
      <c r="AK244" s="98">
        <v>0</v>
      </c>
      <c r="AL244" s="102">
        <v>0</v>
      </c>
      <c r="AM244" s="68">
        <v>0</v>
      </c>
      <c r="AN244" s="98">
        <v>0</v>
      </c>
      <c r="AO244" s="102">
        <v>0</v>
      </c>
      <c r="AP244" s="68">
        <v>0</v>
      </c>
      <c r="AQ244" s="98">
        <v>0</v>
      </c>
      <c r="AR244" s="102">
        <v>0</v>
      </c>
      <c r="AS244" s="68">
        <v>0</v>
      </c>
      <c r="AT244" s="98">
        <v>0</v>
      </c>
      <c r="AU244" s="102">
        <v>0</v>
      </c>
      <c r="AV244" s="68">
        <v>0</v>
      </c>
      <c r="AW244" s="98">
        <v>0</v>
      </c>
      <c r="AX244" s="102">
        <v>0</v>
      </c>
      <c r="AY244" s="68">
        <v>0</v>
      </c>
      <c r="AZ244" s="98"/>
      <c r="BA244" s="102"/>
      <c r="BB244" s="68"/>
      <c r="BC244" s="98"/>
      <c r="BD244" s="102"/>
      <c r="BE244" s="68"/>
      <c r="BF244" s="98"/>
      <c r="BG244" s="102"/>
      <c r="BH244" s="68"/>
    </row>
    <row r="245" spans="3:60" ht="20.25" x14ac:dyDescent="0.3">
      <c r="C245" s="8" t="s">
        <v>52</v>
      </c>
      <c r="D245" s="73"/>
      <c r="E245" s="7"/>
      <c r="F245" s="96"/>
      <c r="G245" s="73">
        <v>0</v>
      </c>
      <c r="H245" s="7">
        <v>0</v>
      </c>
      <c r="I245" s="96">
        <v>0</v>
      </c>
      <c r="J245" s="73">
        <v>0</v>
      </c>
      <c r="K245" s="7">
        <v>0</v>
      </c>
      <c r="L245" s="96">
        <v>0</v>
      </c>
      <c r="M245" s="73">
        <v>0</v>
      </c>
      <c r="N245" s="7">
        <v>0</v>
      </c>
      <c r="O245" s="96">
        <v>0</v>
      </c>
      <c r="P245" s="73">
        <v>0</v>
      </c>
      <c r="Q245" s="7">
        <v>0</v>
      </c>
      <c r="R245" s="96">
        <v>0.79256224387824603</v>
      </c>
      <c r="S245" s="73">
        <v>0</v>
      </c>
      <c r="T245" s="7">
        <v>0</v>
      </c>
      <c r="U245" s="96">
        <v>0</v>
      </c>
      <c r="V245" s="73">
        <v>0</v>
      </c>
      <c r="W245" s="7">
        <v>0</v>
      </c>
      <c r="X245" s="96">
        <v>0</v>
      </c>
      <c r="Y245" s="73">
        <v>0</v>
      </c>
      <c r="Z245" s="97">
        <v>0</v>
      </c>
      <c r="AA245" s="96">
        <v>0</v>
      </c>
      <c r="AB245" s="73">
        <v>0</v>
      </c>
      <c r="AC245" s="97">
        <v>0</v>
      </c>
      <c r="AD245" s="96">
        <v>0</v>
      </c>
      <c r="AE245" s="73">
        <v>0</v>
      </c>
      <c r="AF245" s="97">
        <v>0</v>
      </c>
      <c r="AG245" s="96">
        <v>0</v>
      </c>
      <c r="AH245" s="73">
        <v>0</v>
      </c>
      <c r="AI245" s="97">
        <v>0</v>
      </c>
      <c r="AJ245" s="96">
        <v>0</v>
      </c>
      <c r="AK245" s="73">
        <v>0</v>
      </c>
      <c r="AL245" s="97">
        <v>0</v>
      </c>
      <c r="AM245" s="96">
        <v>0</v>
      </c>
      <c r="AN245" s="73">
        <v>0</v>
      </c>
      <c r="AO245" s="97">
        <v>0</v>
      </c>
      <c r="AP245" s="96">
        <v>0</v>
      </c>
      <c r="AQ245" s="73">
        <v>0</v>
      </c>
      <c r="AR245" s="97">
        <v>0</v>
      </c>
      <c r="AS245" s="96">
        <v>0</v>
      </c>
      <c r="AT245" s="73">
        <v>0</v>
      </c>
      <c r="AU245" s="97">
        <v>0</v>
      </c>
      <c r="AV245" s="96">
        <v>0</v>
      </c>
      <c r="AW245" s="73">
        <v>0</v>
      </c>
      <c r="AX245" s="97">
        <v>0</v>
      </c>
      <c r="AY245" s="96">
        <v>0</v>
      </c>
      <c r="AZ245" s="73"/>
      <c r="BA245" s="97"/>
      <c r="BB245" s="96"/>
      <c r="BC245" s="73"/>
      <c r="BD245" s="97"/>
      <c r="BE245" s="96"/>
      <c r="BF245" s="73"/>
      <c r="BG245" s="97"/>
      <c r="BH245" s="96"/>
    </row>
    <row r="246" spans="3:60" ht="20.25" x14ac:dyDescent="0.3">
      <c r="C246" s="67"/>
      <c r="D246" s="101"/>
      <c r="E246" s="100"/>
      <c r="F246" s="99"/>
      <c r="G246" s="101"/>
      <c r="H246" s="100"/>
      <c r="I246" s="99"/>
      <c r="J246" s="101"/>
      <c r="K246" s="100"/>
      <c r="L246" s="99"/>
      <c r="M246" s="101"/>
      <c r="N246" s="100"/>
      <c r="O246" s="99"/>
      <c r="P246" s="101"/>
      <c r="Q246" s="100"/>
      <c r="R246" s="99"/>
      <c r="S246" s="101"/>
      <c r="T246" s="100"/>
      <c r="U246" s="99"/>
      <c r="V246" s="101"/>
      <c r="W246" s="100"/>
      <c r="X246" s="99"/>
      <c r="Y246" s="101"/>
      <c r="Z246" s="100"/>
      <c r="AA246" s="99"/>
      <c r="AB246" s="101"/>
      <c r="AC246" s="100"/>
      <c r="AD246" s="99"/>
      <c r="AE246" s="101"/>
      <c r="AF246" s="100"/>
      <c r="AG246" s="99"/>
      <c r="AH246" s="101"/>
      <c r="AI246" s="100"/>
      <c r="AJ246" s="99"/>
      <c r="AK246" s="101"/>
      <c r="AL246" s="100"/>
      <c r="AM246" s="99"/>
      <c r="AN246" s="101"/>
      <c r="AO246" s="100"/>
      <c r="AP246" s="99"/>
      <c r="AQ246" s="101"/>
      <c r="AR246" s="100"/>
      <c r="AS246" s="99"/>
      <c r="AT246" s="101"/>
      <c r="AU246" s="100"/>
      <c r="AV246" s="99"/>
      <c r="AW246" s="101"/>
      <c r="AX246" s="100"/>
      <c r="AY246" s="99"/>
      <c r="AZ246" s="101"/>
      <c r="BA246" s="100"/>
      <c r="BB246" s="99"/>
      <c r="BC246" s="101"/>
      <c r="BD246" s="100"/>
      <c r="BE246" s="99"/>
      <c r="BF246" s="101"/>
      <c r="BG246" s="100"/>
      <c r="BH246" s="99"/>
    </row>
    <row r="247" spans="3:60" ht="20.25" x14ac:dyDescent="0.3">
      <c r="C247" s="72" t="s">
        <v>53</v>
      </c>
      <c r="D247" s="98">
        <f>+SUM(G247,J247,M247,P247,S247,V247,Y247,AB247,AE247,AH247,AK247,AN247,AQ247,AT247,AW247,AZ247,BC247,BF247)</f>
        <v>90</v>
      </c>
      <c r="E247" s="97">
        <f>+SUM(H247,K247,N247,Q247,T247,W247,Z247,AC247,AF247,AI247,AL247,AO247,AR247,AU247,AX247,BA247,BD247,BG247)</f>
        <v>33470.949999999997</v>
      </c>
      <c r="F247" s="18">
        <f>+SUM(I247,L247,O247,R247,U247,X247,AA247,AD247,AG247,AJ247,AM247,AP247,AS247,AV247,AY247,BB247,BE247,BH247)</f>
        <v>11338.2599999999</v>
      </c>
      <c r="G247" s="98">
        <v>0</v>
      </c>
      <c r="H247" s="97">
        <v>0</v>
      </c>
      <c r="I247" s="18">
        <v>0</v>
      </c>
      <c r="J247" s="98">
        <v>0</v>
      </c>
      <c r="K247" s="97">
        <v>0</v>
      </c>
      <c r="L247" s="18">
        <v>0</v>
      </c>
      <c r="M247" s="98">
        <v>0</v>
      </c>
      <c r="N247" s="97">
        <v>0</v>
      </c>
      <c r="O247" s="18">
        <v>0</v>
      </c>
      <c r="P247" s="98">
        <v>90</v>
      </c>
      <c r="Q247" s="97">
        <v>33470.949999999997</v>
      </c>
      <c r="R247" s="18">
        <v>11338.2599999999</v>
      </c>
      <c r="S247" s="98">
        <v>0</v>
      </c>
      <c r="T247" s="97">
        <v>0</v>
      </c>
      <c r="U247" s="18">
        <v>0</v>
      </c>
      <c r="V247" s="98">
        <v>0</v>
      </c>
      <c r="W247" s="97">
        <v>0</v>
      </c>
      <c r="X247" s="18">
        <v>0</v>
      </c>
      <c r="Y247" s="98">
        <v>0</v>
      </c>
      <c r="Z247" s="97">
        <v>0</v>
      </c>
      <c r="AA247" s="18">
        <v>0</v>
      </c>
      <c r="AB247" s="98">
        <v>0</v>
      </c>
      <c r="AC247" s="97">
        <v>0</v>
      </c>
      <c r="AD247" s="18">
        <v>0</v>
      </c>
      <c r="AE247" s="98">
        <v>0</v>
      </c>
      <c r="AF247" s="97">
        <v>0</v>
      </c>
      <c r="AG247" s="18">
        <v>0</v>
      </c>
      <c r="AH247" s="98">
        <v>0</v>
      </c>
      <c r="AI247" s="97">
        <v>0</v>
      </c>
      <c r="AJ247" s="18">
        <v>0</v>
      </c>
      <c r="AK247" s="98">
        <v>0</v>
      </c>
      <c r="AL247" s="97">
        <v>0</v>
      </c>
      <c r="AM247" s="18">
        <v>0</v>
      </c>
      <c r="AN247" s="98">
        <v>0</v>
      </c>
      <c r="AO247" s="97">
        <v>0</v>
      </c>
      <c r="AP247" s="18">
        <v>0</v>
      </c>
      <c r="AQ247" s="98">
        <v>0</v>
      </c>
      <c r="AR247" s="97">
        <v>0</v>
      </c>
      <c r="AS247" s="18">
        <v>0</v>
      </c>
      <c r="AT247" s="98">
        <v>0</v>
      </c>
      <c r="AU247" s="97">
        <v>0</v>
      </c>
      <c r="AV247" s="18">
        <v>0</v>
      </c>
      <c r="AW247" s="98">
        <v>0</v>
      </c>
      <c r="AX247" s="97">
        <v>0</v>
      </c>
      <c r="AY247" s="18">
        <v>0</v>
      </c>
      <c r="AZ247" s="98"/>
      <c r="BA247" s="97"/>
      <c r="BB247" s="18"/>
      <c r="BC247" s="98"/>
      <c r="BD247" s="97"/>
      <c r="BE247" s="18"/>
      <c r="BF247" s="98"/>
      <c r="BG247" s="97"/>
      <c r="BH247" s="18"/>
    </row>
    <row r="248" spans="3:60" ht="20.25" x14ac:dyDescent="0.3">
      <c r="C248" s="8" t="s">
        <v>52</v>
      </c>
      <c r="D248" s="8"/>
      <c r="E248" s="7"/>
      <c r="F248" s="96"/>
      <c r="G248" s="8">
        <v>0</v>
      </c>
      <c r="H248" s="7">
        <v>0</v>
      </c>
      <c r="I248" s="96">
        <v>0</v>
      </c>
      <c r="J248" s="8">
        <v>0</v>
      </c>
      <c r="K248" s="7">
        <v>0</v>
      </c>
      <c r="L248" s="96">
        <v>0</v>
      </c>
      <c r="M248" s="8">
        <v>0</v>
      </c>
      <c r="N248" s="7">
        <v>0</v>
      </c>
      <c r="O248" s="96">
        <v>0</v>
      </c>
      <c r="P248" s="8">
        <v>0</v>
      </c>
      <c r="Q248" s="7">
        <v>0</v>
      </c>
      <c r="R248" s="96">
        <v>0.33874927362384299</v>
      </c>
      <c r="S248" s="8">
        <v>0</v>
      </c>
      <c r="T248" s="7">
        <v>0</v>
      </c>
      <c r="U248" s="96">
        <v>0</v>
      </c>
      <c r="V248" s="8">
        <v>0</v>
      </c>
      <c r="W248" s="7">
        <v>0</v>
      </c>
      <c r="X248" s="96">
        <v>0</v>
      </c>
      <c r="Y248" s="73">
        <v>0</v>
      </c>
      <c r="Z248" s="97">
        <v>0</v>
      </c>
      <c r="AA248" s="96">
        <v>0</v>
      </c>
      <c r="AB248" s="73">
        <v>0</v>
      </c>
      <c r="AC248" s="97">
        <v>0</v>
      </c>
      <c r="AD248" s="96">
        <v>0</v>
      </c>
      <c r="AE248" s="73">
        <v>0</v>
      </c>
      <c r="AF248" s="97">
        <v>0</v>
      </c>
      <c r="AG248" s="96">
        <v>0</v>
      </c>
      <c r="AH248" s="73">
        <v>0</v>
      </c>
      <c r="AI248" s="97">
        <v>0</v>
      </c>
      <c r="AJ248" s="96">
        <v>0</v>
      </c>
      <c r="AK248" s="73">
        <v>0</v>
      </c>
      <c r="AL248" s="97">
        <v>0</v>
      </c>
      <c r="AM248" s="96">
        <v>0</v>
      </c>
      <c r="AN248" s="73">
        <v>0</v>
      </c>
      <c r="AO248" s="97">
        <v>0</v>
      </c>
      <c r="AP248" s="96">
        <v>0</v>
      </c>
      <c r="AQ248" s="73">
        <v>0</v>
      </c>
      <c r="AR248" s="97">
        <v>0</v>
      </c>
      <c r="AS248" s="96">
        <v>0</v>
      </c>
      <c r="AT248" s="73">
        <v>0</v>
      </c>
      <c r="AU248" s="97">
        <v>0</v>
      </c>
      <c r="AV248" s="96">
        <v>0</v>
      </c>
      <c r="AW248" s="73">
        <v>0</v>
      </c>
      <c r="AX248" s="97">
        <v>0</v>
      </c>
      <c r="AY248" s="96">
        <v>0</v>
      </c>
      <c r="AZ248" s="73"/>
      <c r="BA248" s="97"/>
      <c r="BB248" s="96"/>
      <c r="BC248" s="73"/>
      <c r="BD248" s="97"/>
      <c r="BE248" s="96"/>
      <c r="BF248" s="73"/>
      <c r="BG248" s="97"/>
      <c r="BH248" s="96"/>
    </row>
    <row r="249" spans="3:60" ht="21" thickBot="1" x14ac:dyDescent="0.35">
      <c r="C249" s="8"/>
      <c r="D249" s="8"/>
      <c r="E249" s="7"/>
      <c r="F249" s="96"/>
      <c r="G249" s="8"/>
      <c r="H249" s="7"/>
      <c r="I249" s="96"/>
      <c r="J249" s="8"/>
      <c r="K249" s="7"/>
      <c r="L249" s="96"/>
      <c r="M249" s="8"/>
      <c r="N249" s="7"/>
      <c r="O249" s="96"/>
      <c r="P249" s="8"/>
      <c r="Q249" s="7"/>
      <c r="R249" s="96"/>
      <c r="S249" s="8"/>
      <c r="T249" s="7"/>
      <c r="U249" s="96"/>
      <c r="V249" s="8"/>
      <c r="W249" s="7"/>
      <c r="X249" s="96"/>
      <c r="Y249" s="8"/>
      <c r="Z249" s="7"/>
      <c r="AA249" s="96"/>
      <c r="AB249" s="8"/>
      <c r="AC249" s="7"/>
      <c r="AD249" s="96"/>
      <c r="AE249" s="8"/>
      <c r="AF249" s="7"/>
      <c r="AG249" s="96"/>
      <c r="AH249" s="8"/>
      <c r="AI249" s="7"/>
      <c r="AJ249" s="96"/>
      <c r="AK249" s="8"/>
      <c r="AL249" s="7"/>
      <c r="AM249" s="96"/>
      <c r="AN249" s="8"/>
      <c r="AO249" s="7"/>
      <c r="AP249" s="96"/>
      <c r="AQ249" s="8"/>
      <c r="AR249" s="7"/>
      <c r="AS249" s="96"/>
      <c r="AT249" s="8"/>
      <c r="AU249" s="7"/>
      <c r="AV249" s="96"/>
      <c r="AW249" s="8"/>
      <c r="AX249" s="7"/>
      <c r="AY249" s="96"/>
      <c r="AZ249" s="8"/>
      <c r="BA249" s="7"/>
      <c r="BB249" s="96"/>
      <c r="BC249" s="8"/>
      <c r="BD249" s="7"/>
      <c r="BE249" s="96"/>
      <c r="BF249" s="8"/>
      <c r="BG249" s="7"/>
      <c r="BH249" s="96"/>
    </row>
    <row r="250" spans="3:60" ht="21" thickTop="1" x14ac:dyDescent="0.3">
      <c r="C250" s="43" t="s">
        <v>51</v>
      </c>
      <c r="D250" s="49">
        <f>SUM(D241:D247)</f>
        <v>313</v>
      </c>
      <c r="E250" s="95">
        <f>SUM(E241:E247)</f>
        <v>462999.91</v>
      </c>
      <c r="F250" s="47">
        <f>SUM(F241:F247)</f>
        <v>170311.48999999982</v>
      </c>
      <c r="G250" s="49">
        <v>0</v>
      </c>
      <c r="H250" s="95">
        <v>2660.51</v>
      </c>
      <c r="I250" s="47">
        <v>2660.51</v>
      </c>
      <c r="J250" s="49">
        <v>0</v>
      </c>
      <c r="K250" s="95">
        <v>0</v>
      </c>
      <c r="L250" s="47">
        <v>0</v>
      </c>
      <c r="M250" s="49">
        <v>0</v>
      </c>
      <c r="N250" s="95">
        <v>0</v>
      </c>
      <c r="O250" s="47">
        <v>0</v>
      </c>
      <c r="P250" s="49">
        <v>0</v>
      </c>
      <c r="Q250" s="95">
        <v>164859.43999999901</v>
      </c>
      <c r="R250" s="47">
        <v>106036.469999999</v>
      </c>
      <c r="S250" s="49">
        <v>0</v>
      </c>
      <c r="T250" s="95">
        <v>225815.54</v>
      </c>
      <c r="U250" s="47">
        <v>37237</v>
      </c>
      <c r="V250" s="49">
        <v>0</v>
      </c>
      <c r="W250" s="95">
        <v>46889.0099999999</v>
      </c>
      <c r="X250" s="47">
        <v>17317.519999999899</v>
      </c>
      <c r="Y250" s="49">
        <v>0</v>
      </c>
      <c r="Z250" s="95">
        <v>0</v>
      </c>
      <c r="AA250" s="47">
        <v>0</v>
      </c>
      <c r="AB250" s="49">
        <v>0</v>
      </c>
      <c r="AC250" s="95">
        <v>0</v>
      </c>
      <c r="AD250" s="47">
        <v>0</v>
      </c>
      <c r="AE250" s="49">
        <v>0</v>
      </c>
      <c r="AF250" s="95">
        <v>421.68</v>
      </c>
      <c r="AG250" s="47">
        <v>409.25</v>
      </c>
      <c r="AH250" s="49">
        <v>0</v>
      </c>
      <c r="AI250" s="95">
        <v>313.22000000000003</v>
      </c>
      <c r="AJ250" s="47">
        <v>313.22000000000003</v>
      </c>
      <c r="AK250" s="49">
        <v>0</v>
      </c>
      <c r="AL250" s="95">
        <v>0</v>
      </c>
      <c r="AM250" s="47">
        <v>0</v>
      </c>
      <c r="AN250" s="49">
        <v>0</v>
      </c>
      <c r="AO250" s="95">
        <v>636.15</v>
      </c>
      <c r="AP250" s="47">
        <v>636.15</v>
      </c>
      <c r="AQ250" s="49">
        <v>0</v>
      </c>
      <c r="AR250" s="95">
        <v>795.46</v>
      </c>
      <c r="AS250" s="47">
        <v>795.46</v>
      </c>
      <c r="AT250" s="49">
        <v>0</v>
      </c>
      <c r="AU250" s="95">
        <v>20608.900000000001</v>
      </c>
      <c r="AV250" s="47">
        <v>4905.91</v>
      </c>
      <c r="AW250" s="49">
        <v>0</v>
      </c>
      <c r="AX250" s="95">
        <v>0</v>
      </c>
      <c r="AY250" s="47">
        <v>0</v>
      </c>
      <c r="AZ250" s="49"/>
      <c r="BA250" s="95"/>
      <c r="BB250" s="47"/>
      <c r="BC250" s="49"/>
      <c r="BD250" s="95"/>
      <c r="BE250" s="47"/>
      <c r="BF250" s="49"/>
      <c r="BG250" s="95"/>
      <c r="BH250" s="47"/>
    </row>
    <row r="251" spans="3:60" ht="21" thickBot="1" x14ac:dyDescent="0.35">
      <c r="C251" s="40"/>
      <c r="D251" s="40"/>
      <c r="E251" s="39"/>
      <c r="F251" s="92"/>
      <c r="G251" s="40">
        <v>0</v>
      </c>
      <c r="H251" s="39">
        <v>0</v>
      </c>
      <c r="I251" s="92">
        <v>1</v>
      </c>
      <c r="J251" s="40">
        <v>0</v>
      </c>
      <c r="K251" s="39">
        <v>0</v>
      </c>
      <c r="L251" s="92">
        <v>0</v>
      </c>
      <c r="M251" s="40">
        <v>0</v>
      </c>
      <c r="N251" s="39">
        <v>0</v>
      </c>
      <c r="O251" s="92">
        <v>0</v>
      </c>
      <c r="P251" s="40">
        <v>0</v>
      </c>
      <c r="Q251" s="39">
        <v>0</v>
      </c>
      <c r="R251" s="92">
        <v>0.643193195366913</v>
      </c>
      <c r="S251" s="40">
        <v>0</v>
      </c>
      <c r="T251" s="39">
        <v>0</v>
      </c>
      <c r="U251" s="92">
        <v>0.16490007729317399</v>
      </c>
      <c r="V251" s="40">
        <v>0</v>
      </c>
      <c r="W251" s="39">
        <v>0</v>
      </c>
      <c r="X251" s="92">
        <v>0.369330041303921</v>
      </c>
      <c r="Y251" s="94">
        <v>0</v>
      </c>
      <c r="Z251" s="93">
        <v>0</v>
      </c>
      <c r="AA251" s="92">
        <v>0</v>
      </c>
      <c r="AB251" s="94">
        <v>0</v>
      </c>
      <c r="AC251" s="93">
        <v>0</v>
      </c>
      <c r="AD251" s="92">
        <v>0</v>
      </c>
      <c r="AE251" s="94">
        <v>0</v>
      </c>
      <c r="AF251" s="93">
        <v>0</v>
      </c>
      <c r="AG251" s="92">
        <v>0.970522671219882</v>
      </c>
      <c r="AH251" s="94">
        <v>0</v>
      </c>
      <c r="AI251" s="93">
        <v>0</v>
      </c>
      <c r="AJ251" s="92">
        <v>1</v>
      </c>
      <c r="AK251" s="94">
        <v>0</v>
      </c>
      <c r="AL251" s="93">
        <v>0</v>
      </c>
      <c r="AM251" s="92">
        <v>0</v>
      </c>
      <c r="AN251" s="94">
        <v>0</v>
      </c>
      <c r="AO251" s="93">
        <v>0</v>
      </c>
      <c r="AP251" s="92">
        <v>1</v>
      </c>
      <c r="AQ251" s="94">
        <v>0</v>
      </c>
      <c r="AR251" s="93">
        <v>0</v>
      </c>
      <c r="AS251" s="92">
        <v>1</v>
      </c>
      <c r="AT251" s="94">
        <v>0</v>
      </c>
      <c r="AU251" s="93">
        <v>0</v>
      </c>
      <c r="AV251" s="92">
        <v>0.23804812483926799</v>
      </c>
      <c r="AW251" s="94">
        <v>0</v>
      </c>
      <c r="AX251" s="93">
        <v>0</v>
      </c>
      <c r="AY251" s="92">
        <v>0</v>
      </c>
      <c r="AZ251" s="94"/>
      <c r="BA251" s="93"/>
      <c r="BB251" s="92"/>
      <c r="BC251" s="94"/>
      <c r="BD251" s="93"/>
      <c r="BE251" s="92"/>
      <c r="BF251" s="94"/>
      <c r="BG251" s="93"/>
      <c r="BH251" s="92"/>
    </row>
    <row r="252" spans="3:60" ht="21" thickTop="1" x14ac:dyDescent="0.3">
      <c r="C252" s="8"/>
      <c r="D252" s="8"/>
      <c r="E252" s="7"/>
      <c r="F252" s="6">
        <f t="shared" ref="F252:F265" si="15">+SUM(I252,L252,O252,R252,U252,X252,AA252,AD252,AG252,AJ252,AM252,AP252,AS252,AV252,AY252,BB252,BE252,BH252)</f>
        <v>0</v>
      </c>
      <c r="G252" s="8">
        <v>0</v>
      </c>
      <c r="H252" s="7">
        <v>0</v>
      </c>
      <c r="I252" s="6">
        <v>0</v>
      </c>
      <c r="J252" s="8">
        <v>0</v>
      </c>
      <c r="K252" s="7">
        <v>0</v>
      </c>
      <c r="L252" s="6">
        <v>0</v>
      </c>
      <c r="M252" s="8">
        <v>0</v>
      </c>
      <c r="N252" s="7">
        <v>0</v>
      </c>
      <c r="O252" s="6">
        <v>0</v>
      </c>
      <c r="P252" s="8">
        <v>0</v>
      </c>
      <c r="Q252" s="7">
        <v>0</v>
      </c>
      <c r="R252" s="6">
        <v>0</v>
      </c>
      <c r="S252" s="8">
        <v>0</v>
      </c>
      <c r="T252" s="7">
        <v>0</v>
      </c>
      <c r="U252" s="6">
        <v>0</v>
      </c>
      <c r="V252" s="8">
        <v>0</v>
      </c>
      <c r="W252" s="7">
        <v>0</v>
      </c>
      <c r="X252" s="6">
        <v>0</v>
      </c>
      <c r="Y252" s="8">
        <v>0</v>
      </c>
      <c r="Z252" s="7">
        <v>0</v>
      </c>
      <c r="AA252" s="6">
        <v>0</v>
      </c>
      <c r="AB252" s="8">
        <v>0</v>
      </c>
      <c r="AC252" s="7">
        <v>0</v>
      </c>
      <c r="AD252" s="6">
        <v>0</v>
      </c>
      <c r="AE252" s="8">
        <v>0</v>
      </c>
      <c r="AF252" s="7">
        <v>0</v>
      </c>
      <c r="AG252" s="6">
        <v>0</v>
      </c>
      <c r="AH252" s="8">
        <v>0</v>
      </c>
      <c r="AI252" s="7">
        <v>0</v>
      </c>
      <c r="AJ252" s="6">
        <v>0</v>
      </c>
      <c r="AK252" s="8">
        <v>0</v>
      </c>
      <c r="AL252" s="7">
        <v>0</v>
      </c>
      <c r="AM252" s="6">
        <v>0</v>
      </c>
      <c r="AN252" s="8">
        <v>0</v>
      </c>
      <c r="AO252" s="7">
        <v>0</v>
      </c>
      <c r="AP252" s="6">
        <v>0</v>
      </c>
      <c r="AQ252" s="8">
        <v>0</v>
      </c>
      <c r="AR252" s="7">
        <v>0</v>
      </c>
      <c r="AS252" s="6">
        <v>0</v>
      </c>
      <c r="AT252" s="8">
        <v>0</v>
      </c>
      <c r="AU252" s="7">
        <v>0</v>
      </c>
      <c r="AV252" s="6">
        <v>0</v>
      </c>
      <c r="AW252" s="8">
        <v>0</v>
      </c>
      <c r="AX252" s="7">
        <v>0</v>
      </c>
      <c r="AY252" s="6">
        <v>0</v>
      </c>
      <c r="AZ252" s="8"/>
      <c r="BA252" s="7"/>
      <c r="BB252" s="6"/>
      <c r="BC252" s="8"/>
      <c r="BD252" s="7"/>
      <c r="BE252" s="6"/>
      <c r="BF252" s="8"/>
      <c r="BG252" s="7"/>
      <c r="BH252" s="6"/>
    </row>
    <row r="253" spans="3:60" ht="20.25" x14ac:dyDescent="0.3">
      <c r="C253" s="29" t="s">
        <v>28</v>
      </c>
      <c r="D253" s="8"/>
      <c r="E253" s="7"/>
      <c r="F253" s="6">
        <f t="shared" si="15"/>
        <v>0</v>
      </c>
      <c r="G253" s="8">
        <v>0</v>
      </c>
      <c r="H253" s="7">
        <v>0</v>
      </c>
      <c r="I253" s="6">
        <v>0</v>
      </c>
      <c r="J253" s="8">
        <v>0</v>
      </c>
      <c r="K253" s="7">
        <v>0</v>
      </c>
      <c r="L253" s="6">
        <v>0</v>
      </c>
      <c r="M253" s="8">
        <v>0</v>
      </c>
      <c r="N253" s="7">
        <v>0</v>
      </c>
      <c r="O253" s="6">
        <v>0</v>
      </c>
      <c r="P253" s="8">
        <v>0</v>
      </c>
      <c r="Q253" s="7">
        <v>0</v>
      </c>
      <c r="R253" s="6">
        <v>0</v>
      </c>
      <c r="S253" s="8">
        <v>0</v>
      </c>
      <c r="T253" s="7">
        <v>0</v>
      </c>
      <c r="U253" s="6">
        <v>0</v>
      </c>
      <c r="V253" s="8">
        <v>0</v>
      </c>
      <c r="W253" s="7">
        <v>0</v>
      </c>
      <c r="X253" s="6">
        <v>0</v>
      </c>
      <c r="Y253" s="8">
        <v>0</v>
      </c>
      <c r="Z253" s="7">
        <v>0</v>
      </c>
      <c r="AA253" s="6">
        <v>0</v>
      </c>
      <c r="AB253" s="8">
        <v>0</v>
      </c>
      <c r="AC253" s="7">
        <v>0</v>
      </c>
      <c r="AD253" s="6">
        <v>0</v>
      </c>
      <c r="AE253" s="8">
        <v>0</v>
      </c>
      <c r="AF253" s="7">
        <v>0</v>
      </c>
      <c r="AG253" s="6">
        <v>0</v>
      </c>
      <c r="AH253" s="8">
        <v>0</v>
      </c>
      <c r="AI253" s="7">
        <v>0</v>
      </c>
      <c r="AJ253" s="6">
        <v>0</v>
      </c>
      <c r="AK253" s="8">
        <v>0</v>
      </c>
      <c r="AL253" s="7">
        <v>0</v>
      </c>
      <c r="AM253" s="6">
        <v>0</v>
      </c>
      <c r="AN253" s="8">
        <v>0</v>
      </c>
      <c r="AO253" s="7">
        <v>0</v>
      </c>
      <c r="AP253" s="6">
        <v>0</v>
      </c>
      <c r="AQ253" s="8">
        <v>0</v>
      </c>
      <c r="AR253" s="7">
        <v>0</v>
      </c>
      <c r="AS253" s="6">
        <v>0</v>
      </c>
      <c r="AT253" s="8">
        <v>0</v>
      </c>
      <c r="AU253" s="7">
        <v>0</v>
      </c>
      <c r="AV253" s="6">
        <v>0</v>
      </c>
      <c r="AW253" s="8">
        <v>0</v>
      </c>
      <c r="AX253" s="7">
        <v>0</v>
      </c>
      <c r="AY253" s="6">
        <v>0</v>
      </c>
      <c r="AZ253" s="8"/>
      <c r="BA253" s="7"/>
      <c r="BB253" s="6"/>
      <c r="BC253" s="8"/>
      <c r="BD253" s="7"/>
      <c r="BE253" s="6"/>
      <c r="BF253" s="8"/>
      <c r="BG253" s="7"/>
      <c r="BH253" s="6"/>
    </row>
    <row r="254" spans="3:60" ht="20.25" x14ac:dyDescent="0.3">
      <c r="C254" s="17" t="s">
        <v>27</v>
      </c>
      <c r="D254" s="8"/>
      <c r="E254" s="7"/>
      <c r="F254" s="18">
        <f t="shared" si="15"/>
        <v>12183.38</v>
      </c>
      <c r="G254" s="8">
        <v>0</v>
      </c>
      <c r="H254" s="7">
        <v>0</v>
      </c>
      <c r="I254" s="18">
        <v>0</v>
      </c>
      <c r="J254" s="8">
        <v>0</v>
      </c>
      <c r="K254" s="7">
        <v>0</v>
      </c>
      <c r="L254" s="18">
        <v>0</v>
      </c>
      <c r="M254" s="8">
        <v>0</v>
      </c>
      <c r="N254" s="7">
        <v>0</v>
      </c>
      <c r="O254" s="18">
        <v>0</v>
      </c>
      <c r="P254" s="8">
        <v>0</v>
      </c>
      <c r="Q254" s="7">
        <v>0</v>
      </c>
      <c r="R254" s="18">
        <v>10379.620000000001</v>
      </c>
      <c r="S254" s="8">
        <v>0</v>
      </c>
      <c r="T254" s="7">
        <v>0</v>
      </c>
      <c r="U254" s="18">
        <v>0</v>
      </c>
      <c r="V254" s="8">
        <v>0</v>
      </c>
      <c r="W254" s="7">
        <v>0</v>
      </c>
      <c r="X254" s="18">
        <v>901.88</v>
      </c>
      <c r="Y254" s="8">
        <v>0</v>
      </c>
      <c r="Z254" s="7">
        <v>0</v>
      </c>
      <c r="AA254" s="18">
        <v>0</v>
      </c>
      <c r="AB254" s="8">
        <v>0</v>
      </c>
      <c r="AC254" s="7">
        <v>0</v>
      </c>
      <c r="AD254" s="18">
        <v>0</v>
      </c>
      <c r="AE254" s="8">
        <v>0</v>
      </c>
      <c r="AF254" s="7">
        <v>0</v>
      </c>
      <c r="AG254" s="18">
        <v>0</v>
      </c>
      <c r="AH254" s="8">
        <v>0</v>
      </c>
      <c r="AI254" s="7">
        <v>0</v>
      </c>
      <c r="AJ254" s="18">
        <v>0</v>
      </c>
      <c r="AK254" s="8">
        <v>0</v>
      </c>
      <c r="AL254" s="7">
        <v>0</v>
      </c>
      <c r="AM254" s="18">
        <v>0</v>
      </c>
      <c r="AN254" s="8">
        <v>0</v>
      </c>
      <c r="AO254" s="7">
        <v>0</v>
      </c>
      <c r="AP254" s="18">
        <v>0</v>
      </c>
      <c r="AQ254" s="8">
        <v>0</v>
      </c>
      <c r="AR254" s="7">
        <v>0</v>
      </c>
      <c r="AS254" s="18">
        <v>0</v>
      </c>
      <c r="AT254" s="8">
        <v>0</v>
      </c>
      <c r="AU254" s="7">
        <v>0</v>
      </c>
      <c r="AV254" s="18">
        <v>901.88</v>
      </c>
      <c r="AW254" s="8">
        <v>0</v>
      </c>
      <c r="AX254" s="7">
        <v>0</v>
      </c>
      <c r="AY254" s="18">
        <v>0</v>
      </c>
      <c r="AZ254" s="8"/>
      <c r="BA254" s="7"/>
      <c r="BB254" s="18"/>
      <c r="BC254" s="8"/>
      <c r="BD254" s="7"/>
      <c r="BE254" s="18"/>
      <c r="BF254" s="8"/>
      <c r="BG254" s="7"/>
      <c r="BH254" s="18"/>
    </row>
    <row r="255" spans="3:60" ht="20.25" x14ac:dyDescent="0.3">
      <c r="C255" s="25" t="s">
        <v>26</v>
      </c>
      <c r="D255" s="8"/>
      <c r="E255" s="7"/>
      <c r="F255" s="18">
        <f t="shared" si="15"/>
        <v>36663.380000000005</v>
      </c>
      <c r="G255" s="8">
        <v>0</v>
      </c>
      <c r="H255" s="7">
        <v>0</v>
      </c>
      <c r="I255" s="18">
        <v>0</v>
      </c>
      <c r="J255" s="8">
        <v>0</v>
      </c>
      <c r="K255" s="7">
        <v>0</v>
      </c>
      <c r="L255" s="18">
        <v>0</v>
      </c>
      <c r="M255" s="8">
        <v>0</v>
      </c>
      <c r="N255" s="7">
        <v>0</v>
      </c>
      <c r="O255" s="18">
        <v>0</v>
      </c>
      <c r="P255" s="8">
        <v>0</v>
      </c>
      <c r="Q255" s="7">
        <v>0</v>
      </c>
      <c r="R255" s="18">
        <v>15325.7</v>
      </c>
      <c r="S255" s="8">
        <v>0</v>
      </c>
      <c r="T255" s="7">
        <v>0</v>
      </c>
      <c r="U255" s="18">
        <v>16418.349999999999</v>
      </c>
      <c r="V255" s="8">
        <v>0</v>
      </c>
      <c r="W255" s="7">
        <v>0</v>
      </c>
      <c r="X255" s="18">
        <v>1716.53</v>
      </c>
      <c r="Y255" s="8">
        <v>0</v>
      </c>
      <c r="Z255" s="7">
        <v>0</v>
      </c>
      <c r="AA255" s="18">
        <v>0</v>
      </c>
      <c r="AB255" s="8">
        <v>0</v>
      </c>
      <c r="AC255" s="7">
        <v>0</v>
      </c>
      <c r="AD255" s="18">
        <v>0</v>
      </c>
      <c r="AE255" s="8">
        <v>0</v>
      </c>
      <c r="AF255" s="7">
        <v>0</v>
      </c>
      <c r="AG255" s="18">
        <v>0</v>
      </c>
      <c r="AH255" s="8">
        <v>0</v>
      </c>
      <c r="AI255" s="7">
        <v>0</v>
      </c>
      <c r="AJ255" s="18">
        <v>0</v>
      </c>
      <c r="AK255" s="8">
        <v>0</v>
      </c>
      <c r="AL255" s="7">
        <v>0</v>
      </c>
      <c r="AM255" s="18">
        <v>0</v>
      </c>
      <c r="AN255" s="8">
        <v>0</v>
      </c>
      <c r="AO255" s="7">
        <v>0</v>
      </c>
      <c r="AP255" s="18">
        <v>0</v>
      </c>
      <c r="AQ255" s="8">
        <v>0</v>
      </c>
      <c r="AR255" s="7">
        <v>0</v>
      </c>
      <c r="AS255" s="18">
        <v>0</v>
      </c>
      <c r="AT255" s="8">
        <v>0</v>
      </c>
      <c r="AU255" s="7">
        <v>0</v>
      </c>
      <c r="AV255" s="18">
        <v>3202.8</v>
      </c>
      <c r="AW255" s="8">
        <v>0</v>
      </c>
      <c r="AX255" s="7">
        <v>0</v>
      </c>
      <c r="AY255" s="18">
        <v>0</v>
      </c>
      <c r="AZ255" s="8"/>
      <c r="BA255" s="7"/>
      <c r="BB255" s="18"/>
      <c r="BC255" s="8"/>
      <c r="BD255" s="7"/>
      <c r="BE255" s="18"/>
      <c r="BF255" s="8"/>
      <c r="BG255" s="7"/>
      <c r="BH255" s="18"/>
    </row>
    <row r="256" spans="3:60" ht="20.25" x14ac:dyDescent="0.3">
      <c r="C256" s="17" t="s">
        <v>25</v>
      </c>
      <c r="D256" s="72"/>
      <c r="E256" s="71"/>
      <c r="F256" s="68">
        <f t="shared" si="15"/>
        <v>1180.8499999999999</v>
      </c>
      <c r="G256" s="72">
        <v>0</v>
      </c>
      <c r="H256" s="71">
        <v>0</v>
      </c>
      <c r="I256" s="68">
        <v>0</v>
      </c>
      <c r="J256" s="72">
        <v>0</v>
      </c>
      <c r="K256" s="71">
        <v>0</v>
      </c>
      <c r="L256" s="68">
        <v>0</v>
      </c>
      <c r="M256" s="72">
        <v>0</v>
      </c>
      <c r="N256" s="71">
        <v>0</v>
      </c>
      <c r="O256" s="68">
        <v>0</v>
      </c>
      <c r="P256" s="72">
        <v>0</v>
      </c>
      <c r="Q256" s="71">
        <v>0</v>
      </c>
      <c r="R256" s="68">
        <v>60.8</v>
      </c>
      <c r="S256" s="72">
        <v>0</v>
      </c>
      <c r="T256" s="71">
        <v>0</v>
      </c>
      <c r="U256" s="68">
        <v>0</v>
      </c>
      <c r="V256" s="72">
        <v>0</v>
      </c>
      <c r="W256" s="71">
        <v>0</v>
      </c>
      <c r="X256" s="68">
        <v>1119.97</v>
      </c>
      <c r="Y256" s="72">
        <v>0</v>
      </c>
      <c r="Z256" s="71">
        <v>0</v>
      </c>
      <c r="AA256" s="68">
        <v>0</v>
      </c>
      <c r="AB256" s="72">
        <v>0</v>
      </c>
      <c r="AC256" s="71">
        <v>0</v>
      </c>
      <c r="AD256" s="68">
        <v>0</v>
      </c>
      <c r="AE256" s="72">
        <v>0</v>
      </c>
      <c r="AF256" s="71">
        <v>0</v>
      </c>
      <c r="AG256" s="68">
        <v>0</v>
      </c>
      <c r="AH256" s="72">
        <v>0</v>
      </c>
      <c r="AI256" s="71">
        <v>0</v>
      </c>
      <c r="AJ256" s="68">
        <v>0</v>
      </c>
      <c r="AK256" s="72">
        <v>0</v>
      </c>
      <c r="AL256" s="71">
        <v>0</v>
      </c>
      <c r="AM256" s="68">
        <v>0</v>
      </c>
      <c r="AN256" s="72">
        <v>0</v>
      </c>
      <c r="AO256" s="71">
        <v>0</v>
      </c>
      <c r="AP256" s="68">
        <v>0</v>
      </c>
      <c r="AQ256" s="72">
        <v>0</v>
      </c>
      <c r="AR256" s="71">
        <v>0</v>
      </c>
      <c r="AS256" s="68">
        <v>0</v>
      </c>
      <c r="AT256" s="72">
        <v>0</v>
      </c>
      <c r="AU256" s="71">
        <v>0</v>
      </c>
      <c r="AV256" s="68">
        <v>0.08</v>
      </c>
      <c r="AW256" s="72">
        <v>0</v>
      </c>
      <c r="AX256" s="71">
        <v>0</v>
      </c>
      <c r="AY256" s="68">
        <v>0</v>
      </c>
      <c r="AZ256" s="72"/>
      <c r="BA256" s="71"/>
      <c r="BB256" s="68"/>
      <c r="BC256" s="72"/>
      <c r="BD256" s="71"/>
      <c r="BE256" s="68"/>
      <c r="BF256" s="72"/>
      <c r="BG256" s="71"/>
      <c r="BH256" s="68"/>
    </row>
    <row r="257" spans="3:60" ht="20.25" x14ac:dyDescent="0.3">
      <c r="C257" s="17" t="s">
        <v>24</v>
      </c>
      <c r="D257" s="8"/>
      <c r="E257" s="7"/>
      <c r="F257" s="18">
        <f t="shared" si="15"/>
        <v>12859.17</v>
      </c>
      <c r="G257" s="8">
        <v>0</v>
      </c>
      <c r="H257" s="7">
        <v>0</v>
      </c>
      <c r="I257" s="18">
        <v>0</v>
      </c>
      <c r="J257" s="8">
        <v>0</v>
      </c>
      <c r="K257" s="7">
        <v>0</v>
      </c>
      <c r="L257" s="18">
        <v>0</v>
      </c>
      <c r="M257" s="8">
        <v>0</v>
      </c>
      <c r="N257" s="7">
        <v>0</v>
      </c>
      <c r="O257" s="18">
        <v>0</v>
      </c>
      <c r="P257" s="8">
        <v>0</v>
      </c>
      <c r="Q257" s="7">
        <v>0</v>
      </c>
      <c r="R257" s="18">
        <v>5909.1</v>
      </c>
      <c r="S257" s="8">
        <v>0</v>
      </c>
      <c r="T257" s="7">
        <v>0</v>
      </c>
      <c r="U257" s="18">
        <v>0</v>
      </c>
      <c r="V257" s="8">
        <v>0</v>
      </c>
      <c r="W257" s="7">
        <v>0</v>
      </c>
      <c r="X257" s="18">
        <v>6950.07</v>
      </c>
      <c r="Y257" s="8">
        <v>0</v>
      </c>
      <c r="Z257" s="7">
        <v>0</v>
      </c>
      <c r="AA257" s="18">
        <v>0</v>
      </c>
      <c r="AB257" s="8">
        <v>0</v>
      </c>
      <c r="AC257" s="7">
        <v>0</v>
      </c>
      <c r="AD257" s="18">
        <v>0</v>
      </c>
      <c r="AE257" s="8">
        <v>0</v>
      </c>
      <c r="AF257" s="7">
        <v>0</v>
      </c>
      <c r="AG257" s="18">
        <v>0</v>
      </c>
      <c r="AH257" s="8">
        <v>0</v>
      </c>
      <c r="AI257" s="7">
        <v>0</v>
      </c>
      <c r="AJ257" s="18">
        <v>0</v>
      </c>
      <c r="AK257" s="8">
        <v>0</v>
      </c>
      <c r="AL257" s="7">
        <v>0</v>
      </c>
      <c r="AM257" s="18">
        <v>0</v>
      </c>
      <c r="AN257" s="8">
        <v>0</v>
      </c>
      <c r="AO257" s="7">
        <v>0</v>
      </c>
      <c r="AP257" s="18">
        <v>0</v>
      </c>
      <c r="AQ257" s="8">
        <v>0</v>
      </c>
      <c r="AR257" s="7">
        <v>0</v>
      </c>
      <c r="AS257" s="18">
        <v>0</v>
      </c>
      <c r="AT257" s="8">
        <v>0</v>
      </c>
      <c r="AU257" s="7">
        <v>0</v>
      </c>
      <c r="AV257" s="18">
        <v>0</v>
      </c>
      <c r="AW257" s="8">
        <v>0</v>
      </c>
      <c r="AX257" s="7">
        <v>0</v>
      </c>
      <c r="AY257" s="18">
        <v>0</v>
      </c>
      <c r="AZ257" s="8"/>
      <c r="BA257" s="7"/>
      <c r="BB257" s="18"/>
      <c r="BC257" s="8"/>
      <c r="BD257" s="7"/>
      <c r="BE257" s="18"/>
      <c r="BF257" s="8"/>
      <c r="BG257" s="7"/>
      <c r="BH257" s="18"/>
    </row>
    <row r="258" spans="3:60" ht="20.25" hidden="1" x14ac:dyDescent="0.3">
      <c r="C258" s="8" t="s">
        <v>3</v>
      </c>
      <c r="D258" s="8"/>
      <c r="E258" s="7"/>
      <c r="F258" s="18">
        <f t="shared" si="15"/>
        <v>0</v>
      </c>
      <c r="G258" s="8">
        <v>0</v>
      </c>
      <c r="H258" s="7">
        <v>0</v>
      </c>
      <c r="I258" s="18">
        <v>0</v>
      </c>
      <c r="J258" s="8">
        <v>0</v>
      </c>
      <c r="K258" s="7">
        <v>0</v>
      </c>
      <c r="L258" s="18">
        <v>0</v>
      </c>
      <c r="M258" s="8">
        <v>0</v>
      </c>
      <c r="N258" s="7">
        <v>0</v>
      </c>
      <c r="O258" s="18">
        <v>0</v>
      </c>
      <c r="P258" s="8">
        <v>0</v>
      </c>
      <c r="Q258" s="7">
        <v>0</v>
      </c>
      <c r="R258" s="18">
        <v>0</v>
      </c>
      <c r="S258" s="8">
        <v>0</v>
      </c>
      <c r="T258" s="7">
        <v>0</v>
      </c>
      <c r="U258" s="18">
        <v>0</v>
      </c>
      <c r="V258" s="8">
        <v>0</v>
      </c>
      <c r="W258" s="7">
        <v>0</v>
      </c>
      <c r="X258" s="18">
        <v>0</v>
      </c>
      <c r="Y258" s="8">
        <v>0</v>
      </c>
      <c r="Z258" s="7">
        <v>0</v>
      </c>
      <c r="AA258" s="18">
        <v>0</v>
      </c>
      <c r="AB258" s="8">
        <v>0</v>
      </c>
      <c r="AC258" s="7">
        <v>0</v>
      </c>
      <c r="AD258" s="18">
        <v>0</v>
      </c>
      <c r="AE258" s="8">
        <v>0</v>
      </c>
      <c r="AF258" s="7">
        <v>0</v>
      </c>
      <c r="AG258" s="18">
        <v>0</v>
      </c>
      <c r="AH258" s="8">
        <v>0</v>
      </c>
      <c r="AI258" s="7">
        <v>0</v>
      </c>
      <c r="AJ258" s="18">
        <v>0</v>
      </c>
      <c r="AK258" s="8">
        <v>0</v>
      </c>
      <c r="AL258" s="7">
        <v>0</v>
      </c>
      <c r="AM258" s="18">
        <v>0</v>
      </c>
      <c r="AN258" s="8">
        <v>0</v>
      </c>
      <c r="AO258" s="7">
        <v>0</v>
      </c>
      <c r="AP258" s="18">
        <v>0</v>
      </c>
      <c r="AQ258" s="8">
        <v>0</v>
      </c>
      <c r="AR258" s="7">
        <v>0</v>
      </c>
      <c r="AS258" s="18">
        <v>0</v>
      </c>
      <c r="AT258" s="8">
        <v>0</v>
      </c>
      <c r="AU258" s="7">
        <v>0</v>
      </c>
      <c r="AV258" s="18">
        <v>0</v>
      </c>
      <c r="AW258" s="8">
        <v>0</v>
      </c>
      <c r="AX258" s="7">
        <v>0</v>
      </c>
      <c r="AY258" s="18">
        <v>0</v>
      </c>
      <c r="AZ258" s="8"/>
      <c r="BA258" s="7"/>
      <c r="BB258" s="18"/>
      <c r="BC258" s="8"/>
      <c r="BD258" s="7"/>
      <c r="BE258" s="18"/>
      <c r="BF258" s="8"/>
      <c r="BG258" s="7"/>
      <c r="BH258" s="18"/>
    </row>
    <row r="259" spans="3:60" ht="20.25" hidden="1" x14ac:dyDescent="0.3">
      <c r="C259" s="8" t="s">
        <v>3</v>
      </c>
      <c r="D259" s="8"/>
      <c r="E259" s="7"/>
      <c r="F259" s="18">
        <f t="shared" si="15"/>
        <v>0</v>
      </c>
      <c r="G259" s="8">
        <v>0</v>
      </c>
      <c r="H259" s="7">
        <v>0</v>
      </c>
      <c r="I259" s="18">
        <v>0</v>
      </c>
      <c r="J259" s="8">
        <v>0</v>
      </c>
      <c r="K259" s="7">
        <v>0</v>
      </c>
      <c r="L259" s="18">
        <v>0</v>
      </c>
      <c r="M259" s="8">
        <v>0</v>
      </c>
      <c r="N259" s="7">
        <v>0</v>
      </c>
      <c r="O259" s="18">
        <v>0</v>
      </c>
      <c r="P259" s="8">
        <v>0</v>
      </c>
      <c r="Q259" s="7">
        <v>0</v>
      </c>
      <c r="R259" s="18">
        <v>0</v>
      </c>
      <c r="S259" s="8">
        <v>0</v>
      </c>
      <c r="T259" s="7">
        <v>0</v>
      </c>
      <c r="U259" s="18">
        <v>0</v>
      </c>
      <c r="V259" s="8">
        <v>0</v>
      </c>
      <c r="W259" s="7">
        <v>0</v>
      </c>
      <c r="X259" s="18">
        <v>0</v>
      </c>
      <c r="Y259" s="8">
        <v>0</v>
      </c>
      <c r="Z259" s="7">
        <v>0</v>
      </c>
      <c r="AA259" s="18">
        <v>0</v>
      </c>
      <c r="AB259" s="8">
        <v>0</v>
      </c>
      <c r="AC259" s="7">
        <v>0</v>
      </c>
      <c r="AD259" s="18">
        <v>0</v>
      </c>
      <c r="AE259" s="8">
        <v>0</v>
      </c>
      <c r="AF259" s="7">
        <v>0</v>
      </c>
      <c r="AG259" s="18">
        <v>0</v>
      </c>
      <c r="AH259" s="8">
        <v>0</v>
      </c>
      <c r="AI259" s="7">
        <v>0</v>
      </c>
      <c r="AJ259" s="18">
        <v>0</v>
      </c>
      <c r="AK259" s="8">
        <v>0</v>
      </c>
      <c r="AL259" s="7">
        <v>0</v>
      </c>
      <c r="AM259" s="18">
        <v>0</v>
      </c>
      <c r="AN259" s="8">
        <v>0</v>
      </c>
      <c r="AO259" s="7">
        <v>0</v>
      </c>
      <c r="AP259" s="18">
        <v>0</v>
      </c>
      <c r="AQ259" s="8">
        <v>0</v>
      </c>
      <c r="AR259" s="7">
        <v>0</v>
      </c>
      <c r="AS259" s="18">
        <v>0</v>
      </c>
      <c r="AT259" s="8">
        <v>0</v>
      </c>
      <c r="AU259" s="7">
        <v>0</v>
      </c>
      <c r="AV259" s="18">
        <v>0</v>
      </c>
      <c r="AW259" s="8">
        <v>0</v>
      </c>
      <c r="AX259" s="7">
        <v>0</v>
      </c>
      <c r="AY259" s="18">
        <v>0</v>
      </c>
      <c r="AZ259" s="8"/>
      <c r="BA259" s="7"/>
      <c r="BB259" s="18"/>
      <c r="BC259" s="8"/>
      <c r="BD259" s="7"/>
      <c r="BE259" s="18"/>
      <c r="BF259" s="8"/>
      <c r="BG259" s="7"/>
      <c r="BH259" s="18"/>
    </row>
    <row r="260" spans="3:60" ht="20.25" hidden="1" x14ac:dyDescent="0.3">
      <c r="C260" s="8" t="s">
        <v>3</v>
      </c>
      <c r="D260" s="8"/>
      <c r="E260" s="7"/>
      <c r="F260" s="18">
        <f t="shared" si="15"/>
        <v>0</v>
      </c>
      <c r="G260" s="8">
        <v>0</v>
      </c>
      <c r="H260" s="7">
        <v>0</v>
      </c>
      <c r="I260" s="18">
        <v>0</v>
      </c>
      <c r="J260" s="8">
        <v>0</v>
      </c>
      <c r="K260" s="7">
        <v>0</v>
      </c>
      <c r="L260" s="18">
        <v>0</v>
      </c>
      <c r="M260" s="8">
        <v>0</v>
      </c>
      <c r="N260" s="7">
        <v>0</v>
      </c>
      <c r="O260" s="18">
        <v>0</v>
      </c>
      <c r="P260" s="8">
        <v>0</v>
      </c>
      <c r="Q260" s="7">
        <v>0</v>
      </c>
      <c r="R260" s="18">
        <v>0</v>
      </c>
      <c r="S260" s="8">
        <v>0</v>
      </c>
      <c r="T260" s="7">
        <v>0</v>
      </c>
      <c r="U260" s="18">
        <v>0</v>
      </c>
      <c r="V260" s="8">
        <v>0</v>
      </c>
      <c r="W260" s="7">
        <v>0</v>
      </c>
      <c r="X260" s="18">
        <v>0</v>
      </c>
      <c r="Y260" s="8">
        <v>0</v>
      </c>
      <c r="Z260" s="7">
        <v>0</v>
      </c>
      <c r="AA260" s="18">
        <v>0</v>
      </c>
      <c r="AB260" s="8">
        <v>0</v>
      </c>
      <c r="AC260" s="7">
        <v>0</v>
      </c>
      <c r="AD260" s="18">
        <v>0</v>
      </c>
      <c r="AE260" s="8">
        <v>0</v>
      </c>
      <c r="AF260" s="7">
        <v>0</v>
      </c>
      <c r="AG260" s="18">
        <v>0</v>
      </c>
      <c r="AH260" s="8">
        <v>0</v>
      </c>
      <c r="AI260" s="7">
        <v>0</v>
      </c>
      <c r="AJ260" s="18">
        <v>0</v>
      </c>
      <c r="AK260" s="8">
        <v>0</v>
      </c>
      <c r="AL260" s="7">
        <v>0</v>
      </c>
      <c r="AM260" s="18">
        <v>0</v>
      </c>
      <c r="AN260" s="8">
        <v>0</v>
      </c>
      <c r="AO260" s="7">
        <v>0</v>
      </c>
      <c r="AP260" s="18">
        <v>0</v>
      </c>
      <c r="AQ260" s="8">
        <v>0</v>
      </c>
      <c r="AR260" s="7">
        <v>0</v>
      </c>
      <c r="AS260" s="18">
        <v>0</v>
      </c>
      <c r="AT260" s="8">
        <v>0</v>
      </c>
      <c r="AU260" s="7">
        <v>0</v>
      </c>
      <c r="AV260" s="18">
        <v>0</v>
      </c>
      <c r="AW260" s="8">
        <v>0</v>
      </c>
      <c r="AX260" s="7">
        <v>0</v>
      </c>
      <c r="AY260" s="18">
        <v>0</v>
      </c>
      <c r="AZ260" s="8"/>
      <c r="BA260" s="7"/>
      <c r="BB260" s="18"/>
      <c r="BC260" s="8"/>
      <c r="BD260" s="7"/>
      <c r="BE260" s="18"/>
      <c r="BF260" s="8"/>
      <c r="BG260" s="7"/>
      <c r="BH260" s="18"/>
    </row>
    <row r="261" spans="3:60" ht="20.25" x14ac:dyDescent="0.3">
      <c r="C261" s="25" t="s">
        <v>23</v>
      </c>
      <c r="D261" s="8"/>
      <c r="E261" s="7"/>
      <c r="F261" s="18">
        <f t="shared" si="15"/>
        <v>13169.1</v>
      </c>
      <c r="G261" s="8">
        <v>0</v>
      </c>
      <c r="H261" s="7">
        <v>0</v>
      </c>
      <c r="I261" s="18">
        <v>0</v>
      </c>
      <c r="J261" s="8">
        <v>0</v>
      </c>
      <c r="K261" s="7">
        <v>0</v>
      </c>
      <c r="L261" s="18">
        <v>0</v>
      </c>
      <c r="M261" s="8">
        <v>0</v>
      </c>
      <c r="N261" s="7">
        <v>0</v>
      </c>
      <c r="O261" s="18">
        <v>0</v>
      </c>
      <c r="P261" s="8">
        <v>0</v>
      </c>
      <c r="Q261" s="7">
        <v>0</v>
      </c>
      <c r="R261" s="18">
        <v>9778.32</v>
      </c>
      <c r="S261" s="8">
        <v>0</v>
      </c>
      <c r="T261" s="7">
        <v>0</v>
      </c>
      <c r="U261" s="18">
        <v>2201.79</v>
      </c>
      <c r="V261" s="8">
        <v>0</v>
      </c>
      <c r="W261" s="7">
        <v>0</v>
      </c>
      <c r="X261" s="18">
        <v>896.4</v>
      </c>
      <c r="Y261" s="8">
        <v>0</v>
      </c>
      <c r="Z261" s="7">
        <v>0</v>
      </c>
      <c r="AA261" s="18">
        <v>0</v>
      </c>
      <c r="AB261" s="8">
        <v>0</v>
      </c>
      <c r="AC261" s="7">
        <v>0</v>
      </c>
      <c r="AD261" s="18">
        <v>0</v>
      </c>
      <c r="AE261" s="8">
        <v>0</v>
      </c>
      <c r="AF261" s="7">
        <v>0</v>
      </c>
      <c r="AG261" s="18">
        <v>0</v>
      </c>
      <c r="AH261" s="8">
        <v>0</v>
      </c>
      <c r="AI261" s="7">
        <v>0</v>
      </c>
      <c r="AJ261" s="18">
        <v>0</v>
      </c>
      <c r="AK261" s="8">
        <v>0</v>
      </c>
      <c r="AL261" s="7">
        <v>0</v>
      </c>
      <c r="AM261" s="18">
        <v>0</v>
      </c>
      <c r="AN261" s="8">
        <v>0</v>
      </c>
      <c r="AO261" s="7">
        <v>0</v>
      </c>
      <c r="AP261" s="18">
        <v>0</v>
      </c>
      <c r="AQ261" s="8">
        <v>0</v>
      </c>
      <c r="AR261" s="7">
        <v>0</v>
      </c>
      <c r="AS261" s="18">
        <v>0</v>
      </c>
      <c r="AT261" s="8">
        <v>0</v>
      </c>
      <c r="AU261" s="7">
        <v>0</v>
      </c>
      <c r="AV261" s="18">
        <v>292.58999999999997</v>
      </c>
      <c r="AW261" s="8">
        <v>0</v>
      </c>
      <c r="AX261" s="7">
        <v>0</v>
      </c>
      <c r="AY261" s="18">
        <v>0</v>
      </c>
      <c r="AZ261" s="8"/>
      <c r="BA261" s="7"/>
      <c r="BB261" s="18"/>
      <c r="BC261" s="8"/>
      <c r="BD261" s="7"/>
      <c r="BE261" s="18"/>
      <c r="BF261" s="8"/>
      <c r="BG261" s="7"/>
      <c r="BH261" s="18"/>
    </row>
    <row r="262" spans="3:60" ht="20.25" x14ac:dyDescent="0.3">
      <c r="C262" s="17" t="s">
        <v>22</v>
      </c>
      <c r="D262" s="72"/>
      <c r="E262" s="71"/>
      <c r="F262" s="68">
        <f t="shared" si="15"/>
        <v>16195.72</v>
      </c>
      <c r="G262" s="72">
        <v>0</v>
      </c>
      <c r="H262" s="71">
        <v>0</v>
      </c>
      <c r="I262" s="68">
        <v>0</v>
      </c>
      <c r="J262" s="72">
        <v>0</v>
      </c>
      <c r="K262" s="71">
        <v>0</v>
      </c>
      <c r="L262" s="68">
        <v>0</v>
      </c>
      <c r="M262" s="72">
        <v>0</v>
      </c>
      <c r="N262" s="71">
        <v>0</v>
      </c>
      <c r="O262" s="68">
        <v>0</v>
      </c>
      <c r="P262" s="72">
        <v>0</v>
      </c>
      <c r="Q262" s="71">
        <v>0</v>
      </c>
      <c r="R262" s="68">
        <v>10667.41</v>
      </c>
      <c r="S262" s="72">
        <v>0</v>
      </c>
      <c r="T262" s="71">
        <v>0</v>
      </c>
      <c r="U262" s="68">
        <v>2353.7399999999998</v>
      </c>
      <c r="V262" s="72">
        <v>0</v>
      </c>
      <c r="W262" s="71">
        <v>0</v>
      </c>
      <c r="X262" s="68">
        <v>1659.66</v>
      </c>
      <c r="Y262" s="72">
        <v>0</v>
      </c>
      <c r="Z262" s="71">
        <v>0</v>
      </c>
      <c r="AA262" s="68">
        <v>0</v>
      </c>
      <c r="AB262" s="72">
        <v>0</v>
      </c>
      <c r="AC262" s="71">
        <v>0</v>
      </c>
      <c r="AD262" s="68">
        <v>0</v>
      </c>
      <c r="AE262" s="72">
        <v>0</v>
      </c>
      <c r="AF262" s="71">
        <v>0</v>
      </c>
      <c r="AG262" s="68">
        <v>0</v>
      </c>
      <c r="AH262" s="72">
        <v>0</v>
      </c>
      <c r="AI262" s="71">
        <v>0</v>
      </c>
      <c r="AJ262" s="68">
        <v>0</v>
      </c>
      <c r="AK262" s="72">
        <v>0</v>
      </c>
      <c r="AL262" s="71">
        <v>0</v>
      </c>
      <c r="AM262" s="68">
        <v>0</v>
      </c>
      <c r="AN262" s="72">
        <v>0</v>
      </c>
      <c r="AO262" s="71">
        <v>0</v>
      </c>
      <c r="AP262" s="68">
        <v>0</v>
      </c>
      <c r="AQ262" s="72">
        <v>0</v>
      </c>
      <c r="AR262" s="71">
        <v>0</v>
      </c>
      <c r="AS262" s="68">
        <v>0</v>
      </c>
      <c r="AT262" s="72">
        <v>0</v>
      </c>
      <c r="AU262" s="71">
        <v>0</v>
      </c>
      <c r="AV262" s="68">
        <v>1514.91</v>
      </c>
      <c r="AW262" s="72">
        <v>0</v>
      </c>
      <c r="AX262" s="71">
        <v>0</v>
      </c>
      <c r="AY262" s="68">
        <v>0</v>
      </c>
      <c r="AZ262" s="72"/>
      <c r="BA262" s="71"/>
      <c r="BB262" s="68"/>
      <c r="BC262" s="72"/>
      <c r="BD262" s="71"/>
      <c r="BE262" s="68"/>
      <c r="BF262" s="72"/>
      <c r="BG262" s="71"/>
      <c r="BH262" s="68"/>
    </row>
    <row r="263" spans="3:60" ht="20.25" x14ac:dyDescent="0.3">
      <c r="C263" s="17" t="s">
        <v>21</v>
      </c>
      <c r="D263" s="8"/>
      <c r="E263" s="7"/>
      <c r="F263" s="18">
        <f t="shared" si="15"/>
        <v>7953.5199999999995</v>
      </c>
      <c r="G263" s="8">
        <v>0</v>
      </c>
      <c r="H263" s="7">
        <v>0</v>
      </c>
      <c r="I263" s="18">
        <v>0</v>
      </c>
      <c r="J263" s="8">
        <v>0</v>
      </c>
      <c r="K263" s="7">
        <v>0</v>
      </c>
      <c r="L263" s="18">
        <v>0</v>
      </c>
      <c r="M263" s="8">
        <v>0</v>
      </c>
      <c r="N263" s="7">
        <v>0</v>
      </c>
      <c r="O263" s="18">
        <v>0</v>
      </c>
      <c r="P263" s="8">
        <v>0</v>
      </c>
      <c r="Q263" s="7">
        <v>0</v>
      </c>
      <c r="R263" s="18">
        <v>6886.87</v>
      </c>
      <c r="S263" s="8">
        <v>0</v>
      </c>
      <c r="T263" s="7">
        <v>0</v>
      </c>
      <c r="U263" s="18">
        <v>0</v>
      </c>
      <c r="V263" s="8">
        <v>0</v>
      </c>
      <c r="W263" s="7">
        <v>0</v>
      </c>
      <c r="X263" s="18">
        <v>683.27</v>
      </c>
      <c r="Y263" s="8">
        <v>0</v>
      </c>
      <c r="Z263" s="7">
        <v>0</v>
      </c>
      <c r="AA263" s="18">
        <v>0</v>
      </c>
      <c r="AB263" s="8">
        <v>0</v>
      </c>
      <c r="AC263" s="7">
        <v>0</v>
      </c>
      <c r="AD263" s="18">
        <v>0</v>
      </c>
      <c r="AE263" s="8">
        <v>0</v>
      </c>
      <c r="AF263" s="7">
        <v>0</v>
      </c>
      <c r="AG263" s="18">
        <v>0</v>
      </c>
      <c r="AH263" s="8">
        <v>0</v>
      </c>
      <c r="AI263" s="7">
        <v>0</v>
      </c>
      <c r="AJ263" s="18">
        <v>0</v>
      </c>
      <c r="AK263" s="8">
        <v>0</v>
      </c>
      <c r="AL263" s="7">
        <v>0</v>
      </c>
      <c r="AM263" s="18">
        <v>0</v>
      </c>
      <c r="AN263" s="8">
        <v>0</v>
      </c>
      <c r="AO263" s="7">
        <v>0</v>
      </c>
      <c r="AP263" s="18">
        <v>0</v>
      </c>
      <c r="AQ263" s="8">
        <v>0</v>
      </c>
      <c r="AR263" s="7">
        <v>0</v>
      </c>
      <c r="AS263" s="18">
        <v>0</v>
      </c>
      <c r="AT263" s="8">
        <v>0</v>
      </c>
      <c r="AU263" s="7">
        <v>0</v>
      </c>
      <c r="AV263" s="18">
        <v>383.38</v>
      </c>
      <c r="AW263" s="8">
        <v>0</v>
      </c>
      <c r="AX263" s="7">
        <v>0</v>
      </c>
      <c r="AY263" s="18">
        <v>0</v>
      </c>
      <c r="AZ263" s="8"/>
      <c r="BA263" s="7"/>
      <c r="BB263" s="18"/>
      <c r="BC263" s="8"/>
      <c r="BD263" s="7"/>
      <c r="BE263" s="18"/>
      <c r="BF263" s="8"/>
      <c r="BG263" s="7"/>
      <c r="BH263" s="18"/>
    </row>
    <row r="264" spans="3:60" ht="20.25" x14ac:dyDescent="0.3">
      <c r="C264" s="17" t="s">
        <v>20</v>
      </c>
      <c r="D264" s="8"/>
      <c r="E264" s="7"/>
      <c r="F264" s="18">
        <f t="shared" si="15"/>
        <v>2114.89</v>
      </c>
      <c r="G264" s="8">
        <v>0</v>
      </c>
      <c r="H264" s="7">
        <v>0</v>
      </c>
      <c r="I264" s="18">
        <v>0</v>
      </c>
      <c r="J264" s="8">
        <v>0</v>
      </c>
      <c r="K264" s="7">
        <v>0</v>
      </c>
      <c r="L264" s="18">
        <v>0</v>
      </c>
      <c r="M264" s="8">
        <v>0</v>
      </c>
      <c r="N264" s="7">
        <v>0</v>
      </c>
      <c r="O264" s="18">
        <v>0</v>
      </c>
      <c r="P264" s="8">
        <v>0</v>
      </c>
      <c r="Q264" s="7">
        <v>0</v>
      </c>
      <c r="R264" s="18">
        <v>1228.0899999999999</v>
      </c>
      <c r="S264" s="8">
        <v>0</v>
      </c>
      <c r="T264" s="7">
        <v>0</v>
      </c>
      <c r="U264" s="18">
        <v>0</v>
      </c>
      <c r="V264" s="8">
        <v>0</v>
      </c>
      <c r="W264" s="7">
        <v>0</v>
      </c>
      <c r="X264" s="18">
        <v>546.53</v>
      </c>
      <c r="Y264" s="8">
        <v>0</v>
      </c>
      <c r="Z264" s="7">
        <v>0</v>
      </c>
      <c r="AA264" s="18">
        <v>0</v>
      </c>
      <c r="AB264" s="8">
        <v>0</v>
      </c>
      <c r="AC264" s="7">
        <v>0</v>
      </c>
      <c r="AD264" s="18">
        <v>0</v>
      </c>
      <c r="AE264" s="8">
        <v>0</v>
      </c>
      <c r="AF264" s="7">
        <v>0</v>
      </c>
      <c r="AG264" s="18">
        <v>0</v>
      </c>
      <c r="AH264" s="8">
        <v>0</v>
      </c>
      <c r="AI264" s="7">
        <v>0</v>
      </c>
      <c r="AJ264" s="18">
        <v>0</v>
      </c>
      <c r="AK264" s="8">
        <v>0</v>
      </c>
      <c r="AL264" s="7">
        <v>0</v>
      </c>
      <c r="AM264" s="18">
        <v>0</v>
      </c>
      <c r="AN264" s="8">
        <v>0</v>
      </c>
      <c r="AO264" s="7">
        <v>0</v>
      </c>
      <c r="AP264" s="18">
        <v>0</v>
      </c>
      <c r="AQ264" s="8">
        <v>0</v>
      </c>
      <c r="AR264" s="7">
        <v>0</v>
      </c>
      <c r="AS264" s="18">
        <v>0</v>
      </c>
      <c r="AT264" s="8">
        <v>0</v>
      </c>
      <c r="AU264" s="7">
        <v>0</v>
      </c>
      <c r="AV264" s="18">
        <v>340.27</v>
      </c>
      <c r="AW264" s="8">
        <v>0</v>
      </c>
      <c r="AX264" s="7">
        <v>0</v>
      </c>
      <c r="AY264" s="18">
        <v>0</v>
      </c>
      <c r="AZ264" s="8"/>
      <c r="BA264" s="7"/>
      <c r="BB264" s="18"/>
      <c r="BC264" s="8"/>
      <c r="BD264" s="7"/>
      <c r="BE264" s="18"/>
      <c r="BF264" s="8"/>
      <c r="BG264" s="7"/>
      <c r="BH264" s="18"/>
    </row>
    <row r="265" spans="3:60" ht="20.25" hidden="1" x14ac:dyDescent="0.3">
      <c r="C265" s="8" t="s">
        <v>3</v>
      </c>
      <c r="D265" s="67"/>
      <c r="E265" s="66"/>
      <c r="F265" s="18">
        <f t="shared" si="15"/>
        <v>0</v>
      </c>
      <c r="G265" s="8">
        <v>0</v>
      </c>
      <c r="H265" s="7">
        <v>0</v>
      </c>
      <c r="I265" s="18">
        <v>0</v>
      </c>
      <c r="J265" s="8">
        <v>0</v>
      </c>
      <c r="K265" s="7">
        <v>0</v>
      </c>
      <c r="L265" s="18">
        <v>0</v>
      </c>
      <c r="M265" s="8">
        <v>0</v>
      </c>
      <c r="N265" s="7">
        <v>0</v>
      </c>
      <c r="O265" s="18">
        <v>0</v>
      </c>
      <c r="P265" s="8">
        <v>0</v>
      </c>
      <c r="Q265" s="7">
        <v>0</v>
      </c>
      <c r="R265" s="18">
        <v>0</v>
      </c>
      <c r="S265" s="8">
        <v>0</v>
      </c>
      <c r="T265" s="7">
        <v>0</v>
      </c>
      <c r="U265" s="18">
        <v>0</v>
      </c>
      <c r="V265" s="8">
        <v>0</v>
      </c>
      <c r="W265" s="7">
        <v>0</v>
      </c>
      <c r="X265" s="18">
        <v>0</v>
      </c>
      <c r="Y265" s="8">
        <v>0</v>
      </c>
      <c r="Z265" s="7">
        <v>0</v>
      </c>
      <c r="AA265" s="18">
        <v>0</v>
      </c>
      <c r="AB265" s="8">
        <v>0</v>
      </c>
      <c r="AC265" s="7">
        <v>0</v>
      </c>
      <c r="AD265" s="18">
        <v>0</v>
      </c>
      <c r="AE265" s="8">
        <v>0</v>
      </c>
      <c r="AF265" s="7">
        <v>0</v>
      </c>
      <c r="AG265" s="18">
        <v>0</v>
      </c>
      <c r="AH265" s="8">
        <v>0</v>
      </c>
      <c r="AI265" s="7">
        <v>0</v>
      </c>
      <c r="AJ265" s="18">
        <v>0</v>
      </c>
      <c r="AK265" s="8">
        <v>0</v>
      </c>
      <c r="AL265" s="7">
        <v>0</v>
      </c>
      <c r="AM265" s="18">
        <v>0</v>
      </c>
      <c r="AN265" s="8">
        <v>0</v>
      </c>
      <c r="AO265" s="7">
        <v>0</v>
      </c>
      <c r="AP265" s="18">
        <v>0</v>
      </c>
      <c r="AQ265" s="8">
        <v>0</v>
      </c>
      <c r="AR265" s="7">
        <v>0</v>
      </c>
      <c r="AS265" s="18">
        <v>0</v>
      </c>
      <c r="AT265" s="8">
        <v>0</v>
      </c>
      <c r="AU265" s="7">
        <v>0</v>
      </c>
      <c r="AV265" s="18">
        <v>0</v>
      </c>
      <c r="AW265" s="8">
        <v>0</v>
      </c>
      <c r="AX265" s="7">
        <v>0</v>
      </c>
      <c r="AY265" s="18">
        <v>0</v>
      </c>
      <c r="AZ265" s="8"/>
      <c r="BA265" s="7"/>
      <c r="BB265" s="18"/>
      <c r="BC265" s="8"/>
      <c r="BD265" s="7"/>
      <c r="BE265" s="18"/>
      <c r="BF265" s="8"/>
      <c r="BG265" s="7"/>
      <c r="BH265" s="18"/>
    </row>
    <row r="266" spans="3:60" ht="20.25" x14ac:dyDescent="0.3">
      <c r="C266" s="11" t="s">
        <v>19</v>
      </c>
      <c r="D266" s="70"/>
      <c r="E266" s="13"/>
      <c r="F266" s="69">
        <f>SUM(F254:F264)</f>
        <v>102320.01000000001</v>
      </c>
      <c r="G266" s="70" t="s">
        <v>18</v>
      </c>
      <c r="H266" s="13">
        <v>0</v>
      </c>
      <c r="I266" s="69">
        <v>0</v>
      </c>
      <c r="J266" s="70" t="s">
        <v>18</v>
      </c>
      <c r="K266" s="13">
        <v>0</v>
      </c>
      <c r="L266" s="69">
        <v>0</v>
      </c>
      <c r="M266" s="70" t="s">
        <v>18</v>
      </c>
      <c r="N266" s="13">
        <v>0</v>
      </c>
      <c r="O266" s="69">
        <v>0</v>
      </c>
      <c r="P266" s="70" t="s">
        <v>18</v>
      </c>
      <c r="Q266" s="13">
        <v>0.66244847639702098</v>
      </c>
      <c r="R266" s="69">
        <v>60235.909999999902</v>
      </c>
      <c r="S266" s="70" t="s">
        <v>18</v>
      </c>
      <c r="T266" s="13">
        <v>0</v>
      </c>
      <c r="U266" s="69">
        <v>20973.879999999899</v>
      </c>
      <c r="V266" s="70" t="s">
        <v>18</v>
      </c>
      <c r="W266" s="13">
        <v>0</v>
      </c>
      <c r="X266" s="69">
        <v>14474.31</v>
      </c>
      <c r="Y266" s="70" t="s">
        <v>18</v>
      </c>
      <c r="Z266" s="13">
        <v>0</v>
      </c>
      <c r="AA266" s="69">
        <v>0</v>
      </c>
      <c r="AB266" s="70" t="s">
        <v>18</v>
      </c>
      <c r="AC266" s="13">
        <v>0</v>
      </c>
      <c r="AD266" s="69">
        <v>0</v>
      </c>
      <c r="AE266" s="70" t="s">
        <v>18</v>
      </c>
      <c r="AF266" s="13">
        <v>0</v>
      </c>
      <c r="AG266" s="69">
        <v>0</v>
      </c>
      <c r="AH266" s="70" t="s">
        <v>18</v>
      </c>
      <c r="AI266" s="13">
        <v>0</v>
      </c>
      <c r="AJ266" s="69">
        <v>0</v>
      </c>
      <c r="AK266" s="70" t="s">
        <v>18</v>
      </c>
      <c r="AL266" s="13">
        <v>0</v>
      </c>
      <c r="AM266" s="69">
        <v>0</v>
      </c>
      <c r="AN266" s="70" t="s">
        <v>18</v>
      </c>
      <c r="AO266" s="13">
        <v>0</v>
      </c>
      <c r="AP266" s="69">
        <v>0</v>
      </c>
      <c r="AQ266" s="70" t="s">
        <v>18</v>
      </c>
      <c r="AR266" s="13">
        <v>0</v>
      </c>
      <c r="AS266" s="69">
        <v>0</v>
      </c>
      <c r="AT266" s="70" t="s">
        <v>18</v>
      </c>
      <c r="AU266" s="13">
        <v>1.3526359024115799</v>
      </c>
      <c r="AV266" s="69">
        <v>6635.91</v>
      </c>
      <c r="AW266" s="70" t="s">
        <v>18</v>
      </c>
      <c r="AX266" s="13">
        <v>0</v>
      </c>
      <c r="AY266" s="69">
        <v>0</v>
      </c>
      <c r="AZ266" s="70"/>
      <c r="BA266" s="13"/>
      <c r="BB266" s="69"/>
      <c r="BC266" s="70"/>
      <c r="BD266" s="13"/>
      <c r="BE266" s="69"/>
      <c r="BF266" s="70"/>
      <c r="BG266" s="13"/>
      <c r="BH266" s="69"/>
    </row>
    <row r="267" spans="3:60" ht="20.25" x14ac:dyDescent="0.3">
      <c r="C267" s="21" t="s">
        <v>17</v>
      </c>
      <c r="D267" s="8"/>
      <c r="E267" s="7"/>
      <c r="F267" s="18">
        <f t="shared" ref="F267:F284" si="16">+SUM(I267,L267,O267,R267,U267,X267,AA267,AD267,AG267,AJ267,AM267,AP267,AS267,AV267,AY267,BB267,BE267,BH267)</f>
        <v>440.44</v>
      </c>
      <c r="G267" s="8">
        <v>0</v>
      </c>
      <c r="H267" s="7">
        <v>0</v>
      </c>
      <c r="I267" s="18">
        <v>0</v>
      </c>
      <c r="J267" s="8">
        <v>0</v>
      </c>
      <c r="K267" s="7">
        <v>0</v>
      </c>
      <c r="L267" s="18">
        <v>0</v>
      </c>
      <c r="M267" s="8">
        <v>0</v>
      </c>
      <c r="N267" s="7">
        <v>0</v>
      </c>
      <c r="O267" s="18">
        <v>0</v>
      </c>
      <c r="P267" s="8">
        <v>0</v>
      </c>
      <c r="Q267" s="7">
        <v>0</v>
      </c>
      <c r="R267" s="18">
        <v>415.94</v>
      </c>
      <c r="S267" s="8">
        <v>0</v>
      </c>
      <c r="T267" s="7">
        <v>0</v>
      </c>
      <c r="U267" s="18">
        <v>0</v>
      </c>
      <c r="V267" s="8">
        <v>0</v>
      </c>
      <c r="W267" s="7">
        <v>0</v>
      </c>
      <c r="X267" s="18">
        <v>0</v>
      </c>
      <c r="Y267" s="8">
        <v>0</v>
      </c>
      <c r="Z267" s="7">
        <v>0</v>
      </c>
      <c r="AA267" s="18">
        <v>0</v>
      </c>
      <c r="AB267" s="8">
        <v>0</v>
      </c>
      <c r="AC267" s="7">
        <v>0</v>
      </c>
      <c r="AD267" s="18">
        <v>0</v>
      </c>
      <c r="AE267" s="8">
        <v>0</v>
      </c>
      <c r="AF267" s="7">
        <v>0</v>
      </c>
      <c r="AG267" s="18">
        <v>0</v>
      </c>
      <c r="AH267" s="8">
        <v>0</v>
      </c>
      <c r="AI267" s="7">
        <v>0</v>
      </c>
      <c r="AJ267" s="18">
        <v>0</v>
      </c>
      <c r="AK267" s="8">
        <v>0</v>
      </c>
      <c r="AL267" s="7">
        <v>0</v>
      </c>
      <c r="AM267" s="18">
        <v>0</v>
      </c>
      <c r="AN267" s="8">
        <v>0</v>
      </c>
      <c r="AO267" s="7">
        <v>0</v>
      </c>
      <c r="AP267" s="18">
        <v>0</v>
      </c>
      <c r="AQ267" s="8">
        <v>0</v>
      </c>
      <c r="AR267" s="7">
        <v>0</v>
      </c>
      <c r="AS267" s="18">
        <v>0</v>
      </c>
      <c r="AT267" s="8">
        <v>0</v>
      </c>
      <c r="AU267" s="7">
        <v>0</v>
      </c>
      <c r="AV267" s="18">
        <v>24.5</v>
      </c>
      <c r="AW267" s="8">
        <v>0</v>
      </c>
      <c r="AX267" s="7">
        <v>0</v>
      </c>
      <c r="AY267" s="18">
        <v>0</v>
      </c>
      <c r="AZ267" s="8"/>
      <c r="BA267" s="7"/>
      <c r="BB267" s="18"/>
      <c r="BC267" s="8"/>
      <c r="BD267" s="7"/>
      <c r="BE267" s="18"/>
      <c r="BF267" s="8"/>
      <c r="BG267" s="7"/>
      <c r="BH267" s="18"/>
    </row>
    <row r="268" spans="3:60" ht="20.25" x14ac:dyDescent="0.3">
      <c r="C268" s="17" t="s">
        <v>16</v>
      </c>
      <c r="D268" s="8"/>
      <c r="E268" s="7"/>
      <c r="F268" s="18">
        <f t="shared" si="16"/>
        <v>790.69999999999993</v>
      </c>
      <c r="G268" s="8">
        <v>0</v>
      </c>
      <c r="H268" s="7">
        <v>0</v>
      </c>
      <c r="I268" s="18">
        <v>0</v>
      </c>
      <c r="J268" s="8">
        <v>0</v>
      </c>
      <c r="K268" s="7">
        <v>0</v>
      </c>
      <c r="L268" s="18">
        <v>0</v>
      </c>
      <c r="M268" s="8">
        <v>0</v>
      </c>
      <c r="N268" s="7">
        <v>0</v>
      </c>
      <c r="O268" s="18">
        <v>0</v>
      </c>
      <c r="P268" s="8">
        <v>0</v>
      </c>
      <c r="Q268" s="7">
        <v>0</v>
      </c>
      <c r="R268" s="18">
        <v>38.39</v>
      </c>
      <c r="S268" s="8">
        <v>0</v>
      </c>
      <c r="T268" s="7">
        <v>0</v>
      </c>
      <c r="U268" s="18">
        <v>0</v>
      </c>
      <c r="V268" s="8">
        <v>0</v>
      </c>
      <c r="W268" s="7">
        <v>0</v>
      </c>
      <c r="X268" s="18">
        <v>752.31</v>
      </c>
      <c r="Y268" s="8">
        <v>0</v>
      </c>
      <c r="Z268" s="7">
        <v>0</v>
      </c>
      <c r="AA268" s="18">
        <v>0</v>
      </c>
      <c r="AB268" s="8">
        <v>0</v>
      </c>
      <c r="AC268" s="7">
        <v>0</v>
      </c>
      <c r="AD268" s="18">
        <v>0</v>
      </c>
      <c r="AE268" s="8">
        <v>0</v>
      </c>
      <c r="AF268" s="7">
        <v>0</v>
      </c>
      <c r="AG268" s="18">
        <v>0</v>
      </c>
      <c r="AH268" s="8">
        <v>0</v>
      </c>
      <c r="AI268" s="7">
        <v>0</v>
      </c>
      <c r="AJ268" s="18">
        <v>0</v>
      </c>
      <c r="AK268" s="8">
        <v>0</v>
      </c>
      <c r="AL268" s="7">
        <v>0</v>
      </c>
      <c r="AM268" s="18">
        <v>0</v>
      </c>
      <c r="AN268" s="8">
        <v>0</v>
      </c>
      <c r="AO268" s="7">
        <v>0</v>
      </c>
      <c r="AP268" s="18">
        <v>0</v>
      </c>
      <c r="AQ268" s="8">
        <v>0</v>
      </c>
      <c r="AR268" s="7">
        <v>0</v>
      </c>
      <c r="AS268" s="18">
        <v>0</v>
      </c>
      <c r="AT268" s="8">
        <v>0</v>
      </c>
      <c r="AU268" s="7">
        <v>0</v>
      </c>
      <c r="AV268" s="18">
        <v>0</v>
      </c>
      <c r="AW268" s="8">
        <v>0</v>
      </c>
      <c r="AX268" s="7">
        <v>0</v>
      </c>
      <c r="AY268" s="18">
        <v>0</v>
      </c>
      <c r="AZ268" s="8"/>
      <c r="BA268" s="7"/>
      <c r="BB268" s="18"/>
      <c r="BC268" s="8"/>
      <c r="BD268" s="7"/>
      <c r="BE268" s="18"/>
      <c r="BF268" s="8"/>
      <c r="BG268" s="7"/>
      <c r="BH268" s="18"/>
    </row>
    <row r="269" spans="3:60" ht="20.25" x14ac:dyDescent="0.3">
      <c r="C269" s="25" t="s">
        <v>15</v>
      </c>
      <c r="D269" s="67"/>
      <c r="E269" s="66"/>
      <c r="F269" s="18">
        <f t="shared" si="16"/>
        <v>13839.87</v>
      </c>
      <c r="G269" s="67">
        <v>0</v>
      </c>
      <c r="H269" s="66">
        <v>0</v>
      </c>
      <c r="I269" s="18">
        <v>0</v>
      </c>
      <c r="J269" s="67">
        <v>0</v>
      </c>
      <c r="K269" s="66">
        <v>0</v>
      </c>
      <c r="L269" s="18">
        <v>0</v>
      </c>
      <c r="M269" s="67">
        <v>0</v>
      </c>
      <c r="N269" s="66">
        <v>0</v>
      </c>
      <c r="O269" s="18">
        <v>0</v>
      </c>
      <c r="P269" s="67">
        <v>0</v>
      </c>
      <c r="Q269" s="66">
        <v>0</v>
      </c>
      <c r="R269" s="18">
        <v>13459.73</v>
      </c>
      <c r="S269" s="67">
        <v>0</v>
      </c>
      <c r="T269" s="66">
        <v>0</v>
      </c>
      <c r="U269" s="18">
        <v>0</v>
      </c>
      <c r="V269" s="67">
        <v>0</v>
      </c>
      <c r="W269" s="66">
        <v>0</v>
      </c>
      <c r="X269" s="18">
        <v>222.37</v>
      </c>
      <c r="Y269" s="67">
        <v>0</v>
      </c>
      <c r="Z269" s="66">
        <v>0</v>
      </c>
      <c r="AA269" s="18">
        <v>0</v>
      </c>
      <c r="AB269" s="67">
        <v>0</v>
      </c>
      <c r="AC269" s="66">
        <v>0</v>
      </c>
      <c r="AD269" s="18">
        <v>0</v>
      </c>
      <c r="AE269" s="67">
        <v>0</v>
      </c>
      <c r="AF269" s="66">
        <v>0</v>
      </c>
      <c r="AG269" s="18">
        <v>0</v>
      </c>
      <c r="AH269" s="67">
        <v>0</v>
      </c>
      <c r="AI269" s="66">
        <v>0</v>
      </c>
      <c r="AJ269" s="18">
        <v>0</v>
      </c>
      <c r="AK269" s="67">
        <v>0</v>
      </c>
      <c r="AL269" s="66">
        <v>0</v>
      </c>
      <c r="AM269" s="18">
        <v>0</v>
      </c>
      <c r="AN269" s="67">
        <v>0</v>
      </c>
      <c r="AO269" s="66">
        <v>0</v>
      </c>
      <c r="AP269" s="18">
        <v>0</v>
      </c>
      <c r="AQ269" s="67">
        <v>0</v>
      </c>
      <c r="AR269" s="66">
        <v>0</v>
      </c>
      <c r="AS269" s="18">
        <v>0</v>
      </c>
      <c r="AT269" s="67">
        <v>0</v>
      </c>
      <c r="AU269" s="66">
        <v>0</v>
      </c>
      <c r="AV269" s="18">
        <v>157.77000000000001</v>
      </c>
      <c r="AW269" s="67">
        <v>0</v>
      </c>
      <c r="AX269" s="66">
        <v>0</v>
      </c>
      <c r="AY269" s="18">
        <v>0</v>
      </c>
      <c r="AZ269" s="67"/>
      <c r="BA269" s="66"/>
      <c r="BB269" s="18"/>
      <c r="BC269" s="67"/>
      <c r="BD269" s="66"/>
      <c r="BE269" s="18"/>
      <c r="BF269" s="67"/>
      <c r="BG269" s="66"/>
      <c r="BH269" s="18"/>
    </row>
    <row r="270" spans="3:60" ht="20.25" x14ac:dyDescent="0.3">
      <c r="C270" s="17" t="s">
        <v>14</v>
      </c>
      <c r="D270" s="8"/>
      <c r="E270" s="7"/>
      <c r="F270" s="68">
        <f t="shared" si="16"/>
        <v>7042.07</v>
      </c>
      <c r="G270" s="8">
        <v>0</v>
      </c>
      <c r="H270" s="7">
        <v>0</v>
      </c>
      <c r="I270" s="68">
        <v>0</v>
      </c>
      <c r="J270" s="8">
        <v>0</v>
      </c>
      <c r="K270" s="7">
        <v>0</v>
      </c>
      <c r="L270" s="68">
        <v>0</v>
      </c>
      <c r="M270" s="8">
        <v>0</v>
      </c>
      <c r="N270" s="7">
        <v>0</v>
      </c>
      <c r="O270" s="68">
        <v>0</v>
      </c>
      <c r="P270" s="8">
        <v>0</v>
      </c>
      <c r="Q270" s="7">
        <v>0</v>
      </c>
      <c r="R270" s="68">
        <v>3725.3</v>
      </c>
      <c r="S270" s="8">
        <v>0</v>
      </c>
      <c r="T270" s="7">
        <v>0</v>
      </c>
      <c r="U270" s="68">
        <v>0</v>
      </c>
      <c r="V270" s="8">
        <v>0</v>
      </c>
      <c r="W270" s="7">
        <v>0</v>
      </c>
      <c r="X270" s="68">
        <v>2156.46</v>
      </c>
      <c r="Y270" s="8">
        <v>0</v>
      </c>
      <c r="Z270" s="7">
        <v>0</v>
      </c>
      <c r="AA270" s="68">
        <v>0</v>
      </c>
      <c r="AB270" s="8">
        <v>0</v>
      </c>
      <c r="AC270" s="7">
        <v>0</v>
      </c>
      <c r="AD270" s="68">
        <v>0</v>
      </c>
      <c r="AE270" s="8">
        <v>0</v>
      </c>
      <c r="AF270" s="7">
        <v>0</v>
      </c>
      <c r="AG270" s="68">
        <v>0</v>
      </c>
      <c r="AH270" s="8">
        <v>0</v>
      </c>
      <c r="AI270" s="7">
        <v>0</v>
      </c>
      <c r="AJ270" s="68">
        <v>0</v>
      </c>
      <c r="AK270" s="8">
        <v>0</v>
      </c>
      <c r="AL270" s="7">
        <v>0</v>
      </c>
      <c r="AM270" s="68">
        <v>0</v>
      </c>
      <c r="AN270" s="8">
        <v>0</v>
      </c>
      <c r="AO270" s="7">
        <v>0</v>
      </c>
      <c r="AP270" s="68">
        <v>0</v>
      </c>
      <c r="AQ270" s="8">
        <v>0</v>
      </c>
      <c r="AR270" s="7">
        <v>0</v>
      </c>
      <c r="AS270" s="68">
        <v>0</v>
      </c>
      <c r="AT270" s="8">
        <v>0</v>
      </c>
      <c r="AU270" s="7">
        <v>0</v>
      </c>
      <c r="AV270" s="68">
        <v>1160.31</v>
      </c>
      <c r="AW270" s="8">
        <v>0</v>
      </c>
      <c r="AX270" s="7">
        <v>0</v>
      </c>
      <c r="AY270" s="68">
        <v>0</v>
      </c>
      <c r="AZ270" s="8"/>
      <c r="BA270" s="7"/>
      <c r="BB270" s="68"/>
      <c r="BC270" s="8"/>
      <c r="BD270" s="7"/>
      <c r="BE270" s="68"/>
      <c r="BF270" s="8"/>
      <c r="BG270" s="7"/>
      <c r="BH270" s="68"/>
    </row>
    <row r="271" spans="3:60" ht="20.25" x14ac:dyDescent="0.3">
      <c r="C271" s="17" t="s">
        <v>13</v>
      </c>
      <c r="D271" s="8"/>
      <c r="E271" s="7"/>
      <c r="F271" s="18">
        <f t="shared" si="16"/>
        <v>1054.28</v>
      </c>
      <c r="G271" s="8">
        <v>0</v>
      </c>
      <c r="H271" s="7">
        <v>0</v>
      </c>
      <c r="I271" s="18">
        <v>0</v>
      </c>
      <c r="J271" s="8">
        <v>0</v>
      </c>
      <c r="K271" s="7">
        <v>0</v>
      </c>
      <c r="L271" s="18">
        <v>0</v>
      </c>
      <c r="M271" s="8">
        <v>0</v>
      </c>
      <c r="N271" s="7">
        <v>0</v>
      </c>
      <c r="O271" s="18">
        <v>0</v>
      </c>
      <c r="P271" s="8">
        <v>0</v>
      </c>
      <c r="Q271" s="7">
        <v>0</v>
      </c>
      <c r="R271" s="18">
        <v>245.46</v>
      </c>
      <c r="S271" s="8">
        <v>0</v>
      </c>
      <c r="T271" s="7">
        <v>0</v>
      </c>
      <c r="U271" s="18">
        <v>70.16</v>
      </c>
      <c r="V271" s="8">
        <v>0</v>
      </c>
      <c r="W271" s="7">
        <v>0</v>
      </c>
      <c r="X271" s="18">
        <v>534.69000000000005</v>
      </c>
      <c r="Y271" s="8">
        <v>0</v>
      </c>
      <c r="Z271" s="7">
        <v>0</v>
      </c>
      <c r="AA271" s="18">
        <v>0</v>
      </c>
      <c r="AB271" s="8">
        <v>0</v>
      </c>
      <c r="AC271" s="7">
        <v>0</v>
      </c>
      <c r="AD271" s="18">
        <v>0</v>
      </c>
      <c r="AE271" s="8">
        <v>0</v>
      </c>
      <c r="AF271" s="7">
        <v>0</v>
      </c>
      <c r="AG271" s="18">
        <v>0</v>
      </c>
      <c r="AH271" s="8">
        <v>0</v>
      </c>
      <c r="AI271" s="7">
        <v>0</v>
      </c>
      <c r="AJ271" s="18">
        <v>0</v>
      </c>
      <c r="AK271" s="8">
        <v>0</v>
      </c>
      <c r="AL271" s="7">
        <v>0</v>
      </c>
      <c r="AM271" s="18">
        <v>0</v>
      </c>
      <c r="AN271" s="8">
        <v>0</v>
      </c>
      <c r="AO271" s="7">
        <v>0</v>
      </c>
      <c r="AP271" s="18">
        <v>0</v>
      </c>
      <c r="AQ271" s="8">
        <v>0</v>
      </c>
      <c r="AR271" s="7">
        <v>0</v>
      </c>
      <c r="AS271" s="18">
        <v>0</v>
      </c>
      <c r="AT271" s="8">
        <v>0</v>
      </c>
      <c r="AU271" s="7">
        <v>0</v>
      </c>
      <c r="AV271" s="18">
        <v>203.97</v>
      </c>
      <c r="AW271" s="8">
        <v>0</v>
      </c>
      <c r="AX271" s="7">
        <v>0</v>
      </c>
      <c r="AY271" s="18">
        <v>0</v>
      </c>
      <c r="AZ271" s="8"/>
      <c r="BA271" s="7"/>
      <c r="BB271" s="18"/>
      <c r="BC271" s="8"/>
      <c r="BD271" s="7"/>
      <c r="BE271" s="18"/>
      <c r="BF271" s="8"/>
      <c r="BG271" s="7"/>
      <c r="BH271" s="18"/>
    </row>
    <row r="272" spans="3:60" ht="20.25" x14ac:dyDescent="0.3">
      <c r="C272" s="17" t="s">
        <v>12</v>
      </c>
      <c r="D272" s="67"/>
      <c r="E272" s="66"/>
      <c r="F272" s="18">
        <f t="shared" si="16"/>
        <v>4541.9000000000005</v>
      </c>
      <c r="G272" s="67">
        <v>0</v>
      </c>
      <c r="H272" s="66">
        <v>0</v>
      </c>
      <c r="I272" s="18">
        <v>0</v>
      </c>
      <c r="J272" s="67">
        <v>0</v>
      </c>
      <c r="K272" s="66">
        <v>0</v>
      </c>
      <c r="L272" s="18">
        <v>0</v>
      </c>
      <c r="M272" s="67">
        <v>0</v>
      </c>
      <c r="N272" s="66">
        <v>0</v>
      </c>
      <c r="O272" s="18">
        <v>0</v>
      </c>
      <c r="P272" s="67">
        <v>0</v>
      </c>
      <c r="Q272" s="66">
        <v>0</v>
      </c>
      <c r="R272" s="18">
        <v>1895.89</v>
      </c>
      <c r="S272" s="67">
        <v>0</v>
      </c>
      <c r="T272" s="66">
        <v>0</v>
      </c>
      <c r="U272" s="18">
        <v>0</v>
      </c>
      <c r="V272" s="67">
        <v>0</v>
      </c>
      <c r="W272" s="66">
        <v>0</v>
      </c>
      <c r="X272" s="18">
        <v>1804.46</v>
      </c>
      <c r="Y272" s="67">
        <v>0</v>
      </c>
      <c r="Z272" s="66">
        <v>0</v>
      </c>
      <c r="AA272" s="18">
        <v>0</v>
      </c>
      <c r="AB272" s="67">
        <v>0</v>
      </c>
      <c r="AC272" s="66">
        <v>0</v>
      </c>
      <c r="AD272" s="18">
        <v>0</v>
      </c>
      <c r="AE272" s="67">
        <v>0</v>
      </c>
      <c r="AF272" s="66">
        <v>0</v>
      </c>
      <c r="AG272" s="18">
        <v>0</v>
      </c>
      <c r="AH272" s="67">
        <v>0</v>
      </c>
      <c r="AI272" s="66">
        <v>0</v>
      </c>
      <c r="AJ272" s="18">
        <v>0</v>
      </c>
      <c r="AK272" s="67">
        <v>0</v>
      </c>
      <c r="AL272" s="66">
        <v>0</v>
      </c>
      <c r="AM272" s="18">
        <v>0</v>
      </c>
      <c r="AN272" s="67">
        <v>0</v>
      </c>
      <c r="AO272" s="66">
        <v>0</v>
      </c>
      <c r="AP272" s="18">
        <v>0</v>
      </c>
      <c r="AQ272" s="67">
        <v>0</v>
      </c>
      <c r="AR272" s="66">
        <v>0</v>
      </c>
      <c r="AS272" s="18">
        <v>0</v>
      </c>
      <c r="AT272" s="67">
        <v>0</v>
      </c>
      <c r="AU272" s="66">
        <v>0</v>
      </c>
      <c r="AV272" s="18">
        <v>841.55</v>
      </c>
      <c r="AW272" s="67">
        <v>0</v>
      </c>
      <c r="AX272" s="66">
        <v>0</v>
      </c>
      <c r="AY272" s="18">
        <v>0</v>
      </c>
      <c r="AZ272" s="67"/>
      <c r="BA272" s="66"/>
      <c r="BB272" s="18"/>
      <c r="BC272" s="67"/>
      <c r="BD272" s="66"/>
      <c r="BE272" s="18"/>
      <c r="BF272" s="67"/>
      <c r="BG272" s="66"/>
      <c r="BH272" s="18"/>
    </row>
    <row r="273" spans="3:60" ht="20.25" x14ac:dyDescent="0.3">
      <c r="C273" s="21" t="s">
        <v>34</v>
      </c>
      <c r="D273" s="8"/>
      <c r="E273" s="7"/>
      <c r="F273" s="68">
        <f t="shared" si="16"/>
        <v>0</v>
      </c>
      <c r="G273" s="8">
        <v>0</v>
      </c>
      <c r="H273" s="7">
        <v>0</v>
      </c>
      <c r="I273" s="68">
        <v>0</v>
      </c>
      <c r="J273" s="8">
        <v>0</v>
      </c>
      <c r="K273" s="7">
        <v>0</v>
      </c>
      <c r="L273" s="68">
        <v>0</v>
      </c>
      <c r="M273" s="8">
        <v>0</v>
      </c>
      <c r="N273" s="7">
        <v>0</v>
      </c>
      <c r="O273" s="68">
        <v>0</v>
      </c>
      <c r="P273" s="8">
        <v>0</v>
      </c>
      <c r="Q273" s="7">
        <v>0</v>
      </c>
      <c r="R273" s="68">
        <v>0</v>
      </c>
      <c r="S273" s="8">
        <v>0</v>
      </c>
      <c r="T273" s="7">
        <v>0</v>
      </c>
      <c r="U273" s="68">
        <v>0</v>
      </c>
      <c r="V273" s="8">
        <v>0</v>
      </c>
      <c r="W273" s="7">
        <v>0</v>
      </c>
      <c r="X273" s="68">
        <v>0</v>
      </c>
      <c r="Y273" s="8">
        <v>0</v>
      </c>
      <c r="Z273" s="7">
        <v>0</v>
      </c>
      <c r="AA273" s="68">
        <v>0</v>
      </c>
      <c r="AB273" s="8">
        <v>0</v>
      </c>
      <c r="AC273" s="7">
        <v>0</v>
      </c>
      <c r="AD273" s="68">
        <v>0</v>
      </c>
      <c r="AE273" s="8">
        <v>0</v>
      </c>
      <c r="AF273" s="7">
        <v>0</v>
      </c>
      <c r="AG273" s="68">
        <v>0</v>
      </c>
      <c r="AH273" s="8">
        <v>0</v>
      </c>
      <c r="AI273" s="7">
        <v>0</v>
      </c>
      <c r="AJ273" s="68">
        <v>0</v>
      </c>
      <c r="AK273" s="8">
        <v>0</v>
      </c>
      <c r="AL273" s="7">
        <v>0</v>
      </c>
      <c r="AM273" s="68">
        <v>0</v>
      </c>
      <c r="AN273" s="8">
        <v>0</v>
      </c>
      <c r="AO273" s="7">
        <v>0</v>
      </c>
      <c r="AP273" s="68">
        <v>0</v>
      </c>
      <c r="AQ273" s="8">
        <v>0</v>
      </c>
      <c r="AR273" s="7">
        <v>0</v>
      </c>
      <c r="AS273" s="68">
        <v>0</v>
      </c>
      <c r="AT273" s="8">
        <v>0</v>
      </c>
      <c r="AU273" s="7">
        <v>0</v>
      </c>
      <c r="AV273" s="68">
        <v>0</v>
      </c>
      <c r="AW273" s="8">
        <v>0</v>
      </c>
      <c r="AX273" s="7">
        <v>0</v>
      </c>
      <c r="AY273" s="68">
        <v>0</v>
      </c>
      <c r="AZ273" s="8"/>
      <c r="BA273" s="7"/>
      <c r="BB273" s="68"/>
      <c r="BC273" s="8"/>
      <c r="BD273" s="7"/>
      <c r="BE273" s="68"/>
      <c r="BF273" s="8"/>
      <c r="BG273" s="7"/>
      <c r="BH273" s="68"/>
    </row>
    <row r="274" spans="3:60" ht="20.25" x14ac:dyDescent="0.3">
      <c r="C274" s="17" t="s">
        <v>11</v>
      </c>
      <c r="D274" s="8"/>
      <c r="E274" s="7"/>
      <c r="F274" s="18">
        <f t="shared" si="16"/>
        <v>7949.91</v>
      </c>
      <c r="G274" s="8">
        <v>0</v>
      </c>
      <c r="H274" s="7">
        <v>0</v>
      </c>
      <c r="I274" s="18">
        <v>0</v>
      </c>
      <c r="J274" s="8">
        <v>0</v>
      </c>
      <c r="K274" s="7">
        <v>0</v>
      </c>
      <c r="L274" s="18">
        <v>0</v>
      </c>
      <c r="M274" s="8">
        <v>0</v>
      </c>
      <c r="N274" s="7">
        <v>0</v>
      </c>
      <c r="O274" s="18">
        <v>0</v>
      </c>
      <c r="P274" s="8">
        <v>0</v>
      </c>
      <c r="Q274" s="7">
        <v>0</v>
      </c>
      <c r="R274" s="18">
        <v>7569.91</v>
      </c>
      <c r="S274" s="8">
        <v>0</v>
      </c>
      <c r="T274" s="7">
        <v>0</v>
      </c>
      <c r="U274" s="18">
        <v>0</v>
      </c>
      <c r="V274" s="8">
        <v>0</v>
      </c>
      <c r="W274" s="7">
        <v>0</v>
      </c>
      <c r="X274" s="18">
        <v>0</v>
      </c>
      <c r="Y274" s="8">
        <v>0</v>
      </c>
      <c r="Z274" s="7">
        <v>0</v>
      </c>
      <c r="AA274" s="18">
        <v>380</v>
      </c>
      <c r="AB274" s="8">
        <v>0</v>
      </c>
      <c r="AC274" s="7">
        <v>0</v>
      </c>
      <c r="AD274" s="18">
        <v>0</v>
      </c>
      <c r="AE274" s="8">
        <v>0</v>
      </c>
      <c r="AF274" s="7">
        <v>0</v>
      </c>
      <c r="AG274" s="18">
        <v>0</v>
      </c>
      <c r="AH274" s="8">
        <v>0</v>
      </c>
      <c r="AI274" s="7">
        <v>0</v>
      </c>
      <c r="AJ274" s="18">
        <v>0</v>
      </c>
      <c r="AK274" s="8">
        <v>0</v>
      </c>
      <c r="AL274" s="7">
        <v>0</v>
      </c>
      <c r="AM274" s="18">
        <v>0</v>
      </c>
      <c r="AN274" s="8">
        <v>0</v>
      </c>
      <c r="AO274" s="7">
        <v>0</v>
      </c>
      <c r="AP274" s="18">
        <v>0</v>
      </c>
      <c r="AQ274" s="8">
        <v>0</v>
      </c>
      <c r="AR274" s="7">
        <v>0</v>
      </c>
      <c r="AS274" s="18">
        <v>0</v>
      </c>
      <c r="AT274" s="8">
        <v>0</v>
      </c>
      <c r="AU274" s="7">
        <v>0</v>
      </c>
      <c r="AV274" s="18">
        <v>0</v>
      </c>
      <c r="AW274" s="8">
        <v>0</v>
      </c>
      <c r="AX274" s="7">
        <v>0</v>
      </c>
      <c r="AY274" s="18">
        <v>0</v>
      </c>
      <c r="AZ274" s="8"/>
      <c r="BA274" s="7"/>
      <c r="BB274" s="18"/>
      <c r="BC274" s="8"/>
      <c r="BD274" s="7"/>
      <c r="BE274" s="18"/>
      <c r="BF274" s="8"/>
      <c r="BG274" s="7"/>
      <c r="BH274" s="18"/>
    </row>
    <row r="275" spans="3:60" ht="20.25" x14ac:dyDescent="0.3">
      <c r="C275" s="17" t="s">
        <v>10</v>
      </c>
      <c r="D275" s="8"/>
      <c r="E275" s="7"/>
      <c r="F275" s="18">
        <f t="shared" si="16"/>
        <v>1111.3599999999999</v>
      </c>
      <c r="G275" s="8">
        <v>0</v>
      </c>
      <c r="H275" s="7">
        <v>0</v>
      </c>
      <c r="I275" s="18">
        <v>0</v>
      </c>
      <c r="J275" s="8">
        <v>0</v>
      </c>
      <c r="K275" s="7">
        <v>0</v>
      </c>
      <c r="L275" s="18">
        <v>0</v>
      </c>
      <c r="M275" s="8">
        <v>0</v>
      </c>
      <c r="N275" s="7">
        <v>0</v>
      </c>
      <c r="O275" s="18">
        <v>0</v>
      </c>
      <c r="P275" s="8">
        <v>0</v>
      </c>
      <c r="Q275" s="7">
        <v>0</v>
      </c>
      <c r="R275" s="18">
        <v>1111.3599999999999</v>
      </c>
      <c r="S275" s="8">
        <v>0</v>
      </c>
      <c r="T275" s="7">
        <v>0</v>
      </c>
      <c r="U275" s="18">
        <v>0</v>
      </c>
      <c r="V275" s="8">
        <v>0</v>
      </c>
      <c r="W275" s="7">
        <v>0</v>
      </c>
      <c r="X275" s="18">
        <v>0</v>
      </c>
      <c r="Y275" s="8">
        <v>0</v>
      </c>
      <c r="Z275" s="7">
        <v>0</v>
      </c>
      <c r="AA275" s="18">
        <v>0</v>
      </c>
      <c r="AB275" s="8">
        <v>0</v>
      </c>
      <c r="AC275" s="7">
        <v>0</v>
      </c>
      <c r="AD275" s="18">
        <v>0</v>
      </c>
      <c r="AE275" s="8">
        <v>0</v>
      </c>
      <c r="AF275" s="7">
        <v>0</v>
      </c>
      <c r="AG275" s="18">
        <v>0</v>
      </c>
      <c r="AH275" s="8">
        <v>0</v>
      </c>
      <c r="AI275" s="7">
        <v>0</v>
      </c>
      <c r="AJ275" s="18">
        <v>0</v>
      </c>
      <c r="AK275" s="8">
        <v>0</v>
      </c>
      <c r="AL275" s="7">
        <v>0</v>
      </c>
      <c r="AM275" s="18">
        <v>0</v>
      </c>
      <c r="AN275" s="8">
        <v>0</v>
      </c>
      <c r="AO275" s="7">
        <v>0</v>
      </c>
      <c r="AP275" s="18">
        <v>0</v>
      </c>
      <c r="AQ275" s="8">
        <v>0</v>
      </c>
      <c r="AR275" s="7">
        <v>0</v>
      </c>
      <c r="AS275" s="18">
        <v>0</v>
      </c>
      <c r="AT275" s="8">
        <v>0</v>
      </c>
      <c r="AU275" s="7">
        <v>0</v>
      </c>
      <c r="AV275" s="18">
        <v>0</v>
      </c>
      <c r="AW275" s="8">
        <v>0</v>
      </c>
      <c r="AX275" s="7">
        <v>0</v>
      </c>
      <c r="AY275" s="18">
        <v>0</v>
      </c>
      <c r="AZ275" s="8"/>
      <c r="BA275" s="7"/>
      <c r="BB275" s="18"/>
      <c r="BC275" s="8"/>
      <c r="BD275" s="7"/>
      <c r="BE275" s="18"/>
      <c r="BF275" s="8"/>
      <c r="BG275" s="7"/>
      <c r="BH275" s="18"/>
    </row>
    <row r="276" spans="3:60" ht="20.25" x14ac:dyDescent="0.3">
      <c r="C276" s="17" t="s">
        <v>9</v>
      </c>
      <c r="D276" s="8"/>
      <c r="E276" s="7"/>
      <c r="F276" s="18">
        <f t="shared" si="16"/>
        <v>1015.3500000000001</v>
      </c>
      <c r="G276" s="8">
        <v>0</v>
      </c>
      <c r="H276" s="7">
        <v>0</v>
      </c>
      <c r="I276" s="18">
        <v>0</v>
      </c>
      <c r="J276" s="8">
        <v>0</v>
      </c>
      <c r="K276" s="7">
        <v>0</v>
      </c>
      <c r="L276" s="18">
        <v>0</v>
      </c>
      <c r="M276" s="8">
        <v>0</v>
      </c>
      <c r="N276" s="7">
        <v>0</v>
      </c>
      <c r="O276" s="18">
        <v>0</v>
      </c>
      <c r="P276" s="8">
        <v>0</v>
      </c>
      <c r="Q276" s="7">
        <v>0</v>
      </c>
      <c r="R276" s="18">
        <v>482.86</v>
      </c>
      <c r="S276" s="8">
        <v>0</v>
      </c>
      <c r="T276" s="7">
        <v>0</v>
      </c>
      <c r="U276" s="18">
        <v>0</v>
      </c>
      <c r="V276" s="8">
        <v>0</v>
      </c>
      <c r="W276" s="7">
        <v>0</v>
      </c>
      <c r="X276" s="18">
        <v>304.55</v>
      </c>
      <c r="Y276" s="8">
        <v>0</v>
      </c>
      <c r="Z276" s="7">
        <v>0</v>
      </c>
      <c r="AA276" s="18">
        <v>0</v>
      </c>
      <c r="AB276" s="8">
        <v>0</v>
      </c>
      <c r="AC276" s="7">
        <v>0</v>
      </c>
      <c r="AD276" s="18">
        <v>0</v>
      </c>
      <c r="AE276" s="8">
        <v>0</v>
      </c>
      <c r="AF276" s="7">
        <v>0</v>
      </c>
      <c r="AG276" s="18">
        <v>0</v>
      </c>
      <c r="AH276" s="8">
        <v>0</v>
      </c>
      <c r="AI276" s="7">
        <v>0</v>
      </c>
      <c r="AJ276" s="18">
        <v>0</v>
      </c>
      <c r="AK276" s="8">
        <v>0</v>
      </c>
      <c r="AL276" s="7">
        <v>0</v>
      </c>
      <c r="AM276" s="18">
        <v>0</v>
      </c>
      <c r="AN276" s="8">
        <v>0</v>
      </c>
      <c r="AO276" s="7">
        <v>0</v>
      </c>
      <c r="AP276" s="18">
        <v>0</v>
      </c>
      <c r="AQ276" s="8">
        <v>0</v>
      </c>
      <c r="AR276" s="7">
        <v>0</v>
      </c>
      <c r="AS276" s="18">
        <v>0</v>
      </c>
      <c r="AT276" s="8">
        <v>0</v>
      </c>
      <c r="AU276" s="7">
        <v>0</v>
      </c>
      <c r="AV276" s="18">
        <v>227.94</v>
      </c>
      <c r="AW276" s="8">
        <v>0</v>
      </c>
      <c r="AX276" s="7">
        <v>0</v>
      </c>
      <c r="AY276" s="18">
        <v>0</v>
      </c>
      <c r="AZ276" s="8"/>
      <c r="BA276" s="7"/>
      <c r="BB276" s="18"/>
      <c r="BC276" s="8"/>
      <c r="BD276" s="7"/>
      <c r="BE276" s="18"/>
      <c r="BF276" s="8"/>
      <c r="BG276" s="7"/>
      <c r="BH276" s="18"/>
    </row>
    <row r="277" spans="3:60" ht="20.25" x14ac:dyDescent="0.3">
      <c r="C277" s="17" t="s">
        <v>8</v>
      </c>
      <c r="D277" s="8"/>
      <c r="E277" s="7"/>
      <c r="F277" s="18">
        <f t="shared" si="16"/>
        <v>571.08000000000004</v>
      </c>
      <c r="G277" s="8">
        <v>0</v>
      </c>
      <c r="H277" s="7">
        <v>0</v>
      </c>
      <c r="I277" s="18">
        <v>0</v>
      </c>
      <c r="J277" s="8">
        <v>0</v>
      </c>
      <c r="K277" s="7">
        <v>0</v>
      </c>
      <c r="L277" s="18">
        <v>0</v>
      </c>
      <c r="M277" s="8">
        <v>0</v>
      </c>
      <c r="N277" s="7">
        <v>0</v>
      </c>
      <c r="O277" s="18">
        <v>0</v>
      </c>
      <c r="P277" s="8">
        <v>0</v>
      </c>
      <c r="Q277" s="7">
        <v>0</v>
      </c>
      <c r="R277" s="18">
        <v>504.05</v>
      </c>
      <c r="S277" s="8">
        <v>0</v>
      </c>
      <c r="T277" s="7">
        <v>0</v>
      </c>
      <c r="U277" s="18">
        <v>0</v>
      </c>
      <c r="V277" s="8">
        <v>0</v>
      </c>
      <c r="W277" s="7">
        <v>0</v>
      </c>
      <c r="X277" s="18">
        <v>33.15</v>
      </c>
      <c r="Y277" s="8">
        <v>0</v>
      </c>
      <c r="Z277" s="7">
        <v>0</v>
      </c>
      <c r="AA277" s="18">
        <v>0</v>
      </c>
      <c r="AB277" s="8">
        <v>0</v>
      </c>
      <c r="AC277" s="7">
        <v>0</v>
      </c>
      <c r="AD277" s="18">
        <v>0</v>
      </c>
      <c r="AE277" s="8">
        <v>0</v>
      </c>
      <c r="AF277" s="7">
        <v>0</v>
      </c>
      <c r="AG277" s="18">
        <v>0</v>
      </c>
      <c r="AH277" s="8">
        <v>0</v>
      </c>
      <c r="AI277" s="7">
        <v>0</v>
      </c>
      <c r="AJ277" s="18">
        <v>0</v>
      </c>
      <c r="AK277" s="8">
        <v>0</v>
      </c>
      <c r="AL277" s="7">
        <v>0</v>
      </c>
      <c r="AM277" s="18">
        <v>0</v>
      </c>
      <c r="AN277" s="8">
        <v>0</v>
      </c>
      <c r="AO277" s="7">
        <v>0</v>
      </c>
      <c r="AP277" s="18">
        <v>0</v>
      </c>
      <c r="AQ277" s="8">
        <v>0</v>
      </c>
      <c r="AR277" s="7">
        <v>0</v>
      </c>
      <c r="AS277" s="18">
        <v>0</v>
      </c>
      <c r="AT277" s="8">
        <v>0</v>
      </c>
      <c r="AU277" s="7">
        <v>0</v>
      </c>
      <c r="AV277" s="18">
        <v>33.880000000000003</v>
      </c>
      <c r="AW277" s="8">
        <v>0</v>
      </c>
      <c r="AX277" s="7">
        <v>0</v>
      </c>
      <c r="AY277" s="18">
        <v>0</v>
      </c>
      <c r="AZ277" s="8"/>
      <c r="BA277" s="7"/>
      <c r="BB277" s="18"/>
      <c r="BC277" s="8"/>
      <c r="BD277" s="7"/>
      <c r="BE277" s="18"/>
      <c r="BF277" s="8"/>
      <c r="BG277" s="7"/>
      <c r="BH277" s="18"/>
    </row>
    <row r="278" spans="3:60" ht="20.25" x14ac:dyDescent="0.3">
      <c r="C278" s="17" t="s">
        <v>7</v>
      </c>
      <c r="D278" s="8"/>
      <c r="E278" s="7"/>
      <c r="F278" s="18">
        <f t="shared" si="16"/>
        <v>90.52000000000001</v>
      </c>
      <c r="G278" s="8">
        <v>0</v>
      </c>
      <c r="H278" s="7">
        <v>0</v>
      </c>
      <c r="I278" s="18">
        <v>0</v>
      </c>
      <c r="J278" s="8">
        <v>0</v>
      </c>
      <c r="K278" s="7">
        <v>0</v>
      </c>
      <c r="L278" s="18">
        <v>0</v>
      </c>
      <c r="M278" s="8">
        <v>0</v>
      </c>
      <c r="N278" s="7">
        <v>0</v>
      </c>
      <c r="O278" s="18">
        <v>0</v>
      </c>
      <c r="P278" s="8">
        <v>0</v>
      </c>
      <c r="Q278" s="7">
        <v>0</v>
      </c>
      <c r="R278" s="18">
        <v>16.079999999999998</v>
      </c>
      <c r="S278" s="8">
        <v>0</v>
      </c>
      <c r="T278" s="7">
        <v>0</v>
      </c>
      <c r="U278" s="18">
        <v>0</v>
      </c>
      <c r="V278" s="8">
        <v>0</v>
      </c>
      <c r="W278" s="7">
        <v>0</v>
      </c>
      <c r="X278" s="18">
        <v>-23.54</v>
      </c>
      <c r="Y278" s="8">
        <v>0</v>
      </c>
      <c r="Z278" s="7">
        <v>0</v>
      </c>
      <c r="AA278" s="18">
        <v>0</v>
      </c>
      <c r="AB278" s="8">
        <v>0</v>
      </c>
      <c r="AC278" s="7">
        <v>0</v>
      </c>
      <c r="AD278" s="18">
        <v>0</v>
      </c>
      <c r="AE278" s="8">
        <v>0</v>
      </c>
      <c r="AF278" s="7">
        <v>0</v>
      </c>
      <c r="AG278" s="18">
        <v>0</v>
      </c>
      <c r="AH278" s="8">
        <v>0</v>
      </c>
      <c r="AI278" s="7">
        <v>0</v>
      </c>
      <c r="AJ278" s="18">
        <v>0</v>
      </c>
      <c r="AK278" s="8">
        <v>0</v>
      </c>
      <c r="AL278" s="7">
        <v>0</v>
      </c>
      <c r="AM278" s="18">
        <v>0</v>
      </c>
      <c r="AN278" s="8">
        <v>0</v>
      </c>
      <c r="AO278" s="7">
        <v>0</v>
      </c>
      <c r="AP278" s="18">
        <v>0</v>
      </c>
      <c r="AQ278" s="8">
        <v>0</v>
      </c>
      <c r="AR278" s="7">
        <v>0</v>
      </c>
      <c r="AS278" s="18">
        <v>0</v>
      </c>
      <c r="AT278" s="8">
        <v>0</v>
      </c>
      <c r="AU278" s="7">
        <v>0</v>
      </c>
      <c r="AV278" s="18">
        <v>97.98</v>
      </c>
      <c r="AW278" s="8">
        <v>0</v>
      </c>
      <c r="AX278" s="7">
        <v>0</v>
      </c>
      <c r="AY278" s="18">
        <v>0</v>
      </c>
      <c r="AZ278" s="8"/>
      <c r="BA278" s="7"/>
      <c r="BB278" s="18"/>
      <c r="BC278" s="8"/>
      <c r="BD278" s="7"/>
      <c r="BE278" s="18"/>
      <c r="BF278" s="8"/>
      <c r="BG278" s="7"/>
      <c r="BH278" s="18"/>
    </row>
    <row r="279" spans="3:60" ht="20.25" x14ac:dyDescent="0.3">
      <c r="C279" s="17" t="s">
        <v>6</v>
      </c>
      <c r="D279" s="8"/>
      <c r="E279" s="7"/>
      <c r="F279" s="18">
        <f t="shared" si="16"/>
        <v>685.68000000000006</v>
      </c>
      <c r="G279" s="8">
        <v>0</v>
      </c>
      <c r="H279" s="7">
        <v>0</v>
      </c>
      <c r="I279" s="18">
        <v>0</v>
      </c>
      <c r="J279" s="8">
        <v>0</v>
      </c>
      <c r="K279" s="7">
        <v>0</v>
      </c>
      <c r="L279" s="18">
        <v>0</v>
      </c>
      <c r="M279" s="8">
        <v>0</v>
      </c>
      <c r="N279" s="7">
        <v>0</v>
      </c>
      <c r="O279" s="18">
        <v>0</v>
      </c>
      <c r="P279" s="8">
        <v>0</v>
      </c>
      <c r="Q279" s="7">
        <v>0</v>
      </c>
      <c r="R279" s="18">
        <v>251.59</v>
      </c>
      <c r="S279" s="8">
        <v>0</v>
      </c>
      <c r="T279" s="7">
        <v>0</v>
      </c>
      <c r="U279" s="18">
        <v>0</v>
      </c>
      <c r="V279" s="8">
        <v>0</v>
      </c>
      <c r="W279" s="7">
        <v>0</v>
      </c>
      <c r="X279" s="18">
        <v>418.51</v>
      </c>
      <c r="Y279" s="8">
        <v>0</v>
      </c>
      <c r="Z279" s="7">
        <v>0</v>
      </c>
      <c r="AA279" s="18">
        <v>0</v>
      </c>
      <c r="AB279" s="8">
        <v>0</v>
      </c>
      <c r="AC279" s="7">
        <v>0</v>
      </c>
      <c r="AD279" s="18">
        <v>0</v>
      </c>
      <c r="AE279" s="8">
        <v>0</v>
      </c>
      <c r="AF279" s="7">
        <v>0</v>
      </c>
      <c r="AG279" s="18">
        <v>0</v>
      </c>
      <c r="AH279" s="8">
        <v>0</v>
      </c>
      <c r="AI279" s="7">
        <v>0</v>
      </c>
      <c r="AJ279" s="18">
        <v>0</v>
      </c>
      <c r="AK279" s="8">
        <v>0</v>
      </c>
      <c r="AL279" s="7">
        <v>0</v>
      </c>
      <c r="AM279" s="18">
        <v>0</v>
      </c>
      <c r="AN279" s="8">
        <v>0</v>
      </c>
      <c r="AO279" s="7">
        <v>0</v>
      </c>
      <c r="AP279" s="18">
        <v>0</v>
      </c>
      <c r="AQ279" s="8">
        <v>0</v>
      </c>
      <c r="AR279" s="7">
        <v>0</v>
      </c>
      <c r="AS279" s="18">
        <v>0</v>
      </c>
      <c r="AT279" s="8">
        <v>0</v>
      </c>
      <c r="AU279" s="7">
        <v>0</v>
      </c>
      <c r="AV279" s="18">
        <v>15.58</v>
      </c>
      <c r="AW279" s="8">
        <v>0</v>
      </c>
      <c r="AX279" s="7">
        <v>0</v>
      </c>
      <c r="AY279" s="18">
        <v>0</v>
      </c>
      <c r="AZ279" s="8"/>
      <c r="BA279" s="7"/>
      <c r="BB279" s="18"/>
      <c r="BC279" s="8"/>
      <c r="BD279" s="7"/>
      <c r="BE279" s="18"/>
      <c r="BF279" s="8"/>
      <c r="BG279" s="7"/>
      <c r="BH279" s="18"/>
    </row>
    <row r="280" spans="3:60" ht="20.25" x14ac:dyDescent="0.3">
      <c r="C280" s="17" t="s">
        <v>5</v>
      </c>
      <c r="D280" s="8"/>
      <c r="E280" s="7"/>
      <c r="F280" s="18">
        <f t="shared" si="16"/>
        <v>211.11</v>
      </c>
      <c r="G280" s="8">
        <v>0</v>
      </c>
      <c r="H280" s="7">
        <v>0</v>
      </c>
      <c r="I280" s="18">
        <v>0</v>
      </c>
      <c r="J280" s="8">
        <v>0</v>
      </c>
      <c r="K280" s="7">
        <v>0</v>
      </c>
      <c r="L280" s="18">
        <v>0</v>
      </c>
      <c r="M280" s="8">
        <v>0</v>
      </c>
      <c r="N280" s="7">
        <v>0</v>
      </c>
      <c r="O280" s="18">
        <v>0</v>
      </c>
      <c r="P280" s="8">
        <v>0</v>
      </c>
      <c r="Q280" s="7">
        <v>0</v>
      </c>
      <c r="R280" s="18">
        <v>25.52</v>
      </c>
      <c r="S280" s="8">
        <v>0</v>
      </c>
      <c r="T280" s="7">
        <v>0</v>
      </c>
      <c r="U280" s="18">
        <v>0</v>
      </c>
      <c r="V280" s="8">
        <v>0</v>
      </c>
      <c r="W280" s="7">
        <v>0</v>
      </c>
      <c r="X280" s="18">
        <v>119.01</v>
      </c>
      <c r="Y280" s="8">
        <v>0</v>
      </c>
      <c r="Z280" s="7">
        <v>0</v>
      </c>
      <c r="AA280" s="18">
        <v>0</v>
      </c>
      <c r="AB280" s="8">
        <v>0</v>
      </c>
      <c r="AC280" s="7">
        <v>0</v>
      </c>
      <c r="AD280" s="18">
        <v>0</v>
      </c>
      <c r="AE280" s="8">
        <v>0</v>
      </c>
      <c r="AF280" s="7">
        <v>0</v>
      </c>
      <c r="AG280" s="18">
        <v>0</v>
      </c>
      <c r="AH280" s="8">
        <v>0</v>
      </c>
      <c r="AI280" s="7">
        <v>0</v>
      </c>
      <c r="AJ280" s="18">
        <v>0</v>
      </c>
      <c r="AK280" s="8">
        <v>0</v>
      </c>
      <c r="AL280" s="7">
        <v>0</v>
      </c>
      <c r="AM280" s="18">
        <v>0</v>
      </c>
      <c r="AN280" s="8">
        <v>0</v>
      </c>
      <c r="AO280" s="7">
        <v>0</v>
      </c>
      <c r="AP280" s="18">
        <v>0</v>
      </c>
      <c r="AQ280" s="8">
        <v>0</v>
      </c>
      <c r="AR280" s="7">
        <v>0</v>
      </c>
      <c r="AS280" s="18">
        <v>0</v>
      </c>
      <c r="AT280" s="8">
        <v>0</v>
      </c>
      <c r="AU280" s="7">
        <v>0</v>
      </c>
      <c r="AV280" s="18">
        <v>66.58</v>
      </c>
      <c r="AW280" s="8">
        <v>0</v>
      </c>
      <c r="AX280" s="7">
        <v>0</v>
      </c>
      <c r="AY280" s="18">
        <v>0</v>
      </c>
      <c r="AZ280" s="8"/>
      <c r="BA280" s="7"/>
      <c r="BB280" s="18"/>
      <c r="BC280" s="8"/>
      <c r="BD280" s="7"/>
      <c r="BE280" s="18"/>
      <c r="BF280" s="8"/>
      <c r="BG280" s="7"/>
      <c r="BH280" s="18"/>
    </row>
    <row r="281" spans="3:60" ht="20.25" x14ac:dyDescent="0.3">
      <c r="C281" s="17" t="s">
        <v>4</v>
      </c>
      <c r="D281" s="8"/>
      <c r="E281" s="7"/>
      <c r="F281" s="18">
        <f t="shared" si="16"/>
        <v>-1411.8700000000001</v>
      </c>
      <c r="G281" s="8">
        <v>0</v>
      </c>
      <c r="H281" s="7">
        <v>0</v>
      </c>
      <c r="I281" s="18">
        <v>0</v>
      </c>
      <c r="J281" s="8">
        <v>0</v>
      </c>
      <c r="K281" s="7">
        <v>0</v>
      </c>
      <c r="L281" s="18">
        <v>0</v>
      </c>
      <c r="M281" s="8">
        <v>0</v>
      </c>
      <c r="N281" s="7">
        <v>0</v>
      </c>
      <c r="O281" s="18">
        <v>0</v>
      </c>
      <c r="P281" s="8">
        <v>0</v>
      </c>
      <c r="Q281" s="7">
        <v>0</v>
      </c>
      <c r="R281" s="18">
        <v>-2731.34</v>
      </c>
      <c r="S281" s="8">
        <v>0</v>
      </c>
      <c r="T281" s="7">
        <v>0</v>
      </c>
      <c r="U281" s="18">
        <v>493.59</v>
      </c>
      <c r="V281" s="8">
        <v>0</v>
      </c>
      <c r="W281" s="7">
        <v>0</v>
      </c>
      <c r="X281" s="18">
        <v>705.58</v>
      </c>
      <c r="Y281" s="8">
        <v>0</v>
      </c>
      <c r="Z281" s="7">
        <v>0</v>
      </c>
      <c r="AA281" s="18">
        <v>0</v>
      </c>
      <c r="AB281" s="8">
        <v>0</v>
      </c>
      <c r="AC281" s="7">
        <v>0</v>
      </c>
      <c r="AD281" s="18">
        <v>0</v>
      </c>
      <c r="AE281" s="8">
        <v>0</v>
      </c>
      <c r="AF281" s="7">
        <v>0</v>
      </c>
      <c r="AG281" s="18">
        <v>0</v>
      </c>
      <c r="AH281" s="8">
        <v>0</v>
      </c>
      <c r="AI281" s="7">
        <v>0</v>
      </c>
      <c r="AJ281" s="18">
        <v>0</v>
      </c>
      <c r="AK281" s="8">
        <v>0</v>
      </c>
      <c r="AL281" s="7">
        <v>0</v>
      </c>
      <c r="AM281" s="18">
        <v>0</v>
      </c>
      <c r="AN281" s="8">
        <v>0</v>
      </c>
      <c r="AO281" s="7">
        <v>0</v>
      </c>
      <c r="AP281" s="18">
        <v>0</v>
      </c>
      <c r="AQ281" s="8">
        <v>0</v>
      </c>
      <c r="AR281" s="7">
        <v>0</v>
      </c>
      <c r="AS281" s="18">
        <v>0</v>
      </c>
      <c r="AT281" s="8">
        <v>0</v>
      </c>
      <c r="AU281" s="7">
        <v>0</v>
      </c>
      <c r="AV281" s="18">
        <v>120.3</v>
      </c>
      <c r="AW281" s="8">
        <v>0</v>
      </c>
      <c r="AX281" s="7">
        <v>0</v>
      </c>
      <c r="AY281" s="18">
        <v>0</v>
      </c>
      <c r="AZ281" s="8"/>
      <c r="BA281" s="7"/>
      <c r="BB281" s="18"/>
      <c r="BC281" s="8"/>
      <c r="BD281" s="7"/>
      <c r="BE281" s="18"/>
      <c r="BF281" s="8"/>
      <c r="BG281" s="7"/>
      <c r="BH281" s="18"/>
    </row>
    <row r="282" spans="3:60" ht="20.25" hidden="1" x14ac:dyDescent="0.3">
      <c r="C282" s="17" t="s">
        <v>3</v>
      </c>
      <c r="D282" s="8"/>
      <c r="E282" s="7"/>
      <c r="F282" s="18">
        <f t="shared" si="16"/>
        <v>0</v>
      </c>
      <c r="G282" s="8">
        <v>0</v>
      </c>
      <c r="H282" s="7">
        <v>0</v>
      </c>
      <c r="I282" s="18">
        <v>0</v>
      </c>
      <c r="J282" s="8">
        <v>0</v>
      </c>
      <c r="K282" s="7">
        <v>0</v>
      </c>
      <c r="L282" s="18">
        <v>0</v>
      </c>
      <c r="M282" s="8">
        <v>0</v>
      </c>
      <c r="N282" s="7">
        <v>0</v>
      </c>
      <c r="O282" s="18">
        <v>0</v>
      </c>
      <c r="P282" s="8">
        <v>0</v>
      </c>
      <c r="Q282" s="7">
        <v>0</v>
      </c>
      <c r="R282" s="18">
        <v>0</v>
      </c>
      <c r="S282" s="8">
        <v>0</v>
      </c>
      <c r="T282" s="7">
        <v>0</v>
      </c>
      <c r="U282" s="18">
        <v>0</v>
      </c>
      <c r="V282" s="8">
        <v>0</v>
      </c>
      <c r="W282" s="7">
        <v>0</v>
      </c>
      <c r="X282" s="18">
        <v>0</v>
      </c>
      <c r="Y282" s="8">
        <v>0</v>
      </c>
      <c r="Z282" s="7">
        <v>0</v>
      </c>
      <c r="AA282" s="18">
        <v>0</v>
      </c>
      <c r="AB282" s="8">
        <v>0</v>
      </c>
      <c r="AC282" s="7">
        <v>0</v>
      </c>
      <c r="AD282" s="18">
        <v>0</v>
      </c>
      <c r="AE282" s="8">
        <v>0</v>
      </c>
      <c r="AF282" s="7">
        <v>0</v>
      </c>
      <c r="AG282" s="18">
        <v>0</v>
      </c>
      <c r="AH282" s="8">
        <v>0</v>
      </c>
      <c r="AI282" s="7">
        <v>0</v>
      </c>
      <c r="AJ282" s="18">
        <v>0</v>
      </c>
      <c r="AK282" s="8">
        <v>0</v>
      </c>
      <c r="AL282" s="7">
        <v>0</v>
      </c>
      <c r="AM282" s="18">
        <v>0</v>
      </c>
      <c r="AN282" s="8">
        <v>0</v>
      </c>
      <c r="AO282" s="7">
        <v>0</v>
      </c>
      <c r="AP282" s="18">
        <v>0</v>
      </c>
      <c r="AQ282" s="8">
        <v>0</v>
      </c>
      <c r="AR282" s="7">
        <v>0</v>
      </c>
      <c r="AS282" s="18">
        <v>0</v>
      </c>
      <c r="AT282" s="8">
        <v>0</v>
      </c>
      <c r="AU282" s="7">
        <v>0</v>
      </c>
      <c r="AV282" s="18">
        <v>0</v>
      </c>
      <c r="AW282" s="8">
        <v>0</v>
      </c>
      <c r="AX282" s="7">
        <v>0</v>
      </c>
      <c r="AY282" s="18">
        <v>0</v>
      </c>
      <c r="AZ282" s="8"/>
      <c r="BA282" s="7"/>
      <c r="BB282" s="18"/>
      <c r="BC282" s="8"/>
      <c r="BD282" s="7"/>
      <c r="BE282" s="18"/>
      <c r="BF282" s="8"/>
      <c r="BG282" s="7"/>
      <c r="BH282" s="18"/>
    </row>
    <row r="283" spans="3:60" ht="20.25" hidden="1" x14ac:dyDescent="0.3">
      <c r="C283" s="17" t="s">
        <v>3</v>
      </c>
      <c r="D283" s="8"/>
      <c r="E283" s="7"/>
      <c r="F283" s="18">
        <f t="shared" si="16"/>
        <v>0</v>
      </c>
      <c r="G283" s="8">
        <v>0</v>
      </c>
      <c r="H283" s="7">
        <v>0</v>
      </c>
      <c r="I283" s="18">
        <v>0</v>
      </c>
      <c r="J283" s="8">
        <v>0</v>
      </c>
      <c r="K283" s="7">
        <v>0</v>
      </c>
      <c r="L283" s="18">
        <v>0</v>
      </c>
      <c r="M283" s="8">
        <v>0</v>
      </c>
      <c r="N283" s="7">
        <v>0</v>
      </c>
      <c r="O283" s="18">
        <v>0</v>
      </c>
      <c r="P283" s="8">
        <v>0</v>
      </c>
      <c r="Q283" s="7">
        <v>0</v>
      </c>
      <c r="R283" s="18">
        <v>0</v>
      </c>
      <c r="S283" s="8">
        <v>0</v>
      </c>
      <c r="T283" s="7">
        <v>0</v>
      </c>
      <c r="U283" s="18">
        <v>0</v>
      </c>
      <c r="V283" s="8">
        <v>0</v>
      </c>
      <c r="W283" s="7">
        <v>0</v>
      </c>
      <c r="X283" s="18">
        <v>0</v>
      </c>
      <c r="Y283" s="8">
        <v>0</v>
      </c>
      <c r="Z283" s="7">
        <v>0</v>
      </c>
      <c r="AA283" s="18">
        <v>0</v>
      </c>
      <c r="AB283" s="8">
        <v>0</v>
      </c>
      <c r="AC283" s="7">
        <v>0</v>
      </c>
      <c r="AD283" s="18">
        <v>0</v>
      </c>
      <c r="AE283" s="8">
        <v>0</v>
      </c>
      <c r="AF283" s="7">
        <v>0</v>
      </c>
      <c r="AG283" s="18">
        <v>0</v>
      </c>
      <c r="AH283" s="8">
        <v>0</v>
      </c>
      <c r="AI283" s="7">
        <v>0</v>
      </c>
      <c r="AJ283" s="18">
        <v>0</v>
      </c>
      <c r="AK283" s="8">
        <v>0</v>
      </c>
      <c r="AL283" s="7">
        <v>0</v>
      </c>
      <c r="AM283" s="18">
        <v>0</v>
      </c>
      <c r="AN283" s="8">
        <v>0</v>
      </c>
      <c r="AO283" s="7">
        <v>0</v>
      </c>
      <c r="AP283" s="18">
        <v>0</v>
      </c>
      <c r="AQ283" s="8">
        <v>0</v>
      </c>
      <c r="AR283" s="7">
        <v>0</v>
      </c>
      <c r="AS283" s="18">
        <v>0</v>
      </c>
      <c r="AT283" s="8">
        <v>0</v>
      </c>
      <c r="AU283" s="7">
        <v>0</v>
      </c>
      <c r="AV283" s="18">
        <v>0</v>
      </c>
      <c r="AW283" s="8">
        <v>0</v>
      </c>
      <c r="AX283" s="7">
        <v>0</v>
      </c>
      <c r="AY283" s="18">
        <v>0</v>
      </c>
      <c r="AZ283" s="8"/>
      <c r="BA283" s="7"/>
      <c r="BB283" s="18"/>
      <c r="BC283" s="8"/>
      <c r="BD283" s="7"/>
      <c r="BE283" s="18"/>
      <c r="BF283" s="8"/>
      <c r="BG283" s="7"/>
      <c r="BH283" s="18"/>
    </row>
    <row r="284" spans="3:60" ht="20.25" hidden="1" x14ac:dyDescent="0.3">
      <c r="C284" s="17" t="s">
        <v>3</v>
      </c>
      <c r="D284" s="8"/>
      <c r="E284" s="7"/>
      <c r="F284" s="18">
        <f t="shared" si="16"/>
        <v>0</v>
      </c>
      <c r="G284" s="8">
        <v>0</v>
      </c>
      <c r="H284" s="7">
        <v>0</v>
      </c>
      <c r="I284" s="18">
        <v>0</v>
      </c>
      <c r="J284" s="8">
        <v>0</v>
      </c>
      <c r="K284" s="7">
        <v>0</v>
      </c>
      <c r="L284" s="18">
        <v>0</v>
      </c>
      <c r="M284" s="8">
        <v>0</v>
      </c>
      <c r="N284" s="7">
        <v>0</v>
      </c>
      <c r="O284" s="18">
        <v>0</v>
      </c>
      <c r="P284" s="8">
        <v>0</v>
      </c>
      <c r="Q284" s="7">
        <v>0</v>
      </c>
      <c r="R284" s="18">
        <v>0</v>
      </c>
      <c r="S284" s="8">
        <v>0</v>
      </c>
      <c r="T284" s="7">
        <v>0</v>
      </c>
      <c r="U284" s="18">
        <v>0</v>
      </c>
      <c r="V284" s="8">
        <v>0</v>
      </c>
      <c r="W284" s="7">
        <v>0</v>
      </c>
      <c r="X284" s="18">
        <v>0</v>
      </c>
      <c r="Y284" s="8">
        <v>0</v>
      </c>
      <c r="Z284" s="7">
        <v>0</v>
      </c>
      <c r="AA284" s="18">
        <v>0</v>
      </c>
      <c r="AB284" s="8">
        <v>0</v>
      </c>
      <c r="AC284" s="7">
        <v>0</v>
      </c>
      <c r="AD284" s="18">
        <v>0</v>
      </c>
      <c r="AE284" s="8">
        <v>0</v>
      </c>
      <c r="AF284" s="7">
        <v>0</v>
      </c>
      <c r="AG284" s="18">
        <v>0</v>
      </c>
      <c r="AH284" s="8">
        <v>0</v>
      </c>
      <c r="AI284" s="7">
        <v>0</v>
      </c>
      <c r="AJ284" s="18">
        <v>0</v>
      </c>
      <c r="AK284" s="8">
        <v>0</v>
      </c>
      <c r="AL284" s="7">
        <v>0</v>
      </c>
      <c r="AM284" s="18">
        <v>0</v>
      </c>
      <c r="AN284" s="8">
        <v>0</v>
      </c>
      <c r="AO284" s="7">
        <v>0</v>
      </c>
      <c r="AP284" s="18">
        <v>0</v>
      </c>
      <c r="AQ284" s="8">
        <v>0</v>
      </c>
      <c r="AR284" s="7">
        <v>0</v>
      </c>
      <c r="AS284" s="18">
        <v>0</v>
      </c>
      <c r="AT284" s="8">
        <v>0</v>
      </c>
      <c r="AU284" s="7">
        <v>0</v>
      </c>
      <c r="AV284" s="18">
        <v>0</v>
      </c>
      <c r="AW284" s="8">
        <v>0</v>
      </c>
      <c r="AX284" s="7">
        <v>0</v>
      </c>
      <c r="AY284" s="18">
        <v>0</v>
      </c>
      <c r="AZ284" s="8"/>
      <c r="BA284" s="7"/>
      <c r="BB284" s="18"/>
      <c r="BC284" s="8"/>
      <c r="BD284" s="7"/>
      <c r="BE284" s="18"/>
      <c r="BF284" s="8"/>
      <c r="BG284" s="7"/>
      <c r="BH284" s="18"/>
    </row>
    <row r="285" spans="3:60" ht="20.25" x14ac:dyDescent="0.3">
      <c r="C285" s="11" t="s">
        <v>2</v>
      </c>
      <c r="D285" s="70"/>
      <c r="E285" s="13"/>
      <c r="F285" s="69">
        <f>SUM(F267:F281)</f>
        <v>37932.399999999994</v>
      </c>
      <c r="G285" s="70" t="s">
        <v>18</v>
      </c>
      <c r="H285" s="13">
        <v>0</v>
      </c>
      <c r="I285" s="69">
        <v>0</v>
      </c>
      <c r="J285" s="70" t="s">
        <v>18</v>
      </c>
      <c r="K285" s="13">
        <v>0</v>
      </c>
      <c r="L285" s="69">
        <v>0</v>
      </c>
      <c r="M285" s="70" t="s">
        <v>18</v>
      </c>
      <c r="N285" s="13">
        <v>0</v>
      </c>
      <c r="O285" s="69">
        <v>0</v>
      </c>
      <c r="P285" s="70" t="s">
        <v>18</v>
      </c>
      <c r="Q285" s="13">
        <v>0.29705243200204101</v>
      </c>
      <c r="R285" s="69">
        <v>27010.74</v>
      </c>
      <c r="S285" s="70" t="s">
        <v>18</v>
      </c>
      <c r="T285" s="13" t="s">
        <v>50</v>
      </c>
      <c r="U285" s="69">
        <v>563.75</v>
      </c>
      <c r="V285" s="70" t="s">
        <v>18</v>
      </c>
      <c r="W285" s="13">
        <v>0</v>
      </c>
      <c r="X285" s="69">
        <v>7027.55</v>
      </c>
      <c r="Y285" s="70" t="s">
        <v>18</v>
      </c>
      <c r="Z285" s="13">
        <v>0</v>
      </c>
      <c r="AA285" s="69">
        <v>380</v>
      </c>
      <c r="AB285" s="70" t="s">
        <v>18</v>
      </c>
      <c r="AC285" s="13">
        <v>0</v>
      </c>
      <c r="AD285" s="69">
        <v>0</v>
      </c>
      <c r="AE285" s="70" t="s">
        <v>18</v>
      </c>
      <c r="AF285" s="13">
        <v>0</v>
      </c>
      <c r="AG285" s="69">
        <v>0</v>
      </c>
      <c r="AH285" s="70" t="s">
        <v>18</v>
      </c>
      <c r="AI285" s="13">
        <v>0</v>
      </c>
      <c r="AJ285" s="69">
        <v>0</v>
      </c>
      <c r="AK285" s="70" t="s">
        <v>18</v>
      </c>
      <c r="AL285" s="13">
        <v>0</v>
      </c>
      <c r="AM285" s="69">
        <v>0</v>
      </c>
      <c r="AN285" s="70" t="s">
        <v>18</v>
      </c>
      <c r="AO285" s="13" t="s">
        <v>50</v>
      </c>
      <c r="AP285" s="69">
        <v>0</v>
      </c>
      <c r="AQ285" s="70" t="s">
        <v>18</v>
      </c>
      <c r="AR285" s="13">
        <v>0</v>
      </c>
      <c r="AS285" s="69">
        <v>0</v>
      </c>
      <c r="AT285" s="70" t="s">
        <v>18</v>
      </c>
      <c r="AU285" s="13">
        <v>0.60138893701678098</v>
      </c>
      <c r="AV285" s="69">
        <v>2950.36</v>
      </c>
      <c r="AW285" s="70" t="s">
        <v>18</v>
      </c>
      <c r="AX285" s="13">
        <v>0</v>
      </c>
      <c r="AY285" s="69">
        <v>0</v>
      </c>
      <c r="AZ285" s="70"/>
      <c r="BA285" s="13"/>
      <c r="BB285" s="69"/>
      <c r="BC285" s="70"/>
      <c r="BD285" s="13"/>
      <c r="BE285" s="69"/>
      <c r="BF285" s="70"/>
      <c r="BG285" s="13"/>
      <c r="BH285" s="69"/>
    </row>
    <row r="286" spans="3:60" ht="20.25" x14ac:dyDescent="0.3">
      <c r="C286" s="67"/>
      <c r="D286" s="67"/>
      <c r="E286" s="66"/>
      <c r="F286" s="65"/>
      <c r="G286" s="67"/>
      <c r="H286" s="66"/>
      <c r="I286" s="65"/>
      <c r="J286" s="67"/>
      <c r="K286" s="66"/>
      <c r="L286" s="65"/>
      <c r="M286" s="67"/>
      <c r="N286" s="66"/>
      <c r="O286" s="65"/>
      <c r="P286" s="67"/>
      <c r="Q286" s="66"/>
      <c r="R286" s="65"/>
      <c r="S286" s="67"/>
      <c r="T286" s="66"/>
      <c r="U286" s="65"/>
      <c r="V286" s="67"/>
      <c r="W286" s="66"/>
      <c r="X286" s="65"/>
      <c r="Y286" s="67"/>
      <c r="Z286" s="66"/>
      <c r="AA286" s="65"/>
      <c r="AB286" s="67"/>
      <c r="AC286" s="66"/>
      <c r="AD286" s="65"/>
      <c r="AE286" s="67"/>
      <c r="AF286" s="66"/>
      <c r="AG286" s="65"/>
      <c r="AH286" s="67"/>
      <c r="AI286" s="66"/>
      <c r="AJ286" s="65"/>
      <c r="AK286" s="67"/>
      <c r="AL286" s="66"/>
      <c r="AM286" s="65"/>
      <c r="AN286" s="67"/>
      <c r="AO286" s="66"/>
      <c r="AP286" s="65"/>
      <c r="AQ286" s="67"/>
      <c r="AR286" s="66"/>
      <c r="AS286" s="65"/>
      <c r="AT286" s="67"/>
      <c r="AU286" s="66"/>
      <c r="AV286" s="65"/>
      <c r="AW286" s="67"/>
      <c r="AX286" s="66"/>
      <c r="AY286" s="65"/>
      <c r="AZ286" s="67"/>
      <c r="BA286" s="66"/>
      <c r="BB286" s="65"/>
      <c r="BC286" s="67"/>
      <c r="BD286" s="66"/>
      <c r="BE286" s="65"/>
      <c r="BF286" s="67"/>
      <c r="BG286" s="66"/>
      <c r="BH286" s="65"/>
    </row>
    <row r="287" spans="3:60" ht="20.25" x14ac:dyDescent="0.3">
      <c r="C287" s="11" t="s">
        <v>1</v>
      </c>
      <c r="D287" s="70"/>
      <c r="E287" s="13"/>
      <c r="F287" s="69">
        <f>F266+F285</f>
        <v>140252.41</v>
      </c>
      <c r="G287" s="70" t="s">
        <v>18</v>
      </c>
      <c r="H287" s="13">
        <v>0</v>
      </c>
      <c r="I287" s="69">
        <v>0</v>
      </c>
      <c r="J287" s="70" t="s">
        <v>18</v>
      </c>
      <c r="K287" s="13">
        <v>0</v>
      </c>
      <c r="L287" s="69">
        <v>0</v>
      </c>
      <c r="M287" s="70" t="s">
        <v>18</v>
      </c>
      <c r="N287" s="13">
        <v>0</v>
      </c>
      <c r="O287" s="69">
        <v>0</v>
      </c>
      <c r="P287" s="70" t="s">
        <v>18</v>
      </c>
      <c r="Q287" s="13">
        <v>0.95950090839906199</v>
      </c>
      <c r="R287" s="69">
        <v>87246.65</v>
      </c>
      <c r="S287" s="70" t="s">
        <v>18</v>
      </c>
      <c r="T287" s="13">
        <v>0</v>
      </c>
      <c r="U287" s="69">
        <v>21537.629999999899</v>
      </c>
      <c r="V287" s="70" t="s">
        <v>18</v>
      </c>
      <c r="W287" s="13">
        <v>0</v>
      </c>
      <c r="X287" s="69">
        <v>21501.86</v>
      </c>
      <c r="Y287" s="70" t="s">
        <v>18</v>
      </c>
      <c r="Z287" s="13">
        <v>0</v>
      </c>
      <c r="AA287" s="69">
        <v>380</v>
      </c>
      <c r="AB287" s="70" t="s">
        <v>18</v>
      </c>
      <c r="AC287" s="13">
        <v>0</v>
      </c>
      <c r="AD287" s="69">
        <v>0</v>
      </c>
      <c r="AE287" s="70" t="s">
        <v>18</v>
      </c>
      <c r="AF287" s="13">
        <v>0</v>
      </c>
      <c r="AG287" s="69">
        <v>0</v>
      </c>
      <c r="AH287" s="70" t="s">
        <v>18</v>
      </c>
      <c r="AI287" s="13">
        <v>0</v>
      </c>
      <c r="AJ287" s="69">
        <v>0</v>
      </c>
      <c r="AK287" s="70" t="s">
        <v>18</v>
      </c>
      <c r="AL287" s="13">
        <v>0</v>
      </c>
      <c r="AM287" s="69">
        <v>0</v>
      </c>
      <c r="AN287" s="70" t="s">
        <v>18</v>
      </c>
      <c r="AO287" s="13" t="s">
        <v>50</v>
      </c>
      <c r="AP287" s="69">
        <v>0</v>
      </c>
      <c r="AQ287" s="70" t="s">
        <v>18</v>
      </c>
      <c r="AR287" s="13">
        <v>0</v>
      </c>
      <c r="AS287" s="69">
        <v>0</v>
      </c>
      <c r="AT287" s="70" t="s">
        <v>18</v>
      </c>
      <c r="AU287" s="13">
        <v>1.9540248394283599</v>
      </c>
      <c r="AV287" s="69">
        <v>9586.27</v>
      </c>
      <c r="AW287" s="70" t="s">
        <v>18</v>
      </c>
      <c r="AX287" s="13">
        <v>0</v>
      </c>
      <c r="AY287" s="69">
        <v>0</v>
      </c>
      <c r="AZ287" s="70"/>
      <c r="BA287" s="13"/>
      <c r="BB287" s="69"/>
      <c r="BC287" s="70"/>
      <c r="BD287" s="13"/>
      <c r="BE287" s="69"/>
      <c r="BF287" s="70"/>
      <c r="BG287" s="13"/>
      <c r="BH287" s="69"/>
    </row>
    <row r="288" spans="3:60" ht="20.25" x14ac:dyDescent="0.3">
      <c r="C288" s="8"/>
      <c r="D288" s="8"/>
      <c r="E288" s="7"/>
      <c r="F288" s="63"/>
      <c r="G288" s="8"/>
      <c r="H288" s="7"/>
      <c r="I288" s="63"/>
      <c r="J288" s="8"/>
      <c r="K288" s="7"/>
      <c r="L288" s="63"/>
      <c r="M288" s="8"/>
      <c r="N288" s="7"/>
      <c r="O288" s="63"/>
      <c r="P288" s="8"/>
      <c r="Q288" s="7"/>
      <c r="R288" s="63"/>
      <c r="S288" s="8"/>
      <c r="T288" s="7"/>
      <c r="U288" s="63"/>
      <c r="V288" s="8"/>
      <c r="W288" s="7"/>
      <c r="X288" s="63"/>
      <c r="Y288" s="8"/>
      <c r="Z288" s="7"/>
      <c r="AA288" s="63"/>
      <c r="AB288" s="8"/>
      <c r="AC288" s="7"/>
      <c r="AD288" s="63"/>
      <c r="AE288" s="8"/>
      <c r="AF288" s="7"/>
      <c r="AG288" s="63"/>
      <c r="AH288" s="8"/>
      <c r="AI288" s="7"/>
      <c r="AJ288" s="63"/>
      <c r="AK288" s="8"/>
      <c r="AL288" s="7"/>
      <c r="AM288" s="63"/>
      <c r="AN288" s="8"/>
      <c r="AO288" s="7"/>
      <c r="AP288" s="63"/>
      <c r="AQ288" s="8"/>
      <c r="AR288" s="7"/>
      <c r="AS288" s="63"/>
      <c r="AT288" s="8"/>
      <c r="AU288" s="7"/>
      <c r="AV288" s="63"/>
      <c r="AW288" s="8"/>
      <c r="AX288" s="7"/>
      <c r="AY288" s="63"/>
      <c r="AZ288" s="8"/>
      <c r="BA288" s="7"/>
      <c r="BB288" s="63"/>
      <c r="BC288" s="8"/>
      <c r="BD288" s="7"/>
      <c r="BE288" s="63"/>
      <c r="BF288" s="8"/>
      <c r="BG288" s="7"/>
      <c r="BH288" s="63"/>
    </row>
    <row r="289" spans="3:60" ht="21" thickBot="1" x14ac:dyDescent="0.35">
      <c r="C289" s="38" t="s">
        <v>0</v>
      </c>
      <c r="D289" s="38"/>
      <c r="E289" s="37"/>
      <c r="F289" s="77">
        <f>F250-F287</f>
        <v>30059.079999999813</v>
      </c>
      <c r="G289" s="38">
        <v>0</v>
      </c>
      <c r="H289" s="91">
        <v>0</v>
      </c>
      <c r="I289" s="77">
        <v>2660.51</v>
      </c>
      <c r="J289" s="38">
        <v>0</v>
      </c>
      <c r="K289" s="91">
        <v>0</v>
      </c>
      <c r="L289" s="77">
        <v>0</v>
      </c>
      <c r="M289" s="38">
        <v>0</v>
      </c>
      <c r="N289" s="91">
        <v>0</v>
      </c>
      <c r="O289" s="77">
        <v>0</v>
      </c>
      <c r="P289" s="38">
        <v>0</v>
      </c>
      <c r="Q289" s="91">
        <v>0</v>
      </c>
      <c r="R289" s="77">
        <v>18789.819999999901</v>
      </c>
      <c r="S289" s="38">
        <v>0</v>
      </c>
      <c r="T289" s="91">
        <v>0</v>
      </c>
      <c r="U289" s="77">
        <v>15699.37</v>
      </c>
      <c r="V289" s="38">
        <v>0</v>
      </c>
      <c r="W289" s="91">
        <v>-8.9239248173505994E-2</v>
      </c>
      <c r="X289" s="77">
        <v>-4184.34</v>
      </c>
      <c r="Y289" s="38">
        <v>0</v>
      </c>
      <c r="Z289" s="91">
        <v>0</v>
      </c>
      <c r="AA289" s="77">
        <v>-380</v>
      </c>
      <c r="AB289" s="38">
        <v>0</v>
      </c>
      <c r="AC289" s="91">
        <v>0</v>
      </c>
      <c r="AD289" s="77">
        <v>0</v>
      </c>
      <c r="AE289" s="38">
        <v>0</v>
      </c>
      <c r="AF289" s="91">
        <v>0</v>
      </c>
      <c r="AG289" s="77">
        <v>409.25</v>
      </c>
      <c r="AH289" s="38">
        <v>0</v>
      </c>
      <c r="AI289" s="91">
        <v>0</v>
      </c>
      <c r="AJ289" s="77">
        <v>313.22000000000003</v>
      </c>
      <c r="AK289" s="38">
        <v>0</v>
      </c>
      <c r="AL289" s="91">
        <v>0</v>
      </c>
      <c r="AM289" s="77">
        <v>0</v>
      </c>
      <c r="AN289" s="38">
        <v>0</v>
      </c>
      <c r="AO289" s="91">
        <v>0</v>
      </c>
      <c r="AP289" s="77">
        <v>636.15</v>
      </c>
      <c r="AQ289" s="38">
        <v>0</v>
      </c>
      <c r="AR289" s="91">
        <v>0</v>
      </c>
      <c r="AS289" s="77">
        <v>795.46</v>
      </c>
      <c r="AT289" s="38">
        <v>0</v>
      </c>
      <c r="AU289" s="91">
        <v>0</v>
      </c>
      <c r="AV289" s="77">
        <v>-4680.3599999999897</v>
      </c>
      <c r="AW289" s="38">
        <v>0</v>
      </c>
      <c r="AX289" s="91">
        <v>0</v>
      </c>
      <c r="AY289" s="77">
        <v>0</v>
      </c>
      <c r="AZ289" s="38"/>
      <c r="BA289" s="91"/>
      <c r="BB289" s="77"/>
      <c r="BC289" s="38"/>
      <c r="BD289" s="91"/>
      <c r="BE289" s="77"/>
      <c r="BF289" s="38"/>
      <c r="BG289" s="91"/>
      <c r="BH289" s="77"/>
    </row>
    <row r="290" spans="3:60" ht="21" thickTop="1" x14ac:dyDescent="0.3">
      <c r="C290" s="7"/>
      <c r="D290" s="7"/>
      <c r="E290" s="7"/>
      <c r="F290" s="90"/>
      <c r="G290" s="7"/>
      <c r="H290" s="7"/>
      <c r="I290" s="90"/>
      <c r="J290" s="7"/>
      <c r="K290" s="7"/>
      <c r="L290" s="90"/>
      <c r="M290" s="7"/>
      <c r="N290" s="7"/>
      <c r="O290" s="90"/>
      <c r="P290" s="7"/>
      <c r="Q290" s="7"/>
      <c r="R290" s="90"/>
      <c r="S290" s="7"/>
      <c r="T290" s="7"/>
      <c r="U290" s="90"/>
      <c r="V290" s="7"/>
      <c r="W290" s="7"/>
      <c r="X290" s="90"/>
      <c r="Y290" s="7"/>
      <c r="Z290" s="7"/>
      <c r="AA290" s="90"/>
      <c r="AB290" s="7"/>
      <c r="AC290" s="7"/>
      <c r="AD290" s="90"/>
      <c r="AE290" s="7"/>
      <c r="AF290" s="7"/>
      <c r="AG290" s="90"/>
      <c r="AH290" s="7"/>
      <c r="AI290" s="7"/>
      <c r="AJ290" s="90"/>
      <c r="AK290" s="7"/>
      <c r="AL290" s="7"/>
      <c r="AM290" s="90"/>
      <c r="AN290" s="7"/>
      <c r="AO290" s="7"/>
      <c r="AP290" s="90"/>
      <c r="AQ290" s="7"/>
      <c r="AR290" s="7"/>
      <c r="AS290" s="90"/>
      <c r="AT290" s="7"/>
      <c r="AU290" s="7"/>
      <c r="AV290" s="90"/>
      <c r="AW290" s="7"/>
      <c r="AX290" s="7"/>
      <c r="AY290" s="90"/>
      <c r="AZ290" s="7"/>
      <c r="BA290" s="7"/>
      <c r="BB290" s="90"/>
      <c r="BC290" s="7"/>
      <c r="BD290" s="7"/>
      <c r="BE290" s="90"/>
      <c r="BF290" s="7"/>
      <c r="BG290" s="7"/>
      <c r="BH290" s="90"/>
    </row>
    <row r="291" spans="3:60" ht="35.25" x14ac:dyDescent="0.5">
      <c r="C291" s="58" t="str">
        <f>Y291</f>
        <v>Pièces</v>
      </c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164" t="s">
        <v>49</v>
      </c>
      <c r="Z291" s="165"/>
      <c r="AA291" s="165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 t="str">
        <f>C291</f>
        <v>Pièces</v>
      </c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7"/>
      <c r="BE291" s="57"/>
      <c r="BF291" s="57"/>
      <c r="BG291" s="57"/>
      <c r="BH291" s="57"/>
    </row>
    <row r="292" spans="3:60" ht="16.5" thickBot="1" x14ac:dyDescent="0.3">
      <c r="C292" s="89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  <c r="AQ292" s="88"/>
      <c r="AR292" s="88"/>
      <c r="AS292" s="88"/>
      <c r="AT292" s="88"/>
      <c r="AU292" s="88"/>
      <c r="AV292" s="88"/>
      <c r="AW292" s="88"/>
      <c r="AX292" s="88"/>
      <c r="AY292" s="88"/>
      <c r="AZ292" s="88"/>
      <c r="BA292" s="88"/>
      <c r="BB292" s="88"/>
      <c r="BC292" s="88"/>
      <c r="BD292" s="88"/>
      <c r="BE292" s="88"/>
      <c r="BF292" s="88"/>
      <c r="BG292" s="88"/>
      <c r="BH292" s="88"/>
    </row>
    <row r="293" spans="3:60" ht="21" thickTop="1" x14ac:dyDescent="0.3">
      <c r="C293" s="56"/>
      <c r="D293" s="166" t="str">
        <f>D$3</f>
        <v>Conso</v>
      </c>
      <c r="E293" s="167"/>
      <c r="F293" s="168"/>
      <c r="G293" s="166" t="str">
        <f>G$3</f>
        <v>BMW PA</v>
      </c>
      <c r="H293" s="167"/>
      <c r="I293" s="168"/>
      <c r="J293" s="166" t="str">
        <f>J$3</f>
        <v>BMW STJ</v>
      </c>
      <c r="K293" s="167"/>
      <c r="L293" s="168"/>
      <c r="M293" s="166" t="str">
        <f>M$3</f>
        <v>BMW SHER</v>
      </c>
      <c r="N293" s="167"/>
      <c r="O293" s="168"/>
      <c r="P293" s="166" t="str">
        <f>P$3</f>
        <v>MBQ</v>
      </c>
      <c r="Q293" s="167"/>
      <c r="R293" s="168"/>
      <c r="S293" s="166" t="str">
        <f>S$3</f>
        <v>SSMB</v>
      </c>
      <c r="T293" s="167"/>
      <c r="U293" s="168"/>
      <c r="V293" s="166" t="str">
        <f>V$3</f>
        <v>AUDI</v>
      </c>
      <c r="W293" s="167"/>
      <c r="X293" s="168"/>
      <c r="Y293" s="166" t="str">
        <f>Y$3</f>
        <v>JLR</v>
      </c>
      <c r="Z293" s="167"/>
      <c r="AA293" s="168"/>
      <c r="AB293" s="166" t="str">
        <f>AB$3</f>
        <v>LEXUS</v>
      </c>
      <c r="AC293" s="167"/>
      <c r="AD293" s="168"/>
      <c r="AE293" s="166" t="str">
        <f>AE$3</f>
        <v>Volvo</v>
      </c>
      <c r="AF293" s="167"/>
      <c r="AG293" s="168"/>
      <c r="AH293" s="166" t="str">
        <f>AH$3</f>
        <v>Mini</v>
      </c>
      <c r="AI293" s="167"/>
      <c r="AJ293" s="168"/>
      <c r="AK293" s="166" t="str">
        <f>AK$3</f>
        <v>Infiniti</v>
      </c>
      <c r="AL293" s="167"/>
      <c r="AM293" s="168"/>
      <c r="AN293" s="166" t="str">
        <f>AN$3</f>
        <v>Honda</v>
      </c>
      <c r="AO293" s="167"/>
      <c r="AP293" s="168"/>
      <c r="AQ293" s="166" t="str">
        <f>AQ$3</f>
        <v>Toyota</v>
      </c>
      <c r="AR293" s="167"/>
      <c r="AS293" s="168"/>
      <c r="AT293" s="166" t="str">
        <f>AT$3</f>
        <v>Volks</v>
      </c>
      <c r="AU293" s="167"/>
      <c r="AV293" s="168"/>
      <c r="AW293" s="166" t="str">
        <f>AW$3</f>
        <v>LHD</v>
      </c>
      <c r="AX293" s="167"/>
      <c r="AY293" s="168"/>
      <c r="AZ293" s="166"/>
      <c r="BA293" s="167"/>
      <c r="BB293" s="168"/>
      <c r="BC293" s="166"/>
      <c r="BD293" s="169"/>
      <c r="BE293" s="170"/>
      <c r="BF293" s="166"/>
      <c r="BG293" s="169"/>
      <c r="BH293" s="170"/>
    </row>
    <row r="294" spans="3:60" ht="20.25" x14ac:dyDescent="0.3">
      <c r="C294" s="8"/>
      <c r="D294" s="55" t="s">
        <v>33</v>
      </c>
      <c r="E294" s="54" t="s">
        <v>32</v>
      </c>
      <c r="F294" s="53" t="s">
        <v>31</v>
      </c>
      <c r="G294" s="52" t="str">
        <f>$D294</f>
        <v>$VENTES</v>
      </c>
      <c r="H294" s="51" t="str">
        <f>$E294</f>
        <v>% P. BRUT</v>
      </c>
      <c r="I294" s="50" t="str">
        <f>$F294</f>
        <v>$PROFITS</v>
      </c>
      <c r="J294" s="52" t="str">
        <f>$D294</f>
        <v>$VENTES</v>
      </c>
      <c r="K294" s="51" t="str">
        <f>$E294</f>
        <v>% P. BRUT</v>
      </c>
      <c r="L294" s="50" t="str">
        <f>$F294</f>
        <v>$PROFITS</v>
      </c>
      <c r="M294" s="52" t="str">
        <f>$D294</f>
        <v>$VENTES</v>
      </c>
      <c r="N294" s="51" t="str">
        <f>$E294</f>
        <v>% P. BRUT</v>
      </c>
      <c r="O294" s="50" t="str">
        <f>$F294</f>
        <v>$PROFITS</v>
      </c>
      <c r="P294" s="52" t="str">
        <f>$D294</f>
        <v>$VENTES</v>
      </c>
      <c r="Q294" s="51" t="str">
        <f>$E294</f>
        <v>% P. BRUT</v>
      </c>
      <c r="R294" s="50" t="str">
        <f>$F294</f>
        <v>$PROFITS</v>
      </c>
      <c r="S294" s="52" t="str">
        <f>$D294</f>
        <v>$VENTES</v>
      </c>
      <c r="T294" s="51" t="str">
        <f>$E294</f>
        <v>% P. BRUT</v>
      </c>
      <c r="U294" s="50" t="str">
        <f>$F294</f>
        <v>$PROFITS</v>
      </c>
      <c r="V294" s="52" t="str">
        <f>$D294</f>
        <v>$VENTES</v>
      </c>
      <c r="W294" s="51" t="str">
        <f>$E294</f>
        <v>% P. BRUT</v>
      </c>
      <c r="X294" s="50" t="str">
        <f>$F294</f>
        <v>$PROFITS</v>
      </c>
      <c r="Y294" s="52" t="str">
        <f>$D294</f>
        <v>$VENTES</v>
      </c>
      <c r="Z294" s="51" t="str">
        <f>$E294</f>
        <v>% P. BRUT</v>
      </c>
      <c r="AA294" s="50" t="str">
        <f>$F294</f>
        <v>$PROFITS</v>
      </c>
      <c r="AB294" s="52" t="str">
        <f>$D294</f>
        <v>$VENTES</v>
      </c>
      <c r="AC294" s="51" t="str">
        <f>$E294</f>
        <v>% P. BRUT</v>
      </c>
      <c r="AD294" s="50" t="str">
        <f>$F294</f>
        <v>$PROFITS</v>
      </c>
      <c r="AE294" s="52" t="str">
        <f>$D294</f>
        <v>$VENTES</v>
      </c>
      <c r="AF294" s="51" t="str">
        <f>$E294</f>
        <v>% P. BRUT</v>
      </c>
      <c r="AG294" s="50" t="str">
        <f>$F294</f>
        <v>$PROFITS</v>
      </c>
      <c r="AH294" s="52" t="str">
        <f>$D294</f>
        <v>$VENTES</v>
      </c>
      <c r="AI294" s="51" t="str">
        <f>$E294</f>
        <v>% P. BRUT</v>
      </c>
      <c r="AJ294" s="50" t="str">
        <f>$F294</f>
        <v>$PROFITS</v>
      </c>
      <c r="AK294" s="52" t="str">
        <f>$D294</f>
        <v>$VENTES</v>
      </c>
      <c r="AL294" s="51" t="str">
        <f>$E294</f>
        <v>% P. BRUT</v>
      </c>
      <c r="AM294" s="50" t="str">
        <f>$F294</f>
        <v>$PROFITS</v>
      </c>
      <c r="AN294" s="52" t="str">
        <f>$D294</f>
        <v>$VENTES</v>
      </c>
      <c r="AO294" s="51" t="str">
        <f>$E294</f>
        <v>% P. BRUT</v>
      </c>
      <c r="AP294" s="50" t="str">
        <f>$F294</f>
        <v>$PROFITS</v>
      </c>
      <c r="AQ294" s="52" t="str">
        <f>$D294</f>
        <v>$VENTES</v>
      </c>
      <c r="AR294" s="51" t="str">
        <f>$E294</f>
        <v>% P. BRUT</v>
      </c>
      <c r="AS294" s="50" t="str">
        <f>$F294</f>
        <v>$PROFITS</v>
      </c>
      <c r="AT294" s="52" t="str">
        <f>$D294</f>
        <v>$VENTES</v>
      </c>
      <c r="AU294" s="51" t="str">
        <f>$E294</f>
        <v>% P. BRUT</v>
      </c>
      <c r="AV294" s="50" t="str">
        <f>$F294</f>
        <v>$PROFITS</v>
      </c>
      <c r="AW294" s="52" t="str">
        <f>$D294</f>
        <v>$VENTES</v>
      </c>
      <c r="AX294" s="51" t="str">
        <f>$E294</f>
        <v>% P. BRUT</v>
      </c>
      <c r="AY294" s="50" t="str">
        <f>$F294</f>
        <v>$PROFITS</v>
      </c>
      <c r="AZ294" s="52"/>
      <c r="BA294" s="51"/>
      <c r="BB294" s="50"/>
      <c r="BC294" s="55"/>
      <c r="BD294" s="54"/>
      <c r="BE294" s="53"/>
      <c r="BF294" s="55"/>
      <c r="BG294" s="54"/>
      <c r="BH294" s="53"/>
    </row>
    <row r="295" spans="3:60" ht="20.25" x14ac:dyDescent="0.3">
      <c r="C295" s="8" t="s">
        <v>48</v>
      </c>
      <c r="D295" s="86">
        <f t="shared" ref="D295:D303" si="17">+SUM(G295,J295,M295,P295,S295,V295,Y295,AB295,AE295,AH295,AK295,AN295,AQ295,AT295,AW295,AZ295,BC295,BF295)</f>
        <v>1313583.2399999967</v>
      </c>
      <c r="E295" s="80">
        <f t="shared" ref="E295:E304" si="18">IF(D295&lt;=0,0,F295/D295)</f>
        <v>0.36029809576437682</v>
      </c>
      <c r="F295" s="18">
        <f t="shared" ref="F295:F303" si="19">+SUM(I295,L295,O295,R295,U295,X295,AA295,AD295,AG295,AJ295,AM295,AP295,AS295,AV295,AY295,BB295,BE295,BH295)</f>
        <v>473281.53999999922</v>
      </c>
      <c r="G295" s="86">
        <v>107863.209999999</v>
      </c>
      <c r="H295" s="80">
        <v>0.41198078566361901</v>
      </c>
      <c r="I295" s="18">
        <v>44437.57</v>
      </c>
      <c r="J295" s="86">
        <v>112244.109999999</v>
      </c>
      <c r="K295" s="80">
        <v>0.40204327870745199</v>
      </c>
      <c r="L295" s="18">
        <v>45126.989999999903</v>
      </c>
      <c r="M295" s="86">
        <v>39938.219999999899</v>
      </c>
      <c r="N295" s="80">
        <v>0.42880378744971498</v>
      </c>
      <c r="O295" s="18">
        <v>17125.659999999902</v>
      </c>
      <c r="P295" s="86">
        <v>112776.23</v>
      </c>
      <c r="Q295" s="80">
        <v>0.37239345560673498</v>
      </c>
      <c r="R295" s="18">
        <v>41997.13</v>
      </c>
      <c r="S295" s="86">
        <v>256428.959999999</v>
      </c>
      <c r="T295" s="80">
        <v>0.33995937900305701</v>
      </c>
      <c r="U295" s="18">
        <v>87175.429999999906</v>
      </c>
      <c r="V295" s="86">
        <v>134624.53</v>
      </c>
      <c r="W295" s="80">
        <v>0.36113879097665103</v>
      </c>
      <c r="X295" s="18">
        <v>48618.139999999898</v>
      </c>
      <c r="Y295" s="86">
        <v>62366.81</v>
      </c>
      <c r="Z295" s="80">
        <v>0.38714614391853602</v>
      </c>
      <c r="AA295" s="18">
        <v>24145.07</v>
      </c>
      <c r="AB295" s="86">
        <v>40289.979999999901</v>
      </c>
      <c r="AC295" s="80">
        <v>0.35254199679423998</v>
      </c>
      <c r="AD295" s="18">
        <v>14203.9099999999</v>
      </c>
      <c r="AE295" s="86">
        <v>92918.54</v>
      </c>
      <c r="AF295" s="80">
        <v>0.43286851041783397</v>
      </c>
      <c r="AG295" s="18">
        <v>40221.5099999999</v>
      </c>
      <c r="AH295" s="86">
        <v>35685.99</v>
      </c>
      <c r="AI295" s="80">
        <v>0.41288023675397501</v>
      </c>
      <c r="AJ295" s="18">
        <v>14734.039999999901</v>
      </c>
      <c r="AK295" s="86">
        <v>21937.84</v>
      </c>
      <c r="AL295" s="80">
        <v>0.408513326745021</v>
      </c>
      <c r="AM295" s="18">
        <v>8961.9</v>
      </c>
      <c r="AN295" s="86">
        <v>71892.960000000006</v>
      </c>
      <c r="AO295" s="80">
        <v>0.41683052137511101</v>
      </c>
      <c r="AP295" s="18">
        <v>29967.18</v>
      </c>
      <c r="AQ295" s="86">
        <v>54549.279999999999</v>
      </c>
      <c r="AR295" s="80">
        <v>0.34898242469928098</v>
      </c>
      <c r="AS295" s="18">
        <v>19036.7399999999</v>
      </c>
      <c r="AT295" s="86">
        <v>60578.83</v>
      </c>
      <c r="AU295" s="80">
        <v>0.28341881148909598</v>
      </c>
      <c r="AV295" s="18">
        <v>17169.18</v>
      </c>
      <c r="AW295" s="86">
        <v>109487.75</v>
      </c>
      <c r="AX295" s="80">
        <v>0.185966831905852</v>
      </c>
      <c r="AY295" s="18">
        <v>20361.09</v>
      </c>
      <c r="AZ295" s="86"/>
      <c r="BA295" s="80"/>
      <c r="BB295" s="18"/>
      <c r="BC295" s="86"/>
      <c r="BD295" s="80"/>
      <c r="BE295" s="18"/>
      <c r="BF295" s="86"/>
      <c r="BG295" s="80"/>
      <c r="BH295" s="18"/>
    </row>
    <row r="296" spans="3:60" ht="20.25" x14ac:dyDescent="0.3">
      <c r="C296" s="8" t="s">
        <v>47</v>
      </c>
      <c r="D296" s="86">
        <f t="shared" si="17"/>
        <v>355606.03</v>
      </c>
      <c r="E296" s="80">
        <f t="shared" si="18"/>
        <v>0.24134751033327528</v>
      </c>
      <c r="F296" s="18">
        <f t="shared" si="19"/>
        <v>85824.63</v>
      </c>
      <c r="G296" s="86">
        <v>54167.79</v>
      </c>
      <c r="H296" s="80">
        <v>0.201171397245484</v>
      </c>
      <c r="I296" s="18">
        <v>10897.01</v>
      </c>
      <c r="J296" s="86">
        <v>23956</v>
      </c>
      <c r="K296" s="80">
        <v>0.21315495074302801</v>
      </c>
      <c r="L296" s="18">
        <v>5106.34</v>
      </c>
      <c r="M296" s="86">
        <v>507.77</v>
      </c>
      <c r="N296" s="80">
        <v>0.47671189711877399</v>
      </c>
      <c r="O296" s="18">
        <v>242.06</v>
      </c>
      <c r="P296" s="86">
        <v>155437.69</v>
      </c>
      <c r="Q296" s="80">
        <v>0.27689835071532498</v>
      </c>
      <c r="R296" s="18">
        <v>43040.44</v>
      </c>
      <c r="S296" s="86">
        <v>20301.95</v>
      </c>
      <c r="T296" s="80">
        <v>0.35327493171838098</v>
      </c>
      <c r="U296" s="18">
        <v>7172.17</v>
      </c>
      <c r="V296" s="86">
        <v>86346.22</v>
      </c>
      <c r="W296" s="80">
        <v>0.18542722541878501</v>
      </c>
      <c r="X296" s="18">
        <v>16010.94</v>
      </c>
      <c r="Y296" s="86">
        <v>0</v>
      </c>
      <c r="Z296" s="80">
        <v>0</v>
      </c>
      <c r="AA296" s="18">
        <v>0</v>
      </c>
      <c r="AB296" s="86">
        <v>0</v>
      </c>
      <c r="AC296" s="80">
        <v>0</v>
      </c>
      <c r="AD296" s="18">
        <v>0</v>
      </c>
      <c r="AE296" s="86">
        <v>0</v>
      </c>
      <c r="AF296" s="80">
        <v>0</v>
      </c>
      <c r="AG296" s="18">
        <v>0</v>
      </c>
      <c r="AH296" s="86">
        <v>3923.99</v>
      </c>
      <c r="AI296" s="80">
        <v>0.207350171636523</v>
      </c>
      <c r="AJ296" s="18">
        <v>813.63999999999896</v>
      </c>
      <c r="AK296" s="86">
        <v>0</v>
      </c>
      <c r="AL296" s="80">
        <v>0</v>
      </c>
      <c r="AM296" s="18">
        <v>0</v>
      </c>
      <c r="AN296" s="86">
        <v>0</v>
      </c>
      <c r="AO296" s="80">
        <v>0</v>
      </c>
      <c r="AP296" s="18">
        <v>0</v>
      </c>
      <c r="AQ296" s="86">
        <v>0</v>
      </c>
      <c r="AR296" s="80">
        <v>0</v>
      </c>
      <c r="AS296" s="18">
        <v>0</v>
      </c>
      <c r="AT296" s="86">
        <v>10964.62</v>
      </c>
      <c r="AU296" s="80">
        <v>0.23183931590880399</v>
      </c>
      <c r="AV296" s="18">
        <v>2542.0300000000002</v>
      </c>
      <c r="AW296" s="86">
        <v>0</v>
      </c>
      <c r="AX296" s="80">
        <v>0</v>
      </c>
      <c r="AY296" s="18">
        <v>0</v>
      </c>
      <c r="AZ296" s="86"/>
      <c r="BA296" s="80"/>
      <c r="BB296" s="18"/>
      <c r="BC296" s="86"/>
      <c r="BD296" s="80"/>
      <c r="BE296" s="18"/>
      <c r="BF296" s="86"/>
      <c r="BG296" s="80"/>
      <c r="BH296" s="18"/>
    </row>
    <row r="297" spans="3:60" ht="20.25" x14ac:dyDescent="0.3">
      <c r="C297" s="8" t="s">
        <v>46</v>
      </c>
      <c r="D297" s="86">
        <f t="shared" si="17"/>
        <v>1821917.2100000007</v>
      </c>
      <c r="E297" s="80">
        <f t="shared" si="18"/>
        <v>0.24734745219295631</v>
      </c>
      <c r="F297" s="18">
        <f t="shared" si="19"/>
        <v>450646.57999999949</v>
      </c>
      <c r="G297" s="86">
        <v>225261.44</v>
      </c>
      <c r="H297" s="80">
        <v>0.28261192861059498</v>
      </c>
      <c r="I297" s="18">
        <v>63661.57</v>
      </c>
      <c r="J297" s="86">
        <v>200476.6</v>
      </c>
      <c r="K297" s="80">
        <v>0.27327718047891802</v>
      </c>
      <c r="L297" s="18">
        <v>54785.68</v>
      </c>
      <c r="M297" s="86">
        <v>59603.33</v>
      </c>
      <c r="N297" s="80">
        <v>0.284717649164903</v>
      </c>
      <c r="O297" s="18">
        <v>16970.119999999901</v>
      </c>
      <c r="P297" s="86">
        <v>237375.55</v>
      </c>
      <c r="Q297" s="80">
        <v>0.220742447990115</v>
      </c>
      <c r="R297" s="18">
        <v>52398.859999999899</v>
      </c>
      <c r="S297" s="86">
        <v>352928.47</v>
      </c>
      <c r="T297" s="80">
        <v>0.20528154047759201</v>
      </c>
      <c r="U297" s="18">
        <v>72449.699999999895</v>
      </c>
      <c r="V297" s="86">
        <v>213982.56</v>
      </c>
      <c r="W297" s="80">
        <v>0.23227364884315799</v>
      </c>
      <c r="X297" s="18">
        <v>49702.51</v>
      </c>
      <c r="Y297" s="86">
        <v>97956.27</v>
      </c>
      <c r="Z297" s="80">
        <v>0.275475781182766</v>
      </c>
      <c r="AA297" s="18">
        <v>26984.58</v>
      </c>
      <c r="AB297" s="86">
        <v>40682.019999999997</v>
      </c>
      <c r="AC297" s="80">
        <v>0.28008958257235</v>
      </c>
      <c r="AD297" s="18">
        <v>11394.609999999901</v>
      </c>
      <c r="AE297" s="86">
        <v>81452.87</v>
      </c>
      <c r="AF297" s="80">
        <v>0.29047091894981703</v>
      </c>
      <c r="AG297" s="18">
        <v>23659.6899999999</v>
      </c>
      <c r="AH297" s="86">
        <v>37162.57</v>
      </c>
      <c r="AI297" s="80">
        <v>0.27595992419254101</v>
      </c>
      <c r="AJ297" s="18">
        <v>10255.379999999999</v>
      </c>
      <c r="AK297" s="86">
        <v>37602.550000000003</v>
      </c>
      <c r="AL297" s="80">
        <v>0.26432143564731603</v>
      </c>
      <c r="AM297" s="18">
        <v>9939.16</v>
      </c>
      <c r="AN297" s="86">
        <v>38575.040000000001</v>
      </c>
      <c r="AO297" s="80">
        <v>0.21649958107625999</v>
      </c>
      <c r="AP297" s="18">
        <v>8351.48</v>
      </c>
      <c r="AQ297" s="86">
        <v>100115.78</v>
      </c>
      <c r="AR297" s="80">
        <v>0.25882752948636001</v>
      </c>
      <c r="AS297" s="18">
        <v>25912.720000000001</v>
      </c>
      <c r="AT297" s="86">
        <v>81364.36</v>
      </c>
      <c r="AU297" s="80">
        <v>0.23102350955627199</v>
      </c>
      <c r="AV297" s="18">
        <v>18797.080000000002</v>
      </c>
      <c r="AW297" s="86">
        <v>17377.8</v>
      </c>
      <c r="AX297" s="80">
        <v>0.30978835065428301</v>
      </c>
      <c r="AY297" s="18">
        <v>5383.4399999999896</v>
      </c>
      <c r="AZ297" s="86"/>
      <c r="BA297" s="80"/>
      <c r="BB297" s="18"/>
      <c r="BC297" s="86"/>
      <c r="BD297" s="80"/>
      <c r="BE297" s="18"/>
      <c r="BF297" s="86"/>
      <c r="BG297" s="80"/>
      <c r="BH297" s="18"/>
    </row>
    <row r="298" spans="3:60" ht="20.25" x14ac:dyDescent="0.3">
      <c r="C298" s="8" t="s">
        <v>45</v>
      </c>
      <c r="D298" s="86">
        <f t="shared" si="17"/>
        <v>542337.89</v>
      </c>
      <c r="E298" s="80">
        <f t="shared" si="18"/>
        <v>0.30225518633780107</v>
      </c>
      <c r="F298" s="18">
        <f t="shared" si="19"/>
        <v>163924.43999999986</v>
      </c>
      <c r="G298" s="86">
        <v>36798.5</v>
      </c>
      <c r="H298" s="80">
        <v>0.36777368642743502</v>
      </c>
      <c r="I298" s="18">
        <v>13533.52</v>
      </c>
      <c r="J298" s="86">
        <v>40992.75</v>
      </c>
      <c r="K298" s="80">
        <v>0.32213452378774299</v>
      </c>
      <c r="L298" s="18">
        <v>13205.18</v>
      </c>
      <c r="M298" s="86">
        <v>14844.9399999999</v>
      </c>
      <c r="N298" s="80">
        <v>0.34725771879172201</v>
      </c>
      <c r="O298" s="18">
        <v>5155.0199999999904</v>
      </c>
      <c r="P298" s="86">
        <v>77255.259999999995</v>
      </c>
      <c r="Q298" s="80">
        <v>0.246782290293243</v>
      </c>
      <c r="R298" s="18">
        <v>19065.23</v>
      </c>
      <c r="S298" s="86">
        <v>76178.87</v>
      </c>
      <c r="T298" s="80">
        <v>0.28312339104006101</v>
      </c>
      <c r="U298" s="18">
        <v>21568.02</v>
      </c>
      <c r="V298" s="86">
        <v>73493.22</v>
      </c>
      <c r="W298" s="80">
        <v>0.31032685736180798</v>
      </c>
      <c r="X298" s="18">
        <v>22806.9199999999</v>
      </c>
      <c r="Y298" s="86">
        <v>28575.96</v>
      </c>
      <c r="Z298" s="80">
        <v>0.36499176230649799</v>
      </c>
      <c r="AA298" s="18">
        <v>10429.99</v>
      </c>
      <c r="AB298" s="86">
        <v>46588.72</v>
      </c>
      <c r="AC298" s="80">
        <v>0.30288640683839302</v>
      </c>
      <c r="AD298" s="18">
        <v>14111.09</v>
      </c>
      <c r="AE298" s="86">
        <v>12571.89</v>
      </c>
      <c r="AF298" s="80">
        <v>0.24144022895523201</v>
      </c>
      <c r="AG298" s="18">
        <v>3035.3599999999901</v>
      </c>
      <c r="AH298" s="86">
        <v>9988.81</v>
      </c>
      <c r="AI298" s="80">
        <v>0.47581743971504098</v>
      </c>
      <c r="AJ298" s="18">
        <v>4752.8499999999904</v>
      </c>
      <c r="AK298" s="86">
        <v>14358.21</v>
      </c>
      <c r="AL298" s="80">
        <v>0.364879048293624</v>
      </c>
      <c r="AM298" s="18">
        <v>5239.01</v>
      </c>
      <c r="AN298" s="86">
        <v>24325.37</v>
      </c>
      <c r="AO298" s="80">
        <v>0.286931709569063</v>
      </c>
      <c r="AP298" s="18">
        <v>6979.72</v>
      </c>
      <c r="AQ298" s="86">
        <v>22869.33</v>
      </c>
      <c r="AR298" s="80">
        <v>0.33075783155868499</v>
      </c>
      <c r="AS298" s="18">
        <v>7564.21</v>
      </c>
      <c r="AT298" s="86">
        <v>63496.06</v>
      </c>
      <c r="AU298" s="80">
        <v>0.25951720468954997</v>
      </c>
      <c r="AV298" s="18">
        <v>16478.32</v>
      </c>
      <c r="AW298" s="86">
        <v>0</v>
      </c>
      <c r="AX298" s="80">
        <v>0</v>
      </c>
      <c r="AY298" s="18">
        <v>0</v>
      </c>
      <c r="AZ298" s="86"/>
      <c r="BA298" s="80"/>
      <c r="BB298" s="18"/>
      <c r="BC298" s="86"/>
      <c r="BD298" s="80"/>
      <c r="BE298" s="18"/>
      <c r="BF298" s="86"/>
      <c r="BG298" s="80"/>
      <c r="BH298" s="18"/>
    </row>
    <row r="299" spans="3:60" ht="20.25" x14ac:dyDescent="0.3">
      <c r="C299" s="8" t="s">
        <v>44</v>
      </c>
      <c r="D299" s="86">
        <f t="shared" si="17"/>
        <v>331789.12999999977</v>
      </c>
      <c r="E299" s="80">
        <f t="shared" si="18"/>
        <v>0.2782130324763798</v>
      </c>
      <c r="F299" s="18">
        <f t="shared" si="19"/>
        <v>92308.059999999736</v>
      </c>
      <c r="G299" s="86">
        <v>51250.77</v>
      </c>
      <c r="H299" s="80">
        <v>0.24802729793132799</v>
      </c>
      <c r="I299" s="18">
        <v>12711.5899999999</v>
      </c>
      <c r="J299" s="86">
        <v>25059.439999999999</v>
      </c>
      <c r="K299" s="80">
        <v>0.29872215819667097</v>
      </c>
      <c r="L299" s="18">
        <v>7485.8099999999904</v>
      </c>
      <c r="M299" s="86">
        <v>8088.5</v>
      </c>
      <c r="N299" s="80">
        <v>0.29297150275081901</v>
      </c>
      <c r="O299" s="18">
        <v>2369.6999999999998</v>
      </c>
      <c r="P299" s="86">
        <v>15737.64</v>
      </c>
      <c r="Q299" s="80">
        <v>0.33599764640695801</v>
      </c>
      <c r="R299" s="18">
        <v>5287.8099999999904</v>
      </c>
      <c r="S299" s="86">
        <v>89383.65</v>
      </c>
      <c r="T299" s="80">
        <v>0.27073933543774498</v>
      </c>
      <c r="U299" s="18">
        <v>24199.6699999999</v>
      </c>
      <c r="V299" s="86">
        <v>14780.289999999901</v>
      </c>
      <c r="W299" s="80">
        <v>0.31589434307445902</v>
      </c>
      <c r="X299" s="18">
        <v>4669.0099999999902</v>
      </c>
      <c r="Y299" s="86">
        <v>7218.59</v>
      </c>
      <c r="Z299" s="80">
        <v>0.102183390385103</v>
      </c>
      <c r="AA299" s="18">
        <v>737.62</v>
      </c>
      <c r="AB299" s="86">
        <v>3521.91</v>
      </c>
      <c r="AC299" s="80">
        <v>0.32980967713541798</v>
      </c>
      <c r="AD299" s="18">
        <v>1161.56</v>
      </c>
      <c r="AE299" s="86">
        <v>7969.79</v>
      </c>
      <c r="AF299" s="80">
        <v>0.31097055254906297</v>
      </c>
      <c r="AG299" s="18">
        <v>2478.37</v>
      </c>
      <c r="AH299" s="86">
        <v>15872.619999999901</v>
      </c>
      <c r="AI299" s="80">
        <v>0.20046973971530799</v>
      </c>
      <c r="AJ299" s="18">
        <v>3181.97999999999</v>
      </c>
      <c r="AK299" s="86">
        <v>7200.85</v>
      </c>
      <c r="AL299" s="80">
        <v>0.182060451196733</v>
      </c>
      <c r="AM299" s="18">
        <v>1310.99</v>
      </c>
      <c r="AN299" s="86">
        <v>6772.73</v>
      </c>
      <c r="AO299" s="80">
        <v>0.37390535278978998</v>
      </c>
      <c r="AP299" s="18">
        <v>2532.3599999999901</v>
      </c>
      <c r="AQ299" s="86">
        <v>10816.13</v>
      </c>
      <c r="AR299" s="80">
        <v>0.32278088373567898</v>
      </c>
      <c r="AS299" s="18">
        <v>3491.2399999999898</v>
      </c>
      <c r="AT299" s="86">
        <v>19021.86</v>
      </c>
      <c r="AU299" s="80">
        <v>0.28937180696314602</v>
      </c>
      <c r="AV299" s="18">
        <v>5504.39</v>
      </c>
      <c r="AW299" s="86">
        <v>49094.36</v>
      </c>
      <c r="AX299" s="80">
        <v>0.30932188544671901</v>
      </c>
      <c r="AY299" s="18">
        <v>15185.96</v>
      </c>
      <c r="AZ299" s="86"/>
      <c r="BA299" s="80"/>
      <c r="BB299" s="18"/>
      <c r="BC299" s="86"/>
      <c r="BD299" s="80"/>
      <c r="BE299" s="18"/>
      <c r="BF299" s="86"/>
      <c r="BG299" s="80"/>
      <c r="BH299" s="18"/>
    </row>
    <row r="300" spans="3:60" ht="20.25" x14ac:dyDescent="0.3">
      <c r="C300" s="8" t="s">
        <v>43</v>
      </c>
      <c r="D300" s="86">
        <f t="shared" si="17"/>
        <v>2454569.98</v>
      </c>
      <c r="E300" s="80">
        <f t="shared" si="18"/>
        <v>0.16623785971667412</v>
      </c>
      <c r="F300" s="18">
        <f t="shared" si="19"/>
        <v>408042.45999999961</v>
      </c>
      <c r="G300" s="86">
        <v>189185.74</v>
      </c>
      <c r="H300" s="80">
        <v>0.177102513117532</v>
      </c>
      <c r="I300" s="18">
        <v>33505.269999999997</v>
      </c>
      <c r="J300" s="86">
        <v>64709.71</v>
      </c>
      <c r="K300" s="80">
        <v>0.136810534307757</v>
      </c>
      <c r="L300" s="18">
        <v>8852.9699999999993</v>
      </c>
      <c r="M300" s="86">
        <v>59213.71</v>
      </c>
      <c r="N300" s="80">
        <v>0.211877114269651</v>
      </c>
      <c r="O300" s="18">
        <v>12546.029999999901</v>
      </c>
      <c r="P300" s="86">
        <v>128378.89</v>
      </c>
      <c r="Q300" s="80">
        <v>0.189508571074263</v>
      </c>
      <c r="R300" s="18">
        <v>24328.8999999999</v>
      </c>
      <c r="S300" s="86">
        <v>503808.7</v>
      </c>
      <c r="T300" s="80">
        <v>0.14245944939021399</v>
      </c>
      <c r="U300" s="18">
        <v>71772.31</v>
      </c>
      <c r="V300" s="86">
        <v>336357.53</v>
      </c>
      <c r="W300" s="80">
        <v>0.14895887718048101</v>
      </c>
      <c r="X300" s="18">
        <v>50103.44</v>
      </c>
      <c r="Y300" s="86">
        <v>195459.13</v>
      </c>
      <c r="Z300" s="80">
        <v>0.20800420016194601</v>
      </c>
      <c r="AA300" s="18">
        <v>40656.32</v>
      </c>
      <c r="AB300" s="86">
        <v>162938.16</v>
      </c>
      <c r="AC300" s="80">
        <v>0.22511221435175099</v>
      </c>
      <c r="AD300" s="18">
        <v>36679.370000000003</v>
      </c>
      <c r="AE300" s="86">
        <v>138468.73000000001</v>
      </c>
      <c r="AF300" s="80">
        <v>0.21158495495697799</v>
      </c>
      <c r="AG300" s="18">
        <v>29297.9</v>
      </c>
      <c r="AH300" s="86">
        <v>31929.93</v>
      </c>
      <c r="AI300" s="80">
        <v>0.20199668461534301</v>
      </c>
      <c r="AJ300" s="18">
        <v>6449.74</v>
      </c>
      <c r="AK300" s="86">
        <v>24573.93</v>
      </c>
      <c r="AL300" s="80">
        <v>5.3789524101354499E-2</v>
      </c>
      <c r="AM300" s="18">
        <v>1321.8199999999899</v>
      </c>
      <c r="AN300" s="86">
        <v>223102.19</v>
      </c>
      <c r="AO300" s="80">
        <v>0.15675247293628</v>
      </c>
      <c r="AP300" s="18">
        <v>34971.82</v>
      </c>
      <c r="AQ300" s="86">
        <v>197470.53</v>
      </c>
      <c r="AR300" s="80">
        <v>0.161649437007132</v>
      </c>
      <c r="AS300" s="18">
        <v>31920.999999999902</v>
      </c>
      <c r="AT300" s="86">
        <v>198781.86</v>
      </c>
      <c r="AU300" s="80">
        <v>0.128001267318858</v>
      </c>
      <c r="AV300" s="18">
        <v>25444.3299999999</v>
      </c>
      <c r="AW300" s="86">
        <v>191.24</v>
      </c>
      <c r="AX300" s="80">
        <v>1</v>
      </c>
      <c r="AY300" s="18">
        <v>191.24</v>
      </c>
      <c r="AZ300" s="86"/>
      <c r="BA300" s="80"/>
      <c r="BB300" s="18"/>
      <c r="BC300" s="86"/>
      <c r="BD300" s="80"/>
      <c r="BE300" s="18"/>
      <c r="BF300" s="86"/>
      <c r="BG300" s="80"/>
      <c r="BH300" s="18"/>
    </row>
    <row r="301" spans="3:60" ht="20.25" hidden="1" x14ac:dyDescent="0.3">
      <c r="C301" s="8" t="s">
        <v>3</v>
      </c>
      <c r="D301" s="86">
        <f t="shared" si="17"/>
        <v>0</v>
      </c>
      <c r="E301" s="80">
        <f t="shared" si="18"/>
        <v>0</v>
      </c>
      <c r="F301" s="18">
        <f t="shared" si="19"/>
        <v>0</v>
      </c>
      <c r="G301" s="86">
        <v>0</v>
      </c>
      <c r="H301" s="80">
        <v>0</v>
      </c>
      <c r="I301" s="18">
        <v>0</v>
      </c>
      <c r="J301" s="86">
        <v>0</v>
      </c>
      <c r="K301" s="80">
        <v>0</v>
      </c>
      <c r="L301" s="18">
        <v>0</v>
      </c>
      <c r="M301" s="86">
        <v>0</v>
      </c>
      <c r="N301" s="80">
        <v>0</v>
      </c>
      <c r="O301" s="18">
        <v>0</v>
      </c>
      <c r="P301" s="86">
        <v>0</v>
      </c>
      <c r="Q301" s="80">
        <v>0</v>
      </c>
      <c r="R301" s="18">
        <v>0</v>
      </c>
      <c r="S301" s="86">
        <v>0</v>
      </c>
      <c r="T301" s="80">
        <v>0</v>
      </c>
      <c r="U301" s="18">
        <v>0</v>
      </c>
      <c r="V301" s="86">
        <v>0</v>
      </c>
      <c r="W301" s="80">
        <v>0</v>
      </c>
      <c r="X301" s="18">
        <v>0</v>
      </c>
      <c r="Y301" s="86">
        <v>0</v>
      </c>
      <c r="Z301" s="80">
        <v>0</v>
      </c>
      <c r="AA301" s="18">
        <v>0</v>
      </c>
      <c r="AB301" s="86">
        <v>0</v>
      </c>
      <c r="AC301" s="80">
        <v>0</v>
      </c>
      <c r="AD301" s="18">
        <v>0</v>
      </c>
      <c r="AE301" s="86">
        <v>0</v>
      </c>
      <c r="AF301" s="80">
        <v>0</v>
      </c>
      <c r="AG301" s="18">
        <v>0</v>
      </c>
      <c r="AH301" s="86">
        <v>0</v>
      </c>
      <c r="AI301" s="80">
        <v>0</v>
      </c>
      <c r="AJ301" s="18">
        <v>0</v>
      </c>
      <c r="AK301" s="86">
        <v>0</v>
      </c>
      <c r="AL301" s="80">
        <v>0</v>
      </c>
      <c r="AM301" s="18">
        <v>0</v>
      </c>
      <c r="AN301" s="86">
        <v>0</v>
      </c>
      <c r="AO301" s="80">
        <v>0</v>
      </c>
      <c r="AP301" s="18">
        <v>0</v>
      </c>
      <c r="AQ301" s="86">
        <v>0</v>
      </c>
      <c r="AR301" s="80">
        <v>0</v>
      </c>
      <c r="AS301" s="18">
        <v>0</v>
      </c>
      <c r="AT301" s="86">
        <v>0</v>
      </c>
      <c r="AU301" s="80">
        <v>0</v>
      </c>
      <c r="AV301" s="18">
        <v>0</v>
      </c>
      <c r="AW301" s="86">
        <v>0</v>
      </c>
      <c r="AX301" s="80">
        <v>0</v>
      </c>
      <c r="AY301" s="18">
        <v>0</v>
      </c>
      <c r="AZ301" s="86"/>
      <c r="BA301" s="80"/>
      <c r="BB301" s="18"/>
      <c r="BC301" s="86"/>
      <c r="BD301" s="80"/>
      <c r="BE301" s="18"/>
      <c r="BF301" s="86"/>
      <c r="BG301" s="80"/>
      <c r="BH301" s="18"/>
    </row>
    <row r="302" spans="3:60" ht="20.25" x14ac:dyDescent="0.3">
      <c r="C302" s="8" t="s">
        <v>42</v>
      </c>
      <c r="D302" s="86">
        <f t="shared" si="17"/>
        <v>0</v>
      </c>
      <c r="E302" s="80">
        <f t="shared" si="18"/>
        <v>0</v>
      </c>
      <c r="F302" s="18">
        <f t="shared" si="19"/>
        <v>58256.17</v>
      </c>
      <c r="G302" s="86">
        <v>0</v>
      </c>
      <c r="H302" s="80">
        <v>0</v>
      </c>
      <c r="I302" s="18">
        <v>15316.57</v>
      </c>
      <c r="J302" s="86">
        <v>0</v>
      </c>
      <c r="K302" s="80">
        <v>0</v>
      </c>
      <c r="L302" s="18">
        <v>8995.59</v>
      </c>
      <c r="M302" s="86">
        <v>0</v>
      </c>
      <c r="N302" s="80">
        <v>0</v>
      </c>
      <c r="O302" s="18">
        <v>10061.57</v>
      </c>
      <c r="P302" s="86">
        <v>0</v>
      </c>
      <c r="Q302" s="80">
        <v>0</v>
      </c>
      <c r="R302" s="18">
        <v>0</v>
      </c>
      <c r="S302" s="86">
        <v>0</v>
      </c>
      <c r="T302" s="80">
        <v>0</v>
      </c>
      <c r="U302" s="18">
        <v>0</v>
      </c>
      <c r="V302" s="86">
        <v>0</v>
      </c>
      <c r="W302" s="80">
        <v>0</v>
      </c>
      <c r="X302" s="18">
        <v>12696.92</v>
      </c>
      <c r="Y302" s="86">
        <v>0</v>
      </c>
      <c r="Z302" s="80">
        <v>0</v>
      </c>
      <c r="AA302" s="18">
        <v>-2525.3199999999902</v>
      </c>
      <c r="AB302" s="86">
        <v>0</v>
      </c>
      <c r="AC302" s="80">
        <v>0</v>
      </c>
      <c r="AD302" s="18">
        <v>660.75</v>
      </c>
      <c r="AE302" s="86">
        <v>0</v>
      </c>
      <c r="AF302" s="80">
        <v>0</v>
      </c>
      <c r="AG302" s="18">
        <v>-3662.44</v>
      </c>
      <c r="AH302" s="86">
        <v>0</v>
      </c>
      <c r="AI302" s="80">
        <v>0</v>
      </c>
      <c r="AJ302" s="18">
        <v>2987.75</v>
      </c>
      <c r="AK302" s="86">
        <v>0</v>
      </c>
      <c r="AL302" s="80">
        <v>0</v>
      </c>
      <c r="AM302" s="18">
        <v>-31.95</v>
      </c>
      <c r="AN302" s="86">
        <v>0</v>
      </c>
      <c r="AO302" s="80">
        <v>0</v>
      </c>
      <c r="AP302" s="18">
        <v>-35.770000000000003</v>
      </c>
      <c r="AQ302" s="86">
        <v>0</v>
      </c>
      <c r="AR302" s="80">
        <v>0</v>
      </c>
      <c r="AS302" s="18">
        <v>7115.3</v>
      </c>
      <c r="AT302" s="86">
        <v>0</v>
      </c>
      <c r="AU302" s="80">
        <v>0</v>
      </c>
      <c r="AV302" s="18">
        <v>5644.3099999999904</v>
      </c>
      <c r="AW302" s="86">
        <v>0</v>
      </c>
      <c r="AX302" s="80">
        <v>0</v>
      </c>
      <c r="AY302" s="18">
        <v>1032.8900000000001</v>
      </c>
      <c r="AZ302" s="86"/>
      <c r="BA302" s="80"/>
      <c r="BB302" s="18"/>
      <c r="BC302" s="86"/>
      <c r="BD302" s="80"/>
      <c r="BE302" s="18"/>
      <c r="BF302" s="86"/>
      <c r="BG302" s="80"/>
      <c r="BH302" s="18"/>
    </row>
    <row r="303" spans="3:60" ht="20.25" x14ac:dyDescent="0.3">
      <c r="C303" s="67" t="s">
        <v>41</v>
      </c>
      <c r="D303" s="86">
        <f t="shared" si="17"/>
        <v>0</v>
      </c>
      <c r="E303" s="80">
        <f t="shared" si="18"/>
        <v>0</v>
      </c>
      <c r="F303" s="18">
        <f t="shared" si="19"/>
        <v>-1126.03</v>
      </c>
      <c r="G303" s="86">
        <v>0</v>
      </c>
      <c r="H303" s="80">
        <v>0</v>
      </c>
      <c r="I303" s="18">
        <v>0</v>
      </c>
      <c r="J303" s="86">
        <v>0</v>
      </c>
      <c r="K303" s="80">
        <v>0</v>
      </c>
      <c r="L303" s="18">
        <v>0</v>
      </c>
      <c r="M303" s="86">
        <v>0</v>
      </c>
      <c r="N303" s="80">
        <v>0</v>
      </c>
      <c r="O303" s="18">
        <v>0</v>
      </c>
      <c r="P303" s="86">
        <v>0</v>
      </c>
      <c r="Q303" s="80">
        <v>0</v>
      </c>
      <c r="R303" s="18">
        <v>0</v>
      </c>
      <c r="S303" s="86">
        <v>0</v>
      </c>
      <c r="T303" s="80">
        <v>0</v>
      </c>
      <c r="U303" s="18">
        <v>0</v>
      </c>
      <c r="V303" s="86">
        <v>0</v>
      </c>
      <c r="W303" s="80">
        <v>0</v>
      </c>
      <c r="X303" s="18">
        <v>0</v>
      </c>
      <c r="Y303" s="86">
        <v>0</v>
      </c>
      <c r="Z303" s="80">
        <v>0</v>
      </c>
      <c r="AA303" s="18">
        <v>0</v>
      </c>
      <c r="AB303" s="86">
        <v>0</v>
      </c>
      <c r="AC303" s="80">
        <v>0</v>
      </c>
      <c r="AD303" s="18">
        <v>0</v>
      </c>
      <c r="AE303" s="86">
        <v>0</v>
      </c>
      <c r="AF303" s="80">
        <v>0</v>
      </c>
      <c r="AG303" s="18">
        <v>0</v>
      </c>
      <c r="AH303" s="86">
        <v>0</v>
      </c>
      <c r="AI303" s="80">
        <v>0</v>
      </c>
      <c r="AJ303" s="18">
        <v>0</v>
      </c>
      <c r="AK303" s="86">
        <v>0</v>
      </c>
      <c r="AL303" s="80">
        <v>0</v>
      </c>
      <c r="AM303" s="18">
        <v>0</v>
      </c>
      <c r="AN303" s="86">
        <v>0</v>
      </c>
      <c r="AO303" s="80">
        <v>0</v>
      </c>
      <c r="AP303" s="18">
        <v>0</v>
      </c>
      <c r="AQ303" s="86">
        <v>0</v>
      </c>
      <c r="AR303" s="80">
        <v>0</v>
      </c>
      <c r="AS303" s="18">
        <v>-1126.03</v>
      </c>
      <c r="AT303" s="86">
        <v>0</v>
      </c>
      <c r="AU303" s="80">
        <v>0</v>
      </c>
      <c r="AV303" s="18">
        <v>0</v>
      </c>
      <c r="AW303" s="86">
        <v>0</v>
      </c>
      <c r="AX303" s="80">
        <v>0</v>
      </c>
      <c r="AY303" s="18">
        <v>0</v>
      </c>
      <c r="AZ303" s="86"/>
      <c r="BA303" s="80"/>
      <c r="BB303" s="18"/>
      <c r="BC303" s="86"/>
      <c r="BD303" s="80"/>
      <c r="BE303" s="18"/>
      <c r="BF303" s="86"/>
      <c r="BG303" s="80"/>
      <c r="BH303" s="18"/>
    </row>
    <row r="304" spans="3:60" ht="20.25" x14ac:dyDescent="0.3">
      <c r="C304" s="32" t="s">
        <v>40</v>
      </c>
      <c r="D304" s="85">
        <f>SUM(D295:D303)</f>
        <v>6819803.4799999967</v>
      </c>
      <c r="E304" s="84">
        <f t="shared" si="18"/>
        <v>0.25384277641970981</v>
      </c>
      <c r="F304" s="83">
        <f>SUM(F295:F303)</f>
        <v>1731157.849999998</v>
      </c>
      <c r="G304" s="85">
        <v>664527.44999999995</v>
      </c>
      <c r="H304" s="84">
        <v>0.29203172871188299</v>
      </c>
      <c r="I304" s="83">
        <v>194063.1</v>
      </c>
      <c r="J304" s="85">
        <v>467438.61</v>
      </c>
      <c r="K304" s="84">
        <v>0.30711746297551201</v>
      </c>
      <c r="L304" s="83">
        <v>143558.56</v>
      </c>
      <c r="M304" s="85">
        <v>182196.47</v>
      </c>
      <c r="N304" s="84">
        <v>0.35384966569330301</v>
      </c>
      <c r="O304" s="83">
        <v>64470.159999999902</v>
      </c>
      <c r="P304" s="85">
        <v>726961.26</v>
      </c>
      <c r="Q304" s="84">
        <v>0.25602240482525801</v>
      </c>
      <c r="R304" s="83">
        <v>186118.37</v>
      </c>
      <c r="S304" s="85">
        <v>1299030.5999999901</v>
      </c>
      <c r="T304" s="84">
        <v>0.21888422027933699</v>
      </c>
      <c r="U304" s="83">
        <v>284337.299999999</v>
      </c>
      <c r="V304" s="85">
        <v>859584.35</v>
      </c>
      <c r="W304" s="84">
        <v>0.23803118332715101</v>
      </c>
      <c r="X304" s="83">
        <v>204607.88</v>
      </c>
      <c r="Y304" s="85">
        <v>391576.76</v>
      </c>
      <c r="Z304" s="84">
        <v>0.25647145147224698</v>
      </c>
      <c r="AA304" s="83">
        <v>100428.26</v>
      </c>
      <c r="AB304" s="85">
        <v>294020.78999999998</v>
      </c>
      <c r="AC304" s="84">
        <v>0.26600598549510701</v>
      </c>
      <c r="AD304" s="83">
        <v>78211.289999999994</v>
      </c>
      <c r="AE304" s="85">
        <v>333381.82</v>
      </c>
      <c r="AF304" s="84">
        <v>0.285049706669667</v>
      </c>
      <c r="AG304" s="83">
        <v>95030.389999999898</v>
      </c>
      <c r="AH304" s="85">
        <v>134563.90999999901</v>
      </c>
      <c r="AI304" s="84">
        <v>0.32085408338684501</v>
      </c>
      <c r="AJ304" s="83">
        <v>43175.38</v>
      </c>
      <c r="AK304" s="85">
        <v>105673.38</v>
      </c>
      <c r="AL304" s="84">
        <v>0.25305266094450601</v>
      </c>
      <c r="AM304" s="83">
        <v>26740.93</v>
      </c>
      <c r="AN304" s="85">
        <v>364668.29</v>
      </c>
      <c r="AO304" s="84">
        <v>0.22696459294554999</v>
      </c>
      <c r="AP304" s="83">
        <v>82766.789999999994</v>
      </c>
      <c r="AQ304" s="85">
        <v>385821.05</v>
      </c>
      <c r="AR304" s="84">
        <v>0.24341642323559001</v>
      </c>
      <c r="AS304" s="83">
        <v>93915.18</v>
      </c>
      <c r="AT304" s="85">
        <v>434207.58999999898</v>
      </c>
      <c r="AU304" s="84">
        <v>0.21091211233778701</v>
      </c>
      <c r="AV304" s="83">
        <v>91579.639999999898</v>
      </c>
      <c r="AW304" s="85">
        <v>176151.15</v>
      </c>
      <c r="AX304" s="84">
        <v>0.23930936584859</v>
      </c>
      <c r="AY304" s="83">
        <v>42154.62</v>
      </c>
      <c r="AZ304" s="85"/>
      <c r="BA304" s="84"/>
      <c r="BB304" s="83"/>
      <c r="BC304" s="85"/>
      <c r="BD304" s="84"/>
      <c r="BE304" s="83"/>
      <c r="BF304" s="85"/>
      <c r="BG304" s="84"/>
      <c r="BH304" s="83"/>
    </row>
    <row r="305" spans="3:60" ht="20.25" x14ac:dyDescent="0.3">
      <c r="C305" s="8"/>
      <c r="D305" s="73"/>
      <c r="E305" s="7"/>
      <c r="F305" s="6"/>
      <c r="G305" s="73"/>
      <c r="H305" s="7"/>
      <c r="I305" s="6"/>
      <c r="J305" s="73"/>
      <c r="K305" s="7"/>
      <c r="L305" s="6"/>
      <c r="M305" s="73"/>
      <c r="N305" s="7"/>
      <c r="O305" s="6"/>
      <c r="P305" s="73"/>
      <c r="Q305" s="7"/>
      <c r="R305" s="6"/>
      <c r="S305" s="73"/>
      <c r="T305" s="7"/>
      <c r="U305" s="6"/>
      <c r="V305" s="73"/>
      <c r="W305" s="7"/>
      <c r="X305" s="6"/>
      <c r="Y305" s="73"/>
      <c r="Z305" s="7"/>
      <c r="AA305" s="6"/>
      <c r="AB305" s="73"/>
      <c r="AC305" s="7"/>
      <c r="AD305" s="6"/>
      <c r="AE305" s="73"/>
      <c r="AF305" s="7"/>
      <c r="AG305" s="6"/>
      <c r="AH305" s="73"/>
      <c r="AI305" s="7"/>
      <c r="AJ305" s="6"/>
      <c r="AK305" s="73"/>
      <c r="AL305" s="7"/>
      <c r="AM305" s="6"/>
      <c r="AN305" s="73"/>
      <c r="AO305" s="7"/>
      <c r="AP305" s="6"/>
      <c r="AQ305" s="73"/>
      <c r="AR305" s="7"/>
      <c r="AS305" s="6"/>
      <c r="AT305" s="73"/>
      <c r="AU305" s="7"/>
      <c r="AV305" s="6"/>
      <c r="AW305" s="73"/>
      <c r="AX305" s="7"/>
      <c r="AY305" s="6"/>
      <c r="AZ305" s="73"/>
      <c r="BA305" s="7"/>
      <c r="BB305" s="6"/>
      <c r="BC305" s="73"/>
      <c r="BD305" s="7"/>
      <c r="BE305" s="6"/>
      <c r="BF305" s="73"/>
      <c r="BG305" s="7"/>
      <c r="BH305" s="6"/>
    </row>
    <row r="306" spans="3:60" ht="20.25" x14ac:dyDescent="0.3">
      <c r="C306" s="67"/>
      <c r="D306" s="67"/>
      <c r="E306" s="66"/>
      <c r="F306" s="87"/>
      <c r="G306" s="67"/>
      <c r="H306" s="66"/>
      <c r="I306" s="87"/>
      <c r="J306" s="67"/>
      <c r="K306" s="66"/>
      <c r="L306" s="87"/>
      <c r="M306" s="67"/>
      <c r="N306" s="66"/>
      <c r="O306" s="87"/>
      <c r="P306" s="67"/>
      <c r="Q306" s="66"/>
      <c r="R306" s="87"/>
      <c r="S306" s="67"/>
      <c r="T306" s="66"/>
      <c r="U306" s="87"/>
      <c r="V306" s="67"/>
      <c r="W306" s="66"/>
      <c r="X306" s="87"/>
      <c r="Y306" s="67"/>
      <c r="Z306" s="66"/>
      <c r="AA306" s="87"/>
      <c r="AB306" s="67"/>
      <c r="AC306" s="66"/>
      <c r="AD306" s="87"/>
      <c r="AE306" s="67"/>
      <c r="AF306" s="66"/>
      <c r="AG306" s="87"/>
      <c r="AH306" s="67"/>
      <c r="AI306" s="66"/>
      <c r="AJ306" s="87"/>
      <c r="AK306" s="67"/>
      <c r="AL306" s="66"/>
      <c r="AM306" s="87"/>
      <c r="AN306" s="67"/>
      <c r="AO306" s="66"/>
      <c r="AP306" s="87"/>
      <c r="AQ306" s="67"/>
      <c r="AR306" s="66"/>
      <c r="AS306" s="87"/>
      <c r="AT306" s="67"/>
      <c r="AU306" s="66"/>
      <c r="AV306" s="87"/>
      <c r="AW306" s="67"/>
      <c r="AX306" s="66"/>
      <c r="AY306" s="87"/>
      <c r="AZ306" s="67"/>
      <c r="BA306" s="66"/>
      <c r="BB306" s="87"/>
      <c r="BC306" s="67"/>
      <c r="BD306" s="66"/>
      <c r="BE306" s="87"/>
      <c r="BF306" s="67"/>
      <c r="BG306" s="66"/>
      <c r="BH306" s="87"/>
    </row>
    <row r="307" spans="3:60" ht="20.25" x14ac:dyDescent="0.3">
      <c r="C307" s="8" t="s">
        <v>39</v>
      </c>
      <c r="D307" s="86">
        <f>+SUM(G307,J307,M307,P307,S307,V307,Y307,AB307,AE307,AH307,AK307,AN307,AQ307,AT307,AW307,AZ307,BC307,BF307)</f>
        <v>741608.03000000014</v>
      </c>
      <c r="E307" s="80">
        <f>IF(D307&lt;=0,0,F307/D307)</f>
        <v>0.20258773357672508</v>
      </c>
      <c r="F307" s="18">
        <f>+SUM(I307,L307,O307,R307,U307,X307,AA307,AD307,AG307,AJ307,AM307,AP307,AS307,AV307,AY307,BB307,BE307,BH307)</f>
        <v>150240.68999999997</v>
      </c>
      <c r="G307" s="86">
        <v>57768.13</v>
      </c>
      <c r="H307" s="80">
        <v>0.22760577501816301</v>
      </c>
      <c r="I307" s="18">
        <v>13148.36</v>
      </c>
      <c r="J307" s="86">
        <v>39417.46</v>
      </c>
      <c r="K307" s="80">
        <v>0.23154180913737199</v>
      </c>
      <c r="L307" s="18">
        <v>9126.78999999999</v>
      </c>
      <c r="M307" s="86">
        <v>46608.89</v>
      </c>
      <c r="N307" s="80">
        <v>0.26208755454163302</v>
      </c>
      <c r="O307" s="18">
        <v>12215.61</v>
      </c>
      <c r="P307" s="86">
        <v>61109.99</v>
      </c>
      <c r="Q307" s="80">
        <v>0.185940465707816</v>
      </c>
      <c r="R307" s="18">
        <v>11362.82</v>
      </c>
      <c r="S307" s="86">
        <v>167220.14000000001</v>
      </c>
      <c r="T307" s="80">
        <v>0.18184980589060601</v>
      </c>
      <c r="U307" s="18">
        <v>30408.95</v>
      </c>
      <c r="V307" s="86">
        <v>141917.76000000001</v>
      </c>
      <c r="W307" s="80">
        <v>0.20217441425231</v>
      </c>
      <c r="X307" s="18">
        <v>28692.14</v>
      </c>
      <c r="Y307" s="86">
        <v>31309.93</v>
      </c>
      <c r="Z307" s="80">
        <v>0.14509869552566801</v>
      </c>
      <c r="AA307" s="18">
        <v>4543.0299999999897</v>
      </c>
      <c r="AB307" s="86">
        <v>26972.26</v>
      </c>
      <c r="AC307" s="80">
        <v>0.18680488768831299</v>
      </c>
      <c r="AD307" s="18">
        <v>5038.5499999999902</v>
      </c>
      <c r="AE307" s="86">
        <v>57430.54</v>
      </c>
      <c r="AF307" s="80">
        <v>0.27347383465313002</v>
      </c>
      <c r="AG307" s="18">
        <v>15705.75</v>
      </c>
      <c r="AH307" s="86">
        <v>6372.25</v>
      </c>
      <c r="AI307" s="80">
        <v>0.179164345403899</v>
      </c>
      <c r="AJ307" s="18">
        <v>1141.68</v>
      </c>
      <c r="AK307" s="86">
        <v>7501</v>
      </c>
      <c r="AL307" s="80">
        <v>4.0527929609385401E-2</v>
      </c>
      <c r="AM307" s="18">
        <v>304</v>
      </c>
      <c r="AN307" s="86">
        <v>27798.78</v>
      </c>
      <c r="AO307" s="80">
        <v>0.19845151477870601</v>
      </c>
      <c r="AP307" s="18">
        <v>5516.70999999999</v>
      </c>
      <c r="AQ307" s="86">
        <v>20842.150000000001</v>
      </c>
      <c r="AR307" s="80">
        <v>0.22053339026923799</v>
      </c>
      <c r="AS307" s="18">
        <v>4596.3900000000003</v>
      </c>
      <c r="AT307" s="86">
        <v>49338.75</v>
      </c>
      <c r="AU307" s="80">
        <v>0.171060474778951</v>
      </c>
      <c r="AV307" s="18">
        <v>8439.9099999999908</v>
      </c>
      <c r="AW307" s="86">
        <v>0</v>
      </c>
      <c r="AX307" s="80">
        <v>0</v>
      </c>
      <c r="AY307" s="18">
        <v>0</v>
      </c>
      <c r="AZ307" s="86"/>
      <c r="BA307" s="80"/>
      <c r="BB307" s="18"/>
      <c r="BC307" s="86"/>
      <c r="BD307" s="80"/>
      <c r="BE307" s="18"/>
      <c r="BF307" s="86"/>
      <c r="BG307" s="80"/>
      <c r="BH307" s="18"/>
    </row>
    <row r="308" spans="3:60" ht="20.25" x14ac:dyDescent="0.3">
      <c r="C308" s="67" t="s">
        <v>38</v>
      </c>
      <c r="D308" s="86">
        <f>+SUM(G308,J308,M308,P308,S308,V308,Y308,AB308,AE308,AH308,AK308,AN308,AQ308,AT308,AW308,AZ308,BC308,BF308)</f>
        <v>164298.75</v>
      </c>
      <c r="E308" s="80">
        <f>IF(D308&lt;=0,0,F308/D308)</f>
        <v>0.31280225808169554</v>
      </c>
      <c r="F308" s="18">
        <f>+SUM(I308,L308,O308,R308,U308,X308,AA308,AD308,AG308,AJ308,AM308,AP308,AS308,AV308,AY308,BB308,BE308,BH308)</f>
        <v>51393.019999999975</v>
      </c>
      <c r="G308" s="86">
        <v>21681.41</v>
      </c>
      <c r="H308" s="80">
        <v>0.25957167914817297</v>
      </c>
      <c r="I308" s="18">
        <v>5627.8799999999901</v>
      </c>
      <c r="J308" s="86">
        <v>21133.360000000001</v>
      </c>
      <c r="K308" s="80">
        <v>0.33745982654911399</v>
      </c>
      <c r="L308" s="18">
        <v>7131.66</v>
      </c>
      <c r="M308" s="86">
        <v>6821.75</v>
      </c>
      <c r="N308" s="80">
        <v>0.351370249569392</v>
      </c>
      <c r="O308" s="18">
        <v>2396.96</v>
      </c>
      <c r="P308" s="86">
        <v>31241.27</v>
      </c>
      <c r="Q308" s="80">
        <v>0.36305918421370098</v>
      </c>
      <c r="R308" s="18">
        <v>11342.43</v>
      </c>
      <c r="S308" s="86">
        <v>0</v>
      </c>
      <c r="T308" s="80">
        <v>0</v>
      </c>
      <c r="U308" s="18">
        <v>0</v>
      </c>
      <c r="V308" s="86">
        <v>13752.56</v>
      </c>
      <c r="W308" s="80">
        <v>0.36222346966673802</v>
      </c>
      <c r="X308" s="18">
        <v>4981.5</v>
      </c>
      <c r="Y308" s="86">
        <v>7289.14</v>
      </c>
      <c r="Z308" s="80">
        <v>0.305944185459464</v>
      </c>
      <c r="AA308" s="18">
        <v>2230.0700000000002</v>
      </c>
      <c r="AB308" s="86">
        <v>5420.05</v>
      </c>
      <c r="AC308" s="80">
        <v>0.39723434285661502</v>
      </c>
      <c r="AD308" s="18">
        <v>2153.0300000000002</v>
      </c>
      <c r="AE308" s="86">
        <v>11691.63</v>
      </c>
      <c r="AF308" s="80">
        <v>0.26896933960448599</v>
      </c>
      <c r="AG308" s="18">
        <v>3144.6899999999901</v>
      </c>
      <c r="AH308" s="86">
        <v>4244.8599999999997</v>
      </c>
      <c r="AI308" s="80">
        <v>0.32810976098151601</v>
      </c>
      <c r="AJ308" s="18">
        <v>1392.77999999999</v>
      </c>
      <c r="AK308" s="86">
        <v>1818.9</v>
      </c>
      <c r="AL308" s="80">
        <v>0.318934520864258</v>
      </c>
      <c r="AM308" s="18">
        <v>580.11</v>
      </c>
      <c r="AN308" s="86">
        <v>12566.27</v>
      </c>
      <c r="AO308" s="80">
        <v>0.32613018819426898</v>
      </c>
      <c r="AP308" s="18">
        <v>4098.24</v>
      </c>
      <c r="AQ308" s="86">
        <v>10483.36</v>
      </c>
      <c r="AR308" s="80">
        <v>0.216017574518093</v>
      </c>
      <c r="AS308" s="18">
        <v>2264.59</v>
      </c>
      <c r="AT308" s="86">
        <v>16154.19</v>
      </c>
      <c r="AU308" s="80">
        <v>0.250651998026518</v>
      </c>
      <c r="AV308" s="18">
        <v>4049.08</v>
      </c>
      <c r="AW308" s="86">
        <v>0</v>
      </c>
      <c r="AX308" s="80">
        <v>0</v>
      </c>
      <c r="AY308" s="18">
        <v>0</v>
      </c>
      <c r="AZ308" s="86"/>
      <c r="BA308" s="80"/>
      <c r="BB308" s="18"/>
      <c r="BC308" s="86"/>
      <c r="BD308" s="80"/>
      <c r="BE308" s="18"/>
      <c r="BF308" s="86"/>
      <c r="BG308" s="80"/>
      <c r="BH308" s="18"/>
    </row>
    <row r="309" spans="3:60" ht="20.25" x14ac:dyDescent="0.3">
      <c r="C309" s="32" t="s">
        <v>37</v>
      </c>
      <c r="D309" s="85">
        <f>SUM(D304,D307:D308)</f>
        <v>7725710.259999997</v>
      </c>
      <c r="E309" s="84">
        <f>IF(D309&lt;=0,0,F309/D309)</f>
        <v>0.25017655269924644</v>
      </c>
      <c r="F309" s="83">
        <f>SUM(F304,F307:F308)</f>
        <v>1932791.559999998</v>
      </c>
      <c r="G309" s="85">
        <v>743976.99</v>
      </c>
      <c r="H309" s="84">
        <v>0.28608322953644</v>
      </c>
      <c r="I309" s="83">
        <v>212839.34</v>
      </c>
      <c r="J309" s="85">
        <v>527989.43000000005</v>
      </c>
      <c r="K309" s="84">
        <v>0.302689790589179</v>
      </c>
      <c r="L309" s="83">
        <v>159817.01</v>
      </c>
      <c r="M309" s="85">
        <v>235627.11</v>
      </c>
      <c r="N309" s="84">
        <v>0.33562661783697101</v>
      </c>
      <c r="O309" s="83">
        <v>79082.73</v>
      </c>
      <c r="P309" s="85">
        <v>819312.52</v>
      </c>
      <c r="Q309" s="84">
        <v>0.25487663730562699</v>
      </c>
      <c r="R309" s="83">
        <v>208823.62</v>
      </c>
      <c r="S309" s="85">
        <v>1466250.73999999</v>
      </c>
      <c r="T309" s="84">
        <v>0.21466059072543001</v>
      </c>
      <c r="U309" s="83">
        <v>314746.24999999901</v>
      </c>
      <c r="V309" s="85">
        <v>1015254.67</v>
      </c>
      <c r="W309" s="84">
        <v>0.234701230184934</v>
      </c>
      <c r="X309" s="83">
        <v>238281.52</v>
      </c>
      <c r="Y309" s="85">
        <v>430175.83</v>
      </c>
      <c r="Z309" s="84">
        <v>0.24920358728662101</v>
      </c>
      <c r="AA309" s="83">
        <v>107201.36</v>
      </c>
      <c r="AB309" s="85">
        <v>326413.09999999998</v>
      </c>
      <c r="AC309" s="84">
        <v>0.261640448866788</v>
      </c>
      <c r="AD309" s="83">
        <v>85402.87</v>
      </c>
      <c r="AE309" s="85">
        <v>402503.99</v>
      </c>
      <c r="AF309" s="84">
        <v>0.28293093442377998</v>
      </c>
      <c r="AG309" s="83">
        <v>113880.829999999</v>
      </c>
      <c r="AH309" s="85">
        <v>145181.019999999</v>
      </c>
      <c r="AI309" s="84">
        <v>0.31484721625457601</v>
      </c>
      <c r="AJ309" s="83">
        <v>45709.84</v>
      </c>
      <c r="AK309" s="85">
        <v>114993.28</v>
      </c>
      <c r="AL309" s="84">
        <v>0.2402317770221</v>
      </c>
      <c r="AM309" s="83">
        <v>27625.040000000001</v>
      </c>
      <c r="AN309" s="85">
        <v>405033.34</v>
      </c>
      <c r="AO309" s="84">
        <v>0.22808428560473501</v>
      </c>
      <c r="AP309" s="83">
        <v>92381.74</v>
      </c>
      <c r="AQ309" s="85">
        <v>417146.56</v>
      </c>
      <c r="AR309" s="84">
        <v>0.24158454045503799</v>
      </c>
      <c r="AS309" s="83">
        <v>100776.159999999</v>
      </c>
      <c r="AT309" s="85">
        <v>499700.52999999898</v>
      </c>
      <c r="AU309" s="84">
        <v>0.20826199644014701</v>
      </c>
      <c r="AV309" s="83">
        <v>104068.629999999</v>
      </c>
      <c r="AW309" s="85">
        <v>176151.15</v>
      </c>
      <c r="AX309" s="84">
        <v>0.23930936584859</v>
      </c>
      <c r="AY309" s="83">
        <v>42154.62</v>
      </c>
      <c r="AZ309" s="85"/>
      <c r="BA309" s="84"/>
      <c r="BB309" s="83"/>
      <c r="BC309" s="85"/>
      <c r="BD309" s="84"/>
      <c r="BE309" s="83"/>
      <c r="BF309" s="85"/>
      <c r="BG309" s="84"/>
      <c r="BH309" s="83"/>
    </row>
    <row r="310" spans="3:60" ht="20.25" x14ac:dyDescent="0.3">
      <c r="C310" s="8"/>
      <c r="D310" s="73"/>
      <c r="E310" s="7"/>
      <c r="F310" s="6"/>
      <c r="G310" s="73"/>
      <c r="H310" s="7"/>
      <c r="I310" s="6"/>
      <c r="J310" s="73"/>
      <c r="K310" s="7"/>
      <c r="L310" s="6"/>
      <c r="M310" s="73"/>
      <c r="N310" s="7"/>
      <c r="O310" s="6"/>
      <c r="P310" s="73"/>
      <c r="Q310" s="7"/>
      <c r="R310" s="6"/>
      <c r="S310" s="73"/>
      <c r="T310" s="7"/>
      <c r="U310" s="6"/>
      <c r="V310" s="73"/>
      <c r="W310" s="7"/>
      <c r="X310" s="6"/>
      <c r="Y310" s="73"/>
      <c r="Z310" s="7"/>
      <c r="AA310" s="6"/>
      <c r="AB310" s="73"/>
      <c r="AC310" s="7"/>
      <c r="AD310" s="6"/>
      <c r="AE310" s="73"/>
      <c r="AF310" s="7"/>
      <c r="AG310" s="6"/>
      <c r="AH310" s="73"/>
      <c r="AI310" s="7"/>
      <c r="AJ310" s="6"/>
      <c r="AK310" s="73"/>
      <c r="AL310" s="7"/>
      <c r="AM310" s="6"/>
      <c r="AN310" s="73"/>
      <c r="AO310" s="7"/>
      <c r="AP310" s="6"/>
      <c r="AQ310" s="73"/>
      <c r="AR310" s="7"/>
      <c r="AS310" s="6"/>
      <c r="AT310" s="73"/>
      <c r="AU310" s="7"/>
      <c r="AV310" s="6"/>
      <c r="AW310" s="73"/>
      <c r="AX310" s="7"/>
      <c r="AY310" s="6"/>
      <c r="AZ310" s="73"/>
      <c r="BA310" s="7"/>
      <c r="BB310" s="6"/>
      <c r="BC310" s="73"/>
      <c r="BD310" s="7"/>
      <c r="BE310" s="6"/>
      <c r="BF310" s="73"/>
      <c r="BG310" s="7"/>
      <c r="BH310" s="6"/>
    </row>
    <row r="311" spans="3:60" ht="20.25" x14ac:dyDescent="0.3">
      <c r="C311" s="8"/>
      <c r="D311" s="8"/>
      <c r="E311" s="7"/>
      <c r="F311" s="6"/>
      <c r="G311" s="8"/>
      <c r="H311" s="7"/>
      <c r="I311" s="6"/>
      <c r="J311" s="8"/>
      <c r="K311" s="7"/>
      <c r="L311" s="6"/>
      <c r="M311" s="8"/>
      <c r="N311" s="7"/>
      <c r="O311" s="6"/>
      <c r="P311" s="8"/>
      <c r="Q311" s="7"/>
      <c r="R311" s="6"/>
      <c r="S311" s="8"/>
      <c r="T311" s="7"/>
      <c r="U311" s="6"/>
      <c r="V311" s="8"/>
      <c r="W311" s="7"/>
      <c r="X311" s="6"/>
      <c r="Y311" s="8"/>
      <c r="Z311" s="7"/>
      <c r="AA311" s="6"/>
      <c r="AB311" s="8"/>
      <c r="AC311" s="7"/>
      <c r="AD311" s="6"/>
      <c r="AE311" s="8"/>
      <c r="AF311" s="7"/>
      <c r="AG311" s="6"/>
      <c r="AH311" s="8"/>
      <c r="AI311" s="7"/>
      <c r="AJ311" s="6"/>
      <c r="AK311" s="8"/>
      <c r="AL311" s="7"/>
      <c r="AM311" s="6"/>
      <c r="AN311" s="8"/>
      <c r="AO311" s="7"/>
      <c r="AP311" s="6"/>
      <c r="AQ311" s="8"/>
      <c r="AR311" s="7"/>
      <c r="AS311" s="6"/>
      <c r="AT311" s="8"/>
      <c r="AU311" s="7"/>
      <c r="AV311" s="6"/>
      <c r="AW311" s="8"/>
      <c r="AX311" s="7"/>
      <c r="AY311" s="6"/>
      <c r="AZ311" s="8"/>
      <c r="BA311" s="7"/>
      <c r="BB311" s="6"/>
      <c r="BC311" s="8"/>
      <c r="BD311" s="7"/>
      <c r="BE311" s="6"/>
      <c r="BF311" s="8"/>
      <c r="BG311" s="7"/>
      <c r="BH311" s="6"/>
    </row>
    <row r="312" spans="3:60" ht="20.25" x14ac:dyDescent="0.3">
      <c r="C312" s="67" t="s">
        <v>36</v>
      </c>
      <c r="D312" s="82">
        <f>+SUM(G312,J312,M312,P312,S312,V312,Y312,AB312,AE312,AH312,AK312,AN312,AQ312,AT312,AW312,AZ312,BC312,BF312)</f>
        <v>0</v>
      </c>
      <c r="E312" s="81">
        <f>IF(D312&lt;=0,0,F312/D312)</f>
        <v>0</v>
      </c>
      <c r="F312" s="22">
        <f>+SUM(I312,L312,O312,R312,U312,X312,AA312,AD312,AG312,AJ312,AM312,AP312,AS312,AV312,AY312,BB312,BE312,BH312)</f>
        <v>0</v>
      </c>
      <c r="G312" s="82">
        <v>0</v>
      </c>
      <c r="H312" s="81">
        <v>0</v>
      </c>
      <c r="I312" s="22">
        <v>0</v>
      </c>
      <c r="J312" s="82">
        <v>0</v>
      </c>
      <c r="K312" s="81">
        <v>0</v>
      </c>
      <c r="L312" s="22">
        <v>0</v>
      </c>
      <c r="M312" s="82">
        <v>0</v>
      </c>
      <c r="N312" s="81">
        <v>0</v>
      </c>
      <c r="O312" s="22">
        <v>0</v>
      </c>
      <c r="P312" s="82">
        <v>0</v>
      </c>
      <c r="Q312" s="81">
        <v>0</v>
      </c>
      <c r="R312" s="22">
        <v>0</v>
      </c>
      <c r="S312" s="82">
        <v>0</v>
      </c>
      <c r="T312" s="81">
        <v>0</v>
      </c>
      <c r="U312" s="22">
        <v>0</v>
      </c>
      <c r="V312" s="82">
        <v>0</v>
      </c>
      <c r="W312" s="81">
        <v>0</v>
      </c>
      <c r="X312" s="22">
        <v>0</v>
      </c>
      <c r="Y312" s="82">
        <v>0</v>
      </c>
      <c r="Z312" s="81">
        <v>0</v>
      </c>
      <c r="AA312" s="22">
        <v>0</v>
      </c>
      <c r="AB312" s="82">
        <v>0</v>
      </c>
      <c r="AC312" s="81">
        <v>0</v>
      </c>
      <c r="AD312" s="22">
        <v>0</v>
      </c>
      <c r="AE312" s="82">
        <v>0</v>
      </c>
      <c r="AF312" s="81">
        <v>0</v>
      </c>
      <c r="AG312" s="22">
        <v>0</v>
      </c>
      <c r="AH312" s="82">
        <v>0</v>
      </c>
      <c r="AI312" s="81">
        <v>0</v>
      </c>
      <c r="AJ312" s="22">
        <v>0</v>
      </c>
      <c r="AK312" s="82">
        <v>0</v>
      </c>
      <c r="AL312" s="81">
        <v>0</v>
      </c>
      <c r="AM312" s="22">
        <v>0</v>
      </c>
      <c r="AN312" s="82">
        <v>0</v>
      </c>
      <c r="AO312" s="81">
        <v>0</v>
      </c>
      <c r="AP312" s="22">
        <v>0</v>
      </c>
      <c r="AQ312" s="82">
        <v>0</v>
      </c>
      <c r="AR312" s="81">
        <v>0</v>
      </c>
      <c r="AS312" s="22">
        <v>0</v>
      </c>
      <c r="AT312" s="82">
        <v>0</v>
      </c>
      <c r="AU312" s="81">
        <v>0</v>
      </c>
      <c r="AV312" s="22">
        <v>0</v>
      </c>
      <c r="AW312" s="82">
        <v>0</v>
      </c>
      <c r="AX312" s="81">
        <v>0</v>
      </c>
      <c r="AY312" s="22">
        <v>0</v>
      </c>
      <c r="AZ312" s="82"/>
      <c r="BA312" s="81"/>
      <c r="BB312" s="22"/>
      <c r="BC312" s="82"/>
      <c r="BD312" s="81"/>
      <c r="BE312" s="22"/>
      <c r="BF312" s="82"/>
      <c r="BG312" s="81"/>
      <c r="BH312" s="22"/>
    </row>
    <row r="313" spans="3:60" ht="21" thickBot="1" x14ac:dyDescent="0.35">
      <c r="C313" s="8"/>
      <c r="D313" s="73"/>
      <c r="E313" s="80"/>
      <c r="F313" s="63"/>
      <c r="G313" s="73">
        <v>0</v>
      </c>
      <c r="H313" s="80">
        <v>0</v>
      </c>
      <c r="I313" s="63">
        <v>0</v>
      </c>
      <c r="J313" s="73">
        <v>0</v>
      </c>
      <c r="K313" s="80">
        <v>0</v>
      </c>
      <c r="L313" s="63">
        <v>0</v>
      </c>
      <c r="M313" s="73">
        <v>0</v>
      </c>
      <c r="N313" s="80">
        <v>0</v>
      </c>
      <c r="O313" s="63">
        <v>0</v>
      </c>
      <c r="P313" s="73">
        <v>0</v>
      </c>
      <c r="Q313" s="80">
        <v>0</v>
      </c>
      <c r="R313" s="63">
        <v>0</v>
      </c>
      <c r="S313" s="73">
        <v>0</v>
      </c>
      <c r="T313" s="80">
        <v>0</v>
      </c>
      <c r="U313" s="63">
        <v>0</v>
      </c>
      <c r="V313" s="73">
        <v>0</v>
      </c>
      <c r="W313" s="80">
        <v>0</v>
      </c>
      <c r="X313" s="63">
        <v>0</v>
      </c>
      <c r="Y313" s="73">
        <v>0</v>
      </c>
      <c r="Z313" s="80">
        <v>0</v>
      </c>
      <c r="AA313" s="63">
        <v>0</v>
      </c>
      <c r="AB313" s="73">
        <v>0</v>
      </c>
      <c r="AC313" s="80">
        <v>0</v>
      </c>
      <c r="AD313" s="63">
        <v>0</v>
      </c>
      <c r="AE313" s="73">
        <v>0</v>
      </c>
      <c r="AF313" s="80">
        <v>0</v>
      </c>
      <c r="AG313" s="63">
        <v>0</v>
      </c>
      <c r="AH313" s="73">
        <v>0</v>
      </c>
      <c r="AI313" s="80">
        <v>0</v>
      </c>
      <c r="AJ313" s="63">
        <v>0</v>
      </c>
      <c r="AK313" s="73">
        <v>0</v>
      </c>
      <c r="AL313" s="80">
        <v>0</v>
      </c>
      <c r="AM313" s="63">
        <v>0</v>
      </c>
      <c r="AN313" s="73">
        <v>0</v>
      </c>
      <c r="AO313" s="80">
        <v>0</v>
      </c>
      <c r="AP313" s="63">
        <v>0</v>
      </c>
      <c r="AQ313" s="73">
        <v>0</v>
      </c>
      <c r="AR313" s="80">
        <v>0</v>
      </c>
      <c r="AS313" s="63">
        <v>0</v>
      </c>
      <c r="AT313" s="73">
        <v>0</v>
      </c>
      <c r="AU313" s="80">
        <v>0</v>
      </c>
      <c r="AV313" s="63">
        <v>0</v>
      </c>
      <c r="AW313" s="73">
        <v>0</v>
      </c>
      <c r="AX313" s="80">
        <v>0</v>
      </c>
      <c r="AY313" s="63">
        <v>0</v>
      </c>
      <c r="AZ313" s="73"/>
      <c r="BA313" s="80"/>
      <c r="BB313" s="63"/>
      <c r="BC313" s="73"/>
      <c r="BD313" s="80"/>
      <c r="BE313" s="63"/>
      <c r="BF313" s="73"/>
      <c r="BG313" s="80"/>
      <c r="BH313" s="63"/>
    </row>
    <row r="314" spans="3:60" ht="21" thickTop="1" x14ac:dyDescent="0.3">
      <c r="C314" s="43" t="s">
        <v>35</v>
      </c>
      <c r="D314" s="49">
        <f>D309+D311+D312</f>
        <v>7725710.259999997</v>
      </c>
      <c r="E314" s="48">
        <f>IF(D314&lt;=0,0,F314/D314)</f>
        <v>0.25017655269924644</v>
      </c>
      <c r="F314" s="47">
        <f>F309+F311+F312</f>
        <v>1932791.559999998</v>
      </c>
      <c r="G314" s="49">
        <v>743976.99</v>
      </c>
      <c r="H314" s="48">
        <v>0.28608322953644</v>
      </c>
      <c r="I314" s="47">
        <v>212839.34</v>
      </c>
      <c r="J314" s="49">
        <v>527989.43000000005</v>
      </c>
      <c r="K314" s="48">
        <v>0.302689790589179</v>
      </c>
      <c r="L314" s="47">
        <v>159817.01</v>
      </c>
      <c r="M314" s="49">
        <v>235627.11</v>
      </c>
      <c r="N314" s="48">
        <v>0.33562661783697101</v>
      </c>
      <c r="O314" s="47">
        <v>79082.73</v>
      </c>
      <c r="P314" s="49">
        <v>819312.52</v>
      </c>
      <c r="Q314" s="48">
        <v>0.25487663730562699</v>
      </c>
      <c r="R314" s="47">
        <v>208823.62</v>
      </c>
      <c r="S314" s="49">
        <v>1466250.73999999</v>
      </c>
      <c r="T314" s="48">
        <v>0.21466059072543001</v>
      </c>
      <c r="U314" s="47">
        <v>314746.24999999901</v>
      </c>
      <c r="V314" s="49">
        <v>1015254.67</v>
      </c>
      <c r="W314" s="48">
        <v>0.234701230184934</v>
      </c>
      <c r="X314" s="47">
        <v>238281.52</v>
      </c>
      <c r="Y314" s="49">
        <v>430175.83</v>
      </c>
      <c r="Z314" s="48">
        <v>0.24920358728662101</v>
      </c>
      <c r="AA314" s="47">
        <v>107201.36</v>
      </c>
      <c r="AB314" s="49">
        <v>326413.09999999998</v>
      </c>
      <c r="AC314" s="48">
        <v>0.261640448866788</v>
      </c>
      <c r="AD314" s="47">
        <v>85402.87</v>
      </c>
      <c r="AE314" s="49">
        <v>402503.99</v>
      </c>
      <c r="AF314" s="48">
        <v>0.28293093442377998</v>
      </c>
      <c r="AG314" s="47">
        <v>113880.829999999</v>
      </c>
      <c r="AH314" s="49">
        <v>145181.019999999</v>
      </c>
      <c r="AI314" s="48">
        <v>0.31484721625457601</v>
      </c>
      <c r="AJ314" s="47">
        <v>45709.84</v>
      </c>
      <c r="AK314" s="49">
        <v>114993.28</v>
      </c>
      <c r="AL314" s="48">
        <v>0.2402317770221</v>
      </c>
      <c r="AM314" s="47">
        <v>27625.040000000001</v>
      </c>
      <c r="AN314" s="49">
        <v>405033.34</v>
      </c>
      <c r="AO314" s="48">
        <v>0.22808428560473501</v>
      </c>
      <c r="AP314" s="47">
        <v>92381.74</v>
      </c>
      <c r="AQ314" s="49">
        <v>417146.56</v>
      </c>
      <c r="AR314" s="48">
        <v>0.24158454045503799</v>
      </c>
      <c r="AS314" s="47">
        <v>100776.159999999</v>
      </c>
      <c r="AT314" s="49">
        <v>499700.52999999898</v>
      </c>
      <c r="AU314" s="48">
        <v>0.20826199644014701</v>
      </c>
      <c r="AV314" s="47">
        <v>104068.629999999</v>
      </c>
      <c r="AW314" s="49">
        <v>176151.15</v>
      </c>
      <c r="AX314" s="48">
        <v>0.23930936584859</v>
      </c>
      <c r="AY314" s="47">
        <v>42154.62</v>
      </c>
      <c r="AZ314" s="49"/>
      <c r="BA314" s="48"/>
      <c r="BB314" s="47"/>
      <c r="BC314" s="49"/>
      <c r="BD314" s="48"/>
      <c r="BE314" s="47"/>
      <c r="BF314" s="49"/>
      <c r="BG314" s="48"/>
      <c r="BH314" s="47"/>
    </row>
    <row r="315" spans="3:60" ht="21" thickBot="1" x14ac:dyDescent="0.35">
      <c r="C315" s="38"/>
      <c r="D315" s="79"/>
      <c r="E315" s="78"/>
      <c r="F315" s="77"/>
      <c r="G315" s="79">
        <v>0</v>
      </c>
      <c r="H315" s="78">
        <v>0</v>
      </c>
      <c r="I315" s="77">
        <v>0</v>
      </c>
      <c r="J315" s="79">
        <v>0</v>
      </c>
      <c r="K315" s="78">
        <v>0</v>
      </c>
      <c r="L315" s="77">
        <v>0</v>
      </c>
      <c r="M315" s="79">
        <v>0</v>
      </c>
      <c r="N315" s="78">
        <v>0</v>
      </c>
      <c r="O315" s="77">
        <v>0</v>
      </c>
      <c r="P315" s="79">
        <v>0</v>
      </c>
      <c r="Q315" s="78">
        <v>0</v>
      </c>
      <c r="R315" s="77">
        <v>0</v>
      </c>
      <c r="S315" s="79">
        <v>0</v>
      </c>
      <c r="T315" s="78">
        <v>0</v>
      </c>
      <c r="U315" s="77">
        <v>0</v>
      </c>
      <c r="V315" s="79">
        <v>0</v>
      </c>
      <c r="W315" s="78">
        <v>0</v>
      </c>
      <c r="X315" s="77">
        <v>0.87487521821826397</v>
      </c>
      <c r="Y315" s="79">
        <v>0</v>
      </c>
      <c r="Z315" s="78">
        <v>0</v>
      </c>
      <c r="AA315" s="77">
        <v>0</v>
      </c>
      <c r="AB315" s="79">
        <v>0</v>
      </c>
      <c r="AC315" s="78">
        <v>0</v>
      </c>
      <c r="AD315" s="77">
        <v>0</v>
      </c>
      <c r="AE315" s="79">
        <v>0</v>
      </c>
      <c r="AF315" s="78">
        <v>0</v>
      </c>
      <c r="AG315" s="77">
        <v>0</v>
      </c>
      <c r="AH315" s="79">
        <v>0</v>
      </c>
      <c r="AI315" s="78">
        <v>0</v>
      </c>
      <c r="AJ315" s="77">
        <v>0</v>
      </c>
      <c r="AK315" s="79">
        <v>0</v>
      </c>
      <c r="AL315" s="78">
        <v>0</v>
      </c>
      <c r="AM315" s="77">
        <v>0</v>
      </c>
      <c r="AN315" s="79">
        <v>0</v>
      </c>
      <c r="AO315" s="78">
        <v>0</v>
      </c>
      <c r="AP315" s="77">
        <v>0</v>
      </c>
      <c r="AQ315" s="79">
        <v>0</v>
      </c>
      <c r="AR315" s="78">
        <v>0</v>
      </c>
      <c r="AS315" s="77">
        <v>0</v>
      </c>
      <c r="AT315" s="79">
        <v>0</v>
      </c>
      <c r="AU315" s="78">
        <v>0</v>
      </c>
      <c r="AV315" s="77">
        <v>1.08438931159033</v>
      </c>
      <c r="AW315" s="79">
        <v>0</v>
      </c>
      <c r="AX315" s="78">
        <v>0</v>
      </c>
      <c r="AY315" s="77">
        <v>0</v>
      </c>
      <c r="AZ315" s="79"/>
      <c r="BA315" s="78"/>
      <c r="BB315" s="77"/>
      <c r="BC315" s="79"/>
      <c r="BD315" s="78"/>
      <c r="BE315" s="77"/>
      <c r="BF315" s="79"/>
      <c r="BG315" s="78"/>
      <c r="BH315" s="77"/>
    </row>
    <row r="316" spans="3:60" ht="21" thickTop="1" x14ac:dyDescent="0.3">
      <c r="C316" s="32"/>
      <c r="D316" s="76"/>
      <c r="E316" s="75"/>
      <c r="F316" s="74"/>
      <c r="G316" s="76"/>
      <c r="H316" s="75"/>
      <c r="I316" s="74"/>
      <c r="J316" s="76"/>
      <c r="K316" s="75"/>
      <c r="L316" s="74"/>
      <c r="M316" s="76"/>
      <c r="N316" s="75"/>
      <c r="O316" s="74"/>
      <c r="P316" s="76"/>
      <c r="Q316" s="75"/>
      <c r="R316" s="74"/>
      <c r="S316" s="76"/>
      <c r="T316" s="75"/>
      <c r="U316" s="74"/>
      <c r="V316" s="76"/>
      <c r="W316" s="75"/>
      <c r="X316" s="74"/>
      <c r="Y316" s="76"/>
      <c r="Z316" s="75"/>
      <c r="AA316" s="74"/>
      <c r="AB316" s="76"/>
      <c r="AC316" s="75"/>
      <c r="AD316" s="74"/>
      <c r="AE316" s="76"/>
      <c r="AF316" s="75"/>
      <c r="AG316" s="74"/>
      <c r="AH316" s="76"/>
      <c r="AI316" s="75"/>
      <c r="AJ316" s="74"/>
      <c r="AK316" s="76"/>
      <c r="AL316" s="75"/>
      <c r="AM316" s="74"/>
      <c r="AN316" s="76"/>
      <c r="AO316" s="75"/>
      <c r="AP316" s="74"/>
      <c r="AQ316" s="76"/>
      <c r="AR316" s="75"/>
      <c r="AS316" s="74"/>
      <c r="AT316" s="76"/>
      <c r="AU316" s="75"/>
      <c r="AV316" s="74"/>
      <c r="AW316" s="76"/>
      <c r="AX316" s="75"/>
      <c r="AY316" s="74"/>
      <c r="AZ316" s="76"/>
      <c r="BA316" s="75"/>
      <c r="BB316" s="74"/>
      <c r="BC316" s="76"/>
      <c r="BD316" s="75"/>
      <c r="BE316" s="74"/>
      <c r="BF316" s="76"/>
      <c r="BG316" s="75"/>
      <c r="BH316" s="74"/>
    </row>
    <row r="317" spans="3:60" ht="20.25" x14ac:dyDescent="0.3">
      <c r="C317" s="29" t="s">
        <v>28</v>
      </c>
      <c r="D317" s="8"/>
      <c r="E317" s="7"/>
      <c r="F317" s="6">
        <f t="shared" ref="F317:F329" si="20">+SUM(I317,L317,O317,R317,U317,X317,AA317,AD317,AG317,AJ317,AM317,AP317,AS317,AV317,AY317,BB317,BE317,BH317)</f>
        <v>0</v>
      </c>
      <c r="G317" s="8">
        <v>0</v>
      </c>
      <c r="H317" s="7">
        <v>0</v>
      </c>
      <c r="I317" s="6">
        <v>0</v>
      </c>
      <c r="J317" s="8">
        <v>0</v>
      </c>
      <c r="K317" s="7">
        <v>0</v>
      </c>
      <c r="L317" s="6">
        <v>0</v>
      </c>
      <c r="M317" s="8">
        <v>0</v>
      </c>
      <c r="N317" s="7">
        <v>0</v>
      </c>
      <c r="O317" s="6">
        <v>0</v>
      </c>
      <c r="P317" s="8">
        <v>0</v>
      </c>
      <c r="Q317" s="7">
        <v>0</v>
      </c>
      <c r="R317" s="6">
        <v>0</v>
      </c>
      <c r="S317" s="8">
        <v>0</v>
      </c>
      <c r="T317" s="7">
        <v>0</v>
      </c>
      <c r="U317" s="6">
        <v>0</v>
      </c>
      <c r="V317" s="8">
        <v>0</v>
      </c>
      <c r="W317" s="7">
        <v>0</v>
      </c>
      <c r="X317" s="6">
        <v>0</v>
      </c>
      <c r="Y317" s="73">
        <v>0</v>
      </c>
      <c r="Z317" s="7">
        <v>0</v>
      </c>
      <c r="AA317" s="63">
        <v>0</v>
      </c>
      <c r="AB317" s="73">
        <v>0</v>
      </c>
      <c r="AC317" s="7">
        <v>0</v>
      </c>
      <c r="AD317" s="63">
        <v>0</v>
      </c>
      <c r="AE317" s="73">
        <v>0</v>
      </c>
      <c r="AF317" s="7">
        <v>0</v>
      </c>
      <c r="AG317" s="63">
        <v>0</v>
      </c>
      <c r="AH317" s="73">
        <v>0</v>
      </c>
      <c r="AI317" s="7">
        <v>0</v>
      </c>
      <c r="AJ317" s="63">
        <v>0</v>
      </c>
      <c r="AK317" s="73">
        <v>0</v>
      </c>
      <c r="AL317" s="7">
        <v>0</v>
      </c>
      <c r="AM317" s="63">
        <v>0</v>
      </c>
      <c r="AN317" s="73">
        <v>0</v>
      </c>
      <c r="AO317" s="7">
        <v>0</v>
      </c>
      <c r="AP317" s="63">
        <v>0</v>
      </c>
      <c r="AQ317" s="73">
        <v>0</v>
      </c>
      <c r="AR317" s="7">
        <v>0</v>
      </c>
      <c r="AS317" s="63">
        <v>0</v>
      </c>
      <c r="AT317" s="73">
        <v>0</v>
      </c>
      <c r="AU317" s="7">
        <v>0</v>
      </c>
      <c r="AV317" s="63">
        <v>0</v>
      </c>
      <c r="AW317" s="73">
        <v>0</v>
      </c>
      <c r="AX317" s="7">
        <v>0</v>
      </c>
      <c r="AY317" s="63">
        <v>0</v>
      </c>
      <c r="AZ317" s="73"/>
      <c r="BA317" s="7"/>
      <c r="BB317" s="63"/>
      <c r="BC317" s="73"/>
      <c r="BD317" s="7"/>
      <c r="BE317" s="63"/>
      <c r="BF317" s="73"/>
      <c r="BG317" s="7"/>
      <c r="BH317" s="63"/>
    </row>
    <row r="318" spans="3:60" ht="20.25" x14ac:dyDescent="0.3">
      <c r="C318" s="17" t="s">
        <v>27</v>
      </c>
      <c r="D318" s="8"/>
      <c r="E318" s="7"/>
      <c r="F318" s="18">
        <f t="shared" si="20"/>
        <v>121687.99999999999</v>
      </c>
      <c r="G318" s="8">
        <v>0</v>
      </c>
      <c r="H318" s="7">
        <v>0</v>
      </c>
      <c r="I318" s="18">
        <v>9633.48</v>
      </c>
      <c r="J318" s="8">
        <v>0</v>
      </c>
      <c r="K318" s="7">
        <v>0</v>
      </c>
      <c r="L318" s="18">
        <v>6866.08</v>
      </c>
      <c r="M318" s="8">
        <v>0</v>
      </c>
      <c r="N318" s="7">
        <v>0</v>
      </c>
      <c r="O318" s="18">
        <v>3289.34</v>
      </c>
      <c r="P318" s="8">
        <v>0</v>
      </c>
      <c r="Q318" s="7">
        <v>0</v>
      </c>
      <c r="R318" s="18">
        <v>11324.96</v>
      </c>
      <c r="S318" s="8">
        <v>0</v>
      </c>
      <c r="T318" s="7">
        <v>0</v>
      </c>
      <c r="U318" s="18">
        <v>27962.91</v>
      </c>
      <c r="V318" s="8">
        <v>0</v>
      </c>
      <c r="W318" s="7">
        <v>0</v>
      </c>
      <c r="X318" s="18">
        <v>16750.41</v>
      </c>
      <c r="Y318" s="8">
        <v>0</v>
      </c>
      <c r="Z318" s="7">
        <v>0</v>
      </c>
      <c r="AA318" s="18">
        <v>9391.5299999999897</v>
      </c>
      <c r="AB318" s="8">
        <v>0</v>
      </c>
      <c r="AC318" s="7">
        <v>0</v>
      </c>
      <c r="AD318" s="18">
        <v>2069.0700000000002</v>
      </c>
      <c r="AE318" s="8">
        <v>0</v>
      </c>
      <c r="AF318" s="7">
        <v>0</v>
      </c>
      <c r="AG318" s="18">
        <v>7582.68</v>
      </c>
      <c r="AH318" s="8">
        <v>0</v>
      </c>
      <c r="AI318" s="7">
        <v>0</v>
      </c>
      <c r="AJ318" s="18">
        <v>6285.67</v>
      </c>
      <c r="AK318" s="8">
        <v>0</v>
      </c>
      <c r="AL318" s="7">
        <v>0</v>
      </c>
      <c r="AM318" s="18">
        <v>3644.13</v>
      </c>
      <c r="AN318" s="8">
        <v>0</v>
      </c>
      <c r="AO318" s="7">
        <v>0</v>
      </c>
      <c r="AP318" s="18">
        <v>2576.8000000000002</v>
      </c>
      <c r="AQ318" s="8">
        <v>0</v>
      </c>
      <c r="AR318" s="7">
        <v>0</v>
      </c>
      <c r="AS318" s="18">
        <v>2190.2800000000002</v>
      </c>
      <c r="AT318" s="8">
        <v>0</v>
      </c>
      <c r="AU318" s="7">
        <v>0</v>
      </c>
      <c r="AV318" s="18">
        <v>8533.68</v>
      </c>
      <c r="AW318" s="8">
        <v>0</v>
      </c>
      <c r="AX318" s="7">
        <v>0</v>
      </c>
      <c r="AY318" s="18">
        <v>3586.98</v>
      </c>
      <c r="AZ318" s="8"/>
      <c r="BA318" s="7"/>
      <c r="BB318" s="18"/>
      <c r="BC318" s="8"/>
      <c r="BD318" s="7"/>
      <c r="BE318" s="18"/>
      <c r="BF318" s="8"/>
      <c r="BG318" s="7"/>
      <c r="BH318" s="18"/>
    </row>
    <row r="319" spans="3:60" ht="20.25" x14ac:dyDescent="0.3">
      <c r="C319" s="25" t="s">
        <v>26</v>
      </c>
      <c r="D319" s="8"/>
      <c r="E319" s="7"/>
      <c r="F319" s="18">
        <f t="shared" si="20"/>
        <v>146648.88</v>
      </c>
      <c r="G319" s="8">
        <v>0</v>
      </c>
      <c r="H319" s="7">
        <v>0</v>
      </c>
      <c r="I319" s="18">
        <v>6485.53</v>
      </c>
      <c r="J319" s="8">
        <v>0</v>
      </c>
      <c r="K319" s="7">
        <v>0</v>
      </c>
      <c r="L319" s="18">
        <v>3601.39</v>
      </c>
      <c r="M319" s="8">
        <v>0</v>
      </c>
      <c r="N319" s="7">
        <v>0</v>
      </c>
      <c r="O319" s="18">
        <v>2780.43</v>
      </c>
      <c r="P319" s="8">
        <v>0</v>
      </c>
      <c r="Q319" s="7">
        <v>0</v>
      </c>
      <c r="R319" s="18">
        <v>4257.16</v>
      </c>
      <c r="S319" s="8">
        <v>0</v>
      </c>
      <c r="T319" s="7">
        <v>0</v>
      </c>
      <c r="U319" s="18">
        <v>17495.490000000002</v>
      </c>
      <c r="V319" s="8">
        <v>0</v>
      </c>
      <c r="W319" s="7">
        <v>0</v>
      </c>
      <c r="X319" s="18">
        <v>37938.93</v>
      </c>
      <c r="Y319" s="8">
        <v>0</v>
      </c>
      <c r="Z319" s="7">
        <v>0</v>
      </c>
      <c r="AA319" s="18">
        <v>15536.55</v>
      </c>
      <c r="AB319" s="8">
        <v>0</v>
      </c>
      <c r="AC319" s="7">
        <v>0</v>
      </c>
      <c r="AD319" s="18">
        <v>3287.78</v>
      </c>
      <c r="AE319" s="8">
        <v>0</v>
      </c>
      <c r="AF319" s="7">
        <v>0</v>
      </c>
      <c r="AG319" s="18">
        <v>4804.74</v>
      </c>
      <c r="AH319" s="8">
        <v>0</v>
      </c>
      <c r="AI319" s="7">
        <v>0</v>
      </c>
      <c r="AJ319" s="18">
        <v>2337.6</v>
      </c>
      <c r="AK319" s="8">
        <v>0</v>
      </c>
      <c r="AL319" s="7">
        <v>0</v>
      </c>
      <c r="AM319" s="18">
        <v>13587.75</v>
      </c>
      <c r="AN319" s="8">
        <v>0</v>
      </c>
      <c r="AO319" s="7">
        <v>0</v>
      </c>
      <c r="AP319" s="18">
        <v>3242.2</v>
      </c>
      <c r="AQ319" s="8">
        <v>0</v>
      </c>
      <c r="AR319" s="7">
        <v>0</v>
      </c>
      <c r="AS319" s="18">
        <v>2863.92</v>
      </c>
      <c r="AT319" s="8">
        <v>0</v>
      </c>
      <c r="AU319" s="7">
        <v>0</v>
      </c>
      <c r="AV319" s="18">
        <v>25401.96</v>
      </c>
      <c r="AW319" s="8">
        <v>0</v>
      </c>
      <c r="AX319" s="7">
        <v>0</v>
      </c>
      <c r="AY319" s="18">
        <v>3027.45</v>
      </c>
      <c r="AZ319" s="8"/>
      <c r="BA319" s="7"/>
      <c r="BB319" s="18"/>
      <c r="BC319" s="8"/>
      <c r="BD319" s="7"/>
      <c r="BE319" s="18"/>
      <c r="BF319" s="8"/>
      <c r="BG319" s="7"/>
      <c r="BH319" s="18"/>
    </row>
    <row r="320" spans="3:60" ht="20.25" x14ac:dyDescent="0.3">
      <c r="C320" s="17" t="s">
        <v>25</v>
      </c>
      <c r="D320" s="72"/>
      <c r="E320" s="71"/>
      <c r="F320" s="68">
        <f t="shared" si="20"/>
        <v>258078.9800000001</v>
      </c>
      <c r="G320" s="72">
        <v>0</v>
      </c>
      <c r="H320" s="71">
        <v>0</v>
      </c>
      <c r="I320" s="68">
        <v>34993.67</v>
      </c>
      <c r="J320" s="72">
        <v>0</v>
      </c>
      <c r="K320" s="71">
        <v>0</v>
      </c>
      <c r="L320" s="68">
        <v>13543.8</v>
      </c>
      <c r="M320" s="72">
        <v>0</v>
      </c>
      <c r="N320" s="71">
        <v>0</v>
      </c>
      <c r="O320" s="68">
        <v>13968.54</v>
      </c>
      <c r="P320" s="72">
        <v>0</v>
      </c>
      <c r="Q320" s="71">
        <v>0</v>
      </c>
      <c r="R320" s="68">
        <v>29808.53</v>
      </c>
      <c r="S320" s="72">
        <v>0</v>
      </c>
      <c r="T320" s="71">
        <v>0</v>
      </c>
      <c r="U320" s="68">
        <v>67027.070000000007</v>
      </c>
      <c r="V320" s="72">
        <v>0</v>
      </c>
      <c r="W320" s="71">
        <v>0</v>
      </c>
      <c r="X320" s="68">
        <v>3999.89</v>
      </c>
      <c r="Y320" s="72">
        <v>0</v>
      </c>
      <c r="Z320" s="71">
        <v>0</v>
      </c>
      <c r="AA320" s="68">
        <v>171</v>
      </c>
      <c r="AB320" s="72">
        <v>0</v>
      </c>
      <c r="AC320" s="71">
        <v>0</v>
      </c>
      <c r="AD320" s="68">
        <v>9030.92</v>
      </c>
      <c r="AE320" s="72">
        <v>0</v>
      </c>
      <c r="AF320" s="71">
        <v>0</v>
      </c>
      <c r="AG320" s="68">
        <v>18365.22</v>
      </c>
      <c r="AH320" s="72">
        <v>0</v>
      </c>
      <c r="AI320" s="71">
        <v>0</v>
      </c>
      <c r="AJ320" s="68">
        <v>6514.95</v>
      </c>
      <c r="AK320" s="72">
        <v>0</v>
      </c>
      <c r="AL320" s="71">
        <v>0</v>
      </c>
      <c r="AM320" s="68">
        <v>129.19999999999999</v>
      </c>
      <c r="AN320" s="72">
        <v>0</v>
      </c>
      <c r="AO320" s="71">
        <v>0</v>
      </c>
      <c r="AP320" s="68">
        <v>19519.419999999998</v>
      </c>
      <c r="AQ320" s="72">
        <v>0</v>
      </c>
      <c r="AR320" s="71">
        <v>0</v>
      </c>
      <c r="AS320" s="68">
        <v>26000.44</v>
      </c>
      <c r="AT320" s="72">
        <v>0</v>
      </c>
      <c r="AU320" s="71">
        <v>0</v>
      </c>
      <c r="AV320" s="68">
        <v>113.92</v>
      </c>
      <c r="AW320" s="72">
        <v>0</v>
      </c>
      <c r="AX320" s="71">
        <v>0</v>
      </c>
      <c r="AY320" s="68">
        <v>14892.41</v>
      </c>
      <c r="AZ320" s="72"/>
      <c r="BA320" s="71"/>
      <c r="BB320" s="68"/>
      <c r="BC320" s="72"/>
      <c r="BD320" s="71"/>
      <c r="BE320" s="68"/>
      <c r="BF320" s="72"/>
      <c r="BG320" s="71"/>
      <c r="BH320" s="68"/>
    </row>
    <row r="321" spans="3:60" ht="20.25" x14ac:dyDescent="0.3">
      <c r="C321" s="17" t="s">
        <v>24</v>
      </c>
      <c r="D321" s="8"/>
      <c r="E321" s="7"/>
      <c r="F321" s="18">
        <f t="shared" si="20"/>
        <v>0</v>
      </c>
      <c r="G321" s="8">
        <v>0</v>
      </c>
      <c r="H321" s="7">
        <v>0</v>
      </c>
      <c r="I321" s="18">
        <v>0</v>
      </c>
      <c r="J321" s="8">
        <v>0</v>
      </c>
      <c r="K321" s="7">
        <v>0</v>
      </c>
      <c r="L321" s="18">
        <v>0</v>
      </c>
      <c r="M321" s="8">
        <v>0</v>
      </c>
      <c r="N321" s="7">
        <v>0</v>
      </c>
      <c r="O321" s="18">
        <v>0</v>
      </c>
      <c r="P321" s="8">
        <v>0</v>
      </c>
      <c r="Q321" s="7">
        <v>0</v>
      </c>
      <c r="R321" s="18">
        <v>0</v>
      </c>
      <c r="S321" s="8">
        <v>0</v>
      </c>
      <c r="T321" s="7">
        <v>0</v>
      </c>
      <c r="U321" s="18">
        <v>0</v>
      </c>
      <c r="V321" s="8">
        <v>0</v>
      </c>
      <c r="W321" s="7">
        <v>0</v>
      </c>
      <c r="X321" s="18">
        <v>0</v>
      </c>
      <c r="Y321" s="8">
        <v>0</v>
      </c>
      <c r="Z321" s="7">
        <v>0</v>
      </c>
      <c r="AA321" s="18">
        <v>0</v>
      </c>
      <c r="AB321" s="8">
        <v>0</v>
      </c>
      <c r="AC321" s="7">
        <v>0</v>
      </c>
      <c r="AD321" s="18">
        <v>0</v>
      </c>
      <c r="AE321" s="8">
        <v>0</v>
      </c>
      <c r="AF321" s="7">
        <v>0</v>
      </c>
      <c r="AG321" s="18">
        <v>0</v>
      </c>
      <c r="AH321" s="8">
        <v>0</v>
      </c>
      <c r="AI321" s="7">
        <v>0</v>
      </c>
      <c r="AJ321" s="18">
        <v>0</v>
      </c>
      <c r="AK321" s="8">
        <v>0</v>
      </c>
      <c r="AL321" s="7">
        <v>0</v>
      </c>
      <c r="AM321" s="18">
        <v>0</v>
      </c>
      <c r="AN321" s="8">
        <v>0</v>
      </c>
      <c r="AO321" s="7">
        <v>0</v>
      </c>
      <c r="AP321" s="18">
        <v>0</v>
      </c>
      <c r="AQ321" s="8">
        <v>0</v>
      </c>
      <c r="AR321" s="7">
        <v>0</v>
      </c>
      <c r="AS321" s="18">
        <v>0</v>
      </c>
      <c r="AT321" s="8">
        <v>0</v>
      </c>
      <c r="AU321" s="7">
        <v>0</v>
      </c>
      <c r="AV321" s="18">
        <v>0</v>
      </c>
      <c r="AW321" s="8">
        <v>0</v>
      </c>
      <c r="AX321" s="7">
        <v>0</v>
      </c>
      <c r="AY321" s="18">
        <v>0</v>
      </c>
      <c r="AZ321" s="8"/>
      <c r="BA321" s="7"/>
      <c r="BB321" s="18"/>
      <c r="BC321" s="8"/>
      <c r="BD321" s="7"/>
      <c r="BE321" s="18"/>
      <c r="BF321" s="8"/>
      <c r="BG321" s="7"/>
      <c r="BH321" s="18"/>
    </row>
    <row r="322" spans="3:60" ht="20.25" hidden="1" x14ac:dyDescent="0.3">
      <c r="C322" s="8" t="s">
        <v>3</v>
      </c>
      <c r="D322" s="8"/>
      <c r="E322" s="7"/>
      <c r="F322" s="18">
        <f t="shared" si="20"/>
        <v>0</v>
      </c>
      <c r="G322" s="8">
        <v>0</v>
      </c>
      <c r="H322" s="7">
        <v>0</v>
      </c>
      <c r="I322" s="18">
        <v>0</v>
      </c>
      <c r="J322" s="8">
        <v>0</v>
      </c>
      <c r="K322" s="7">
        <v>0</v>
      </c>
      <c r="L322" s="18">
        <v>0</v>
      </c>
      <c r="M322" s="8">
        <v>0</v>
      </c>
      <c r="N322" s="7">
        <v>0</v>
      </c>
      <c r="O322" s="18">
        <v>0</v>
      </c>
      <c r="P322" s="8">
        <v>0</v>
      </c>
      <c r="Q322" s="7">
        <v>0</v>
      </c>
      <c r="R322" s="18">
        <v>0</v>
      </c>
      <c r="S322" s="8">
        <v>0</v>
      </c>
      <c r="T322" s="7">
        <v>0</v>
      </c>
      <c r="U322" s="18">
        <v>0</v>
      </c>
      <c r="V322" s="8">
        <v>0</v>
      </c>
      <c r="W322" s="7">
        <v>0</v>
      </c>
      <c r="X322" s="18">
        <v>0</v>
      </c>
      <c r="Y322" s="8">
        <v>0</v>
      </c>
      <c r="Z322" s="7">
        <v>0</v>
      </c>
      <c r="AA322" s="18">
        <v>0</v>
      </c>
      <c r="AB322" s="8">
        <v>0</v>
      </c>
      <c r="AC322" s="7">
        <v>0</v>
      </c>
      <c r="AD322" s="18">
        <v>0</v>
      </c>
      <c r="AE322" s="8">
        <v>0</v>
      </c>
      <c r="AF322" s="7">
        <v>0</v>
      </c>
      <c r="AG322" s="18">
        <v>0</v>
      </c>
      <c r="AH322" s="8">
        <v>0</v>
      </c>
      <c r="AI322" s="7">
        <v>0</v>
      </c>
      <c r="AJ322" s="18">
        <v>0</v>
      </c>
      <c r="AK322" s="8">
        <v>0</v>
      </c>
      <c r="AL322" s="7">
        <v>0</v>
      </c>
      <c r="AM322" s="18">
        <v>0</v>
      </c>
      <c r="AN322" s="8">
        <v>0</v>
      </c>
      <c r="AO322" s="7">
        <v>0</v>
      </c>
      <c r="AP322" s="18">
        <v>0</v>
      </c>
      <c r="AQ322" s="8">
        <v>0</v>
      </c>
      <c r="AR322" s="7">
        <v>0</v>
      </c>
      <c r="AS322" s="18">
        <v>0</v>
      </c>
      <c r="AT322" s="8">
        <v>0</v>
      </c>
      <c r="AU322" s="7">
        <v>0</v>
      </c>
      <c r="AV322" s="18">
        <v>0</v>
      </c>
      <c r="AW322" s="8">
        <v>0</v>
      </c>
      <c r="AX322" s="7">
        <v>0</v>
      </c>
      <c r="AY322" s="18">
        <v>0</v>
      </c>
      <c r="AZ322" s="8"/>
      <c r="BA322" s="7"/>
      <c r="BB322" s="18"/>
      <c r="BC322" s="8"/>
      <c r="BD322" s="7"/>
      <c r="BE322" s="18"/>
      <c r="BF322" s="8"/>
      <c r="BG322" s="7"/>
      <c r="BH322" s="18"/>
    </row>
    <row r="323" spans="3:60" ht="20.25" hidden="1" x14ac:dyDescent="0.3">
      <c r="C323" s="8" t="s">
        <v>3</v>
      </c>
      <c r="D323" s="8"/>
      <c r="E323" s="7"/>
      <c r="F323" s="18">
        <f t="shared" si="20"/>
        <v>0</v>
      </c>
      <c r="G323" s="8">
        <v>0</v>
      </c>
      <c r="H323" s="7">
        <v>0</v>
      </c>
      <c r="I323" s="18">
        <v>0</v>
      </c>
      <c r="J323" s="8">
        <v>0</v>
      </c>
      <c r="K323" s="7">
        <v>0</v>
      </c>
      <c r="L323" s="18">
        <v>0</v>
      </c>
      <c r="M323" s="8">
        <v>0</v>
      </c>
      <c r="N323" s="7">
        <v>0</v>
      </c>
      <c r="O323" s="18">
        <v>0</v>
      </c>
      <c r="P323" s="8">
        <v>0</v>
      </c>
      <c r="Q323" s="7">
        <v>0</v>
      </c>
      <c r="R323" s="18">
        <v>0</v>
      </c>
      <c r="S323" s="8">
        <v>0</v>
      </c>
      <c r="T323" s="7">
        <v>0</v>
      </c>
      <c r="U323" s="18">
        <v>0</v>
      </c>
      <c r="V323" s="8">
        <v>0</v>
      </c>
      <c r="W323" s="7">
        <v>0</v>
      </c>
      <c r="X323" s="18">
        <v>0</v>
      </c>
      <c r="Y323" s="8">
        <v>0</v>
      </c>
      <c r="Z323" s="7">
        <v>0</v>
      </c>
      <c r="AA323" s="18">
        <v>0</v>
      </c>
      <c r="AB323" s="8">
        <v>0</v>
      </c>
      <c r="AC323" s="7">
        <v>0</v>
      </c>
      <c r="AD323" s="18">
        <v>0</v>
      </c>
      <c r="AE323" s="8">
        <v>0</v>
      </c>
      <c r="AF323" s="7">
        <v>0</v>
      </c>
      <c r="AG323" s="18">
        <v>0</v>
      </c>
      <c r="AH323" s="8">
        <v>0</v>
      </c>
      <c r="AI323" s="7">
        <v>0</v>
      </c>
      <c r="AJ323" s="18">
        <v>0</v>
      </c>
      <c r="AK323" s="8">
        <v>0</v>
      </c>
      <c r="AL323" s="7">
        <v>0</v>
      </c>
      <c r="AM323" s="18">
        <v>0</v>
      </c>
      <c r="AN323" s="8">
        <v>0</v>
      </c>
      <c r="AO323" s="7">
        <v>0</v>
      </c>
      <c r="AP323" s="18">
        <v>0</v>
      </c>
      <c r="AQ323" s="8">
        <v>0</v>
      </c>
      <c r="AR323" s="7">
        <v>0</v>
      </c>
      <c r="AS323" s="18">
        <v>0</v>
      </c>
      <c r="AT323" s="8">
        <v>0</v>
      </c>
      <c r="AU323" s="7">
        <v>0</v>
      </c>
      <c r="AV323" s="18">
        <v>0</v>
      </c>
      <c r="AW323" s="8">
        <v>0</v>
      </c>
      <c r="AX323" s="7">
        <v>0</v>
      </c>
      <c r="AY323" s="18">
        <v>0</v>
      </c>
      <c r="AZ323" s="8"/>
      <c r="BA323" s="7"/>
      <c r="BB323" s="18"/>
      <c r="BC323" s="8"/>
      <c r="BD323" s="7"/>
      <c r="BE323" s="18"/>
      <c r="BF323" s="8"/>
      <c r="BG323" s="7"/>
      <c r="BH323" s="18"/>
    </row>
    <row r="324" spans="3:60" ht="20.25" hidden="1" x14ac:dyDescent="0.3">
      <c r="C324" s="8" t="s">
        <v>3</v>
      </c>
      <c r="D324" s="8"/>
      <c r="E324" s="7"/>
      <c r="F324" s="18">
        <f t="shared" si="20"/>
        <v>0</v>
      </c>
      <c r="G324" s="8">
        <v>0</v>
      </c>
      <c r="H324" s="7">
        <v>0</v>
      </c>
      <c r="I324" s="18">
        <v>0</v>
      </c>
      <c r="J324" s="8">
        <v>0</v>
      </c>
      <c r="K324" s="7">
        <v>0</v>
      </c>
      <c r="L324" s="18">
        <v>0</v>
      </c>
      <c r="M324" s="8">
        <v>0</v>
      </c>
      <c r="N324" s="7">
        <v>0</v>
      </c>
      <c r="O324" s="18">
        <v>0</v>
      </c>
      <c r="P324" s="8">
        <v>0</v>
      </c>
      <c r="Q324" s="7">
        <v>0</v>
      </c>
      <c r="R324" s="18">
        <v>0</v>
      </c>
      <c r="S324" s="8">
        <v>0</v>
      </c>
      <c r="T324" s="7">
        <v>0</v>
      </c>
      <c r="U324" s="18">
        <v>0</v>
      </c>
      <c r="V324" s="8">
        <v>0</v>
      </c>
      <c r="W324" s="7">
        <v>0</v>
      </c>
      <c r="X324" s="18">
        <v>0</v>
      </c>
      <c r="Y324" s="8">
        <v>0</v>
      </c>
      <c r="Z324" s="7">
        <v>0</v>
      </c>
      <c r="AA324" s="18">
        <v>0</v>
      </c>
      <c r="AB324" s="8">
        <v>0</v>
      </c>
      <c r="AC324" s="7">
        <v>0</v>
      </c>
      <c r="AD324" s="18">
        <v>0</v>
      </c>
      <c r="AE324" s="8">
        <v>0</v>
      </c>
      <c r="AF324" s="7">
        <v>0</v>
      </c>
      <c r="AG324" s="18">
        <v>0</v>
      </c>
      <c r="AH324" s="8">
        <v>0</v>
      </c>
      <c r="AI324" s="7">
        <v>0</v>
      </c>
      <c r="AJ324" s="18">
        <v>0</v>
      </c>
      <c r="AK324" s="8">
        <v>0</v>
      </c>
      <c r="AL324" s="7">
        <v>0</v>
      </c>
      <c r="AM324" s="18">
        <v>0</v>
      </c>
      <c r="AN324" s="8">
        <v>0</v>
      </c>
      <c r="AO324" s="7">
        <v>0</v>
      </c>
      <c r="AP324" s="18">
        <v>0</v>
      </c>
      <c r="AQ324" s="8">
        <v>0</v>
      </c>
      <c r="AR324" s="7">
        <v>0</v>
      </c>
      <c r="AS324" s="18">
        <v>0</v>
      </c>
      <c r="AT324" s="8">
        <v>0</v>
      </c>
      <c r="AU324" s="7">
        <v>0</v>
      </c>
      <c r="AV324" s="18">
        <v>0</v>
      </c>
      <c r="AW324" s="8">
        <v>0</v>
      </c>
      <c r="AX324" s="7">
        <v>0</v>
      </c>
      <c r="AY324" s="18">
        <v>0</v>
      </c>
      <c r="AZ324" s="8"/>
      <c r="BA324" s="7"/>
      <c r="BB324" s="18"/>
      <c r="BC324" s="8"/>
      <c r="BD324" s="7"/>
      <c r="BE324" s="18"/>
      <c r="BF324" s="8"/>
      <c r="BG324" s="7"/>
      <c r="BH324" s="18"/>
    </row>
    <row r="325" spans="3:60" ht="20.25" x14ac:dyDescent="0.3">
      <c r="C325" s="25" t="s">
        <v>23</v>
      </c>
      <c r="D325" s="8"/>
      <c r="E325" s="7"/>
      <c r="F325" s="18">
        <f t="shared" si="20"/>
        <v>74428.87</v>
      </c>
      <c r="G325" s="8">
        <v>0</v>
      </c>
      <c r="H325" s="7">
        <v>0</v>
      </c>
      <c r="I325" s="18">
        <v>8195.82</v>
      </c>
      <c r="J325" s="8">
        <v>0</v>
      </c>
      <c r="K325" s="7">
        <v>0</v>
      </c>
      <c r="L325" s="18">
        <v>8185.1</v>
      </c>
      <c r="M325" s="8">
        <v>0</v>
      </c>
      <c r="N325" s="7">
        <v>0</v>
      </c>
      <c r="O325" s="18">
        <v>2634.48</v>
      </c>
      <c r="P325" s="8">
        <v>0</v>
      </c>
      <c r="Q325" s="7">
        <v>0</v>
      </c>
      <c r="R325" s="18">
        <v>7830.91</v>
      </c>
      <c r="S325" s="8">
        <v>0</v>
      </c>
      <c r="T325" s="7">
        <v>0</v>
      </c>
      <c r="U325" s="18">
        <v>15461.33</v>
      </c>
      <c r="V325" s="8">
        <v>0</v>
      </c>
      <c r="W325" s="7">
        <v>0</v>
      </c>
      <c r="X325" s="18">
        <v>7070.95</v>
      </c>
      <c r="Y325" s="8">
        <v>0</v>
      </c>
      <c r="Z325" s="7">
        <v>0</v>
      </c>
      <c r="AA325" s="18">
        <v>2228.25</v>
      </c>
      <c r="AB325" s="8">
        <v>0</v>
      </c>
      <c r="AC325" s="7">
        <v>0</v>
      </c>
      <c r="AD325" s="18">
        <v>1761.85</v>
      </c>
      <c r="AE325" s="8">
        <v>0</v>
      </c>
      <c r="AF325" s="7">
        <v>0</v>
      </c>
      <c r="AG325" s="18">
        <v>2411.17</v>
      </c>
      <c r="AH325" s="8">
        <v>0</v>
      </c>
      <c r="AI325" s="7">
        <v>0</v>
      </c>
      <c r="AJ325" s="18">
        <v>1361.01</v>
      </c>
      <c r="AK325" s="8">
        <v>0</v>
      </c>
      <c r="AL325" s="7">
        <v>0</v>
      </c>
      <c r="AM325" s="18">
        <v>5351.2</v>
      </c>
      <c r="AN325" s="8">
        <v>0</v>
      </c>
      <c r="AO325" s="7">
        <v>0</v>
      </c>
      <c r="AP325" s="18">
        <v>1672.26</v>
      </c>
      <c r="AQ325" s="8">
        <v>0</v>
      </c>
      <c r="AR325" s="7">
        <v>0</v>
      </c>
      <c r="AS325" s="18">
        <v>4530.1000000000004</v>
      </c>
      <c r="AT325" s="8">
        <v>0</v>
      </c>
      <c r="AU325" s="7">
        <v>0</v>
      </c>
      <c r="AV325" s="18">
        <v>3031.99</v>
      </c>
      <c r="AW325" s="8">
        <v>0</v>
      </c>
      <c r="AX325" s="7">
        <v>0</v>
      </c>
      <c r="AY325" s="18">
        <v>2702.45</v>
      </c>
      <c r="AZ325" s="8"/>
      <c r="BA325" s="7"/>
      <c r="BB325" s="18"/>
      <c r="BC325" s="8"/>
      <c r="BD325" s="7"/>
      <c r="BE325" s="18"/>
      <c r="BF325" s="8"/>
      <c r="BG325" s="7"/>
      <c r="BH325" s="18"/>
    </row>
    <row r="326" spans="3:60" ht="20.25" x14ac:dyDescent="0.3">
      <c r="C326" s="17" t="s">
        <v>22</v>
      </c>
      <c r="D326" s="72"/>
      <c r="E326" s="71"/>
      <c r="F326" s="68">
        <f t="shared" si="20"/>
        <v>95512.069999999992</v>
      </c>
      <c r="G326" s="72">
        <v>0</v>
      </c>
      <c r="H326" s="71">
        <v>0</v>
      </c>
      <c r="I326" s="68">
        <v>5267.63</v>
      </c>
      <c r="J326" s="72">
        <v>0</v>
      </c>
      <c r="K326" s="71">
        <v>0</v>
      </c>
      <c r="L326" s="68">
        <v>5223.1000000000004</v>
      </c>
      <c r="M326" s="72">
        <v>0</v>
      </c>
      <c r="N326" s="71">
        <v>0</v>
      </c>
      <c r="O326" s="68">
        <v>3661.78</v>
      </c>
      <c r="P326" s="72">
        <v>0</v>
      </c>
      <c r="Q326" s="71">
        <v>0</v>
      </c>
      <c r="R326" s="68">
        <v>5591.66</v>
      </c>
      <c r="S326" s="72">
        <v>0</v>
      </c>
      <c r="T326" s="71">
        <v>0</v>
      </c>
      <c r="U326" s="68">
        <v>16511.8</v>
      </c>
      <c r="V326" s="72">
        <v>0</v>
      </c>
      <c r="W326" s="71">
        <v>0</v>
      </c>
      <c r="X326" s="68">
        <v>8925.43</v>
      </c>
      <c r="Y326" s="72">
        <v>0</v>
      </c>
      <c r="Z326" s="71">
        <v>21</v>
      </c>
      <c r="AA326" s="68">
        <v>5954.42</v>
      </c>
      <c r="AB326" s="72">
        <v>0</v>
      </c>
      <c r="AC326" s="71">
        <v>0</v>
      </c>
      <c r="AD326" s="68">
        <v>2819.44</v>
      </c>
      <c r="AE326" s="72">
        <v>0</v>
      </c>
      <c r="AF326" s="71">
        <v>0</v>
      </c>
      <c r="AG326" s="68">
        <v>5587.74</v>
      </c>
      <c r="AH326" s="72">
        <v>0</v>
      </c>
      <c r="AI326" s="71">
        <v>0</v>
      </c>
      <c r="AJ326" s="68">
        <v>2823.57</v>
      </c>
      <c r="AK326" s="72">
        <v>0</v>
      </c>
      <c r="AL326" s="71">
        <v>0</v>
      </c>
      <c r="AM326" s="68">
        <v>7029.16</v>
      </c>
      <c r="AN326" s="72">
        <v>0</v>
      </c>
      <c r="AO326" s="71">
        <v>0</v>
      </c>
      <c r="AP326" s="68">
        <v>5266.17</v>
      </c>
      <c r="AQ326" s="72">
        <v>0</v>
      </c>
      <c r="AR326" s="71">
        <v>0</v>
      </c>
      <c r="AS326" s="68">
        <v>6960.4</v>
      </c>
      <c r="AT326" s="72">
        <v>0</v>
      </c>
      <c r="AU326" s="71">
        <v>0</v>
      </c>
      <c r="AV326" s="68">
        <v>8266.7199999999993</v>
      </c>
      <c r="AW326" s="72">
        <v>0</v>
      </c>
      <c r="AX326" s="71">
        <v>0</v>
      </c>
      <c r="AY326" s="68">
        <v>5623.05</v>
      </c>
      <c r="AZ326" s="72"/>
      <c r="BA326" s="71"/>
      <c r="BB326" s="68"/>
      <c r="BC326" s="72"/>
      <c r="BD326" s="71"/>
      <c r="BE326" s="68"/>
      <c r="BF326" s="72"/>
      <c r="BG326" s="71"/>
      <c r="BH326" s="68"/>
    </row>
    <row r="327" spans="3:60" ht="20.25" x14ac:dyDescent="0.3">
      <c r="C327" s="17" t="s">
        <v>21</v>
      </c>
      <c r="D327" s="8"/>
      <c r="E327" s="7"/>
      <c r="F327" s="18">
        <f t="shared" si="20"/>
        <v>58807.179999999993</v>
      </c>
      <c r="G327" s="8">
        <v>0</v>
      </c>
      <c r="H327" s="7">
        <v>0</v>
      </c>
      <c r="I327" s="18">
        <v>5280.92</v>
      </c>
      <c r="J327" s="8">
        <v>0</v>
      </c>
      <c r="K327" s="7">
        <v>0</v>
      </c>
      <c r="L327" s="18">
        <v>2444.8200000000002</v>
      </c>
      <c r="M327" s="8">
        <v>0</v>
      </c>
      <c r="N327" s="7">
        <v>0</v>
      </c>
      <c r="O327" s="18">
        <v>1641.01</v>
      </c>
      <c r="P327" s="8">
        <v>0</v>
      </c>
      <c r="Q327" s="7">
        <v>0</v>
      </c>
      <c r="R327" s="18">
        <v>5937.85</v>
      </c>
      <c r="S327" s="8">
        <v>0</v>
      </c>
      <c r="T327" s="7">
        <v>0</v>
      </c>
      <c r="U327" s="18">
        <v>19365.23</v>
      </c>
      <c r="V327" s="8">
        <v>0</v>
      </c>
      <c r="W327" s="7">
        <v>0</v>
      </c>
      <c r="X327" s="18">
        <v>4558.8599999999997</v>
      </c>
      <c r="Y327" s="8">
        <v>0</v>
      </c>
      <c r="Z327" s="7">
        <v>0</v>
      </c>
      <c r="AA327" s="18">
        <v>2437.63</v>
      </c>
      <c r="AB327" s="8">
        <v>0</v>
      </c>
      <c r="AC327" s="7">
        <v>0</v>
      </c>
      <c r="AD327" s="18">
        <v>710.79</v>
      </c>
      <c r="AE327" s="8">
        <v>0</v>
      </c>
      <c r="AF327" s="7">
        <v>0</v>
      </c>
      <c r="AG327" s="18">
        <v>2284.59</v>
      </c>
      <c r="AH327" s="8">
        <v>0</v>
      </c>
      <c r="AI327" s="7">
        <v>0</v>
      </c>
      <c r="AJ327" s="18">
        <v>1048.6500000000001</v>
      </c>
      <c r="AK327" s="8">
        <v>0</v>
      </c>
      <c r="AL327" s="7">
        <v>0</v>
      </c>
      <c r="AM327" s="18">
        <v>5556.95</v>
      </c>
      <c r="AN327" s="8">
        <v>0</v>
      </c>
      <c r="AO327" s="7">
        <v>0</v>
      </c>
      <c r="AP327" s="18">
        <v>1231.49</v>
      </c>
      <c r="AQ327" s="8">
        <v>0</v>
      </c>
      <c r="AR327" s="7">
        <v>0</v>
      </c>
      <c r="AS327" s="18">
        <v>3079.2</v>
      </c>
      <c r="AT327" s="8">
        <v>0</v>
      </c>
      <c r="AU327" s="7">
        <v>0</v>
      </c>
      <c r="AV327" s="18">
        <v>1589.14</v>
      </c>
      <c r="AW327" s="8">
        <v>0</v>
      </c>
      <c r="AX327" s="7">
        <v>0</v>
      </c>
      <c r="AY327" s="18">
        <v>1640.05</v>
      </c>
      <c r="AZ327" s="8"/>
      <c r="BA327" s="7"/>
      <c r="BB327" s="18"/>
      <c r="BC327" s="8"/>
      <c r="BD327" s="7"/>
      <c r="BE327" s="18"/>
      <c r="BF327" s="8"/>
      <c r="BG327" s="7"/>
      <c r="BH327" s="18"/>
    </row>
    <row r="328" spans="3:60" ht="20.25" x14ac:dyDescent="0.3">
      <c r="C328" s="17" t="s">
        <v>20</v>
      </c>
      <c r="D328" s="8"/>
      <c r="E328" s="7"/>
      <c r="F328" s="18">
        <f t="shared" si="20"/>
        <v>13073.019999999997</v>
      </c>
      <c r="G328" s="8">
        <v>0</v>
      </c>
      <c r="H328" s="7">
        <v>0</v>
      </c>
      <c r="I328" s="18">
        <v>1112.03</v>
      </c>
      <c r="J328" s="8">
        <v>0</v>
      </c>
      <c r="K328" s="7">
        <v>0</v>
      </c>
      <c r="L328" s="18">
        <v>625.62</v>
      </c>
      <c r="M328" s="8">
        <v>0</v>
      </c>
      <c r="N328" s="7">
        <v>0</v>
      </c>
      <c r="O328" s="18">
        <v>384.34</v>
      </c>
      <c r="P328" s="8">
        <v>0</v>
      </c>
      <c r="Q328" s="7">
        <v>0</v>
      </c>
      <c r="R328" s="18">
        <v>619.62</v>
      </c>
      <c r="S328" s="8">
        <v>0</v>
      </c>
      <c r="T328" s="7">
        <v>0</v>
      </c>
      <c r="U328" s="18">
        <v>2647.16</v>
      </c>
      <c r="V328" s="8">
        <v>0</v>
      </c>
      <c r="W328" s="7">
        <v>0</v>
      </c>
      <c r="X328" s="18">
        <v>2299.39</v>
      </c>
      <c r="Y328" s="8">
        <v>0</v>
      </c>
      <c r="Z328" s="7">
        <v>0</v>
      </c>
      <c r="AA328" s="18">
        <v>678.59</v>
      </c>
      <c r="AB328" s="8">
        <v>0</v>
      </c>
      <c r="AC328" s="7">
        <v>0</v>
      </c>
      <c r="AD328" s="18">
        <v>205.13</v>
      </c>
      <c r="AE328" s="8">
        <v>0</v>
      </c>
      <c r="AF328" s="7">
        <v>0</v>
      </c>
      <c r="AG328" s="18">
        <v>427.49</v>
      </c>
      <c r="AH328" s="8">
        <v>0</v>
      </c>
      <c r="AI328" s="7">
        <v>0</v>
      </c>
      <c r="AJ328" s="18">
        <v>242.55</v>
      </c>
      <c r="AK328" s="8">
        <v>0</v>
      </c>
      <c r="AL328" s="7">
        <v>0</v>
      </c>
      <c r="AM328" s="18">
        <v>649.34</v>
      </c>
      <c r="AN328" s="8">
        <v>0</v>
      </c>
      <c r="AO328" s="7">
        <v>0</v>
      </c>
      <c r="AP328" s="18">
        <v>579.15</v>
      </c>
      <c r="AQ328" s="8">
        <v>0</v>
      </c>
      <c r="AR328" s="7">
        <v>0</v>
      </c>
      <c r="AS328" s="18">
        <v>631.13</v>
      </c>
      <c r="AT328" s="8">
        <v>0</v>
      </c>
      <c r="AU328" s="7">
        <v>0</v>
      </c>
      <c r="AV328" s="18">
        <v>1613.73</v>
      </c>
      <c r="AW328" s="8">
        <v>0</v>
      </c>
      <c r="AX328" s="7">
        <v>0</v>
      </c>
      <c r="AY328" s="18">
        <v>357.75</v>
      </c>
      <c r="AZ328" s="8"/>
      <c r="BA328" s="7"/>
      <c r="BB328" s="18"/>
      <c r="BC328" s="8"/>
      <c r="BD328" s="7"/>
      <c r="BE328" s="18"/>
      <c r="BF328" s="8"/>
      <c r="BG328" s="7"/>
      <c r="BH328" s="18"/>
    </row>
    <row r="329" spans="3:60" ht="20.25" hidden="1" x14ac:dyDescent="0.3">
      <c r="C329" s="8" t="s">
        <v>3</v>
      </c>
      <c r="D329" s="67"/>
      <c r="E329" s="66"/>
      <c r="F329" s="18">
        <f t="shared" si="20"/>
        <v>0</v>
      </c>
      <c r="G329" s="67">
        <v>0</v>
      </c>
      <c r="H329" s="66">
        <v>0</v>
      </c>
      <c r="I329" s="18">
        <v>0</v>
      </c>
      <c r="J329" s="67">
        <v>0</v>
      </c>
      <c r="K329" s="66">
        <v>0</v>
      </c>
      <c r="L329" s="18">
        <v>0</v>
      </c>
      <c r="M329" s="67">
        <v>0</v>
      </c>
      <c r="N329" s="66">
        <v>0</v>
      </c>
      <c r="O329" s="18">
        <v>0</v>
      </c>
      <c r="P329" s="67">
        <v>0</v>
      </c>
      <c r="Q329" s="66">
        <v>0</v>
      </c>
      <c r="R329" s="18">
        <v>0</v>
      </c>
      <c r="S329" s="67">
        <v>0</v>
      </c>
      <c r="T329" s="66">
        <v>0</v>
      </c>
      <c r="U329" s="18">
        <v>0</v>
      </c>
      <c r="V329" s="67">
        <v>0</v>
      </c>
      <c r="W329" s="66">
        <v>0</v>
      </c>
      <c r="X329" s="18">
        <v>0</v>
      </c>
      <c r="Y329" s="67">
        <v>0</v>
      </c>
      <c r="Z329" s="66">
        <v>0</v>
      </c>
      <c r="AA329" s="18">
        <v>0</v>
      </c>
      <c r="AB329" s="67">
        <v>0</v>
      </c>
      <c r="AC329" s="66">
        <v>0</v>
      </c>
      <c r="AD329" s="18">
        <v>0</v>
      </c>
      <c r="AE329" s="67">
        <v>0</v>
      </c>
      <c r="AF329" s="66">
        <v>0</v>
      </c>
      <c r="AG329" s="18">
        <v>0</v>
      </c>
      <c r="AH329" s="67">
        <v>0</v>
      </c>
      <c r="AI329" s="66">
        <v>0</v>
      </c>
      <c r="AJ329" s="18">
        <v>0</v>
      </c>
      <c r="AK329" s="67">
        <v>0</v>
      </c>
      <c r="AL329" s="66">
        <v>0</v>
      </c>
      <c r="AM329" s="18">
        <v>0</v>
      </c>
      <c r="AN329" s="67">
        <v>0</v>
      </c>
      <c r="AO329" s="66">
        <v>0</v>
      </c>
      <c r="AP329" s="18">
        <v>0</v>
      </c>
      <c r="AQ329" s="67">
        <v>0</v>
      </c>
      <c r="AR329" s="66">
        <v>0</v>
      </c>
      <c r="AS329" s="18">
        <v>0</v>
      </c>
      <c r="AT329" s="67">
        <v>0</v>
      </c>
      <c r="AU329" s="66">
        <v>0</v>
      </c>
      <c r="AV329" s="18">
        <v>0</v>
      </c>
      <c r="AW329" s="67">
        <v>0</v>
      </c>
      <c r="AX329" s="66">
        <v>0</v>
      </c>
      <c r="AY329" s="18">
        <v>0</v>
      </c>
      <c r="AZ329" s="67"/>
      <c r="BA329" s="66"/>
      <c r="BB329" s="18"/>
      <c r="BC329" s="67"/>
      <c r="BD329" s="66"/>
      <c r="BE329" s="18"/>
      <c r="BF329" s="67"/>
      <c r="BG329" s="66"/>
      <c r="BH329" s="18"/>
    </row>
    <row r="330" spans="3:60" ht="20.25" x14ac:dyDescent="0.3">
      <c r="C330" s="11" t="s">
        <v>19</v>
      </c>
      <c r="D330" s="70"/>
      <c r="E330" s="13"/>
      <c r="F330" s="69">
        <f>SUM(F318:F328)</f>
        <v>768237</v>
      </c>
      <c r="G330" s="70" t="s">
        <v>18</v>
      </c>
      <c r="H330" s="13">
        <v>0.33343967332354901</v>
      </c>
      <c r="I330" s="69">
        <v>70969.0799999999</v>
      </c>
      <c r="J330" s="70" t="s">
        <v>18</v>
      </c>
      <c r="K330" s="13">
        <v>0.25335169266400298</v>
      </c>
      <c r="L330" s="69">
        <v>40489.909999999902</v>
      </c>
      <c r="M330" s="70" t="s">
        <v>18</v>
      </c>
      <c r="N330" s="13">
        <v>0.35861078645110001</v>
      </c>
      <c r="O330" s="69">
        <v>28359.919999999998</v>
      </c>
      <c r="P330" s="70" t="s">
        <v>18</v>
      </c>
      <c r="Q330" s="13">
        <v>0.31304260504630599</v>
      </c>
      <c r="R330" s="69">
        <v>65370.69</v>
      </c>
      <c r="S330" s="70" t="s">
        <v>18</v>
      </c>
      <c r="T330" s="13">
        <v>0.52890539601345499</v>
      </c>
      <c r="U330" s="69">
        <v>166470.99</v>
      </c>
      <c r="V330" s="70" t="s">
        <v>18</v>
      </c>
      <c r="W330" s="13">
        <v>0.34221646731143801</v>
      </c>
      <c r="X330" s="69">
        <v>81543.859999999899</v>
      </c>
      <c r="Y330" s="70" t="s">
        <v>18</v>
      </c>
      <c r="Z330" s="13">
        <v>0.33952899478140902</v>
      </c>
      <c r="AA330" s="69">
        <v>36397.969999999899</v>
      </c>
      <c r="AB330" s="70" t="s">
        <v>18</v>
      </c>
      <c r="AC330" s="13">
        <v>0.23283737420065601</v>
      </c>
      <c r="AD330" s="69">
        <v>19884.98</v>
      </c>
      <c r="AE330" s="70" t="s">
        <v>18</v>
      </c>
      <c r="AF330" s="13">
        <v>0.36409666139595198</v>
      </c>
      <c r="AG330" s="69">
        <v>41463.629999999997</v>
      </c>
      <c r="AH330" s="70" t="s">
        <v>18</v>
      </c>
      <c r="AI330" s="13">
        <v>0.450975107329187</v>
      </c>
      <c r="AJ330" s="69">
        <v>20614</v>
      </c>
      <c r="AK330" s="70" t="s">
        <v>18</v>
      </c>
      <c r="AL330" s="13">
        <v>1.3012734099208501</v>
      </c>
      <c r="AM330" s="69">
        <v>35947.729999999901</v>
      </c>
      <c r="AN330" s="70" t="s">
        <v>18</v>
      </c>
      <c r="AO330" s="13">
        <v>0.36898514793074799</v>
      </c>
      <c r="AP330" s="69">
        <v>34087.49</v>
      </c>
      <c r="AQ330" s="70" t="s">
        <v>18</v>
      </c>
      <c r="AR330" s="13">
        <v>0.45899218624722299</v>
      </c>
      <c r="AS330" s="69">
        <v>46255.469999999899</v>
      </c>
      <c r="AT330" s="70" t="s">
        <v>18</v>
      </c>
      <c r="AU330" s="13">
        <v>0.466530019661064</v>
      </c>
      <c r="AV330" s="69">
        <v>48551.14</v>
      </c>
      <c r="AW330" s="70" t="s">
        <v>18</v>
      </c>
      <c r="AX330" s="13">
        <v>0.75508070052582599</v>
      </c>
      <c r="AY330" s="69">
        <v>31830.14</v>
      </c>
      <c r="AZ330" s="70"/>
      <c r="BA330" s="13"/>
      <c r="BB330" s="69"/>
      <c r="BC330" s="70"/>
      <c r="BD330" s="13"/>
      <c r="BE330" s="69"/>
      <c r="BF330" s="70"/>
      <c r="BG330" s="13"/>
      <c r="BH330" s="69"/>
    </row>
    <row r="331" spans="3:60" ht="20.25" x14ac:dyDescent="0.3">
      <c r="C331" s="21" t="s">
        <v>17</v>
      </c>
      <c r="D331" s="8"/>
      <c r="E331" s="7"/>
      <c r="F331" s="18">
        <f t="shared" ref="F331:F348" si="21">+SUM(I331,L331,O331,R331,U331,X331,AA331,AD331,AG331,AJ331,AM331,AP331,AS331,AV331,AY331,BB331,BE331,BH331)</f>
        <v>41415.54</v>
      </c>
      <c r="G331" s="8">
        <v>0</v>
      </c>
      <c r="H331" s="7">
        <v>0</v>
      </c>
      <c r="I331" s="18">
        <v>2606.4899999999998</v>
      </c>
      <c r="J331" s="8">
        <v>0</v>
      </c>
      <c r="K331" s="7">
        <v>0</v>
      </c>
      <c r="L331" s="18">
        <v>1799.22</v>
      </c>
      <c r="M331" s="8">
        <v>0</v>
      </c>
      <c r="N331" s="7">
        <v>0</v>
      </c>
      <c r="O331" s="18">
        <v>3271.76</v>
      </c>
      <c r="P331" s="8">
        <v>0</v>
      </c>
      <c r="Q331" s="7">
        <v>0</v>
      </c>
      <c r="R331" s="18">
        <v>1346.88</v>
      </c>
      <c r="S331" s="8">
        <v>0</v>
      </c>
      <c r="T331" s="7">
        <v>0</v>
      </c>
      <c r="U331" s="18">
        <v>1281.3900000000001</v>
      </c>
      <c r="V331" s="8">
        <v>0</v>
      </c>
      <c r="W331" s="7">
        <v>0</v>
      </c>
      <c r="X331" s="18">
        <v>6848.51</v>
      </c>
      <c r="Y331" s="8">
        <v>0</v>
      </c>
      <c r="Z331" s="7">
        <v>0</v>
      </c>
      <c r="AA331" s="18">
        <v>3048.08</v>
      </c>
      <c r="AB331" s="8">
        <v>0</v>
      </c>
      <c r="AC331" s="7">
        <v>0</v>
      </c>
      <c r="AD331" s="18">
        <v>816</v>
      </c>
      <c r="AE331" s="8">
        <v>0</v>
      </c>
      <c r="AF331" s="7">
        <v>0</v>
      </c>
      <c r="AG331" s="18">
        <v>2637.8</v>
      </c>
      <c r="AH331" s="8">
        <v>0</v>
      </c>
      <c r="AI331" s="7">
        <v>0</v>
      </c>
      <c r="AJ331" s="18">
        <v>1902.45</v>
      </c>
      <c r="AK331" s="8">
        <v>0</v>
      </c>
      <c r="AL331" s="7">
        <v>0</v>
      </c>
      <c r="AM331" s="18">
        <v>-408.87</v>
      </c>
      <c r="AN331" s="8">
        <v>0</v>
      </c>
      <c r="AO331" s="7">
        <v>0</v>
      </c>
      <c r="AP331" s="18">
        <v>5819.77</v>
      </c>
      <c r="AQ331" s="8">
        <v>0</v>
      </c>
      <c r="AR331" s="7">
        <v>0</v>
      </c>
      <c r="AS331" s="18">
        <v>6537.53</v>
      </c>
      <c r="AT331" s="8">
        <v>0</v>
      </c>
      <c r="AU331" s="7">
        <v>0</v>
      </c>
      <c r="AV331" s="18">
        <v>2753.47</v>
      </c>
      <c r="AW331" s="8">
        <v>0</v>
      </c>
      <c r="AX331" s="7">
        <v>0</v>
      </c>
      <c r="AY331" s="18">
        <v>1155.06</v>
      </c>
      <c r="AZ331" s="8"/>
      <c r="BA331" s="7"/>
      <c r="BB331" s="18"/>
      <c r="BC331" s="8"/>
      <c r="BD331" s="7"/>
      <c r="BE331" s="18"/>
      <c r="BF331" s="8"/>
      <c r="BG331" s="7"/>
      <c r="BH331" s="18"/>
    </row>
    <row r="332" spans="3:60" ht="20.25" x14ac:dyDescent="0.3">
      <c r="C332" s="17" t="s">
        <v>16</v>
      </c>
      <c r="D332" s="8"/>
      <c r="E332" s="7"/>
      <c r="F332" s="18">
        <f t="shared" si="21"/>
        <v>23913.19</v>
      </c>
      <c r="G332" s="8">
        <v>0</v>
      </c>
      <c r="H332" s="7">
        <v>0</v>
      </c>
      <c r="I332" s="18">
        <v>3581.04</v>
      </c>
      <c r="J332" s="8">
        <v>0</v>
      </c>
      <c r="K332" s="7">
        <v>0</v>
      </c>
      <c r="L332" s="18">
        <v>1852.99</v>
      </c>
      <c r="M332" s="8">
        <v>0</v>
      </c>
      <c r="N332" s="7">
        <v>0</v>
      </c>
      <c r="O332" s="18">
        <v>350.3</v>
      </c>
      <c r="P332" s="8">
        <v>0</v>
      </c>
      <c r="Q332" s="7">
        <v>0</v>
      </c>
      <c r="R332" s="18">
        <v>2207.91</v>
      </c>
      <c r="S332" s="8">
        <v>0</v>
      </c>
      <c r="T332" s="7">
        <v>0</v>
      </c>
      <c r="U332" s="18">
        <v>374.19</v>
      </c>
      <c r="V332" s="8">
        <v>0</v>
      </c>
      <c r="W332" s="7">
        <v>0</v>
      </c>
      <c r="X332" s="18">
        <v>6194.36</v>
      </c>
      <c r="Y332" s="8">
        <v>0</v>
      </c>
      <c r="Z332" s="7">
        <v>0</v>
      </c>
      <c r="AA332" s="18">
        <v>0</v>
      </c>
      <c r="AB332" s="8">
        <v>0</v>
      </c>
      <c r="AC332" s="7">
        <v>0</v>
      </c>
      <c r="AD332" s="18">
        <v>851.62</v>
      </c>
      <c r="AE332" s="8">
        <v>0</v>
      </c>
      <c r="AF332" s="7">
        <v>0</v>
      </c>
      <c r="AG332" s="18">
        <v>0</v>
      </c>
      <c r="AH332" s="8">
        <v>0</v>
      </c>
      <c r="AI332" s="7">
        <v>0</v>
      </c>
      <c r="AJ332" s="18">
        <v>607.72</v>
      </c>
      <c r="AK332" s="8">
        <v>0</v>
      </c>
      <c r="AL332" s="7">
        <v>0</v>
      </c>
      <c r="AM332" s="18">
        <v>1385.29</v>
      </c>
      <c r="AN332" s="8">
        <v>0</v>
      </c>
      <c r="AO332" s="7">
        <v>0</v>
      </c>
      <c r="AP332" s="18">
        <v>372.53</v>
      </c>
      <c r="AQ332" s="8">
        <v>0</v>
      </c>
      <c r="AR332" s="7">
        <v>0</v>
      </c>
      <c r="AS332" s="18">
        <v>86.46</v>
      </c>
      <c r="AT332" s="8">
        <v>0</v>
      </c>
      <c r="AU332" s="7">
        <v>0</v>
      </c>
      <c r="AV332" s="18">
        <v>6048.78</v>
      </c>
      <c r="AW332" s="8">
        <v>0</v>
      </c>
      <c r="AX332" s="7">
        <v>0</v>
      </c>
      <c r="AY332" s="18">
        <v>0</v>
      </c>
      <c r="AZ332" s="8"/>
      <c r="BA332" s="7"/>
      <c r="BB332" s="18"/>
      <c r="BC332" s="8"/>
      <c r="BD332" s="7"/>
      <c r="BE332" s="18"/>
      <c r="BF332" s="8"/>
      <c r="BG332" s="7"/>
      <c r="BH332" s="18"/>
    </row>
    <row r="333" spans="3:60" ht="20.25" x14ac:dyDescent="0.3">
      <c r="C333" s="25" t="s">
        <v>15</v>
      </c>
      <c r="D333" s="67"/>
      <c r="E333" s="66"/>
      <c r="F333" s="18">
        <f t="shared" si="21"/>
        <v>28953.249999999989</v>
      </c>
      <c r="G333" s="67">
        <v>0</v>
      </c>
      <c r="H333" s="66">
        <v>0</v>
      </c>
      <c r="I333" s="18">
        <v>1687.51</v>
      </c>
      <c r="J333" s="67">
        <v>0</v>
      </c>
      <c r="K333" s="66">
        <v>0</v>
      </c>
      <c r="L333" s="18">
        <v>1266.49</v>
      </c>
      <c r="M333" s="67">
        <v>0</v>
      </c>
      <c r="N333" s="66">
        <v>0</v>
      </c>
      <c r="O333" s="18">
        <v>5255.7999999999902</v>
      </c>
      <c r="P333" s="67">
        <v>0</v>
      </c>
      <c r="Q333" s="66">
        <v>0</v>
      </c>
      <c r="R333" s="18">
        <v>241.65</v>
      </c>
      <c r="S333" s="67">
        <v>0</v>
      </c>
      <c r="T333" s="66">
        <v>0</v>
      </c>
      <c r="U333" s="18">
        <v>15261.78</v>
      </c>
      <c r="V333" s="67">
        <v>0</v>
      </c>
      <c r="W333" s="66">
        <v>0</v>
      </c>
      <c r="X333" s="18">
        <v>672.11</v>
      </c>
      <c r="Y333" s="67">
        <v>0</v>
      </c>
      <c r="Z333" s="66">
        <v>0</v>
      </c>
      <c r="AA333" s="18">
        <v>790.46</v>
      </c>
      <c r="AB333" s="67">
        <v>0</v>
      </c>
      <c r="AC333" s="66">
        <v>0</v>
      </c>
      <c r="AD333" s="18">
        <v>253.64</v>
      </c>
      <c r="AE333" s="67">
        <v>0</v>
      </c>
      <c r="AF333" s="66">
        <v>0</v>
      </c>
      <c r="AG333" s="18">
        <v>599.39</v>
      </c>
      <c r="AH333" s="67">
        <v>0</v>
      </c>
      <c r="AI333" s="66">
        <v>0</v>
      </c>
      <c r="AJ333" s="18">
        <v>362.41</v>
      </c>
      <c r="AK333" s="67">
        <v>0</v>
      </c>
      <c r="AL333" s="66">
        <v>0</v>
      </c>
      <c r="AM333" s="18">
        <v>207.23</v>
      </c>
      <c r="AN333" s="67">
        <v>0</v>
      </c>
      <c r="AO333" s="66">
        <v>0</v>
      </c>
      <c r="AP333" s="18">
        <v>208.4</v>
      </c>
      <c r="AQ333" s="67">
        <v>0</v>
      </c>
      <c r="AR333" s="66">
        <v>0</v>
      </c>
      <c r="AS333" s="18">
        <v>636.04</v>
      </c>
      <c r="AT333" s="67">
        <v>0</v>
      </c>
      <c r="AU333" s="66">
        <v>0</v>
      </c>
      <c r="AV333" s="18">
        <v>1170.8399999999999</v>
      </c>
      <c r="AW333" s="67">
        <v>0</v>
      </c>
      <c r="AX333" s="66">
        <v>0</v>
      </c>
      <c r="AY333" s="18">
        <v>339.5</v>
      </c>
      <c r="AZ333" s="67"/>
      <c r="BA333" s="66"/>
      <c r="BB333" s="18"/>
      <c r="BC333" s="67"/>
      <c r="BD333" s="66"/>
      <c r="BE333" s="18"/>
      <c r="BF333" s="67"/>
      <c r="BG333" s="66"/>
      <c r="BH333" s="18"/>
    </row>
    <row r="334" spans="3:60" ht="20.25" x14ac:dyDescent="0.3">
      <c r="C334" s="17" t="s">
        <v>14</v>
      </c>
      <c r="D334" s="8"/>
      <c r="E334" s="7"/>
      <c r="F334" s="68">
        <f t="shared" si="21"/>
        <v>72869.47</v>
      </c>
      <c r="G334" s="8">
        <v>0</v>
      </c>
      <c r="H334" s="7">
        <v>0</v>
      </c>
      <c r="I334" s="68">
        <v>4382.38</v>
      </c>
      <c r="J334" s="8">
        <v>0</v>
      </c>
      <c r="K334" s="7">
        <v>0</v>
      </c>
      <c r="L334" s="68">
        <v>3300.12</v>
      </c>
      <c r="M334" s="8">
        <v>0</v>
      </c>
      <c r="N334" s="7">
        <v>0</v>
      </c>
      <c r="O334" s="68">
        <v>2222.5500000000002</v>
      </c>
      <c r="P334" s="8">
        <v>0</v>
      </c>
      <c r="Q334" s="7">
        <v>0</v>
      </c>
      <c r="R334" s="68">
        <v>6859.06</v>
      </c>
      <c r="S334" s="8">
        <v>0</v>
      </c>
      <c r="T334" s="7">
        <v>0</v>
      </c>
      <c r="U334" s="68">
        <v>14940.55</v>
      </c>
      <c r="V334" s="8">
        <v>0</v>
      </c>
      <c r="W334" s="7">
        <v>0</v>
      </c>
      <c r="X334" s="68">
        <v>7707.55</v>
      </c>
      <c r="Y334" s="8">
        <v>0</v>
      </c>
      <c r="Z334" s="7">
        <v>0</v>
      </c>
      <c r="AA334" s="68">
        <v>2324.84</v>
      </c>
      <c r="AB334" s="8">
        <v>0</v>
      </c>
      <c r="AC334" s="7">
        <v>0</v>
      </c>
      <c r="AD334" s="68">
        <v>3325.26</v>
      </c>
      <c r="AE334" s="8">
        <v>0</v>
      </c>
      <c r="AF334" s="7">
        <v>0</v>
      </c>
      <c r="AG334" s="68">
        <v>3047.91</v>
      </c>
      <c r="AH334" s="8">
        <v>0</v>
      </c>
      <c r="AI334" s="7">
        <v>0</v>
      </c>
      <c r="AJ334" s="68">
        <v>2635.31</v>
      </c>
      <c r="AK334" s="8">
        <v>0</v>
      </c>
      <c r="AL334" s="7">
        <v>0</v>
      </c>
      <c r="AM334" s="68">
        <v>2505.77</v>
      </c>
      <c r="AN334" s="8">
        <v>0</v>
      </c>
      <c r="AO334" s="7">
        <v>0</v>
      </c>
      <c r="AP334" s="68">
        <v>3971.51</v>
      </c>
      <c r="AQ334" s="8">
        <v>0</v>
      </c>
      <c r="AR334" s="7">
        <v>0</v>
      </c>
      <c r="AS334" s="68">
        <v>3610.34</v>
      </c>
      <c r="AT334" s="8">
        <v>0</v>
      </c>
      <c r="AU334" s="7">
        <v>0</v>
      </c>
      <c r="AV334" s="68">
        <v>9396.99</v>
      </c>
      <c r="AW334" s="8">
        <v>0</v>
      </c>
      <c r="AX334" s="7">
        <v>0</v>
      </c>
      <c r="AY334" s="68">
        <v>2639.33</v>
      </c>
      <c r="AZ334" s="8"/>
      <c r="BA334" s="7"/>
      <c r="BB334" s="68"/>
      <c r="BC334" s="8"/>
      <c r="BD334" s="7"/>
      <c r="BE334" s="68"/>
      <c r="BF334" s="8"/>
      <c r="BG334" s="7"/>
      <c r="BH334" s="68"/>
    </row>
    <row r="335" spans="3:60" ht="20.25" x14ac:dyDescent="0.3">
      <c r="C335" s="17" t="s">
        <v>13</v>
      </c>
      <c r="D335" s="8"/>
      <c r="E335" s="7"/>
      <c r="F335" s="18">
        <f t="shared" si="21"/>
        <v>9126.82</v>
      </c>
      <c r="G335" s="8">
        <v>0</v>
      </c>
      <c r="H335" s="7">
        <v>0</v>
      </c>
      <c r="I335" s="18">
        <v>1657.91</v>
      </c>
      <c r="J335" s="8">
        <v>0</v>
      </c>
      <c r="K335" s="7">
        <v>0</v>
      </c>
      <c r="L335" s="18">
        <v>590.41</v>
      </c>
      <c r="M335" s="8">
        <v>0</v>
      </c>
      <c r="N335" s="7">
        <v>0</v>
      </c>
      <c r="O335" s="18">
        <v>359.03</v>
      </c>
      <c r="P335" s="8">
        <v>0</v>
      </c>
      <c r="Q335" s="7">
        <v>0</v>
      </c>
      <c r="R335" s="18">
        <v>646.46</v>
      </c>
      <c r="S335" s="8">
        <v>0</v>
      </c>
      <c r="T335" s="7">
        <v>0</v>
      </c>
      <c r="U335" s="18">
        <v>35.08</v>
      </c>
      <c r="V335" s="8">
        <v>0</v>
      </c>
      <c r="W335" s="7">
        <v>0</v>
      </c>
      <c r="X335" s="18">
        <v>1909.6</v>
      </c>
      <c r="Y335" s="8">
        <v>0</v>
      </c>
      <c r="Z335" s="7">
        <v>0</v>
      </c>
      <c r="AA335" s="18">
        <v>411.1</v>
      </c>
      <c r="AB335" s="8">
        <v>0</v>
      </c>
      <c r="AC335" s="7">
        <v>0</v>
      </c>
      <c r="AD335" s="18">
        <v>222.74</v>
      </c>
      <c r="AE335" s="8">
        <v>0</v>
      </c>
      <c r="AF335" s="7">
        <v>0</v>
      </c>
      <c r="AG335" s="18">
        <v>266.54000000000002</v>
      </c>
      <c r="AH335" s="8">
        <v>0</v>
      </c>
      <c r="AI335" s="7">
        <v>0</v>
      </c>
      <c r="AJ335" s="18">
        <v>94.69</v>
      </c>
      <c r="AK335" s="8">
        <v>0</v>
      </c>
      <c r="AL335" s="7">
        <v>0</v>
      </c>
      <c r="AM335" s="18">
        <v>743.23</v>
      </c>
      <c r="AN335" s="8">
        <v>0</v>
      </c>
      <c r="AO335" s="7">
        <v>0</v>
      </c>
      <c r="AP335" s="18">
        <v>455.68</v>
      </c>
      <c r="AQ335" s="8">
        <v>0</v>
      </c>
      <c r="AR335" s="7">
        <v>0</v>
      </c>
      <c r="AS335" s="18">
        <v>667.97</v>
      </c>
      <c r="AT335" s="8">
        <v>0</v>
      </c>
      <c r="AU335" s="7">
        <v>0</v>
      </c>
      <c r="AV335" s="18">
        <v>728.54</v>
      </c>
      <c r="AW335" s="8">
        <v>0</v>
      </c>
      <c r="AX335" s="7">
        <v>0</v>
      </c>
      <c r="AY335" s="18">
        <v>337.84</v>
      </c>
      <c r="AZ335" s="8"/>
      <c r="BA335" s="7"/>
      <c r="BB335" s="18"/>
      <c r="BC335" s="8"/>
      <c r="BD335" s="7"/>
      <c r="BE335" s="18"/>
      <c r="BF335" s="8"/>
      <c r="BG335" s="7"/>
      <c r="BH335" s="18"/>
    </row>
    <row r="336" spans="3:60" ht="20.25" x14ac:dyDescent="0.3">
      <c r="C336" s="25" t="s">
        <v>12</v>
      </c>
      <c r="D336" s="67"/>
      <c r="E336" s="66"/>
      <c r="F336" s="22">
        <f t="shared" si="21"/>
        <v>139843.22</v>
      </c>
      <c r="G336" s="67">
        <v>0</v>
      </c>
      <c r="H336" s="66">
        <v>0</v>
      </c>
      <c r="I336" s="22">
        <v>12311.45</v>
      </c>
      <c r="J336" s="67">
        <v>0</v>
      </c>
      <c r="K336" s="66">
        <v>0</v>
      </c>
      <c r="L336" s="22">
        <v>6041.77</v>
      </c>
      <c r="M336" s="67">
        <v>0</v>
      </c>
      <c r="N336" s="66">
        <v>0</v>
      </c>
      <c r="O336" s="22">
        <v>2297.83</v>
      </c>
      <c r="P336" s="67">
        <v>0</v>
      </c>
      <c r="Q336" s="66">
        <v>0</v>
      </c>
      <c r="R336" s="22">
        <v>3317.81</v>
      </c>
      <c r="S336" s="67">
        <v>0</v>
      </c>
      <c r="T336" s="66">
        <v>0</v>
      </c>
      <c r="U336" s="22">
        <v>12084.13</v>
      </c>
      <c r="V336" s="67">
        <v>0</v>
      </c>
      <c r="W336" s="66">
        <v>0</v>
      </c>
      <c r="X336" s="22">
        <v>17634.099999999999</v>
      </c>
      <c r="Y336" s="67">
        <v>0</v>
      </c>
      <c r="Z336" s="66">
        <v>0</v>
      </c>
      <c r="AA336" s="22">
        <v>6878.78</v>
      </c>
      <c r="AB336" s="67">
        <v>0</v>
      </c>
      <c r="AC336" s="66">
        <v>0</v>
      </c>
      <c r="AD336" s="22">
        <v>8178.26</v>
      </c>
      <c r="AE336" s="67">
        <v>0</v>
      </c>
      <c r="AF336" s="66">
        <v>0</v>
      </c>
      <c r="AG336" s="22">
        <v>12726.49</v>
      </c>
      <c r="AH336" s="67">
        <v>0</v>
      </c>
      <c r="AI336" s="66">
        <v>0</v>
      </c>
      <c r="AJ336" s="22">
        <v>4185.47</v>
      </c>
      <c r="AK336" s="67">
        <v>0</v>
      </c>
      <c r="AL336" s="66">
        <v>0</v>
      </c>
      <c r="AM336" s="22">
        <v>4306.7299999999996</v>
      </c>
      <c r="AN336" s="67">
        <v>0</v>
      </c>
      <c r="AO336" s="66">
        <v>0</v>
      </c>
      <c r="AP336" s="22">
        <v>15248.09</v>
      </c>
      <c r="AQ336" s="67">
        <v>0</v>
      </c>
      <c r="AR336" s="66">
        <v>0</v>
      </c>
      <c r="AS336" s="22">
        <v>13180.22</v>
      </c>
      <c r="AT336" s="67">
        <v>0</v>
      </c>
      <c r="AU336" s="66">
        <v>0</v>
      </c>
      <c r="AV336" s="22">
        <v>13220.71</v>
      </c>
      <c r="AW336" s="67">
        <v>0</v>
      </c>
      <c r="AX336" s="66">
        <v>0</v>
      </c>
      <c r="AY336" s="22">
        <v>8231.3799999999992</v>
      </c>
      <c r="AZ336" s="67"/>
      <c r="BA336" s="66"/>
      <c r="BB336" s="22"/>
      <c r="BC336" s="67"/>
      <c r="BD336" s="66"/>
      <c r="BE336" s="22"/>
      <c r="BF336" s="67"/>
      <c r="BG336" s="66"/>
      <c r="BH336" s="22"/>
    </row>
    <row r="337" spans="3:60" ht="20.25" x14ac:dyDescent="0.3">
      <c r="C337" s="17" t="s">
        <v>34</v>
      </c>
      <c r="D337" s="8"/>
      <c r="E337" s="7"/>
      <c r="F337" s="18">
        <f t="shared" si="21"/>
        <v>0</v>
      </c>
      <c r="G337" s="8">
        <v>0</v>
      </c>
      <c r="H337" s="7">
        <v>0</v>
      </c>
      <c r="I337" s="18">
        <v>0</v>
      </c>
      <c r="J337" s="8">
        <v>0</v>
      </c>
      <c r="K337" s="7">
        <v>0</v>
      </c>
      <c r="L337" s="18">
        <v>0</v>
      </c>
      <c r="M337" s="8">
        <v>0</v>
      </c>
      <c r="N337" s="7">
        <v>0</v>
      </c>
      <c r="O337" s="18">
        <v>0</v>
      </c>
      <c r="P337" s="8">
        <v>0</v>
      </c>
      <c r="Q337" s="7">
        <v>0</v>
      </c>
      <c r="R337" s="18">
        <v>0</v>
      </c>
      <c r="S337" s="8">
        <v>0</v>
      </c>
      <c r="T337" s="7">
        <v>0</v>
      </c>
      <c r="U337" s="18">
        <v>0</v>
      </c>
      <c r="V337" s="8">
        <v>0</v>
      </c>
      <c r="W337" s="7">
        <v>0</v>
      </c>
      <c r="X337" s="18">
        <v>0</v>
      </c>
      <c r="Y337" s="8">
        <v>0</v>
      </c>
      <c r="Z337" s="7">
        <v>0</v>
      </c>
      <c r="AA337" s="18">
        <v>0</v>
      </c>
      <c r="AB337" s="8">
        <v>0</v>
      </c>
      <c r="AC337" s="7">
        <v>0</v>
      </c>
      <c r="AD337" s="18">
        <v>0</v>
      </c>
      <c r="AE337" s="8">
        <v>0</v>
      </c>
      <c r="AF337" s="7">
        <v>0</v>
      </c>
      <c r="AG337" s="18">
        <v>0</v>
      </c>
      <c r="AH337" s="8">
        <v>0</v>
      </c>
      <c r="AI337" s="7">
        <v>0</v>
      </c>
      <c r="AJ337" s="18">
        <v>0</v>
      </c>
      <c r="AK337" s="8">
        <v>0</v>
      </c>
      <c r="AL337" s="7">
        <v>0</v>
      </c>
      <c r="AM337" s="18">
        <v>0</v>
      </c>
      <c r="AN337" s="8">
        <v>0</v>
      </c>
      <c r="AO337" s="7">
        <v>0</v>
      </c>
      <c r="AP337" s="18">
        <v>0</v>
      </c>
      <c r="AQ337" s="8">
        <v>0</v>
      </c>
      <c r="AR337" s="7">
        <v>0</v>
      </c>
      <c r="AS337" s="18">
        <v>0</v>
      </c>
      <c r="AT337" s="8">
        <v>0</v>
      </c>
      <c r="AU337" s="7">
        <v>0</v>
      </c>
      <c r="AV337" s="18">
        <v>0</v>
      </c>
      <c r="AW337" s="8">
        <v>0</v>
      </c>
      <c r="AX337" s="7">
        <v>0</v>
      </c>
      <c r="AY337" s="18">
        <v>0</v>
      </c>
      <c r="AZ337" s="8"/>
      <c r="BA337" s="7"/>
      <c r="BB337" s="18"/>
      <c r="BC337" s="8"/>
      <c r="BD337" s="7"/>
      <c r="BE337" s="18"/>
      <c r="BF337" s="8"/>
      <c r="BG337" s="7"/>
      <c r="BH337" s="18"/>
    </row>
    <row r="338" spans="3:60" ht="20.25" x14ac:dyDescent="0.3">
      <c r="C338" s="17" t="s">
        <v>11</v>
      </c>
      <c r="D338" s="8"/>
      <c r="E338" s="7"/>
      <c r="F338" s="18">
        <f t="shared" si="21"/>
        <v>2154.85</v>
      </c>
      <c r="G338" s="8">
        <v>0</v>
      </c>
      <c r="H338" s="7">
        <v>0</v>
      </c>
      <c r="I338" s="18">
        <v>168.81</v>
      </c>
      <c r="J338" s="8">
        <v>0</v>
      </c>
      <c r="K338" s="7">
        <v>0</v>
      </c>
      <c r="L338" s="18">
        <v>11.96</v>
      </c>
      <c r="M338" s="8">
        <v>0</v>
      </c>
      <c r="N338" s="7">
        <v>0</v>
      </c>
      <c r="O338" s="18">
        <v>2.19</v>
      </c>
      <c r="P338" s="8">
        <v>0</v>
      </c>
      <c r="Q338" s="7">
        <v>0</v>
      </c>
      <c r="R338" s="18">
        <v>1530.04</v>
      </c>
      <c r="S338" s="8">
        <v>0</v>
      </c>
      <c r="T338" s="7">
        <v>0</v>
      </c>
      <c r="U338" s="18">
        <v>0</v>
      </c>
      <c r="V338" s="8">
        <v>0</v>
      </c>
      <c r="W338" s="7">
        <v>0</v>
      </c>
      <c r="X338" s="18">
        <v>0</v>
      </c>
      <c r="Y338" s="8">
        <v>0</v>
      </c>
      <c r="Z338" s="7">
        <v>0</v>
      </c>
      <c r="AA338" s="18">
        <v>60.75</v>
      </c>
      <c r="AB338" s="8">
        <v>0</v>
      </c>
      <c r="AC338" s="7">
        <v>0</v>
      </c>
      <c r="AD338" s="18">
        <v>0</v>
      </c>
      <c r="AE338" s="8">
        <v>0</v>
      </c>
      <c r="AF338" s="7">
        <v>0</v>
      </c>
      <c r="AG338" s="18">
        <v>41.2</v>
      </c>
      <c r="AH338" s="8">
        <v>0</v>
      </c>
      <c r="AI338" s="7">
        <v>0</v>
      </c>
      <c r="AJ338" s="18">
        <v>122.01</v>
      </c>
      <c r="AK338" s="8">
        <v>0</v>
      </c>
      <c r="AL338" s="7">
        <v>0</v>
      </c>
      <c r="AM338" s="18">
        <v>169.41</v>
      </c>
      <c r="AN338" s="8">
        <v>0</v>
      </c>
      <c r="AO338" s="7">
        <v>0</v>
      </c>
      <c r="AP338" s="18">
        <v>0</v>
      </c>
      <c r="AQ338" s="8">
        <v>0</v>
      </c>
      <c r="AR338" s="7">
        <v>0</v>
      </c>
      <c r="AS338" s="18">
        <v>48.48</v>
      </c>
      <c r="AT338" s="8">
        <v>0</v>
      </c>
      <c r="AU338" s="7">
        <v>0</v>
      </c>
      <c r="AV338" s="18">
        <v>0</v>
      </c>
      <c r="AW338" s="8">
        <v>0</v>
      </c>
      <c r="AX338" s="7">
        <v>0</v>
      </c>
      <c r="AY338" s="18">
        <v>0</v>
      </c>
      <c r="AZ338" s="8"/>
      <c r="BA338" s="7"/>
      <c r="BB338" s="18"/>
      <c r="BC338" s="8"/>
      <c r="BD338" s="7"/>
      <c r="BE338" s="18"/>
      <c r="BF338" s="8"/>
      <c r="BG338" s="7"/>
      <c r="BH338" s="18"/>
    </row>
    <row r="339" spans="3:60" ht="20.25" x14ac:dyDescent="0.3">
      <c r="C339" s="17" t="s">
        <v>10</v>
      </c>
      <c r="D339" s="8"/>
      <c r="E339" s="7"/>
      <c r="F339" s="18">
        <f t="shared" si="21"/>
        <v>1056.95</v>
      </c>
      <c r="G339" s="8">
        <v>0</v>
      </c>
      <c r="H339" s="7">
        <v>0</v>
      </c>
      <c r="I339" s="18">
        <v>0</v>
      </c>
      <c r="J339" s="8">
        <v>0</v>
      </c>
      <c r="K339" s="7">
        <v>0</v>
      </c>
      <c r="L339" s="18">
        <v>0</v>
      </c>
      <c r="M339" s="8">
        <v>0</v>
      </c>
      <c r="N339" s="7">
        <v>0</v>
      </c>
      <c r="O339" s="18">
        <v>0</v>
      </c>
      <c r="P339" s="8">
        <v>0</v>
      </c>
      <c r="Q339" s="7">
        <v>0</v>
      </c>
      <c r="R339" s="18">
        <v>125.4</v>
      </c>
      <c r="S339" s="8">
        <v>0</v>
      </c>
      <c r="T339" s="7">
        <v>0</v>
      </c>
      <c r="U339" s="18">
        <v>384</v>
      </c>
      <c r="V339" s="8">
        <v>0</v>
      </c>
      <c r="W339" s="7">
        <v>0</v>
      </c>
      <c r="X339" s="18">
        <v>0</v>
      </c>
      <c r="Y339" s="8">
        <v>0</v>
      </c>
      <c r="Z339" s="7">
        <v>0</v>
      </c>
      <c r="AA339" s="18">
        <v>0</v>
      </c>
      <c r="AB339" s="8">
        <v>0</v>
      </c>
      <c r="AC339" s="7">
        <v>0</v>
      </c>
      <c r="AD339" s="18">
        <v>0</v>
      </c>
      <c r="AE339" s="8">
        <v>0</v>
      </c>
      <c r="AF339" s="7">
        <v>0</v>
      </c>
      <c r="AG339" s="18">
        <v>0</v>
      </c>
      <c r="AH339" s="8">
        <v>0</v>
      </c>
      <c r="AI339" s="7">
        <v>0</v>
      </c>
      <c r="AJ339" s="18">
        <v>0</v>
      </c>
      <c r="AK339" s="8">
        <v>0</v>
      </c>
      <c r="AL339" s="7">
        <v>0</v>
      </c>
      <c r="AM339" s="18">
        <v>0</v>
      </c>
      <c r="AN339" s="8">
        <v>0</v>
      </c>
      <c r="AO339" s="7">
        <v>0</v>
      </c>
      <c r="AP339" s="18">
        <v>0</v>
      </c>
      <c r="AQ339" s="8">
        <v>0</v>
      </c>
      <c r="AR339" s="7">
        <v>0</v>
      </c>
      <c r="AS339" s="18">
        <v>186.1</v>
      </c>
      <c r="AT339" s="8">
        <v>0</v>
      </c>
      <c r="AU339" s="7">
        <v>0</v>
      </c>
      <c r="AV339" s="18">
        <v>361.45</v>
      </c>
      <c r="AW339" s="8">
        <v>0</v>
      </c>
      <c r="AX339" s="7">
        <v>0</v>
      </c>
      <c r="AY339" s="18">
        <v>0</v>
      </c>
      <c r="AZ339" s="8"/>
      <c r="BA339" s="7"/>
      <c r="BB339" s="18"/>
      <c r="BC339" s="8"/>
      <c r="BD339" s="7"/>
      <c r="BE339" s="18"/>
      <c r="BF339" s="8"/>
      <c r="BG339" s="7"/>
      <c r="BH339" s="18"/>
    </row>
    <row r="340" spans="3:60" ht="20.25" x14ac:dyDescent="0.3">
      <c r="C340" s="17" t="s">
        <v>9</v>
      </c>
      <c r="D340" s="8"/>
      <c r="E340" s="7"/>
      <c r="F340" s="18">
        <f t="shared" si="21"/>
        <v>7134.8099999999995</v>
      </c>
      <c r="G340" s="8">
        <v>0</v>
      </c>
      <c r="H340" s="7">
        <v>0</v>
      </c>
      <c r="I340" s="18">
        <v>448.7</v>
      </c>
      <c r="J340" s="8">
        <v>0</v>
      </c>
      <c r="K340" s="7">
        <v>0</v>
      </c>
      <c r="L340" s="18">
        <v>303.49</v>
      </c>
      <c r="M340" s="8">
        <v>0</v>
      </c>
      <c r="N340" s="7">
        <v>0</v>
      </c>
      <c r="O340" s="18">
        <v>229.42</v>
      </c>
      <c r="P340" s="8">
        <v>0</v>
      </c>
      <c r="Q340" s="7">
        <v>0</v>
      </c>
      <c r="R340" s="18">
        <v>572.28</v>
      </c>
      <c r="S340" s="8">
        <v>0</v>
      </c>
      <c r="T340" s="7">
        <v>0</v>
      </c>
      <c r="U340" s="18">
        <v>205.16</v>
      </c>
      <c r="V340" s="8">
        <v>0</v>
      </c>
      <c r="W340" s="7">
        <v>0</v>
      </c>
      <c r="X340" s="18">
        <v>1087.6099999999999</v>
      </c>
      <c r="Y340" s="8">
        <v>0</v>
      </c>
      <c r="Z340" s="7">
        <v>0</v>
      </c>
      <c r="AA340" s="18">
        <v>370.30999999999898</v>
      </c>
      <c r="AB340" s="8">
        <v>0</v>
      </c>
      <c r="AC340" s="7">
        <v>0</v>
      </c>
      <c r="AD340" s="18">
        <v>288.45999999999998</v>
      </c>
      <c r="AE340" s="8">
        <v>0</v>
      </c>
      <c r="AF340" s="7">
        <v>0</v>
      </c>
      <c r="AG340" s="18">
        <v>198.45</v>
      </c>
      <c r="AH340" s="8">
        <v>0</v>
      </c>
      <c r="AI340" s="7">
        <v>0</v>
      </c>
      <c r="AJ340" s="18">
        <v>177.53</v>
      </c>
      <c r="AK340" s="8">
        <v>0</v>
      </c>
      <c r="AL340" s="7">
        <v>0</v>
      </c>
      <c r="AM340" s="18">
        <v>159.21</v>
      </c>
      <c r="AN340" s="8">
        <v>0</v>
      </c>
      <c r="AO340" s="7">
        <v>0</v>
      </c>
      <c r="AP340" s="18">
        <v>211.79</v>
      </c>
      <c r="AQ340" s="8">
        <v>0</v>
      </c>
      <c r="AR340" s="7">
        <v>0</v>
      </c>
      <c r="AS340" s="18">
        <v>11.02</v>
      </c>
      <c r="AT340" s="8">
        <v>0</v>
      </c>
      <c r="AU340" s="7">
        <v>0</v>
      </c>
      <c r="AV340" s="18">
        <v>814</v>
      </c>
      <c r="AW340" s="8">
        <v>0</v>
      </c>
      <c r="AX340" s="7">
        <v>0</v>
      </c>
      <c r="AY340" s="18">
        <v>2057.38</v>
      </c>
      <c r="AZ340" s="8"/>
      <c r="BA340" s="7"/>
      <c r="BB340" s="18"/>
      <c r="BC340" s="8"/>
      <c r="BD340" s="7"/>
      <c r="BE340" s="18"/>
      <c r="BF340" s="8"/>
      <c r="BG340" s="7"/>
      <c r="BH340" s="18"/>
    </row>
    <row r="341" spans="3:60" ht="20.25" x14ac:dyDescent="0.3">
      <c r="C341" s="17" t="s">
        <v>8</v>
      </c>
      <c r="D341" s="8"/>
      <c r="E341" s="7"/>
      <c r="F341" s="18">
        <f t="shared" si="21"/>
        <v>2162.69</v>
      </c>
      <c r="G341" s="8">
        <v>0</v>
      </c>
      <c r="H341" s="7">
        <v>0</v>
      </c>
      <c r="I341" s="18">
        <v>259.83</v>
      </c>
      <c r="J341" s="8">
        <v>0</v>
      </c>
      <c r="K341" s="7">
        <v>0</v>
      </c>
      <c r="L341" s="18">
        <v>172.65</v>
      </c>
      <c r="M341" s="8">
        <v>0</v>
      </c>
      <c r="N341" s="7">
        <v>0</v>
      </c>
      <c r="O341" s="18">
        <v>162.82</v>
      </c>
      <c r="P341" s="8">
        <v>0</v>
      </c>
      <c r="Q341" s="7">
        <v>0</v>
      </c>
      <c r="R341" s="18">
        <v>150.1</v>
      </c>
      <c r="S341" s="8">
        <v>0</v>
      </c>
      <c r="T341" s="7">
        <v>0</v>
      </c>
      <c r="U341" s="18">
        <v>605.17999999999995</v>
      </c>
      <c r="V341" s="8">
        <v>0</v>
      </c>
      <c r="W341" s="7">
        <v>0</v>
      </c>
      <c r="X341" s="18">
        <v>118.37</v>
      </c>
      <c r="Y341" s="8">
        <v>0</v>
      </c>
      <c r="Z341" s="7">
        <v>0</v>
      </c>
      <c r="AA341" s="18">
        <v>69.069999999999993</v>
      </c>
      <c r="AB341" s="8">
        <v>0</v>
      </c>
      <c r="AC341" s="7">
        <v>0</v>
      </c>
      <c r="AD341" s="18">
        <v>47.94</v>
      </c>
      <c r="AE341" s="8">
        <v>0</v>
      </c>
      <c r="AF341" s="7">
        <v>0</v>
      </c>
      <c r="AG341" s="18">
        <v>99.25</v>
      </c>
      <c r="AH341" s="8">
        <v>0</v>
      </c>
      <c r="AI341" s="7">
        <v>0</v>
      </c>
      <c r="AJ341" s="18">
        <v>52.68</v>
      </c>
      <c r="AK341" s="8">
        <v>0</v>
      </c>
      <c r="AL341" s="7">
        <v>0</v>
      </c>
      <c r="AM341" s="18">
        <v>27.69</v>
      </c>
      <c r="AN341" s="8">
        <v>0</v>
      </c>
      <c r="AO341" s="7">
        <v>0</v>
      </c>
      <c r="AP341" s="18">
        <v>69.400000000000006</v>
      </c>
      <c r="AQ341" s="8">
        <v>0</v>
      </c>
      <c r="AR341" s="7">
        <v>0</v>
      </c>
      <c r="AS341" s="18">
        <v>69.52</v>
      </c>
      <c r="AT341" s="8">
        <v>0</v>
      </c>
      <c r="AU341" s="7">
        <v>0</v>
      </c>
      <c r="AV341" s="18">
        <v>120.99</v>
      </c>
      <c r="AW341" s="8">
        <v>0</v>
      </c>
      <c r="AX341" s="7">
        <v>0</v>
      </c>
      <c r="AY341" s="18">
        <v>137.19999999999999</v>
      </c>
      <c r="AZ341" s="8"/>
      <c r="BA341" s="7"/>
      <c r="BB341" s="18"/>
      <c r="BC341" s="8"/>
      <c r="BD341" s="7"/>
      <c r="BE341" s="18"/>
      <c r="BF341" s="8"/>
      <c r="BG341" s="7"/>
      <c r="BH341" s="18"/>
    </row>
    <row r="342" spans="3:60" ht="20.25" x14ac:dyDescent="0.3">
      <c r="C342" s="17" t="s">
        <v>7</v>
      </c>
      <c r="D342" s="8"/>
      <c r="E342" s="7"/>
      <c r="F342" s="18">
        <f t="shared" si="21"/>
        <v>6307.95</v>
      </c>
      <c r="G342" s="8">
        <v>0</v>
      </c>
      <c r="H342" s="7">
        <v>0</v>
      </c>
      <c r="I342" s="18">
        <v>-271.45</v>
      </c>
      <c r="J342" s="8">
        <v>0</v>
      </c>
      <c r="K342" s="7">
        <v>0</v>
      </c>
      <c r="L342" s="18">
        <v>253.95</v>
      </c>
      <c r="M342" s="8">
        <v>0</v>
      </c>
      <c r="N342" s="7">
        <v>0</v>
      </c>
      <c r="O342" s="18">
        <v>773.71</v>
      </c>
      <c r="P342" s="8">
        <v>0</v>
      </c>
      <c r="Q342" s="7">
        <v>0</v>
      </c>
      <c r="R342" s="18">
        <v>4174.8100000000004</v>
      </c>
      <c r="S342" s="8">
        <v>0</v>
      </c>
      <c r="T342" s="7">
        <v>0</v>
      </c>
      <c r="U342" s="18">
        <v>612.80999999999995</v>
      </c>
      <c r="V342" s="8">
        <v>0</v>
      </c>
      <c r="W342" s="7">
        <v>0</v>
      </c>
      <c r="X342" s="18">
        <v>-75.069999999999993</v>
      </c>
      <c r="Y342" s="8">
        <v>0</v>
      </c>
      <c r="Z342" s="7">
        <v>0</v>
      </c>
      <c r="AA342" s="18">
        <v>210.69</v>
      </c>
      <c r="AB342" s="8">
        <v>0</v>
      </c>
      <c r="AC342" s="7">
        <v>0</v>
      </c>
      <c r="AD342" s="18">
        <v>106.11</v>
      </c>
      <c r="AE342" s="8">
        <v>0</v>
      </c>
      <c r="AF342" s="7">
        <v>0</v>
      </c>
      <c r="AG342" s="18">
        <v>265.19</v>
      </c>
      <c r="AH342" s="8">
        <v>0</v>
      </c>
      <c r="AI342" s="7">
        <v>0</v>
      </c>
      <c r="AJ342" s="18">
        <v>-49.29</v>
      </c>
      <c r="AK342" s="8">
        <v>0</v>
      </c>
      <c r="AL342" s="7">
        <v>0</v>
      </c>
      <c r="AM342" s="18">
        <v>44.12</v>
      </c>
      <c r="AN342" s="8">
        <v>0</v>
      </c>
      <c r="AO342" s="7">
        <v>0</v>
      </c>
      <c r="AP342" s="18">
        <v>-263.77</v>
      </c>
      <c r="AQ342" s="8">
        <v>0</v>
      </c>
      <c r="AR342" s="7">
        <v>0</v>
      </c>
      <c r="AS342" s="18">
        <v>220.45</v>
      </c>
      <c r="AT342" s="8">
        <v>0</v>
      </c>
      <c r="AU342" s="7">
        <v>0</v>
      </c>
      <c r="AV342" s="18">
        <v>144.59</v>
      </c>
      <c r="AW342" s="8">
        <v>0</v>
      </c>
      <c r="AX342" s="7">
        <v>0</v>
      </c>
      <c r="AY342" s="18">
        <v>161.1</v>
      </c>
      <c r="AZ342" s="8"/>
      <c r="BA342" s="7"/>
      <c r="BB342" s="18"/>
      <c r="BC342" s="8"/>
      <c r="BD342" s="7"/>
      <c r="BE342" s="18"/>
      <c r="BF342" s="8"/>
      <c r="BG342" s="7"/>
      <c r="BH342" s="18"/>
    </row>
    <row r="343" spans="3:60" ht="20.25" x14ac:dyDescent="0.3">
      <c r="C343" s="17" t="s">
        <v>6</v>
      </c>
      <c r="D343" s="8"/>
      <c r="E343" s="7"/>
      <c r="F343" s="18">
        <f t="shared" si="21"/>
        <v>7916.8699999999881</v>
      </c>
      <c r="G343" s="8">
        <v>0</v>
      </c>
      <c r="H343" s="7">
        <v>0</v>
      </c>
      <c r="I343" s="18">
        <v>1597.61</v>
      </c>
      <c r="J343" s="8">
        <v>0</v>
      </c>
      <c r="K343" s="7">
        <v>0</v>
      </c>
      <c r="L343" s="18">
        <v>906.31999999999903</v>
      </c>
      <c r="M343" s="8">
        <v>0</v>
      </c>
      <c r="N343" s="7">
        <v>0</v>
      </c>
      <c r="O343" s="18">
        <v>303.2</v>
      </c>
      <c r="P343" s="8">
        <v>0</v>
      </c>
      <c r="Q343" s="7">
        <v>0</v>
      </c>
      <c r="R343" s="18">
        <v>587.03</v>
      </c>
      <c r="S343" s="8">
        <v>0</v>
      </c>
      <c r="T343" s="7">
        <v>0</v>
      </c>
      <c r="U343" s="18">
        <v>-0.49</v>
      </c>
      <c r="V343" s="8">
        <v>0</v>
      </c>
      <c r="W343" s="7">
        <v>0</v>
      </c>
      <c r="X343" s="18">
        <v>49</v>
      </c>
      <c r="Y343" s="8">
        <v>0</v>
      </c>
      <c r="Z343" s="7">
        <v>0</v>
      </c>
      <c r="AA343" s="18">
        <v>1047.3899999999901</v>
      </c>
      <c r="AB343" s="8">
        <v>0</v>
      </c>
      <c r="AC343" s="7">
        <v>0</v>
      </c>
      <c r="AD343" s="18">
        <v>470.32</v>
      </c>
      <c r="AE343" s="8">
        <v>0</v>
      </c>
      <c r="AF343" s="7">
        <v>0</v>
      </c>
      <c r="AG343" s="18">
        <v>936.03</v>
      </c>
      <c r="AH343" s="8">
        <v>0</v>
      </c>
      <c r="AI343" s="7">
        <v>0</v>
      </c>
      <c r="AJ343" s="18">
        <v>575.11</v>
      </c>
      <c r="AK343" s="8">
        <v>0</v>
      </c>
      <c r="AL343" s="7">
        <v>0</v>
      </c>
      <c r="AM343" s="18">
        <v>141.69</v>
      </c>
      <c r="AN343" s="8">
        <v>0</v>
      </c>
      <c r="AO343" s="7">
        <v>0</v>
      </c>
      <c r="AP343" s="18">
        <v>703.8</v>
      </c>
      <c r="AQ343" s="8">
        <v>0</v>
      </c>
      <c r="AR343" s="7">
        <v>0</v>
      </c>
      <c r="AS343" s="18">
        <v>463.83</v>
      </c>
      <c r="AT343" s="8">
        <v>0</v>
      </c>
      <c r="AU343" s="7">
        <v>0</v>
      </c>
      <c r="AV343" s="18">
        <v>55.63</v>
      </c>
      <c r="AW343" s="8">
        <v>0</v>
      </c>
      <c r="AX343" s="7">
        <v>0</v>
      </c>
      <c r="AY343" s="18">
        <v>80.400000000000006</v>
      </c>
      <c r="AZ343" s="8"/>
      <c r="BA343" s="7"/>
      <c r="BB343" s="18"/>
      <c r="BC343" s="8"/>
      <c r="BD343" s="7"/>
      <c r="BE343" s="18"/>
      <c r="BF343" s="8"/>
      <c r="BG343" s="7"/>
      <c r="BH343" s="18"/>
    </row>
    <row r="344" spans="3:60" ht="20.25" x14ac:dyDescent="0.3">
      <c r="C344" s="17" t="s">
        <v>5</v>
      </c>
      <c r="D344" s="8"/>
      <c r="E344" s="7"/>
      <c r="F344" s="18">
        <f t="shared" si="21"/>
        <v>3710.5800000000004</v>
      </c>
      <c r="G344" s="8">
        <v>0</v>
      </c>
      <c r="H344" s="7">
        <v>0</v>
      </c>
      <c r="I344" s="18">
        <v>1116.3800000000001</v>
      </c>
      <c r="J344" s="8">
        <v>0</v>
      </c>
      <c r="K344" s="7">
        <v>0</v>
      </c>
      <c r="L344" s="18">
        <v>841.42</v>
      </c>
      <c r="M344" s="8">
        <v>0</v>
      </c>
      <c r="N344" s="7">
        <v>0</v>
      </c>
      <c r="O344" s="18">
        <v>261.94</v>
      </c>
      <c r="P344" s="8">
        <v>0</v>
      </c>
      <c r="Q344" s="7">
        <v>0</v>
      </c>
      <c r="R344" s="18">
        <v>44.66</v>
      </c>
      <c r="S344" s="8">
        <v>0</v>
      </c>
      <c r="T344" s="7">
        <v>0</v>
      </c>
      <c r="U344" s="18">
        <v>0</v>
      </c>
      <c r="V344" s="8">
        <v>0</v>
      </c>
      <c r="W344" s="7">
        <v>0</v>
      </c>
      <c r="X344" s="18">
        <v>425.05</v>
      </c>
      <c r="Y344" s="8">
        <v>0</v>
      </c>
      <c r="Z344" s="7">
        <v>0</v>
      </c>
      <c r="AA344" s="18">
        <v>71.78</v>
      </c>
      <c r="AB344" s="8">
        <v>0</v>
      </c>
      <c r="AC344" s="7">
        <v>0</v>
      </c>
      <c r="AD344" s="18">
        <v>54.23</v>
      </c>
      <c r="AE344" s="8">
        <v>0</v>
      </c>
      <c r="AF344" s="7">
        <v>0</v>
      </c>
      <c r="AG344" s="18">
        <v>148.69999999999999</v>
      </c>
      <c r="AH344" s="8">
        <v>0</v>
      </c>
      <c r="AI344" s="7">
        <v>0</v>
      </c>
      <c r="AJ344" s="18">
        <v>317.20999999999998</v>
      </c>
      <c r="AK344" s="8">
        <v>0</v>
      </c>
      <c r="AL344" s="7">
        <v>0</v>
      </c>
      <c r="AM344" s="18">
        <v>54.23</v>
      </c>
      <c r="AN344" s="8">
        <v>0</v>
      </c>
      <c r="AO344" s="7">
        <v>0</v>
      </c>
      <c r="AP344" s="18">
        <v>63.8</v>
      </c>
      <c r="AQ344" s="8">
        <v>0</v>
      </c>
      <c r="AR344" s="7">
        <v>0</v>
      </c>
      <c r="AS344" s="18">
        <v>54.23</v>
      </c>
      <c r="AT344" s="8">
        <v>0</v>
      </c>
      <c r="AU344" s="7">
        <v>0</v>
      </c>
      <c r="AV344" s="18">
        <v>237.81</v>
      </c>
      <c r="AW344" s="8">
        <v>0</v>
      </c>
      <c r="AX344" s="7">
        <v>0</v>
      </c>
      <c r="AY344" s="18">
        <v>19.14</v>
      </c>
      <c r="AZ344" s="8"/>
      <c r="BA344" s="7"/>
      <c r="BB344" s="18"/>
      <c r="BC344" s="8"/>
      <c r="BD344" s="7"/>
      <c r="BE344" s="18"/>
      <c r="BF344" s="8"/>
      <c r="BG344" s="7"/>
      <c r="BH344" s="18"/>
    </row>
    <row r="345" spans="3:60" ht="20.25" x14ac:dyDescent="0.3">
      <c r="C345" s="17" t="s">
        <v>4</v>
      </c>
      <c r="D345" s="8"/>
      <c r="E345" s="7"/>
      <c r="F345" s="18">
        <f t="shared" si="21"/>
        <v>17009.814999999999</v>
      </c>
      <c r="G345" s="8">
        <v>0</v>
      </c>
      <c r="H345" s="7">
        <v>0</v>
      </c>
      <c r="I345" s="18">
        <v>1343.14</v>
      </c>
      <c r="J345" s="8">
        <v>0</v>
      </c>
      <c r="K345" s="7">
        <v>0</v>
      </c>
      <c r="L345" s="18">
        <v>699.07</v>
      </c>
      <c r="M345" s="8">
        <v>0</v>
      </c>
      <c r="N345" s="7">
        <v>0</v>
      </c>
      <c r="O345" s="18">
        <v>684.44</v>
      </c>
      <c r="P345" s="8">
        <v>0</v>
      </c>
      <c r="Q345" s="7">
        <v>0</v>
      </c>
      <c r="R345" s="18">
        <v>2938.53</v>
      </c>
      <c r="S345" s="8">
        <v>0</v>
      </c>
      <c r="T345" s="7">
        <v>0</v>
      </c>
      <c r="U345" s="18">
        <v>4304.43</v>
      </c>
      <c r="V345" s="8">
        <v>0</v>
      </c>
      <c r="W345" s="7">
        <v>0</v>
      </c>
      <c r="X345" s="18">
        <v>2520.16</v>
      </c>
      <c r="Y345" s="8">
        <v>0</v>
      </c>
      <c r="Z345" s="7">
        <v>0</v>
      </c>
      <c r="AA345" s="18">
        <v>947.17</v>
      </c>
      <c r="AB345" s="8">
        <v>0</v>
      </c>
      <c r="AC345" s="7">
        <v>0</v>
      </c>
      <c r="AD345" s="18">
        <v>347.08</v>
      </c>
      <c r="AE345" s="8">
        <v>0</v>
      </c>
      <c r="AF345" s="7">
        <v>0</v>
      </c>
      <c r="AG345" s="18">
        <v>1081.83</v>
      </c>
      <c r="AH345" s="8">
        <v>0</v>
      </c>
      <c r="AI345" s="7">
        <v>0</v>
      </c>
      <c r="AJ345" s="18">
        <v>222.96</v>
      </c>
      <c r="AK345" s="8">
        <v>0</v>
      </c>
      <c r="AL345" s="7">
        <v>0</v>
      </c>
      <c r="AM345" s="18">
        <v>290.88499999999999</v>
      </c>
      <c r="AN345" s="8">
        <v>0</v>
      </c>
      <c r="AO345" s="7">
        <v>0</v>
      </c>
      <c r="AP345" s="18">
        <v>-136.53</v>
      </c>
      <c r="AQ345" s="8">
        <v>0</v>
      </c>
      <c r="AR345" s="7">
        <v>0</v>
      </c>
      <c r="AS345" s="18">
        <v>-86.66</v>
      </c>
      <c r="AT345" s="8">
        <v>0</v>
      </c>
      <c r="AU345" s="7">
        <v>0</v>
      </c>
      <c r="AV345" s="18">
        <v>962.38</v>
      </c>
      <c r="AW345" s="8">
        <v>0</v>
      </c>
      <c r="AX345" s="7">
        <v>0</v>
      </c>
      <c r="AY345" s="18">
        <v>890.93</v>
      </c>
      <c r="AZ345" s="8"/>
      <c r="BA345" s="7"/>
      <c r="BB345" s="18"/>
      <c r="BC345" s="8"/>
      <c r="BD345" s="7"/>
      <c r="BE345" s="18"/>
      <c r="BF345" s="8"/>
      <c r="BG345" s="7"/>
      <c r="BH345" s="18"/>
    </row>
    <row r="346" spans="3:60" ht="20.25" hidden="1" x14ac:dyDescent="0.3">
      <c r="C346" s="17" t="s">
        <v>3</v>
      </c>
      <c r="D346" s="8"/>
      <c r="E346" s="7"/>
      <c r="F346" s="18">
        <f t="shared" si="21"/>
        <v>0</v>
      </c>
      <c r="G346" s="8">
        <v>0</v>
      </c>
      <c r="H346" s="7">
        <v>0</v>
      </c>
      <c r="I346" s="18">
        <v>0</v>
      </c>
      <c r="J346" s="8">
        <v>0</v>
      </c>
      <c r="K346" s="7">
        <v>0</v>
      </c>
      <c r="L346" s="18">
        <v>0</v>
      </c>
      <c r="M346" s="8">
        <v>0</v>
      </c>
      <c r="N346" s="7">
        <v>0</v>
      </c>
      <c r="O346" s="18">
        <v>0</v>
      </c>
      <c r="P346" s="8">
        <v>0</v>
      </c>
      <c r="Q346" s="7">
        <v>0</v>
      </c>
      <c r="R346" s="18">
        <v>0</v>
      </c>
      <c r="S346" s="8">
        <v>0</v>
      </c>
      <c r="T346" s="7">
        <v>0</v>
      </c>
      <c r="U346" s="18">
        <v>0</v>
      </c>
      <c r="V346" s="8">
        <v>0</v>
      </c>
      <c r="W346" s="7">
        <v>0</v>
      </c>
      <c r="X346" s="18">
        <v>0</v>
      </c>
      <c r="Y346" s="8">
        <v>0</v>
      </c>
      <c r="Z346" s="7">
        <v>0</v>
      </c>
      <c r="AA346" s="18">
        <v>0</v>
      </c>
      <c r="AB346" s="8">
        <v>0</v>
      </c>
      <c r="AC346" s="7">
        <v>0</v>
      </c>
      <c r="AD346" s="18">
        <v>0</v>
      </c>
      <c r="AE346" s="8">
        <v>0</v>
      </c>
      <c r="AF346" s="7">
        <v>0</v>
      </c>
      <c r="AG346" s="18">
        <v>0</v>
      </c>
      <c r="AH346" s="8">
        <v>0</v>
      </c>
      <c r="AI346" s="7">
        <v>0</v>
      </c>
      <c r="AJ346" s="18">
        <v>0</v>
      </c>
      <c r="AK346" s="8">
        <v>0</v>
      </c>
      <c r="AL346" s="7">
        <v>0</v>
      </c>
      <c r="AM346" s="18">
        <v>0</v>
      </c>
      <c r="AN346" s="8">
        <v>0</v>
      </c>
      <c r="AO346" s="7">
        <v>0</v>
      </c>
      <c r="AP346" s="18">
        <v>0</v>
      </c>
      <c r="AQ346" s="8">
        <v>0</v>
      </c>
      <c r="AR346" s="7">
        <v>0</v>
      </c>
      <c r="AS346" s="18">
        <v>0</v>
      </c>
      <c r="AT346" s="8">
        <v>0</v>
      </c>
      <c r="AU346" s="7">
        <v>0</v>
      </c>
      <c r="AV346" s="18">
        <v>0</v>
      </c>
      <c r="AW346" s="8">
        <v>0</v>
      </c>
      <c r="AX346" s="7">
        <v>0</v>
      </c>
      <c r="AY346" s="18">
        <v>0</v>
      </c>
      <c r="AZ346" s="8"/>
      <c r="BA346" s="7"/>
      <c r="BB346" s="18"/>
      <c r="BC346" s="8"/>
      <c r="BD346" s="7"/>
      <c r="BE346" s="18"/>
      <c r="BF346" s="8"/>
      <c r="BG346" s="7"/>
      <c r="BH346" s="18"/>
    </row>
    <row r="347" spans="3:60" ht="20.25" hidden="1" x14ac:dyDescent="0.3">
      <c r="C347" s="17" t="s">
        <v>3</v>
      </c>
      <c r="D347" s="8"/>
      <c r="E347" s="7"/>
      <c r="F347" s="18">
        <f t="shared" si="21"/>
        <v>0</v>
      </c>
      <c r="G347" s="8">
        <v>0</v>
      </c>
      <c r="H347" s="7">
        <v>0</v>
      </c>
      <c r="I347" s="18">
        <v>0</v>
      </c>
      <c r="J347" s="8">
        <v>0</v>
      </c>
      <c r="K347" s="7">
        <v>0</v>
      </c>
      <c r="L347" s="18">
        <v>0</v>
      </c>
      <c r="M347" s="8">
        <v>0</v>
      </c>
      <c r="N347" s="7">
        <v>0</v>
      </c>
      <c r="O347" s="18">
        <v>0</v>
      </c>
      <c r="P347" s="8">
        <v>0</v>
      </c>
      <c r="Q347" s="7">
        <v>0</v>
      </c>
      <c r="R347" s="18">
        <v>0</v>
      </c>
      <c r="S347" s="8">
        <v>0</v>
      </c>
      <c r="T347" s="7">
        <v>0</v>
      </c>
      <c r="U347" s="18">
        <v>0</v>
      </c>
      <c r="V347" s="8">
        <v>0</v>
      </c>
      <c r="W347" s="7">
        <v>0</v>
      </c>
      <c r="X347" s="18">
        <v>0</v>
      </c>
      <c r="Y347" s="8">
        <v>0</v>
      </c>
      <c r="Z347" s="7">
        <v>0</v>
      </c>
      <c r="AA347" s="18">
        <v>0</v>
      </c>
      <c r="AB347" s="8">
        <v>0</v>
      </c>
      <c r="AC347" s="7">
        <v>0</v>
      </c>
      <c r="AD347" s="18">
        <v>0</v>
      </c>
      <c r="AE347" s="8">
        <v>0</v>
      </c>
      <c r="AF347" s="7">
        <v>0</v>
      </c>
      <c r="AG347" s="18">
        <v>0</v>
      </c>
      <c r="AH347" s="8">
        <v>0</v>
      </c>
      <c r="AI347" s="7">
        <v>0</v>
      </c>
      <c r="AJ347" s="18">
        <v>0</v>
      </c>
      <c r="AK347" s="8">
        <v>0</v>
      </c>
      <c r="AL347" s="7">
        <v>0</v>
      </c>
      <c r="AM347" s="18">
        <v>0</v>
      </c>
      <c r="AN347" s="8">
        <v>0</v>
      </c>
      <c r="AO347" s="7">
        <v>0</v>
      </c>
      <c r="AP347" s="18">
        <v>0</v>
      </c>
      <c r="AQ347" s="8">
        <v>0</v>
      </c>
      <c r="AR347" s="7">
        <v>0</v>
      </c>
      <c r="AS347" s="18">
        <v>0</v>
      </c>
      <c r="AT347" s="8">
        <v>0</v>
      </c>
      <c r="AU347" s="7">
        <v>0</v>
      </c>
      <c r="AV347" s="18">
        <v>0</v>
      </c>
      <c r="AW347" s="8">
        <v>0</v>
      </c>
      <c r="AX347" s="7">
        <v>0</v>
      </c>
      <c r="AY347" s="18">
        <v>0</v>
      </c>
      <c r="AZ347" s="8"/>
      <c r="BA347" s="7"/>
      <c r="BB347" s="18"/>
      <c r="BC347" s="8"/>
      <c r="BD347" s="7"/>
      <c r="BE347" s="18"/>
      <c r="BF347" s="8"/>
      <c r="BG347" s="7"/>
      <c r="BH347" s="18"/>
    </row>
    <row r="348" spans="3:60" ht="20.25" hidden="1" x14ac:dyDescent="0.3">
      <c r="C348" s="17" t="s">
        <v>3</v>
      </c>
      <c r="D348" s="8"/>
      <c r="E348" s="7"/>
      <c r="F348" s="18">
        <f t="shared" si="21"/>
        <v>0</v>
      </c>
      <c r="G348" s="8">
        <v>0</v>
      </c>
      <c r="H348" s="7">
        <v>0</v>
      </c>
      <c r="I348" s="18">
        <v>0</v>
      </c>
      <c r="J348" s="8">
        <v>0</v>
      </c>
      <c r="K348" s="7">
        <v>0</v>
      </c>
      <c r="L348" s="18">
        <v>0</v>
      </c>
      <c r="M348" s="8">
        <v>0</v>
      </c>
      <c r="N348" s="7">
        <v>0</v>
      </c>
      <c r="O348" s="18">
        <v>0</v>
      </c>
      <c r="P348" s="8">
        <v>0</v>
      </c>
      <c r="Q348" s="7">
        <v>0</v>
      </c>
      <c r="R348" s="18">
        <v>0</v>
      </c>
      <c r="S348" s="8">
        <v>0</v>
      </c>
      <c r="T348" s="7">
        <v>0</v>
      </c>
      <c r="U348" s="18">
        <v>0</v>
      </c>
      <c r="V348" s="8">
        <v>0</v>
      </c>
      <c r="W348" s="7">
        <v>0</v>
      </c>
      <c r="X348" s="18">
        <v>0</v>
      </c>
      <c r="Y348" s="8">
        <v>0</v>
      </c>
      <c r="Z348" s="7">
        <v>0</v>
      </c>
      <c r="AA348" s="18">
        <v>0</v>
      </c>
      <c r="AB348" s="8">
        <v>0</v>
      </c>
      <c r="AC348" s="7">
        <v>0</v>
      </c>
      <c r="AD348" s="18">
        <v>0</v>
      </c>
      <c r="AE348" s="8">
        <v>0</v>
      </c>
      <c r="AF348" s="7">
        <v>0</v>
      </c>
      <c r="AG348" s="18">
        <v>0</v>
      </c>
      <c r="AH348" s="8">
        <v>0</v>
      </c>
      <c r="AI348" s="7">
        <v>0</v>
      </c>
      <c r="AJ348" s="18">
        <v>0</v>
      </c>
      <c r="AK348" s="8">
        <v>0</v>
      </c>
      <c r="AL348" s="7">
        <v>0</v>
      </c>
      <c r="AM348" s="18">
        <v>0</v>
      </c>
      <c r="AN348" s="8">
        <v>0</v>
      </c>
      <c r="AO348" s="7">
        <v>0</v>
      </c>
      <c r="AP348" s="18">
        <v>0</v>
      </c>
      <c r="AQ348" s="8">
        <v>0</v>
      </c>
      <c r="AR348" s="7">
        <v>0</v>
      </c>
      <c r="AS348" s="18">
        <v>0</v>
      </c>
      <c r="AT348" s="8">
        <v>0</v>
      </c>
      <c r="AU348" s="7">
        <v>0</v>
      </c>
      <c r="AV348" s="18">
        <v>0</v>
      </c>
      <c r="AW348" s="8">
        <v>0</v>
      </c>
      <c r="AX348" s="7">
        <v>0</v>
      </c>
      <c r="AY348" s="18">
        <v>0</v>
      </c>
      <c r="AZ348" s="8"/>
      <c r="BA348" s="7"/>
      <c r="BB348" s="18"/>
      <c r="BC348" s="8"/>
      <c r="BD348" s="7"/>
      <c r="BE348" s="18"/>
      <c r="BF348" s="8"/>
      <c r="BG348" s="7"/>
      <c r="BH348" s="18"/>
    </row>
    <row r="349" spans="3:60" ht="20.25" x14ac:dyDescent="0.3">
      <c r="C349" s="11" t="s">
        <v>2</v>
      </c>
      <c r="D349" s="64"/>
      <c r="E349" s="14"/>
      <c r="F349" s="12">
        <f>SUM(F331:F345)</f>
        <v>363576.005</v>
      </c>
      <c r="G349" s="64" t="s">
        <v>18</v>
      </c>
      <c r="H349" s="14">
        <v>0.14513200426199399</v>
      </c>
      <c r="I349" s="12">
        <v>30889.8</v>
      </c>
      <c r="J349" s="64" t="s">
        <v>18</v>
      </c>
      <c r="K349" s="14">
        <v>0.11287822241199399</v>
      </c>
      <c r="L349" s="12">
        <v>18039.859999999899</v>
      </c>
      <c r="M349" s="64" t="s">
        <v>18</v>
      </c>
      <c r="N349" s="14">
        <v>0.20453251929972499</v>
      </c>
      <c r="O349" s="12">
        <v>16174.99</v>
      </c>
      <c r="P349" s="64" t="s">
        <v>18</v>
      </c>
      <c r="Q349" s="14">
        <v>0.11848573451604701</v>
      </c>
      <c r="R349" s="12">
        <v>24742.619999999901</v>
      </c>
      <c r="S349" s="64" t="s">
        <v>18</v>
      </c>
      <c r="T349" s="14">
        <v>0.15913838528655999</v>
      </c>
      <c r="U349" s="12">
        <v>50088.21</v>
      </c>
      <c r="V349" s="64" t="s">
        <v>18</v>
      </c>
      <c r="W349" s="14">
        <v>0.18923561508252901</v>
      </c>
      <c r="X349" s="12">
        <v>45091.35</v>
      </c>
      <c r="Y349" s="64" t="s">
        <v>18</v>
      </c>
      <c r="Z349" s="14">
        <v>0.151401250879653</v>
      </c>
      <c r="AA349" s="12">
        <v>16230.42</v>
      </c>
      <c r="AB349" s="64" t="s">
        <v>18</v>
      </c>
      <c r="AC349" s="14">
        <v>0.175189194461497</v>
      </c>
      <c r="AD349" s="12">
        <v>14961.66</v>
      </c>
      <c r="AE349" s="64" t="s">
        <v>18</v>
      </c>
      <c r="AF349" s="14">
        <v>0.19361274412910401</v>
      </c>
      <c r="AG349" s="12">
        <v>22048.78</v>
      </c>
      <c r="AH349" s="64" t="s">
        <v>18</v>
      </c>
      <c r="AI349" s="14">
        <v>0.245160779385795</v>
      </c>
      <c r="AJ349" s="12">
        <v>11206.2599999999</v>
      </c>
      <c r="AK349" s="64" t="s">
        <v>18</v>
      </c>
      <c r="AL349" s="14">
        <v>0.34847424655312698</v>
      </c>
      <c r="AM349" s="12">
        <v>9626.6149999999998</v>
      </c>
      <c r="AN349" s="64" t="s">
        <v>18</v>
      </c>
      <c r="AO349" s="14">
        <v>0.28928303363846503</v>
      </c>
      <c r="AP349" s="12">
        <v>26724.47</v>
      </c>
      <c r="AQ349" s="64" t="s">
        <v>18</v>
      </c>
      <c r="AR349" s="14">
        <v>0.25487704631730301</v>
      </c>
      <c r="AS349" s="12">
        <v>25685.53</v>
      </c>
      <c r="AT349" s="64" t="s">
        <v>18</v>
      </c>
      <c r="AU349" s="14">
        <v>0.346081042865655</v>
      </c>
      <c r="AV349" s="12">
        <v>36016.179999999898</v>
      </c>
      <c r="AW349" s="64" t="s">
        <v>18</v>
      </c>
      <c r="AX349" s="14">
        <v>0.38072363124136799</v>
      </c>
      <c r="AY349" s="12">
        <v>16049.2599999999</v>
      </c>
      <c r="AZ349" s="64"/>
      <c r="BA349" s="14"/>
      <c r="BB349" s="12"/>
      <c r="BC349" s="64"/>
      <c r="BD349" s="14"/>
      <c r="BE349" s="12"/>
      <c r="BF349" s="64"/>
      <c r="BG349" s="14"/>
      <c r="BH349" s="12"/>
    </row>
    <row r="350" spans="3:60" ht="20.25" x14ac:dyDescent="0.3">
      <c r="C350" s="67"/>
      <c r="D350" s="67"/>
      <c r="E350" s="66"/>
      <c r="F350" s="65"/>
      <c r="G350" s="67"/>
      <c r="H350" s="66"/>
      <c r="I350" s="65"/>
      <c r="J350" s="67"/>
      <c r="K350" s="66"/>
      <c r="L350" s="65"/>
      <c r="M350" s="67"/>
      <c r="N350" s="66"/>
      <c r="O350" s="65"/>
      <c r="P350" s="67"/>
      <c r="Q350" s="66"/>
      <c r="R350" s="65"/>
      <c r="S350" s="67"/>
      <c r="T350" s="66"/>
      <c r="U350" s="65"/>
      <c r="V350" s="67"/>
      <c r="W350" s="66"/>
      <c r="X350" s="65"/>
      <c r="Y350" s="67"/>
      <c r="Z350" s="66"/>
      <c r="AA350" s="65"/>
      <c r="AB350" s="67"/>
      <c r="AC350" s="66"/>
      <c r="AD350" s="65"/>
      <c r="AE350" s="67"/>
      <c r="AF350" s="66"/>
      <c r="AG350" s="65"/>
      <c r="AH350" s="67"/>
      <c r="AI350" s="66"/>
      <c r="AJ350" s="65"/>
      <c r="AK350" s="67"/>
      <c r="AL350" s="66"/>
      <c r="AM350" s="65"/>
      <c r="AN350" s="67"/>
      <c r="AO350" s="66"/>
      <c r="AP350" s="65"/>
      <c r="AQ350" s="67"/>
      <c r="AR350" s="66"/>
      <c r="AS350" s="65"/>
      <c r="AT350" s="67"/>
      <c r="AU350" s="66"/>
      <c r="AV350" s="65"/>
      <c r="AW350" s="67"/>
      <c r="AX350" s="66"/>
      <c r="AY350" s="65"/>
      <c r="AZ350" s="67"/>
      <c r="BA350" s="66"/>
      <c r="BB350" s="65"/>
      <c r="BC350" s="67"/>
      <c r="BD350" s="66"/>
      <c r="BE350" s="65"/>
      <c r="BF350" s="67"/>
      <c r="BG350" s="66"/>
      <c r="BH350" s="65"/>
    </row>
    <row r="351" spans="3:60" ht="20.25" x14ac:dyDescent="0.3">
      <c r="C351" s="11" t="s">
        <v>1</v>
      </c>
      <c r="D351" s="64"/>
      <c r="E351" s="14"/>
      <c r="F351" s="12">
        <f>F330+F349</f>
        <v>1131813.0049999999</v>
      </c>
      <c r="G351" s="64" t="s">
        <v>18</v>
      </c>
      <c r="H351" s="14">
        <v>0.47857167758554398</v>
      </c>
      <c r="I351" s="12">
        <v>101858.879999999</v>
      </c>
      <c r="J351" s="64" t="s">
        <v>18</v>
      </c>
      <c r="K351" s="14">
        <v>0.366229915075998</v>
      </c>
      <c r="L351" s="12">
        <v>58529.769999999902</v>
      </c>
      <c r="M351" s="64" t="s">
        <v>18</v>
      </c>
      <c r="N351" s="14">
        <v>0.56314330575082505</v>
      </c>
      <c r="O351" s="12">
        <v>44534.91</v>
      </c>
      <c r="P351" s="64" t="s">
        <v>18</v>
      </c>
      <c r="Q351" s="14">
        <v>0.43152833956235398</v>
      </c>
      <c r="R351" s="12">
        <v>90113.31</v>
      </c>
      <c r="S351" s="64" t="s">
        <v>18</v>
      </c>
      <c r="T351" s="14">
        <v>0.68804378130001498</v>
      </c>
      <c r="U351" s="12">
        <v>216559.2</v>
      </c>
      <c r="V351" s="64" t="s">
        <v>18</v>
      </c>
      <c r="W351" s="14">
        <v>0.53145208239396802</v>
      </c>
      <c r="X351" s="12">
        <v>126635.209999999</v>
      </c>
      <c r="Y351" s="64" t="s">
        <v>18</v>
      </c>
      <c r="Z351" s="14">
        <v>0.49093024566106203</v>
      </c>
      <c r="AA351" s="12">
        <v>52628.389999999898</v>
      </c>
      <c r="AB351" s="64" t="s">
        <v>18</v>
      </c>
      <c r="AC351" s="14">
        <v>0.40802656866215298</v>
      </c>
      <c r="AD351" s="12">
        <v>34846.639999999999</v>
      </c>
      <c r="AE351" s="64" t="s">
        <v>18</v>
      </c>
      <c r="AF351" s="14">
        <v>0.55770940552505599</v>
      </c>
      <c r="AG351" s="12">
        <v>63512.409999999902</v>
      </c>
      <c r="AH351" s="64" t="s">
        <v>18</v>
      </c>
      <c r="AI351" s="14">
        <v>0.69613588671498305</v>
      </c>
      <c r="AJ351" s="12">
        <v>31820.26</v>
      </c>
      <c r="AK351" s="64" t="s">
        <v>18</v>
      </c>
      <c r="AL351" s="14">
        <v>1.6497476564739799</v>
      </c>
      <c r="AM351" s="12">
        <v>45574.344999999899</v>
      </c>
      <c r="AN351" s="64" t="s">
        <v>18</v>
      </c>
      <c r="AO351" s="14">
        <v>0.65826818156921396</v>
      </c>
      <c r="AP351" s="12">
        <v>60811.96</v>
      </c>
      <c r="AQ351" s="64" t="s">
        <v>18</v>
      </c>
      <c r="AR351" s="14">
        <v>0.71386923256452695</v>
      </c>
      <c r="AS351" s="12">
        <v>71941</v>
      </c>
      <c r="AT351" s="64" t="s">
        <v>18</v>
      </c>
      <c r="AU351" s="14">
        <v>0.812611062526719</v>
      </c>
      <c r="AV351" s="12">
        <v>84567.319999999905</v>
      </c>
      <c r="AW351" s="64" t="s">
        <v>18</v>
      </c>
      <c r="AX351" s="14">
        <v>1.13580433176719</v>
      </c>
      <c r="AY351" s="12">
        <v>47879.3999999999</v>
      </c>
      <c r="AZ351" s="64"/>
      <c r="BA351" s="14"/>
      <c r="BB351" s="12"/>
      <c r="BC351" s="64"/>
      <c r="BD351" s="14"/>
      <c r="BE351" s="12"/>
      <c r="BF351" s="64"/>
      <c r="BG351" s="14"/>
      <c r="BH351" s="12"/>
    </row>
    <row r="352" spans="3:60" ht="20.25" x14ac:dyDescent="0.3">
      <c r="C352" s="8"/>
      <c r="D352" s="8"/>
      <c r="E352" s="7"/>
      <c r="F352" s="63"/>
      <c r="G352" s="8"/>
      <c r="H352" s="7"/>
      <c r="I352" s="63"/>
      <c r="J352" s="8"/>
      <c r="K352" s="7"/>
      <c r="L352" s="63"/>
      <c r="M352" s="8"/>
      <c r="N352" s="7"/>
      <c r="O352" s="63"/>
      <c r="P352" s="8"/>
      <c r="Q352" s="7"/>
      <c r="R352" s="63"/>
      <c r="S352" s="8"/>
      <c r="T352" s="7"/>
      <c r="U352" s="63"/>
      <c r="V352" s="8"/>
      <c r="W352" s="7"/>
      <c r="X352" s="63"/>
      <c r="Y352" s="8"/>
      <c r="Z352" s="7"/>
      <c r="AA352" s="63"/>
      <c r="AB352" s="8"/>
      <c r="AC352" s="7"/>
      <c r="AD352" s="63"/>
      <c r="AE352" s="8"/>
      <c r="AF352" s="7"/>
      <c r="AG352" s="63"/>
      <c r="AH352" s="8"/>
      <c r="AI352" s="7"/>
      <c r="AJ352" s="63"/>
      <c r="AK352" s="8"/>
      <c r="AL352" s="7"/>
      <c r="AM352" s="63"/>
      <c r="AN352" s="8"/>
      <c r="AO352" s="7"/>
      <c r="AP352" s="63"/>
      <c r="AQ352" s="8"/>
      <c r="AR352" s="7"/>
      <c r="AS352" s="63"/>
      <c r="AT352" s="8"/>
      <c r="AU352" s="7"/>
      <c r="AV352" s="63"/>
      <c r="AW352" s="8"/>
      <c r="AX352" s="7"/>
      <c r="AY352" s="63"/>
      <c r="AZ352" s="8"/>
      <c r="BA352" s="7"/>
      <c r="BB352" s="63"/>
      <c r="BC352" s="8"/>
      <c r="BD352" s="7"/>
      <c r="BE352" s="63"/>
      <c r="BF352" s="8"/>
      <c r="BG352" s="7"/>
      <c r="BH352" s="63"/>
    </row>
    <row r="353" spans="3:60" ht="21" thickBot="1" x14ac:dyDescent="0.35">
      <c r="C353" s="38" t="s">
        <v>0</v>
      </c>
      <c r="D353" s="61"/>
      <c r="E353" s="62"/>
      <c r="F353" s="59">
        <f>F314-F351</f>
        <v>800978.55499999807</v>
      </c>
      <c r="G353" s="61">
        <v>0</v>
      </c>
      <c r="H353" s="60">
        <v>0</v>
      </c>
      <c r="I353" s="59">
        <v>110980.46</v>
      </c>
      <c r="J353" s="61">
        <v>0</v>
      </c>
      <c r="K353" s="60">
        <v>0</v>
      </c>
      <c r="L353" s="59">
        <v>101287.24</v>
      </c>
      <c r="M353" s="61">
        <v>0</v>
      </c>
      <c r="N353" s="60">
        <v>0</v>
      </c>
      <c r="O353" s="59">
        <v>34547.819999999898</v>
      </c>
      <c r="P353" s="61">
        <v>0</v>
      </c>
      <c r="Q353" s="60">
        <v>0</v>
      </c>
      <c r="R353" s="59">
        <v>118710.31</v>
      </c>
      <c r="S353" s="61">
        <v>0</v>
      </c>
      <c r="T353" s="60">
        <v>0</v>
      </c>
      <c r="U353" s="59">
        <v>98187.049999999901</v>
      </c>
      <c r="V353" s="61">
        <v>0</v>
      </c>
      <c r="W353" s="60">
        <v>0.10996877266272501</v>
      </c>
      <c r="X353" s="59">
        <v>111646.31</v>
      </c>
      <c r="Y353" s="61">
        <v>0</v>
      </c>
      <c r="Z353" s="60">
        <v>0</v>
      </c>
      <c r="AA353" s="59">
        <v>54572.97</v>
      </c>
      <c r="AB353" s="61">
        <v>0</v>
      </c>
      <c r="AC353" s="60">
        <v>0</v>
      </c>
      <c r="AD353" s="59">
        <v>50556.229999999901</v>
      </c>
      <c r="AE353" s="61">
        <v>0</v>
      </c>
      <c r="AF353" s="60">
        <v>0</v>
      </c>
      <c r="AG353" s="59">
        <v>50368.419999999896</v>
      </c>
      <c r="AH353" s="61">
        <v>0</v>
      </c>
      <c r="AI353" s="60">
        <v>0</v>
      </c>
      <c r="AJ353" s="59">
        <v>13889.5799999999</v>
      </c>
      <c r="AK353" s="61">
        <v>0</v>
      </c>
      <c r="AL353" s="60">
        <v>0</v>
      </c>
      <c r="AM353" s="59">
        <v>-17949.304999999898</v>
      </c>
      <c r="AN353" s="61">
        <v>0</v>
      </c>
      <c r="AO353" s="60">
        <v>0</v>
      </c>
      <c r="AP353" s="59">
        <v>31569.78</v>
      </c>
      <c r="AQ353" s="61">
        <v>0</v>
      </c>
      <c r="AR353" s="60">
        <v>0</v>
      </c>
      <c r="AS353" s="59">
        <v>28835.159999999902</v>
      </c>
      <c r="AT353" s="61">
        <v>0</v>
      </c>
      <c r="AU353" s="60">
        <v>0</v>
      </c>
      <c r="AV353" s="59">
        <v>19501.310000000001</v>
      </c>
      <c r="AW353" s="61">
        <v>0</v>
      </c>
      <c r="AX353" s="60">
        <v>0</v>
      </c>
      <c r="AY353" s="59">
        <v>-5724.7799999999897</v>
      </c>
      <c r="AZ353" s="61"/>
      <c r="BA353" s="60"/>
      <c r="BB353" s="59"/>
      <c r="BC353" s="61"/>
      <c r="BD353" s="60"/>
      <c r="BE353" s="59"/>
      <c r="BF353" s="61"/>
      <c r="BG353" s="60"/>
      <c r="BH353" s="59"/>
    </row>
    <row r="354" spans="3:60" ht="15.75" thickTop="1" x14ac:dyDescent="0.25"/>
    <row r="355" spans="3:60" x14ac:dyDescent="0.25"/>
    <row r="356" spans="3:60" ht="35.25" x14ac:dyDescent="0.5">
      <c r="C356" s="58" t="str">
        <f>Y356</f>
        <v>Boutique</v>
      </c>
      <c r="Y356" s="164" t="s">
        <v>30</v>
      </c>
      <c r="Z356" s="165"/>
      <c r="AA356" s="165"/>
    </row>
    <row r="357" spans="3:60" ht="15.75" thickBot="1" x14ac:dyDescent="0.3"/>
    <row r="358" spans="3:60" ht="21" thickTop="1" x14ac:dyDescent="0.3">
      <c r="C358" s="56"/>
      <c r="D358" s="166" t="str">
        <f>D$3</f>
        <v>Conso</v>
      </c>
      <c r="E358" s="167"/>
      <c r="F358" s="168"/>
      <c r="G358" s="166" t="str">
        <f>G$3</f>
        <v>BMW PA</v>
      </c>
      <c r="H358" s="167"/>
      <c r="I358" s="168"/>
      <c r="J358" s="166" t="str">
        <f>J$3</f>
        <v>BMW STJ</v>
      </c>
      <c r="K358" s="167"/>
      <c r="L358" s="168"/>
      <c r="M358" s="166" t="str">
        <f>M$3</f>
        <v>BMW SHER</v>
      </c>
      <c r="N358" s="167"/>
      <c r="O358" s="168"/>
      <c r="P358" s="166" t="str">
        <f>P$3</f>
        <v>MBQ</v>
      </c>
      <c r="Q358" s="167"/>
      <c r="R358" s="168"/>
      <c r="S358" s="166" t="str">
        <f>S$3</f>
        <v>SSMB</v>
      </c>
      <c r="T358" s="167"/>
      <c r="U358" s="168"/>
      <c r="V358" s="166" t="str">
        <f>V$3</f>
        <v>AUDI</v>
      </c>
      <c r="W358" s="167"/>
      <c r="X358" s="168"/>
      <c r="Y358" s="166" t="str">
        <f>Y$3</f>
        <v>JLR</v>
      </c>
      <c r="Z358" s="167"/>
      <c r="AA358" s="168"/>
      <c r="AB358" s="166" t="str">
        <f>AB$3</f>
        <v>LEXUS</v>
      </c>
      <c r="AC358" s="167"/>
      <c r="AD358" s="168"/>
      <c r="AE358" s="166" t="str">
        <f>AE$3</f>
        <v>Volvo</v>
      </c>
      <c r="AF358" s="167"/>
      <c r="AG358" s="168"/>
      <c r="AH358" s="166" t="str">
        <f>AH$3</f>
        <v>Mini</v>
      </c>
      <c r="AI358" s="167"/>
      <c r="AJ358" s="168"/>
      <c r="AK358" s="166" t="str">
        <f>AK$3</f>
        <v>Infiniti</v>
      </c>
      <c r="AL358" s="167"/>
      <c r="AM358" s="168"/>
      <c r="AN358" s="166" t="str">
        <f>AN$3</f>
        <v>Honda</v>
      </c>
      <c r="AO358" s="167"/>
      <c r="AP358" s="168"/>
      <c r="AQ358" s="166" t="str">
        <f>AQ$3</f>
        <v>Toyota</v>
      </c>
      <c r="AR358" s="167"/>
      <c r="AS358" s="168"/>
      <c r="AT358" s="166" t="str">
        <f>AT$3</f>
        <v>Volks</v>
      </c>
      <c r="AU358" s="167"/>
      <c r="AV358" s="168"/>
      <c r="AW358" s="166" t="str">
        <f>AW$3</f>
        <v>LHD</v>
      </c>
      <c r="AX358" s="167"/>
      <c r="AY358" s="168"/>
      <c r="AZ358" s="166"/>
      <c r="BA358" s="167"/>
      <c r="BB358" s="168"/>
      <c r="BC358" s="166"/>
      <c r="BD358" s="169"/>
      <c r="BE358" s="170"/>
      <c r="BF358" s="166"/>
      <c r="BG358" s="169"/>
      <c r="BH358" s="170"/>
    </row>
    <row r="359" spans="3:60" ht="21" thickBot="1" x14ac:dyDescent="0.35">
      <c r="C359" s="8"/>
      <c r="D359" s="55" t="s">
        <v>33</v>
      </c>
      <c r="E359" s="54" t="s">
        <v>32</v>
      </c>
      <c r="F359" s="53" t="s">
        <v>31</v>
      </c>
      <c r="G359" s="52" t="str">
        <f>$D359</f>
        <v>$VENTES</v>
      </c>
      <c r="H359" s="51" t="str">
        <f>$E359</f>
        <v>% P. BRUT</v>
      </c>
      <c r="I359" s="50" t="str">
        <f>$F359</f>
        <v>$PROFITS</v>
      </c>
      <c r="J359" s="52" t="str">
        <f>$D359</f>
        <v>$VENTES</v>
      </c>
      <c r="K359" s="51" t="str">
        <f>$E359</f>
        <v>% P. BRUT</v>
      </c>
      <c r="L359" s="50" t="str">
        <f>$F359</f>
        <v>$PROFITS</v>
      </c>
      <c r="M359" s="52" t="str">
        <f>$D359</f>
        <v>$VENTES</v>
      </c>
      <c r="N359" s="51" t="str">
        <f>$E359</f>
        <v>% P. BRUT</v>
      </c>
      <c r="O359" s="50" t="str">
        <f>$F359</f>
        <v>$PROFITS</v>
      </c>
      <c r="P359" s="52" t="str">
        <f>$D359</f>
        <v>$VENTES</v>
      </c>
      <c r="Q359" s="51" t="str">
        <f>$E359</f>
        <v>% P. BRUT</v>
      </c>
      <c r="R359" s="50" t="str">
        <f>$F359</f>
        <v>$PROFITS</v>
      </c>
      <c r="S359" s="52" t="str">
        <f>$D359</f>
        <v>$VENTES</v>
      </c>
      <c r="T359" s="51" t="str">
        <f>$E359</f>
        <v>% P. BRUT</v>
      </c>
      <c r="U359" s="50" t="str">
        <f>$F359</f>
        <v>$PROFITS</v>
      </c>
      <c r="V359" s="52" t="str">
        <f>$D359</f>
        <v>$VENTES</v>
      </c>
      <c r="W359" s="51" t="str">
        <f>$E359</f>
        <v>% P. BRUT</v>
      </c>
      <c r="X359" s="50" t="str">
        <f>$F359</f>
        <v>$PROFITS</v>
      </c>
      <c r="Y359" s="52" t="str">
        <f>$D359</f>
        <v>$VENTES</v>
      </c>
      <c r="Z359" s="51" t="str">
        <f>$E359</f>
        <v>% P. BRUT</v>
      </c>
      <c r="AA359" s="50" t="str">
        <f>$F359</f>
        <v>$PROFITS</v>
      </c>
      <c r="AB359" s="52" t="str">
        <f>$D359</f>
        <v>$VENTES</v>
      </c>
      <c r="AC359" s="51" t="str">
        <f>$E359</f>
        <v>% P. BRUT</v>
      </c>
      <c r="AD359" s="50" t="str">
        <f>$F359</f>
        <v>$PROFITS</v>
      </c>
      <c r="AE359" s="52" t="str">
        <f>$D359</f>
        <v>$VENTES</v>
      </c>
      <c r="AF359" s="51" t="str">
        <f>$E359</f>
        <v>% P. BRUT</v>
      </c>
      <c r="AG359" s="50" t="str">
        <f>$F359</f>
        <v>$PROFITS</v>
      </c>
      <c r="AH359" s="52" t="str">
        <f>$D359</f>
        <v>$VENTES</v>
      </c>
      <c r="AI359" s="51" t="str">
        <f>$E359</f>
        <v>% P. BRUT</v>
      </c>
      <c r="AJ359" s="50" t="str">
        <f>$F359</f>
        <v>$PROFITS</v>
      </c>
      <c r="AK359" s="52" t="str">
        <f>$D359</f>
        <v>$VENTES</v>
      </c>
      <c r="AL359" s="51" t="str">
        <f>$E359</f>
        <v>% P. BRUT</v>
      </c>
      <c r="AM359" s="50" t="str">
        <f>$F359</f>
        <v>$PROFITS</v>
      </c>
      <c r="AN359" s="52" t="str">
        <f>$D359</f>
        <v>$VENTES</v>
      </c>
      <c r="AO359" s="51" t="str">
        <f>$E359</f>
        <v>% P. BRUT</v>
      </c>
      <c r="AP359" s="50" t="str">
        <f>$F359</f>
        <v>$PROFITS</v>
      </c>
      <c r="AQ359" s="52" t="str">
        <f>$D359</f>
        <v>$VENTES</v>
      </c>
      <c r="AR359" s="51" t="str">
        <f>$E359</f>
        <v>% P. BRUT</v>
      </c>
      <c r="AS359" s="50" t="str">
        <f>$F359</f>
        <v>$PROFITS</v>
      </c>
      <c r="AT359" s="52" t="str">
        <f>$D359</f>
        <v>$VENTES</v>
      </c>
      <c r="AU359" s="51" t="str">
        <f>$E359</f>
        <v>% P. BRUT</v>
      </c>
      <c r="AV359" s="50" t="str">
        <f>$F359</f>
        <v>$PROFITS</v>
      </c>
      <c r="AW359" s="52" t="str">
        <f>$D359</f>
        <v>$VENTES</v>
      </c>
      <c r="AX359" s="51" t="str">
        <f>$E359</f>
        <v>% P. BRUT</v>
      </c>
      <c r="AY359" s="50" t="str">
        <f>$F359</f>
        <v>$PROFITS</v>
      </c>
      <c r="AZ359" s="52"/>
      <c r="BA359" s="51"/>
      <c r="BB359" s="50"/>
      <c r="BC359" s="8"/>
      <c r="BD359" s="7"/>
      <c r="BE359" s="7"/>
      <c r="BF359" s="8"/>
      <c r="BG359" s="7"/>
      <c r="BH359" s="6"/>
    </row>
    <row r="360" spans="3:60" ht="21" thickTop="1" x14ac:dyDescent="0.3">
      <c r="C360" s="43" t="s">
        <v>30</v>
      </c>
      <c r="D360" s="49">
        <f>+SUM(G360,J360,M360,P360,S360,V360,Y360,AB360,AE360,AH360,AK360,AN360,AQ360,AT360,AW360,AZ360,BC360,BF360)</f>
        <v>36899.360000000001</v>
      </c>
      <c r="E360" s="48">
        <f>IF(D360&lt;=0,0,F360/D360)</f>
        <v>0.2974279228691229</v>
      </c>
      <c r="F360" s="47">
        <f>+SUM(I360,L360,O360,R360,U360,X360,AA360,AD360,AG360,AJ360,AM360,AP360,AS360,AV360,AY360,BB360,BE360,BH360)</f>
        <v>10974.9</v>
      </c>
      <c r="G360" s="43"/>
      <c r="H360" s="42"/>
      <c r="I360" s="42"/>
      <c r="J360" s="43"/>
      <c r="K360" s="42"/>
      <c r="L360" s="42"/>
      <c r="M360" s="43"/>
      <c r="N360" s="42"/>
      <c r="O360" s="42"/>
      <c r="P360" s="43"/>
      <c r="Q360" s="42"/>
      <c r="R360" s="42"/>
      <c r="S360" s="43"/>
      <c r="T360" s="42"/>
      <c r="U360" s="42"/>
      <c r="V360" s="43"/>
      <c r="W360" s="42"/>
      <c r="X360" s="42"/>
      <c r="Y360" s="43"/>
      <c r="Z360" s="42"/>
      <c r="AA360" s="42"/>
      <c r="AB360" s="43"/>
      <c r="AC360" s="42"/>
      <c r="AD360" s="42"/>
      <c r="AE360" s="43"/>
      <c r="AF360" s="42"/>
      <c r="AG360" s="42"/>
      <c r="AH360" s="43"/>
      <c r="AI360" s="42"/>
      <c r="AJ360" s="42"/>
      <c r="AK360" s="43"/>
      <c r="AL360" s="42"/>
      <c r="AM360" s="42"/>
      <c r="AN360" s="43"/>
      <c r="AO360" s="42"/>
      <c r="AP360" s="42"/>
      <c r="AQ360" s="43"/>
      <c r="AR360" s="42"/>
      <c r="AS360" s="42"/>
      <c r="AT360" s="43"/>
      <c r="AU360" s="42"/>
      <c r="AV360" s="42"/>
      <c r="AW360" s="46">
        <v>36899.360000000001</v>
      </c>
      <c r="AX360" s="45">
        <v>0.29742792286912201</v>
      </c>
      <c r="AY360" s="44">
        <v>10974.9</v>
      </c>
      <c r="AZ360" s="43"/>
      <c r="BA360" s="42"/>
      <c r="BB360" s="42"/>
      <c r="BC360" s="43"/>
      <c r="BD360" s="42"/>
      <c r="BE360" s="42"/>
      <c r="BF360" s="43"/>
      <c r="BG360" s="42"/>
      <c r="BH360" s="41"/>
    </row>
    <row r="361" spans="3:60" ht="21" thickBot="1" x14ac:dyDescent="0.35">
      <c r="C361" s="38"/>
      <c r="D361" s="38"/>
      <c r="E361" s="37"/>
      <c r="F361" s="37"/>
      <c r="G361" s="38"/>
      <c r="H361" s="37"/>
      <c r="I361" s="37"/>
      <c r="J361" s="38"/>
      <c r="K361" s="37"/>
      <c r="L361" s="37"/>
      <c r="M361" s="38"/>
      <c r="N361" s="37"/>
      <c r="O361" s="37"/>
      <c r="P361" s="38"/>
      <c r="Q361" s="37"/>
      <c r="R361" s="37"/>
      <c r="S361" s="38"/>
      <c r="T361" s="37"/>
      <c r="U361" s="37"/>
      <c r="V361" s="38"/>
      <c r="W361" s="37"/>
      <c r="X361" s="37"/>
      <c r="Y361" s="38"/>
      <c r="Z361" s="37"/>
      <c r="AA361" s="37"/>
      <c r="AB361" s="38"/>
      <c r="AC361" s="37"/>
      <c r="AD361" s="37"/>
      <c r="AE361" s="38"/>
      <c r="AF361" s="37"/>
      <c r="AG361" s="37"/>
      <c r="AH361" s="38"/>
      <c r="AI361" s="37"/>
      <c r="AJ361" s="37"/>
      <c r="AK361" s="38"/>
      <c r="AL361" s="37"/>
      <c r="AM361" s="37"/>
      <c r="AN361" s="38"/>
      <c r="AO361" s="37"/>
      <c r="AP361" s="37"/>
      <c r="AQ361" s="38"/>
      <c r="AR361" s="37"/>
      <c r="AS361" s="37"/>
      <c r="AT361" s="38"/>
      <c r="AU361" s="37"/>
      <c r="AV361" s="37"/>
      <c r="AW361" s="40"/>
      <c r="AX361" s="37"/>
      <c r="AY361" s="39"/>
      <c r="AZ361" s="38"/>
      <c r="BA361" s="37"/>
      <c r="BB361" s="37"/>
      <c r="BC361" s="38"/>
      <c r="BD361" s="37"/>
      <c r="BE361" s="37"/>
      <c r="BF361" s="38"/>
      <c r="BG361" s="37"/>
      <c r="BH361" s="36"/>
    </row>
    <row r="362" spans="3:60" ht="21" thickTop="1" x14ac:dyDescent="0.3">
      <c r="C362" s="32" t="s">
        <v>29</v>
      </c>
      <c r="D362" s="35">
        <f>+SUM(G362,J362,M362,P362,S362,V362,Y362,AB362,AE362,AH362,AK362,AN362,AQ362,AT362,AW362,AZ362,BC362,BF362)</f>
        <v>36899.360000000001</v>
      </c>
      <c r="E362" s="34">
        <f>IF(D362&lt;=0,0,F362/D362)</f>
        <v>0.2974279228691229</v>
      </c>
      <c r="F362" s="33">
        <f>+SUM(I362,L362,O362,R362,U362,X362,AA362,AD362,AG362,AJ362,AM362,AP362,AS362,AV362,AY362,BB362,BE362,BH362)</f>
        <v>10974.9</v>
      </c>
      <c r="G362" s="32"/>
      <c r="H362" s="31"/>
      <c r="I362" s="31"/>
      <c r="J362" s="32"/>
      <c r="K362" s="31"/>
      <c r="L362" s="31"/>
      <c r="M362" s="32"/>
      <c r="N362" s="31"/>
      <c r="O362" s="31"/>
      <c r="P362" s="32"/>
      <c r="Q362" s="31"/>
      <c r="R362" s="31"/>
      <c r="S362" s="32"/>
      <c r="T362" s="31"/>
      <c r="U362" s="31"/>
      <c r="V362" s="32"/>
      <c r="W362" s="31"/>
      <c r="X362" s="31"/>
      <c r="Y362" s="32"/>
      <c r="Z362" s="31"/>
      <c r="AA362" s="31"/>
      <c r="AB362" s="32"/>
      <c r="AC362" s="31"/>
      <c r="AD362" s="31"/>
      <c r="AE362" s="32"/>
      <c r="AF362" s="31"/>
      <c r="AG362" s="31"/>
      <c r="AH362" s="32"/>
      <c r="AI362" s="31"/>
      <c r="AJ362" s="31"/>
      <c r="AK362" s="32"/>
      <c r="AL362" s="31"/>
      <c r="AM362" s="31"/>
      <c r="AN362" s="32"/>
      <c r="AO362" s="31"/>
      <c r="AP362" s="31"/>
      <c r="AQ362" s="32"/>
      <c r="AR362" s="31"/>
      <c r="AS362" s="31"/>
      <c r="AT362" s="32"/>
      <c r="AU362" s="31"/>
      <c r="AV362" s="31"/>
      <c r="AW362" s="35">
        <v>36899.360000000001</v>
      </c>
      <c r="AX362" s="34">
        <v>0.29742792286912201</v>
      </c>
      <c r="AY362" s="33">
        <v>10974.9</v>
      </c>
      <c r="AZ362" s="32"/>
      <c r="BA362" s="31"/>
      <c r="BB362" s="31"/>
      <c r="BC362" s="32"/>
      <c r="BD362" s="31"/>
      <c r="BE362" s="31"/>
      <c r="BF362" s="32"/>
      <c r="BG362" s="31"/>
      <c r="BH362" s="30"/>
    </row>
    <row r="363" spans="3:60" ht="20.25" x14ac:dyDescent="0.3">
      <c r="C363" s="29"/>
      <c r="D363" s="29"/>
      <c r="E363" s="28"/>
      <c r="F363" s="18"/>
      <c r="G363" s="29"/>
      <c r="H363" s="28"/>
      <c r="I363" s="28"/>
      <c r="J363" s="29"/>
      <c r="K363" s="28"/>
      <c r="L363" s="28"/>
      <c r="M363" s="29"/>
      <c r="N363" s="28"/>
      <c r="O363" s="28"/>
      <c r="P363" s="29"/>
      <c r="Q363" s="28"/>
      <c r="R363" s="28"/>
      <c r="S363" s="29"/>
      <c r="T363" s="28"/>
      <c r="U363" s="28"/>
      <c r="V363" s="29"/>
      <c r="W363" s="28"/>
      <c r="X363" s="28"/>
      <c r="Y363" s="29"/>
      <c r="Z363" s="28"/>
      <c r="AA363" s="28"/>
      <c r="AB363" s="29"/>
      <c r="AC363" s="28"/>
      <c r="AD363" s="28"/>
      <c r="AE363" s="29"/>
      <c r="AF363" s="28"/>
      <c r="AG363" s="28"/>
      <c r="AH363" s="29"/>
      <c r="AI363" s="28"/>
      <c r="AJ363" s="28"/>
      <c r="AK363" s="29"/>
      <c r="AL363" s="28"/>
      <c r="AM363" s="28"/>
      <c r="AN363" s="29"/>
      <c r="AO363" s="28"/>
      <c r="AP363" s="28"/>
      <c r="AQ363" s="29"/>
      <c r="AR363" s="28"/>
      <c r="AS363" s="28"/>
      <c r="AT363" s="29"/>
      <c r="AU363" s="28"/>
      <c r="AV363" s="28"/>
      <c r="AW363" s="29"/>
      <c r="AX363" s="28"/>
      <c r="AY363" s="18"/>
      <c r="AZ363" s="29"/>
      <c r="BA363" s="28"/>
      <c r="BB363" s="28"/>
      <c r="BC363" s="29"/>
      <c r="BD363" s="28"/>
      <c r="BE363" s="28"/>
      <c r="BF363" s="29"/>
      <c r="BG363" s="28"/>
      <c r="BH363" s="27"/>
    </row>
    <row r="364" spans="3:60" ht="20.25" x14ac:dyDescent="0.3">
      <c r="C364" s="29" t="s">
        <v>28</v>
      </c>
      <c r="D364" s="29"/>
      <c r="E364" s="28"/>
      <c r="F364" s="18"/>
      <c r="G364" s="29"/>
      <c r="H364" s="28"/>
      <c r="I364" s="28"/>
      <c r="J364" s="29"/>
      <c r="K364" s="28"/>
      <c r="L364" s="28"/>
      <c r="M364" s="29"/>
      <c r="N364" s="28"/>
      <c r="O364" s="28"/>
      <c r="P364" s="29"/>
      <c r="Q364" s="28"/>
      <c r="R364" s="28"/>
      <c r="S364" s="29"/>
      <c r="T364" s="28"/>
      <c r="U364" s="28"/>
      <c r="V364" s="29"/>
      <c r="W364" s="28"/>
      <c r="X364" s="28"/>
      <c r="Y364" s="29"/>
      <c r="Z364" s="28"/>
      <c r="AA364" s="28"/>
      <c r="AB364" s="29"/>
      <c r="AC364" s="28"/>
      <c r="AD364" s="28"/>
      <c r="AE364" s="29"/>
      <c r="AF364" s="28"/>
      <c r="AG364" s="28"/>
      <c r="AH364" s="29"/>
      <c r="AI364" s="28"/>
      <c r="AJ364" s="28"/>
      <c r="AK364" s="29"/>
      <c r="AL364" s="28"/>
      <c r="AM364" s="28"/>
      <c r="AN364" s="29"/>
      <c r="AO364" s="28"/>
      <c r="AP364" s="28"/>
      <c r="AQ364" s="29"/>
      <c r="AR364" s="28"/>
      <c r="AS364" s="28"/>
      <c r="AT364" s="29"/>
      <c r="AU364" s="28"/>
      <c r="AV364" s="28"/>
      <c r="AW364" s="29"/>
      <c r="AX364" s="28"/>
      <c r="AY364" s="18"/>
      <c r="AZ364" s="29"/>
      <c r="BA364" s="28"/>
      <c r="BB364" s="28"/>
      <c r="BC364" s="29"/>
      <c r="BD364" s="28"/>
      <c r="BE364" s="28"/>
      <c r="BF364" s="29"/>
      <c r="BG364" s="28"/>
      <c r="BH364" s="27"/>
    </row>
    <row r="365" spans="3:60" ht="20.25" x14ac:dyDescent="0.3">
      <c r="C365" s="17" t="s">
        <v>27</v>
      </c>
      <c r="D365" s="17"/>
      <c r="E365" s="16"/>
      <c r="F365" s="18">
        <f t="shared" ref="F365:F376" si="22">+SUM(I365,L365,O365,R365,U365,X365,AA365,AD365,AG365,AJ365,AM365,AP365,AS365,AV365,AY365,BB365,BE365,BH365)</f>
        <v>3624.68</v>
      </c>
      <c r="G365" s="17"/>
      <c r="H365" s="16"/>
      <c r="I365" s="16"/>
      <c r="J365" s="17"/>
      <c r="K365" s="16"/>
      <c r="L365" s="16"/>
      <c r="M365" s="17"/>
      <c r="N365" s="16"/>
      <c r="O365" s="16"/>
      <c r="P365" s="17"/>
      <c r="Q365" s="16"/>
      <c r="R365" s="16"/>
      <c r="S365" s="17"/>
      <c r="T365" s="16"/>
      <c r="U365" s="16"/>
      <c r="V365" s="17"/>
      <c r="W365" s="16"/>
      <c r="X365" s="16"/>
      <c r="Y365" s="17"/>
      <c r="Z365" s="16"/>
      <c r="AA365" s="16"/>
      <c r="AB365" s="17"/>
      <c r="AC365" s="16"/>
      <c r="AD365" s="16"/>
      <c r="AE365" s="17"/>
      <c r="AF365" s="16"/>
      <c r="AG365" s="16"/>
      <c r="AH365" s="17"/>
      <c r="AI365" s="16"/>
      <c r="AJ365" s="16"/>
      <c r="AK365" s="17"/>
      <c r="AL365" s="16"/>
      <c r="AM365" s="16"/>
      <c r="AN365" s="17"/>
      <c r="AO365" s="16"/>
      <c r="AP365" s="16"/>
      <c r="AQ365" s="17"/>
      <c r="AR365" s="16"/>
      <c r="AS365" s="16"/>
      <c r="AT365" s="17"/>
      <c r="AU365" s="16"/>
      <c r="AV365" s="16"/>
      <c r="AW365" s="17"/>
      <c r="AX365" s="16"/>
      <c r="AY365" s="18">
        <v>3624.68</v>
      </c>
      <c r="AZ365" s="17"/>
      <c r="BA365" s="16"/>
      <c r="BB365" s="16"/>
      <c r="BC365" s="17"/>
      <c r="BD365" s="16"/>
      <c r="BE365" s="16"/>
      <c r="BF365" s="17"/>
      <c r="BG365" s="16"/>
      <c r="BH365" s="15"/>
    </row>
    <row r="366" spans="3:60" ht="20.25" x14ac:dyDescent="0.3">
      <c r="C366" s="25" t="s">
        <v>26</v>
      </c>
      <c r="D366" s="25"/>
      <c r="E366" s="24"/>
      <c r="F366" s="22">
        <f t="shared" si="22"/>
        <v>1121.28</v>
      </c>
      <c r="G366" s="25"/>
      <c r="H366" s="24"/>
      <c r="I366" s="24"/>
      <c r="J366" s="25"/>
      <c r="K366" s="24"/>
      <c r="L366" s="24"/>
      <c r="M366" s="25"/>
      <c r="N366" s="24"/>
      <c r="O366" s="24"/>
      <c r="P366" s="25"/>
      <c r="Q366" s="24"/>
      <c r="R366" s="24"/>
      <c r="S366" s="25"/>
      <c r="T366" s="24"/>
      <c r="U366" s="24"/>
      <c r="V366" s="25"/>
      <c r="W366" s="24"/>
      <c r="X366" s="24"/>
      <c r="Y366" s="25"/>
      <c r="Z366" s="24"/>
      <c r="AA366" s="24"/>
      <c r="AB366" s="25"/>
      <c r="AC366" s="24"/>
      <c r="AD366" s="24"/>
      <c r="AE366" s="25"/>
      <c r="AF366" s="24"/>
      <c r="AG366" s="24"/>
      <c r="AH366" s="25"/>
      <c r="AI366" s="24"/>
      <c r="AJ366" s="24"/>
      <c r="AK366" s="25"/>
      <c r="AL366" s="24"/>
      <c r="AM366" s="24"/>
      <c r="AN366" s="25"/>
      <c r="AO366" s="24"/>
      <c r="AP366" s="24"/>
      <c r="AQ366" s="25"/>
      <c r="AR366" s="24"/>
      <c r="AS366" s="24"/>
      <c r="AT366" s="25"/>
      <c r="AU366" s="24"/>
      <c r="AV366" s="24"/>
      <c r="AW366" s="25"/>
      <c r="AX366" s="24"/>
      <c r="AY366" s="22">
        <v>1121.28</v>
      </c>
      <c r="AZ366" s="25"/>
      <c r="BA366" s="24"/>
      <c r="BB366" s="24"/>
      <c r="BC366" s="25"/>
      <c r="BD366" s="24"/>
      <c r="BE366" s="24"/>
      <c r="BF366" s="25"/>
      <c r="BG366" s="24"/>
      <c r="BH366" s="23"/>
    </row>
    <row r="367" spans="3:60" ht="20.25" x14ac:dyDescent="0.3">
      <c r="C367" s="17" t="s">
        <v>25</v>
      </c>
      <c r="D367" s="17"/>
      <c r="E367" s="16"/>
      <c r="F367" s="18">
        <f t="shared" si="22"/>
        <v>7669.35</v>
      </c>
      <c r="G367" s="17"/>
      <c r="H367" s="16"/>
      <c r="I367" s="16"/>
      <c r="J367" s="17"/>
      <c r="K367" s="16"/>
      <c r="L367" s="16"/>
      <c r="M367" s="17"/>
      <c r="N367" s="16"/>
      <c r="O367" s="16"/>
      <c r="P367" s="17"/>
      <c r="Q367" s="16"/>
      <c r="R367" s="16"/>
      <c r="S367" s="17"/>
      <c r="T367" s="16"/>
      <c r="U367" s="16"/>
      <c r="V367" s="17"/>
      <c r="W367" s="16"/>
      <c r="X367" s="16"/>
      <c r="Y367" s="17"/>
      <c r="Z367" s="16"/>
      <c r="AA367" s="16"/>
      <c r="AB367" s="17"/>
      <c r="AC367" s="16"/>
      <c r="AD367" s="16"/>
      <c r="AE367" s="17"/>
      <c r="AF367" s="16"/>
      <c r="AG367" s="16"/>
      <c r="AH367" s="17"/>
      <c r="AI367" s="16"/>
      <c r="AJ367" s="16"/>
      <c r="AK367" s="17"/>
      <c r="AL367" s="16"/>
      <c r="AM367" s="16"/>
      <c r="AN367" s="17"/>
      <c r="AO367" s="16"/>
      <c r="AP367" s="16"/>
      <c r="AQ367" s="17"/>
      <c r="AR367" s="16"/>
      <c r="AS367" s="16"/>
      <c r="AT367" s="17"/>
      <c r="AU367" s="16"/>
      <c r="AV367" s="16"/>
      <c r="AW367" s="17"/>
      <c r="AX367" s="16"/>
      <c r="AY367" s="18">
        <v>7669.35</v>
      </c>
      <c r="AZ367" s="17"/>
      <c r="BA367" s="16"/>
      <c r="BB367" s="16"/>
      <c r="BC367" s="17"/>
      <c r="BD367" s="16"/>
      <c r="BE367" s="16"/>
      <c r="BF367" s="17"/>
      <c r="BG367" s="16"/>
      <c r="BH367" s="15"/>
    </row>
    <row r="368" spans="3:60" ht="20.25" x14ac:dyDescent="0.3">
      <c r="C368" s="17" t="s">
        <v>24</v>
      </c>
      <c r="D368" s="17"/>
      <c r="E368" s="16"/>
      <c r="F368" s="18">
        <f t="shared" si="22"/>
        <v>0</v>
      </c>
      <c r="G368" s="17"/>
      <c r="H368" s="16"/>
      <c r="I368" s="16"/>
      <c r="J368" s="17"/>
      <c r="K368" s="16"/>
      <c r="L368" s="16"/>
      <c r="M368" s="17"/>
      <c r="N368" s="16"/>
      <c r="O368" s="16"/>
      <c r="P368" s="17"/>
      <c r="Q368" s="16"/>
      <c r="R368" s="16"/>
      <c r="S368" s="17"/>
      <c r="T368" s="16"/>
      <c r="U368" s="16"/>
      <c r="V368" s="17"/>
      <c r="W368" s="16"/>
      <c r="X368" s="16"/>
      <c r="Y368" s="17"/>
      <c r="Z368" s="16"/>
      <c r="AA368" s="16"/>
      <c r="AB368" s="17"/>
      <c r="AC368" s="16"/>
      <c r="AD368" s="16"/>
      <c r="AE368" s="17"/>
      <c r="AF368" s="16"/>
      <c r="AG368" s="16"/>
      <c r="AH368" s="17"/>
      <c r="AI368" s="16"/>
      <c r="AJ368" s="16"/>
      <c r="AK368" s="17"/>
      <c r="AL368" s="16"/>
      <c r="AM368" s="16"/>
      <c r="AN368" s="17"/>
      <c r="AO368" s="16"/>
      <c r="AP368" s="16"/>
      <c r="AQ368" s="17"/>
      <c r="AR368" s="16"/>
      <c r="AS368" s="16"/>
      <c r="AT368" s="17"/>
      <c r="AU368" s="16"/>
      <c r="AV368" s="16"/>
      <c r="AW368" s="17"/>
      <c r="AX368" s="16"/>
      <c r="AY368" s="18">
        <v>0</v>
      </c>
      <c r="AZ368" s="17"/>
      <c r="BA368" s="16"/>
      <c r="BB368" s="16"/>
      <c r="BC368" s="17"/>
      <c r="BD368" s="16"/>
      <c r="BE368" s="16"/>
      <c r="BF368" s="17"/>
      <c r="BG368" s="16"/>
      <c r="BH368" s="15"/>
    </row>
    <row r="369" spans="3:60" ht="20.25" hidden="1" x14ac:dyDescent="0.3">
      <c r="C369" s="8" t="s">
        <v>3</v>
      </c>
      <c r="D369" s="8"/>
      <c r="E369" s="7"/>
      <c r="F369" s="18">
        <f t="shared" si="22"/>
        <v>0</v>
      </c>
      <c r="G369" s="8"/>
      <c r="H369" s="7"/>
      <c r="I369" s="7"/>
      <c r="J369" s="8"/>
      <c r="K369" s="7"/>
      <c r="L369" s="7"/>
      <c r="M369" s="8"/>
      <c r="N369" s="7"/>
      <c r="O369" s="7"/>
      <c r="P369" s="8"/>
      <c r="Q369" s="7"/>
      <c r="R369" s="7"/>
      <c r="S369" s="8"/>
      <c r="T369" s="7"/>
      <c r="U369" s="7"/>
      <c r="V369" s="8"/>
      <c r="W369" s="7"/>
      <c r="X369" s="7"/>
      <c r="Y369" s="8"/>
      <c r="Z369" s="7"/>
      <c r="AA369" s="7"/>
      <c r="AB369" s="8"/>
      <c r="AC369" s="7"/>
      <c r="AD369" s="7"/>
      <c r="AE369" s="8"/>
      <c r="AF369" s="7"/>
      <c r="AG369" s="7"/>
      <c r="AH369" s="8"/>
      <c r="AI369" s="7"/>
      <c r="AJ369" s="7"/>
      <c r="AK369" s="8"/>
      <c r="AL369" s="7"/>
      <c r="AM369" s="7"/>
      <c r="AN369" s="8"/>
      <c r="AO369" s="7"/>
      <c r="AP369" s="7"/>
      <c r="AQ369" s="8"/>
      <c r="AR369" s="7"/>
      <c r="AS369" s="7"/>
      <c r="AT369" s="8"/>
      <c r="AU369" s="7"/>
      <c r="AV369" s="7"/>
      <c r="AW369" s="8"/>
      <c r="AX369" s="7"/>
      <c r="AY369" s="18">
        <v>0</v>
      </c>
      <c r="AZ369" s="8"/>
      <c r="BA369" s="7"/>
      <c r="BB369" s="7"/>
      <c r="BC369" s="8"/>
      <c r="BD369" s="7"/>
      <c r="BE369" s="7"/>
      <c r="BF369" s="8"/>
      <c r="BG369" s="7"/>
      <c r="BH369" s="6"/>
    </row>
    <row r="370" spans="3:60" ht="20.25" hidden="1" x14ac:dyDescent="0.3">
      <c r="C370" s="8" t="s">
        <v>3</v>
      </c>
      <c r="D370" s="8"/>
      <c r="E370" s="7"/>
      <c r="F370" s="18">
        <f t="shared" si="22"/>
        <v>0</v>
      </c>
      <c r="G370" s="8"/>
      <c r="H370" s="7"/>
      <c r="I370" s="7"/>
      <c r="J370" s="8"/>
      <c r="K370" s="7"/>
      <c r="L370" s="7"/>
      <c r="M370" s="8"/>
      <c r="N370" s="7"/>
      <c r="O370" s="7"/>
      <c r="P370" s="8"/>
      <c r="Q370" s="7"/>
      <c r="R370" s="7"/>
      <c r="S370" s="8"/>
      <c r="T370" s="7"/>
      <c r="U370" s="7"/>
      <c r="V370" s="8"/>
      <c r="W370" s="7"/>
      <c r="X370" s="7"/>
      <c r="Y370" s="8"/>
      <c r="Z370" s="7"/>
      <c r="AA370" s="7"/>
      <c r="AB370" s="8"/>
      <c r="AC370" s="7"/>
      <c r="AD370" s="7"/>
      <c r="AE370" s="8"/>
      <c r="AF370" s="7"/>
      <c r="AG370" s="7"/>
      <c r="AH370" s="8"/>
      <c r="AI370" s="7"/>
      <c r="AJ370" s="7"/>
      <c r="AK370" s="8"/>
      <c r="AL370" s="7"/>
      <c r="AM370" s="7"/>
      <c r="AN370" s="8"/>
      <c r="AO370" s="7"/>
      <c r="AP370" s="7"/>
      <c r="AQ370" s="8"/>
      <c r="AR370" s="7"/>
      <c r="AS370" s="7"/>
      <c r="AT370" s="8"/>
      <c r="AU370" s="7"/>
      <c r="AV370" s="7"/>
      <c r="AW370" s="8"/>
      <c r="AX370" s="7"/>
      <c r="AY370" s="18">
        <v>0</v>
      </c>
      <c r="AZ370" s="8"/>
      <c r="BA370" s="7"/>
      <c r="BB370" s="7"/>
      <c r="BC370" s="8"/>
      <c r="BD370" s="7"/>
      <c r="BE370" s="7"/>
      <c r="BF370" s="8"/>
      <c r="BG370" s="7"/>
      <c r="BH370" s="6"/>
    </row>
    <row r="371" spans="3:60" ht="20.25" hidden="1" x14ac:dyDescent="0.3">
      <c r="C371" s="8" t="s">
        <v>3</v>
      </c>
      <c r="D371" s="8"/>
      <c r="E371" s="7"/>
      <c r="F371" s="18">
        <f t="shared" si="22"/>
        <v>0</v>
      </c>
      <c r="G371" s="8"/>
      <c r="H371" s="7"/>
      <c r="I371" s="7"/>
      <c r="J371" s="8"/>
      <c r="K371" s="7"/>
      <c r="L371" s="7"/>
      <c r="M371" s="8"/>
      <c r="N371" s="7"/>
      <c r="O371" s="7"/>
      <c r="P371" s="8"/>
      <c r="Q371" s="7"/>
      <c r="R371" s="7"/>
      <c r="S371" s="8"/>
      <c r="T371" s="7"/>
      <c r="U371" s="7"/>
      <c r="V371" s="8"/>
      <c r="W371" s="7"/>
      <c r="X371" s="7"/>
      <c r="Y371" s="8"/>
      <c r="Z371" s="7"/>
      <c r="AA371" s="7"/>
      <c r="AB371" s="8"/>
      <c r="AC371" s="7"/>
      <c r="AD371" s="7"/>
      <c r="AE371" s="8"/>
      <c r="AF371" s="7"/>
      <c r="AG371" s="7"/>
      <c r="AH371" s="8"/>
      <c r="AI371" s="7"/>
      <c r="AJ371" s="7"/>
      <c r="AK371" s="8"/>
      <c r="AL371" s="7"/>
      <c r="AM371" s="7"/>
      <c r="AN371" s="8"/>
      <c r="AO371" s="7"/>
      <c r="AP371" s="7"/>
      <c r="AQ371" s="8"/>
      <c r="AR371" s="7"/>
      <c r="AS371" s="7"/>
      <c r="AT371" s="8"/>
      <c r="AU371" s="7"/>
      <c r="AV371" s="7"/>
      <c r="AW371" s="8"/>
      <c r="AX371" s="7"/>
      <c r="AY371" s="18">
        <v>0</v>
      </c>
      <c r="AZ371" s="8"/>
      <c r="BA371" s="7"/>
      <c r="BB371" s="7"/>
      <c r="BC371" s="8"/>
      <c r="BD371" s="7"/>
      <c r="BE371" s="7"/>
      <c r="BF371" s="8"/>
      <c r="BG371" s="7"/>
      <c r="BH371" s="6"/>
    </row>
    <row r="372" spans="3:60" ht="20.25" x14ac:dyDescent="0.3">
      <c r="C372" s="25" t="s">
        <v>23</v>
      </c>
      <c r="D372" s="25"/>
      <c r="E372" s="24"/>
      <c r="F372" s="22">
        <f t="shared" si="22"/>
        <v>1056.5999999999999</v>
      </c>
      <c r="G372" s="25"/>
      <c r="H372" s="24"/>
      <c r="I372" s="24"/>
      <c r="J372" s="25"/>
      <c r="K372" s="24"/>
      <c r="L372" s="24"/>
      <c r="M372" s="25"/>
      <c r="N372" s="24"/>
      <c r="O372" s="24"/>
      <c r="P372" s="25"/>
      <c r="Q372" s="24"/>
      <c r="R372" s="24"/>
      <c r="S372" s="25"/>
      <c r="T372" s="24"/>
      <c r="U372" s="24"/>
      <c r="V372" s="25"/>
      <c r="W372" s="24"/>
      <c r="X372" s="24"/>
      <c r="Y372" s="25"/>
      <c r="Z372" s="24"/>
      <c r="AA372" s="24"/>
      <c r="AB372" s="25"/>
      <c r="AC372" s="24"/>
      <c r="AD372" s="24"/>
      <c r="AE372" s="25"/>
      <c r="AF372" s="24"/>
      <c r="AG372" s="24"/>
      <c r="AH372" s="25"/>
      <c r="AI372" s="24"/>
      <c r="AJ372" s="24"/>
      <c r="AK372" s="25"/>
      <c r="AL372" s="24"/>
      <c r="AM372" s="24"/>
      <c r="AN372" s="25"/>
      <c r="AO372" s="24"/>
      <c r="AP372" s="24"/>
      <c r="AQ372" s="25"/>
      <c r="AR372" s="24"/>
      <c r="AS372" s="24"/>
      <c r="AT372" s="25"/>
      <c r="AU372" s="24"/>
      <c r="AV372" s="24"/>
      <c r="AW372" s="25"/>
      <c r="AX372" s="24"/>
      <c r="AY372" s="22">
        <v>1056.5999999999999</v>
      </c>
      <c r="AZ372" s="25"/>
      <c r="BA372" s="24"/>
      <c r="BB372" s="24"/>
      <c r="BC372" s="25"/>
      <c r="BD372" s="24"/>
      <c r="BE372" s="24"/>
      <c r="BF372" s="25"/>
      <c r="BG372" s="24"/>
      <c r="BH372" s="23"/>
    </row>
    <row r="373" spans="3:60" ht="20.25" x14ac:dyDescent="0.3">
      <c r="C373" s="17" t="s">
        <v>22</v>
      </c>
      <c r="D373" s="17"/>
      <c r="E373" s="16"/>
      <c r="F373" s="18">
        <f t="shared" si="22"/>
        <v>2328.6999999999998</v>
      </c>
      <c r="G373" s="17"/>
      <c r="H373" s="16"/>
      <c r="I373" s="16"/>
      <c r="J373" s="17"/>
      <c r="K373" s="16"/>
      <c r="L373" s="16"/>
      <c r="M373" s="17"/>
      <c r="N373" s="16"/>
      <c r="O373" s="16"/>
      <c r="P373" s="17"/>
      <c r="Q373" s="16"/>
      <c r="R373" s="16"/>
      <c r="S373" s="17"/>
      <c r="T373" s="16"/>
      <c r="U373" s="16"/>
      <c r="V373" s="17"/>
      <c r="W373" s="16"/>
      <c r="X373" s="16"/>
      <c r="Y373" s="17"/>
      <c r="Z373" s="16"/>
      <c r="AA373" s="16"/>
      <c r="AB373" s="17"/>
      <c r="AC373" s="16"/>
      <c r="AD373" s="16"/>
      <c r="AE373" s="17"/>
      <c r="AF373" s="16"/>
      <c r="AG373" s="16"/>
      <c r="AH373" s="17"/>
      <c r="AI373" s="16"/>
      <c r="AJ373" s="16"/>
      <c r="AK373" s="17"/>
      <c r="AL373" s="16"/>
      <c r="AM373" s="16"/>
      <c r="AN373" s="17"/>
      <c r="AO373" s="16"/>
      <c r="AP373" s="16"/>
      <c r="AQ373" s="17"/>
      <c r="AR373" s="16"/>
      <c r="AS373" s="16"/>
      <c r="AT373" s="17"/>
      <c r="AU373" s="16"/>
      <c r="AV373" s="16"/>
      <c r="AW373" s="17"/>
      <c r="AX373" s="16"/>
      <c r="AY373" s="18">
        <v>2328.6999999999998</v>
      </c>
      <c r="AZ373" s="17"/>
      <c r="BA373" s="16"/>
      <c r="BB373" s="16"/>
      <c r="BC373" s="17"/>
      <c r="BD373" s="16"/>
      <c r="BE373" s="16"/>
      <c r="BF373" s="17"/>
      <c r="BG373" s="16"/>
      <c r="BH373" s="15"/>
    </row>
    <row r="374" spans="3:60" ht="20.25" x14ac:dyDescent="0.3">
      <c r="C374" s="17" t="s">
        <v>21</v>
      </c>
      <c r="D374" s="17"/>
      <c r="E374" s="16"/>
      <c r="F374" s="18">
        <f t="shared" si="22"/>
        <v>737.79</v>
      </c>
      <c r="G374" s="17"/>
      <c r="H374" s="16"/>
      <c r="I374" s="16"/>
      <c r="J374" s="17"/>
      <c r="K374" s="16"/>
      <c r="L374" s="16"/>
      <c r="M374" s="17"/>
      <c r="N374" s="16"/>
      <c r="O374" s="16"/>
      <c r="P374" s="17"/>
      <c r="Q374" s="16"/>
      <c r="R374" s="16"/>
      <c r="S374" s="17"/>
      <c r="T374" s="16"/>
      <c r="U374" s="16"/>
      <c r="V374" s="17"/>
      <c r="W374" s="16"/>
      <c r="X374" s="16"/>
      <c r="Y374" s="17"/>
      <c r="Z374" s="16"/>
      <c r="AA374" s="16"/>
      <c r="AB374" s="17"/>
      <c r="AC374" s="16"/>
      <c r="AD374" s="16"/>
      <c r="AE374" s="17"/>
      <c r="AF374" s="16"/>
      <c r="AG374" s="16"/>
      <c r="AH374" s="17"/>
      <c r="AI374" s="16"/>
      <c r="AJ374" s="16"/>
      <c r="AK374" s="17"/>
      <c r="AL374" s="16"/>
      <c r="AM374" s="16"/>
      <c r="AN374" s="17"/>
      <c r="AO374" s="16"/>
      <c r="AP374" s="16"/>
      <c r="AQ374" s="17"/>
      <c r="AR374" s="16"/>
      <c r="AS374" s="16"/>
      <c r="AT374" s="17"/>
      <c r="AU374" s="16"/>
      <c r="AV374" s="16"/>
      <c r="AW374" s="17"/>
      <c r="AX374" s="16"/>
      <c r="AY374" s="18">
        <v>737.79</v>
      </c>
      <c r="AZ374" s="17"/>
      <c r="BA374" s="16"/>
      <c r="BB374" s="16"/>
      <c r="BC374" s="17"/>
      <c r="BD374" s="16"/>
      <c r="BE374" s="16"/>
      <c r="BF374" s="17"/>
      <c r="BG374" s="16"/>
      <c r="BH374" s="15"/>
    </row>
    <row r="375" spans="3:60" ht="20.25" x14ac:dyDescent="0.3">
      <c r="C375" s="17" t="s">
        <v>20</v>
      </c>
      <c r="D375" s="17"/>
      <c r="E375" s="16"/>
      <c r="F375" s="18">
        <f t="shared" si="22"/>
        <v>164.8</v>
      </c>
      <c r="G375" s="17"/>
      <c r="H375" s="16"/>
      <c r="I375" s="16"/>
      <c r="J375" s="17"/>
      <c r="K375" s="16"/>
      <c r="L375" s="16"/>
      <c r="M375" s="17"/>
      <c r="N375" s="16"/>
      <c r="O375" s="16"/>
      <c r="P375" s="17"/>
      <c r="Q375" s="16"/>
      <c r="R375" s="16"/>
      <c r="S375" s="17"/>
      <c r="T375" s="16"/>
      <c r="U375" s="16"/>
      <c r="V375" s="17"/>
      <c r="W375" s="16"/>
      <c r="X375" s="16"/>
      <c r="Y375" s="17"/>
      <c r="Z375" s="16"/>
      <c r="AA375" s="16"/>
      <c r="AB375" s="17"/>
      <c r="AC375" s="16"/>
      <c r="AD375" s="16"/>
      <c r="AE375" s="17"/>
      <c r="AF375" s="16"/>
      <c r="AG375" s="16"/>
      <c r="AH375" s="17"/>
      <c r="AI375" s="16"/>
      <c r="AJ375" s="16"/>
      <c r="AK375" s="17"/>
      <c r="AL375" s="16"/>
      <c r="AM375" s="16"/>
      <c r="AN375" s="17"/>
      <c r="AO375" s="16"/>
      <c r="AP375" s="16"/>
      <c r="AQ375" s="17"/>
      <c r="AR375" s="16"/>
      <c r="AS375" s="16"/>
      <c r="AT375" s="17"/>
      <c r="AU375" s="16"/>
      <c r="AV375" s="16"/>
      <c r="AW375" s="17"/>
      <c r="AX375" s="16"/>
      <c r="AY375" s="18">
        <v>164.8</v>
      </c>
      <c r="AZ375" s="17"/>
      <c r="BA375" s="16"/>
      <c r="BB375" s="16"/>
      <c r="BC375" s="17"/>
      <c r="BD375" s="16"/>
      <c r="BE375" s="16"/>
      <c r="BF375" s="17"/>
      <c r="BG375" s="16"/>
      <c r="BH375" s="15"/>
    </row>
    <row r="376" spans="3:60" ht="20.25" hidden="1" x14ac:dyDescent="0.3">
      <c r="C376" s="8" t="s">
        <v>3</v>
      </c>
      <c r="D376" s="8"/>
      <c r="E376" s="7"/>
      <c r="F376" s="18">
        <f t="shared" si="22"/>
        <v>0</v>
      </c>
      <c r="G376" s="8"/>
      <c r="H376" s="7"/>
      <c r="I376" s="7"/>
      <c r="J376" s="8"/>
      <c r="K376" s="7"/>
      <c r="L376" s="7"/>
      <c r="M376" s="8"/>
      <c r="N376" s="7"/>
      <c r="O376" s="7"/>
      <c r="P376" s="8"/>
      <c r="Q376" s="7"/>
      <c r="R376" s="7"/>
      <c r="S376" s="8"/>
      <c r="T376" s="7"/>
      <c r="U376" s="7"/>
      <c r="V376" s="8"/>
      <c r="W376" s="7"/>
      <c r="X376" s="7"/>
      <c r="Y376" s="8"/>
      <c r="Z376" s="7"/>
      <c r="AA376" s="7"/>
      <c r="AB376" s="8"/>
      <c r="AC376" s="7"/>
      <c r="AD376" s="7"/>
      <c r="AE376" s="8"/>
      <c r="AF376" s="7"/>
      <c r="AG376" s="7"/>
      <c r="AH376" s="8"/>
      <c r="AI376" s="7"/>
      <c r="AJ376" s="7"/>
      <c r="AK376" s="8"/>
      <c r="AL376" s="7"/>
      <c r="AM376" s="7"/>
      <c r="AN376" s="8"/>
      <c r="AO376" s="7"/>
      <c r="AP376" s="7"/>
      <c r="AQ376" s="8"/>
      <c r="AR376" s="7"/>
      <c r="AS376" s="7"/>
      <c r="AT376" s="8"/>
      <c r="AU376" s="7"/>
      <c r="AV376" s="7"/>
      <c r="AW376" s="8"/>
      <c r="AX376" s="7"/>
      <c r="AY376" s="18">
        <v>0</v>
      </c>
      <c r="AZ376" s="8"/>
      <c r="BA376" s="7"/>
      <c r="BB376" s="7"/>
      <c r="BC376" s="8"/>
      <c r="BD376" s="7"/>
      <c r="BE376" s="7"/>
      <c r="BF376" s="8"/>
      <c r="BG376" s="7"/>
      <c r="BH376" s="6"/>
    </row>
    <row r="377" spans="3:60" ht="20.25" x14ac:dyDescent="0.3">
      <c r="C377" s="11" t="s">
        <v>19</v>
      </c>
      <c r="D377" s="11"/>
      <c r="E377" s="10"/>
      <c r="F377" s="12">
        <f>SUM(F365:F376)</f>
        <v>16703.2</v>
      </c>
      <c r="G377" s="11"/>
      <c r="H377" s="10"/>
      <c r="I377" s="10"/>
      <c r="J377" s="11"/>
      <c r="K377" s="10"/>
      <c r="L377" s="10"/>
      <c r="M377" s="11"/>
      <c r="N377" s="10"/>
      <c r="O377" s="10"/>
      <c r="P377" s="11"/>
      <c r="Q377" s="10"/>
      <c r="R377" s="10"/>
      <c r="S377" s="11"/>
      <c r="T377" s="10"/>
      <c r="U377" s="10"/>
      <c r="V377" s="11"/>
      <c r="W377" s="10"/>
      <c r="X377" s="10"/>
      <c r="Y377" s="11"/>
      <c r="Z377" s="10"/>
      <c r="AA377" s="10"/>
      <c r="AB377" s="11"/>
      <c r="AC377" s="10"/>
      <c r="AD377" s="10"/>
      <c r="AE377" s="11"/>
      <c r="AF377" s="10"/>
      <c r="AG377" s="10"/>
      <c r="AH377" s="11"/>
      <c r="AI377" s="10"/>
      <c r="AJ377" s="10"/>
      <c r="AK377" s="11"/>
      <c r="AL377" s="10"/>
      <c r="AM377" s="10"/>
      <c r="AN377" s="11"/>
      <c r="AO377" s="10"/>
      <c r="AP377" s="10"/>
      <c r="AQ377" s="11"/>
      <c r="AR377" s="10"/>
      <c r="AS377" s="10"/>
      <c r="AT377" s="11"/>
      <c r="AU377" s="10"/>
      <c r="AV377" s="10"/>
      <c r="AW377" s="26" t="s">
        <v>18</v>
      </c>
      <c r="AX377" s="14">
        <v>1.5219455302553999</v>
      </c>
      <c r="AY377" s="12">
        <v>16703.2</v>
      </c>
      <c r="AZ377" s="11"/>
      <c r="BA377" s="10"/>
      <c r="BB377" s="10"/>
      <c r="BC377" s="11"/>
      <c r="BD377" s="10"/>
      <c r="BE377" s="10"/>
      <c r="BF377" s="11"/>
      <c r="BG377" s="10"/>
      <c r="BH377" s="9"/>
    </row>
    <row r="378" spans="3:60" ht="20.25" x14ac:dyDescent="0.3">
      <c r="C378" s="21" t="s">
        <v>17</v>
      </c>
      <c r="D378" s="21"/>
      <c r="E378" s="20"/>
      <c r="F378" s="18">
        <f t="shared" ref="F378:F394" si="23">+SUM(I378,L378,O378,R378,U378,X378,AA378,AD378,AG378,AJ378,AM378,AP378,AS378,AV378,AY378,BB378,BE378,BH378)</f>
        <v>588.94000000000005</v>
      </c>
      <c r="G378" s="21"/>
      <c r="H378" s="20"/>
      <c r="I378" s="20"/>
      <c r="J378" s="21"/>
      <c r="K378" s="20"/>
      <c r="L378" s="20"/>
      <c r="M378" s="21"/>
      <c r="N378" s="20"/>
      <c r="O378" s="20"/>
      <c r="P378" s="21"/>
      <c r="Q378" s="20"/>
      <c r="R378" s="20"/>
      <c r="S378" s="21"/>
      <c r="T378" s="20"/>
      <c r="U378" s="20"/>
      <c r="V378" s="21"/>
      <c r="W378" s="20"/>
      <c r="X378" s="20"/>
      <c r="Y378" s="21"/>
      <c r="Z378" s="20"/>
      <c r="AA378" s="20"/>
      <c r="AB378" s="21"/>
      <c r="AC378" s="20"/>
      <c r="AD378" s="20"/>
      <c r="AE378" s="21"/>
      <c r="AF378" s="20"/>
      <c r="AG378" s="20"/>
      <c r="AH378" s="21"/>
      <c r="AI378" s="20"/>
      <c r="AJ378" s="20"/>
      <c r="AK378" s="21"/>
      <c r="AL378" s="20"/>
      <c r="AM378" s="20"/>
      <c r="AN378" s="21"/>
      <c r="AO378" s="20"/>
      <c r="AP378" s="20"/>
      <c r="AQ378" s="21"/>
      <c r="AR378" s="20"/>
      <c r="AS378" s="20"/>
      <c r="AT378" s="21"/>
      <c r="AU378" s="20"/>
      <c r="AV378" s="20"/>
      <c r="AW378" s="21"/>
      <c r="AX378" s="20"/>
      <c r="AY378" s="18">
        <v>588.94000000000005</v>
      </c>
      <c r="AZ378" s="21"/>
      <c r="BA378" s="20"/>
      <c r="BB378" s="20"/>
      <c r="BC378" s="21"/>
      <c r="BD378" s="20"/>
      <c r="BE378" s="20"/>
      <c r="BF378" s="21"/>
      <c r="BG378" s="20"/>
      <c r="BH378" s="19"/>
    </row>
    <row r="379" spans="3:60" ht="20.25" x14ac:dyDescent="0.3">
      <c r="C379" s="17" t="s">
        <v>16</v>
      </c>
      <c r="D379" s="17"/>
      <c r="E379" s="16"/>
      <c r="F379" s="18">
        <f t="shared" si="23"/>
        <v>0</v>
      </c>
      <c r="G379" s="17"/>
      <c r="H379" s="16"/>
      <c r="I379" s="16"/>
      <c r="J379" s="17"/>
      <c r="K379" s="16"/>
      <c r="L379" s="16"/>
      <c r="M379" s="17"/>
      <c r="N379" s="16"/>
      <c r="O379" s="16"/>
      <c r="P379" s="17"/>
      <c r="Q379" s="16"/>
      <c r="R379" s="16"/>
      <c r="S379" s="17"/>
      <c r="T379" s="16"/>
      <c r="U379" s="16"/>
      <c r="V379" s="17"/>
      <c r="W379" s="16"/>
      <c r="X379" s="16"/>
      <c r="Y379" s="17"/>
      <c r="Z379" s="16"/>
      <c r="AA379" s="16"/>
      <c r="AB379" s="17"/>
      <c r="AC379" s="16"/>
      <c r="AD379" s="16"/>
      <c r="AE379" s="17"/>
      <c r="AF379" s="16"/>
      <c r="AG379" s="16"/>
      <c r="AH379" s="17"/>
      <c r="AI379" s="16"/>
      <c r="AJ379" s="16"/>
      <c r="AK379" s="17"/>
      <c r="AL379" s="16"/>
      <c r="AM379" s="16"/>
      <c r="AN379" s="17"/>
      <c r="AO379" s="16"/>
      <c r="AP379" s="16"/>
      <c r="AQ379" s="17"/>
      <c r="AR379" s="16"/>
      <c r="AS379" s="16"/>
      <c r="AT379" s="17"/>
      <c r="AU379" s="16"/>
      <c r="AV379" s="16"/>
      <c r="AW379" s="17"/>
      <c r="AX379" s="16"/>
      <c r="AY379" s="18">
        <v>0</v>
      </c>
      <c r="AZ379" s="17"/>
      <c r="BA379" s="16"/>
      <c r="BB379" s="16"/>
      <c r="BC379" s="17"/>
      <c r="BD379" s="16"/>
      <c r="BE379" s="16"/>
      <c r="BF379" s="17"/>
      <c r="BG379" s="16"/>
      <c r="BH379" s="15"/>
    </row>
    <row r="380" spans="3:60" ht="20.25" x14ac:dyDescent="0.3">
      <c r="C380" s="25" t="s">
        <v>15</v>
      </c>
      <c r="D380" s="25"/>
      <c r="E380" s="24"/>
      <c r="F380" s="22">
        <f t="shared" si="23"/>
        <v>125.72</v>
      </c>
      <c r="G380" s="25"/>
      <c r="H380" s="24"/>
      <c r="I380" s="24"/>
      <c r="J380" s="25"/>
      <c r="K380" s="24"/>
      <c r="L380" s="24"/>
      <c r="M380" s="25"/>
      <c r="N380" s="24"/>
      <c r="O380" s="24"/>
      <c r="P380" s="25"/>
      <c r="Q380" s="24"/>
      <c r="R380" s="24"/>
      <c r="S380" s="25"/>
      <c r="T380" s="24"/>
      <c r="U380" s="24"/>
      <c r="V380" s="25"/>
      <c r="W380" s="24"/>
      <c r="X380" s="24"/>
      <c r="Y380" s="25"/>
      <c r="Z380" s="24"/>
      <c r="AA380" s="24"/>
      <c r="AB380" s="25"/>
      <c r="AC380" s="24"/>
      <c r="AD380" s="24"/>
      <c r="AE380" s="25"/>
      <c r="AF380" s="24"/>
      <c r="AG380" s="24"/>
      <c r="AH380" s="25"/>
      <c r="AI380" s="24"/>
      <c r="AJ380" s="24"/>
      <c r="AK380" s="25"/>
      <c r="AL380" s="24"/>
      <c r="AM380" s="24"/>
      <c r="AN380" s="25"/>
      <c r="AO380" s="24"/>
      <c r="AP380" s="24"/>
      <c r="AQ380" s="25"/>
      <c r="AR380" s="24"/>
      <c r="AS380" s="24"/>
      <c r="AT380" s="25"/>
      <c r="AU380" s="24"/>
      <c r="AV380" s="24"/>
      <c r="AW380" s="25"/>
      <c r="AX380" s="24"/>
      <c r="AY380" s="22">
        <v>125.72</v>
      </c>
      <c r="AZ380" s="25"/>
      <c r="BA380" s="24"/>
      <c r="BB380" s="24"/>
      <c r="BC380" s="25"/>
      <c r="BD380" s="24"/>
      <c r="BE380" s="24"/>
      <c r="BF380" s="25"/>
      <c r="BG380" s="24"/>
      <c r="BH380" s="23"/>
    </row>
    <row r="381" spans="3:60" ht="20.25" x14ac:dyDescent="0.3">
      <c r="C381" s="17" t="s">
        <v>14</v>
      </c>
      <c r="D381" s="17"/>
      <c r="E381" s="16"/>
      <c r="F381" s="18">
        <f t="shared" si="23"/>
        <v>977.54</v>
      </c>
      <c r="G381" s="17"/>
      <c r="H381" s="16"/>
      <c r="I381" s="16"/>
      <c r="J381" s="17"/>
      <c r="K381" s="16"/>
      <c r="L381" s="16"/>
      <c r="M381" s="17"/>
      <c r="N381" s="16"/>
      <c r="O381" s="16"/>
      <c r="P381" s="17"/>
      <c r="Q381" s="16"/>
      <c r="R381" s="16"/>
      <c r="S381" s="17"/>
      <c r="T381" s="16"/>
      <c r="U381" s="16"/>
      <c r="V381" s="17"/>
      <c r="W381" s="16"/>
      <c r="X381" s="16"/>
      <c r="Y381" s="17"/>
      <c r="Z381" s="16"/>
      <c r="AA381" s="16"/>
      <c r="AB381" s="17"/>
      <c r="AC381" s="16"/>
      <c r="AD381" s="16"/>
      <c r="AE381" s="17"/>
      <c r="AF381" s="16"/>
      <c r="AG381" s="16"/>
      <c r="AH381" s="17"/>
      <c r="AI381" s="16"/>
      <c r="AJ381" s="16"/>
      <c r="AK381" s="17"/>
      <c r="AL381" s="16"/>
      <c r="AM381" s="16"/>
      <c r="AN381" s="17"/>
      <c r="AO381" s="16"/>
      <c r="AP381" s="16"/>
      <c r="AQ381" s="17"/>
      <c r="AR381" s="16"/>
      <c r="AS381" s="16"/>
      <c r="AT381" s="17"/>
      <c r="AU381" s="16"/>
      <c r="AV381" s="16"/>
      <c r="AW381" s="17"/>
      <c r="AX381" s="16"/>
      <c r="AY381" s="18">
        <v>977.54</v>
      </c>
      <c r="AZ381" s="17"/>
      <c r="BA381" s="16"/>
      <c r="BB381" s="16"/>
      <c r="BC381" s="17"/>
      <c r="BD381" s="16"/>
      <c r="BE381" s="16"/>
      <c r="BF381" s="17"/>
      <c r="BG381" s="16"/>
      <c r="BH381" s="15"/>
    </row>
    <row r="382" spans="3:60" ht="20.25" x14ac:dyDescent="0.3">
      <c r="C382" s="17" t="s">
        <v>13</v>
      </c>
      <c r="D382" s="17"/>
      <c r="E382" s="16"/>
      <c r="F382" s="18">
        <f t="shared" si="23"/>
        <v>232.37</v>
      </c>
      <c r="G382" s="17"/>
      <c r="H382" s="16"/>
      <c r="I382" s="16"/>
      <c r="J382" s="17"/>
      <c r="K382" s="16"/>
      <c r="L382" s="16"/>
      <c r="M382" s="17"/>
      <c r="N382" s="16"/>
      <c r="O382" s="16"/>
      <c r="P382" s="17"/>
      <c r="Q382" s="16"/>
      <c r="R382" s="16"/>
      <c r="S382" s="17"/>
      <c r="T382" s="16"/>
      <c r="U382" s="16"/>
      <c r="V382" s="17"/>
      <c r="W382" s="16"/>
      <c r="X382" s="16"/>
      <c r="Y382" s="17"/>
      <c r="Z382" s="16"/>
      <c r="AA382" s="16"/>
      <c r="AB382" s="17"/>
      <c r="AC382" s="16"/>
      <c r="AD382" s="16"/>
      <c r="AE382" s="17"/>
      <c r="AF382" s="16"/>
      <c r="AG382" s="16"/>
      <c r="AH382" s="17"/>
      <c r="AI382" s="16"/>
      <c r="AJ382" s="16"/>
      <c r="AK382" s="17"/>
      <c r="AL382" s="16"/>
      <c r="AM382" s="16"/>
      <c r="AN382" s="17"/>
      <c r="AO382" s="16"/>
      <c r="AP382" s="16"/>
      <c r="AQ382" s="17"/>
      <c r="AR382" s="16"/>
      <c r="AS382" s="16"/>
      <c r="AT382" s="17"/>
      <c r="AU382" s="16"/>
      <c r="AV382" s="16"/>
      <c r="AW382" s="17"/>
      <c r="AX382" s="16"/>
      <c r="AY382" s="18">
        <v>232.37</v>
      </c>
      <c r="AZ382" s="17"/>
      <c r="BA382" s="16"/>
      <c r="BB382" s="16"/>
      <c r="BC382" s="17"/>
      <c r="BD382" s="16"/>
      <c r="BE382" s="16"/>
      <c r="BF382" s="17"/>
      <c r="BG382" s="16"/>
      <c r="BH382" s="15"/>
    </row>
    <row r="383" spans="3:60" ht="20.25" x14ac:dyDescent="0.3">
      <c r="C383" s="17" t="s">
        <v>12</v>
      </c>
      <c r="D383" s="17"/>
      <c r="E383" s="16"/>
      <c r="F383" s="22">
        <f t="shared" si="23"/>
        <v>337.44</v>
      </c>
      <c r="G383" s="17"/>
      <c r="H383" s="16"/>
      <c r="I383" s="16"/>
      <c r="J383" s="17"/>
      <c r="K383" s="16"/>
      <c r="L383" s="16"/>
      <c r="M383" s="17"/>
      <c r="N383" s="16"/>
      <c r="O383" s="16"/>
      <c r="P383" s="17"/>
      <c r="Q383" s="16"/>
      <c r="R383" s="16"/>
      <c r="S383" s="17"/>
      <c r="T383" s="16"/>
      <c r="U383" s="16"/>
      <c r="V383" s="17"/>
      <c r="W383" s="16"/>
      <c r="X383" s="16"/>
      <c r="Y383" s="17"/>
      <c r="Z383" s="16"/>
      <c r="AA383" s="16"/>
      <c r="AB383" s="17"/>
      <c r="AC383" s="16"/>
      <c r="AD383" s="16"/>
      <c r="AE383" s="17"/>
      <c r="AF383" s="16"/>
      <c r="AG383" s="16"/>
      <c r="AH383" s="17"/>
      <c r="AI383" s="16"/>
      <c r="AJ383" s="16"/>
      <c r="AK383" s="17"/>
      <c r="AL383" s="16"/>
      <c r="AM383" s="16"/>
      <c r="AN383" s="17"/>
      <c r="AO383" s="16"/>
      <c r="AP383" s="16"/>
      <c r="AQ383" s="17"/>
      <c r="AR383" s="16"/>
      <c r="AS383" s="16"/>
      <c r="AT383" s="17"/>
      <c r="AU383" s="16"/>
      <c r="AV383" s="16"/>
      <c r="AW383" s="17"/>
      <c r="AX383" s="16"/>
      <c r="AY383" s="22">
        <v>337.44</v>
      </c>
      <c r="AZ383" s="17"/>
      <c r="BA383" s="16"/>
      <c r="BB383" s="16"/>
      <c r="BC383" s="17"/>
      <c r="BD383" s="16"/>
      <c r="BE383" s="16"/>
      <c r="BF383" s="17"/>
      <c r="BG383" s="16"/>
      <c r="BH383" s="15"/>
    </row>
    <row r="384" spans="3:60" ht="20.25" x14ac:dyDescent="0.3">
      <c r="C384" s="21" t="s">
        <v>11</v>
      </c>
      <c r="D384" s="21"/>
      <c r="E384" s="20"/>
      <c r="F384" s="18">
        <f t="shared" si="23"/>
        <v>0</v>
      </c>
      <c r="G384" s="21"/>
      <c r="H384" s="20"/>
      <c r="I384" s="20"/>
      <c r="J384" s="21"/>
      <c r="K384" s="20"/>
      <c r="L384" s="20"/>
      <c r="M384" s="21"/>
      <c r="N384" s="20"/>
      <c r="O384" s="20"/>
      <c r="P384" s="21"/>
      <c r="Q384" s="20"/>
      <c r="R384" s="20"/>
      <c r="S384" s="21"/>
      <c r="T384" s="20"/>
      <c r="U384" s="20"/>
      <c r="V384" s="21"/>
      <c r="W384" s="20"/>
      <c r="X384" s="20"/>
      <c r="Y384" s="21"/>
      <c r="Z384" s="20"/>
      <c r="AA384" s="20"/>
      <c r="AB384" s="21"/>
      <c r="AC384" s="20"/>
      <c r="AD384" s="20"/>
      <c r="AE384" s="21"/>
      <c r="AF384" s="20"/>
      <c r="AG384" s="20"/>
      <c r="AH384" s="21"/>
      <c r="AI384" s="20"/>
      <c r="AJ384" s="20"/>
      <c r="AK384" s="21"/>
      <c r="AL384" s="20"/>
      <c r="AM384" s="20"/>
      <c r="AN384" s="21"/>
      <c r="AO384" s="20"/>
      <c r="AP384" s="20"/>
      <c r="AQ384" s="21"/>
      <c r="AR384" s="20"/>
      <c r="AS384" s="20"/>
      <c r="AT384" s="21"/>
      <c r="AU384" s="20"/>
      <c r="AV384" s="20"/>
      <c r="AW384" s="21"/>
      <c r="AX384" s="20"/>
      <c r="AY384" s="18">
        <v>0</v>
      </c>
      <c r="AZ384" s="21"/>
      <c r="BA384" s="20"/>
      <c r="BB384" s="20"/>
      <c r="BC384" s="21"/>
      <c r="BD384" s="20"/>
      <c r="BE384" s="20"/>
      <c r="BF384" s="21"/>
      <c r="BG384" s="20"/>
      <c r="BH384" s="19"/>
    </row>
    <row r="385" spans="3:60" ht="20.25" x14ac:dyDescent="0.3">
      <c r="C385" s="17" t="s">
        <v>10</v>
      </c>
      <c r="D385" s="17"/>
      <c r="E385" s="16"/>
      <c r="F385" s="18">
        <f t="shared" si="23"/>
        <v>0</v>
      </c>
      <c r="G385" s="17"/>
      <c r="H385" s="16"/>
      <c r="I385" s="16"/>
      <c r="J385" s="17"/>
      <c r="K385" s="16"/>
      <c r="L385" s="16"/>
      <c r="M385" s="17"/>
      <c r="N385" s="16"/>
      <c r="O385" s="16"/>
      <c r="P385" s="17"/>
      <c r="Q385" s="16"/>
      <c r="R385" s="16"/>
      <c r="S385" s="17"/>
      <c r="T385" s="16"/>
      <c r="U385" s="16"/>
      <c r="V385" s="17"/>
      <c r="W385" s="16"/>
      <c r="X385" s="16"/>
      <c r="Y385" s="17"/>
      <c r="Z385" s="16"/>
      <c r="AA385" s="16"/>
      <c r="AB385" s="17"/>
      <c r="AC385" s="16"/>
      <c r="AD385" s="16"/>
      <c r="AE385" s="17"/>
      <c r="AF385" s="16"/>
      <c r="AG385" s="16"/>
      <c r="AH385" s="17"/>
      <c r="AI385" s="16"/>
      <c r="AJ385" s="16"/>
      <c r="AK385" s="17"/>
      <c r="AL385" s="16"/>
      <c r="AM385" s="16"/>
      <c r="AN385" s="17"/>
      <c r="AO385" s="16"/>
      <c r="AP385" s="16"/>
      <c r="AQ385" s="17"/>
      <c r="AR385" s="16"/>
      <c r="AS385" s="16"/>
      <c r="AT385" s="17"/>
      <c r="AU385" s="16"/>
      <c r="AV385" s="16"/>
      <c r="AW385" s="17"/>
      <c r="AX385" s="16"/>
      <c r="AY385" s="18">
        <v>0</v>
      </c>
      <c r="AZ385" s="17"/>
      <c r="BA385" s="16"/>
      <c r="BB385" s="16"/>
      <c r="BC385" s="17"/>
      <c r="BD385" s="16"/>
      <c r="BE385" s="16"/>
      <c r="BF385" s="17"/>
      <c r="BG385" s="16"/>
      <c r="BH385" s="15"/>
    </row>
    <row r="386" spans="3:60" ht="20.25" x14ac:dyDescent="0.3">
      <c r="C386" s="17" t="s">
        <v>9</v>
      </c>
      <c r="D386" s="17"/>
      <c r="E386" s="16"/>
      <c r="F386" s="18">
        <f t="shared" si="23"/>
        <v>206.45</v>
      </c>
      <c r="G386" s="17"/>
      <c r="H386" s="16"/>
      <c r="I386" s="16"/>
      <c r="J386" s="17"/>
      <c r="K386" s="16"/>
      <c r="L386" s="16"/>
      <c r="M386" s="17"/>
      <c r="N386" s="16"/>
      <c r="O386" s="16"/>
      <c r="P386" s="17"/>
      <c r="Q386" s="16"/>
      <c r="R386" s="16"/>
      <c r="S386" s="17"/>
      <c r="T386" s="16"/>
      <c r="U386" s="16"/>
      <c r="V386" s="17"/>
      <c r="W386" s="16"/>
      <c r="X386" s="16"/>
      <c r="Y386" s="17"/>
      <c r="Z386" s="16"/>
      <c r="AA386" s="16"/>
      <c r="AB386" s="17"/>
      <c r="AC386" s="16"/>
      <c r="AD386" s="16"/>
      <c r="AE386" s="17"/>
      <c r="AF386" s="16"/>
      <c r="AG386" s="16"/>
      <c r="AH386" s="17"/>
      <c r="AI386" s="16"/>
      <c r="AJ386" s="16"/>
      <c r="AK386" s="17"/>
      <c r="AL386" s="16"/>
      <c r="AM386" s="16"/>
      <c r="AN386" s="17"/>
      <c r="AO386" s="16"/>
      <c r="AP386" s="16"/>
      <c r="AQ386" s="17"/>
      <c r="AR386" s="16"/>
      <c r="AS386" s="16"/>
      <c r="AT386" s="17"/>
      <c r="AU386" s="16"/>
      <c r="AV386" s="16"/>
      <c r="AW386" s="17"/>
      <c r="AX386" s="16"/>
      <c r="AY386" s="18">
        <v>206.45</v>
      </c>
      <c r="AZ386" s="17"/>
      <c r="BA386" s="16"/>
      <c r="BB386" s="16"/>
      <c r="BC386" s="17"/>
      <c r="BD386" s="16"/>
      <c r="BE386" s="16"/>
      <c r="BF386" s="17"/>
      <c r="BG386" s="16"/>
      <c r="BH386" s="15"/>
    </row>
    <row r="387" spans="3:60" ht="20.25" x14ac:dyDescent="0.3">
      <c r="C387" s="17" t="s">
        <v>8</v>
      </c>
      <c r="D387" s="17"/>
      <c r="E387" s="16"/>
      <c r="F387" s="18">
        <f t="shared" si="23"/>
        <v>50.81</v>
      </c>
      <c r="G387" s="17"/>
      <c r="H387" s="16"/>
      <c r="I387" s="16"/>
      <c r="J387" s="17"/>
      <c r="K387" s="16"/>
      <c r="L387" s="16"/>
      <c r="M387" s="17"/>
      <c r="N387" s="16"/>
      <c r="O387" s="16"/>
      <c r="P387" s="17"/>
      <c r="Q387" s="16"/>
      <c r="R387" s="16"/>
      <c r="S387" s="17"/>
      <c r="T387" s="16"/>
      <c r="U387" s="16"/>
      <c r="V387" s="17"/>
      <c r="W387" s="16"/>
      <c r="X387" s="16"/>
      <c r="Y387" s="17"/>
      <c r="Z387" s="16"/>
      <c r="AA387" s="16"/>
      <c r="AB387" s="17"/>
      <c r="AC387" s="16"/>
      <c r="AD387" s="16"/>
      <c r="AE387" s="17"/>
      <c r="AF387" s="16"/>
      <c r="AG387" s="16"/>
      <c r="AH387" s="17"/>
      <c r="AI387" s="16"/>
      <c r="AJ387" s="16"/>
      <c r="AK387" s="17"/>
      <c r="AL387" s="16"/>
      <c r="AM387" s="16"/>
      <c r="AN387" s="17"/>
      <c r="AO387" s="16"/>
      <c r="AP387" s="16"/>
      <c r="AQ387" s="17"/>
      <c r="AR387" s="16"/>
      <c r="AS387" s="16"/>
      <c r="AT387" s="17"/>
      <c r="AU387" s="16"/>
      <c r="AV387" s="16"/>
      <c r="AW387" s="17"/>
      <c r="AX387" s="16"/>
      <c r="AY387" s="18">
        <v>50.81</v>
      </c>
      <c r="AZ387" s="17"/>
      <c r="BA387" s="16"/>
      <c r="BB387" s="16"/>
      <c r="BC387" s="17"/>
      <c r="BD387" s="16"/>
      <c r="BE387" s="16"/>
      <c r="BF387" s="17"/>
      <c r="BG387" s="16"/>
      <c r="BH387" s="15"/>
    </row>
    <row r="388" spans="3:60" ht="20.25" x14ac:dyDescent="0.3">
      <c r="C388" s="17" t="s">
        <v>7</v>
      </c>
      <c r="D388" s="17"/>
      <c r="E388" s="16"/>
      <c r="F388" s="18">
        <f t="shared" si="23"/>
        <v>0</v>
      </c>
      <c r="G388" s="17"/>
      <c r="H388" s="16"/>
      <c r="I388" s="16"/>
      <c r="J388" s="17"/>
      <c r="K388" s="16"/>
      <c r="L388" s="16"/>
      <c r="M388" s="17"/>
      <c r="N388" s="16"/>
      <c r="O388" s="16"/>
      <c r="P388" s="17"/>
      <c r="Q388" s="16"/>
      <c r="R388" s="16"/>
      <c r="S388" s="17"/>
      <c r="T388" s="16"/>
      <c r="U388" s="16"/>
      <c r="V388" s="17"/>
      <c r="W388" s="16"/>
      <c r="X388" s="16"/>
      <c r="Y388" s="17"/>
      <c r="Z388" s="16"/>
      <c r="AA388" s="16"/>
      <c r="AB388" s="17"/>
      <c r="AC388" s="16"/>
      <c r="AD388" s="16"/>
      <c r="AE388" s="17"/>
      <c r="AF388" s="16"/>
      <c r="AG388" s="16"/>
      <c r="AH388" s="17"/>
      <c r="AI388" s="16"/>
      <c r="AJ388" s="16"/>
      <c r="AK388" s="17"/>
      <c r="AL388" s="16"/>
      <c r="AM388" s="16"/>
      <c r="AN388" s="17"/>
      <c r="AO388" s="16"/>
      <c r="AP388" s="16"/>
      <c r="AQ388" s="17"/>
      <c r="AR388" s="16"/>
      <c r="AS388" s="16"/>
      <c r="AT388" s="17"/>
      <c r="AU388" s="16"/>
      <c r="AV388" s="16"/>
      <c r="AW388" s="17"/>
      <c r="AX388" s="16"/>
      <c r="AY388" s="18">
        <v>0</v>
      </c>
      <c r="AZ388" s="17"/>
      <c r="BA388" s="16"/>
      <c r="BB388" s="16"/>
      <c r="BC388" s="17"/>
      <c r="BD388" s="16"/>
      <c r="BE388" s="16"/>
      <c r="BF388" s="17"/>
      <c r="BG388" s="16"/>
      <c r="BH388" s="15"/>
    </row>
    <row r="389" spans="3:60" ht="20.25" x14ac:dyDescent="0.3">
      <c r="C389" s="17" t="s">
        <v>6</v>
      </c>
      <c r="D389" s="17"/>
      <c r="E389" s="16"/>
      <c r="F389" s="18">
        <f t="shared" si="23"/>
        <v>29.78</v>
      </c>
      <c r="G389" s="17"/>
      <c r="H389" s="16"/>
      <c r="I389" s="16"/>
      <c r="J389" s="17"/>
      <c r="K389" s="16"/>
      <c r="L389" s="16"/>
      <c r="M389" s="17"/>
      <c r="N389" s="16"/>
      <c r="O389" s="16"/>
      <c r="P389" s="17"/>
      <c r="Q389" s="16"/>
      <c r="R389" s="16"/>
      <c r="S389" s="17"/>
      <c r="T389" s="16"/>
      <c r="U389" s="16"/>
      <c r="V389" s="17"/>
      <c r="W389" s="16"/>
      <c r="X389" s="16"/>
      <c r="Y389" s="17"/>
      <c r="Z389" s="16"/>
      <c r="AA389" s="16"/>
      <c r="AB389" s="17"/>
      <c r="AC389" s="16"/>
      <c r="AD389" s="16"/>
      <c r="AE389" s="17"/>
      <c r="AF389" s="16"/>
      <c r="AG389" s="16"/>
      <c r="AH389" s="17"/>
      <c r="AI389" s="16"/>
      <c r="AJ389" s="16"/>
      <c r="AK389" s="17"/>
      <c r="AL389" s="16"/>
      <c r="AM389" s="16"/>
      <c r="AN389" s="17"/>
      <c r="AO389" s="16"/>
      <c r="AP389" s="16"/>
      <c r="AQ389" s="17"/>
      <c r="AR389" s="16"/>
      <c r="AS389" s="16"/>
      <c r="AT389" s="17"/>
      <c r="AU389" s="16"/>
      <c r="AV389" s="16"/>
      <c r="AW389" s="17"/>
      <c r="AX389" s="16"/>
      <c r="AY389" s="18">
        <v>29.78</v>
      </c>
      <c r="AZ389" s="17"/>
      <c r="BA389" s="16"/>
      <c r="BB389" s="16"/>
      <c r="BC389" s="17"/>
      <c r="BD389" s="16"/>
      <c r="BE389" s="16"/>
      <c r="BF389" s="17"/>
      <c r="BG389" s="16"/>
      <c r="BH389" s="15"/>
    </row>
    <row r="390" spans="3:60" ht="20.25" x14ac:dyDescent="0.3">
      <c r="C390" s="17" t="s">
        <v>5</v>
      </c>
      <c r="D390" s="17"/>
      <c r="E390" s="16"/>
      <c r="F390" s="18">
        <f t="shared" si="23"/>
        <v>0</v>
      </c>
      <c r="G390" s="17"/>
      <c r="H390" s="16"/>
      <c r="I390" s="16"/>
      <c r="J390" s="17"/>
      <c r="K390" s="16"/>
      <c r="L390" s="16"/>
      <c r="M390" s="17"/>
      <c r="N390" s="16"/>
      <c r="O390" s="16"/>
      <c r="P390" s="17"/>
      <c r="Q390" s="16"/>
      <c r="R390" s="16"/>
      <c r="S390" s="17"/>
      <c r="T390" s="16"/>
      <c r="U390" s="16"/>
      <c r="V390" s="17"/>
      <c r="W390" s="16"/>
      <c r="X390" s="16"/>
      <c r="Y390" s="17"/>
      <c r="Z390" s="16"/>
      <c r="AA390" s="16"/>
      <c r="AB390" s="17"/>
      <c r="AC390" s="16"/>
      <c r="AD390" s="16"/>
      <c r="AE390" s="17"/>
      <c r="AF390" s="16"/>
      <c r="AG390" s="16"/>
      <c r="AH390" s="17"/>
      <c r="AI390" s="16"/>
      <c r="AJ390" s="16"/>
      <c r="AK390" s="17"/>
      <c r="AL390" s="16"/>
      <c r="AM390" s="16"/>
      <c r="AN390" s="17"/>
      <c r="AO390" s="16"/>
      <c r="AP390" s="16"/>
      <c r="AQ390" s="17"/>
      <c r="AR390" s="16"/>
      <c r="AS390" s="16"/>
      <c r="AT390" s="17"/>
      <c r="AU390" s="16"/>
      <c r="AV390" s="16"/>
      <c r="AW390" s="17"/>
      <c r="AX390" s="16"/>
      <c r="AY390" s="18">
        <v>0</v>
      </c>
      <c r="AZ390" s="17"/>
      <c r="BA390" s="16"/>
      <c r="BB390" s="16"/>
      <c r="BC390" s="17"/>
      <c r="BD390" s="16"/>
      <c r="BE390" s="16"/>
      <c r="BF390" s="17"/>
      <c r="BG390" s="16"/>
      <c r="BH390" s="15"/>
    </row>
    <row r="391" spans="3:60" ht="20.25" x14ac:dyDescent="0.3">
      <c r="C391" s="17" t="s">
        <v>4</v>
      </c>
      <c r="D391" s="17"/>
      <c r="E391" s="16"/>
      <c r="F391" s="18">
        <f t="shared" si="23"/>
        <v>471.48</v>
      </c>
      <c r="G391" s="17"/>
      <c r="H391" s="16"/>
      <c r="I391" s="16"/>
      <c r="J391" s="17"/>
      <c r="K391" s="16"/>
      <c r="L391" s="16"/>
      <c r="M391" s="17"/>
      <c r="N391" s="16"/>
      <c r="O391" s="16"/>
      <c r="P391" s="17"/>
      <c r="Q391" s="16"/>
      <c r="R391" s="16"/>
      <c r="S391" s="17"/>
      <c r="T391" s="16"/>
      <c r="U391" s="16"/>
      <c r="V391" s="17"/>
      <c r="W391" s="16"/>
      <c r="X391" s="16"/>
      <c r="Y391" s="17"/>
      <c r="Z391" s="16"/>
      <c r="AA391" s="16"/>
      <c r="AB391" s="17"/>
      <c r="AC391" s="16"/>
      <c r="AD391" s="16"/>
      <c r="AE391" s="17"/>
      <c r="AF391" s="16"/>
      <c r="AG391" s="16"/>
      <c r="AH391" s="17"/>
      <c r="AI391" s="16"/>
      <c r="AJ391" s="16"/>
      <c r="AK391" s="17"/>
      <c r="AL391" s="16"/>
      <c r="AM391" s="16"/>
      <c r="AN391" s="17"/>
      <c r="AO391" s="16"/>
      <c r="AP391" s="16"/>
      <c r="AQ391" s="17"/>
      <c r="AR391" s="16"/>
      <c r="AS391" s="16"/>
      <c r="AT391" s="17"/>
      <c r="AU391" s="16"/>
      <c r="AV391" s="16"/>
      <c r="AW391" s="17"/>
      <c r="AX391" s="16"/>
      <c r="AY391" s="18">
        <v>471.48</v>
      </c>
      <c r="AZ391" s="17"/>
      <c r="BA391" s="16"/>
      <c r="BB391" s="16"/>
      <c r="BC391" s="17"/>
      <c r="BD391" s="16"/>
      <c r="BE391" s="16"/>
      <c r="BF391" s="17"/>
      <c r="BG391" s="16"/>
      <c r="BH391" s="15"/>
    </row>
    <row r="392" spans="3:60" ht="20.25" hidden="1" x14ac:dyDescent="0.3">
      <c r="C392" s="17" t="s">
        <v>3</v>
      </c>
      <c r="D392" s="17"/>
      <c r="E392" s="16"/>
      <c r="F392" s="18">
        <f t="shared" si="23"/>
        <v>0</v>
      </c>
      <c r="G392" s="17"/>
      <c r="H392" s="16"/>
      <c r="I392" s="16"/>
      <c r="J392" s="17"/>
      <c r="K392" s="16"/>
      <c r="L392" s="16"/>
      <c r="M392" s="17"/>
      <c r="N392" s="16"/>
      <c r="O392" s="16"/>
      <c r="P392" s="17"/>
      <c r="Q392" s="16"/>
      <c r="R392" s="16"/>
      <c r="S392" s="17"/>
      <c r="T392" s="16"/>
      <c r="U392" s="16"/>
      <c r="V392" s="17"/>
      <c r="W392" s="16"/>
      <c r="X392" s="16"/>
      <c r="Y392" s="17"/>
      <c r="Z392" s="16"/>
      <c r="AA392" s="16"/>
      <c r="AB392" s="17"/>
      <c r="AC392" s="16"/>
      <c r="AD392" s="16"/>
      <c r="AE392" s="17"/>
      <c r="AF392" s="16"/>
      <c r="AG392" s="16"/>
      <c r="AH392" s="17"/>
      <c r="AI392" s="16"/>
      <c r="AJ392" s="16"/>
      <c r="AK392" s="17"/>
      <c r="AL392" s="16"/>
      <c r="AM392" s="16"/>
      <c r="AN392" s="17"/>
      <c r="AO392" s="16"/>
      <c r="AP392" s="16"/>
      <c r="AQ392" s="17"/>
      <c r="AR392" s="16"/>
      <c r="AS392" s="16"/>
      <c r="AT392" s="17"/>
      <c r="AU392" s="16"/>
      <c r="AV392" s="16"/>
      <c r="AW392" s="17"/>
      <c r="AX392" s="16"/>
      <c r="AY392" s="18">
        <v>0</v>
      </c>
      <c r="AZ392" s="17"/>
      <c r="BA392" s="16"/>
      <c r="BB392" s="16"/>
      <c r="BC392" s="17"/>
      <c r="BD392" s="16"/>
      <c r="BE392" s="16"/>
      <c r="BF392" s="17"/>
      <c r="BG392" s="16"/>
      <c r="BH392" s="15"/>
    </row>
    <row r="393" spans="3:60" ht="20.25" hidden="1" x14ac:dyDescent="0.3">
      <c r="C393" s="17" t="s">
        <v>3</v>
      </c>
      <c r="D393" s="17"/>
      <c r="E393" s="16"/>
      <c r="F393" s="18">
        <f t="shared" si="23"/>
        <v>0</v>
      </c>
      <c r="G393" s="17"/>
      <c r="H393" s="16"/>
      <c r="I393" s="16"/>
      <c r="J393" s="17"/>
      <c r="K393" s="16"/>
      <c r="L393" s="16"/>
      <c r="M393" s="17"/>
      <c r="N393" s="16"/>
      <c r="O393" s="16"/>
      <c r="P393" s="17"/>
      <c r="Q393" s="16"/>
      <c r="R393" s="16"/>
      <c r="S393" s="17"/>
      <c r="T393" s="16"/>
      <c r="U393" s="16"/>
      <c r="V393" s="17"/>
      <c r="W393" s="16"/>
      <c r="X393" s="16"/>
      <c r="Y393" s="17"/>
      <c r="Z393" s="16"/>
      <c r="AA393" s="16"/>
      <c r="AB393" s="17"/>
      <c r="AC393" s="16"/>
      <c r="AD393" s="16"/>
      <c r="AE393" s="17"/>
      <c r="AF393" s="16"/>
      <c r="AG393" s="16"/>
      <c r="AH393" s="17"/>
      <c r="AI393" s="16"/>
      <c r="AJ393" s="16"/>
      <c r="AK393" s="17"/>
      <c r="AL393" s="16"/>
      <c r="AM393" s="16"/>
      <c r="AN393" s="17"/>
      <c r="AO393" s="16"/>
      <c r="AP393" s="16"/>
      <c r="AQ393" s="17"/>
      <c r="AR393" s="16"/>
      <c r="AS393" s="16"/>
      <c r="AT393" s="17"/>
      <c r="AU393" s="16"/>
      <c r="AV393" s="16"/>
      <c r="AW393" s="17"/>
      <c r="AX393" s="16"/>
      <c r="AY393" s="18">
        <v>0</v>
      </c>
      <c r="AZ393" s="17"/>
      <c r="BA393" s="16"/>
      <c r="BB393" s="16"/>
      <c r="BC393" s="17"/>
      <c r="BD393" s="16"/>
      <c r="BE393" s="16"/>
      <c r="BF393" s="17"/>
      <c r="BG393" s="16"/>
      <c r="BH393" s="15"/>
    </row>
    <row r="394" spans="3:60" ht="20.25" hidden="1" x14ac:dyDescent="0.3">
      <c r="C394" s="17" t="s">
        <v>3</v>
      </c>
      <c r="D394" s="17"/>
      <c r="E394" s="16"/>
      <c r="F394" s="18">
        <f t="shared" si="23"/>
        <v>0</v>
      </c>
      <c r="G394" s="17"/>
      <c r="H394" s="16"/>
      <c r="I394" s="16"/>
      <c r="J394" s="17"/>
      <c r="K394" s="16"/>
      <c r="L394" s="16"/>
      <c r="M394" s="17"/>
      <c r="N394" s="16"/>
      <c r="O394" s="16"/>
      <c r="P394" s="17"/>
      <c r="Q394" s="16"/>
      <c r="R394" s="16"/>
      <c r="S394" s="17"/>
      <c r="T394" s="16"/>
      <c r="U394" s="16"/>
      <c r="V394" s="17"/>
      <c r="W394" s="16"/>
      <c r="X394" s="16"/>
      <c r="Y394" s="17"/>
      <c r="Z394" s="16"/>
      <c r="AA394" s="16"/>
      <c r="AB394" s="17"/>
      <c r="AC394" s="16"/>
      <c r="AD394" s="16"/>
      <c r="AE394" s="17"/>
      <c r="AF394" s="16"/>
      <c r="AG394" s="16"/>
      <c r="AH394" s="17"/>
      <c r="AI394" s="16"/>
      <c r="AJ394" s="16"/>
      <c r="AK394" s="17"/>
      <c r="AL394" s="16"/>
      <c r="AM394" s="16"/>
      <c r="AN394" s="17"/>
      <c r="AO394" s="16"/>
      <c r="AP394" s="16"/>
      <c r="AQ394" s="17"/>
      <c r="AR394" s="16"/>
      <c r="AS394" s="16"/>
      <c r="AT394" s="17"/>
      <c r="AU394" s="16"/>
      <c r="AV394" s="16"/>
      <c r="AW394" s="17"/>
      <c r="AX394" s="16"/>
      <c r="AY394" s="18">
        <v>0</v>
      </c>
      <c r="AZ394" s="17"/>
      <c r="BA394" s="16"/>
      <c r="BB394" s="16"/>
      <c r="BC394" s="17"/>
      <c r="BD394" s="16"/>
      <c r="BE394" s="16"/>
      <c r="BF394" s="17"/>
      <c r="BG394" s="16"/>
      <c r="BH394" s="15"/>
    </row>
    <row r="395" spans="3:60" ht="20.25" x14ac:dyDescent="0.3">
      <c r="C395" s="11" t="s">
        <v>2</v>
      </c>
      <c r="D395" s="11"/>
      <c r="E395" s="14">
        <f>+SUM(H395,K395,N395,Q395,T395,W395,Z395,AC395,AF395,AI395,AL395,AO395,AR395,AU395,AX395,BA395,BD395,BG395)</f>
        <v>0.27522164211063399</v>
      </c>
      <c r="F395" s="12">
        <f>SUM(F378:F394)</f>
        <v>3020.53</v>
      </c>
      <c r="G395" s="11"/>
      <c r="H395" s="10"/>
      <c r="I395" s="10"/>
      <c r="J395" s="11"/>
      <c r="K395" s="10"/>
      <c r="L395" s="10"/>
      <c r="M395" s="11"/>
      <c r="N395" s="10"/>
      <c r="O395" s="10"/>
      <c r="P395" s="11"/>
      <c r="Q395" s="10"/>
      <c r="R395" s="10"/>
      <c r="S395" s="11"/>
      <c r="T395" s="10"/>
      <c r="U395" s="10"/>
      <c r="V395" s="11"/>
      <c r="W395" s="10"/>
      <c r="X395" s="10"/>
      <c r="Y395" s="11"/>
      <c r="Z395" s="10"/>
      <c r="AA395" s="10"/>
      <c r="AB395" s="11"/>
      <c r="AC395" s="10"/>
      <c r="AD395" s="10"/>
      <c r="AE395" s="11"/>
      <c r="AF395" s="10"/>
      <c r="AG395" s="10"/>
      <c r="AH395" s="11"/>
      <c r="AI395" s="10"/>
      <c r="AJ395" s="10"/>
      <c r="AK395" s="11"/>
      <c r="AL395" s="10"/>
      <c r="AM395" s="10"/>
      <c r="AN395" s="11"/>
      <c r="AO395" s="10"/>
      <c r="AP395" s="10"/>
      <c r="AQ395" s="11"/>
      <c r="AR395" s="10"/>
      <c r="AS395" s="10"/>
      <c r="AT395" s="11"/>
      <c r="AU395" s="10"/>
      <c r="AV395" s="10"/>
      <c r="AW395" s="11"/>
      <c r="AX395" s="13">
        <v>0.27522164211063399</v>
      </c>
      <c r="AY395" s="12">
        <v>3020.53</v>
      </c>
      <c r="AZ395" s="11"/>
      <c r="BA395" s="10"/>
      <c r="BB395" s="10"/>
      <c r="BC395" s="11"/>
      <c r="BD395" s="10"/>
      <c r="BE395" s="10"/>
      <c r="BF395" s="11"/>
      <c r="BG395" s="10"/>
      <c r="BH395" s="9"/>
    </row>
    <row r="396" spans="3:60" ht="20.25" x14ac:dyDescent="0.3">
      <c r="C396" s="8"/>
      <c r="D396" s="8"/>
      <c r="E396" s="7"/>
      <c r="F396" s="7"/>
      <c r="G396" s="8"/>
      <c r="H396" s="7"/>
      <c r="I396" s="7"/>
      <c r="J396" s="8"/>
      <c r="K396" s="7"/>
      <c r="L396" s="7"/>
      <c r="M396" s="8"/>
      <c r="N396" s="7"/>
      <c r="O396" s="7"/>
      <c r="P396" s="8"/>
      <c r="Q396" s="7"/>
      <c r="R396" s="7"/>
      <c r="S396" s="8"/>
      <c r="T396" s="7"/>
      <c r="U396" s="7"/>
      <c r="V396" s="8"/>
      <c r="W396" s="7"/>
      <c r="X396" s="7"/>
      <c r="Y396" s="8"/>
      <c r="Z396" s="7"/>
      <c r="AA396" s="7"/>
      <c r="AB396" s="8"/>
      <c r="AC396" s="7"/>
      <c r="AD396" s="7"/>
      <c r="AE396" s="8"/>
      <c r="AF396" s="7"/>
      <c r="AG396" s="7"/>
      <c r="AH396" s="8"/>
      <c r="AI396" s="7"/>
      <c r="AJ396" s="7"/>
      <c r="AK396" s="8"/>
      <c r="AL396" s="7"/>
      <c r="AM396" s="7"/>
      <c r="AN396" s="8"/>
      <c r="AO396" s="7"/>
      <c r="AP396" s="7"/>
      <c r="AQ396" s="8"/>
      <c r="AR396" s="7"/>
      <c r="AS396" s="7"/>
      <c r="AT396" s="8"/>
      <c r="AU396" s="7"/>
      <c r="AV396" s="7"/>
      <c r="AW396" s="8"/>
      <c r="AX396" s="7"/>
      <c r="AY396" s="7"/>
      <c r="AZ396" s="8"/>
      <c r="BA396" s="7"/>
      <c r="BB396" s="7"/>
      <c r="BC396" s="8"/>
      <c r="BD396" s="7"/>
      <c r="BE396" s="7"/>
      <c r="BF396" s="8"/>
      <c r="BG396" s="7"/>
      <c r="BH396" s="6"/>
    </row>
    <row r="397" spans="3:60" ht="20.25" x14ac:dyDescent="0.3">
      <c r="C397" s="11" t="s">
        <v>1</v>
      </c>
      <c r="D397" s="11"/>
      <c r="E397" s="14">
        <f>+SUM(H397,K397,N397,Q397,T397,W397,Z397,AC397,AF397,AI397,AL397,AO397,AR397,AU397,AX397,BA397,BD397,BG397)</f>
        <v>1.7971671723660301</v>
      </c>
      <c r="F397" s="12">
        <f>F377+F395</f>
        <v>19723.73</v>
      </c>
      <c r="G397" s="11"/>
      <c r="H397" s="10"/>
      <c r="I397" s="10"/>
      <c r="J397" s="11"/>
      <c r="K397" s="10"/>
      <c r="L397" s="10"/>
      <c r="M397" s="11"/>
      <c r="N397" s="10"/>
      <c r="O397" s="10"/>
      <c r="P397" s="11"/>
      <c r="Q397" s="10"/>
      <c r="R397" s="10"/>
      <c r="S397" s="11"/>
      <c r="T397" s="10"/>
      <c r="U397" s="10"/>
      <c r="V397" s="11"/>
      <c r="W397" s="10"/>
      <c r="X397" s="10"/>
      <c r="Y397" s="11"/>
      <c r="Z397" s="10"/>
      <c r="AA397" s="10"/>
      <c r="AB397" s="11"/>
      <c r="AC397" s="10"/>
      <c r="AD397" s="10"/>
      <c r="AE397" s="11"/>
      <c r="AF397" s="10"/>
      <c r="AG397" s="10"/>
      <c r="AH397" s="11"/>
      <c r="AI397" s="10"/>
      <c r="AJ397" s="10"/>
      <c r="AK397" s="11"/>
      <c r="AL397" s="10"/>
      <c r="AM397" s="10"/>
      <c r="AN397" s="11"/>
      <c r="AO397" s="10"/>
      <c r="AP397" s="10"/>
      <c r="AQ397" s="11"/>
      <c r="AR397" s="10"/>
      <c r="AS397" s="10"/>
      <c r="AT397" s="11"/>
      <c r="AU397" s="10"/>
      <c r="AV397" s="10"/>
      <c r="AW397" s="11"/>
      <c r="AX397" s="13">
        <v>1.7971671723660301</v>
      </c>
      <c r="AY397" s="12">
        <v>19723.73</v>
      </c>
      <c r="AZ397" s="11"/>
      <c r="BA397" s="10"/>
      <c r="BB397" s="10"/>
      <c r="BC397" s="11"/>
      <c r="BD397" s="10"/>
      <c r="BE397" s="10"/>
      <c r="BF397" s="11"/>
      <c r="BG397" s="10"/>
      <c r="BH397" s="9"/>
    </row>
    <row r="398" spans="3:60" ht="21" thickBot="1" x14ac:dyDescent="0.35">
      <c r="C398" s="8"/>
      <c r="D398" s="8"/>
      <c r="E398" s="7"/>
      <c r="F398" s="7"/>
      <c r="G398" s="8"/>
      <c r="H398" s="7"/>
      <c r="I398" s="7"/>
      <c r="J398" s="8"/>
      <c r="K398" s="7"/>
      <c r="L398" s="7"/>
      <c r="M398" s="8"/>
      <c r="N398" s="7"/>
      <c r="O398" s="7"/>
      <c r="P398" s="8"/>
      <c r="Q398" s="7"/>
      <c r="R398" s="7"/>
      <c r="S398" s="8"/>
      <c r="T398" s="7"/>
      <c r="U398" s="7"/>
      <c r="V398" s="8"/>
      <c r="W398" s="7"/>
      <c r="X398" s="7"/>
      <c r="Y398" s="8"/>
      <c r="Z398" s="7"/>
      <c r="AA398" s="7"/>
      <c r="AB398" s="8"/>
      <c r="AC398" s="7"/>
      <c r="AD398" s="7"/>
      <c r="AE398" s="8"/>
      <c r="AF398" s="7"/>
      <c r="AG398" s="7"/>
      <c r="AH398" s="8"/>
      <c r="AI398" s="7"/>
      <c r="AJ398" s="7"/>
      <c r="AK398" s="8"/>
      <c r="AL398" s="7"/>
      <c r="AM398" s="7"/>
      <c r="AN398" s="8"/>
      <c r="AO398" s="7"/>
      <c r="AP398" s="7"/>
      <c r="AQ398" s="8"/>
      <c r="AR398" s="7"/>
      <c r="AS398" s="7"/>
      <c r="AT398" s="8"/>
      <c r="AU398" s="7"/>
      <c r="AV398" s="7"/>
      <c r="AW398" s="8"/>
      <c r="AX398" s="7"/>
      <c r="AY398" s="7"/>
      <c r="AZ398" s="8"/>
      <c r="BA398" s="7"/>
      <c r="BB398" s="7"/>
      <c r="BC398" s="8"/>
      <c r="BD398" s="7"/>
      <c r="BE398" s="7"/>
      <c r="BF398" s="8"/>
      <c r="BG398" s="7"/>
      <c r="BH398" s="6"/>
    </row>
    <row r="399" spans="3:60" ht="21.75" thickTop="1" thickBot="1" x14ac:dyDescent="0.35">
      <c r="C399" s="4" t="s">
        <v>0</v>
      </c>
      <c r="D399" s="4"/>
      <c r="E399" s="3"/>
      <c r="F399" s="5">
        <f>F362-F397</f>
        <v>-8748.83</v>
      </c>
      <c r="G399" s="4"/>
      <c r="H399" s="3"/>
      <c r="I399" s="3"/>
      <c r="J399" s="4"/>
      <c r="K399" s="3"/>
      <c r="L399" s="3"/>
      <c r="M399" s="4"/>
      <c r="N399" s="3"/>
      <c r="O399" s="3"/>
      <c r="P399" s="4"/>
      <c r="Q399" s="3"/>
      <c r="R399" s="3"/>
      <c r="S399" s="4"/>
      <c r="T399" s="3"/>
      <c r="U399" s="3"/>
      <c r="V399" s="4"/>
      <c r="W399" s="3"/>
      <c r="X399" s="3"/>
      <c r="Y399" s="4"/>
      <c r="Z399" s="3"/>
      <c r="AA399" s="3"/>
      <c r="AB399" s="4"/>
      <c r="AC399" s="3"/>
      <c r="AD399" s="3"/>
      <c r="AE399" s="4"/>
      <c r="AF399" s="3"/>
      <c r="AG399" s="3"/>
      <c r="AH399" s="4"/>
      <c r="AI399" s="3"/>
      <c r="AJ399" s="3"/>
      <c r="AK399" s="4"/>
      <c r="AL399" s="3"/>
      <c r="AM399" s="3"/>
      <c r="AN399" s="4"/>
      <c r="AO399" s="3"/>
      <c r="AP399" s="3"/>
      <c r="AQ399" s="4"/>
      <c r="AR399" s="3"/>
      <c r="AS399" s="3"/>
      <c r="AT399" s="4"/>
      <c r="AU399" s="3"/>
      <c r="AV399" s="3"/>
      <c r="AW399" s="4"/>
      <c r="AX399" s="3"/>
      <c r="AY399" s="5">
        <v>-8748.8299999999908</v>
      </c>
      <c r="AZ399" s="4"/>
      <c r="BA399" s="3"/>
      <c r="BB399" s="3"/>
      <c r="BC399" s="4"/>
      <c r="BD399" s="3"/>
      <c r="BE399" s="3"/>
      <c r="BF399" s="4"/>
      <c r="BG399" s="3"/>
      <c r="BH399" s="2"/>
    </row>
    <row r="400" spans="3:60" ht="15.75" thickTop="1" x14ac:dyDescent="0.25"/>
    <row r="401" spans="6:24" x14ac:dyDescent="0.25"/>
    <row r="402" spans="6:24" ht="14.25" customHeight="1" x14ac:dyDescent="0.25"/>
    <row r="403" spans="6:24" ht="14.25" customHeight="1" x14ac:dyDescent="0.25"/>
    <row r="404" spans="6:24" ht="14.25" customHeight="1" x14ac:dyDescent="0.25"/>
    <row r="405" spans="6:24" ht="14.25" customHeight="1" x14ac:dyDescent="0.25"/>
    <row r="406" spans="6:24" ht="14.25" customHeight="1" x14ac:dyDescent="0.25"/>
    <row r="407" spans="6:24" ht="14.25" customHeight="1" x14ac:dyDescent="0.25"/>
    <row r="408" spans="6:24" ht="14.25" customHeight="1" x14ac:dyDescent="0.25">
      <c r="F408" s="1"/>
      <c r="I408" s="1"/>
      <c r="L408" s="1"/>
      <c r="O408" s="1"/>
      <c r="R408" s="1"/>
      <c r="U408" s="1"/>
      <c r="X408" s="1"/>
    </row>
  </sheetData>
  <mergeCells count="147">
    <mergeCell ref="BC3:BE3"/>
    <mergeCell ref="BF1:BH1"/>
    <mergeCell ref="BC1:BE1"/>
    <mergeCell ref="BC293:BE293"/>
    <mergeCell ref="BF238:BH238"/>
    <mergeCell ref="BC238:BE238"/>
    <mergeCell ref="BF170:BH170"/>
    <mergeCell ref="BC170:BE170"/>
    <mergeCell ref="BF91:BH91"/>
    <mergeCell ref="BC91:BE91"/>
    <mergeCell ref="BF3:BH3"/>
    <mergeCell ref="BF358:BH358"/>
    <mergeCell ref="AB358:AD358"/>
    <mergeCell ref="AE358:AG358"/>
    <mergeCell ref="AH358:AJ358"/>
    <mergeCell ref="AK358:AM358"/>
    <mergeCell ref="AN358:AP358"/>
    <mergeCell ref="AQ358:AS358"/>
    <mergeCell ref="BC358:BE358"/>
    <mergeCell ref="D293:F293"/>
    <mergeCell ref="G293:I293"/>
    <mergeCell ref="AT358:AV358"/>
    <mergeCell ref="AW358:AY358"/>
    <mergeCell ref="AZ358:BB358"/>
    <mergeCell ref="AZ293:BB293"/>
    <mergeCell ref="V293:X293"/>
    <mergeCell ref="Y293:AA293"/>
    <mergeCell ref="AB293:AD293"/>
    <mergeCell ref="AE293:AG293"/>
    <mergeCell ref="AH293:AJ293"/>
    <mergeCell ref="AK293:AM293"/>
    <mergeCell ref="BF293:BH293"/>
    <mergeCell ref="Y356:AA356"/>
    <mergeCell ref="D358:F358"/>
    <mergeCell ref="G358:I358"/>
    <mergeCell ref="J358:L358"/>
    <mergeCell ref="M358:O358"/>
    <mergeCell ref="P358:R358"/>
    <mergeCell ref="S358:U358"/>
    <mergeCell ref="V358:X358"/>
    <mergeCell ref="Y358:AA358"/>
    <mergeCell ref="AZ238:BB238"/>
    <mergeCell ref="Y291:AA291"/>
    <mergeCell ref="AB238:AD238"/>
    <mergeCell ref="AE238:AG238"/>
    <mergeCell ref="AH238:AJ238"/>
    <mergeCell ref="AK238:AM238"/>
    <mergeCell ref="AN238:AP238"/>
    <mergeCell ref="AQ238:AS238"/>
    <mergeCell ref="J293:L293"/>
    <mergeCell ref="M293:O293"/>
    <mergeCell ref="P293:R293"/>
    <mergeCell ref="S293:U293"/>
    <mergeCell ref="AT238:AV238"/>
    <mergeCell ref="AW238:AY238"/>
    <mergeCell ref="AN293:AP293"/>
    <mergeCell ref="AQ293:AS293"/>
    <mergeCell ref="AT293:AV293"/>
    <mergeCell ref="AW293:AY293"/>
    <mergeCell ref="AZ170:BB170"/>
    <mergeCell ref="V170:X170"/>
    <mergeCell ref="Y170:AA170"/>
    <mergeCell ref="AB170:AD170"/>
    <mergeCell ref="AE170:AG170"/>
    <mergeCell ref="AH170:AJ170"/>
    <mergeCell ref="AK170:AM170"/>
    <mergeCell ref="V238:X238"/>
    <mergeCell ref="Y238:AA238"/>
    <mergeCell ref="AN170:AP170"/>
    <mergeCell ref="AQ170:AS170"/>
    <mergeCell ref="AT170:AV170"/>
    <mergeCell ref="AW170:AY170"/>
    <mergeCell ref="AN91:AP91"/>
    <mergeCell ref="AQ91:AS91"/>
    <mergeCell ref="Y236:AA236"/>
    <mergeCell ref="D238:F238"/>
    <mergeCell ref="G238:I238"/>
    <mergeCell ref="J238:L238"/>
    <mergeCell ref="M238:O238"/>
    <mergeCell ref="P238:R238"/>
    <mergeCell ref="S238:U238"/>
    <mergeCell ref="J170:L170"/>
    <mergeCell ref="M170:O170"/>
    <mergeCell ref="P170:R170"/>
    <mergeCell ref="S170:U170"/>
    <mergeCell ref="D170:F170"/>
    <mergeCell ref="G170:I170"/>
    <mergeCell ref="J91:L91"/>
    <mergeCell ref="M91:O91"/>
    <mergeCell ref="P91:R91"/>
    <mergeCell ref="S91:U91"/>
    <mergeCell ref="V91:X91"/>
    <mergeCell ref="Y91:AA91"/>
    <mergeCell ref="AT91:AV91"/>
    <mergeCell ref="AW91:AY91"/>
    <mergeCell ref="AZ91:BB91"/>
    <mergeCell ref="Y168:AA168"/>
    <mergeCell ref="AB91:AD91"/>
    <mergeCell ref="AE91:AG91"/>
    <mergeCell ref="AH91:AJ91"/>
    <mergeCell ref="AK91:AM91"/>
    <mergeCell ref="D3:F3"/>
    <mergeCell ref="G3:I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Y89:AA89"/>
    <mergeCell ref="D91:F91"/>
    <mergeCell ref="G91:I91"/>
    <mergeCell ref="Y2:AA2"/>
    <mergeCell ref="AB2:AD2"/>
    <mergeCell ref="AE2:AG2"/>
    <mergeCell ref="AH2:AJ2"/>
    <mergeCell ref="AK2:AM2"/>
    <mergeCell ref="AZ1:BB1"/>
    <mergeCell ref="V1:X1"/>
    <mergeCell ref="Y1:AA1"/>
    <mergeCell ref="AB1:AD1"/>
    <mergeCell ref="AE1:AG1"/>
    <mergeCell ref="AN2:AP2"/>
    <mergeCell ref="AQ2:AS2"/>
    <mergeCell ref="AT2:AV2"/>
    <mergeCell ref="AW2:AY2"/>
    <mergeCell ref="AN1:AP1"/>
    <mergeCell ref="AQ1:AS1"/>
    <mergeCell ref="AT1:AV1"/>
    <mergeCell ref="AW1:AY1"/>
    <mergeCell ref="AH1:AJ1"/>
    <mergeCell ref="AK1:AM1"/>
    <mergeCell ref="D1:F1"/>
    <mergeCell ref="G1:I1"/>
    <mergeCell ref="J1:L1"/>
    <mergeCell ref="M1:O1"/>
    <mergeCell ref="P1:R1"/>
    <mergeCell ref="S1:U1"/>
    <mergeCell ref="J3:L3"/>
    <mergeCell ref="M3:O3"/>
    <mergeCell ref="P3:R3"/>
    <mergeCell ref="S3:U3"/>
  </mergeCells>
  <conditionalFormatting sqref="D3 G3 J3 M3 P3 S3 V3 Y3 AB3 AE3 AH3 AK3 AN3 AQ3 AT3 AW3 AZ3 BC3 BF3 F5:F30 I5:I30 L5:L30 O5:O30 R5:R30 U5:U30 X5:X30 AA5:AA30 AD5:AD30 AG5:AG30 AJ5:AJ30 AM5:AM30 AP5:AP30 AS5:AS30 AV5:AV30 AY5:AY30 BB5:BB30 BE5:BE30 BH5:BH30 D13:D14 G13:G14 J13:J14 M13:M14 P13:P14 S13:S14 V13:V14 Y13:Y14 AB13:AB14 AE13:AE14 AH13:AH14 AK13:AK14 AN13:AN14 AQ13:AQ14 AT13:AT14 AW13:AW14 AZ13:AZ14 BC13:BC14 BF13:BF14 D16 G16 J16 M16 P16 S16 V16 Y16 AB16 AE16 AH16 AK16 AN16 AQ16 AT16 AW16 AZ16 BC16 BF16 D18:D40 G18:G40 J18:J40 M18:M40 P18:P40 S18:S40 V18:V40 Y18:Y40 AB18:AB40 AE18:AE40 AH18:AH40 AK18:AK40 AN18:AN40 AQ18:AQ40 AT18:AT40 AW18:AW40 AZ18:AZ40 BC18:BC40 BF18:BF40 E25:E40 H25:H40 K25:K40 N25:N40 Q25:Q40 T25:T40 W25:W40 Z25:Z40 AC25:AC40 AF25:AF40 AI25:AI40 AL25:AL40 AO25:AO40 AR25:AR40 AU25:AU40 AX25:AX40 BA25:BA40 BD25:BD40 BG25:BG40 D83:BH88 E90:F90 H90:I90 K90:L90 N90:O90 Q90:R90 T90:U90 W90:X90 Z90:AA90 AC90:AD90 AF90:AG90 AI90:AJ90 AL90:AM90 AO90:AP90 AR90:AS90 AU90:AV90 AX90:AY90 BA90:BB90 BD90:BE90 BG90:BH90 D90:D91 G90:G91 J90:J91 M90:M91 P90:P91 S90:S91 V90:V91 Y90:Y91 AB90:AB91 AE90:AE91 AH90:AH91 AK90:AK91 AN90:AN91 AQ90:AQ91 AT90:AT91 AW90:AW91 AZ90:AZ91 BC90:BC91 BF90:BF91 Z93:AA100 D97:Y98 AB97:BH98 D156:E157 G156:H157 J156:K157 M156:N157 P156:Q157 S156:T157 V156:W157 Y156:Z157 AB156:AC157 AE156:AF157 AH156:AI157 AK156:AL157 AN156:AO157 AQ156:AR157 AT156:AU157 AW156:AX157 AZ156:BA157 BC156:BD157 BF156:BG157 F164 I164 L164 O164 R164 U164 X164 AA164 AD164 AG164 AJ164 AM164 AP164 AS164 AV164 AY164 BB164 BE164 BH164 D164:E167 G164:H167 J164:K167 M164:N167 P164:Q167 S164:T167 V164:W167 Y164:Z167 AB164:AC167 AE164:AF167 AH164:AI167 AK164:AL167 AN164:AO167 AQ164:AR167 AT164:AU167 AW164:AX167 AZ164:BA167 BC164:BD167 BF164:BG167 F166:F167 I166:I167 L166:L167 O166:O167 R166:R167 U166:U167 X166:X167 AA166:AA167 AD166:AD167 AG166:AG167 AJ166:AJ167 AM166:AM167 AP166:AP167 AS166:AS167 AV166:AV167 AY166:AY167 BB166:BB167 BE166:BE167 BH166:BH167 E169:F169 H169:I169 K169:L169 N169:O169 Q169:R169 T169:U169 W169:AM169 AO169:AS169 AU169:BB169 BD169:BE169 BG169:BH169 G169:G170 J169:J170 M169:M170 P169:P170 S169:S170 V169:V170 AN169:AN170 AT169:AT170 D169:D196 BC169:BC196 BF169:BF196 E171:F173 Z172:Z173 AA172:AA175 AN172:AN196 AT172:AT196 Y198:Z229 F232 I232 L232 O232 R232 U232 X232 AA232 AD232 AG232 AJ232 AM232 AP232 AS232 AV232 AY232 BB232 BE232 BH232 D232:E235 G232:H235 J232:K235 M232:N235 P232:Q235 S232:T235 V232:W235 Y232:Z235 AB232:AC235 AE232:AF235 AH232:AI235 AK232:AL235 AN232:AO235 AQ232:AR235 AT232:AU235 AW232:AX235 AZ232:BA235 BC232:BD235 BF232:BG235 F234:F235 I234:I235 L234:L235 O234:O235 R234:R235 U234:U235 X234:X235 AA234:AA235 AD234:AD235 AG234:AG235 AJ234:AJ235 AM234:AM235 AP234:AP235 AS234:AS235 AV234:AV235 AY234:AY235 BB234:BB235 BE234:BE235 BH234:BH235 E237:F237 H237:I237 K237:L237 N237:O237 Q237:R237 T237:U237 W237:X237 Z237:AA237 AC237:AD237 AF237:AG237 AI237:AJ237 AL237:AM237 AO237:AP237 AR237:AS237 AU237:AV237 AX237:AY237 BA237:BB237 BD237:BE237 BG237:BH237 G237:G238 J237:J238 M237:M238 P237:P238 S237:S238 V237:V238 Y237:Y238 AB237:AB238 AE237:AE238 AH237:AH238 AK237:AK238 AN237:AN238 AQ237:AQ238 AT237:AT238 AW237:AW238 AZ237:AZ238 D237:D240 BC237:BC240 BF237:BF240 E239:F241 G240 J240 M240 P240 S240 V240 Y240 AB240 AE240 AH240 AK240 AN240 AQ240 AT240 AW240 AZ240 Z240:AA241 D243:BH243 D252:X253 AA252:BH253 Y252:Z285 AA267:AA284 F288 I288 L288 O288 R288 U288 X288 AA288 AD288 AG288 AJ288 AM288 AP288 AS288 AV288 AY288 BB288 BE288 BH288 D288:E290 G288:H290 J288:K290 M288:N290 P288:Q290 S288:T290 V288:W290 Y288:Z290 AB288:AC290 AE288:AF290 AH288:AI290 AK288:AL290 AN288:AO290 AQ288:AR290 AT288:AU290 AW288:AX290 AZ288:BA290 BC288:BD290 BF288:BG290 F290 I290 L290 O290 R290 U290 X290 AA290 AD290 AG290 AJ290 AM290 AP290 AS290 AV290 AY290 BB290 BE290 BH290 E292:F292 H292:I292 K292:L292 N292:O292 Q292:R292 T292:U292 W292:X292 Z292:AA292 AC292:AD292 AF292:AG292 AI292:AJ292 AL292:AM292 AO292:AP292 AR292:AS292 AU292:AV292 AX292:AY292 BA292:BB292 BD292:BE292 BG292:BH292 G292:G293 J292:J293 M292:M293 P292:P293 S292:S293 V292:V293 Y292:Y293 AB292:AB293 AE292:AE293 AH292:AH293 AK292:AK293 AN292:AN293 AQ292:AQ293 AT292:AT293 AW292:AW293 AZ292:AZ293 BC292:BC293 BF292:BF293 D292:D294 E294:F294 AA318:AA329 D318:E349 G318:H349 J318:K349 M318:N349 P318:Q349 S318:T349 V318:W349 Y318:Z349 AB318:AC349 AE318:AF349 AH318:AI349 AK318:AL349 AN318:AO349 AQ318:AR349 AT318:AU349 AW318:AX349 AZ318:BA349 BC318:BD349 BF318:BG349 F331:F349 I331:I349 L331:L349 O331:O349 R331:R349 U331:U349 X331:X349 AA331:AA349 AD331:AD349 AG331:AG349 AJ331:AJ349 AM331:AM349 AP331:AP349 AS331:AS349 AV331:AV349 AY331:AY349 BB331:BB349 BE331:BE349 BH331:BH349 F352 I352 L352 O352 R352 U352 X352 AA352 AD352 AG352 AJ352 AM352 AP352 AS352 AV352 AY352 BB352 BE352 BH352 D352:E353 G352:H353 J352:K353 M352:N353 P352:Q353 S352:T353 V352:W353 Y352:Z353 AB352:AC353 AE352:AF353 AH352:AI353 AK352:AL353 AN352:AO353 AQ352:AR353 AT352:AU353 AW352:AX353 AZ352:BA353 BC352:BD353 BF352:BG353 D359:F359">
    <cfRule type="expression" dxfId="415" priority="1" stopIfTrue="1">
      <formula>"esterreur(reference)"</formula>
    </cfRule>
  </conditionalFormatting>
  <conditionalFormatting sqref="D358 G358 J358 M358 P358 S358 V358 Y358 AB358 AE358 AH358 AK358 AN358 AQ358 AT358 AW358 AZ358 BC358 BF358">
    <cfRule type="expression" dxfId="414" priority="2" stopIfTrue="1">
      <formula>"esterreur(reference)"</formula>
    </cfRule>
  </conditionalFormatting>
  <conditionalFormatting sqref="D360">
    <cfRule type="expression" dxfId="413" priority="3" stopIfTrue="1">
      <formula>"esterreur(reference)"</formula>
    </cfRule>
  </conditionalFormatting>
  <conditionalFormatting sqref="D362">
    <cfRule type="expression" dxfId="412" priority="4" stopIfTrue="1">
      <formula>"esterreur(reference)"</formula>
    </cfRule>
  </conditionalFormatting>
  <conditionalFormatting sqref="D101:E153">
    <cfRule type="expression" dxfId="411" priority="5" stopIfTrue="1">
      <formula>"esterreur(reference)"</formula>
    </cfRule>
  </conditionalFormatting>
  <conditionalFormatting sqref="D198:E229">
    <cfRule type="expression" dxfId="410" priority="6" stopIfTrue="1">
      <formula>"esterreur(reference)"</formula>
    </cfRule>
  </conditionalFormatting>
  <conditionalFormatting sqref="D254:E285">
    <cfRule type="expression" dxfId="409" priority="7" stopIfTrue="1">
      <formula>"esterreur(reference)"</formula>
    </cfRule>
  </conditionalFormatting>
  <conditionalFormatting sqref="D294:F317 BC294:BH317 G295:BB317">
    <cfRule type="expression" dxfId="408" priority="10" stopIfTrue="1">
      <formula>"esterreur(reference)"</formula>
    </cfRule>
  </conditionalFormatting>
  <conditionalFormatting sqref="D42:BH72">
    <cfRule type="expression" dxfId="407" priority="8" stopIfTrue="1">
      <formula>"esterreur(reference)"</formula>
    </cfRule>
  </conditionalFormatting>
  <conditionalFormatting sqref="D197:BH197">
    <cfRule type="expression" dxfId="406" priority="9" stopIfTrue="1">
      <formula>"esterreur(reference)"</formula>
    </cfRule>
  </conditionalFormatting>
  <conditionalFormatting sqref="E5">
    <cfRule type="expression" dxfId="405" priority="11" stopIfTrue="1">
      <formula>"esterreur(reference)"</formula>
    </cfRule>
  </conditionalFormatting>
  <conditionalFormatting sqref="E99:E100 H99:I100 K99:L100 N99:O100 Q99:R100 T99:U100 W99:X100">
    <cfRule type="expression" dxfId="404" priority="12" stopIfTrue="1">
      <formula>"esterreur(reference)"</formula>
    </cfRule>
  </conditionalFormatting>
  <conditionalFormatting sqref="E175">
    <cfRule type="expression" dxfId="403" priority="13" stopIfTrue="1">
      <formula>"esterreur(reference)"</formula>
    </cfRule>
  </conditionalFormatting>
  <conditionalFormatting sqref="E287">
    <cfRule type="expression" dxfId="402" priority="14" stopIfTrue="1">
      <formula>"esterreur(reference)"</formula>
    </cfRule>
  </conditionalFormatting>
  <conditionalFormatting sqref="E93:F96 H93:I96 K93:L96 N93:O96 Q93:R96 T93:U96 W93:X96">
    <cfRule type="expression" dxfId="401" priority="15" stopIfTrue="1">
      <formula>"esterreur(reference)"</formula>
    </cfRule>
  </conditionalFormatting>
  <conditionalFormatting sqref="E176:F196">
    <cfRule type="expression" dxfId="400" priority="17" stopIfTrue="1">
      <formula>"esterreur(reference)"</formula>
    </cfRule>
  </conditionalFormatting>
  <conditionalFormatting sqref="E244:F244 H244:I244 K244:L244 N244:O244 Q244:R244 T244:U244 W244:X244">
    <cfRule type="expression" dxfId="399" priority="19" stopIfTrue="1">
      <formula>"esterreur(reference)"</formula>
    </cfRule>
  </conditionalFormatting>
  <conditionalFormatting sqref="E247:F247 H247:I247 K247:L247 N247:O247 Q247:R247 T247:U247 W247:X247">
    <cfRule type="expression" dxfId="398" priority="20" stopIfTrue="1">
      <formula>"esterreur(reference)"</formula>
    </cfRule>
  </conditionalFormatting>
  <conditionalFormatting sqref="F75:F82">
    <cfRule type="expression" dxfId="397" priority="21" stopIfTrue="1">
      <formula>"esterreur(reference)"</formula>
    </cfRule>
  </conditionalFormatting>
  <conditionalFormatting sqref="F99:F153">
    <cfRule type="expression" dxfId="396" priority="22" stopIfTrue="1">
      <formula>"esterreur(reference)"</formula>
    </cfRule>
  </conditionalFormatting>
  <conditionalFormatting sqref="F156:F162">
    <cfRule type="expression" dxfId="395" priority="23" stopIfTrue="1">
      <formula>"esterreur(reference)"</formula>
    </cfRule>
  </conditionalFormatting>
  <conditionalFormatting sqref="F174:F175 I174:I175 L174:L175 O174:O175 R174:R175 U174:U175 X174:X175">
    <cfRule type="expression" dxfId="394" priority="24" stopIfTrue="1">
      <formula>"esterreur(reference)"</formula>
    </cfRule>
  </conditionalFormatting>
  <conditionalFormatting sqref="F198:F209 I198:I209 L198:L209 O198:O209 R198:R209 U198:U209 X198:X209">
    <cfRule type="expression" dxfId="393" priority="25" stopIfTrue="1">
      <formula>"esterreur(reference)"</formula>
    </cfRule>
  </conditionalFormatting>
  <conditionalFormatting sqref="F211:F228 I211:I228 L211:L228 O211:O228 R211:R228 U211:U228 X211:X228">
    <cfRule type="expression" dxfId="392" priority="26" stopIfTrue="1">
      <formula>"esterreur(reference)"</formula>
    </cfRule>
  </conditionalFormatting>
  <conditionalFormatting sqref="F254:F265 I254:I265 L254:L265 O254:O265 R254:R265 U254:U265 X254:X265">
    <cfRule type="expression" dxfId="391" priority="27" stopIfTrue="1">
      <formula>"esterreur(reference)"</formula>
    </cfRule>
  </conditionalFormatting>
  <conditionalFormatting sqref="F267:F284 I267:I284 L267:L284 O267:O284 R267:R284 U267:U284 X267:X284">
    <cfRule type="expression" dxfId="390" priority="28" stopIfTrue="1">
      <formula>"esterreur(reference)"</formula>
    </cfRule>
  </conditionalFormatting>
  <conditionalFormatting sqref="F318:F329 I318:I329 L318:L329 O318:O329 R318:R329 U318:U329 X318:X329">
    <cfRule type="expression" dxfId="389" priority="29" stopIfTrue="1">
      <formula>"esterreur(reference)"</formula>
    </cfRule>
  </conditionalFormatting>
  <conditionalFormatting sqref="F360">
    <cfRule type="expression" dxfId="388" priority="30" stopIfTrue="1">
      <formula>"esterreur(reference)"</formula>
    </cfRule>
  </conditionalFormatting>
  <conditionalFormatting sqref="F362:F376">
    <cfRule type="expression" dxfId="387" priority="31" stopIfTrue="1">
      <formula>"esterreur(reference)"</formula>
    </cfRule>
  </conditionalFormatting>
  <conditionalFormatting sqref="F378:F394">
    <cfRule type="expression" dxfId="386" priority="32" stopIfTrue="1">
      <formula>"esterreur(reference)"</formula>
    </cfRule>
  </conditionalFormatting>
  <conditionalFormatting sqref="G172:G196">
    <cfRule type="expression" dxfId="385" priority="33" stopIfTrue="1">
      <formula>"esterreur(reference)"</formula>
    </cfRule>
  </conditionalFormatting>
  <conditionalFormatting sqref="G198:H229">
    <cfRule type="expression" dxfId="384" priority="34" stopIfTrue="1">
      <formula>"esterreur(reference)"</formula>
    </cfRule>
  </conditionalFormatting>
  <conditionalFormatting sqref="G254:H285">
    <cfRule type="expression" dxfId="383" priority="35" stopIfTrue="1">
      <formula>"esterreur(reference)"</formula>
    </cfRule>
  </conditionalFormatting>
  <conditionalFormatting sqref="G101:BH153">
    <cfRule type="expression" dxfId="382" priority="36" stopIfTrue="1">
      <formula>"esterreur(reference)"</formula>
    </cfRule>
  </conditionalFormatting>
  <conditionalFormatting sqref="H5 K5">
    <cfRule type="expression" dxfId="381" priority="37" stopIfTrue="1">
      <formula>"esterreur(reference)"</formula>
    </cfRule>
  </conditionalFormatting>
  <conditionalFormatting sqref="H175">
    <cfRule type="expression" dxfId="380" priority="38" stopIfTrue="1">
      <formula>"esterreur(reference)"</formula>
    </cfRule>
  </conditionalFormatting>
  <conditionalFormatting sqref="H287">
    <cfRule type="expression" dxfId="379" priority="39" stopIfTrue="1">
      <formula>"esterreur(reference)"</formula>
    </cfRule>
  </conditionalFormatting>
  <conditionalFormatting sqref="H172:I173 K172:L173 N172:O173 Q172:R173 T172:U173 W172:X173">
    <cfRule type="expression" dxfId="378" priority="16" stopIfTrue="1">
      <formula>"esterreur(reference)"</formula>
    </cfRule>
  </conditionalFormatting>
  <conditionalFormatting sqref="H176:I196">
    <cfRule type="expression" dxfId="377" priority="40" stopIfTrue="1">
      <formula>"esterreur(reference)"</formula>
    </cfRule>
  </conditionalFormatting>
  <conditionalFormatting sqref="H240:I241 K240:L241 N240:O241 Q240:R241 T240:U241 W240:X241">
    <cfRule type="expression" dxfId="376" priority="18" stopIfTrue="1">
      <formula>"esterreur(reference)"</formula>
    </cfRule>
  </conditionalFormatting>
  <conditionalFormatting sqref="I75:I82 L75:L82 O75:O82 R75:R82 U75:U82 X75:X82">
    <cfRule type="expression" dxfId="375" priority="41" stopIfTrue="1">
      <formula>"esterreur(reference)"</formula>
    </cfRule>
  </conditionalFormatting>
  <conditionalFormatting sqref="I156:I162 L156:L162 O156:O162 R156:R162 U156:U162 X156:X162">
    <cfRule type="expression" dxfId="374" priority="42" stopIfTrue="1">
      <formula>"esterreur(reference)"</formula>
    </cfRule>
  </conditionalFormatting>
  <conditionalFormatting sqref="J198:K229 M198:N229 P198:Q229">
    <cfRule type="expression" dxfId="373" priority="43" stopIfTrue="1">
      <formula>"esterreur(reference)"</formula>
    </cfRule>
  </conditionalFormatting>
  <conditionalFormatting sqref="J254:K285 M254:N285 P254:Q285">
    <cfRule type="expression" dxfId="372" priority="44" stopIfTrue="1">
      <formula>"esterreur(reference)"</formula>
    </cfRule>
  </conditionalFormatting>
  <conditionalFormatting sqref="K175 N175 Q175">
    <cfRule type="expression" dxfId="371" priority="46" stopIfTrue="1">
      <formula>"esterreur(reference)"</formula>
    </cfRule>
  </conditionalFormatting>
  <conditionalFormatting sqref="K287 N287 Q287">
    <cfRule type="expression" dxfId="370" priority="47" stopIfTrue="1">
      <formula>"esterreur(reference)"</formula>
    </cfRule>
  </conditionalFormatting>
  <conditionalFormatting sqref="N5 Q5">
    <cfRule type="expression" dxfId="369" priority="45" stopIfTrue="1">
      <formula>"esterreur(reference)"</formula>
    </cfRule>
  </conditionalFormatting>
  <conditionalFormatting sqref="S198:T229 V198:W229">
    <cfRule type="expression" dxfId="368" priority="48" stopIfTrue="1">
      <formula>"esterreur(reference)"</formula>
    </cfRule>
  </conditionalFormatting>
  <conditionalFormatting sqref="S254:T285 V254:W285">
    <cfRule type="expression" dxfId="367" priority="49" stopIfTrue="1">
      <formula>"esterreur(reference)"</formula>
    </cfRule>
  </conditionalFormatting>
  <conditionalFormatting sqref="T5 W5">
    <cfRule type="expression" dxfId="366" priority="50" stopIfTrue="1">
      <formula>"esterreur(reference)"</formula>
    </cfRule>
  </conditionalFormatting>
  <conditionalFormatting sqref="T175 W175">
    <cfRule type="expression" dxfId="365" priority="51" stopIfTrue="1">
      <formula>"esterreur(reference)"</formula>
    </cfRule>
  </conditionalFormatting>
  <conditionalFormatting sqref="T287 W287">
    <cfRule type="expression" dxfId="364" priority="52" stopIfTrue="1">
      <formula>"esterreur(reference)"</formula>
    </cfRule>
  </conditionalFormatting>
  <conditionalFormatting sqref="W176:X192 K176:L196 N176:O196 Q176:R196 T176:U196">
    <cfRule type="expression" dxfId="363" priority="53" stopIfTrue="1">
      <formula>"esterreur(reference)"</formula>
    </cfRule>
  </conditionalFormatting>
  <conditionalFormatting sqref="W193:AD196">
    <cfRule type="expression" dxfId="362" priority="54" stopIfTrue="1">
      <formula>"esterreur(reference)"</formula>
    </cfRule>
  </conditionalFormatting>
  <conditionalFormatting sqref="Y170 AB170 AE170 AH170 AK170 Y172:Y192 AB172:AB192 J172:J196 M172:M196 P172:P196 S172:S196 V172:V196 AE172:AE196 AH172:AH196 AK172:AK196">
    <cfRule type="expression" dxfId="361" priority="55" stopIfTrue="1">
      <formula>"esterreur(reference)"</formula>
    </cfRule>
  </conditionalFormatting>
  <conditionalFormatting sqref="Z5">
    <cfRule type="expression" dxfId="360" priority="56" stopIfTrue="1">
      <formula>"esterreur(reference)"</formula>
    </cfRule>
  </conditionalFormatting>
  <conditionalFormatting sqref="Z175">
    <cfRule type="expression" dxfId="359" priority="57" stopIfTrue="1">
      <formula>"esterreur(reference)"</formula>
    </cfRule>
  </conditionalFormatting>
  <conditionalFormatting sqref="Z287">
    <cfRule type="expression" dxfId="358" priority="58" stopIfTrue="1">
      <formula>"esterreur(reference)"</formula>
    </cfRule>
  </conditionalFormatting>
  <conditionalFormatting sqref="Z176:AA192 AC176:AD192 AF176:AG196 AI176:AJ196 AL176:AM196 AO176:AP196 AR176:AS196 AU176:AV196 AX176:AY196 BA176:BB196">
    <cfRule type="expression" dxfId="357" priority="59" stopIfTrue="1">
      <formula>"esterreur(reference)"</formula>
    </cfRule>
  </conditionalFormatting>
  <conditionalFormatting sqref="Z244:AA244">
    <cfRule type="expression" dxfId="356" priority="60" stopIfTrue="1">
      <formula>"esterreur(reference)"</formula>
    </cfRule>
  </conditionalFormatting>
  <conditionalFormatting sqref="Z247:AA247">
    <cfRule type="expression" dxfId="355" priority="61" stopIfTrue="1">
      <formula>"esterreur(reference)"</formula>
    </cfRule>
  </conditionalFormatting>
  <conditionalFormatting sqref="AA75:AA82">
    <cfRule type="expression" dxfId="354" priority="62" stopIfTrue="1">
      <formula>"esterreur(reference)"</formula>
    </cfRule>
  </conditionalFormatting>
  <conditionalFormatting sqref="AA156:AA162">
    <cfRule type="expression" dxfId="353" priority="63" stopIfTrue="1">
      <formula>"esterreur(reference)"</formula>
    </cfRule>
  </conditionalFormatting>
  <conditionalFormatting sqref="AA198:AA209">
    <cfRule type="expression" dxfId="352" priority="64" stopIfTrue="1">
      <formula>"esterreur(reference)"</formula>
    </cfRule>
  </conditionalFormatting>
  <conditionalFormatting sqref="AA211:AA228">
    <cfRule type="expression" dxfId="351" priority="65" stopIfTrue="1">
      <formula>"esterreur(reference)"</formula>
    </cfRule>
  </conditionalFormatting>
  <conditionalFormatting sqref="AA254:AA265">
    <cfRule type="expression" dxfId="350" priority="66" stopIfTrue="1">
      <formula>"esterreur(reference)"</formula>
    </cfRule>
  </conditionalFormatting>
  <conditionalFormatting sqref="AB198:AC229">
    <cfRule type="expression" dxfId="349" priority="67" stopIfTrue="1">
      <formula>"esterreur(reference)"</formula>
    </cfRule>
  </conditionalFormatting>
  <conditionalFormatting sqref="AB254:AC285">
    <cfRule type="expression" dxfId="348" priority="68" stopIfTrue="1">
      <formula>"esterreur(reference)"</formula>
    </cfRule>
  </conditionalFormatting>
  <conditionalFormatting sqref="AC5">
    <cfRule type="expression" dxfId="347" priority="69" stopIfTrue="1">
      <formula>"esterreur(reference)"</formula>
    </cfRule>
  </conditionalFormatting>
  <conditionalFormatting sqref="AC175">
    <cfRule type="expression" dxfId="346" priority="70" stopIfTrue="1">
      <formula>"esterreur(reference)"</formula>
    </cfRule>
  </conditionalFormatting>
  <conditionalFormatting sqref="AC287">
    <cfRule type="expression" dxfId="345" priority="71" stopIfTrue="1">
      <formula>"esterreur(reference)"</formula>
    </cfRule>
  </conditionalFormatting>
  <conditionalFormatting sqref="AC93:AD96 AF93:AG96 AI93:AJ96">
    <cfRule type="expression" dxfId="344" priority="72" stopIfTrue="1">
      <formula>"esterreur(reference)"</formula>
    </cfRule>
  </conditionalFormatting>
  <conditionalFormatting sqref="AC99:AD100 AF99:AG100 AI99:AJ100">
    <cfRule type="expression" dxfId="343" priority="73" stopIfTrue="1">
      <formula>"esterreur(reference)"</formula>
    </cfRule>
  </conditionalFormatting>
  <conditionalFormatting sqref="AC172:AD173 AF172:AG173 AI172:AJ173">
    <cfRule type="expression" dxfId="342" priority="74" stopIfTrue="1">
      <formula>"esterreur(reference)"</formula>
    </cfRule>
  </conditionalFormatting>
  <conditionalFormatting sqref="AC240:AD241 AF240:AG241 AI240:AJ241">
    <cfRule type="expression" dxfId="341" priority="75" stopIfTrue="1">
      <formula>"esterreur(reference)"</formula>
    </cfRule>
  </conditionalFormatting>
  <conditionalFormatting sqref="AC244:AD244 AF244:AG244 AI244:AJ244">
    <cfRule type="expression" dxfId="340" priority="76" stopIfTrue="1">
      <formula>"esterreur(reference)"</formula>
    </cfRule>
  </conditionalFormatting>
  <conditionalFormatting sqref="AC247:AD247 AF247:AG247 AI247:AJ247">
    <cfRule type="expression" dxfId="339" priority="77" stopIfTrue="1">
      <formula>"esterreur(reference)"</formula>
    </cfRule>
  </conditionalFormatting>
  <conditionalFormatting sqref="AD75:AD82 AG75:AG82 AJ75:AJ82">
    <cfRule type="expression" dxfId="338" priority="78" stopIfTrue="1">
      <formula>"esterreur(reference)"</formula>
    </cfRule>
  </conditionalFormatting>
  <conditionalFormatting sqref="AD156:AD162 AG156:AG162 AJ156:AJ162">
    <cfRule type="expression" dxfId="337" priority="79" stopIfTrue="1">
      <formula>"esterreur(reference)"</formula>
    </cfRule>
  </conditionalFormatting>
  <conditionalFormatting sqref="AD174:AD175 AG174:AG175 AJ174:AJ175">
    <cfRule type="expression" dxfId="336" priority="80" stopIfTrue="1">
      <formula>"esterreur(reference)"</formula>
    </cfRule>
  </conditionalFormatting>
  <conditionalFormatting sqref="AD198:AD209 AG198:AG209 AJ198:AJ209">
    <cfRule type="expression" dxfId="335" priority="81" stopIfTrue="1">
      <formula>"esterreur(reference)"</formula>
    </cfRule>
  </conditionalFormatting>
  <conditionalFormatting sqref="AD211:AD228 AG211:AG228 AJ211:AJ228">
    <cfRule type="expression" dxfId="334" priority="82" stopIfTrue="1">
      <formula>"esterreur(reference)"</formula>
    </cfRule>
  </conditionalFormatting>
  <conditionalFormatting sqref="AD254:AD265 AG254:AG265 AJ254:AJ265">
    <cfRule type="expression" dxfId="333" priority="83" stopIfTrue="1">
      <formula>"esterreur(reference)"</formula>
    </cfRule>
  </conditionalFormatting>
  <conditionalFormatting sqref="AD267:AD284 AG267:AG284 AJ267:AJ284">
    <cfRule type="expression" dxfId="332" priority="84" stopIfTrue="1">
      <formula>"esterreur(reference)"</formula>
    </cfRule>
  </conditionalFormatting>
  <conditionalFormatting sqref="AD318:AD329 AG318:AG329 AJ318:AJ329">
    <cfRule type="expression" dxfId="331" priority="85" stopIfTrue="1">
      <formula>"esterreur(reference)"</formula>
    </cfRule>
  </conditionalFormatting>
  <conditionalFormatting sqref="AE198:AF229">
    <cfRule type="expression" dxfId="330" priority="86" stopIfTrue="1">
      <formula>"esterreur(reference)"</formula>
    </cfRule>
  </conditionalFormatting>
  <conditionalFormatting sqref="AE254:AF285">
    <cfRule type="expression" dxfId="329" priority="87" stopIfTrue="1">
      <formula>"esterreur(reference)"</formula>
    </cfRule>
  </conditionalFormatting>
  <conditionalFormatting sqref="AF5">
    <cfRule type="expression" dxfId="328" priority="88" stopIfTrue="1">
      <formula>"esterreur(reference)"</formula>
    </cfRule>
  </conditionalFormatting>
  <conditionalFormatting sqref="AF175">
    <cfRule type="expression" dxfId="327" priority="89" stopIfTrue="1">
      <formula>"esterreur(reference)"</formula>
    </cfRule>
  </conditionalFormatting>
  <conditionalFormatting sqref="AF287">
    <cfRule type="expression" dxfId="326" priority="90" stopIfTrue="1">
      <formula>"esterreur(reference)"</formula>
    </cfRule>
  </conditionalFormatting>
  <conditionalFormatting sqref="AH198:AI229">
    <cfRule type="expression" dxfId="325" priority="91" stopIfTrue="1">
      <formula>"esterreur(reference)"</formula>
    </cfRule>
  </conditionalFormatting>
  <conditionalFormatting sqref="AH254:AI285">
    <cfRule type="expression" dxfId="324" priority="92" stopIfTrue="1">
      <formula>"esterreur(reference)"</formula>
    </cfRule>
  </conditionalFormatting>
  <conditionalFormatting sqref="AI5">
    <cfRule type="expression" dxfId="323" priority="93" stopIfTrue="1">
      <formula>"esterreur(reference)"</formula>
    </cfRule>
  </conditionalFormatting>
  <conditionalFormatting sqref="AI175">
    <cfRule type="expression" dxfId="322" priority="94" stopIfTrue="1">
      <formula>"esterreur(reference)"</formula>
    </cfRule>
  </conditionalFormatting>
  <conditionalFormatting sqref="AI287">
    <cfRule type="expression" dxfId="321" priority="95" stopIfTrue="1">
      <formula>"esterreur(reference)"</formula>
    </cfRule>
  </conditionalFormatting>
  <conditionalFormatting sqref="AK198:AL229">
    <cfRule type="expression" dxfId="320" priority="96" stopIfTrue="1">
      <formula>"esterreur(reference)"</formula>
    </cfRule>
  </conditionalFormatting>
  <conditionalFormatting sqref="AK254:AL285">
    <cfRule type="expression" dxfId="319" priority="97" stopIfTrue="1">
      <formula>"esterreur(reference)"</formula>
    </cfRule>
  </conditionalFormatting>
  <conditionalFormatting sqref="AL5">
    <cfRule type="expression" dxfId="318" priority="98" stopIfTrue="1">
      <formula>"esterreur(reference)"</formula>
    </cfRule>
  </conditionalFormatting>
  <conditionalFormatting sqref="AL175">
    <cfRule type="expression" dxfId="317" priority="99" stopIfTrue="1">
      <formula>"esterreur(reference)"</formula>
    </cfRule>
  </conditionalFormatting>
  <conditionalFormatting sqref="AL287">
    <cfRule type="expression" dxfId="316" priority="100" stopIfTrue="1">
      <formula>"esterreur(reference)"</formula>
    </cfRule>
  </conditionalFormatting>
  <conditionalFormatting sqref="AL93:AM96">
    <cfRule type="expression" dxfId="315" priority="101" stopIfTrue="1">
      <formula>"esterreur(reference)"</formula>
    </cfRule>
  </conditionalFormatting>
  <conditionalFormatting sqref="AL99:AM100">
    <cfRule type="expression" dxfId="314" priority="102" stopIfTrue="1">
      <formula>"esterreur(reference)"</formula>
    </cfRule>
  </conditionalFormatting>
  <conditionalFormatting sqref="AL172:AM173">
    <cfRule type="expression" dxfId="313" priority="103" stopIfTrue="1">
      <formula>"esterreur(reference)"</formula>
    </cfRule>
  </conditionalFormatting>
  <conditionalFormatting sqref="AL240:AM241">
    <cfRule type="expression" dxfId="312" priority="104" stopIfTrue="1">
      <formula>"esterreur(reference)"</formula>
    </cfRule>
  </conditionalFormatting>
  <conditionalFormatting sqref="AL244:AM244">
    <cfRule type="expression" dxfId="311" priority="105" stopIfTrue="1">
      <formula>"esterreur(reference)"</formula>
    </cfRule>
  </conditionalFormatting>
  <conditionalFormatting sqref="AL247:AM247">
    <cfRule type="expression" dxfId="310" priority="106" stopIfTrue="1">
      <formula>"esterreur(reference)"</formula>
    </cfRule>
  </conditionalFormatting>
  <conditionalFormatting sqref="AM75:AM82">
    <cfRule type="expression" dxfId="309" priority="107" stopIfTrue="1">
      <formula>"esterreur(reference)"</formula>
    </cfRule>
  </conditionalFormatting>
  <conditionalFormatting sqref="AM156:AM162">
    <cfRule type="expression" dxfId="308" priority="108" stopIfTrue="1">
      <formula>"esterreur(reference)"</formula>
    </cfRule>
  </conditionalFormatting>
  <conditionalFormatting sqref="AM174:AM175">
    <cfRule type="expression" dxfId="307" priority="109" stopIfTrue="1">
      <formula>"esterreur(reference)"</formula>
    </cfRule>
  </conditionalFormatting>
  <conditionalFormatting sqref="AM198:AM209">
    <cfRule type="expression" dxfId="306" priority="110" stopIfTrue="1">
      <formula>"esterreur(reference)"</formula>
    </cfRule>
  </conditionalFormatting>
  <conditionalFormatting sqref="AM211:AM228">
    <cfRule type="expression" dxfId="305" priority="111" stopIfTrue="1">
      <formula>"esterreur(reference)"</formula>
    </cfRule>
  </conditionalFormatting>
  <conditionalFormatting sqref="AM254:AM265">
    <cfRule type="expression" dxfId="304" priority="112" stopIfTrue="1">
      <formula>"esterreur(reference)"</formula>
    </cfRule>
  </conditionalFormatting>
  <conditionalFormatting sqref="AM267:AM284">
    <cfRule type="expression" dxfId="303" priority="113" stopIfTrue="1">
      <formula>"esterreur(reference)"</formula>
    </cfRule>
  </conditionalFormatting>
  <conditionalFormatting sqref="AM318:AM329">
    <cfRule type="expression" dxfId="302" priority="114" stopIfTrue="1">
      <formula>"esterreur(reference)"</formula>
    </cfRule>
  </conditionalFormatting>
  <conditionalFormatting sqref="AN198:AO229">
    <cfRule type="expression" dxfId="301" priority="115" stopIfTrue="1">
      <formula>"esterreur(reference)"</formula>
    </cfRule>
  </conditionalFormatting>
  <conditionalFormatting sqref="AN254:AO285">
    <cfRule type="expression" dxfId="300" priority="116" stopIfTrue="1">
      <formula>"esterreur(reference)"</formula>
    </cfRule>
  </conditionalFormatting>
  <conditionalFormatting sqref="AO5">
    <cfRule type="expression" dxfId="299" priority="117" stopIfTrue="1">
      <formula>"esterreur(reference)"</formula>
    </cfRule>
  </conditionalFormatting>
  <conditionalFormatting sqref="AO175">
    <cfRule type="expression" dxfId="298" priority="118" stopIfTrue="1">
      <formula>"esterreur(reference)"</formula>
    </cfRule>
  </conditionalFormatting>
  <conditionalFormatting sqref="AO287">
    <cfRule type="expression" dxfId="297" priority="119" stopIfTrue="1">
      <formula>"esterreur(reference)"</formula>
    </cfRule>
  </conditionalFormatting>
  <conditionalFormatting sqref="AO93:AP96">
    <cfRule type="expression" dxfId="296" priority="120" stopIfTrue="1">
      <formula>"esterreur(reference)"</formula>
    </cfRule>
  </conditionalFormatting>
  <conditionalFormatting sqref="AO99:AP100">
    <cfRule type="expression" dxfId="295" priority="121" stopIfTrue="1">
      <formula>"esterreur(reference)"</formula>
    </cfRule>
  </conditionalFormatting>
  <conditionalFormatting sqref="AO172:AP173">
    <cfRule type="expression" dxfId="294" priority="122" stopIfTrue="1">
      <formula>"esterreur(reference)"</formula>
    </cfRule>
  </conditionalFormatting>
  <conditionalFormatting sqref="AO240:AP241">
    <cfRule type="expression" dxfId="293" priority="123" stopIfTrue="1">
      <formula>"esterreur(reference)"</formula>
    </cfRule>
  </conditionalFormatting>
  <conditionalFormatting sqref="AO244:AP244">
    <cfRule type="expression" dxfId="292" priority="124" stopIfTrue="1">
      <formula>"esterreur(reference)"</formula>
    </cfRule>
  </conditionalFormatting>
  <conditionalFormatting sqref="AO247:AP247">
    <cfRule type="expression" dxfId="291" priority="125" stopIfTrue="1">
      <formula>"esterreur(reference)"</formula>
    </cfRule>
  </conditionalFormatting>
  <conditionalFormatting sqref="AP75:AP82">
    <cfRule type="expression" dxfId="290" priority="126" stopIfTrue="1">
      <formula>"esterreur(reference)"</formula>
    </cfRule>
  </conditionalFormatting>
  <conditionalFormatting sqref="AP156:AP162">
    <cfRule type="expression" dxfId="289" priority="127" stopIfTrue="1">
      <formula>"esterreur(reference)"</formula>
    </cfRule>
  </conditionalFormatting>
  <conditionalFormatting sqref="AP174:AP175">
    <cfRule type="expression" dxfId="288" priority="128" stopIfTrue="1">
      <formula>"esterreur(reference)"</formula>
    </cfRule>
  </conditionalFormatting>
  <conditionalFormatting sqref="AP198:AP209">
    <cfRule type="expression" dxfId="287" priority="129" stopIfTrue="1">
      <formula>"esterreur(reference)"</formula>
    </cfRule>
  </conditionalFormatting>
  <conditionalFormatting sqref="AP211:AP228">
    <cfRule type="expression" dxfId="286" priority="130" stopIfTrue="1">
      <formula>"esterreur(reference)"</formula>
    </cfRule>
  </conditionalFormatting>
  <conditionalFormatting sqref="AP254:AP265">
    <cfRule type="expression" dxfId="285" priority="131" stopIfTrue="1">
      <formula>"esterreur(reference)"</formula>
    </cfRule>
  </conditionalFormatting>
  <conditionalFormatting sqref="AP267:AP284">
    <cfRule type="expression" dxfId="284" priority="132" stopIfTrue="1">
      <formula>"esterreur(reference)"</formula>
    </cfRule>
  </conditionalFormatting>
  <conditionalFormatting sqref="AP318:AP329">
    <cfRule type="expression" dxfId="283" priority="133" stopIfTrue="1">
      <formula>"esterreur(reference)"</formula>
    </cfRule>
  </conditionalFormatting>
  <conditionalFormatting sqref="AQ170 AW170 AZ170 AQ172:AQ196 AW172:AW196 AZ172:AZ196">
    <cfRule type="expression" dxfId="282" priority="134" stopIfTrue="1">
      <formula>"esterreur(reference)"</formula>
    </cfRule>
  </conditionalFormatting>
  <conditionalFormatting sqref="AQ198:AR229">
    <cfRule type="expression" dxfId="281" priority="135" stopIfTrue="1">
      <formula>"esterreur(reference)"</formula>
    </cfRule>
  </conditionalFormatting>
  <conditionalFormatting sqref="AQ254:AR285">
    <cfRule type="expression" dxfId="280" priority="136" stopIfTrue="1">
      <formula>"esterreur(reference)"</formula>
    </cfRule>
  </conditionalFormatting>
  <conditionalFormatting sqref="AR5">
    <cfRule type="expression" dxfId="279" priority="137" stopIfTrue="1">
      <formula>"esterreur(reference)"</formula>
    </cfRule>
  </conditionalFormatting>
  <conditionalFormatting sqref="AR175">
    <cfRule type="expression" dxfId="278" priority="138" stopIfTrue="1">
      <formula>"esterreur(reference)"</formula>
    </cfRule>
  </conditionalFormatting>
  <conditionalFormatting sqref="AR287">
    <cfRule type="expression" dxfId="277" priority="139" stopIfTrue="1">
      <formula>"esterreur(reference)"</formula>
    </cfRule>
  </conditionalFormatting>
  <conditionalFormatting sqref="AR93:AS96">
    <cfRule type="expression" dxfId="276" priority="140" stopIfTrue="1">
      <formula>"esterreur(reference)"</formula>
    </cfRule>
  </conditionalFormatting>
  <conditionalFormatting sqref="AR99:AS100">
    <cfRule type="expression" dxfId="275" priority="141" stopIfTrue="1">
      <formula>"esterreur(reference)"</formula>
    </cfRule>
  </conditionalFormatting>
  <conditionalFormatting sqref="AR172:AS173">
    <cfRule type="expression" dxfId="274" priority="142" stopIfTrue="1">
      <formula>"esterreur(reference)"</formula>
    </cfRule>
  </conditionalFormatting>
  <conditionalFormatting sqref="AR240:AS241">
    <cfRule type="expression" dxfId="273" priority="143" stopIfTrue="1">
      <formula>"esterreur(reference)"</formula>
    </cfRule>
  </conditionalFormatting>
  <conditionalFormatting sqref="AR244:AS244">
    <cfRule type="expression" dxfId="272" priority="144" stopIfTrue="1">
      <formula>"esterreur(reference)"</formula>
    </cfRule>
  </conditionalFormatting>
  <conditionalFormatting sqref="AR247:AS247">
    <cfRule type="expression" dxfId="271" priority="145" stopIfTrue="1">
      <formula>"esterreur(reference)"</formula>
    </cfRule>
  </conditionalFormatting>
  <conditionalFormatting sqref="AS75:AS82">
    <cfRule type="expression" dxfId="270" priority="146" stopIfTrue="1">
      <formula>"esterreur(reference)"</formula>
    </cfRule>
  </conditionalFormatting>
  <conditionalFormatting sqref="AS156:AS162">
    <cfRule type="expression" dxfId="269" priority="147" stopIfTrue="1">
      <formula>"esterreur(reference)"</formula>
    </cfRule>
  </conditionalFormatting>
  <conditionalFormatting sqref="AS174:AS175">
    <cfRule type="expression" dxfId="268" priority="148" stopIfTrue="1">
      <formula>"esterreur(reference)"</formula>
    </cfRule>
  </conditionalFormatting>
  <conditionalFormatting sqref="AS198:AS209">
    <cfRule type="expression" dxfId="267" priority="149" stopIfTrue="1">
      <formula>"esterreur(reference)"</formula>
    </cfRule>
  </conditionalFormatting>
  <conditionalFormatting sqref="AS211:AS228">
    <cfRule type="expression" dxfId="266" priority="150" stopIfTrue="1">
      <formula>"esterreur(reference)"</formula>
    </cfRule>
  </conditionalFormatting>
  <conditionalFormatting sqref="AS254:AS265">
    <cfRule type="expression" dxfId="265" priority="151" stopIfTrue="1">
      <formula>"esterreur(reference)"</formula>
    </cfRule>
  </conditionalFormatting>
  <conditionalFormatting sqref="AS267:AS284">
    <cfRule type="expression" dxfId="264" priority="152" stopIfTrue="1">
      <formula>"esterreur(reference)"</formula>
    </cfRule>
  </conditionalFormatting>
  <conditionalFormatting sqref="AS318:AS329">
    <cfRule type="expression" dxfId="263" priority="153" stopIfTrue="1">
      <formula>"esterreur(reference)"</formula>
    </cfRule>
  </conditionalFormatting>
  <conditionalFormatting sqref="AT198:AU229 AW198:AX229 AZ198:BA229">
    <cfRule type="expression" dxfId="262" priority="154" stopIfTrue="1">
      <formula>"esterreur(reference)"</formula>
    </cfRule>
  </conditionalFormatting>
  <conditionalFormatting sqref="AT254:AU285 AW254:AX285 AZ254:BA285">
    <cfRule type="expression" dxfId="261" priority="155" stopIfTrue="1">
      <formula>"esterreur(reference)"</formula>
    </cfRule>
  </conditionalFormatting>
  <conditionalFormatting sqref="AU5 AX5 BA5">
    <cfRule type="expression" dxfId="260" priority="156" stopIfTrue="1">
      <formula>"esterreur(reference)"</formula>
    </cfRule>
  </conditionalFormatting>
  <conditionalFormatting sqref="AU175 AX175 BA175">
    <cfRule type="expression" dxfId="259" priority="157" stopIfTrue="1">
      <formula>"esterreur(reference)"</formula>
    </cfRule>
  </conditionalFormatting>
  <conditionalFormatting sqref="AU287 AX287 BA287">
    <cfRule type="expression" dxfId="258" priority="158" stopIfTrue="1">
      <formula>"esterreur(reference)"</formula>
    </cfRule>
  </conditionalFormatting>
  <conditionalFormatting sqref="AU93:AV96 AX93:AY96 BA93:BB96 BD93:BE96">
    <cfRule type="expression" dxfId="257" priority="159" stopIfTrue="1">
      <formula>"esterreur(reference)"</formula>
    </cfRule>
  </conditionalFormatting>
  <conditionalFormatting sqref="AU99:AV100 AX99:AY100 BA99:BB100 BD99:BE100">
    <cfRule type="expression" dxfId="256" priority="160" stopIfTrue="1">
      <formula>"esterreur(reference)"</formula>
    </cfRule>
  </conditionalFormatting>
  <conditionalFormatting sqref="AU244:AV244 AX244:AY244 BA244:BB244 BD244:BE244">
    <cfRule type="expression" dxfId="255" priority="163" stopIfTrue="1">
      <formula>"esterreur(reference)"</formula>
    </cfRule>
  </conditionalFormatting>
  <conditionalFormatting sqref="AU247:AV247 AX247:AY247 BA247:BB247 BD247:BE247">
    <cfRule type="expression" dxfId="254" priority="164" stopIfTrue="1">
      <formula>"esterreur(reference)"</formula>
    </cfRule>
  </conditionalFormatting>
  <conditionalFormatting sqref="AV75:AV82 AY75:AY82 BB75:BB82 BE75:BE82">
    <cfRule type="expression" dxfId="253" priority="165" stopIfTrue="1">
      <formula>"esterreur(reference)"</formula>
    </cfRule>
  </conditionalFormatting>
  <conditionalFormatting sqref="AV156:AV162 AY156:AY162 BB156:BB162 BE156:BE162">
    <cfRule type="expression" dxfId="252" priority="166" stopIfTrue="1">
      <formula>"esterreur(reference)"</formula>
    </cfRule>
  </conditionalFormatting>
  <conditionalFormatting sqref="AV174:AV175 AY174:AY175 BB174:BB175 BE174:BE175">
    <cfRule type="expression" dxfId="251" priority="167" stopIfTrue="1">
      <formula>"esterreur(reference)"</formula>
    </cfRule>
  </conditionalFormatting>
  <conditionalFormatting sqref="AV198:AV209 AY198:AY209 BB198:BB209 BE198:BE209">
    <cfRule type="expression" dxfId="250" priority="168" stopIfTrue="1">
      <formula>"esterreur(reference)"</formula>
    </cfRule>
  </conditionalFormatting>
  <conditionalFormatting sqref="AV211:AV228 AY211:AY228 BB211:BB228 BE211:BE228">
    <cfRule type="expression" dxfId="249" priority="169" stopIfTrue="1">
      <formula>"esterreur(reference)"</formula>
    </cfRule>
  </conditionalFormatting>
  <conditionalFormatting sqref="AV254:AV265 AY254:AY265 BB254:BB265 BE254:BE265">
    <cfRule type="expression" dxfId="248" priority="170" stopIfTrue="1">
      <formula>"esterreur(reference)"</formula>
    </cfRule>
  </conditionalFormatting>
  <conditionalFormatting sqref="AV267:AV284 AY267:AY284 BB267:BB284 BE267:BE284">
    <cfRule type="expression" dxfId="247" priority="171" stopIfTrue="1">
      <formula>"esterreur(reference)"</formula>
    </cfRule>
  </conditionalFormatting>
  <conditionalFormatting sqref="AV318:AV329 AY318:AY329 BB318:BB329 BE318:BE329">
    <cfRule type="expression" dxfId="246" priority="172" stopIfTrue="1">
      <formula>"esterreur(reference)"</formula>
    </cfRule>
  </conditionalFormatting>
  <conditionalFormatting sqref="AY362:AY376">
    <cfRule type="expression" dxfId="245" priority="173" stopIfTrue="1">
      <formula>"esterreur(reference)"</formula>
    </cfRule>
  </conditionalFormatting>
  <conditionalFormatting sqref="AY378:AY394">
    <cfRule type="expression" dxfId="244" priority="174" stopIfTrue="1">
      <formula>"esterreur(reference)"</formula>
    </cfRule>
  </conditionalFormatting>
  <conditionalFormatting sqref="BC198:BD229">
    <cfRule type="expression" dxfId="243" priority="175" stopIfTrue="1">
      <formula>"esterreur(reference)"</formula>
    </cfRule>
  </conditionalFormatting>
  <conditionalFormatting sqref="BC254:BD285">
    <cfRule type="expression" dxfId="242" priority="176" stopIfTrue="1">
      <formula>"esterreur(reference)"</formula>
    </cfRule>
  </conditionalFormatting>
  <conditionalFormatting sqref="BD5">
    <cfRule type="expression" dxfId="241" priority="177" stopIfTrue="1">
      <formula>"esterreur(reference)"</formula>
    </cfRule>
  </conditionalFormatting>
  <conditionalFormatting sqref="BD175">
    <cfRule type="expression" dxfId="240" priority="178" stopIfTrue="1">
      <formula>"esterreur(reference)"</formula>
    </cfRule>
  </conditionalFormatting>
  <conditionalFormatting sqref="BD287">
    <cfRule type="expression" dxfId="239" priority="179" stopIfTrue="1">
      <formula>"esterreur(reference)"</formula>
    </cfRule>
  </conditionalFormatting>
  <conditionalFormatting sqref="BD171:BE173 AU172:AV173 AX172:AY173 BA172:BB173">
    <cfRule type="expression" dxfId="238" priority="161" stopIfTrue="1">
      <formula>"esterreur(reference)"</formula>
    </cfRule>
  </conditionalFormatting>
  <conditionalFormatting sqref="BD176:BE196">
    <cfRule type="expression" dxfId="237" priority="180" stopIfTrue="1">
      <formula>"esterreur(reference)"</formula>
    </cfRule>
  </conditionalFormatting>
  <conditionalFormatting sqref="BD239:BE241 AU240:AV241 AX240:AY241 BA240:BB241">
    <cfRule type="expression" dxfId="236" priority="162" stopIfTrue="1">
      <formula>"esterreur(reference)"</formula>
    </cfRule>
  </conditionalFormatting>
  <conditionalFormatting sqref="BF198:BG229">
    <cfRule type="expression" dxfId="235" priority="181" stopIfTrue="1">
      <formula>"esterreur(reference)"</formula>
    </cfRule>
  </conditionalFormatting>
  <conditionalFormatting sqref="BF254:BG285">
    <cfRule type="expression" dxfId="234" priority="182" stopIfTrue="1">
      <formula>"esterreur(reference)"</formula>
    </cfRule>
  </conditionalFormatting>
  <conditionalFormatting sqref="BG5">
    <cfRule type="expression" dxfId="233" priority="183" stopIfTrue="1">
      <formula>"esterreur(reference)"</formula>
    </cfRule>
  </conditionalFormatting>
  <conditionalFormatting sqref="BG175">
    <cfRule type="expression" dxfId="232" priority="184" stopIfTrue="1">
      <formula>"esterreur(reference)"</formula>
    </cfRule>
  </conditionalFormatting>
  <conditionalFormatting sqref="BG287">
    <cfRule type="expression" dxfId="231" priority="185" stopIfTrue="1">
      <formula>"esterreur(reference)"</formula>
    </cfRule>
  </conditionalFormatting>
  <conditionalFormatting sqref="BG93:BH96">
    <cfRule type="expression" dxfId="230" priority="186" stopIfTrue="1">
      <formula>"esterreur(reference)"</formula>
    </cfRule>
  </conditionalFormatting>
  <conditionalFormatting sqref="BG99:BH100">
    <cfRule type="expression" dxfId="229" priority="187" stopIfTrue="1">
      <formula>"esterreur(reference)"</formula>
    </cfRule>
  </conditionalFormatting>
  <conditionalFormatting sqref="BG171:BH173">
    <cfRule type="expression" dxfId="228" priority="188" stopIfTrue="1">
      <formula>"esterreur(reference)"</formula>
    </cfRule>
  </conditionalFormatting>
  <conditionalFormatting sqref="BG176:BH196">
    <cfRule type="expression" dxfId="227" priority="189" stopIfTrue="1">
      <formula>"esterreur(reference)"</formula>
    </cfRule>
  </conditionalFormatting>
  <conditionalFormatting sqref="BG239:BH241">
    <cfRule type="expression" dxfId="226" priority="190" stopIfTrue="1">
      <formula>"esterreur(reference)"</formula>
    </cfRule>
  </conditionalFormatting>
  <conditionalFormatting sqref="BG244:BH244">
    <cfRule type="expression" dxfId="225" priority="191" stopIfTrue="1">
      <formula>"esterreur(reference)"</formula>
    </cfRule>
  </conditionalFormatting>
  <conditionalFormatting sqref="BG247:BH247">
    <cfRule type="expression" dxfId="224" priority="192" stopIfTrue="1">
      <formula>"esterreur(reference)"</formula>
    </cfRule>
  </conditionalFormatting>
  <conditionalFormatting sqref="BH75:BH82">
    <cfRule type="expression" dxfId="223" priority="193" stopIfTrue="1">
      <formula>"esterreur(reference)"</formula>
    </cfRule>
  </conditionalFormatting>
  <conditionalFormatting sqref="BH156:BH162">
    <cfRule type="expression" dxfId="222" priority="194" stopIfTrue="1">
      <formula>"esterreur(reference)"</formula>
    </cfRule>
  </conditionalFormatting>
  <conditionalFormatting sqref="BH174:BH175">
    <cfRule type="expression" dxfId="221" priority="195" stopIfTrue="1">
      <formula>"esterreur(reference)"</formula>
    </cfRule>
  </conditionalFormatting>
  <conditionalFormatting sqref="BH198:BH209">
    <cfRule type="expression" dxfId="220" priority="196" stopIfTrue="1">
      <formula>"esterreur(reference)"</formula>
    </cfRule>
  </conditionalFormatting>
  <conditionalFormatting sqref="BH211:BH228">
    <cfRule type="expression" dxfId="219" priority="197" stopIfTrue="1">
      <formula>"esterreur(reference)"</formula>
    </cfRule>
  </conditionalFormatting>
  <conditionalFormatting sqref="BH254:BH265">
    <cfRule type="expression" dxfId="218" priority="198" stopIfTrue="1">
      <formula>"esterreur(reference)"</formula>
    </cfRule>
  </conditionalFormatting>
  <conditionalFormatting sqref="BH267:BH284">
    <cfRule type="expression" dxfId="217" priority="199" stopIfTrue="1">
      <formula>"esterreur(reference)"</formula>
    </cfRule>
  </conditionalFormatting>
  <conditionalFormatting sqref="BH318:BH329">
    <cfRule type="expression" dxfId="216" priority="200" stopIfTrue="1">
      <formula>"esterreur(reference)"</formula>
    </cfRule>
  </conditionalFormatting>
  <pageMargins left="0.7" right="0.7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34250-1B4E-4DBC-B74A-E7705F7CC510}">
  <sheetPr>
    <tabColor rgb="FFBDD6EE"/>
    <pageSetUpPr fitToPage="1"/>
  </sheetPr>
  <dimension ref="A1:BY407"/>
  <sheetViews>
    <sheetView workbookViewId="0">
      <pane ySplit="1" topLeftCell="A2" activePane="bottomLeft" state="frozen"/>
      <selection activeCell="F400" sqref="F400"/>
      <selection pane="bottomLeft" activeCell="BH2" sqref="AZ1:BH1048576"/>
    </sheetView>
  </sheetViews>
  <sheetFormatPr baseColWidth="10" defaultColWidth="14.42578125" defaultRowHeight="15" customHeight="1" x14ac:dyDescent="0.25"/>
  <cols>
    <col min="1" max="1" width="3" customWidth="1"/>
    <col min="2" max="2" width="3.28515625" customWidth="1"/>
    <col min="3" max="3" width="42" customWidth="1"/>
    <col min="4" max="24" width="19.140625" customWidth="1"/>
    <col min="25" max="25" width="16" customWidth="1"/>
    <col min="26" max="26" width="16.5703125" customWidth="1"/>
    <col min="27" max="27" width="22.42578125" customWidth="1"/>
    <col min="28" max="28" width="14.5703125" customWidth="1"/>
    <col min="29" max="29" width="16.5703125" customWidth="1"/>
    <col min="30" max="30" width="22.42578125" customWidth="1"/>
    <col min="31" max="31" width="14.5703125" customWidth="1"/>
    <col min="32" max="32" width="16.5703125" customWidth="1"/>
    <col min="33" max="33" width="22.42578125" customWidth="1"/>
    <col min="34" max="34" width="14.5703125" customWidth="1"/>
    <col min="35" max="35" width="16.5703125" customWidth="1"/>
    <col min="36" max="36" width="22.42578125" customWidth="1"/>
    <col min="37" max="37" width="14.5703125" customWidth="1"/>
    <col min="38" max="38" width="16.5703125" customWidth="1"/>
    <col min="39" max="39" width="22.42578125" customWidth="1"/>
    <col min="40" max="40" width="14.5703125" customWidth="1"/>
    <col min="41" max="41" width="16.5703125" customWidth="1"/>
    <col min="42" max="42" width="22.42578125" customWidth="1"/>
    <col min="43" max="43" width="14.5703125" customWidth="1"/>
    <col min="44" max="44" width="16.5703125" customWidth="1"/>
    <col min="45" max="45" width="22.42578125" customWidth="1"/>
    <col min="46" max="46" width="14.5703125" customWidth="1"/>
    <col min="47" max="47" width="16.5703125" customWidth="1"/>
    <col min="48" max="48" width="22.42578125" customWidth="1"/>
    <col min="49" max="49" width="14.5703125" customWidth="1"/>
    <col min="50" max="50" width="16.5703125" customWidth="1"/>
    <col min="51" max="51" width="22.42578125" customWidth="1"/>
    <col min="52" max="52" width="14.5703125" hidden="1" customWidth="1"/>
    <col min="53" max="53" width="16.5703125" hidden="1" customWidth="1"/>
    <col min="54" max="54" width="22.42578125" hidden="1" customWidth="1"/>
    <col min="55" max="55" width="14.5703125" hidden="1" customWidth="1"/>
    <col min="56" max="56" width="16.5703125" hidden="1" customWidth="1"/>
    <col min="57" max="57" width="22.42578125" hidden="1" customWidth="1"/>
    <col min="58" max="58" width="14.5703125" hidden="1" customWidth="1"/>
    <col min="59" max="59" width="16.5703125" hidden="1" customWidth="1"/>
    <col min="60" max="60" width="22.42578125" hidden="1" customWidth="1"/>
    <col min="61" max="61" width="19.5703125" customWidth="1"/>
    <col min="62" max="62" width="9.7109375" customWidth="1"/>
    <col min="63" max="63" width="10.7109375" customWidth="1"/>
    <col min="64" max="64" width="10.140625" customWidth="1"/>
    <col min="65" max="65" width="6.7109375" customWidth="1"/>
    <col min="66" max="66" width="11.5703125" customWidth="1"/>
    <col min="67" max="67" width="13.140625" customWidth="1"/>
    <col min="68" max="68" width="10" customWidth="1"/>
    <col min="69" max="69" width="15.28515625" customWidth="1"/>
    <col min="70" max="70" width="14" customWidth="1"/>
    <col min="71" max="71" width="14.85546875" customWidth="1"/>
    <col min="72" max="72" width="12.140625" customWidth="1"/>
    <col min="73" max="73" width="8.28515625" customWidth="1"/>
    <col min="74" max="74" width="10.5703125" customWidth="1"/>
    <col min="75" max="75" width="15.28515625" customWidth="1"/>
    <col min="76" max="77" width="10.7109375" customWidth="1"/>
  </cols>
  <sheetData>
    <row r="1" spans="1:77" s="156" customFormat="1" ht="30" x14ac:dyDescent="0.4">
      <c r="A1" s="158"/>
      <c r="B1" s="158"/>
      <c r="C1" s="158"/>
      <c r="D1" s="159" t="s">
        <v>110</v>
      </c>
      <c r="E1" s="160"/>
      <c r="F1" s="160"/>
      <c r="G1" s="159" t="s">
        <v>126</v>
      </c>
      <c r="H1" s="160"/>
      <c r="I1" s="160"/>
      <c r="J1" s="159" t="s">
        <v>125</v>
      </c>
      <c r="K1" s="160"/>
      <c r="L1" s="160"/>
      <c r="M1" s="159" t="s">
        <v>124</v>
      </c>
      <c r="N1" s="160"/>
      <c r="O1" s="160"/>
      <c r="P1" s="159" t="s">
        <v>123</v>
      </c>
      <c r="Q1" s="160"/>
      <c r="R1" s="160"/>
      <c r="S1" s="159" t="s">
        <v>122</v>
      </c>
      <c r="T1" s="160"/>
      <c r="U1" s="160"/>
      <c r="V1" s="159" t="s">
        <v>130</v>
      </c>
      <c r="W1" s="160"/>
      <c r="X1" s="160"/>
      <c r="Y1" s="159" t="s">
        <v>120</v>
      </c>
      <c r="Z1" s="160"/>
      <c r="AA1" s="160"/>
      <c r="AB1" s="159" t="s">
        <v>129</v>
      </c>
      <c r="AC1" s="160"/>
      <c r="AD1" s="160"/>
      <c r="AE1" s="159" t="s">
        <v>118</v>
      </c>
      <c r="AF1" s="160"/>
      <c r="AG1" s="160"/>
      <c r="AH1" s="159" t="s">
        <v>117</v>
      </c>
      <c r="AI1" s="160"/>
      <c r="AJ1" s="160"/>
      <c r="AK1" s="159" t="s">
        <v>116</v>
      </c>
      <c r="AL1" s="160"/>
      <c r="AM1" s="160"/>
      <c r="AN1" s="159" t="s">
        <v>115</v>
      </c>
      <c r="AO1" s="160"/>
      <c r="AP1" s="160"/>
      <c r="AQ1" s="159" t="s">
        <v>114</v>
      </c>
      <c r="AR1" s="160"/>
      <c r="AS1" s="160"/>
      <c r="AT1" s="159" t="s">
        <v>113</v>
      </c>
      <c r="AU1" s="160"/>
      <c r="AV1" s="160"/>
      <c r="AW1" s="159" t="s">
        <v>112</v>
      </c>
      <c r="AX1" s="160"/>
      <c r="AY1" s="160"/>
      <c r="AZ1" s="159"/>
      <c r="BA1" s="160"/>
      <c r="BB1" s="160"/>
      <c r="BC1" s="159"/>
      <c r="BD1" s="159"/>
      <c r="BE1" s="159"/>
      <c r="BF1" s="159"/>
      <c r="BG1" s="159"/>
      <c r="BH1" s="159"/>
      <c r="BI1" s="158"/>
      <c r="BJ1" s="157"/>
      <c r="BK1" s="157"/>
      <c r="BL1" s="157"/>
      <c r="BM1" s="157"/>
      <c r="BN1" s="157"/>
      <c r="BO1" s="157"/>
      <c r="BP1" s="157"/>
      <c r="BQ1" s="157"/>
      <c r="BR1" s="157"/>
      <c r="BS1" s="157"/>
      <c r="BT1" s="157"/>
      <c r="BU1" s="157"/>
      <c r="BV1" s="157"/>
      <c r="BW1" s="157"/>
      <c r="BX1" s="157"/>
      <c r="BY1" s="157"/>
    </row>
    <row r="2" spans="1:77" ht="36" thickBot="1" x14ac:dyDescent="0.55000000000000004">
      <c r="C2" s="58" t="str">
        <f>Y2</f>
        <v>Véhicules neufs</v>
      </c>
      <c r="D2" s="58"/>
      <c r="E2" s="58"/>
      <c r="Y2" s="164" t="s">
        <v>111</v>
      </c>
      <c r="Z2" s="165"/>
      <c r="AA2" s="165"/>
      <c r="AB2" s="164"/>
      <c r="AC2" s="165"/>
      <c r="AD2" s="165"/>
      <c r="AE2" s="164"/>
      <c r="AF2" s="165"/>
      <c r="AG2" s="165"/>
      <c r="AH2" s="164"/>
      <c r="AI2" s="165"/>
      <c r="AJ2" s="165"/>
      <c r="AK2" s="164" t="str">
        <f>C2</f>
        <v>Véhicules neufs</v>
      </c>
      <c r="AL2" s="165"/>
      <c r="AM2" s="165"/>
      <c r="AN2" s="164"/>
      <c r="AO2" s="165"/>
      <c r="AP2" s="165"/>
      <c r="AQ2" s="164"/>
      <c r="AR2" s="165"/>
      <c r="AS2" s="165"/>
      <c r="AT2" s="164"/>
      <c r="AU2" s="165"/>
      <c r="AV2" s="165"/>
      <c r="AW2" s="164"/>
      <c r="AX2" s="165"/>
      <c r="AY2" s="165"/>
      <c r="AZ2" s="57"/>
      <c r="BA2" s="57"/>
      <c r="BB2" s="57"/>
      <c r="BC2" s="57"/>
      <c r="BD2" s="57"/>
      <c r="BE2" s="57"/>
      <c r="BF2" s="57"/>
      <c r="BG2" s="57"/>
      <c r="BH2" s="57"/>
    </row>
    <row r="3" spans="1:77" ht="21.75" thickTop="1" thickBot="1" x14ac:dyDescent="0.35">
      <c r="C3" s="56"/>
      <c r="D3" s="161" t="s">
        <v>110</v>
      </c>
      <c r="E3" s="162"/>
      <c r="F3" s="163"/>
      <c r="G3" s="161" t="str">
        <f>G1</f>
        <v>BMW PA</v>
      </c>
      <c r="H3" s="162"/>
      <c r="I3" s="163"/>
      <c r="J3" s="161" t="str">
        <f>J1</f>
        <v>BMW STJ</v>
      </c>
      <c r="K3" s="162"/>
      <c r="L3" s="163"/>
      <c r="M3" s="161" t="str">
        <f>M1</f>
        <v>BMW SHER</v>
      </c>
      <c r="N3" s="162"/>
      <c r="O3" s="163"/>
      <c r="P3" s="161" t="str">
        <f>P1</f>
        <v>MBQ</v>
      </c>
      <c r="Q3" s="162"/>
      <c r="R3" s="163"/>
      <c r="S3" s="161" t="str">
        <f>S1</f>
        <v>SSMB</v>
      </c>
      <c r="T3" s="162"/>
      <c r="U3" s="163"/>
      <c r="V3" s="161" t="str">
        <f>V1</f>
        <v>Audi</v>
      </c>
      <c r="W3" s="162"/>
      <c r="X3" s="163"/>
      <c r="Y3" s="161" t="str">
        <f>Y1</f>
        <v>JLR</v>
      </c>
      <c r="Z3" s="162"/>
      <c r="AA3" s="163"/>
      <c r="AB3" s="161" t="str">
        <f>AB1</f>
        <v>Lexus</v>
      </c>
      <c r="AC3" s="162"/>
      <c r="AD3" s="163"/>
      <c r="AE3" s="161" t="str">
        <f>AE1</f>
        <v>Volvo</v>
      </c>
      <c r="AF3" s="162"/>
      <c r="AG3" s="163"/>
      <c r="AH3" s="161" t="str">
        <f>AH1</f>
        <v>Mini</v>
      </c>
      <c r="AI3" s="162"/>
      <c r="AJ3" s="163"/>
      <c r="AK3" s="161" t="str">
        <f>AK1</f>
        <v>Infiniti</v>
      </c>
      <c r="AL3" s="162"/>
      <c r="AM3" s="163"/>
      <c r="AN3" s="161" t="str">
        <f>AN1</f>
        <v>Honda</v>
      </c>
      <c r="AO3" s="162"/>
      <c r="AP3" s="163"/>
      <c r="AQ3" s="161" t="str">
        <f>AQ1</f>
        <v>Toyota</v>
      </c>
      <c r="AR3" s="162"/>
      <c r="AS3" s="163"/>
      <c r="AT3" s="161" t="str">
        <f>AT1</f>
        <v>Volks</v>
      </c>
      <c r="AU3" s="162"/>
      <c r="AV3" s="163"/>
      <c r="AW3" s="161" t="str">
        <f>AW1</f>
        <v>LHD</v>
      </c>
      <c r="AX3" s="162"/>
      <c r="AY3" s="163"/>
      <c r="AZ3" s="161"/>
      <c r="BA3" s="162"/>
      <c r="BB3" s="163"/>
      <c r="BC3" s="161"/>
      <c r="BD3" s="171"/>
      <c r="BE3" s="172"/>
      <c r="BF3" s="161"/>
      <c r="BG3" s="171"/>
      <c r="BH3" s="172"/>
    </row>
    <row r="4" spans="1:77" ht="20.25" x14ac:dyDescent="0.3">
      <c r="C4" s="72"/>
      <c r="D4" s="52" t="s">
        <v>94</v>
      </c>
      <c r="E4" s="51" t="s">
        <v>93</v>
      </c>
      <c r="F4" s="50" t="s">
        <v>31</v>
      </c>
      <c r="G4" s="52" t="str">
        <f>$D4</f>
        <v>UNITE</v>
      </c>
      <c r="H4" s="51" t="str">
        <f>$E4</f>
        <v>$P/UNITÉ</v>
      </c>
      <c r="I4" s="50" t="str">
        <f>$F4</f>
        <v>$PROFITS</v>
      </c>
      <c r="J4" s="52" t="str">
        <f>$D4</f>
        <v>UNITE</v>
      </c>
      <c r="K4" s="51" t="str">
        <f>$E4</f>
        <v>$P/UNITÉ</v>
      </c>
      <c r="L4" s="50" t="str">
        <f>$F4</f>
        <v>$PROFITS</v>
      </c>
      <c r="M4" s="52" t="str">
        <f>$D4</f>
        <v>UNITE</v>
      </c>
      <c r="N4" s="51" t="str">
        <f>$E4</f>
        <v>$P/UNITÉ</v>
      </c>
      <c r="O4" s="50" t="str">
        <f>$F4</f>
        <v>$PROFITS</v>
      </c>
      <c r="P4" s="52" t="str">
        <f>$D4</f>
        <v>UNITE</v>
      </c>
      <c r="Q4" s="51" t="str">
        <f>$E4</f>
        <v>$P/UNITÉ</v>
      </c>
      <c r="R4" s="50" t="str">
        <f>$F4</f>
        <v>$PROFITS</v>
      </c>
      <c r="S4" s="52" t="str">
        <f>$D4</f>
        <v>UNITE</v>
      </c>
      <c r="T4" s="51" t="str">
        <f>$E4</f>
        <v>$P/UNITÉ</v>
      </c>
      <c r="U4" s="50" t="str">
        <f>$F4</f>
        <v>$PROFITS</v>
      </c>
      <c r="V4" s="52" t="str">
        <f>$D4</f>
        <v>UNITE</v>
      </c>
      <c r="W4" s="51" t="str">
        <f>$E4</f>
        <v>$P/UNITÉ</v>
      </c>
      <c r="X4" s="50" t="str">
        <f>$F4</f>
        <v>$PROFITS</v>
      </c>
      <c r="Y4" s="52" t="str">
        <f>$D4</f>
        <v>UNITE</v>
      </c>
      <c r="Z4" s="51" t="str">
        <f>$E4</f>
        <v>$P/UNITÉ</v>
      </c>
      <c r="AA4" s="50" t="str">
        <f>$F4</f>
        <v>$PROFITS</v>
      </c>
      <c r="AB4" s="52" t="str">
        <f>$D4</f>
        <v>UNITE</v>
      </c>
      <c r="AC4" s="51" t="str">
        <f>$E4</f>
        <v>$P/UNITÉ</v>
      </c>
      <c r="AD4" s="50" t="str">
        <f>$F4</f>
        <v>$PROFITS</v>
      </c>
      <c r="AE4" s="52" t="str">
        <f>$D4</f>
        <v>UNITE</v>
      </c>
      <c r="AF4" s="51" t="str">
        <f>$E4</f>
        <v>$P/UNITÉ</v>
      </c>
      <c r="AG4" s="50" t="str">
        <f>$F4</f>
        <v>$PROFITS</v>
      </c>
      <c r="AH4" s="52" t="str">
        <f>$D4</f>
        <v>UNITE</v>
      </c>
      <c r="AI4" s="51" t="str">
        <f>$E4</f>
        <v>$P/UNITÉ</v>
      </c>
      <c r="AJ4" s="50" t="str">
        <f>$F4</f>
        <v>$PROFITS</v>
      </c>
      <c r="AK4" s="52" t="str">
        <f>$D4</f>
        <v>UNITE</v>
      </c>
      <c r="AL4" s="51" t="str">
        <f>$E4</f>
        <v>$P/UNITÉ</v>
      </c>
      <c r="AM4" s="50" t="str">
        <f>$F4</f>
        <v>$PROFITS</v>
      </c>
      <c r="AN4" s="52" t="str">
        <f>$D4</f>
        <v>UNITE</v>
      </c>
      <c r="AO4" s="51" t="str">
        <f>$E4</f>
        <v>$P/UNITÉ</v>
      </c>
      <c r="AP4" s="50" t="str">
        <f>$F4</f>
        <v>$PROFITS</v>
      </c>
      <c r="AQ4" s="52" t="str">
        <f>$D4</f>
        <v>UNITE</v>
      </c>
      <c r="AR4" s="51" t="str">
        <f>$E4</f>
        <v>$P/UNITÉ</v>
      </c>
      <c r="AS4" s="50" t="str">
        <f>$F4</f>
        <v>$PROFITS</v>
      </c>
      <c r="AT4" s="52" t="str">
        <f>$D4</f>
        <v>UNITE</v>
      </c>
      <c r="AU4" s="51" t="str">
        <f>$E4</f>
        <v>$P/UNITÉ</v>
      </c>
      <c r="AV4" s="50" t="str">
        <f>$F4</f>
        <v>$PROFITS</v>
      </c>
      <c r="AW4" s="52" t="str">
        <f>$D4</f>
        <v>UNITE</v>
      </c>
      <c r="AX4" s="51" t="str">
        <f>$E4</f>
        <v>$P/UNITÉ</v>
      </c>
      <c r="AY4" s="50" t="str">
        <f>$F4</f>
        <v>$PROFITS</v>
      </c>
      <c r="AZ4" s="52"/>
      <c r="BA4" s="51"/>
      <c r="BB4" s="50"/>
      <c r="BC4" s="52"/>
      <c r="BD4" s="51"/>
      <c r="BE4" s="50"/>
      <c r="BF4" s="52"/>
      <c r="BG4" s="51"/>
      <c r="BH4" s="50"/>
    </row>
    <row r="5" spans="1:77" ht="20.25" x14ac:dyDescent="0.3">
      <c r="C5" s="67" t="s">
        <v>92</v>
      </c>
      <c r="D5" s="67"/>
      <c r="E5" s="125"/>
      <c r="F5" s="22">
        <f t="shared" ref="F5:F12" si="0">+SUM(I5,L5,O5,R5,U5,X5,AA5,AD5,AG5,AJ5,AM5,AP5,AS5,AV5,AY5,BB5,BE5,BH5)</f>
        <v>94155033.739999875</v>
      </c>
      <c r="G5" s="67">
        <v>0</v>
      </c>
      <c r="H5" s="125">
        <v>0</v>
      </c>
      <c r="I5" s="22">
        <v>4772395.63</v>
      </c>
      <c r="J5" s="67">
        <v>0</v>
      </c>
      <c r="K5" s="125">
        <v>0</v>
      </c>
      <c r="L5" s="22">
        <v>3988009.8</v>
      </c>
      <c r="M5" s="67">
        <v>0</v>
      </c>
      <c r="N5" s="125">
        <v>0</v>
      </c>
      <c r="O5" s="22">
        <v>2049096.79</v>
      </c>
      <c r="P5" s="67">
        <v>0</v>
      </c>
      <c r="Q5" s="125">
        <v>0</v>
      </c>
      <c r="R5" s="22">
        <v>9680631.1899999995</v>
      </c>
      <c r="S5" s="67">
        <v>0</v>
      </c>
      <c r="T5" s="125">
        <v>0</v>
      </c>
      <c r="U5" s="22">
        <v>32280006.6199999</v>
      </c>
      <c r="V5" s="67">
        <v>0</v>
      </c>
      <c r="W5" s="125">
        <v>0</v>
      </c>
      <c r="X5" s="22">
        <v>9382460.9399999995</v>
      </c>
      <c r="Y5" s="67">
        <v>0</v>
      </c>
      <c r="Z5" s="125">
        <v>0</v>
      </c>
      <c r="AA5" s="22">
        <v>7648510.8499999996</v>
      </c>
      <c r="AB5" s="67">
        <v>0</v>
      </c>
      <c r="AC5" s="125">
        <v>0</v>
      </c>
      <c r="AD5" s="22">
        <v>5032819.3899999997</v>
      </c>
      <c r="AE5" s="67">
        <v>0</v>
      </c>
      <c r="AF5" s="125">
        <v>0</v>
      </c>
      <c r="AG5" s="22">
        <v>3925556.52</v>
      </c>
      <c r="AH5" s="67">
        <v>0</v>
      </c>
      <c r="AI5" s="125">
        <v>0</v>
      </c>
      <c r="AJ5" s="22">
        <v>1300571.8500000001</v>
      </c>
      <c r="AK5" s="67">
        <v>0</v>
      </c>
      <c r="AL5" s="125">
        <v>0</v>
      </c>
      <c r="AM5" s="22">
        <v>1685133.73</v>
      </c>
      <c r="AN5" s="67">
        <v>0</v>
      </c>
      <c r="AO5" s="125">
        <v>0</v>
      </c>
      <c r="AP5" s="22">
        <v>2684118.86</v>
      </c>
      <c r="AQ5" s="67">
        <v>0</v>
      </c>
      <c r="AR5" s="125">
        <v>0</v>
      </c>
      <c r="AS5" s="22">
        <v>3922773.26</v>
      </c>
      <c r="AT5" s="67">
        <v>0</v>
      </c>
      <c r="AU5" s="125">
        <v>0</v>
      </c>
      <c r="AV5" s="22">
        <v>4994106.98999999</v>
      </c>
      <c r="AW5" s="67">
        <v>0</v>
      </c>
      <c r="AX5" s="125">
        <v>0</v>
      </c>
      <c r="AY5" s="22">
        <v>808841.32</v>
      </c>
      <c r="AZ5" s="67"/>
      <c r="BA5" s="125"/>
      <c r="BB5" s="22"/>
      <c r="BC5" s="67"/>
      <c r="BD5" s="125"/>
      <c r="BE5" s="22"/>
      <c r="BF5" s="67"/>
      <c r="BG5" s="125"/>
      <c r="BH5" s="22"/>
    </row>
    <row r="6" spans="1:77" ht="20.25" x14ac:dyDescent="0.3">
      <c r="C6" s="8" t="s">
        <v>109</v>
      </c>
      <c r="D6" s="86">
        <f t="shared" ref="D6:D12" si="1">+SUM(G6,J6,M6,P6,S6,V6,Y6,AB6,AE6,AH6,AK6,AN6,AQ6,AT6,AW6,AZ6,BC6,BF6)</f>
        <v>154</v>
      </c>
      <c r="E6" s="97">
        <f t="shared" ref="E6:E12" si="2">IF(D6=0,0,F6/D6)</f>
        <v>2030.0461688311668</v>
      </c>
      <c r="F6" s="18">
        <f t="shared" si="0"/>
        <v>312627.10999999969</v>
      </c>
      <c r="G6" s="86">
        <v>12</v>
      </c>
      <c r="H6" s="97">
        <v>3894.2933333333199</v>
      </c>
      <c r="I6" s="18">
        <v>46731.519999999902</v>
      </c>
      <c r="J6" s="86">
        <v>12</v>
      </c>
      <c r="K6" s="97">
        <v>3330.0216666666502</v>
      </c>
      <c r="L6" s="18">
        <v>39960.259999999798</v>
      </c>
      <c r="M6" s="86">
        <v>8</v>
      </c>
      <c r="N6" s="97">
        <v>3497.5162499999901</v>
      </c>
      <c r="O6" s="18">
        <v>27980.129999999899</v>
      </c>
      <c r="P6" s="86">
        <v>2</v>
      </c>
      <c r="Q6" s="97">
        <v>311.22499999999798</v>
      </c>
      <c r="R6" s="18">
        <v>622.44999999999698</v>
      </c>
      <c r="S6" s="86">
        <v>39</v>
      </c>
      <c r="T6" s="97">
        <v>839.07538461541003</v>
      </c>
      <c r="U6" s="18">
        <v>32723.940000000901</v>
      </c>
      <c r="V6" s="86">
        <v>22</v>
      </c>
      <c r="W6" s="97">
        <v>3788.7077272726901</v>
      </c>
      <c r="X6" s="18">
        <v>83351.569999999294</v>
      </c>
      <c r="Y6" s="86">
        <v>0</v>
      </c>
      <c r="Z6" s="97">
        <v>0</v>
      </c>
      <c r="AA6" s="18">
        <v>0</v>
      </c>
      <c r="AB6" s="86">
        <v>5</v>
      </c>
      <c r="AC6" s="97">
        <v>3790.5039999999999</v>
      </c>
      <c r="AD6" s="18">
        <v>18952.52</v>
      </c>
      <c r="AE6" s="86">
        <v>0</v>
      </c>
      <c r="AF6" s="97">
        <v>0</v>
      </c>
      <c r="AG6" s="18">
        <v>-476.98</v>
      </c>
      <c r="AH6" s="86">
        <v>7</v>
      </c>
      <c r="AI6" s="97">
        <v>1808.2457142857099</v>
      </c>
      <c r="AJ6" s="18">
        <v>12657.72</v>
      </c>
      <c r="AK6" s="86">
        <v>0</v>
      </c>
      <c r="AL6" s="97">
        <v>0</v>
      </c>
      <c r="AM6" s="18">
        <v>0</v>
      </c>
      <c r="AN6" s="86">
        <v>20</v>
      </c>
      <c r="AO6" s="97">
        <v>250.15950000000001</v>
      </c>
      <c r="AP6" s="18">
        <v>5003.1899999999996</v>
      </c>
      <c r="AQ6" s="86">
        <v>15</v>
      </c>
      <c r="AR6" s="97">
        <v>1733.47133333333</v>
      </c>
      <c r="AS6" s="18">
        <v>26002.07</v>
      </c>
      <c r="AT6" s="86">
        <v>12</v>
      </c>
      <c r="AU6" s="97">
        <v>1593.2266666666501</v>
      </c>
      <c r="AV6" s="18">
        <v>19118.719999999899</v>
      </c>
      <c r="AW6" s="86">
        <v>0</v>
      </c>
      <c r="AX6" s="97">
        <v>0</v>
      </c>
      <c r="AY6" s="18">
        <v>0</v>
      </c>
      <c r="AZ6" s="86"/>
      <c r="BA6" s="97"/>
      <c r="BB6" s="18"/>
      <c r="BC6" s="86"/>
      <c r="BD6" s="97"/>
      <c r="BE6" s="18"/>
      <c r="BF6" s="86"/>
      <c r="BG6" s="97"/>
      <c r="BH6" s="18"/>
    </row>
    <row r="7" spans="1:77" ht="20.25" x14ac:dyDescent="0.3">
      <c r="C7" s="8" t="s">
        <v>108</v>
      </c>
      <c r="D7" s="86">
        <f t="shared" si="1"/>
        <v>582</v>
      </c>
      <c r="E7" s="97">
        <f t="shared" si="2"/>
        <v>2995.3272336769692</v>
      </c>
      <c r="F7" s="18">
        <f t="shared" si="0"/>
        <v>1743280.449999996</v>
      </c>
      <c r="G7" s="86">
        <v>18</v>
      </c>
      <c r="H7" s="97">
        <v>3205.9777777777799</v>
      </c>
      <c r="I7" s="18">
        <v>57707.6</v>
      </c>
      <c r="J7" s="86">
        <v>20</v>
      </c>
      <c r="K7" s="97">
        <v>2958.6959999999999</v>
      </c>
      <c r="L7" s="18">
        <v>59173.919999999998</v>
      </c>
      <c r="M7" s="86">
        <v>10</v>
      </c>
      <c r="N7" s="97">
        <v>3968.6509999999898</v>
      </c>
      <c r="O7" s="18">
        <v>39686.5099999999</v>
      </c>
      <c r="P7" s="86">
        <v>19</v>
      </c>
      <c r="Q7" s="97">
        <v>1502.19578947368</v>
      </c>
      <c r="R7" s="18">
        <v>28541.719999999899</v>
      </c>
      <c r="S7" s="86">
        <v>163</v>
      </c>
      <c r="T7" s="97">
        <v>4098.8931288343501</v>
      </c>
      <c r="U7" s="18">
        <v>668119.57999999996</v>
      </c>
      <c r="V7" s="86">
        <v>45</v>
      </c>
      <c r="W7" s="97">
        <v>1350.99000000001</v>
      </c>
      <c r="X7" s="18">
        <v>60794.550000000403</v>
      </c>
      <c r="Y7" s="86">
        <v>46</v>
      </c>
      <c r="Z7" s="97">
        <v>3874.5939130434599</v>
      </c>
      <c r="AA7" s="18">
        <v>178231.31999999899</v>
      </c>
      <c r="AB7" s="86">
        <v>56</v>
      </c>
      <c r="AC7" s="97">
        <v>2863.8582142857099</v>
      </c>
      <c r="AD7" s="18">
        <v>160376.06</v>
      </c>
      <c r="AE7" s="86">
        <v>33</v>
      </c>
      <c r="AF7" s="97">
        <v>4384.0863636363401</v>
      </c>
      <c r="AG7" s="18">
        <v>144674.84999999899</v>
      </c>
      <c r="AH7" s="86">
        <v>10</v>
      </c>
      <c r="AI7" s="97">
        <v>1705.165</v>
      </c>
      <c r="AJ7" s="18">
        <v>17051.650000000001</v>
      </c>
      <c r="AK7" s="86">
        <v>16</v>
      </c>
      <c r="AL7" s="97">
        <v>0</v>
      </c>
      <c r="AM7" s="18">
        <v>0</v>
      </c>
      <c r="AN7" s="86">
        <v>33</v>
      </c>
      <c r="AO7" s="97">
        <v>966.77424242424297</v>
      </c>
      <c r="AP7" s="18">
        <v>31903.55</v>
      </c>
      <c r="AQ7" s="86">
        <v>47</v>
      </c>
      <c r="AR7" s="97">
        <v>2767.1223404255202</v>
      </c>
      <c r="AS7" s="18">
        <v>130054.749999999</v>
      </c>
      <c r="AT7" s="86">
        <v>66</v>
      </c>
      <c r="AU7" s="97">
        <v>2529.7634848484799</v>
      </c>
      <c r="AV7" s="18">
        <v>166964.389999999</v>
      </c>
      <c r="AW7" s="86">
        <v>0</v>
      </c>
      <c r="AX7" s="97">
        <v>0</v>
      </c>
      <c r="AY7" s="18">
        <v>0</v>
      </c>
      <c r="AZ7" s="86"/>
      <c r="BA7" s="97"/>
      <c r="BB7" s="18"/>
      <c r="BC7" s="86"/>
      <c r="BD7" s="97"/>
      <c r="BE7" s="18"/>
      <c r="BF7" s="86"/>
      <c r="BG7" s="97"/>
      <c r="BH7" s="18"/>
    </row>
    <row r="8" spans="1:77" ht="20.25" x14ac:dyDescent="0.3">
      <c r="C8" s="8" t="s">
        <v>107</v>
      </c>
      <c r="D8" s="86">
        <f t="shared" si="1"/>
        <v>40</v>
      </c>
      <c r="E8" s="97">
        <f t="shared" si="2"/>
        <v>3756.5854999999974</v>
      </c>
      <c r="F8" s="18">
        <f t="shared" si="0"/>
        <v>150263.4199999999</v>
      </c>
      <c r="G8" s="86">
        <v>0</v>
      </c>
      <c r="H8" s="97">
        <v>0</v>
      </c>
      <c r="I8" s="18">
        <v>0</v>
      </c>
      <c r="J8" s="86">
        <v>0</v>
      </c>
      <c r="K8" s="97">
        <v>0</v>
      </c>
      <c r="L8" s="18">
        <v>0</v>
      </c>
      <c r="M8" s="86">
        <v>0</v>
      </c>
      <c r="N8" s="97">
        <v>0</v>
      </c>
      <c r="O8" s="18">
        <v>0</v>
      </c>
      <c r="P8" s="86">
        <v>11</v>
      </c>
      <c r="Q8" s="97">
        <v>3568.8454545454501</v>
      </c>
      <c r="R8" s="18">
        <v>39257.299999999901</v>
      </c>
      <c r="S8" s="86">
        <v>29</v>
      </c>
      <c r="T8" s="97">
        <v>3827.79724137932</v>
      </c>
      <c r="U8" s="18">
        <v>111006.12</v>
      </c>
      <c r="V8" s="86">
        <v>0</v>
      </c>
      <c r="W8" s="97">
        <v>0</v>
      </c>
      <c r="X8" s="18">
        <v>0</v>
      </c>
      <c r="Y8" s="86">
        <v>0</v>
      </c>
      <c r="Z8" s="97">
        <v>0</v>
      </c>
      <c r="AA8" s="18">
        <v>0</v>
      </c>
      <c r="AB8" s="86">
        <v>0</v>
      </c>
      <c r="AC8" s="97">
        <v>0</v>
      </c>
      <c r="AD8" s="18">
        <v>0</v>
      </c>
      <c r="AE8" s="86">
        <v>0</v>
      </c>
      <c r="AF8" s="97">
        <v>0</v>
      </c>
      <c r="AG8" s="18">
        <v>0</v>
      </c>
      <c r="AH8" s="86">
        <v>0</v>
      </c>
      <c r="AI8" s="97">
        <v>0</v>
      </c>
      <c r="AJ8" s="18">
        <v>0</v>
      </c>
      <c r="AK8" s="86">
        <v>0</v>
      </c>
      <c r="AL8" s="97">
        <v>0</v>
      </c>
      <c r="AM8" s="18">
        <v>0</v>
      </c>
      <c r="AN8" s="86">
        <v>0</v>
      </c>
      <c r="AO8" s="97">
        <v>0</v>
      </c>
      <c r="AP8" s="18">
        <v>0</v>
      </c>
      <c r="AQ8" s="86">
        <v>0</v>
      </c>
      <c r="AR8" s="97">
        <v>0</v>
      </c>
      <c r="AS8" s="18">
        <v>0</v>
      </c>
      <c r="AT8" s="86">
        <v>0</v>
      </c>
      <c r="AU8" s="97">
        <v>0</v>
      </c>
      <c r="AV8" s="18">
        <v>0</v>
      </c>
      <c r="AW8" s="86">
        <v>0</v>
      </c>
      <c r="AX8" s="97">
        <v>0</v>
      </c>
      <c r="AY8" s="18">
        <v>0</v>
      </c>
      <c r="AZ8" s="86"/>
      <c r="BA8" s="97"/>
      <c r="BB8" s="18"/>
      <c r="BC8" s="86"/>
      <c r="BD8" s="97"/>
      <c r="BE8" s="18"/>
      <c r="BF8" s="86"/>
      <c r="BG8" s="97"/>
      <c r="BH8" s="18"/>
    </row>
    <row r="9" spans="1:77" ht="20.25" x14ac:dyDescent="0.3">
      <c r="C9" s="8" t="s">
        <v>106</v>
      </c>
      <c r="D9" s="86">
        <f t="shared" si="1"/>
        <v>20</v>
      </c>
      <c r="E9" s="97">
        <f t="shared" si="2"/>
        <v>3067.2309999999952</v>
      </c>
      <c r="F9" s="18">
        <f t="shared" si="0"/>
        <v>61344.619999999901</v>
      </c>
      <c r="G9" s="86">
        <v>0</v>
      </c>
      <c r="H9" s="97">
        <v>0</v>
      </c>
      <c r="I9" s="18">
        <v>0</v>
      </c>
      <c r="J9" s="86">
        <v>0</v>
      </c>
      <c r="K9" s="97">
        <v>0</v>
      </c>
      <c r="L9" s="18">
        <v>0</v>
      </c>
      <c r="M9" s="86">
        <v>0</v>
      </c>
      <c r="N9" s="97">
        <v>0</v>
      </c>
      <c r="O9" s="18">
        <v>0</v>
      </c>
      <c r="P9" s="86">
        <v>0</v>
      </c>
      <c r="Q9" s="97">
        <v>0</v>
      </c>
      <c r="R9" s="18">
        <v>0</v>
      </c>
      <c r="S9" s="86">
        <v>0</v>
      </c>
      <c r="T9" s="97">
        <v>0</v>
      </c>
      <c r="U9" s="18">
        <v>0</v>
      </c>
      <c r="V9" s="86">
        <v>0</v>
      </c>
      <c r="W9" s="97">
        <v>0</v>
      </c>
      <c r="X9" s="18">
        <v>0</v>
      </c>
      <c r="Y9" s="86">
        <v>0</v>
      </c>
      <c r="Z9" s="97">
        <v>0</v>
      </c>
      <c r="AA9" s="18">
        <v>0</v>
      </c>
      <c r="AB9" s="86">
        <v>0</v>
      </c>
      <c r="AC9" s="97">
        <v>0</v>
      </c>
      <c r="AD9" s="18">
        <v>0</v>
      </c>
      <c r="AE9" s="86">
        <v>0</v>
      </c>
      <c r="AF9" s="97">
        <v>0</v>
      </c>
      <c r="AG9" s="18">
        <v>0</v>
      </c>
      <c r="AH9" s="86">
        <v>0</v>
      </c>
      <c r="AI9" s="97">
        <v>0</v>
      </c>
      <c r="AJ9" s="18">
        <v>0</v>
      </c>
      <c r="AK9" s="86">
        <v>0</v>
      </c>
      <c r="AL9" s="97">
        <v>0</v>
      </c>
      <c r="AM9" s="18">
        <v>0</v>
      </c>
      <c r="AN9" s="86">
        <v>0</v>
      </c>
      <c r="AO9" s="97">
        <v>0</v>
      </c>
      <c r="AP9" s="18">
        <v>0</v>
      </c>
      <c r="AQ9" s="86">
        <v>0</v>
      </c>
      <c r="AR9" s="97">
        <v>0</v>
      </c>
      <c r="AS9" s="18">
        <v>0</v>
      </c>
      <c r="AT9" s="86">
        <v>0</v>
      </c>
      <c r="AU9" s="97">
        <v>0</v>
      </c>
      <c r="AV9" s="18">
        <v>0</v>
      </c>
      <c r="AW9" s="86">
        <v>20</v>
      </c>
      <c r="AX9" s="97">
        <v>3067.2309999999902</v>
      </c>
      <c r="AY9" s="18">
        <v>61344.619999999901</v>
      </c>
      <c r="AZ9" s="86"/>
      <c r="BA9" s="97"/>
      <c r="BB9" s="18"/>
      <c r="BC9" s="86"/>
      <c r="BD9" s="97"/>
      <c r="BE9" s="18"/>
      <c r="BF9" s="86"/>
      <c r="BG9" s="97"/>
      <c r="BH9" s="18"/>
    </row>
    <row r="10" spans="1:77" ht="20.25" hidden="1" x14ac:dyDescent="0.3">
      <c r="C10" s="8" t="s">
        <v>3</v>
      </c>
      <c r="D10" s="86">
        <f t="shared" si="1"/>
        <v>0</v>
      </c>
      <c r="E10" s="97">
        <f t="shared" si="2"/>
        <v>0</v>
      </c>
      <c r="F10" s="18">
        <f t="shared" si="0"/>
        <v>0</v>
      </c>
      <c r="G10" s="86">
        <v>0</v>
      </c>
      <c r="H10" s="97">
        <v>0</v>
      </c>
      <c r="I10" s="18">
        <v>0</v>
      </c>
      <c r="J10" s="86">
        <v>0</v>
      </c>
      <c r="K10" s="97">
        <v>0</v>
      </c>
      <c r="L10" s="18">
        <v>0</v>
      </c>
      <c r="M10" s="86">
        <v>0</v>
      </c>
      <c r="N10" s="97">
        <v>0</v>
      </c>
      <c r="O10" s="18">
        <v>0</v>
      </c>
      <c r="P10" s="86">
        <v>0</v>
      </c>
      <c r="Q10" s="97">
        <v>0</v>
      </c>
      <c r="R10" s="18">
        <v>0</v>
      </c>
      <c r="S10" s="86">
        <v>0</v>
      </c>
      <c r="T10" s="97">
        <v>0</v>
      </c>
      <c r="U10" s="18">
        <v>0</v>
      </c>
      <c r="V10" s="86">
        <v>0</v>
      </c>
      <c r="W10" s="97">
        <v>0</v>
      </c>
      <c r="X10" s="18">
        <v>0</v>
      </c>
      <c r="Y10" s="86">
        <v>0</v>
      </c>
      <c r="Z10" s="97">
        <v>0</v>
      </c>
      <c r="AA10" s="18">
        <v>0</v>
      </c>
      <c r="AB10" s="86">
        <v>0</v>
      </c>
      <c r="AC10" s="97">
        <v>0</v>
      </c>
      <c r="AD10" s="18">
        <v>0</v>
      </c>
      <c r="AE10" s="86">
        <v>0</v>
      </c>
      <c r="AF10" s="97">
        <v>0</v>
      </c>
      <c r="AG10" s="18">
        <v>0</v>
      </c>
      <c r="AH10" s="86">
        <v>0</v>
      </c>
      <c r="AI10" s="97">
        <v>0</v>
      </c>
      <c r="AJ10" s="18">
        <v>0</v>
      </c>
      <c r="AK10" s="86">
        <v>0</v>
      </c>
      <c r="AL10" s="97">
        <v>0</v>
      </c>
      <c r="AM10" s="18">
        <v>0</v>
      </c>
      <c r="AN10" s="86">
        <v>0</v>
      </c>
      <c r="AO10" s="97">
        <v>0</v>
      </c>
      <c r="AP10" s="18">
        <v>0</v>
      </c>
      <c r="AQ10" s="86">
        <v>0</v>
      </c>
      <c r="AR10" s="97">
        <v>0</v>
      </c>
      <c r="AS10" s="18">
        <v>0</v>
      </c>
      <c r="AT10" s="86">
        <v>0</v>
      </c>
      <c r="AU10" s="97">
        <v>0</v>
      </c>
      <c r="AV10" s="18">
        <v>0</v>
      </c>
      <c r="AW10" s="86">
        <v>0</v>
      </c>
      <c r="AX10" s="97">
        <v>0</v>
      </c>
      <c r="AY10" s="18">
        <v>0</v>
      </c>
      <c r="AZ10" s="86"/>
      <c r="BA10" s="97"/>
      <c r="BB10" s="18"/>
      <c r="BC10" s="86"/>
      <c r="BD10" s="97"/>
      <c r="BE10" s="18"/>
      <c r="BF10" s="86"/>
      <c r="BG10" s="97"/>
      <c r="BH10" s="18"/>
    </row>
    <row r="11" spans="1:77" ht="20.25" hidden="1" x14ac:dyDescent="0.3">
      <c r="C11" s="8" t="s">
        <v>3</v>
      </c>
      <c r="D11" s="86">
        <f t="shared" si="1"/>
        <v>0</v>
      </c>
      <c r="E11" s="97">
        <f t="shared" si="2"/>
        <v>0</v>
      </c>
      <c r="F11" s="18">
        <f t="shared" si="0"/>
        <v>0</v>
      </c>
      <c r="G11" s="86">
        <v>0</v>
      </c>
      <c r="H11" s="97">
        <v>0</v>
      </c>
      <c r="I11" s="18">
        <v>0</v>
      </c>
      <c r="J11" s="86">
        <v>0</v>
      </c>
      <c r="K11" s="97">
        <v>0</v>
      </c>
      <c r="L11" s="18">
        <v>0</v>
      </c>
      <c r="M11" s="86">
        <v>0</v>
      </c>
      <c r="N11" s="97">
        <v>0</v>
      </c>
      <c r="O11" s="18">
        <v>0</v>
      </c>
      <c r="P11" s="86">
        <v>0</v>
      </c>
      <c r="Q11" s="97">
        <v>0</v>
      </c>
      <c r="R11" s="18">
        <v>0</v>
      </c>
      <c r="S11" s="86">
        <v>0</v>
      </c>
      <c r="T11" s="97">
        <v>0</v>
      </c>
      <c r="U11" s="18">
        <v>0</v>
      </c>
      <c r="V11" s="86">
        <v>0</v>
      </c>
      <c r="W11" s="97">
        <v>0</v>
      </c>
      <c r="X11" s="18">
        <v>0</v>
      </c>
      <c r="Y11" s="86">
        <v>0</v>
      </c>
      <c r="Z11" s="97">
        <v>0</v>
      </c>
      <c r="AA11" s="18">
        <v>0</v>
      </c>
      <c r="AB11" s="86">
        <v>0</v>
      </c>
      <c r="AC11" s="97">
        <v>0</v>
      </c>
      <c r="AD11" s="18">
        <v>0</v>
      </c>
      <c r="AE11" s="86">
        <v>0</v>
      </c>
      <c r="AF11" s="97">
        <v>0</v>
      </c>
      <c r="AG11" s="18">
        <v>0</v>
      </c>
      <c r="AH11" s="86">
        <v>0</v>
      </c>
      <c r="AI11" s="97">
        <v>0</v>
      </c>
      <c r="AJ11" s="18">
        <v>0</v>
      </c>
      <c r="AK11" s="86">
        <v>0</v>
      </c>
      <c r="AL11" s="97">
        <v>0</v>
      </c>
      <c r="AM11" s="18">
        <v>0</v>
      </c>
      <c r="AN11" s="86">
        <v>0</v>
      </c>
      <c r="AO11" s="97">
        <v>0</v>
      </c>
      <c r="AP11" s="18">
        <v>0</v>
      </c>
      <c r="AQ11" s="86">
        <v>0</v>
      </c>
      <c r="AR11" s="97">
        <v>0</v>
      </c>
      <c r="AS11" s="18">
        <v>0</v>
      </c>
      <c r="AT11" s="86">
        <v>0</v>
      </c>
      <c r="AU11" s="97">
        <v>0</v>
      </c>
      <c r="AV11" s="18">
        <v>0</v>
      </c>
      <c r="AW11" s="86">
        <v>0</v>
      </c>
      <c r="AX11" s="97">
        <v>0</v>
      </c>
      <c r="AY11" s="18">
        <v>0</v>
      </c>
      <c r="AZ11" s="86"/>
      <c r="BA11" s="97"/>
      <c r="BB11" s="18"/>
      <c r="BC11" s="86"/>
      <c r="BD11" s="97"/>
      <c r="BE11" s="18"/>
      <c r="BF11" s="86"/>
      <c r="BG11" s="97"/>
      <c r="BH11" s="18"/>
    </row>
    <row r="12" spans="1:77" ht="20.25" hidden="1" x14ac:dyDescent="0.3">
      <c r="C12" s="8" t="s">
        <v>3</v>
      </c>
      <c r="D12" s="86">
        <f t="shared" si="1"/>
        <v>0</v>
      </c>
      <c r="E12" s="97">
        <f t="shared" si="2"/>
        <v>0</v>
      </c>
      <c r="F12" s="18">
        <f t="shared" si="0"/>
        <v>0</v>
      </c>
      <c r="G12" s="86">
        <v>0</v>
      </c>
      <c r="H12" s="97">
        <v>0</v>
      </c>
      <c r="I12" s="18">
        <v>0</v>
      </c>
      <c r="J12" s="86">
        <v>0</v>
      </c>
      <c r="K12" s="97">
        <v>0</v>
      </c>
      <c r="L12" s="18">
        <v>0</v>
      </c>
      <c r="M12" s="86">
        <v>0</v>
      </c>
      <c r="N12" s="97">
        <v>0</v>
      </c>
      <c r="O12" s="18">
        <v>0</v>
      </c>
      <c r="P12" s="86">
        <v>0</v>
      </c>
      <c r="Q12" s="97">
        <v>0</v>
      </c>
      <c r="R12" s="18">
        <v>0</v>
      </c>
      <c r="S12" s="86">
        <v>0</v>
      </c>
      <c r="T12" s="97">
        <v>0</v>
      </c>
      <c r="U12" s="18">
        <v>0</v>
      </c>
      <c r="V12" s="86">
        <v>0</v>
      </c>
      <c r="W12" s="97">
        <v>0</v>
      </c>
      <c r="X12" s="18">
        <v>0</v>
      </c>
      <c r="Y12" s="86">
        <v>0</v>
      </c>
      <c r="Z12" s="97">
        <v>0</v>
      </c>
      <c r="AA12" s="18">
        <v>0</v>
      </c>
      <c r="AB12" s="86">
        <v>0</v>
      </c>
      <c r="AC12" s="97">
        <v>0</v>
      </c>
      <c r="AD12" s="18">
        <v>0</v>
      </c>
      <c r="AE12" s="86">
        <v>0</v>
      </c>
      <c r="AF12" s="97">
        <v>0</v>
      </c>
      <c r="AG12" s="18">
        <v>0</v>
      </c>
      <c r="AH12" s="86">
        <v>0</v>
      </c>
      <c r="AI12" s="97">
        <v>0</v>
      </c>
      <c r="AJ12" s="18">
        <v>0</v>
      </c>
      <c r="AK12" s="86">
        <v>0</v>
      </c>
      <c r="AL12" s="97">
        <v>0</v>
      </c>
      <c r="AM12" s="18">
        <v>0</v>
      </c>
      <c r="AN12" s="86">
        <v>0</v>
      </c>
      <c r="AO12" s="97">
        <v>0</v>
      </c>
      <c r="AP12" s="18">
        <v>0</v>
      </c>
      <c r="AQ12" s="86">
        <v>0</v>
      </c>
      <c r="AR12" s="97">
        <v>0</v>
      </c>
      <c r="AS12" s="18">
        <v>0</v>
      </c>
      <c r="AT12" s="86">
        <v>0</v>
      </c>
      <c r="AU12" s="97">
        <v>0</v>
      </c>
      <c r="AV12" s="18">
        <v>0</v>
      </c>
      <c r="AW12" s="86">
        <v>0</v>
      </c>
      <c r="AX12" s="97">
        <v>0</v>
      </c>
      <c r="AY12" s="18">
        <v>0</v>
      </c>
      <c r="AZ12" s="86"/>
      <c r="BA12" s="97"/>
      <c r="BB12" s="18"/>
      <c r="BC12" s="86"/>
      <c r="BD12" s="97"/>
      <c r="BE12" s="18"/>
      <c r="BF12" s="86"/>
      <c r="BG12" s="97"/>
      <c r="BH12" s="18"/>
    </row>
    <row r="13" spans="1:77" ht="20.25" x14ac:dyDescent="0.3">
      <c r="C13" s="117" t="s">
        <v>105</v>
      </c>
      <c r="D13" s="140">
        <f>SUM(D6:D9)</f>
        <v>796</v>
      </c>
      <c r="E13" s="139"/>
      <c r="F13" s="138">
        <f>SUM(F6:F9)</f>
        <v>2267515.5999999954</v>
      </c>
      <c r="G13" s="140">
        <v>30</v>
      </c>
      <c r="H13" s="139">
        <v>3481.3039999999901</v>
      </c>
      <c r="I13" s="138">
        <v>104439.11999999901</v>
      </c>
      <c r="J13" s="140">
        <v>32</v>
      </c>
      <c r="K13" s="139">
        <v>3097.9431249999898</v>
      </c>
      <c r="L13" s="138">
        <v>99134.179999999804</v>
      </c>
      <c r="M13" s="140">
        <v>18</v>
      </c>
      <c r="N13" s="139">
        <v>3759.2577777777701</v>
      </c>
      <c r="O13" s="138">
        <v>67666.639999999796</v>
      </c>
      <c r="P13" s="140">
        <v>32</v>
      </c>
      <c r="Q13" s="139">
        <v>2138.17093749999</v>
      </c>
      <c r="R13" s="138">
        <v>68421.469999999899</v>
      </c>
      <c r="S13" s="140">
        <v>231</v>
      </c>
      <c r="T13" s="139">
        <v>3514.5006060606102</v>
      </c>
      <c r="U13" s="138">
        <v>811849.64000000095</v>
      </c>
      <c r="V13" s="140">
        <v>67</v>
      </c>
      <c r="W13" s="139">
        <v>2151.43462686566</v>
      </c>
      <c r="X13" s="138">
        <v>144146.11999999901</v>
      </c>
      <c r="Y13" s="140">
        <v>46</v>
      </c>
      <c r="Z13" s="139">
        <v>3874.5939130434599</v>
      </c>
      <c r="AA13" s="138">
        <v>178231.31999999899</v>
      </c>
      <c r="AB13" s="140">
        <v>61</v>
      </c>
      <c r="AC13" s="139">
        <v>2939.8127868852498</v>
      </c>
      <c r="AD13" s="138">
        <v>179328.58</v>
      </c>
      <c r="AE13" s="140">
        <v>33</v>
      </c>
      <c r="AF13" s="139">
        <v>4369.6324242423998</v>
      </c>
      <c r="AG13" s="138">
        <v>144197.86999999901</v>
      </c>
      <c r="AH13" s="140">
        <v>17</v>
      </c>
      <c r="AI13" s="139">
        <v>1747.61</v>
      </c>
      <c r="AJ13" s="138">
        <v>29709.37</v>
      </c>
      <c r="AK13" s="140">
        <v>16</v>
      </c>
      <c r="AL13" s="139">
        <v>0</v>
      </c>
      <c r="AM13" s="138">
        <v>0</v>
      </c>
      <c r="AN13" s="140">
        <v>53</v>
      </c>
      <c r="AO13" s="139">
        <v>696.35358490566102</v>
      </c>
      <c r="AP13" s="138">
        <v>36906.74</v>
      </c>
      <c r="AQ13" s="140">
        <v>62</v>
      </c>
      <c r="AR13" s="139">
        <v>2517.0454838709602</v>
      </c>
      <c r="AS13" s="138">
        <v>156056.81999999899</v>
      </c>
      <c r="AT13" s="140">
        <v>78</v>
      </c>
      <c r="AU13" s="139">
        <v>2385.6808974358901</v>
      </c>
      <c r="AV13" s="138">
        <v>186083.109999999</v>
      </c>
      <c r="AW13" s="140">
        <v>20</v>
      </c>
      <c r="AX13" s="139">
        <v>3067.2309999999902</v>
      </c>
      <c r="AY13" s="138">
        <v>61344.619999999901</v>
      </c>
      <c r="AZ13" s="140"/>
      <c r="BA13" s="139"/>
      <c r="BB13" s="138"/>
      <c r="BC13" s="140"/>
      <c r="BD13" s="139"/>
      <c r="BE13" s="138"/>
      <c r="BF13" s="140"/>
      <c r="BG13" s="139"/>
      <c r="BH13" s="138"/>
    </row>
    <row r="14" spans="1:77" ht="20.25" x14ac:dyDescent="0.3">
      <c r="C14" s="8"/>
      <c r="D14" s="8"/>
      <c r="E14" s="97"/>
      <c r="F14" s="6"/>
      <c r="G14" s="8"/>
      <c r="H14" s="97"/>
      <c r="I14" s="6"/>
      <c r="J14" s="8"/>
      <c r="K14" s="97"/>
      <c r="L14" s="6"/>
      <c r="M14" s="8"/>
      <c r="N14" s="97"/>
      <c r="O14" s="6"/>
      <c r="P14" s="8"/>
      <c r="Q14" s="97"/>
      <c r="R14" s="6"/>
      <c r="S14" s="8"/>
      <c r="T14" s="97"/>
      <c r="U14" s="6"/>
      <c r="V14" s="8"/>
      <c r="W14" s="97"/>
      <c r="X14" s="6"/>
      <c r="Y14" s="8"/>
      <c r="Z14" s="97"/>
      <c r="AA14" s="6"/>
      <c r="AB14" s="8"/>
      <c r="AC14" s="97"/>
      <c r="AD14" s="6"/>
      <c r="AE14" s="8"/>
      <c r="AF14" s="97"/>
      <c r="AG14" s="6"/>
      <c r="AH14" s="8"/>
      <c r="AI14" s="97"/>
      <c r="AJ14" s="6"/>
      <c r="AK14" s="8"/>
      <c r="AL14" s="97"/>
      <c r="AM14" s="6"/>
      <c r="AN14" s="8"/>
      <c r="AO14" s="97"/>
      <c r="AP14" s="6"/>
      <c r="AQ14" s="8"/>
      <c r="AR14" s="97"/>
      <c r="AS14" s="6"/>
      <c r="AT14" s="8"/>
      <c r="AU14" s="97"/>
      <c r="AV14" s="6"/>
      <c r="AW14" s="8"/>
      <c r="AX14" s="97"/>
      <c r="AY14" s="6"/>
      <c r="AZ14" s="8"/>
      <c r="BA14" s="97"/>
      <c r="BB14" s="6"/>
      <c r="BC14" s="8"/>
      <c r="BD14" s="97"/>
      <c r="BE14" s="6"/>
      <c r="BF14" s="8"/>
      <c r="BG14" s="97"/>
      <c r="BH14" s="6"/>
    </row>
    <row r="15" spans="1:77" ht="20.25" x14ac:dyDescent="0.3">
      <c r="C15" s="152" t="s">
        <v>104</v>
      </c>
      <c r="D15" s="154">
        <f>+SUM(G15,J15,M15,P15,S15,V15,Y15,AB15,AE15,AH15,AK15,AN15,AQ15,AT15,AW15,AZ15,BC15,BF15)</f>
        <v>141</v>
      </c>
      <c r="E15" s="153">
        <f>IF(D15=0,0,F15/D15)</f>
        <v>-15.429858156031257</v>
      </c>
      <c r="F15" s="155">
        <f>+SUM(I15,L15,O15,R15,U15,X15,AA15,AD15,AG15,AJ15,AM15,AP15,AS15,AV15,AY15,BB15,BE15,BH15)</f>
        <v>-2175.6100000004071</v>
      </c>
      <c r="G15" s="154">
        <v>9</v>
      </c>
      <c r="H15" s="153">
        <v>1316.3144444444299</v>
      </c>
      <c r="I15" s="155">
        <v>11846.8299999999</v>
      </c>
      <c r="J15" s="154">
        <v>8</v>
      </c>
      <c r="K15" s="153">
        <v>1658.9375</v>
      </c>
      <c r="L15" s="155">
        <v>13271.5</v>
      </c>
      <c r="M15" s="154">
        <v>5</v>
      </c>
      <c r="N15" s="153">
        <v>2672.5920000000001</v>
      </c>
      <c r="O15" s="155">
        <v>13362.96</v>
      </c>
      <c r="P15" s="154">
        <v>29</v>
      </c>
      <c r="Q15" s="153">
        <v>476.12862068965399</v>
      </c>
      <c r="R15" s="155">
        <v>13807.7299999999</v>
      </c>
      <c r="S15" s="154">
        <v>28</v>
      </c>
      <c r="T15" s="153">
        <v>-4487.4182142857198</v>
      </c>
      <c r="U15" s="155">
        <v>-125647.71</v>
      </c>
      <c r="V15" s="154">
        <v>30</v>
      </c>
      <c r="W15" s="153">
        <v>1641.8886666666599</v>
      </c>
      <c r="X15" s="155">
        <v>49256.659999999902</v>
      </c>
      <c r="Y15" s="154">
        <v>2</v>
      </c>
      <c r="Z15" s="153">
        <v>-3353.6199999999899</v>
      </c>
      <c r="AA15" s="155">
        <v>-6707.2399999999898</v>
      </c>
      <c r="AB15" s="154">
        <v>0</v>
      </c>
      <c r="AC15" s="153">
        <v>0</v>
      </c>
      <c r="AD15" s="155">
        <v>0</v>
      </c>
      <c r="AE15" s="154">
        <v>13</v>
      </c>
      <c r="AF15" s="153">
        <v>1236.4392307692201</v>
      </c>
      <c r="AG15" s="155">
        <v>16073.709999999901</v>
      </c>
      <c r="AH15" s="154">
        <v>4</v>
      </c>
      <c r="AI15" s="153">
        <v>1089.76249999999</v>
      </c>
      <c r="AJ15" s="155">
        <v>4359.0499999999802</v>
      </c>
      <c r="AK15" s="154">
        <v>6</v>
      </c>
      <c r="AL15" s="153">
        <v>0</v>
      </c>
      <c r="AM15" s="155">
        <v>0</v>
      </c>
      <c r="AN15" s="154">
        <v>3</v>
      </c>
      <c r="AO15" s="153">
        <v>86.736666666668796</v>
      </c>
      <c r="AP15" s="155">
        <v>260.210000000006</v>
      </c>
      <c r="AQ15" s="154">
        <v>0</v>
      </c>
      <c r="AR15" s="153">
        <v>0</v>
      </c>
      <c r="AS15" s="155">
        <v>0</v>
      </c>
      <c r="AT15" s="154">
        <v>4</v>
      </c>
      <c r="AU15" s="153">
        <v>1985.1724999999999</v>
      </c>
      <c r="AV15" s="155">
        <v>7940.69</v>
      </c>
      <c r="AW15" s="154">
        <v>0</v>
      </c>
      <c r="AX15" s="153">
        <v>0</v>
      </c>
      <c r="AY15" s="155">
        <v>0</v>
      </c>
      <c r="AZ15" s="154"/>
      <c r="BA15" s="153"/>
      <c r="BB15" s="155"/>
      <c r="BC15" s="154"/>
      <c r="BD15" s="153"/>
      <c r="BE15" s="22"/>
      <c r="BF15" s="154"/>
      <c r="BG15" s="153"/>
      <c r="BH15" s="22"/>
    </row>
    <row r="16" spans="1:77" ht="20.25" x14ac:dyDescent="0.3">
      <c r="C16" s="8"/>
      <c r="D16" s="8"/>
      <c r="E16" s="97"/>
      <c r="F16" s="18"/>
      <c r="G16" s="8"/>
      <c r="H16" s="97"/>
      <c r="I16" s="18"/>
      <c r="J16" s="8"/>
      <c r="K16" s="97"/>
      <c r="L16" s="18"/>
      <c r="M16" s="8"/>
      <c r="N16" s="97"/>
      <c r="O16" s="18"/>
      <c r="P16" s="8"/>
      <c r="Q16" s="97"/>
      <c r="R16" s="18"/>
      <c r="S16" s="8"/>
      <c r="T16" s="97"/>
      <c r="U16" s="18"/>
      <c r="V16" s="8"/>
      <c r="W16" s="97"/>
      <c r="X16" s="18"/>
      <c r="Y16" s="8"/>
      <c r="Z16" s="97"/>
      <c r="AA16" s="18"/>
      <c r="AB16" s="8"/>
      <c r="AC16" s="97"/>
      <c r="AD16" s="18"/>
      <c r="AE16" s="8"/>
      <c r="AF16" s="97"/>
      <c r="AG16" s="18"/>
      <c r="AH16" s="8"/>
      <c r="AI16" s="97"/>
      <c r="AJ16" s="18"/>
      <c r="AK16" s="8"/>
      <c r="AL16" s="97"/>
      <c r="AM16" s="18"/>
      <c r="AN16" s="8"/>
      <c r="AO16" s="97"/>
      <c r="AP16" s="18"/>
      <c r="AQ16" s="8"/>
      <c r="AR16" s="97"/>
      <c r="AS16" s="18"/>
      <c r="AT16" s="8"/>
      <c r="AU16" s="97"/>
      <c r="AV16" s="18"/>
      <c r="AW16" s="8"/>
      <c r="AX16" s="97"/>
      <c r="AY16" s="18"/>
      <c r="AZ16" s="8"/>
      <c r="BA16" s="97"/>
      <c r="BB16" s="18"/>
      <c r="BC16" s="8"/>
      <c r="BD16" s="97"/>
      <c r="BE16" s="18"/>
      <c r="BF16" s="8"/>
      <c r="BG16" s="97"/>
      <c r="BH16" s="18"/>
    </row>
    <row r="17" spans="3:60" ht="20.25" x14ac:dyDescent="0.3">
      <c r="C17" s="32" t="s">
        <v>103</v>
      </c>
      <c r="D17" s="82">
        <f>+SUM(G17,J17,M17,P17,S17,V17,Y17,AB17,AE17,AH17,AK17,AN17,AQ17,AT17,AW17,AZ17,BC17,BF17)</f>
        <v>125</v>
      </c>
      <c r="E17" s="97">
        <f>IF(D17=0,0,F17/D17)</f>
        <v>2084.9081599999922</v>
      </c>
      <c r="F17" s="18">
        <f>+SUM(I17,L17,O17,R17,U17,X17,AA17,AD17,AG17,AJ17,AM17,AP17,AS17,AV17,AY17,BB17,BE17,BH17)</f>
        <v>260613.51999999903</v>
      </c>
      <c r="G17" s="82">
        <v>11</v>
      </c>
      <c r="H17" s="97">
        <v>2060.53636363636</v>
      </c>
      <c r="I17" s="18">
        <v>22665.9</v>
      </c>
      <c r="J17" s="82">
        <v>3</v>
      </c>
      <c r="K17" s="97">
        <v>-501.76666666666699</v>
      </c>
      <c r="L17" s="18">
        <v>-1505.3</v>
      </c>
      <c r="M17" s="82">
        <v>0</v>
      </c>
      <c r="N17" s="97">
        <v>0</v>
      </c>
      <c r="O17" s="18">
        <v>0</v>
      </c>
      <c r="P17" s="82">
        <v>34</v>
      </c>
      <c r="Q17" s="97">
        <v>4511.6561764705802</v>
      </c>
      <c r="R17" s="18">
        <v>153396.30999999901</v>
      </c>
      <c r="S17" s="82">
        <v>0</v>
      </c>
      <c r="T17" s="97">
        <v>0</v>
      </c>
      <c r="U17" s="18">
        <v>0</v>
      </c>
      <c r="V17" s="82">
        <v>25</v>
      </c>
      <c r="W17" s="97">
        <v>126.46</v>
      </c>
      <c r="X17" s="18">
        <v>3161.5</v>
      </c>
      <c r="Y17" s="82">
        <v>14</v>
      </c>
      <c r="Z17" s="97">
        <v>2487.3435714285702</v>
      </c>
      <c r="AA17" s="18">
        <v>34822.81</v>
      </c>
      <c r="AB17" s="82">
        <v>1</v>
      </c>
      <c r="AC17" s="97">
        <v>3328.05</v>
      </c>
      <c r="AD17" s="18">
        <v>3328.05</v>
      </c>
      <c r="AE17" s="82">
        <v>0</v>
      </c>
      <c r="AF17" s="97">
        <v>0</v>
      </c>
      <c r="AG17" s="18">
        <v>0</v>
      </c>
      <c r="AH17" s="82">
        <v>4</v>
      </c>
      <c r="AI17" s="97">
        <v>-1.4999999999417901E-2</v>
      </c>
      <c r="AJ17" s="18">
        <v>-5.9999999997671603E-2</v>
      </c>
      <c r="AK17" s="82">
        <v>0</v>
      </c>
      <c r="AL17" s="97">
        <v>0</v>
      </c>
      <c r="AM17" s="18">
        <v>0</v>
      </c>
      <c r="AN17" s="82">
        <v>7</v>
      </c>
      <c r="AO17" s="97">
        <v>422.69857142857302</v>
      </c>
      <c r="AP17" s="18">
        <v>2958.8900000000099</v>
      </c>
      <c r="AQ17" s="82">
        <v>14</v>
      </c>
      <c r="AR17" s="97">
        <v>873.34214285714495</v>
      </c>
      <c r="AS17" s="18">
        <v>12226.79</v>
      </c>
      <c r="AT17" s="82">
        <v>12</v>
      </c>
      <c r="AU17" s="97">
        <v>2463.2191666666599</v>
      </c>
      <c r="AV17" s="18">
        <v>29558.63</v>
      </c>
      <c r="AW17" s="82">
        <v>0</v>
      </c>
      <c r="AX17" s="97">
        <v>0</v>
      </c>
      <c r="AY17" s="18">
        <v>0</v>
      </c>
      <c r="AZ17" s="82"/>
      <c r="BA17" s="97"/>
      <c r="BB17" s="18"/>
      <c r="BC17" s="82"/>
      <c r="BD17" s="97"/>
      <c r="BE17" s="18"/>
      <c r="BF17" s="82"/>
      <c r="BG17" s="97"/>
      <c r="BH17" s="18"/>
    </row>
    <row r="18" spans="3:60" ht="20.25" x14ac:dyDescent="0.3">
      <c r="C18" s="117"/>
      <c r="D18" s="86"/>
      <c r="E18" s="102"/>
      <c r="F18" s="68"/>
      <c r="G18" s="86"/>
      <c r="H18" s="102"/>
      <c r="I18" s="68"/>
      <c r="J18" s="86"/>
      <c r="K18" s="102"/>
      <c r="L18" s="68"/>
      <c r="M18" s="86"/>
      <c r="N18" s="102"/>
      <c r="O18" s="68"/>
      <c r="P18" s="86"/>
      <c r="Q18" s="102"/>
      <c r="R18" s="68"/>
      <c r="S18" s="86"/>
      <c r="T18" s="102"/>
      <c r="U18" s="68"/>
      <c r="V18" s="86"/>
      <c r="W18" s="102"/>
      <c r="X18" s="68"/>
      <c r="Y18" s="86"/>
      <c r="Z18" s="102"/>
      <c r="AA18" s="68"/>
      <c r="AB18" s="86"/>
      <c r="AC18" s="102"/>
      <c r="AD18" s="68"/>
      <c r="AE18" s="86"/>
      <c r="AF18" s="102"/>
      <c r="AG18" s="68"/>
      <c r="AH18" s="86"/>
      <c r="AI18" s="102"/>
      <c r="AJ18" s="68"/>
      <c r="AK18" s="86"/>
      <c r="AL18" s="102"/>
      <c r="AM18" s="68"/>
      <c r="AN18" s="86"/>
      <c r="AO18" s="102"/>
      <c r="AP18" s="68"/>
      <c r="AQ18" s="86"/>
      <c r="AR18" s="102"/>
      <c r="AS18" s="68"/>
      <c r="AT18" s="86"/>
      <c r="AU18" s="102"/>
      <c r="AV18" s="68"/>
      <c r="AW18" s="86"/>
      <c r="AX18" s="102"/>
      <c r="AY18" s="68"/>
      <c r="AZ18" s="86"/>
      <c r="BA18" s="102"/>
      <c r="BB18" s="68"/>
      <c r="BC18" s="86"/>
      <c r="BD18" s="102"/>
      <c r="BE18" s="68"/>
      <c r="BF18" s="86"/>
      <c r="BG18" s="102"/>
      <c r="BH18" s="68"/>
    </row>
    <row r="19" spans="3:60" ht="20.25" x14ac:dyDescent="0.3">
      <c r="C19" s="152" t="s">
        <v>102</v>
      </c>
      <c r="D19" s="82">
        <f>+SUM(G19,J19,M19,P19,S19,V19,Y19,AB19,AE19,AH19,AK19,AN19,AQ19,AT19,AW19,AZ19,BC19,BF19)</f>
        <v>0</v>
      </c>
      <c r="E19" s="97"/>
      <c r="F19" s="18">
        <f>+SUM(I19,L19,O19,R19,U19,X19,AA19,AD19,AG19,AJ19,AM19,AP19,AS19,AV19,AY19,BB19,BE19,BH19)</f>
        <v>86503.650000000052</v>
      </c>
      <c r="G19" s="82">
        <v>0</v>
      </c>
      <c r="H19" s="97">
        <v>0</v>
      </c>
      <c r="I19" s="18">
        <v>8406.6800000000494</v>
      </c>
      <c r="J19" s="82">
        <v>0</v>
      </c>
      <c r="K19" s="97">
        <v>0</v>
      </c>
      <c r="L19" s="18">
        <v>9640.8999999999596</v>
      </c>
      <c r="M19" s="82">
        <v>0</v>
      </c>
      <c r="N19" s="97">
        <v>0</v>
      </c>
      <c r="O19" s="18">
        <v>5939.6500000000196</v>
      </c>
      <c r="P19" s="82">
        <v>0</v>
      </c>
      <c r="Q19" s="97">
        <v>0</v>
      </c>
      <c r="R19" s="18">
        <v>458.94</v>
      </c>
      <c r="S19" s="82">
        <v>0</v>
      </c>
      <c r="T19" s="97">
        <v>0</v>
      </c>
      <c r="U19" s="18">
        <v>0</v>
      </c>
      <c r="V19" s="82">
        <v>0</v>
      </c>
      <c r="W19" s="97">
        <v>0</v>
      </c>
      <c r="X19" s="18">
        <v>24205.78</v>
      </c>
      <c r="Y19" s="82">
        <v>0</v>
      </c>
      <c r="Z19" s="97">
        <v>0</v>
      </c>
      <c r="AA19" s="18">
        <v>0</v>
      </c>
      <c r="AB19" s="82">
        <v>0</v>
      </c>
      <c r="AC19" s="97">
        <v>0</v>
      </c>
      <c r="AD19" s="18">
        <v>5202.13</v>
      </c>
      <c r="AE19" s="82">
        <v>0</v>
      </c>
      <c r="AF19" s="97">
        <v>0</v>
      </c>
      <c r="AG19" s="18">
        <v>3376.4100000000299</v>
      </c>
      <c r="AH19" s="82">
        <v>0</v>
      </c>
      <c r="AI19" s="97">
        <v>0</v>
      </c>
      <c r="AJ19" s="18">
        <v>1000</v>
      </c>
      <c r="AK19" s="82">
        <v>0</v>
      </c>
      <c r="AL19" s="97">
        <v>0</v>
      </c>
      <c r="AM19" s="18">
        <v>1234.08</v>
      </c>
      <c r="AN19" s="82">
        <v>0</v>
      </c>
      <c r="AO19" s="97">
        <v>0</v>
      </c>
      <c r="AP19" s="18">
        <v>4893.04</v>
      </c>
      <c r="AQ19" s="82">
        <v>0</v>
      </c>
      <c r="AR19" s="97">
        <v>0</v>
      </c>
      <c r="AS19" s="18">
        <v>10439.59</v>
      </c>
      <c r="AT19" s="82">
        <v>0</v>
      </c>
      <c r="AU19" s="97">
        <v>0</v>
      </c>
      <c r="AV19" s="18">
        <v>11706.45</v>
      </c>
      <c r="AW19" s="82">
        <v>0</v>
      </c>
      <c r="AX19" s="97">
        <v>0</v>
      </c>
      <c r="AY19" s="18">
        <v>0</v>
      </c>
      <c r="AZ19" s="82"/>
      <c r="BA19" s="97"/>
      <c r="BB19" s="18"/>
      <c r="BC19" s="82"/>
      <c r="BD19" s="97"/>
      <c r="BE19" s="18"/>
      <c r="BF19" s="82"/>
      <c r="BG19" s="97"/>
      <c r="BH19" s="18"/>
    </row>
    <row r="20" spans="3:60" ht="20.25" x14ac:dyDescent="0.3">
      <c r="C20" s="117"/>
      <c r="D20" s="86"/>
      <c r="E20" s="102"/>
      <c r="F20" s="68">
        <f>+SUM(I20,L20,O20,R20,U20,X20,AA20,AD20,AG20,AJ20,AM20,AP20,AS20,AV20,AY20,BB20,BE20,BH20)</f>
        <v>0</v>
      </c>
      <c r="G20" s="86">
        <v>0</v>
      </c>
      <c r="H20" s="102">
        <v>0</v>
      </c>
      <c r="I20" s="68">
        <v>0</v>
      </c>
      <c r="J20" s="86">
        <v>0</v>
      </c>
      <c r="K20" s="102">
        <v>0</v>
      </c>
      <c r="L20" s="68">
        <v>0</v>
      </c>
      <c r="M20" s="86">
        <v>0</v>
      </c>
      <c r="N20" s="102">
        <v>0</v>
      </c>
      <c r="O20" s="68">
        <v>0</v>
      </c>
      <c r="P20" s="86">
        <v>0</v>
      </c>
      <c r="Q20" s="102">
        <v>0</v>
      </c>
      <c r="R20" s="68">
        <v>0</v>
      </c>
      <c r="S20" s="86">
        <v>0</v>
      </c>
      <c r="T20" s="102">
        <v>0</v>
      </c>
      <c r="U20" s="68">
        <v>0</v>
      </c>
      <c r="V20" s="86">
        <v>0</v>
      </c>
      <c r="W20" s="102">
        <v>0</v>
      </c>
      <c r="X20" s="68">
        <v>0</v>
      </c>
      <c r="Y20" s="86">
        <v>0</v>
      </c>
      <c r="Z20" s="102">
        <v>0</v>
      </c>
      <c r="AA20" s="68">
        <v>0</v>
      </c>
      <c r="AB20" s="86">
        <v>0</v>
      </c>
      <c r="AC20" s="102">
        <v>0</v>
      </c>
      <c r="AD20" s="68">
        <v>0</v>
      </c>
      <c r="AE20" s="86">
        <v>0</v>
      </c>
      <c r="AF20" s="102">
        <v>0</v>
      </c>
      <c r="AG20" s="68">
        <v>0</v>
      </c>
      <c r="AH20" s="86">
        <v>0</v>
      </c>
      <c r="AI20" s="102">
        <v>0</v>
      </c>
      <c r="AJ20" s="68">
        <v>0</v>
      </c>
      <c r="AK20" s="86">
        <v>0</v>
      </c>
      <c r="AL20" s="102">
        <v>0</v>
      </c>
      <c r="AM20" s="68">
        <v>0</v>
      </c>
      <c r="AN20" s="86">
        <v>0</v>
      </c>
      <c r="AO20" s="102">
        <v>0</v>
      </c>
      <c r="AP20" s="68">
        <v>0</v>
      </c>
      <c r="AQ20" s="86">
        <v>0</v>
      </c>
      <c r="AR20" s="102">
        <v>0</v>
      </c>
      <c r="AS20" s="68">
        <v>0</v>
      </c>
      <c r="AT20" s="86">
        <v>0</v>
      </c>
      <c r="AU20" s="102">
        <v>0</v>
      </c>
      <c r="AV20" s="68">
        <v>0</v>
      </c>
      <c r="AW20" s="86">
        <v>0</v>
      </c>
      <c r="AX20" s="102">
        <v>0</v>
      </c>
      <c r="AY20" s="68">
        <v>0</v>
      </c>
      <c r="AZ20" s="86"/>
      <c r="BA20" s="102"/>
      <c r="BB20" s="68"/>
      <c r="BC20" s="86"/>
      <c r="BD20" s="102"/>
      <c r="BE20" s="68"/>
      <c r="BF20" s="86"/>
      <c r="BG20" s="102"/>
      <c r="BH20" s="68"/>
    </row>
    <row r="21" spans="3:60" ht="20.25" x14ac:dyDescent="0.3">
      <c r="C21" s="8" t="s">
        <v>86</v>
      </c>
      <c r="D21" s="86">
        <f>+SUM(G21,J21,M21,P21,S21,V21,Y21,AB21,AE21,AH21,AK21,AN21,AQ21,AT21,AW21,AZ21,BC21,BF21)</f>
        <v>0</v>
      </c>
      <c r="E21" s="97">
        <f>IF(D13=0,0,F21/(D13+D15))</f>
        <v>185.69788687299896</v>
      </c>
      <c r="F21" s="18">
        <f>+SUM(I21,L21,O21,R21,U21,X21,AA21,AD21,AG21,AJ21,AM21,AP21,AS21,AV21,AY21,BB21,BE21,BH21)</f>
        <v>173998.92000000004</v>
      </c>
      <c r="G21" s="86">
        <v>0</v>
      </c>
      <c r="H21" s="97">
        <v>50.259487179487103</v>
      </c>
      <c r="I21" s="18">
        <v>1960.12</v>
      </c>
      <c r="J21" s="86">
        <v>0</v>
      </c>
      <c r="K21" s="97">
        <v>15</v>
      </c>
      <c r="L21" s="18">
        <v>600</v>
      </c>
      <c r="M21" s="86">
        <v>0</v>
      </c>
      <c r="N21" s="97">
        <v>0</v>
      </c>
      <c r="O21" s="18">
        <v>0</v>
      </c>
      <c r="P21" s="86">
        <v>0</v>
      </c>
      <c r="Q21" s="97">
        <v>723.90180327868802</v>
      </c>
      <c r="R21" s="18">
        <v>44158.01</v>
      </c>
      <c r="S21" s="86">
        <v>0</v>
      </c>
      <c r="T21" s="97">
        <v>362.938262548262</v>
      </c>
      <c r="U21" s="18">
        <v>94001.01</v>
      </c>
      <c r="V21" s="86">
        <v>0</v>
      </c>
      <c r="W21" s="97">
        <v>23.4711340206185</v>
      </c>
      <c r="X21" s="18">
        <v>2276.6999999999998</v>
      </c>
      <c r="Y21" s="86">
        <v>0</v>
      </c>
      <c r="Z21" s="97">
        <v>0</v>
      </c>
      <c r="AA21" s="18">
        <v>0</v>
      </c>
      <c r="AB21" s="86">
        <v>0</v>
      </c>
      <c r="AC21" s="97">
        <v>51.096885245901603</v>
      </c>
      <c r="AD21" s="18">
        <v>3116.91</v>
      </c>
      <c r="AE21" s="86">
        <v>0</v>
      </c>
      <c r="AF21" s="97">
        <v>0</v>
      </c>
      <c r="AG21" s="18">
        <v>0</v>
      </c>
      <c r="AH21" s="86">
        <v>0</v>
      </c>
      <c r="AI21" s="97">
        <v>35.714285714285701</v>
      </c>
      <c r="AJ21" s="18">
        <v>750</v>
      </c>
      <c r="AK21" s="86">
        <v>0</v>
      </c>
      <c r="AL21" s="97">
        <v>0</v>
      </c>
      <c r="AM21" s="18">
        <v>0</v>
      </c>
      <c r="AN21" s="86">
        <v>0</v>
      </c>
      <c r="AO21" s="97">
        <v>187.082678571428</v>
      </c>
      <c r="AP21" s="18">
        <v>10476.629999999999</v>
      </c>
      <c r="AQ21" s="86">
        <v>0</v>
      </c>
      <c r="AR21" s="97">
        <v>19.82</v>
      </c>
      <c r="AS21" s="18">
        <v>1228.8399999999999</v>
      </c>
      <c r="AT21" s="86">
        <v>0</v>
      </c>
      <c r="AU21" s="97">
        <v>7.5042682926829203</v>
      </c>
      <c r="AV21" s="18">
        <v>615.35</v>
      </c>
      <c r="AW21" s="86">
        <v>0</v>
      </c>
      <c r="AX21" s="97">
        <v>740.76750000000004</v>
      </c>
      <c r="AY21" s="18">
        <v>14815.35</v>
      </c>
      <c r="AZ21" s="86"/>
      <c r="BA21" s="97"/>
      <c r="BB21" s="18"/>
      <c r="BC21" s="86"/>
      <c r="BD21" s="97"/>
      <c r="BE21" s="18"/>
      <c r="BF21" s="86"/>
      <c r="BG21" s="97"/>
      <c r="BH21" s="18"/>
    </row>
    <row r="22" spans="3:60" ht="20.25" x14ac:dyDescent="0.3">
      <c r="C22" s="8" t="s">
        <v>85</v>
      </c>
      <c r="D22" s="86">
        <f>+SUM(G22,J22,M22,P22,S22,V22,Y22,AB22,AE22,AH22,AK22,AN22,AQ22,AT22,AW22,AZ22,BC22,BF22)</f>
        <v>0</v>
      </c>
      <c r="E22" s="97">
        <f>IF(D13=0,0,F22/(D13+D15))</f>
        <v>714.64279615794987</v>
      </c>
      <c r="F22" s="18">
        <f>+SUM(I22,L22,O22,R22,U22,X22,AA22,AD22,AG22,AJ22,AM22,AP22,AS22,AV22,AY22,BB22,BE22,BH22)</f>
        <v>669620.299999999</v>
      </c>
      <c r="G22" s="86">
        <v>0</v>
      </c>
      <c r="H22" s="97">
        <v>334.32461538461502</v>
      </c>
      <c r="I22" s="18">
        <v>13038.6599999999</v>
      </c>
      <c r="J22" s="86">
        <v>0</v>
      </c>
      <c r="K22" s="97">
        <v>589.33325000000002</v>
      </c>
      <c r="L22" s="18">
        <v>23573.33</v>
      </c>
      <c r="M22" s="86">
        <v>0</v>
      </c>
      <c r="N22" s="97">
        <v>1021.0617391304301</v>
      </c>
      <c r="O22" s="18">
        <v>23484.42</v>
      </c>
      <c r="P22" s="86">
        <v>0</v>
      </c>
      <c r="Q22" s="97">
        <v>725.65573770491801</v>
      </c>
      <c r="R22" s="18">
        <v>44265</v>
      </c>
      <c r="S22" s="86">
        <v>0</v>
      </c>
      <c r="T22" s="97">
        <v>422.128339768339</v>
      </c>
      <c r="U22" s="18">
        <v>109331.239999999</v>
      </c>
      <c r="V22" s="86">
        <v>0</v>
      </c>
      <c r="W22" s="97">
        <v>1269.60144329896</v>
      </c>
      <c r="X22" s="18">
        <v>123151.34</v>
      </c>
      <c r="Y22" s="86">
        <v>0</v>
      </c>
      <c r="Z22" s="97">
        <v>1049.76979166666</v>
      </c>
      <c r="AA22" s="18">
        <v>50388.95</v>
      </c>
      <c r="AB22" s="86">
        <v>0</v>
      </c>
      <c r="AC22" s="97">
        <v>262.04393442622899</v>
      </c>
      <c r="AD22" s="18">
        <v>15984.68</v>
      </c>
      <c r="AE22" s="86">
        <v>0</v>
      </c>
      <c r="AF22" s="97">
        <v>1276.8286956521699</v>
      </c>
      <c r="AG22" s="18">
        <v>58734.12</v>
      </c>
      <c r="AH22" s="86">
        <v>0</v>
      </c>
      <c r="AI22" s="97">
        <v>1084.6666666666599</v>
      </c>
      <c r="AJ22" s="18">
        <v>22778</v>
      </c>
      <c r="AK22" s="86">
        <v>0</v>
      </c>
      <c r="AL22" s="97">
        <v>336.90909090909003</v>
      </c>
      <c r="AM22" s="18">
        <v>7412</v>
      </c>
      <c r="AN22" s="86">
        <v>0</v>
      </c>
      <c r="AO22" s="97">
        <v>401.78571428571399</v>
      </c>
      <c r="AP22" s="18">
        <v>22500</v>
      </c>
      <c r="AQ22" s="86">
        <v>0</v>
      </c>
      <c r="AR22" s="97">
        <v>448</v>
      </c>
      <c r="AS22" s="18">
        <v>27776</v>
      </c>
      <c r="AT22" s="86">
        <v>0</v>
      </c>
      <c r="AU22" s="97">
        <v>1103.2367073170701</v>
      </c>
      <c r="AV22" s="18">
        <v>90465.41</v>
      </c>
      <c r="AW22" s="86">
        <v>0</v>
      </c>
      <c r="AX22" s="97">
        <v>1836.8575000000001</v>
      </c>
      <c r="AY22" s="18">
        <v>36737.15</v>
      </c>
      <c r="AZ22" s="86"/>
      <c r="BA22" s="97"/>
      <c r="BB22" s="18"/>
      <c r="BC22" s="86"/>
      <c r="BD22" s="97"/>
      <c r="BE22" s="18"/>
      <c r="BF22" s="86"/>
      <c r="BG22" s="97"/>
      <c r="BH22" s="18"/>
    </row>
    <row r="23" spans="3:60" ht="20.25" x14ac:dyDescent="0.3">
      <c r="C23" s="8" t="s">
        <v>84</v>
      </c>
      <c r="D23" s="86">
        <f>+SUM(G23,J23,M23,P23,S23,V23,Y23,AB23,AE23,AH23,AK23,AN23,AQ23,AT23,AW23,AZ23,BC23,BF23)</f>
        <v>0</v>
      </c>
      <c r="E23" s="97">
        <f>IF(D13=0,0,F23/(D13+D15))</f>
        <v>377.15661686232619</v>
      </c>
      <c r="F23" s="18">
        <f>+SUM(I23,L23,O23,R23,U23,X23,AA23,AD23,AG23,AJ23,AM23,AP23,AS23,AV23,AY23,BB23,BE23,BH23)</f>
        <v>353395.74999999965</v>
      </c>
      <c r="G23" s="86">
        <v>0</v>
      </c>
      <c r="H23" s="97">
        <v>993.97025641025596</v>
      </c>
      <c r="I23" s="18">
        <v>38764.839999999997</v>
      </c>
      <c r="J23" s="86">
        <v>0</v>
      </c>
      <c r="K23" s="97">
        <v>681.20749999999896</v>
      </c>
      <c r="L23" s="18">
        <v>27248.299999999901</v>
      </c>
      <c r="M23" s="86">
        <v>0</v>
      </c>
      <c r="N23" s="97">
        <v>492.47391304347798</v>
      </c>
      <c r="O23" s="18">
        <v>11326.9</v>
      </c>
      <c r="P23" s="86">
        <v>0</v>
      </c>
      <c r="Q23" s="97">
        <v>275.19836065573702</v>
      </c>
      <c r="R23" s="18">
        <v>16787.099999999999</v>
      </c>
      <c r="S23" s="86">
        <v>0</v>
      </c>
      <c r="T23" s="97">
        <v>402.36220077220003</v>
      </c>
      <c r="U23" s="18">
        <v>104211.81</v>
      </c>
      <c r="V23" s="86">
        <v>0</v>
      </c>
      <c r="W23" s="97">
        <v>0</v>
      </c>
      <c r="X23" s="18">
        <v>0</v>
      </c>
      <c r="Y23" s="86">
        <v>0</v>
      </c>
      <c r="Z23" s="97">
        <v>372.28958333333298</v>
      </c>
      <c r="AA23" s="18">
        <v>17869.900000000001</v>
      </c>
      <c r="AB23" s="86">
        <v>0</v>
      </c>
      <c r="AC23" s="97">
        <v>754.22081967213103</v>
      </c>
      <c r="AD23" s="18">
        <v>46007.47</v>
      </c>
      <c r="AE23" s="86">
        <v>0</v>
      </c>
      <c r="AF23" s="97">
        <v>41.827173913043403</v>
      </c>
      <c r="AG23" s="18">
        <v>1924.04999999999</v>
      </c>
      <c r="AH23" s="86">
        <v>0</v>
      </c>
      <c r="AI23" s="97">
        <v>430.262857142857</v>
      </c>
      <c r="AJ23" s="18">
        <v>9035.52</v>
      </c>
      <c r="AK23" s="86">
        <v>0</v>
      </c>
      <c r="AL23" s="97">
        <v>692.08090909090902</v>
      </c>
      <c r="AM23" s="18">
        <v>15225.779999999901</v>
      </c>
      <c r="AN23" s="86">
        <v>0</v>
      </c>
      <c r="AO23" s="97">
        <v>514.35410714285695</v>
      </c>
      <c r="AP23" s="18">
        <v>28803.8299999999</v>
      </c>
      <c r="AQ23" s="86">
        <v>0</v>
      </c>
      <c r="AR23" s="97">
        <v>563.67903225806401</v>
      </c>
      <c r="AS23" s="18">
        <v>34948.1</v>
      </c>
      <c r="AT23" s="86">
        <v>0</v>
      </c>
      <c r="AU23" s="97">
        <v>5.4097560975609698</v>
      </c>
      <c r="AV23" s="18">
        <v>443.6</v>
      </c>
      <c r="AW23" s="86">
        <v>0</v>
      </c>
      <c r="AX23" s="97">
        <v>39.927499999999903</v>
      </c>
      <c r="AY23" s="18">
        <v>798.55</v>
      </c>
      <c r="AZ23" s="86"/>
      <c r="BA23" s="97"/>
      <c r="BB23" s="18"/>
      <c r="BC23" s="86"/>
      <c r="BD23" s="97"/>
      <c r="BE23" s="18"/>
      <c r="BF23" s="86"/>
      <c r="BG23" s="97"/>
      <c r="BH23" s="18"/>
    </row>
    <row r="24" spans="3:60" ht="20.25" x14ac:dyDescent="0.3">
      <c r="C24" s="117" t="s">
        <v>83</v>
      </c>
      <c r="D24" s="140">
        <f>SUM(D6:D9,D15)</f>
        <v>937</v>
      </c>
      <c r="E24" s="139">
        <f>IF(D24&lt;=0,0,F24/D24)</f>
        <v>1277.4972998932751</v>
      </c>
      <c r="F24" s="138">
        <f>SUM(F20:F23)</f>
        <v>1197014.9699999988</v>
      </c>
      <c r="G24" s="140">
        <v>39</v>
      </c>
      <c r="H24" s="139">
        <v>1378.55435897435</v>
      </c>
      <c r="I24" s="138">
        <v>53763.619999999901</v>
      </c>
      <c r="J24" s="140">
        <v>40</v>
      </c>
      <c r="K24" s="139">
        <v>1285.5407499999999</v>
      </c>
      <c r="L24" s="138">
        <v>51421.63</v>
      </c>
      <c r="M24" s="140">
        <v>23</v>
      </c>
      <c r="N24" s="139">
        <v>1513.53565217391</v>
      </c>
      <c r="O24" s="138">
        <v>34811.32</v>
      </c>
      <c r="P24" s="140">
        <v>61</v>
      </c>
      <c r="Q24" s="139">
        <v>1724.75590163934</v>
      </c>
      <c r="R24" s="138">
        <v>105210.11</v>
      </c>
      <c r="S24" s="140">
        <v>259</v>
      </c>
      <c r="T24" s="139">
        <v>1187.4288030887999</v>
      </c>
      <c r="U24" s="138">
        <v>307544.06</v>
      </c>
      <c r="V24" s="140">
        <v>97</v>
      </c>
      <c r="W24" s="139">
        <v>1293.07257731958</v>
      </c>
      <c r="X24" s="138">
        <v>125428.04</v>
      </c>
      <c r="Y24" s="140">
        <v>48</v>
      </c>
      <c r="Z24" s="139">
        <v>1422.059375</v>
      </c>
      <c r="AA24" s="138">
        <v>68258.850000000006</v>
      </c>
      <c r="AB24" s="140">
        <v>61</v>
      </c>
      <c r="AC24" s="139">
        <v>1067.3616393442601</v>
      </c>
      <c r="AD24" s="138">
        <v>65109.06</v>
      </c>
      <c r="AE24" s="140">
        <v>46</v>
      </c>
      <c r="AF24" s="139">
        <v>1318.65586956521</v>
      </c>
      <c r="AG24" s="138">
        <v>60658.17</v>
      </c>
      <c r="AH24" s="140">
        <v>21</v>
      </c>
      <c r="AI24" s="139">
        <v>1550.6438095238</v>
      </c>
      <c r="AJ24" s="138">
        <v>32563.52</v>
      </c>
      <c r="AK24" s="140">
        <v>22</v>
      </c>
      <c r="AL24" s="139">
        <v>1028.99</v>
      </c>
      <c r="AM24" s="138">
        <v>22637.78</v>
      </c>
      <c r="AN24" s="140">
        <v>56</v>
      </c>
      <c r="AO24" s="139">
        <v>1103.2224999999901</v>
      </c>
      <c r="AP24" s="138">
        <v>61780.459999999897</v>
      </c>
      <c r="AQ24" s="140">
        <v>62</v>
      </c>
      <c r="AR24" s="139">
        <v>1031.49903225806</v>
      </c>
      <c r="AS24" s="138">
        <v>63952.94</v>
      </c>
      <c r="AT24" s="140">
        <v>82</v>
      </c>
      <c r="AU24" s="139">
        <v>1116.1507317073099</v>
      </c>
      <c r="AV24" s="138">
        <v>91524.36</v>
      </c>
      <c r="AW24" s="140">
        <v>20</v>
      </c>
      <c r="AX24" s="139">
        <v>2617.5524999999998</v>
      </c>
      <c r="AY24" s="138">
        <v>52351.05</v>
      </c>
      <c r="AZ24" s="140"/>
      <c r="BA24" s="139"/>
      <c r="BB24" s="138"/>
      <c r="BC24" s="140"/>
      <c r="BD24" s="139"/>
      <c r="BE24" s="138"/>
      <c r="BF24" s="140"/>
      <c r="BG24" s="139"/>
      <c r="BH24" s="138"/>
    </row>
    <row r="25" spans="3:60" ht="20.25" x14ac:dyDescent="0.3">
      <c r="C25" s="8"/>
      <c r="D25" s="8"/>
      <c r="E25" s="7"/>
      <c r="F25" s="63"/>
      <c r="G25" s="8"/>
      <c r="H25" s="7"/>
      <c r="I25" s="63"/>
      <c r="J25" s="8"/>
      <c r="K25" s="7"/>
      <c r="L25" s="63"/>
      <c r="M25" s="8"/>
      <c r="N25" s="7"/>
      <c r="O25" s="63"/>
      <c r="P25" s="8"/>
      <c r="Q25" s="7"/>
      <c r="R25" s="63"/>
      <c r="S25" s="8"/>
      <c r="T25" s="7"/>
      <c r="U25" s="63"/>
      <c r="V25" s="8"/>
      <c r="W25" s="7"/>
      <c r="X25" s="63"/>
      <c r="Y25" s="8"/>
      <c r="Z25" s="7"/>
      <c r="AA25" s="63"/>
      <c r="AB25" s="8"/>
      <c r="AC25" s="7"/>
      <c r="AD25" s="63"/>
      <c r="AE25" s="8"/>
      <c r="AF25" s="7"/>
      <c r="AG25" s="63"/>
      <c r="AH25" s="8"/>
      <c r="AI25" s="7"/>
      <c r="AJ25" s="63"/>
      <c r="AK25" s="8"/>
      <c r="AL25" s="7"/>
      <c r="AM25" s="63"/>
      <c r="AN25" s="8"/>
      <c r="AO25" s="7"/>
      <c r="AP25" s="63"/>
      <c r="AQ25" s="8"/>
      <c r="AR25" s="7"/>
      <c r="AS25" s="63"/>
      <c r="AT25" s="8"/>
      <c r="AU25" s="7"/>
      <c r="AV25" s="63"/>
      <c r="AW25" s="8"/>
      <c r="AX25" s="7"/>
      <c r="AY25" s="63"/>
      <c r="AZ25" s="8"/>
      <c r="BA25" s="7"/>
      <c r="BB25" s="63"/>
      <c r="BC25" s="8"/>
      <c r="BD25" s="7"/>
      <c r="BE25" s="63"/>
      <c r="BF25" s="8"/>
      <c r="BG25" s="7"/>
      <c r="BH25" s="63"/>
    </row>
    <row r="26" spans="3:60" ht="21" thickBot="1" x14ac:dyDescent="0.35">
      <c r="C26" s="8"/>
      <c r="D26" s="8"/>
      <c r="E26" s="7"/>
      <c r="F26" s="6"/>
      <c r="G26" s="8"/>
      <c r="H26" s="7"/>
      <c r="I26" s="6"/>
      <c r="J26" s="8"/>
      <c r="K26" s="7"/>
      <c r="L26" s="6"/>
      <c r="M26" s="8"/>
      <c r="N26" s="7"/>
      <c r="O26" s="6"/>
      <c r="P26" s="8"/>
      <c r="Q26" s="7"/>
      <c r="R26" s="6"/>
      <c r="S26" s="8"/>
      <c r="T26" s="7"/>
      <c r="U26" s="6"/>
      <c r="V26" s="8"/>
      <c r="W26" s="7"/>
      <c r="X26" s="6"/>
      <c r="Y26" s="8"/>
      <c r="Z26" s="7"/>
      <c r="AA26" s="6"/>
      <c r="AB26" s="8"/>
      <c r="AC26" s="7"/>
      <c r="AD26" s="6"/>
      <c r="AE26" s="8"/>
      <c r="AF26" s="7"/>
      <c r="AG26" s="6"/>
      <c r="AH26" s="8"/>
      <c r="AI26" s="7"/>
      <c r="AJ26" s="6"/>
      <c r="AK26" s="8"/>
      <c r="AL26" s="7"/>
      <c r="AM26" s="6"/>
      <c r="AN26" s="8"/>
      <c r="AO26" s="7"/>
      <c r="AP26" s="6"/>
      <c r="AQ26" s="8"/>
      <c r="AR26" s="7"/>
      <c r="AS26" s="6"/>
      <c r="AT26" s="8"/>
      <c r="AU26" s="7"/>
      <c r="AV26" s="6"/>
      <c r="AW26" s="8"/>
      <c r="AX26" s="7"/>
      <c r="AY26" s="6"/>
      <c r="AZ26" s="8"/>
      <c r="BA26" s="7"/>
      <c r="BB26" s="6"/>
      <c r="BC26" s="8"/>
      <c r="BD26" s="7"/>
      <c r="BE26" s="6"/>
      <c r="BF26" s="8"/>
      <c r="BG26" s="7"/>
      <c r="BH26" s="6"/>
    </row>
    <row r="27" spans="3:60" ht="21" thickTop="1" x14ac:dyDescent="0.3">
      <c r="C27" s="43" t="s">
        <v>101</v>
      </c>
      <c r="D27" s="49">
        <f>D13+D15+D17</f>
        <v>1062</v>
      </c>
      <c r="E27" s="151">
        <f>IF(D27&lt;=0,0,F27/D27)</f>
        <v>3587.073568738223</v>
      </c>
      <c r="F27" s="47">
        <f>F13+F15+F17+F19+F24</f>
        <v>3809472.1299999929</v>
      </c>
      <c r="G27" s="49">
        <v>50</v>
      </c>
      <c r="H27" s="151">
        <v>4022.4430000000002</v>
      </c>
      <c r="I27" s="47">
        <v>201122.15</v>
      </c>
      <c r="J27" s="49">
        <v>43</v>
      </c>
      <c r="K27" s="151">
        <v>3999.1374418604601</v>
      </c>
      <c r="L27" s="47">
        <v>171962.90999999901</v>
      </c>
      <c r="M27" s="49">
        <v>23</v>
      </c>
      <c r="N27" s="151">
        <v>5294.8073913043399</v>
      </c>
      <c r="O27" s="47">
        <v>121780.569999999</v>
      </c>
      <c r="P27" s="49">
        <v>95</v>
      </c>
      <c r="Q27" s="151">
        <v>3592.5743157894699</v>
      </c>
      <c r="R27" s="47">
        <v>341294.55999999901</v>
      </c>
      <c r="S27" s="49">
        <v>259</v>
      </c>
      <c r="T27" s="151">
        <v>3836.8571042471099</v>
      </c>
      <c r="U27" s="47">
        <v>993745.99000000104</v>
      </c>
      <c r="V27" s="49">
        <v>122</v>
      </c>
      <c r="W27" s="151">
        <v>2837.68934426229</v>
      </c>
      <c r="X27" s="47">
        <v>346198.09999999899</v>
      </c>
      <c r="Y27" s="49">
        <v>62</v>
      </c>
      <c r="Z27" s="151">
        <v>4429.1248387096603</v>
      </c>
      <c r="AA27" s="47">
        <v>274605.739999999</v>
      </c>
      <c r="AB27" s="49">
        <v>62</v>
      </c>
      <c r="AC27" s="151">
        <v>4080.12612903226</v>
      </c>
      <c r="AD27" s="47">
        <v>252967.82</v>
      </c>
      <c r="AE27" s="49">
        <v>46</v>
      </c>
      <c r="AF27" s="151">
        <v>4876.2208695651998</v>
      </c>
      <c r="AG27" s="47">
        <v>224306.15999999901</v>
      </c>
      <c r="AH27" s="49">
        <v>25</v>
      </c>
      <c r="AI27" s="151">
        <v>2705.2752</v>
      </c>
      <c r="AJ27" s="47">
        <v>67631.88</v>
      </c>
      <c r="AK27" s="49">
        <v>22</v>
      </c>
      <c r="AL27" s="151">
        <v>1085.0845454545399</v>
      </c>
      <c r="AM27" s="47">
        <v>23871.86</v>
      </c>
      <c r="AN27" s="49">
        <v>63</v>
      </c>
      <c r="AO27" s="151">
        <v>1695.22761904762</v>
      </c>
      <c r="AP27" s="47">
        <v>106799.34</v>
      </c>
      <c r="AQ27" s="49">
        <v>76</v>
      </c>
      <c r="AR27" s="151">
        <v>3193.1071052631501</v>
      </c>
      <c r="AS27" s="47">
        <v>242676.14</v>
      </c>
      <c r="AT27" s="49">
        <v>94</v>
      </c>
      <c r="AU27" s="151">
        <v>3476.73659574467</v>
      </c>
      <c r="AV27" s="47">
        <v>326813.239999999</v>
      </c>
      <c r="AW27" s="49">
        <v>20</v>
      </c>
      <c r="AX27" s="151">
        <v>5684.7834999999995</v>
      </c>
      <c r="AY27" s="47">
        <v>113695.66999999899</v>
      </c>
      <c r="AZ27" s="49"/>
      <c r="BA27" s="151"/>
      <c r="BB27" s="47"/>
      <c r="BC27" s="49"/>
      <c r="BD27" s="151"/>
      <c r="BE27" s="47"/>
      <c r="BF27" s="49"/>
      <c r="BG27" s="151"/>
      <c r="BH27" s="47"/>
    </row>
    <row r="28" spans="3:60" ht="21" thickBot="1" x14ac:dyDescent="0.35">
      <c r="C28" s="40"/>
      <c r="D28" s="40"/>
      <c r="E28" s="39"/>
      <c r="F28" s="92"/>
      <c r="G28" s="94">
        <v>0</v>
      </c>
      <c r="H28" s="39">
        <v>0</v>
      </c>
      <c r="I28" s="92">
        <v>0</v>
      </c>
      <c r="J28" s="94">
        <v>0</v>
      </c>
      <c r="K28" s="39">
        <v>0</v>
      </c>
      <c r="L28" s="92">
        <v>0</v>
      </c>
      <c r="M28" s="94">
        <v>0</v>
      </c>
      <c r="N28" s="39">
        <v>0</v>
      </c>
      <c r="O28" s="92">
        <v>0</v>
      </c>
      <c r="P28" s="94">
        <v>0</v>
      </c>
      <c r="Q28" s="39">
        <v>0</v>
      </c>
      <c r="R28" s="92">
        <v>0</v>
      </c>
      <c r="S28" s="94">
        <v>0</v>
      </c>
      <c r="T28" s="39">
        <v>0</v>
      </c>
      <c r="U28" s="92">
        <v>0</v>
      </c>
      <c r="V28" s="94">
        <v>0</v>
      </c>
      <c r="W28" s="39">
        <v>0</v>
      </c>
      <c r="X28" s="92">
        <v>1.1667658866475501</v>
      </c>
      <c r="Y28" s="94">
        <v>0</v>
      </c>
      <c r="Z28" s="39">
        <v>0</v>
      </c>
      <c r="AA28" s="92">
        <v>0</v>
      </c>
      <c r="AB28" s="94">
        <v>0</v>
      </c>
      <c r="AC28" s="39">
        <v>0</v>
      </c>
      <c r="AD28" s="92">
        <v>0</v>
      </c>
      <c r="AE28" s="94">
        <v>0</v>
      </c>
      <c r="AF28" s="39">
        <v>0</v>
      </c>
      <c r="AG28" s="92">
        <v>0</v>
      </c>
      <c r="AH28" s="94">
        <v>0</v>
      </c>
      <c r="AI28" s="39">
        <v>0</v>
      </c>
      <c r="AJ28" s="92">
        <v>0</v>
      </c>
      <c r="AK28" s="94">
        <v>0</v>
      </c>
      <c r="AL28" s="39">
        <v>0</v>
      </c>
      <c r="AM28" s="92">
        <v>0</v>
      </c>
      <c r="AN28" s="94">
        <v>0</v>
      </c>
      <c r="AO28" s="39">
        <v>0</v>
      </c>
      <c r="AP28" s="92">
        <v>0</v>
      </c>
      <c r="AQ28" s="94">
        <v>0</v>
      </c>
      <c r="AR28" s="39">
        <v>0</v>
      </c>
      <c r="AS28" s="92">
        <v>0</v>
      </c>
      <c r="AT28" s="94">
        <v>0</v>
      </c>
      <c r="AU28" s="39">
        <v>0</v>
      </c>
      <c r="AV28" s="92">
        <v>0.83407019907895197</v>
      </c>
      <c r="AW28" s="94">
        <v>0</v>
      </c>
      <c r="AX28" s="39">
        <v>0</v>
      </c>
      <c r="AY28" s="92">
        <v>0</v>
      </c>
      <c r="AZ28" s="94"/>
      <c r="BA28" s="39"/>
      <c r="BB28" s="92"/>
      <c r="BC28" s="94"/>
      <c r="BD28" s="39"/>
      <c r="BE28" s="92"/>
      <c r="BF28" s="94"/>
      <c r="BG28" s="39"/>
      <c r="BH28" s="92"/>
    </row>
    <row r="29" spans="3:60" ht="21" thickTop="1" x14ac:dyDescent="0.3">
      <c r="C29" s="32"/>
      <c r="D29" s="32"/>
      <c r="E29" s="31"/>
      <c r="F29" s="150"/>
      <c r="G29" s="32"/>
      <c r="H29" s="31"/>
      <c r="I29" s="150"/>
      <c r="J29" s="32"/>
      <c r="K29" s="31"/>
      <c r="L29" s="150"/>
      <c r="M29" s="32"/>
      <c r="N29" s="31"/>
      <c r="O29" s="150"/>
      <c r="P29" s="32"/>
      <c r="Q29" s="31"/>
      <c r="R29" s="150"/>
      <c r="S29" s="32"/>
      <c r="T29" s="31"/>
      <c r="U29" s="150"/>
      <c r="V29" s="32"/>
      <c r="W29" s="31"/>
      <c r="X29" s="150"/>
      <c r="Y29" s="32"/>
      <c r="Z29" s="31"/>
      <c r="AA29" s="150"/>
      <c r="AB29" s="32"/>
      <c r="AC29" s="31"/>
      <c r="AD29" s="150"/>
      <c r="AE29" s="32"/>
      <c r="AF29" s="31"/>
      <c r="AG29" s="150"/>
      <c r="AH29" s="32"/>
      <c r="AI29" s="31"/>
      <c r="AJ29" s="150"/>
      <c r="AK29" s="32"/>
      <c r="AL29" s="31"/>
      <c r="AM29" s="150"/>
      <c r="AN29" s="32"/>
      <c r="AO29" s="31"/>
      <c r="AP29" s="150"/>
      <c r="AQ29" s="32"/>
      <c r="AR29" s="31"/>
      <c r="AS29" s="150"/>
      <c r="AT29" s="32"/>
      <c r="AU29" s="31"/>
      <c r="AV29" s="150"/>
      <c r="AW29" s="32"/>
      <c r="AX29" s="31"/>
      <c r="AY29" s="150"/>
      <c r="AZ29" s="32"/>
      <c r="BA29" s="31"/>
      <c r="BB29" s="150"/>
      <c r="BC29" s="32"/>
      <c r="BD29" s="31"/>
      <c r="BE29" s="150"/>
      <c r="BF29" s="32"/>
      <c r="BG29" s="31"/>
      <c r="BH29" s="150"/>
    </row>
    <row r="30" spans="3:60" ht="20.25" x14ac:dyDescent="0.3">
      <c r="C30" s="29" t="s">
        <v>28</v>
      </c>
      <c r="D30" s="8"/>
      <c r="E30" s="54"/>
      <c r="F30" s="6"/>
      <c r="G30" s="8"/>
      <c r="H30" s="54"/>
      <c r="I30" s="6"/>
      <c r="J30" s="8"/>
      <c r="K30" s="54"/>
      <c r="L30" s="6"/>
      <c r="M30" s="8"/>
      <c r="N30" s="54"/>
      <c r="O30" s="6"/>
      <c r="P30" s="8"/>
      <c r="Q30" s="54"/>
      <c r="R30" s="6"/>
      <c r="S30" s="8"/>
      <c r="T30" s="54"/>
      <c r="U30" s="6"/>
      <c r="V30" s="8"/>
      <c r="W30" s="54"/>
      <c r="X30" s="6"/>
      <c r="Y30" s="8"/>
      <c r="Z30" s="54"/>
      <c r="AA30" s="6"/>
      <c r="AB30" s="8"/>
      <c r="AC30" s="54"/>
      <c r="AD30" s="6"/>
      <c r="AE30" s="8"/>
      <c r="AF30" s="54"/>
      <c r="AG30" s="6"/>
      <c r="AH30" s="8"/>
      <c r="AI30" s="54"/>
      <c r="AJ30" s="6"/>
      <c r="AK30" s="8"/>
      <c r="AL30" s="54"/>
      <c r="AM30" s="6"/>
      <c r="AN30" s="8"/>
      <c r="AO30" s="54"/>
      <c r="AP30" s="6"/>
      <c r="AQ30" s="8"/>
      <c r="AR30" s="54"/>
      <c r="AS30" s="6"/>
      <c r="AT30" s="8"/>
      <c r="AU30" s="54"/>
      <c r="AV30" s="6"/>
      <c r="AW30" s="8"/>
      <c r="AX30" s="54"/>
      <c r="AY30" s="6"/>
      <c r="AZ30" s="8"/>
      <c r="BA30" s="54"/>
      <c r="BB30" s="6"/>
      <c r="BC30" s="8"/>
      <c r="BD30" s="54"/>
      <c r="BE30" s="6"/>
      <c r="BF30" s="8"/>
      <c r="BG30" s="54"/>
      <c r="BH30" s="6"/>
    </row>
    <row r="31" spans="3:60" ht="20.25" x14ac:dyDescent="0.3">
      <c r="C31" s="8" t="s">
        <v>81</v>
      </c>
      <c r="D31" s="131"/>
      <c r="E31" s="90">
        <f t="shared" ref="E31:E40" si="3">IF(F31=0,0,F31/D$24)</f>
        <v>912.34558164354314</v>
      </c>
      <c r="F31" s="18">
        <f t="shared" ref="F31:F40" si="4">+SUM(I31,L31,O31,R31,U31,X31,AA31,AD31,AG31,AJ31,AM31,AP31,AS31,AV31,AY31,BB31,BE31,BH31)</f>
        <v>854867.80999999994</v>
      </c>
      <c r="G31" s="131">
        <v>0.48070183887219398</v>
      </c>
      <c r="H31" s="90">
        <v>1433.30435897435</v>
      </c>
      <c r="I31" s="18">
        <v>55898.87</v>
      </c>
      <c r="J31" s="131">
        <v>0.37509403439399103</v>
      </c>
      <c r="K31" s="90">
        <v>1054.0674999999901</v>
      </c>
      <c r="L31" s="18">
        <v>42162.7</v>
      </c>
      <c r="M31" s="131">
        <v>0.25322092173724198</v>
      </c>
      <c r="N31" s="90">
        <v>892.10391304347797</v>
      </c>
      <c r="O31" s="18">
        <v>20518.39</v>
      </c>
      <c r="P31" s="131">
        <v>1.0751653913694801</v>
      </c>
      <c r="Q31" s="90">
        <v>1449.3440983606499</v>
      </c>
      <c r="R31" s="18">
        <v>88409.989999999903</v>
      </c>
      <c r="S31" s="131">
        <v>0.22021115880521799</v>
      </c>
      <c r="T31" s="90">
        <v>690.26389961389896</v>
      </c>
      <c r="U31" s="18">
        <v>178778.35</v>
      </c>
      <c r="V31" s="131">
        <v>0.58559561279394201</v>
      </c>
      <c r="W31" s="90">
        <v>1186.67195876288</v>
      </c>
      <c r="X31" s="18">
        <v>115107.18</v>
      </c>
      <c r="Y31" s="131">
        <v>0.30455694617338902</v>
      </c>
      <c r="Z31" s="90">
        <v>1088.309375</v>
      </c>
      <c r="AA31" s="18">
        <v>52238.85</v>
      </c>
      <c r="AB31" s="131">
        <v>0.29468735955546699</v>
      </c>
      <c r="AC31" s="90">
        <v>882.40327868852398</v>
      </c>
      <c r="AD31" s="18">
        <v>53826.6</v>
      </c>
      <c r="AE31" s="131">
        <v>0.27072747395389801</v>
      </c>
      <c r="AF31" s="90">
        <v>943.25913043478204</v>
      </c>
      <c r="AG31" s="18">
        <v>43389.919999999998</v>
      </c>
      <c r="AH31" s="131">
        <v>0.47127280924680298</v>
      </c>
      <c r="AI31" s="90">
        <v>764.54857142857099</v>
      </c>
      <c r="AJ31" s="18">
        <v>16055.52</v>
      </c>
      <c r="AK31" s="131" t="s">
        <v>50</v>
      </c>
      <c r="AL31" s="90">
        <v>663.39272727272703</v>
      </c>
      <c r="AM31" s="18">
        <v>14594.64</v>
      </c>
      <c r="AN31" s="131">
        <v>0.70400100088922901</v>
      </c>
      <c r="AO31" s="90">
        <v>467.24232142857102</v>
      </c>
      <c r="AP31" s="18">
        <v>26165.57</v>
      </c>
      <c r="AQ31" s="131">
        <v>0.35506529720868202</v>
      </c>
      <c r="AR31" s="90">
        <v>963.73661290322502</v>
      </c>
      <c r="AS31" s="18">
        <v>59751.67</v>
      </c>
      <c r="AT31" s="131">
        <v>0.31674085481582798</v>
      </c>
      <c r="AU31" s="90">
        <v>863.63036585365796</v>
      </c>
      <c r="AV31" s="18">
        <v>70817.69</v>
      </c>
      <c r="AW31" s="131">
        <v>0</v>
      </c>
      <c r="AX31" s="90">
        <v>857.59349999999995</v>
      </c>
      <c r="AY31" s="18">
        <v>17151.87</v>
      </c>
      <c r="AZ31" s="131"/>
      <c r="BA31" s="90"/>
      <c r="BB31" s="18"/>
      <c r="BC31" s="131"/>
      <c r="BD31" s="90"/>
      <c r="BE31" s="18"/>
      <c r="BF31" s="131"/>
      <c r="BG31" s="90"/>
      <c r="BH31" s="18"/>
    </row>
    <row r="32" spans="3:60" ht="20.25" x14ac:dyDescent="0.3">
      <c r="C32" s="67" t="s">
        <v>80</v>
      </c>
      <c r="D32" s="149"/>
      <c r="E32" s="130">
        <f t="shared" si="3"/>
        <v>350.87690501600849</v>
      </c>
      <c r="F32" s="22">
        <f t="shared" si="4"/>
        <v>328771.65999999997</v>
      </c>
      <c r="G32" s="149">
        <v>0.28966892482314199</v>
      </c>
      <c r="H32" s="130">
        <v>399.32435897435897</v>
      </c>
      <c r="I32" s="22">
        <v>15573.65</v>
      </c>
      <c r="J32" s="149">
        <v>0.28649636349528401</v>
      </c>
      <c r="K32" s="130">
        <v>368.30275</v>
      </c>
      <c r="L32" s="22">
        <v>14732.11</v>
      </c>
      <c r="M32" s="149">
        <v>0.26248071029768399</v>
      </c>
      <c r="N32" s="130">
        <v>397.27391304347799</v>
      </c>
      <c r="O32" s="22">
        <v>9137.2999999999993</v>
      </c>
      <c r="P32" s="149">
        <v>0.38224311332817701</v>
      </c>
      <c r="Q32" s="130">
        <v>659.27606557376998</v>
      </c>
      <c r="R32" s="22">
        <v>40215.839999999997</v>
      </c>
      <c r="S32" s="149">
        <v>0.24670591914537299</v>
      </c>
      <c r="T32" s="130">
        <v>292.94571428571402</v>
      </c>
      <c r="U32" s="22">
        <v>75872.94</v>
      </c>
      <c r="V32" s="149">
        <v>0.301112016101024</v>
      </c>
      <c r="W32" s="130">
        <v>389.35969072164897</v>
      </c>
      <c r="X32" s="22">
        <v>37767.89</v>
      </c>
      <c r="Y32" s="149">
        <v>0.285880145944445</v>
      </c>
      <c r="Z32" s="130">
        <v>406.53854166666599</v>
      </c>
      <c r="AA32" s="22">
        <v>19513.849999999999</v>
      </c>
      <c r="AB32" s="149">
        <v>0.171824934962968</v>
      </c>
      <c r="AC32" s="130">
        <v>183.39934426229499</v>
      </c>
      <c r="AD32" s="22">
        <v>11187.36</v>
      </c>
      <c r="AE32" s="149">
        <v>0.236103561976894</v>
      </c>
      <c r="AF32" s="130">
        <v>311.339347826086</v>
      </c>
      <c r="AG32" s="22">
        <v>14321.61</v>
      </c>
      <c r="AH32" s="149">
        <v>0.30000012283684302</v>
      </c>
      <c r="AI32" s="130">
        <v>465.19333333333299</v>
      </c>
      <c r="AJ32" s="22">
        <v>9769.06</v>
      </c>
      <c r="AK32" s="149">
        <v>0.13997706488887099</v>
      </c>
      <c r="AL32" s="130">
        <v>144.035</v>
      </c>
      <c r="AM32" s="22">
        <v>3168.77</v>
      </c>
      <c r="AN32" s="149">
        <v>0.24320116748887899</v>
      </c>
      <c r="AO32" s="130">
        <v>268.30500000000001</v>
      </c>
      <c r="AP32" s="22">
        <v>15025.08</v>
      </c>
      <c r="AQ32" s="149">
        <v>0.30407765460039798</v>
      </c>
      <c r="AR32" s="130">
        <v>313.65580645161202</v>
      </c>
      <c r="AS32" s="22">
        <v>19446.66</v>
      </c>
      <c r="AT32" s="149">
        <v>0.28221055028409903</v>
      </c>
      <c r="AU32" s="130">
        <v>314.98951219512099</v>
      </c>
      <c r="AV32" s="22">
        <v>25829.14</v>
      </c>
      <c r="AW32" s="149">
        <v>0</v>
      </c>
      <c r="AX32" s="130">
        <v>860.52</v>
      </c>
      <c r="AY32" s="22">
        <v>17210.400000000001</v>
      </c>
      <c r="AZ32" s="149"/>
      <c r="BA32" s="130"/>
      <c r="BB32" s="22"/>
      <c r="BC32" s="149"/>
      <c r="BD32" s="130"/>
      <c r="BE32" s="22"/>
      <c r="BF32" s="149"/>
      <c r="BG32" s="130"/>
      <c r="BH32" s="22"/>
    </row>
    <row r="33" spans="3:60" ht="20.25" x14ac:dyDescent="0.3">
      <c r="C33" s="8" t="s">
        <v>79</v>
      </c>
      <c r="D33" s="8"/>
      <c r="E33" s="90">
        <f t="shared" si="3"/>
        <v>87.103233724653165</v>
      </c>
      <c r="F33" s="18">
        <f t="shared" si="4"/>
        <v>81615.73000000001</v>
      </c>
      <c r="G33" s="8">
        <v>0</v>
      </c>
      <c r="H33" s="90">
        <v>66.06</v>
      </c>
      <c r="I33" s="18">
        <v>2576.34</v>
      </c>
      <c r="J33" s="8">
        <v>0</v>
      </c>
      <c r="K33" s="90">
        <v>138.083</v>
      </c>
      <c r="L33" s="18">
        <v>5523.32</v>
      </c>
      <c r="M33" s="8">
        <v>0</v>
      </c>
      <c r="N33" s="90">
        <v>24.489565217391299</v>
      </c>
      <c r="O33" s="18">
        <v>563.26</v>
      </c>
      <c r="P33" s="8">
        <v>0</v>
      </c>
      <c r="Q33" s="90">
        <v>59.220327868852401</v>
      </c>
      <c r="R33" s="18">
        <v>3612.44</v>
      </c>
      <c r="S33" s="8">
        <v>0</v>
      </c>
      <c r="T33" s="90">
        <v>37.280926640926602</v>
      </c>
      <c r="U33" s="18">
        <v>9655.76</v>
      </c>
      <c r="V33" s="8">
        <v>0</v>
      </c>
      <c r="W33" s="90">
        <v>260.57360824742199</v>
      </c>
      <c r="X33" s="18">
        <v>25275.64</v>
      </c>
      <c r="Y33" s="8">
        <v>0</v>
      </c>
      <c r="Z33" s="90">
        <v>220.42104166666601</v>
      </c>
      <c r="AA33" s="18">
        <v>10580.21</v>
      </c>
      <c r="AB33" s="8">
        <v>0</v>
      </c>
      <c r="AC33" s="90">
        <v>39.417704918032697</v>
      </c>
      <c r="AD33" s="18">
        <v>2404.48</v>
      </c>
      <c r="AE33" s="8">
        <v>0</v>
      </c>
      <c r="AF33" s="90">
        <v>-10.5793478260869</v>
      </c>
      <c r="AG33" s="18">
        <v>-486.65</v>
      </c>
      <c r="AH33" s="8">
        <v>0</v>
      </c>
      <c r="AI33" s="90">
        <v>84.595238095238102</v>
      </c>
      <c r="AJ33" s="18">
        <v>1776.5</v>
      </c>
      <c r="AK33" s="8">
        <v>0</v>
      </c>
      <c r="AL33" s="90">
        <v>186.00772727272701</v>
      </c>
      <c r="AM33" s="18">
        <v>4092.17</v>
      </c>
      <c r="AN33" s="8">
        <v>0</v>
      </c>
      <c r="AO33" s="90">
        <v>7.8901785714285699</v>
      </c>
      <c r="AP33" s="18">
        <v>441.85</v>
      </c>
      <c r="AQ33" s="8">
        <v>0</v>
      </c>
      <c r="AR33" s="90">
        <v>129.37870967741901</v>
      </c>
      <c r="AS33" s="18">
        <v>8021.48</v>
      </c>
      <c r="AT33" s="8">
        <v>0</v>
      </c>
      <c r="AU33" s="90">
        <v>92.425975609756094</v>
      </c>
      <c r="AV33" s="18">
        <v>7578.93</v>
      </c>
      <c r="AW33" s="8">
        <v>0</v>
      </c>
      <c r="AX33" s="90">
        <v>0</v>
      </c>
      <c r="AY33" s="18">
        <v>0</v>
      </c>
      <c r="AZ33" s="8"/>
      <c r="BA33" s="90"/>
      <c r="BB33" s="18"/>
      <c r="BC33" s="8"/>
      <c r="BD33" s="90"/>
      <c r="BE33" s="18"/>
      <c r="BF33" s="8"/>
      <c r="BG33" s="90"/>
      <c r="BH33" s="18"/>
    </row>
    <row r="34" spans="3:60" ht="20.25" x14ac:dyDescent="0.3">
      <c r="C34" s="8" t="s">
        <v>78</v>
      </c>
      <c r="D34" s="8"/>
      <c r="E34" s="90">
        <f t="shared" si="3"/>
        <v>35.806040554962649</v>
      </c>
      <c r="F34" s="18">
        <f t="shared" si="4"/>
        <v>33550.26</v>
      </c>
      <c r="G34" s="8">
        <v>0</v>
      </c>
      <c r="H34" s="90">
        <v>55.669230769230701</v>
      </c>
      <c r="I34" s="18">
        <v>2171.1</v>
      </c>
      <c r="J34" s="8">
        <v>0</v>
      </c>
      <c r="K34" s="90">
        <v>34.421499999999902</v>
      </c>
      <c r="L34" s="18">
        <v>1376.86</v>
      </c>
      <c r="M34" s="8">
        <v>0</v>
      </c>
      <c r="N34" s="90">
        <v>42.779130434782601</v>
      </c>
      <c r="O34" s="18">
        <v>983.92</v>
      </c>
      <c r="P34" s="8">
        <v>0</v>
      </c>
      <c r="Q34" s="90">
        <v>11.6827868852459</v>
      </c>
      <c r="R34" s="18">
        <v>712.65</v>
      </c>
      <c r="S34" s="8">
        <v>0</v>
      </c>
      <c r="T34" s="90">
        <v>60.439536679536602</v>
      </c>
      <c r="U34" s="18">
        <v>15653.84</v>
      </c>
      <c r="V34" s="8">
        <v>0</v>
      </c>
      <c r="W34" s="90">
        <v>4.4388659793814398</v>
      </c>
      <c r="X34" s="18">
        <v>430.57</v>
      </c>
      <c r="Y34" s="8">
        <v>0</v>
      </c>
      <c r="Z34" s="90">
        <v>40.78875</v>
      </c>
      <c r="AA34" s="18">
        <v>1957.86</v>
      </c>
      <c r="AB34" s="8">
        <v>0</v>
      </c>
      <c r="AC34" s="90">
        <v>134.929836065573</v>
      </c>
      <c r="AD34" s="18">
        <v>8230.7199999999993</v>
      </c>
      <c r="AE34" s="8">
        <v>0</v>
      </c>
      <c r="AF34" s="90">
        <v>-130.41999999999999</v>
      </c>
      <c r="AG34" s="18">
        <v>-5999.32</v>
      </c>
      <c r="AH34" s="8">
        <v>0</v>
      </c>
      <c r="AI34" s="90">
        <v>53.257142857142803</v>
      </c>
      <c r="AJ34" s="18">
        <v>1118.4000000000001</v>
      </c>
      <c r="AK34" s="8">
        <v>0</v>
      </c>
      <c r="AL34" s="90">
        <v>52.230909090909002</v>
      </c>
      <c r="AM34" s="18">
        <v>1149.08</v>
      </c>
      <c r="AN34" s="8">
        <v>0</v>
      </c>
      <c r="AO34" s="90">
        <v>3.1653571428571401</v>
      </c>
      <c r="AP34" s="18">
        <v>177.26</v>
      </c>
      <c r="AQ34" s="8">
        <v>0</v>
      </c>
      <c r="AR34" s="90">
        <v>66.502741935483797</v>
      </c>
      <c r="AS34" s="18">
        <v>4123.17</v>
      </c>
      <c r="AT34" s="8">
        <v>0</v>
      </c>
      <c r="AU34" s="90">
        <v>13.0491463414634</v>
      </c>
      <c r="AV34" s="18">
        <v>1070.03</v>
      </c>
      <c r="AW34" s="8">
        <v>0</v>
      </c>
      <c r="AX34" s="90">
        <v>19.706</v>
      </c>
      <c r="AY34" s="18">
        <v>394.12</v>
      </c>
      <c r="AZ34" s="8"/>
      <c r="BA34" s="90"/>
      <c r="BB34" s="18"/>
      <c r="BC34" s="8"/>
      <c r="BD34" s="90"/>
      <c r="BE34" s="18"/>
      <c r="BF34" s="8"/>
      <c r="BG34" s="90"/>
      <c r="BH34" s="18"/>
    </row>
    <row r="35" spans="3:60" ht="20.25" x14ac:dyDescent="0.3">
      <c r="C35" s="67" t="s">
        <v>77</v>
      </c>
      <c r="D35" s="67"/>
      <c r="E35" s="130">
        <f t="shared" si="3"/>
        <v>111.5988046958378</v>
      </c>
      <c r="F35" s="22">
        <f t="shared" si="4"/>
        <v>104568.08000000002</v>
      </c>
      <c r="G35" s="67">
        <v>0</v>
      </c>
      <c r="H35" s="130">
        <v>426.70435897435902</v>
      </c>
      <c r="I35" s="22">
        <v>16641.47</v>
      </c>
      <c r="J35" s="67">
        <v>0</v>
      </c>
      <c r="K35" s="130">
        <v>41.484249999999903</v>
      </c>
      <c r="L35" s="22">
        <v>1659.37</v>
      </c>
      <c r="M35" s="67">
        <v>0</v>
      </c>
      <c r="N35" s="130">
        <v>171.89826086956501</v>
      </c>
      <c r="O35" s="22">
        <v>3953.66</v>
      </c>
      <c r="P35" s="67">
        <v>0</v>
      </c>
      <c r="Q35" s="130">
        <v>0</v>
      </c>
      <c r="R35" s="22">
        <v>0</v>
      </c>
      <c r="S35" s="67">
        <v>0</v>
      </c>
      <c r="T35" s="130">
        <v>0</v>
      </c>
      <c r="U35" s="22">
        <v>0</v>
      </c>
      <c r="V35" s="67">
        <v>0</v>
      </c>
      <c r="W35" s="130">
        <v>98.224329896907193</v>
      </c>
      <c r="X35" s="22">
        <v>9527.76</v>
      </c>
      <c r="Y35" s="67">
        <v>0</v>
      </c>
      <c r="Z35" s="130">
        <v>348.17458333333298</v>
      </c>
      <c r="AA35" s="22">
        <v>16712.38</v>
      </c>
      <c r="AB35" s="67">
        <v>0</v>
      </c>
      <c r="AC35" s="130">
        <v>286.83918032786801</v>
      </c>
      <c r="AD35" s="22">
        <v>17497.189999999999</v>
      </c>
      <c r="AE35" s="67">
        <v>0</v>
      </c>
      <c r="AF35" s="130">
        <v>132.21782608695599</v>
      </c>
      <c r="AG35" s="22">
        <v>6082.02</v>
      </c>
      <c r="AH35" s="67">
        <v>0</v>
      </c>
      <c r="AI35" s="130">
        <v>339.00380952380902</v>
      </c>
      <c r="AJ35" s="22">
        <v>7119.08</v>
      </c>
      <c r="AK35" s="67">
        <v>0</v>
      </c>
      <c r="AL35" s="130">
        <v>107.36499999999999</v>
      </c>
      <c r="AM35" s="22">
        <v>2362.0300000000002</v>
      </c>
      <c r="AN35" s="67">
        <v>0</v>
      </c>
      <c r="AO35" s="130">
        <v>78.137321428571397</v>
      </c>
      <c r="AP35" s="22">
        <v>4375.6899999999996</v>
      </c>
      <c r="AQ35" s="67">
        <v>0</v>
      </c>
      <c r="AR35" s="130">
        <v>68.293709677419301</v>
      </c>
      <c r="AS35" s="22">
        <v>4234.21</v>
      </c>
      <c r="AT35" s="67">
        <v>0</v>
      </c>
      <c r="AU35" s="130">
        <v>175.649024390243</v>
      </c>
      <c r="AV35" s="22">
        <v>14403.22</v>
      </c>
      <c r="AW35" s="67">
        <v>0</v>
      </c>
      <c r="AX35" s="130">
        <v>0</v>
      </c>
      <c r="AY35" s="22">
        <v>0</v>
      </c>
      <c r="AZ35" s="67"/>
      <c r="BA35" s="130"/>
      <c r="BB35" s="22"/>
      <c r="BC35" s="67"/>
      <c r="BD35" s="130"/>
      <c r="BE35" s="22"/>
      <c r="BF35" s="67"/>
      <c r="BG35" s="130"/>
      <c r="BH35" s="22"/>
    </row>
    <row r="36" spans="3:60" ht="20.25" x14ac:dyDescent="0.3">
      <c r="C36" s="8" t="s">
        <v>76</v>
      </c>
      <c r="D36" s="8"/>
      <c r="E36" s="90">
        <f t="shared" si="3"/>
        <v>454.00480256136598</v>
      </c>
      <c r="F36" s="68">
        <f t="shared" si="4"/>
        <v>425402.49999999994</v>
      </c>
      <c r="G36" s="8">
        <v>0</v>
      </c>
      <c r="H36" s="90">
        <v>975.62666666666598</v>
      </c>
      <c r="I36" s="68">
        <v>38049.440000000002</v>
      </c>
      <c r="J36" s="8">
        <v>0</v>
      </c>
      <c r="K36" s="90">
        <v>984.81100000000004</v>
      </c>
      <c r="L36" s="68">
        <v>39392.44</v>
      </c>
      <c r="M36" s="8">
        <v>0</v>
      </c>
      <c r="N36" s="90">
        <v>812.10043478260798</v>
      </c>
      <c r="O36" s="68">
        <v>18678.310000000001</v>
      </c>
      <c r="P36" s="8">
        <v>0</v>
      </c>
      <c r="Q36" s="90">
        <v>622.11377049180305</v>
      </c>
      <c r="R36" s="68">
        <v>37948.94</v>
      </c>
      <c r="S36" s="8">
        <v>0</v>
      </c>
      <c r="T36" s="90">
        <v>293.07135135135098</v>
      </c>
      <c r="U36" s="68">
        <v>75905.48</v>
      </c>
      <c r="V36" s="8">
        <v>0</v>
      </c>
      <c r="W36" s="90">
        <v>272.64670103092698</v>
      </c>
      <c r="X36" s="68">
        <v>26446.73</v>
      </c>
      <c r="Y36" s="8">
        <v>0</v>
      </c>
      <c r="Z36" s="90">
        <v>467.85354166666599</v>
      </c>
      <c r="AA36" s="68">
        <v>22456.97</v>
      </c>
      <c r="AB36" s="8">
        <v>0</v>
      </c>
      <c r="AC36" s="90">
        <v>383.28786885245898</v>
      </c>
      <c r="AD36" s="68">
        <v>23380.560000000001</v>
      </c>
      <c r="AE36" s="8">
        <v>0</v>
      </c>
      <c r="AF36" s="90">
        <v>677.66847826086905</v>
      </c>
      <c r="AG36" s="68">
        <v>31172.75</v>
      </c>
      <c r="AH36" s="8">
        <v>0</v>
      </c>
      <c r="AI36" s="90">
        <v>1437.83</v>
      </c>
      <c r="AJ36" s="68">
        <v>30194.43</v>
      </c>
      <c r="AK36" s="8">
        <v>0</v>
      </c>
      <c r="AL36" s="90">
        <v>744.67409090909098</v>
      </c>
      <c r="AM36" s="68">
        <v>16382.83</v>
      </c>
      <c r="AN36" s="8">
        <v>0</v>
      </c>
      <c r="AO36" s="90">
        <v>254.43160714285699</v>
      </c>
      <c r="AP36" s="68">
        <v>14248.1699999999</v>
      </c>
      <c r="AQ36" s="8">
        <v>0</v>
      </c>
      <c r="AR36" s="90">
        <v>319.32096774193502</v>
      </c>
      <c r="AS36" s="68">
        <v>19797.900000000001</v>
      </c>
      <c r="AT36" s="8">
        <v>0</v>
      </c>
      <c r="AU36" s="90">
        <v>109.31243902439</v>
      </c>
      <c r="AV36" s="68">
        <v>8963.6199999999899</v>
      </c>
      <c r="AW36" s="8">
        <v>0</v>
      </c>
      <c r="AX36" s="90">
        <v>1119.1965</v>
      </c>
      <c r="AY36" s="68">
        <v>22383.93</v>
      </c>
      <c r="AZ36" s="8"/>
      <c r="BA36" s="90"/>
      <c r="BB36" s="68"/>
      <c r="BC36" s="8"/>
      <c r="BD36" s="90"/>
      <c r="BE36" s="68"/>
      <c r="BF36" s="8"/>
      <c r="BG36" s="90"/>
      <c r="BH36" s="68"/>
    </row>
    <row r="37" spans="3:60" ht="20.25" x14ac:dyDescent="0.3">
      <c r="C37" s="8" t="s">
        <v>75</v>
      </c>
      <c r="D37" s="8"/>
      <c r="E37" s="90">
        <f t="shared" si="3"/>
        <v>1327.5954322305231</v>
      </c>
      <c r="F37" s="18">
        <f t="shared" si="4"/>
        <v>1243956.9200000002</v>
      </c>
      <c r="G37" s="8">
        <v>0</v>
      </c>
      <c r="H37" s="90">
        <v>2643.5297435897401</v>
      </c>
      <c r="I37" s="18">
        <v>103097.66</v>
      </c>
      <c r="J37" s="8">
        <v>0</v>
      </c>
      <c r="K37" s="90">
        <v>1514.2559999999901</v>
      </c>
      <c r="L37" s="18">
        <v>60570.239999999998</v>
      </c>
      <c r="M37" s="8">
        <v>0</v>
      </c>
      <c r="N37" s="90">
        <v>1867.50652173913</v>
      </c>
      <c r="O37" s="18">
        <v>42952.65</v>
      </c>
      <c r="P37" s="8">
        <v>0</v>
      </c>
      <c r="Q37" s="90">
        <v>3087.4873770491799</v>
      </c>
      <c r="R37" s="18">
        <v>188336.73</v>
      </c>
      <c r="S37" s="8">
        <v>0</v>
      </c>
      <c r="T37" s="90">
        <v>1505.76108108108</v>
      </c>
      <c r="U37" s="18">
        <v>389992.12</v>
      </c>
      <c r="V37" s="8">
        <v>0</v>
      </c>
      <c r="W37" s="90">
        <v>1479.29412371134</v>
      </c>
      <c r="X37" s="18">
        <v>143491.53</v>
      </c>
      <c r="Y37" s="8">
        <v>0</v>
      </c>
      <c r="Z37" s="90">
        <v>1493.3418749999901</v>
      </c>
      <c r="AA37" s="18">
        <v>71680.409999999902</v>
      </c>
      <c r="AB37" s="8">
        <v>0</v>
      </c>
      <c r="AC37" s="90">
        <v>612.29409836065497</v>
      </c>
      <c r="AD37" s="18">
        <v>37349.94</v>
      </c>
      <c r="AE37" s="8">
        <v>0</v>
      </c>
      <c r="AF37" s="90">
        <v>1591.3076086956501</v>
      </c>
      <c r="AG37" s="18">
        <v>73200.149999999994</v>
      </c>
      <c r="AH37" s="8">
        <v>0</v>
      </c>
      <c r="AI37" s="90">
        <v>1925.1466666666599</v>
      </c>
      <c r="AJ37" s="18">
        <v>40428.080000000002</v>
      </c>
      <c r="AK37" s="8">
        <v>0</v>
      </c>
      <c r="AL37" s="90">
        <v>1074.605</v>
      </c>
      <c r="AM37" s="18">
        <v>23641.31</v>
      </c>
      <c r="AN37" s="8">
        <v>0</v>
      </c>
      <c r="AO37" s="90">
        <v>427.21142857142797</v>
      </c>
      <c r="AP37" s="18">
        <v>23923.84</v>
      </c>
      <c r="AQ37" s="8">
        <v>0</v>
      </c>
      <c r="AR37" s="90">
        <v>164.37209677419301</v>
      </c>
      <c r="AS37" s="18">
        <v>10191.07</v>
      </c>
      <c r="AT37" s="8">
        <v>0</v>
      </c>
      <c r="AU37" s="90">
        <v>190.27499999999901</v>
      </c>
      <c r="AV37" s="18">
        <v>15602.55</v>
      </c>
      <c r="AW37" s="8">
        <v>0</v>
      </c>
      <c r="AX37" s="90">
        <v>974.93200000000002</v>
      </c>
      <c r="AY37" s="18">
        <v>19498.64</v>
      </c>
      <c r="AZ37" s="8"/>
      <c r="BA37" s="90"/>
      <c r="BB37" s="18"/>
      <c r="BC37" s="8"/>
      <c r="BD37" s="90"/>
      <c r="BE37" s="18"/>
      <c r="BF37" s="8"/>
      <c r="BG37" s="90"/>
      <c r="BH37" s="18"/>
    </row>
    <row r="38" spans="3:60" ht="20.25" hidden="1" x14ac:dyDescent="0.3">
      <c r="C38" s="8" t="s">
        <v>3</v>
      </c>
      <c r="D38" s="8"/>
      <c r="E38" s="90">
        <f t="shared" si="3"/>
        <v>0</v>
      </c>
      <c r="F38" s="18">
        <f t="shared" si="4"/>
        <v>0</v>
      </c>
      <c r="G38" s="8">
        <v>0</v>
      </c>
      <c r="H38" s="90">
        <v>0</v>
      </c>
      <c r="I38" s="18">
        <v>0</v>
      </c>
      <c r="J38" s="8">
        <v>0</v>
      </c>
      <c r="K38" s="90">
        <v>0</v>
      </c>
      <c r="L38" s="18">
        <v>0</v>
      </c>
      <c r="M38" s="8">
        <v>0</v>
      </c>
      <c r="N38" s="90">
        <v>0</v>
      </c>
      <c r="O38" s="18">
        <v>0</v>
      </c>
      <c r="P38" s="8">
        <v>0</v>
      </c>
      <c r="Q38" s="90">
        <v>0</v>
      </c>
      <c r="R38" s="18">
        <v>0</v>
      </c>
      <c r="S38" s="8">
        <v>0</v>
      </c>
      <c r="T38" s="90">
        <v>0</v>
      </c>
      <c r="U38" s="18">
        <v>0</v>
      </c>
      <c r="V38" s="8">
        <v>0</v>
      </c>
      <c r="W38" s="90">
        <v>0</v>
      </c>
      <c r="X38" s="18">
        <v>0</v>
      </c>
      <c r="Y38" s="8">
        <v>0</v>
      </c>
      <c r="Z38" s="90">
        <v>0</v>
      </c>
      <c r="AA38" s="18">
        <v>0</v>
      </c>
      <c r="AB38" s="8">
        <v>0</v>
      </c>
      <c r="AC38" s="90">
        <v>0</v>
      </c>
      <c r="AD38" s="18">
        <v>0</v>
      </c>
      <c r="AE38" s="8">
        <v>0</v>
      </c>
      <c r="AF38" s="90">
        <v>0</v>
      </c>
      <c r="AG38" s="18">
        <v>0</v>
      </c>
      <c r="AH38" s="8">
        <v>0</v>
      </c>
      <c r="AI38" s="90">
        <v>0</v>
      </c>
      <c r="AJ38" s="18">
        <v>0</v>
      </c>
      <c r="AK38" s="8">
        <v>0</v>
      </c>
      <c r="AL38" s="90">
        <v>0</v>
      </c>
      <c r="AM38" s="18">
        <v>0</v>
      </c>
      <c r="AN38" s="8">
        <v>0</v>
      </c>
      <c r="AO38" s="90">
        <v>0</v>
      </c>
      <c r="AP38" s="18">
        <v>0</v>
      </c>
      <c r="AQ38" s="8">
        <v>0</v>
      </c>
      <c r="AR38" s="90">
        <v>0</v>
      </c>
      <c r="AS38" s="18">
        <v>0</v>
      </c>
      <c r="AT38" s="8">
        <v>0</v>
      </c>
      <c r="AU38" s="90">
        <v>0</v>
      </c>
      <c r="AV38" s="18">
        <v>0</v>
      </c>
      <c r="AW38" s="8">
        <v>0</v>
      </c>
      <c r="AX38" s="90">
        <v>0</v>
      </c>
      <c r="AY38" s="18">
        <v>0</v>
      </c>
      <c r="AZ38" s="8"/>
      <c r="BA38" s="90"/>
      <c r="BB38" s="18"/>
      <c r="BC38" s="8"/>
      <c r="BD38" s="90"/>
      <c r="BE38" s="18"/>
      <c r="BF38" s="8"/>
      <c r="BG38" s="90"/>
      <c r="BH38" s="18"/>
    </row>
    <row r="39" spans="3:60" ht="20.25" hidden="1" x14ac:dyDescent="0.3">
      <c r="C39" s="8" t="s">
        <v>3</v>
      </c>
      <c r="D39" s="8"/>
      <c r="E39" s="90">
        <f t="shared" si="3"/>
        <v>0</v>
      </c>
      <c r="F39" s="18">
        <f t="shared" si="4"/>
        <v>0</v>
      </c>
      <c r="G39" s="8">
        <v>0</v>
      </c>
      <c r="H39" s="90">
        <v>0</v>
      </c>
      <c r="I39" s="18">
        <v>0</v>
      </c>
      <c r="J39" s="8">
        <v>0</v>
      </c>
      <c r="K39" s="90">
        <v>0</v>
      </c>
      <c r="L39" s="18">
        <v>0</v>
      </c>
      <c r="M39" s="8">
        <v>0</v>
      </c>
      <c r="N39" s="90">
        <v>0</v>
      </c>
      <c r="O39" s="18">
        <v>0</v>
      </c>
      <c r="P39" s="8">
        <v>0</v>
      </c>
      <c r="Q39" s="90">
        <v>0</v>
      </c>
      <c r="R39" s="18">
        <v>0</v>
      </c>
      <c r="S39" s="8">
        <v>0</v>
      </c>
      <c r="T39" s="90">
        <v>0</v>
      </c>
      <c r="U39" s="18">
        <v>0</v>
      </c>
      <c r="V39" s="8">
        <v>0</v>
      </c>
      <c r="W39" s="90">
        <v>0</v>
      </c>
      <c r="X39" s="18">
        <v>0</v>
      </c>
      <c r="Y39" s="8">
        <v>0</v>
      </c>
      <c r="Z39" s="90">
        <v>0</v>
      </c>
      <c r="AA39" s="18">
        <v>0</v>
      </c>
      <c r="AB39" s="8">
        <v>0</v>
      </c>
      <c r="AC39" s="90">
        <v>0</v>
      </c>
      <c r="AD39" s="18">
        <v>0</v>
      </c>
      <c r="AE39" s="8">
        <v>0</v>
      </c>
      <c r="AF39" s="90">
        <v>0</v>
      </c>
      <c r="AG39" s="18">
        <v>0</v>
      </c>
      <c r="AH39" s="8">
        <v>0</v>
      </c>
      <c r="AI39" s="90">
        <v>0</v>
      </c>
      <c r="AJ39" s="18">
        <v>0</v>
      </c>
      <c r="AK39" s="8">
        <v>0</v>
      </c>
      <c r="AL39" s="90">
        <v>0</v>
      </c>
      <c r="AM39" s="18">
        <v>0</v>
      </c>
      <c r="AN39" s="8">
        <v>0</v>
      </c>
      <c r="AO39" s="90">
        <v>0</v>
      </c>
      <c r="AP39" s="18">
        <v>0</v>
      </c>
      <c r="AQ39" s="8">
        <v>0</v>
      </c>
      <c r="AR39" s="90">
        <v>0</v>
      </c>
      <c r="AS39" s="18">
        <v>0</v>
      </c>
      <c r="AT39" s="8">
        <v>0</v>
      </c>
      <c r="AU39" s="90">
        <v>0</v>
      </c>
      <c r="AV39" s="18">
        <v>0</v>
      </c>
      <c r="AW39" s="8">
        <v>0</v>
      </c>
      <c r="AX39" s="90">
        <v>0</v>
      </c>
      <c r="AY39" s="18">
        <v>0</v>
      </c>
      <c r="AZ39" s="8"/>
      <c r="BA39" s="90"/>
      <c r="BB39" s="18"/>
      <c r="BC39" s="8"/>
      <c r="BD39" s="90"/>
      <c r="BE39" s="18"/>
      <c r="BF39" s="8"/>
      <c r="BG39" s="90"/>
      <c r="BH39" s="18"/>
    </row>
    <row r="40" spans="3:60" ht="20.25" hidden="1" x14ac:dyDescent="0.3">
      <c r="C40" s="8" t="s">
        <v>3</v>
      </c>
      <c r="D40" s="8"/>
      <c r="E40" s="90">
        <f t="shared" si="3"/>
        <v>0</v>
      </c>
      <c r="F40" s="22">
        <f t="shared" si="4"/>
        <v>0</v>
      </c>
      <c r="G40" s="8">
        <v>0</v>
      </c>
      <c r="H40" s="90">
        <v>0</v>
      </c>
      <c r="I40" s="22">
        <v>0</v>
      </c>
      <c r="J40" s="8">
        <v>0</v>
      </c>
      <c r="K40" s="90">
        <v>0</v>
      </c>
      <c r="L40" s="22">
        <v>0</v>
      </c>
      <c r="M40" s="8">
        <v>0</v>
      </c>
      <c r="N40" s="90">
        <v>0</v>
      </c>
      <c r="O40" s="22">
        <v>0</v>
      </c>
      <c r="P40" s="8">
        <v>0</v>
      </c>
      <c r="Q40" s="90">
        <v>0</v>
      </c>
      <c r="R40" s="22">
        <v>0</v>
      </c>
      <c r="S40" s="8">
        <v>0</v>
      </c>
      <c r="T40" s="90">
        <v>0</v>
      </c>
      <c r="U40" s="22">
        <v>0</v>
      </c>
      <c r="V40" s="8">
        <v>0</v>
      </c>
      <c r="W40" s="90">
        <v>0</v>
      </c>
      <c r="X40" s="22">
        <v>0</v>
      </c>
      <c r="Y40" s="8">
        <v>0</v>
      </c>
      <c r="Z40" s="90">
        <v>0</v>
      </c>
      <c r="AA40" s="22">
        <v>0</v>
      </c>
      <c r="AB40" s="8">
        <v>0</v>
      </c>
      <c r="AC40" s="90">
        <v>0</v>
      </c>
      <c r="AD40" s="22">
        <v>0</v>
      </c>
      <c r="AE40" s="8">
        <v>0</v>
      </c>
      <c r="AF40" s="90">
        <v>0</v>
      </c>
      <c r="AG40" s="22">
        <v>0</v>
      </c>
      <c r="AH40" s="8">
        <v>0</v>
      </c>
      <c r="AI40" s="90">
        <v>0</v>
      </c>
      <c r="AJ40" s="22">
        <v>0</v>
      </c>
      <c r="AK40" s="8">
        <v>0</v>
      </c>
      <c r="AL40" s="90">
        <v>0</v>
      </c>
      <c r="AM40" s="22">
        <v>0</v>
      </c>
      <c r="AN40" s="8">
        <v>0</v>
      </c>
      <c r="AO40" s="90">
        <v>0</v>
      </c>
      <c r="AP40" s="22">
        <v>0</v>
      </c>
      <c r="AQ40" s="8">
        <v>0</v>
      </c>
      <c r="AR40" s="90">
        <v>0</v>
      </c>
      <c r="AS40" s="22">
        <v>0</v>
      </c>
      <c r="AT40" s="8">
        <v>0</v>
      </c>
      <c r="AU40" s="90">
        <v>0</v>
      </c>
      <c r="AV40" s="22">
        <v>0</v>
      </c>
      <c r="AW40" s="8">
        <v>0</v>
      </c>
      <c r="AX40" s="90">
        <v>0</v>
      </c>
      <c r="AY40" s="22">
        <v>0</v>
      </c>
      <c r="AZ40" s="8"/>
      <c r="BA40" s="90"/>
      <c r="BB40" s="22"/>
      <c r="BC40" s="8"/>
      <c r="BD40" s="90"/>
      <c r="BE40" s="22"/>
      <c r="BF40" s="8"/>
      <c r="BG40" s="90"/>
      <c r="BH40" s="22"/>
    </row>
    <row r="41" spans="3:60" ht="20.25" x14ac:dyDescent="0.3">
      <c r="C41" s="11" t="s">
        <v>74</v>
      </c>
      <c r="D41" s="70"/>
      <c r="E41" s="13"/>
      <c r="F41" s="69">
        <f>SUM(F31:F37)</f>
        <v>3072732.96</v>
      </c>
      <c r="G41" s="70" t="s">
        <v>18</v>
      </c>
      <c r="H41" s="13">
        <v>1.16351446123661</v>
      </c>
      <c r="I41" s="69">
        <v>234008.53</v>
      </c>
      <c r="J41" s="70" t="s">
        <v>18</v>
      </c>
      <c r="K41" s="13">
        <v>0.96193440783247997</v>
      </c>
      <c r="L41" s="69">
        <v>165417.04</v>
      </c>
      <c r="M41" s="70" t="s">
        <v>18</v>
      </c>
      <c r="N41" s="13">
        <v>0.79476955970890895</v>
      </c>
      <c r="O41" s="69">
        <v>96787.489999999903</v>
      </c>
      <c r="P41" s="70" t="s">
        <v>18</v>
      </c>
      <c r="Q41" s="13">
        <v>1.0525705126973</v>
      </c>
      <c r="R41" s="69">
        <v>359236.58999999898</v>
      </c>
      <c r="S41" s="70" t="s">
        <v>18</v>
      </c>
      <c r="T41" s="13">
        <v>0.75055245254373104</v>
      </c>
      <c r="U41" s="69">
        <v>745858.49</v>
      </c>
      <c r="V41" s="70" t="s">
        <v>18</v>
      </c>
      <c r="W41" s="13">
        <v>1.03422664653561</v>
      </c>
      <c r="X41" s="69">
        <v>358047.3</v>
      </c>
      <c r="Y41" s="70" t="s">
        <v>18</v>
      </c>
      <c r="Z41" s="13">
        <v>0.710620724825345</v>
      </c>
      <c r="AA41" s="69">
        <v>195140.53</v>
      </c>
      <c r="AB41" s="70" t="s">
        <v>18</v>
      </c>
      <c r="AC41" s="13">
        <v>0.60828626344647196</v>
      </c>
      <c r="AD41" s="69">
        <v>153876.85</v>
      </c>
      <c r="AE41" s="70" t="s">
        <v>18</v>
      </c>
      <c r="AF41" s="13">
        <v>0.72080267434474499</v>
      </c>
      <c r="AG41" s="69">
        <v>161680.47999999899</v>
      </c>
      <c r="AH41" s="70" t="s">
        <v>18</v>
      </c>
      <c r="AI41" s="13">
        <v>1.57412554552675</v>
      </c>
      <c r="AJ41" s="69">
        <v>106461.07</v>
      </c>
      <c r="AK41" s="70" t="s">
        <v>18</v>
      </c>
      <c r="AL41" s="13">
        <v>2.73924319261255</v>
      </c>
      <c r="AM41" s="69">
        <v>65390.83</v>
      </c>
      <c r="AN41" s="70" t="s">
        <v>18</v>
      </c>
      <c r="AO41" s="13">
        <v>0.78986873888921005</v>
      </c>
      <c r="AP41" s="69">
        <v>84357.46</v>
      </c>
      <c r="AQ41" s="70" t="s">
        <v>18</v>
      </c>
      <c r="AR41" s="13">
        <v>0.51742276764415296</v>
      </c>
      <c r="AS41" s="69">
        <v>125566.16</v>
      </c>
      <c r="AT41" s="70" t="s">
        <v>18</v>
      </c>
      <c r="AU41" s="13">
        <v>0.44143003508670497</v>
      </c>
      <c r="AV41" s="69">
        <v>144265.18</v>
      </c>
      <c r="AW41" s="70" t="s">
        <v>18</v>
      </c>
      <c r="AX41" s="13">
        <v>0.67407105301371595</v>
      </c>
      <c r="AY41" s="69">
        <v>76638.960000000006</v>
      </c>
      <c r="AZ41" s="70"/>
      <c r="BA41" s="13"/>
      <c r="BB41" s="69"/>
      <c r="BC41" s="70"/>
      <c r="BD41" s="13"/>
      <c r="BE41" s="69"/>
      <c r="BF41" s="70"/>
      <c r="BG41" s="13"/>
      <c r="BH41" s="69"/>
    </row>
    <row r="42" spans="3:60" ht="20.25" x14ac:dyDescent="0.3">
      <c r="C42" s="17" t="s">
        <v>27</v>
      </c>
      <c r="D42" s="8"/>
      <c r="E42" s="7"/>
      <c r="F42" s="18">
        <f t="shared" ref="F42:F53" si="5">+SUM(I42,L42,O42,R42,U42,X42,AA42,AD42,AG42,AJ42,AM42,AP42,AS42,AV42,AY42,BB42,BE42,BH42)</f>
        <v>532897.53</v>
      </c>
      <c r="G42" s="8">
        <v>0</v>
      </c>
      <c r="H42" s="105">
        <v>0</v>
      </c>
      <c r="I42" s="18">
        <v>27384.04</v>
      </c>
      <c r="J42" s="8">
        <v>0</v>
      </c>
      <c r="K42" s="105">
        <v>0</v>
      </c>
      <c r="L42" s="18">
        <v>26399.21</v>
      </c>
      <c r="M42" s="8">
        <v>0</v>
      </c>
      <c r="N42" s="105">
        <v>0</v>
      </c>
      <c r="O42" s="18">
        <v>22234.15</v>
      </c>
      <c r="P42" s="8">
        <v>0</v>
      </c>
      <c r="Q42" s="105">
        <v>0</v>
      </c>
      <c r="R42" s="18">
        <v>29274.400000000001</v>
      </c>
      <c r="S42" s="8">
        <v>0</v>
      </c>
      <c r="T42" s="105">
        <v>0</v>
      </c>
      <c r="U42" s="18">
        <v>88725.48</v>
      </c>
      <c r="V42" s="8">
        <v>0</v>
      </c>
      <c r="W42" s="105">
        <v>0</v>
      </c>
      <c r="X42" s="18">
        <v>58204.58</v>
      </c>
      <c r="Y42" s="8">
        <v>0</v>
      </c>
      <c r="Z42" s="105">
        <v>0</v>
      </c>
      <c r="AA42" s="18">
        <v>36386.54</v>
      </c>
      <c r="AB42" s="8">
        <v>0</v>
      </c>
      <c r="AC42" s="105">
        <v>0</v>
      </c>
      <c r="AD42" s="18">
        <v>30353.15</v>
      </c>
      <c r="AE42" s="8">
        <v>0</v>
      </c>
      <c r="AF42" s="105">
        <v>0</v>
      </c>
      <c r="AG42" s="18">
        <v>42357.3</v>
      </c>
      <c r="AH42" s="8">
        <v>0</v>
      </c>
      <c r="AI42" s="105">
        <v>0</v>
      </c>
      <c r="AJ42" s="18">
        <v>25889.93</v>
      </c>
      <c r="AK42" s="8">
        <v>0</v>
      </c>
      <c r="AL42" s="105">
        <v>0</v>
      </c>
      <c r="AM42" s="18">
        <v>17525.38</v>
      </c>
      <c r="AN42" s="8">
        <v>0</v>
      </c>
      <c r="AO42" s="105">
        <v>0</v>
      </c>
      <c r="AP42" s="18">
        <v>30840.5</v>
      </c>
      <c r="AQ42" s="8">
        <v>0</v>
      </c>
      <c r="AR42" s="105">
        <v>0</v>
      </c>
      <c r="AS42" s="18">
        <v>34649.519999999997</v>
      </c>
      <c r="AT42" s="8">
        <v>0</v>
      </c>
      <c r="AU42" s="105">
        <v>0</v>
      </c>
      <c r="AV42" s="18">
        <v>43746.58</v>
      </c>
      <c r="AW42" s="8">
        <v>0</v>
      </c>
      <c r="AX42" s="105">
        <v>0</v>
      </c>
      <c r="AY42" s="18">
        <v>18926.77</v>
      </c>
      <c r="AZ42" s="8"/>
      <c r="BA42" s="105"/>
      <c r="BB42" s="18"/>
      <c r="BC42" s="8"/>
      <c r="BD42" s="105"/>
      <c r="BE42" s="18"/>
      <c r="BF42" s="8"/>
      <c r="BG42" s="105"/>
      <c r="BH42" s="18"/>
    </row>
    <row r="43" spans="3:60" ht="20.25" x14ac:dyDescent="0.3">
      <c r="C43" s="25" t="s">
        <v>26</v>
      </c>
      <c r="D43" s="8"/>
      <c r="E43" s="7"/>
      <c r="F43" s="18">
        <f t="shared" si="5"/>
        <v>309199.35000000003</v>
      </c>
      <c r="G43" s="8">
        <v>0</v>
      </c>
      <c r="H43" s="7">
        <v>0</v>
      </c>
      <c r="I43" s="18">
        <v>17134.41</v>
      </c>
      <c r="J43" s="8">
        <v>0</v>
      </c>
      <c r="K43" s="7">
        <v>0</v>
      </c>
      <c r="L43" s="18">
        <v>15653.56</v>
      </c>
      <c r="M43" s="8">
        <v>0</v>
      </c>
      <c r="N43" s="7">
        <v>0</v>
      </c>
      <c r="O43" s="18">
        <v>20202.939999999999</v>
      </c>
      <c r="P43" s="8">
        <v>0</v>
      </c>
      <c r="Q43" s="7">
        <v>0</v>
      </c>
      <c r="R43" s="18">
        <v>18287.72</v>
      </c>
      <c r="S43" s="8">
        <v>0</v>
      </c>
      <c r="T43" s="7">
        <v>0</v>
      </c>
      <c r="U43" s="18">
        <v>58449.42</v>
      </c>
      <c r="V43" s="8">
        <v>0</v>
      </c>
      <c r="W43" s="7">
        <v>0</v>
      </c>
      <c r="X43" s="18">
        <v>31044.36</v>
      </c>
      <c r="Y43" s="8">
        <v>0</v>
      </c>
      <c r="Z43" s="7">
        <v>0</v>
      </c>
      <c r="AA43" s="18">
        <v>17248.419999999998</v>
      </c>
      <c r="AB43" s="8">
        <v>0</v>
      </c>
      <c r="AC43" s="7">
        <v>0</v>
      </c>
      <c r="AD43" s="18">
        <v>13771.68</v>
      </c>
      <c r="AE43" s="8">
        <v>0</v>
      </c>
      <c r="AF43" s="7">
        <v>0</v>
      </c>
      <c r="AG43" s="18">
        <v>31004.58</v>
      </c>
      <c r="AH43" s="8">
        <v>0</v>
      </c>
      <c r="AI43" s="7">
        <v>0</v>
      </c>
      <c r="AJ43" s="18">
        <v>8791.2000000000007</v>
      </c>
      <c r="AK43" s="8">
        <v>0</v>
      </c>
      <c r="AL43" s="7">
        <v>0</v>
      </c>
      <c r="AM43" s="18">
        <v>8465.1</v>
      </c>
      <c r="AN43" s="8">
        <v>0</v>
      </c>
      <c r="AO43" s="7">
        <v>0</v>
      </c>
      <c r="AP43" s="18">
        <v>15683.6</v>
      </c>
      <c r="AQ43" s="8">
        <v>0</v>
      </c>
      <c r="AR43" s="7">
        <v>0</v>
      </c>
      <c r="AS43" s="18">
        <v>21005.23</v>
      </c>
      <c r="AT43" s="8">
        <v>0</v>
      </c>
      <c r="AU43" s="7">
        <v>0</v>
      </c>
      <c r="AV43" s="18">
        <v>25305.45</v>
      </c>
      <c r="AW43" s="8">
        <v>0</v>
      </c>
      <c r="AX43" s="7">
        <v>0</v>
      </c>
      <c r="AY43" s="18">
        <v>7151.68</v>
      </c>
      <c r="AZ43" s="8"/>
      <c r="BA43" s="7"/>
      <c r="BB43" s="18"/>
      <c r="BC43" s="8"/>
      <c r="BD43" s="7"/>
      <c r="BE43" s="18"/>
      <c r="BF43" s="8"/>
      <c r="BG43" s="7"/>
      <c r="BH43" s="18"/>
    </row>
    <row r="44" spans="3:60" ht="20.25" x14ac:dyDescent="0.3">
      <c r="C44" s="17" t="s">
        <v>25</v>
      </c>
      <c r="D44" s="72"/>
      <c r="E44" s="71"/>
      <c r="F44" s="68">
        <f t="shared" si="5"/>
        <v>156816.42000000001</v>
      </c>
      <c r="G44" s="72">
        <v>0</v>
      </c>
      <c r="H44" s="71">
        <v>0</v>
      </c>
      <c r="I44" s="68">
        <v>5521.57</v>
      </c>
      <c r="J44" s="72">
        <v>0</v>
      </c>
      <c r="K44" s="71">
        <v>0</v>
      </c>
      <c r="L44" s="68">
        <v>4139.22</v>
      </c>
      <c r="M44" s="72">
        <v>0</v>
      </c>
      <c r="N44" s="71">
        <v>0</v>
      </c>
      <c r="O44" s="68">
        <v>684</v>
      </c>
      <c r="P44" s="72">
        <v>0</v>
      </c>
      <c r="Q44" s="71">
        <v>0</v>
      </c>
      <c r="R44" s="68">
        <v>12947.86</v>
      </c>
      <c r="S44" s="72">
        <v>0</v>
      </c>
      <c r="T44" s="71">
        <v>0</v>
      </c>
      <c r="U44" s="68">
        <v>90446.71</v>
      </c>
      <c r="V44" s="72">
        <v>0</v>
      </c>
      <c r="W44" s="71">
        <v>0</v>
      </c>
      <c r="X44" s="68">
        <v>17647.09</v>
      </c>
      <c r="Y44" s="72">
        <v>0</v>
      </c>
      <c r="Z44" s="71">
        <v>0</v>
      </c>
      <c r="AA44" s="68">
        <v>684</v>
      </c>
      <c r="AB44" s="72">
        <v>0</v>
      </c>
      <c r="AC44" s="71">
        <v>0</v>
      </c>
      <c r="AD44" s="68">
        <v>7803</v>
      </c>
      <c r="AE44" s="72">
        <v>0</v>
      </c>
      <c r="AF44" s="71">
        <v>0</v>
      </c>
      <c r="AG44" s="68">
        <v>1580.23</v>
      </c>
      <c r="AH44" s="72">
        <v>0</v>
      </c>
      <c r="AI44" s="71">
        <v>0</v>
      </c>
      <c r="AJ44" s="68">
        <v>4106.3</v>
      </c>
      <c r="AK44" s="72">
        <v>0</v>
      </c>
      <c r="AL44" s="71">
        <v>0</v>
      </c>
      <c r="AM44" s="68">
        <v>532</v>
      </c>
      <c r="AN44" s="72">
        <v>0</v>
      </c>
      <c r="AO44" s="71">
        <v>0</v>
      </c>
      <c r="AP44" s="68">
        <v>3307</v>
      </c>
      <c r="AQ44" s="72">
        <v>0</v>
      </c>
      <c r="AR44" s="71">
        <v>0</v>
      </c>
      <c r="AS44" s="68">
        <v>5043.2</v>
      </c>
      <c r="AT44" s="72">
        <v>0</v>
      </c>
      <c r="AU44" s="71">
        <v>0</v>
      </c>
      <c r="AV44" s="68">
        <v>4064</v>
      </c>
      <c r="AW44" s="72">
        <v>0</v>
      </c>
      <c r="AX44" s="71">
        <v>0</v>
      </c>
      <c r="AY44" s="68">
        <v>-1689.76</v>
      </c>
      <c r="AZ44" s="72"/>
      <c r="BA44" s="71"/>
      <c r="BB44" s="68"/>
      <c r="BC44" s="72"/>
      <c r="BD44" s="71"/>
      <c r="BE44" s="68"/>
      <c r="BF44" s="72"/>
      <c r="BG44" s="71"/>
      <c r="BH44" s="68"/>
    </row>
    <row r="45" spans="3:60" ht="20.25" x14ac:dyDescent="0.3">
      <c r="C45" s="17" t="s">
        <v>24</v>
      </c>
      <c r="D45" s="8"/>
      <c r="E45" s="7"/>
      <c r="F45" s="18">
        <f t="shared" si="5"/>
        <v>0</v>
      </c>
      <c r="G45" s="8">
        <v>0</v>
      </c>
      <c r="H45" s="7">
        <v>0</v>
      </c>
      <c r="I45" s="18">
        <v>0</v>
      </c>
      <c r="J45" s="8">
        <v>0</v>
      </c>
      <c r="K45" s="7">
        <v>0</v>
      </c>
      <c r="L45" s="18">
        <v>0</v>
      </c>
      <c r="M45" s="8">
        <v>0</v>
      </c>
      <c r="N45" s="7">
        <v>0</v>
      </c>
      <c r="O45" s="18">
        <v>0</v>
      </c>
      <c r="P45" s="8">
        <v>0</v>
      </c>
      <c r="Q45" s="7">
        <v>0</v>
      </c>
      <c r="R45" s="18">
        <v>0</v>
      </c>
      <c r="S45" s="8">
        <v>0</v>
      </c>
      <c r="T45" s="7">
        <v>0</v>
      </c>
      <c r="U45" s="18">
        <v>0</v>
      </c>
      <c r="V45" s="8">
        <v>0</v>
      </c>
      <c r="W45" s="7">
        <v>0</v>
      </c>
      <c r="X45" s="18">
        <v>0</v>
      </c>
      <c r="Y45" s="8">
        <v>0</v>
      </c>
      <c r="Z45" s="7">
        <v>0</v>
      </c>
      <c r="AA45" s="18">
        <v>0</v>
      </c>
      <c r="AB45" s="8">
        <v>0</v>
      </c>
      <c r="AC45" s="7">
        <v>0</v>
      </c>
      <c r="AD45" s="18">
        <v>0</v>
      </c>
      <c r="AE45" s="8">
        <v>0</v>
      </c>
      <c r="AF45" s="7">
        <v>0</v>
      </c>
      <c r="AG45" s="18">
        <v>0</v>
      </c>
      <c r="AH45" s="8">
        <v>0</v>
      </c>
      <c r="AI45" s="7">
        <v>0</v>
      </c>
      <c r="AJ45" s="18">
        <v>0</v>
      </c>
      <c r="AK45" s="8">
        <v>0</v>
      </c>
      <c r="AL45" s="7">
        <v>0</v>
      </c>
      <c r="AM45" s="18">
        <v>0</v>
      </c>
      <c r="AN45" s="8">
        <v>0</v>
      </c>
      <c r="AO45" s="7">
        <v>0</v>
      </c>
      <c r="AP45" s="18">
        <v>0</v>
      </c>
      <c r="AQ45" s="8">
        <v>0</v>
      </c>
      <c r="AR45" s="7">
        <v>0</v>
      </c>
      <c r="AS45" s="18">
        <v>0</v>
      </c>
      <c r="AT45" s="8">
        <v>0</v>
      </c>
      <c r="AU45" s="7">
        <v>0</v>
      </c>
      <c r="AV45" s="18">
        <v>0</v>
      </c>
      <c r="AW45" s="8">
        <v>0</v>
      </c>
      <c r="AX45" s="7">
        <v>0</v>
      </c>
      <c r="AY45" s="18">
        <v>0</v>
      </c>
      <c r="AZ45" s="8"/>
      <c r="BA45" s="7"/>
      <c r="BB45" s="18"/>
      <c r="BC45" s="8"/>
      <c r="BD45" s="7"/>
      <c r="BE45" s="18"/>
      <c r="BF45" s="8"/>
      <c r="BG45" s="7"/>
      <c r="BH45" s="18"/>
    </row>
    <row r="46" spans="3:60" ht="20.25" hidden="1" x14ac:dyDescent="0.3">
      <c r="C46" s="17" t="s">
        <v>3</v>
      </c>
      <c r="D46" s="8"/>
      <c r="E46" s="7"/>
      <c r="F46" s="18">
        <f t="shared" si="5"/>
        <v>0</v>
      </c>
      <c r="G46" s="8">
        <v>0</v>
      </c>
      <c r="H46" s="7">
        <v>0</v>
      </c>
      <c r="I46" s="18">
        <v>0</v>
      </c>
      <c r="J46" s="8">
        <v>0</v>
      </c>
      <c r="K46" s="7">
        <v>0</v>
      </c>
      <c r="L46" s="18">
        <v>0</v>
      </c>
      <c r="M46" s="8">
        <v>0</v>
      </c>
      <c r="N46" s="7">
        <v>0</v>
      </c>
      <c r="O46" s="18">
        <v>0</v>
      </c>
      <c r="P46" s="8">
        <v>0</v>
      </c>
      <c r="Q46" s="7">
        <v>0</v>
      </c>
      <c r="R46" s="18">
        <v>0</v>
      </c>
      <c r="S46" s="8">
        <v>0</v>
      </c>
      <c r="T46" s="7">
        <v>0</v>
      </c>
      <c r="U46" s="18">
        <v>0</v>
      </c>
      <c r="V46" s="8">
        <v>0</v>
      </c>
      <c r="W46" s="7">
        <v>0</v>
      </c>
      <c r="X46" s="18">
        <v>0</v>
      </c>
      <c r="Y46" s="8">
        <v>0</v>
      </c>
      <c r="Z46" s="7">
        <v>0</v>
      </c>
      <c r="AA46" s="18">
        <v>0</v>
      </c>
      <c r="AB46" s="8">
        <v>0</v>
      </c>
      <c r="AC46" s="7">
        <v>0</v>
      </c>
      <c r="AD46" s="18">
        <v>0</v>
      </c>
      <c r="AE46" s="8">
        <v>0</v>
      </c>
      <c r="AF46" s="7">
        <v>0</v>
      </c>
      <c r="AG46" s="18">
        <v>0</v>
      </c>
      <c r="AH46" s="8">
        <v>0</v>
      </c>
      <c r="AI46" s="7">
        <v>0</v>
      </c>
      <c r="AJ46" s="18">
        <v>0</v>
      </c>
      <c r="AK46" s="8">
        <v>0</v>
      </c>
      <c r="AL46" s="7">
        <v>0</v>
      </c>
      <c r="AM46" s="18">
        <v>0</v>
      </c>
      <c r="AN46" s="8">
        <v>0</v>
      </c>
      <c r="AO46" s="7">
        <v>0</v>
      </c>
      <c r="AP46" s="18">
        <v>0</v>
      </c>
      <c r="AQ46" s="8">
        <v>0</v>
      </c>
      <c r="AR46" s="7">
        <v>0</v>
      </c>
      <c r="AS46" s="18">
        <v>0</v>
      </c>
      <c r="AT46" s="8">
        <v>0</v>
      </c>
      <c r="AU46" s="7">
        <v>0</v>
      </c>
      <c r="AV46" s="18">
        <v>0</v>
      </c>
      <c r="AW46" s="8">
        <v>0</v>
      </c>
      <c r="AX46" s="7">
        <v>0</v>
      </c>
      <c r="AY46" s="18">
        <v>0</v>
      </c>
      <c r="AZ46" s="8"/>
      <c r="BA46" s="7"/>
      <c r="BB46" s="18"/>
      <c r="BC46" s="8"/>
      <c r="BD46" s="7"/>
      <c r="BE46" s="18"/>
      <c r="BF46" s="8"/>
      <c r="BG46" s="7"/>
      <c r="BH46" s="18"/>
    </row>
    <row r="47" spans="3:60" ht="20.25" hidden="1" x14ac:dyDescent="0.3">
      <c r="C47" s="17" t="s">
        <v>3</v>
      </c>
      <c r="D47" s="8"/>
      <c r="E47" s="7"/>
      <c r="F47" s="18">
        <f t="shared" si="5"/>
        <v>0</v>
      </c>
      <c r="G47" s="8">
        <v>0</v>
      </c>
      <c r="H47" s="7">
        <v>0</v>
      </c>
      <c r="I47" s="18">
        <v>0</v>
      </c>
      <c r="J47" s="8">
        <v>0</v>
      </c>
      <c r="K47" s="7">
        <v>0</v>
      </c>
      <c r="L47" s="18">
        <v>0</v>
      </c>
      <c r="M47" s="8">
        <v>0</v>
      </c>
      <c r="N47" s="7">
        <v>0</v>
      </c>
      <c r="O47" s="18">
        <v>0</v>
      </c>
      <c r="P47" s="8">
        <v>0</v>
      </c>
      <c r="Q47" s="7">
        <v>0</v>
      </c>
      <c r="R47" s="18">
        <v>0</v>
      </c>
      <c r="S47" s="8">
        <v>0</v>
      </c>
      <c r="T47" s="7">
        <v>0</v>
      </c>
      <c r="U47" s="18">
        <v>0</v>
      </c>
      <c r="V47" s="8">
        <v>0</v>
      </c>
      <c r="W47" s="7">
        <v>0</v>
      </c>
      <c r="X47" s="18">
        <v>0</v>
      </c>
      <c r="Y47" s="8">
        <v>0</v>
      </c>
      <c r="Z47" s="7">
        <v>0</v>
      </c>
      <c r="AA47" s="18">
        <v>0</v>
      </c>
      <c r="AB47" s="8">
        <v>0</v>
      </c>
      <c r="AC47" s="7">
        <v>0</v>
      </c>
      <c r="AD47" s="18">
        <v>0</v>
      </c>
      <c r="AE47" s="8">
        <v>0</v>
      </c>
      <c r="AF47" s="7">
        <v>0</v>
      </c>
      <c r="AG47" s="18">
        <v>0</v>
      </c>
      <c r="AH47" s="8">
        <v>0</v>
      </c>
      <c r="AI47" s="7">
        <v>0</v>
      </c>
      <c r="AJ47" s="18">
        <v>0</v>
      </c>
      <c r="AK47" s="8">
        <v>0</v>
      </c>
      <c r="AL47" s="7">
        <v>0</v>
      </c>
      <c r="AM47" s="18">
        <v>0</v>
      </c>
      <c r="AN47" s="8">
        <v>0</v>
      </c>
      <c r="AO47" s="7">
        <v>0</v>
      </c>
      <c r="AP47" s="18">
        <v>0</v>
      </c>
      <c r="AQ47" s="8">
        <v>0</v>
      </c>
      <c r="AR47" s="7">
        <v>0</v>
      </c>
      <c r="AS47" s="18">
        <v>0</v>
      </c>
      <c r="AT47" s="8">
        <v>0</v>
      </c>
      <c r="AU47" s="7">
        <v>0</v>
      </c>
      <c r="AV47" s="18">
        <v>0</v>
      </c>
      <c r="AW47" s="8">
        <v>0</v>
      </c>
      <c r="AX47" s="7">
        <v>0</v>
      </c>
      <c r="AY47" s="18">
        <v>0</v>
      </c>
      <c r="AZ47" s="8"/>
      <c r="BA47" s="7"/>
      <c r="BB47" s="18"/>
      <c r="BC47" s="8"/>
      <c r="BD47" s="7"/>
      <c r="BE47" s="18"/>
      <c r="BF47" s="8"/>
      <c r="BG47" s="7"/>
      <c r="BH47" s="18"/>
    </row>
    <row r="48" spans="3:60" ht="20.25" hidden="1" x14ac:dyDescent="0.3">
      <c r="C48" s="17" t="s">
        <v>3</v>
      </c>
      <c r="D48" s="8"/>
      <c r="E48" s="7"/>
      <c r="F48" s="18">
        <f t="shared" si="5"/>
        <v>0</v>
      </c>
      <c r="G48" s="8">
        <v>0</v>
      </c>
      <c r="H48" s="7">
        <v>0</v>
      </c>
      <c r="I48" s="18">
        <v>0</v>
      </c>
      <c r="J48" s="8">
        <v>0</v>
      </c>
      <c r="K48" s="7">
        <v>0</v>
      </c>
      <c r="L48" s="18">
        <v>0</v>
      </c>
      <c r="M48" s="8">
        <v>0</v>
      </c>
      <c r="N48" s="7">
        <v>0</v>
      </c>
      <c r="O48" s="18">
        <v>0</v>
      </c>
      <c r="P48" s="8">
        <v>0</v>
      </c>
      <c r="Q48" s="7">
        <v>0</v>
      </c>
      <c r="R48" s="18">
        <v>0</v>
      </c>
      <c r="S48" s="8">
        <v>0</v>
      </c>
      <c r="T48" s="7">
        <v>0</v>
      </c>
      <c r="U48" s="18">
        <v>0</v>
      </c>
      <c r="V48" s="8">
        <v>0</v>
      </c>
      <c r="W48" s="7">
        <v>0</v>
      </c>
      <c r="X48" s="18">
        <v>0</v>
      </c>
      <c r="Y48" s="8">
        <v>0</v>
      </c>
      <c r="Z48" s="7">
        <v>0</v>
      </c>
      <c r="AA48" s="18">
        <v>0</v>
      </c>
      <c r="AB48" s="8">
        <v>0</v>
      </c>
      <c r="AC48" s="7">
        <v>0</v>
      </c>
      <c r="AD48" s="18">
        <v>0</v>
      </c>
      <c r="AE48" s="8">
        <v>0</v>
      </c>
      <c r="AF48" s="7">
        <v>0</v>
      </c>
      <c r="AG48" s="18">
        <v>0</v>
      </c>
      <c r="AH48" s="8">
        <v>0</v>
      </c>
      <c r="AI48" s="7">
        <v>0</v>
      </c>
      <c r="AJ48" s="18">
        <v>0</v>
      </c>
      <c r="AK48" s="8">
        <v>0</v>
      </c>
      <c r="AL48" s="7">
        <v>0</v>
      </c>
      <c r="AM48" s="18">
        <v>0</v>
      </c>
      <c r="AN48" s="8">
        <v>0</v>
      </c>
      <c r="AO48" s="7">
        <v>0</v>
      </c>
      <c r="AP48" s="18">
        <v>0</v>
      </c>
      <c r="AQ48" s="8">
        <v>0</v>
      </c>
      <c r="AR48" s="7">
        <v>0</v>
      </c>
      <c r="AS48" s="18">
        <v>0</v>
      </c>
      <c r="AT48" s="8">
        <v>0</v>
      </c>
      <c r="AU48" s="7">
        <v>0</v>
      </c>
      <c r="AV48" s="18">
        <v>0</v>
      </c>
      <c r="AW48" s="8">
        <v>0</v>
      </c>
      <c r="AX48" s="7">
        <v>0</v>
      </c>
      <c r="AY48" s="18">
        <v>0</v>
      </c>
      <c r="AZ48" s="8"/>
      <c r="BA48" s="7"/>
      <c r="BB48" s="18"/>
      <c r="BC48" s="8"/>
      <c r="BD48" s="7"/>
      <c r="BE48" s="18"/>
      <c r="BF48" s="8"/>
      <c r="BG48" s="7"/>
      <c r="BH48" s="18"/>
    </row>
    <row r="49" spans="3:60" ht="20.25" x14ac:dyDescent="0.3">
      <c r="C49" s="25" t="s">
        <v>23</v>
      </c>
      <c r="D49" s="8"/>
      <c r="E49" s="7"/>
      <c r="F49" s="22">
        <f t="shared" si="5"/>
        <v>310889.80999999994</v>
      </c>
      <c r="G49" s="8">
        <v>0</v>
      </c>
      <c r="H49" s="7">
        <v>0</v>
      </c>
      <c r="I49" s="22">
        <v>27189.62</v>
      </c>
      <c r="J49" s="8">
        <v>0</v>
      </c>
      <c r="K49" s="105">
        <v>0.178076242545117</v>
      </c>
      <c r="L49" s="22">
        <v>18357.310000000001</v>
      </c>
      <c r="M49" s="8">
        <v>0</v>
      </c>
      <c r="N49" s="7">
        <v>0</v>
      </c>
      <c r="O49" s="22">
        <v>18033.599999999999</v>
      </c>
      <c r="P49" s="8">
        <v>0</v>
      </c>
      <c r="Q49" s="7">
        <v>0</v>
      </c>
      <c r="R49" s="22">
        <v>27061.78</v>
      </c>
      <c r="S49" s="8">
        <v>0</v>
      </c>
      <c r="T49" s="7">
        <v>0</v>
      </c>
      <c r="U49" s="22">
        <v>60369.54</v>
      </c>
      <c r="V49" s="8">
        <v>0</v>
      </c>
      <c r="W49" s="7">
        <v>0</v>
      </c>
      <c r="X49" s="22">
        <v>34396.32</v>
      </c>
      <c r="Y49" s="8">
        <v>0</v>
      </c>
      <c r="Z49" s="7">
        <v>0</v>
      </c>
      <c r="AA49" s="22">
        <v>7529.27</v>
      </c>
      <c r="AB49" s="8">
        <v>0</v>
      </c>
      <c r="AC49" s="7">
        <v>0</v>
      </c>
      <c r="AD49" s="22">
        <v>14764.39</v>
      </c>
      <c r="AE49" s="8">
        <v>0</v>
      </c>
      <c r="AF49" s="7">
        <v>0</v>
      </c>
      <c r="AG49" s="22">
        <v>25224.85</v>
      </c>
      <c r="AH49" s="8">
        <v>0</v>
      </c>
      <c r="AI49" s="7">
        <v>0</v>
      </c>
      <c r="AJ49" s="22">
        <v>8088.96</v>
      </c>
      <c r="AK49" s="8">
        <v>0</v>
      </c>
      <c r="AL49" s="7">
        <v>0</v>
      </c>
      <c r="AM49" s="22">
        <v>5890.83</v>
      </c>
      <c r="AN49" s="8">
        <v>0</v>
      </c>
      <c r="AO49" s="7">
        <v>0</v>
      </c>
      <c r="AP49" s="22">
        <v>8070.77</v>
      </c>
      <c r="AQ49" s="8">
        <v>0</v>
      </c>
      <c r="AR49" s="7">
        <v>0</v>
      </c>
      <c r="AS49" s="22">
        <v>23979.99</v>
      </c>
      <c r="AT49" s="8">
        <v>0</v>
      </c>
      <c r="AU49" s="7">
        <v>0</v>
      </c>
      <c r="AV49" s="22">
        <v>20242.23</v>
      </c>
      <c r="AW49" s="8">
        <v>0</v>
      </c>
      <c r="AX49" s="7">
        <v>0</v>
      </c>
      <c r="AY49" s="22">
        <v>11690.35</v>
      </c>
      <c r="AZ49" s="8"/>
      <c r="BA49" s="7"/>
      <c r="BB49" s="22"/>
      <c r="BC49" s="8"/>
      <c r="BD49" s="7"/>
      <c r="BE49" s="22"/>
      <c r="BF49" s="8"/>
      <c r="BG49" s="7"/>
      <c r="BH49" s="22"/>
    </row>
    <row r="50" spans="3:60" ht="20.25" x14ac:dyDescent="0.3">
      <c r="C50" s="17" t="s">
        <v>22</v>
      </c>
      <c r="D50" s="72"/>
      <c r="E50" s="71"/>
      <c r="F50" s="18">
        <f t="shared" si="5"/>
        <v>460586.76999999996</v>
      </c>
      <c r="G50" s="72">
        <v>0</v>
      </c>
      <c r="H50" s="71">
        <v>0</v>
      </c>
      <c r="I50" s="18">
        <v>32138.36</v>
      </c>
      <c r="J50" s="72">
        <v>0</v>
      </c>
      <c r="K50" s="71">
        <v>0</v>
      </c>
      <c r="L50" s="18">
        <v>25196.21</v>
      </c>
      <c r="M50" s="72">
        <v>0</v>
      </c>
      <c r="N50" s="71">
        <v>0</v>
      </c>
      <c r="O50" s="18">
        <v>22659.51</v>
      </c>
      <c r="P50" s="72">
        <v>0</v>
      </c>
      <c r="Q50" s="71">
        <v>0</v>
      </c>
      <c r="R50" s="18">
        <v>32938.57</v>
      </c>
      <c r="S50" s="72">
        <v>0</v>
      </c>
      <c r="T50" s="71">
        <v>0</v>
      </c>
      <c r="U50" s="18">
        <v>98802.82</v>
      </c>
      <c r="V50" s="72">
        <v>0</v>
      </c>
      <c r="W50" s="71">
        <v>0</v>
      </c>
      <c r="X50" s="18">
        <v>38951.25</v>
      </c>
      <c r="Y50" s="72">
        <v>0</v>
      </c>
      <c r="Z50" s="71">
        <v>0</v>
      </c>
      <c r="AA50" s="18">
        <v>22949.91</v>
      </c>
      <c r="AB50" s="72">
        <v>0</v>
      </c>
      <c r="AC50" s="71">
        <v>0</v>
      </c>
      <c r="AD50" s="18">
        <v>25541.32</v>
      </c>
      <c r="AE50" s="72">
        <v>0</v>
      </c>
      <c r="AF50" s="71">
        <v>0</v>
      </c>
      <c r="AG50" s="18">
        <v>38761.42</v>
      </c>
      <c r="AH50" s="72">
        <v>0</v>
      </c>
      <c r="AI50" s="71">
        <v>0</v>
      </c>
      <c r="AJ50" s="18">
        <v>17094.5</v>
      </c>
      <c r="AK50" s="72">
        <v>0</v>
      </c>
      <c r="AL50" s="71">
        <v>0</v>
      </c>
      <c r="AM50" s="18">
        <v>13446.92</v>
      </c>
      <c r="AN50" s="72">
        <v>0</v>
      </c>
      <c r="AO50" s="71">
        <v>0</v>
      </c>
      <c r="AP50" s="18">
        <v>17898.12</v>
      </c>
      <c r="AQ50" s="72">
        <v>0</v>
      </c>
      <c r="AR50" s="71">
        <v>0</v>
      </c>
      <c r="AS50" s="18">
        <v>32703.599999999999</v>
      </c>
      <c r="AT50" s="72">
        <v>0</v>
      </c>
      <c r="AU50" s="71">
        <v>0</v>
      </c>
      <c r="AV50" s="18">
        <v>27025.08</v>
      </c>
      <c r="AW50" s="72">
        <v>0</v>
      </c>
      <c r="AX50" s="71">
        <v>0</v>
      </c>
      <c r="AY50" s="18">
        <v>14479.18</v>
      </c>
      <c r="AZ50" s="72"/>
      <c r="BA50" s="71"/>
      <c r="BB50" s="18"/>
      <c r="BC50" s="72"/>
      <c r="BD50" s="71"/>
      <c r="BE50" s="18"/>
      <c r="BF50" s="72"/>
      <c r="BG50" s="71"/>
      <c r="BH50" s="18"/>
    </row>
    <row r="51" spans="3:60" ht="20.25" x14ac:dyDescent="0.3">
      <c r="C51" s="17" t="s">
        <v>21</v>
      </c>
      <c r="D51" s="8"/>
      <c r="E51" s="7"/>
      <c r="F51" s="18">
        <f t="shared" si="5"/>
        <v>174266.59000000003</v>
      </c>
      <c r="G51" s="8">
        <v>0</v>
      </c>
      <c r="H51" s="7">
        <v>0</v>
      </c>
      <c r="I51" s="18">
        <v>12662.32</v>
      </c>
      <c r="J51" s="8">
        <v>0</v>
      </c>
      <c r="K51" s="7">
        <v>0</v>
      </c>
      <c r="L51" s="18">
        <v>6383.06</v>
      </c>
      <c r="M51" s="8">
        <v>0</v>
      </c>
      <c r="N51" s="7">
        <v>0</v>
      </c>
      <c r="O51" s="18">
        <v>9709.67</v>
      </c>
      <c r="P51" s="8">
        <v>0</v>
      </c>
      <c r="Q51" s="7">
        <v>0</v>
      </c>
      <c r="R51" s="18">
        <v>18036.34</v>
      </c>
      <c r="S51" s="8">
        <v>0</v>
      </c>
      <c r="T51" s="7">
        <v>0</v>
      </c>
      <c r="U51" s="18">
        <v>35565.11</v>
      </c>
      <c r="V51" s="8">
        <v>0</v>
      </c>
      <c r="W51" s="7">
        <v>0</v>
      </c>
      <c r="X51" s="18">
        <v>22530.78</v>
      </c>
      <c r="Y51" s="8">
        <v>0</v>
      </c>
      <c r="Z51" s="7">
        <v>0</v>
      </c>
      <c r="AA51" s="18">
        <v>4029.69</v>
      </c>
      <c r="AB51" s="8">
        <v>0</v>
      </c>
      <c r="AC51" s="7">
        <v>0</v>
      </c>
      <c r="AD51" s="18">
        <v>10232.25</v>
      </c>
      <c r="AE51" s="8">
        <v>0</v>
      </c>
      <c r="AF51" s="7">
        <v>0</v>
      </c>
      <c r="AG51" s="18">
        <v>15551.31</v>
      </c>
      <c r="AH51" s="8">
        <v>0</v>
      </c>
      <c r="AI51" s="7">
        <v>0</v>
      </c>
      <c r="AJ51" s="18">
        <v>6363.35</v>
      </c>
      <c r="AK51" s="8">
        <v>0</v>
      </c>
      <c r="AL51" s="7">
        <v>0</v>
      </c>
      <c r="AM51" s="18">
        <v>2279.79</v>
      </c>
      <c r="AN51" s="8">
        <v>0</v>
      </c>
      <c r="AO51" s="7">
        <v>0</v>
      </c>
      <c r="AP51" s="18">
        <v>3680.54</v>
      </c>
      <c r="AQ51" s="8">
        <v>0</v>
      </c>
      <c r="AR51" s="7">
        <v>0</v>
      </c>
      <c r="AS51" s="18">
        <v>10915.88</v>
      </c>
      <c r="AT51" s="8">
        <v>0</v>
      </c>
      <c r="AU51" s="7">
        <v>0</v>
      </c>
      <c r="AV51" s="18">
        <v>12146.81</v>
      </c>
      <c r="AW51" s="8">
        <v>0</v>
      </c>
      <c r="AX51" s="7">
        <v>0</v>
      </c>
      <c r="AY51" s="18">
        <v>4179.6899999999996</v>
      </c>
      <c r="AZ51" s="8"/>
      <c r="BA51" s="7"/>
      <c r="BB51" s="18"/>
      <c r="BC51" s="8"/>
      <c r="BD51" s="7"/>
      <c r="BE51" s="18"/>
      <c r="BF51" s="8"/>
      <c r="BG51" s="7"/>
      <c r="BH51" s="18"/>
    </row>
    <row r="52" spans="3:60" ht="20.25" x14ac:dyDescent="0.3">
      <c r="C52" s="17" t="s">
        <v>20</v>
      </c>
      <c r="D52" s="8"/>
      <c r="E52" s="7"/>
      <c r="F52" s="18">
        <f t="shared" si="5"/>
        <v>58814.869999999988</v>
      </c>
      <c r="G52" s="8">
        <v>0</v>
      </c>
      <c r="H52" s="7">
        <v>0</v>
      </c>
      <c r="I52" s="18">
        <v>4789.25</v>
      </c>
      <c r="J52" s="8">
        <v>0</v>
      </c>
      <c r="K52" s="7">
        <v>0</v>
      </c>
      <c r="L52" s="18">
        <v>3057.82</v>
      </c>
      <c r="M52" s="8">
        <v>0</v>
      </c>
      <c r="N52" s="7">
        <v>0</v>
      </c>
      <c r="O52" s="18">
        <v>2882.47</v>
      </c>
      <c r="P52" s="8">
        <v>0</v>
      </c>
      <c r="Q52" s="7">
        <v>0</v>
      </c>
      <c r="R52" s="18">
        <v>7249.76</v>
      </c>
      <c r="S52" s="8">
        <v>0</v>
      </c>
      <c r="T52" s="7">
        <v>0</v>
      </c>
      <c r="U52" s="18">
        <v>8780.42</v>
      </c>
      <c r="V52" s="8">
        <v>0</v>
      </c>
      <c r="W52" s="7">
        <v>0</v>
      </c>
      <c r="X52" s="18">
        <v>6659.23</v>
      </c>
      <c r="Y52" s="8">
        <v>0</v>
      </c>
      <c r="Z52" s="7">
        <v>0</v>
      </c>
      <c r="AA52" s="18">
        <v>2490.06</v>
      </c>
      <c r="AB52" s="8">
        <v>0</v>
      </c>
      <c r="AC52" s="7">
        <v>0</v>
      </c>
      <c r="AD52" s="18">
        <v>3488.67</v>
      </c>
      <c r="AE52" s="8">
        <v>0</v>
      </c>
      <c r="AF52" s="7">
        <v>0</v>
      </c>
      <c r="AG52" s="18">
        <v>3909.79</v>
      </c>
      <c r="AH52" s="8">
        <v>0</v>
      </c>
      <c r="AI52" s="7">
        <v>0</v>
      </c>
      <c r="AJ52" s="18">
        <v>1890.7</v>
      </c>
      <c r="AK52" s="8">
        <v>0</v>
      </c>
      <c r="AL52" s="7">
        <v>0</v>
      </c>
      <c r="AM52" s="18">
        <v>914.95</v>
      </c>
      <c r="AN52" s="8">
        <v>0</v>
      </c>
      <c r="AO52" s="7">
        <v>0</v>
      </c>
      <c r="AP52" s="18">
        <v>2031.65</v>
      </c>
      <c r="AQ52" s="8">
        <v>0</v>
      </c>
      <c r="AR52" s="7">
        <v>0</v>
      </c>
      <c r="AS52" s="18">
        <v>3528</v>
      </c>
      <c r="AT52" s="8">
        <v>0</v>
      </c>
      <c r="AU52" s="7">
        <v>0</v>
      </c>
      <c r="AV52" s="18">
        <v>5792.7</v>
      </c>
      <c r="AW52" s="8">
        <v>0</v>
      </c>
      <c r="AX52" s="7">
        <v>0</v>
      </c>
      <c r="AY52" s="18">
        <v>1349.4</v>
      </c>
      <c r="AZ52" s="8"/>
      <c r="BA52" s="7"/>
      <c r="BB52" s="18"/>
      <c r="BC52" s="8"/>
      <c r="BD52" s="7"/>
      <c r="BE52" s="18"/>
      <c r="BF52" s="8"/>
      <c r="BG52" s="7"/>
      <c r="BH52" s="18"/>
    </row>
    <row r="53" spans="3:60" ht="20.25" hidden="1" x14ac:dyDescent="0.3">
      <c r="C53" s="8" t="s">
        <v>3</v>
      </c>
      <c r="D53" s="67"/>
      <c r="E53" s="66"/>
      <c r="F53" s="18">
        <f t="shared" si="5"/>
        <v>0</v>
      </c>
      <c r="G53" s="67">
        <v>0</v>
      </c>
      <c r="H53" s="66">
        <v>0</v>
      </c>
      <c r="I53" s="18">
        <v>0</v>
      </c>
      <c r="J53" s="67">
        <v>0</v>
      </c>
      <c r="K53" s="66">
        <v>0</v>
      </c>
      <c r="L53" s="18">
        <v>0</v>
      </c>
      <c r="M53" s="67">
        <v>0</v>
      </c>
      <c r="N53" s="66">
        <v>0</v>
      </c>
      <c r="O53" s="18">
        <v>0</v>
      </c>
      <c r="P53" s="67">
        <v>0</v>
      </c>
      <c r="Q53" s="66">
        <v>0</v>
      </c>
      <c r="R53" s="18">
        <v>0</v>
      </c>
      <c r="S53" s="67">
        <v>0</v>
      </c>
      <c r="T53" s="66">
        <v>0</v>
      </c>
      <c r="U53" s="18">
        <v>0</v>
      </c>
      <c r="V53" s="67">
        <v>0</v>
      </c>
      <c r="W53" s="66">
        <v>0</v>
      </c>
      <c r="X53" s="18">
        <v>0</v>
      </c>
      <c r="Y53" s="67">
        <v>0</v>
      </c>
      <c r="Z53" s="66">
        <v>0</v>
      </c>
      <c r="AA53" s="18">
        <v>0</v>
      </c>
      <c r="AB53" s="67">
        <v>0</v>
      </c>
      <c r="AC53" s="66">
        <v>0</v>
      </c>
      <c r="AD53" s="18">
        <v>0</v>
      </c>
      <c r="AE53" s="67">
        <v>0</v>
      </c>
      <c r="AF53" s="66">
        <v>0</v>
      </c>
      <c r="AG53" s="18">
        <v>0</v>
      </c>
      <c r="AH53" s="67">
        <v>0</v>
      </c>
      <c r="AI53" s="66">
        <v>0</v>
      </c>
      <c r="AJ53" s="18">
        <v>0</v>
      </c>
      <c r="AK53" s="67">
        <v>0</v>
      </c>
      <c r="AL53" s="66">
        <v>0</v>
      </c>
      <c r="AM53" s="18">
        <v>0</v>
      </c>
      <c r="AN53" s="67">
        <v>0</v>
      </c>
      <c r="AO53" s="66">
        <v>0</v>
      </c>
      <c r="AP53" s="18">
        <v>0</v>
      </c>
      <c r="AQ53" s="67">
        <v>0</v>
      </c>
      <c r="AR53" s="66">
        <v>0</v>
      </c>
      <c r="AS53" s="18">
        <v>0</v>
      </c>
      <c r="AT53" s="67">
        <v>0</v>
      </c>
      <c r="AU53" s="66">
        <v>0</v>
      </c>
      <c r="AV53" s="18">
        <v>0</v>
      </c>
      <c r="AW53" s="67">
        <v>0</v>
      </c>
      <c r="AX53" s="66">
        <v>0</v>
      </c>
      <c r="AY53" s="18">
        <v>0</v>
      </c>
      <c r="AZ53" s="67"/>
      <c r="BA53" s="66"/>
      <c r="BB53" s="18"/>
      <c r="BC53" s="67"/>
      <c r="BD53" s="66"/>
      <c r="BE53" s="18"/>
      <c r="BF53" s="67"/>
      <c r="BG53" s="66"/>
      <c r="BH53" s="18"/>
    </row>
    <row r="54" spans="3:60" ht="20.25" x14ac:dyDescent="0.3">
      <c r="C54" s="11" t="s">
        <v>19</v>
      </c>
      <c r="D54" s="64"/>
      <c r="E54" s="14"/>
      <c r="F54" s="12">
        <f>SUM(F42:F52)</f>
        <v>2003471.34</v>
      </c>
      <c r="G54" s="64" t="s">
        <v>18</v>
      </c>
      <c r="H54" s="14">
        <v>0.63055993583998504</v>
      </c>
      <c r="I54" s="12">
        <v>126819.57</v>
      </c>
      <c r="J54" s="64" t="s">
        <v>18</v>
      </c>
      <c r="K54" s="14">
        <v>0.57678943674540095</v>
      </c>
      <c r="L54" s="12">
        <v>99186.39</v>
      </c>
      <c r="M54" s="64" t="s">
        <v>18</v>
      </c>
      <c r="N54" s="14">
        <v>0.79163975008492704</v>
      </c>
      <c r="O54" s="12">
        <v>96406.34</v>
      </c>
      <c r="P54" s="64" t="s">
        <v>18</v>
      </c>
      <c r="Q54" s="14">
        <v>0.42718650423259003</v>
      </c>
      <c r="R54" s="12">
        <v>145796.43</v>
      </c>
      <c r="S54" s="64" t="s">
        <v>18</v>
      </c>
      <c r="T54" s="14">
        <v>0.44391575356193302</v>
      </c>
      <c r="U54" s="12">
        <v>441139.49999999901</v>
      </c>
      <c r="V54" s="64" t="s">
        <v>18</v>
      </c>
      <c r="W54" s="14">
        <v>0.60495308899731104</v>
      </c>
      <c r="X54" s="12">
        <v>209433.61</v>
      </c>
      <c r="Y54" s="64" t="s">
        <v>18</v>
      </c>
      <c r="Z54" s="14">
        <v>0.33254181067008998</v>
      </c>
      <c r="AA54" s="12">
        <v>91317.89</v>
      </c>
      <c r="AB54" s="64" t="s">
        <v>18</v>
      </c>
      <c r="AC54" s="14">
        <v>0.41884560652813402</v>
      </c>
      <c r="AD54" s="12">
        <v>105954.46</v>
      </c>
      <c r="AE54" s="64" t="s">
        <v>18</v>
      </c>
      <c r="AF54" s="14">
        <v>0.70613076341728798</v>
      </c>
      <c r="AG54" s="12">
        <v>158389.48000000001</v>
      </c>
      <c r="AH54" s="64" t="s">
        <v>18</v>
      </c>
      <c r="AI54" s="14">
        <v>1.0679126471125699</v>
      </c>
      <c r="AJ54" s="12">
        <v>72224.94</v>
      </c>
      <c r="AK54" s="64" t="s">
        <v>18</v>
      </c>
      <c r="AL54" s="14">
        <v>2.05492869009788</v>
      </c>
      <c r="AM54" s="12">
        <v>49054.97</v>
      </c>
      <c r="AN54" s="64" t="s">
        <v>18</v>
      </c>
      <c r="AO54" s="14">
        <v>0.76322737574969901</v>
      </c>
      <c r="AP54" s="12">
        <v>81512.179999999906</v>
      </c>
      <c r="AQ54" s="64" t="s">
        <v>18</v>
      </c>
      <c r="AR54" s="14">
        <v>0.54321541458505096</v>
      </c>
      <c r="AS54" s="12">
        <v>131825.42000000001</v>
      </c>
      <c r="AT54" s="64" t="s">
        <v>18</v>
      </c>
      <c r="AU54" s="14">
        <v>0.42324738740694801</v>
      </c>
      <c r="AV54" s="12">
        <v>138322.85</v>
      </c>
      <c r="AW54" s="64" t="s">
        <v>18</v>
      </c>
      <c r="AX54" s="14">
        <v>0.49331087102965299</v>
      </c>
      <c r="AY54" s="12">
        <v>56087.31</v>
      </c>
      <c r="AZ54" s="64"/>
      <c r="BA54" s="14"/>
      <c r="BB54" s="12"/>
      <c r="BC54" s="64"/>
      <c r="BD54" s="14"/>
      <c r="BE54" s="12"/>
      <c r="BF54" s="64"/>
      <c r="BG54" s="14"/>
      <c r="BH54" s="12"/>
    </row>
    <row r="55" spans="3:60" ht="20.25" x14ac:dyDescent="0.3">
      <c r="C55" s="8" t="s">
        <v>17</v>
      </c>
      <c r="D55" s="8"/>
      <c r="E55" s="7"/>
      <c r="F55" s="18">
        <f t="shared" ref="F55:F71" si="6">+SUM(I55,L55,O55,R55,U55,X55,AA55,AD55,AG55,AJ55,AM55,AP55,AS55,AV55,AY55,BB55,BE55,BH55)</f>
        <v>0</v>
      </c>
      <c r="G55" s="8">
        <v>0</v>
      </c>
      <c r="H55" s="7">
        <v>0</v>
      </c>
      <c r="I55" s="18">
        <v>0</v>
      </c>
      <c r="J55" s="8">
        <v>0</v>
      </c>
      <c r="K55" s="7">
        <v>0</v>
      </c>
      <c r="L55" s="18">
        <v>0</v>
      </c>
      <c r="M55" s="8">
        <v>0</v>
      </c>
      <c r="N55" s="7">
        <v>0</v>
      </c>
      <c r="O55" s="18">
        <v>0</v>
      </c>
      <c r="P55" s="8">
        <v>0</v>
      </c>
      <c r="Q55" s="7">
        <v>0</v>
      </c>
      <c r="R55" s="18">
        <v>0</v>
      </c>
      <c r="S55" s="8">
        <v>0</v>
      </c>
      <c r="T55" s="7">
        <v>0</v>
      </c>
      <c r="U55" s="18">
        <v>0</v>
      </c>
      <c r="V55" s="8">
        <v>0</v>
      </c>
      <c r="W55" s="7">
        <v>0</v>
      </c>
      <c r="X55" s="18">
        <v>0</v>
      </c>
      <c r="Y55" s="8">
        <v>0</v>
      </c>
      <c r="Z55" s="7">
        <v>0</v>
      </c>
      <c r="AA55" s="18">
        <v>0</v>
      </c>
      <c r="AB55" s="8">
        <v>0</v>
      </c>
      <c r="AC55" s="7">
        <v>0</v>
      </c>
      <c r="AD55" s="18">
        <v>0</v>
      </c>
      <c r="AE55" s="8">
        <v>0</v>
      </c>
      <c r="AF55" s="7">
        <v>0</v>
      </c>
      <c r="AG55" s="18">
        <v>0</v>
      </c>
      <c r="AH55" s="8">
        <v>0</v>
      </c>
      <c r="AI55" s="7">
        <v>0</v>
      </c>
      <c r="AJ55" s="18">
        <v>0</v>
      </c>
      <c r="AK55" s="8">
        <v>0</v>
      </c>
      <c r="AL55" s="7">
        <v>0</v>
      </c>
      <c r="AM55" s="18">
        <v>0</v>
      </c>
      <c r="AN55" s="8">
        <v>0</v>
      </c>
      <c r="AO55" s="7">
        <v>0</v>
      </c>
      <c r="AP55" s="18">
        <v>0</v>
      </c>
      <c r="AQ55" s="8">
        <v>0</v>
      </c>
      <c r="AR55" s="7">
        <v>0</v>
      </c>
      <c r="AS55" s="18">
        <v>0</v>
      </c>
      <c r="AT55" s="8">
        <v>0</v>
      </c>
      <c r="AU55" s="7">
        <v>0</v>
      </c>
      <c r="AV55" s="18">
        <v>0</v>
      </c>
      <c r="AW55" s="8">
        <v>0</v>
      </c>
      <c r="AX55" s="7">
        <v>0</v>
      </c>
      <c r="AY55" s="18">
        <v>0</v>
      </c>
      <c r="AZ55" s="8"/>
      <c r="BA55" s="7"/>
      <c r="BB55" s="18"/>
      <c r="BC55" s="8"/>
      <c r="BD55" s="7"/>
      <c r="BE55" s="18"/>
      <c r="BF55" s="8"/>
      <c r="BG55" s="7"/>
      <c r="BH55" s="18"/>
    </row>
    <row r="56" spans="3:60" ht="20.25" x14ac:dyDescent="0.3">
      <c r="C56" s="8" t="s">
        <v>16</v>
      </c>
      <c r="D56" s="8"/>
      <c r="E56" s="7"/>
      <c r="F56" s="18">
        <f t="shared" si="6"/>
        <v>0</v>
      </c>
      <c r="G56" s="8">
        <v>0</v>
      </c>
      <c r="H56" s="7">
        <v>0</v>
      </c>
      <c r="I56" s="18">
        <v>0</v>
      </c>
      <c r="J56" s="8">
        <v>0</v>
      </c>
      <c r="K56" s="7">
        <v>0</v>
      </c>
      <c r="L56" s="18">
        <v>0</v>
      </c>
      <c r="M56" s="8">
        <v>0</v>
      </c>
      <c r="N56" s="7">
        <v>0</v>
      </c>
      <c r="O56" s="18">
        <v>0</v>
      </c>
      <c r="P56" s="8">
        <v>0</v>
      </c>
      <c r="Q56" s="7">
        <v>0</v>
      </c>
      <c r="R56" s="18">
        <v>0</v>
      </c>
      <c r="S56" s="8">
        <v>0</v>
      </c>
      <c r="T56" s="7">
        <v>0</v>
      </c>
      <c r="U56" s="18">
        <v>0</v>
      </c>
      <c r="V56" s="8">
        <v>0</v>
      </c>
      <c r="W56" s="7">
        <v>0</v>
      </c>
      <c r="X56" s="18">
        <v>0</v>
      </c>
      <c r="Y56" s="8">
        <v>0</v>
      </c>
      <c r="Z56" s="7">
        <v>0</v>
      </c>
      <c r="AA56" s="18">
        <v>0</v>
      </c>
      <c r="AB56" s="8">
        <v>0</v>
      </c>
      <c r="AC56" s="7">
        <v>0</v>
      </c>
      <c r="AD56" s="18">
        <v>0</v>
      </c>
      <c r="AE56" s="8">
        <v>0</v>
      </c>
      <c r="AF56" s="7">
        <v>0</v>
      </c>
      <c r="AG56" s="18">
        <v>0</v>
      </c>
      <c r="AH56" s="8">
        <v>0</v>
      </c>
      <c r="AI56" s="7">
        <v>0</v>
      </c>
      <c r="AJ56" s="18">
        <v>0</v>
      </c>
      <c r="AK56" s="8">
        <v>0</v>
      </c>
      <c r="AL56" s="7">
        <v>0</v>
      </c>
      <c r="AM56" s="18">
        <v>0</v>
      </c>
      <c r="AN56" s="8">
        <v>0</v>
      </c>
      <c r="AO56" s="7">
        <v>0</v>
      </c>
      <c r="AP56" s="18">
        <v>0</v>
      </c>
      <c r="AQ56" s="8">
        <v>0</v>
      </c>
      <c r="AR56" s="7">
        <v>0</v>
      </c>
      <c r="AS56" s="18">
        <v>0</v>
      </c>
      <c r="AT56" s="8">
        <v>0</v>
      </c>
      <c r="AU56" s="7">
        <v>0</v>
      </c>
      <c r="AV56" s="18">
        <v>0</v>
      </c>
      <c r="AW56" s="8">
        <v>0</v>
      </c>
      <c r="AX56" s="7">
        <v>0</v>
      </c>
      <c r="AY56" s="18">
        <v>0</v>
      </c>
      <c r="AZ56" s="8"/>
      <c r="BA56" s="7"/>
      <c r="BB56" s="18"/>
      <c r="BC56" s="8"/>
      <c r="BD56" s="7"/>
      <c r="BE56" s="18"/>
      <c r="BF56" s="8"/>
      <c r="BG56" s="7"/>
      <c r="BH56" s="18"/>
    </row>
    <row r="57" spans="3:60" ht="20.25" x14ac:dyDescent="0.3">
      <c r="C57" s="67" t="s">
        <v>15</v>
      </c>
      <c r="D57" s="67"/>
      <c r="E57" s="66"/>
      <c r="F57" s="22">
        <f t="shared" si="6"/>
        <v>261457.67000000004</v>
      </c>
      <c r="G57" s="67">
        <v>0</v>
      </c>
      <c r="H57" s="66">
        <v>0</v>
      </c>
      <c r="I57" s="22">
        <v>19192.13</v>
      </c>
      <c r="J57" s="67">
        <v>0</v>
      </c>
      <c r="K57" s="66">
        <v>0</v>
      </c>
      <c r="L57" s="22">
        <v>12744.74</v>
      </c>
      <c r="M57" s="67">
        <v>0</v>
      </c>
      <c r="N57" s="66">
        <v>0</v>
      </c>
      <c r="O57" s="22">
        <v>11696.63</v>
      </c>
      <c r="P57" s="67">
        <v>0</v>
      </c>
      <c r="Q57" s="66">
        <v>0</v>
      </c>
      <c r="R57" s="22">
        <v>41986.03</v>
      </c>
      <c r="S57" s="67">
        <v>0</v>
      </c>
      <c r="T57" s="66">
        <v>0</v>
      </c>
      <c r="U57" s="22">
        <v>53301.13</v>
      </c>
      <c r="V57" s="67">
        <v>0</v>
      </c>
      <c r="W57" s="66">
        <v>0</v>
      </c>
      <c r="X57" s="22">
        <v>33164.910000000003</v>
      </c>
      <c r="Y57" s="67">
        <v>0</v>
      </c>
      <c r="Z57" s="66">
        <v>0</v>
      </c>
      <c r="AA57" s="22">
        <v>8345.8700000000008</v>
      </c>
      <c r="AB57" s="67">
        <v>0</v>
      </c>
      <c r="AC57" s="66">
        <v>0</v>
      </c>
      <c r="AD57" s="22">
        <v>12153.92</v>
      </c>
      <c r="AE57" s="67">
        <v>0</v>
      </c>
      <c r="AF57" s="66">
        <v>0</v>
      </c>
      <c r="AG57" s="22">
        <v>16068.94</v>
      </c>
      <c r="AH57" s="67">
        <v>0</v>
      </c>
      <c r="AI57" s="66">
        <v>0</v>
      </c>
      <c r="AJ57" s="22">
        <v>4722.6099999999997</v>
      </c>
      <c r="AK57" s="67">
        <v>0</v>
      </c>
      <c r="AL57" s="66">
        <v>0</v>
      </c>
      <c r="AM57" s="22">
        <v>2993.1</v>
      </c>
      <c r="AN57" s="67">
        <v>0</v>
      </c>
      <c r="AO57" s="66">
        <v>0</v>
      </c>
      <c r="AP57" s="22">
        <v>6167.39</v>
      </c>
      <c r="AQ57" s="67">
        <v>0</v>
      </c>
      <c r="AR57" s="66">
        <v>0</v>
      </c>
      <c r="AS57" s="22">
        <v>12021.04</v>
      </c>
      <c r="AT57" s="67">
        <v>0</v>
      </c>
      <c r="AU57" s="66">
        <v>0</v>
      </c>
      <c r="AV57" s="22">
        <v>21482.36</v>
      </c>
      <c r="AW57" s="67">
        <v>0</v>
      </c>
      <c r="AX57" s="66">
        <v>0</v>
      </c>
      <c r="AY57" s="22">
        <v>5416.87</v>
      </c>
      <c r="AZ57" s="67"/>
      <c r="BA57" s="66"/>
      <c r="BB57" s="22"/>
      <c r="BC57" s="67"/>
      <c r="BD57" s="66"/>
      <c r="BE57" s="22"/>
      <c r="BF57" s="67"/>
      <c r="BG57" s="66"/>
      <c r="BH57" s="22"/>
    </row>
    <row r="58" spans="3:60" ht="20.25" x14ac:dyDescent="0.3">
      <c r="C58" s="8" t="s">
        <v>14</v>
      </c>
      <c r="D58" s="8"/>
      <c r="E58" s="7"/>
      <c r="F58" s="18">
        <f t="shared" si="6"/>
        <v>199625.25999999992</v>
      </c>
      <c r="G58" s="8">
        <v>0</v>
      </c>
      <c r="H58" s="7">
        <v>0</v>
      </c>
      <c r="I58" s="18">
        <v>18216.73</v>
      </c>
      <c r="J58" s="8">
        <v>0</v>
      </c>
      <c r="K58" s="7">
        <v>0</v>
      </c>
      <c r="L58" s="18">
        <v>12510.98</v>
      </c>
      <c r="M58" s="8">
        <v>0</v>
      </c>
      <c r="N58" s="7">
        <v>0</v>
      </c>
      <c r="O58" s="18">
        <v>10187.719999999999</v>
      </c>
      <c r="P58" s="8">
        <v>0</v>
      </c>
      <c r="Q58" s="7">
        <v>0</v>
      </c>
      <c r="R58" s="18">
        <v>11021.52</v>
      </c>
      <c r="S58" s="8">
        <v>0</v>
      </c>
      <c r="T58" s="7">
        <v>0</v>
      </c>
      <c r="U58" s="18">
        <v>41393.4399999999</v>
      </c>
      <c r="V58" s="8">
        <v>0</v>
      </c>
      <c r="W58" s="7">
        <v>0</v>
      </c>
      <c r="X58" s="18">
        <v>18145.38</v>
      </c>
      <c r="Y58" s="8">
        <v>0</v>
      </c>
      <c r="Z58" s="7">
        <v>0</v>
      </c>
      <c r="AA58" s="18">
        <v>10874.95</v>
      </c>
      <c r="AB58" s="8">
        <v>0</v>
      </c>
      <c r="AC58" s="7">
        <v>0</v>
      </c>
      <c r="AD58" s="18">
        <v>5713.43</v>
      </c>
      <c r="AE58" s="8">
        <v>0</v>
      </c>
      <c r="AF58" s="7">
        <v>0</v>
      </c>
      <c r="AG58" s="18">
        <v>11903.34</v>
      </c>
      <c r="AH58" s="8">
        <v>0</v>
      </c>
      <c r="AI58" s="7">
        <v>0</v>
      </c>
      <c r="AJ58" s="18">
        <v>9320.57</v>
      </c>
      <c r="AK58" s="8">
        <v>0</v>
      </c>
      <c r="AL58" s="7">
        <v>0</v>
      </c>
      <c r="AM58" s="18">
        <v>6569.76</v>
      </c>
      <c r="AN58" s="8">
        <v>0</v>
      </c>
      <c r="AO58" s="7">
        <v>0</v>
      </c>
      <c r="AP58" s="18">
        <v>12464.83</v>
      </c>
      <c r="AQ58" s="8">
        <v>0</v>
      </c>
      <c r="AR58" s="7">
        <v>0</v>
      </c>
      <c r="AS58" s="18">
        <v>13131.23</v>
      </c>
      <c r="AT58" s="8">
        <v>0</v>
      </c>
      <c r="AU58" s="7">
        <v>0</v>
      </c>
      <c r="AV58" s="18">
        <v>12521.07</v>
      </c>
      <c r="AW58" s="8">
        <v>0</v>
      </c>
      <c r="AX58" s="7">
        <v>0</v>
      </c>
      <c r="AY58" s="18">
        <v>5650.3099999999904</v>
      </c>
      <c r="AZ58" s="8"/>
      <c r="BA58" s="7"/>
      <c r="BB58" s="18"/>
      <c r="BC58" s="8"/>
      <c r="BD58" s="7"/>
      <c r="BE58" s="18"/>
      <c r="BF58" s="8"/>
      <c r="BG58" s="7"/>
      <c r="BH58" s="18"/>
    </row>
    <row r="59" spans="3:60" ht="20.25" x14ac:dyDescent="0.3">
      <c r="C59" s="8" t="s">
        <v>13</v>
      </c>
      <c r="D59" s="8"/>
      <c r="E59" s="7"/>
      <c r="F59" s="18">
        <f t="shared" si="6"/>
        <v>54392.139999999985</v>
      </c>
      <c r="G59" s="8">
        <v>0</v>
      </c>
      <c r="H59" s="7">
        <v>0</v>
      </c>
      <c r="I59" s="18">
        <v>4758.5</v>
      </c>
      <c r="J59" s="8">
        <v>0</v>
      </c>
      <c r="K59" s="7">
        <v>0</v>
      </c>
      <c r="L59" s="18">
        <v>4580.33</v>
      </c>
      <c r="M59" s="8">
        <v>0</v>
      </c>
      <c r="N59" s="7">
        <v>0</v>
      </c>
      <c r="O59" s="18">
        <v>1653.68</v>
      </c>
      <c r="P59" s="8">
        <v>0</v>
      </c>
      <c r="Q59" s="7">
        <v>0</v>
      </c>
      <c r="R59" s="18">
        <v>2403.66</v>
      </c>
      <c r="S59" s="8">
        <v>0</v>
      </c>
      <c r="T59" s="7">
        <v>0</v>
      </c>
      <c r="U59" s="18">
        <v>15403.89</v>
      </c>
      <c r="V59" s="8">
        <v>0</v>
      </c>
      <c r="W59" s="7">
        <v>0</v>
      </c>
      <c r="X59" s="18">
        <v>3525.29</v>
      </c>
      <c r="Y59" s="8">
        <v>0</v>
      </c>
      <c r="Z59" s="7">
        <v>0</v>
      </c>
      <c r="AA59" s="18">
        <v>2038.53</v>
      </c>
      <c r="AB59" s="8">
        <v>0</v>
      </c>
      <c r="AC59" s="7">
        <v>0</v>
      </c>
      <c r="AD59" s="18">
        <v>4261.54</v>
      </c>
      <c r="AE59" s="8">
        <v>0</v>
      </c>
      <c r="AF59" s="7">
        <v>0</v>
      </c>
      <c r="AG59" s="18">
        <v>2971.19</v>
      </c>
      <c r="AH59" s="8">
        <v>0</v>
      </c>
      <c r="AI59" s="7">
        <v>0</v>
      </c>
      <c r="AJ59" s="18">
        <v>2076.77</v>
      </c>
      <c r="AK59" s="8">
        <v>0</v>
      </c>
      <c r="AL59" s="7">
        <v>0</v>
      </c>
      <c r="AM59" s="18">
        <v>1445.39</v>
      </c>
      <c r="AN59" s="8">
        <v>0</v>
      </c>
      <c r="AO59" s="7">
        <v>0</v>
      </c>
      <c r="AP59" s="18">
        <v>1252.56</v>
      </c>
      <c r="AQ59" s="8">
        <v>0</v>
      </c>
      <c r="AR59" s="7">
        <v>0</v>
      </c>
      <c r="AS59" s="18">
        <v>3971.31</v>
      </c>
      <c r="AT59" s="8">
        <v>0</v>
      </c>
      <c r="AU59" s="7">
        <v>0</v>
      </c>
      <c r="AV59" s="18">
        <v>2807.36</v>
      </c>
      <c r="AW59" s="8">
        <v>0</v>
      </c>
      <c r="AX59" s="7">
        <v>0</v>
      </c>
      <c r="AY59" s="18">
        <v>1242.1399999999901</v>
      </c>
      <c r="AZ59" s="8"/>
      <c r="BA59" s="7"/>
      <c r="BB59" s="18"/>
      <c r="BC59" s="8"/>
      <c r="BD59" s="7"/>
      <c r="BE59" s="18"/>
      <c r="BF59" s="8"/>
      <c r="BG59" s="7"/>
      <c r="BH59" s="18"/>
    </row>
    <row r="60" spans="3:60" ht="20.25" x14ac:dyDescent="0.3">
      <c r="C60" s="67" t="s">
        <v>12</v>
      </c>
      <c r="D60" s="67"/>
      <c r="E60" s="66"/>
      <c r="F60" s="22">
        <f t="shared" si="6"/>
        <v>286095.17999999976</v>
      </c>
      <c r="G60" s="67">
        <v>0</v>
      </c>
      <c r="H60" s="66">
        <v>0</v>
      </c>
      <c r="I60" s="22">
        <v>23562.53</v>
      </c>
      <c r="J60" s="67">
        <v>0</v>
      </c>
      <c r="K60" s="66">
        <v>0</v>
      </c>
      <c r="L60" s="22">
        <v>27943.16</v>
      </c>
      <c r="M60" s="67">
        <v>0</v>
      </c>
      <c r="N60" s="66">
        <v>0</v>
      </c>
      <c r="O60" s="22">
        <v>6841.51</v>
      </c>
      <c r="P60" s="67">
        <v>0</v>
      </c>
      <c r="Q60" s="66">
        <v>0</v>
      </c>
      <c r="R60" s="22">
        <v>13433.78</v>
      </c>
      <c r="S60" s="67">
        <v>0</v>
      </c>
      <c r="T60" s="66">
        <v>0</v>
      </c>
      <c r="U60" s="22">
        <v>52772.089999999902</v>
      </c>
      <c r="V60" s="67">
        <v>0</v>
      </c>
      <c r="W60" s="66">
        <v>0</v>
      </c>
      <c r="X60" s="22">
        <v>33575.120000000003</v>
      </c>
      <c r="Y60" s="67">
        <v>0</v>
      </c>
      <c r="Z60" s="66">
        <v>0</v>
      </c>
      <c r="AA60" s="22">
        <v>12952.7599999999</v>
      </c>
      <c r="AB60" s="67">
        <v>0</v>
      </c>
      <c r="AC60" s="66">
        <v>0</v>
      </c>
      <c r="AD60" s="22">
        <v>7301.3999999999896</v>
      </c>
      <c r="AE60" s="67">
        <v>0</v>
      </c>
      <c r="AF60" s="66">
        <v>0</v>
      </c>
      <c r="AG60" s="22">
        <v>23589.09</v>
      </c>
      <c r="AH60" s="67">
        <v>0</v>
      </c>
      <c r="AI60" s="66">
        <v>0</v>
      </c>
      <c r="AJ60" s="22">
        <v>6642.13</v>
      </c>
      <c r="AK60" s="67">
        <v>0</v>
      </c>
      <c r="AL60" s="66">
        <v>0</v>
      </c>
      <c r="AM60" s="22">
        <v>13117.98</v>
      </c>
      <c r="AN60" s="67">
        <v>0</v>
      </c>
      <c r="AO60" s="66">
        <v>0</v>
      </c>
      <c r="AP60" s="22">
        <v>19308.48</v>
      </c>
      <c r="AQ60" s="67">
        <v>0</v>
      </c>
      <c r="AR60" s="66">
        <v>0</v>
      </c>
      <c r="AS60" s="22">
        <v>24738.19</v>
      </c>
      <c r="AT60" s="67">
        <v>0</v>
      </c>
      <c r="AU60" s="66">
        <v>0</v>
      </c>
      <c r="AV60" s="22">
        <v>15468.97</v>
      </c>
      <c r="AW60" s="67">
        <v>0</v>
      </c>
      <c r="AX60" s="66">
        <v>0</v>
      </c>
      <c r="AY60" s="22">
        <v>4847.99</v>
      </c>
      <c r="AZ60" s="67"/>
      <c r="BA60" s="66"/>
      <c r="BB60" s="22"/>
      <c r="BC60" s="67"/>
      <c r="BD60" s="66"/>
      <c r="BE60" s="22"/>
      <c r="BF60" s="67"/>
      <c r="BG60" s="66"/>
      <c r="BH60" s="22"/>
    </row>
    <row r="61" spans="3:60" ht="20.25" x14ac:dyDescent="0.3">
      <c r="C61" s="8" t="s">
        <v>11</v>
      </c>
      <c r="D61" s="8"/>
      <c r="E61" s="7"/>
      <c r="F61" s="18">
        <f t="shared" si="6"/>
        <v>2614.7000000000003</v>
      </c>
      <c r="G61" s="8">
        <v>0</v>
      </c>
      <c r="H61" s="7">
        <v>0</v>
      </c>
      <c r="I61" s="18">
        <v>104.84</v>
      </c>
      <c r="J61" s="8">
        <v>0</v>
      </c>
      <c r="K61" s="7">
        <v>0</v>
      </c>
      <c r="L61" s="18">
        <v>26.91</v>
      </c>
      <c r="M61" s="8">
        <v>0</v>
      </c>
      <c r="N61" s="7">
        <v>0</v>
      </c>
      <c r="O61" s="18">
        <v>124.91</v>
      </c>
      <c r="P61" s="8">
        <v>0</v>
      </c>
      <c r="Q61" s="7">
        <v>0</v>
      </c>
      <c r="R61" s="18">
        <v>1158.43</v>
      </c>
      <c r="S61" s="8">
        <v>0</v>
      </c>
      <c r="T61" s="7">
        <v>0</v>
      </c>
      <c r="U61" s="18">
        <v>327.78</v>
      </c>
      <c r="V61" s="8">
        <v>0</v>
      </c>
      <c r="W61" s="7">
        <v>0</v>
      </c>
      <c r="X61" s="18">
        <v>8.99</v>
      </c>
      <c r="Y61" s="8">
        <v>0</v>
      </c>
      <c r="Z61" s="7">
        <v>0</v>
      </c>
      <c r="AA61" s="18">
        <v>2.23</v>
      </c>
      <c r="AB61" s="8">
        <v>0</v>
      </c>
      <c r="AC61" s="7">
        <v>0</v>
      </c>
      <c r="AD61" s="18">
        <v>0</v>
      </c>
      <c r="AE61" s="8">
        <v>0</v>
      </c>
      <c r="AF61" s="7">
        <v>0</v>
      </c>
      <c r="AG61" s="18">
        <v>43.43</v>
      </c>
      <c r="AH61" s="8">
        <v>0</v>
      </c>
      <c r="AI61" s="7">
        <v>0</v>
      </c>
      <c r="AJ61" s="18">
        <v>541.04</v>
      </c>
      <c r="AK61" s="8">
        <v>0</v>
      </c>
      <c r="AL61" s="7">
        <v>0</v>
      </c>
      <c r="AM61" s="18">
        <v>0</v>
      </c>
      <c r="AN61" s="8">
        <v>0</v>
      </c>
      <c r="AO61" s="7">
        <v>0</v>
      </c>
      <c r="AP61" s="18">
        <v>0</v>
      </c>
      <c r="AQ61" s="8">
        <v>0</v>
      </c>
      <c r="AR61" s="7">
        <v>0</v>
      </c>
      <c r="AS61" s="18">
        <v>110.16</v>
      </c>
      <c r="AT61" s="8">
        <v>0</v>
      </c>
      <c r="AU61" s="7">
        <v>0</v>
      </c>
      <c r="AV61" s="18">
        <v>165.98</v>
      </c>
      <c r="AW61" s="8">
        <v>0</v>
      </c>
      <c r="AX61" s="7">
        <v>0</v>
      </c>
      <c r="AY61" s="18">
        <v>0</v>
      </c>
      <c r="AZ61" s="8"/>
      <c r="BA61" s="7"/>
      <c r="BB61" s="18"/>
      <c r="BC61" s="8"/>
      <c r="BD61" s="7"/>
      <c r="BE61" s="18"/>
      <c r="BF61" s="8"/>
      <c r="BG61" s="7"/>
      <c r="BH61" s="18"/>
    </row>
    <row r="62" spans="3:60" ht="20.25" x14ac:dyDescent="0.3">
      <c r="C62" s="8" t="s">
        <v>10</v>
      </c>
      <c r="D62" s="8"/>
      <c r="E62" s="7"/>
      <c r="F62" s="18">
        <f t="shared" si="6"/>
        <v>2093.69</v>
      </c>
      <c r="G62" s="8">
        <v>0</v>
      </c>
      <c r="H62" s="7">
        <v>0</v>
      </c>
      <c r="I62" s="18">
        <v>0</v>
      </c>
      <c r="J62" s="8">
        <v>0</v>
      </c>
      <c r="K62" s="7">
        <v>0</v>
      </c>
      <c r="L62" s="18">
        <v>0</v>
      </c>
      <c r="M62" s="8">
        <v>0</v>
      </c>
      <c r="N62" s="7">
        <v>0</v>
      </c>
      <c r="O62" s="18">
        <v>0</v>
      </c>
      <c r="P62" s="8">
        <v>0</v>
      </c>
      <c r="Q62" s="7">
        <v>0</v>
      </c>
      <c r="R62" s="18">
        <v>-104.86</v>
      </c>
      <c r="S62" s="8">
        <v>0</v>
      </c>
      <c r="T62" s="7">
        <v>0</v>
      </c>
      <c r="U62" s="18">
        <v>760.93</v>
      </c>
      <c r="V62" s="8">
        <v>0</v>
      </c>
      <c r="W62" s="7">
        <v>0</v>
      </c>
      <c r="X62" s="18">
        <v>0</v>
      </c>
      <c r="Y62" s="8">
        <v>0</v>
      </c>
      <c r="Z62" s="7">
        <v>0</v>
      </c>
      <c r="AA62" s="18">
        <v>120</v>
      </c>
      <c r="AB62" s="8">
        <v>0</v>
      </c>
      <c r="AC62" s="7">
        <v>0</v>
      </c>
      <c r="AD62" s="18">
        <v>0</v>
      </c>
      <c r="AE62" s="8">
        <v>0</v>
      </c>
      <c r="AF62" s="7">
        <v>0</v>
      </c>
      <c r="AG62" s="18">
        <v>0</v>
      </c>
      <c r="AH62" s="8">
        <v>0</v>
      </c>
      <c r="AI62" s="7">
        <v>0</v>
      </c>
      <c r="AJ62" s="18">
        <v>0</v>
      </c>
      <c r="AK62" s="8">
        <v>0</v>
      </c>
      <c r="AL62" s="7">
        <v>0</v>
      </c>
      <c r="AM62" s="18">
        <v>0</v>
      </c>
      <c r="AN62" s="8">
        <v>0</v>
      </c>
      <c r="AO62" s="7">
        <v>0</v>
      </c>
      <c r="AP62" s="18">
        <v>0</v>
      </c>
      <c r="AQ62" s="8">
        <v>0</v>
      </c>
      <c r="AR62" s="7">
        <v>0</v>
      </c>
      <c r="AS62" s="18">
        <v>694.62</v>
      </c>
      <c r="AT62" s="8">
        <v>0</v>
      </c>
      <c r="AU62" s="7">
        <v>0</v>
      </c>
      <c r="AV62" s="18">
        <v>623</v>
      </c>
      <c r="AW62" s="8">
        <v>0</v>
      </c>
      <c r="AX62" s="7">
        <v>0</v>
      </c>
      <c r="AY62" s="18">
        <v>0</v>
      </c>
      <c r="AZ62" s="8"/>
      <c r="BA62" s="7"/>
      <c r="BB62" s="18"/>
      <c r="BC62" s="8"/>
      <c r="BD62" s="7"/>
      <c r="BE62" s="18"/>
      <c r="BF62" s="8"/>
      <c r="BG62" s="7"/>
      <c r="BH62" s="18"/>
    </row>
    <row r="63" spans="3:60" ht="20.25" x14ac:dyDescent="0.3">
      <c r="C63" s="8" t="s">
        <v>9</v>
      </c>
      <c r="D63" s="8"/>
      <c r="E63" s="7"/>
      <c r="F63" s="18">
        <f t="shared" si="6"/>
        <v>20066.46</v>
      </c>
      <c r="G63" s="8">
        <v>0</v>
      </c>
      <c r="H63" s="7">
        <v>0</v>
      </c>
      <c r="I63" s="18">
        <v>1379.8</v>
      </c>
      <c r="J63" s="8">
        <v>0</v>
      </c>
      <c r="K63" s="7">
        <v>0</v>
      </c>
      <c r="L63" s="18">
        <v>802.51</v>
      </c>
      <c r="M63" s="8">
        <v>0</v>
      </c>
      <c r="N63" s="7">
        <v>0</v>
      </c>
      <c r="O63" s="18">
        <v>1144.02</v>
      </c>
      <c r="P63" s="8">
        <v>0</v>
      </c>
      <c r="Q63" s="7">
        <v>0</v>
      </c>
      <c r="R63" s="18">
        <v>2845.77</v>
      </c>
      <c r="S63" s="8">
        <v>0</v>
      </c>
      <c r="T63" s="7">
        <v>0</v>
      </c>
      <c r="U63" s="18">
        <v>2340.89</v>
      </c>
      <c r="V63" s="8">
        <v>0</v>
      </c>
      <c r="W63" s="7">
        <v>0</v>
      </c>
      <c r="X63" s="18">
        <v>1963.67</v>
      </c>
      <c r="Y63" s="8">
        <v>0</v>
      </c>
      <c r="Z63" s="7">
        <v>0</v>
      </c>
      <c r="AA63" s="18">
        <v>1605.98</v>
      </c>
      <c r="AB63" s="8">
        <v>0</v>
      </c>
      <c r="AC63" s="7">
        <v>0</v>
      </c>
      <c r="AD63" s="18">
        <v>1282.1400000000001</v>
      </c>
      <c r="AE63" s="8">
        <v>0</v>
      </c>
      <c r="AF63" s="7">
        <v>0</v>
      </c>
      <c r="AG63" s="18">
        <v>1260.43</v>
      </c>
      <c r="AH63" s="8">
        <v>0</v>
      </c>
      <c r="AI63" s="7">
        <v>0</v>
      </c>
      <c r="AJ63" s="18">
        <v>474.17</v>
      </c>
      <c r="AK63" s="8">
        <v>0</v>
      </c>
      <c r="AL63" s="7">
        <v>0</v>
      </c>
      <c r="AM63" s="18">
        <v>590.30999999999995</v>
      </c>
      <c r="AN63" s="8">
        <v>0</v>
      </c>
      <c r="AO63" s="7">
        <v>0</v>
      </c>
      <c r="AP63" s="18">
        <v>930.65</v>
      </c>
      <c r="AQ63" s="8">
        <v>0</v>
      </c>
      <c r="AR63" s="7">
        <v>0</v>
      </c>
      <c r="AS63" s="18">
        <v>388.93</v>
      </c>
      <c r="AT63" s="8">
        <v>0</v>
      </c>
      <c r="AU63" s="7">
        <v>0</v>
      </c>
      <c r="AV63" s="18">
        <v>1203.68</v>
      </c>
      <c r="AW63" s="8">
        <v>0</v>
      </c>
      <c r="AX63" s="7">
        <v>0</v>
      </c>
      <c r="AY63" s="18">
        <v>1853.51</v>
      </c>
      <c r="AZ63" s="8"/>
      <c r="BA63" s="7"/>
      <c r="BB63" s="18"/>
      <c r="BC63" s="8"/>
      <c r="BD63" s="7"/>
      <c r="BE63" s="18"/>
      <c r="BF63" s="8"/>
      <c r="BG63" s="7"/>
      <c r="BH63" s="18"/>
    </row>
    <row r="64" spans="3:60" ht="20.25" x14ac:dyDescent="0.3">
      <c r="C64" s="8" t="s">
        <v>8</v>
      </c>
      <c r="D64" s="8"/>
      <c r="E64" s="7"/>
      <c r="F64" s="18">
        <f t="shared" si="6"/>
        <v>12347.51</v>
      </c>
      <c r="G64" s="8">
        <v>0</v>
      </c>
      <c r="H64" s="7">
        <v>0</v>
      </c>
      <c r="I64" s="18">
        <v>1237.55</v>
      </c>
      <c r="J64" s="8">
        <v>0</v>
      </c>
      <c r="K64" s="7">
        <v>0</v>
      </c>
      <c r="L64" s="18">
        <v>863.29</v>
      </c>
      <c r="M64" s="8">
        <v>0</v>
      </c>
      <c r="N64" s="7">
        <v>0</v>
      </c>
      <c r="O64" s="18">
        <v>855.36</v>
      </c>
      <c r="P64" s="8">
        <v>0</v>
      </c>
      <c r="Q64" s="7">
        <v>0</v>
      </c>
      <c r="R64" s="18">
        <v>699.23</v>
      </c>
      <c r="S64" s="8">
        <v>0</v>
      </c>
      <c r="T64" s="7">
        <v>0</v>
      </c>
      <c r="U64" s="18">
        <v>3819.73</v>
      </c>
      <c r="V64" s="8">
        <v>0</v>
      </c>
      <c r="W64" s="7">
        <v>0</v>
      </c>
      <c r="X64" s="18">
        <v>748.43</v>
      </c>
      <c r="Y64" s="8">
        <v>0</v>
      </c>
      <c r="Z64" s="7">
        <v>0</v>
      </c>
      <c r="AA64" s="18">
        <v>276.3</v>
      </c>
      <c r="AB64" s="8">
        <v>0</v>
      </c>
      <c r="AC64" s="7">
        <v>0</v>
      </c>
      <c r="AD64" s="18">
        <v>446.61</v>
      </c>
      <c r="AE64" s="8">
        <v>0</v>
      </c>
      <c r="AF64" s="7">
        <v>0</v>
      </c>
      <c r="AG64" s="18">
        <v>349</v>
      </c>
      <c r="AH64" s="8">
        <v>0</v>
      </c>
      <c r="AI64" s="7">
        <v>0</v>
      </c>
      <c r="AJ64" s="18">
        <v>320.85000000000002</v>
      </c>
      <c r="AK64" s="8">
        <v>0</v>
      </c>
      <c r="AL64" s="7">
        <v>0</v>
      </c>
      <c r="AM64" s="18">
        <v>574.15</v>
      </c>
      <c r="AN64" s="8">
        <v>0</v>
      </c>
      <c r="AO64" s="7">
        <v>0</v>
      </c>
      <c r="AP64" s="18">
        <v>401.66</v>
      </c>
      <c r="AQ64" s="8">
        <v>0</v>
      </c>
      <c r="AR64" s="7">
        <v>0</v>
      </c>
      <c r="AS64" s="18">
        <v>446.94</v>
      </c>
      <c r="AT64" s="8">
        <v>0</v>
      </c>
      <c r="AU64" s="7">
        <v>0</v>
      </c>
      <c r="AV64" s="18">
        <v>909.41</v>
      </c>
      <c r="AW64" s="8">
        <v>0</v>
      </c>
      <c r="AX64" s="7">
        <v>0</v>
      </c>
      <c r="AY64" s="18">
        <v>399</v>
      </c>
      <c r="AZ64" s="8"/>
      <c r="BA64" s="7"/>
      <c r="BB64" s="18"/>
      <c r="BC64" s="8"/>
      <c r="BD64" s="7"/>
      <c r="BE64" s="18"/>
      <c r="BF64" s="8"/>
      <c r="BG64" s="7"/>
      <c r="BH64" s="18"/>
    </row>
    <row r="65" spans="3:60" ht="20.25" x14ac:dyDescent="0.3">
      <c r="C65" s="8" t="s">
        <v>7</v>
      </c>
      <c r="D65" s="8"/>
      <c r="E65" s="7"/>
      <c r="F65" s="18">
        <f t="shared" si="6"/>
        <v>7808.8000000000011</v>
      </c>
      <c r="G65" s="8">
        <v>0</v>
      </c>
      <c r="H65" s="7">
        <v>0</v>
      </c>
      <c r="I65" s="18">
        <v>1211.3599999999999</v>
      </c>
      <c r="J65" s="8">
        <v>0</v>
      </c>
      <c r="K65" s="7">
        <v>0</v>
      </c>
      <c r="L65" s="18">
        <v>1472.31</v>
      </c>
      <c r="M65" s="8">
        <v>0</v>
      </c>
      <c r="N65" s="7">
        <v>0</v>
      </c>
      <c r="O65" s="18">
        <v>259.3</v>
      </c>
      <c r="P65" s="8">
        <v>0</v>
      </c>
      <c r="Q65" s="7">
        <v>0</v>
      </c>
      <c r="R65" s="18">
        <v>751.27</v>
      </c>
      <c r="S65" s="8">
        <v>0</v>
      </c>
      <c r="T65" s="7">
        <v>0</v>
      </c>
      <c r="U65" s="18">
        <v>1639.88</v>
      </c>
      <c r="V65" s="8">
        <v>0</v>
      </c>
      <c r="W65" s="7">
        <v>0</v>
      </c>
      <c r="X65" s="18">
        <v>70.67</v>
      </c>
      <c r="Y65" s="8">
        <v>0</v>
      </c>
      <c r="Z65" s="7">
        <v>0</v>
      </c>
      <c r="AA65" s="18">
        <v>303.85000000000002</v>
      </c>
      <c r="AB65" s="8">
        <v>0</v>
      </c>
      <c r="AC65" s="7">
        <v>0</v>
      </c>
      <c r="AD65" s="18">
        <v>297.42</v>
      </c>
      <c r="AE65" s="8">
        <v>0</v>
      </c>
      <c r="AF65" s="7">
        <v>0</v>
      </c>
      <c r="AG65" s="18">
        <v>384.64</v>
      </c>
      <c r="AH65" s="8">
        <v>0</v>
      </c>
      <c r="AI65" s="7">
        <v>0</v>
      </c>
      <c r="AJ65" s="18">
        <v>29.7</v>
      </c>
      <c r="AK65" s="8">
        <v>0</v>
      </c>
      <c r="AL65" s="7">
        <v>0</v>
      </c>
      <c r="AM65" s="18">
        <v>132.02000000000001</v>
      </c>
      <c r="AN65" s="8">
        <v>0</v>
      </c>
      <c r="AO65" s="7">
        <v>0</v>
      </c>
      <c r="AP65" s="18">
        <v>9.69</v>
      </c>
      <c r="AQ65" s="8">
        <v>0</v>
      </c>
      <c r="AR65" s="7">
        <v>0</v>
      </c>
      <c r="AS65" s="18">
        <v>72.989999999999995</v>
      </c>
      <c r="AT65" s="8">
        <v>0</v>
      </c>
      <c r="AU65" s="7">
        <v>0</v>
      </c>
      <c r="AV65" s="18">
        <v>1173.7</v>
      </c>
      <c r="AW65" s="8">
        <v>0</v>
      </c>
      <c r="AX65" s="7">
        <v>0</v>
      </c>
      <c r="AY65" s="18">
        <v>0</v>
      </c>
      <c r="AZ65" s="8"/>
      <c r="BA65" s="7"/>
      <c r="BB65" s="18"/>
      <c r="BC65" s="8"/>
      <c r="BD65" s="7"/>
      <c r="BE65" s="18"/>
      <c r="BF65" s="8"/>
      <c r="BG65" s="7"/>
      <c r="BH65" s="18"/>
    </row>
    <row r="66" spans="3:60" ht="20.25" x14ac:dyDescent="0.3">
      <c r="C66" s="8" t="s">
        <v>6</v>
      </c>
      <c r="D66" s="8"/>
      <c r="E66" s="7"/>
      <c r="F66" s="18">
        <f t="shared" si="6"/>
        <v>30205.279999999977</v>
      </c>
      <c r="G66" s="8">
        <v>0</v>
      </c>
      <c r="H66" s="7">
        <v>0</v>
      </c>
      <c r="I66" s="18">
        <v>6649.28</v>
      </c>
      <c r="J66" s="8">
        <v>0</v>
      </c>
      <c r="K66" s="7">
        <v>0</v>
      </c>
      <c r="L66" s="18">
        <v>4202.3099999999904</v>
      </c>
      <c r="M66" s="8">
        <v>0</v>
      </c>
      <c r="N66" s="7">
        <v>0</v>
      </c>
      <c r="O66" s="18">
        <v>1364.4</v>
      </c>
      <c r="P66" s="8">
        <v>0</v>
      </c>
      <c r="Q66" s="7">
        <v>0</v>
      </c>
      <c r="R66" s="18">
        <v>2051.02</v>
      </c>
      <c r="S66" s="8">
        <v>0</v>
      </c>
      <c r="T66" s="7">
        <v>0</v>
      </c>
      <c r="U66" s="18">
        <v>126</v>
      </c>
      <c r="V66" s="8">
        <v>0</v>
      </c>
      <c r="W66" s="7">
        <v>0</v>
      </c>
      <c r="X66" s="18">
        <v>385.25</v>
      </c>
      <c r="Y66" s="8">
        <v>0</v>
      </c>
      <c r="Z66" s="7">
        <v>0</v>
      </c>
      <c r="AA66" s="18">
        <v>2277.0100000000002</v>
      </c>
      <c r="AB66" s="8">
        <v>0</v>
      </c>
      <c r="AC66" s="7">
        <v>0</v>
      </c>
      <c r="AD66" s="18">
        <v>1911.89</v>
      </c>
      <c r="AE66" s="8">
        <v>0</v>
      </c>
      <c r="AF66" s="7">
        <v>0</v>
      </c>
      <c r="AG66" s="18">
        <v>2054.2800000000002</v>
      </c>
      <c r="AH66" s="8">
        <v>0</v>
      </c>
      <c r="AI66" s="7">
        <v>0</v>
      </c>
      <c r="AJ66" s="18">
        <v>2587.97999999999</v>
      </c>
      <c r="AK66" s="8">
        <v>0</v>
      </c>
      <c r="AL66" s="7">
        <v>0</v>
      </c>
      <c r="AM66" s="18">
        <v>1029.96</v>
      </c>
      <c r="AN66" s="8">
        <v>0</v>
      </c>
      <c r="AO66" s="7">
        <v>0</v>
      </c>
      <c r="AP66" s="18">
        <v>2823.3</v>
      </c>
      <c r="AQ66" s="8">
        <v>0</v>
      </c>
      <c r="AR66" s="7">
        <v>0</v>
      </c>
      <c r="AS66" s="18">
        <v>2393.89</v>
      </c>
      <c r="AT66" s="8">
        <v>0</v>
      </c>
      <c r="AU66" s="7">
        <v>0</v>
      </c>
      <c r="AV66" s="18">
        <v>160.63</v>
      </c>
      <c r="AW66" s="8">
        <v>0</v>
      </c>
      <c r="AX66" s="7">
        <v>0</v>
      </c>
      <c r="AY66" s="18">
        <v>188.08</v>
      </c>
      <c r="AZ66" s="8"/>
      <c r="BA66" s="7"/>
      <c r="BB66" s="18"/>
      <c r="BC66" s="8"/>
      <c r="BD66" s="7"/>
      <c r="BE66" s="18"/>
      <c r="BF66" s="8"/>
      <c r="BG66" s="7"/>
      <c r="BH66" s="18"/>
    </row>
    <row r="67" spans="3:60" ht="20.25" x14ac:dyDescent="0.3">
      <c r="C67" s="8" t="s">
        <v>5</v>
      </c>
      <c r="D67" s="8"/>
      <c r="E67" s="7"/>
      <c r="F67" s="18">
        <f t="shared" si="6"/>
        <v>24948.5</v>
      </c>
      <c r="G67" s="8">
        <v>0</v>
      </c>
      <c r="H67" s="7">
        <v>0</v>
      </c>
      <c r="I67" s="18">
        <v>3168.78</v>
      </c>
      <c r="J67" s="8">
        <v>0</v>
      </c>
      <c r="K67" s="7">
        <v>0</v>
      </c>
      <c r="L67" s="18">
        <v>3508.64</v>
      </c>
      <c r="M67" s="8">
        <v>0</v>
      </c>
      <c r="N67" s="7">
        <v>0</v>
      </c>
      <c r="O67" s="18">
        <v>730.6</v>
      </c>
      <c r="P67" s="8">
        <v>0</v>
      </c>
      <c r="Q67" s="7">
        <v>0</v>
      </c>
      <c r="R67" s="18">
        <v>191.4</v>
      </c>
      <c r="S67" s="8">
        <v>0</v>
      </c>
      <c r="T67" s="7">
        <v>0</v>
      </c>
      <c r="U67" s="18">
        <v>7518</v>
      </c>
      <c r="V67" s="8">
        <v>0</v>
      </c>
      <c r="W67" s="7">
        <v>0</v>
      </c>
      <c r="X67" s="18">
        <v>2865.28</v>
      </c>
      <c r="Y67" s="8">
        <v>0</v>
      </c>
      <c r="Z67" s="7">
        <v>0</v>
      </c>
      <c r="AA67" s="18">
        <v>287.06</v>
      </c>
      <c r="AB67" s="8">
        <v>0</v>
      </c>
      <c r="AC67" s="7">
        <v>0</v>
      </c>
      <c r="AD67" s="18">
        <v>223.3</v>
      </c>
      <c r="AE67" s="8">
        <v>0</v>
      </c>
      <c r="AF67" s="7">
        <v>0</v>
      </c>
      <c r="AG67" s="18">
        <v>287.08</v>
      </c>
      <c r="AH67" s="8">
        <v>0</v>
      </c>
      <c r="AI67" s="7">
        <v>0</v>
      </c>
      <c r="AJ67" s="18">
        <v>1963.81</v>
      </c>
      <c r="AK67" s="8">
        <v>0</v>
      </c>
      <c r="AL67" s="7">
        <v>0</v>
      </c>
      <c r="AM67" s="18">
        <v>223.3</v>
      </c>
      <c r="AN67" s="8">
        <v>0</v>
      </c>
      <c r="AO67" s="7">
        <v>0</v>
      </c>
      <c r="AP67" s="18">
        <v>523.29999999999995</v>
      </c>
      <c r="AQ67" s="8">
        <v>0</v>
      </c>
      <c r="AR67" s="7">
        <v>0</v>
      </c>
      <c r="AS67" s="18">
        <v>223.3</v>
      </c>
      <c r="AT67" s="8">
        <v>0</v>
      </c>
      <c r="AU67" s="7">
        <v>0</v>
      </c>
      <c r="AV67" s="18">
        <v>2966.69</v>
      </c>
      <c r="AW67" s="8">
        <v>0</v>
      </c>
      <c r="AX67" s="7">
        <v>0</v>
      </c>
      <c r="AY67" s="18">
        <v>267.95999999999998</v>
      </c>
      <c r="AZ67" s="8"/>
      <c r="BA67" s="7"/>
      <c r="BB67" s="18"/>
      <c r="BC67" s="8"/>
      <c r="BD67" s="7"/>
      <c r="BE67" s="18"/>
      <c r="BF67" s="8"/>
      <c r="BG67" s="7"/>
      <c r="BH67" s="18"/>
    </row>
    <row r="68" spans="3:60" ht="20.25" x14ac:dyDescent="0.3">
      <c r="C68" s="8" t="s">
        <v>4</v>
      </c>
      <c r="D68" s="8"/>
      <c r="E68" s="7"/>
      <c r="F68" s="18">
        <f t="shared" si="6"/>
        <v>57800.178400000012</v>
      </c>
      <c r="G68" s="8">
        <v>0</v>
      </c>
      <c r="H68" s="7">
        <v>0</v>
      </c>
      <c r="I68" s="18">
        <v>7764.86</v>
      </c>
      <c r="J68" s="8">
        <v>0</v>
      </c>
      <c r="K68" s="7">
        <v>0</v>
      </c>
      <c r="L68" s="18">
        <v>5208.57</v>
      </c>
      <c r="M68" s="8">
        <v>0</v>
      </c>
      <c r="N68" s="7">
        <v>0</v>
      </c>
      <c r="O68" s="18">
        <v>3500.95</v>
      </c>
      <c r="P68" s="8">
        <v>0</v>
      </c>
      <c r="Q68" s="7">
        <v>0</v>
      </c>
      <c r="R68" s="18">
        <v>941.94</v>
      </c>
      <c r="S68" s="8">
        <v>0</v>
      </c>
      <c r="T68" s="7">
        <v>0</v>
      </c>
      <c r="U68" s="18">
        <v>7011.63</v>
      </c>
      <c r="V68" s="8">
        <v>0</v>
      </c>
      <c r="W68" s="7">
        <v>0</v>
      </c>
      <c r="X68" s="18">
        <v>7535.47</v>
      </c>
      <c r="Y68" s="8">
        <v>0</v>
      </c>
      <c r="Z68" s="7">
        <v>0</v>
      </c>
      <c r="AA68" s="18">
        <v>5377.1</v>
      </c>
      <c r="AB68" s="8">
        <v>0</v>
      </c>
      <c r="AC68" s="7">
        <v>0</v>
      </c>
      <c r="AD68" s="18">
        <v>2451.2600000000002</v>
      </c>
      <c r="AE68" s="8">
        <v>0</v>
      </c>
      <c r="AF68" s="7">
        <v>0</v>
      </c>
      <c r="AG68" s="18">
        <v>5190.58</v>
      </c>
      <c r="AH68" s="8">
        <v>0</v>
      </c>
      <c r="AI68" s="7">
        <v>0</v>
      </c>
      <c r="AJ68" s="18">
        <v>1716.26</v>
      </c>
      <c r="AK68" s="8">
        <v>0</v>
      </c>
      <c r="AL68" s="7">
        <v>0</v>
      </c>
      <c r="AM68" s="18">
        <v>899.15840000000003</v>
      </c>
      <c r="AN68" s="8">
        <v>0</v>
      </c>
      <c r="AO68" s="7">
        <v>0</v>
      </c>
      <c r="AP68" s="18">
        <v>954.7</v>
      </c>
      <c r="AQ68" s="8">
        <v>0</v>
      </c>
      <c r="AR68" s="7">
        <v>0</v>
      </c>
      <c r="AS68" s="18">
        <v>1906.17</v>
      </c>
      <c r="AT68" s="8">
        <v>0</v>
      </c>
      <c r="AU68" s="7">
        <v>0</v>
      </c>
      <c r="AV68" s="18">
        <v>4968.16</v>
      </c>
      <c r="AW68" s="8">
        <v>0</v>
      </c>
      <c r="AX68" s="7">
        <v>0</v>
      </c>
      <c r="AY68" s="18">
        <v>2373.37</v>
      </c>
      <c r="AZ68" s="8"/>
      <c r="BA68" s="7"/>
      <c r="BB68" s="18"/>
      <c r="BC68" s="8"/>
      <c r="BD68" s="7"/>
      <c r="BE68" s="18"/>
      <c r="BF68" s="8"/>
      <c r="BG68" s="7"/>
      <c r="BH68" s="18"/>
    </row>
    <row r="69" spans="3:60" ht="20.25" hidden="1" x14ac:dyDescent="0.3">
      <c r="C69" s="8" t="s">
        <v>3</v>
      </c>
      <c r="D69" s="8"/>
      <c r="E69" s="7"/>
      <c r="F69" s="18">
        <f t="shared" si="6"/>
        <v>0</v>
      </c>
      <c r="G69" s="8">
        <v>0</v>
      </c>
      <c r="H69" s="7">
        <v>0</v>
      </c>
      <c r="I69" s="18">
        <v>0</v>
      </c>
      <c r="J69" s="8">
        <v>0</v>
      </c>
      <c r="K69" s="7">
        <v>0</v>
      </c>
      <c r="L69" s="18">
        <v>0</v>
      </c>
      <c r="M69" s="8">
        <v>0</v>
      </c>
      <c r="N69" s="7">
        <v>0</v>
      </c>
      <c r="O69" s="18">
        <v>0</v>
      </c>
      <c r="P69" s="8">
        <v>0</v>
      </c>
      <c r="Q69" s="7">
        <v>0</v>
      </c>
      <c r="R69" s="18">
        <v>0</v>
      </c>
      <c r="S69" s="8">
        <v>0</v>
      </c>
      <c r="T69" s="7">
        <v>0</v>
      </c>
      <c r="U69" s="18">
        <v>0</v>
      </c>
      <c r="V69" s="8">
        <v>0</v>
      </c>
      <c r="W69" s="7">
        <v>0</v>
      </c>
      <c r="X69" s="18">
        <v>0</v>
      </c>
      <c r="Y69" s="8">
        <v>0</v>
      </c>
      <c r="Z69" s="7">
        <v>0</v>
      </c>
      <c r="AA69" s="18">
        <v>0</v>
      </c>
      <c r="AB69" s="8">
        <v>0</v>
      </c>
      <c r="AC69" s="7">
        <v>0</v>
      </c>
      <c r="AD69" s="18">
        <v>0</v>
      </c>
      <c r="AE69" s="8">
        <v>0</v>
      </c>
      <c r="AF69" s="7">
        <v>0</v>
      </c>
      <c r="AG69" s="18">
        <v>0</v>
      </c>
      <c r="AH69" s="8">
        <v>0</v>
      </c>
      <c r="AI69" s="7">
        <v>0</v>
      </c>
      <c r="AJ69" s="18">
        <v>0</v>
      </c>
      <c r="AK69" s="8">
        <v>0</v>
      </c>
      <c r="AL69" s="7">
        <v>0</v>
      </c>
      <c r="AM69" s="18">
        <v>0</v>
      </c>
      <c r="AN69" s="8">
        <v>0</v>
      </c>
      <c r="AO69" s="7">
        <v>0</v>
      </c>
      <c r="AP69" s="18">
        <v>0</v>
      </c>
      <c r="AQ69" s="8">
        <v>0</v>
      </c>
      <c r="AR69" s="7">
        <v>0</v>
      </c>
      <c r="AS69" s="18">
        <v>0</v>
      </c>
      <c r="AT69" s="8">
        <v>0</v>
      </c>
      <c r="AU69" s="7">
        <v>0</v>
      </c>
      <c r="AV69" s="18">
        <v>0</v>
      </c>
      <c r="AW69" s="8">
        <v>0</v>
      </c>
      <c r="AX69" s="7">
        <v>0</v>
      </c>
      <c r="AY69" s="18">
        <v>0</v>
      </c>
      <c r="AZ69" s="8"/>
      <c r="BA69" s="7"/>
      <c r="BB69" s="18"/>
      <c r="BC69" s="8"/>
      <c r="BD69" s="7"/>
      <c r="BE69" s="18"/>
      <c r="BF69" s="8"/>
      <c r="BG69" s="7"/>
      <c r="BH69" s="18"/>
    </row>
    <row r="70" spans="3:60" ht="20.25" hidden="1" x14ac:dyDescent="0.3">
      <c r="C70" s="8" t="s">
        <v>3</v>
      </c>
      <c r="D70" s="8"/>
      <c r="E70" s="7"/>
      <c r="F70" s="18">
        <f t="shared" si="6"/>
        <v>0</v>
      </c>
      <c r="G70" s="8">
        <v>0</v>
      </c>
      <c r="H70" s="7">
        <v>0</v>
      </c>
      <c r="I70" s="18">
        <v>0</v>
      </c>
      <c r="J70" s="8">
        <v>0</v>
      </c>
      <c r="K70" s="7">
        <v>0</v>
      </c>
      <c r="L70" s="18">
        <v>0</v>
      </c>
      <c r="M70" s="8">
        <v>0</v>
      </c>
      <c r="N70" s="7">
        <v>0</v>
      </c>
      <c r="O70" s="18">
        <v>0</v>
      </c>
      <c r="P70" s="8">
        <v>0</v>
      </c>
      <c r="Q70" s="7">
        <v>0</v>
      </c>
      <c r="R70" s="18">
        <v>0</v>
      </c>
      <c r="S70" s="8">
        <v>0</v>
      </c>
      <c r="T70" s="7">
        <v>0</v>
      </c>
      <c r="U70" s="18">
        <v>0</v>
      </c>
      <c r="V70" s="8">
        <v>0</v>
      </c>
      <c r="W70" s="7">
        <v>0</v>
      </c>
      <c r="X70" s="18">
        <v>0</v>
      </c>
      <c r="Y70" s="8">
        <v>0</v>
      </c>
      <c r="Z70" s="7">
        <v>0</v>
      </c>
      <c r="AA70" s="18">
        <v>0</v>
      </c>
      <c r="AB70" s="8">
        <v>0</v>
      </c>
      <c r="AC70" s="7">
        <v>0</v>
      </c>
      <c r="AD70" s="18">
        <v>0</v>
      </c>
      <c r="AE70" s="8">
        <v>0</v>
      </c>
      <c r="AF70" s="7">
        <v>0</v>
      </c>
      <c r="AG70" s="18">
        <v>0</v>
      </c>
      <c r="AH70" s="8">
        <v>0</v>
      </c>
      <c r="AI70" s="7">
        <v>0</v>
      </c>
      <c r="AJ70" s="18">
        <v>0</v>
      </c>
      <c r="AK70" s="8">
        <v>0</v>
      </c>
      <c r="AL70" s="7">
        <v>0</v>
      </c>
      <c r="AM70" s="18">
        <v>0</v>
      </c>
      <c r="AN70" s="8">
        <v>0</v>
      </c>
      <c r="AO70" s="7">
        <v>0</v>
      </c>
      <c r="AP70" s="18">
        <v>0</v>
      </c>
      <c r="AQ70" s="8">
        <v>0</v>
      </c>
      <c r="AR70" s="7">
        <v>0</v>
      </c>
      <c r="AS70" s="18">
        <v>0</v>
      </c>
      <c r="AT70" s="8">
        <v>0</v>
      </c>
      <c r="AU70" s="7">
        <v>0</v>
      </c>
      <c r="AV70" s="18">
        <v>0</v>
      </c>
      <c r="AW70" s="8">
        <v>0</v>
      </c>
      <c r="AX70" s="7">
        <v>0</v>
      </c>
      <c r="AY70" s="18">
        <v>0</v>
      </c>
      <c r="AZ70" s="8"/>
      <c r="BA70" s="7"/>
      <c r="BB70" s="18"/>
      <c r="BC70" s="8"/>
      <c r="BD70" s="7"/>
      <c r="BE70" s="18"/>
      <c r="BF70" s="8"/>
      <c r="BG70" s="7"/>
      <c r="BH70" s="18"/>
    </row>
    <row r="71" spans="3:60" ht="20.25" hidden="1" x14ac:dyDescent="0.3">
      <c r="C71" s="8" t="s">
        <v>3</v>
      </c>
      <c r="D71" s="8"/>
      <c r="E71" s="7"/>
      <c r="F71" s="18">
        <f t="shared" si="6"/>
        <v>0</v>
      </c>
      <c r="G71" s="8">
        <v>0</v>
      </c>
      <c r="H71" s="7">
        <v>0</v>
      </c>
      <c r="I71" s="18">
        <v>0</v>
      </c>
      <c r="J71" s="8">
        <v>0</v>
      </c>
      <c r="K71" s="7">
        <v>0</v>
      </c>
      <c r="L71" s="18">
        <v>0</v>
      </c>
      <c r="M71" s="8">
        <v>0</v>
      </c>
      <c r="N71" s="7">
        <v>0</v>
      </c>
      <c r="O71" s="18">
        <v>0</v>
      </c>
      <c r="P71" s="8">
        <v>0</v>
      </c>
      <c r="Q71" s="7">
        <v>0</v>
      </c>
      <c r="R71" s="18">
        <v>0</v>
      </c>
      <c r="S71" s="8">
        <v>0</v>
      </c>
      <c r="T71" s="7">
        <v>0</v>
      </c>
      <c r="U71" s="18">
        <v>0</v>
      </c>
      <c r="V71" s="8">
        <v>0</v>
      </c>
      <c r="W71" s="7">
        <v>0</v>
      </c>
      <c r="X71" s="18">
        <v>0</v>
      </c>
      <c r="Y71" s="8">
        <v>0</v>
      </c>
      <c r="Z71" s="7">
        <v>0</v>
      </c>
      <c r="AA71" s="18">
        <v>0</v>
      </c>
      <c r="AB71" s="8">
        <v>0</v>
      </c>
      <c r="AC71" s="7">
        <v>0</v>
      </c>
      <c r="AD71" s="18">
        <v>0</v>
      </c>
      <c r="AE71" s="8">
        <v>0</v>
      </c>
      <c r="AF71" s="7">
        <v>0</v>
      </c>
      <c r="AG71" s="18">
        <v>0</v>
      </c>
      <c r="AH71" s="8">
        <v>0</v>
      </c>
      <c r="AI71" s="7">
        <v>0</v>
      </c>
      <c r="AJ71" s="18">
        <v>0</v>
      </c>
      <c r="AK71" s="8">
        <v>0</v>
      </c>
      <c r="AL71" s="7">
        <v>0</v>
      </c>
      <c r="AM71" s="18">
        <v>0</v>
      </c>
      <c r="AN71" s="8">
        <v>0</v>
      </c>
      <c r="AO71" s="7">
        <v>0</v>
      </c>
      <c r="AP71" s="18">
        <v>0</v>
      </c>
      <c r="AQ71" s="8">
        <v>0</v>
      </c>
      <c r="AR71" s="7">
        <v>0</v>
      </c>
      <c r="AS71" s="18">
        <v>0</v>
      </c>
      <c r="AT71" s="8">
        <v>0</v>
      </c>
      <c r="AU71" s="7">
        <v>0</v>
      </c>
      <c r="AV71" s="18">
        <v>0</v>
      </c>
      <c r="AW71" s="8">
        <v>0</v>
      </c>
      <c r="AX71" s="7">
        <v>0</v>
      </c>
      <c r="AY71" s="18">
        <v>0</v>
      </c>
      <c r="AZ71" s="8"/>
      <c r="BA71" s="7"/>
      <c r="BB71" s="18"/>
      <c r="BC71" s="8"/>
      <c r="BD71" s="7"/>
      <c r="BE71" s="18"/>
      <c r="BF71" s="8"/>
      <c r="BG71" s="7"/>
      <c r="BH71" s="18"/>
    </row>
    <row r="72" spans="3:60" ht="20.25" x14ac:dyDescent="0.3">
      <c r="C72" s="11" t="s">
        <v>2</v>
      </c>
      <c r="D72" s="64"/>
      <c r="E72" s="14"/>
      <c r="F72" s="12">
        <f>SUM(F55:F68)</f>
        <v>959455.36839999969</v>
      </c>
      <c r="G72" s="64" t="s">
        <v>18</v>
      </c>
      <c r="H72" s="14">
        <v>0.43379786860870301</v>
      </c>
      <c r="I72" s="12">
        <v>87246.36</v>
      </c>
      <c r="J72" s="64" t="s">
        <v>18</v>
      </c>
      <c r="K72" s="14">
        <v>0.42953303127982601</v>
      </c>
      <c r="L72" s="12">
        <v>73863.75</v>
      </c>
      <c r="M72" s="64" t="s">
        <v>18</v>
      </c>
      <c r="N72" s="14">
        <v>0.31498522301217602</v>
      </c>
      <c r="O72" s="12">
        <v>38359.0799999999</v>
      </c>
      <c r="P72" s="64" t="s">
        <v>18</v>
      </c>
      <c r="Q72" s="14">
        <v>0.226722599973465</v>
      </c>
      <c r="R72" s="12">
        <v>77379.19</v>
      </c>
      <c r="S72" s="64" t="s">
        <v>18</v>
      </c>
      <c r="T72" s="14">
        <v>0.18758857079765301</v>
      </c>
      <c r="U72" s="12">
        <v>186415.39</v>
      </c>
      <c r="V72" s="64" t="s">
        <v>18</v>
      </c>
      <c r="W72" s="14">
        <v>0.29459566646957303</v>
      </c>
      <c r="X72" s="12">
        <v>101988.46</v>
      </c>
      <c r="Y72" s="64" t="s">
        <v>18</v>
      </c>
      <c r="Z72" s="14">
        <v>0.16191081803315499</v>
      </c>
      <c r="AA72" s="12">
        <v>44461.64</v>
      </c>
      <c r="AB72" s="64" t="s">
        <v>18</v>
      </c>
      <c r="AC72" s="14">
        <v>0.14248021744425801</v>
      </c>
      <c r="AD72" s="12">
        <v>36042.910000000003</v>
      </c>
      <c r="AE72" s="64" t="s">
        <v>18</v>
      </c>
      <c r="AF72" s="14">
        <v>0.28577904414216798</v>
      </c>
      <c r="AG72" s="12">
        <v>64102</v>
      </c>
      <c r="AH72" s="64" t="s">
        <v>18</v>
      </c>
      <c r="AI72" s="14">
        <v>0.44943139241434599</v>
      </c>
      <c r="AJ72" s="12">
        <v>30395.89</v>
      </c>
      <c r="AK72" s="64" t="s">
        <v>18</v>
      </c>
      <c r="AL72" s="14">
        <v>1.1551311209097199</v>
      </c>
      <c r="AM72" s="12">
        <v>27575.128400000001</v>
      </c>
      <c r="AN72" s="64" t="s">
        <v>18</v>
      </c>
      <c r="AO72" s="14">
        <v>0.41982057192488198</v>
      </c>
      <c r="AP72" s="12">
        <v>44836.56</v>
      </c>
      <c r="AQ72" s="64" t="s">
        <v>18</v>
      </c>
      <c r="AR72" s="14">
        <v>0.247650098604667</v>
      </c>
      <c r="AS72" s="12">
        <v>60098.77</v>
      </c>
      <c r="AT72" s="64" t="s">
        <v>18</v>
      </c>
      <c r="AU72" s="14">
        <v>0.1972105230498</v>
      </c>
      <c r="AV72" s="12">
        <v>64451.01</v>
      </c>
      <c r="AW72" s="64" t="s">
        <v>18</v>
      </c>
      <c r="AX72" s="14">
        <v>0.19560313950390501</v>
      </c>
      <c r="AY72" s="12">
        <v>22239.229999999901</v>
      </c>
      <c r="AZ72" s="64"/>
      <c r="BA72" s="14"/>
      <c r="BB72" s="12"/>
      <c r="BC72" s="64"/>
      <c r="BD72" s="14"/>
      <c r="BE72" s="12"/>
      <c r="BF72" s="64"/>
      <c r="BG72" s="14"/>
      <c r="BH72" s="12"/>
    </row>
    <row r="73" spans="3:60" ht="20.25" x14ac:dyDescent="0.3">
      <c r="C73" s="67"/>
      <c r="D73" s="67"/>
      <c r="E73" s="66"/>
      <c r="F73" s="65"/>
      <c r="G73" s="67">
        <v>0</v>
      </c>
      <c r="H73" s="66">
        <v>0</v>
      </c>
      <c r="I73" s="65">
        <v>0</v>
      </c>
      <c r="J73" s="67">
        <v>0</v>
      </c>
      <c r="K73" s="66">
        <v>0</v>
      </c>
      <c r="L73" s="65">
        <v>0</v>
      </c>
      <c r="M73" s="67">
        <v>0</v>
      </c>
      <c r="N73" s="66">
        <v>0</v>
      </c>
      <c r="O73" s="65">
        <v>0</v>
      </c>
      <c r="P73" s="67">
        <v>0</v>
      </c>
      <c r="Q73" s="66">
        <v>0</v>
      </c>
      <c r="R73" s="65">
        <v>0</v>
      </c>
      <c r="S73" s="67">
        <v>0</v>
      </c>
      <c r="T73" s="66">
        <v>0</v>
      </c>
      <c r="U73" s="65">
        <v>0</v>
      </c>
      <c r="V73" s="67">
        <v>0</v>
      </c>
      <c r="W73" s="66">
        <v>0</v>
      </c>
      <c r="X73" s="65">
        <v>0</v>
      </c>
      <c r="Y73" s="67">
        <v>0</v>
      </c>
      <c r="Z73" s="66">
        <v>0</v>
      </c>
      <c r="AA73" s="65">
        <v>0</v>
      </c>
      <c r="AB73" s="67">
        <v>0</v>
      </c>
      <c r="AC73" s="66">
        <v>0</v>
      </c>
      <c r="AD73" s="65">
        <v>0</v>
      </c>
      <c r="AE73" s="67">
        <v>0</v>
      </c>
      <c r="AF73" s="66">
        <v>0</v>
      </c>
      <c r="AG73" s="65">
        <v>0</v>
      </c>
      <c r="AH73" s="67">
        <v>0</v>
      </c>
      <c r="AI73" s="66">
        <v>0</v>
      </c>
      <c r="AJ73" s="65">
        <v>0</v>
      </c>
      <c r="AK73" s="67">
        <v>0</v>
      </c>
      <c r="AL73" s="66">
        <v>0</v>
      </c>
      <c r="AM73" s="65">
        <v>0</v>
      </c>
      <c r="AN73" s="67">
        <v>0</v>
      </c>
      <c r="AO73" s="66">
        <v>0</v>
      </c>
      <c r="AP73" s="65">
        <v>0</v>
      </c>
      <c r="AQ73" s="67">
        <v>0</v>
      </c>
      <c r="AR73" s="66">
        <v>0</v>
      </c>
      <c r="AS73" s="65">
        <v>0</v>
      </c>
      <c r="AT73" s="67">
        <v>0</v>
      </c>
      <c r="AU73" s="66">
        <v>0</v>
      </c>
      <c r="AV73" s="65">
        <v>0</v>
      </c>
      <c r="AW73" s="67">
        <v>0</v>
      </c>
      <c r="AX73" s="66">
        <v>0</v>
      </c>
      <c r="AY73" s="65">
        <v>0</v>
      </c>
      <c r="AZ73" s="67"/>
      <c r="BA73" s="66"/>
      <c r="BB73" s="65"/>
      <c r="BC73" s="67"/>
      <c r="BD73" s="66"/>
      <c r="BE73" s="65"/>
      <c r="BF73" s="67"/>
      <c r="BG73" s="66"/>
      <c r="BH73" s="65"/>
    </row>
    <row r="74" spans="3:60" ht="20.25" x14ac:dyDescent="0.3">
      <c r="C74" s="11" t="s">
        <v>1</v>
      </c>
      <c r="D74" s="64"/>
      <c r="E74" s="14"/>
      <c r="F74" s="12">
        <f>F41+F54+F72</f>
        <v>6035659.6683999998</v>
      </c>
      <c r="G74" s="64" t="s">
        <v>18</v>
      </c>
      <c r="H74" s="14">
        <v>2.2278722656853001</v>
      </c>
      <c r="I74" s="12">
        <v>448074.46</v>
      </c>
      <c r="J74" s="64" t="s">
        <v>18</v>
      </c>
      <c r="K74" s="14">
        <v>1.9682568758576999</v>
      </c>
      <c r="L74" s="12">
        <v>338467.18</v>
      </c>
      <c r="M74" s="64" t="s">
        <v>18</v>
      </c>
      <c r="N74" s="14">
        <v>1.90139453280601</v>
      </c>
      <c r="O74" s="12">
        <v>231552.90999999901</v>
      </c>
      <c r="P74" s="64" t="s">
        <v>18</v>
      </c>
      <c r="Q74" s="14">
        <v>1.70647961690335</v>
      </c>
      <c r="R74" s="12">
        <v>582412.21</v>
      </c>
      <c r="S74" s="64" t="s">
        <v>18</v>
      </c>
      <c r="T74" s="14">
        <v>1.3820567769033101</v>
      </c>
      <c r="U74" s="12">
        <v>1373413.38</v>
      </c>
      <c r="V74" s="64" t="s">
        <v>18</v>
      </c>
      <c r="W74" s="14">
        <v>1.93377540200249</v>
      </c>
      <c r="X74" s="12">
        <v>669469.37</v>
      </c>
      <c r="Y74" s="64" t="s">
        <v>18</v>
      </c>
      <c r="Z74" s="14">
        <v>1.20507335352859</v>
      </c>
      <c r="AA74" s="12">
        <v>330920.06</v>
      </c>
      <c r="AB74" s="64" t="s">
        <v>18</v>
      </c>
      <c r="AC74" s="14">
        <v>1.16961208741886</v>
      </c>
      <c r="AD74" s="12">
        <v>295874.21999999997</v>
      </c>
      <c r="AE74" s="64" t="s">
        <v>18</v>
      </c>
      <c r="AF74" s="14">
        <v>1.7127124819041999</v>
      </c>
      <c r="AG74" s="12">
        <v>384171.95999999897</v>
      </c>
      <c r="AH74" s="64" t="s">
        <v>18</v>
      </c>
      <c r="AI74" s="14">
        <v>3.09146958505367</v>
      </c>
      <c r="AJ74" s="12">
        <v>209081.9</v>
      </c>
      <c r="AK74" s="64" t="s">
        <v>18</v>
      </c>
      <c r="AL74" s="14">
        <v>5.9493030036201597</v>
      </c>
      <c r="AM74" s="12">
        <v>142020.9284</v>
      </c>
      <c r="AN74" s="64" t="s">
        <v>18</v>
      </c>
      <c r="AO74" s="14">
        <v>1.9729166865637899</v>
      </c>
      <c r="AP74" s="12">
        <v>210706.2</v>
      </c>
      <c r="AQ74" s="64" t="s">
        <v>18</v>
      </c>
      <c r="AR74" s="14">
        <v>1.3082882808338701</v>
      </c>
      <c r="AS74" s="12">
        <v>317490.34999999998</v>
      </c>
      <c r="AT74" s="64" t="s">
        <v>18</v>
      </c>
      <c r="AU74" s="14">
        <v>1.06188794554345</v>
      </c>
      <c r="AV74" s="12">
        <v>347039.04</v>
      </c>
      <c r="AW74" s="64" t="s">
        <v>18</v>
      </c>
      <c r="AX74" s="14">
        <v>1.36298506354727</v>
      </c>
      <c r="AY74" s="12">
        <v>154965.5</v>
      </c>
      <c r="AZ74" s="64"/>
      <c r="BA74" s="14"/>
      <c r="BB74" s="12"/>
      <c r="BC74" s="64"/>
      <c r="BD74" s="14"/>
      <c r="BE74" s="12"/>
      <c r="BF74" s="64"/>
      <c r="BG74" s="14"/>
      <c r="BH74" s="12"/>
    </row>
    <row r="75" spans="3:60" ht="20.25" x14ac:dyDescent="0.3">
      <c r="C75" s="8" t="s">
        <v>99</v>
      </c>
      <c r="D75" s="8"/>
      <c r="E75" s="7"/>
      <c r="F75" s="18">
        <f t="shared" ref="F75:F82" si="7">+SUM(I75,L75,O75,R75,U75,X75,AA75,AD75,AG75,AJ75,AM75,AP75,AS75,AV75,AY75,BB75,BE75,BH75)</f>
        <v>2044265.98</v>
      </c>
      <c r="G75" s="8">
        <v>0</v>
      </c>
      <c r="H75" s="7">
        <v>0</v>
      </c>
      <c r="I75" s="18">
        <v>41739.440000000002</v>
      </c>
      <c r="J75" s="8">
        <v>0</v>
      </c>
      <c r="K75" s="7">
        <v>0</v>
      </c>
      <c r="L75" s="18">
        <v>57442.55</v>
      </c>
      <c r="M75" s="8">
        <v>0</v>
      </c>
      <c r="N75" s="7">
        <v>0</v>
      </c>
      <c r="O75" s="18">
        <v>48580.47</v>
      </c>
      <c r="P75" s="8">
        <v>0</v>
      </c>
      <c r="Q75" s="7">
        <v>0</v>
      </c>
      <c r="R75" s="18">
        <v>435450</v>
      </c>
      <c r="S75" s="8">
        <v>0</v>
      </c>
      <c r="T75" s="7">
        <v>0</v>
      </c>
      <c r="U75" s="18">
        <v>924194.2</v>
      </c>
      <c r="V75" s="8">
        <v>0</v>
      </c>
      <c r="W75" s="97">
        <v>1475.4098360655701</v>
      </c>
      <c r="X75" s="18">
        <v>180000</v>
      </c>
      <c r="Y75" s="8">
        <v>0</v>
      </c>
      <c r="Z75" s="97">
        <v>0</v>
      </c>
      <c r="AA75" s="18">
        <v>69225.78</v>
      </c>
      <c r="AB75" s="8">
        <v>0</v>
      </c>
      <c r="AC75" s="97">
        <v>0</v>
      </c>
      <c r="AD75" s="18">
        <v>52497</v>
      </c>
      <c r="AE75" s="8">
        <v>0</v>
      </c>
      <c r="AF75" s="97">
        <v>0</v>
      </c>
      <c r="AG75" s="18">
        <v>167995</v>
      </c>
      <c r="AH75" s="8">
        <v>0</v>
      </c>
      <c r="AI75" s="97">
        <v>0</v>
      </c>
      <c r="AJ75" s="18">
        <v>10032.780000000001</v>
      </c>
      <c r="AK75" s="8">
        <v>0</v>
      </c>
      <c r="AL75" s="97">
        <v>0</v>
      </c>
      <c r="AM75" s="18">
        <v>14228.76</v>
      </c>
      <c r="AN75" s="8">
        <v>0</v>
      </c>
      <c r="AO75" s="97">
        <v>0</v>
      </c>
      <c r="AP75" s="18">
        <v>8914</v>
      </c>
      <c r="AQ75" s="8">
        <v>0</v>
      </c>
      <c r="AR75" s="97">
        <v>0</v>
      </c>
      <c r="AS75" s="18">
        <v>23641</v>
      </c>
      <c r="AT75" s="8">
        <v>0</v>
      </c>
      <c r="AU75" s="97">
        <v>0</v>
      </c>
      <c r="AV75" s="18">
        <v>0</v>
      </c>
      <c r="AW75" s="8">
        <v>0</v>
      </c>
      <c r="AX75" s="97">
        <v>0</v>
      </c>
      <c r="AY75" s="18">
        <v>10325</v>
      </c>
      <c r="AZ75" s="8"/>
      <c r="BA75" s="97"/>
      <c r="BB75" s="18"/>
      <c r="BC75" s="8"/>
      <c r="BD75" s="97"/>
      <c r="BE75" s="18"/>
      <c r="BF75" s="8"/>
      <c r="BG75" s="97"/>
      <c r="BH75" s="18"/>
    </row>
    <row r="76" spans="3:60" ht="20.25" x14ac:dyDescent="0.3">
      <c r="C76" s="8" t="s">
        <v>98</v>
      </c>
      <c r="D76" s="8"/>
      <c r="E76" s="7"/>
      <c r="F76" s="18">
        <f t="shared" si="7"/>
        <v>84979.93</v>
      </c>
      <c r="G76" s="8">
        <v>0</v>
      </c>
      <c r="H76" s="7">
        <v>0</v>
      </c>
      <c r="I76" s="18">
        <v>0</v>
      </c>
      <c r="J76" s="8">
        <v>0</v>
      </c>
      <c r="K76" s="7">
        <v>0</v>
      </c>
      <c r="L76" s="18">
        <v>0</v>
      </c>
      <c r="M76" s="8">
        <v>0</v>
      </c>
      <c r="N76" s="7">
        <v>0</v>
      </c>
      <c r="O76" s="18">
        <v>0</v>
      </c>
      <c r="P76" s="8">
        <v>0</v>
      </c>
      <c r="Q76" s="7">
        <v>0</v>
      </c>
      <c r="R76" s="18">
        <v>28238.93</v>
      </c>
      <c r="S76" s="8">
        <v>0</v>
      </c>
      <c r="T76" s="7">
        <v>0</v>
      </c>
      <c r="U76" s="18">
        <v>0</v>
      </c>
      <c r="V76" s="8">
        <v>0</v>
      </c>
      <c r="W76" s="7">
        <v>0</v>
      </c>
      <c r="X76" s="18">
        <v>14050</v>
      </c>
      <c r="Y76" s="8">
        <v>0</v>
      </c>
      <c r="Z76" s="7">
        <v>0</v>
      </c>
      <c r="AA76" s="18">
        <v>0</v>
      </c>
      <c r="AB76" s="8">
        <v>0</v>
      </c>
      <c r="AC76" s="7">
        <v>0</v>
      </c>
      <c r="AD76" s="18">
        <v>37080</v>
      </c>
      <c r="AE76" s="8">
        <v>0</v>
      </c>
      <c r="AF76" s="7">
        <v>0</v>
      </c>
      <c r="AG76" s="18">
        <v>0</v>
      </c>
      <c r="AH76" s="8">
        <v>0</v>
      </c>
      <c r="AI76" s="7">
        <v>0</v>
      </c>
      <c r="AJ76" s="18">
        <v>0</v>
      </c>
      <c r="AK76" s="8">
        <v>0</v>
      </c>
      <c r="AL76" s="7">
        <v>0</v>
      </c>
      <c r="AM76" s="18">
        <v>0</v>
      </c>
      <c r="AN76" s="8">
        <v>0</v>
      </c>
      <c r="AO76" s="7">
        <v>0</v>
      </c>
      <c r="AP76" s="18">
        <v>0</v>
      </c>
      <c r="AQ76" s="8">
        <v>0</v>
      </c>
      <c r="AR76" s="7">
        <v>0</v>
      </c>
      <c r="AS76" s="18">
        <v>5611</v>
      </c>
      <c r="AT76" s="8">
        <v>0</v>
      </c>
      <c r="AU76" s="7">
        <v>0</v>
      </c>
      <c r="AV76" s="18">
        <v>0</v>
      </c>
      <c r="AW76" s="8">
        <v>0</v>
      </c>
      <c r="AX76" s="7">
        <v>0</v>
      </c>
      <c r="AY76" s="18">
        <v>0</v>
      </c>
      <c r="AZ76" s="8"/>
      <c r="BA76" s="7"/>
      <c r="BB76" s="18"/>
      <c r="BC76" s="8"/>
      <c r="BD76" s="7"/>
      <c r="BE76" s="18"/>
      <c r="BF76" s="8"/>
      <c r="BG76" s="7"/>
      <c r="BH76" s="18"/>
    </row>
    <row r="77" spans="3:60" ht="20.25" x14ac:dyDescent="0.3">
      <c r="C77" s="8" t="s">
        <v>97</v>
      </c>
      <c r="D77" s="8"/>
      <c r="E77" s="7"/>
      <c r="F77" s="18">
        <f t="shared" si="7"/>
        <v>0</v>
      </c>
      <c r="G77" s="8">
        <v>0</v>
      </c>
      <c r="H77" s="7">
        <v>0</v>
      </c>
      <c r="I77" s="18">
        <v>0</v>
      </c>
      <c r="J77" s="8">
        <v>0</v>
      </c>
      <c r="K77" s="7">
        <v>0</v>
      </c>
      <c r="L77" s="18">
        <v>0</v>
      </c>
      <c r="M77" s="8">
        <v>0</v>
      </c>
      <c r="N77" s="7">
        <v>0</v>
      </c>
      <c r="O77" s="18">
        <v>0</v>
      </c>
      <c r="P77" s="8">
        <v>0</v>
      </c>
      <c r="Q77" s="7">
        <v>0</v>
      </c>
      <c r="R77" s="18">
        <v>0</v>
      </c>
      <c r="S77" s="8">
        <v>0</v>
      </c>
      <c r="T77" s="7">
        <v>0</v>
      </c>
      <c r="U77" s="18">
        <v>0</v>
      </c>
      <c r="V77" s="8">
        <v>0</v>
      </c>
      <c r="W77" s="7">
        <v>0</v>
      </c>
      <c r="X77" s="18">
        <v>0</v>
      </c>
      <c r="Y77" s="8">
        <v>0</v>
      </c>
      <c r="Z77" s="7">
        <v>0</v>
      </c>
      <c r="AA77" s="18">
        <v>0</v>
      </c>
      <c r="AB77" s="8">
        <v>0</v>
      </c>
      <c r="AC77" s="7">
        <v>0</v>
      </c>
      <c r="AD77" s="18">
        <v>0</v>
      </c>
      <c r="AE77" s="8">
        <v>0</v>
      </c>
      <c r="AF77" s="7">
        <v>0</v>
      </c>
      <c r="AG77" s="18">
        <v>0</v>
      </c>
      <c r="AH77" s="8">
        <v>0</v>
      </c>
      <c r="AI77" s="7">
        <v>0</v>
      </c>
      <c r="AJ77" s="18">
        <v>0</v>
      </c>
      <c r="AK77" s="8">
        <v>0</v>
      </c>
      <c r="AL77" s="7">
        <v>0</v>
      </c>
      <c r="AM77" s="18">
        <v>0</v>
      </c>
      <c r="AN77" s="8">
        <v>0</v>
      </c>
      <c r="AO77" s="7">
        <v>0</v>
      </c>
      <c r="AP77" s="18">
        <v>0</v>
      </c>
      <c r="AQ77" s="8">
        <v>0</v>
      </c>
      <c r="AR77" s="7">
        <v>0</v>
      </c>
      <c r="AS77" s="18">
        <v>0</v>
      </c>
      <c r="AT77" s="8">
        <v>0</v>
      </c>
      <c r="AU77" s="7">
        <v>0</v>
      </c>
      <c r="AV77" s="18">
        <v>0</v>
      </c>
      <c r="AW77" s="8">
        <v>0</v>
      </c>
      <c r="AX77" s="7">
        <v>0</v>
      </c>
      <c r="AY77" s="18">
        <v>0</v>
      </c>
      <c r="AZ77" s="8"/>
      <c r="BA77" s="7"/>
      <c r="BB77" s="18"/>
      <c r="BC77" s="8"/>
      <c r="BD77" s="7"/>
      <c r="BE77" s="18"/>
      <c r="BF77" s="8"/>
      <c r="BG77" s="7"/>
      <c r="BH77" s="18"/>
    </row>
    <row r="78" spans="3:60" ht="20.25" x14ac:dyDescent="0.3">
      <c r="C78" s="8" t="s">
        <v>96</v>
      </c>
      <c r="D78" s="8"/>
      <c r="E78" s="7"/>
      <c r="F78" s="18">
        <f t="shared" si="7"/>
        <v>2004129.9399999997</v>
      </c>
      <c r="G78" s="8">
        <v>0</v>
      </c>
      <c r="H78" s="7">
        <v>0</v>
      </c>
      <c r="I78" s="18">
        <v>86792.6</v>
      </c>
      <c r="J78" s="8">
        <v>0</v>
      </c>
      <c r="K78" s="7">
        <v>0</v>
      </c>
      <c r="L78" s="18">
        <v>73411.199999999997</v>
      </c>
      <c r="M78" s="8">
        <v>0</v>
      </c>
      <c r="N78" s="7">
        <v>0</v>
      </c>
      <c r="O78" s="18">
        <v>40270.6</v>
      </c>
      <c r="P78" s="8">
        <v>0</v>
      </c>
      <c r="Q78" s="7">
        <v>0</v>
      </c>
      <c r="R78" s="18">
        <v>312529.84999999998</v>
      </c>
      <c r="S78" s="8">
        <v>0</v>
      </c>
      <c r="T78" s="7">
        <v>0</v>
      </c>
      <c r="U78" s="18">
        <v>789174.7</v>
      </c>
      <c r="V78" s="8">
        <v>0</v>
      </c>
      <c r="W78" s="97">
        <v>2149.99180327868</v>
      </c>
      <c r="X78" s="18">
        <v>262299</v>
      </c>
      <c r="Y78" s="8">
        <v>0</v>
      </c>
      <c r="Z78" s="97">
        <v>0</v>
      </c>
      <c r="AA78" s="18">
        <v>0</v>
      </c>
      <c r="AB78" s="8">
        <v>0</v>
      </c>
      <c r="AC78" s="97">
        <v>0</v>
      </c>
      <c r="AD78" s="18">
        <v>71021.769999999902</v>
      </c>
      <c r="AE78" s="8">
        <v>0</v>
      </c>
      <c r="AF78" s="97">
        <v>0</v>
      </c>
      <c r="AG78" s="18">
        <v>0</v>
      </c>
      <c r="AH78" s="8">
        <v>0</v>
      </c>
      <c r="AI78" s="97">
        <v>0</v>
      </c>
      <c r="AJ78" s="18">
        <v>13740.95</v>
      </c>
      <c r="AK78" s="8">
        <v>0</v>
      </c>
      <c r="AL78" s="97">
        <v>0</v>
      </c>
      <c r="AM78" s="18">
        <v>82583.47</v>
      </c>
      <c r="AN78" s="8">
        <v>0</v>
      </c>
      <c r="AO78" s="148">
        <v>0</v>
      </c>
      <c r="AP78" s="18">
        <v>82296.800000000003</v>
      </c>
      <c r="AQ78" s="8">
        <v>0</v>
      </c>
      <c r="AR78" s="97">
        <v>0</v>
      </c>
      <c r="AS78" s="18">
        <v>59809</v>
      </c>
      <c r="AT78" s="8">
        <v>0</v>
      </c>
      <c r="AU78" s="97">
        <v>0</v>
      </c>
      <c r="AV78" s="18">
        <v>130200</v>
      </c>
      <c r="AW78" s="8">
        <v>0</v>
      </c>
      <c r="AX78" s="97">
        <v>0</v>
      </c>
      <c r="AY78" s="18">
        <v>0</v>
      </c>
      <c r="AZ78" s="8"/>
      <c r="BA78" s="97"/>
      <c r="BB78" s="18"/>
      <c r="BC78" s="8"/>
      <c r="BD78" s="97"/>
      <c r="BE78" s="18"/>
      <c r="BF78" s="8"/>
      <c r="BG78" s="97"/>
      <c r="BH78" s="18"/>
    </row>
    <row r="79" spans="3:60" ht="20.25" hidden="1" x14ac:dyDescent="0.3">
      <c r="C79" s="8" t="s">
        <v>3</v>
      </c>
      <c r="D79" s="8"/>
      <c r="E79" s="7"/>
      <c r="F79" s="18">
        <f t="shared" si="7"/>
        <v>0</v>
      </c>
      <c r="G79" s="8">
        <v>0</v>
      </c>
      <c r="H79" s="7">
        <v>0</v>
      </c>
      <c r="I79" s="18">
        <v>0</v>
      </c>
      <c r="J79" s="8">
        <v>0</v>
      </c>
      <c r="K79" s="7">
        <v>0</v>
      </c>
      <c r="L79" s="18">
        <v>0</v>
      </c>
      <c r="M79" s="8">
        <v>0</v>
      </c>
      <c r="N79" s="7">
        <v>0</v>
      </c>
      <c r="O79" s="18">
        <v>0</v>
      </c>
      <c r="P79" s="8">
        <v>0</v>
      </c>
      <c r="Q79" s="7">
        <v>0</v>
      </c>
      <c r="R79" s="18">
        <v>0</v>
      </c>
      <c r="S79" s="8">
        <v>0</v>
      </c>
      <c r="T79" s="7">
        <v>0</v>
      </c>
      <c r="U79" s="18">
        <v>0</v>
      </c>
      <c r="V79" s="8">
        <v>0</v>
      </c>
      <c r="W79" s="7">
        <v>0</v>
      </c>
      <c r="X79" s="18">
        <v>0</v>
      </c>
      <c r="Y79" s="8">
        <v>0</v>
      </c>
      <c r="Z79" s="7">
        <v>0</v>
      </c>
      <c r="AA79" s="18">
        <v>0</v>
      </c>
      <c r="AB79" s="8">
        <v>0</v>
      </c>
      <c r="AC79" s="7">
        <v>0</v>
      </c>
      <c r="AD79" s="18">
        <v>0</v>
      </c>
      <c r="AE79" s="8">
        <v>0</v>
      </c>
      <c r="AF79" s="7">
        <v>0</v>
      </c>
      <c r="AG79" s="18">
        <v>0</v>
      </c>
      <c r="AH79" s="8">
        <v>0</v>
      </c>
      <c r="AI79" s="7">
        <v>0</v>
      </c>
      <c r="AJ79" s="18">
        <v>0</v>
      </c>
      <c r="AK79" s="8">
        <v>0</v>
      </c>
      <c r="AL79" s="7">
        <v>0</v>
      </c>
      <c r="AM79" s="18">
        <v>0</v>
      </c>
      <c r="AN79" s="8">
        <v>0</v>
      </c>
      <c r="AO79" s="7">
        <v>0</v>
      </c>
      <c r="AP79" s="18">
        <v>0</v>
      </c>
      <c r="AQ79" s="8">
        <v>0</v>
      </c>
      <c r="AR79" s="7">
        <v>0</v>
      </c>
      <c r="AS79" s="18">
        <v>0</v>
      </c>
      <c r="AT79" s="8">
        <v>0</v>
      </c>
      <c r="AU79" s="7">
        <v>0</v>
      </c>
      <c r="AV79" s="18">
        <v>0</v>
      </c>
      <c r="AW79" s="8">
        <v>0</v>
      </c>
      <c r="AX79" s="7">
        <v>0</v>
      </c>
      <c r="AY79" s="18">
        <v>0</v>
      </c>
      <c r="AZ79" s="8"/>
      <c r="BA79" s="7"/>
      <c r="BB79" s="18"/>
      <c r="BC79" s="8"/>
      <c r="BD79" s="7"/>
      <c r="BE79" s="18"/>
      <c r="BF79" s="8"/>
      <c r="BG79" s="7"/>
      <c r="BH79" s="18"/>
    </row>
    <row r="80" spans="3:60" ht="20.25" hidden="1" x14ac:dyDescent="0.3">
      <c r="C80" s="8" t="s">
        <v>3</v>
      </c>
      <c r="D80" s="8"/>
      <c r="E80" s="7"/>
      <c r="F80" s="18">
        <f t="shared" si="7"/>
        <v>0</v>
      </c>
      <c r="G80" s="8">
        <v>0</v>
      </c>
      <c r="H80" s="7">
        <v>0</v>
      </c>
      <c r="I80" s="18">
        <v>0</v>
      </c>
      <c r="J80" s="8">
        <v>0</v>
      </c>
      <c r="K80" s="7">
        <v>0</v>
      </c>
      <c r="L80" s="18">
        <v>0</v>
      </c>
      <c r="M80" s="8">
        <v>0</v>
      </c>
      <c r="N80" s="7">
        <v>0</v>
      </c>
      <c r="O80" s="18">
        <v>0</v>
      </c>
      <c r="P80" s="8">
        <v>0</v>
      </c>
      <c r="Q80" s="7">
        <v>0</v>
      </c>
      <c r="R80" s="18">
        <v>0</v>
      </c>
      <c r="S80" s="8">
        <v>0</v>
      </c>
      <c r="T80" s="7">
        <v>0</v>
      </c>
      <c r="U80" s="18">
        <v>0</v>
      </c>
      <c r="V80" s="8">
        <v>0</v>
      </c>
      <c r="W80" s="7">
        <v>0</v>
      </c>
      <c r="X80" s="18">
        <v>0</v>
      </c>
      <c r="Y80" s="8">
        <v>0</v>
      </c>
      <c r="Z80" s="7">
        <v>0</v>
      </c>
      <c r="AA80" s="18">
        <v>0</v>
      </c>
      <c r="AB80" s="8">
        <v>0</v>
      </c>
      <c r="AC80" s="7">
        <v>0</v>
      </c>
      <c r="AD80" s="18">
        <v>0</v>
      </c>
      <c r="AE80" s="8">
        <v>0</v>
      </c>
      <c r="AF80" s="7">
        <v>0</v>
      </c>
      <c r="AG80" s="18">
        <v>0</v>
      </c>
      <c r="AH80" s="8">
        <v>0</v>
      </c>
      <c r="AI80" s="7">
        <v>0</v>
      </c>
      <c r="AJ80" s="18">
        <v>0</v>
      </c>
      <c r="AK80" s="8">
        <v>0</v>
      </c>
      <c r="AL80" s="7">
        <v>0</v>
      </c>
      <c r="AM80" s="18">
        <v>0</v>
      </c>
      <c r="AN80" s="8">
        <v>0</v>
      </c>
      <c r="AO80" s="7">
        <v>0</v>
      </c>
      <c r="AP80" s="18">
        <v>0</v>
      </c>
      <c r="AQ80" s="8">
        <v>0</v>
      </c>
      <c r="AR80" s="7">
        <v>0</v>
      </c>
      <c r="AS80" s="18">
        <v>0</v>
      </c>
      <c r="AT80" s="8">
        <v>0</v>
      </c>
      <c r="AU80" s="7">
        <v>0</v>
      </c>
      <c r="AV80" s="18">
        <v>0</v>
      </c>
      <c r="AW80" s="8">
        <v>0</v>
      </c>
      <c r="AX80" s="7">
        <v>0</v>
      </c>
      <c r="AY80" s="18">
        <v>0</v>
      </c>
      <c r="AZ80" s="8"/>
      <c r="BA80" s="7"/>
      <c r="BB80" s="18"/>
      <c r="BC80" s="8"/>
      <c r="BD80" s="7"/>
      <c r="BE80" s="18"/>
      <c r="BF80" s="8"/>
      <c r="BG80" s="7"/>
      <c r="BH80" s="18"/>
    </row>
    <row r="81" spans="3:60" ht="20.25" hidden="1" x14ac:dyDescent="0.3">
      <c r="C81" s="8" t="s">
        <v>3</v>
      </c>
      <c r="D81" s="8"/>
      <c r="E81" s="7"/>
      <c r="F81" s="18">
        <f t="shared" si="7"/>
        <v>0</v>
      </c>
      <c r="G81" s="8">
        <v>0</v>
      </c>
      <c r="H81" s="7">
        <v>0</v>
      </c>
      <c r="I81" s="18">
        <v>0</v>
      </c>
      <c r="J81" s="8">
        <v>0</v>
      </c>
      <c r="K81" s="7">
        <v>0</v>
      </c>
      <c r="L81" s="18">
        <v>0</v>
      </c>
      <c r="M81" s="8">
        <v>0</v>
      </c>
      <c r="N81" s="7">
        <v>0</v>
      </c>
      <c r="O81" s="18">
        <v>0</v>
      </c>
      <c r="P81" s="8">
        <v>0</v>
      </c>
      <c r="Q81" s="7">
        <v>0</v>
      </c>
      <c r="R81" s="18">
        <v>0</v>
      </c>
      <c r="S81" s="8">
        <v>0</v>
      </c>
      <c r="T81" s="7">
        <v>0</v>
      </c>
      <c r="U81" s="18">
        <v>0</v>
      </c>
      <c r="V81" s="8">
        <v>0</v>
      </c>
      <c r="W81" s="7">
        <v>0</v>
      </c>
      <c r="X81" s="18">
        <v>0</v>
      </c>
      <c r="Y81" s="8">
        <v>0</v>
      </c>
      <c r="Z81" s="7">
        <v>0</v>
      </c>
      <c r="AA81" s="18">
        <v>0</v>
      </c>
      <c r="AB81" s="8">
        <v>0</v>
      </c>
      <c r="AC81" s="7">
        <v>0</v>
      </c>
      <c r="AD81" s="18">
        <v>0</v>
      </c>
      <c r="AE81" s="8">
        <v>0</v>
      </c>
      <c r="AF81" s="7">
        <v>0</v>
      </c>
      <c r="AG81" s="18">
        <v>0</v>
      </c>
      <c r="AH81" s="8">
        <v>0</v>
      </c>
      <c r="AI81" s="7">
        <v>0</v>
      </c>
      <c r="AJ81" s="18">
        <v>0</v>
      </c>
      <c r="AK81" s="8">
        <v>0</v>
      </c>
      <c r="AL81" s="7">
        <v>0</v>
      </c>
      <c r="AM81" s="18">
        <v>0</v>
      </c>
      <c r="AN81" s="8">
        <v>0</v>
      </c>
      <c r="AO81" s="7">
        <v>0</v>
      </c>
      <c r="AP81" s="18">
        <v>0</v>
      </c>
      <c r="AQ81" s="8">
        <v>0</v>
      </c>
      <c r="AR81" s="7">
        <v>0</v>
      </c>
      <c r="AS81" s="18">
        <v>0</v>
      </c>
      <c r="AT81" s="8">
        <v>0</v>
      </c>
      <c r="AU81" s="7">
        <v>0</v>
      </c>
      <c r="AV81" s="18">
        <v>0</v>
      </c>
      <c r="AW81" s="8">
        <v>0</v>
      </c>
      <c r="AX81" s="7">
        <v>0</v>
      </c>
      <c r="AY81" s="18">
        <v>0</v>
      </c>
      <c r="AZ81" s="8"/>
      <c r="BA81" s="7"/>
      <c r="BB81" s="18"/>
      <c r="BC81" s="8"/>
      <c r="BD81" s="7"/>
      <c r="BE81" s="18"/>
      <c r="BF81" s="8"/>
      <c r="BG81" s="7"/>
      <c r="BH81" s="18"/>
    </row>
    <row r="82" spans="3:60" ht="20.25" x14ac:dyDescent="0.3">
      <c r="C82" s="8" t="s">
        <v>70</v>
      </c>
      <c r="D82" s="8"/>
      <c r="E82" s="128"/>
      <c r="F82" s="18">
        <f t="shared" si="7"/>
        <v>388603</v>
      </c>
      <c r="G82" s="8">
        <v>0</v>
      </c>
      <c r="H82" s="128">
        <v>0</v>
      </c>
      <c r="I82" s="18">
        <v>20825</v>
      </c>
      <c r="J82" s="8">
        <v>0</v>
      </c>
      <c r="K82" s="128">
        <v>0</v>
      </c>
      <c r="L82" s="18">
        <v>23205</v>
      </c>
      <c r="M82" s="8">
        <v>0</v>
      </c>
      <c r="N82" s="128">
        <v>0</v>
      </c>
      <c r="O82" s="18">
        <v>13685</v>
      </c>
      <c r="P82" s="8">
        <v>0</v>
      </c>
      <c r="Q82" s="128">
        <v>0</v>
      </c>
      <c r="R82" s="18">
        <v>25449</v>
      </c>
      <c r="S82" s="8">
        <v>0</v>
      </c>
      <c r="T82" s="128">
        <v>0</v>
      </c>
      <c r="U82" s="18">
        <v>0</v>
      </c>
      <c r="V82" s="8">
        <v>0</v>
      </c>
      <c r="W82" s="128">
        <v>459.34020618556701</v>
      </c>
      <c r="X82" s="18">
        <v>44556</v>
      </c>
      <c r="Y82" s="8">
        <v>0</v>
      </c>
      <c r="Z82" s="128">
        <v>0</v>
      </c>
      <c r="AA82" s="18">
        <v>46953</v>
      </c>
      <c r="AB82" s="8">
        <v>0</v>
      </c>
      <c r="AC82" s="128">
        <v>0</v>
      </c>
      <c r="AD82" s="18">
        <v>35105</v>
      </c>
      <c r="AE82" s="8">
        <v>0</v>
      </c>
      <c r="AF82" s="128">
        <v>0</v>
      </c>
      <c r="AG82" s="18">
        <v>25864</v>
      </c>
      <c r="AH82" s="8">
        <v>0</v>
      </c>
      <c r="AI82" s="128">
        <v>0</v>
      </c>
      <c r="AJ82" s="18">
        <v>9980</v>
      </c>
      <c r="AK82" s="8">
        <v>0</v>
      </c>
      <c r="AL82" s="128">
        <v>0</v>
      </c>
      <c r="AM82" s="18">
        <v>14736</v>
      </c>
      <c r="AN82" s="132">
        <v>0</v>
      </c>
      <c r="AO82" s="128">
        <v>0</v>
      </c>
      <c r="AP82" s="18">
        <v>27545</v>
      </c>
      <c r="AQ82" s="8">
        <v>0</v>
      </c>
      <c r="AR82" s="128">
        <v>0</v>
      </c>
      <c r="AS82" s="18">
        <v>55238</v>
      </c>
      <c r="AT82" s="8">
        <v>0</v>
      </c>
      <c r="AU82" s="128">
        <v>0</v>
      </c>
      <c r="AV82" s="18">
        <v>40482</v>
      </c>
      <c r="AW82" s="8">
        <v>0</v>
      </c>
      <c r="AX82" s="128">
        <v>0</v>
      </c>
      <c r="AY82" s="18">
        <v>4980</v>
      </c>
      <c r="AZ82" s="8"/>
      <c r="BA82" s="128"/>
      <c r="BB82" s="18"/>
      <c r="BC82" s="8"/>
      <c r="BD82" s="128"/>
      <c r="BE82" s="18"/>
      <c r="BF82" s="8"/>
      <c r="BG82" s="128"/>
      <c r="BH82" s="18"/>
    </row>
    <row r="83" spans="3:60" ht="20.25" x14ac:dyDescent="0.3">
      <c r="C83" s="11" t="s">
        <v>69</v>
      </c>
      <c r="D83" s="64"/>
      <c r="E83" s="14"/>
      <c r="F83" s="12">
        <f>SUM(F75:F82)</f>
        <v>4521978.8499999996</v>
      </c>
      <c r="G83" s="64">
        <v>0</v>
      </c>
      <c r="H83" s="14">
        <v>0</v>
      </c>
      <c r="I83" s="12">
        <v>149357.04</v>
      </c>
      <c r="J83" s="64">
        <v>0</v>
      </c>
      <c r="K83" s="14">
        <v>0</v>
      </c>
      <c r="L83" s="12">
        <v>154058.75</v>
      </c>
      <c r="M83" s="64">
        <v>0</v>
      </c>
      <c r="N83" s="14">
        <v>0</v>
      </c>
      <c r="O83" s="12">
        <v>102536.07</v>
      </c>
      <c r="P83" s="64">
        <v>0</v>
      </c>
      <c r="Q83" s="14">
        <v>0</v>
      </c>
      <c r="R83" s="12">
        <v>801667.78</v>
      </c>
      <c r="S83" s="64">
        <v>0</v>
      </c>
      <c r="T83" s="14">
        <v>0</v>
      </c>
      <c r="U83" s="12">
        <v>1713368.9</v>
      </c>
      <c r="V83" s="64">
        <v>0</v>
      </c>
      <c r="W83" s="14">
        <v>0</v>
      </c>
      <c r="X83" s="12">
        <v>500905</v>
      </c>
      <c r="Y83" s="64">
        <v>0</v>
      </c>
      <c r="Z83" s="14">
        <v>0</v>
      </c>
      <c r="AA83" s="12">
        <v>116178.78</v>
      </c>
      <c r="AB83" s="64">
        <v>0</v>
      </c>
      <c r="AC83" s="14">
        <v>0</v>
      </c>
      <c r="AD83" s="12">
        <v>195703.77</v>
      </c>
      <c r="AE83" s="64">
        <v>0</v>
      </c>
      <c r="AF83" s="14">
        <v>0</v>
      </c>
      <c r="AG83" s="12">
        <v>193859</v>
      </c>
      <c r="AH83" s="64">
        <v>0</v>
      </c>
      <c r="AI83" s="14">
        <v>0</v>
      </c>
      <c r="AJ83" s="12">
        <v>33753.730000000003</v>
      </c>
      <c r="AK83" s="64">
        <v>0</v>
      </c>
      <c r="AL83" s="14">
        <v>0</v>
      </c>
      <c r="AM83" s="12">
        <v>111548.23</v>
      </c>
      <c r="AN83" s="64">
        <v>0</v>
      </c>
      <c r="AO83" s="14">
        <v>0</v>
      </c>
      <c r="AP83" s="12">
        <v>118755.8</v>
      </c>
      <c r="AQ83" s="64">
        <v>0</v>
      </c>
      <c r="AR83" s="14">
        <v>0</v>
      </c>
      <c r="AS83" s="12">
        <v>144299</v>
      </c>
      <c r="AT83" s="64">
        <v>0</v>
      </c>
      <c r="AU83" s="14">
        <v>0</v>
      </c>
      <c r="AV83" s="12">
        <v>170682</v>
      </c>
      <c r="AW83" s="64">
        <v>0</v>
      </c>
      <c r="AX83" s="14">
        <v>0</v>
      </c>
      <c r="AY83" s="12">
        <v>15305</v>
      </c>
      <c r="AZ83" s="64"/>
      <c r="BA83" s="14"/>
      <c r="BB83" s="12"/>
      <c r="BC83" s="64"/>
      <c r="BD83" s="14"/>
      <c r="BE83" s="12"/>
      <c r="BF83" s="64"/>
      <c r="BG83" s="14"/>
      <c r="BH83" s="12"/>
    </row>
    <row r="84" spans="3:60" ht="20.25" x14ac:dyDescent="0.3">
      <c r="C84" s="147"/>
      <c r="D84" s="67"/>
      <c r="E84" s="66"/>
      <c r="F84" s="74"/>
      <c r="G84" s="67"/>
      <c r="H84" s="66"/>
      <c r="I84" s="74"/>
      <c r="J84" s="67"/>
      <c r="K84" s="66"/>
      <c r="L84" s="74"/>
      <c r="M84" s="67"/>
      <c r="N84" s="66"/>
      <c r="O84" s="74"/>
      <c r="P84" s="67"/>
      <c r="Q84" s="66"/>
      <c r="R84" s="74"/>
      <c r="S84" s="67"/>
      <c r="T84" s="66"/>
      <c r="U84" s="74"/>
      <c r="V84" s="67"/>
      <c r="W84" s="66"/>
      <c r="X84" s="74"/>
      <c r="Y84" s="67"/>
      <c r="Z84" s="66"/>
      <c r="AA84" s="74"/>
      <c r="AB84" s="67"/>
      <c r="AC84" s="66"/>
      <c r="AD84" s="74"/>
      <c r="AE84" s="67"/>
      <c r="AF84" s="66"/>
      <c r="AG84" s="74"/>
      <c r="AH84" s="67"/>
      <c r="AI84" s="66"/>
      <c r="AJ84" s="74"/>
      <c r="AK84" s="67"/>
      <c r="AL84" s="66"/>
      <c r="AM84" s="74"/>
      <c r="AN84" s="67"/>
      <c r="AO84" s="66"/>
      <c r="AP84" s="74"/>
      <c r="AQ84" s="67"/>
      <c r="AR84" s="66"/>
      <c r="AS84" s="74"/>
      <c r="AT84" s="67"/>
      <c r="AU84" s="66"/>
      <c r="AV84" s="74"/>
      <c r="AW84" s="67"/>
      <c r="AX84" s="66"/>
      <c r="AY84" s="74"/>
      <c r="AZ84" s="67"/>
      <c r="BA84" s="66"/>
      <c r="BB84" s="74"/>
      <c r="BC84" s="67"/>
      <c r="BD84" s="66"/>
      <c r="BE84" s="74"/>
      <c r="BF84" s="67"/>
      <c r="BG84" s="66"/>
      <c r="BH84" s="74"/>
    </row>
    <row r="85" spans="3:60" ht="21" thickBot="1" x14ac:dyDescent="0.35">
      <c r="C85" s="38" t="s">
        <v>0</v>
      </c>
      <c r="D85" s="145"/>
      <c r="E85" s="146"/>
      <c r="F85" s="59">
        <f>F27-F74+F83</f>
        <v>2295791.3115999927</v>
      </c>
      <c r="G85" s="145">
        <v>0</v>
      </c>
      <c r="H85" s="144">
        <v>-2.0449953768816101E-2</v>
      </c>
      <c r="I85" s="59">
        <v>-97595.269999999902</v>
      </c>
      <c r="J85" s="145">
        <v>0</v>
      </c>
      <c r="K85" s="144">
        <v>0</v>
      </c>
      <c r="L85" s="59">
        <v>-12445.5200000001</v>
      </c>
      <c r="M85" s="145">
        <v>0</v>
      </c>
      <c r="N85" s="144">
        <v>0</v>
      </c>
      <c r="O85" s="59">
        <v>-7236.2700000000405</v>
      </c>
      <c r="P85" s="145">
        <v>0</v>
      </c>
      <c r="Q85" s="144">
        <v>0</v>
      </c>
      <c r="R85" s="59">
        <v>560550.12999999896</v>
      </c>
      <c r="S85" s="145">
        <v>0</v>
      </c>
      <c r="T85" s="144">
        <v>0</v>
      </c>
      <c r="U85" s="59">
        <v>1333701.51</v>
      </c>
      <c r="V85" s="145">
        <v>0</v>
      </c>
      <c r="W85" s="144">
        <v>0</v>
      </c>
      <c r="X85" s="59">
        <v>177633.72999999899</v>
      </c>
      <c r="Y85" s="145">
        <v>0</v>
      </c>
      <c r="Z85" s="144">
        <v>0</v>
      </c>
      <c r="AA85" s="59">
        <v>59864.459999999402</v>
      </c>
      <c r="AB85" s="145">
        <v>0</v>
      </c>
      <c r="AC85" s="144">
        <v>0</v>
      </c>
      <c r="AD85" s="59">
        <v>152797.37</v>
      </c>
      <c r="AE85" s="145">
        <v>0</v>
      </c>
      <c r="AF85" s="144">
        <v>0</v>
      </c>
      <c r="AG85" s="59">
        <v>33993.199999999299</v>
      </c>
      <c r="AH85" s="145">
        <v>0</v>
      </c>
      <c r="AI85" s="144">
        <v>0</v>
      </c>
      <c r="AJ85" s="59">
        <v>-107696.289999999</v>
      </c>
      <c r="AK85" s="145">
        <v>0</v>
      </c>
      <c r="AL85" s="144">
        <v>0</v>
      </c>
      <c r="AM85" s="59">
        <v>-6600.8383999999996</v>
      </c>
      <c r="AN85" s="145">
        <v>0</v>
      </c>
      <c r="AO85" s="144">
        <v>0</v>
      </c>
      <c r="AP85" s="59">
        <v>14848.94</v>
      </c>
      <c r="AQ85" s="145">
        <v>0</v>
      </c>
      <c r="AR85" s="144">
        <v>0</v>
      </c>
      <c r="AS85" s="59">
        <v>69484.789999999906</v>
      </c>
      <c r="AT85" s="145">
        <v>0</v>
      </c>
      <c r="AU85" s="144">
        <v>0</v>
      </c>
      <c r="AV85" s="59">
        <v>150456.19999999899</v>
      </c>
      <c r="AW85" s="145">
        <v>0</v>
      </c>
      <c r="AX85" s="144">
        <v>0</v>
      </c>
      <c r="AY85" s="59">
        <v>-25964.83</v>
      </c>
      <c r="AZ85" s="145"/>
      <c r="BA85" s="144"/>
      <c r="BB85" s="59"/>
      <c r="BC85" s="145"/>
      <c r="BD85" s="144"/>
      <c r="BE85" s="59"/>
      <c r="BF85" s="145"/>
      <c r="BG85" s="144"/>
      <c r="BH85" s="59"/>
    </row>
    <row r="86" spans="3:60" ht="24" thickTop="1" x14ac:dyDescent="0.35">
      <c r="C86" s="142"/>
      <c r="D86" s="142"/>
      <c r="E86" s="142"/>
      <c r="F86" s="143"/>
      <c r="G86" s="142"/>
      <c r="H86" s="142"/>
      <c r="I86" s="143"/>
      <c r="J86" s="142"/>
      <c r="K86" s="142"/>
      <c r="L86" s="143"/>
      <c r="M86" s="142"/>
      <c r="N86" s="142"/>
      <c r="O86" s="143"/>
      <c r="P86" s="142"/>
      <c r="Q86" s="142"/>
      <c r="R86" s="143"/>
      <c r="S86" s="142"/>
      <c r="T86" s="142"/>
      <c r="U86" s="143"/>
      <c r="V86" s="142"/>
      <c r="W86" s="142"/>
      <c r="X86" s="143"/>
      <c r="Y86" s="142"/>
      <c r="Z86" s="142"/>
      <c r="AA86" s="143"/>
      <c r="AB86" s="142"/>
      <c r="AC86" s="142"/>
      <c r="AD86" s="143"/>
      <c r="AE86" s="142"/>
      <c r="AF86" s="142"/>
      <c r="AG86" s="143"/>
      <c r="AH86" s="142"/>
      <c r="AI86" s="142"/>
      <c r="AJ86" s="143"/>
      <c r="AK86" s="142"/>
      <c r="AL86" s="142"/>
      <c r="AM86" s="143"/>
      <c r="AN86" s="142"/>
      <c r="AO86" s="142"/>
      <c r="AP86" s="143"/>
      <c r="AQ86" s="142"/>
      <c r="AR86" s="142"/>
      <c r="AS86" s="143"/>
      <c r="AT86" s="142"/>
      <c r="AU86" s="142"/>
      <c r="AV86" s="143"/>
      <c r="AW86" s="142"/>
      <c r="AX86" s="142"/>
      <c r="AY86" s="143"/>
      <c r="AZ86" s="142"/>
      <c r="BA86" s="142"/>
      <c r="BB86" s="143"/>
      <c r="BC86" s="142"/>
      <c r="BD86" s="142"/>
      <c r="BE86" s="143"/>
      <c r="BF86" s="142"/>
      <c r="BG86" s="142"/>
      <c r="BH86" s="143"/>
    </row>
    <row r="87" spans="3:60" ht="23.25" x14ac:dyDescent="0.35"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2"/>
      <c r="AL87" s="142"/>
      <c r="AM87" s="142"/>
      <c r="AN87" s="142"/>
      <c r="AO87" s="142"/>
      <c r="AP87" s="142"/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  <c r="BA87" s="142"/>
      <c r="BB87" s="142"/>
      <c r="BC87" s="142"/>
      <c r="BD87" s="142"/>
      <c r="BE87" s="142"/>
      <c r="BF87" s="142"/>
      <c r="BG87" s="142"/>
      <c r="BH87" s="142"/>
    </row>
    <row r="88" spans="3:60" ht="15.75" x14ac:dyDescent="0.25"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8"/>
      <c r="BF88" s="88"/>
      <c r="BG88" s="88"/>
      <c r="BH88" s="88"/>
    </row>
    <row r="89" spans="3:60" ht="35.25" x14ac:dyDescent="0.5">
      <c r="C89" s="58" t="str">
        <f>Z89</f>
        <v>Véhicules usagés</v>
      </c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Z89" s="57" t="s">
        <v>95</v>
      </c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 t="str">
        <f>C89</f>
        <v>Véhicules usagés</v>
      </c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</row>
    <row r="90" spans="3:60" ht="16.5" thickBot="1" x14ac:dyDescent="0.3">
      <c r="C90" s="89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8"/>
      <c r="BE90" s="88"/>
      <c r="BF90" s="88"/>
      <c r="BG90" s="88"/>
      <c r="BH90" s="88"/>
    </row>
    <row r="91" spans="3:60" ht="21" thickTop="1" x14ac:dyDescent="0.3">
      <c r="C91" s="56"/>
      <c r="D91" s="166" t="str">
        <f>D$3</f>
        <v>Conso</v>
      </c>
      <c r="E91" s="167"/>
      <c r="F91" s="168"/>
      <c r="G91" s="166" t="str">
        <f>G$3</f>
        <v>BMW PA</v>
      </c>
      <c r="H91" s="167"/>
      <c r="I91" s="168"/>
      <c r="J91" s="166" t="str">
        <f>J$3</f>
        <v>BMW STJ</v>
      </c>
      <c r="K91" s="167"/>
      <c r="L91" s="168"/>
      <c r="M91" s="166" t="str">
        <f>M$3</f>
        <v>BMW SHER</v>
      </c>
      <c r="N91" s="167"/>
      <c r="O91" s="168"/>
      <c r="P91" s="166" t="str">
        <f>P$3</f>
        <v>MBQ</v>
      </c>
      <c r="Q91" s="167"/>
      <c r="R91" s="168"/>
      <c r="S91" s="166" t="str">
        <f>S$3</f>
        <v>SSMB</v>
      </c>
      <c r="T91" s="167"/>
      <c r="U91" s="168"/>
      <c r="V91" s="166" t="str">
        <f>V$3</f>
        <v>Audi</v>
      </c>
      <c r="W91" s="167"/>
      <c r="X91" s="168"/>
      <c r="Y91" s="166" t="str">
        <f>Y$3</f>
        <v>JLR</v>
      </c>
      <c r="Z91" s="167"/>
      <c r="AA91" s="168"/>
      <c r="AB91" s="166" t="str">
        <f>AB$3</f>
        <v>Lexus</v>
      </c>
      <c r="AC91" s="167"/>
      <c r="AD91" s="168"/>
      <c r="AE91" s="166" t="str">
        <f>AE$3</f>
        <v>Volvo</v>
      </c>
      <c r="AF91" s="167"/>
      <c r="AG91" s="168"/>
      <c r="AH91" s="166" t="str">
        <f>AH$3</f>
        <v>Mini</v>
      </c>
      <c r="AI91" s="167"/>
      <c r="AJ91" s="168"/>
      <c r="AK91" s="166" t="str">
        <f>AK$3</f>
        <v>Infiniti</v>
      </c>
      <c r="AL91" s="167"/>
      <c r="AM91" s="168"/>
      <c r="AN91" s="166" t="str">
        <f>AN$3</f>
        <v>Honda</v>
      </c>
      <c r="AO91" s="167"/>
      <c r="AP91" s="168"/>
      <c r="AQ91" s="166" t="str">
        <f>AQ$3</f>
        <v>Toyota</v>
      </c>
      <c r="AR91" s="167"/>
      <c r="AS91" s="168"/>
      <c r="AT91" s="166" t="str">
        <f>AT$3</f>
        <v>Volks</v>
      </c>
      <c r="AU91" s="167"/>
      <c r="AV91" s="168"/>
      <c r="AW91" s="166" t="str">
        <f>AW$3</f>
        <v>LHD</v>
      </c>
      <c r="AX91" s="167"/>
      <c r="AY91" s="168"/>
      <c r="AZ91" s="166"/>
      <c r="BA91" s="167"/>
      <c r="BB91" s="168"/>
      <c r="BC91" s="166"/>
      <c r="BD91" s="169"/>
      <c r="BE91" s="170"/>
      <c r="BF91" s="166"/>
      <c r="BG91" s="169"/>
      <c r="BH91" s="170"/>
    </row>
    <row r="92" spans="3:60" ht="20.25" x14ac:dyDescent="0.3">
      <c r="C92" s="8"/>
      <c r="D92" s="52" t="s">
        <v>94</v>
      </c>
      <c r="E92" s="51" t="s">
        <v>127</v>
      </c>
      <c r="F92" s="50" t="s">
        <v>31</v>
      </c>
      <c r="G92" s="52" t="str">
        <f>$D92</f>
        <v>UNITE</v>
      </c>
      <c r="H92" s="51" t="str">
        <f>$E92</f>
        <v>$P/UNITE</v>
      </c>
      <c r="I92" s="50" t="str">
        <f>$F92</f>
        <v>$PROFITS</v>
      </c>
      <c r="J92" s="52" t="s">
        <v>94</v>
      </c>
      <c r="K92" s="51" t="s">
        <v>127</v>
      </c>
      <c r="L92" s="50" t="s">
        <v>31</v>
      </c>
      <c r="M92" s="52" t="s">
        <v>94</v>
      </c>
      <c r="N92" s="51" t="s">
        <v>127</v>
      </c>
      <c r="O92" s="50" t="s">
        <v>31</v>
      </c>
      <c r="P92" s="52" t="s">
        <v>94</v>
      </c>
      <c r="Q92" s="51" t="s">
        <v>127</v>
      </c>
      <c r="R92" s="50" t="s">
        <v>31</v>
      </c>
      <c r="S92" s="52" t="s">
        <v>94</v>
      </c>
      <c r="T92" s="51" t="s">
        <v>127</v>
      </c>
      <c r="U92" s="50" t="s">
        <v>31</v>
      </c>
      <c r="V92" s="52" t="s">
        <v>94</v>
      </c>
      <c r="W92" s="51" t="s">
        <v>127</v>
      </c>
      <c r="X92" s="50" t="s">
        <v>31</v>
      </c>
      <c r="Y92" s="55" t="s">
        <v>94</v>
      </c>
      <c r="Z92" s="54" t="s">
        <v>127</v>
      </c>
      <c r="AA92" s="53" t="s">
        <v>31</v>
      </c>
      <c r="AB92" s="55" t="s">
        <v>94</v>
      </c>
      <c r="AC92" s="54" t="s">
        <v>127</v>
      </c>
      <c r="AD92" s="53" t="s">
        <v>31</v>
      </c>
      <c r="AE92" s="55" t="s">
        <v>94</v>
      </c>
      <c r="AF92" s="54" t="s">
        <v>127</v>
      </c>
      <c r="AG92" s="53" t="s">
        <v>31</v>
      </c>
      <c r="AH92" s="55" t="s">
        <v>94</v>
      </c>
      <c r="AI92" s="54" t="s">
        <v>127</v>
      </c>
      <c r="AJ92" s="53" t="s">
        <v>31</v>
      </c>
      <c r="AK92" s="55" t="s">
        <v>94</v>
      </c>
      <c r="AL92" s="54" t="s">
        <v>127</v>
      </c>
      <c r="AM92" s="53" t="s">
        <v>31</v>
      </c>
      <c r="AN92" s="55" t="s">
        <v>94</v>
      </c>
      <c r="AO92" s="54" t="s">
        <v>127</v>
      </c>
      <c r="AP92" s="53" t="s">
        <v>31</v>
      </c>
      <c r="AQ92" s="55" t="s">
        <v>94</v>
      </c>
      <c r="AR92" s="54" t="s">
        <v>127</v>
      </c>
      <c r="AS92" s="53" t="s">
        <v>31</v>
      </c>
      <c r="AT92" s="52" t="s">
        <v>128</v>
      </c>
      <c r="AU92" s="51" t="s">
        <v>127</v>
      </c>
      <c r="AV92" s="50" t="s">
        <v>31</v>
      </c>
      <c r="AW92" s="55" t="s">
        <v>94</v>
      </c>
      <c r="AX92" s="54" t="s">
        <v>127</v>
      </c>
      <c r="AY92" s="53" t="s">
        <v>31</v>
      </c>
      <c r="AZ92" s="55"/>
      <c r="BA92" s="54"/>
      <c r="BB92" s="53"/>
      <c r="BC92" s="55"/>
      <c r="BD92" s="54"/>
      <c r="BE92" s="53"/>
      <c r="BF92" s="55"/>
      <c r="BG92" s="54"/>
      <c r="BH92" s="53"/>
    </row>
    <row r="93" spans="3:60" ht="20.25" x14ac:dyDescent="0.3">
      <c r="C93" s="67" t="s">
        <v>92</v>
      </c>
      <c r="D93" s="141"/>
      <c r="E93" s="125"/>
      <c r="F93" s="22">
        <f>+SUM(I93,L93,O93,R93,U93,X93,AA93,AD93,AG93,AJ93,AM93,AP93,AS93,AV93,AY93,BB93,BE93,BH93)</f>
        <v>37764620.60999994</v>
      </c>
      <c r="G93" s="141">
        <v>0</v>
      </c>
      <c r="H93" s="125">
        <v>0</v>
      </c>
      <c r="I93" s="22">
        <v>2915732.6199999899</v>
      </c>
      <c r="J93" s="141">
        <v>0</v>
      </c>
      <c r="K93" s="125">
        <v>0</v>
      </c>
      <c r="L93" s="22">
        <v>2942049.27999999</v>
      </c>
      <c r="M93" s="141">
        <v>0</v>
      </c>
      <c r="N93" s="125">
        <v>0</v>
      </c>
      <c r="O93" s="22">
        <v>1724374.4199999899</v>
      </c>
      <c r="P93" s="141">
        <v>0</v>
      </c>
      <c r="Q93" s="125">
        <v>0</v>
      </c>
      <c r="R93" s="22">
        <v>3973074.21999999</v>
      </c>
      <c r="S93" s="141">
        <v>0</v>
      </c>
      <c r="T93" s="125">
        <v>0</v>
      </c>
      <c r="U93" s="22">
        <v>7248207.3300000001</v>
      </c>
      <c r="V93" s="141">
        <v>0</v>
      </c>
      <c r="W93" s="125">
        <v>0</v>
      </c>
      <c r="X93" s="22">
        <v>3576184.4299999899</v>
      </c>
      <c r="Y93" s="67">
        <v>0</v>
      </c>
      <c r="Z93" s="125">
        <v>0</v>
      </c>
      <c r="AA93" s="22">
        <v>3495952.28</v>
      </c>
      <c r="AB93" s="67">
        <v>0</v>
      </c>
      <c r="AC93" s="125">
        <v>0</v>
      </c>
      <c r="AD93" s="22">
        <v>2928833.66</v>
      </c>
      <c r="AE93" s="67">
        <v>0</v>
      </c>
      <c r="AF93" s="125">
        <v>0</v>
      </c>
      <c r="AG93" s="22">
        <v>2435611.38</v>
      </c>
      <c r="AH93" s="67">
        <v>0</v>
      </c>
      <c r="AI93" s="125">
        <v>0</v>
      </c>
      <c r="AJ93" s="22">
        <v>461649.22</v>
      </c>
      <c r="AK93" s="67">
        <v>0</v>
      </c>
      <c r="AL93" s="125">
        <v>0</v>
      </c>
      <c r="AM93" s="22">
        <v>654586.51</v>
      </c>
      <c r="AN93" s="67">
        <v>0</v>
      </c>
      <c r="AO93" s="125">
        <v>0</v>
      </c>
      <c r="AP93" s="22">
        <v>1010091.8</v>
      </c>
      <c r="AQ93" s="67">
        <v>0</v>
      </c>
      <c r="AR93" s="125">
        <v>0</v>
      </c>
      <c r="AS93" s="22">
        <v>1985249.8399999901</v>
      </c>
      <c r="AT93" s="67">
        <v>0</v>
      </c>
      <c r="AU93" s="125">
        <v>0</v>
      </c>
      <c r="AV93" s="22">
        <v>1473869.51</v>
      </c>
      <c r="AW93" s="67">
        <v>0</v>
      </c>
      <c r="AX93" s="125">
        <v>0</v>
      </c>
      <c r="AY93" s="22">
        <v>939154.11</v>
      </c>
      <c r="AZ93" s="67"/>
      <c r="BA93" s="125"/>
      <c r="BB93" s="22"/>
      <c r="BC93" s="67"/>
      <c r="BD93" s="125"/>
      <c r="BE93" s="22"/>
      <c r="BF93" s="67"/>
      <c r="BG93" s="125"/>
      <c r="BH93" s="22"/>
    </row>
    <row r="94" spans="3:60" ht="20.25" x14ac:dyDescent="0.3">
      <c r="C94" s="8" t="s">
        <v>91</v>
      </c>
      <c r="D94" s="86">
        <f>+SUM(G94,J94,M94,P94,S94,V94,Y94,AB94,AE94,AH94,AK94,AN94,AQ94,AT94,AW94,AZ94,BC94,BF94)</f>
        <v>338</v>
      </c>
      <c r="E94" s="97">
        <f>IF(D94=0,0,F94/D94)</f>
        <v>1976.3198816568047</v>
      </c>
      <c r="F94" s="18">
        <f>+SUM(I94,L94,O94,R94,U94,X94,AA94,AD94,AG94,AJ94,AM94,AP94,AS94,AV94,AY94,BB94,BE94,BH94)</f>
        <v>667996.12</v>
      </c>
      <c r="G94" s="86">
        <v>13</v>
      </c>
      <c r="H94" s="97">
        <v>2025.4323076922999</v>
      </c>
      <c r="I94" s="18">
        <v>26330.62</v>
      </c>
      <c r="J94" s="86">
        <v>20</v>
      </c>
      <c r="K94" s="97">
        <v>1160.88149999999</v>
      </c>
      <c r="L94" s="18">
        <v>23217.629999999899</v>
      </c>
      <c r="M94" s="86">
        <v>9</v>
      </c>
      <c r="N94" s="97">
        <v>2679.7088888888802</v>
      </c>
      <c r="O94" s="18">
        <v>24117.38</v>
      </c>
      <c r="P94" s="86">
        <v>26</v>
      </c>
      <c r="Q94" s="97">
        <v>3131.36192307692</v>
      </c>
      <c r="R94" s="18">
        <v>81415.409999999902</v>
      </c>
      <c r="S94" s="86">
        <v>77</v>
      </c>
      <c r="T94" s="97">
        <v>1072.78818181818</v>
      </c>
      <c r="U94" s="18">
        <v>82604.690000000497</v>
      </c>
      <c r="V94" s="86">
        <v>41</v>
      </c>
      <c r="W94" s="97">
        <v>1984.3368292682901</v>
      </c>
      <c r="X94" s="18">
        <v>81357.810000000201</v>
      </c>
      <c r="Y94" s="86">
        <v>3</v>
      </c>
      <c r="Z94" s="97">
        <v>3388.1866666666701</v>
      </c>
      <c r="AA94" s="18">
        <v>10164.56</v>
      </c>
      <c r="AB94" s="86">
        <v>28</v>
      </c>
      <c r="AC94" s="97">
        <v>1135.53357142856</v>
      </c>
      <c r="AD94" s="18">
        <v>31794.9399999999</v>
      </c>
      <c r="AE94" s="86">
        <v>33</v>
      </c>
      <c r="AF94" s="97">
        <v>3488.9493939393901</v>
      </c>
      <c r="AG94" s="18">
        <v>115135.33</v>
      </c>
      <c r="AH94" s="86">
        <v>4</v>
      </c>
      <c r="AI94" s="97">
        <v>2656.4674999999902</v>
      </c>
      <c r="AJ94" s="18">
        <v>10625.869999999901</v>
      </c>
      <c r="AK94" s="86">
        <v>3</v>
      </c>
      <c r="AL94" s="97">
        <v>1763.52</v>
      </c>
      <c r="AM94" s="18">
        <v>5290.56</v>
      </c>
      <c r="AN94" s="86">
        <v>14</v>
      </c>
      <c r="AO94" s="97">
        <v>2035.02357142857</v>
      </c>
      <c r="AP94" s="18">
        <v>28490.33</v>
      </c>
      <c r="AQ94" s="86">
        <v>36</v>
      </c>
      <c r="AR94" s="97">
        <v>2699.0536111111001</v>
      </c>
      <c r="AS94" s="18">
        <v>97165.929999999804</v>
      </c>
      <c r="AT94" s="86">
        <v>31</v>
      </c>
      <c r="AU94" s="97">
        <v>1622.0987096774099</v>
      </c>
      <c r="AV94" s="18">
        <v>50285.059999999903</v>
      </c>
      <c r="AW94" s="86">
        <v>0</v>
      </c>
      <c r="AX94" s="97">
        <v>0</v>
      </c>
      <c r="AY94" s="18">
        <v>0</v>
      </c>
      <c r="AZ94" s="86"/>
      <c r="BA94" s="97"/>
      <c r="BB94" s="18"/>
      <c r="BC94" s="86"/>
      <c r="BD94" s="97"/>
      <c r="BE94" s="18"/>
      <c r="BF94" s="86"/>
      <c r="BG94" s="97"/>
      <c r="BH94" s="18"/>
    </row>
    <row r="95" spans="3:60" ht="20.25" x14ac:dyDescent="0.3">
      <c r="C95" s="8" t="s">
        <v>90</v>
      </c>
      <c r="D95" s="86">
        <f>+SUM(G95,J95,M95,P95,S95,V95,Y95,AB95,AE95,AH95,AK95,AN95,AQ95,AT95,AW95,AZ95,BC95,BF95)</f>
        <v>162</v>
      </c>
      <c r="E95" s="97">
        <f>IF(D95=0,0,F95/D95)</f>
        <v>1708.5437037037016</v>
      </c>
      <c r="F95" s="18">
        <f>+SUM(I95,L95,O95,R95,U95,X95,AA95,AD95,AG95,AJ95,AM95,AP95,AS95,AV95,AY95,BB95,BE95,BH95)</f>
        <v>276784.07999999967</v>
      </c>
      <c r="G95" s="86">
        <v>22</v>
      </c>
      <c r="H95" s="97">
        <v>1546.9254545454501</v>
      </c>
      <c r="I95" s="18">
        <v>34032.36</v>
      </c>
      <c r="J95" s="86">
        <v>17</v>
      </c>
      <c r="K95" s="97">
        <v>1572.8641176470601</v>
      </c>
      <c r="L95" s="18">
        <v>26738.69</v>
      </c>
      <c r="M95" s="86">
        <v>10</v>
      </c>
      <c r="N95" s="97">
        <v>1951.096</v>
      </c>
      <c r="O95" s="18">
        <v>19510.96</v>
      </c>
      <c r="P95" s="86">
        <v>3</v>
      </c>
      <c r="Q95" s="97">
        <v>373.666666666666</v>
      </c>
      <c r="R95" s="18">
        <v>1121</v>
      </c>
      <c r="S95" s="86">
        <v>9</v>
      </c>
      <c r="T95" s="97">
        <v>3497.0122222222199</v>
      </c>
      <c r="U95" s="18">
        <v>31473.109999999899</v>
      </c>
      <c r="V95" s="86">
        <v>9</v>
      </c>
      <c r="W95" s="97">
        <v>1338.3844444444401</v>
      </c>
      <c r="X95" s="18">
        <v>12045.459999999901</v>
      </c>
      <c r="Y95" s="86">
        <v>5</v>
      </c>
      <c r="Z95" s="97">
        <v>6995.0960000000096</v>
      </c>
      <c r="AA95" s="18">
        <v>34975.480000000003</v>
      </c>
      <c r="AB95" s="86">
        <v>8</v>
      </c>
      <c r="AC95" s="97">
        <v>1656.7225000000001</v>
      </c>
      <c r="AD95" s="18">
        <v>13253.78</v>
      </c>
      <c r="AE95" s="86">
        <v>4</v>
      </c>
      <c r="AF95" s="97">
        <v>3735.9775</v>
      </c>
      <c r="AG95" s="18">
        <v>14943.91</v>
      </c>
      <c r="AH95" s="86">
        <v>4</v>
      </c>
      <c r="AI95" s="97">
        <v>560.13249999999903</v>
      </c>
      <c r="AJ95" s="18">
        <v>2240.5299999999902</v>
      </c>
      <c r="AK95" s="86">
        <v>3</v>
      </c>
      <c r="AL95" s="97">
        <v>3159.3333333333298</v>
      </c>
      <c r="AM95" s="18">
        <v>9478</v>
      </c>
      <c r="AN95" s="86">
        <v>17</v>
      </c>
      <c r="AO95" s="97">
        <v>1937.2017647058799</v>
      </c>
      <c r="AP95" s="18">
        <v>32932.43</v>
      </c>
      <c r="AQ95" s="86">
        <v>4</v>
      </c>
      <c r="AR95" s="97">
        <v>1089.01999999999</v>
      </c>
      <c r="AS95" s="18">
        <v>4356.0799999999899</v>
      </c>
      <c r="AT95" s="86">
        <v>6</v>
      </c>
      <c r="AU95" s="97">
        <v>662.97166666666703</v>
      </c>
      <c r="AV95" s="18">
        <v>3977.83</v>
      </c>
      <c r="AW95" s="86">
        <v>41</v>
      </c>
      <c r="AX95" s="97">
        <v>870.84048780487694</v>
      </c>
      <c r="AY95" s="18">
        <v>35704.459999999897</v>
      </c>
      <c r="AZ95" s="86"/>
      <c r="BA95" s="97"/>
      <c r="BB95" s="18"/>
      <c r="BC95" s="86"/>
      <c r="BD95" s="97"/>
      <c r="BE95" s="18"/>
      <c r="BF95" s="86"/>
      <c r="BG95" s="97"/>
      <c r="BH95" s="18"/>
    </row>
    <row r="96" spans="3:60" ht="20.25" x14ac:dyDescent="0.3">
      <c r="C96" s="8" t="s">
        <v>89</v>
      </c>
      <c r="D96" s="86">
        <f>+SUM(G96,J96,M96,P96,S96,V96,Y96,AB96,AE96,AH96,AK96,AN96,AQ96,AT96,AW96,AZ96,BC96,BF96)</f>
        <v>57</v>
      </c>
      <c r="E96" s="97">
        <f>IF(D96=0,0,F96/D96)</f>
        <v>1465.5578947368408</v>
      </c>
      <c r="F96" s="18">
        <f>+SUM(I96,L96,O96,R96,U96,X96,AA96,AD96,AG96,AJ96,AM96,AP96,AS96,AV96,AY96,BB96,BE96,BH96)</f>
        <v>83536.79999999993</v>
      </c>
      <c r="G96" s="86">
        <v>2</v>
      </c>
      <c r="H96" s="97">
        <v>450</v>
      </c>
      <c r="I96" s="18">
        <v>900</v>
      </c>
      <c r="J96" s="86">
        <v>4</v>
      </c>
      <c r="K96" s="97">
        <v>2644.6174999999998</v>
      </c>
      <c r="L96" s="18">
        <v>10578.47</v>
      </c>
      <c r="M96" s="86">
        <v>7</v>
      </c>
      <c r="N96" s="97">
        <v>1087.18285714285</v>
      </c>
      <c r="O96" s="18">
        <v>7610.2799999999897</v>
      </c>
      <c r="P96" s="86">
        <v>17</v>
      </c>
      <c r="Q96" s="97">
        <v>1786.08058823529</v>
      </c>
      <c r="R96" s="18">
        <v>30363.369999999901</v>
      </c>
      <c r="S96" s="86">
        <v>0</v>
      </c>
      <c r="T96" s="97">
        <v>0</v>
      </c>
      <c r="U96" s="18">
        <v>0</v>
      </c>
      <c r="V96" s="86">
        <v>0</v>
      </c>
      <c r="W96" s="97">
        <v>0</v>
      </c>
      <c r="X96" s="18">
        <v>0</v>
      </c>
      <c r="Y96" s="86">
        <v>0</v>
      </c>
      <c r="Z96" s="97">
        <v>0</v>
      </c>
      <c r="AA96" s="18">
        <v>0</v>
      </c>
      <c r="AB96" s="86">
        <v>15</v>
      </c>
      <c r="AC96" s="97">
        <v>1004.812</v>
      </c>
      <c r="AD96" s="18">
        <v>15072.18</v>
      </c>
      <c r="AE96" s="86">
        <v>2</v>
      </c>
      <c r="AF96" s="97">
        <v>1203.6400000000001</v>
      </c>
      <c r="AG96" s="18">
        <v>2407.2800000000002</v>
      </c>
      <c r="AH96" s="86">
        <v>0</v>
      </c>
      <c r="AI96" s="97">
        <v>0</v>
      </c>
      <c r="AJ96" s="18">
        <v>0</v>
      </c>
      <c r="AK96" s="86">
        <v>0</v>
      </c>
      <c r="AL96" s="97">
        <v>0</v>
      </c>
      <c r="AM96" s="18">
        <v>0</v>
      </c>
      <c r="AN96" s="86">
        <v>0</v>
      </c>
      <c r="AO96" s="97">
        <v>0</v>
      </c>
      <c r="AP96" s="18">
        <v>0</v>
      </c>
      <c r="AQ96" s="86">
        <v>4</v>
      </c>
      <c r="AR96" s="97">
        <v>2446.0625</v>
      </c>
      <c r="AS96" s="18">
        <v>9784.2500000000291</v>
      </c>
      <c r="AT96" s="86">
        <v>4</v>
      </c>
      <c r="AU96" s="97">
        <v>1630.3</v>
      </c>
      <c r="AV96" s="18">
        <v>6521.2</v>
      </c>
      <c r="AW96" s="86">
        <v>2</v>
      </c>
      <c r="AX96" s="97">
        <v>149.88499999999999</v>
      </c>
      <c r="AY96" s="18">
        <v>299.77</v>
      </c>
      <c r="AZ96" s="86"/>
      <c r="BA96" s="97"/>
      <c r="BB96" s="18"/>
      <c r="BC96" s="86"/>
      <c r="BD96" s="97"/>
      <c r="BE96" s="18"/>
      <c r="BF96" s="86"/>
      <c r="BG96" s="97"/>
      <c r="BH96" s="18"/>
    </row>
    <row r="97" spans="3:60" ht="20.25" x14ac:dyDescent="0.3">
      <c r="C97" s="117" t="s">
        <v>88</v>
      </c>
      <c r="D97" s="140">
        <f>SUM(D94:D96)</f>
        <v>557</v>
      </c>
      <c r="E97" s="139">
        <f>IF(D97=0,0,F97/D97)</f>
        <v>1846.1705565529617</v>
      </c>
      <c r="F97" s="138">
        <f>SUM(F94:F96)</f>
        <v>1028316.9999999997</v>
      </c>
      <c r="G97" s="140">
        <v>37</v>
      </c>
      <c r="H97" s="139">
        <v>1655.7562162162101</v>
      </c>
      <c r="I97" s="138">
        <v>61262.98</v>
      </c>
      <c r="J97" s="140">
        <v>41</v>
      </c>
      <c r="K97" s="139">
        <v>1476.45829268292</v>
      </c>
      <c r="L97" s="138">
        <v>60534.79</v>
      </c>
      <c r="M97" s="140">
        <v>26</v>
      </c>
      <c r="N97" s="139">
        <v>1970.7161538461501</v>
      </c>
      <c r="O97" s="138">
        <v>51238.62</v>
      </c>
      <c r="P97" s="140">
        <v>46</v>
      </c>
      <c r="Q97" s="139">
        <v>2454.3430434782499</v>
      </c>
      <c r="R97" s="138">
        <v>112899.77999999899</v>
      </c>
      <c r="S97" s="140">
        <v>86</v>
      </c>
      <c r="T97" s="139">
        <v>1326.4860465116301</v>
      </c>
      <c r="U97" s="138">
        <v>114077.8</v>
      </c>
      <c r="V97" s="140">
        <v>50</v>
      </c>
      <c r="W97" s="139">
        <v>1868.0654</v>
      </c>
      <c r="X97" s="138">
        <v>93403.270000000193</v>
      </c>
      <c r="Y97" s="140">
        <v>8</v>
      </c>
      <c r="Z97" s="139">
        <v>5642.5050000000001</v>
      </c>
      <c r="AA97" s="138">
        <v>45140.04</v>
      </c>
      <c r="AB97" s="140">
        <v>51</v>
      </c>
      <c r="AC97" s="139">
        <v>1178.84117647058</v>
      </c>
      <c r="AD97" s="138">
        <v>60120.8999999999</v>
      </c>
      <c r="AE97" s="140">
        <v>39</v>
      </c>
      <c r="AF97" s="139">
        <v>3397.0902564102498</v>
      </c>
      <c r="AG97" s="138">
        <v>132486.51999999999</v>
      </c>
      <c r="AH97" s="140">
        <v>8</v>
      </c>
      <c r="AI97" s="139">
        <v>1608.29999999999</v>
      </c>
      <c r="AJ97" s="138">
        <v>12866.3999999999</v>
      </c>
      <c r="AK97" s="140">
        <v>6</v>
      </c>
      <c r="AL97" s="139">
        <v>2461.4266666666599</v>
      </c>
      <c r="AM97" s="138">
        <v>14768.56</v>
      </c>
      <c r="AN97" s="140">
        <v>31</v>
      </c>
      <c r="AO97" s="139">
        <v>1981.37935483871</v>
      </c>
      <c r="AP97" s="138">
        <v>61422.76</v>
      </c>
      <c r="AQ97" s="140">
        <v>44</v>
      </c>
      <c r="AR97" s="139">
        <v>2529.6877272727202</v>
      </c>
      <c r="AS97" s="138">
        <v>111306.25999999901</v>
      </c>
      <c r="AT97" s="140">
        <v>41</v>
      </c>
      <c r="AU97" s="139">
        <v>1482.5387804878001</v>
      </c>
      <c r="AV97" s="138">
        <v>60784.089999999902</v>
      </c>
      <c r="AW97" s="140">
        <v>43</v>
      </c>
      <c r="AX97" s="139">
        <v>837.30767441860303</v>
      </c>
      <c r="AY97" s="138">
        <v>36004.229999999901</v>
      </c>
      <c r="AZ97" s="140"/>
      <c r="BA97" s="139"/>
      <c r="BB97" s="138"/>
      <c r="BC97" s="140"/>
      <c r="BD97" s="139"/>
      <c r="BE97" s="138"/>
      <c r="BF97" s="140"/>
      <c r="BG97" s="139"/>
      <c r="BH97" s="138"/>
    </row>
    <row r="98" spans="3:60" ht="20.25" x14ac:dyDescent="0.3">
      <c r="C98" s="8"/>
      <c r="D98" s="8"/>
      <c r="E98" s="7"/>
      <c r="F98" s="6"/>
      <c r="G98" s="8"/>
      <c r="H98" s="7"/>
      <c r="I98" s="6"/>
      <c r="J98" s="8"/>
      <c r="K98" s="7"/>
      <c r="L98" s="6"/>
      <c r="M98" s="8"/>
      <c r="N98" s="7"/>
      <c r="O98" s="6"/>
      <c r="P98" s="8"/>
      <c r="Q98" s="7"/>
      <c r="R98" s="6"/>
      <c r="S98" s="8"/>
      <c r="T98" s="7"/>
      <c r="U98" s="6"/>
      <c r="V98" s="8"/>
      <c r="W98" s="7"/>
      <c r="X98" s="6"/>
      <c r="Y98" s="8"/>
      <c r="Z98" s="7"/>
      <c r="AA98" s="6"/>
      <c r="AB98" s="8"/>
      <c r="AC98" s="7"/>
      <c r="AD98" s="6"/>
      <c r="AE98" s="8"/>
      <c r="AF98" s="7"/>
      <c r="AG98" s="6"/>
      <c r="AH98" s="8"/>
      <c r="AI98" s="7"/>
      <c r="AJ98" s="6"/>
      <c r="AK98" s="8"/>
      <c r="AL98" s="7"/>
      <c r="AM98" s="6"/>
      <c r="AN98" s="8"/>
      <c r="AO98" s="7"/>
      <c r="AP98" s="6"/>
      <c r="AQ98" s="8"/>
      <c r="AR98" s="7"/>
      <c r="AS98" s="6"/>
      <c r="AT98" s="8"/>
      <c r="AU98" s="7"/>
      <c r="AV98" s="6"/>
      <c r="AW98" s="8"/>
      <c r="AX98" s="7"/>
      <c r="AY98" s="6"/>
      <c r="AZ98" s="8"/>
      <c r="BA98" s="7"/>
      <c r="BB98" s="6"/>
      <c r="BC98" s="8"/>
      <c r="BD98" s="7"/>
      <c r="BE98" s="6"/>
      <c r="BF98" s="8"/>
      <c r="BG98" s="7"/>
      <c r="BH98" s="6"/>
    </row>
    <row r="99" spans="3:60" ht="20.25" x14ac:dyDescent="0.3">
      <c r="C99" s="8"/>
      <c r="D99" s="86"/>
      <c r="E99" s="97"/>
      <c r="F99" s="18"/>
      <c r="G99" s="86"/>
      <c r="H99" s="97"/>
      <c r="I99" s="18"/>
      <c r="J99" s="86"/>
      <c r="K99" s="97"/>
      <c r="L99" s="18"/>
      <c r="M99" s="86"/>
      <c r="N99" s="97"/>
      <c r="O99" s="18"/>
      <c r="P99" s="86"/>
      <c r="Q99" s="97"/>
      <c r="R99" s="18"/>
      <c r="S99" s="86"/>
      <c r="T99" s="97"/>
      <c r="U99" s="18"/>
      <c r="V99" s="86"/>
      <c r="W99" s="97"/>
      <c r="X99" s="18"/>
      <c r="Y99" s="86"/>
      <c r="Z99" s="97"/>
      <c r="AA99" s="18"/>
      <c r="AB99" s="86"/>
      <c r="AC99" s="97"/>
      <c r="AD99" s="18"/>
      <c r="AE99" s="86"/>
      <c r="AF99" s="97"/>
      <c r="AG99" s="18"/>
      <c r="AH99" s="86"/>
      <c r="AI99" s="97"/>
      <c r="AJ99" s="18"/>
      <c r="AK99" s="86"/>
      <c r="AL99" s="97"/>
      <c r="AM99" s="18"/>
      <c r="AN99" s="86"/>
      <c r="AO99" s="97"/>
      <c r="AP99" s="18"/>
      <c r="AQ99" s="86"/>
      <c r="AR99" s="97"/>
      <c r="AS99" s="18"/>
      <c r="AT99" s="86"/>
      <c r="AU99" s="97"/>
      <c r="AV99" s="18"/>
      <c r="AW99" s="86"/>
      <c r="AX99" s="97"/>
      <c r="AY99" s="18"/>
      <c r="AZ99" s="86"/>
      <c r="BA99" s="97"/>
      <c r="BB99" s="18"/>
      <c r="BC99" s="86"/>
      <c r="BD99" s="97"/>
      <c r="BE99" s="18"/>
      <c r="BF99" s="86"/>
      <c r="BG99" s="97"/>
      <c r="BH99" s="18"/>
    </row>
    <row r="100" spans="3:60" ht="20.25" x14ac:dyDescent="0.3">
      <c r="C100" s="8" t="s">
        <v>87</v>
      </c>
      <c r="D100" s="86">
        <f>+SUM(G100,J100,M100,P100,S100,V100,Y100,AB100,AE100,AH100,AK100,AN100,AQ100,AT100,AW100,AZ100,BC100,BF100)</f>
        <v>569</v>
      </c>
      <c r="E100" s="97">
        <f>IF(D100=0,0,F100/D100)</f>
        <v>715.90386643233705</v>
      </c>
      <c r="F100" s="18">
        <f>+SUM(I100,L100,O100,R100,U100,X100,AA100,AD100,AG100,AJ100,AM100,AP100,AS100,AV100,AY100,BB100,BE100,BH100)</f>
        <v>407349.29999999976</v>
      </c>
      <c r="G100" s="86">
        <v>44</v>
      </c>
      <c r="H100" s="97">
        <v>580.83318181817901</v>
      </c>
      <c r="I100" s="18">
        <v>25556.659999999902</v>
      </c>
      <c r="J100" s="86">
        <v>35</v>
      </c>
      <c r="K100" s="97">
        <v>232.94742857142899</v>
      </c>
      <c r="L100" s="18">
        <v>8153.1600000000299</v>
      </c>
      <c r="M100" s="86">
        <v>28</v>
      </c>
      <c r="N100" s="97">
        <v>352.11178571428502</v>
      </c>
      <c r="O100" s="18">
        <v>9859.1299999999992</v>
      </c>
      <c r="P100" s="86">
        <v>57</v>
      </c>
      <c r="Q100" s="97">
        <v>1031.06508771929</v>
      </c>
      <c r="R100" s="18">
        <v>58770.71</v>
      </c>
      <c r="S100" s="86">
        <v>75</v>
      </c>
      <c r="T100" s="97">
        <v>1290.04506666666</v>
      </c>
      <c r="U100" s="18">
        <v>96753.38</v>
      </c>
      <c r="V100" s="86">
        <v>53</v>
      </c>
      <c r="W100" s="97">
        <v>644.38566037735905</v>
      </c>
      <c r="X100" s="18">
        <v>34152.44</v>
      </c>
      <c r="Y100" s="86">
        <v>59</v>
      </c>
      <c r="Z100" s="97">
        <v>687.472372881355</v>
      </c>
      <c r="AA100" s="18">
        <v>40560.869999999901</v>
      </c>
      <c r="AB100" s="86">
        <v>43</v>
      </c>
      <c r="AC100" s="97">
        <v>690.26325581395497</v>
      </c>
      <c r="AD100" s="18">
        <v>29681.32</v>
      </c>
      <c r="AE100" s="86">
        <v>42</v>
      </c>
      <c r="AF100" s="97">
        <v>610.04976190475895</v>
      </c>
      <c r="AG100" s="18">
        <v>25622.089999999898</v>
      </c>
      <c r="AH100" s="86">
        <v>16</v>
      </c>
      <c r="AI100" s="97">
        <v>588.09687499999905</v>
      </c>
      <c r="AJ100" s="18">
        <v>9409.5499999999793</v>
      </c>
      <c r="AK100" s="86">
        <v>21</v>
      </c>
      <c r="AL100" s="97">
        <v>-728.33238095238005</v>
      </c>
      <c r="AM100" s="18">
        <v>-15294.9799999999</v>
      </c>
      <c r="AN100" s="86">
        <v>18</v>
      </c>
      <c r="AO100" s="97">
        <v>656.72277777777799</v>
      </c>
      <c r="AP100" s="18">
        <v>11821.01</v>
      </c>
      <c r="AQ100" s="86">
        <v>35</v>
      </c>
      <c r="AR100" s="97">
        <v>1479.866</v>
      </c>
      <c r="AS100" s="18">
        <v>51795.31</v>
      </c>
      <c r="AT100" s="86">
        <v>29</v>
      </c>
      <c r="AU100" s="97">
        <v>481.722068965517</v>
      </c>
      <c r="AV100" s="18">
        <v>13969.94</v>
      </c>
      <c r="AW100" s="86">
        <v>14</v>
      </c>
      <c r="AX100" s="97">
        <v>467.05071428571301</v>
      </c>
      <c r="AY100" s="18">
        <v>6538.70999999999</v>
      </c>
      <c r="AZ100" s="86"/>
      <c r="BA100" s="97"/>
      <c r="BB100" s="18"/>
      <c r="BC100" s="86"/>
      <c r="BD100" s="97"/>
      <c r="BE100" s="18"/>
      <c r="BF100" s="86"/>
      <c r="BG100" s="97"/>
      <c r="BH100" s="18"/>
    </row>
    <row r="101" spans="3:60" ht="20.25" x14ac:dyDescent="0.3">
      <c r="C101" s="67"/>
      <c r="D101" s="82"/>
      <c r="E101" s="125"/>
      <c r="F101" s="22"/>
      <c r="G101" s="82"/>
      <c r="H101" s="125"/>
      <c r="I101" s="22"/>
      <c r="J101" s="82"/>
      <c r="K101" s="125"/>
      <c r="L101" s="22"/>
      <c r="M101" s="82"/>
      <c r="N101" s="125"/>
      <c r="O101" s="22"/>
      <c r="P101" s="82"/>
      <c r="Q101" s="125"/>
      <c r="R101" s="22"/>
      <c r="S101" s="82"/>
      <c r="T101" s="125"/>
      <c r="U101" s="22"/>
      <c r="V101" s="82"/>
      <c r="W101" s="125"/>
      <c r="X101" s="22"/>
      <c r="Y101" s="82"/>
      <c r="Z101" s="125"/>
      <c r="AA101" s="22"/>
      <c r="AB101" s="82"/>
      <c r="AC101" s="125"/>
      <c r="AD101" s="22"/>
      <c r="AE101" s="82"/>
      <c r="AF101" s="125"/>
      <c r="AG101" s="22"/>
      <c r="AH101" s="82"/>
      <c r="AI101" s="125"/>
      <c r="AJ101" s="22"/>
      <c r="AK101" s="82"/>
      <c r="AL101" s="125"/>
      <c r="AM101" s="22"/>
      <c r="AN101" s="82"/>
      <c r="AO101" s="125"/>
      <c r="AP101" s="22"/>
      <c r="AQ101" s="82"/>
      <c r="AR101" s="125"/>
      <c r="AS101" s="22"/>
      <c r="AT101" s="82"/>
      <c r="AU101" s="125"/>
      <c r="AV101" s="22"/>
      <c r="AW101" s="82"/>
      <c r="AX101" s="125"/>
      <c r="AY101" s="22"/>
      <c r="AZ101" s="82"/>
      <c r="BA101" s="125"/>
      <c r="BB101" s="22"/>
      <c r="BC101" s="82"/>
      <c r="BD101" s="125"/>
      <c r="BE101" s="22"/>
      <c r="BF101" s="82"/>
      <c r="BG101" s="125"/>
      <c r="BH101" s="22"/>
    </row>
    <row r="102" spans="3:60" ht="20.25" x14ac:dyDescent="0.3">
      <c r="C102" s="8" t="s">
        <v>86</v>
      </c>
      <c r="D102" s="86">
        <f>+SUM(G102,J102,M102,P102,S102,V102,Y102,AB102,AE102,AH102,AK102,AN102,AQ102,AT102,AW102,AZ102,BC102,BF102)</f>
        <v>0</v>
      </c>
      <c r="E102" s="97">
        <f>IF(D97=0,0,F102/D97)</f>
        <v>443.50283662477551</v>
      </c>
      <c r="F102" s="18">
        <f>+SUM(I102,L102,O102,R102,U102,X102,AA102,AD102,AG102,AJ102,AM102,AP102,AS102,AV102,AY102,BB102,BE102,BH102)</f>
        <v>247031.07999999996</v>
      </c>
      <c r="G102" s="86">
        <v>0</v>
      </c>
      <c r="H102" s="97">
        <v>241.77837837837799</v>
      </c>
      <c r="I102" s="18">
        <v>8945.7999999999993</v>
      </c>
      <c r="J102" s="86">
        <v>0</v>
      </c>
      <c r="K102" s="97">
        <v>370.68</v>
      </c>
      <c r="L102" s="18">
        <v>15197.88</v>
      </c>
      <c r="M102" s="86">
        <v>0</v>
      </c>
      <c r="N102" s="97">
        <v>475.00846153846101</v>
      </c>
      <c r="O102" s="18">
        <v>12350.22</v>
      </c>
      <c r="P102" s="86">
        <v>0</v>
      </c>
      <c r="Q102" s="97">
        <v>660.21760869565196</v>
      </c>
      <c r="R102" s="18">
        <v>30370.01</v>
      </c>
      <c r="S102" s="86">
        <v>0</v>
      </c>
      <c r="T102" s="97">
        <v>862.04046511627905</v>
      </c>
      <c r="U102" s="18">
        <v>74135.48</v>
      </c>
      <c r="V102" s="86">
        <v>0</v>
      </c>
      <c r="W102" s="97">
        <v>216.81319999999999</v>
      </c>
      <c r="X102" s="18">
        <v>10840.66</v>
      </c>
      <c r="Y102" s="86">
        <v>0</v>
      </c>
      <c r="Z102" s="97">
        <v>114.18375</v>
      </c>
      <c r="AA102" s="18">
        <v>913.47</v>
      </c>
      <c r="AB102" s="86">
        <v>0</v>
      </c>
      <c r="AC102" s="97">
        <v>377.987450980392</v>
      </c>
      <c r="AD102" s="18">
        <v>19277.36</v>
      </c>
      <c r="AE102" s="86">
        <v>0</v>
      </c>
      <c r="AF102" s="97">
        <v>73.649487179487096</v>
      </c>
      <c r="AG102" s="18">
        <v>2872.33</v>
      </c>
      <c r="AH102" s="86">
        <v>0</v>
      </c>
      <c r="AI102" s="97">
        <v>79.793750000000003</v>
      </c>
      <c r="AJ102" s="18">
        <v>638.35</v>
      </c>
      <c r="AK102" s="86">
        <v>0</v>
      </c>
      <c r="AL102" s="97">
        <v>976.20666666666602</v>
      </c>
      <c r="AM102" s="18">
        <v>5857.24</v>
      </c>
      <c r="AN102" s="86">
        <v>0</v>
      </c>
      <c r="AO102" s="97">
        <v>462.79096774193499</v>
      </c>
      <c r="AP102" s="18">
        <v>14346.52</v>
      </c>
      <c r="AQ102" s="86">
        <v>0</v>
      </c>
      <c r="AR102" s="97">
        <v>393.430227272727</v>
      </c>
      <c r="AS102" s="18">
        <v>17310.93</v>
      </c>
      <c r="AT102" s="86">
        <v>0</v>
      </c>
      <c r="AU102" s="97">
        <v>304.98243902438998</v>
      </c>
      <c r="AV102" s="18">
        <v>12504.28</v>
      </c>
      <c r="AW102" s="86">
        <v>0</v>
      </c>
      <c r="AX102" s="97">
        <v>499.315116279069</v>
      </c>
      <c r="AY102" s="18">
        <v>21470.55</v>
      </c>
      <c r="AZ102" s="86"/>
      <c r="BA102" s="97"/>
      <c r="BB102" s="18"/>
      <c r="BC102" s="86"/>
      <c r="BD102" s="97"/>
      <c r="BE102" s="18"/>
      <c r="BF102" s="86"/>
      <c r="BG102" s="97"/>
      <c r="BH102" s="18"/>
    </row>
    <row r="103" spans="3:60" ht="20.25" x14ac:dyDescent="0.3">
      <c r="C103" s="8" t="s">
        <v>85</v>
      </c>
      <c r="D103" s="86">
        <f>+SUM(G103,J103,M103,P103,S103,V103,Y103,AB103,AE103,AH103,AK103,AN103,AQ103,AT103,AW103,AZ103,BC103,BF103)</f>
        <v>0</v>
      </c>
      <c r="E103" s="97">
        <f>IF(D97=0,0,F103/D97)</f>
        <v>820.26402154398465</v>
      </c>
      <c r="F103" s="18">
        <f>+SUM(I103,L103,O103,R103,U103,X103,AA103,AD103,AG103,AJ103,AM103,AP103,AS103,AV103,AY103,BB103,BE103,BH103)</f>
        <v>456887.05999999947</v>
      </c>
      <c r="G103" s="86">
        <v>0</v>
      </c>
      <c r="H103" s="97">
        <v>1237.2078378378301</v>
      </c>
      <c r="I103" s="18">
        <v>45776.69</v>
      </c>
      <c r="J103" s="86">
        <v>0</v>
      </c>
      <c r="K103" s="97">
        <v>727.87804878048701</v>
      </c>
      <c r="L103" s="18">
        <v>29843</v>
      </c>
      <c r="M103" s="86">
        <v>0</v>
      </c>
      <c r="N103" s="97">
        <v>531.10538461538397</v>
      </c>
      <c r="O103" s="18">
        <v>13808.74</v>
      </c>
      <c r="P103" s="86">
        <v>0</v>
      </c>
      <c r="Q103" s="97">
        <v>597.58826086956503</v>
      </c>
      <c r="R103" s="18">
        <v>27489.059999999899</v>
      </c>
      <c r="S103" s="86">
        <v>0</v>
      </c>
      <c r="T103" s="97">
        <v>915.72302325581302</v>
      </c>
      <c r="U103" s="18">
        <v>78752.179999999993</v>
      </c>
      <c r="V103" s="86">
        <v>0</v>
      </c>
      <c r="W103" s="97">
        <v>1118.3226</v>
      </c>
      <c r="X103" s="18">
        <v>55916.13</v>
      </c>
      <c r="Y103" s="86">
        <v>0</v>
      </c>
      <c r="Z103" s="97">
        <v>1128.125</v>
      </c>
      <c r="AA103" s="18">
        <v>9025</v>
      </c>
      <c r="AB103" s="86">
        <v>0</v>
      </c>
      <c r="AC103" s="97">
        <v>490.58333333333297</v>
      </c>
      <c r="AD103" s="18">
        <v>25019.749999999902</v>
      </c>
      <c r="AE103" s="86">
        <v>0</v>
      </c>
      <c r="AF103" s="97">
        <v>793.793589743589</v>
      </c>
      <c r="AG103" s="18">
        <v>30957.949999999899</v>
      </c>
      <c r="AH103" s="86">
        <v>0</v>
      </c>
      <c r="AI103" s="97">
        <v>1068.125</v>
      </c>
      <c r="AJ103" s="18">
        <v>8545</v>
      </c>
      <c r="AK103" s="86">
        <v>0</v>
      </c>
      <c r="AL103" s="97">
        <v>1304.8333333333301</v>
      </c>
      <c r="AM103" s="18">
        <v>7829</v>
      </c>
      <c r="AN103" s="86">
        <v>0</v>
      </c>
      <c r="AO103" s="97">
        <v>624.11258064516096</v>
      </c>
      <c r="AP103" s="18">
        <v>19347.4899999999</v>
      </c>
      <c r="AQ103" s="86">
        <v>0</v>
      </c>
      <c r="AR103" s="97">
        <v>337.97727272727201</v>
      </c>
      <c r="AS103" s="18">
        <v>14871</v>
      </c>
      <c r="AT103" s="86">
        <v>0</v>
      </c>
      <c r="AU103" s="97">
        <v>1406.50243902439</v>
      </c>
      <c r="AV103" s="18">
        <v>57666.6</v>
      </c>
      <c r="AW103" s="86">
        <v>0</v>
      </c>
      <c r="AX103" s="97">
        <v>745.10395348837199</v>
      </c>
      <c r="AY103" s="18">
        <v>32039.469999999899</v>
      </c>
      <c r="AZ103" s="86"/>
      <c r="BA103" s="97"/>
      <c r="BB103" s="18"/>
      <c r="BC103" s="86"/>
      <c r="BD103" s="97"/>
      <c r="BE103" s="18"/>
      <c r="BF103" s="86"/>
      <c r="BG103" s="97"/>
      <c r="BH103" s="18"/>
    </row>
    <row r="104" spans="3:60" ht="20.25" x14ac:dyDescent="0.3">
      <c r="C104" s="8" t="s">
        <v>84</v>
      </c>
      <c r="D104" s="86">
        <f>+SUM(G104,J104,M104,P104,S104,V104,Y104,AB104,AE104,AH104,AK104,AN104,AQ104,AT104,AW104,AZ104,BC104,BF104)</f>
        <v>0</v>
      </c>
      <c r="E104" s="125">
        <f>IF(D97=0,0,F104/D97)</f>
        <v>182.03438061041274</v>
      </c>
      <c r="F104" s="18">
        <f>+SUM(I104,L104,O104,R104,U104,X104,AA104,AD104,AG104,AJ104,AM104,AP104,AS104,AV104,AY104,BB104,BE104,BH104)</f>
        <v>101393.14999999989</v>
      </c>
      <c r="G104" s="86">
        <v>0</v>
      </c>
      <c r="H104" s="125">
        <v>577.69243243243204</v>
      </c>
      <c r="I104" s="18">
        <v>21374.619999999901</v>
      </c>
      <c r="J104" s="86">
        <v>0</v>
      </c>
      <c r="K104" s="125">
        <v>464.89170731707299</v>
      </c>
      <c r="L104" s="18">
        <v>19060.560000000001</v>
      </c>
      <c r="M104" s="86">
        <v>0</v>
      </c>
      <c r="N104" s="125">
        <v>139.192307692307</v>
      </c>
      <c r="O104" s="18">
        <v>3619</v>
      </c>
      <c r="P104" s="86">
        <v>0</v>
      </c>
      <c r="Q104" s="125">
        <v>37.128260869565203</v>
      </c>
      <c r="R104" s="18">
        <v>1707.9</v>
      </c>
      <c r="S104" s="86">
        <v>0</v>
      </c>
      <c r="T104" s="125">
        <v>299.65755813953399</v>
      </c>
      <c r="U104" s="18">
        <v>25770.55</v>
      </c>
      <c r="V104" s="86">
        <v>0</v>
      </c>
      <c r="W104" s="125">
        <v>0</v>
      </c>
      <c r="X104" s="18">
        <v>0</v>
      </c>
      <c r="Y104" s="86">
        <v>0</v>
      </c>
      <c r="Z104" s="125">
        <v>0</v>
      </c>
      <c r="AA104" s="18">
        <v>0</v>
      </c>
      <c r="AB104" s="86">
        <v>0</v>
      </c>
      <c r="AC104" s="125">
        <v>197.65843137254899</v>
      </c>
      <c r="AD104" s="18">
        <v>10080.58</v>
      </c>
      <c r="AE104" s="86">
        <v>0</v>
      </c>
      <c r="AF104" s="125">
        <v>33.846153846153797</v>
      </c>
      <c r="AG104" s="18">
        <v>1320</v>
      </c>
      <c r="AH104" s="86">
        <v>0</v>
      </c>
      <c r="AI104" s="125">
        <v>222.886249999999</v>
      </c>
      <c r="AJ104" s="18">
        <v>1783.0899999999899</v>
      </c>
      <c r="AK104" s="86">
        <v>0</v>
      </c>
      <c r="AL104" s="125">
        <v>333.58833333333303</v>
      </c>
      <c r="AM104" s="18">
        <v>2001.53</v>
      </c>
      <c r="AN104" s="86">
        <v>0</v>
      </c>
      <c r="AO104" s="125">
        <v>95.070322580645097</v>
      </c>
      <c r="AP104" s="18">
        <v>2947.18</v>
      </c>
      <c r="AQ104" s="86">
        <v>0</v>
      </c>
      <c r="AR104" s="125">
        <v>248.757954545454</v>
      </c>
      <c r="AS104" s="18">
        <v>10945.35</v>
      </c>
      <c r="AT104" s="86">
        <v>0</v>
      </c>
      <c r="AU104" s="125">
        <v>19.092439024390199</v>
      </c>
      <c r="AV104" s="18">
        <v>782.79</v>
      </c>
      <c r="AW104" s="86">
        <v>0</v>
      </c>
      <c r="AX104" s="125">
        <v>0</v>
      </c>
      <c r="AY104" s="18">
        <v>0</v>
      </c>
      <c r="AZ104" s="86"/>
      <c r="BA104" s="125"/>
      <c r="BB104" s="18"/>
      <c r="BC104" s="86"/>
      <c r="BD104" s="125"/>
      <c r="BE104" s="18"/>
      <c r="BF104" s="86"/>
      <c r="BG104" s="125"/>
      <c r="BH104" s="18"/>
    </row>
    <row r="105" spans="3:60" ht="20.25" x14ac:dyDescent="0.3">
      <c r="C105" s="117" t="s">
        <v>83</v>
      </c>
      <c r="D105" s="140">
        <f>D97</f>
        <v>557</v>
      </c>
      <c r="E105" s="139">
        <f>IF(D105=0,0,F105/D105)</f>
        <v>1445.801238779173</v>
      </c>
      <c r="F105" s="138">
        <f>SUM(F102:F104)</f>
        <v>805311.28999999934</v>
      </c>
      <c r="G105" s="140">
        <v>37</v>
      </c>
      <c r="H105" s="139">
        <v>2056.6786486486399</v>
      </c>
      <c r="I105" s="138">
        <v>76097.11</v>
      </c>
      <c r="J105" s="140">
        <v>41</v>
      </c>
      <c r="K105" s="139">
        <v>1563.4497560975601</v>
      </c>
      <c r="L105" s="138">
        <v>64101.440000000002</v>
      </c>
      <c r="M105" s="140">
        <v>26</v>
      </c>
      <c r="N105" s="139">
        <v>1145.30615384615</v>
      </c>
      <c r="O105" s="138">
        <v>29777.96</v>
      </c>
      <c r="P105" s="140">
        <v>46</v>
      </c>
      <c r="Q105" s="139">
        <v>1294.9341304347799</v>
      </c>
      <c r="R105" s="138">
        <v>59566.969999999899</v>
      </c>
      <c r="S105" s="140">
        <v>86</v>
      </c>
      <c r="T105" s="139">
        <v>2077.4210465116198</v>
      </c>
      <c r="U105" s="138">
        <v>178658.21</v>
      </c>
      <c r="V105" s="140">
        <v>50</v>
      </c>
      <c r="W105" s="139">
        <v>1335.1358</v>
      </c>
      <c r="X105" s="138">
        <v>66756.789999999994</v>
      </c>
      <c r="Y105" s="140">
        <v>8</v>
      </c>
      <c r="Z105" s="139">
        <v>1242.3087499999999</v>
      </c>
      <c r="AA105" s="138">
        <v>9938.4699999999993</v>
      </c>
      <c r="AB105" s="140">
        <v>51</v>
      </c>
      <c r="AC105" s="139">
        <v>1066.22921568627</v>
      </c>
      <c r="AD105" s="138">
        <v>54377.69</v>
      </c>
      <c r="AE105" s="140">
        <v>39</v>
      </c>
      <c r="AF105" s="139">
        <v>901.28923076923002</v>
      </c>
      <c r="AG105" s="138">
        <v>35150.28</v>
      </c>
      <c r="AH105" s="140">
        <v>8</v>
      </c>
      <c r="AI105" s="139">
        <v>1370.8050000000001</v>
      </c>
      <c r="AJ105" s="138">
        <v>10966.44</v>
      </c>
      <c r="AK105" s="140">
        <v>6</v>
      </c>
      <c r="AL105" s="139">
        <v>2614.6283333333299</v>
      </c>
      <c r="AM105" s="138">
        <v>15687.77</v>
      </c>
      <c r="AN105" s="140">
        <v>31</v>
      </c>
      <c r="AO105" s="139">
        <v>1181.9738709677399</v>
      </c>
      <c r="AP105" s="138">
        <v>36641.1899999999</v>
      </c>
      <c r="AQ105" s="140">
        <v>44</v>
      </c>
      <c r="AR105" s="139">
        <v>980.16545454545405</v>
      </c>
      <c r="AS105" s="138">
        <v>43127.28</v>
      </c>
      <c r="AT105" s="140">
        <v>41</v>
      </c>
      <c r="AU105" s="139">
        <v>1730.57731707317</v>
      </c>
      <c r="AV105" s="138">
        <v>70953.67</v>
      </c>
      <c r="AW105" s="140">
        <v>43</v>
      </c>
      <c r="AX105" s="139">
        <v>1244.4190697674401</v>
      </c>
      <c r="AY105" s="138">
        <v>53510.02</v>
      </c>
      <c r="AZ105" s="140"/>
      <c r="BA105" s="139"/>
      <c r="BB105" s="138"/>
      <c r="BC105" s="140"/>
      <c r="BD105" s="139"/>
      <c r="BE105" s="138"/>
      <c r="BF105" s="140"/>
      <c r="BG105" s="139"/>
      <c r="BH105" s="138"/>
    </row>
    <row r="106" spans="3:60" ht="20.25" x14ac:dyDescent="0.3">
      <c r="C106" s="8"/>
      <c r="D106" s="8">
        <f>+SUM(G106,J106,M106,P106,S106,V106,Y106,AB106,AE106,AH106,AK106,AN106,AQ106,AT106,AW106,AZ106,BC106,BF106)</f>
        <v>0</v>
      </c>
      <c r="E106" s="7"/>
      <c r="F106" s="63"/>
      <c r="G106" s="8"/>
      <c r="H106" s="7"/>
      <c r="I106" s="63"/>
      <c r="J106" s="8"/>
      <c r="K106" s="7"/>
      <c r="L106" s="63"/>
      <c r="M106" s="8"/>
      <c r="N106" s="7"/>
      <c r="O106" s="63"/>
      <c r="P106" s="8"/>
      <c r="Q106" s="7"/>
      <c r="R106" s="63"/>
      <c r="S106" s="8"/>
      <c r="T106" s="7"/>
      <c r="U106" s="63"/>
      <c r="V106" s="8"/>
      <c r="W106" s="7"/>
      <c r="X106" s="63"/>
      <c r="Y106" s="8"/>
      <c r="Z106" s="7"/>
      <c r="AA106" s="63"/>
      <c r="AB106" s="8"/>
      <c r="AC106" s="7"/>
      <c r="AD106" s="63"/>
      <c r="AE106" s="8"/>
      <c r="AF106" s="7"/>
      <c r="AG106" s="63"/>
      <c r="AH106" s="8"/>
      <c r="AI106" s="7"/>
      <c r="AJ106" s="63"/>
      <c r="AK106" s="8"/>
      <c r="AL106" s="7"/>
      <c r="AM106" s="63"/>
      <c r="AN106" s="8"/>
      <c r="AO106" s="7"/>
      <c r="AP106" s="63"/>
      <c r="AQ106" s="8"/>
      <c r="AR106" s="7"/>
      <c r="AS106" s="63"/>
      <c r="AT106" s="8"/>
      <c r="AU106" s="7"/>
      <c r="AV106" s="63"/>
      <c r="AW106" s="8"/>
      <c r="AX106" s="7"/>
      <c r="AY106" s="63"/>
      <c r="AZ106" s="8"/>
      <c r="BA106" s="7"/>
      <c r="BB106" s="63"/>
      <c r="BC106" s="8"/>
      <c r="BD106" s="7"/>
      <c r="BE106" s="63"/>
      <c r="BF106" s="8"/>
      <c r="BG106" s="7"/>
      <c r="BH106" s="63"/>
    </row>
    <row r="107" spans="3:60" ht="21" thickBot="1" x14ac:dyDescent="0.35">
      <c r="C107" s="8"/>
      <c r="D107" s="8">
        <f>+SUM(G107,J107,M107,P107,S107,V107,Y107,AB107,AE107,AH107,AK107,AN107,AQ107,AT107,AW107,AZ107,BC107,BF107)</f>
        <v>0</v>
      </c>
      <c r="E107" s="7"/>
      <c r="F107" s="63"/>
      <c r="G107" s="8"/>
      <c r="H107" s="7"/>
      <c r="I107" s="63"/>
      <c r="J107" s="8"/>
      <c r="K107" s="7"/>
      <c r="L107" s="63"/>
      <c r="M107" s="8"/>
      <c r="N107" s="7"/>
      <c r="O107" s="63"/>
      <c r="P107" s="8"/>
      <c r="Q107" s="7"/>
      <c r="R107" s="63"/>
      <c r="S107" s="8"/>
      <c r="T107" s="7"/>
      <c r="U107" s="63"/>
      <c r="V107" s="8"/>
      <c r="W107" s="7"/>
      <c r="X107" s="63"/>
      <c r="Y107" s="8"/>
      <c r="Z107" s="7"/>
      <c r="AA107" s="63"/>
      <c r="AB107" s="8"/>
      <c r="AC107" s="7"/>
      <c r="AD107" s="63"/>
      <c r="AE107" s="8"/>
      <c r="AF107" s="7"/>
      <c r="AG107" s="63"/>
      <c r="AH107" s="8"/>
      <c r="AI107" s="7"/>
      <c r="AJ107" s="63"/>
      <c r="AK107" s="8"/>
      <c r="AL107" s="7"/>
      <c r="AM107" s="63"/>
      <c r="AN107" s="8"/>
      <c r="AO107" s="7"/>
      <c r="AP107" s="63"/>
      <c r="AQ107" s="8"/>
      <c r="AR107" s="7"/>
      <c r="AS107" s="63"/>
      <c r="AT107" s="8"/>
      <c r="AU107" s="7"/>
      <c r="AV107" s="63"/>
      <c r="AW107" s="8"/>
      <c r="AX107" s="7"/>
      <c r="AY107" s="63"/>
      <c r="AZ107" s="8"/>
      <c r="BA107" s="7"/>
      <c r="BB107" s="63"/>
      <c r="BC107" s="8"/>
      <c r="BD107" s="7"/>
      <c r="BE107" s="63"/>
      <c r="BF107" s="8"/>
      <c r="BG107" s="7"/>
      <c r="BH107" s="63"/>
    </row>
    <row r="108" spans="3:60" ht="21" thickTop="1" x14ac:dyDescent="0.3">
      <c r="C108" s="43" t="s">
        <v>82</v>
      </c>
      <c r="D108" s="114">
        <f>D97+D100</f>
        <v>1126</v>
      </c>
      <c r="E108" s="137">
        <f>IF(D108=0,0,F108/D108)</f>
        <v>1990.211003552397</v>
      </c>
      <c r="F108" s="112">
        <f>F97+F100+F105</f>
        <v>2240977.5899999989</v>
      </c>
      <c r="G108" s="114">
        <v>81</v>
      </c>
      <c r="H108" s="137">
        <v>2011.3179012345599</v>
      </c>
      <c r="I108" s="112">
        <v>162916.74999999901</v>
      </c>
      <c r="J108" s="114">
        <v>76</v>
      </c>
      <c r="K108" s="137">
        <v>1747.22881578947</v>
      </c>
      <c r="L108" s="112">
        <v>132789.39000000001</v>
      </c>
      <c r="M108" s="114">
        <v>54</v>
      </c>
      <c r="N108" s="137">
        <v>1682.8835185185101</v>
      </c>
      <c r="O108" s="112">
        <v>90875.71</v>
      </c>
      <c r="P108" s="114">
        <v>103</v>
      </c>
      <c r="Q108" s="137">
        <v>2245.0238834951401</v>
      </c>
      <c r="R108" s="112">
        <v>231237.46</v>
      </c>
      <c r="S108" s="114">
        <v>161</v>
      </c>
      <c r="T108" s="137">
        <v>2419.18875776397</v>
      </c>
      <c r="U108" s="112">
        <v>389489.39</v>
      </c>
      <c r="V108" s="114">
        <v>103</v>
      </c>
      <c r="W108" s="137">
        <v>1886.52912621359</v>
      </c>
      <c r="X108" s="112">
        <v>194312.5</v>
      </c>
      <c r="Y108" s="114">
        <v>67</v>
      </c>
      <c r="Z108" s="137">
        <v>1427.45343283582</v>
      </c>
      <c r="AA108" s="112">
        <v>95639.38</v>
      </c>
      <c r="AB108" s="114">
        <v>94</v>
      </c>
      <c r="AC108" s="137">
        <v>1533.82882978723</v>
      </c>
      <c r="AD108" s="112">
        <v>144179.91</v>
      </c>
      <c r="AE108" s="114">
        <v>81</v>
      </c>
      <c r="AF108" s="137">
        <v>2385.91222222222</v>
      </c>
      <c r="AG108" s="112">
        <v>193258.89</v>
      </c>
      <c r="AH108" s="114">
        <v>24</v>
      </c>
      <c r="AI108" s="137">
        <v>1385.09958333333</v>
      </c>
      <c r="AJ108" s="112">
        <v>33242.389999999898</v>
      </c>
      <c r="AK108" s="114">
        <v>27</v>
      </c>
      <c r="AL108" s="137">
        <v>561.53148148148205</v>
      </c>
      <c r="AM108" s="112">
        <v>15161.35</v>
      </c>
      <c r="AN108" s="114">
        <v>49</v>
      </c>
      <c r="AO108" s="137">
        <v>2242.55020408163</v>
      </c>
      <c r="AP108" s="112">
        <v>109884.96</v>
      </c>
      <c r="AQ108" s="114">
        <v>79</v>
      </c>
      <c r="AR108" s="137">
        <v>2610.49177215189</v>
      </c>
      <c r="AS108" s="112">
        <v>206228.84999999899</v>
      </c>
      <c r="AT108" s="114">
        <v>70</v>
      </c>
      <c r="AU108" s="137">
        <v>2081.5385714285699</v>
      </c>
      <c r="AV108" s="112">
        <v>145707.69999999899</v>
      </c>
      <c r="AW108" s="114">
        <v>57</v>
      </c>
      <c r="AX108" s="137">
        <v>1685.1396491227999</v>
      </c>
      <c r="AY108" s="112">
        <v>96052.959999999905</v>
      </c>
      <c r="AZ108" s="114"/>
      <c r="BA108" s="137"/>
      <c r="BB108" s="112"/>
      <c r="BC108" s="114"/>
      <c r="BD108" s="137"/>
      <c r="BE108" s="112"/>
      <c r="BF108" s="114"/>
      <c r="BG108" s="137"/>
      <c r="BH108" s="112"/>
    </row>
    <row r="109" spans="3:60" ht="21" thickBot="1" x14ac:dyDescent="0.35">
      <c r="C109" s="40"/>
      <c r="D109" s="111"/>
      <c r="E109" s="110"/>
      <c r="F109" s="107"/>
      <c r="G109" s="111">
        <v>0</v>
      </c>
      <c r="H109" s="110">
        <v>0</v>
      </c>
      <c r="I109" s="107">
        <v>0</v>
      </c>
      <c r="J109" s="111">
        <v>0</v>
      </c>
      <c r="K109" s="110">
        <v>0</v>
      </c>
      <c r="L109" s="107">
        <v>0</v>
      </c>
      <c r="M109" s="111">
        <v>0</v>
      </c>
      <c r="N109" s="110">
        <v>0</v>
      </c>
      <c r="O109" s="107">
        <v>0</v>
      </c>
      <c r="P109" s="111">
        <v>0</v>
      </c>
      <c r="Q109" s="110">
        <v>0</v>
      </c>
      <c r="R109" s="107">
        <v>0</v>
      </c>
      <c r="S109" s="111">
        <v>0</v>
      </c>
      <c r="T109" s="110">
        <v>0</v>
      </c>
      <c r="U109" s="107">
        <v>0</v>
      </c>
      <c r="V109" s="111">
        <v>0</v>
      </c>
      <c r="W109" s="110">
        <v>0</v>
      </c>
      <c r="X109" s="107">
        <v>1.0383158243472801</v>
      </c>
      <c r="Y109" s="109">
        <v>0</v>
      </c>
      <c r="Z109" s="136">
        <v>0</v>
      </c>
      <c r="AA109" s="107">
        <v>0</v>
      </c>
      <c r="AB109" s="109">
        <v>0</v>
      </c>
      <c r="AC109" s="136">
        <v>0</v>
      </c>
      <c r="AD109" s="107">
        <v>0</v>
      </c>
      <c r="AE109" s="109">
        <v>0</v>
      </c>
      <c r="AF109" s="136">
        <v>0</v>
      </c>
      <c r="AG109" s="107">
        <v>0</v>
      </c>
      <c r="AH109" s="109">
        <v>0</v>
      </c>
      <c r="AI109" s="136">
        <v>0</v>
      </c>
      <c r="AJ109" s="107">
        <v>0</v>
      </c>
      <c r="AK109" s="109">
        <v>0</v>
      </c>
      <c r="AL109" s="136">
        <v>0</v>
      </c>
      <c r="AM109" s="107">
        <v>0</v>
      </c>
      <c r="AN109" s="109">
        <v>0</v>
      </c>
      <c r="AO109" s="136">
        <v>0</v>
      </c>
      <c r="AP109" s="107">
        <v>0</v>
      </c>
      <c r="AQ109" s="109">
        <v>0</v>
      </c>
      <c r="AR109" s="136">
        <v>0</v>
      </c>
      <c r="AS109" s="107">
        <v>0</v>
      </c>
      <c r="AT109" s="109">
        <v>0</v>
      </c>
      <c r="AU109" s="136">
        <v>0</v>
      </c>
      <c r="AV109" s="107">
        <v>0.83547993119265995</v>
      </c>
      <c r="AW109" s="109">
        <v>0</v>
      </c>
      <c r="AX109" s="136">
        <v>0</v>
      </c>
      <c r="AY109" s="107">
        <v>0</v>
      </c>
      <c r="AZ109" s="109"/>
      <c r="BA109" s="136"/>
      <c r="BB109" s="107"/>
      <c r="BC109" s="109"/>
      <c r="BD109" s="136"/>
      <c r="BE109" s="107"/>
      <c r="BF109" s="109"/>
      <c r="BG109" s="136"/>
      <c r="BH109" s="107"/>
    </row>
    <row r="110" spans="3:60" ht="21" thickTop="1" x14ac:dyDescent="0.3">
      <c r="C110" s="32"/>
      <c r="D110" s="32"/>
      <c r="E110" s="31"/>
      <c r="F110" s="30"/>
      <c r="G110" s="32"/>
      <c r="H110" s="31"/>
      <c r="I110" s="30"/>
      <c r="J110" s="32"/>
      <c r="K110" s="31"/>
      <c r="L110" s="30"/>
      <c r="M110" s="32"/>
      <c r="N110" s="31"/>
      <c r="O110" s="30"/>
      <c r="P110" s="32"/>
      <c r="Q110" s="31"/>
      <c r="R110" s="30"/>
      <c r="S110" s="32"/>
      <c r="T110" s="31"/>
      <c r="U110" s="30"/>
      <c r="V110" s="32"/>
      <c r="W110" s="31"/>
      <c r="X110" s="30"/>
      <c r="Y110" s="32"/>
      <c r="Z110" s="31"/>
      <c r="AA110" s="30"/>
      <c r="AB110" s="32"/>
      <c r="AC110" s="31"/>
      <c r="AD110" s="30"/>
      <c r="AE110" s="32"/>
      <c r="AF110" s="31"/>
      <c r="AG110" s="30"/>
      <c r="AH110" s="32"/>
      <c r="AI110" s="31"/>
      <c r="AJ110" s="30"/>
      <c r="AK110" s="32"/>
      <c r="AL110" s="31"/>
      <c r="AM110" s="30"/>
      <c r="AN110" s="32"/>
      <c r="AO110" s="31"/>
      <c r="AP110" s="30"/>
      <c r="AQ110" s="32"/>
      <c r="AR110" s="31"/>
      <c r="AS110" s="30"/>
      <c r="AT110" s="32"/>
      <c r="AU110" s="31"/>
      <c r="AV110" s="30"/>
      <c r="AW110" s="32"/>
      <c r="AX110" s="31"/>
      <c r="AY110" s="30"/>
      <c r="AZ110" s="32"/>
      <c r="BA110" s="31"/>
      <c r="BB110" s="30"/>
      <c r="BC110" s="32"/>
      <c r="BD110" s="31"/>
      <c r="BE110" s="30"/>
      <c r="BF110" s="32"/>
      <c r="BG110" s="31"/>
      <c r="BH110" s="30"/>
    </row>
    <row r="111" spans="3:60" ht="20.25" x14ac:dyDescent="0.3">
      <c r="C111" s="29" t="s">
        <v>28</v>
      </c>
      <c r="D111" s="8"/>
      <c r="E111" s="54"/>
      <c r="F111" s="6"/>
      <c r="G111" s="8"/>
      <c r="H111" s="54"/>
      <c r="I111" s="6"/>
      <c r="J111" s="8"/>
      <c r="K111" s="54"/>
      <c r="L111" s="6"/>
      <c r="M111" s="8"/>
      <c r="N111" s="54"/>
      <c r="O111" s="6"/>
      <c r="P111" s="8"/>
      <c r="Q111" s="54"/>
      <c r="R111" s="6"/>
      <c r="S111" s="8"/>
      <c r="T111" s="54"/>
      <c r="U111" s="6"/>
      <c r="V111" s="8"/>
      <c r="W111" s="54"/>
      <c r="X111" s="6"/>
      <c r="Y111" s="8"/>
      <c r="Z111" s="54"/>
      <c r="AA111" s="6"/>
      <c r="AB111" s="8"/>
      <c r="AC111" s="54"/>
      <c r="AD111" s="6"/>
      <c r="AE111" s="8"/>
      <c r="AF111" s="54"/>
      <c r="AG111" s="6"/>
      <c r="AH111" s="8"/>
      <c r="AI111" s="54"/>
      <c r="AJ111" s="6"/>
      <c r="AK111" s="8"/>
      <c r="AL111" s="54"/>
      <c r="AM111" s="6"/>
      <c r="AN111" s="8"/>
      <c r="AO111" s="54"/>
      <c r="AP111" s="6"/>
      <c r="AQ111" s="8"/>
      <c r="AR111" s="54"/>
      <c r="AS111" s="6"/>
      <c r="AT111" s="8"/>
      <c r="AU111" s="54"/>
      <c r="AV111" s="6"/>
      <c r="AW111" s="8"/>
      <c r="AX111" s="54"/>
      <c r="AY111" s="6"/>
      <c r="AZ111" s="8"/>
      <c r="BA111" s="54"/>
      <c r="BB111" s="6"/>
      <c r="BC111" s="8"/>
      <c r="BD111" s="54"/>
      <c r="BE111" s="6"/>
      <c r="BF111" s="8"/>
      <c r="BG111" s="54"/>
      <c r="BH111" s="6"/>
    </row>
    <row r="112" spans="3:60" ht="20.25" x14ac:dyDescent="0.3">
      <c r="C112" s="8" t="s">
        <v>81</v>
      </c>
      <c r="D112" s="135"/>
      <c r="E112" s="90">
        <f t="shared" ref="E112:E121" si="8">IF(D$97=0,0,F112/(D$94+D$95))</f>
        <v>839.40354000000002</v>
      </c>
      <c r="F112" s="18">
        <f t="shared" ref="F112:F121" si="9">+SUM(I112,L112,O112,R112,U112,X112,AA112,AD112,AG112,AJ112,AM112,AP112,AS112,AV112,AY112,BB112,BE112,BH112)</f>
        <v>419701.77</v>
      </c>
      <c r="G112" s="135">
        <v>0.51640550296443199</v>
      </c>
      <c r="H112" s="90">
        <v>855.04162162162095</v>
      </c>
      <c r="I112" s="18">
        <v>31636.54</v>
      </c>
      <c r="J112" s="135">
        <v>0.57320691126540602</v>
      </c>
      <c r="K112" s="90">
        <v>846.31609756097498</v>
      </c>
      <c r="L112" s="18">
        <v>34698.959999999999</v>
      </c>
      <c r="M112" s="135">
        <v>0.315730985729123</v>
      </c>
      <c r="N112" s="90">
        <v>622.21615384615302</v>
      </c>
      <c r="O112" s="18">
        <v>16177.62</v>
      </c>
      <c r="P112" s="135">
        <v>0.41249283213838001</v>
      </c>
      <c r="Q112" s="90">
        <v>1012.39891304347</v>
      </c>
      <c r="R112" s="18">
        <v>46570.35</v>
      </c>
      <c r="S112" s="135">
        <v>0.46556507927045998</v>
      </c>
      <c r="T112" s="90">
        <v>617.56558139534798</v>
      </c>
      <c r="U112" s="18">
        <v>53110.64</v>
      </c>
      <c r="V112" s="135">
        <v>0.37697770110189799</v>
      </c>
      <c r="W112" s="90">
        <v>704.21899999999903</v>
      </c>
      <c r="X112" s="18">
        <v>35210.949999999997</v>
      </c>
      <c r="Y112" s="135">
        <v>0.21303437037273301</v>
      </c>
      <c r="Z112" s="90">
        <v>1202.0474999999999</v>
      </c>
      <c r="AA112" s="18">
        <v>9616.3799999999992</v>
      </c>
      <c r="AB112" s="135">
        <v>0.445448754093834</v>
      </c>
      <c r="AC112" s="90">
        <v>525.113333333333</v>
      </c>
      <c r="AD112" s="18">
        <v>26780.78</v>
      </c>
      <c r="AE112" s="135">
        <v>0.363918985871166</v>
      </c>
      <c r="AF112" s="90">
        <v>1236.26564102564</v>
      </c>
      <c r="AG112" s="18">
        <v>48214.36</v>
      </c>
      <c r="AH112" s="135">
        <v>0.52307560778461704</v>
      </c>
      <c r="AI112" s="90">
        <v>841.26250000000005</v>
      </c>
      <c r="AJ112" s="18">
        <v>6730.1</v>
      </c>
      <c r="AK112" s="135">
        <v>0.76888945164592803</v>
      </c>
      <c r="AL112" s="90">
        <v>1892.5649999999901</v>
      </c>
      <c r="AM112" s="18">
        <v>11355.39</v>
      </c>
      <c r="AN112" s="135">
        <v>0.343698166607947</v>
      </c>
      <c r="AO112" s="90">
        <v>680.996451612903</v>
      </c>
      <c r="AP112" s="18">
        <v>21110.89</v>
      </c>
      <c r="AQ112" s="135">
        <v>0.35471104680006299</v>
      </c>
      <c r="AR112" s="90">
        <v>897.30818181818097</v>
      </c>
      <c r="AS112" s="18">
        <v>39481.56</v>
      </c>
      <c r="AT112" s="135">
        <v>0.38266625361998502</v>
      </c>
      <c r="AU112" s="90">
        <v>567.31756097560901</v>
      </c>
      <c r="AV112" s="18">
        <v>23260.02</v>
      </c>
      <c r="AW112" s="135">
        <v>0.43737166438498998</v>
      </c>
      <c r="AX112" s="90">
        <v>366.21465116279001</v>
      </c>
      <c r="AY112" s="18">
        <v>15747.23</v>
      </c>
      <c r="AZ112" s="135"/>
      <c r="BA112" s="90"/>
      <c r="BB112" s="18"/>
      <c r="BC112" s="135"/>
      <c r="BD112" s="90"/>
      <c r="BE112" s="18"/>
      <c r="BF112" s="135"/>
      <c r="BG112" s="90"/>
      <c r="BH112" s="18"/>
    </row>
    <row r="113" spans="3:60" ht="20.25" x14ac:dyDescent="0.3">
      <c r="C113" s="67" t="s">
        <v>80</v>
      </c>
      <c r="D113" s="134"/>
      <c r="E113" s="130">
        <f t="shared" si="8"/>
        <v>447.31785999999994</v>
      </c>
      <c r="F113" s="18">
        <f t="shared" si="9"/>
        <v>223658.92999999996</v>
      </c>
      <c r="G113" s="134">
        <v>0.28095201410492898</v>
      </c>
      <c r="H113" s="130">
        <v>641.66243243243196</v>
      </c>
      <c r="I113" s="18">
        <v>23741.51</v>
      </c>
      <c r="J113" s="134">
        <v>0.33359973661426701</v>
      </c>
      <c r="K113" s="130">
        <v>492.546097560975</v>
      </c>
      <c r="L113" s="18">
        <v>20194.39</v>
      </c>
      <c r="M113" s="134">
        <v>0.236632395234596</v>
      </c>
      <c r="N113" s="130">
        <v>271.016538461538</v>
      </c>
      <c r="O113" s="18">
        <v>7046.43</v>
      </c>
      <c r="P113" s="134">
        <v>0.35139390168746198</v>
      </c>
      <c r="Q113" s="130">
        <v>455.031956521739</v>
      </c>
      <c r="R113" s="18">
        <v>20931.47</v>
      </c>
      <c r="S113" s="134">
        <v>0.23966130635698099</v>
      </c>
      <c r="T113" s="130">
        <v>248.93872093023199</v>
      </c>
      <c r="U113" s="18">
        <v>42817.46</v>
      </c>
      <c r="V113" s="134">
        <v>0.21197806966096</v>
      </c>
      <c r="W113" s="130">
        <v>385.64139999999998</v>
      </c>
      <c r="X113" s="18">
        <v>19282.07</v>
      </c>
      <c r="Y113" s="134">
        <v>0.35560503779756802</v>
      </c>
      <c r="Z113" s="130">
        <v>441.77125000000001</v>
      </c>
      <c r="AA113" s="18">
        <v>3534.17</v>
      </c>
      <c r="AB113" s="134">
        <v>0.19222993841775901</v>
      </c>
      <c r="AC113" s="130">
        <v>204.96117647058799</v>
      </c>
      <c r="AD113" s="18">
        <v>10453.02</v>
      </c>
      <c r="AE113" s="134">
        <v>0.26466702398956699</v>
      </c>
      <c r="AF113" s="130">
        <v>238.54153846153801</v>
      </c>
      <c r="AG113" s="18">
        <v>9303.1200000000008</v>
      </c>
      <c r="AH113" s="134">
        <v>0.28378782662178498</v>
      </c>
      <c r="AI113" s="130">
        <v>424.49124999999998</v>
      </c>
      <c r="AJ113" s="18">
        <v>3395.93</v>
      </c>
      <c r="AK113" s="134">
        <v>0.114772845343857</v>
      </c>
      <c r="AL113" s="130">
        <v>300.08833333333303</v>
      </c>
      <c r="AM113" s="18">
        <v>1800.53</v>
      </c>
      <c r="AN113" s="134">
        <v>0.27041189881213601</v>
      </c>
      <c r="AO113" s="130">
        <v>362.30161290322502</v>
      </c>
      <c r="AP113" s="18">
        <v>11231.35</v>
      </c>
      <c r="AQ113" s="134">
        <v>0.26438617750113003</v>
      </c>
      <c r="AR113" s="130">
        <v>321.87136363636301</v>
      </c>
      <c r="AS113" s="18">
        <v>14162.34</v>
      </c>
      <c r="AT113" s="134">
        <v>0.281042404149073</v>
      </c>
      <c r="AU113" s="130">
        <v>486.365609756097</v>
      </c>
      <c r="AV113" s="18">
        <v>19940.990000000002</v>
      </c>
      <c r="AW113" s="134">
        <v>0.29572311877289498</v>
      </c>
      <c r="AX113" s="130">
        <v>368.00348837209299</v>
      </c>
      <c r="AY113" s="18">
        <v>15824.15</v>
      </c>
      <c r="AZ113" s="134"/>
      <c r="BA113" s="130"/>
      <c r="BB113" s="18"/>
      <c r="BC113" s="134"/>
      <c r="BD113" s="130"/>
      <c r="BE113" s="18"/>
      <c r="BF113" s="134"/>
      <c r="BG113" s="130"/>
      <c r="BH113" s="18"/>
    </row>
    <row r="114" spans="3:60" ht="20.25" x14ac:dyDescent="0.3">
      <c r="C114" s="8" t="s">
        <v>79</v>
      </c>
      <c r="D114" s="8"/>
      <c r="E114" s="90">
        <f t="shared" si="8"/>
        <v>100.50007999999997</v>
      </c>
      <c r="F114" s="68">
        <f t="shared" si="9"/>
        <v>50250.039999999986</v>
      </c>
      <c r="G114" s="8">
        <v>0</v>
      </c>
      <c r="H114" s="90">
        <v>109.474864864864</v>
      </c>
      <c r="I114" s="68">
        <v>4050.57</v>
      </c>
      <c r="J114" s="8">
        <v>0</v>
      </c>
      <c r="K114" s="90">
        <v>92.674146341463398</v>
      </c>
      <c r="L114" s="68">
        <v>3799.64</v>
      </c>
      <c r="M114" s="8">
        <v>0</v>
      </c>
      <c r="N114" s="90">
        <v>71.175769230769205</v>
      </c>
      <c r="O114" s="68">
        <v>1850.57</v>
      </c>
      <c r="P114" s="8">
        <v>0</v>
      </c>
      <c r="Q114" s="90">
        <v>280.99934782608602</v>
      </c>
      <c r="R114" s="68">
        <v>12925.97</v>
      </c>
      <c r="S114" s="8">
        <v>0</v>
      </c>
      <c r="T114" s="90">
        <v>77.122674418604603</v>
      </c>
      <c r="U114" s="68">
        <v>6632.55</v>
      </c>
      <c r="V114" s="8">
        <v>0</v>
      </c>
      <c r="W114" s="90">
        <v>198.1438</v>
      </c>
      <c r="X114" s="68">
        <v>9907.19</v>
      </c>
      <c r="Y114" s="8">
        <v>0</v>
      </c>
      <c r="Z114" s="90">
        <v>171.61125000000001</v>
      </c>
      <c r="AA114" s="68">
        <v>1372.89</v>
      </c>
      <c r="AB114" s="8">
        <v>0</v>
      </c>
      <c r="AC114" s="90">
        <v>5.2613725490196002</v>
      </c>
      <c r="AD114" s="68">
        <v>268.33</v>
      </c>
      <c r="AE114" s="8">
        <v>0</v>
      </c>
      <c r="AF114" s="90">
        <v>78.061025641025594</v>
      </c>
      <c r="AG114" s="68">
        <v>3044.38</v>
      </c>
      <c r="AH114" s="8">
        <v>0</v>
      </c>
      <c r="AI114" s="90">
        <v>182.23500000000001</v>
      </c>
      <c r="AJ114" s="68">
        <v>1457.88</v>
      </c>
      <c r="AK114" s="8">
        <v>0</v>
      </c>
      <c r="AL114" s="90">
        <v>116.015</v>
      </c>
      <c r="AM114" s="68">
        <v>696.09</v>
      </c>
      <c r="AN114" s="8">
        <v>0</v>
      </c>
      <c r="AO114" s="90">
        <v>78.036774193548297</v>
      </c>
      <c r="AP114" s="68">
        <v>2419.14</v>
      </c>
      <c r="AQ114" s="8">
        <v>0</v>
      </c>
      <c r="AR114" s="90">
        <v>64.903409090909093</v>
      </c>
      <c r="AS114" s="68">
        <v>2855.75</v>
      </c>
      <c r="AT114" s="8">
        <v>0</v>
      </c>
      <c r="AU114" s="90">
        <v>-26.246585365853601</v>
      </c>
      <c r="AV114" s="68">
        <v>-1076.1099999999999</v>
      </c>
      <c r="AW114" s="8">
        <v>0</v>
      </c>
      <c r="AX114" s="90">
        <v>1.0511627906976699</v>
      </c>
      <c r="AY114" s="68">
        <v>45.2</v>
      </c>
      <c r="AZ114" s="8"/>
      <c r="BA114" s="90"/>
      <c r="BB114" s="68"/>
      <c r="BC114" s="8"/>
      <c r="BD114" s="90"/>
      <c r="BE114" s="68"/>
      <c r="BF114" s="8"/>
      <c r="BG114" s="90"/>
      <c r="BH114" s="68"/>
    </row>
    <row r="115" spans="3:60" ht="20.25" x14ac:dyDescent="0.3">
      <c r="C115" s="8" t="s">
        <v>78</v>
      </c>
      <c r="D115" s="8"/>
      <c r="E115" s="90">
        <f t="shared" si="8"/>
        <v>111.27139999999997</v>
      </c>
      <c r="F115" s="18">
        <f t="shared" si="9"/>
        <v>55635.699999999983</v>
      </c>
      <c r="G115" s="8">
        <v>0</v>
      </c>
      <c r="H115" s="90">
        <v>47.472432432432399</v>
      </c>
      <c r="I115" s="18">
        <v>1756.48</v>
      </c>
      <c r="J115" s="8">
        <v>0</v>
      </c>
      <c r="K115" s="90">
        <v>44.480487804878003</v>
      </c>
      <c r="L115" s="18">
        <v>1823.7</v>
      </c>
      <c r="M115" s="8">
        <v>0</v>
      </c>
      <c r="N115" s="90">
        <v>59.103846153846099</v>
      </c>
      <c r="O115" s="18">
        <v>1536.7</v>
      </c>
      <c r="P115" s="8">
        <v>0</v>
      </c>
      <c r="Q115" s="90">
        <v>109.177826086956</v>
      </c>
      <c r="R115" s="18">
        <v>5022.18</v>
      </c>
      <c r="S115" s="8">
        <v>0</v>
      </c>
      <c r="T115" s="90">
        <v>83.719534883720897</v>
      </c>
      <c r="U115" s="18">
        <v>7199.88</v>
      </c>
      <c r="V115" s="8">
        <v>0</v>
      </c>
      <c r="W115" s="90">
        <v>35.9572</v>
      </c>
      <c r="X115" s="18">
        <v>1797.86</v>
      </c>
      <c r="Y115" s="8">
        <v>0</v>
      </c>
      <c r="Z115" s="90">
        <v>0</v>
      </c>
      <c r="AA115" s="18">
        <v>0</v>
      </c>
      <c r="AB115" s="8">
        <v>0</v>
      </c>
      <c r="AC115" s="90">
        <v>460.81058823529401</v>
      </c>
      <c r="AD115" s="18">
        <v>23501.34</v>
      </c>
      <c r="AE115" s="8">
        <v>0</v>
      </c>
      <c r="AF115" s="90">
        <v>151.858461538461</v>
      </c>
      <c r="AG115" s="18">
        <v>5922.48</v>
      </c>
      <c r="AH115" s="8">
        <v>0</v>
      </c>
      <c r="AI115" s="90">
        <v>16.032499999999999</v>
      </c>
      <c r="AJ115" s="18">
        <v>128.26</v>
      </c>
      <c r="AK115" s="8">
        <v>0</v>
      </c>
      <c r="AL115" s="90">
        <v>188.55666666666599</v>
      </c>
      <c r="AM115" s="18">
        <v>1131.3399999999999</v>
      </c>
      <c r="AN115" s="8">
        <v>0</v>
      </c>
      <c r="AO115" s="90">
        <v>48.238064516129</v>
      </c>
      <c r="AP115" s="18">
        <v>1495.38</v>
      </c>
      <c r="AQ115" s="8">
        <v>0</v>
      </c>
      <c r="AR115" s="90">
        <v>23.339772727272699</v>
      </c>
      <c r="AS115" s="18">
        <v>1026.95</v>
      </c>
      <c r="AT115" s="8">
        <v>0</v>
      </c>
      <c r="AU115" s="90">
        <v>33.6234146341463</v>
      </c>
      <c r="AV115" s="18">
        <v>1378.56</v>
      </c>
      <c r="AW115" s="8">
        <v>0</v>
      </c>
      <c r="AX115" s="90">
        <v>44.5253488372093</v>
      </c>
      <c r="AY115" s="18">
        <v>1914.59</v>
      </c>
      <c r="AZ115" s="8"/>
      <c r="BA115" s="90"/>
      <c r="BB115" s="18"/>
      <c r="BC115" s="8"/>
      <c r="BD115" s="90"/>
      <c r="BE115" s="18"/>
      <c r="BF115" s="8"/>
      <c r="BG115" s="90"/>
      <c r="BH115" s="18"/>
    </row>
    <row r="116" spans="3:60" ht="20.25" x14ac:dyDescent="0.3">
      <c r="C116" s="67" t="s">
        <v>77</v>
      </c>
      <c r="D116" s="67"/>
      <c r="E116" s="130">
        <f t="shared" si="8"/>
        <v>140.41546</v>
      </c>
      <c r="F116" s="22">
        <f t="shared" si="9"/>
        <v>70207.73</v>
      </c>
      <c r="G116" s="67">
        <v>0</v>
      </c>
      <c r="H116" s="130">
        <v>268.32351351351298</v>
      </c>
      <c r="I116" s="22">
        <v>9927.9699999999993</v>
      </c>
      <c r="J116" s="67">
        <v>0</v>
      </c>
      <c r="K116" s="130">
        <v>199.468780487804</v>
      </c>
      <c r="L116" s="22">
        <v>8178.22</v>
      </c>
      <c r="M116" s="67">
        <v>0</v>
      </c>
      <c r="N116" s="130">
        <v>174.488461538461</v>
      </c>
      <c r="O116" s="22">
        <v>4536.7</v>
      </c>
      <c r="P116" s="67">
        <v>0</v>
      </c>
      <c r="Q116" s="130">
        <v>0</v>
      </c>
      <c r="R116" s="22">
        <v>0</v>
      </c>
      <c r="S116" s="67">
        <v>0</v>
      </c>
      <c r="T116" s="130">
        <v>0</v>
      </c>
      <c r="U116" s="22">
        <v>0</v>
      </c>
      <c r="V116" s="67">
        <v>0</v>
      </c>
      <c r="W116" s="130">
        <v>155.70779999999999</v>
      </c>
      <c r="X116" s="22">
        <v>7785.39</v>
      </c>
      <c r="Y116" s="67">
        <v>0</v>
      </c>
      <c r="Z116" s="130">
        <v>594.77625</v>
      </c>
      <c r="AA116" s="22">
        <v>4758.21</v>
      </c>
      <c r="AB116" s="67">
        <v>0</v>
      </c>
      <c r="AC116" s="130">
        <v>133.42019607843099</v>
      </c>
      <c r="AD116" s="22">
        <v>6804.43</v>
      </c>
      <c r="AE116" s="67">
        <v>0</v>
      </c>
      <c r="AF116" s="130">
        <v>141.10153846153801</v>
      </c>
      <c r="AG116" s="22">
        <v>5502.96</v>
      </c>
      <c r="AH116" s="67">
        <v>0</v>
      </c>
      <c r="AI116" s="130">
        <v>384.04500000000002</v>
      </c>
      <c r="AJ116" s="22">
        <v>3072.36</v>
      </c>
      <c r="AK116" s="67">
        <v>0</v>
      </c>
      <c r="AL116" s="130">
        <v>554.25833333333298</v>
      </c>
      <c r="AM116" s="22">
        <v>3325.55</v>
      </c>
      <c r="AN116" s="67">
        <v>0</v>
      </c>
      <c r="AO116" s="130">
        <v>158.428387096774</v>
      </c>
      <c r="AP116" s="22">
        <v>4911.28</v>
      </c>
      <c r="AQ116" s="67">
        <v>0</v>
      </c>
      <c r="AR116" s="130">
        <v>142.84090909090901</v>
      </c>
      <c r="AS116" s="22">
        <v>6285</v>
      </c>
      <c r="AT116" s="67">
        <v>0</v>
      </c>
      <c r="AU116" s="130">
        <v>124.86975609756</v>
      </c>
      <c r="AV116" s="22">
        <v>5119.66</v>
      </c>
      <c r="AW116" s="67">
        <v>0</v>
      </c>
      <c r="AX116" s="130">
        <v>0</v>
      </c>
      <c r="AY116" s="22">
        <v>0</v>
      </c>
      <c r="AZ116" s="67"/>
      <c r="BA116" s="130"/>
      <c r="BB116" s="22"/>
      <c r="BC116" s="67"/>
      <c r="BD116" s="130"/>
      <c r="BE116" s="22"/>
      <c r="BF116" s="67"/>
      <c r="BG116" s="130"/>
      <c r="BH116" s="22"/>
    </row>
    <row r="117" spans="3:60" ht="20.25" x14ac:dyDescent="0.3">
      <c r="C117" s="8" t="s">
        <v>76</v>
      </c>
      <c r="D117" s="8"/>
      <c r="E117" s="90">
        <f t="shared" si="8"/>
        <v>637.77058000000011</v>
      </c>
      <c r="F117" s="18">
        <f t="shared" si="9"/>
        <v>318885.29000000004</v>
      </c>
      <c r="G117" s="8">
        <v>0</v>
      </c>
      <c r="H117" s="90">
        <v>657.57243243243204</v>
      </c>
      <c r="I117" s="18">
        <v>24330.18</v>
      </c>
      <c r="J117" s="8">
        <v>0</v>
      </c>
      <c r="K117" s="90">
        <v>600.73951219512196</v>
      </c>
      <c r="L117" s="18">
        <v>24630.32</v>
      </c>
      <c r="M117" s="8">
        <v>0</v>
      </c>
      <c r="N117" s="90">
        <v>650.02105263157898</v>
      </c>
      <c r="O117" s="18">
        <v>12350.4</v>
      </c>
      <c r="P117" s="8">
        <v>0</v>
      </c>
      <c r="Q117" s="90">
        <v>680.42695652173904</v>
      </c>
      <c r="R117" s="18">
        <v>31299.64</v>
      </c>
      <c r="S117" s="8">
        <v>0</v>
      </c>
      <c r="T117" s="90">
        <v>731.68872093023197</v>
      </c>
      <c r="U117" s="18">
        <v>62925.23</v>
      </c>
      <c r="V117" s="8">
        <v>0</v>
      </c>
      <c r="W117" s="90">
        <v>437.80339999999899</v>
      </c>
      <c r="X117" s="18">
        <v>21890.17</v>
      </c>
      <c r="Y117" s="8">
        <v>0</v>
      </c>
      <c r="Z117" s="90">
        <v>2262.875</v>
      </c>
      <c r="AA117" s="18">
        <v>18103</v>
      </c>
      <c r="AB117" s="8">
        <v>0</v>
      </c>
      <c r="AC117" s="90">
        <v>545.106078431372</v>
      </c>
      <c r="AD117" s="18">
        <v>27800.41</v>
      </c>
      <c r="AE117" s="8">
        <v>0</v>
      </c>
      <c r="AF117" s="90">
        <v>279.21871794871703</v>
      </c>
      <c r="AG117" s="18">
        <v>10889.53</v>
      </c>
      <c r="AH117" s="8">
        <v>0</v>
      </c>
      <c r="AI117" s="90">
        <v>1127.0899999999999</v>
      </c>
      <c r="AJ117" s="18">
        <v>9016.7199999999993</v>
      </c>
      <c r="AK117" s="8">
        <v>0</v>
      </c>
      <c r="AL117" s="90">
        <v>1374.1849999999999</v>
      </c>
      <c r="AM117" s="18">
        <v>8245.11</v>
      </c>
      <c r="AN117" s="8">
        <v>0</v>
      </c>
      <c r="AO117" s="90">
        <v>509.49193548387098</v>
      </c>
      <c r="AP117" s="18">
        <v>15794.25</v>
      </c>
      <c r="AQ117" s="8">
        <v>0</v>
      </c>
      <c r="AR117" s="90">
        <v>468.660454545454</v>
      </c>
      <c r="AS117" s="18">
        <v>20621.060000000001</v>
      </c>
      <c r="AT117" s="8">
        <v>0</v>
      </c>
      <c r="AU117" s="90">
        <v>469.56</v>
      </c>
      <c r="AV117" s="18">
        <v>19251.96</v>
      </c>
      <c r="AW117" s="8">
        <v>0</v>
      </c>
      <c r="AX117" s="90">
        <v>272.96069767441799</v>
      </c>
      <c r="AY117" s="18">
        <v>11737.31</v>
      </c>
      <c r="AZ117" s="8"/>
      <c r="BA117" s="90"/>
      <c r="BB117" s="18"/>
      <c r="BC117" s="8"/>
      <c r="BD117" s="90"/>
      <c r="BE117" s="18"/>
      <c r="BF117" s="8"/>
      <c r="BG117" s="90"/>
      <c r="BH117" s="18"/>
    </row>
    <row r="118" spans="3:60" ht="20.25" x14ac:dyDescent="0.3">
      <c r="C118" s="8" t="s">
        <v>75</v>
      </c>
      <c r="D118" s="8"/>
      <c r="E118" s="90">
        <f t="shared" si="8"/>
        <v>157.23032000000001</v>
      </c>
      <c r="F118" s="18">
        <f t="shared" si="9"/>
        <v>78615.16</v>
      </c>
      <c r="G118" s="8">
        <v>0</v>
      </c>
      <c r="H118" s="90">
        <v>49.0186486486486</v>
      </c>
      <c r="I118" s="18">
        <v>1813.69</v>
      </c>
      <c r="J118" s="8">
        <v>0</v>
      </c>
      <c r="K118" s="90">
        <v>29.5941463414634</v>
      </c>
      <c r="L118" s="18">
        <v>1213.3599999999999</v>
      </c>
      <c r="M118" s="8">
        <v>0</v>
      </c>
      <c r="N118" s="90">
        <v>459.79947368421</v>
      </c>
      <c r="O118" s="18">
        <v>8736.19</v>
      </c>
      <c r="P118" s="8">
        <v>0</v>
      </c>
      <c r="Q118" s="90">
        <v>246.440217391304</v>
      </c>
      <c r="R118" s="18">
        <v>11336.25</v>
      </c>
      <c r="S118" s="8">
        <v>0</v>
      </c>
      <c r="T118" s="90">
        <v>250.61034883720899</v>
      </c>
      <c r="U118" s="18">
        <v>21552.49</v>
      </c>
      <c r="V118" s="8">
        <v>0</v>
      </c>
      <c r="W118" s="90">
        <v>126.8972</v>
      </c>
      <c r="X118" s="18">
        <v>6344.86</v>
      </c>
      <c r="Y118" s="8">
        <v>0</v>
      </c>
      <c r="Z118" s="90">
        <v>392.79250000000002</v>
      </c>
      <c r="AA118" s="18">
        <v>3142.34</v>
      </c>
      <c r="AB118" s="8">
        <v>0</v>
      </c>
      <c r="AC118" s="90">
        <v>53.285882352941101</v>
      </c>
      <c r="AD118" s="18">
        <v>2717.58</v>
      </c>
      <c r="AE118" s="8">
        <v>0</v>
      </c>
      <c r="AF118" s="90">
        <v>293.065384615384</v>
      </c>
      <c r="AG118" s="18">
        <v>11429.55</v>
      </c>
      <c r="AH118" s="8">
        <v>0</v>
      </c>
      <c r="AI118" s="90">
        <v>14.56</v>
      </c>
      <c r="AJ118" s="18">
        <v>116.48</v>
      </c>
      <c r="AK118" s="8">
        <v>0</v>
      </c>
      <c r="AL118" s="90">
        <v>278.99166666666599</v>
      </c>
      <c r="AM118" s="18">
        <v>1673.95</v>
      </c>
      <c r="AN118" s="8">
        <v>0</v>
      </c>
      <c r="AO118" s="90">
        <v>38.669677419354798</v>
      </c>
      <c r="AP118" s="18">
        <v>1198.76</v>
      </c>
      <c r="AQ118" s="8">
        <v>0</v>
      </c>
      <c r="AR118" s="90">
        <v>59.2856818181818</v>
      </c>
      <c r="AS118" s="18">
        <v>2608.5700000000002</v>
      </c>
      <c r="AT118" s="8">
        <v>0</v>
      </c>
      <c r="AU118" s="90">
        <v>115.39243902439</v>
      </c>
      <c r="AV118" s="18">
        <v>4731.09</v>
      </c>
      <c r="AW118" s="8">
        <v>0</v>
      </c>
      <c r="AX118" s="90">
        <v>0</v>
      </c>
      <c r="AY118" s="18">
        <v>0</v>
      </c>
      <c r="AZ118" s="8"/>
      <c r="BA118" s="90"/>
      <c r="BB118" s="18"/>
      <c r="BC118" s="8"/>
      <c r="BD118" s="90"/>
      <c r="BE118" s="18"/>
      <c r="BF118" s="8"/>
      <c r="BG118" s="90"/>
      <c r="BH118" s="18"/>
    </row>
    <row r="119" spans="3:60" ht="20.25" hidden="1" x14ac:dyDescent="0.3">
      <c r="C119" s="8" t="s">
        <v>3</v>
      </c>
      <c r="D119" s="8"/>
      <c r="E119" s="90">
        <f t="shared" si="8"/>
        <v>0</v>
      </c>
      <c r="F119" s="18">
        <f t="shared" si="9"/>
        <v>0</v>
      </c>
      <c r="G119" s="8">
        <v>0</v>
      </c>
      <c r="H119" s="90">
        <v>0</v>
      </c>
      <c r="I119" s="18">
        <v>0</v>
      </c>
      <c r="J119" s="8">
        <v>0</v>
      </c>
      <c r="K119" s="90">
        <v>0</v>
      </c>
      <c r="L119" s="18">
        <v>0</v>
      </c>
      <c r="M119" s="8">
        <v>0</v>
      </c>
      <c r="N119" s="90">
        <v>0</v>
      </c>
      <c r="O119" s="18">
        <v>0</v>
      </c>
      <c r="P119" s="8">
        <v>0</v>
      </c>
      <c r="Q119" s="90">
        <v>0</v>
      </c>
      <c r="R119" s="18">
        <v>0</v>
      </c>
      <c r="S119" s="8">
        <v>0</v>
      </c>
      <c r="T119" s="90">
        <v>0</v>
      </c>
      <c r="U119" s="18">
        <v>0</v>
      </c>
      <c r="V119" s="8">
        <v>0</v>
      </c>
      <c r="W119" s="90">
        <v>0</v>
      </c>
      <c r="X119" s="18">
        <v>0</v>
      </c>
      <c r="Y119" s="8">
        <v>0</v>
      </c>
      <c r="Z119" s="90">
        <v>0</v>
      </c>
      <c r="AA119" s="18">
        <v>0</v>
      </c>
      <c r="AB119" s="8">
        <v>0</v>
      </c>
      <c r="AC119" s="90">
        <v>0</v>
      </c>
      <c r="AD119" s="18">
        <v>0</v>
      </c>
      <c r="AE119" s="8">
        <v>0</v>
      </c>
      <c r="AF119" s="90">
        <v>0</v>
      </c>
      <c r="AG119" s="18">
        <v>0</v>
      </c>
      <c r="AH119" s="8">
        <v>0</v>
      </c>
      <c r="AI119" s="90">
        <v>0</v>
      </c>
      <c r="AJ119" s="18">
        <v>0</v>
      </c>
      <c r="AK119" s="8">
        <v>0</v>
      </c>
      <c r="AL119" s="90">
        <v>0</v>
      </c>
      <c r="AM119" s="18">
        <v>0</v>
      </c>
      <c r="AN119" s="8">
        <v>0</v>
      </c>
      <c r="AO119" s="90">
        <v>0</v>
      </c>
      <c r="AP119" s="18">
        <v>0</v>
      </c>
      <c r="AQ119" s="8">
        <v>0</v>
      </c>
      <c r="AR119" s="90">
        <v>0</v>
      </c>
      <c r="AS119" s="18">
        <v>0</v>
      </c>
      <c r="AT119" s="8">
        <v>0</v>
      </c>
      <c r="AU119" s="90">
        <v>0</v>
      </c>
      <c r="AV119" s="18">
        <v>0</v>
      </c>
      <c r="AW119" s="8">
        <v>0</v>
      </c>
      <c r="AX119" s="90">
        <v>0</v>
      </c>
      <c r="AY119" s="18">
        <v>0</v>
      </c>
      <c r="AZ119" s="8"/>
      <c r="BA119" s="90"/>
      <c r="BB119" s="18"/>
      <c r="BC119" s="8"/>
      <c r="BD119" s="90"/>
      <c r="BE119" s="18"/>
      <c r="BF119" s="8"/>
      <c r="BG119" s="90"/>
      <c r="BH119" s="18"/>
    </row>
    <row r="120" spans="3:60" ht="20.25" hidden="1" x14ac:dyDescent="0.3">
      <c r="C120" s="8" t="s">
        <v>3</v>
      </c>
      <c r="D120" s="8"/>
      <c r="E120" s="90">
        <f t="shared" si="8"/>
        <v>0</v>
      </c>
      <c r="F120" s="18">
        <f t="shared" si="9"/>
        <v>0</v>
      </c>
      <c r="G120" s="8">
        <v>0</v>
      </c>
      <c r="H120" s="90">
        <v>0</v>
      </c>
      <c r="I120" s="18">
        <v>0</v>
      </c>
      <c r="J120" s="8">
        <v>0</v>
      </c>
      <c r="K120" s="90">
        <v>0</v>
      </c>
      <c r="L120" s="18">
        <v>0</v>
      </c>
      <c r="M120" s="8">
        <v>0</v>
      </c>
      <c r="N120" s="90">
        <v>0</v>
      </c>
      <c r="O120" s="18">
        <v>0</v>
      </c>
      <c r="P120" s="8">
        <v>0</v>
      </c>
      <c r="Q120" s="90">
        <v>0</v>
      </c>
      <c r="R120" s="18">
        <v>0</v>
      </c>
      <c r="S120" s="8">
        <v>0</v>
      </c>
      <c r="T120" s="90">
        <v>0</v>
      </c>
      <c r="U120" s="18">
        <v>0</v>
      </c>
      <c r="V120" s="8">
        <v>0</v>
      </c>
      <c r="W120" s="90">
        <v>0</v>
      </c>
      <c r="X120" s="18">
        <v>0</v>
      </c>
      <c r="Y120" s="8">
        <v>0</v>
      </c>
      <c r="Z120" s="90">
        <v>0</v>
      </c>
      <c r="AA120" s="18">
        <v>0</v>
      </c>
      <c r="AB120" s="8">
        <v>0</v>
      </c>
      <c r="AC120" s="90">
        <v>0</v>
      </c>
      <c r="AD120" s="18">
        <v>0</v>
      </c>
      <c r="AE120" s="8">
        <v>0</v>
      </c>
      <c r="AF120" s="90">
        <v>0</v>
      </c>
      <c r="AG120" s="18">
        <v>0</v>
      </c>
      <c r="AH120" s="8">
        <v>0</v>
      </c>
      <c r="AI120" s="90">
        <v>0</v>
      </c>
      <c r="AJ120" s="18">
        <v>0</v>
      </c>
      <c r="AK120" s="8">
        <v>0</v>
      </c>
      <c r="AL120" s="90">
        <v>0</v>
      </c>
      <c r="AM120" s="18">
        <v>0</v>
      </c>
      <c r="AN120" s="8">
        <v>0</v>
      </c>
      <c r="AO120" s="90">
        <v>0</v>
      </c>
      <c r="AP120" s="18">
        <v>0</v>
      </c>
      <c r="AQ120" s="8">
        <v>0</v>
      </c>
      <c r="AR120" s="90">
        <v>0</v>
      </c>
      <c r="AS120" s="18">
        <v>0</v>
      </c>
      <c r="AT120" s="8">
        <v>0</v>
      </c>
      <c r="AU120" s="90">
        <v>0</v>
      </c>
      <c r="AV120" s="18">
        <v>0</v>
      </c>
      <c r="AW120" s="8">
        <v>0</v>
      </c>
      <c r="AX120" s="90">
        <v>0</v>
      </c>
      <c r="AY120" s="18">
        <v>0</v>
      </c>
      <c r="AZ120" s="8"/>
      <c r="BA120" s="90"/>
      <c r="BB120" s="18"/>
      <c r="BC120" s="8"/>
      <c r="BD120" s="90"/>
      <c r="BE120" s="18"/>
      <c r="BF120" s="8"/>
      <c r="BG120" s="90"/>
      <c r="BH120" s="18"/>
    </row>
    <row r="121" spans="3:60" ht="20.25" hidden="1" x14ac:dyDescent="0.3">
      <c r="C121" s="8" t="s">
        <v>3</v>
      </c>
      <c r="D121" s="8"/>
      <c r="E121" s="90">
        <f t="shared" si="8"/>
        <v>0</v>
      </c>
      <c r="F121" s="18">
        <f t="shared" si="9"/>
        <v>0</v>
      </c>
      <c r="G121" s="8">
        <v>0</v>
      </c>
      <c r="H121" s="90">
        <v>0</v>
      </c>
      <c r="I121" s="18">
        <v>0</v>
      </c>
      <c r="J121" s="8">
        <v>0</v>
      </c>
      <c r="K121" s="90">
        <v>0</v>
      </c>
      <c r="L121" s="18">
        <v>0</v>
      </c>
      <c r="M121" s="8">
        <v>0</v>
      </c>
      <c r="N121" s="90">
        <v>0</v>
      </c>
      <c r="O121" s="18">
        <v>0</v>
      </c>
      <c r="P121" s="8">
        <v>0</v>
      </c>
      <c r="Q121" s="90">
        <v>0</v>
      </c>
      <c r="R121" s="18">
        <v>0</v>
      </c>
      <c r="S121" s="8">
        <v>0</v>
      </c>
      <c r="T121" s="90">
        <v>0</v>
      </c>
      <c r="U121" s="18">
        <v>0</v>
      </c>
      <c r="V121" s="8">
        <v>0</v>
      </c>
      <c r="W121" s="90">
        <v>0</v>
      </c>
      <c r="X121" s="18">
        <v>0</v>
      </c>
      <c r="Y121" s="8">
        <v>0</v>
      </c>
      <c r="Z121" s="90">
        <v>0</v>
      </c>
      <c r="AA121" s="18">
        <v>0</v>
      </c>
      <c r="AB121" s="8">
        <v>0</v>
      </c>
      <c r="AC121" s="90">
        <v>0</v>
      </c>
      <c r="AD121" s="18">
        <v>0</v>
      </c>
      <c r="AE121" s="8">
        <v>0</v>
      </c>
      <c r="AF121" s="90">
        <v>0</v>
      </c>
      <c r="AG121" s="18">
        <v>0</v>
      </c>
      <c r="AH121" s="8">
        <v>0</v>
      </c>
      <c r="AI121" s="90">
        <v>0</v>
      </c>
      <c r="AJ121" s="18">
        <v>0</v>
      </c>
      <c r="AK121" s="8">
        <v>0</v>
      </c>
      <c r="AL121" s="90">
        <v>0</v>
      </c>
      <c r="AM121" s="18">
        <v>0</v>
      </c>
      <c r="AN121" s="8">
        <v>0</v>
      </c>
      <c r="AO121" s="90">
        <v>0</v>
      </c>
      <c r="AP121" s="18">
        <v>0</v>
      </c>
      <c r="AQ121" s="8">
        <v>0</v>
      </c>
      <c r="AR121" s="90">
        <v>0</v>
      </c>
      <c r="AS121" s="18">
        <v>0</v>
      </c>
      <c r="AT121" s="8">
        <v>0</v>
      </c>
      <c r="AU121" s="90">
        <v>0</v>
      </c>
      <c r="AV121" s="18">
        <v>0</v>
      </c>
      <c r="AW121" s="8">
        <v>0</v>
      </c>
      <c r="AX121" s="90">
        <v>0</v>
      </c>
      <c r="AY121" s="18">
        <v>0</v>
      </c>
      <c r="AZ121" s="8"/>
      <c r="BA121" s="90"/>
      <c r="BB121" s="18"/>
      <c r="BC121" s="8"/>
      <c r="BD121" s="90"/>
      <c r="BE121" s="18"/>
      <c r="BF121" s="8"/>
      <c r="BG121" s="90"/>
      <c r="BH121" s="18"/>
    </row>
    <row r="122" spans="3:60" ht="20.25" x14ac:dyDescent="0.3">
      <c r="C122" s="11" t="s">
        <v>74</v>
      </c>
      <c r="D122" s="64"/>
      <c r="E122" s="14">
        <f>IFERROR(F122/F$108,0)</f>
        <v>0.54304631399727676</v>
      </c>
      <c r="F122" s="12">
        <f>SUM(F112:F118)</f>
        <v>1216954.6199999999</v>
      </c>
      <c r="G122" s="64" t="s">
        <v>18</v>
      </c>
      <c r="H122" s="14">
        <v>0.59697323939987701</v>
      </c>
      <c r="I122" s="12">
        <v>97256.94</v>
      </c>
      <c r="J122" s="64" t="s">
        <v>18</v>
      </c>
      <c r="K122" s="14">
        <v>0.71194385334551102</v>
      </c>
      <c r="L122" s="12">
        <v>94538.589999999895</v>
      </c>
      <c r="M122" s="64" t="s">
        <v>18</v>
      </c>
      <c r="N122" s="14">
        <v>0.57479176778921404</v>
      </c>
      <c r="O122" s="12">
        <v>52234.61</v>
      </c>
      <c r="P122" s="64" t="s">
        <v>18</v>
      </c>
      <c r="Q122" s="14">
        <v>0.55391483715484502</v>
      </c>
      <c r="R122" s="12">
        <v>128085.86</v>
      </c>
      <c r="S122" s="64" t="s">
        <v>18</v>
      </c>
      <c r="T122" s="14">
        <v>0.49869972067788398</v>
      </c>
      <c r="U122" s="12">
        <v>194238.25</v>
      </c>
      <c r="V122" s="64" t="s">
        <v>18</v>
      </c>
      <c r="W122" s="14">
        <v>0.52605205532325405</v>
      </c>
      <c r="X122" s="12">
        <v>102218.489999999</v>
      </c>
      <c r="Y122" s="64" t="s">
        <v>18</v>
      </c>
      <c r="Z122" s="14">
        <v>0.42374793730365001</v>
      </c>
      <c r="AA122" s="12">
        <v>40526.989999999903</v>
      </c>
      <c r="AB122" s="64" t="s">
        <v>18</v>
      </c>
      <c r="AC122" s="14">
        <v>0.68196664847411803</v>
      </c>
      <c r="AD122" s="12">
        <v>98325.89</v>
      </c>
      <c r="AE122" s="64" t="s">
        <v>18</v>
      </c>
      <c r="AF122" s="14">
        <v>0.48797951804442202</v>
      </c>
      <c r="AG122" s="12">
        <v>94306.38</v>
      </c>
      <c r="AH122" s="64" t="s">
        <v>18</v>
      </c>
      <c r="AI122" s="14">
        <v>0.71949489793002197</v>
      </c>
      <c r="AJ122" s="12">
        <v>23917.73</v>
      </c>
      <c r="AK122" s="64" t="s">
        <v>18</v>
      </c>
      <c r="AL122" s="14">
        <v>1.86183684170604</v>
      </c>
      <c r="AM122" s="12">
        <v>28227.96</v>
      </c>
      <c r="AN122" s="64" t="s">
        <v>18</v>
      </c>
      <c r="AO122" s="14">
        <v>0.52929035966341398</v>
      </c>
      <c r="AP122" s="12">
        <v>58161.049999999901</v>
      </c>
      <c r="AQ122" s="64" t="s">
        <v>18</v>
      </c>
      <c r="AR122" s="14">
        <v>0.42206136532303801</v>
      </c>
      <c r="AS122" s="12">
        <v>87041.23</v>
      </c>
      <c r="AT122" s="64" t="s">
        <v>18</v>
      </c>
      <c r="AU122" s="14">
        <v>0.49830015846794601</v>
      </c>
      <c r="AV122" s="12">
        <v>72606.169999999896</v>
      </c>
      <c r="AW122" s="64" t="s">
        <v>18</v>
      </c>
      <c r="AX122" s="14">
        <v>0.471286673518442</v>
      </c>
      <c r="AY122" s="12">
        <v>45268.479999999901</v>
      </c>
      <c r="AZ122" s="64"/>
      <c r="BA122" s="14"/>
      <c r="BB122" s="12"/>
      <c r="BC122" s="64"/>
      <c r="BD122" s="14"/>
      <c r="BE122" s="12"/>
      <c r="BF122" s="64"/>
      <c r="BG122" s="14"/>
      <c r="BH122" s="12"/>
    </row>
    <row r="123" spans="3:60" ht="20.25" x14ac:dyDescent="0.3">
      <c r="C123" s="17" t="s">
        <v>27</v>
      </c>
      <c r="D123" s="8"/>
      <c r="E123" s="7"/>
      <c r="F123" s="18">
        <f t="shared" ref="F123:F134" si="10">+SUM(I123,L123,O123,R123,U123,X123,AA123,AD123,AG123,AJ123,AM123,AP123,AS123,AV123,AY123,BB123,BE123,BH123)</f>
        <v>292783.32</v>
      </c>
      <c r="G123" s="8">
        <v>0</v>
      </c>
      <c r="H123" s="7">
        <v>0</v>
      </c>
      <c r="I123" s="18">
        <v>20640.29</v>
      </c>
      <c r="J123" s="8">
        <v>0</v>
      </c>
      <c r="K123" s="7">
        <v>0</v>
      </c>
      <c r="L123" s="18">
        <v>17340.36</v>
      </c>
      <c r="M123" s="8">
        <v>0</v>
      </c>
      <c r="N123" s="7">
        <v>0</v>
      </c>
      <c r="O123" s="18">
        <v>7969.71</v>
      </c>
      <c r="P123" s="8">
        <v>0</v>
      </c>
      <c r="Q123" s="7">
        <v>0</v>
      </c>
      <c r="R123" s="18">
        <v>23581.18</v>
      </c>
      <c r="S123" s="8">
        <v>0</v>
      </c>
      <c r="T123" s="7">
        <v>0</v>
      </c>
      <c r="U123" s="18">
        <v>61108.62</v>
      </c>
      <c r="V123" s="8">
        <v>0</v>
      </c>
      <c r="W123" s="7">
        <v>0</v>
      </c>
      <c r="X123" s="18">
        <v>25271.58</v>
      </c>
      <c r="Y123" s="8">
        <v>0</v>
      </c>
      <c r="Z123" s="7">
        <v>0</v>
      </c>
      <c r="AA123" s="18">
        <v>15935.48</v>
      </c>
      <c r="AB123" s="8">
        <v>0</v>
      </c>
      <c r="AC123" s="7">
        <v>0</v>
      </c>
      <c r="AD123" s="18">
        <v>25484.69</v>
      </c>
      <c r="AE123" s="8">
        <v>0</v>
      </c>
      <c r="AF123" s="7">
        <v>0</v>
      </c>
      <c r="AG123" s="18">
        <v>12830.67</v>
      </c>
      <c r="AH123" s="8">
        <v>0</v>
      </c>
      <c r="AI123" s="7">
        <v>0</v>
      </c>
      <c r="AJ123" s="18">
        <v>4782.97</v>
      </c>
      <c r="AK123" s="8">
        <v>0</v>
      </c>
      <c r="AL123" s="7">
        <v>0</v>
      </c>
      <c r="AM123" s="18">
        <v>10541.02</v>
      </c>
      <c r="AN123" s="8">
        <v>0</v>
      </c>
      <c r="AO123" s="7">
        <v>0</v>
      </c>
      <c r="AP123" s="18">
        <v>18435.89</v>
      </c>
      <c r="AQ123" s="8">
        <v>0</v>
      </c>
      <c r="AR123" s="7">
        <v>0</v>
      </c>
      <c r="AS123" s="18">
        <v>14888.91</v>
      </c>
      <c r="AT123" s="8">
        <v>0</v>
      </c>
      <c r="AU123" s="7">
        <v>0</v>
      </c>
      <c r="AV123" s="18">
        <v>18939.13</v>
      </c>
      <c r="AW123" s="8">
        <v>0</v>
      </c>
      <c r="AX123" s="7">
        <v>0</v>
      </c>
      <c r="AY123" s="18">
        <v>15032.82</v>
      </c>
      <c r="AZ123" s="8"/>
      <c r="BA123" s="7"/>
      <c r="BB123" s="18"/>
      <c r="BC123" s="8"/>
      <c r="BD123" s="7"/>
      <c r="BE123" s="18"/>
      <c r="BF123" s="8"/>
      <c r="BG123" s="7"/>
      <c r="BH123" s="18"/>
    </row>
    <row r="124" spans="3:60" ht="20.25" x14ac:dyDescent="0.3">
      <c r="C124" s="25" t="s">
        <v>26</v>
      </c>
      <c r="D124" s="8"/>
      <c r="E124" s="7"/>
      <c r="F124" s="22">
        <f t="shared" si="10"/>
        <v>149138.09000000003</v>
      </c>
      <c r="G124" s="8">
        <v>0</v>
      </c>
      <c r="H124" s="7">
        <v>0</v>
      </c>
      <c r="I124" s="22">
        <v>3807.64</v>
      </c>
      <c r="J124" s="8">
        <v>0</v>
      </c>
      <c r="K124" s="7">
        <v>0</v>
      </c>
      <c r="L124" s="22">
        <v>3478.58</v>
      </c>
      <c r="M124" s="8">
        <v>0</v>
      </c>
      <c r="N124" s="7">
        <v>0</v>
      </c>
      <c r="O124" s="22">
        <v>6833.33</v>
      </c>
      <c r="P124" s="8">
        <v>0</v>
      </c>
      <c r="Q124" s="7">
        <v>0</v>
      </c>
      <c r="R124" s="22">
        <v>17931.18</v>
      </c>
      <c r="S124" s="8">
        <v>0</v>
      </c>
      <c r="T124" s="7">
        <v>0</v>
      </c>
      <c r="U124" s="22">
        <v>29022.53</v>
      </c>
      <c r="V124" s="8">
        <v>0</v>
      </c>
      <c r="W124" s="7">
        <v>0</v>
      </c>
      <c r="X124" s="22">
        <v>20873.099999999999</v>
      </c>
      <c r="Y124" s="8">
        <v>0</v>
      </c>
      <c r="Z124" s="7">
        <v>0</v>
      </c>
      <c r="AA124" s="22">
        <v>5749.32</v>
      </c>
      <c r="AB124" s="8">
        <v>0</v>
      </c>
      <c r="AC124" s="7">
        <v>0</v>
      </c>
      <c r="AD124" s="22">
        <v>5902.13</v>
      </c>
      <c r="AE124" s="8">
        <v>0</v>
      </c>
      <c r="AF124" s="7">
        <v>0</v>
      </c>
      <c r="AG124" s="22">
        <v>9222.49</v>
      </c>
      <c r="AH124" s="8">
        <v>0</v>
      </c>
      <c r="AI124" s="7">
        <v>0</v>
      </c>
      <c r="AJ124" s="22">
        <v>1953.6</v>
      </c>
      <c r="AK124" s="8">
        <v>0</v>
      </c>
      <c r="AL124" s="7">
        <v>0</v>
      </c>
      <c r="AM124" s="22">
        <v>3627.9</v>
      </c>
      <c r="AN124" s="8">
        <v>0</v>
      </c>
      <c r="AO124" s="7">
        <v>0</v>
      </c>
      <c r="AP124" s="22">
        <v>8180.72</v>
      </c>
      <c r="AQ124" s="8">
        <v>0</v>
      </c>
      <c r="AR124" s="7">
        <v>0</v>
      </c>
      <c r="AS124" s="22">
        <v>9002.26</v>
      </c>
      <c r="AT124" s="8">
        <v>0</v>
      </c>
      <c r="AU124" s="7">
        <v>0</v>
      </c>
      <c r="AV124" s="22">
        <v>11275.42</v>
      </c>
      <c r="AW124" s="8">
        <v>0</v>
      </c>
      <c r="AX124" s="7">
        <v>0</v>
      </c>
      <c r="AY124" s="22">
        <v>12277.89</v>
      </c>
      <c r="AZ124" s="8"/>
      <c r="BA124" s="7"/>
      <c r="BB124" s="22"/>
      <c r="BC124" s="8"/>
      <c r="BD124" s="7"/>
      <c r="BE124" s="22"/>
      <c r="BF124" s="8"/>
      <c r="BG124" s="7"/>
      <c r="BH124" s="22"/>
    </row>
    <row r="125" spans="3:60" ht="20.25" x14ac:dyDescent="0.3">
      <c r="C125" s="17" t="s">
        <v>25</v>
      </c>
      <c r="D125" s="72"/>
      <c r="E125" s="71"/>
      <c r="F125" s="18">
        <f t="shared" si="10"/>
        <v>138105.80000000002</v>
      </c>
      <c r="G125" s="72">
        <v>0</v>
      </c>
      <c r="H125" s="71">
        <v>0</v>
      </c>
      <c r="I125" s="18">
        <v>12175.16</v>
      </c>
      <c r="J125" s="72">
        <v>0</v>
      </c>
      <c r="K125" s="71">
        <v>0</v>
      </c>
      <c r="L125" s="18">
        <v>12191.77</v>
      </c>
      <c r="M125" s="72">
        <v>0</v>
      </c>
      <c r="N125" s="71">
        <v>0</v>
      </c>
      <c r="O125" s="18">
        <v>5618</v>
      </c>
      <c r="P125" s="72">
        <v>0</v>
      </c>
      <c r="Q125" s="71">
        <v>0</v>
      </c>
      <c r="R125" s="18">
        <v>16552.97</v>
      </c>
      <c r="S125" s="72">
        <v>0</v>
      </c>
      <c r="T125" s="71">
        <v>0</v>
      </c>
      <c r="U125" s="18">
        <v>14915.31</v>
      </c>
      <c r="V125" s="72">
        <v>0</v>
      </c>
      <c r="W125" s="71">
        <v>0</v>
      </c>
      <c r="X125" s="18">
        <v>15260.46</v>
      </c>
      <c r="Y125" s="72">
        <v>0</v>
      </c>
      <c r="Z125" s="71">
        <v>0</v>
      </c>
      <c r="AA125" s="18">
        <v>5618</v>
      </c>
      <c r="AB125" s="72">
        <v>0</v>
      </c>
      <c r="AC125" s="71">
        <v>0</v>
      </c>
      <c r="AD125" s="18">
        <v>681.3</v>
      </c>
      <c r="AE125" s="72">
        <v>0</v>
      </c>
      <c r="AF125" s="71">
        <v>0</v>
      </c>
      <c r="AG125" s="18">
        <v>6514.23</v>
      </c>
      <c r="AH125" s="72">
        <v>0</v>
      </c>
      <c r="AI125" s="71">
        <v>0</v>
      </c>
      <c r="AJ125" s="18">
        <v>7625</v>
      </c>
      <c r="AK125" s="72">
        <v>0</v>
      </c>
      <c r="AL125" s="71">
        <v>0</v>
      </c>
      <c r="AM125" s="18">
        <v>5694</v>
      </c>
      <c r="AN125" s="72">
        <v>0</v>
      </c>
      <c r="AO125" s="71">
        <v>0</v>
      </c>
      <c r="AP125" s="18">
        <v>9174</v>
      </c>
      <c r="AQ125" s="72">
        <v>0</v>
      </c>
      <c r="AR125" s="71">
        <v>0</v>
      </c>
      <c r="AS125" s="18">
        <v>9257.3700000000008</v>
      </c>
      <c r="AT125" s="72">
        <v>0</v>
      </c>
      <c r="AU125" s="71">
        <v>0</v>
      </c>
      <c r="AV125" s="18">
        <v>11160</v>
      </c>
      <c r="AW125" s="72">
        <v>0</v>
      </c>
      <c r="AX125" s="71">
        <v>0</v>
      </c>
      <c r="AY125" s="18">
        <v>5668.23</v>
      </c>
      <c r="AZ125" s="72"/>
      <c r="BA125" s="71"/>
      <c r="BB125" s="18"/>
      <c r="BC125" s="72"/>
      <c r="BD125" s="71"/>
      <c r="BE125" s="18"/>
      <c r="BF125" s="72"/>
      <c r="BG125" s="71"/>
      <c r="BH125" s="18"/>
    </row>
    <row r="126" spans="3:60" ht="20.25" x14ac:dyDescent="0.3">
      <c r="C126" s="17" t="s">
        <v>24</v>
      </c>
      <c r="D126" s="8"/>
      <c r="E126" s="7"/>
      <c r="F126" s="18">
        <f t="shared" si="10"/>
        <v>0</v>
      </c>
      <c r="G126" s="8">
        <v>0</v>
      </c>
      <c r="H126" s="7">
        <v>0</v>
      </c>
      <c r="I126" s="18">
        <v>0</v>
      </c>
      <c r="J126" s="8">
        <v>0</v>
      </c>
      <c r="K126" s="7">
        <v>0</v>
      </c>
      <c r="L126" s="18">
        <v>0</v>
      </c>
      <c r="M126" s="8">
        <v>0</v>
      </c>
      <c r="N126" s="7">
        <v>0</v>
      </c>
      <c r="O126" s="18">
        <v>0</v>
      </c>
      <c r="P126" s="8">
        <v>0</v>
      </c>
      <c r="Q126" s="7">
        <v>0</v>
      </c>
      <c r="R126" s="18">
        <v>0</v>
      </c>
      <c r="S126" s="8">
        <v>0</v>
      </c>
      <c r="T126" s="7">
        <v>0</v>
      </c>
      <c r="U126" s="18">
        <v>0</v>
      </c>
      <c r="V126" s="8">
        <v>0</v>
      </c>
      <c r="W126" s="7">
        <v>0</v>
      </c>
      <c r="X126" s="18">
        <v>0</v>
      </c>
      <c r="Y126" s="8">
        <v>0</v>
      </c>
      <c r="Z126" s="7">
        <v>0</v>
      </c>
      <c r="AA126" s="18">
        <v>0</v>
      </c>
      <c r="AB126" s="8">
        <v>0</v>
      </c>
      <c r="AC126" s="7">
        <v>0</v>
      </c>
      <c r="AD126" s="18">
        <v>0</v>
      </c>
      <c r="AE126" s="8">
        <v>0</v>
      </c>
      <c r="AF126" s="7">
        <v>0</v>
      </c>
      <c r="AG126" s="18">
        <v>0</v>
      </c>
      <c r="AH126" s="8">
        <v>0</v>
      </c>
      <c r="AI126" s="7">
        <v>0</v>
      </c>
      <c r="AJ126" s="18">
        <v>0</v>
      </c>
      <c r="AK126" s="8">
        <v>0</v>
      </c>
      <c r="AL126" s="7">
        <v>0</v>
      </c>
      <c r="AM126" s="18">
        <v>0</v>
      </c>
      <c r="AN126" s="8">
        <v>0</v>
      </c>
      <c r="AO126" s="7">
        <v>0</v>
      </c>
      <c r="AP126" s="18">
        <v>0</v>
      </c>
      <c r="AQ126" s="8">
        <v>0</v>
      </c>
      <c r="AR126" s="7">
        <v>0</v>
      </c>
      <c r="AS126" s="18">
        <v>0</v>
      </c>
      <c r="AT126" s="8">
        <v>0</v>
      </c>
      <c r="AU126" s="7">
        <v>0</v>
      </c>
      <c r="AV126" s="18">
        <v>0</v>
      </c>
      <c r="AW126" s="8">
        <v>0</v>
      </c>
      <c r="AX126" s="7">
        <v>0</v>
      </c>
      <c r="AY126" s="18">
        <v>0</v>
      </c>
      <c r="AZ126" s="8"/>
      <c r="BA126" s="7"/>
      <c r="BB126" s="18"/>
      <c r="BC126" s="8"/>
      <c r="BD126" s="7"/>
      <c r="BE126" s="18"/>
      <c r="BF126" s="8"/>
      <c r="BG126" s="7"/>
      <c r="BH126" s="18"/>
    </row>
    <row r="127" spans="3:60" ht="20.25" hidden="1" x14ac:dyDescent="0.3">
      <c r="C127" s="17" t="s">
        <v>3</v>
      </c>
      <c r="D127" s="8"/>
      <c r="E127" s="7"/>
      <c r="F127" s="18">
        <f t="shared" si="10"/>
        <v>0</v>
      </c>
      <c r="G127" s="8">
        <v>0</v>
      </c>
      <c r="H127" s="7">
        <v>0</v>
      </c>
      <c r="I127" s="18">
        <v>0</v>
      </c>
      <c r="J127" s="8">
        <v>0</v>
      </c>
      <c r="K127" s="7">
        <v>0</v>
      </c>
      <c r="L127" s="18">
        <v>0</v>
      </c>
      <c r="M127" s="8">
        <v>0</v>
      </c>
      <c r="N127" s="7">
        <v>0</v>
      </c>
      <c r="O127" s="18">
        <v>0</v>
      </c>
      <c r="P127" s="8">
        <v>0</v>
      </c>
      <c r="Q127" s="7">
        <v>0</v>
      </c>
      <c r="R127" s="18">
        <v>0</v>
      </c>
      <c r="S127" s="8">
        <v>0</v>
      </c>
      <c r="T127" s="7">
        <v>0</v>
      </c>
      <c r="U127" s="18">
        <v>0</v>
      </c>
      <c r="V127" s="8">
        <v>0</v>
      </c>
      <c r="W127" s="7">
        <v>0</v>
      </c>
      <c r="X127" s="18">
        <v>0</v>
      </c>
      <c r="Y127" s="8">
        <v>0</v>
      </c>
      <c r="Z127" s="7">
        <v>0</v>
      </c>
      <c r="AA127" s="18">
        <v>0</v>
      </c>
      <c r="AB127" s="8">
        <v>0</v>
      </c>
      <c r="AC127" s="7">
        <v>0</v>
      </c>
      <c r="AD127" s="18">
        <v>0</v>
      </c>
      <c r="AE127" s="8">
        <v>0</v>
      </c>
      <c r="AF127" s="7">
        <v>0</v>
      </c>
      <c r="AG127" s="18">
        <v>0</v>
      </c>
      <c r="AH127" s="8">
        <v>0</v>
      </c>
      <c r="AI127" s="7">
        <v>0</v>
      </c>
      <c r="AJ127" s="18">
        <v>0</v>
      </c>
      <c r="AK127" s="8">
        <v>0</v>
      </c>
      <c r="AL127" s="7">
        <v>0</v>
      </c>
      <c r="AM127" s="18">
        <v>0</v>
      </c>
      <c r="AN127" s="8">
        <v>0</v>
      </c>
      <c r="AO127" s="7">
        <v>0</v>
      </c>
      <c r="AP127" s="18">
        <v>0</v>
      </c>
      <c r="AQ127" s="8">
        <v>0</v>
      </c>
      <c r="AR127" s="7">
        <v>0</v>
      </c>
      <c r="AS127" s="18">
        <v>0</v>
      </c>
      <c r="AT127" s="8">
        <v>0</v>
      </c>
      <c r="AU127" s="7">
        <v>0</v>
      </c>
      <c r="AV127" s="18">
        <v>0</v>
      </c>
      <c r="AW127" s="8">
        <v>0</v>
      </c>
      <c r="AX127" s="7">
        <v>0</v>
      </c>
      <c r="AY127" s="18">
        <v>0</v>
      </c>
      <c r="AZ127" s="8"/>
      <c r="BA127" s="7"/>
      <c r="BB127" s="18"/>
      <c r="BC127" s="8"/>
      <c r="BD127" s="7"/>
      <c r="BE127" s="18"/>
      <c r="BF127" s="8"/>
      <c r="BG127" s="7"/>
      <c r="BH127" s="18"/>
    </row>
    <row r="128" spans="3:60" ht="20.25" hidden="1" x14ac:dyDescent="0.3">
      <c r="C128" s="17" t="s">
        <v>3</v>
      </c>
      <c r="D128" s="8"/>
      <c r="E128" s="7"/>
      <c r="F128" s="18">
        <f t="shared" si="10"/>
        <v>0</v>
      </c>
      <c r="G128" s="8">
        <v>0</v>
      </c>
      <c r="H128" s="7">
        <v>0</v>
      </c>
      <c r="I128" s="18">
        <v>0</v>
      </c>
      <c r="J128" s="8">
        <v>0</v>
      </c>
      <c r="K128" s="7">
        <v>0</v>
      </c>
      <c r="L128" s="18">
        <v>0</v>
      </c>
      <c r="M128" s="8">
        <v>0</v>
      </c>
      <c r="N128" s="7">
        <v>0</v>
      </c>
      <c r="O128" s="18">
        <v>0</v>
      </c>
      <c r="P128" s="8">
        <v>0</v>
      </c>
      <c r="Q128" s="7">
        <v>0</v>
      </c>
      <c r="R128" s="18">
        <v>0</v>
      </c>
      <c r="S128" s="8">
        <v>0</v>
      </c>
      <c r="T128" s="7">
        <v>0</v>
      </c>
      <c r="U128" s="18">
        <v>0</v>
      </c>
      <c r="V128" s="8">
        <v>0</v>
      </c>
      <c r="W128" s="7">
        <v>0</v>
      </c>
      <c r="X128" s="18">
        <v>0</v>
      </c>
      <c r="Y128" s="8">
        <v>0</v>
      </c>
      <c r="Z128" s="7">
        <v>0</v>
      </c>
      <c r="AA128" s="18">
        <v>0</v>
      </c>
      <c r="AB128" s="8">
        <v>0</v>
      </c>
      <c r="AC128" s="7">
        <v>0</v>
      </c>
      <c r="AD128" s="18">
        <v>0</v>
      </c>
      <c r="AE128" s="8">
        <v>0</v>
      </c>
      <c r="AF128" s="7">
        <v>0</v>
      </c>
      <c r="AG128" s="18">
        <v>0</v>
      </c>
      <c r="AH128" s="8">
        <v>0</v>
      </c>
      <c r="AI128" s="7">
        <v>0</v>
      </c>
      <c r="AJ128" s="18">
        <v>0</v>
      </c>
      <c r="AK128" s="8">
        <v>0</v>
      </c>
      <c r="AL128" s="7">
        <v>0</v>
      </c>
      <c r="AM128" s="18">
        <v>0</v>
      </c>
      <c r="AN128" s="8">
        <v>0</v>
      </c>
      <c r="AO128" s="7">
        <v>0</v>
      </c>
      <c r="AP128" s="18">
        <v>0</v>
      </c>
      <c r="AQ128" s="8">
        <v>0</v>
      </c>
      <c r="AR128" s="7">
        <v>0</v>
      </c>
      <c r="AS128" s="18">
        <v>0</v>
      </c>
      <c r="AT128" s="8">
        <v>0</v>
      </c>
      <c r="AU128" s="7">
        <v>0</v>
      </c>
      <c r="AV128" s="18">
        <v>0</v>
      </c>
      <c r="AW128" s="8">
        <v>0</v>
      </c>
      <c r="AX128" s="7">
        <v>0</v>
      </c>
      <c r="AY128" s="18">
        <v>0</v>
      </c>
      <c r="AZ128" s="8"/>
      <c r="BA128" s="7"/>
      <c r="BB128" s="18"/>
      <c r="BC128" s="8"/>
      <c r="BD128" s="7"/>
      <c r="BE128" s="18"/>
      <c r="BF128" s="8"/>
      <c r="BG128" s="7"/>
      <c r="BH128" s="18"/>
    </row>
    <row r="129" spans="3:60" ht="20.25" hidden="1" x14ac:dyDescent="0.3">
      <c r="C129" s="17" t="s">
        <v>3</v>
      </c>
      <c r="D129" s="8"/>
      <c r="E129" s="7"/>
      <c r="F129" s="18">
        <f t="shared" si="10"/>
        <v>0</v>
      </c>
      <c r="G129" s="8">
        <v>0</v>
      </c>
      <c r="H129" s="7">
        <v>0</v>
      </c>
      <c r="I129" s="18">
        <v>0</v>
      </c>
      <c r="J129" s="8">
        <v>0</v>
      </c>
      <c r="K129" s="7">
        <v>0</v>
      </c>
      <c r="L129" s="18">
        <v>0</v>
      </c>
      <c r="M129" s="8">
        <v>0</v>
      </c>
      <c r="N129" s="7">
        <v>0</v>
      </c>
      <c r="O129" s="18">
        <v>0</v>
      </c>
      <c r="P129" s="8">
        <v>0</v>
      </c>
      <c r="Q129" s="7">
        <v>0</v>
      </c>
      <c r="R129" s="18">
        <v>0</v>
      </c>
      <c r="S129" s="8">
        <v>0</v>
      </c>
      <c r="T129" s="7">
        <v>0</v>
      </c>
      <c r="U129" s="18">
        <v>0</v>
      </c>
      <c r="V129" s="8">
        <v>0</v>
      </c>
      <c r="W129" s="7">
        <v>0</v>
      </c>
      <c r="X129" s="18">
        <v>0</v>
      </c>
      <c r="Y129" s="8">
        <v>0</v>
      </c>
      <c r="Z129" s="7">
        <v>0</v>
      </c>
      <c r="AA129" s="18">
        <v>0</v>
      </c>
      <c r="AB129" s="8">
        <v>0</v>
      </c>
      <c r="AC129" s="7">
        <v>0</v>
      </c>
      <c r="AD129" s="18">
        <v>0</v>
      </c>
      <c r="AE129" s="8">
        <v>0</v>
      </c>
      <c r="AF129" s="7">
        <v>0</v>
      </c>
      <c r="AG129" s="18">
        <v>0</v>
      </c>
      <c r="AH129" s="8">
        <v>0</v>
      </c>
      <c r="AI129" s="7">
        <v>0</v>
      </c>
      <c r="AJ129" s="18">
        <v>0</v>
      </c>
      <c r="AK129" s="8">
        <v>0</v>
      </c>
      <c r="AL129" s="7">
        <v>0</v>
      </c>
      <c r="AM129" s="18">
        <v>0</v>
      </c>
      <c r="AN129" s="8">
        <v>0</v>
      </c>
      <c r="AO129" s="7">
        <v>0</v>
      </c>
      <c r="AP129" s="18">
        <v>0</v>
      </c>
      <c r="AQ129" s="8">
        <v>0</v>
      </c>
      <c r="AR129" s="7">
        <v>0</v>
      </c>
      <c r="AS129" s="18">
        <v>0</v>
      </c>
      <c r="AT129" s="8">
        <v>0</v>
      </c>
      <c r="AU129" s="7">
        <v>0</v>
      </c>
      <c r="AV129" s="18">
        <v>0</v>
      </c>
      <c r="AW129" s="8">
        <v>0</v>
      </c>
      <c r="AX129" s="7">
        <v>0</v>
      </c>
      <c r="AY129" s="18">
        <v>0</v>
      </c>
      <c r="AZ129" s="8"/>
      <c r="BA129" s="7"/>
      <c r="BB129" s="18"/>
      <c r="BC129" s="8"/>
      <c r="BD129" s="7"/>
      <c r="BE129" s="18"/>
      <c r="BF129" s="8"/>
      <c r="BG129" s="7"/>
      <c r="BH129" s="18"/>
    </row>
    <row r="130" spans="3:60" ht="20.25" x14ac:dyDescent="0.3">
      <c r="C130" s="25" t="s">
        <v>23</v>
      </c>
      <c r="D130" s="8"/>
      <c r="E130" s="7"/>
      <c r="F130" s="18">
        <f t="shared" si="10"/>
        <v>152053.68000000002</v>
      </c>
      <c r="G130" s="8">
        <v>0</v>
      </c>
      <c r="H130" s="7">
        <v>0</v>
      </c>
      <c r="I130" s="18">
        <v>8884.66</v>
      </c>
      <c r="J130" s="8">
        <v>0</v>
      </c>
      <c r="K130" s="105">
        <v>0.129523027719083</v>
      </c>
      <c r="L130" s="18">
        <v>11385.6</v>
      </c>
      <c r="M130" s="8">
        <v>0</v>
      </c>
      <c r="N130" s="7">
        <v>0</v>
      </c>
      <c r="O130" s="18">
        <v>8954.23</v>
      </c>
      <c r="P130" s="8">
        <v>0</v>
      </c>
      <c r="Q130" s="7">
        <v>0</v>
      </c>
      <c r="R130" s="18">
        <v>16441.16</v>
      </c>
      <c r="S130" s="8">
        <v>0</v>
      </c>
      <c r="T130" s="7">
        <v>0</v>
      </c>
      <c r="U130" s="18">
        <v>22682.85</v>
      </c>
      <c r="V130" s="8">
        <v>0</v>
      </c>
      <c r="W130" s="7">
        <v>0</v>
      </c>
      <c r="X130" s="18">
        <v>12167.85</v>
      </c>
      <c r="Y130" s="8">
        <v>0</v>
      </c>
      <c r="Z130" s="7">
        <v>0</v>
      </c>
      <c r="AA130" s="18">
        <v>4697.42</v>
      </c>
      <c r="AB130" s="8">
        <v>0</v>
      </c>
      <c r="AC130" s="7">
        <v>0</v>
      </c>
      <c r="AD130" s="18">
        <v>8758.56</v>
      </c>
      <c r="AE130" s="8">
        <v>0</v>
      </c>
      <c r="AF130" s="7">
        <v>0</v>
      </c>
      <c r="AG130" s="18">
        <v>10671</v>
      </c>
      <c r="AH130" s="8">
        <v>0</v>
      </c>
      <c r="AI130" s="105">
        <v>4.2585873271515501E-3</v>
      </c>
      <c r="AJ130" s="18">
        <v>61.16</v>
      </c>
      <c r="AK130" s="8">
        <v>0</v>
      </c>
      <c r="AL130" s="7">
        <v>0</v>
      </c>
      <c r="AM130" s="18">
        <v>3642.05</v>
      </c>
      <c r="AN130" s="8">
        <v>0</v>
      </c>
      <c r="AO130" s="7">
        <v>0</v>
      </c>
      <c r="AP130" s="18">
        <v>5420.61</v>
      </c>
      <c r="AQ130" s="8">
        <v>0</v>
      </c>
      <c r="AR130" s="7">
        <v>0</v>
      </c>
      <c r="AS130" s="18">
        <v>12396</v>
      </c>
      <c r="AT130" s="8">
        <v>0</v>
      </c>
      <c r="AU130" s="7">
        <v>0</v>
      </c>
      <c r="AV130" s="18">
        <v>14888.58</v>
      </c>
      <c r="AW130" s="8">
        <v>0</v>
      </c>
      <c r="AX130" s="7">
        <v>0</v>
      </c>
      <c r="AY130" s="18">
        <v>11001.95</v>
      </c>
      <c r="AZ130" s="8"/>
      <c r="BA130" s="7"/>
      <c r="BB130" s="18"/>
      <c r="BC130" s="8"/>
      <c r="BD130" s="7"/>
      <c r="BE130" s="18"/>
      <c r="BF130" s="8"/>
      <c r="BG130" s="7"/>
      <c r="BH130" s="18"/>
    </row>
    <row r="131" spans="3:60" ht="20.25" x14ac:dyDescent="0.3">
      <c r="C131" s="17" t="s">
        <v>22</v>
      </c>
      <c r="D131" s="72"/>
      <c r="E131" s="71"/>
      <c r="F131" s="68">
        <f t="shared" si="10"/>
        <v>211609.11000000002</v>
      </c>
      <c r="G131" s="72">
        <v>0</v>
      </c>
      <c r="H131" s="71">
        <v>0</v>
      </c>
      <c r="I131" s="68">
        <v>15024.74</v>
      </c>
      <c r="J131" s="72">
        <v>0</v>
      </c>
      <c r="K131" s="71">
        <v>0</v>
      </c>
      <c r="L131" s="68">
        <v>14060.86</v>
      </c>
      <c r="M131" s="72">
        <v>0</v>
      </c>
      <c r="N131" s="71">
        <v>0</v>
      </c>
      <c r="O131" s="68">
        <v>9254.85</v>
      </c>
      <c r="P131" s="72">
        <v>0</v>
      </c>
      <c r="Q131" s="71">
        <v>0</v>
      </c>
      <c r="R131" s="68">
        <v>19508.34</v>
      </c>
      <c r="S131" s="72">
        <v>0</v>
      </c>
      <c r="T131" s="71">
        <v>0</v>
      </c>
      <c r="U131" s="68">
        <v>35139.79</v>
      </c>
      <c r="V131" s="72">
        <v>0</v>
      </c>
      <c r="W131" s="71">
        <v>0</v>
      </c>
      <c r="X131" s="68">
        <v>14682.99</v>
      </c>
      <c r="Y131" s="72">
        <v>0</v>
      </c>
      <c r="Z131" s="71">
        <v>0</v>
      </c>
      <c r="AA131" s="68">
        <v>9732.02</v>
      </c>
      <c r="AB131" s="72">
        <v>0</v>
      </c>
      <c r="AC131" s="71">
        <v>0</v>
      </c>
      <c r="AD131" s="68">
        <v>13164.63</v>
      </c>
      <c r="AE131" s="72">
        <v>0</v>
      </c>
      <c r="AF131" s="71">
        <v>0</v>
      </c>
      <c r="AG131" s="68">
        <v>15844.71</v>
      </c>
      <c r="AH131" s="72">
        <v>0</v>
      </c>
      <c r="AI131" s="104">
        <v>0.149674362371052</v>
      </c>
      <c r="AJ131" s="68">
        <v>3674.32</v>
      </c>
      <c r="AK131" s="72">
        <v>0</v>
      </c>
      <c r="AL131" s="71">
        <v>0</v>
      </c>
      <c r="AM131" s="68">
        <v>7429.51</v>
      </c>
      <c r="AN131" s="72">
        <v>0</v>
      </c>
      <c r="AO131" s="71">
        <v>0</v>
      </c>
      <c r="AP131" s="68">
        <v>10351.41</v>
      </c>
      <c r="AQ131" s="72">
        <v>0</v>
      </c>
      <c r="AR131" s="71">
        <v>0</v>
      </c>
      <c r="AS131" s="68">
        <v>15146.33</v>
      </c>
      <c r="AT131" s="72">
        <v>0</v>
      </c>
      <c r="AU131" s="71">
        <v>0</v>
      </c>
      <c r="AV131" s="68">
        <v>16606.23</v>
      </c>
      <c r="AW131" s="72">
        <v>0</v>
      </c>
      <c r="AX131" s="71">
        <v>0</v>
      </c>
      <c r="AY131" s="68">
        <v>11988.38</v>
      </c>
      <c r="AZ131" s="72"/>
      <c r="BA131" s="71"/>
      <c r="BB131" s="68"/>
      <c r="BC131" s="72"/>
      <c r="BD131" s="71"/>
      <c r="BE131" s="68"/>
      <c r="BF131" s="72"/>
      <c r="BG131" s="71"/>
      <c r="BH131" s="68"/>
    </row>
    <row r="132" spans="3:60" ht="20.25" x14ac:dyDescent="0.3">
      <c r="C132" s="17" t="s">
        <v>21</v>
      </c>
      <c r="D132" s="8"/>
      <c r="E132" s="7"/>
      <c r="F132" s="18">
        <f t="shared" si="10"/>
        <v>74106.909999999989</v>
      </c>
      <c r="G132" s="8">
        <v>0</v>
      </c>
      <c r="H132" s="7">
        <v>0</v>
      </c>
      <c r="I132" s="18">
        <v>4650.95</v>
      </c>
      <c r="J132" s="8">
        <v>0</v>
      </c>
      <c r="K132" s="7">
        <v>0</v>
      </c>
      <c r="L132" s="18">
        <v>7476.55</v>
      </c>
      <c r="M132" s="8">
        <v>0</v>
      </c>
      <c r="N132" s="7">
        <v>0</v>
      </c>
      <c r="O132" s="18">
        <v>4670.1000000000004</v>
      </c>
      <c r="P132" s="8">
        <v>0</v>
      </c>
      <c r="Q132" s="7">
        <v>0</v>
      </c>
      <c r="R132" s="18">
        <v>12384.72</v>
      </c>
      <c r="S132" s="8">
        <v>0</v>
      </c>
      <c r="T132" s="7">
        <v>0</v>
      </c>
      <c r="U132" s="18">
        <v>3821.85</v>
      </c>
      <c r="V132" s="8">
        <v>0</v>
      </c>
      <c r="W132" s="7">
        <v>0</v>
      </c>
      <c r="X132" s="18">
        <v>7819.72</v>
      </c>
      <c r="Y132" s="8">
        <v>0</v>
      </c>
      <c r="Z132" s="7">
        <v>0</v>
      </c>
      <c r="AA132" s="18">
        <v>2473.02</v>
      </c>
      <c r="AB132" s="8">
        <v>0</v>
      </c>
      <c r="AC132" s="7">
        <v>0</v>
      </c>
      <c r="AD132" s="18">
        <v>3123.39</v>
      </c>
      <c r="AE132" s="8">
        <v>0</v>
      </c>
      <c r="AF132" s="7">
        <v>0</v>
      </c>
      <c r="AG132" s="18">
        <v>5827.21</v>
      </c>
      <c r="AH132" s="8">
        <v>0</v>
      </c>
      <c r="AI132" s="7">
        <v>0</v>
      </c>
      <c r="AJ132" s="18">
        <v>26.14</v>
      </c>
      <c r="AK132" s="8">
        <v>0</v>
      </c>
      <c r="AL132" s="7">
        <v>0</v>
      </c>
      <c r="AM132" s="18">
        <v>1400.11</v>
      </c>
      <c r="AN132" s="8">
        <v>0</v>
      </c>
      <c r="AO132" s="7">
        <v>0</v>
      </c>
      <c r="AP132" s="18">
        <v>2525.36</v>
      </c>
      <c r="AQ132" s="8">
        <v>0</v>
      </c>
      <c r="AR132" s="7">
        <v>0</v>
      </c>
      <c r="AS132" s="18">
        <v>5560.42</v>
      </c>
      <c r="AT132" s="8">
        <v>0</v>
      </c>
      <c r="AU132" s="7">
        <v>0</v>
      </c>
      <c r="AV132" s="18">
        <v>8081.6799999999903</v>
      </c>
      <c r="AW132" s="8">
        <v>0</v>
      </c>
      <c r="AX132" s="7">
        <v>0</v>
      </c>
      <c r="AY132" s="18">
        <v>4265.6899999999996</v>
      </c>
      <c r="AZ132" s="8"/>
      <c r="BA132" s="7"/>
      <c r="BB132" s="18"/>
      <c r="BC132" s="8"/>
      <c r="BD132" s="7"/>
      <c r="BE132" s="18"/>
      <c r="BF132" s="8"/>
      <c r="BG132" s="7"/>
      <c r="BH132" s="18"/>
    </row>
    <row r="133" spans="3:60" ht="20.25" x14ac:dyDescent="0.3">
      <c r="C133" s="17" t="s">
        <v>20</v>
      </c>
      <c r="D133" s="8"/>
      <c r="E133" s="7"/>
      <c r="F133" s="18">
        <f t="shared" si="10"/>
        <v>27102.689999999988</v>
      </c>
      <c r="G133" s="8">
        <v>0</v>
      </c>
      <c r="H133" s="7">
        <v>0</v>
      </c>
      <c r="I133" s="18">
        <v>2006.79</v>
      </c>
      <c r="J133" s="8">
        <v>0</v>
      </c>
      <c r="K133" s="7">
        <v>0</v>
      </c>
      <c r="L133" s="18">
        <v>2210.7399999999998</v>
      </c>
      <c r="M133" s="8">
        <v>0</v>
      </c>
      <c r="N133" s="7">
        <v>0</v>
      </c>
      <c r="O133" s="18">
        <v>1388.39</v>
      </c>
      <c r="P133" s="8">
        <v>0</v>
      </c>
      <c r="Q133" s="7">
        <v>0</v>
      </c>
      <c r="R133" s="18">
        <v>2342.09</v>
      </c>
      <c r="S133" s="8">
        <v>0</v>
      </c>
      <c r="T133" s="7">
        <v>0</v>
      </c>
      <c r="U133" s="18">
        <v>3991.1</v>
      </c>
      <c r="V133" s="8">
        <v>0</v>
      </c>
      <c r="W133" s="7">
        <v>0</v>
      </c>
      <c r="X133" s="18">
        <v>2438.16</v>
      </c>
      <c r="Y133" s="8">
        <v>0</v>
      </c>
      <c r="Z133" s="7">
        <v>0</v>
      </c>
      <c r="AA133" s="18">
        <v>1367.1399999999901</v>
      </c>
      <c r="AB133" s="8">
        <v>0</v>
      </c>
      <c r="AC133" s="7">
        <v>0</v>
      </c>
      <c r="AD133" s="18">
        <v>1737.87</v>
      </c>
      <c r="AE133" s="8">
        <v>0</v>
      </c>
      <c r="AF133" s="7">
        <v>0</v>
      </c>
      <c r="AG133" s="18">
        <v>1822.26</v>
      </c>
      <c r="AH133" s="8">
        <v>0</v>
      </c>
      <c r="AI133" s="7">
        <v>0</v>
      </c>
      <c r="AJ133" s="18">
        <v>19.61</v>
      </c>
      <c r="AK133" s="8">
        <v>0</v>
      </c>
      <c r="AL133" s="7">
        <v>0</v>
      </c>
      <c r="AM133" s="18">
        <v>609.95000000000005</v>
      </c>
      <c r="AN133" s="8">
        <v>0</v>
      </c>
      <c r="AO133" s="7">
        <v>0</v>
      </c>
      <c r="AP133" s="18">
        <v>1356.02</v>
      </c>
      <c r="AQ133" s="8">
        <v>0</v>
      </c>
      <c r="AR133" s="7">
        <v>0</v>
      </c>
      <c r="AS133" s="18">
        <v>1647.16</v>
      </c>
      <c r="AT133" s="8">
        <v>0</v>
      </c>
      <c r="AU133" s="7">
        <v>0</v>
      </c>
      <c r="AV133" s="18">
        <v>3001.74</v>
      </c>
      <c r="AW133" s="8">
        <v>0</v>
      </c>
      <c r="AX133" s="7">
        <v>0</v>
      </c>
      <c r="AY133" s="18">
        <v>1163.67</v>
      </c>
      <c r="AZ133" s="8"/>
      <c r="BA133" s="7"/>
      <c r="BB133" s="18"/>
      <c r="BC133" s="8"/>
      <c r="BD133" s="7"/>
      <c r="BE133" s="18"/>
      <c r="BF133" s="8"/>
      <c r="BG133" s="7"/>
      <c r="BH133" s="18"/>
    </row>
    <row r="134" spans="3:60" ht="20.25" hidden="1" x14ac:dyDescent="0.3">
      <c r="C134" s="8" t="s">
        <v>3</v>
      </c>
      <c r="D134" s="67"/>
      <c r="E134" s="66"/>
      <c r="F134" s="18">
        <f t="shared" si="10"/>
        <v>0</v>
      </c>
      <c r="G134" s="67">
        <v>0</v>
      </c>
      <c r="H134" s="66">
        <v>0</v>
      </c>
      <c r="I134" s="18">
        <v>0</v>
      </c>
      <c r="J134" s="67">
        <v>0</v>
      </c>
      <c r="K134" s="66">
        <v>0</v>
      </c>
      <c r="L134" s="18">
        <v>0</v>
      </c>
      <c r="M134" s="67">
        <v>0</v>
      </c>
      <c r="N134" s="66">
        <v>0</v>
      </c>
      <c r="O134" s="18">
        <v>0</v>
      </c>
      <c r="P134" s="67">
        <v>0</v>
      </c>
      <c r="Q134" s="66">
        <v>0</v>
      </c>
      <c r="R134" s="18">
        <v>0</v>
      </c>
      <c r="S134" s="67">
        <v>0</v>
      </c>
      <c r="T134" s="66">
        <v>0</v>
      </c>
      <c r="U134" s="18">
        <v>0</v>
      </c>
      <c r="V134" s="67">
        <v>0</v>
      </c>
      <c r="W134" s="66">
        <v>0</v>
      </c>
      <c r="X134" s="18">
        <v>0</v>
      </c>
      <c r="Y134" s="67">
        <v>0</v>
      </c>
      <c r="Z134" s="66">
        <v>0</v>
      </c>
      <c r="AA134" s="18">
        <v>0</v>
      </c>
      <c r="AB134" s="67">
        <v>0</v>
      </c>
      <c r="AC134" s="66">
        <v>0</v>
      </c>
      <c r="AD134" s="18">
        <v>0</v>
      </c>
      <c r="AE134" s="67">
        <v>0</v>
      </c>
      <c r="AF134" s="66">
        <v>0</v>
      </c>
      <c r="AG134" s="18">
        <v>0</v>
      </c>
      <c r="AH134" s="67">
        <v>0</v>
      </c>
      <c r="AI134" s="66">
        <v>0</v>
      </c>
      <c r="AJ134" s="18">
        <v>0</v>
      </c>
      <c r="AK134" s="67">
        <v>0</v>
      </c>
      <c r="AL134" s="66">
        <v>0</v>
      </c>
      <c r="AM134" s="18">
        <v>0</v>
      </c>
      <c r="AN134" s="67">
        <v>0</v>
      </c>
      <c r="AO134" s="66">
        <v>0</v>
      </c>
      <c r="AP134" s="18">
        <v>0</v>
      </c>
      <c r="AQ134" s="67">
        <v>0</v>
      </c>
      <c r="AR134" s="66">
        <v>0</v>
      </c>
      <c r="AS134" s="18">
        <v>0</v>
      </c>
      <c r="AT134" s="67">
        <v>0</v>
      </c>
      <c r="AU134" s="66">
        <v>0</v>
      </c>
      <c r="AV134" s="18">
        <v>0</v>
      </c>
      <c r="AW134" s="67">
        <v>0</v>
      </c>
      <c r="AX134" s="66">
        <v>0</v>
      </c>
      <c r="AY134" s="18">
        <v>0</v>
      </c>
      <c r="AZ134" s="67"/>
      <c r="BA134" s="66"/>
      <c r="BB134" s="18"/>
      <c r="BC134" s="67"/>
      <c r="BD134" s="66"/>
      <c r="BE134" s="18"/>
      <c r="BF134" s="67"/>
      <c r="BG134" s="66"/>
      <c r="BH134" s="18"/>
    </row>
    <row r="135" spans="3:60" ht="20.25" x14ac:dyDescent="0.3">
      <c r="C135" s="11" t="s">
        <v>19</v>
      </c>
      <c r="D135" s="64"/>
      <c r="E135" s="14"/>
      <c r="F135" s="12">
        <f>SUM(F123:F133)</f>
        <v>1044899.6000000001</v>
      </c>
      <c r="G135" s="64" t="s">
        <v>18</v>
      </c>
      <c r="H135" s="14">
        <v>0.412420638148011</v>
      </c>
      <c r="I135" s="12">
        <v>67190.23</v>
      </c>
      <c r="J135" s="64" t="s">
        <v>18</v>
      </c>
      <c r="K135" s="14">
        <v>0.51317699403544104</v>
      </c>
      <c r="L135" s="12">
        <v>68144.460000000006</v>
      </c>
      <c r="M135" s="64" t="s">
        <v>18</v>
      </c>
      <c r="N135" s="14">
        <v>0.49175527762038901</v>
      </c>
      <c r="O135" s="12">
        <v>44688.61</v>
      </c>
      <c r="P135" s="64" t="s">
        <v>18</v>
      </c>
      <c r="Q135" s="14">
        <v>0.470259619700026</v>
      </c>
      <c r="R135" s="12">
        <v>108741.64</v>
      </c>
      <c r="S135" s="64" t="s">
        <v>18</v>
      </c>
      <c r="T135" s="14">
        <v>0.43822002442736502</v>
      </c>
      <c r="U135" s="12">
        <v>170682.05</v>
      </c>
      <c r="V135" s="64" t="s">
        <v>18</v>
      </c>
      <c r="W135" s="14">
        <v>0.50698673528465599</v>
      </c>
      <c r="X135" s="12">
        <v>98513.86</v>
      </c>
      <c r="Y135" s="64" t="s">
        <v>18</v>
      </c>
      <c r="Z135" s="14">
        <v>0.47650246164289201</v>
      </c>
      <c r="AA135" s="12">
        <v>45572.4</v>
      </c>
      <c r="AB135" s="64" t="s">
        <v>18</v>
      </c>
      <c r="AC135" s="14">
        <v>0.40818842236758202</v>
      </c>
      <c r="AD135" s="12">
        <v>58852.57</v>
      </c>
      <c r="AE135" s="64" t="s">
        <v>18</v>
      </c>
      <c r="AF135" s="14">
        <v>0.324603799597524</v>
      </c>
      <c r="AG135" s="12">
        <v>62732.57</v>
      </c>
      <c r="AH135" s="64" t="s">
        <v>18</v>
      </c>
      <c r="AI135" s="14">
        <v>0.54577303256474596</v>
      </c>
      <c r="AJ135" s="12">
        <v>18142.8</v>
      </c>
      <c r="AK135" s="64" t="s">
        <v>18</v>
      </c>
      <c r="AL135" s="14">
        <v>2.1729291916616802</v>
      </c>
      <c r="AM135" s="12">
        <v>32944.539999999899</v>
      </c>
      <c r="AN135" s="64" t="s">
        <v>18</v>
      </c>
      <c r="AO135" s="14">
        <v>0.50456413689371105</v>
      </c>
      <c r="AP135" s="12">
        <v>55444.01</v>
      </c>
      <c r="AQ135" s="64" t="s">
        <v>18</v>
      </c>
      <c r="AR135" s="14">
        <v>0.32923836795870198</v>
      </c>
      <c r="AS135" s="12">
        <v>67898.45</v>
      </c>
      <c r="AT135" s="64" t="s">
        <v>18</v>
      </c>
      <c r="AU135" s="14">
        <v>0.57617257015243495</v>
      </c>
      <c r="AV135" s="12">
        <v>83952.78</v>
      </c>
      <c r="AW135" s="64" t="s">
        <v>18</v>
      </c>
      <c r="AX135" s="14">
        <v>0.63921642810382895</v>
      </c>
      <c r="AY135" s="12">
        <v>61398.63</v>
      </c>
      <c r="AZ135" s="64"/>
      <c r="BA135" s="14"/>
      <c r="BB135" s="12"/>
      <c r="BC135" s="64"/>
      <c r="BD135" s="14"/>
      <c r="BE135" s="12"/>
      <c r="BF135" s="64"/>
      <c r="BG135" s="14"/>
      <c r="BH135" s="12"/>
    </row>
    <row r="136" spans="3:60" ht="20.25" x14ac:dyDescent="0.3">
      <c r="C136" s="8" t="s">
        <v>17</v>
      </c>
      <c r="D136" s="8"/>
      <c r="E136" s="7"/>
      <c r="F136" s="18">
        <f t="shared" ref="F136:F152" si="11">+SUM(I136,L136,O136,R136,U136,X136,AA136,AD136,AG136,AJ136,AM136,AP136,AS136,AV136,AY136,BB136,BE136,BH136)</f>
        <v>0</v>
      </c>
      <c r="G136" s="8">
        <v>0</v>
      </c>
      <c r="H136" s="7">
        <v>0</v>
      </c>
      <c r="I136" s="18">
        <v>0</v>
      </c>
      <c r="J136" s="8">
        <v>0</v>
      </c>
      <c r="K136" s="7">
        <v>0</v>
      </c>
      <c r="L136" s="18">
        <v>0</v>
      </c>
      <c r="M136" s="8">
        <v>0</v>
      </c>
      <c r="N136" s="7">
        <v>0</v>
      </c>
      <c r="O136" s="18">
        <v>0</v>
      </c>
      <c r="P136" s="8">
        <v>0</v>
      </c>
      <c r="Q136" s="7">
        <v>0</v>
      </c>
      <c r="R136" s="18">
        <v>0</v>
      </c>
      <c r="S136" s="8">
        <v>0</v>
      </c>
      <c r="T136" s="7">
        <v>0</v>
      </c>
      <c r="U136" s="18">
        <v>0</v>
      </c>
      <c r="V136" s="8">
        <v>0</v>
      </c>
      <c r="W136" s="7">
        <v>0</v>
      </c>
      <c r="X136" s="18">
        <v>0</v>
      </c>
      <c r="Y136" s="8">
        <v>0</v>
      </c>
      <c r="Z136" s="7">
        <v>0</v>
      </c>
      <c r="AA136" s="18">
        <v>0</v>
      </c>
      <c r="AB136" s="8">
        <v>0</v>
      </c>
      <c r="AC136" s="7">
        <v>0</v>
      </c>
      <c r="AD136" s="18">
        <v>0</v>
      </c>
      <c r="AE136" s="8">
        <v>0</v>
      </c>
      <c r="AF136" s="7">
        <v>0</v>
      </c>
      <c r="AG136" s="18">
        <v>0</v>
      </c>
      <c r="AH136" s="8">
        <v>0</v>
      </c>
      <c r="AI136" s="7">
        <v>0</v>
      </c>
      <c r="AJ136" s="18">
        <v>0</v>
      </c>
      <c r="AK136" s="8">
        <v>0</v>
      </c>
      <c r="AL136" s="7">
        <v>0</v>
      </c>
      <c r="AM136" s="18">
        <v>0</v>
      </c>
      <c r="AN136" s="8">
        <v>0</v>
      </c>
      <c r="AO136" s="7">
        <v>0</v>
      </c>
      <c r="AP136" s="18">
        <v>0</v>
      </c>
      <c r="AQ136" s="8">
        <v>0</v>
      </c>
      <c r="AR136" s="7">
        <v>0</v>
      </c>
      <c r="AS136" s="18">
        <v>0</v>
      </c>
      <c r="AT136" s="8">
        <v>0</v>
      </c>
      <c r="AU136" s="7">
        <v>0</v>
      </c>
      <c r="AV136" s="18">
        <v>0</v>
      </c>
      <c r="AW136" s="8">
        <v>0</v>
      </c>
      <c r="AX136" s="7">
        <v>0</v>
      </c>
      <c r="AY136" s="18">
        <v>0</v>
      </c>
      <c r="AZ136" s="8"/>
      <c r="BA136" s="7"/>
      <c r="BB136" s="18"/>
      <c r="BC136" s="8"/>
      <c r="BD136" s="7"/>
      <c r="BE136" s="18"/>
      <c r="BF136" s="8"/>
      <c r="BG136" s="7"/>
      <c r="BH136" s="18"/>
    </row>
    <row r="137" spans="3:60" ht="20.25" x14ac:dyDescent="0.3">
      <c r="C137" s="8" t="s">
        <v>16</v>
      </c>
      <c r="D137" s="8"/>
      <c r="E137" s="7"/>
      <c r="F137" s="18">
        <f t="shared" si="11"/>
        <v>0</v>
      </c>
      <c r="G137" s="8">
        <v>0</v>
      </c>
      <c r="H137" s="7">
        <v>0</v>
      </c>
      <c r="I137" s="18">
        <v>0</v>
      </c>
      <c r="J137" s="8">
        <v>0</v>
      </c>
      <c r="K137" s="7">
        <v>0</v>
      </c>
      <c r="L137" s="18">
        <v>0</v>
      </c>
      <c r="M137" s="8">
        <v>0</v>
      </c>
      <c r="N137" s="7">
        <v>0</v>
      </c>
      <c r="O137" s="18">
        <v>0</v>
      </c>
      <c r="P137" s="8">
        <v>0</v>
      </c>
      <c r="Q137" s="7">
        <v>0</v>
      </c>
      <c r="R137" s="18">
        <v>0</v>
      </c>
      <c r="S137" s="8">
        <v>0</v>
      </c>
      <c r="T137" s="7">
        <v>0</v>
      </c>
      <c r="U137" s="18">
        <v>0</v>
      </c>
      <c r="V137" s="8">
        <v>0</v>
      </c>
      <c r="W137" s="7">
        <v>0</v>
      </c>
      <c r="X137" s="18">
        <v>0</v>
      </c>
      <c r="Y137" s="8">
        <v>0</v>
      </c>
      <c r="Z137" s="7">
        <v>0</v>
      </c>
      <c r="AA137" s="18">
        <v>0</v>
      </c>
      <c r="AB137" s="8">
        <v>0</v>
      </c>
      <c r="AC137" s="7">
        <v>0</v>
      </c>
      <c r="AD137" s="18">
        <v>0</v>
      </c>
      <c r="AE137" s="8">
        <v>0</v>
      </c>
      <c r="AF137" s="7">
        <v>0</v>
      </c>
      <c r="AG137" s="18">
        <v>0</v>
      </c>
      <c r="AH137" s="8">
        <v>0</v>
      </c>
      <c r="AI137" s="7">
        <v>0</v>
      </c>
      <c r="AJ137" s="18">
        <v>0</v>
      </c>
      <c r="AK137" s="8">
        <v>0</v>
      </c>
      <c r="AL137" s="7">
        <v>0</v>
      </c>
      <c r="AM137" s="18">
        <v>0</v>
      </c>
      <c r="AN137" s="8">
        <v>0</v>
      </c>
      <c r="AO137" s="7">
        <v>0</v>
      </c>
      <c r="AP137" s="18">
        <v>0</v>
      </c>
      <c r="AQ137" s="8">
        <v>0</v>
      </c>
      <c r="AR137" s="7">
        <v>0</v>
      </c>
      <c r="AS137" s="18">
        <v>0</v>
      </c>
      <c r="AT137" s="8">
        <v>0</v>
      </c>
      <c r="AU137" s="7">
        <v>0</v>
      </c>
      <c r="AV137" s="18">
        <v>0</v>
      </c>
      <c r="AW137" s="8">
        <v>0</v>
      </c>
      <c r="AX137" s="7">
        <v>0</v>
      </c>
      <c r="AY137" s="18">
        <v>0</v>
      </c>
      <c r="AZ137" s="8"/>
      <c r="BA137" s="7"/>
      <c r="BB137" s="18"/>
      <c r="BC137" s="8"/>
      <c r="BD137" s="7"/>
      <c r="BE137" s="18"/>
      <c r="BF137" s="8"/>
      <c r="BG137" s="7"/>
      <c r="BH137" s="18"/>
    </row>
    <row r="138" spans="3:60" ht="20.25" x14ac:dyDescent="0.3">
      <c r="C138" s="67" t="s">
        <v>15</v>
      </c>
      <c r="D138" s="67"/>
      <c r="E138" s="66"/>
      <c r="F138" s="22">
        <f t="shared" si="11"/>
        <v>57645.039999999986</v>
      </c>
      <c r="G138" s="67">
        <v>0</v>
      </c>
      <c r="H138" s="66">
        <v>0</v>
      </c>
      <c r="I138" s="22">
        <v>4142.16</v>
      </c>
      <c r="J138" s="67">
        <v>0</v>
      </c>
      <c r="K138" s="66">
        <v>0</v>
      </c>
      <c r="L138" s="22">
        <v>2805.13</v>
      </c>
      <c r="M138" s="67">
        <v>0</v>
      </c>
      <c r="N138" s="66">
        <v>0</v>
      </c>
      <c r="O138" s="22">
        <v>2159.4299999999998</v>
      </c>
      <c r="P138" s="67">
        <v>0</v>
      </c>
      <c r="Q138" s="66">
        <v>0</v>
      </c>
      <c r="R138" s="22">
        <v>6527.84</v>
      </c>
      <c r="S138" s="67">
        <v>0</v>
      </c>
      <c r="T138" s="66">
        <v>0</v>
      </c>
      <c r="U138" s="22">
        <v>6860.6</v>
      </c>
      <c r="V138" s="67">
        <v>0</v>
      </c>
      <c r="W138" s="66">
        <v>0</v>
      </c>
      <c r="X138" s="22">
        <v>5658.54</v>
      </c>
      <c r="Y138" s="67">
        <v>0</v>
      </c>
      <c r="Z138" s="66">
        <v>0</v>
      </c>
      <c r="AA138" s="22">
        <v>4697.04</v>
      </c>
      <c r="AB138" s="67">
        <v>0</v>
      </c>
      <c r="AC138" s="66">
        <v>0</v>
      </c>
      <c r="AD138" s="22">
        <v>2057.7600000000002</v>
      </c>
      <c r="AE138" s="67">
        <v>0</v>
      </c>
      <c r="AF138" s="66">
        <v>0</v>
      </c>
      <c r="AG138" s="22">
        <v>7179.63</v>
      </c>
      <c r="AH138" s="67">
        <v>0</v>
      </c>
      <c r="AI138" s="66">
        <v>0</v>
      </c>
      <c r="AJ138" s="22">
        <v>365.86</v>
      </c>
      <c r="AK138" s="67">
        <v>0</v>
      </c>
      <c r="AL138" s="66">
        <v>0</v>
      </c>
      <c r="AM138" s="22">
        <v>1674.92</v>
      </c>
      <c r="AN138" s="67">
        <v>0</v>
      </c>
      <c r="AO138" s="66">
        <v>0</v>
      </c>
      <c r="AP138" s="22">
        <v>744.41</v>
      </c>
      <c r="AQ138" s="67">
        <v>0</v>
      </c>
      <c r="AR138" s="66">
        <v>0</v>
      </c>
      <c r="AS138" s="22">
        <v>3878.51</v>
      </c>
      <c r="AT138" s="67">
        <v>0</v>
      </c>
      <c r="AU138" s="66">
        <v>0</v>
      </c>
      <c r="AV138" s="22">
        <v>7165.31</v>
      </c>
      <c r="AW138" s="67">
        <v>0</v>
      </c>
      <c r="AX138" s="66">
        <v>0</v>
      </c>
      <c r="AY138" s="22">
        <v>1727.8999999999901</v>
      </c>
      <c r="AZ138" s="67"/>
      <c r="BA138" s="66"/>
      <c r="BB138" s="22"/>
      <c r="BC138" s="67"/>
      <c r="BD138" s="66"/>
      <c r="BE138" s="22"/>
      <c r="BF138" s="67"/>
      <c r="BG138" s="66"/>
      <c r="BH138" s="22"/>
    </row>
    <row r="139" spans="3:60" ht="20.25" x14ac:dyDescent="0.3">
      <c r="C139" s="8" t="s">
        <v>14</v>
      </c>
      <c r="D139" s="8"/>
      <c r="E139" s="7"/>
      <c r="F139" s="18">
        <f t="shared" si="11"/>
        <v>68027.12</v>
      </c>
      <c r="G139" s="8">
        <v>0</v>
      </c>
      <c r="H139" s="7">
        <v>0</v>
      </c>
      <c r="I139" s="18">
        <v>4048.18</v>
      </c>
      <c r="J139" s="8">
        <v>0</v>
      </c>
      <c r="K139" s="7">
        <v>0</v>
      </c>
      <c r="L139" s="18">
        <v>2780.24</v>
      </c>
      <c r="M139" s="8">
        <v>0</v>
      </c>
      <c r="N139" s="7">
        <v>0</v>
      </c>
      <c r="O139" s="18">
        <v>2974.95</v>
      </c>
      <c r="P139" s="8">
        <v>0</v>
      </c>
      <c r="Q139" s="7">
        <v>0</v>
      </c>
      <c r="R139" s="18">
        <v>7137.43</v>
      </c>
      <c r="S139" s="8">
        <v>0</v>
      </c>
      <c r="T139" s="7">
        <v>0</v>
      </c>
      <c r="U139" s="18">
        <v>7777.03</v>
      </c>
      <c r="V139" s="8">
        <v>0</v>
      </c>
      <c r="W139" s="7">
        <v>0</v>
      </c>
      <c r="X139" s="18">
        <v>10387.08</v>
      </c>
      <c r="Y139" s="8">
        <v>0</v>
      </c>
      <c r="Z139" s="7">
        <v>0</v>
      </c>
      <c r="AA139" s="18">
        <v>2676.75</v>
      </c>
      <c r="AB139" s="8">
        <v>0</v>
      </c>
      <c r="AC139" s="7">
        <v>0</v>
      </c>
      <c r="AD139" s="18">
        <v>2116.69</v>
      </c>
      <c r="AE139" s="8">
        <v>0</v>
      </c>
      <c r="AF139" s="7">
        <v>0</v>
      </c>
      <c r="AG139" s="18">
        <v>3649.9</v>
      </c>
      <c r="AH139" s="8">
        <v>0</v>
      </c>
      <c r="AI139" s="7">
        <v>0</v>
      </c>
      <c r="AJ139" s="18">
        <v>2071.25</v>
      </c>
      <c r="AK139" s="8">
        <v>0</v>
      </c>
      <c r="AL139" s="7">
        <v>0</v>
      </c>
      <c r="AM139" s="18">
        <v>2852.22</v>
      </c>
      <c r="AN139" s="8">
        <v>0</v>
      </c>
      <c r="AO139" s="7">
        <v>0</v>
      </c>
      <c r="AP139" s="18">
        <v>5360.79</v>
      </c>
      <c r="AQ139" s="8">
        <v>0</v>
      </c>
      <c r="AR139" s="7">
        <v>0</v>
      </c>
      <c r="AS139" s="18">
        <v>5824.59</v>
      </c>
      <c r="AT139" s="8">
        <v>0</v>
      </c>
      <c r="AU139" s="7">
        <v>0</v>
      </c>
      <c r="AV139" s="18">
        <v>5681.73</v>
      </c>
      <c r="AW139" s="8">
        <v>0</v>
      </c>
      <c r="AX139" s="7">
        <v>0</v>
      </c>
      <c r="AY139" s="18">
        <v>2688.29</v>
      </c>
      <c r="AZ139" s="8"/>
      <c r="BA139" s="7"/>
      <c r="BB139" s="18"/>
      <c r="BC139" s="8"/>
      <c r="BD139" s="7"/>
      <c r="BE139" s="18"/>
      <c r="BF139" s="8"/>
      <c r="BG139" s="7"/>
      <c r="BH139" s="18"/>
    </row>
    <row r="140" spans="3:60" ht="20.25" x14ac:dyDescent="0.3">
      <c r="C140" s="8" t="s">
        <v>13</v>
      </c>
      <c r="D140" s="8"/>
      <c r="E140" s="7"/>
      <c r="F140" s="18">
        <f t="shared" si="11"/>
        <v>11404.960000000001</v>
      </c>
      <c r="G140" s="8">
        <v>0</v>
      </c>
      <c r="H140" s="7">
        <v>0</v>
      </c>
      <c r="I140" s="18">
        <v>1048.02</v>
      </c>
      <c r="J140" s="8">
        <v>0</v>
      </c>
      <c r="K140" s="7">
        <v>0</v>
      </c>
      <c r="L140" s="18">
        <v>874.81</v>
      </c>
      <c r="M140" s="8">
        <v>0</v>
      </c>
      <c r="N140" s="7">
        <v>0</v>
      </c>
      <c r="O140" s="18">
        <v>342.76</v>
      </c>
      <c r="P140" s="8">
        <v>0</v>
      </c>
      <c r="Q140" s="7">
        <v>0</v>
      </c>
      <c r="R140" s="18">
        <v>914.41</v>
      </c>
      <c r="S140" s="8">
        <v>0</v>
      </c>
      <c r="T140" s="7">
        <v>0</v>
      </c>
      <c r="U140" s="18">
        <v>56.94</v>
      </c>
      <c r="V140" s="8">
        <v>0</v>
      </c>
      <c r="W140" s="7">
        <v>0</v>
      </c>
      <c r="X140" s="18">
        <v>2102.7600000000002</v>
      </c>
      <c r="Y140" s="8">
        <v>0</v>
      </c>
      <c r="Z140" s="7">
        <v>0</v>
      </c>
      <c r="AA140" s="18">
        <v>367.48</v>
      </c>
      <c r="AB140" s="8">
        <v>0</v>
      </c>
      <c r="AC140" s="7">
        <v>0</v>
      </c>
      <c r="AD140" s="18">
        <v>840.13</v>
      </c>
      <c r="AE140" s="8">
        <v>0</v>
      </c>
      <c r="AF140" s="7">
        <v>0</v>
      </c>
      <c r="AG140" s="18">
        <v>695.13</v>
      </c>
      <c r="AH140" s="8">
        <v>0</v>
      </c>
      <c r="AI140" s="7">
        <v>0</v>
      </c>
      <c r="AJ140" s="18">
        <v>461.52</v>
      </c>
      <c r="AK140" s="8">
        <v>0</v>
      </c>
      <c r="AL140" s="7">
        <v>0</v>
      </c>
      <c r="AM140" s="18">
        <v>462.15</v>
      </c>
      <c r="AN140" s="8">
        <v>0</v>
      </c>
      <c r="AO140" s="7">
        <v>0</v>
      </c>
      <c r="AP140" s="18">
        <v>531.24</v>
      </c>
      <c r="AQ140" s="8">
        <v>0</v>
      </c>
      <c r="AR140" s="7">
        <v>0</v>
      </c>
      <c r="AS140" s="18">
        <v>1017.46</v>
      </c>
      <c r="AT140" s="8">
        <v>0</v>
      </c>
      <c r="AU140" s="7">
        <v>0</v>
      </c>
      <c r="AV140" s="18">
        <v>1089.0999999999999</v>
      </c>
      <c r="AW140" s="8">
        <v>0</v>
      </c>
      <c r="AX140" s="7">
        <v>0</v>
      </c>
      <c r="AY140" s="18">
        <v>601.04999999999995</v>
      </c>
      <c r="AZ140" s="8"/>
      <c r="BA140" s="7"/>
      <c r="BB140" s="18"/>
      <c r="BC140" s="8"/>
      <c r="BD140" s="7"/>
      <c r="BE140" s="18"/>
      <c r="BF140" s="8"/>
      <c r="BG140" s="7"/>
      <c r="BH140" s="18"/>
    </row>
    <row r="141" spans="3:60" ht="20.25" x14ac:dyDescent="0.3">
      <c r="C141" s="67" t="s">
        <v>12</v>
      </c>
      <c r="D141" s="67"/>
      <c r="E141" s="66"/>
      <c r="F141" s="22">
        <f t="shared" si="11"/>
        <v>89157.329999999987</v>
      </c>
      <c r="G141" s="67">
        <v>0</v>
      </c>
      <c r="H141" s="66">
        <v>0</v>
      </c>
      <c r="I141" s="22">
        <v>4349.2299999999996</v>
      </c>
      <c r="J141" s="67">
        <v>0</v>
      </c>
      <c r="K141" s="66">
        <v>0</v>
      </c>
      <c r="L141" s="22">
        <v>2834.89</v>
      </c>
      <c r="M141" s="67">
        <v>0</v>
      </c>
      <c r="N141" s="66">
        <v>0</v>
      </c>
      <c r="O141" s="22">
        <v>1533.56</v>
      </c>
      <c r="P141" s="67">
        <v>0</v>
      </c>
      <c r="Q141" s="66">
        <v>0</v>
      </c>
      <c r="R141" s="22">
        <v>12854.5</v>
      </c>
      <c r="S141" s="67">
        <v>0</v>
      </c>
      <c r="T141" s="66">
        <v>0</v>
      </c>
      <c r="U141" s="22">
        <v>13066.32</v>
      </c>
      <c r="V141" s="67">
        <v>0</v>
      </c>
      <c r="W141" s="66">
        <v>0</v>
      </c>
      <c r="X141" s="22">
        <v>19483.349999999999</v>
      </c>
      <c r="Y141" s="67">
        <v>0</v>
      </c>
      <c r="Z141" s="66">
        <v>0</v>
      </c>
      <c r="AA141" s="22">
        <v>2149.1799999999998</v>
      </c>
      <c r="AB141" s="67">
        <v>0</v>
      </c>
      <c r="AC141" s="66">
        <v>0</v>
      </c>
      <c r="AD141" s="22">
        <v>3198.82</v>
      </c>
      <c r="AE141" s="67">
        <v>0</v>
      </c>
      <c r="AF141" s="66">
        <v>0</v>
      </c>
      <c r="AG141" s="22">
        <v>4065.94</v>
      </c>
      <c r="AH141" s="67">
        <v>0</v>
      </c>
      <c r="AI141" s="66">
        <v>0</v>
      </c>
      <c r="AJ141" s="22">
        <v>1476.03</v>
      </c>
      <c r="AK141" s="67">
        <v>0</v>
      </c>
      <c r="AL141" s="66">
        <v>0</v>
      </c>
      <c r="AM141" s="22">
        <v>4876.74</v>
      </c>
      <c r="AN141" s="67">
        <v>0</v>
      </c>
      <c r="AO141" s="66">
        <v>0</v>
      </c>
      <c r="AP141" s="22">
        <v>4911.51</v>
      </c>
      <c r="AQ141" s="67">
        <v>0</v>
      </c>
      <c r="AR141" s="66">
        <v>0</v>
      </c>
      <c r="AS141" s="22">
        <v>7723.29</v>
      </c>
      <c r="AT141" s="67">
        <v>0</v>
      </c>
      <c r="AU141" s="66">
        <v>0</v>
      </c>
      <c r="AV141" s="22">
        <v>5845.24</v>
      </c>
      <c r="AW141" s="67">
        <v>0</v>
      </c>
      <c r="AX141" s="66">
        <v>0</v>
      </c>
      <c r="AY141" s="22">
        <v>788.73</v>
      </c>
      <c r="AZ141" s="67"/>
      <c r="BA141" s="66"/>
      <c r="BB141" s="22"/>
      <c r="BC141" s="67"/>
      <c r="BD141" s="66"/>
      <c r="BE141" s="22"/>
      <c r="BF141" s="67"/>
      <c r="BG141" s="66"/>
      <c r="BH141" s="22"/>
    </row>
    <row r="142" spans="3:60" ht="20.25" x14ac:dyDescent="0.3">
      <c r="C142" s="8" t="s">
        <v>11</v>
      </c>
      <c r="D142" s="8"/>
      <c r="E142" s="7"/>
      <c r="F142" s="18">
        <f t="shared" si="11"/>
        <v>4470.2599999999984</v>
      </c>
      <c r="G142" s="8">
        <v>0</v>
      </c>
      <c r="H142" s="7">
        <v>0</v>
      </c>
      <c r="I142" s="18">
        <v>23.31</v>
      </c>
      <c r="J142" s="8">
        <v>0</v>
      </c>
      <c r="K142" s="7">
        <v>0</v>
      </c>
      <c r="L142" s="18">
        <v>5.98</v>
      </c>
      <c r="M142" s="8">
        <v>0</v>
      </c>
      <c r="N142" s="7">
        <v>0</v>
      </c>
      <c r="O142" s="18">
        <v>81.08</v>
      </c>
      <c r="P142" s="8">
        <v>0</v>
      </c>
      <c r="Q142" s="7">
        <v>0</v>
      </c>
      <c r="R142" s="18">
        <v>1453.06</v>
      </c>
      <c r="S142" s="8">
        <v>0</v>
      </c>
      <c r="T142" s="7">
        <v>0</v>
      </c>
      <c r="U142" s="18">
        <v>122.96</v>
      </c>
      <c r="V142" s="8">
        <v>0</v>
      </c>
      <c r="W142" s="7">
        <v>0</v>
      </c>
      <c r="X142" s="18">
        <v>5.58</v>
      </c>
      <c r="Y142" s="8">
        <v>0</v>
      </c>
      <c r="Z142" s="7">
        <v>0</v>
      </c>
      <c r="AA142" s="18">
        <v>60.49</v>
      </c>
      <c r="AB142" s="8">
        <v>0</v>
      </c>
      <c r="AC142" s="7">
        <v>0</v>
      </c>
      <c r="AD142" s="18">
        <v>2351.15</v>
      </c>
      <c r="AE142" s="8">
        <v>0</v>
      </c>
      <c r="AF142" s="7">
        <v>0</v>
      </c>
      <c r="AG142" s="18">
        <v>24.45</v>
      </c>
      <c r="AH142" s="8">
        <v>0</v>
      </c>
      <c r="AI142" s="7">
        <v>0</v>
      </c>
      <c r="AJ142" s="18">
        <v>120.24</v>
      </c>
      <c r="AK142" s="8">
        <v>0</v>
      </c>
      <c r="AL142" s="7">
        <v>0</v>
      </c>
      <c r="AM142" s="18">
        <v>0</v>
      </c>
      <c r="AN142" s="8">
        <v>0</v>
      </c>
      <c r="AO142" s="7">
        <v>0</v>
      </c>
      <c r="AP142" s="18">
        <v>0</v>
      </c>
      <c r="AQ142" s="8">
        <v>0</v>
      </c>
      <c r="AR142" s="7">
        <v>0</v>
      </c>
      <c r="AS142" s="18">
        <v>55.98</v>
      </c>
      <c r="AT142" s="8">
        <v>0</v>
      </c>
      <c r="AU142" s="7">
        <v>0</v>
      </c>
      <c r="AV142" s="18">
        <v>165.98</v>
      </c>
      <c r="AW142" s="8">
        <v>0</v>
      </c>
      <c r="AX142" s="7">
        <v>0</v>
      </c>
      <c r="AY142" s="18">
        <v>0</v>
      </c>
      <c r="AZ142" s="8"/>
      <c r="BA142" s="7"/>
      <c r="BB142" s="18"/>
      <c r="BC142" s="8"/>
      <c r="BD142" s="7"/>
      <c r="BE142" s="18"/>
      <c r="BF142" s="8"/>
      <c r="BG142" s="7"/>
      <c r="BH142" s="18"/>
    </row>
    <row r="143" spans="3:60" ht="20.25" x14ac:dyDescent="0.3">
      <c r="C143" s="8" t="s">
        <v>10</v>
      </c>
      <c r="D143" s="8"/>
      <c r="E143" s="7"/>
      <c r="F143" s="18">
        <f t="shared" si="11"/>
        <v>297.73</v>
      </c>
      <c r="G143" s="8">
        <v>0</v>
      </c>
      <c r="H143" s="7">
        <v>0</v>
      </c>
      <c r="I143" s="18">
        <v>0</v>
      </c>
      <c r="J143" s="8">
        <v>0</v>
      </c>
      <c r="K143" s="7">
        <v>0</v>
      </c>
      <c r="L143" s="18">
        <v>0</v>
      </c>
      <c r="M143" s="8">
        <v>0</v>
      </c>
      <c r="N143" s="7">
        <v>0</v>
      </c>
      <c r="O143" s="18">
        <v>0</v>
      </c>
      <c r="P143" s="8">
        <v>0</v>
      </c>
      <c r="Q143" s="7">
        <v>0</v>
      </c>
      <c r="R143" s="18">
        <v>0</v>
      </c>
      <c r="S143" s="8">
        <v>0</v>
      </c>
      <c r="T143" s="7">
        <v>0</v>
      </c>
      <c r="U143" s="18">
        <v>0</v>
      </c>
      <c r="V143" s="8">
        <v>0</v>
      </c>
      <c r="W143" s="7">
        <v>0</v>
      </c>
      <c r="X143" s="18">
        <v>0</v>
      </c>
      <c r="Y143" s="8">
        <v>0</v>
      </c>
      <c r="Z143" s="7">
        <v>0</v>
      </c>
      <c r="AA143" s="18">
        <v>0</v>
      </c>
      <c r="AB143" s="8">
        <v>0</v>
      </c>
      <c r="AC143" s="7">
        <v>0</v>
      </c>
      <c r="AD143" s="18">
        <v>0</v>
      </c>
      <c r="AE143" s="8">
        <v>0</v>
      </c>
      <c r="AF143" s="7">
        <v>0</v>
      </c>
      <c r="AG143" s="18">
        <v>0</v>
      </c>
      <c r="AH143" s="8">
        <v>0</v>
      </c>
      <c r="AI143" s="7">
        <v>0</v>
      </c>
      <c r="AJ143" s="18">
        <v>0</v>
      </c>
      <c r="AK143" s="8">
        <v>0</v>
      </c>
      <c r="AL143" s="7">
        <v>0</v>
      </c>
      <c r="AM143" s="18">
        <v>0</v>
      </c>
      <c r="AN143" s="8">
        <v>0</v>
      </c>
      <c r="AO143" s="7">
        <v>0</v>
      </c>
      <c r="AP143" s="18">
        <v>0</v>
      </c>
      <c r="AQ143" s="8">
        <v>0</v>
      </c>
      <c r="AR143" s="7">
        <v>0</v>
      </c>
      <c r="AS143" s="18">
        <v>297.73</v>
      </c>
      <c r="AT143" s="8">
        <v>0</v>
      </c>
      <c r="AU143" s="7">
        <v>0</v>
      </c>
      <c r="AV143" s="18">
        <v>0</v>
      </c>
      <c r="AW143" s="8">
        <v>0</v>
      </c>
      <c r="AX143" s="7">
        <v>0</v>
      </c>
      <c r="AY143" s="18">
        <v>0</v>
      </c>
      <c r="AZ143" s="8"/>
      <c r="BA143" s="7"/>
      <c r="BB143" s="18"/>
      <c r="BC143" s="8"/>
      <c r="BD143" s="7"/>
      <c r="BE143" s="18"/>
      <c r="BF143" s="8"/>
      <c r="BG143" s="7"/>
      <c r="BH143" s="18"/>
    </row>
    <row r="144" spans="3:60" ht="20.25" x14ac:dyDescent="0.3">
      <c r="C144" s="8" t="s">
        <v>9</v>
      </c>
      <c r="D144" s="8"/>
      <c r="E144" s="7"/>
      <c r="F144" s="18">
        <f t="shared" si="11"/>
        <v>7418.4399999999987</v>
      </c>
      <c r="G144" s="8">
        <v>0</v>
      </c>
      <c r="H144" s="7">
        <v>0</v>
      </c>
      <c r="I144" s="18">
        <v>306.62</v>
      </c>
      <c r="J144" s="8">
        <v>0</v>
      </c>
      <c r="K144" s="7">
        <v>0</v>
      </c>
      <c r="L144" s="18">
        <v>226.42</v>
      </c>
      <c r="M144" s="8">
        <v>0</v>
      </c>
      <c r="N144" s="7">
        <v>0</v>
      </c>
      <c r="O144" s="18">
        <v>414.24</v>
      </c>
      <c r="P144" s="8">
        <v>0</v>
      </c>
      <c r="Q144" s="7">
        <v>0</v>
      </c>
      <c r="R144" s="18">
        <v>1517.4</v>
      </c>
      <c r="S144" s="8">
        <v>0</v>
      </c>
      <c r="T144" s="7">
        <v>0</v>
      </c>
      <c r="U144" s="18">
        <v>163.97</v>
      </c>
      <c r="V144" s="8">
        <v>0</v>
      </c>
      <c r="W144" s="7">
        <v>0</v>
      </c>
      <c r="X144" s="18">
        <v>1582.85</v>
      </c>
      <c r="Y144" s="8">
        <v>0</v>
      </c>
      <c r="Z144" s="7">
        <v>0</v>
      </c>
      <c r="AA144" s="18">
        <v>356.95</v>
      </c>
      <c r="AB144" s="8">
        <v>0</v>
      </c>
      <c r="AC144" s="7">
        <v>0</v>
      </c>
      <c r="AD144" s="18">
        <v>720.9</v>
      </c>
      <c r="AE144" s="8">
        <v>0</v>
      </c>
      <c r="AF144" s="7">
        <v>0</v>
      </c>
      <c r="AG144" s="18">
        <v>280.10000000000002</v>
      </c>
      <c r="AH144" s="8">
        <v>0</v>
      </c>
      <c r="AI144" s="7">
        <v>0</v>
      </c>
      <c r="AJ144" s="18">
        <v>105.37</v>
      </c>
      <c r="AK144" s="8">
        <v>0</v>
      </c>
      <c r="AL144" s="7">
        <v>0</v>
      </c>
      <c r="AM144" s="18">
        <v>253</v>
      </c>
      <c r="AN144" s="8">
        <v>0</v>
      </c>
      <c r="AO144" s="7">
        <v>0</v>
      </c>
      <c r="AP144" s="18">
        <v>478.01</v>
      </c>
      <c r="AQ144" s="8">
        <v>0</v>
      </c>
      <c r="AR144" s="7">
        <v>0</v>
      </c>
      <c r="AS144" s="18">
        <v>166.69</v>
      </c>
      <c r="AT144" s="8">
        <v>0</v>
      </c>
      <c r="AU144" s="7">
        <v>0</v>
      </c>
      <c r="AV144" s="18">
        <v>451.4</v>
      </c>
      <c r="AW144" s="8">
        <v>0</v>
      </c>
      <c r="AX144" s="7">
        <v>0</v>
      </c>
      <c r="AY144" s="18">
        <v>394.52</v>
      </c>
      <c r="AZ144" s="8"/>
      <c r="BA144" s="7"/>
      <c r="BB144" s="18"/>
      <c r="BC144" s="8"/>
      <c r="BD144" s="7"/>
      <c r="BE144" s="18"/>
      <c r="BF144" s="8"/>
      <c r="BG144" s="7"/>
      <c r="BH144" s="18"/>
    </row>
    <row r="145" spans="3:60" ht="20.25" x14ac:dyDescent="0.3">
      <c r="C145" s="8" t="s">
        <v>8</v>
      </c>
      <c r="D145" s="8"/>
      <c r="E145" s="7"/>
      <c r="F145" s="18">
        <f t="shared" si="11"/>
        <v>3116.69</v>
      </c>
      <c r="G145" s="8">
        <v>0</v>
      </c>
      <c r="H145" s="7">
        <v>0</v>
      </c>
      <c r="I145" s="18">
        <v>325.32</v>
      </c>
      <c r="J145" s="8">
        <v>0</v>
      </c>
      <c r="K145" s="7">
        <v>0</v>
      </c>
      <c r="L145" s="18">
        <v>156.55000000000001</v>
      </c>
      <c r="M145" s="8">
        <v>0</v>
      </c>
      <c r="N145" s="7">
        <v>0</v>
      </c>
      <c r="O145" s="18">
        <v>234.33</v>
      </c>
      <c r="P145" s="8">
        <v>0</v>
      </c>
      <c r="Q145" s="7">
        <v>0</v>
      </c>
      <c r="R145" s="18">
        <v>279.89999999999998</v>
      </c>
      <c r="S145" s="8">
        <v>0</v>
      </c>
      <c r="T145" s="7">
        <v>0</v>
      </c>
      <c r="U145" s="18">
        <v>789.67</v>
      </c>
      <c r="V145" s="8">
        <v>0</v>
      </c>
      <c r="W145" s="7">
        <v>0</v>
      </c>
      <c r="X145" s="18">
        <v>198.69</v>
      </c>
      <c r="Y145" s="8">
        <v>0</v>
      </c>
      <c r="Z145" s="7">
        <v>0</v>
      </c>
      <c r="AA145" s="18">
        <v>61.42</v>
      </c>
      <c r="AB145" s="8">
        <v>0</v>
      </c>
      <c r="AC145" s="7">
        <v>0</v>
      </c>
      <c r="AD145" s="18">
        <v>84.6</v>
      </c>
      <c r="AE145" s="8">
        <v>0</v>
      </c>
      <c r="AF145" s="7">
        <v>0</v>
      </c>
      <c r="AG145" s="18">
        <v>121.82</v>
      </c>
      <c r="AH145" s="8">
        <v>0</v>
      </c>
      <c r="AI145" s="7">
        <v>0</v>
      </c>
      <c r="AJ145" s="18">
        <v>52.86</v>
      </c>
      <c r="AK145" s="8">
        <v>0</v>
      </c>
      <c r="AL145" s="7">
        <v>0</v>
      </c>
      <c r="AM145" s="18">
        <v>0</v>
      </c>
      <c r="AN145" s="8">
        <v>0</v>
      </c>
      <c r="AO145" s="7">
        <v>0</v>
      </c>
      <c r="AP145" s="18">
        <v>104.1</v>
      </c>
      <c r="AQ145" s="8">
        <v>0</v>
      </c>
      <c r="AR145" s="7">
        <v>0</v>
      </c>
      <c r="AS145" s="18">
        <v>123.47</v>
      </c>
      <c r="AT145" s="8">
        <v>0</v>
      </c>
      <c r="AU145" s="7">
        <v>0</v>
      </c>
      <c r="AV145" s="18">
        <v>203.66</v>
      </c>
      <c r="AW145" s="8">
        <v>0</v>
      </c>
      <c r="AX145" s="7">
        <v>0</v>
      </c>
      <c r="AY145" s="18">
        <v>380.3</v>
      </c>
      <c r="AZ145" s="8"/>
      <c r="BA145" s="7"/>
      <c r="BB145" s="18"/>
      <c r="BC145" s="8"/>
      <c r="BD145" s="7"/>
      <c r="BE145" s="18"/>
      <c r="BF145" s="8"/>
      <c r="BG145" s="7"/>
      <c r="BH145" s="18"/>
    </row>
    <row r="146" spans="3:60" ht="20.25" x14ac:dyDescent="0.3">
      <c r="C146" s="8" t="s">
        <v>7</v>
      </c>
      <c r="D146" s="8"/>
      <c r="E146" s="7"/>
      <c r="F146" s="18">
        <f t="shared" si="11"/>
        <v>1925.8999999999999</v>
      </c>
      <c r="G146" s="8">
        <v>0</v>
      </c>
      <c r="H146" s="7">
        <v>0</v>
      </c>
      <c r="I146" s="18">
        <v>269.2</v>
      </c>
      <c r="J146" s="8">
        <v>0</v>
      </c>
      <c r="K146" s="7">
        <v>0</v>
      </c>
      <c r="L146" s="18">
        <v>327.19</v>
      </c>
      <c r="M146" s="8">
        <v>0</v>
      </c>
      <c r="N146" s="7">
        <v>0</v>
      </c>
      <c r="O146" s="18">
        <v>76.19</v>
      </c>
      <c r="P146" s="8">
        <v>0</v>
      </c>
      <c r="Q146" s="7">
        <v>0</v>
      </c>
      <c r="R146" s="18">
        <v>120.72</v>
      </c>
      <c r="S146" s="8">
        <v>0</v>
      </c>
      <c r="T146" s="7">
        <v>0</v>
      </c>
      <c r="U146" s="18">
        <v>269</v>
      </c>
      <c r="V146" s="8">
        <v>0</v>
      </c>
      <c r="W146" s="7">
        <v>0</v>
      </c>
      <c r="X146" s="18">
        <v>26.52</v>
      </c>
      <c r="Y146" s="8">
        <v>0</v>
      </c>
      <c r="Z146" s="7">
        <v>0</v>
      </c>
      <c r="AA146" s="18">
        <v>67.539999999999907</v>
      </c>
      <c r="AB146" s="8">
        <v>0</v>
      </c>
      <c r="AC146" s="7">
        <v>0</v>
      </c>
      <c r="AD146" s="18">
        <v>127.48</v>
      </c>
      <c r="AE146" s="8">
        <v>0</v>
      </c>
      <c r="AF146" s="7">
        <v>0</v>
      </c>
      <c r="AG146" s="18">
        <v>85.48</v>
      </c>
      <c r="AH146" s="8">
        <v>0</v>
      </c>
      <c r="AI146" s="7">
        <v>0</v>
      </c>
      <c r="AJ146" s="18">
        <v>6.6</v>
      </c>
      <c r="AK146" s="8">
        <v>0</v>
      </c>
      <c r="AL146" s="7">
        <v>0</v>
      </c>
      <c r="AM146" s="18">
        <v>56.58</v>
      </c>
      <c r="AN146" s="8">
        <v>0</v>
      </c>
      <c r="AO146" s="7">
        <v>0</v>
      </c>
      <c r="AP146" s="18">
        <v>4.17</v>
      </c>
      <c r="AQ146" s="8">
        <v>0</v>
      </c>
      <c r="AR146" s="7">
        <v>0</v>
      </c>
      <c r="AS146" s="18">
        <v>31.3</v>
      </c>
      <c r="AT146" s="8">
        <v>0</v>
      </c>
      <c r="AU146" s="7">
        <v>0</v>
      </c>
      <c r="AV146" s="18">
        <v>457.93</v>
      </c>
      <c r="AW146" s="8">
        <v>0</v>
      </c>
      <c r="AX146" s="7">
        <v>0</v>
      </c>
      <c r="AY146" s="18">
        <v>0</v>
      </c>
      <c r="AZ146" s="8"/>
      <c r="BA146" s="7"/>
      <c r="BB146" s="18"/>
      <c r="BC146" s="8"/>
      <c r="BD146" s="7"/>
      <c r="BE146" s="18"/>
      <c r="BF146" s="8"/>
      <c r="BG146" s="7"/>
      <c r="BH146" s="18"/>
    </row>
    <row r="147" spans="3:60" ht="20.25" x14ac:dyDescent="0.3">
      <c r="C147" s="8" t="s">
        <v>6</v>
      </c>
      <c r="D147" s="8"/>
      <c r="E147" s="7"/>
      <c r="F147" s="18">
        <f t="shared" si="11"/>
        <v>11012.76999999999</v>
      </c>
      <c r="G147" s="8">
        <v>0</v>
      </c>
      <c r="H147" s="7">
        <v>0</v>
      </c>
      <c r="I147" s="18">
        <v>1477.62</v>
      </c>
      <c r="J147" s="8">
        <v>0</v>
      </c>
      <c r="K147" s="7">
        <v>0</v>
      </c>
      <c r="L147" s="18">
        <v>933.84</v>
      </c>
      <c r="M147" s="8">
        <v>0</v>
      </c>
      <c r="N147" s="7">
        <v>0</v>
      </c>
      <c r="O147" s="18">
        <v>303.2</v>
      </c>
      <c r="P147" s="8">
        <v>0</v>
      </c>
      <c r="Q147" s="7">
        <v>0</v>
      </c>
      <c r="R147" s="18">
        <v>1283.3800000000001</v>
      </c>
      <c r="S147" s="8">
        <v>0</v>
      </c>
      <c r="T147" s="7">
        <v>0</v>
      </c>
      <c r="U147" s="18">
        <v>0</v>
      </c>
      <c r="V147" s="8">
        <v>0</v>
      </c>
      <c r="W147" s="7">
        <v>0</v>
      </c>
      <c r="X147" s="18">
        <v>92.45</v>
      </c>
      <c r="Y147" s="8">
        <v>0</v>
      </c>
      <c r="Z147" s="7">
        <v>0</v>
      </c>
      <c r="AA147" s="18">
        <v>506.06</v>
      </c>
      <c r="AB147" s="8">
        <v>0</v>
      </c>
      <c r="AC147" s="7">
        <v>0</v>
      </c>
      <c r="AD147" s="18">
        <v>819.38</v>
      </c>
      <c r="AE147" s="8">
        <v>0</v>
      </c>
      <c r="AF147" s="7">
        <v>0</v>
      </c>
      <c r="AG147" s="18">
        <v>1739.21999999999</v>
      </c>
      <c r="AH147" s="8">
        <v>0</v>
      </c>
      <c r="AI147" s="7">
        <v>0</v>
      </c>
      <c r="AJ147" s="18">
        <v>575.1</v>
      </c>
      <c r="AK147" s="8">
        <v>0</v>
      </c>
      <c r="AL147" s="7">
        <v>0</v>
      </c>
      <c r="AM147" s="18">
        <v>441.4</v>
      </c>
      <c r="AN147" s="8">
        <v>0</v>
      </c>
      <c r="AO147" s="7">
        <v>0</v>
      </c>
      <c r="AP147" s="18">
        <v>1295.7</v>
      </c>
      <c r="AQ147" s="8">
        <v>0</v>
      </c>
      <c r="AR147" s="7">
        <v>0</v>
      </c>
      <c r="AS147" s="18">
        <v>1502.12</v>
      </c>
      <c r="AT147" s="8">
        <v>0</v>
      </c>
      <c r="AU147" s="7">
        <v>0</v>
      </c>
      <c r="AV147" s="18">
        <v>60.23</v>
      </c>
      <c r="AW147" s="8">
        <v>0</v>
      </c>
      <c r="AX147" s="7">
        <v>0</v>
      </c>
      <c r="AY147" s="18">
        <v>-16.93</v>
      </c>
      <c r="AZ147" s="8"/>
      <c r="BA147" s="7"/>
      <c r="BB147" s="18"/>
      <c r="BC147" s="8"/>
      <c r="BD147" s="7"/>
      <c r="BE147" s="18"/>
      <c r="BF147" s="8"/>
      <c r="BG147" s="7"/>
      <c r="BH147" s="18"/>
    </row>
    <row r="148" spans="3:60" ht="20.25" x14ac:dyDescent="0.3">
      <c r="C148" s="8" t="s">
        <v>5</v>
      </c>
      <c r="D148" s="8"/>
      <c r="E148" s="7"/>
      <c r="F148" s="18">
        <f t="shared" si="11"/>
        <v>8414.9499999999989</v>
      </c>
      <c r="G148" s="8">
        <v>0</v>
      </c>
      <c r="H148" s="7">
        <v>0</v>
      </c>
      <c r="I148" s="18">
        <v>1321.07</v>
      </c>
      <c r="J148" s="8">
        <v>0</v>
      </c>
      <c r="K148" s="7">
        <v>0</v>
      </c>
      <c r="L148" s="18">
        <v>779.69</v>
      </c>
      <c r="M148" s="8">
        <v>0</v>
      </c>
      <c r="N148" s="7">
        <v>0</v>
      </c>
      <c r="O148" s="18">
        <v>162.35</v>
      </c>
      <c r="P148" s="8">
        <v>0</v>
      </c>
      <c r="Q148" s="7">
        <v>0</v>
      </c>
      <c r="R148" s="18">
        <v>127.6</v>
      </c>
      <c r="S148" s="8">
        <v>0</v>
      </c>
      <c r="T148" s="7">
        <v>0</v>
      </c>
      <c r="U148" s="18">
        <v>3222</v>
      </c>
      <c r="V148" s="8">
        <v>0</v>
      </c>
      <c r="W148" s="7">
        <v>0</v>
      </c>
      <c r="X148" s="18">
        <v>1361.71</v>
      </c>
      <c r="Y148" s="8">
        <v>0</v>
      </c>
      <c r="Z148" s="7">
        <v>0</v>
      </c>
      <c r="AA148" s="18">
        <v>63.82</v>
      </c>
      <c r="AB148" s="8">
        <v>0</v>
      </c>
      <c r="AC148" s="7">
        <v>0</v>
      </c>
      <c r="AD148" s="18">
        <v>95.7</v>
      </c>
      <c r="AE148" s="8">
        <v>0</v>
      </c>
      <c r="AF148" s="7">
        <v>0</v>
      </c>
      <c r="AG148" s="18">
        <v>63.8</v>
      </c>
      <c r="AH148" s="8">
        <v>0</v>
      </c>
      <c r="AI148" s="7">
        <v>0</v>
      </c>
      <c r="AJ148" s="18">
        <v>317.2</v>
      </c>
      <c r="AK148" s="8">
        <v>0</v>
      </c>
      <c r="AL148" s="7">
        <v>0</v>
      </c>
      <c r="AM148" s="18">
        <v>95.7</v>
      </c>
      <c r="AN148" s="8">
        <v>0</v>
      </c>
      <c r="AO148" s="7">
        <v>0</v>
      </c>
      <c r="AP148" s="18">
        <v>295.7</v>
      </c>
      <c r="AQ148" s="8">
        <v>0</v>
      </c>
      <c r="AR148" s="7">
        <v>0</v>
      </c>
      <c r="AS148" s="18">
        <v>95.7</v>
      </c>
      <c r="AT148" s="8">
        <v>0</v>
      </c>
      <c r="AU148" s="7">
        <v>0</v>
      </c>
      <c r="AV148" s="18">
        <v>278.93</v>
      </c>
      <c r="AW148" s="8">
        <v>0</v>
      </c>
      <c r="AX148" s="7">
        <v>0</v>
      </c>
      <c r="AY148" s="18">
        <v>133.97999999999999</v>
      </c>
      <c r="AZ148" s="8"/>
      <c r="BA148" s="7"/>
      <c r="BB148" s="18"/>
      <c r="BC148" s="8"/>
      <c r="BD148" s="7"/>
      <c r="BE148" s="18"/>
      <c r="BF148" s="8"/>
      <c r="BG148" s="7"/>
      <c r="BH148" s="18"/>
    </row>
    <row r="149" spans="3:60" ht="20.25" x14ac:dyDescent="0.3">
      <c r="C149" s="8" t="s">
        <v>4</v>
      </c>
      <c r="D149" s="8"/>
      <c r="E149" s="7"/>
      <c r="F149" s="18">
        <f t="shared" si="11"/>
        <v>23327.384399999999</v>
      </c>
      <c r="G149" s="8">
        <v>0</v>
      </c>
      <c r="H149" s="7">
        <v>0</v>
      </c>
      <c r="I149" s="18">
        <v>1636.2</v>
      </c>
      <c r="J149" s="8">
        <v>0</v>
      </c>
      <c r="K149" s="7">
        <v>0</v>
      </c>
      <c r="L149" s="18">
        <v>2359.6799999999998</v>
      </c>
      <c r="M149" s="8">
        <v>0</v>
      </c>
      <c r="N149" s="7">
        <v>0</v>
      </c>
      <c r="O149" s="18">
        <v>778</v>
      </c>
      <c r="P149" s="8">
        <v>0</v>
      </c>
      <c r="Q149" s="7">
        <v>0</v>
      </c>
      <c r="R149" s="18">
        <v>1913.43</v>
      </c>
      <c r="S149" s="8">
        <v>0</v>
      </c>
      <c r="T149" s="7">
        <v>0</v>
      </c>
      <c r="U149" s="18">
        <v>5733.77</v>
      </c>
      <c r="V149" s="8">
        <v>0</v>
      </c>
      <c r="W149" s="7">
        <v>0</v>
      </c>
      <c r="X149" s="18">
        <v>2880.73</v>
      </c>
      <c r="Y149" s="8">
        <v>0</v>
      </c>
      <c r="Z149" s="7">
        <v>0</v>
      </c>
      <c r="AA149" s="18">
        <v>1168.55</v>
      </c>
      <c r="AB149" s="8">
        <v>0</v>
      </c>
      <c r="AC149" s="7">
        <v>0</v>
      </c>
      <c r="AD149" s="18">
        <v>1050.57</v>
      </c>
      <c r="AE149" s="8">
        <v>0</v>
      </c>
      <c r="AF149" s="7">
        <v>0</v>
      </c>
      <c r="AG149" s="18">
        <v>1645.54</v>
      </c>
      <c r="AH149" s="8">
        <v>0</v>
      </c>
      <c r="AI149" s="7">
        <v>0</v>
      </c>
      <c r="AJ149" s="18">
        <v>372.68</v>
      </c>
      <c r="AK149" s="8">
        <v>0</v>
      </c>
      <c r="AL149" s="7">
        <v>0</v>
      </c>
      <c r="AM149" s="18">
        <v>337.18439999999998</v>
      </c>
      <c r="AN149" s="8">
        <v>0</v>
      </c>
      <c r="AO149" s="7">
        <v>0</v>
      </c>
      <c r="AP149" s="18">
        <v>381.66</v>
      </c>
      <c r="AQ149" s="8">
        <v>0</v>
      </c>
      <c r="AR149" s="7">
        <v>0</v>
      </c>
      <c r="AS149" s="18">
        <v>816.94</v>
      </c>
      <c r="AT149" s="8">
        <v>0</v>
      </c>
      <c r="AU149" s="7">
        <v>0</v>
      </c>
      <c r="AV149" s="18">
        <v>1104.04</v>
      </c>
      <c r="AW149" s="8">
        <v>0</v>
      </c>
      <c r="AX149" s="7">
        <v>0</v>
      </c>
      <c r="AY149" s="18">
        <v>1148.4100000000001</v>
      </c>
      <c r="AZ149" s="8"/>
      <c r="BA149" s="7"/>
      <c r="BB149" s="18"/>
      <c r="BC149" s="8"/>
      <c r="BD149" s="7"/>
      <c r="BE149" s="18"/>
      <c r="BF149" s="8"/>
      <c r="BG149" s="7"/>
      <c r="BH149" s="18"/>
    </row>
    <row r="150" spans="3:60" ht="20.25" hidden="1" x14ac:dyDescent="0.3">
      <c r="C150" s="8" t="s">
        <v>3</v>
      </c>
      <c r="D150" s="8"/>
      <c r="E150" s="7"/>
      <c r="F150" s="18">
        <f t="shared" si="11"/>
        <v>0</v>
      </c>
      <c r="G150" s="8">
        <v>0</v>
      </c>
      <c r="H150" s="7">
        <v>0</v>
      </c>
      <c r="I150" s="18">
        <v>0</v>
      </c>
      <c r="J150" s="8">
        <v>0</v>
      </c>
      <c r="K150" s="7">
        <v>0</v>
      </c>
      <c r="L150" s="18">
        <v>0</v>
      </c>
      <c r="M150" s="8">
        <v>0</v>
      </c>
      <c r="N150" s="7">
        <v>0</v>
      </c>
      <c r="O150" s="18">
        <v>0</v>
      </c>
      <c r="P150" s="8">
        <v>0</v>
      </c>
      <c r="Q150" s="7">
        <v>0</v>
      </c>
      <c r="R150" s="18">
        <v>0</v>
      </c>
      <c r="S150" s="8">
        <v>0</v>
      </c>
      <c r="T150" s="7">
        <v>0</v>
      </c>
      <c r="U150" s="18">
        <v>0</v>
      </c>
      <c r="V150" s="8">
        <v>0</v>
      </c>
      <c r="W150" s="7">
        <v>0</v>
      </c>
      <c r="X150" s="18">
        <v>0</v>
      </c>
      <c r="Y150" s="8">
        <v>0</v>
      </c>
      <c r="Z150" s="7">
        <v>0</v>
      </c>
      <c r="AA150" s="18">
        <v>0</v>
      </c>
      <c r="AB150" s="8">
        <v>0</v>
      </c>
      <c r="AC150" s="7">
        <v>0</v>
      </c>
      <c r="AD150" s="18">
        <v>0</v>
      </c>
      <c r="AE150" s="8">
        <v>0</v>
      </c>
      <c r="AF150" s="7">
        <v>0</v>
      </c>
      <c r="AG150" s="18">
        <v>0</v>
      </c>
      <c r="AH150" s="8">
        <v>0</v>
      </c>
      <c r="AI150" s="7">
        <v>0</v>
      </c>
      <c r="AJ150" s="18">
        <v>0</v>
      </c>
      <c r="AK150" s="8">
        <v>0</v>
      </c>
      <c r="AL150" s="7">
        <v>0</v>
      </c>
      <c r="AM150" s="18">
        <v>0</v>
      </c>
      <c r="AN150" s="8">
        <v>0</v>
      </c>
      <c r="AO150" s="7">
        <v>0</v>
      </c>
      <c r="AP150" s="18">
        <v>0</v>
      </c>
      <c r="AQ150" s="8">
        <v>0</v>
      </c>
      <c r="AR150" s="7">
        <v>0</v>
      </c>
      <c r="AS150" s="18">
        <v>0</v>
      </c>
      <c r="AT150" s="8">
        <v>0</v>
      </c>
      <c r="AU150" s="7">
        <v>0</v>
      </c>
      <c r="AV150" s="18">
        <v>0</v>
      </c>
      <c r="AW150" s="8">
        <v>0</v>
      </c>
      <c r="AX150" s="7">
        <v>0</v>
      </c>
      <c r="AY150" s="18">
        <v>0</v>
      </c>
      <c r="AZ150" s="8"/>
      <c r="BA150" s="7"/>
      <c r="BB150" s="18"/>
      <c r="BC150" s="8"/>
      <c r="BD150" s="7"/>
      <c r="BE150" s="18"/>
      <c r="BF150" s="8"/>
      <c r="BG150" s="7"/>
      <c r="BH150" s="18"/>
    </row>
    <row r="151" spans="3:60" ht="20.25" hidden="1" x14ac:dyDescent="0.3">
      <c r="C151" s="8" t="s">
        <v>3</v>
      </c>
      <c r="D151" s="8"/>
      <c r="E151" s="7"/>
      <c r="F151" s="18">
        <f t="shared" si="11"/>
        <v>0</v>
      </c>
      <c r="G151" s="8">
        <v>0</v>
      </c>
      <c r="H151" s="7">
        <v>0</v>
      </c>
      <c r="I151" s="18">
        <v>0</v>
      </c>
      <c r="J151" s="8">
        <v>0</v>
      </c>
      <c r="K151" s="7">
        <v>0</v>
      </c>
      <c r="L151" s="18">
        <v>0</v>
      </c>
      <c r="M151" s="8">
        <v>0</v>
      </c>
      <c r="N151" s="7">
        <v>0</v>
      </c>
      <c r="O151" s="18">
        <v>0</v>
      </c>
      <c r="P151" s="8">
        <v>0</v>
      </c>
      <c r="Q151" s="7">
        <v>0</v>
      </c>
      <c r="R151" s="18">
        <v>0</v>
      </c>
      <c r="S151" s="8">
        <v>0</v>
      </c>
      <c r="T151" s="7">
        <v>0</v>
      </c>
      <c r="U151" s="18">
        <v>0</v>
      </c>
      <c r="V151" s="8">
        <v>0</v>
      </c>
      <c r="W151" s="7">
        <v>0</v>
      </c>
      <c r="X151" s="18">
        <v>0</v>
      </c>
      <c r="Y151" s="8">
        <v>0</v>
      </c>
      <c r="Z151" s="7">
        <v>0</v>
      </c>
      <c r="AA151" s="18">
        <v>0</v>
      </c>
      <c r="AB151" s="8">
        <v>0</v>
      </c>
      <c r="AC151" s="7">
        <v>0</v>
      </c>
      <c r="AD151" s="18">
        <v>0</v>
      </c>
      <c r="AE151" s="8">
        <v>0</v>
      </c>
      <c r="AF151" s="7">
        <v>0</v>
      </c>
      <c r="AG151" s="18">
        <v>0</v>
      </c>
      <c r="AH151" s="8">
        <v>0</v>
      </c>
      <c r="AI151" s="7">
        <v>0</v>
      </c>
      <c r="AJ151" s="18">
        <v>0</v>
      </c>
      <c r="AK151" s="8">
        <v>0</v>
      </c>
      <c r="AL151" s="7">
        <v>0</v>
      </c>
      <c r="AM151" s="18">
        <v>0</v>
      </c>
      <c r="AN151" s="8">
        <v>0</v>
      </c>
      <c r="AO151" s="7">
        <v>0</v>
      </c>
      <c r="AP151" s="18">
        <v>0</v>
      </c>
      <c r="AQ151" s="8">
        <v>0</v>
      </c>
      <c r="AR151" s="7">
        <v>0</v>
      </c>
      <c r="AS151" s="18">
        <v>0</v>
      </c>
      <c r="AT151" s="8">
        <v>0</v>
      </c>
      <c r="AU151" s="7">
        <v>0</v>
      </c>
      <c r="AV151" s="18">
        <v>0</v>
      </c>
      <c r="AW151" s="8">
        <v>0</v>
      </c>
      <c r="AX151" s="7">
        <v>0</v>
      </c>
      <c r="AY151" s="18">
        <v>0</v>
      </c>
      <c r="AZ151" s="8"/>
      <c r="BA151" s="7"/>
      <c r="BB151" s="18"/>
      <c r="BC151" s="8"/>
      <c r="BD151" s="7"/>
      <c r="BE151" s="18"/>
      <c r="BF151" s="8"/>
      <c r="BG151" s="7"/>
      <c r="BH151" s="18"/>
    </row>
    <row r="152" spans="3:60" ht="20.25" hidden="1" x14ac:dyDescent="0.3">
      <c r="C152" s="8" t="s">
        <v>3</v>
      </c>
      <c r="D152" s="8"/>
      <c r="E152" s="7"/>
      <c r="F152" s="18">
        <f t="shared" si="11"/>
        <v>0</v>
      </c>
      <c r="G152" s="8">
        <v>0</v>
      </c>
      <c r="H152" s="7">
        <v>0</v>
      </c>
      <c r="I152" s="18">
        <v>0</v>
      </c>
      <c r="J152" s="8">
        <v>0</v>
      </c>
      <c r="K152" s="7">
        <v>0</v>
      </c>
      <c r="L152" s="18">
        <v>0</v>
      </c>
      <c r="M152" s="8">
        <v>0</v>
      </c>
      <c r="N152" s="7">
        <v>0</v>
      </c>
      <c r="O152" s="18">
        <v>0</v>
      </c>
      <c r="P152" s="8">
        <v>0</v>
      </c>
      <c r="Q152" s="7">
        <v>0</v>
      </c>
      <c r="R152" s="18">
        <v>0</v>
      </c>
      <c r="S152" s="8">
        <v>0</v>
      </c>
      <c r="T152" s="7">
        <v>0</v>
      </c>
      <c r="U152" s="18">
        <v>0</v>
      </c>
      <c r="V152" s="8">
        <v>0</v>
      </c>
      <c r="W152" s="7">
        <v>0</v>
      </c>
      <c r="X152" s="18">
        <v>0</v>
      </c>
      <c r="Y152" s="8">
        <v>0</v>
      </c>
      <c r="Z152" s="7">
        <v>0</v>
      </c>
      <c r="AA152" s="18">
        <v>0</v>
      </c>
      <c r="AB152" s="8">
        <v>0</v>
      </c>
      <c r="AC152" s="7">
        <v>0</v>
      </c>
      <c r="AD152" s="18">
        <v>0</v>
      </c>
      <c r="AE152" s="8">
        <v>0</v>
      </c>
      <c r="AF152" s="7">
        <v>0</v>
      </c>
      <c r="AG152" s="18">
        <v>0</v>
      </c>
      <c r="AH152" s="8">
        <v>0</v>
      </c>
      <c r="AI152" s="7">
        <v>0</v>
      </c>
      <c r="AJ152" s="18">
        <v>0</v>
      </c>
      <c r="AK152" s="8">
        <v>0</v>
      </c>
      <c r="AL152" s="7">
        <v>0</v>
      </c>
      <c r="AM152" s="18">
        <v>0</v>
      </c>
      <c r="AN152" s="8">
        <v>0</v>
      </c>
      <c r="AO152" s="7">
        <v>0</v>
      </c>
      <c r="AP152" s="18">
        <v>0</v>
      </c>
      <c r="AQ152" s="8">
        <v>0</v>
      </c>
      <c r="AR152" s="7">
        <v>0</v>
      </c>
      <c r="AS152" s="18">
        <v>0</v>
      </c>
      <c r="AT152" s="8">
        <v>0</v>
      </c>
      <c r="AU152" s="7">
        <v>0</v>
      </c>
      <c r="AV152" s="18">
        <v>0</v>
      </c>
      <c r="AW152" s="8">
        <v>0</v>
      </c>
      <c r="AX152" s="7">
        <v>0</v>
      </c>
      <c r="AY152" s="18">
        <v>0</v>
      </c>
      <c r="AZ152" s="8"/>
      <c r="BA152" s="7"/>
      <c r="BB152" s="18"/>
      <c r="BC152" s="8"/>
      <c r="BD152" s="7"/>
      <c r="BE152" s="18"/>
      <c r="BF152" s="8"/>
      <c r="BG152" s="7"/>
      <c r="BH152" s="18"/>
    </row>
    <row r="153" spans="3:60" ht="20.25" x14ac:dyDescent="0.3">
      <c r="C153" s="11" t="s">
        <v>2</v>
      </c>
      <c r="D153" s="64"/>
      <c r="E153" s="14"/>
      <c r="F153" s="12">
        <f>SUM(F136:F149)</f>
        <v>286218.57439999992</v>
      </c>
      <c r="G153" s="64" t="s">
        <v>18</v>
      </c>
      <c r="H153" s="14">
        <v>0.116298232072515</v>
      </c>
      <c r="I153" s="12">
        <v>18946.93</v>
      </c>
      <c r="J153" s="64" t="s">
        <v>18</v>
      </c>
      <c r="K153" s="14">
        <v>0.106065853604719</v>
      </c>
      <c r="L153" s="12">
        <v>14084.42</v>
      </c>
      <c r="M153" s="64" t="s">
        <v>18</v>
      </c>
      <c r="N153" s="14">
        <v>9.9697597960995199E-2</v>
      </c>
      <c r="O153" s="12">
        <v>9060.0899999999892</v>
      </c>
      <c r="P153" s="64" t="s">
        <v>18</v>
      </c>
      <c r="Q153" s="14">
        <v>0.147595765841745</v>
      </c>
      <c r="R153" s="12">
        <v>34129.67</v>
      </c>
      <c r="S153" s="64" t="s">
        <v>18</v>
      </c>
      <c r="T153" s="14">
        <v>9.7723483558820295E-2</v>
      </c>
      <c r="U153" s="12">
        <v>38062.2599999999</v>
      </c>
      <c r="V153" s="64" t="s">
        <v>18</v>
      </c>
      <c r="W153" s="14">
        <v>0.225308510775168</v>
      </c>
      <c r="X153" s="12">
        <v>43780.2599999999</v>
      </c>
      <c r="Y153" s="64" t="s">
        <v>18</v>
      </c>
      <c r="Z153" s="14">
        <v>0.12730404567658199</v>
      </c>
      <c r="AA153" s="12">
        <v>12175.28</v>
      </c>
      <c r="AB153" s="64" t="s">
        <v>18</v>
      </c>
      <c r="AC153" s="14">
        <v>9.3377641864251307E-2</v>
      </c>
      <c r="AD153" s="12">
        <v>13463.18</v>
      </c>
      <c r="AE153" s="64" t="s">
        <v>18</v>
      </c>
      <c r="AF153" s="14">
        <v>0.10116486749975601</v>
      </c>
      <c r="AG153" s="12">
        <v>19551.009999999998</v>
      </c>
      <c r="AH153" s="64" t="s">
        <v>18</v>
      </c>
      <c r="AI153" s="14">
        <v>0.17822755824716499</v>
      </c>
      <c r="AJ153" s="12">
        <v>5924.71</v>
      </c>
      <c r="AK153" s="64" t="s">
        <v>18</v>
      </c>
      <c r="AL153" s="14">
        <v>0.72881995336826699</v>
      </c>
      <c r="AM153" s="12">
        <v>11049.894399999999</v>
      </c>
      <c r="AN153" s="64" t="s">
        <v>18</v>
      </c>
      <c r="AO153" s="14">
        <v>0.12838235551070801</v>
      </c>
      <c r="AP153" s="12">
        <v>14107.29</v>
      </c>
      <c r="AQ153" s="64" t="s">
        <v>18</v>
      </c>
      <c r="AR153" s="14">
        <v>0.104416913540467</v>
      </c>
      <c r="AS153" s="12">
        <v>21533.78</v>
      </c>
      <c r="AT153" s="64" t="s">
        <v>18</v>
      </c>
      <c r="AU153" s="14">
        <v>0.15444310767378799</v>
      </c>
      <c r="AV153" s="12">
        <v>22503.55</v>
      </c>
      <c r="AW153" s="64" t="s">
        <v>18</v>
      </c>
      <c r="AX153" s="14">
        <v>8.16867069999717E-2</v>
      </c>
      <c r="AY153" s="12">
        <v>7846.24999999999</v>
      </c>
      <c r="AZ153" s="64"/>
      <c r="BA153" s="14"/>
      <c r="BB153" s="12"/>
      <c r="BC153" s="64"/>
      <c r="BD153" s="14"/>
      <c r="BE153" s="12"/>
      <c r="BF153" s="64"/>
      <c r="BG153" s="14"/>
      <c r="BH153" s="12"/>
    </row>
    <row r="154" spans="3:60" ht="20.25" x14ac:dyDescent="0.3">
      <c r="C154" s="67"/>
      <c r="D154" s="67"/>
      <c r="E154" s="66"/>
      <c r="F154" s="65"/>
      <c r="G154" s="67"/>
      <c r="H154" s="66"/>
      <c r="I154" s="65"/>
      <c r="J154" s="67"/>
      <c r="K154" s="66"/>
      <c r="L154" s="65"/>
      <c r="M154" s="67"/>
      <c r="N154" s="66"/>
      <c r="O154" s="65"/>
      <c r="P154" s="67"/>
      <c r="Q154" s="66"/>
      <c r="R154" s="65"/>
      <c r="S154" s="67"/>
      <c r="T154" s="66"/>
      <c r="U154" s="65"/>
      <c r="V154" s="67"/>
      <c r="W154" s="66"/>
      <c r="X154" s="65"/>
      <c r="Y154" s="67"/>
      <c r="Z154" s="66"/>
      <c r="AA154" s="65"/>
      <c r="AB154" s="67"/>
      <c r="AC154" s="66"/>
      <c r="AD154" s="65"/>
      <c r="AE154" s="67"/>
      <c r="AF154" s="66"/>
      <c r="AG154" s="65"/>
      <c r="AH154" s="67"/>
      <c r="AI154" s="66"/>
      <c r="AJ154" s="65"/>
      <c r="AK154" s="67"/>
      <c r="AL154" s="66"/>
      <c r="AM154" s="65"/>
      <c r="AN154" s="67"/>
      <c r="AO154" s="66"/>
      <c r="AP154" s="65"/>
      <c r="AQ154" s="67"/>
      <c r="AR154" s="66"/>
      <c r="AS154" s="65"/>
      <c r="AT154" s="67"/>
      <c r="AU154" s="66"/>
      <c r="AV154" s="65"/>
      <c r="AW154" s="67"/>
      <c r="AX154" s="66"/>
      <c r="AY154" s="65"/>
      <c r="AZ154" s="67"/>
      <c r="BA154" s="66"/>
      <c r="BB154" s="65"/>
      <c r="BC154" s="67"/>
      <c r="BD154" s="66"/>
      <c r="BE154" s="65"/>
      <c r="BF154" s="67"/>
      <c r="BG154" s="66"/>
      <c r="BH154" s="65"/>
    </row>
    <row r="155" spans="3:60" ht="20.25" x14ac:dyDescent="0.3">
      <c r="C155" s="11" t="s">
        <v>1</v>
      </c>
      <c r="D155" s="64"/>
      <c r="E155" s="14"/>
      <c r="F155" s="12">
        <f>F122+F135+F153</f>
        <v>2548072.7943999995</v>
      </c>
      <c r="G155" s="64" t="s">
        <v>18</v>
      </c>
      <c r="H155" s="14">
        <v>1.1256921096204</v>
      </c>
      <c r="I155" s="12">
        <v>183394.09999999899</v>
      </c>
      <c r="J155" s="64" t="s">
        <v>18</v>
      </c>
      <c r="K155" s="14">
        <v>1.3311867009856699</v>
      </c>
      <c r="L155" s="12">
        <v>176767.47</v>
      </c>
      <c r="M155" s="64" t="s">
        <v>18</v>
      </c>
      <c r="N155" s="14">
        <v>1.16624464337059</v>
      </c>
      <c r="O155" s="12">
        <v>105983.31</v>
      </c>
      <c r="P155" s="64" t="s">
        <v>18</v>
      </c>
      <c r="Q155" s="14">
        <v>1.17177022269661</v>
      </c>
      <c r="R155" s="12">
        <v>270957.17</v>
      </c>
      <c r="S155" s="64" t="s">
        <v>18</v>
      </c>
      <c r="T155" s="14">
        <v>1.0346432286640701</v>
      </c>
      <c r="U155" s="12">
        <v>402982.56</v>
      </c>
      <c r="V155" s="64" t="s">
        <v>18</v>
      </c>
      <c r="W155" s="14">
        <v>1.2583473013830699</v>
      </c>
      <c r="X155" s="12">
        <v>244512.61</v>
      </c>
      <c r="Y155" s="64" t="s">
        <v>18</v>
      </c>
      <c r="Z155" s="14">
        <v>1.02755444462312</v>
      </c>
      <c r="AA155" s="12">
        <v>98274.669999999896</v>
      </c>
      <c r="AB155" s="64" t="s">
        <v>18</v>
      </c>
      <c r="AC155" s="14">
        <v>1.1835327127059501</v>
      </c>
      <c r="AD155" s="12">
        <v>170641.639999999</v>
      </c>
      <c r="AE155" s="64" t="s">
        <v>18</v>
      </c>
      <c r="AF155" s="14">
        <v>0.91374818514170297</v>
      </c>
      <c r="AG155" s="12">
        <v>176589.96</v>
      </c>
      <c r="AH155" s="64" t="s">
        <v>18</v>
      </c>
      <c r="AI155" s="14">
        <v>1.44349548874193</v>
      </c>
      <c r="AJ155" s="12">
        <v>47985.24</v>
      </c>
      <c r="AK155" s="64" t="s">
        <v>18</v>
      </c>
      <c r="AL155" s="14">
        <v>4.7635859867360004</v>
      </c>
      <c r="AM155" s="12">
        <v>72222.394400000005</v>
      </c>
      <c r="AN155" s="64" t="s">
        <v>18</v>
      </c>
      <c r="AO155" s="14">
        <v>1.1622368520678299</v>
      </c>
      <c r="AP155" s="12">
        <v>127712.35</v>
      </c>
      <c r="AQ155" s="64" t="s">
        <v>18</v>
      </c>
      <c r="AR155" s="14">
        <v>0.85571664682220805</v>
      </c>
      <c r="AS155" s="12">
        <v>176473.46</v>
      </c>
      <c r="AT155" s="64" t="s">
        <v>18</v>
      </c>
      <c r="AU155" s="14">
        <v>1.2289158362941699</v>
      </c>
      <c r="AV155" s="12">
        <v>179062.5</v>
      </c>
      <c r="AW155" s="64" t="s">
        <v>18</v>
      </c>
      <c r="AX155" s="14">
        <v>1.19218980862224</v>
      </c>
      <c r="AY155" s="12">
        <v>114513.36</v>
      </c>
      <c r="AZ155" s="64"/>
      <c r="BA155" s="14"/>
      <c r="BB155" s="12"/>
      <c r="BC155" s="64"/>
      <c r="BD155" s="14"/>
      <c r="BE155" s="12"/>
      <c r="BF155" s="64"/>
      <c r="BG155" s="14"/>
      <c r="BH155" s="12"/>
    </row>
    <row r="156" spans="3:60" ht="20.25" x14ac:dyDescent="0.3">
      <c r="C156" s="8" t="s">
        <v>73</v>
      </c>
      <c r="D156" s="133"/>
      <c r="E156" s="34"/>
      <c r="F156" s="18">
        <f t="shared" ref="F156:F162" si="12">+SUM(I156,L156,O156,R156,U156,X156,AA156,AD156,AG156,AJ156,AM156,AP156,AS156,AV156,AY156,BB156,BE156,BH156)</f>
        <v>147457.78</v>
      </c>
      <c r="G156" s="133">
        <v>0</v>
      </c>
      <c r="H156" s="34">
        <v>0</v>
      </c>
      <c r="I156" s="18">
        <v>3750</v>
      </c>
      <c r="J156" s="133">
        <v>0</v>
      </c>
      <c r="K156" s="34">
        <v>0</v>
      </c>
      <c r="L156" s="18">
        <v>10125</v>
      </c>
      <c r="M156" s="133">
        <v>0</v>
      </c>
      <c r="N156" s="34">
        <v>0</v>
      </c>
      <c r="O156" s="18">
        <v>2500</v>
      </c>
      <c r="P156" s="133">
        <v>0</v>
      </c>
      <c r="Q156" s="34">
        <v>0</v>
      </c>
      <c r="R156" s="18">
        <v>7454</v>
      </c>
      <c r="S156" s="133">
        <v>0</v>
      </c>
      <c r="T156" s="34">
        <v>0</v>
      </c>
      <c r="U156" s="18">
        <v>45000</v>
      </c>
      <c r="V156" s="133">
        <v>0</v>
      </c>
      <c r="W156" s="34">
        <v>0</v>
      </c>
      <c r="X156" s="18">
        <v>0</v>
      </c>
      <c r="Y156" s="133">
        <v>0</v>
      </c>
      <c r="Z156" s="34">
        <v>0</v>
      </c>
      <c r="AA156" s="18">
        <v>69225.78</v>
      </c>
      <c r="AB156" s="133">
        <v>0</v>
      </c>
      <c r="AC156" s="34">
        <v>0</v>
      </c>
      <c r="AD156" s="18">
        <v>3446</v>
      </c>
      <c r="AE156" s="133">
        <v>0</v>
      </c>
      <c r="AF156" s="34">
        <v>0</v>
      </c>
      <c r="AG156" s="18">
        <v>0</v>
      </c>
      <c r="AH156" s="133">
        <v>0</v>
      </c>
      <c r="AI156" s="34">
        <v>0</v>
      </c>
      <c r="AJ156" s="18">
        <v>0</v>
      </c>
      <c r="AK156" s="133">
        <v>0</v>
      </c>
      <c r="AL156" s="34">
        <v>0</v>
      </c>
      <c r="AM156" s="18">
        <v>0</v>
      </c>
      <c r="AN156" s="133">
        <v>0</v>
      </c>
      <c r="AO156" s="34">
        <v>0</v>
      </c>
      <c r="AP156" s="18">
        <v>0</v>
      </c>
      <c r="AQ156" s="133">
        <v>0</v>
      </c>
      <c r="AR156" s="34">
        <v>0</v>
      </c>
      <c r="AS156" s="18">
        <v>5957</v>
      </c>
      <c r="AT156" s="133">
        <v>0</v>
      </c>
      <c r="AU156" s="34">
        <v>0</v>
      </c>
      <c r="AV156" s="18">
        <v>0</v>
      </c>
      <c r="AW156" s="133">
        <v>0</v>
      </c>
      <c r="AX156" s="34">
        <v>0</v>
      </c>
      <c r="AY156" s="18">
        <v>0</v>
      </c>
      <c r="AZ156" s="133"/>
      <c r="BA156" s="34"/>
      <c r="BB156" s="18"/>
      <c r="BC156" s="133"/>
      <c r="BD156" s="34"/>
      <c r="BE156" s="18"/>
      <c r="BF156" s="133"/>
      <c r="BG156" s="34"/>
      <c r="BH156" s="18"/>
    </row>
    <row r="157" spans="3:60" ht="20.25" x14ac:dyDescent="0.3">
      <c r="C157" s="8" t="s">
        <v>72</v>
      </c>
      <c r="D157" s="133"/>
      <c r="E157" s="34"/>
      <c r="F157" s="18">
        <f t="shared" si="12"/>
        <v>53845.79</v>
      </c>
      <c r="G157" s="133">
        <v>0</v>
      </c>
      <c r="H157" s="34">
        <v>0</v>
      </c>
      <c r="I157" s="18">
        <v>20950</v>
      </c>
      <c r="J157" s="133">
        <v>0</v>
      </c>
      <c r="K157" s="34">
        <v>0</v>
      </c>
      <c r="L157" s="18">
        <v>1500</v>
      </c>
      <c r="M157" s="133">
        <v>0</v>
      </c>
      <c r="N157" s="34">
        <v>0</v>
      </c>
      <c r="O157" s="18">
        <v>825</v>
      </c>
      <c r="P157" s="133">
        <v>0</v>
      </c>
      <c r="Q157" s="34">
        <v>0</v>
      </c>
      <c r="R157" s="18">
        <v>0</v>
      </c>
      <c r="S157" s="133">
        <v>0</v>
      </c>
      <c r="T157" s="34">
        <v>0</v>
      </c>
      <c r="U157" s="18">
        <v>0</v>
      </c>
      <c r="V157" s="133">
        <v>0</v>
      </c>
      <c r="W157" s="34">
        <v>0</v>
      </c>
      <c r="X157" s="18">
        <v>27700</v>
      </c>
      <c r="Y157" s="133">
        <v>0</v>
      </c>
      <c r="Z157" s="34">
        <v>0</v>
      </c>
      <c r="AA157" s="18">
        <v>0</v>
      </c>
      <c r="AB157" s="133">
        <v>0</v>
      </c>
      <c r="AC157" s="34">
        <v>0</v>
      </c>
      <c r="AD157" s="18">
        <v>1670.79</v>
      </c>
      <c r="AE157" s="133">
        <v>0</v>
      </c>
      <c r="AF157" s="34">
        <v>0</v>
      </c>
      <c r="AG157" s="18">
        <v>0</v>
      </c>
      <c r="AH157" s="133">
        <v>0</v>
      </c>
      <c r="AI157" s="34">
        <v>0</v>
      </c>
      <c r="AJ157" s="18">
        <v>1200</v>
      </c>
      <c r="AK157" s="133">
        <v>0</v>
      </c>
      <c r="AL157" s="34">
        <v>0</v>
      </c>
      <c r="AM157" s="18">
        <v>0</v>
      </c>
      <c r="AN157" s="133">
        <v>0</v>
      </c>
      <c r="AO157" s="34">
        <v>0</v>
      </c>
      <c r="AP157" s="18">
        <v>0</v>
      </c>
      <c r="AQ157" s="133">
        <v>0</v>
      </c>
      <c r="AR157" s="34">
        <v>0</v>
      </c>
      <c r="AS157" s="18">
        <v>0</v>
      </c>
      <c r="AT157" s="133">
        <v>0</v>
      </c>
      <c r="AU157" s="34">
        <v>0</v>
      </c>
      <c r="AV157" s="18">
        <v>0</v>
      </c>
      <c r="AW157" s="133">
        <v>0</v>
      </c>
      <c r="AX157" s="34">
        <v>0</v>
      </c>
      <c r="AY157" s="18">
        <v>0</v>
      </c>
      <c r="AZ157" s="133"/>
      <c r="BA157" s="34"/>
      <c r="BB157" s="18"/>
      <c r="BC157" s="133"/>
      <c r="BD157" s="34"/>
      <c r="BE157" s="18"/>
      <c r="BF157" s="133"/>
      <c r="BG157" s="34"/>
      <c r="BH157" s="18"/>
    </row>
    <row r="158" spans="3:60" ht="20.25" x14ac:dyDescent="0.3">
      <c r="C158" s="8" t="s">
        <v>71</v>
      </c>
      <c r="D158" s="8"/>
      <c r="E158" s="7"/>
      <c r="F158" s="18">
        <f t="shared" si="12"/>
        <v>0</v>
      </c>
      <c r="G158" s="8">
        <v>0</v>
      </c>
      <c r="H158" s="7">
        <v>0</v>
      </c>
      <c r="I158" s="18">
        <v>0</v>
      </c>
      <c r="J158" s="8">
        <v>0</v>
      </c>
      <c r="K158" s="7">
        <v>0</v>
      </c>
      <c r="L158" s="18">
        <v>0</v>
      </c>
      <c r="M158" s="8">
        <v>0</v>
      </c>
      <c r="N158" s="7">
        <v>0</v>
      </c>
      <c r="O158" s="18">
        <v>0</v>
      </c>
      <c r="P158" s="8">
        <v>0</v>
      </c>
      <c r="Q158" s="7">
        <v>0</v>
      </c>
      <c r="R158" s="18">
        <v>0</v>
      </c>
      <c r="S158" s="8">
        <v>0</v>
      </c>
      <c r="T158" s="7">
        <v>0</v>
      </c>
      <c r="U158" s="18">
        <v>0</v>
      </c>
      <c r="V158" s="8">
        <v>0</v>
      </c>
      <c r="W158" s="7">
        <v>0</v>
      </c>
      <c r="X158" s="18">
        <v>0</v>
      </c>
      <c r="Y158" s="8">
        <v>0</v>
      </c>
      <c r="Z158" s="7">
        <v>0</v>
      </c>
      <c r="AA158" s="18">
        <v>0</v>
      </c>
      <c r="AB158" s="8">
        <v>0</v>
      </c>
      <c r="AC158" s="7">
        <v>0</v>
      </c>
      <c r="AD158" s="18">
        <v>0</v>
      </c>
      <c r="AE158" s="8">
        <v>0</v>
      </c>
      <c r="AF158" s="7">
        <v>0</v>
      </c>
      <c r="AG158" s="18">
        <v>0</v>
      </c>
      <c r="AH158" s="8">
        <v>0</v>
      </c>
      <c r="AI158" s="7">
        <v>0</v>
      </c>
      <c r="AJ158" s="18">
        <v>0</v>
      </c>
      <c r="AK158" s="8">
        <v>0</v>
      </c>
      <c r="AL158" s="7">
        <v>0</v>
      </c>
      <c r="AM158" s="18">
        <v>0</v>
      </c>
      <c r="AN158" s="8">
        <v>0</v>
      </c>
      <c r="AO158" s="7">
        <v>0</v>
      </c>
      <c r="AP158" s="18">
        <v>0</v>
      </c>
      <c r="AQ158" s="8">
        <v>0</v>
      </c>
      <c r="AR158" s="7">
        <v>0</v>
      </c>
      <c r="AS158" s="18">
        <v>0</v>
      </c>
      <c r="AT158" s="8">
        <v>0</v>
      </c>
      <c r="AU158" s="7">
        <v>0</v>
      </c>
      <c r="AV158" s="18">
        <v>0</v>
      </c>
      <c r="AW158" s="8">
        <v>0</v>
      </c>
      <c r="AX158" s="7">
        <v>0</v>
      </c>
      <c r="AY158" s="18">
        <v>0</v>
      </c>
      <c r="AZ158" s="8"/>
      <c r="BA158" s="7"/>
      <c r="BB158" s="18"/>
      <c r="BC158" s="8"/>
      <c r="BD158" s="7"/>
      <c r="BE158" s="18"/>
      <c r="BF158" s="8"/>
      <c r="BG158" s="7"/>
      <c r="BH158" s="18"/>
    </row>
    <row r="159" spans="3:60" ht="20.25" x14ac:dyDescent="0.3">
      <c r="C159" s="8" t="s">
        <v>70</v>
      </c>
      <c r="D159" s="8"/>
      <c r="E159" s="97"/>
      <c r="F159" s="18">
        <f t="shared" si="12"/>
        <v>227915</v>
      </c>
      <c r="G159" s="8">
        <v>0</v>
      </c>
      <c r="H159" s="97">
        <v>0</v>
      </c>
      <c r="I159" s="18">
        <v>20825</v>
      </c>
      <c r="J159" s="8">
        <v>0</v>
      </c>
      <c r="K159" s="97">
        <v>0</v>
      </c>
      <c r="L159" s="18">
        <v>22015</v>
      </c>
      <c r="M159" s="8">
        <v>0</v>
      </c>
      <c r="N159" s="97">
        <v>0</v>
      </c>
      <c r="O159" s="18">
        <v>10710</v>
      </c>
      <c r="P159" s="8">
        <v>0</v>
      </c>
      <c r="Q159" s="97">
        <v>0</v>
      </c>
      <c r="R159" s="18">
        <v>22455</v>
      </c>
      <c r="S159" s="8">
        <v>0</v>
      </c>
      <c r="T159" s="97">
        <v>0</v>
      </c>
      <c r="U159" s="18">
        <v>0</v>
      </c>
      <c r="V159" s="8">
        <v>0</v>
      </c>
      <c r="W159" s="97">
        <v>464.52</v>
      </c>
      <c r="X159" s="18">
        <v>23226</v>
      </c>
      <c r="Y159" s="8">
        <v>0</v>
      </c>
      <c r="Z159" s="97">
        <v>0</v>
      </c>
      <c r="AA159" s="18">
        <v>5094</v>
      </c>
      <c r="AB159" s="8">
        <v>0</v>
      </c>
      <c r="AC159" s="97">
        <v>0</v>
      </c>
      <c r="AD159" s="18">
        <v>29155</v>
      </c>
      <c r="AE159" s="8">
        <v>0</v>
      </c>
      <c r="AF159" s="97">
        <v>0</v>
      </c>
      <c r="AG159" s="18">
        <v>26562</v>
      </c>
      <c r="AH159" s="8">
        <v>0</v>
      </c>
      <c r="AI159" s="97">
        <v>0</v>
      </c>
      <c r="AJ159" s="18">
        <v>2994</v>
      </c>
      <c r="AK159" s="8">
        <v>0</v>
      </c>
      <c r="AL159" s="97">
        <v>0</v>
      </c>
      <c r="AM159" s="18">
        <v>4194</v>
      </c>
      <c r="AN159" s="132">
        <v>0</v>
      </c>
      <c r="AO159" s="97">
        <v>0</v>
      </c>
      <c r="AP159" s="18">
        <v>15469</v>
      </c>
      <c r="AQ159" s="8">
        <v>0</v>
      </c>
      <c r="AR159" s="97">
        <v>0</v>
      </c>
      <c r="AS159" s="18">
        <v>16359</v>
      </c>
      <c r="AT159" s="8">
        <v>0</v>
      </c>
      <c r="AU159" s="97">
        <v>0</v>
      </c>
      <c r="AV159" s="18">
        <v>19395</v>
      </c>
      <c r="AW159" s="8">
        <v>0</v>
      </c>
      <c r="AX159" s="97">
        <v>0</v>
      </c>
      <c r="AY159" s="18">
        <v>9462</v>
      </c>
      <c r="AZ159" s="8"/>
      <c r="BA159" s="97"/>
      <c r="BB159" s="18"/>
      <c r="BC159" s="8"/>
      <c r="BD159" s="97"/>
      <c r="BE159" s="18"/>
      <c r="BF159" s="8"/>
      <c r="BG159" s="97"/>
      <c r="BH159" s="18"/>
    </row>
    <row r="160" spans="3:60" ht="20.25" hidden="1" x14ac:dyDescent="0.3">
      <c r="C160" s="8" t="s">
        <v>3</v>
      </c>
      <c r="D160" s="8"/>
      <c r="E160" s="7"/>
      <c r="F160" s="18">
        <f t="shared" si="12"/>
        <v>0</v>
      </c>
      <c r="G160" s="8">
        <v>0</v>
      </c>
      <c r="H160" s="7">
        <v>0</v>
      </c>
      <c r="I160" s="18">
        <v>0</v>
      </c>
      <c r="J160" s="8">
        <v>0</v>
      </c>
      <c r="K160" s="7">
        <v>0</v>
      </c>
      <c r="L160" s="18">
        <v>0</v>
      </c>
      <c r="M160" s="8">
        <v>0</v>
      </c>
      <c r="N160" s="7">
        <v>0</v>
      </c>
      <c r="O160" s="18">
        <v>0</v>
      </c>
      <c r="P160" s="8">
        <v>0</v>
      </c>
      <c r="Q160" s="7">
        <v>0</v>
      </c>
      <c r="R160" s="18">
        <v>0</v>
      </c>
      <c r="S160" s="8">
        <v>0</v>
      </c>
      <c r="T160" s="7">
        <v>0</v>
      </c>
      <c r="U160" s="18">
        <v>0</v>
      </c>
      <c r="V160" s="8">
        <v>0</v>
      </c>
      <c r="W160" s="7">
        <v>0</v>
      </c>
      <c r="X160" s="18">
        <v>0</v>
      </c>
      <c r="Y160" s="8">
        <v>0</v>
      </c>
      <c r="Z160" s="97">
        <v>0</v>
      </c>
      <c r="AA160" s="18">
        <v>0</v>
      </c>
      <c r="AB160" s="8">
        <v>0</v>
      </c>
      <c r="AC160" s="97">
        <v>0</v>
      </c>
      <c r="AD160" s="18">
        <v>0</v>
      </c>
      <c r="AE160" s="8">
        <v>0</v>
      </c>
      <c r="AF160" s="97">
        <v>0</v>
      </c>
      <c r="AG160" s="18">
        <v>0</v>
      </c>
      <c r="AH160" s="8">
        <v>0</v>
      </c>
      <c r="AI160" s="97">
        <v>0</v>
      </c>
      <c r="AJ160" s="18">
        <v>0</v>
      </c>
      <c r="AK160" s="8">
        <v>0</v>
      </c>
      <c r="AL160" s="97">
        <v>0</v>
      </c>
      <c r="AM160" s="18">
        <v>0</v>
      </c>
      <c r="AN160" s="8">
        <v>0</v>
      </c>
      <c r="AO160" s="97">
        <v>0</v>
      </c>
      <c r="AP160" s="18">
        <v>0</v>
      </c>
      <c r="AQ160" s="8">
        <v>0</v>
      </c>
      <c r="AR160" s="97">
        <v>0</v>
      </c>
      <c r="AS160" s="18">
        <v>0</v>
      </c>
      <c r="AT160" s="8">
        <v>0</v>
      </c>
      <c r="AU160" s="97">
        <v>0</v>
      </c>
      <c r="AV160" s="18">
        <v>0</v>
      </c>
      <c r="AW160" s="8">
        <v>0</v>
      </c>
      <c r="AX160" s="97">
        <v>0</v>
      </c>
      <c r="AY160" s="18">
        <v>0</v>
      </c>
      <c r="AZ160" s="8"/>
      <c r="BA160" s="97"/>
      <c r="BB160" s="18"/>
      <c r="BC160" s="8"/>
      <c r="BD160" s="97"/>
      <c r="BE160" s="18"/>
      <c r="BF160" s="8"/>
      <c r="BG160" s="97"/>
      <c r="BH160" s="18"/>
    </row>
    <row r="161" spans="3:60" ht="20.25" hidden="1" x14ac:dyDescent="0.3">
      <c r="C161" s="8" t="s">
        <v>3</v>
      </c>
      <c r="D161" s="8"/>
      <c r="E161" s="7"/>
      <c r="F161" s="18">
        <f t="shared" si="12"/>
        <v>0</v>
      </c>
      <c r="G161" s="8">
        <v>0</v>
      </c>
      <c r="H161" s="7">
        <v>0</v>
      </c>
      <c r="I161" s="18">
        <v>0</v>
      </c>
      <c r="J161" s="8">
        <v>0</v>
      </c>
      <c r="K161" s="7">
        <v>0</v>
      </c>
      <c r="L161" s="18">
        <v>0</v>
      </c>
      <c r="M161" s="8">
        <v>0</v>
      </c>
      <c r="N161" s="7">
        <v>0</v>
      </c>
      <c r="O161" s="18">
        <v>0</v>
      </c>
      <c r="P161" s="8">
        <v>0</v>
      </c>
      <c r="Q161" s="7">
        <v>0</v>
      </c>
      <c r="R161" s="18">
        <v>0</v>
      </c>
      <c r="S161" s="8">
        <v>0</v>
      </c>
      <c r="T161" s="7">
        <v>0</v>
      </c>
      <c r="U161" s="18">
        <v>0</v>
      </c>
      <c r="V161" s="8">
        <v>0</v>
      </c>
      <c r="W161" s="7">
        <v>0</v>
      </c>
      <c r="X161" s="18">
        <v>0</v>
      </c>
      <c r="Y161" s="8">
        <v>0</v>
      </c>
      <c r="Z161" s="7">
        <v>0</v>
      </c>
      <c r="AA161" s="18">
        <v>0</v>
      </c>
      <c r="AB161" s="8">
        <v>0</v>
      </c>
      <c r="AC161" s="7">
        <v>0</v>
      </c>
      <c r="AD161" s="18">
        <v>0</v>
      </c>
      <c r="AE161" s="8">
        <v>0</v>
      </c>
      <c r="AF161" s="7">
        <v>0</v>
      </c>
      <c r="AG161" s="18">
        <v>0</v>
      </c>
      <c r="AH161" s="8">
        <v>0</v>
      </c>
      <c r="AI161" s="7">
        <v>0</v>
      </c>
      <c r="AJ161" s="18">
        <v>0</v>
      </c>
      <c r="AK161" s="8">
        <v>0</v>
      </c>
      <c r="AL161" s="7">
        <v>0</v>
      </c>
      <c r="AM161" s="18">
        <v>0</v>
      </c>
      <c r="AN161" s="8">
        <v>0</v>
      </c>
      <c r="AO161" s="7">
        <v>0</v>
      </c>
      <c r="AP161" s="18">
        <v>0</v>
      </c>
      <c r="AQ161" s="8">
        <v>0</v>
      </c>
      <c r="AR161" s="7">
        <v>0</v>
      </c>
      <c r="AS161" s="18">
        <v>0</v>
      </c>
      <c r="AT161" s="8">
        <v>0</v>
      </c>
      <c r="AU161" s="7">
        <v>0</v>
      </c>
      <c r="AV161" s="18">
        <v>0</v>
      </c>
      <c r="AW161" s="8">
        <v>0</v>
      </c>
      <c r="AX161" s="7">
        <v>0</v>
      </c>
      <c r="AY161" s="18">
        <v>0</v>
      </c>
      <c r="AZ161" s="8"/>
      <c r="BA161" s="7"/>
      <c r="BB161" s="18"/>
      <c r="BC161" s="8"/>
      <c r="BD161" s="7"/>
      <c r="BE161" s="18"/>
      <c r="BF161" s="8"/>
      <c r="BG161" s="7"/>
      <c r="BH161" s="18"/>
    </row>
    <row r="162" spans="3:60" ht="20.25" hidden="1" x14ac:dyDescent="0.3">
      <c r="C162" s="67" t="s">
        <v>3</v>
      </c>
      <c r="D162" s="8"/>
      <c r="E162" s="7"/>
      <c r="F162" s="18">
        <f t="shared" si="12"/>
        <v>0</v>
      </c>
      <c r="G162" s="8">
        <v>0</v>
      </c>
      <c r="H162" s="7">
        <v>0</v>
      </c>
      <c r="I162" s="18">
        <v>0</v>
      </c>
      <c r="J162" s="8">
        <v>0</v>
      </c>
      <c r="K162" s="7">
        <v>0</v>
      </c>
      <c r="L162" s="18">
        <v>0</v>
      </c>
      <c r="M162" s="8">
        <v>0</v>
      </c>
      <c r="N162" s="7">
        <v>0</v>
      </c>
      <c r="O162" s="18">
        <v>0</v>
      </c>
      <c r="P162" s="8">
        <v>0</v>
      </c>
      <c r="Q162" s="7">
        <v>0</v>
      </c>
      <c r="R162" s="18">
        <v>0</v>
      </c>
      <c r="S162" s="8">
        <v>0</v>
      </c>
      <c r="T162" s="7">
        <v>0</v>
      </c>
      <c r="U162" s="18">
        <v>0</v>
      </c>
      <c r="V162" s="8">
        <v>0</v>
      </c>
      <c r="W162" s="7">
        <v>0</v>
      </c>
      <c r="X162" s="18">
        <v>0</v>
      </c>
      <c r="Y162" s="8">
        <v>0</v>
      </c>
      <c r="Z162" s="7">
        <v>0</v>
      </c>
      <c r="AA162" s="18">
        <v>0</v>
      </c>
      <c r="AB162" s="8">
        <v>0</v>
      </c>
      <c r="AC162" s="7">
        <v>0</v>
      </c>
      <c r="AD162" s="18">
        <v>0</v>
      </c>
      <c r="AE162" s="8">
        <v>0</v>
      </c>
      <c r="AF162" s="7">
        <v>0</v>
      </c>
      <c r="AG162" s="18">
        <v>0</v>
      </c>
      <c r="AH162" s="8">
        <v>0</v>
      </c>
      <c r="AI162" s="7">
        <v>0</v>
      </c>
      <c r="AJ162" s="18">
        <v>0</v>
      </c>
      <c r="AK162" s="8">
        <v>0</v>
      </c>
      <c r="AL162" s="7">
        <v>0</v>
      </c>
      <c r="AM162" s="18">
        <v>0</v>
      </c>
      <c r="AN162" s="8">
        <v>0</v>
      </c>
      <c r="AO162" s="7">
        <v>0</v>
      </c>
      <c r="AP162" s="18">
        <v>0</v>
      </c>
      <c r="AQ162" s="8">
        <v>0</v>
      </c>
      <c r="AR162" s="7">
        <v>0</v>
      </c>
      <c r="AS162" s="18">
        <v>0</v>
      </c>
      <c r="AT162" s="8">
        <v>0</v>
      </c>
      <c r="AU162" s="7">
        <v>0</v>
      </c>
      <c r="AV162" s="18">
        <v>0</v>
      </c>
      <c r="AW162" s="8">
        <v>0</v>
      </c>
      <c r="AX162" s="7">
        <v>0</v>
      </c>
      <c r="AY162" s="18">
        <v>0</v>
      </c>
      <c r="AZ162" s="8"/>
      <c r="BA162" s="7"/>
      <c r="BB162" s="18"/>
      <c r="BC162" s="8"/>
      <c r="BD162" s="7"/>
      <c r="BE162" s="18"/>
      <c r="BF162" s="8"/>
      <c r="BG162" s="7"/>
      <c r="BH162" s="18"/>
    </row>
    <row r="163" spans="3:60" ht="20.25" x14ac:dyDescent="0.3">
      <c r="C163" s="11" t="s">
        <v>69</v>
      </c>
      <c r="D163" s="64"/>
      <c r="E163" s="14"/>
      <c r="F163" s="12">
        <f>SUM(F156:F159)</f>
        <v>429218.57</v>
      </c>
      <c r="G163" s="64">
        <v>0</v>
      </c>
      <c r="H163" s="14">
        <v>0</v>
      </c>
      <c r="I163" s="12">
        <v>45525</v>
      </c>
      <c r="J163" s="64">
        <v>0</v>
      </c>
      <c r="K163" s="14">
        <v>0</v>
      </c>
      <c r="L163" s="12">
        <v>33640</v>
      </c>
      <c r="M163" s="64">
        <v>0</v>
      </c>
      <c r="N163" s="14">
        <v>0</v>
      </c>
      <c r="O163" s="12">
        <v>14035</v>
      </c>
      <c r="P163" s="64">
        <v>0</v>
      </c>
      <c r="Q163" s="14">
        <v>0</v>
      </c>
      <c r="R163" s="12">
        <v>29909</v>
      </c>
      <c r="S163" s="64">
        <v>0</v>
      </c>
      <c r="T163" s="14">
        <v>0</v>
      </c>
      <c r="U163" s="12">
        <v>45000</v>
      </c>
      <c r="V163" s="64">
        <v>0</v>
      </c>
      <c r="W163" s="14">
        <v>0</v>
      </c>
      <c r="X163" s="12">
        <v>50926</v>
      </c>
      <c r="Y163" s="64">
        <v>0</v>
      </c>
      <c r="Z163" s="14">
        <v>0</v>
      </c>
      <c r="AA163" s="12">
        <v>74319.78</v>
      </c>
      <c r="AB163" s="64">
        <v>0</v>
      </c>
      <c r="AC163" s="14">
        <v>0</v>
      </c>
      <c r="AD163" s="12">
        <v>34271.79</v>
      </c>
      <c r="AE163" s="64">
        <v>0</v>
      </c>
      <c r="AF163" s="14">
        <v>0</v>
      </c>
      <c r="AG163" s="12">
        <v>26562</v>
      </c>
      <c r="AH163" s="64">
        <v>0</v>
      </c>
      <c r="AI163" s="14">
        <v>0</v>
      </c>
      <c r="AJ163" s="12">
        <v>4194</v>
      </c>
      <c r="AK163" s="64">
        <v>0</v>
      </c>
      <c r="AL163" s="14">
        <v>0</v>
      </c>
      <c r="AM163" s="12">
        <v>4194</v>
      </c>
      <c r="AN163" s="64">
        <v>0</v>
      </c>
      <c r="AO163" s="14">
        <v>0</v>
      </c>
      <c r="AP163" s="12">
        <v>15469</v>
      </c>
      <c r="AQ163" s="64">
        <v>0</v>
      </c>
      <c r="AR163" s="14">
        <v>0</v>
      </c>
      <c r="AS163" s="12">
        <v>22316</v>
      </c>
      <c r="AT163" s="64">
        <v>0</v>
      </c>
      <c r="AU163" s="14">
        <v>0</v>
      </c>
      <c r="AV163" s="12">
        <v>19395</v>
      </c>
      <c r="AW163" s="64">
        <v>0</v>
      </c>
      <c r="AX163" s="14">
        <v>0</v>
      </c>
      <c r="AY163" s="12">
        <v>9462</v>
      </c>
      <c r="AZ163" s="64"/>
      <c r="BA163" s="14"/>
      <c r="BB163" s="12"/>
      <c r="BC163" s="64"/>
      <c r="BD163" s="14"/>
      <c r="BE163" s="12"/>
      <c r="BF163" s="64"/>
      <c r="BG163" s="14"/>
      <c r="BH163" s="12"/>
    </row>
    <row r="164" spans="3:60" ht="20.25" x14ac:dyDescent="0.3">
      <c r="C164" s="8"/>
      <c r="D164" s="8"/>
      <c r="E164" s="7"/>
      <c r="F164" s="63"/>
      <c r="G164" s="8"/>
      <c r="H164" s="7"/>
      <c r="I164" s="63"/>
      <c r="J164" s="8"/>
      <c r="K164" s="7"/>
      <c r="L164" s="63"/>
      <c r="M164" s="8"/>
      <c r="N164" s="7"/>
      <c r="O164" s="63"/>
      <c r="P164" s="8"/>
      <c r="Q164" s="7"/>
      <c r="R164" s="63"/>
      <c r="S164" s="8"/>
      <c r="T164" s="7"/>
      <c r="U164" s="63"/>
      <c r="V164" s="8"/>
      <c r="W164" s="7"/>
      <c r="X164" s="63"/>
      <c r="Y164" s="8"/>
      <c r="Z164" s="7"/>
      <c r="AA164" s="63"/>
      <c r="AB164" s="8"/>
      <c r="AC164" s="7"/>
      <c r="AD164" s="63"/>
      <c r="AE164" s="8"/>
      <c r="AF164" s="7"/>
      <c r="AG164" s="63"/>
      <c r="AH164" s="8"/>
      <c r="AI164" s="7"/>
      <c r="AJ164" s="63"/>
      <c r="AK164" s="8"/>
      <c r="AL164" s="7"/>
      <c r="AM164" s="63"/>
      <c r="AN164" s="8"/>
      <c r="AO164" s="7"/>
      <c r="AP164" s="63"/>
      <c r="AQ164" s="8"/>
      <c r="AR164" s="7"/>
      <c r="AS164" s="63"/>
      <c r="AT164" s="8"/>
      <c r="AU164" s="7"/>
      <c r="AV164" s="63"/>
      <c r="AW164" s="8"/>
      <c r="AX164" s="7"/>
      <c r="AY164" s="63"/>
      <c r="AZ164" s="8"/>
      <c r="BA164" s="7"/>
      <c r="BB164" s="63"/>
      <c r="BC164" s="8"/>
      <c r="BD164" s="7"/>
      <c r="BE164" s="63"/>
      <c r="BF164" s="8"/>
      <c r="BG164" s="7"/>
      <c r="BH164" s="63"/>
    </row>
    <row r="165" spans="3:60" ht="21" thickBot="1" x14ac:dyDescent="0.35">
      <c r="C165" s="38" t="s">
        <v>0</v>
      </c>
      <c r="D165" s="61"/>
      <c r="E165" s="62"/>
      <c r="F165" s="59">
        <f>F108-F155+F163</f>
        <v>122123.36559999938</v>
      </c>
      <c r="G165" s="61">
        <v>0</v>
      </c>
      <c r="H165" s="60">
        <v>0</v>
      </c>
      <c r="I165" s="59">
        <v>25047.6499999999</v>
      </c>
      <c r="J165" s="61">
        <v>0</v>
      </c>
      <c r="K165" s="60">
        <v>0</v>
      </c>
      <c r="L165" s="59">
        <v>-10338.0799999999</v>
      </c>
      <c r="M165" s="61">
        <v>0</v>
      </c>
      <c r="N165" s="60">
        <v>0</v>
      </c>
      <c r="O165" s="59">
        <v>-1072.5999999999401</v>
      </c>
      <c r="P165" s="61">
        <v>0</v>
      </c>
      <c r="Q165" s="60">
        <v>0</v>
      </c>
      <c r="R165" s="59">
        <v>-9810.70999999999</v>
      </c>
      <c r="S165" s="61">
        <v>0</v>
      </c>
      <c r="T165" s="60">
        <v>0</v>
      </c>
      <c r="U165" s="59">
        <v>31506.830000000398</v>
      </c>
      <c r="V165" s="61">
        <v>0</v>
      </c>
      <c r="W165" s="60">
        <v>0</v>
      </c>
      <c r="X165" s="59">
        <v>725.89000000030501</v>
      </c>
      <c r="Y165" s="61">
        <v>0</v>
      </c>
      <c r="Z165" s="60">
        <v>0</v>
      </c>
      <c r="AA165" s="59">
        <v>71684.490000000005</v>
      </c>
      <c r="AB165" s="61">
        <v>0</v>
      </c>
      <c r="AC165" s="60">
        <v>0</v>
      </c>
      <c r="AD165" s="59">
        <v>7810.0600000000404</v>
      </c>
      <c r="AE165" s="61">
        <v>0</v>
      </c>
      <c r="AF165" s="60">
        <v>0</v>
      </c>
      <c r="AG165" s="59">
        <v>43230.929999999898</v>
      </c>
      <c r="AH165" s="61">
        <v>0</v>
      </c>
      <c r="AI165" s="60">
        <v>0</v>
      </c>
      <c r="AJ165" s="59">
        <v>-10548.85</v>
      </c>
      <c r="AK165" s="61">
        <v>0</v>
      </c>
      <c r="AL165" s="60">
        <v>0</v>
      </c>
      <c r="AM165" s="59">
        <v>-52867.044399999897</v>
      </c>
      <c r="AN165" s="61">
        <v>0</v>
      </c>
      <c r="AO165" s="60">
        <v>0</v>
      </c>
      <c r="AP165" s="59">
        <v>-2358.3899999999198</v>
      </c>
      <c r="AQ165" s="61">
        <v>0</v>
      </c>
      <c r="AR165" s="60">
        <v>0</v>
      </c>
      <c r="AS165" s="59">
        <v>52071.389999999803</v>
      </c>
      <c r="AT165" s="61">
        <v>0</v>
      </c>
      <c r="AU165" s="60">
        <v>0</v>
      </c>
      <c r="AV165" s="59">
        <v>-13959.8</v>
      </c>
      <c r="AW165" s="61">
        <v>0</v>
      </c>
      <c r="AX165" s="60">
        <v>0</v>
      </c>
      <c r="AY165" s="59">
        <v>-8998.4000000000306</v>
      </c>
      <c r="AZ165" s="61"/>
      <c r="BA165" s="60"/>
      <c r="BB165" s="59"/>
      <c r="BC165" s="61"/>
      <c r="BD165" s="60"/>
      <c r="BE165" s="59"/>
      <c r="BF165" s="61"/>
      <c r="BG165" s="60"/>
      <c r="BH165" s="59"/>
    </row>
    <row r="166" spans="3:60" ht="16.5" thickTop="1" x14ac:dyDescent="0.25">
      <c r="C166" s="88"/>
      <c r="D166" s="88"/>
      <c r="E166" s="88"/>
      <c r="F166" s="103"/>
      <c r="G166" s="88"/>
      <c r="H166" s="88"/>
      <c r="I166" s="103"/>
      <c r="J166" s="88"/>
      <c r="K166" s="88"/>
      <c r="L166" s="103"/>
      <c r="M166" s="88"/>
      <c r="N166" s="88"/>
      <c r="O166" s="103"/>
      <c r="P166" s="88"/>
      <c r="Q166" s="88"/>
      <c r="R166" s="103"/>
      <c r="S166" s="88"/>
      <c r="T166" s="88"/>
      <c r="U166" s="103"/>
      <c r="V166" s="88"/>
      <c r="W166" s="88"/>
      <c r="X166" s="103"/>
      <c r="Y166" s="88"/>
      <c r="Z166" s="88"/>
      <c r="AA166" s="103"/>
      <c r="AB166" s="88"/>
      <c r="AC166" s="88"/>
      <c r="AD166" s="103"/>
      <c r="AE166" s="88"/>
      <c r="AF166" s="88"/>
      <c r="AG166" s="103"/>
      <c r="AH166" s="88"/>
      <c r="AI166" s="88"/>
      <c r="AJ166" s="103"/>
      <c r="AK166" s="88"/>
      <c r="AL166" s="88"/>
      <c r="AM166" s="103"/>
      <c r="AN166" s="88"/>
      <c r="AO166" s="88"/>
      <c r="AP166" s="103"/>
      <c r="AQ166" s="88"/>
      <c r="AR166" s="88"/>
      <c r="AS166" s="103"/>
      <c r="AT166" s="88"/>
      <c r="AU166" s="88"/>
      <c r="AV166" s="103"/>
      <c r="AW166" s="88"/>
      <c r="AX166" s="88"/>
      <c r="AY166" s="103"/>
      <c r="AZ166" s="88"/>
      <c r="BA166" s="88"/>
      <c r="BB166" s="103"/>
      <c r="BC166" s="88"/>
      <c r="BD166" s="88"/>
      <c r="BE166" s="103"/>
      <c r="BF166" s="88"/>
      <c r="BG166" s="88"/>
      <c r="BH166" s="103"/>
    </row>
    <row r="167" spans="3:60" ht="15.75" x14ac:dyDescent="0.25"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  <c r="BA167" s="88"/>
      <c r="BB167" s="88"/>
      <c r="BC167" s="88"/>
      <c r="BD167" s="88"/>
      <c r="BE167" s="88"/>
      <c r="BF167" s="88"/>
      <c r="BG167" s="88"/>
      <c r="BH167" s="88"/>
    </row>
    <row r="168" spans="3:60" ht="35.25" x14ac:dyDescent="0.5">
      <c r="C168" s="58" t="str">
        <f>Z168</f>
        <v>Service</v>
      </c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Z168" s="57" t="s">
        <v>68</v>
      </c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 t="str">
        <f>C168</f>
        <v>Service</v>
      </c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</row>
    <row r="169" spans="3:60" ht="16.5" thickBot="1" x14ac:dyDescent="0.3">
      <c r="C169" s="89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  <c r="BC169" s="88"/>
      <c r="BD169" s="88"/>
      <c r="BE169" s="88"/>
      <c r="BF169" s="88"/>
      <c r="BG169" s="88"/>
      <c r="BH169" s="88"/>
    </row>
    <row r="170" spans="3:60" ht="21" thickTop="1" x14ac:dyDescent="0.3">
      <c r="C170" s="56"/>
      <c r="D170" s="166" t="str">
        <f>D$3</f>
        <v>Conso</v>
      </c>
      <c r="E170" s="167"/>
      <c r="F170" s="168"/>
      <c r="G170" s="166" t="str">
        <f>G$3</f>
        <v>BMW PA</v>
      </c>
      <c r="H170" s="167"/>
      <c r="I170" s="168"/>
      <c r="J170" s="166" t="str">
        <f>J$3</f>
        <v>BMW STJ</v>
      </c>
      <c r="K170" s="167"/>
      <c r="L170" s="168"/>
      <c r="M170" s="166" t="str">
        <f>M$3</f>
        <v>BMW SHER</v>
      </c>
      <c r="N170" s="167"/>
      <c r="O170" s="168"/>
      <c r="P170" s="166" t="str">
        <f>P$3</f>
        <v>MBQ</v>
      </c>
      <c r="Q170" s="167"/>
      <c r="R170" s="168"/>
      <c r="S170" s="166" t="str">
        <f>S$3</f>
        <v>SSMB</v>
      </c>
      <c r="T170" s="167"/>
      <c r="U170" s="168"/>
      <c r="V170" s="166" t="str">
        <f>V$3</f>
        <v>Audi</v>
      </c>
      <c r="W170" s="167"/>
      <c r="X170" s="168"/>
      <c r="Y170" s="166" t="str">
        <f>Y$3</f>
        <v>JLR</v>
      </c>
      <c r="Z170" s="167"/>
      <c r="AA170" s="168"/>
      <c r="AB170" s="166" t="str">
        <f>AB$3</f>
        <v>Lexus</v>
      </c>
      <c r="AC170" s="167"/>
      <c r="AD170" s="168"/>
      <c r="AE170" s="166" t="str">
        <f>AE$3</f>
        <v>Volvo</v>
      </c>
      <c r="AF170" s="167"/>
      <c r="AG170" s="168"/>
      <c r="AH170" s="166" t="str">
        <f>AH$3</f>
        <v>Mini</v>
      </c>
      <c r="AI170" s="167"/>
      <c r="AJ170" s="168"/>
      <c r="AK170" s="166" t="str">
        <f>AK$3</f>
        <v>Infiniti</v>
      </c>
      <c r="AL170" s="167"/>
      <c r="AM170" s="168"/>
      <c r="AN170" s="166" t="str">
        <f>AN$3</f>
        <v>Honda</v>
      </c>
      <c r="AO170" s="167"/>
      <c r="AP170" s="168"/>
      <c r="AQ170" s="166" t="str">
        <f>AQ$3</f>
        <v>Toyota</v>
      </c>
      <c r="AR170" s="167"/>
      <c r="AS170" s="168"/>
      <c r="AT170" s="166" t="str">
        <f>AT$3</f>
        <v>Volks</v>
      </c>
      <c r="AU170" s="167"/>
      <c r="AV170" s="168"/>
      <c r="AW170" s="166" t="str">
        <f>AW$3</f>
        <v>LHD</v>
      </c>
      <c r="AX170" s="167"/>
      <c r="AY170" s="168"/>
      <c r="AZ170" s="166"/>
      <c r="BA170" s="167"/>
      <c r="BB170" s="168"/>
      <c r="BC170" s="166"/>
      <c r="BD170" s="169"/>
      <c r="BE170" s="170"/>
      <c r="BF170" s="166"/>
      <c r="BG170" s="169"/>
      <c r="BH170" s="170"/>
    </row>
    <row r="171" spans="3:60" ht="20.25" x14ac:dyDescent="0.3">
      <c r="C171" s="8"/>
      <c r="D171" s="55" t="s">
        <v>56</v>
      </c>
      <c r="E171" s="54" t="s">
        <v>33</v>
      </c>
      <c r="F171" s="53" t="s">
        <v>31</v>
      </c>
      <c r="G171" s="55" t="str">
        <f>$D171</f>
        <v>#</v>
      </c>
      <c r="H171" s="54" t="str">
        <f>$E171</f>
        <v>$VENTES</v>
      </c>
      <c r="I171" s="53" t="str">
        <f>$F171</f>
        <v>$PROFITS</v>
      </c>
      <c r="J171" s="55" t="s">
        <v>56</v>
      </c>
      <c r="K171" s="54" t="s">
        <v>33</v>
      </c>
      <c r="L171" s="53" t="s">
        <v>31</v>
      </c>
      <c r="M171" s="55" t="s">
        <v>56</v>
      </c>
      <c r="N171" s="54" t="s">
        <v>33</v>
      </c>
      <c r="O171" s="53" t="s">
        <v>31</v>
      </c>
      <c r="P171" s="55" t="s">
        <v>56</v>
      </c>
      <c r="Q171" s="54" t="s">
        <v>33</v>
      </c>
      <c r="R171" s="53" t="s">
        <v>31</v>
      </c>
      <c r="S171" s="55" t="s">
        <v>56</v>
      </c>
      <c r="T171" s="54" t="s">
        <v>33</v>
      </c>
      <c r="U171" s="53" t="s">
        <v>31</v>
      </c>
      <c r="V171" s="55" t="s">
        <v>56</v>
      </c>
      <c r="W171" s="54" t="s">
        <v>33</v>
      </c>
      <c r="X171" s="53" t="s">
        <v>31</v>
      </c>
      <c r="Y171" s="55" t="s">
        <v>56</v>
      </c>
      <c r="Z171" s="54" t="s">
        <v>33</v>
      </c>
      <c r="AA171" s="53" t="s">
        <v>31</v>
      </c>
      <c r="AB171" s="55" t="s">
        <v>56</v>
      </c>
      <c r="AC171" s="54" t="s">
        <v>33</v>
      </c>
      <c r="AD171" s="53" t="s">
        <v>31</v>
      </c>
      <c r="AE171" s="55" t="s">
        <v>56</v>
      </c>
      <c r="AF171" s="54" t="s">
        <v>33</v>
      </c>
      <c r="AG171" s="53" t="s">
        <v>31</v>
      </c>
      <c r="AH171" s="55" t="s">
        <v>56</v>
      </c>
      <c r="AI171" s="54" t="s">
        <v>33</v>
      </c>
      <c r="AJ171" s="53" t="s">
        <v>31</v>
      </c>
      <c r="AK171" s="55" t="s">
        <v>56</v>
      </c>
      <c r="AL171" s="54" t="s">
        <v>33</v>
      </c>
      <c r="AM171" s="53" t="s">
        <v>31</v>
      </c>
      <c r="AN171" s="55" t="s">
        <v>56</v>
      </c>
      <c r="AO171" s="54" t="s">
        <v>33</v>
      </c>
      <c r="AP171" s="53" t="s">
        <v>31</v>
      </c>
      <c r="AQ171" s="55" t="s">
        <v>56</v>
      </c>
      <c r="AR171" s="54" t="s">
        <v>33</v>
      </c>
      <c r="AS171" s="53" t="s">
        <v>31</v>
      </c>
      <c r="AT171" s="55" t="s">
        <v>56</v>
      </c>
      <c r="AU171" s="54" t="s">
        <v>33</v>
      </c>
      <c r="AV171" s="53" t="s">
        <v>31</v>
      </c>
      <c r="AW171" s="55" t="s">
        <v>56</v>
      </c>
      <c r="AX171" s="54" t="s">
        <v>33</v>
      </c>
      <c r="AY171" s="53" t="s">
        <v>31</v>
      </c>
      <c r="AZ171" s="55"/>
      <c r="BA171" s="54"/>
      <c r="BB171" s="53"/>
      <c r="BC171" s="55"/>
      <c r="BD171" s="54"/>
      <c r="BE171" s="53"/>
      <c r="BF171" s="55"/>
      <c r="BG171" s="54"/>
      <c r="BH171" s="53"/>
    </row>
    <row r="172" spans="3:60" ht="20.25" x14ac:dyDescent="0.3">
      <c r="C172" s="8" t="s">
        <v>67</v>
      </c>
      <c r="D172" s="73">
        <f>+SUM(G172,J172,M172,P172,S172,V172,Y172,AB172,AE172,AH172,AK172,AN172,AQ172,AT172,AW172,AZ172,BC172,BF172)</f>
        <v>7946</v>
      </c>
      <c r="E172" s="97">
        <f>+SUM(H172,K172,N172,Q172,T172,W172,Z172,AC172,AF172,AI172,AL172,AO172,AR172,AU172,AX172,BA172,BD172,BG172)</f>
        <v>3069007.1999999993</v>
      </c>
      <c r="F172" s="18">
        <f>+SUM(I172,L172,O172,R172,U172,X172,AA172,AD172,AG172,AJ172,AM172,AP172,AS172,AV172,AY172,BB172,BE172,BH172)</f>
        <v>2347310.3895999989</v>
      </c>
      <c r="G172" s="73">
        <v>540</v>
      </c>
      <c r="H172" s="97">
        <v>268175.43</v>
      </c>
      <c r="I172" s="18">
        <v>187547.18</v>
      </c>
      <c r="J172" s="73">
        <v>461</v>
      </c>
      <c r="K172" s="97">
        <v>178701.44</v>
      </c>
      <c r="L172" s="18">
        <v>137788.07</v>
      </c>
      <c r="M172" s="73">
        <v>198</v>
      </c>
      <c r="N172" s="97">
        <v>79011.909999999902</v>
      </c>
      <c r="O172" s="18">
        <v>63216.18</v>
      </c>
      <c r="P172" s="73">
        <v>573</v>
      </c>
      <c r="Q172" s="97">
        <v>285509.15000000002</v>
      </c>
      <c r="R172" s="18">
        <v>226404.38</v>
      </c>
      <c r="S172" s="73">
        <v>1241</v>
      </c>
      <c r="T172" s="97">
        <v>641115.24</v>
      </c>
      <c r="U172" s="18">
        <v>464424.05999999901</v>
      </c>
      <c r="V172" s="73">
        <v>777</v>
      </c>
      <c r="W172" s="97">
        <v>384043.27</v>
      </c>
      <c r="X172" s="18">
        <v>307107.99</v>
      </c>
      <c r="Y172" s="73">
        <v>259</v>
      </c>
      <c r="Z172" s="97">
        <v>201034.95</v>
      </c>
      <c r="AA172" s="18">
        <v>164784.34</v>
      </c>
      <c r="AB172" s="73">
        <v>320</v>
      </c>
      <c r="AC172" s="97">
        <v>75986.5</v>
      </c>
      <c r="AD172" s="18">
        <v>57215.38</v>
      </c>
      <c r="AE172" s="73">
        <v>545</v>
      </c>
      <c r="AF172" s="97">
        <v>213793.21</v>
      </c>
      <c r="AG172" s="18">
        <v>175596.47</v>
      </c>
      <c r="AH172" s="73">
        <v>241</v>
      </c>
      <c r="AI172" s="97">
        <v>87902.34</v>
      </c>
      <c r="AJ172" s="18">
        <v>63720.22</v>
      </c>
      <c r="AK172" s="73">
        <v>145</v>
      </c>
      <c r="AL172" s="97">
        <v>44403.88</v>
      </c>
      <c r="AM172" s="18">
        <v>32448.809999999899</v>
      </c>
      <c r="AN172" s="73">
        <v>830</v>
      </c>
      <c r="AO172" s="97">
        <v>135593.73000000001</v>
      </c>
      <c r="AP172" s="18">
        <v>102670.23</v>
      </c>
      <c r="AQ172" s="73">
        <v>1092</v>
      </c>
      <c r="AR172" s="97">
        <v>188236.05</v>
      </c>
      <c r="AS172" s="18">
        <v>135682.51999999999</v>
      </c>
      <c r="AT172" s="73">
        <v>503</v>
      </c>
      <c r="AU172" s="97">
        <v>191437.76</v>
      </c>
      <c r="AV172" s="18">
        <v>152462.72</v>
      </c>
      <c r="AW172" s="73">
        <v>221</v>
      </c>
      <c r="AX172" s="97">
        <v>94062.34</v>
      </c>
      <c r="AY172" s="18">
        <v>76241.839599999905</v>
      </c>
      <c r="AZ172" s="73"/>
      <c r="BA172" s="97"/>
      <c r="BB172" s="18"/>
      <c r="BC172" s="73"/>
      <c r="BD172" s="97"/>
      <c r="BE172" s="18"/>
      <c r="BF172" s="73"/>
      <c r="BG172" s="97"/>
      <c r="BH172" s="18"/>
    </row>
    <row r="173" spans="3:60" ht="20.25" x14ac:dyDescent="0.3">
      <c r="C173" s="8" t="s">
        <v>52</v>
      </c>
      <c r="D173" s="73"/>
      <c r="E173" s="7"/>
      <c r="F173" s="96">
        <f>IF(F172=0,0,F172/E172)</f>
        <v>0.76484355905062706</v>
      </c>
      <c r="G173" s="73">
        <v>0</v>
      </c>
      <c r="H173" s="7">
        <v>0</v>
      </c>
      <c r="I173" s="96">
        <v>0.69934512643458802</v>
      </c>
      <c r="J173" s="73">
        <v>0</v>
      </c>
      <c r="K173" s="7">
        <v>0</v>
      </c>
      <c r="L173" s="96">
        <v>0.77105181692995794</v>
      </c>
      <c r="M173" s="73">
        <v>0</v>
      </c>
      <c r="N173" s="7">
        <v>0</v>
      </c>
      <c r="O173" s="96">
        <v>0.80008418983922802</v>
      </c>
      <c r="P173" s="73">
        <v>0</v>
      </c>
      <c r="Q173" s="7">
        <v>0</v>
      </c>
      <c r="R173" s="96">
        <v>0.79298467317071897</v>
      </c>
      <c r="S173" s="73">
        <v>0</v>
      </c>
      <c r="T173" s="7">
        <v>0</v>
      </c>
      <c r="U173" s="96">
        <v>0.72440028098536502</v>
      </c>
      <c r="V173" s="73">
        <v>0</v>
      </c>
      <c r="W173" s="7">
        <v>0</v>
      </c>
      <c r="X173" s="96">
        <v>0.79967028194505196</v>
      </c>
      <c r="Y173" s="73">
        <v>0</v>
      </c>
      <c r="Z173" s="97">
        <v>0</v>
      </c>
      <c r="AA173" s="96">
        <v>0.81968006060637699</v>
      </c>
      <c r="AB173" s="73">
        <v>0</v>
      </c>
      <c r="AC173" s="97">
        <v>0</v>
      </c>
      <c r="AD173" s="96">
        <v>0.75296769820955001</v>
      </c>
      <c r="AE173" s="73">
        <v>0</v>
      </c>
      <c r="AF173" s="97">
        <v>0</v>
      </c>
      <c r="AG173" s="96">
        <v>0.82133791807513401</v>
      </c>
      <c r="AH173" s="73">
        <v>0</v>
      </c>
      <c r="AI173" s="97">
        <v>0</v>
      </c>
      <c r="AJ173" s="96">
        <v>0.72489788098928798</v>
      </c>
      <c r="AK173" s="73">
        <v>0</v>
      </c>
      <c r="AL173" s="97">
        <v>0</v>
      </c>
      <c r="AM173" s="96">
        <v>0.73076519439292198</v>
      </c>
      <c r="AN173" s="73">
        <v>0</v>
      </c>
      <c r="AO173" s="97">
        <v>0</v>
      </c>
      <c r="AP173" s="96">
        <v>0.75719010016171096</v>
      </c>
      <c r="AQ173" s="73">
        <v>0</v>
      </c>
      <c r="AR173" s="97">
        <v>0</v>
      </c>
      <c r="AS173" s="96">
        <v>0.72081049299536404</v>
      </c>
      <c r="AT173" s="73">
        <v>0</v>
      </c>
      <c r="AU173" s="97">
        <v>0</v>
      </c>
      <c r="AV173" s="96">
        <v>0.79640881715289602</v>
      </c>
      <c r="AW173" s="73">
        <v>0</v>
      </c>
      <c r="AX173" s="97">
        <v>0</v>
      </c>
      <c r="AY173" s="96">
        <v>0.81054585288862602</v>
      </c>
      <c r="AZ173" s="73"/>
      <c r="BA173" s="97"/>
      <c r="BB173" s="96"/>
      <c r="BC173" s="73"/>
      <c r="BD173" s="97"/>
      <c r="BE173" s="96"/>
      <c r="BF173" s="73"/>
      <c r="BG173" s="97"/>
      <c r="BH173" s="96"/>
    </row>
    <row r="174" spans="3:60" ht="20.25" x14ac:dyDescent="0.3">
      <c r="C174" s="67"/>
      <c r="D174" s="101"/>
      <c r="E174" s="130">
        <f>IFERROR(E172/D172,0)</f>
        <v>386.23297256481237</v>
      </c>
      <c r="F174" s="99"/>
      <c r="G174" s="101">
        <v>0</v>
      </c>
      <c r="H174" s="130">
        <v>496.621166666666</v>
      </c>
      <c r="I174" s="99">
        <v>0</v>
      </c>
      <c r="J174" s="101">
        <v>0</v>
      </c>
      <c r="K174" s="130">
        <v>387.63869848156099</v>
      </c>
      <c r="L174" s="99">
        <v>0</v>
      </c>
      <c r="M174" s="101">
        <v>0</v>
      </c>
      <c r="N174" s="130">
        <v>399.05005050505002</v>
      </c>
      <c r="O174" s="99">
        <v>0</v>
      </c>
      <c r="P174" s="101">
        <v>0</v>
      </c>
      <c r="Q174" s="130">
        <v>498.27076788830698</v>
      </c>
      <c r="R174" s="99">
        <v>0</v>
      </c>
      <c r="S174" s="101">
        <v>0</v>
      </c>
      <c r="T174" s="130">
        <v>516.61179693795305</v>
      </c>
      <c r="U174" s="99">
        <v>0</v>
      </c>
      <c r="V174" s="101">
        <v>0</v>
      </c>
      <c r="W174" s="130">
        <v>494.264182754182</v>
      </c>
      <c r="X174" s="99">
        <v>0</v>
      </c>
      <c r="Y174" s="101">
        <v>0</v>
      </c>
      <c r="Z174" s="130">
        <v>776.19671814671801</v>
      </c>
      <c r="AA174" s="99">
        <v>0</v>
      </c>
      <c r="AB174" s="101">
        <v>0</v>
      </c>
      <c r="AC174" s="130">
        <v>237.45781249999999</v>
      </c>
      <c r="AD174" s="99">
        <v>0</v>
      </c>
      <c r="AE174" s="101">
        <v>0</v>
      </c>
      <c r="AF174" s="130">
        <v>392.28111926605499</v>
      </c>
      <c r="AG174" s="99">
        <v>0</v>
      </c>
      <c r="AH174" s="101">
        <v>0</v>
      </c>
      <c r="AI174" s="130">
        <v>364.74</v>
      </c>
      <c r="AJ174" s="99">
        <v>0</v>
      </c>
      <c r="AK174" s="101">
        <v>0</v>
      </c>
      <c r="AL174" s="130">
        <v>306.23365517241302</v>
      </c>
      <c r="AM174" s="99">
        <v>0</v>
      </c>
      <c r="AN174" s="101">
        <v>0</v>
      </c>
      <c r="AO174" s="130">
        <v>163.365939759036</v>
      </c>
      <c r="AP174" s="99">
        <v>0</v>
      </c>
      <c r="AQ174" s="101">
        <v>0</v>
      </c>
      <c r="AR174" s="130">
        <v>172.37733516483499</v>
      </c>
      <c r="AS174" s="99">
        <v>0</v>
      </c>
      <c r="AT174" s="101">
        <v>0</v>
      </c>
      <c r="AU174" s="130">
        <v>380.591968190854</v>
      </c>
      <c r="AV174" s="99">
        <v>0</v>
      </c>
      <c r="AW174" s="101">
        <v>0</v>
      </c>
      <c r="AX174" s="130">
        <v>425.62144796379999</v>
      </c>
      <c r="AY174" s="99">
        <v>0</v>
      </c>
      <c r="AZ174" s="101"/>
      <c r="BA174" s="130"/>
      <c r="BB174" s="99"/>
      <c r="BC174" s="101"/>
      <c r="BD174" s="130"/>
      <c r="BE174" s="99"/>
      <c r="BF174" s="101"/>
      <c r="BG174" s="130"/>
      <c r="BH174" s="99"/>
    </row>
    <row r="175" spans="3:60" ht="20.25" x14ac:dyDescent="0.3">
      <c r="C175" s="72" t="s">
        <v>66</v>
      </c>
      <c r="D175" s="98">
        <f>+SUM(G175,J175,M175,P175,S175,V175,Y175,AB175,AE175,AH175,AK175,AN175,AQ175,AT175,AW175,AZ175,BC175,BF175)</f>
        <v>7139</v>
      </c>
      <c r="E175" s="102">
        <f>+SUM(H175,K175,N175,Q175,T175,W175,Z175,AC175,AF175,AI175,AL175,AO175,AR175,AU175,AX175,BA175,BD175,BG175)</f>
        <v>2118315.189999999</v>
      </c>
      <c r="F175" s="18">
        <f>+SUM(I175,L175,O175,R175,U175,X175,AA175,AD175,AG175,AJ175,AM175,AP175,AS175,AV175,AY175,BB175,BE175,BH175)</f>
        <v>1433982.1899999972</v>
      </c>
      <c r="G175" s="98">
        <v>808</v>
      </c>
      <c r="H175" s="102">
        <v>208613.55</v>
      </c>
      <c r="I175" s="18">
        <v>126210.19</v>
      </c>
      <c r="J175" s="98">
        <v>640</v>
      </c>
      <c r="K175" s="102">
        <v>151627</v>
      </c>
      <c r="L175" s="18">
        <v>108095</v>
      </c>
      <c r="M175" s="98">
        <v>224</v>
      </c>
      <c r="N175" s="102">
        <v>58527.18</v>
      </c>
      <c r="O175" s="18">
        <v>37694.15</v>
      </c>
      <c r="P175" s="98">
        <v>688</v>
      </c>
      <c r="Q175" s="102">
        <v>265313.87</v>
      </c>
      <c r="R175" s="18">
        <v>175012.31999999899</v>
      </c>
      <c r="S175" s="98">
        <v>818</v>
      </c>
      <c r="T175" s="102">
        <v>466492.39999999898</v>
      </c>
      <c r="U175" s="18">
        <v>323700.39999999898</v>
      </c>
      <c r="V175" s="98">
        <v>1013</v>
      </c>
      <c r="W175" s="102">
        <v>292863.15999999997</v>
      </c>
      <c r="X175" s="18">
        <v>194932.3</v>
      </c>
      <c r="Y175" s="98">
        <v>195</v>
      </c>
      <c r="Z175" s="102">
        <v>85796.03</v>
      </c>
      <c r="AA175" s="18">
        <v>53536.57</v>
      </c>
      <c r="AB175" s="98">
        <v>266</v>
      </c>
      <c r="AC175" s="102">
        <v>42671.33</v>
      </c>
      <c r="AD175" s="18">
        <v>30895.33</v>
      </c>
      <c r="AE175" s="98">
        <v>354</v>
      </c>
      <c r="AF175" s="102">
        <v>114698.87</v>
      </c>
      <c r="AG175" s="18">
        <v>86864.299999999901</v>
      </c>
      <c r="AH175" s="98">
        <v>248</v>
      </c>
      <c r="AI175" s="102">
        <v>57468.959999999999</v>
      </c>
      <c r="AJ175" s="18">
        <v>40618.11</v>
      </c>
      <c r="AK175" s="98">
        <v>70</v>
      </c>
      <c r="AL175" s="102">
        <v>19376.57</v>
      </c>
      <c r="AM175" s="18">
        <v>10066.779999999901</v>
      </c>
      <c r="AN175" s="98">
        <v>902</v>
      </c>
      <c r="AO175" s="102">
        <v>107964.82</v>
      </c>
      <c r="AP175" s="18">
        <v>75058.42</v>
      </c>
      <c r="AQ175" s="98">
        <v>402</v>
      </c>
      <c r="AR175" s="102">
        <v>91376.18</v>
      </c>
      <c r="AS175" s="18">
        <v>64473.42</v>
      </c>
      <c r="AT175" s="98">
        <v>489</v>
      </c>
      <c r="AU175" s="102">
        <v>145670</v>
      </c>
      <c r="AV175" s="18">
        <v>99458.269999999902</v>
      </c>
      <c r="AW175" s="98">
        <v>22</v>
      </c>
      <c r="AX175" s="102">
        <v>9855.27</v>
      </c>
      <c r="AY175" s="18">
        <v>7366.63</v>
      </c>
      <c r="AZ175" s="98"/>
      <c r="BA175" s="102"/>
      <c r="BB175" s="18"/>
      <c r="BC175" s="98"/>
      <c r="BD175" s="102"/>
      <c r="BE175" s="18"/>
      <c r="BF175" s="98"/>
      <c r="BG175" s="102"/>
      <c r="BH175" s="18"/>
    </row>
    <row r="176" spans="3:60" ht="20.25" x14ac:dyDescent="0.3">
      <c r="C176" s="8" t="s">
        <v>52</v>
      </c>
      <c r="D176" s="8"/>
      <c r="E176" s="7"/>
      <c r="F176" s="96">
        <f>IF(F175=0,0,F175/E175)</f>
        <v>0.67694467601867969</v>
      </c>
      <c r="G176" s="8">
        <v>0</v>
      </c>
      <c r="H176" s="7">
        <v>0</v>
      </c>
      <c r="I176" s="96">
        <v>0.60499516929748798</v>
      </c>
      <c r="J176" s="8">
        <v>0</v>
      </c>
      <c r="K176" s="7">
        <v>0</v>
      </c>
      <c r="L176" s="96">
        <v>0.71290073667618503</v>
      </c>
      <c r="M176" s="8">
        <v>0</v>
      </c>
      <c r="N176" s="7">
        <v>0</v>
      </c>
      <c r="O176" s="96">
        <v>0.64404521113096502</v>
      </c>
      <c r="P176" s="8">
        <v>0</v>
      </c>
      <c r="Q176" s="7">
        <v>0</v>
      </c>
      <c r="R176" s="96">
        <v>0.65964255845350195</v>
      </c>
      <c r="S176" s="8">
        <v>0</v>
      </c>
      <c r="T176" s="7">
        <v>0</v>
      </c>
      <c r="U176" s="96">
        <v>0.693902837431006</v>
      </c>
      <c r="V176" s="8">
        <v>0</v>
      </c>
      <c r="W176" s="7">
        <v>0</v>
      </c>
      <c r="X176" s="96">
        <v>0.66560881197894595</v>
      </c>
      <c r="Y176" s="73">
        <v>0</v>
      </c>
      <c r="Z176" s="97">
        <v>0</v>
      </c>
      <c r="AA176" s="96">
        <v>0.62399821996425697</v>
      </c>
      <c r="AB176" s="73">
        <v>0</v>
      </c>
      <c r="AC176" s="97">
        <v>0</v>
      </c>
      <c r="AD176" s="96">
        <v>0.72403016264081699</v>
      </c>
      <c r="AE176" s="73">
        <v>0</v>
      </c>
      <c r="AF176" s="97">
        <v>0</v>
      </c>
      <c r="AG176" s="96">
        <v>0.75732481061060097</v>
      </c>
      <c r="AH176" s="73">
        <v>0</v>
      </c>
      <c r="AI176" s="97">
        <v>0</v>
      </c>
      <c r="AJ176" s="96">
        <v>0.70678345318933899</v>
      </c>
      <c r="AK176" s="73">
        <v>0</v>
      </c>
      <c r="AL176" s="97">
        <v>0</v>
      </c>
      <c r="AM176" s="96">
        <v>0.51953364295125504</v>
      </c>
      <c r="AN176" s="73">
        <v>0</v>
      </c>
      <c r="AO176" s="97">
        <v>0</v>
      </c>
      <c r="AP176" s="96">
        <v>0.69521182918658098</v>
      </c>
      <c r="AQ176" s="73">
        <v>0</v>
      </c>
      <c r="AR176" s="97">
        <v>0</v>
      </c>
      <c r="AS176" s="96">
        <v>0.70558235198713704</v>
      </c>
      <c r="AT176" s="73">
        <v>0</v>
      </c>
      <c r="AU176" s="97">
        <v>0</v>
      </c>
      <c r="AV176" s="96">
        <v>0.68276426168737503</v>
      </c>
      <c r="AW176" s="73">
        <v>0</v>
      </c>
      <c r="AX176" s="97">
        <v>0</v>
      </c>
      <c r="AY176" s="96">
        <v>0.747481296808712</v>
      </c>
      <c r="AZ176" s="73"/>
      <c r="BA176" s="97"/>
      <c r="BB176" s="96"/>
      <c r="BC176" s="73"/>
      <c r="BD176" s="97"/>
      <c r="BE176" s="96"/>
      <c r="BF176" s="73"/>
      <c r="BG176" s="97"/>
      <c r="BH176" s="96"/>
    </row>
    <row r="177" spans="3:60" ht="20.25" x14ac:dyDescent="0.3">
      <c r="C177" s="67"/>
      <c r="D177" s="67"/>
      <c r="E177" s="128">
        <f>IFERROR(E175/D175,0)</f>
        <v>296.72435775318661</v>
      </c>
      <c r="F177" s="99"/>
      <c r="G177" s="101">
        <v>0</v>
      </c>
      <c r="H177" s="128">
        <v>258.18508663366299</v>
      </c>
      <c r="I177" s="99">
        <v>0</v>
      </c>
      <c r="J177" s="101">
        <v>0</v>
      </c>
      <c r="K177" s="128">
        <v>0</v>
      </c>
      <c r="L177" s="99">
        <v>0</v>
      </c>
      <c r="M177" s="101">
        <v>0</v>
      </c>
      <c r="N177" s="128">
        <v>0</v>
      </c>
      <c r="O177" s="99">
        <v>0</v>
      </c>
      <c r="P177" s="101">
        <v>0</v>
      </c>
      <c r="Q177" s="128">
        <v>385.63062500000001</v>
      </c>
      <c r="R177" s="99">
        <v>0</v>
      </c>
      <c r="S177" s="101">
        <v>0</v>
      </c>
      <c r="T177" s="128">
        <v>0</v>
      </c>
      <c r="U177" s="99">
        <v>0</v>
      </c>
      <c r="V177" s="101">
        <v>0</v>
      </c>
      <c r="W177" s="128">
        <v>0</v>
      </c>
      <c r="X177" s="99">
        <v>0</v>
      </c>
      <c r="Y177" s="101">
        <v>0</v>
      </c>
      <c r="Z177" s="128">
        <v>439.979641025641</v>
      </c>
      <c r="AA177" s="99">
        <v>0</v>
      </c>
      <c r="AB177" s="101">
        <v>0</v>
      </c>
      <c r="AC177" s="128">
        <v>0</v>
      </c>
      <c r="AD177" s="99">
        <v>0</v>
      </c>
      <c r="AE177" s="101">
        <v>0</v>
      </c>
      <c r="AF177" s="128">
        <v>0</v>
      </c>
      <c r="AG177" s="99">
        <v>0</v>
      </c>
      <c r="AH177" s="101">
        <v>0</v>
      </c>
      <c r="AI177" s="128">
        <v>0</v>
      </c>
      <c r="AJ177" s="99">
        <v>0</v>
      </c>
      <c r="AK177" s="101">
        <v>0</v>
      </c>
      <c r="AL177" s="128">
        <v>0</v>
      </c>
      <c r="AM177" s="99">
        <v>0</v>
      </c>
      <c r="AN177" s="101">
        <v>0</v>
      </c>
      <c r="AO177" s="128">
        <v>119.694922394678</v>
      </c>
      <c r="AP177" s="99">
        <v>0</v>
      </c>
      <c r="AQ177" s="101">
        <v>0</v>
      </c>
      <c r="AR177" s="128">
        <v>227.30393034825801</v>
      </c>
      <c r="AS177" s="99">
        <v>0</v>
      </c>
      <c r="AT177" s="101">
        <v>0</v>
      </c>
      <c r="AU177" s="128">
        <v>0</v>
      </c>
      <c r="AV177" s="99">
        <v>0</v>
      </c>
      <c r="AW177" s="101">
        <v>0</v>
      </c>
      <c r="AX177" s="128">
        <v>447.96681818181798</v>
      </c>
      <c r="AY177" s="99">
        <v>0</v>
      </c>
      <c r="AZ177" s="101"/>
      <c r="BA177" s="128"/>
      <c r="BB177" s="99"/>
      <c r="BC177" s="101"/>
      <c r="BD177" s="128"/>
      <c r="BE177" s="99"/>
      <c r="BF177" s="101"/>
      <c r="BG177" s="128"/>
      <c r="BH177" s="99"/>
    </row>
    <row r="178" spans="3:60" ht="20.25" x14ac:dyDescent="0.3">
      <c r="C178" s="8" t="s">
        <v>65</v>
      </c>
      <c r="D178" s="73">
        <f>+SUM(G178,J178,M178,P178,S178,V178,Y178,AB178,AE178,AH178,AK178,AN178,AQ178,AT178,AW178,AZ178,BC178,BF178)</f>
        <v>6554</v>
      </c>
      <c r="E178" s="102">
        <f>+SUM(H178,K178,N178,Q178,T178,W178,Z178,AC178,AF178,AI178,AL178,AO178,AR178,AU178,AX178,BA178,BD178,BG178)</f>
        <v>1637520.1799999981</v>
      </c>
      <c r="F178" s="18">
        <f>+SUM(I178,L178,O178,R178,U178,X178,AA178,AD178,AG178,AJ178,AM178,AP178,AS178,AV178,AY178,BB178,BE178,BH178)</f>
        <v>1157172.5099999988</v>
      </c>
      <c r="G178" s="73">
        <v>344</v>
      </c>
      <c r="H178" s="102">
        <v>140579.32999999999</v>
      </c>
      <c r="I178" s="18">
        <v>97261.41</v>
      </c>
      <c r="J178" s="73">
        <v>339</v>
      </c>
      <c r="K178" s="102">
        <v>120848.47</v>
      </c>
      <c r="L178" s="18">
        <v>95203.68</v>
      </c>
      <c r="M178" s="73">
        <v>171</v>
      </c>
      <c r="N178" s="102">
        <v>62586.87</v>
      </c>
      <c r="O178" s="18">
        <v>41783.33</v>
      </c>
      <c r="P178" s="73">
        <v>785</v>
      </c>
      <c r="Q178" s="102">
        <v>136540.85</v>
      </c>
      <c r="R178" s="18">
        <v>96998.55</v>
      </c>
      <c r="S178" s="73">
        <v>2072</v>
      </c>
      <c r="T178" s="102">
        <v>268042.71999999997</v>
      </c>
      <c r="U178" s="18">
        <v>200422.05</v>
      </c>
      <c r="V178" s="73">
        <v>649</v>
      </c>
      <c r="W178" s="102">
        <v>248515.96999999901</v>
      </c>
      <c r="X178" s="18">
        <v>161434.90999999901</v>
      </c>
      <c r="Y178" s="73">
        <v>247</v>
      </c>
      <c r="Z178" s="102">
        <v>98788.53</v>
      </c>
      <c r="AA178" s="18">
        <v>74212.009999999995</v>
      </c>
      <c r="AB178" s="73">
        <v>350</v>
      </c>
      <c r="AC178" s="102">
        <v>136911.93999999901</v>
      </c>
      <c r="AD178" s="18">
        <v>90797.639999999898</v>
      </c>
      <c r="AE178" s="73">
        <v>300</v>
      </c>
      <c r="AF178" s="102">
        <v>67218.33</v>
      </c>
      <c r="AG178" s="18">
        <v>48037.05</v>
      </c>
      <c r="AH178" s="73">
        <v>192</v>
      </c>
      <c r="AI178" s="102">
        <v>46110.859999999899</v>
      </c>
      <c r="AJ178" s="18">
        <v>30702.699999999899</v>
      </c>
      <c r="AK178" s="73">
        <v>78</v>
      </c>
      <c r="AL178" s="102">
        <v>24136.9</v>
      </c>
      <c r="AM178" s="18">
        <v>16642.13</v>
      </c>
      <c r="AN178" s="73">
        <v>385</v>
      </c>
      <c r="AO178" s="102">
        <v>66211.539999999994</v>
      </c>
      <c r="AP178" s="18">
        <v>44401.5099999999</v>
      </c>
      <c r="AQ178" s="73">
        <v>235</v>
      </c>
      <c r="AR178" s="102">
        <v>94109.34</v>
      </c>
      <c r="AS178" s="18">
        <v>63830.31</v>
      </c>
      <c r="AT178" s="73">
        <v>407</v>
      </c>
      <c r="AU178" s="102">
        <v>126918.53</v>
      </c>
      <c r="AV178" s="18">
        <v>95445.23</v>
      </c>
      <c r="AW178" s="73">
        <v>0</v>
      </c>
      <c r="AX178" s="102">
        <v>0</v>
      </c>
      <c r="AY178" s="18">
        <v>0</v>
      </c>
      <c r="AZ178" s="73"/>
      <c r="BA178" s="102"/>
      <c r="BB178" s="18"/>
      <c r="BC178" s="73"/>
      <c r="BD178" s="102"/>
      <c r="BE178" s="18"/>
      <c r="BF178" s="73"/>
      <c r="BG178" s="102"/>
      <c r="BH178" s="18"/>
    </row>
    <row r="179" spans="3:60" ht="20.25" x14ac:dyDescent="0.3">
      <c r="C179" s="8" t="s">
        <v>52</v>
      </c>
      <c r="D179" s="73"/>
      <c r="E179" s="127"/>
      <c r="F179" s="96">
        <f>IF(F178=0,0,F178/E178)</f>
        <v>0.70666152645520386</v>
      </c>
      <c r="G179" s="73">
        <v>0</v>
      </c>
      <c r="H179" s="127">
        <v>0</v>
      </c>
      <c r="I179" s="96">
        <v>0.691861385311766</v>
      </c>
      <c r="J179" s="73">
        <v>0</v>
      </c>
      <c r="K179" s="127">
        <v>0</v>
      </c>
      <c r="L179" s="96">
        <v>0.78779383801880098</v>
      </c>
      <c r="M179" s="73">
        <v>0</v>
      </c>
      <c r="N179" s="127">
        <v>0</v>
      </c>
      <c r="O179" s="96">
        <v>0.66760536195531095</v>
      </c>
      <c r="P179" s="73">
        <v>0</v>
      </c>
      <c r="Q179" s="127">
        <v>0</v>
      </c>
      <c r="R179" s="96">
        <v>0.71039948850472201</v>
      </c>
      <c r="S179" s="73">
        <v>0</v>
      </c>
      <c r="T179" s="127">
        <v>0</v>
      </c>
      <c r="U179" s="96">
        <v>0.747724280666902</v>
      </c>
      <c r="V179" s="73">
        <v>0</v>
      </c>
      <c r="W179" s="127">
        <v>0</v>
      </c>
      <c r="X179" s="96">
        <v>0.64959571813433103</v>
      </c>
      <c r="Y179" s="73">
        <v>0</v>
      </c>
      <c r="Z179" s="127">
        <v>0</v>
      </c>
      <c r="AA179" s="96">
        <v>0.75122091603144603</v>
      </c>
      <c r="AB179" s="73">
        <v>0</v>
      </c>
      <c r="AC179" s="127">
        <v>0</v>
      </c>
      <c r="AD179" s="96">
        <v>0.66318277281002602</v>
      </c>
      <c r="AE179" s="73">
        <v>0</v>
      </c>
      <c r="AF179" s="127">
        <v>0</v>
      </c>
      <c r="AG179" s="96">
        <v>0.71464212217113998</v>
      </c>
      <c r="AH179" s="73">
        <v>0</v>
      </c>
      <c r="AI179" s="127">
        <v>0</v>
      </c>
      <c r="AJ179" s="96">
        <v>0.66584531279616099</v>
      </c>
      <c r="AK179" s="73">
        <v>0</v>
      </c>
      <c r="AL179" s="127">
        <v>0</v>
      </c>
      <c r="AM179" s="96">
        <v>0.689489122463945</v>
      </c>
      <c r="AN179" s="73">
        <v>0</v>
      </c>
      <c r="AO179" s="127">
        <v>0</v>
      </c>
      <c r="AP179" s="96">
        <v>0.670600774426935</v>
      </c>
      <c r="AQ179" s="73">
        <v>0</v>
      </c>
      <c r="AR179" s="127">
        <v>0</v>
      </c>
      <c r="AS179" s="96">
        <v>0.678256908400377</v>
      </c>
      <c r="AT179" s="73">
        <v>0</v>
      </c>
      <c r="AU179" s="127">
        <v>0</v>
      </c>
      <c r="AV179" s="96">
        <v>0.75201966174679102</v>
      </c>
      <c r="AW179" s="73">
        <v>0</v>
      </c>
      <c r="AX179" s="127">
        <v>0</v>
      </c>
      <c r="AY179" s="96">
        <v>0</v>
      </c>
      <c r="AZ179" s="73"/>
      <c r="BA179" s="127"/>
      <c r="BB179" s="96"/>
      <c r="BC179" s="73"/>
      <c r="BD179" s="127"/>
      <c r="BE179" s="96"/>
      <c r="BF179" s="73"/>
      <c r="BG179" s="127"/>
      <c r="BH179" s="96"/>
    </row>
    <row r="180" spans="3:60" ht="20.25" x14ac:dyDescent="0.3">
      <c r="C180" s="8"/>
      <c r="D180" s="73"/>
      <c r="E180" s="126">
        <f>IFERROR(E178/D178,0)</f>
        <v>249.85050045773545</v>
      </c>
      <c r="F180" s="96"/>
      <c r="G180" s="73">
        <v>0</v>
      </c>
      <c r="H180" s="126">
        <v>408.66084302325498</v>
      </c>
      <c r="I180" s="96">
        <v>0</v>
      </c>
      <c r="J180" s="73">
        <v>0</v>
      </c>
      <c r="K180" s="126">
        <v>0</v>
      </c>
      <c r="L180" s="96">
        <v>0</v>
      </c>
      <c r="M180" s="73">
        <v>0</v>
      </c>
      <c r="N180" s="126">
        <v>0</v>
      </c>
      <c r="O180" s="96">
        <v>0</v>
      </c>
      <c r="P180" s="73">
        <v>0</v>
      </c>
      <c r="Q180" s="126">
        <v>173.937388535031</v>
      </c>
      <c r="R180" s="96">
        <v>0</v>
      </c>
      <c r="S180" s="73">
        <v>0</v>
      </c>
      <c r="T180" s="126">
        <v>0</v>
      </c>
      <c r="U180" s="96">
        <v>0</v>
      </c>
      <c r="V180" s="73">
        <v>0</v>
      </c>
      <c r="W180" s="126">
        <v>0</v>
      </c>
      <c r="X180" s="96">
        <v>0</v>
      </c>
      <c r="Y180" s="73">
        <v>0</v>
      </c>
      <c r="Z180" s="126">
        <v>399.95356275303601</v>
      </c>
      <c r="AA180" s="96">
        <v>0</v>
      </c>
      <c r="AB180" s="73">
        <v>0</v>
      </c>
      <c r="AC180" s="126">
        <v>0</v>
      </c>
      <c r="AD180" s="96">
        <v>0</v>
      </c>
      <c r="AE180" s="73">
        <v>0</v>
      </c>
      <c r="AF180" s="126">
        <v>0</v>
      </c>
      <c r="AG180" s="96">
        <v>0</v>
      </c>
      <c r="AH180" s="73">
        <v>0</v>
      </c>
      <c r="AI180" s="126">
        <v>0</v>
      </c>
      <c r="AJ180" s="96">
        <v>0</v>
      </c>
      <c r="AK180" s="73">
        <v>0</v>
      </c>
      <c r="AL180" s="126">
        <v>0</v>
      </c>
      <c r="AM180" s="96">
        <v>0</v>
      </c>
      <c r="AN180" s="73">
        <v>0</v>
      </c>
      <c r="AO180" s="126">
        <v>171.978025974025</v>
      </c>
      <c r="AP180" s="96">
        <v>0</v>
      </c>
      <c r="AQ180" s="73">
        <v>0</v>
      </c>
      <c r="AR180" s="126">
        <v>400.465276595744</v>
      </c>
      <c r="AS180" s="96">
        <v>0</v>
      </c>
      <c r="AT180" s="73">
        <v>0</v>
      </c>
      <c r="AU180" s="126">
        <v>0</v>
      </c>
      <c r="AV180" s="96">
        <v>0</v>
      </c>
      <c r="AW180" s="73">
        <v>0</v>
      </c>
      <c r="AX180" s="126">
        <v>0</v>
      </c>
      <c r="AY180" s="96">
        <v>0</v>
      </c>
      <c r="AZ180" s="73"/>
      <c r="BA180" s="126"/>
      <c r="BB180" s="96"/>
      <c r="BC180" s="73"/>
      <c r="BD180" s="126"/>
      <c r="BE180" s="96"/>
      <c r="BF180" s="73"/>
      <c r="BG180" s="126"/>
      <c r="BH180" s="96"/>
    </row>
    <row r="181" spans="3:60" ht="20.25" x14ac:dyDescent="0.3">
      <c r="C181" s="72" t="s">
        <v>64</v>
      </c>
      <c r="D181" s="98">
        <f>+SUM(G181,J181,M181,P181,S181,V181,Y181,AB181,AE181,AH181,AK181,AN181,AQ181,AT181,AW181,AZ181,BC181,BF181)</f>
        <v>693</v>
      </c>
      <c r="E181" s="102">
        <f>+SUM(H181,K181,N181,Q181,T181,W181,Z181,AC181,AF181,AI181,AL181,AO181,AR181,AU181,AX181,BA181,BD181,BG181)</f>
        <v>127830.02</v>
      </c>
      <c r="F181" s="68">
        <f>+SUM(I181,L181,O181,R181,U181,X181,AA181,AD181,AG181,AJ181,AM181,AP181,AS181,AV181,AY181,BB181,BE181,BH181)</f>
        <v>88918.749999999854</v>
      </c>
      <c r="G181" s="98">
        <v>90</v>
      </c>
      <c r="H181" s="102">
        <v>20092.62</v>
      </c>
      <c r="I181" s="68">
        <v>13517.9199999999</v>
      </c>
      <c r="J181" s="98">
        <v>94</v>
      </c>
      <c r="K181" s="102">
        <v>15493.6</v>
      </c>
      <c r="L181" s="68">
        <v>12171.67</v>
      </c>
      <c r="M181" s="98">
        <v>31</v>
      </c>
      <c r="N181" s="102">
        <v>6214.51</v>
      </c>
      <c r="O181" s="68">
        <v>3349.32</v>
      </c>
      <c r="P181" s="98">
        <v>0</v>
      </c>
      <c r="Q181" s="102">
        <v>0</v>
      </c>
      <c r="R181" s="68">
        <v>0</v>
      </c>
      <c r="S181" s="98">
        <v>0</v>
      </c>
      <c r="T181" s="102">
        <v>0</v>
      </c>
      <c r="U181" s="68">
        <v>0</v>
      </c>
      <c r="V181" s="98">
        <v>132</v>
      </c>
      <c r="W181" s="102">
        <v>34451.97</v>
      </c>
      <c r="X181" s="68">
        <v>26322.7</v>
      </c>
      <c r="Y181" s="98">
        <v>45</v>
      </c>
      <c r="Z181" s="102">
        <v>7883.0999999999904</v>
      </c>
      <c r="AA181" s="68">
        <v>5428.0999999999904</v>
      </c>
      <c r="AB181" s="98">
        <v>61</v>
      </c>
      <c r="AC181" s="102">
        <v>7696.94</v>
      </c>
      <c r="AD181" s="68">
        <v>4326.4299999999903</v>
      </c>
      <c r="AE181" s="98">
        <v>9</v>
      </c>
      <c r="AF181" s="102">
        <v>6352.03</v>
      </c>
      <c r="AG181" s="68">
        <v>3714.8199999999902</v>
      </c>
      <c r="AH181" s="98">
        <v>26</v>
      </c>
      <c r="AI181" s="102">
        <v>3000.62</v>
      </c>
      <c r="AJ181" s="68">
        <v>2038.73</v>
      </c>
      <c r="AK181" s="98">
        <v>14</v>
      </c>
      <c r="AL181" s="102">
        <v>1610.27</v>
      </c>
      <c r="AM181" s="68">
        <v>1418.6399999999901</v>
      </c>
      <c r="AN181" s="98">
        <v>135</v>
      </c>
      <c r="AO181" s="102">
        <v>11189.64</v>
      </c>
      <c r="AP181" s="68">
        <v>6842.1299999999901</v>
      </c>
      <c r="AQ181" s="98">
        <v>56</v>
      </c>
      <c r="AR181" s="102">
        <v>6176.45</v>
      </c>
      <c r="AS181" s="68">
        <v>4073.85</v>
      </c>
      <c r="AT181" s="98">
        <v>0</v>
      </c>
      <c r="AU181" s="102">
        <v>7668.27</v>
      </c>
      <c r="AV181" s="68">
        <v>5714.44</v>
      </c>
      <c r="AW181" s="98">
        <v>0</v>
      </c>
      <c r="AX181" s="102">
        <v>0</v>
      </c>
      <c r="AY181" s="68">
        <v>0</v>
      </c>
      <c r="AZ181" s="98"/>
      <c r="BA181" s="102"/>
      <c r="BB181" s="68"/>
      <c r="BC181" s="98"/>
      <c r="BD181" s="102"/>
      <c r="BE181" s="68"/>
      <c r="BF181" s="98"/>
      <c r="BG181" s="102"/>
      <c r="BH181" s="68"/>
    </row>
    <row r="182" spans="3:60" ht="20.25" x14ac:dyDescent="0.3">
      <c r="C182" s="8" t="s">
        <v>52</v>
      </c>
      <c r="D182" s="76"/>
      <c r="E182" s="75"/>
      <c r="F182" s="96">
        <f>IF(F181=0,0,F181/E181)</f>
        <v>0.69560147139146067</v>
      </c>
      <c r="G182" s="97">
        <v>0</v>
      </c>
      <c r="H182" s="75">
        <v>0</v>
      </c>
      <c r="I182" s="96">
        <v>0.67278035417979298</v>
      </c>
      <c r="J182" s="76">
        <v>0</v>
      </c>
      <c r="K182" s="75">
        <v>0</v>
      </c>
      <c r="L182" s="96">
        <v>0.78559340630970198</v>
      </c>
      <c r="M182" s="76">
        <v>0</v>
      </c>
      <c r="N182" s="75">
        <v>108.042580645161</v>
      </c>
      <c r="O182" s="96">
        <v>0.53895158266701604</v>
      </c>
      <c r="P182" s="76">
        <v>0</v>
      </c>
      <c r="Q182" s="75">
        <v>0</v>
      </c>
      <c r="R182" s="96">
        <v>0</v>
      </c>
      <c r="S182" s="76">
        <v>0</v>
      </c>
      <c r="T182" s="75">
        <v>0</v>
      </c>
      <c r="U182" s="96">
        <v>0</v>
      </c>
      <c r="V182" s="76">
        <v>0</v>
      </c>
      <c r="W182" s="75">
        <v>260.99977272727199</v>
      </c>
      <c r="X182" s="96">
        <v>0.76404048883126197</v>
      </c>
      <c r="Y182" s="76">
        <v>0</v>
      </c>
      <c r="Z182" s="75">
        <v>0</v>
      </c>
      <c r="AA182" s="96">
        <v>0.68857429183950403</v>
      </c>
      <c r="AB182" s="76">
        <v>0</v>
      </c>
      <c r="AC182" s="75">
        <v>0</v>
      </c>
      <c r="AD182" s="96">
        <v>0.56209740494274296</v>
      </c>
      <c r="AE182" s="76">
        <v>0</v>
      </c>
      <c r="AF182" s="75">
        <v>0</v>
      </c>
      <c r="AG182" s="96">
        <v>0.58482406411808496</v>
      </c>
      <c r="AH182" s="76">
        <v>0</v>
      </c>
      <c r="AI182" s="75">
        <v>0</v>
      </c>
      <c r="AJ182" s="96">
        <v>0.67943624984169904</v>
      </c>
      <c r="AK182" s="76">
        <v>0</v>
      </c>
      <c r="AL182" s="75">
        <v>0</v>
      </c>
      <c r="AM182" s="96">
        <v>0.88099511262086405</v>
      </c>
      <c r="AN182" s="76">
        <v>0</v>
      </c>
      <c r="AO182" s="75">
        <v>0</v>
      </c>
      <c r="AP182" s="96">
        <v>0.61147007410426002</v>
      </c>
      <c r="AQ182" s="76">
        <v>0</v>
      </c>
      <c r="AR182" s="75">
        <v>0</v>
      </c>
      <c r="AS182" s="96">
        <v>0.659577912878757</v>
      </c>
      <c r="AT182" s="76">
        <v>0</v>
      </c>
      <c r="AU182" s="75">
        <v>0</v>
      </c>
      <c r="AV182" s="96">
        <v>0.74520589389784098</v>
      </c>
      <c r="AW182" s="76">
        <v>0</v>
      </c>
      <c r="AX182" s="75">
        <v>0</v>
      </c>
      <c r="AY182" s="96">
        <v>0</v>
      </c>
      <c r="AZ182" s="76"/>
      <c r="BA182" s="75"/>
      <c r="BB182" s="96"/>
      <c r="BC182" s="76"/>
      <c r="BD182" s="75"/>
      <c r="BE182" s="96"/>
      <c r="BF182" s="76"/>
      <c r="BG182" s="75"/>
      <c r="BH182" s="96"/>
    </row>
    <row r="183" spans="3:60" ht="20.25" x14ac:dyDescent="0.3">
      <c r="C183" s="67"/>
      <c r="D183" s="119"/>
      <c r="E183" s="125">
        <f>IFERROR(E181/D181,0)</f>
        <v>184.45890331890334</v>
      </c>
      <c r="F183" s="99"/>
      <c r="G183" s="82">
        <v>0</v>
      </c>
      <c r="H183" s="125">
        <v>223.25133333333301</v>
      </c>
      <c r="I183" s="99">
        <v>0</v>
      </c>
      <c r="J183" s="119">
        <v>0</v>
      </c>
      <c r="K183" s="125">
        <v>0</v>
      </c>
      <c r="L183" s="99">
        <v>0</v>
      </c>
      <c r="M183" s="119">
        <v>0</v>
      </c>
      <c r="N183" s="125">
        <v>0</v>
      </c>
      <c r="O183" s="99">
        <v>0</v>
      </c>
      <c r="P183" s="119">
        <v>0</v>
      </c>
      <c r="Q183" s="125">
        <v>0</v>
      </c>
      <c r="R183" s="99">
        <v>0</v>
      </c>
      <c r="S183" s="119">
        <v>0</v>
      </c>
      <c r="T183" s="125">
        <v>0</v>
      </c>
      <c r="U183" s="99">
        <v>0</v>
      </c>
      <c r="V183" s="119">
        <v>0</v>
      </c>
      <c r="W183" s="125">
        <v>0</v>
      </c>
      <c r="X183" s="99">
        <v>0</v>
      </c>
      <c r="Y183" s="119">
        <v>0</v>
      </c>
      <c r="Z183" s="125">
        <v>175.17999999999901</v>
      </c>
      <c r="AA183" s="99">
        <v>0</v>
      </c>
      <c r="AB183" s="119">
        <v>0</v>
      </c>
      <c r="AC183" s="125">
        <v>0</v>
      </c>
      <c r="AD183" s="99">
        <v>0</v>
      </c>
      <c r="AE183" s="119">
        <v>0</v>
      </c>
      <c r="AF183" s="125">
        <v>0</v>
      </c>
      <c r="AG183" s="99">
        <v>0</v>
      </c>
      <c r="AH183" s="119">
        <v>0</v>
      </c>
      <c r="AI183" s="125">
        <v>0</v>
      </c>
      <c r="AJ183" s="99">
        <v>0</v>
      </c>
      <c r="AK183" s="119">
        <v>0</v>
      </c>
      <c r="AL183" s="125">
        <v>0</v>
      </c>
      <c r="AM183" s="99">
        <v>0</v>
      </c>
      <c r="AN183" s="119">
        <v>0</v>
      </c>
      <c r="AO183" s="125">
        <v>82.886222222222202</v>
      </c>
      <c r="AP183" s="99">
        <v>0</v>
      </c>
      <c r="AQ183" s="119">
        <v>0</v>
      </c>
      <c r="AR183" s="125">
        <v>110.29375</v>
      </c>
      <c r="AS183" s="99">
        <v>0</v>
      </c>
      <c r="AT183" s="119">
        <v>0</v>
      </c>
      <c r="AU183" s="125">
        <v>0</v>
      </c>
      <c r="AV183" s="99">
        <v>0</v>
      </c>
      <c r="AW183" s="119">
        <v>0</v>
      </c>
      <c r="AX183" s="125">
        <v>0</v>
      </c>
      <c r="AY183" s="99">
        <v>0</v>
      </c>
      <c r="AZ183" s="119"/>
      <c r="BA183" s="125"/>
      <c r="BB183" s="99"/>
      <c r="BC183" s="119"/>
      <c r="BD183" s="125"/>
      <c r="BE183" s="99"/>
      <c r="BF183" s="119"/>
      <c r="BG183" s="125"/>
      <c r="BH183" s="99"/>
    </row>
    <row r="184" spans="3:60" ht="21" thickBot="1" x14ac:dyDescent="0.35">
      <c r="C184" s="8" t="s">
        <v>63</v>
      </c>
      <c r="D184" s="73"/>
      <c r="E184" s="90">
        <f>+SUM(H184,K184,N184,Q184,T184,W184,Z184,AC184,AF184,AI184,AL184,AO184,AR184,AU184,AX184,BA184,BD184,BG184)</f>
        <v>0</v>
      </c>
      <c r="F184" s="124">
        <f>+SUM(I184,L184,O184,R184,U184,X184,AA184,AD184,AG184,AJ184,AM184,AP184,AS184,AV184,AY184,BB184,BE184,BH184)</f>
        <v>-142158.27959999995</v>
      </c>
      <c r="G184" s="73">
        <v>0</v>
      </c>
      <c r="H184" s="90">
        <v>0</v>
      </c>
      <c r="I184" s="124">
        <v>-11392.01</v>
      </c>
      <c r="J184" s="73">
        <v>0</v>
      </c>
      <c r="K184" s="90">
        <v>0</v>
      </c>
      <c r="L184" s="124">
        <v>-7821.61</v>
      </c>
      <c r="M184" s="73">
        <v>0</v>
      </c>
      <c r="N184" s="90">
        <v>0</v>
      </c>
      <c r="O184" s="124">
        <v>-2697.84</v>
      </c>
      <c r="P184" s="73">
        <v>0</v>
      </c>
      <c r="Q184" s="90">
        <v>0</v>
      </c>
      <c r="R184" s="124">
        <v>-13697.92</v>
      </c>
      <c r="S184" s="73">
        <v>0</v>
      </c>
      <c r="T184" s="90">
        <v>0</v>
      </c>
      <c r="U184" s="124">
        <v>-23235.64</v>
      </c>
      <c r="V184" s="73">
        <v>0</v>
      </c>
      <c r="W184" s="90">
        <v>0</v>
      </c>
      <c r="X184" s="124">
        <v>-7805.32</v>
      </c>
      <c r="Y184" s="73">
        <v>0</v>
      </c>
      <c r="Z184" s="90">
        <v>0</v>
      </c>
      <c r="AA184" s="124">
        <v>-17447.560000000001</v>
      </c>
      <c r="AB184" s="73">
        <v>0</v>
      </c>
      <c r="AC184" s="90">
        <v>0</v>
      </c>
      <c r="AD184" s="124">
        <v>-9608.68</v>
      </c>
      <c r="AE184" s="73">
        <v>0</v>
      </c>
      <c r="AF184" s="90">
        <v>0</v>
      </c>
      <c r="AG184" s="124">
        <v>-11333.86</v>
      </c>
      <c r="AH184" s="73">
        <v>0</v>
      </c>
      <c r="AI184" s="90">
        <v>0</v>
      </c>
      <c r="AJ184" s="124">
        <v>-6144</v>
      </c>
      <c r="AK184" s="73">
        <v>0</v>
      </c>
      <c r="AL184" s="90">
        <v>0</v>
      </c>
      <c r="AM184" s="124">
        <v>-9051.73</v>
      </c>
      <c r="AN184" s="73">
        <v>0</v>
      </c>
      <c r="AO184" s="90">
        <v>0</v>
      </c>
      <c r="AP184" s="124">
        <v>-8786.56</v>
      </c>
      <c r="AQ184" s="73">
        <v>0</v>
      </c>
      <c r="AR184" s="90">
        <v>0</v>
      </c>
      <c r="AS184" s="124">
        <v>-6487.33</v>
      </c>
      <c r="AT184" s="73">
        <v>0</v>
      </c>
      <c r="AU184" s="90">
        <v>0</v>
      </c>
      <c r="AV184" s="124">
        <v>-4748.93</v>
      </c>
      <c r="AW184" s="73">
        <v>0</v>
      </c>
      <c r="AX184" s="90">
        <v>0</v>
      </c>
      <c r="AY184" s="124">
        <v>-1899.2895999999901</v>
      </c>
      <c r="AZ184" s="73"/>
      <c r="BA184" s="90"/>
      <c r="BB184" s="124"/>
      <c r="BC184" s="73"/>
      <c r="BD184" s="90"/>
      <c r="BE184" s="124"/>
      <c r="BF184" s="73"/>
      <c r="BG184" s="90"/>
      <c r="BH184" s="124"/>
    </row>
    <row r="185" spans="3:60" ht="21" thickTop="1" x14ac:dyDescent="0.3">
      <c r="C185" s="123" t="s">
        <v>62</v>
      </c>
      <c r="D185" s="35">
        <f>+SUM(D172:D184)</f>
        <v>22332</v>
      </c>
      <c r="E185" s="122">
        <f>E172+E175+E178+E181+E184</f>
        <v>6952672.5899999961</v>
      </c>
      <c r="F185" s="121">
        <f>F172+F175+F178+F181+F184</f>
        <v>4885225.5599999949</v>
      </c>
      <c r="G185" s="35">
        <v>1782</v>
      </c>
      <c r="H185" s="122">
        <v>637460.93000000005</v>
      </c>
      <c r="I185" s="121">
        <v>413144.69</v>
      </c>
      <c r="J185" s="35">
        <v>1534</v>
      </c>
      <c r="K185" s="122">
        <v>466670.51</v>
      </c>
      <c r="L185" s="121">
        <v>345436.81</v>
      </c>
      <c r="M185" s="35">
        <v>624</v>
      </c>
      <c r="N185" s="122">
        <v>206340.47</v>
      </c>
      <c r="O185" s="121">
        <v>143345.14000000001</v>
      </c>
      <c r="P185" s="35">
        <v>2046</v>
      </c>
      <c r="Q185" s="122">
        <v>687363.87</v>
      </c>
      <c r="R185" s="121">
        <v>484717.32999999903</v>
      </c>
      <c r="S185" s="35">
        <v>4131</v>
      </c>
      <c r="T185" s="122">
        <v>1375650.3599999901</v>
      </c>
      <c r="U185" s="121">
        <v>965310.87</v>
      </c>
      <c r="V185" s="35">
        <v>2571</v>
      </c>
      <c r="W185" s="122">
        <v>959874.36999999895</v>
      </c>
      <c r="X185" s="121">
        <v>681992.58</v>
      </c>
      <c r="Y185" s="35">
        <v>746</v>
      </c>
      <c r="Z185" s="122">
        <v>393502.61</v>
      </c>
      <c r="AA185" s="121">
        <v>280513.46000000002</v>
      </c>
      <c r="AB185" s="35">
        <v>997</v>
      </c>
      <c r="AC185" s="122">
        <v>263266.70999999897</v>
      </c>
      <c r="AD185" s="121">
        <v>173626.09999999899</v>
      </c>
      <c r="AE185" s="35">
        <v>1208</v>
      </c>
      <c r="AF185" s="122">
        <v>402062.44</v>
      </c>
      <c r="AG185" s="121">
        <v>302878.78000000003</v>
      </c>
      <c r="AH185" s="35">
        <v>707</v>
      </c>
      <c r="AI185" s="122">
        <v>194482.77999999901</v>
      </c>
      <c r="AJ185" s="121">
        <v>130935.76</v>
      </c>
      <c r="AK185" s="35">
        <v>307</v>
      </c>
      <c r="AL185" s="122">
        <v>89527.62</v>
      </c>
      <c r="AM185" s="121">
        <v>51524.63</v>
      </c>
      <c r="AN185" s="35">
        <v>2252</v>
      </c>
      <c r="AO185" s="122">
        <v>320959.73</v>
      </c>
      <c r="AP185" s="121">
        <v>220185.73</v>
      </c>
      <c r="AQ185" s="35">
        <v>1785</v>
      </c>
      <c r="AR185" s="122">
        <v>379898.01999999897</v>
      </c>
      <c r="AS185" s="121">
        <v>261572.77</v>
      </c>
      <c r="AT185" s="35">
        <v>1399</v>
      </c>
      <c r="AU185" s="122">
        <v>471694.56</v>
      </c>
      <c r="AV185" s="121">
        <v>348331.73</v>
      </c>
      <c r="AW185" s="35">
        <v>243</v>
      </c>
      <c r="AX185" s="122">
        <v>103917.61</v>
      </c>
      <c r="AY185" s="121">
        <v>81709.179999999993</v>
      </c>
      <c r="AZ185" s="35"/>
      <c r="BA185" s="122"/>
      <c r="BB185" s="121"/>
      <c r="BC185" s="35"/>
      <c r="BD185" s="122"/>
      <c r="BE185" s="121"/>
      <c r="BF185" s="35"/>
      <c r="BG185" s="122"/>
      <c r="BH185" s="121"/>
    </row>
    <row r="186" spans="3:60" ht="20.25" x14ac:dyDescent="0.3">
      <c r="C186" s="120" t="s">
        <v>61</v>
      </c>
      <c r="D186" s="119"/>
      <c r="E186" s="118"/>
      <c r="F186" s="106"/>
      <c r="G186" s="119">
        <v>0</v>
      </c>
      <c r="H186" s="118">
        <v>357.72218294051601</v>
      </c>
      <c r="I186" s="106">
        <v>0.64810982219725999</v>
      </c>
      <c r="J186" s="119">
        <v>0</v>
      </c>
      <c r="K186" s="118">
        <v>304.21806388526699</v>
      </c>
      <c r="L186" s="106">
        <v>0.74021563950976799</v>
      </c>
      <c r="M186" s="119">
        <v>0</v>
      </c>
      <c r="N186" s="118">
        <v>330.673830128205</v>
      </c>
      <c r="O186" s="106">
        <v>0.69470201361855899</v>
      </c>
      <c r="P186" s="119">
        <v>0</v>
      </c>
      <c r="Q186" s="118">
        <v>335.95497067448599</v>
      </c>
      <c r="R186" s="106">
        <v>0.70518302045756298</v>
      </c>
      <c r="S186" s="119">
        <v>0</v>
      </c>
      <c r="T186" s="118">
        <v>333.00662309368101</v>
      </c>
      <c r="U186" s="106">
        <v>0.70171236679645799</v>
      </c>
      <c r="V186" s="119">
        <v>0</v>
      </c>
      <c r="W186" s="118">
        <v>373.34670167249999</v>
      </c>
      <c r="X186" s="106">
        <v>0.71050191703733001</v>
      </c>
      <c r="Y186" s="119">
        <v>0</v>
      </c>
      <c r="Z186" s="118">
        <v>527.48339142091095</v>
      </c>
      <c r="AA186" s="106">
        <v>0.71286302268744794</v>
      </c>
      <c r="AB186" s="119">
        <v>0</v>
      </c>
      <c r="AC186" s="118">
        <v>264.05888665997901</v>
      </c>
      <c r="AD186" s="106">
        <v>0.65950647539143803</v>
      </c>
      <c r="AE186" s="119">
        <v>0</v>
      </c>
      <c r="AF186" s="118">
        <v>332.83314569536401</v>
      </c>
      <c r="AG186" s="106">
        <v>0.75331279390335404</v>
      </c>
      <c r="AH186" s="119">
        <v>0</v>
      </c>
      <c r="AI186" s="118">
        <v>275.08172560113098</v>
      </c>
      <c r="AJ186" s="106">
        <v>0.67325117421706904</v>
      </c>
      <c r="AK186" s="119">
        <v>0</v>
      </c>
      <c r="AL186" s="118">
        <v>291.62091205211698</v>
      </c>
      <c r="AM186" s="106">
        <v>0.57551658359733004</v>
      </c>
      <c r="AN186" s="119">
        <v>0</v>
      </c>
      <c r="AO186" s="118">
        <v>142.52208259324999</v>
      </c>
      <c r="AP186" s="106">
        <v>0.68602291633283696</v>
      </c>
      <c r="AQ186" s="119">
        <v>0</v>
      </c>
      <c r="AR186" s="118">
        <v>212.82802240896299</v>
      </c>
      <c r="AS186" s="106">
        <v>0.68853417556637897</v>
      </c>
      <c r="AT186" s="119">
        <v>0</v>
      </c>
      <c r="AU186" s="118">
        <v>337.16551822730497</v>
      </c>
      <c r="AV186" s="106">
        <v>0.73846883033800503</v>
      </c>
      <c r="AW186" s="119">
        <v>0</v>
      </c>
      <c r="AX186" s="118">
        <v>427.644485596707</v>
      </c>
      <c r="AY186" s="106">
        <v>0.78628809881212602</v>
      </c>
      <c r="AZ186" s="119"/>
      <c r="BA186" s="118"/>
      <c r="BB186" s="106"/>
      <c r="BC186" s="119"/>
      <c r="BD186" s="118"/>
      <c r="BE186" s="106"/>
      <c r="BF186" s="119"/>
      <c r="BG186" s="118"/>
      <c r="BH186" s="106"/>
    </row>
    <row r="187" spans="3:60" ht="20.25" x14ac:dyDescent="0.3">
      <c r="C187" s="117"/>
      <c r="D187" s="85"/>
      <c r="E187" s="115"/>
      <c r="F187" s="83"/>
      <c r="G187" s="73">
        <v>0</v>
      </c>
      <c r="H187" s="97">
        <v>0</v>
      </c>
      <c r="I187" s="83">
        <v>0</v>
      </c>
      <c r="J187" s="73">
        <v>0</v>
      </c>
      <c r="K187" s="115">
        <v>0</v>
      </c>
      <c r="L187" s="83">
        <v>0</v>
      </c>
      <c r="M187" s="73">
        <v>0</v>
      </c>
      <c r="N187" s="115">
        <v>0</v>
      </c>
      <c r="O187" s="83">
        <v>0</v>
      </c>
      <c r="P187" s="73">
        <v>0</v>
      </c>
      <c r="Q187" s="115">
        <v>0</v>
      </c>
      <c r="R187" s="83">
        <v>0</v>
      </c>
      <c r="S187" s="73">
        <v>0</v>
      </c>
      <c r="T187" s="115">
        <v>0</v>
      </c>
      <c r="U187" s="83">
        <v>0</v>
      </c>
      <c r="V187" s="73">
        <v>0</v>
      </c>
      <c r="W187" s="115">
        <v>0</v>
      </c>
      <c r="X187" s="83">
        <v>0</v>
      </c>
      <c r="Y187" s="73">
        <v>0</v>
      </c>
      <c r="Z187" s="115">
        <v>0</v>
      </c>
      <c r="AA187" s="83">
        <v>0</v>
      </c>
      <c r="AB187" s="73">
        <v>0</v>
      </c>
      <c r="AC187" s="115">
        <v>0</v>
      </c>
      <c r="AD187" s="83">
        <v>0</v>
      </c>
      <c r="AE187" s="73">
        <v>0</v>
      </c>
      <c r="AF187" s="115">
        <v>0</v>
      </c>
      <c r="AG187" s="83">
        <v>0</v>
      </c>
      <c r="AH187" s="73">
        <v>0</v>
      </c>
      <c r="AI187" s="115">
        <v>0</v>
      </c>
      <c r="AJ187" s="83">
        <v>0</v>
      </c>
      <c r="AK187" s="73">
        <v>0</v>
      </c>
      <c r="AL187" s="115">
        <v>0</v>
      </c>
      <c r="AM187" s="83">
        <v>0</v>
      </c>
      <c r="AN187" s="85">
        <v>0</v>
      </c>
      <c r="AO187" s="115">
        <v>0</v>
      </c>
      <c r="AP187" s="83">
        <v>0</v>
      </c>
      <c r="AQ187" s="73">
        <v>0</v>
      </c>
      <c r="AR187" s="115">
        <v>0</v>
      </c>
      <c r="AS187" s="83">
        <v>0</v>
      </c>
      <c r="AT187" s="85">
        <v>0</v>
      </c>
      <c r="AU187" s="115">
        <v>0</v>
      </c>
      <c r="AV187" s="83">
        <v>0</v>
      </c>
      <c r="AW187" s="73">
        <v>0</v>
      </c>
      <c r="AX187" s="115">
        <v>0</v>
      </c>
      <c r="AY187" s="83">
        <v>0</v>
      </c>
      <c r="AZ187" s="73"/>
      <c r="BA187" s="115"/>
      <c r="BB187" s="83"/>
      <c r="BC187" s="85"/>
      <c r="BD187" s="115"/>
      <c r="BE187" s="83"/>
      <c r="BF187" s="85"/>
      <c r="BG187" s="115"/>
      <c r="BH187" s="83"/>
    </row>
    <row r="188" spans="3:60" ht="20.25" x14ac:dyDescent="0.3">
      <c r="C188" s="8" t="s">
        <v>60</v>
      </c>
      <c r="D188" s="73">
        <f>+SUM(G188,J188,M188,P188,S188,V188,Y188,AB188,AE188,AH188,AK188,AN188,AQ188,AT188,AW188,AZ188,BC188,BF188)</f>
        <v>0</v>
      </c>
      <c r="E188" s="97">
        <f>+SUM(H188,K188,N188,Q188,T188,W188,Z188,AC188,AF188,AI188,AL188,AO188,AR188,AU188,AX188,BA188,BD188,BG188)</f>
        <v>627359.14999999979</v>
      </c>
      <c r="F188" s="18">
        <f>+SUM(I188,L188,O188,R188,U188,X188,AA188,AD188,AG188,AJ188,AM188,AP188,AS188,AV188,AY188,BB188,BE188,BH188)</f>
        <v>123969.57999999974</v>
      </c>
      <c r="G188" s="73">
        <v>0</v>
      </c>
      <c r="H188" s="97">
        <v>80808.14</v>
      </c>
      <c r="I188" s="18">
        <v>25255.889999999901</v>
      </c>
      <c r="J188" s="73">
        <v>0</v>
      </c>
      <c r="K188" s="97">
        <v>31257.64</v>
      </c>
      <c r="L188" s="18">
        <v>6418.28999999999</v>
      </c>
      <c r="M188" s="73">
        <v>0</v>
      </c>
      <c r="N188" s="97">
        <v>9031.68</v>
      </c>
      <c r="O188" s="18">
        <v>2711.2799999999902</v>
      </c>
      <c r="P188" s="73">
        <v>0</v>
      </c>
      <c r="Q188" s="97">
        <v>27106.159999999902</v>
      </c>
      <c r="R188" s="18">
        <v>6133.4899999999898</v>
      </c>
      <c r="S188" s="73">
        <v>0</v>
      </c>
      <c r="T188" s="97">
        <v>253594.35</v>
      </c>
      <c r="U188" s="18">
        <v>46267.699999999903</v>
      </c>
      <c r="V188" s="73">
        <v>0</v>
      </c>
      <c r="W188" s="97">
        <v>25709.05</v>
      </c>
      <c r="X188" s="18">
        <v>3097.5</v>
      </c>
      <c r="Y188" s="73">
        <v>0</v>
      </c>
      <c r="Z188" s="97">
        <v>24714.71</v>
      </c>
      <c r="AA188" s="18">
        <v>4552.9799999999896</v>
      </c>
      <c r="AB188" s="73">
        <v>0</v>
      </c>
      <c r="AC188" s="97">
        <v>33088.69</v>
      </c>
      <c r="AD188" s="18">
        <v>7084.06</v>
      </c>
      <c r="AE188" s="73">
        <v>0</v>
      </c>
      <c r="AF188" s="97">
        <v>38093.119999999901</v>
      </c>
      <c r="AG188" s="18">
        <v>2416.8999999999901</v>
      </c>
      <c r="AH188" s="73">
        <v>0</v>
      </c>
      <c r="AI188" s="97">
        <v>15374.34</v>
      </c>
      <c r="AJ188" s="18">
        <v>3636.69</v>
      </c>
      <c r="AK188" s="73">
        <v>0</v>
      </c>
      <c r="AL188" s="97">
        <v>6131.58</v>
      </c>
      <c r="AM188" s="18">
        <v>861.729999999999</v>
      </c>
      <c r="AN188" s="73">
        <v>0</v>
      </c>
      <c r="AO188" s="97">
        <v>15201.15</v>
      </c>
      <c r="AP188" s="18">
        <v>2994.94</v>
      </c>
      <c r="AQ188" s="73">
        <v>0</v>
      </c>
      <c r="AR188" s="97">
        <v>23937.96</v>
      </c>
      <c r="AS188" s="18">
        <v>4123.0499999999902</v>
      </c>
      <c r="AT188" s="73">
        <v>0</v>
      </c>
      <c r="AU188" s="97">
        <v>28354.55</v>
      </c>
      <c r="AV188" s="18">
        <v>5698.0499999999902</v>
      </c>
      <c r="AW188" s="73">
        <v>0</v>
      </c>
      <c r="AX188" s="97">
        <v>14956.03</v>
      </c>
      <c r="AY188" s="18">
        <v>2717.03</v>
      </c>
      <c r="AZ188" s="73"/>
      <c r="BA188" s="97"/>
      <c r="BB188" s="18"/>
      <c r="BC188" s="73"/>
      <c r="BD188" s="97"/>
      <c r="BE188" s="18"/>
      <c r="BF188" s="73"/>
      <c r="BG188" s="97"/>
      <c r="BH188" s="18"/>
    </row>
    <row r="189" spans="3:60" ht="20.25" x14ac:dyDescent="0.3">
      <c r="C189" s="8" t="s">
        <v>52</v>
      </c>
      <c r="D189" s="76"/>
      <c r="E189" s="75"/>
      <c r="F189" s="96">
        <f>IF(F188=0,0,F188/E188)</f>
        <v>0.1976054386072153</v>
      </c>
      <c r="G189" s="73">
        <v>0</v>
      </c>
      <c r="H189" s="97">
        <v>0</v>
      </c>
      <c r="I189" s="96">
        <v>0.31254140981341699</v>
      </c>
      <c r="J189" s="73">
        <v>0</v>
      </c>
      <c r="K189" s="97">
        <v>0</v>
      </c>
      <c r="L189" s="96">
        <v>0.20533507967971901</v>
      </c>
      <c r="M189" s="73">
        <v>0</v>
      </c>
      <c r="N189" s="97">
        <v>0</v>
      </c>
      <c r="O189" s="96">
        <v>0.300196641156462</v>
      </c>
      <c r="P189" s="73">
        <v>0</v>
      </c>
      <c r="Q189" s="97">
        <v>0</v>
      </c>
      <c r="R189" s="96">
        <v>0.22627661018749901</v>
      </c>
      <c r="S189" s="73">
        <v>0</v>
      </c>
      <c r="T189" s="97">
        <v>0</v>
      </c>
      <c r="U189" s="96">
        <v>0.18244767677197801</v>
      </c>
      <c r="V189" s="73">
        <v>0</v>
      </c>
      <c r="W189" s="97">
        <v>0</v>
      </c>
      <c r="X189" s="96">
        <v>0.120482864983342</v>
      </c>
      <c r="Y189" s="73">
        <v>0</v>
      </c>
      <c r="Z189" s="97">
        <v>0</v>
      </c>
      <c r="AA189" s="96">
        <v>0.18422146163155401</v>
      </c>
      <c r="AB189" s="73">
        <v>0</v>
      </c>
      <c r="AC189" s="97">
        <v>0</v>
      </c>
      <c r="AD189" s="96">
        <v>0.214093093440689</v>
      </c>
      <c r="AE189" s="73">
        <v>0</v>
      </c>
      <c r="AF189" s="97">
        <v>0</v>
      </c>
      <c r="AG189" s="96">
        <v>6.3447152661687795E-2</v>
      </c>
      <c r="AH189" s="73">
        <v>0</v>
      </c>
      <c r="AI189" s="97">
        <v>0</v>
      </c>
      <c r="AJ189" s="96">
        <v>0.236542836960806</v>
      </c>
      <c r="AK189" s="73">
        <v>0</v>
      </c>
      <c r="AL189" s="97">
        <v>0</v>
      </c>
      <c r="AM189" s="96">
        <v>0.14053963252538401</v>
      </c>
      <c r="AN189" s="76">
        <v>0</v>
      </c>
      <c r="AO189" s="97">
        <v>0</v>
      </c>
      <c r="AP189" s="96">
        <v>0.19702062015044899</v>
      </c>
      <c r="AQ189" s="73">
        <v>0</v>
      </c>
      <c r="AR189" s="97">
        <v>0</v>
      </c>
      <c r="AS189" s="96">
        <v>0.17223898778342001</v>
      </c>
      <c r="AT189" s="76">
        <v>0</v>
      </c>
      <c r="AU189" s="97">
        <v>0</v>
      </c>
      <c r="AV189" s="96">
        <v>0.200957165604814</v>
      </c>
      <c r="AW189" s="73">
        <v>0</v>
      </c>
      <c r="AX189" s="97">
        <v>0</v>
      </c>
      <c r="AY189" s="96">
        <v>0.18166786239396401</v>
      </c>
      <c r="AZ189" s="73"/>
      <c r="BA189" s="97"/>
      <c r="BB189" s="96"/>
      <c r="BC189" s="76"/>
      <c r="BD189" s="75"/>
      <c r="BE189" s="96"/>
      <c r="BF189" s="76"/>
      <c r="BG189" s="75"/>
      <c r="BH189" s="96"/>
    </row>
    <row r="190" spans="3:60" ht="20.25" x14ac:dyDescent="0.3">
      <c r="C190" s="8"/>
      <c r="D190" s="76"/>
      <c r="E190" s="75"/>
      <c r="F190" s="96"/>
      <c r="G190" s="73">
        <v>0</v>
      </c>
      <c r="H190" s="97">
        <v>0</v>
      </c>
      <c r="I190" s="96">
        <v>0</v>
      </c>
      <c r="J190" s="73">
        <v>0</v>
      </c>
      <c r="K190" s="97">
        <v>0</v>
      </c>
      <c r="L190" s="96">
        <v>0</v>
      </c>
      <c r="M190" s="73">
        <v>0</v>
      </c>
      <c r="N190" s="97">
        <v>0</v>
      </c>
      <c r="O190" s="96">
        <v>0</v>
      </c>
      <c r="P190" s="73">
        <v>0</v>
      </c>
      <c r="Q190" s="97">
        <v>0</v>
      </c>
      <c r="R190" s="96">
        <v>0</v>
      </c>
      <c r="S190" s="73">
        <v>0</v>
      </c>
      <c r="T190" s="97">
        <v>0</v>
      </c>
      <c r="U190" s="96">
        <v>0</v>
      </c>
      <c r="V190" s="73">
        <v>0</v>
      </c>
      <c r="W190" s="97">
        <v>0</v>
      </c>
      <c r="X190" s="96">
        <v>0</v>
      </c>
      <c r="Y190" s="73">
        <v>0</v>
      </c>
      <c r="Z190" s="97">
        <v>0</v>
      </c>
      <c r="AA190" s="96">
        <v>0</v>
      </c>
      <c r="AB190" s="73">
        <v>0</v>
      </c>
      <c r="AC190" s="97">
        <v>0</v>
      </c>
      <c r="AD190" s="96">
        <v>0</v>
      </c>
      <c r="AE190" s="73">
        <v>0</v>
      </c>
      <c r="AF190" s="97">
        <v>0</v>
      </c>
      <c r="AG190" s="96">
        <v>0</v>
      </c>
      <c r="AH190" s="73">
        <v>0</v>
      </c>
      <c r="AI190" s="97">
        <v>0</v>
      </c>
      <c r="AJ190" s="96">
        <v>0.236542836960806</v>
      </c>
      <c r="AK190" s="73">
        <v>0</v>
      </c>
      <c r="AL190" s="97">
        <v>0</v>
      </c>
      <c r="AM190" s="96">
        <v>0</v>
      </c>
      <c r="AN190" s="76">
        <v>0</v>
      </c>
      <c r="AO190" s="97">
        <v>0</v>
      </c>
      <c r="AP190" s="96">
        <v>0</v>
      </c>
      <c r="AQ190" s="73">
        <v>0</v>
      </c>
      <c r="AR190" s="97">
        <v>0</v>
      </c>
      <c r="AS190" s="96">
        <v>0</v>
      </c>
      <c r="AT190" s="76">
        <v>0</v>
      </c>
      <c r="AU190" s="97">
        <v>0</v>
      </c>
      <c r="AV190" s="96">
        <v>0</v>
      </c>
      <c r="AW190" s="73">
        <v>0</v>
      </c>
      <c r="AX190" s="97">
        <v>0</v>
      </c>
      <c r="AY190" s="96">
        <v>0</v>
      </c>
      <c r="AZ190" s="73"/>
      <c r="BA190" s="97"/>
      <c r="BB190" s="96"/>
      <c r="BC190" s="76"/>
      <c r="BD190" s="75"/>
      <c r="BE190" s="96"/>
      <c r="BF190" s="76"/>
      <c r="BG190" s="75"/>
      <c r="BH190" s="96"/>
    </row>
    <row r="191" spans="3:60" ht="20.25" x14ac:dyDescent="0.3">
      <c r="C191" s="8" t="s">
        <v>59</v>
      </c>
      <c r="D191" s="73">
        <f>+SUM(G191,J191,M191,P191,S191,V191,Y191,AB191,AE191,AH191,AK191,AN191,AQ191,AT191,AW191,AZ191,BC191,BF191)</f>
        <v>212</v>
      </c>
      <c r="E191" s="97">
        <f>+SUM(H191,K191,N191,Q191,T191,W191,Z191,AC191,AF191,AI191,AL191,AO191,AR191,AU191,AX191,BA191,BD191,BG191)</f>
        <v>36556</v>
      </c>
      <c r="F191" s="18">
        <f>+SUM(I191,L191,O191,R191,U191,X191,AA191,AD191,AG191,AJ191,AM191,AP191,AS191,AV191,AY191,BB191,BE191,BH191)</f>
        <v>17902.489999999998</v>
      </c>
      <c r="G191" s="73">
        <v>0</v>
      </c>
      <c r="H191" s="97">
        <v>0</v>
      </c>
      <c r="I191" s="18">
        <v>0</v>
      </c>
      <c r="J191" s="73">
        <v>0</v>
      </c>
      <c r="K191" s="97">
        <v>0</v>
      </c>
      <c r="L191" s="18">
        <v>0</v>
      </c>
      <c r="M191" s="73">
        <v>0</v>
      </c>
      <c r="N191" s="97">
        <v>0</v>
      </c>
      <c r="O191" s="18">
        <v>0</v>
      </c>
      <c r="P191" s="73">
        <v>0</v>
      </c>
      <c r="Q191" s="97">
        <v>0</v>
      </c>
      <c r="R191" s="18">
        <v>0</v>
      </c>
      <c r="S191" s="73">
        <v>0</v>
      </c>
      <c r="T191" s="97">
        <v>0</v>
      </c>
      <c r="U191" s="18">
        <v>0</v>
      </c>
      <c r="V191" s="73">
        <v>0</v>
      </c>
      <c r="W191" s="97">
        <v>0</v>
      </c>
      <c r="X191" s="18">
        <v>0</v>
      </c>
      <c r="Y191" s="73">
        <v>0</v>
      </c>
      <c r="Z191" s="97">
        <v>0</v>
      </c>
      <c r="AA191" s="18">
        <v>0</v>
      </c>
      <c r="AB191" s="73">
        <v>0</v>
      </c>
      <c r="AC191" s="97">
        <v>0</v>
      </c>
      <c r="AD191" s="18">
        <v>0</v>
      </c>
      <c r="AE191" s="73">
        <v>0</v>
      </c>
      <c r="AF191" s="97">
        <v>0</v>
      </c>
      <c r="AG191" s="18">
        <v>0</v>
      </c>
      <c r="AH191" s="73">
        <v>0</v>
      </c>
      <c r="AI191" s="97">
        <v>0</v>
      </c>
      <c r="AJ191" s="18">
        <v>0</v>
      </c>
      <c r="AK191" s="73">
        <v>0</v>
      </c>
      <c r="AL191" s="97">
        <v>0</v>
      </c>
      <c r="AM191" s="18">
        <v>0</v>
      </c>
      <c r="AN191" s="76">
        <v>212</v>
      </c>
      <c r="AO191" s="97">
        <v>25602.15</v>
      </c>
      <c r="AP191" s="18">
        <v>9335.44</v>
      </c>
      <c r="AQ191" s="73">
        <v>0</v>
      </c>
      <c r="AR191" s="97">
        <v>0</v>
      </c>
      <c r="AS191" s="18">
        <v>0</v>
      </c>
      <c r="AT191" s="76">
        <v>0</v>
      </c>
      <c r="AU191" s="97">
        <v>10953.85</v>
      </c>
      <c r="AV191" s="18">
        <v>8567.0499999999993</v>
      </c>
      <c r="AW191" s="73">
        <v>0</v>
      </c>
      <c r="AX191" s="97">
        <v>0</v>
      </c>
      <c r="AY191" s="18">
        <v>0</v>
      </c>
      <c r="AZ191" s="73"/>
      <c r="BA191" s="97"/>
      <c r="BB191" s="18"/>
      <c r="BC191" s="76"/>
      <c r="BD191" s="97"/>
      <c r="BE191" s="96"/>
      <c r="BF191" s="76"/>
      <c r="BG191" s="97"/>
      <c r="BH191" s="96"/>
    </row>
    <row r="192" spans="3:60" ht="20.25" x14ac:dyDescent="0.3">
      <c r="C192" s="8" t="s">
        <v>52</v>
      </c>
      <c r="D192" s="76"/>
      <c r="E192" s="75"/>
      <c r="F192" s="96">
        <f>IF(F191=0,0,F191/E191)</f>
        <v>0.48972781485939376</v>
      </c>
      <c r="G192" s="73">
        <v>0</v>
      </c>
      <c r="H192" s="97">
        <v>0</v>
      </c>
      <c r="I192" s="96">
        <v>0</v>
      </c>
      <c r="J192" s="73">
        <v>0</v>
      </c>
      <c r="K192" s="97">
        <v>0</v>
      </c>
      <c r="L192" s="96">
        <v>0</v>
      </c>
      <c r="M192" s="73">
        <v>0</v>
      </c>
      <c r="N192" s="97">
        <v>0</v>
      </c>
      <c r="O192" s="96">
        <v>0</v>
      </c>
      <c r="P192" s="73">
        <v>0</v>
      </c>
      <c r="Q192" s="97">
        <v>0</v>
      </c>
      <c r="R192" s="96">
        <v>0</v>
      </c>
      <c r="S192" s="73">
        <v>0</v>
      </c>
      <c r="T192" s="97">
        <v>0</v>
      </c>
      <c r="U192" s="96">
        <v>0</v>
      </c>
      <c r="V192" s="73">
        <v>0</v>
      </c>
      <c r="W192" s="97">
        <v>0</v>
      </c>
      <c r="X192" s="96">
        <v>0</v>
      </c>
      <c r="Y192" s="73">
        <v>0</v>
      </c>
      <c r="Z192" s="97">
        <v>0</v>
      </c>
      <c r="AA192" s="96">
        <v>0</v>
      </c>
      <c r="AB192" s="73">
        <v>0</v>
      </c>
      <c r="AC192" s="97">
        <v>0</v>
      </c>
      <c r="AD192" s="96">
        <v>0</v>
      </c>
      <c r="AE192" s="73">
        <v>0</v>
      </c>
      <c r="AF192" s="97">
        <v>0</v>
      </c>
      <c r="AG192" s="96">
        <v>0</v>
      </c>
      <c r="AH192" s="73">
        <v>0</v>
      </c>
      <c r="AI192" s="97">
        <v>0</v>
      </c>
      <c r="AJ192" s="96">
        <v>0</v>
      </c>
      <c r="AK192" s="73">
        <v>0</v>
      </c>
      <c r="AL192" s="97">
        <v>0</v>
      </c>
      <c r="AM192" s="96">
        <v>0</v>
      </c>
      <c r="AN192" s="76">
        <v>0</v>
      </c>
      <c r="AO192" s="97">
        <v>0</v>
      </c>
      <c r="AP192" s="96">
        <v>0.36463500135730798</v>
      </c>
      <c r="AQ192" s="73">
        <v>0</v>
      </c>
      <c r="AR192" s="97">
        <v>0</v>
      </c>
      <c r="AS192" s="96">
        <v>0</v>
      </c>
      <c r="AT192" s="76">
        <v>0</v>
      </c>
      <c r="AU192" s="97">
        <v>0</v>
      </c>
      <c r="AV192" s="96">
        <v>0.78210400909269295</v>
      </c>
      <c r="AW192" s="73">
        <v>0</v>
      </c>
      <c r="AX192" s="97">
        <v>0</v>
      </c>
      <c r="AY192" s="96">
        <v>0</v>
      </c>
      <c r="AZ192" s="73"/>
      <c r="BA192" s="97"/>
      <c r="BB192" s="96"/>
      <c r="BC192" s="76"/>
      <c r="BD192" s="75"/>
      <c r="BE192" s="96"/>
      <c r="BF192" s="76"/>
      <c r="BG192" s="75"/>
      <c r="BH192" s="96"/>
    </row>
    <row r="193" spans="3:60" ht="21" thickBot="1" x14ac:dyDescent="0.35">
      <c r="C193" s="116"/>
      <c r="D193" s="85"/>
      <c r="E193" s="115"/>
      <c r="F193" s="83"/>
      <c r="G193" s="85">
        <v>0</v>
      </c>
      <c r="H193" s="115">
        <v>0</v>
      </c>
      <c r="I193" s="83">
        <v>0</v>
      </c>
      <c r="J193" s="85">
        <v>0</v>
      </c>
      <c r="K193" s="115">
        <v>0</v>
      </c>
      <c r="L193" s="83">
        <v>0</v>
      </c>
      <c r="M193" s="85">
        <v>0</v>
      </c>
      <c r="N193" s="115">
        <v>0</v>
      </c>
      <c r="O193" s="83">
        <v>0</v>
      </c>
      <c r="P193" s="85">
        <v>0</v>
      </c>
      <c r="Q193" s="115">
        <v>0</v>
      </c>
      <c r="R193" s="83">
        <v>0</v>
      </c>
      <c r="S193" s="85">
        <v>0</v>
      </c>
      <c r="T193" s="115">
        <v>0</v>
      </c>
      <c r="U193" s="83">
        <v>0</v>
      </c>
      <c r="V193" s="85">
        <v>0</v>
      </c>
      <c r="W193" s="115">
        <v>0</v>
      </c>
      <c r="X193" s="83">
        <v>0</v>
      </c>
      <c r="Y193" s="85">
        <v>0</v>
      </c>
      <c r="Z193" s="115">
        <v>0</v>
      </c>
      <c r="AA193" s="83">
        <v>0</v>
      </c>
      <c r="AB193" s="85">
        <v>0</v>
      </c>
      <c r="AC193" s="115">
        <v>0</v>
      </c>
      <c r="AD193" s="83">
        <v>0</v>
      </c>
      <c r="AE193" s="85">
        <v>0</v>
      </c>
      <c r="AF193" s="115">
        <v>0</v>
      </c>
      <c r="AG193" s="83">
        <v>0</v>
      </c>
      <c r="AH193" s="85">
        <v>0</v>
      </c>
      <c r="AI193" s="115">
        <v>0</v>
      </c>
      <c r="AJ193" s="83">
        <v>0</v>
      </c>
      <c r="AK193" s="85">
        <v>0</v>
      </c>
      <c r="AL193" s="115">
        <v>0</v>
      </c>
      <c r="AM193" s="83">
        <v>0</v>
      </c>
      <c r="AN193" s="85">
        <v>0</v>
      </c>
      <c r="AO193" s="115">
        <v>0</v>
      </c>
      <c r="AP193" s="83">
        <v>0</v>
      </c>
      <c r="AQ193" s="85">
        <v>0</v>
      </c>
      <c r="AR193" s="115">
        <v>0</v>
      </c>
      <c r="AS193" s="83">
        <v>0</v>
      </c>
      <c r="AT193" s="85">
        <v>0</v>
      </c>
      <c r="AU193" s="115">
        <v>0</v>
      </c>
      <c r="AV193" s="83">
        <v>0</v>
      </c>
      <c r="AW193" s="85">
        <v>0</v>
      </c>
      <c r="AX193" s="115">
        <v>0</v>
      </c>
      <c r="AY193" s="83">
        <v>0</v>
      </c>
      <c r="AZ193" s="85"/>
      <c r="BA193" s="115"/>
      <c r="BB193" s="83"/>
      <c r="BC193" s="85"/>
      <c r="BD193" s="115"/>
      <c r="BE193" s="83"/>
      <c r="BF193" s="85"/>
      <c r="BG193" s="115"/>
      <c r="BH193" s="83"/>
    </row>
    <row r="194" spans="3:60" ht="21" thickTop="1" x14ac:dyDescent="0.3">
      <c r="C194" s="43" t="s">
        <v>51</v>
      </c>
      <c r="D194" s="114"/>
      <c r="E194" s="113">
        <f>E185+E188+E191</f>
        <v>7616587.7399999956</v>
      </c>
      <c r="F194" s="112">
        <f>F185+F188+F191</f>
        <v>5027097.6299999952</v>
      </c>
      <c r="G194" s="114">
        <v>0</v>
      </c>
      <c r="H194" s="113">
        <v>718269.07</v>
      </c>
      <c r="I194" s="112">
        <v>438400.58</v>
      </c>
      <c r="J194" s="114">
        <v>0</v>
      </c>
      <c r="K194" s="113">
        <v>497928.15</v>
      </c>
      <c r="L194" s="112">
        <v>351855.1</v>
      </c>
      <c r="M194" s="114">
        <v>0</v>
      </c>
      <c r="N194" s="113">
        <v>215372.15</v>
      </c>
      <c r="O194" s="112">
        <v>146056.42000000001</v>
      </c>
      <c r="P194" s="114">
        <v>0</v>
      </c>
      <c r="Q194" s="113">
        <v>714470.03</v>
      </c>
      <c r="R194" s="112">
        <v>490850.81999999902</v>
      </c>
      <c r="S194" s="114">
        <v>0</v>
      </c>
      <c r="T194" s="113">
        <v>1629244.71</v>
      </c>
      <c r="U194" s="112">
        <v>1011578.57</v>
      </c>
      <c r="V194" s="114">
        <v>0</v>
      </c>
      <c r="W194" s="113">
        <v>985583.41999999899</v>
      </c>
      <c r="X194" s="112">
        <v>685090.08</v>
      </c>
      <c r="Y194" s="114">
        <v>0</v>
      </c>
      <c r="Z194" s="113">
        <v>418217.32</v>
      </c>
      <c r="AA194" s="112">
        <v>285066.44</v>
      </c>
      <c r="AB194" s="114">
        <v>0</v>
      </c>
      <c r="AC194" s="113">
        <v>296355.39999999898</v>
      </c>
      <c r="AD194" s="112">
        <v>180710.15999999901</v>
      </c>
      <c r="AE194" s="114">
        <v>0</v>
      </c>
      <c r="AF194" s="113">
        <v>440155.56</v>
      </c>
      <c r="AG194" s="112">
        <v>305295.68</v>
      </c>
      <c r="AH194" s="114">
        <v>0</v>
      </c>
      <c r="AI194" s="113">
        <v>209857.11999999901</v>
      </c>
      <c r="AJ194" s="112">
        <v>134572.45000000001</v>
      </c>
      <c r="AK194" s="114">
        <v>0</v>
      </c>
      <c r="AL194" s="113">
        <v>95659.199999999997</v>
      </c>
      <c r="AM194" s="112">
        <v>52386.36</v>
      </c>
      <c r="AN194" s="114">
        <v>0</v>
      </c>
      <c r="AO194" s="113">
        <v>361763.03</v>
      </c>
      <c r="AP194" s="112">
        <v>232516.11</v>
      </c>
      <c r="AQ194" s="114">
        <v>0</v>
      </c>
      <c r="AR194" s="113">
        <v>403835.98</v>
      </c>
      <c r="AS194" s="112">
        <v>265695.82</v>
      </c>
      <c r="AT194" s="114">
        <v>0</v>
      </c>
      <c r="AU194" s="113">
        <v>511002.96</v>
      </c>
      <c r="AV194" s="112">
        <v>362596.82999999903</v>
      </c>
      <c r="AW194" s="114">
        <v>0</v>
      </c>
      <c r="AX194" s="113">
        <v>118873.64</v>
      </c>
      <c r="AY194" s="112">
        <v>84426.209999999905</v>
      </c>
      <c r="AZ194" s="114"/>
      <c r="BA194" s="113"/>
      <c r="BB194" s="112"/>
      <c r="BC194" s="114"/>
      <c r="BD194" s="113"/>
      <c r="BE194" s="112"/>
      <c r="BF194" s="114"/>
      <c r="BG194" s="113"/>
      <c r="BH194" s="112"/>
    </row>
    <row r="195" spans="3:60" ht="21" thickBot="1" x14ac:dyDescent="0.35">
      <c r="C195" s="40"/>
      <c r="D195" s="111"/>
      <c r="E195" s="110"/>
      <c r="F195" s="107"/>
      <c r="G195" s="111">
        <v>0</v>
      </c>
      <c r="H195" s="110">
        <v>0</v>
      </c>
      <c r="I195" s="107">
        <v>0.61035703514283302</v>
      </c>
      <c r="J195" s="111">
        <v>0</v>
      </c>
      <c r="K195" s="110">
        <v>0</v>
      </c>
      <c r="L195" s="107">
        <v>0.70663829711174098</v>
      </c>
      <c r="M195" s="111">
        <v>0</v>
      </c>
      <c r="N195" s="110">
        <v>0</v>
      </c>
      <c r="O195" s="107">
        <v>0.67815834127114305</v>
      </c>
      <c r="P195" s="111">
        <v>0</v>
      </c>
      <c r="Q195" s="110">
        <v>0</v>
      </c>
      <c r="R195" s="107">
        <v>0.687013869567069</v>
      </c>
      <c r="S195" s="111">
        <v>0</v>
      </c>
      <c r="T195" s="110">
        <v>0</v>
      </c>
      <c r="U195" s="107">
        <v>0.62088804940787501</v>
      </c>
      <c r="V195" s="111">
        <v>0</v>
      </c>
      <c r="W195" s="110">
        <v>0</v>
      </c>
      <c r="X195" s="107">
        <v>0.695111206314732</v>
      </c>
      <c r="Y195" s="109">
        <v>0</v>
      </c>
      <c r="Z195" s="108">
        <v>0</v>
      </c>
      <c r="AA195" s="107">
        <v>0.68162275058335697</v>
      </c>
      <c r="AB195" s="109">
        <v>0</v>
      </c>
      <c r="AC195" s="108">
        <v>0</v>
      </c>
      <c r="AD195" s="107">
        <v>0.60977515510093605</v>
      </c>
      <c r="AE195" s="109">
        <v>0</v>
      </c>
      <c r="AF195" s="108">
        <v>0</v>
      </c>
      <c r="AG195" s="107">
        <v>0.69360859601546299</v>
      </c>
      <c r="AH195" s="109">
        <v>0</v>
      </c>
      <c r="AI195" s="108">
        <v>0</v>
      </c>
      <c r="AJ195" s="107">
        <v>0.64125748985786102</v>
      </c>
      <c r="AK195" s="109">
        <v>0</v>
      </c>
      <c r="AL195" s="108">
        <v>0</v>
      </c>
      <c r="AM195" s="107">
        <v>0.54763535551206699</v>
      </c>
      <c r="AN195" s="109">
        <v>0</v>
      </c>
      <c r="AO195" s="108">
        <v>0</v>
      </c>
      <c r="AP195" s="107">
        <v>0.64273043599839297</v>
      </c>
      <c r="AQ195" s="109">
        <v>0</v>
      </c>
      <c r="AR195" s="108">
        <v>0</v>
      </c>
      <c r="AS195" s="107">
        <v>0.65793003387167204</v>
      </c>
      <c r="AT195" s="109">
        <v>0</v>
      </c>
      <c r="AU195" s="108">
        <v>0</v>
      </c>
      <c r="AV195" s="107">
        <v>0.70957872729347704</v>
      </c>
      <c r="AW195" s="109">
        <v>0</v>
      </c>
      <c r="AX195" s="108">
        <v>0</v>
      </c>
      <c r="AY195" s="107">
        <v>0.71021809376746503</v>
      </c>
      <c r="AZ195" s="109"/>
      <c r="BA195" s="108"/>
      <c r="BB195" s="107"/>
      <c r="BC195" s="109"/>
      <c r="BD195" s="108"/>
      <c r="BE195" s="107"/>
      <c r="BF195" s="109"/>
      <c r="BG195" s="108"/>
      <c r="BH195" s="107"/>
    </row>
    <row r="196" spans="3:60" ht="21" thickTop="1" x14ac:dyDescent="0.3">
      <c r="C196" s="32"/>
      <c r="D196" s="32"/>
      <c r="E196" s="31"/>
      <c r="F196" s="106"/>
      <c r="G196" s="32">
        <v>0</v>
      </c>
      <c r="H196" s="31">
        <v>0</v>
      </c>
      <c r="I196" s="106">
        <v>0</v>
      </c>
      <c r="J196" s="32">
        <v>0</v>
      </c>
      <c r="K196" s="31">
        <v>0</v>
      </c>
      <c r="L196" s="106">
        <v>0</v>
      </c>
      <c r="M196" s="32">
        <v>0</v>
      </c>
      <c r="N196" s="31">
        <v>0</v>
      </c>
      <c r="O196" s="106">
        <v>0</v>
      </c>
      <c r="P196" s="32">
        <v>0</v>
      </c>
      <c r="Q196" s="31">
        <v>0</v>
      </c>
      <c r="R196" s="106">
        <v>0</v>
      </c>
      <c r="S196" s="32">
        <v>0</v>
      </c>
      <c r="T196" s="31">
        <v>0</v>
      </c>
      <c r="U196" s="106">
        <v>0</v>
      </c>
      <c r="V196" s="32">
        <v>0</v>
      </c>
      <c r="W196" s="31">
        <v>0</v>
      </c>
      <c r="X196" s="106">
        <v>0</v>
      </c>
      <c r="Y196" s="32">
        <v>0</v>
      </c>
      <c r="Z196" s="31">
        <v>0</v>
      </c>
      <c r="AA196" s="106">
        <v>0</v>
      </c>
      <c r="AB196" s="32">
        <v>0</v>
      </c>
      <c r="AC196" s="31">
        <v>0</v>
      </c>
      <c r="AD196" s="106">
        <v>0</v>
      </c>
      <c r="AE196" s="32">
        <v>0</v>
      </c>
      <c r="AF196" s="31">
        <v>0</v>
      </c>
      <c r="AG196" s="106">
        <v>0</v>
      </c>
      <c r="AH196" s="32">
        <v>0</v>
      </c>
      <c r="AI196" s="31">
        <v>0</v>
      </c>
      <c r="AJ196" s="106">
        <v>0</v>
      </c>
      <c r="AK196" s="32">
        <v>0</v>
      </c>
      <c r="AL196" s="31">
        <v>0</v>
      </c>
      <c r="AM196" s="106">
        <v>0</v>
      </c>
      <c r="AN196" s="32">
        <v>0</v>
      </c>
      <c r="AO196" s="31">
        <v>0</v>
      </c>
      <c r="AP196" s="106">
        <v>0</v>
      </c>
      <c r="AQ196" s="32">
        <v>0</v>
      </c>
      <c r="AR196" s="31">
        <v>0</v>
      </c>
      <c r="AS196" s="106">
        <v>0</v>
      </c>
      <c r="AT196" s="32">
        <v>0</v>
      </c>
      <c r="AU196" s="31">
        <v>0</v>
      </c>
      <c r="AV196" s="106">
        <v>0</v>
      </c>
      <c r="AW196" s="32">
        <v>0</v>
      </c>
      <c r="AX196" s="31">
        <v>0</v>
      </c>
      <c r="AY196" s="106">
        <v>0</v>
      </c>
      <c r="AZ196" s="32"/>
      <c r="BA196" s="31"/>
      <c r="BB196" s="106"/>
      <c r="BC196" s="32"/>
      <c r="BD196" s="31"/>
      <c r="BE196" s="106"/>
      <c r="BF196" s="32"/>
      <c r="BG196" s="31"/>
      <c r="BH196" s="106"/>
    </row>
    <row r="197" spans="3:60" ht="20.25" x14ac:dyDescent="0.3">
      <c r="C197" s="29" t="s">
        <v>28</v>
      </c>
      <c r="D197" s="8"/>
      <c r="E197" s="7"/>
      <c r="F197" s="6">
        <f t="shared" ref="F197:F209" si="13">+SUM(I197,L197,O197,R197,U197,X197,AA197,AD197,AG197,AJ197,AM197,AP197,AS197,AV197,AY197,BB197,BE197,BH197)</f>
        <v>0</v>
      </c>
      <c r="G197" s="8">
        <v>0</v>
      </c>
      <c r="H197" s="7">
        <v>0</v>
      </c>
      <c r="I197" s="6">
        <v>0</v>
      </c>
      <c r="J197" s="8">
        <v>0</v>
      </c>
      <c r="K197" s="7">
        <v>0</v>
      </c>
      <c r="L197" s="6">
        <v>0</v>
      </c>
      <c r="M197" s="8">
        <v>0</v>
      </c>
      <c r="N197" s="7">
        <v>0</v>
      </c>
      <c r="O197" s="6">
        <v>0</v>
      </c>
      <c r="P197" s="8">
        <v>0</v>
      </c>
      <c r="Q197" s="7">
        <v>0</v>
      </c>
      <c r="R197" s="6">
        <v>0</v>
      </c>
      <c r="S197" s="8">
        <v>0</v>
      </c>
      <c r="T197" s="7">
        <v>0</v>
      </c>
      <c r="U197" s="6">
        <v>0</v>
      </c>
      <c r="V197" s="8">
        <v>0</v>
      </c>
      <c r="W197" s="7">
        <v>0</v>
      </c>
      <c r="X197" s="6">
        <v>0</v>
      </c>
      <c r="Y197" s="8">
        <v>0</v>
      </c>
      <c r="Z197" s="7">
        <v>0</v>
      </c>
      <c r="AA197" s="6">
        <v>0</v>
      </c>
      <c r="AB197" s="8">
        <v>0</v>
      </c>
      <c r="AC197" s="7">
        <v>0</v>
      </c>
      <c r="AD197" s="6">
        <v>0</v>
      </c>
      <c r="AE197" s="8">
        <v>0</v>
      </c>
      <c r="AF197" s="7">
        <v>0</v>
      </c>
      <c r="AG197" s="6">
        <v>0</v>
      </c>
      <c r="AH197" s="8">
        <v>0</v>
      </c>
      <c r="AI197" s="7">
        <v>0</v>
      </c>
      <c r="AJ197" s="6">
        <v>0</v>
      </c>
      <c r="AK197" s="8">
        <v>0</v>
      </c>
      <c r="AL197" s="7">
        <v>0</v>
      </c>
      <c r="AM197" s="6">
        <v>0</v>
      </c>
      <c r="AN197" s="8">
        <v>0</v>
      </c>
      <c r="AO197" s="7">
        <v>0</v>
      </c>
      <c r="AP197" s="6">
        <v>0</v>
      </c>
      <c r="AQ197" s="8">
        <v>0</v>
      </c>
      <c r="AR197" s="7">
        <v>0</v>
      </c>
      <c r="AS197" s="6">
        <v>0</v>
      </c>
      <c r="AT197" s="8">
        <v>0</v>
      </c>
      <c r="AU197" s="7">
        <v>0</v>
      </c>
      <c r="AV197" s="6">
        <v>0</v>
      </c>
      <c r="AW197" s="8">
        <v>0</v>
      </c>
      <c r="AX197" s="7">
        <v>0</v>
      </c>
      <c r="AY197" s="6">
        <v>0</v>
      </c>
      <c r="AZ197" s="8"/>
      <c r="BA197" s="7"/>
      <c r="BB197" s="6"/>
      <c r="BC197" s="8"/>
      <c r="BD197" s="7"/>
      <c r="BE197" s="6"/>
      <c r="BF197" s="8"/>
      <c r="BG197" s="7"/>
      <c r="BH197" s="6"/>
    </row>
    <row r="198" spans="3:60" ht="20.25" x14ac:dyDescent="0.3">
      <c r="C198" s="17" t="s">
        <v>27</v>
      </c>
      <c r="D198" s="8"/>
      <c r="E198" s="7"/>
      <c r="F198" s="18">
        <f t="shared" si="13"/>
        <v>375505.78999999986</v>
      </c>
      <c r="G198" s="8">
        <v>0</v>
      </c>
      <c r="H198" s="7">
        <v>0</v>
      </c>
      <c r="I198" s="18">
        <v>19252.39</v>
      </c>
      <c r="J198" s="8">
        <v>0</v>
      </c>
      <c r="K198" s="7">
        <v>0</v>
      </c>
      <c r="L198" s="18">
        <v>20060.45</v>
      </c>
      <c r="M198" s="8">
        <v>0</v>
      </c>
      <c r="N198" s="7">
        <v>0</v>
      </c>
      <c r="O198" s="18">
        <v>25605.27</v>
      </c>
      <c r="P198" s="8">
        <v>0</v>
      </c>
      <c r="Q198" s="7">
        <v>0</v>
      </c>
      <c r="R198" s="18">
        <v>17359.75</v>
      </c>
      <c r="S198" s="8">
        <v>0</v>
      </c>
      <c r="T198" s="7">
        <v>0</v>
      </c>
      <c r="U198" s="18">
        <v>61654.559999999998</v>
      </c>
      <c r="V198" s="8">
        <v>0</v>
      </c>
      <c r="W198" s="7">
        <v>0</v>
      </c>
      <c r="X198" s="18">
        <v>19343.75</v>
      </c>
      <c r="Y198" s="8">
        <v>0</v>
      </c>
      <c r="Z198" s="7">
        <v>0</v>
      </c>
      <c r="AA198" s="18">
        <v>19750.699999999899</v>
      </c>
      <c r="AB198" s="8">
        <v>0</v>
      </c>
      <c r="AC198" s="7">
        <v>0</v>
      </c>
      <c r="AD198" s="18">
        <v>25922.57</v>
      </c>
      <c r="AE198" s="8">
        <v>0</v>
      </c>
      <c r="AF198" s="7">
        <v>0</v>
      </c>
      <c r="AG198" s="18">
        <v>20585.689999999999</v>
      </c>
      <c r="AH198" s="8">
        <v>0</v>
      </c>
      <c r="AI198" s="7">
        <v>0</v>
      </c>
      <c r="AJ198" s="18">
        <v>20691.099999999999</v>
      </c>
      <c r="AK198" s="8">
        <v>0</v>
      </c>
      <c r="AL198" s="7">
        <v>0</v>
      </c>
      <c r="AM198" s="18">
        <v>16742.46</v>
      </c>
      <c r="AN198" s="8">
        <v>0</v>
      </c>
      <c r="AO198" s="7">
        <v>0</v>
      </c>
      <c r="AP198" s="18">
        <v>30910.55</v>
      </c>
      <c r="AQ198" s="8">
        <v>0</v>
      </c>
      <c r="AR198" s="7">
        <v>0</v>
      </c>
      <c r="AS198" s="18">
        <v>26212.38</v>
      </c>
      <c r="AT198" s="8">
        <v>0</v>
      </c>
      <c r="AU198" s="7">
        <v>0</v>
      </c>
      <c r="AV198" s="18">
        <v>29525.11</v>
      </c>
      <c r="AW198" s="8">
        <v>0</v>
      </c>
      <c r="AX198" s="7">
        <v>0</v>
      </c>
      <c r="AY198" s="18">
        <v>21889.06</v>
      </c>
      <c r="AZ198" s="8"/>
      <c r="BA198" s="7"/>
      <c r="BB198" s="18"/>
      <c r="BC198" s="8"/>
      <c r="BD198" s="7"/>
      <c r="BE198" s="18"/>
      <c r="BF198" s="8"/>
      <c r="BG198" s="7"/>
      <c r="BH198" s="18"/>
    </row>
    <row r="199" spans="3:60" ht="20.25" x14ac:dyDescent="0.3">
      <c r="C199" s="25" t="s">
        <v>26</v>
      </c>
      <c r="D199" s="8"/>
      <c r="E199" s="7"/>
      <c r="F199" s="18">
        <f t="shared" si="13"/>
        <v>409413.70999999996</v>
      </c>
      <c r="G199" s="8">
        <v>0</v>
      </c>
      <c r="H199" s="7">
        <v>0</v>
      </c>
      <c r="I199" s="18">
        <v>28741.77</v>
      </c>
      <c r="J199" s="8">
        <v>0</v>
      </c>
      <c r="K199" s="7">
        <v>0</v>
      </c>
      <c r="L199" s="18">
        <v>14449</v>
      </c>
      <c r="M199" s="8">
        <v>0</v>
      </c>
      <c r="N199" s="7">
        <v>0</v>
      </c>
      <c r="O199" s="18">
        <v>10525.84</v>
      </c>
      <c r="P199" s="8">
        <v>0</v>
      </c>
      <c r="Q199" s="7">
        <v>0</v>
      </c>
      <c r="R199" s="18">
        <v>58685.63</v>
      </c>
      <c r="S199" s="8">
        <v>0</v>
      </c>
      <c r="T199" s="7">
        <v>0</v>
      </c>
      <c r="U199" s="18">
        <v>158393.81</v>
      </c>
      <c r="V199" s="8">
        <v>0</v>
      </c>
      <c r="W199" s="7">
        <v>0</v>
      </c>
      <c r="X199" s="18">
        <v>30506.98</v>
      </c>
      <c r="Y199" s="8">
        <v>0</v>
      </c>
      <c r="Z199" s="7">
        <v>0</v>
      </c>
      <c r="AA199" s="18">
        <v>23039.23</v>
      </c>
      <c r="AB199" s="8">
        <v>0</v>
      </c>
      <c r="AC199" s="7">
        <v>0</v>
      </c>
      <c r="AD199" s="18">
        <v>12984.71</v>
      </c>
      <c r="AE199" s="8">
        <v>0</v>
      </c>
      <c r="AF199" s="7">
        <v>0</v>
      </c>
      <c r="AG199" s="18">
        <v>14054.89</v>
      </c>
      <c r="AH199" s="8">
        <v>0</v>
      </c>
      <c r="AI199" s="7">
        <v>0</v>
      </c>
      <c r="AJ199" s="18">
        <v>7544</v>
      </c>
      <c r="AK199" s="8">
        <v>0</v>
      </c>
      <c r="AL199" s="7">
        <v>0</v>
      </c>
      <c r="AM199" s="18">
        <v>7981.38</v>
      </c>
      <c r="AN199" s="8">
        <v>0</v>
      </c>
      <c r="AO199" s="7">
        <v>0</v>
      </c>
      <c r="AP199" s="18">
        <v>9990.84</v>
      </c>
      <c r="AQ199" s="8">
        <v>0</v>
      </c>
      <c r="AR199" s="7">
        <v>0</v>
      </c>
      <c r="AS199" s="18">
        <v>11019.73</v>
      </c>
      <c r="AT199" s="8">
        <v>0</v>
      </c>
      <c r="AU199" s="7">
        <v>0</v>
      </c>
      <c r="AV199" s="18">
        <v>17573.990000000002</v>
      </c>
      <c r="AW199" s="8">
        <v>0</v>
      </c>
      <c r="AX199" s="7">
        <v>0</v>
      </c>
      <c r="AY199" s="18">
        <v>3921.91</v>
      </c>
      <c r="AZ199" s="8"/>
      <c r="BA199" s="7"/>
      <c r="BB199" s="18"/>
      <c r="BC199" s="8"/>
      <c r="BD199" s="7"/>
      <c r="BE199" s="18"/>
      <c r="BF199" s="8"/>
      <c r="BG199" s="7"/>
      <c r="BH199" s="18"/>
    </row>
    <row r="200" spans="3:60" ht="20.25" x14ac:dyDescent="0.3">
      <c r="C200" s="17" t="s">
        <v>25</v>
      </c>
      <c r="D200" s="72"/>
      <c r="E200" s="71"/>
      <c r="F200" s="68">
        <f t="shared" si="13"/>
        <v>547958.22000000009</v>
      </c>
      <c r="G200" s="72">
        <v>0</v>
      </c>
      <c r="H200" s="71">
        <v>0</v>
      </c>
      <c r="I200" s="68">
        <v>35453.800000000003</v>
      </c>
      <c r="J200" s="72">
        <v>0</v>
      </c>
      <c r="K200" s="71">
        <v>0</v>
      </c>
      <c r="L200" s="68">
        <v>21720.47</v>
      </c>
      <c r="M200" s="72">
        <v>0</v>
      </c>
      <c r="N200" s="71">
        <v>0</v>
      </c>
      <c r="O200" s="68">
        <v>12181.98</v>
      </c>
      <c r="P200" s="72">
        <v>0</v>
      </c>
      <c r="Q200" s="71">
        <v>0</v>
      </c>
      <c r="R200" s="68">
        <v>87903.31</v>
      </c>
      <c r="S200" s="72">
        <v>0</v>
      </c>
      <c r="T200" s="71">
        <v>0</v>
      </c>
      <c r="U200" s="68">
        <v>154393.09</v>
      </c>
      <c r="V200" s="72">
        <v>0</v>
      </c>
      <c r="W200" s="71">
        <v>0</v>
      </c>
      <c r="X200" s="68">
        <v>42104.03</v>
      </c>
      <c r="Y200" s="72">
        <v>0</v>
      </c>
      <c r="Z200" s="71">
        <v>0</v>
      </c>
      <c r="AA200" s="68">
        <v>10039.39</v>
      </c>
      <c r="AB200" s="72">
        <v>0</v>
      </c>
      <c r="AC200" s="71">
        <v>0</v>
      </c>
      <c r="AD200" s="68">
        <v>9566.84</v>
      </c>
      <c r="AE200" s="72">
        <v>0</v>
      </c>
      <c r="AF200" s="71">
        <v>0</v>
      </c>
      <c r="AG200" s="68">
        <v>50720.86</v>
      </c>
      <c r="AH200" s="72">
        <v>0</v>
      </c>
      <c r="AI200" s="71">
        <v>0</v>
      </c>
      <c r="AJ200" s="68">
        <v>24732.27</v>
      </c>
      <c r="AK200" s="72">
        <v>0</v>
      </c>
      <c r="AL200" s="71">
        <v>0</v>
      </c>
      <c r="AM200" s="68">
        <v>17945.419999999998</v>
      </c>
      <c r="AN200" s="72">
        <v>0</v>
      </c>
      <c r="AO200" s="71">
        <v>0</v>
      </c>
      <c r="AP200" s="68">
        <v>18942.11</v>
      </c>
      <c r="AQ200" s="72">
        <v>0</v>
      </c>
      <c r="AR200" s="71">
        <v>0</v>
      </c>
      <c r="AS200" s="68">
        <v>10301.92</v>
      </c>
      <c r="AT200" s="72">
        <v>0</v>
      </c>
      <c r="AU200" s="71">
        <v>0</v>
      </c>
      <c r="AV200" s="68">
        <v>30791.32</v>
      </c>
      <c r="AW200" s="72">
        <v>0</v>
      </c>
      <c r="AX200" s="71">
        <v>0</v>
      </c>
      <c r="AY200" s="68">
        <v>21161.41</v>
      </c>
      <c r="AZ200" s="72"/>
      <c r="BA200" s="71"/>
      <c r="BB200" s="68"/>
      <c r="BC200" s="72"/>
      <c r="BD200" s="71"/>
      <c r="BE200" s="68"/>
      <c r="BF200" s="72"/>
      <c r="BG200" s="71"/>
      <c r="BH200" s="68"/>
    </row>
    <row r="201" spans="3:60" ht="20.25" x14ac:dyDescent="0.3">
      <c r="C201" s="17" t="s">
        <v>24</v>
      </c>
      <c r="D201" s="8"/>
      <c r="E201" s="7"/>
      <c r="F201" s="18">
        <f t="shared" si="13"/>
        <v>676366.43</v>
      </c>
      <c r="G201" s="8">
        <v>0</v>
      </c>
      <c r="H201" s="105">
        <v>0.234938226816677</v>
      </c>
      <c r="I201" s="18">
        <v>63004.66</v>
      </c>
      <c r="J201" s="8">
        <v>0</v>
      </c>
      <c r="K201" s="105">
        <v>0.20461284475379701</v>
      </c>
      <c r="L201" s="18">
        <v>36564.61</v>
      </c>
      <c r="M201" s="8">
        <v>0</v>
      </c>
      <c r="N201" s="7">
        <v>0</v>
      </c>
      <c r="O201" s="18">
        <v>24150.17</v>
      </c>
      <c r="P201" s="8">
        <v>0</v>
      </c>
      <c r="Q201" s="7">
        <v>0</v>
      </c>
      <c r="R201" s="18">
        <v>92946.64</v>
      </c>
      <c r="S201" s="8">
        <v>0</v>
      </c>
      <c r="T201" s="7">
        <v>0</v>
      </c>
      <c r="U201" s="18">
        <v>80839.17</v>
      </c>
      <c r="V201" s="8">
        <v>0</v>
      </c>
      <c r="W201" s="80">
        <v>0.31016856512027902</v>
      </c>
      <c r="X201" s="18">
        <v>119118.15</v>
      </c>
      <c r="Y201" s="8">
        <v>0</v>
      </c>
      <c r="Z201" s="7">
        <v>0</v>
      </c>
      <c r="AA201" s="18">
        <v>37112.129999999997</v>
      </c>
      <c r="AB201" s="8">
        <v>0</v>
      </c>
      <c r="AC201" s="7">
        <v>0</v>
      </c>
      <c r="AD201" s="18">
        <v>15833.12</v>
      </c>
      <c r="AE201" s="8">
        <v>0</v>
      </c>
      <c r="AF201" s="7">
        <v>0</v>
      </c>
      <c r="AG201" s="18">
        <v>50638.43</v>
      </c>
      <c r="AH201" s="8">
        <v>0</v>
      </c>
      <c r="AI201" s="105">
        <v>0.172685391537927</v>
      </c>
      <c r="AJ201" s="18">
        <v>15179.45</v>
      </c>
      <c r="AK201" s="8">
        <v>0</v>
      </c>
      <c r="AL201" s="7">
        <v>0</v>
      </c>
      <c r="AM201" s="18">
        <v>12756.31</v>
      </c>
      <c r="AN201" s="8">
        <v>0</v>
      </c>
      <c r="AO201" s="7">
        <v>0</v>
      </c>
      <c r="AP201" s="18">
        <v>41233.339999999997</v>
      </c>
      <c r="AQ201" s="8">
        <v>0</v>
      </c>
      <c r="AR201" s="7">
        <v>0</v>
      </c>
      <c r="AS201" s="18">
        <v>49525.22</v>
      </c>
      <c r="AT201" s="8">
        <v>0</v>
      </c>
      <c r="AU201" s="7">
        <v>0</v>
      </c>
      <c r="AV201" s="18">
        <v>30555.47</v>
      </c>
      <c r="AW201" s="8">
        <v>0</v>
      </c>
      <c r="AX201" s="7">
        <v>0</v>
      </c>
      <c r="AY201" s="18">
        <v>6909.56</v>
      </c>
      <c r="AZ201" s="8"/>
      <c r="BA201" s="7"/>
      <c r="BB201" s="18"/>
      <c r="BC201" s="8"/>
      <c r="BD201" s="7"/>
      <c r="BE201" s="18"/>
      <c r="BF201" s="8"/>
      <c r="BG201" s="7"/>
      <c r="BH201" s="18"/>
    </row>
    <row r="202" spans="3:60" ht="20.25" hidden="1" x14ac:dyDescent="0.3">
      <c r="C202" s="8" t="s">
        <v>3</v>
      </c>
      <c r="D202" s="8"/>
      <c r="E202" s="7"/>
      <c r="F202" s="18">
        <f t="shared" si="13"/>
        <v>0</v>
      </c>
      <c r="G202" s="8">
        <v>0</v>
      </c>
      <c r="H202" s="7">
        <v>0</v>
      </c>
      <c r="I202" s="18">
        <v>0</v>
      </c>
      <c r="J202" s="8">
        <v>0</v>
      </c>
      <c r="K202" s="7">
        <v>0</v>
      </c>
      <c r="L202" s="18">
        <v>0</v>
      </c>
      <c r="M202" s="8">
        <v>0</v>
      </c>
      <c r="N202" s="7">
        <v>0</v>
      </c>
      <c r="O202" s="18">
        <v>0</v>
      </c>
      <c r="P202" s="8">
        <v>0</v>
      </c>
      <c r="Q202" s="7">
        <v>0</v>
      </c>
      <c r="R202" s="18">
        <v>0</v>
      </c>
      <c r="S202" s="8">
        <v>0</v>
      </c>
      <c r="T202" s="7">
        <v>0</v>
      </c>
      <c r="U202" s="18">
        <v>0</v>
      </c>
      <c r="V202" s="8">
        <v>0</v>
      </c>
      <c r="W202" s="7">
        <v>0</v>
      </c>
      <c r="X202" s="18">
        <v>0</v>
      </c>
      <c r="Y202" s="8">
        <v>0</v>
      </c>
      <c r="Z202" s="7">
        <v>0</v>
      </c>
      <c r="AA202" s="18">
        <v>0</v>
      </c>
      <c r="AB202" s="8">
        <v>0</v>
      </c>
      <c r="AC202" s="7">
        <v>0</v>
      </c>
      <c r="AD202" s="18">
        <v>0</v>
      </c>
      <c r="AE202" s="8">
        <v>0</v>
      </c>
      <c r="AF202" s="7">
        <v>0</v>
      </c>
      <c r="AG202" s="18">
        <v>0</v>
      </c>
      <c r="AH202" s="8">
        <v>0</v>
      </c>
      <c r="AI202" s="7">
        <v>0</v>
      </c>
      <c r="AJ202" s="18">
        <v>0</v>
      </c>
      <c r="AK202" s="8">
        <v>0</v>
      </c>
      <c r="AL202" s="7">
        <v>0</v>
      </c>
      <c r="AM202" s="18">
        <v>0</v>
      </c>
      <c r="AN202" s="8">
        <v>0</v>
      </c>
      <c r="AO202" s="7">
        <v>0</v>
      </c>
      <c r="AP202" s="18">
        <v>0</v>
      </c>
      <c r="AQ202" s="8">
        <v>0</v>
      </c>
      <c r="AR202" s="7">
        <v>0</v>
      </c>
      <c r="AS202" s="18">
        <v>0</v>
      </c>
      <c r="AT202" s="8">
        <v>0</v>
      </c>
      <c r="AU202" s="7">
        <v>0</v>
      </c>
      <c r="AV202" s="18">
        <v>0</v>
      </c>
      <c r="AW202" s="8">
        <v>0</v>
      </c>
      <c r="AX202" s="7">
        <v>0</v>
      </c>
      <c r="AY202" s="18">
        <v>0</v>
      </c>
      <c r="AZ202" s="8"/>
      <c r="BA202" s="7"/>
      <c r="BB202" s="18"/>
      <c r="BC202" s="8"/>
      <c r="BD202" s="7"/>
      <c r="BE202" s="18"/>
      <c r="BF202" s="8"/>
      <c r="BG202" s="7"/>
      <c r="BH202" s="18"/>
    </row>
    <row r="203" spans="3:60" ht="20.25" hidden="1" x14ac:dyDescent="0.3">
      <c r="C203" s="8" t="s">
        <v>3</v>
      </c>
      <c r="D203" s="8"/>
      <c r="E203" s="7"/>
      <c r="F203" s="18">
        <f t="shared" si="13"/>
        <v>0</v>
      </c>
      <c r="G203" s="8">
        <v>0</v>
      </c>
      <c r="H203" s="7">
        <v>0</v>
      </c>
      <c r="I203" s="18">
        <v>0</v>
      </c>
      <c r="J203" s="8">
        <v>0</v>
      </c>
      <c r="K203" s="7">
        <v>0</v>
      </c>
      <c r="L203" s="18">
        <v>0</v>
      </c>
      <c r="M203" s="8">
        <v>0</v>
      </c>
      <c r="N203" s="7">
        <v>0</v>
      </c>
      <c r="O203" s="18">
        <v>0</v>
      </c>
      <c r="P203" s="8">
        <v>0</v>
      </c>
      <c r="Q203" s="7">
        <v>0</v>
      </c>
      <c r="R203" s="18">
        <v>0</v>
      </c>
      <c r="S203" s="8">
        <v>0</v>
      </c>
      <c r="T203" s="7">
        <v>0</v>
      </c>
      <c r="U203" s="18">
        <v>0</v>
      </c>
      <c r="V203" s="8">
        <v>0</v>
      </c>
      <c r="W203" s="7">
        <v>0</v>
      </c>
      <c r="X203" s="18">
        <v>0</v>
      </c>
      <c r="Y203" s="8">
        <v>0</v>
      </c>
      <c r="Z203" s="7">
        <v>0</v>
      </c>
      <c r="AA203" s="18">
        <v>0</v>
      </c>
      <c r="AB203" s="8">
        <v>0</v>
      </c>
      <c r="AC203" s="7">
        <v>0</v>
      </c>
      <c r="AD203" s="18">
        <v>0</v>
      </c>
      <c r="AE203" s="8">
        <v>0</v>
      </c>
      <c r="AF203" s="7">
        <v>0</v>
      </c>
      <c r="AG203" s="18">
        <v>0</v>
      </c>
      <c r="AH203" s="8">
        <v>0</v>
      </c>
      <c r="AI203" s="7">
        <v>0</v>
      </c>
      <c r="AJ203" s="18">
        <v>0</v>
      </c>
      <c r="AK203" s="8">
        <v>0</v>
      </c>
      <c r="AL203" s="7">
        <v>0</v>
      </c>
      <c r="AM203" s="18">
        <v>0</v>
      </c>
      <c r="AN203" s="8">
        <v>0</v>
      </c>
      <c r="AO203" s="7">
        <v>0</v>
      </c>
      <c r="AP203" s="18">
        <v>0</v>
      </c>
      <c r="AQ203" s="8">
        <v>0</v>
      </c>
      <c r="AR203" s="7">
        <v>0</v>
      </c>
      <c r="AS203" s="18">
        <v>0</v>
      </c>
      <c r="AT203" s="8">
        <v>0</v>
      </c>
      <c r="AU203" s="7">
        <v>0</v>
      </c>
      <c r="AV203" s="18">
        <v>0</v>
      </c>
      <c r="AW203" s="8">
        <v>0</v>
      </c>
      <c r="AX203" s="7">
        <v>0</v>
      </c>
      <c r="AY203" s="18">
        <v>0</v>
      </c>
      <c r="AZ203" s="8"/>
      <c r="BA203" s="7"/>
      <c r="BB203" s="18"/>
      <c r="BC203" s="8"/>
      <c r="BD203" s="7"/>
      <c r="BE203" s="18"/>
      <c r="BF203" s="8"/>
      <c r="BG203" s="7"/>
      <c r="BH203" s="18"/>
    </row>
    <row r="204" spans="3:60" ht="20.25" hidden="1" x14ac:dyDescent="0.3">
      <c r="C204" s="8" t="s">
        <v>3</v>
      </c>
      <c r="D204" s="8"/>
      <c r="E204" s="7"/>
      <c r="F204" s="18">
        <f t="shared" si="13"/>
        <v>0</v>
      </c>
      <c r="G204" s="8">
        <v>0</v>
      </c>
      <c r="H204" s="7">
        <v>0</v>
      </c>
      <c r="I204" s="18">
        <v>0</v>
      </c>
      <c r="J204" s="8">
        <v>0</v>
      </c>
      <c r="K204" s="7">
        <v>0</v>
      </c>
      <c r="L204" s="18">
        <v>0</v>
      </c>
      <c r="M204" s="8">
        <v>0</v>
      </c>
      <c r="N204" s="7">
        <v>0</v>
      </c>
      <c r="O204" s="18">
        <v>0</v>
      </c>
      <c r="P204" s="8">
        <v>0</v>
      </c>
      <c r="Q204" s="7">
        <v>0</v>
      </c>
      <c r="R204" s="18">
        <v>0</v>
      </c>
      <c r="S204" s="8">
        <v>0</v>
      </c>
      <c r="T204" s="7">
        <v>0</v>
      </c>
      <c r="U204" s="18">
        <v>0</v>
      </c>
      <c r="V204" s="8">
        <v>0</v>
      </c>
      <c r="W204" s="7">
        <v>0</v>
      </c>
      <c r="X204" s="18">
        <v>0</v>
      </c>
      <c r="Y204" s="8">
        <v>0</v>
      </c>
      <c r="Z204" s="7">
        <v>0</v>
      </c>
      <c r="AA204" s="18">
        <v>0</v>
      </c>
      <c r="AB204" s="8">
        <v>0</v>
      </c>
      <c r="AC204" s="7">
        <v>0</v>
      </c>
      <c r="AD204" s="18">
        <v>0</v>
      </c>
      <c r="AE204" s="8">
        <v>0</v>
      </c>
      <c r="AF204" s="7">
        <v>0</v>
      </c>
      <c r="AG204" s="18">
        <v>0</v>
      </c>
      <c r="AH204" s="8">
        <v>0</v>
      </c>
      <c r="AI204" s="7">
        <v>0</v>
      </c>
      <c r="AJ204" s="18">
        <v>0</v>
      </c>
      <c r="AK204" s="8">
        <v>0</v>
      </c>
      <c r="AL204" s="7">
        <v>0</v>
      </c>
      <c r="AM204" s="18">
        <v>0</v>
      </c>
      <c r="AN204" s="8">
        <v>0</v>
      </c>
      <c r="AO204" s="7">
        <v>0</v>
      </c>
      <c r="AP204" s="18">
        <v>0</v>
      </c>
      <c r="AQ204" s="8">
        <v>0</v>
      </c>
      <c r="AR204" s="7">
        <v>0</v>
      </c>
      <c r="AS204" s="18">
        <v>0</v>
      </c>
      <c r="AT204" s="8">
        <v>0</v>
      </c>
      <c r="AU204" s="7">
        <v>0</v>
      </c>
      <c r="AV204" s="18">
        <v>0</v>
      </c>
      <c r="AW204" s="8">
        <v>0</v>
      </c>
      <c r="AX204" s="7">
        <v>0</v>
      </c>
      <c r="AY204" s="18">
        <v>0</v>
      </c>
      <c r="AZ204" s="8"/>
      <c r="BA204" s="7"/>
      <c r="BB204" s="18"/>
      <c r="BC204" s="8"/>
      <c r="BD204" s="7"/>
      <c r="BE204" s="18"/>
      <c r="BF204" s="8"/>
      <c r="BG204" s="7"/>
      <c r="BH204" s="18"/>
    </row>
    <row r="205" spans="3:60" ht="20.25" x14ac:dyDescent="0.3">
      <c r="C205" s="25" t="s">
        <v>23</v>
      </c>
      <c r="D205" s="8"/>
      <c r="E205" s="7"/>
      <c r="F205" s="18">
        <f t="shared" si="13"/>
        <v>696586.0199999999</v>
      </c>
      <c r="G205" s="8">
        <v>0</v>
      </c>
      <c r="H205" s="7">
        <v>0</v>
      </c>
      <c r="I205" s="18">
        <v>89087.3</v>
      </c>
      <c r="J205" s="8">
        <v>0</v>
      </c>
      <c r="K205" s="105">
        <v>0.179362892193239</v>
      </c>
      <c r="L205" s="18">
        <v>42843.98</v>
      </c>
      <c r="M205" s="8">
        <v>0</v>
      </c>
      <c r="N205" s="7">
        <v>0</v>
      </c>
      <c r="O205" s="18">
        <v>16522.900000000001</v>
      </c>
      <c r="P205" s="8">
        <v>0</v>
      </c>
      <c r="Q205" s="7">
        <v>0</v>
      </c>
      <c r="R205" s="18">
        <v>59575.98</v>
      </c>
      <c r="S205" s="8">
        <v>0</v>
      </c>
      <c r="T205" s="7">
        <v>0</v>
      </c>
      <c r="U205" s="18">
        <v>158309.79999999999</v>
      </c>
      <c r="V205" s="8">
        <v>0</v>
      </c>
      <c r="W205" s="7">
        <v>0</v>
      </c>
      <c r="X205" s="18">
        <v>53240.5</v>
      </c>
      <c r="Y205" s="8">
        <v>0</v>
      </c>
      <c r="Z205" s="7">
        <v>0</v>
      </c>
      <c r="AA205" s="18">
        <v>31847.69</v>
      </c>
      <c r="AB205" s="8">
        <v>0</v>
      </c>
      <c r="AC205" s="7">
        <v>0</v>
      </c>
      <c r="AD205" s="18">
        <v>23532.57</v>
      </c>
      <c r="AE205" s="8">
        <v>0</v>
      </c>
      <c r="AF205" s="7">
        <v>0</v>
      </c>
      <c r="AG205" s="18">
        <v>32276.35</v>
      </c>
      <c r="AH205" s="8">
        <v>0</v>
      </c>
      <c r="AI205" s="7">
        <v>0</v>
      </c>
      <c r="AJ205" s="18">
        <v>27552.65</v>
      </c>
      <c r="AK205" s="8">
        <v>0</v>
      </c>
      <c r="AL205" s="7">
        <v>0</v>
      </c>
      <c r="AM205" s="18">
        <v>31087.58</v>
      </c>
      <c r="AN205" s="8">
        <v>0</v>
      </c>
      <c r="AO205" s="7">
        <v>0</v>
      </c>
      <c r="AP205" s="18">
        <v>34986.58</v>
      </c>
      <c r="AQ205" s="8">
        <v>0</v>
      </c>
      <c r="AR205" s="7">
        <v>0</v>
      </c>
      <c r="AS205" s="18">
        <v>53333.46</v>
      </c>
      <c r="AT205" s="8">
        <v>0</v>
      </c>
      <c r="AU205" s="7">
        <v>0</v>
      </c>
      <c r="AV205" s="18">
        <v>28380.31</v>
      </c>
      <c r="AW205" s="8">
        <v>0</v>
      </c>
      <c r="AX205" s="7">
        <v>0</v>
      </c>
      <c r="AY205" s="18">
        <v>14008.37</v>
      </c>
      <c r="AZ205" s="8"/>
      <c r="BA205" s="7"/>
      <c r="BB205" s="18"/>
      <c r="BC205" s="8"/>
      <c r="BD205" s="7"/>
      <c r="BE205" s="18"/>
      <c r="BF205" s="8"/>
      <c r="BG205" s="7"/>
      <c r="BH205" s="18"/>
    </row>
    <row r="206" spans="3:60" ht="20.25" x14ac:dyDescent="0.3">
      <c r="C206" s="17" t="s">
        <v>22</v>
      </c>
      <c r="D206" s="72"/>
      <c r="E206" s="71"/>
      <c r="F206" s="68">
        <f t="shared" si="13"/>
        <v>696947.9</v>
      </c>
      <c r="G206" s="72">
        <v>0</v>
      </c>
      <c r="H206" s="71">
        <v>0</v>
      </c>
      <c r="I206" s="68">
        <v>64629.7</v>
      </c>
      <c r="J206" s="72">
        <v>0</v>
      </c>
      <c r="K206" s="71">
        <v>0</v>
      </c>
      <c r="L206" s="68">
        <v>35284.44</v>
      </c>
      <c r="M206" s="72">
        <v>0</v>
      </c>
      <c r="N206" s="71">
        <v>0</v>
      </c>
      <c r="O206" s="68">
        <v>23066.69</v>
      </c>
      <c r="P206" s="72">
        <v>0</v>
      </c>
      <c r="Q206" s="71">
        <v>0</v>
      </c>
      <c r="R206" s="68">
        <v>69257.119999999995</v>
      </c>
      <c r="S206" s="72">
        <v>0</v>
      </c>
      <c r="T206" s="71">
        <v>0</v>
      </c>
      <c r="U206" s="68">
        <v>144085.35999999999</v>
      </c>
      <c r="V206" s="72">
        <v>0</v>
      </c>
      <c r="W206" s="71">
        <v>0</v>
      </c>
      <c r="X206" s="68">
        <v>59045.67</v>
      </c>
      <c r="Y206" s="72">
        <v>0</v>
      </c>
      <c r="Z206" s="71">
        <v>0</v>
      </c>
      <c r="AA206" s="68">
        <v>39268.82</v>
      </c>
      <c r="AB206" s="72">
        <v>0</v>
      </c>
      <c r="AC206" s="71">
        <v>0</v>
      </c>
      <c r="AD206" s="68">
        <v>28099.96</v>
      </c>
      <c r="AE206" s="72">
        <v>0</v>
      </c>
      <c r="AF206" s="71">
        <v>0</v>
      </c>
      <c r="AG206" s="68">
        <v>40532.129999999997</v>
      </c>
      <c r="AH206" s="72">
        <v>0</v>
      </c>
      <c r="AI206" s="71">
        <v>0</v>
      </c>
      <c r="AJ206" s="68">
        <v>23839.439999999999</v>
      </c>
      <c r="AK206" s="72">
        <v>0</v>
      </c>
      <c r="AL206" s="71">
        <v>0</v>
      </c>
      <c r="AM206" s="68">
        <v>32250.18</v>
      </c>
      <c r="AN206" s="72">
        <v>0</v>
      </c>
      <c r="AO206" s="71">
        <v>0</v>
      </c>
      <c r="AP206" s="68">
        <v>39057.64</v>
      </c>
      <c r="AQ206" s="72">
        <v>0</v>
      </c>
      <c r="AR206" s="71">
        <v>0</v>
      </c>
      <c r="AS206" s="68">
        <v>48181.62</v>
      </c>
      <c r="AT206" s="72">
        <v>0</v>
      </c>
      <c r="AU206" s="71">
        <v>0</v>
      </c>
      <c r="AV206" s="68">
        <v>34379.269999999997</v>
      </c>
      <c r="AW206" s="72">
        <v>0</v>
      </c>
      <c r="AX206" s="71">
        <v>0</v>
      </c>
      <c r="AY206" s="68">
        <v>15969.86</v>
      </c>
      <c r="AZ206" s="72"/>
      <c r="BA206" s="71"/>
      <c r="BB206" s="68"/>
      <c r="BC206" s="72"/>
      <c r="BD206" s="71"/>
      <c r="BE206" s="68"/>
      <c r="BF206" s="72"/>
      <c r="BG206" s="71"/>
      <c r="BH206" s="68"/>
    </row>
    <row r="207" spans="3:60" ht="20.25" x14ac:dyDescent="0.3">
      <c r="C207" s="17" t="s">
        <v>21</v>
      </c>
      <c r="D207" s="8"/>
      <c r="E207" s="7"/>
      <c r="F207" s="18">
        <f t="shared" si="13"/>
        <v>497270.99999999994</v>
      </c>
      <c r="G207" s="8">
        <v>0</v>
      </c>
      <c r="H207" s="7">
        <v>0</v>
      </c>
      <c r="I207" s="18">
        <v>52818.71</v>
      </c>
      <c r="J207" s="8">
        <v>0</v>
      </c>
      <c r="K207" s="7">
        <v>0</v>
      </c>
      <c r="L207" s="18">
        <v>22632.25</v>
      </c>
      <c r="M207" s="8">
        <v>0</v>
      </c>
      <c r="N207" s="7">
        <v>0</v>
      </c>
      <c r="O207" s="18">
        <v>9750.1299999999992</v>
      </c>
      <c r="P207" s="8">
        <v>0</v>
      </c>
      <c r="Q207" s="7">
        <v>0</v>
      </c>
      <c r="R207" s="18">
        <v>59473.53</v>
      </c>
      <c r="S207" s="8">
        <v>0</v>
      </c>
      <c r="T207" s="7">
        <v>0</v>
      </c>
      <c r="U207" s="18">
        <v>135430.76</v>
      </c>
      <c r="V207" s="8">
        <v>0</v>
      </c>
      <c r="W207" s="7">
        <v>0</v>
      </c>
      <c r="X207" s="18">
        <v>33872.76</v>
      </c>
      <c r="Y207" s="8">
        <v>0</v>
      </c>
      <c r="Z207" s="7">
        <v>0</v>
      </c>
      <c r="AA207" s="18">
        <v>28053.62</v>
      </c>
      <c r="AB207" s="8">
        <v>0</v>
      </c>
      <c r="AC207" s="7">
        <v>0</v>
      </c>
      <c r="AD207" s="18">
        <v>11670.47</v>
      </c>
      <c r="AE207" s="8">
        <v>0</v>
      </c>
      <c r="AF207" s="7">
        <v>0</v>
      </c>
      <c r="AG207" s="18">
        <v>19980.990000000002</v>
      </c>
      <c r="AH207" s="8">
        <v>0</v>
      </c>
      <c r="AI207" s="7">
        <v>0</v>
      </c>
      <c r="AJ207" s="18">
        <v>18255.310000000001</v>
      </c>
      <c r="AK207" s="8">
        <v>0</v>
      </c>
      <c r="AL207" s="7">
        <v>0</v>
      </c>
      <c r="AM207" s="18">
        <v>25870.35</v>
      </c>
      <c r="AN207" s="8">
        <v>0</v>
      </c>
      <c r="AO207" s="7">
        <v>0</v>
      </c>
      <c r="AP207" s="18">
        <v>21900.1</v>
      </c>
      <c r="AQ207" s="8">
        <v>0</v>
      </c>
      <c r="AR207" s="7">
        <v>0</v>
      </c>
      <c r="AS207" s="18">
        <v>29930.47</v>
      </c>
      <c r="AT207" s="8">
        <v>0</v>
      </c>
      <c r="AU207" s="7">
        <v>0</v>
      </c>
      <c r="AV207" s="18">
        <v>18233.48</v>
      </c>
      <c r="AW207" s="8">
        <v>0</v>
      </c>
      <c r="AX207" s="7">
        <v>0</v>
      </c>
      <c r="AY207" s="18">
        <v>9398.07</v>
      </c>
      <c r="AZ207" s="8"/>
      <c r="BA207" s="7"/>
      <c r="BB207" s="18"/>
      <c r="BC207" s="8"/>
      <c r="BD207" s="7"/>
      <c r="BE207" s="18"/>
      <c r="BF207" s="8"/>
      <c r="BG207" s="7"/>
      <c r="BH207" s="18"/>
    </row>
    <row r="208" spans="3:60" ht="20.25" x14ac:dyDescent="0.3">
      <c r="C208" s="17" t="s">
        <v>20</v>
      </c>
      <c r="D208" s="8"/>
      <c r="E208" s="7"/>
      <c r="F208" s="18">
        <f t="shared" si="13"/>
        <v>104968.06</v>
      </c>
      <c r="G208" s="8">
        <v>0</v>
      </c>
      <c r="H208" s="7">
        <v>0</v>
      </c>
      <c r="I208" s="18">
        <v>10289.17</v>
      </c>
      <c r="J208" s="8">
        <v>0</v>
      </c>
      <c r="K208" s="7">
        <v>0</v>
      </c>
      <c r="L208" s="18">
        <v>5560.11</v>
      </c>
      <c r="M208" s="8">
        <v>0</v>
      </c>
      <c r="N208" s="7">
        <v>0</v>
      </c>
      <c r="O208" s="18">
        <v>3431.89</v>
      </c>
      <c r="P208" s="8">
        <v>0</v>
      </c>
      <c r="Q208" s="7">
        <v>0</v>
      </c>
      <c r="R208" s="18">
        <v>10274.82</v>
      </c>
      <c r="S208" s="8">
        <v>0</v>
      </c>
      <c r="T208" s="7">
        <v>0</v>
      </c>
      <c r="U208" s="18">
        <v>21551.86</v>
      </c>
      <c r="V208" s="8">
        <v>0</v>
      </c>
      <c r="W208" s="7">
        <v>0</v>
      </c>
      <c r="X208" s="18">
        <v>11206.18</v>
      </c>
      <c r="Y208" s="8">
        <v>0</v>
      </c>
      <c r="Z208" s="7">
        <v>0</v>
      </c>
      <c r="AA208" s="18">
        <v>5974.18</v>
      </c>
      <c r="AB208" s="8">
        <v>0</v>
      </c>
      <c r="AC208" s="7">
        <v>0</v>
      </c>
      <c r="AD208" s="18">
        <v>3986.49</v>
      </c>
      <c r="AE208" s="8">
        <v>0</v>
      </c>
      <c r="AF208" s="7">
        <v>0</v>
      </c>
      <c r="AG208" s="18">
        <v>4741.75</v>
      </c>
      <c r="AH208" s="8">
        <v>0</v>
      </c>
      <c r="AI208" s="7">
        <v>0</v>
      </c>
      <c r="AJ208" s="18">
        <v>3549.13</v>
      </c>
      <c r="AK208" s="8">
        <v>0</v>
      </c>
      <c r="AL208" s="7">
        <v>0</v>
      </c>
      <c r="AM208" s="18">
        <v>3306.26</v>
      </c>
      <c r="AN208" s="8">
        <v>0</v>
      </c>
      <c r="AO208" s="7">
        <v>0</v>
      </c>
      <c r="AP208" s="18">
        <v>5858.68</v>
      </c>
      <c r="AQ208" s="8">
        <v>0</v>
      </c>
      <c r="AR208" s="7">
        <v>0</v>
      </c>
      <c r="AS208" s="18">
        <v>5469.85</v>
      </c>
      <c r="AT208" s="8">
        <v>0</v>
      </c>
      <c r="AU208" s="7">
        <v>0</v>
      </c>
      <c r="AV208" s="18">
        <v>8060.07</v>
      </c>
      <c r="AW208" s="8">
        <v>0</v>
      </c>
      <c r="AX208" s="7">
        <v>0</v>
      </c>
      <c r="AY208" s="18">
        <v>1707.62</v>
      </c>
      <c r="AZ208" s="8"/>
      <c r="BA208" s="7"/>
      <c r="BB208" s="18"/>
      <c r="BC208" s="8"/>
      <c r="BD208" s="7"/>
      <c r="BE208" s="18"/>
      <c r="BF208" s="8"/>
      <c r="BG208" s="7"/>
      <c r="BH208" s="18"/>
    </row>
    <row r="209" spans="3:60" ht="20.25" hidden="1" x14ac:dyDescent="0.3">
      <c r="C209" s="8" t="s">
        <v>3</v>
      </c>
      <c r="D209" s="67"/>
      <c r="E209" s="66"/>
      <c r="F209" s="18">
        <f t="shared" si="13"/>
        <v>0</v>
      </c>
      <c r="G209" s="67">
        <v>0</v>
      </c>
      <c r="H209" s="66">
        <v>0</v>
      </c>
      <c r="I209" s="18">
        <v>0</v>
      </c>
      <c r="J209" s="67">
        <v>0</v>
      </c>
      <c r="K209" s="66">
        <v>0</v>
      </c>
      <c r="L209" s="18">
        <v>0</v>
      </c>
      <c r="M209" s="67">
        <v>0</v>
      </c>
      <c r="N209" s="66">
        <v>0</v>
      </c>
      <c r="O209" s="18">
        <v>0</v>
      </c>
      <c r="P209" s="67">
        <v>0</v>
      </c>
      <c r="Q209" s="66">
        <v>0</v>
      </c>
      <c r="R209" s="18">
        <v>0</v>
      </c>
      <c r="S209" s="67">
        <v>0</v>
      </c>
      <c r="T209" s="66">
        <v>0</v>
      </c>
      <c r="U209" s="18">
        <v>0</v>
      </c>
      <c r="V209" s="67">
        <v>0</v>
      </c>
      <c r="W209" s="66">
        <v>0</v>
      </c>
      <c r="X209" s="18">
        <v>0</v>
      </c>
      <c r="Y209" s="67">
        <v>0</v>
      </c>
      <c r="Z209" s="66">
        <v>0</v>
      </c>
      <c r="AA209" s="18">
        <v>0</v>
      </c>
      <c r="AB209" s="67">
        <v>0</v>
      </c>
      <c r="AC209" s="66">
        <v>0</v>
      </c>
      <c r="AD209" s="18">
        <v>0</v>
      </c>
      <c r="AE209" s="67">
        <v>0</v>
      </c>
      <c r="AF209" s="66">
        <v>0</v>
      </c>
      <c r="AG209" s="18">
        <v>0</v>
      </c>
      <c r="AH209" s="67">
        <v>0</v>
      </c>
      <c r="AI209" s="66">
        <v>0</v>
      </c>
      <c r="AJ209" s="18">
        <v>0</v>
      </c>
      <c r="AK209" s="67">
        <v>0</v>
      </c>
      <c r="AL209" s="66">
        <v>0</v>
      </c>
      <c r="AM209" s="18">
        <v>0</v>
      </c>
      <c r="AN209" s="67">
        <v>0</v>
      </c>
      <c r="AO209" s="66">
        <v>0</v>
      </c>
      <c r="AP209" s="18">
        <v>0</v>
      </c>
      <c r="AQ209" s="67">
        <v>0</v>
      </c>
      <c r="AR209" s="66">
        <v>0</v>
      </c>
      <c r="AS209" s="18">
        <v>0</v>
      </c>
      <c r="AT209" s="67">
        <v>0</v>
      </c>
      <c r="AU209" s="66">
        <v>0</v>
      </c>
      <c r="AV209" s="18">
        <v>0</v>
      </c>
      <c r="AW209" s="67">
        <v>0</v>
      </c>
      <c r="AX209" s="66">
        <v>0</v>
      </c>
      <c r="AY209" s="18">
        <v>0</v>
      </c>
      <c r="AZ209" s="67"/>
      <c r="BA209" s="66"/>
      <c r="BB209" s="18"/>
      <c r="BC209" s="67"/>
      <c r="BD209" s="66"/>
      <c r="BE209" s="18"/>
      <c r="BF209" s="67"/>
      <c r="BG209" s="66"/>
      <c r="BH209" s="18"/>
    </row>
    <row r="210" spans="3:60" ht="20.25" x14ac:dyDescent="0.3">
      <c r="C210" s="11" t="s">
        <v>19</v>
      </c>
      <c r="D210" s="64"/>
      <c r="E210" s="14"/>
      <c r="F210" s="12">
        <f>SUM(F198:F209)</f>
        <v>4005017.13</v>
      </c>
      <c r="G210" s="64" t="s">
        <v>58</v>
      </c>
      <c r="H210" s="14">
        <v>0.82864283619332801</v>
      </c>
      <c r="I210" s="12">
        <v>363277.5</v>
      </c>
      <c r="J210" s="64" t="s">
        <v>58</v>
      </c>
      <c r="K210" s="14">
        <v>0.565901446362437</v>
      </c>
      <c r="L210" s="12">
        <v>199115.31</v>
      </c>
      <c r="M210" s="64" t="s">
        <v>58</v>
      </c>
      <c r="N210" s="14">
        <v>0.85744173381765698</v>
      </c>
      <c r="O210" s="12">
        <v>125234.87</v>
      </c>
      <c r="P210" s="64" t="s">
        <v>58</v>
      </c>
      <c r="Q210" s="14">
        <v>0.92793321604311396</v>
      </c>
      <c r="R210" s="12">
        <v>455476.77999999898</v>
      </c>
      <c r="S210" s="64" t="s">
        <v>58</v>
      </c>
      <c r="T210" s="14">
        <v>0.90418919214549898</v>
      </c>
      <c r="U210" s="12">
        <v>914658.40999999898</v>
      </c>
      <c r="V210" s="64" t="s">
        <v>58</v>
      </c>
      <c r="W210" s="14">
        <v>0.53779500062239904</v>
      </c>
      <c r="X210" s="12">
        <v>368438.01999999897</v>
      </c>
      <c r="Y210" s="64" t="s">
        <v>58</v>
      </c>
      <c r="Z210" s="14">
        <v>0.68435190056044404</v>
      </c>
      <c r="AA210" s="12">
        <v>195085.75999999899</v>
      </c>
      <c r="AB210" s="64" t="s">
        <v>58</v>
      </c>
      <c r="AC210" s="14">
        <v>0.72821987430037105</v>
      </c>
      <c r="AD210" s="12">
        <v>131596.72999999899</v>
      </c>
      <c r="AE210" s="64" t="s">
        <v>58</v>
      </c>
      <c r="AF210" s="14">
        <v>0.76493414515396996</v>
      </c>
      <c r="AG210" s="12">
        <v>233531.09</v>
      </c>
      <c r="AH210" s="64" t="s">
        <v>58</v>
      </c>
      <c r="AI210" s="14">
        <v>1.0503141616281699</v>
      </c>
      <c r="AJ210" s="12">
        <v>141343.35</v>
      </c>
      <c r="AK210" s="64" t="s">
        <v>58</v>
      </c>
      <c r="AL210" s="14">
        <v>2.8240164042701101</v>
      </c>
      <c r="AM210" s="12">
        <v>147939.94</v>
      </c>
      <c r="AN210" s="64" t="s">
        <v>58</v>
      </c>
      <c r="AO210" s="14">
        <v>0.87254100371797805</v>
      </c>
      <c r="AP210" s="12">
        <v>202879.84</v>
      </c>
      <c r="AQ210" s="64" t="s">
        <v>58</v>
      </c>
      <c r="AR210" s="14">
        <v>0.88061095579147597</v>
      </c>
      <c r="AS210" s="12">
        <v>233974.65</v>
      </c>
      <c r="AT210" s="64" t="s">
        <v>58</v>
      </c>
      <c r="AU210" s="14">
        <v>0.54467938950266004</v>
      </c>
      <c r="AV210" s="12">
        <v>197499.02</v>
      </c>
      <c r="AW210" s="64" t="s">
        <v>58</v>
      </c>
      <c r="AX210" s="14">
        <v>1.12483860166173</v>
      </c>
      <c r="AY210" s="12">
        <v>94965.859999999899</v>
      </c>
      <c r="AZ210" s="64"/>
      <c r="BA210" s="14"/>
      <c r="BB210" s="12"/>
      <c r="BC210" s="64"/>
      <c r="BD210" s="14"/>
      <c r="BE210" s="12"/>
      <c r="BF210" s="64"/>
      <c r="BG210" s="14"/>
      <c r="BH210" s="12"/>
    </row>
    <row r="211" spans="3:60" ht="20.25" x14ac:dyDescent="0.3">
      <c r="C211" s="8" t="s">
        <v>17</v>
      </c>
      <c r="D211" s="8"/>
      <c r="E211" s="7"/>
      <c r="F211" s="18">
        <f t="shared" ref="F211:F228" si="14">+SUM(I211,L211,O211,R211,U211,X211,AA211,AD211,AG211,AJ211,AM211,AP211,AS211,AV211,AY211,BB211,BE211,BH211)</f>
        <v>218316.47999999992</v>
      </c>
      <c r="G211" s="8">
        <v>0</v>
      </c>
      <c r="H211" s="7">
        <v>0</v>
      </c>
      <c r="I211" s="18">
        <v>19758.349999999999</v>
      </c>
      <c r="J211" s="8">
        <v>0</v>
      </c>
      <c r="K211" s="7">
        <v>0</v>
      </c>
      <c r="L211" s="18">
        <v>11799.45</v>
      </c>
      <c r="M211" s="8">
        <v>0</v>
      </c>
      <c r="N211" s="7">
        <v>0</v>
      </c>
      <c r="O211" s="18">
        <v>11263.01</v>
      </c>
      <c r="P211" s="8">
        <v>0</v>
      </c>
      <c r="Q211" s="7">
        <v>0</v>
      </c>
      <c r="R211" s="18">
        <v>2201.4499999999998</v>
      </c>
      <c r="S211" s="8">
        <v>0</v>
      </c>
      <c r="T211" s="7">
        <v>0</v>
      </c>
      <c r="U211" s="18">
        <v>2267.66</v>
      </c>
      <c r="V211" s="8">
        <v>0</v>
      </c>
      <c r="W211" s="7">
        <v>0</v>
      </c>
      <c r="X211" s="18">
        <v>38283.33</v>
      </c>
      <c r="Y211" s="8">
        <v>0</v>
      </c>
      <c r="Z211" s="7">
        <v>0</v>
      </c>
      <c r="AA211" s="18">
        <v>8323.5499999999993</v>
      </c>
      <c r="AB211" s="8">
        <v>0</v>
      </c>
      <c r="AC211" s="7">
        <v>0</v>
      </c>
      <c r="AD211" s="18">
        <v>14922.52</v>
      </c>
      <c r="AE211" s="8">
        <v>0</v>
      </c>
      <c r="AF211" s="7">
        <v>0</v>
      </c>
      <c r="AG211" s="18">
        <v>10932.3499999999</v>
      </c>
      <c r="AH211" s="8">
        <v>0</v>
      </c>
      <c r="AI211" s="7">
        <v>0</v>
      </c>
      <c r="AJ211" s="18">
        <v>9163.1299999999992</v>
      </c>
      <c r="AK211" s="8">
        <v>0</v>
      </c>
      <c r="AL211" s="7">
        <v>0</v>
      </c>
      <c r="AM211" s="18">
        <v>11050.92</v>
      </c>
      <c r="AN211" s="8">
        <v>0</v>
      </c>
      <c r="AO211" s="7">
        <v>0</v>
      </c>
      <c r="AP211" s="18">
        <v>19502.080000000002</v>
      </c>
      <c r="AQ211" s="8">
        <v>0</v>
      </c>
      <c r="AR211" s="7">
        <v>0</v>
      </c>
      <c r="AS211" s="18">
        <v>23212.62</v>
      </c>
      <c r="AT211" s="8">
        <v>0</v>
      </c>
      <c r="AU211" s="7">
        <v>0</v>
      </c>
      <c r="AV211" s="18">
        <v>26211.85</v>
      </c>
      <c r="AW211" s="8">
        <v>0</v>
      </c>
      <c r="AX211" s="7">
        <v>0</v>
      </c>
      <c r="AY211" s="18">
        <v>9424.2099999999991</v>
      </c>
      <c r="AZ211" s="8"/>
      <c r="BA211" s="7"/>
      <c r="BB211" s="18"/>
      <c r="BC211" s="8"/>
      <c r="BD211" s="7"/>
      <c r="BE211" s="18"/>
      <c r="BF211" s="8"/>
      <c r="BG211" s="7"/>
      <c r="BH211" s="18"/>
    </row>
    <row r="212" spans="3:60" ht="20.25" x14ac:dyDescent="0.3">
      <c r="C212" s="8" t="s">
        <v>16</v>
      </c>
      <c r="D212" s="8"/>
      <c r="E212" s="7"/>
      <c r="F212" s="18">
        <f t="shared" si="14"/>
        <v>193268.03999999986</v>
      </c>
      <c r="G212" s="8">
        <v>0</v>
      </c>
      <c r="H212" s="7">
        <v>0</v>
      </c>
      <c r="I212" s="18">
        <v>16572.810000000001</v>
      </c>
      <c r="J212" s="8">
        <v>0</v>
      </c>
      <c r="K212" s="7">
        <v>0</v>
      </c>
      <c r="L212" s="18">
        <v>14806.46</v>
      </c>
      <c r="M212" s="8">
        <v>0</v>
      </c>
      <c r="N212" s="7">
        <v>0</v>
      </c>
      <c r="O212" s="18">
        <v>3705.18</v>
      </c>
      <c r="P212" s="8">
        <v>0</v>
      </c>
      <c r="Q212" s="7">
        <v>0</v>
      </c>
      <c r="R212" s="18">
        <v>27294.7399999999</v>
      </c>
      <c r="S212" s="8">
        <v>0</v>
      </c>
      <c r="T212" s="7">
        <v>0</v>
      </c>
      <c r="U212" s="18">
        <v>62777.79</v>
      </c>
      <c r="V212" s="8">
        <v>0</v>
      </c>
      <c r="W212" s="7">
        <v>0</v>
      </c>
      <c r="X212" s="18">
        <v>17482.93</v>
      </c>
      <c r="Y212" s="8">
        <v>0</v>
      </c>
      <c r="Z212" s="7">
        <v>0</v>
      </c>
      <c r="AA212" s="18">
        <v>5167.62</v>
      </c>
      <c r="AB212" s="8">
        <v>0</v>
      </c>
      <c r="AC212" s="7">
        <v>0</v>
      </c>
      <c r="AD212" s="18">
        <v>11125.31</v>
      </c>
      <c r="AE212" s="8">
        <v>0</v>
      </c>
      <c r="AF212" s="7">
        <v>0</v>
      </c>
      <c r="AG212" s="18">
        <v>7602.9</v>
      </c>
      <c r="AH212" s="8">
        <v>0</v>
      </c>
      <c r="AI212" s="7">
        <v>0</v>
      </c>
      <c r="AJ212" s="18">
        <v>4089.72</v>
      </c>
      <c r="AK212" s="8">
        <v>0</v>
      </c>
      <c r="AL212" s="7">
        <v>0</v>
      </c>
      <c r="AM212" s="18">
        <v>3862.06</v>
      </c>
      <c r="AN212" s="8">
        <v>0</v>
      </c>
      <c r="AO212" s="7">
        <v>0</v>
      </c>
      <c r="AP212" s="18">
        <v>5179.21</v>
      </c>
      <c r="AQ212" s="8">
        <v>0</v>
      </c>
      <c r="AR212" s="7">
        <v>0</v>
      </c>
      <c r="AS212" s="18">
        <v>6614.09</v>
      </c>
      <c r="AT212" s="8">
        <v>0</v>
      </c>
      <c r="AU212" s="7">
        <v>0</v>
      </c>
      <c r="AV212" s="18">
        <v>5237.04</v>
      </c>
      <c r="AW212" s="8">
        <v>0</v>
      </c>
      <c r="AX212" s="7">
        <v>0</v>
      </c>
      <c r="AY212" s="18">
        <v>1750.1799999999901</v>
      </c>
      <c r="AZ212" s="8"/>
      <c r="BA212" s="7"/>
      <c r="BB212" s="18"/>
      <c r="BC212" s="8"/>
      <c r="BD212" s="7"/>
      <c r="BE212" s="18"/>
      <c r="BF212" s="8"/>
      <c r="BG212" s="7"/>
      <c r="BH212" s="18"/>
    </row>
    <row r="213" spans="3:60" ht="20.25" x14ac:dyDescent="0.3">
      <c r="C213" s="67" t="s">
        <v>15</v>
      </c>
      <c r="D213" s="67"/>
      <c r="E213" s="66"/>
      <c r="F213" s="18">
        <f t="shared" si="14"/>
        <v>604691.06999999995</v>
      </c>
      <c r="G213" s="67">
        <v>0</v>
      </c>
      <c r="H213" s="66">
        <v>0</v>
      </c>
      <c r="I213" s="18">
        <v>27048.429999999898</v>
      </c>
      <c r="J213" s="67">
        <v>0</v>
      </c>
      <c r="K213" s="66">
        <v>0</v>
      </c>
      <c r="L213" s="18">
        <v>22887.61</v>
      </c>
      <c r="M213" s="67">
        <v>0</v>
      </c>
      <c r="N213" s="66">
        <v>0</v>
      </c>
      <c r="O213" s="18">
        <v>9802.9</v>
      </c>
      <c r="P213" s="67">
        <v>0</v>
      </c>
      <c r="Q213" s="66">
        <v>0</v>
      </c>
      <c r="R213" s="18">
        <v>112753.51</v>
      </c>
      <c r="S213" s="67">
        <v>0</v>
      </c>
      <c r="T213" s="66">
        <v>0</v>
      </c>
      <c r="U213" s="18">
        <v>82746.61</v>
      </c>
      <c r="V213" s="67">
        <v>0</v>
      </c>
      <c r="W213" s="66">
        <v>0</v>
      </c>
      <c r="X213" s="18">
        <v>124227.43</v>
      </c>
      <c r="Y213" s="67">
        <v>0</v>
      </c>
      <c r="Z213" s="66">
        <v>0</v>
      </c>
      <c r="AA213" s="18">
        <v>87552.57</v>
      </c>
      <c r="AB213" s="67">
        <v>0</v>
      </c>
      <c r="AC213" s="66">
        <v>0</v>
      </c>
      <c r="AD213" s="18">
        <v>21391.45</v>
      </c>
      <c r="AE213" s="67">
        <v>0</v>
      </c>
      <c r="AF213" s="66">
        <v>0</v>
      </c>
      <c r="AG213" s="18">
        <v>49690.13</v>
      </c>
      <c r="AH213" s="67">
        <v>0</v>
      </c>
      <c r="AI213" s="66">
        <v>0</v>
      </c>
      <c r="AJ213" s="18">
        <v>4343.63</v>
      </c>
      <c r="AK213" s="67">
        <v>0</v>
      </c>
      <c r="AL213" s="66">
        <v>0</v>
      </c>
      <c r="AM213" s="18">
        <v>13221.28</v>
      </c>
      <c r="AN213" s="67">
        <v>0</v>
      </c>
      <c r="AO213" s="66">
        <v>0</v>
      </c>
      <c r="AP213" s="18">
        <v>13464.87</v>
      </c>
      <c r="AQ213" s="67">
        <v>0</v>
      </c>
      <c r="AR213" s="66">
        <v>0</v>
      </c>
      <c r="AS213" s="18">
        <v>12031.4</v>
      </c>
      <c r="AT213" s="67">
        <v>0</v>
      </c>
      <c r="AU213" s="66">
        <v>0</v>
      </c>
      <c r="AV213" s="18">
        <v>15092.62</v>
      </c>
      <c r="AW213" s="67">
        <v>0</v>
      </c>
      <c r="AX213" s="66">
        <v>0</v>
      </c>
      <c r="AY213" s="18">
        <v>8436.6299999999992</v>
      </c>
      <c r="AZ213" s="67"/>
      <c r="BA213" s="66"/>
      <c r="BB213" s="18"/>
      <c r="BC213" s="67"/>
      <c r="BD213" s="66"/>
      <c r="BE213" s="18"/>
      <c r="BF213" s="67"/>
      <c r="BG213" s="66"/>
      <c r="BH213" s="18"/>
    </row>
    <row r="214" spans="3:60" ht="20.25" x14ac:dyDescent="0.3">
      <c r="C214" s="8" t="s">
        <v>14</v>
      </c>
      <c r="D214" s="8"/>
      <c r="E214" s="7"/>
      <c r="F214" s="68">
        <f t="shared" si="14"/>
        <v>248539.4499999999</v>
      </c>
      <c r="G214" s="8">
        <v>0</v>
      </c>
      <c r="H214" s="7">
        <v>0</v>
      </c>
      <c r="I214" s="68">
        <v>14909.43</v>
      </c>
      <c r="J214" s="8">
        <v>0</v>
      </c>
      <c r="K214" s="7">
        <v>0</v>
      </c>
      <c r="L214" s="68">
        <v>15230.57</v>
      </c>
      <c r="M214" s="8">
        <v>0</v>
      </c>
      <c r="N214" s="7">
        <v>0</v>
      </c>
      <c r="O214" s="68">
        <v>13560.34</v>
      </c>
      <c r="P214" s="8">
        <v>0</v>
      </c>
      <c r="Q214" s="7">
        <v>0</v>
      </c>
      <c r="R214" s="68">
        <v>31613.31</v>
      </c>
      <c r="S214" s="8">
        <v>0</v>
      </c>
      <c r="T214" s="7">
        <v>0</v>
      </c>
      <c r="U214" s="68">
        <v>45277.71</v>
      </c>
      <c r="V214" s="8">
        <v>0</v>
      </c>
      <c r="W214" s="7">
        <v>0</v>
      </c>
      <c r="X214" s="68">
        <v>19045.509999999998</v>
      </c>
      <c r="Y214" s="8">
        <v>0</v>
      </c>
      <c r="Z214" s="7">
        <v>0</v>
      </c>
      <c r="AA214" s="68">
        <v>18172.4899999999</v>
      </c>
      <c r="AB214" s="8">
        <v>0</v>
      </c>
      <c r="AC214" s="7">
        <v>0</v>
      </c>
      <c r="AD214" s="68">
        <v>4997.42</v>
      </c>
      <c r="AE214" s="8">
        <v>0</v>
      </c>
      <c r="AF214" s="7">
        <v>0</v>
      </c>
      <c r="AG214" s="68">
        <v>13471.11</v>
      </c>
      <c r="AH214" s="8">
        <v>0</v>
      </c>
      <c r="AI214" s="7">
        <v>0</v>
      </c>
      <c r="AJ214" s="68">
        <v>9966.93</v>
      </c>
      <c r="AK214" s="8">
        <v>0</v>
      </c>
      <c r="AL214" s="7">
        <v>0</v>
      </c>
      <c r="AM214" s="68">
        <v>11947.88</v>
      </c>
      <c r="AN214" s="8">
        <v>0</v>
      </c>
      <c r="AO214" s="7">
        <v>0</v>
      </c>
      <c r="AP214" s="68">
        <v>16562.189999999999</v>
      </c>
      <c r="AQ214" s="8">
        <v>0</v>
      </c>
      <c r="AR214" s="7">
        <v>0</v>
      </c>
      <c r="AS214" s="68">
        <v>19608.310000000001</v>
      </c>
      <c r="AT214" s="8">
        <v>0</v>
      </c>
      <c r="AU214" s="7">
        <v>0</v>
      </c>
      <c r="AV214" s="68">
        <v>9662.43</v>
      </c>
      <c r="AW214" s="8">
        <v>0</v>
      </c>
      <c r="AX214" s="7">
        <v>0</v>
      </c>
      <c r="AY214" s="68">
        <v>4513.82</v>
      </c>
      <c r="AZ214" s="8"/>
      <c r="BA214" s="7"/>
      <c r="BB214" s="68"/>
      <c r="BC214" s="8"/>
      <c r="BD214" s="7"/>
      <c r="BE214" s="68"/>
      <c r="BF214" s="8"/>
      <c r="BG214" s="7"/>
      <c r="BH214" s="68"/>
    </row>
    <row r="215" spans="3:60" ht="20.25" x14ac:dyDescent="0.3">
      <c r="C215" s="8" t="s">
        <v>13</v>
      </c>
      <c r="D215" s="8"/>
      <c r="E215" s="7"/>
      <c r="F215" s="18">
        <f t="shared" si="14"/>
        <v>47243.199999999903</v>
      </c>
      <c r="G215" s="8">
        <v>0</v>
      </c>
      <c r="H215" s="7">
        <v>0</v>
      </c>
      <c r="I215" s="18">
        <v>4675.2700000000004</v>
      </c>
      <c r="J215" s="8">
        <v>0</v>
      </c>
      <c r="K215" s="7">
        <v>0</v>
      </c>
      <c r="L215" s="18">
        <v>2434.7199999999998</v>
      </c>
      <c r="M215" s="8">
        <v>0</v>
      </c>
      <c r="N215" s="7">
        <v>0</v>
      </c>
      <c r="O215" s="18">
        <v>1609.34</v>
      </c>
      <c r="P215" s="8">
        <v>0</v>
      </c>
      <c r="Q215" s="7">
        <v>0</v>
      </c>
      <c r="R215" s="18">
        <v>2125.19</v>
      </c>
      <c r="S215" s="8">
        <v>0</v>
      </c>
      <c r="T215" s="7">
        <v>0</v>
      </c>
      <c r="U215" s="18">
        <v>14232.619999999901</v>
      </c>
      <c r="V215" s="8">
        <v>0</v>
      </c>
      <c r="W215" s="7">
        <v>0</v>
      </c>
      <c r="X215" s="18">
        <v>2620.4</v>
      </c>
      <c r="Y215" s="8">
        <v>0</v>
      </c>
      <c r="Z215" s="7">
        <v>0</v>
      </c>
      <c r="AA215" s="18">
        <v>1805.55</v>
      </c>
      <c r="AB215" s="8">
        <v>0</v>
      </c>
      <c r="AC215" s="7">
        <v>0</v>
      </c>
      <c r="AD215" s="18">
        <v>785.59</v>
      </c>
      <c r="AE215" s="8">
        <v>0</v>
      </c>
      <c r="AF215" s="7">
        <v>0</v>
      </c>
      <c r="AG215" s="18">
        <v>7289.28</v>
      </c>
      <c r="AH215" s="8">
        <v>0</v>
      </c>
      <c r="AI215" s="7">
        <v>0</v>
      </c>
      <c r="AJ215" s="18">
        <v>1153.79</v>
      </c>
      <c r="AK215" s="8">
        <v>0</v>
      </c>
      <c r="AL215" s="7">
        <v>0</v>
      </c>
      <c r="AM215" s="18">
        <v>1113.93</v>
      </c>
      <c r="AN215" s="8">
        <v>0</v>
      </c>
      <c r="AO215" s="7">
        <v>0</v>
      </c>
      <c r="AP215" s="18">
        <v>1150.32</v>
      </c>
      <c r="AQ215" s="8">
        <v>0</v>
      </c>
      <c r="AR215" s="7">
        <v>0</v>
      </c>
      <c r="AS215" s="18">
        <v>3382.2</v>
      </c>
      <c r="AT215" s="8">
        <v>0</v>
      </c>
      <c r="AU215" s="7">
        <v>0</v>
      </c>
      <c r="AV215" s="18">
        <v>2183.83</v>
      </c>
      <c r="AW215" s="8">
        <v>0</v>
      </c>
      <c r="AX215" s="7">
        <v>0</v>
      </c>
      <c r="AY215" s="18">
        <v>681.17</v>
      </c>
      <c r="AZ215" s="8"/>
      <c r="BA215" s="7"/>
      <c r="BB215" s="18"/>
      <c r="BC215" s="8"/>
      <c r="BD215" s="7"/>
      <c r="BE215" s="18"/>
      <c r="BF215" s="8"/>
      <c r="BG215" s="7"/>
      <c r="BH215" s="18"/>
    </row>
    <row r="216" spans="3:60" ht="20.25" x14ac:dyDescent="0.3">
      <c r="C216" s="67" t="s">
        <v>12</v>
      </c>
      <c r="D216" s="67"/>
      <c r="E216" s="66"/>
      <c r="F216" s="18">
        <f t="shared" si="14"/>
        <v>240474.77000000002</v>
      </c>
      <c r="G216" s="67">
        <v>0</v>
      </c>
      <c r="H216" s="66">
        <v>0</v>
      </c>
      <c r="I216" s="18">
        <v>9560.6</v>
      </c>
      <c r="J216" s="67">
        <v>0</v>
      </c>
      <c r="K216" s="66">
        <v>0</v>
      </c>
      <c r="L216" s="18">
        <v>9703.2800000000007</v>
      </c>
      <c r="M216" s="67">
        <v>0</v>
      </c>
      <c r="N216" s="66">
        <v>0</v>
      </c>
      <c r="O216" s="18">
        <v>6391.87</v>
      </c>
      <c r="P216" s="67">
        <v>0</v>
      </c>
      <c r="Q216" s="66">
        <v>0</v>
      </c>
      <c r="R216" s="18">
        <v>12640.94</v>
      </c>
      <c r="S216" s="67">
        <v>0</v>
      </c>
      <c r="T216" s="66">
        <v>0</v>
      </c>
      <c r="U216" s="18">
        <v>36633.5</v>
      </c>
      <c r="V216" s="67">
        <v>0</v>
      </c>
      <c r="W216" s="66">
        <v>0</v>
      </c>
      <c r="X216" s="18">
        <v>40535.19</v>
      </c>
      <c r="Y216" s="67">
        <v>0</v>
      </c>
      <c r="Z216" s="66">
        <v>0</v>
      </c>
      <c r="AA216" s="18">
        <v>6599.13</v>
      </c>
      <c r="AB216" s="67">
        <v>0</v>
      </c>
      <c r="AC216" s="66">
        <v>0</v>
      </c>
      <c r="AD216" s="18">
        <v>10174.450000000001</v>
      </c>
      <c r="AE216" s="67">
        <v>0</v>
      </c>
      <c r="AF216" s="66">
        <v>0</v>
      </c>
      <c r="AG216" s="18">
        <v>17836.169999999998</v>
      </c>
      <c r="AH216" s="67">
        <v>0</v>
      </c>
      <c r="AI216" s="66">
        <v>0</v>
      </c>
      <c r="AJ216" s="18">
        <v>3690.1</v>
      </c>
      <c r="AK216" s="67">
        <v>0</v>
      </c>
      <c r="AL216" s="66">
        <v>0</v>
      </c>
      <c r="AM216" s="18">
        <v>8150.16</v>
      </c>
      <c r="AN216" s="67">
        <v>0</v>
      </c>
      <c r="AO216" s="66">
        <v>0</v>
      </c>
      <c r="AP216" s="18">
        <v>16403.7</v>
      </c>
      <c r="AQ216" s="67">
        <v>0</v>
      </c>
      <c r="AR216" s="66">
        <v>0</v>
      </c>
      <c r="AS216" s="18">
        <v>33818.78</v>
      </c>
      <c r="AT216" s="67">
        <v>0</v>
      </c>
      <c r="AU216" s="66">
        <v>0</v>
      </c>
      <c r="AV216" s="18">
        <v>27409.46</v>
      </c>
      <c r="AW216" s="67">
        <v>0</v>
      </c>
      <c r="AX216" s="66">
        <v>0</v>
      </c>
      <c r="AY216" s="18">
        <v>927.43999999999903</v>
      </c>
      <c r="AZ216" s="67"/>
      <c r="BA216" s="66"/>
      <c r="BB216" s="18"/>
      <c r="BC216" s="67"/>
      <c r="BD216" s="66"/>
      <c r="BE216" s="18"/>
      <c r="BF216" s="67"/>
      <c r="BG216" s="66"/>
      <c r="BH216" s="18"/>
    </row>
    <row r="217" spans="3:60" ht="20.25" x14ac:dyDescent="0.3">
      <c r="C217" s="8" t="s">
        <v>34</v>
      </c>
      <c r="D217" s="8"/>
      <c r="E217" s="7"/>
      <c r="F217" s="68">
        <f t="shared" si="14"/>
        <v>-2935.1399999999899</v>
      </c>
      <c r="G217" s="8">
        <v>0</v>
      </c>
      <c r="H217" s="7">
        <v>0</v>
      </c>
      <c r="I217" s="68">
        <v>0</v>
      </c>
      <c r="J217" s="8">
        <v>0</v>
      </c>
      <c r="K217" s="7">
        <v>0</v>
      </c>
      <c r="L217" s="68">
        <v>0</v>
      </c>
      <c r="M217" s="8">
        <v>0</v>
      </c>
      <c r="N217" s="7">
        <v>0</v>
      </c>
      <c r="O217" s="68">
        <v>0</v>
      </c>
      <c r="P217" s="8">
        <v>0</v>
      </c>
      <c r="Q217" s="7">
        <v>0</v>
      </c>
      <c r="R217" s="68">
        <v>0</v>
      </c>
      <c r="S217" s="8">
        <v>0</v>
      </c>
      <c r="T217" s="7">
        <v>0</v>
      </c>
      <c r="U217" s="68">
        <v>0</v>
      </c>
      <c r="V217" s="8">
        <v>0</v>
      </c>
      <c r="W217" s="7">
        <v>0</v>
      </c>
      <c r="X217" s="68">
        <v>-2935.1399999999899</v>
      </c>
      <c r="Y217" s="8">
        <v>0</v>
      </c>
      <c r="Z217" s="7">
        <v>0</v>
      </c>
      <c r="AA217" s="68">
        <v>0</v>
      </c>
      <c r="AB217" s="8">
        <v>0</v>
      </c>
      <c r="AC217" s="7">
        <v>0</v>
      </c>
      <c r="AD217" s="68">
        <v>0</v>
      </c>
      <c r="AE217" s="8">
        <v>0</v>
      </c>
      <c r="AF217" s="7">
        <v>0</v>
      </c>
      <c r="AG217" s="68">
        <v>0</v>
      </c>
      <c r="AH217" s="8">
        <v>0</v>
      </c>
      <c r="AI217" s="7">
        <v>0</v>
      </c>
      <c r="AJ217" s="68">
        <v>0</v>
      </c>
      <c r="AK217" s="8">
        <v>0</v>
      </c>
      <c r="AL217" s="7">
        <v>0</v>
      </c>
      <c r="AM217" s="68">
        <v>0</v>
      </c>
      <c r="AN217" s="8">
        <v>0</v>
      </c>
      <c r="AO217" s="7">
        <v>0</v>
      </c>
      <c r="AP217" s="68">
        <v>0</v>
      </c>
      <c r="AQ217" s="8">
        <v>0</v>
      </c>
      <c r="AR217" s="7">
        <v>0</v>
      </c>
      <c r="AS217" s="68">
        <v>0</v>
      </c>
      <c r="AT217" s="8">
        <v>0</v>
      </c>
      <c r="AU217" s="7">
        <v>0</v>
      </c>
      <c r="AV217" s="68">
        <v>0</v>
      </c>
      <c r="AW217" s="8">
        <v>0</v>
      </c>
      <c r="AX217" s="7">
        <v>0</v>
      </c>
      <c r="AY217" s="68">
        <v>0</v>
      </c>
      <c r="AZ217" s="8"/>
      <c r="BA217" s="7"/>
      <c r="BB217" s="68"/>
      <c r="BC217" s="8"/>
      <c r="BD217" s="7"/>
      <c r="BE217" s="68"/>
      <c r="BF217" s="8"/>
      <c r="BG217" s="7"/>
      <c r="BH217" s="68"/>
    </row>
    <row r="218" spans="3:60" ht="20.25" x14ac:dyDescent="0.3">
      <c r="C218" s="8" t="s">
        <v>11</v>
      </c>
      <c r="D218" s="8"/>
      <c r="E218" s="7"/>
      <c r="F218" s="18">
        <f t="shared" si="14"/>
        <v>140455.14999999991</v>
      </c>
      <c r="G218" s="8">
        <v>0</v>
      </c>
      <c r="H218" s="7">
        <v>0</v>
      </c>
      <c r="I218" s="18">
        <v>11416.38</v>
      </c>
      <c r="J218" s="8">
        <v>0</v>
      </c>
      <c r="K218" s="7">
        <v>0</v>
      </c>
      <c r="L218" s="18">
        <v>5657.37</v>
      </c>
      <c r="M218" s="8">
        <v>0</v>
      </c>
      <c r="N218" s="7">
        <v>0</v>
      </c>
      <c r="O218" s="18">
        <v>3875.79</v>
      </c>
      <c r="P218" s="8">
        <v>0</v>
      </c>
      <c r="Q218" s="7">
        <v>0</v>
      </c>
      <c r="R218" s="18">
        <v>16820.169999999998</v>
      </c>
      <c r="S218" s="8">
        <v>0</v>
      </c>
      <c r="T218" s="7">
        <v>0</v>
      </c>
      <c r="U218" s="18">
        <v>20925.789999999899</v>
      </c>
      <c r="V218" s="8">
        <v>0</v>
      </c>
      <c r="W218" s="7">
        <v>0</v>
      </c>
      <c r="X218" s="18">
        <v>26493.4</v>
      </c>
      <c r="Y218" s="8">
        <v>0</v>
      </c>
      <c r="Z218" s="7">
        <v>0</v>
      </c>
      <c r="AA218" s="18">
        <v>4525.1899999999996</v>
      </c>
      <c r="AB218" s="8">
        <v>0</v>
      </c>
      <c r="AC218" s="7">
        <v>0</v>
      </c>
      <c r="AD218" s="18">
        <v>1850.35</v>
      </c>
      <c r="AE218" s="8">
        <v>0</v>
      </c>
      <c r="AF218" s="7">
        <v>0</v>
      </c>
      <c r="AG218" s="18">
        <v>11764.39</v>
      </c>
      <c r="AH218" s="8">
        <v>0</v>
      </c>
      <c r="AI218" s="7">
        <v>0</v>
      </c>
      <c r="AJ218" s="18">
        <v>11044.71</v>
      </c>
      <c r="AK218" s="8">
        <v>0</v>
      </c>
      <c r="AL218" s="7">
        <v>0</v>
      </c>
      <c r="AM218" s="18">
        <v>6834.2</v>
      </c>
      <c r="AN218" s="8">
        <v>0</v>
      </c>
      <c r="AO218" s="7">
        <v>0</v>
      </c>
      <c r="AP218" s="18">
        <v>5510.04</v>
      </c>
      <c r="AQ218" s="8">
        <v>0</v>
      </c>
      <c r="AR218" s="7">
        <v>0</v>
      </c>
      <c r="AS218" s="18">
        <v>-774.35</v>
      </c>
      <c r="AT218" s="8">
        <v>0</v>
      </c>
      <c r="AU218" s="7">
        <v>0</v>
      </c>
      <c r="AV218" s="18">
        <v>10563.21</v>
      </c>
      <c r="AW218" s="8">
        <v>0</v>
      </c>
      <c r="AX218" s="7">
        <v>0</v>
      </c>
      <c r="AY218" s="18">
        <v>3948.51</v>
      </c>
      <c r="AZ218" s="8"/>
      <c r="BA218" s="7"/>
      <c r="BB218" s="18"/>
      <c r="BC218" s="8"/>
      <c r="BD218" s="7"/>
      <c r="BE218" s="18"/>
      <c r="BF218" s="8"/>
      <c r="BG218" s="7"/>
      <c r="BH218" s="18"/>
    </row>
    <row r="219" spans="3:60" ht="20.25" x14ac:dyDescent="0.3">
      <c r="C219" s="8" t="s">
        <v>10</v>
      </c>
      <c r="D219" s="8"/>
      <c r="E219" s="7"/>
      <c r="F219" s="18">
        <f t="shared" si="14"/>
        <v>52626.95</v>
      </c>
      <c r="G219" s="8">
        <v>0</v>
      </c>
      <c r="H219" s="7">
        <v>0</v>
      </c>
      <c r="I219" s="18">
        <v>6380.77</v>
      </c>
      <c r="J219" s="8">
        <v>0</v>
      </c>
      <c r="K219" s="7">
        <v>0</v>
      </c>
      <c r="L219" s="18">
        <v>4897.7700000000004</v>
      </c>
      <c r="M219" s="8">
        <v>0</v>
      </c>
      <c r="N219" s="7">
        <v>0</v>
      </c>
      <c r="O219" s="18">
        <v>3091.83</v>
      </c>
      <c r="P219" s="8">
        <v>0</v>
      </c>
      <c r="Q219" s="7">
        <v>0</v>
      </c>
      <c r="R219" s="18">
        <v>5126.2</v>
      </c>
      <c r="S219" s="8">
        <v>0</v>
      </c>
      <c r="T219" s="7">
        <v>0</v>
      </c>
      <c r="U219" s="18">
        <v>5988.75</v>
      </c>
      <c r="V219" s="8">
        <v>0</v>
      </c>
      <c r="W219" s="7">
        <v>0</v>
      </c>
      <c r="X219" s="18">
        <v>7164.29</v>
      </c>
      <c r="Y219" s="8">
        <v>0</v>
      </c>
      <c r="Z219" s="7">
        <v>0</v>
      </c>
      <c r="AA219" s="18">
        <v>1403.72</v>
      </c>
      <c r="AB219" s="8">
        <v>0</v>
      </c>
      <c r="AC219" s="7">
        <v>0</v>
      </c>
      <c r="AD219" s="18">
        <v>4662.29</v>
      </c>
      <c r="AE219" s="8">
        <v>0</v>
      </c>
      <c r="AF219" s="7">
        <v>0</v>
      </c>
      <c r="AG219" s="18">
        <v>6440.18</v>
      </c>
      <c r="AH219" s="8">
        <v>0</v>
      </c>
      <c r="AI219" s="7">
        <v>0</v>
      </c>
      <c r="AJ219" s="18">
        <v>1545.07</v>
      </c>
      <c r="AK219" s="8">
        <v>0</v>
      </c>
      <c r="AL219" s="7">
        <v>0</v>
      </c>
      <c r="AM219" s="18">
        <v>1059.51</v>
      </c>
      <c r="AN219" s="8">
        <v>0</v>
      </c>
      <c r="AO219" s="7">
        <v>0</v>
      </c>
      <c r="AP219" s="18">
        <v>2682.7</v>
      </c>
      <c r="AQ219" s="8">
        <v>0</v>
      </c>
      <c r="AR219" s="7">
        <v>0</v>
      </c>
      <c r="AS219" s="18">
        <v>999.81</v>
      </c>
      <c r="AT219" s="8">
        <v>0</v>
      </c>
      <c r="AU219" s="7">
        <v>0</v>
      </c>
      <c r="AV219" s="18">
        <v>1184.06</v>
      </c>
      <c r="AW219" s="8">
        <v>0</v>
      </c>
      <c r="AX219" s="7">
        <v>0</v>
      </c>
      <c r="AY219" s="18">
        <v>0</v>
      </c>
      <c r="AZ219" s="8"/>
      <c r="BA219" s="7"/>
      <c r="BB219" s="18"/>
      <c r="BC219" s="8"/>
      <c r="BD219" s="7"/>
      <c r="BE219" s="18"/>
      <c r="BF219" s="8"/>
      <c r="BG219" s="7"/>
      <c r="BH219" s="18"/>
    </row>
    <row r="220" spans="3:60" ht="20.25" x14ac:dyDescent="0.3">
      <c r="C220" s="8" t="s">
        <v>9</v>
      </c>
      <c r="D220" s="8"/>
      <c r="E220" s="7"/>
      <c r="F220" s="18">
        <f t="shared" si="14"/>
        <v>10544.09</v>
      </c>
      <c r="G220" s="8">
        <v>0</v>
      </c>
      <c r="H220" s="7">
        <v>0</v>
      </c>
      <c r="I220" s="18">
        <v>766.56</v>
      </c>
      <c r="J220" s="8">
        <v>0</v>
      </c>
      <c r="K220" s="7">
        <v>0</v>
      </c>
      <c r="L220" s="18">
        <v>1658.18</v>
      </c>
      <c r="M220" s="8">
        <v>0</v>
      </c>
      <c r="N220" s="7">
        <v>0</v>
      </c>
      <c r="O220" s="18">
        <v>812.54</v>
      </c>
      <c r="P220" s="8">
        <v>0</v>
      </c>
      <c r="Q220" s="7">
        <v>0</v>
      </c>
      <c r="R220" s="18">
        <v>2228.27</v>
      </c>
      <c r="S220" s="8">
        <v>0</v>
      </c>
      <c r="T220" s="7">
        <v>0</v>
      </c>
      <c r="U220" s="18">
        <v>1838.21</v>
      </c>
      <c r="V220" s="8">
        <v>0</v>
      </c>
      <c r="W220" s="7">
        <v>0</v>
      </c>
      <c r="X220" s="18">
        <v>-2328.4899999999998</v>
      </c>
      <c r="Y220" s="8">
        <v>0</v>
      </c>
      <c r="Z220" s="7">
        <v>0</v>
      </c>
      <c r="AA220" s="18">
        <v>803.05</v>
      </c>
      <c r="AB220" s="8">
        <v>0</v>
      </c>
      <c r="AC220" s="7">
        <v>0</v>
      </c>
      <c r="AD220" s="18">
        <v>1038.05</v>
      </c>
      <c r="AE220" s="8">
        <v>0</v>
      </c>
      <c r="AF220" s="7">
        <v>0</v>
      </c>
      <c r="AG220" s="18">
        <v>630.21</v>
      </c>
      <c r="AH220" s="8">
        <v>0</v>
      </c>
      <c r="AI220" s="7">
        <v>0</v>
      </c>
      <c r="AJ220" s="18">
        <v>263.44</v>
      </c>
      <c r="AK220" s="8">
        <v>0</v>
      </c>
      <c r="AL220" s="7">
        <v>0</v>
      </c>
      <c r="AM220" s="18">
        <v>556.58000000000004</v>
      </c>
      <c r="AN220" s="8">
        <v>0</v>
      </c>
      <c r="AO220" s="7">
        <v>0</v>
      </c>
      <c r="AP220" s="18">
        <v>560.91999999999996</v>
      </c>
      <c r="AQ220" s="8">
        <v>0</v>
      </c>
      <c r="AR220" s="7">
        <v>0</v>
      </c>
      <c r="AS220" s="18">
        <v>366.68</v>
      </c>
      <c r="AT220" s="8">
        <v>0</v>
      </c>
      <c r="AU220" s="7">
        <v>0</v>
      </c>
      <c r="AV220" s="18">
        <v>902.76</v>
      </c>
      <c r="AW220" s="8">
        <v>0</v>
      </c>
      <c r="AX220" s="7">
        <v>0</v>
      </c>
      <c r="AY220" s="18">
        <v>447.13</v>
      </c>
      <c r="AZ220" s="8"/>
      <c r="BA220" s="7"/>
      <c r="BB220" s="18"/>
      <c r="BC220" s="8"/>
      <c r="BD220" s="7"/>
      <c r="BE220" s="18"/>
      <c r="BF220" s="8"/>
      <c r="BG220" s="7"/>
      <c r="BH220" s="18"/>
    </row>
    <row r="221" spans="3:60" ht="20.25" x14ac:dyDescent="0.3">
      <c r="C221" s="8" t="s">
        <v>8</v>
      </c>
      <c r="D221" s="8"/>
      <c r="E221" s="7"/>
      <c r="F221" s="18">
        <f t="shared" si="14"/>
        <v>9258.369999999999</v>
      </c>
      <c r="G221" s="8">
        <v>0</v>
      </c>
      <c r="H221" s="7">
        <v>0</v>
      </c>
      <c r="I221" s="18">
        <v>771.62</v>
      </c>
      <c r="J221" s="8">
        <v>0</v>
      </c>
      <c r="K221" s="7">
        <v>0</v>
      </c>
      <c r="L221" s="18">
        <v>470.83</v>
      </c>
      <c r="M221" s="8">
        <v>0</v>
      </c>
      <c r="N221" s="7">
        <v>0</v>
      </c>
      <c r="O221" s="18">
        <v>502.87</v>
      </c>
      <c r="P221" s="8">
        <v>0</v>
      </c>
      <c r="Q221" s="7">
        <v>0</v>
      </c>
      <c r="R221" s="18">
        <v>1471.92</v>
      </c>
      <c r="S221" s="8">
        <v>0</v>
      </c>
      <c r="T221" s="7">
        <v>0</v>
      </c>
      <c r="U221" s="18">
        <v>2057.9699999999998</v>
      </c>
      <c r="V221" s="8">
        <v>0</v>
      </c>
      <c r="W221" s="7">
        <v>0</v>
      </c>
      <c r="X221" s="18">
        <v>677.12</v>
      </c>
      <c r="Y221" s="8">
        <v>0</v>
      </c>
      <c r="Z221" s="7">
        <v>0</v>
      </c>
      <c r="AA221" s="18">
        <v>138.13999999999999</v>
      </c>
      <c r="AB221" s="8">
        <v>0</v>
      </c>
      <c r="AC221" s="7">
        <v>0</v>
      </c>
      <c r="AD221" s="18">
        <v>435.33</v>
      </c>
      <c r="AE221" s="8">
        <v>0</v>
      </c>
      <c r="AF221" s="7">
        <v>0</v>
      </c>
      <c r="AG221" s="18">
        <v>124.66</v>
      </c>
      <c r="AH221" s="8">
        <v>0</v>
      </c>
      <c r="AI221" s="7">
        <v>0</v>
      </c>
      <c r="AJ221" s="18">
        <v>215.22</v>
      </c>
      <c r="AK221" s="8">
        <v>0</v>
      </c>
      <c r="AL221" s="7">
        <v>0</v>
      </c>
      <c r="AM221" s="18">
        <v>64.61</v>
      </c>
      <c r="AN221" s="8">
        <v>0</v>
      </c>
      <c r="AO221" s="7">
        <v>0</v>
      </c>
      <c r="AP221" s="18">
        <v>510.74</v>
      </c>
      <c r="AQ221" s="8">
        <v>0</v>
      </c>
      <c r="AR221" s="7">
        <v>0</v>
      </c>
      <c r="AS221" s="18">
        <v>1065.6099999999999</v>
      </c>
      <c r="AT221" s="8">
        <v>0</v>
      </c>
      <c r="AU221" s="7">
        <v>0</v>
      </c>
      <c r="AV221" s="18">
        <v>490.41</v>
      </c>
      <c r="AW221" s="8">
        <v>0</v>
      </c>
      <c r="AX221" s="7">
        <v>0</v>
      </c>
      <c r="AY221" s="18">
        <v>261.32</v>
      </c>
      <c r="AZ221" s="8"/>
      <c r="BA221" s="7"/>
      <c r="BB221" s="18"/>
      <c r="BC221" s="8"/>
      <c r="BD221" s="7"/>
      <c r="BE221" s="18"/>
      <c r="BF221" s="8"/>
      <c r="BG221" s="7"/>
      <c r="BH221" s="18"/>
    </row>
    <row r="222" spans="3:60" ht="20.25" x14ac:dyDescent="0.3">
      <c r="C222" s="8" t="s">
        <v>7</v>
      </c>
      <c r="D222" s="8"/>
      <c r="E222" s="7"/>
      <c r="F222" s="18">
        <f t="shared" si="14"/>
        <v>4505.09</v>
      </c>
      <c r="G222" s="8">
        <v>0</v>
      </c>
      <c r="H222" s="7">
        <v>0</v>
      </c>
      <c r="I222" s="18">
        <v>672.96</v>
      </c>
      <c r="J222" s="8">
        <v>0</v>
      </c>
      <c r="K222" s="7">
        <v>0</v>
      </c>
      <c r="L222" s="18">
        <v>817.94</v>
      </c>
      <c r="M222" s="8">
        <v>0</v>
      </c>
      <c r="N222" s="7">
        <v>0</v>
      </c>
      <c r="O222" s="18">
        <v>541.09</v>
      </c>
      <c r="P222" s="8">
        <v>0</v>
      </c>
      <c r="Q222" s="7">
        <v>0</v>
      </c>
      <c r="R222" s="18">
        <v>195.64</v>
      </c>
      <c r="S222" s="8">
        <v>0</v>
      </c>
      <c r="T222" s="7">
        <v>0</v>
      </c>
      <c r="U222" s="18">
        <v>86.4</v>
      </c>
      <c r="V222" s="8">
        <v>0</v>
      </c>
      <c r="W222" s="7">
        <v>0</v>
      </c>
      <c r="X222" s="18">
        <v>-2.6</v>
      </c>
      <c r="Y222" s="8">
        <v>0</v>
      </c>
      <c r="Z222" s="7">
        <v>0</v>
      </c>
      <c r="AA222" s="18">
        <v>247.55</v>
      </c>
      <c r="AB222" s="8">
        <v>0</v>
      </c>
      <c r="AC222" s="7">
        <v>0</v>
      </c>
      <c r="AD222" s="18">
        <v>280.44</v>
      </c>
      <c r="AE222" s="8">
        <v>0</v>
      </c>
      <c r="AF222" s="7">
        <v>0</v>
      </c>
      <c r="AG222" s="18">
        <v>567.29</v>
      </c>
      <c r="AH222" s="8">
        <v>0</v>
      </c>
      <c r="AI222" s="7">
        <v>0</v>
      </c>
      <c r="AJ222" s="18">
        <v>16.5</v>
      </c>
      <c r="AK222" s="8">
        <v>0</v>
      </c>
      <c r="AL222" s="7">
        <v>0</v>
      </c>
      <c r="AM222" s="18">
        <v>124.47</v>
      </c>
      <c r="AN222" s="8">
        <v>0</v>
      </c>
      <c r="AO222" s="7">
        <v>0</v>
      </c>
      <c r="AP222" s="18">
        <v>8.32</v>
      </c>
      <c r="AQ222" s="8">
        <v>0</v>
      </c>
      <c r="AR222" s="7">
        <v>0</v>
      </c>
      <c r="AS222" s="18">
        <v>68.84</v>
      </c>
      <c r="AT222" s="8">
        <v>0</v>
      </c>
      <c r="AU222" s="7">
        <v>0</v>
      </c>
      <c r="AV222" s="18">
        <v>880.25</v>
      </c>
      <c r="AW222" s="8">
        <v>0</v>
      </c>
      <c r="AX222" s="7">
        <v>0</v>
      </c>
      <c r="AY222" s="18">
        <v>0</v>
      </c>
      <c r="AZ222" s="8"/>
      <c r="BA222" s="7"/>
      <c r="BB222" s="18"/>
      <c r="BC222" s="8"/>
      <c r="BD222" s="7"/>
      <c r="BE222" s="18"/>
      <c r="BF222" s="8"/>
      <c r="BG222" s="7"/>
      <c r="BH222" s="18"/>
    </row>
    <row r="223" spans="3:60" ht="20.25" x14ac:dyDescent="0.3">
      <c r="C223" s="8" t="s">
        <v>6</v>
      </c>
      <c r="D223" s="8"/>
      <c r="E223" s="7"/>
      <c r="F223" s="18">
        <f t="shared" si="14"/>
        <v>20698.770000000004</v>
      </c>
      <c r="G223" s="8">
        <v>0</v>
      </c>
      <c r="H223" s="7">
        <v>0</v>
      </c>
      <c r="I223" s="18">
        <v>3694.04</v>
      </c>
      <c r="J223" s="8">
        <v>0</v>
      </c>
      <c r="K223" s="7">
        <v>0</v>
      </c>
      <c r="L223" s="18">
        <v>2422.61</v>
      </c>
      <c r="M223" s="8">
        <v>0</v>
      </c>
      <c r="N223" s="7">
        <v>0</v>
      </c>
      <c r="O223" s="18">
        <v>758</v>
      </c>
      <c r="P223" s="8">
        <v>0</v>
      </c>
      <c r="Q223" s="7">
        <v>0</v>
      </c>
      <c r="R223" s="18">
        <v>1925.08</v>
      </c>
      <c r="S223" s="8">
        <v>0</v>
      </c>
      <c r="T223" s="7">
        <v>0</v>
      </c>
      <c r="U223" s="18">
        <v>2.23</v>
      </c>
      <c r="V223" s="8">
        <v>0</v>
      </c>
      <c r="W223" s="7">
        <v>0</v>
      </c>
      <c r="X223" s="18">
        <v>138.22999999999999</v>
      </c>
      <c r="Y223" s="8">
        <v>0</v>
      </c>
      <c r="Z223" s="7">
        <v>0</v>
      </c>
      <c r="AA223" s="18">
        <v>1138.54</v>
      </c>
      <c r="AB223" s="8">
        <v>0</v>
      </c>
      <c r="AC223" s="7">
        <v>0</v>
      </c>
      <c r="AD223" s="18">
        <v>1802.64</v>
      </c>
      <c r="AE223" s="8">
        <v>0</v>
      </c>
      <c r="AF223" s="7">
        <v>0</v>
      </c>
      <c r="AG223" s="18">
        <v>1027.18</v>
      </c>
      <c r="AH223" s="8">
        <v>0</v>
      </c>
      <c r="AI223" s="7">
        <v>0</v>
      </c>
      <c r="AJ223" s="18">
        <v>1437.78</v>
      </c>
      <c r="AK223" s="8">
        <v>0</v>
      </c>
      <c r="AL223" s="7">
        <v>0</v>
      </c>
      <c r="AM223" s="18">
        <v>846.12</v>
      </c>
      <c r="AN223" s="8">
        <v>0</v>
      </c>
      <c r="AO223" s="7">
        <v>0</v>
      </c>
      <c r="AP223" s="18">
        <v>3550.97</v>
      </c>
      <c r="AQ223" s="8">
        <v>0</v>
      </c>
      <c r="AR223" s="7">
        <v>0</v>
      </c>
      <c r="AS223" s="18">
        <v>1731.66</v>
      </c>
      <c r="AT223" s="8">
        <v>0</v>
      </c>
      <c r="AU223" s="7">
        <v>0</v>
      </c>
      <c r="AV223" s="18">
        <v>120.47</v>
      </c>
      <c r="AW223" s="8">
        <v>0</v>
      </c>
      <c r="AX223" s="7">
        <v>0</v>
      </c>
      <c r="AY223" s="18">
        <v>103.22</v>
      </c>
      <c r="AZ223" s="8"/>
      <c r="BA223" s="7"/>
      <c r="BB223" s="18"/>
      <c r="BC223" s="8"/>
      <c r="BD223" s="7"/>
      <c r="BE223" s="18"/>
      <c r="BF223" s="8"/>
      <c r="BG223" s="7"/>
      <c r="BH223" s="18"/>
    </row>
    <row r="224" spans="3:60" ht="20.25" x14ac:dyDescent="0.3">
      <c r="C224" s="8" t="s">
        <v>5</v>
      </c>
      <c r="D224" s="8"/>
      <c r="E224" s="7"/>
      <c r="F224" s="18">
        <f t="shared" si="14"/>
        <v>83822.039999999994</v>
      </c>
      <c r="G224" s="8">
        <v>0</v>
      </c>
      <c r="H224" s="7">
        <v>0</v>
      </c>
      <c r="I224" s="18">
        <v>12158.21</v>
      </c>
      <c r="J224" s="8">
        <v>0</v>
      </c>
      <c r="K224" s="7">
        <v>0</v>
      </c>
      <c r="L224" s="18">
        <v>2166.6799999999998</v>
      </c>
      <c r="M224" s="8">
        <v>0</v>
      </c>
      <c r="N224" s="7">
        <v>0</v>
      </c>
      <c r="O224" s="18">
        <v>5454.25</v>
      </c>
      <c r="P224" s="8">
        <v>0</v>
      </c>
      <c r="Q224" s="7">
        <v>0</v>
      </c>
      <c r="R224" s="18">
        <v>19998.150000000001</v>
      </c>
      <c r="S224" s="8">
        <v>0</v>
      </c>
      <c r="T224" s="7">
        <v>0</v>
      </c>
      <c r="U224" s="18">
        <v>10700.69</v>
      </c>
      <c r="V224" s="8">
        <v>0</v>
      </c>
      <c r="W224" s="7">
        <v>0</v>
      </c>
      <c r="X224" s="18">
        <v>1416.2</v>
      </c>
      <c r="Y224" s="8">
        <v>0</v>
      </c>
      <c r="Z224" s="7">
        <v>0</v>
      </c>
      <c r="AA224" s="18">
        <v>1413.56</v>
      </c>
      <c r="AB224" s="8">
        <v>0</v>
      </c>
      <c r="AC224" s="7">
        <v>0</v>
      </c>
      <c r="AD224" s="18">
        <v>210.54</v>
      </c>
      <c r="AE224" s="8">
        <v>0</v>
      </c>
      <c r="AF224" s="7">
        <v>0</v>
      </c>
      <c r="AG224" s="18">
        <v>11289.76</v>
      </c>
      <c r="AH224" s="8">
        <v>0</v>
      </c>
      <c r="AI224" s="7">
        <v>0</v>
      </c>
      <c r="AJ224" s="18">
        <v>6249.21</v>
      </c>
      <c r="AK224" s="8">
        <v>0</v>
      </c>
      <c r="AL224" s="7">
        <v>0</v>
      </c>
      <c r="AM224" s="18">
        <v>2593.98</v>
      </c>
      <c r="AN224" s="8">
        <v>0</v>
      </c>
      <c r="AO224" s="7">
        <v>0</v>
      </c>
      <c r="AP224" s="18">
        <v>4385.2299999999996</v>
      </c>
      <c r="AQ224" s="8">
        <v>0</v>
      </c>
      <c r="AR224" s="7">
        <v>0</v>
      </c>
      <c r="AS224" s="18">
        <v>3708.36</v>
      </c>
      <c r="AT224" s="8">
        <v>0</v>
      </c>
      <c r="AU224" s="7">
        <v>0</v>
      </c>
      <c r="AV224" s="18">
        <v>1314.73</v>
      </c>
      <c r="AW224" s="8">
        <v>0</v>
      </c>
      <c r="AX224" s="7">
        <v>0</v>
      </c>
      <c r="AY224" s="18">
        <v>762.49</v>
      </c>
      <c r="AZ224" s="8"/>
      <c r="BA224" s="7"/>
      <c r="BB224" s="18"/>
      <c r="BC224" s="8"/>
      <c r="BD224" s="7"/>
      <c r="BE224" s="18"/>
      <c r="BF224" s="8"/>
      <c r="BG224" s="7"/>
      <c r="BH224" s="18"/>
    </row>
    <row r="225" spans="3:60" ht="20.25" x14ac:dyDescent="0.3">
      <c r="C225" s="8" t="s">
        <v>4</v>
      </c>
      <c r="D225" s="8"/>
      <c r="E225" s="7"/>
      <c r="F225" s="18">
        <f t="shared" si="14"/>
        <v>56319.968800000002</v>
      </c>
      <c r="G225" s="8">
        <v>0</v>
      </c>
      <c r="H225" s="7">
        <v>0</v>
      </c>
      <c r="I225" s="18">
        <v>4090.47</v>
      </c>
      <c r="J225" s="8">
        <v>0</v>
      </c>
      <c r="K225" s="7">
        <v>0</v>
      </c>
      <c r="L225" s="18">
        <v>2709.22</v>
      </c>
      <c r="M225" s="8">
        <v>0</v>
      </c>
      <c r="N225" s="7">
        <v>0</v>
      </c>
      <c r="O225" s="18">
        <v>1944.97</v>
      </c>
      <c r="P225" s="8">
        <v>0</v>
      </c>
      <c r="Q225" s="7">
        <v>0</v>
      </c>
      <c r="R225" s="18">
        <v>6693.35</v>
      </c>
      <c r="S225" s="8">
        <v>0</v>
      </c>
      <c r="T225" s="7">
        <v>0</v>
      </c>
      <c r="U225" s="18">
        <v>17467.23</v>
      </c>
      <c r="V225" s="8">
        <v>0</v>
      </c>
      <c r="W225" s="7">
        <v>0</v>
      </c>
      <c r="X225" s="18">
        <v>5761.44</v>
      </c>
      <c r="Y225" s="8">
        <v>0</v>
      </c>
      <c r="Z225" s="7">
        <v>0</v>
      </c>
      <c r="AA225" s="18">
        <v>4069.98</v>
      </c>
      <c r="AB225" s="8">
        <v>0</v>
      </c>
      <c r="AC225" s="7">
        <v>0</v>
      </c>
      <c r="AD225" s="18">
        <v>2311.14</v>
      </c>
      <c r="AE225" s="8">
        <v>0</v>
      </c>
      <c r="AF225" s="7">
        <v>0</v>
      </c>
      <c r="AG225" s="18">
        <v>2719.66</v>
      </c>
      <c r="AH225" s="8">
        <v>0</v>
      </c>
      <c r="AI225" s="7">
        <v>0</v>
      </c>
      <c r="AJ225" s="18">
        <v>928.5</v>
      </c>
      <c r="AK225" s="8">
        <v>0</v>
      </c>
      <c r="AL225" s="7">
        <v>0</v>
      </c>
      <c r="AM225" s="18">
        <v>674.36879999999996</v>
      </c>
      <c r="AN225" s="8">
        <v>0</v>
      </c>
      <c r="AO225" s="7">
        <v>0</v>
      </c>
      <c r="AP225" s="18">
        <v>1366.78</v>
      </c>
      <c r="AQ225" s="8">
        <v>0</v>
      </c>
      <c r="AR225" s="7">
        <v>0</v>
      </c>
      <c r="AS225" s="18">
        <v>1797.24</v>
      </c>
      <c r="AT225" s="8">
        <v>0</v>
      </c>
      <c r="AU225" s="7">
        <v>0</v>
      </c>
      <c r="AV225" s="18">
        <v>2484.09</v>
      </c>
      <c r="AW225" s="8">
        <v>0</v>
      </c>
      <c r="AX225" s="7">
        <v>0</v>
      </c>
      <c r="AY225" s="18">
        <v>1301.53</v>
      </c>
      <c r="AZ225" s="8"/>
      <c r="BA225" s="7"/>
      <c r="BB225" s="18"/>
      <c r="BC225" s="8"/>
      <c r="BD225" s="7"/>
      <c r="BE225" s="18"/>
      <c r="BF225" s="8"/>
      <c r="BG225" s="7"/>
      <c r="BH225" s="18"/>
    </row>
    <row r="226" spans="3:60" ht="20.25" hidden="1" x14ac:dyDescent="0.3">
      <c r="C226" s="8" t="s">
        <v>3</v>
      </c>
      <c r="D226" s="8"/>
      <c r="E226" s="7"/>
      <c r="F226" s="18">
        <f t="shared" si="14"/>
        <v>0</v>
      </c>
      <c r="G226" s="8">
        <v>0</v>
      </c>
      <c r="H226" s="7">
        <v>0</v>
      </c>
      <c r="I226" s="18">
        <v>0</v>
      </c>
      <c r="J226" s="8">
        <v>0</v>
      </c>
      <c r="K226" s="7">
        <v>0</v>
      </c>
      <c r="L226" s="18">
        <v>0</v>
      </c>
      <c r="M226" s="8">
        <v>0</v>
      </c>
      <c r="N226" s="7">
        <v>0</v>
      </c>
      <c r="O226" s="18">
        <v>0</v>
      </c>
      <c r="P226" s="8">
        <v>0</v>
      </c>
      <c r="Q226" s="7">
        <v>0</v>
      </c>
      <c r="R226" s="18">
        <v>0</v>
      </c>
      <c r="S226" s="8">
        <v>0</v>
      </c>
      <c r="T226" s="7">
        <v>0</v>
      </c>
      <c r="U226" s="18">
        <v>0</v>
      </c>
      <c r="V226" s="8">
        <v>0</v>
      </c>
      <c r="W226" s="7">
        <v>0</v>
      </c>
      <c r="X226" s="18">
        <v>0</v>
      </c>
      <c r="Y226" s="8">
        <v>0</v>
      </c>
      <c r="Z226" s="7">
        <v>0</v>
      </c>
      <c r="AA226" s="18">
        <v>0</v>
      </c>
      <c r="AB226" s="8">
        <v>0</v>
      </c>
      <c r="AC226" s="7">
        <v>0</v>
      </c>
      <c r="AD226" s="18">
        <v>0</v>
      </c>
      <c r="AE226" s="8">
        <v>0</v>
      </c>
      <c r="AF226" s="7">
        <v>0</v>
      </c>
      <c r="AG226" s="18">
        <v>0</v>
      </c>
      <c r="AH226" s="8">
        <v>0</v>
      </c>
      <c r="AI226" s="7">
        <v>0</v>
      </c>
      <c r="AJ226" s="18">
        <v>0</v>
      </c>
      <c r="AK226" s="8">
        <v>0</v>
      </c>
      <c r="AL226" s="7">
        <v>0</v>
      </c>
      <c r="AM226" s="18">
        <v>0</v>
      </c>
      <c r="AN226" s="8">
        <v>0</v>
      </c>
      <c r="AO226" s="7">
        <v>0</v>
      </c>
      <c r="AP226" s="18">
        <v>0</v>
      </c>
      <c r="AQ226" s="8">
        <v>0</v>
      </c>
      <c r="AR226" s="7">
        <v>0</v>
      </c>
      <c r="AS226" s="18">
        <v>0</v>
      </c>
      <c r="AT226" s="8">
        <v>0</v>
      </c>
      <c r="AU226" s="7">
        <v>0</v>
      </c>
      <c r="AV226" s="18">
        <v>0</v>
      </c>
      <c r="AW226" s="8">
        <v>0</v>
      </c>
      <c r="AX226" s="7">
        <v>0</v>
      </c>
      <c r="AY226" s="18">
        <v>0</v>
      </c>
      <c r="AZ226" s="8"/>
      <c r="BA226" s="7"/>
      <c r="BB226" s="18"/>
      <c r="BC226" s="8"/>
      <c r="BD226" s="7"/>
      <c r="BE226" s="18"/>
      <c r="BF226" s="8"/>
      <c r="BG226" s="7"/>
      <c r="BH226" s="18"/>
    </row>
    <row r="227" spans="3:60" ht="20.25" hidden="1" x14ac:dyDescent="0.3">
      <c r="C227" s="8" t="s">
        <v>3</v>
      </c>
      <c r="D227" s="8"/>
      <c r="E227" s="7"/>
      <c r="F227" s="18">
        <f t="shared" si="14"/>
        <v>0</v>
      </c>
      <c r="G227" s="8">
        <v>0</v>
      </c>
      <c r="H227" s="7">
        <v>0</v>
      </c>
      <c r="I227" s="18">
        <v>0</v>
      </c>
      <c r="J227" s="8">
        <v>0</v>
      </c>
      <c r="K227" s="7">
        <v>0</v>
      </c>
      <c r="L227" s="18">
        <v>0</v>
      </c>
      <c r="M227" s="8">
        <v>0</v>
      </c>
      <c r="N227" s="7">
        <v>0</v>
      </c>
      <c r="O227" s="18">
        <v>0</v>
      </c>
      <c r="P227" s="8">
        <v>0</v>
      </c>
      <c r="Q227" s="7">
        <v>0</v>
      </c>
      <c r="R227" s="18">
        <v>0</v>
      </c>
      <c r="S227" s="8">
        <v>0</v>
      </c>
      <c r="T227" s="7">
        <v>0</v>
      </c>
      <c r="U227" s="18">
        <v>0</v>
      </c>
      <c r="V227" s="8">
        <v>0</v>
      </c>
      <c r="W227" s="7">
        <v>0</v>
      </c>
      <c r="X227" s="18">
        <v>0</v>
      </c>
      <c r="Y227" s="8">
        <v>0</v>
      </c>
      <c r="Z227" s="7">
        <v>0</v>
      </c>
      <c r="AA227" s="18">
        <v>0</v>
      </c>
      <c r="AB227" s="8">
        <v>0</v>
      </c>
      <c r="AC227" s="7">
        <v>0</v>
      </c>
      <c r="AD227" s="18">
        <v>0</v>
      </c>
      <c r="AE227" s="8">
        <v>0</v>
      </c>
      <c r="AF227" s="7">
        <v>0</v>
      </c>
      <c r="AG227" s="18">
        <v>0</v>
      </c>
      <c r="AH227" s="8">
        <v>0</v>
      </c>
      <c r="AI227" s="7">
        <v>0</v>
      </c>
      <c r="AJ227" s="18">
        <v>0</v>
      </c>
      <c r="AK227" s="8">
        <v>0</v>
      </c>
      <c r="AL227" s="7">
        <v>0</v>
      </c>
      <c r="AM227" s="18">
        <v>0</v>
      </c>
      <c r="AN227" s="8">
        <v>0</v>
      </c>
      <c r="AO227" s="7">
        <v>0</v>
      </c>
      <c r="AP227" s="18">
        <v>0</v>
      </c>
      <c r="AQ227" s="8">
        <v>0</v>
      </c>
      <c r="AR227" s="7">
        <v>0</v>
      </c>
      <c r="AS227" s="18">
        <v>0</v>
      </c>
      <c r="AT227" s="8">
        <v>0</v>
      </c>
      <c r="AU227" s="7">
        <v>0</v>
      </c>
      <c r="AV227" s="18">
        <v>0</v>
      </c>
      <c r="AW227" s="8">
        <v>0</v>
      </c>
      <c r="AX227" s="7">
        <v>0</v>
      </c>
      <c r="AY227" s="18">
        <v>0</v>
      </c>
      <c r="AZ227" s="8"/>
      <c r="BA227" s="7"/>
      <c r="BB227" s="18"/>
      <c r="BC227" s="8"/>
      <c r="BD227" s="7"/>
      <c r="BE227" s="18"/>
      <c r="BF227" s="8"/>
      <c r="BG227" s="7"/>
      <c r="BH227" s="18"/>
    </row>
    <row r="228" spans="3:60" ht="20.25" hidden="1" x14ac:dyDescent="0.3">
      <c r="C228" s="8" t="s">
        <v>3</v>
      </c>
      <c r="D228" s="8"/>
      <c r="E228" s="7"/>
      <c r="F228" s="18">
        <f t="shared" si="14"/>
        <v>0</v>
      </c>
      <c r="G228" s="8">
        <v>0</v>
      </c>
      <c r="H228" s="7">
        <v>0</v>
      </c>
      <c r="I228" s="18">
        <v>0</v>
      </c>
      <c r="J228" s="8">
        <v>0</v>
      </c>
      <c r="K228" s="7">
        <v>0</v>
      </c>
      <c r="L228" s="18">
        <v>0</v>
      </c>
      <c r="M228" s="8">
        <v>0</v>
      </c>
      <c r="N228" s="7">
        <v>0</v>
      </c>
      <c r="O228" s="18">
        <v>0</v>
      </c>
      <c r="P228" s="8">
        <v>0</v>
      </c>
      <c r="Q228" s="7">
        <v>0</v>
      </c>
      <c r="R228" s="18">
        <v>0</v>
      </c>
      <c r="S228" s="8">
        <v>0</v>
      </c>
      <c r="T228" s="7">
        <v>0</v>
      </c>
      <c r="U228" s="18">
        <v>0</v>
      </c>
      <c r="V228" s="8">
        <v>0</v>
      </c>
      <c r="W228" s="7">
        <v>0</v>
      </c>
      <c r="X228" s="18">
        <v>0</v>
      </c>
      <c r="Y228" s="8">
        <v>0</v>
      </c>
      <c r="Z228" s="7">
        <v>0</v>
      </c>
      <c r="AA228" s="18">
        <v>0</v>
      </c>
      <c r="AB228" s="8">
        <v>0</v>
      </c>
      <c r="AC228" s="7">
        <v>0</v>
      </c>
      <c r="AD228" s="18">
        <v>0</v>
      </c>
      <c r="AE228" s="8">
        <v>0</v>
      </c>
      <c r="AF228" s="7">
        <v>0</v>
      </c>
      <c r="AG228" s="18">
        <v>0</v>
      </c>
      <c r="AH228" s="8">
        <v>0</v>
      </c>
      <c r="AI228" s="7">
        <v>0</v>
      </c>
      <c r="AJ228" s="18">
        <v>0</v>
      </c>
      <c r="AK228" s="8">
        <v>0</v>
      </c>
      <c r="AL228" s="7">
        <v>0</v>
      </c>
      <c r="AM228" s="18">
        <v>0</v>
      </c>
      <c r="AN228" s="8">
        <v>0</v>
      </c>
      <c r="AO228" s="7">
        <v>0</v>
      </c>
      <c r="AP228" s="18">
        <v>0</v>
      </c>
      <c r="AQ228" s="8">
        <v>0</v>
      </c>
      <c r="AR228" s="7">
        <v>0</v>
      </c>
      <c r="AS228" s="18">
        <v>0</v>
      </c>
      <c r="AT228" s="8">
        <v>0</v>
      </c>
      <c r="AU228" s="7">
        <v>0</v>
      </c>
      <c r="AV228" s="18">
        <v>0</v>
      </c>
      <c r="AW228" s="8">
        <v>0</v>
      </c>
      <c r="AX228" s="7">
        <v>0</v>
      </c>
      <c r="AY228" s="18">
        <v>0</v>
      </c>
      <c r="AZ228" s="8"/>
      <c r="BA228" s="7"/>
      <c r="BB228" s="18"/>
      <c r="BC228" s="8"/>
      <c r="BD228" s="7"/>
      <c r="BE228" s="18"/>
      <c r="BF228" s="8"/>
      <c r="BG228" s="7"/>
      <c r="BH228" s="18"/>
    </row>
    <row r="229" spans="3:60" ht="20.25" x14ac:dyDescent="0.3">
      <c r="C229" s="11" t="s">
        <v>2</v>
      </c>
      <c r="D229" s="70"/>
      <c r="E229" s="13"/>
      <c r="F229" s="69">
        <f>SUM(F211:F225)</f>
        <v>1927828.2987999998</v>
      </c>
      <c r="G229" s="70" t="s">
        <v>58</v>
      </c>
      <c r="H229" s="13">
        <v>0.30218002905014402</v>
      </c>
      <c r="I229" s="69">
        <v>132475.9</v>
      </c>
      <c r="J229" s="70" t="s">
        <v>58</v>
      </c>
      <c r="K229" s="13">
        <v>0.27756508289918203</v>
      </c>
      <c r="L229" s="69">
        <v>97662.6899999999</v>
      </c>
      <c r="M229" s="70" t="s">
        <v>58</v>
      </c>
      <c r="N229" s="13">
        <v>0.43348988014357698</v>
      </c>
      <c r="O229" s="69">
        <v>63313.98</v>
      </c>
      <c r="P229" s="70" t="s">
        <v>58</v>
      </c>
      <c r="Q229" s="13">
        <v>0.495237881032774</v>
      </c>
      <c r="R229" s="69">
        <v>243087.92</v>
      </c>
      <c r="S229" s="70" t="s">
        <v>58</v>
      </c>
      <c r="T229" s="13">
        <v>0.299534973343691</v>
      </c>
      <c r="U229" s="69">
        <v>303003.15999999997</v>
      </c>
      <c r="V229" s="70" t="s">
        <v>58</v>
      </c>
      <c r="W229" s="13">
        <v>0.40663154836514298</v>
      </c>
      <c r="X229" s="69">
        <v>278579.24</v>
      </c>
      <c r="Y229" s="70" t="s">
        <v>58</v>
      </c>
      <c r="Z229" s="13">
        <v>0.49588664312782599</v>
      </c>
      <c r="AA229" s="69">
        <v>141360.64000000001</v>
      </c>
      <c r="AB229" s="70" t="s">
        <v>58</v>
      </c>
      <c r="AC229" s="13">
        <v>0.42049390028762001</v>
      </c>
      <c r="AD229" s="69">
        <v>75987.519999999902</v>
      </c>
      <c r="AE229" s="70" t="s">
        <v>58</v>
      </c>
      <c r="AF229" s="13">
        <v>0.46310930439631498</v>
      </c>
      <c r="AG229" s="69">
        <v>141385.26999999999</v>
      </c>
      <c r="AH229" s="70" t="s">
        <v>58</v>
      </c>
      <c r="AI229" s="13">
        <v>0.40207137493595402</v>
      </c>
      <c r="AJ229" s="69">
        <v>54107.729999999901</v>
      </c>
      <c r="AK229" s="70" t="s">
        <v>58</v>
      </c>
      <c r="AL229" s="13">
        <v>1.1854243890967</v>
      </c>
      <c r="AM229" s="69">
        <v>62100.068800000001</v>
      </c>
      <c r="AN229" s="70" t="s">
        <v>58</v>
      </c>
      <c r="AO229" s="13">
        <v>0.39067430639537098</v>
      </c>
      <c r="AP229" s="69">
        <v>90838.07</v>
      </c>
      <c r="AQ229" s="70" t="s">
        <v>58</v>
      </c>
      <c r="AR229" s="13">
        <v>0.40509199580181499</v>
      </c>
      <c r="AS229" s="69">
        <v>107631.249999999</v>
      </c>
      <c r="AT229" s="70" t="s">
        <v>58</v>
      </c>
      <c r="AU229" s="13">
        <v>0.28609519283442097</v>
      </c>
      <c r="AV229" s="69">
        <v>103737.209999999</v>
      </c>
      <c r="AW229" s="70" t="s">
        <v>58</v>
      </c>
      <c r="AX229" s="13">
        <v>0.38563439007862599</v>
      </c>
      <c r="AY229" s="69">
        <v>32557.6499999999</v>
      </c>
      <c r="AZ229" s="70"/>
      <c r="BA229" s="13"/>
      <c r="BB229" s="69"/>
      <c r="BC229" s="70"/>
      <c r="BD229" s="13"/>
      <c r="BE229" s="69"/>
      <c r="BF229" s="70"/>
      <c r="BG229" s="13"/>
      <c r="BH229" s="69"/>
    </row>
    <row r="230" spans="3:60" ht="20.25" x14ac:dyDescent="0.3">
      <c r="C230" s="67"/>
      <c r="D230" s="67"/>
      <c r="E230" s="66"/>
      <c r="F230" s="65"/>
      <c r="G230" s="67"/>
      <c r="H230" s="66"/>
      <c r="I230" s="65"/>
      <c r="J230" s="67"/>
      <c r="K230" s="66"/>
      <c r="L230" s="65"/>
      <c r="M230" s="67"/>
      <c r="N230" s="66"/>
      <c r="O230" s="65"/>
      <c r="P230" s="67"/>
      <c r="Q230" s="66"/>
      <c r="R230" s="65"/>
      <c r="S230" s="67"/>
      <c r="T230" s="66"/>
      <c r="U230" s="65"/>
      <c r="V230" s="67"/>
      <c r="W230" s="66"/>
      <c r="X230" s="65"/>
      <c r="Y230" s="67"/>
      <c r="Z230" s="66"/>
      <c r="AA230" s="65"/>
      <c r="AB230" s="67"/>
      <c r="AC230" s="66"/>
      <c r="AD230" s="65"/>
      <c r="AE230" s="67"/>
      <c r="AF230" s="66"/>
      <c r="AG230" s="65"/>
      <c r="AH230" s="67"/>
      <c r="AI230" s="66"/>
      <c r="AJ230" s="65"/>
      <c r="AK230" s="67"/>
      <c r="AL230" s="66"/>
      <c r="AM230" s="65"/>
      <c r="AN230" s="67"/>
      <c r="AO230" s="66"/>
      <c r="AP230" s="65"/>
      <c r="AQ230" s="67"/>
      <c r="AR230" s="66"/>
      <c r="AS230" s="65"/>
      <c r="AT230" s="67"/>
      <c r="AU230" s="66"/>
      <c r="AV230" s="65"/>
      <c r="AW230" s="67"/>
      <c r="AX230" s="66"/>
      <c r="AY230" s="65"/>
      <c r="AZ230" s="67"/>
      <c r="BA230" s="66"/>
      <c r="BB230" s="65"/>
      <c r="BC230" s="67"/>
      <c r="BD230" s="66"/>
      <c r="BE230" s="65"/>
      <c r="BF230" s="67"/>
      <c r="BG230" s="66"/>
      <c r="BH230" s="65"/>
    </row>
    <row r="231" spans="3:60" ht="20.25" x14ac:dyDescent="0.3">
      <c r="C231" s="11" t="s">
        <v>1</v>
      </c>
      <c r="D231" s="70"/>
      <c r="E231" s="13"/>
      <c r="F231" s="69">
        <f>F210+F229</f>
        <v>5932845.4287999999</v>
      </c>
      <c r="G231" s="70" t="s">
        <v>18</v>
      </c>
      <c r="H231" s="13">
        <v>1.13082286524347</v>
      </c>
      <c r="I231" s="69">
        <v>495753.4</v>
      </c>
      <c r="J231" s="70" t="s">
        <v>18</v>
      </c>
      <c r="K231" s="13">
        <v>0.84346652926161902</v>
      </c>
      <c r="L231" s="69">
        <v>296778</v>
      </c>
      <c r="M231" s="70" t="s">
        <v>18</v>
      </c>
      <c r="N231" s="13">
        <v>1.2909316139612299</v>
      </c>
      <c r="O231" s="69">
        <v>188548.85</v>
      </c>
      <c r="P231" s="70" t="s">
        <v>18</v>
      </c>
      <c r="Q231" s="13">
        <v>1.42317109707588</v>
      </c>
      <c r="R231" s="69">
        <v>698564.7</v>
      </c>
      <c r="S231" s="70" t="s">
        <v>18</v>
      </c>
      <c r="T231" s="13">
        <v>1.2037241654891899</v>
      </c>
      <c r="U231" s="69">
        <v>1217661.5699999901</v>
      </c>
      <c r="V231" s="70" t="s">
        <v>18</v>
      </c>
      <c r="W231" s="13">
        <v>0.94442654898754297</v>
      </c>
      <c r="X231" s="69">
        <v>647017.26</v>
      </c>
      <c r="Y231" s="70" t="s">
        <v>18</v>
      </c>
      <c r="Z231" s="13">
        <v>1.1802385436882701</v>
      </c>
      <c r="AA231" s="69">
        <v>336446.4</v>
      </c>
      <c r="AB231" s="70" t="s">
        <v>18</v>
      </c>
      <c r="AC231" s="13">
        <v>1.1487137745879901</v>
      </c>
      <c r="AD231" s="69">
        <v>207584.24999999901</v>
      </c>
      <c r="AE231" s="70" t="s">
        <v>18</v>
      </c>
      <c r="AF231" s="13">
        <v>1.2280434495502801</v>
      </c>
      <c r="AG231" s="69">
        <v>374916.36</v>
      </c>
      <c r="AH231" s="70" t="s">
        <v>18</v>
      </c>
      <c r="AI231" s="13">
        <v>1.4523855365641301</v>
      </c>
      <c r="AJ231" s="69">
        <v>195451.08</v>
      </c>
      <c r="AK231" s="70" t="s">
        <v>18</v>
      </c>
      <c r="AL231" s="13">
        <v>4.0094407933668199</v>
      </c>
      <c r="AM231" s="69">
        <v>210040.00880000001</v>
      </c>
      <c r="AN231" s="70" t="s">
        <v>18</v>
      </c>
      <c r="AO231" s="13">
        <v>1.2632153101133501</v>
      </c>
      <c r="AP231" s="69">
        <v>293717.90999999997</v>
      </c>
      <c r="AQ231" s="70" t="s">
        <v>18</v>
      </c>
      <c r="AR231" s="13">
        <v>1.2857029515932901</v>
      </c>
      <c r="AS231" s="69">
        <v>341605.89999999898</v>
      </c>
      <c r="AT231" s="70" t="s">
        <v>18</v>
      </c>
      <c r="AU231" s="13">
        <v>0.83077458233708201</v>
      </c>
      <c r="AV231" s="69">
        <v>301236.23</v>
      </c>
      <c r="AW231" s="70" t="s">
        <v>18</v>
      </c>
      <c r="AX231" s="13">
        <v>1.5104729917403601</v>
      </c>
      <c r="AY231" s="69">
        <v>127523.50999999901</v>
      </c>
      <c r="AZ231" s="70"/>
      <c r="BA231" s="13"/>
      <c r="BB231" s="69"/>
      <c r="BC231" s="70"/>
      <c r="BD231" s="13"/>
      <c r="BE231" s="69"/>
      <c r="BF231" s="70"/>
      <c r="BG231" s="13"/>
      <c r="BH231" s="69"/>
    </row>
    <row r="232" spans="3:60" ht="20.25" x14ac:dyDescent="0.3">
      <c r="C232" s="8"/>
      <c r="D232" s="8"/>
      <c r="E232" s="7"/>
      <c r="F232" s="63"/>
      <c r="G232" s="8"/>
      <c r="H232" s="7"/>
      <c r="I232" s="63"/>
      <c r="J232" s="8"/>
      <c r="K232" s="7"/>
      <c r="L232" s="63"/>
      <c r="M232" s="8"/>
      <c r="N232" s="7"/>
      <c r="O232" s="63"/>
      <c r="P232" s="8"/>
      <c r="Q232" s="7"/>
      <c r="R232" s="63"/>
      <c r="S232" s="8"/>
      <c r="T232" s="7"/>
      <c r="U232" s="63"/>
      <c r="V232" s="8"/>
      <c r="W232" s="7"/>
      <c r="X232" s="63"/>
      <c r="Y232" s="8"/>
      <c r="Z232" s="7"/>
      <c r="AA232" s="63"/>
      <c r="AB232" s="8"/>
      <c r="AC232" s="7"/>
      <c r="AD232" s="63"/>
      <c r="AE232" s="8"/>
      <c r="AF232" s="7"/>
      <c r="AG232" s="63"/>
      <c r="AH232" s="8"/>
      <c r="AI232" s="7"/>
      <c r="AJ232" s="63"/>
      <c r="AK232" s="8"/>
      <c r="AL232" s="7"/>
      <c r="AM232" s="63"/>
      <c r="AN232" s="8"/>
      <c r="AO232" s="7"/>
      <c r="AP232" s="63"/>
      <c r="AQ232" s="8"/>
      <c r="AR232" s="7"/>
      <c r="AS232" s="63"/>
      <c r="AT232" s="8"/>
      <c r="AU232" s="7"/>
      <c r="AV232" s="63"/>
      <c r="AW232" s="8"/>
      <c r="AX232" s="7"/>
      <c r="AY232" s="63"/>
      <c r="AZ232" s="8"/>
      <c r="BA232" s="7"/>
      <c r="BB232" s="63"/>
      <c r="BC232" s="8"/>
      <c r="BD232" s="7"/>
      <c r="BE232" s="63"/>
      <c r="BF232" s="8"/>
      <c r="BG232" s="7"/>
      <c r="BH232" s="63"/>
    </row>
    <row r="233" spans="3:60" ht="21" thickBot="1" x14ac:dyDescent="0.35">
      <c r="C233" s="38" t="s">
        <v>0</v>
      </c>
      <c r="D233" s="38"/>
      <c r="E233" s="37"/>
      <c r="F233" s="77">
        <f>F194-F231</f>
        <v>-905747.79880000465</v>
      </c>
      <c r="G233" s="38">
        <v>0</v>
      </c>
      <c r="H233" s="91">
        <v>0</v>
      </c>
      <c r="I233" s="77">
        <v>-57352.82</v>
      </c>
      <c r="J233" s="38">
        <v>0</v>
      </c>
      <c r="K233" s="91">
        <v>0</v>
      </c>
      <c r="L233" s="77">
        <v>55077.099999999897</v>
      </c>
      <c r="M233" s="38">
        <v>0</v>
      </c>
      <c r="N233" s="91">
        <v>0</v>
      </c>
      <c r="O233" s="77">
        <v>-42492.429999999898</v>
      </c>
      <c r="P233" s="38">
        <v>0</v>
      </c>
      <c r="Q233" s="91">
        <v>0</v>
      </c>
      <c r="R233" s="77">
        <v>-207713.88</v>
      </c>
      <c r="S233" s="38">
        <v>0</v>
      </c>
      <c r="T233" s="91">
        <v>0</v>
      </c>
      <c r="U233" s="77">
        <v>-206082.99999999901</v>
      </c>
      <c r="V233" s="38">
        <v>0</v>
      </c>
      <c r="W233" s="91">
        <v>0</v>
      </c>
      <c r="X233" s="77">
        <v>38072.819999999898</v>
      </c>
      <c r="Y233" s="38">
        <v>0</v>
      </c>
      <c r="Z233" s="91">
        <v>0</v>
      </c>
      <c r="AA233" s="77">
        <v>-51379.96</v>
      </c>
      <c r="AB233" s="38">
        <v>0</v>
      </c>
      <c r="AC233" s="91">
        <v>0</v>
      </c>
      <c r="AD233" s="77">
        <v>-26874.089999999898</v>
      </c>
      <c r="AE233" s="38">
        <v>0</v>
      </c>
      <c r="AF233" s="91">
        <v>0</v>
      </c>
      <c r="AG233" s="77">
        <v>-69620.679999999906</v>
      </c>
      <c r="AH233" s="38">
        <v>0</v>
      </c>
      <c r="AI233" s="91">
        <v>0</v>
      </c>
      <c r="AJ233" s="77">
        <v>-60878.63</v>
      </c>
      <c r="AK233" s="38">
        <v>0</v>
      </c>
      <c r="AL233" s="91">
        <v>0</v>
      </c>
      <c r="AM233" s="77">
        <v>-157653.6488</v>
      </c>
      <c r="AN233" s="38">
        <v>0</v>
      </c>
      <c r="AO233" s="91">
        <v>0</v>
      </c>
      <c r="AP233" s="77">
        <v>-61201.799999999901</v>
      </c>
      <c r="AQ233" s="38">
        <v>0</v>
      </c>
      <c r="AR233" s="91">
        <v>0</v>
      </c>
      <c r="AS233" s="77">
        <v>-75910.0799999999</v>
      </c>
      <c r="AT233" s="38">
        <v>0</v>
      </c>
      <c r="AU233" s="91">
        <v>0</v>
      </c>
      <c r="AV233" s="77">
        <v>61360.599999999897</v>
      </c>
      <c r="AW233" s="38">
        <v>0</v>
      </c>
      <c r="AX233" s="91">
        <v>0</v>
      </c>
      <c r="AY233" s="77">
        <v>-43097.299999999901</v>
      </c>
      <c r="AZ233" s="38"/>
      <c r="BA233" s="91"/>
      <c r="BB233" s="77"/>
      <c r="BC233" s="38"/>
      <c r="BD233" s="91"/>
      <c r="BE233" s="77"/>
      <c r="BF233" s="38"/>
      <c r="BG233" s="91"/>
      <c r="BH233" s="77"/>
    </row>
    <row r="234" spans="3:60" ht="21" thickTop="1" x14ac:dyDescent="0.3">
      <c r="C234" s="7"/>
      <c r="D234" s="7"/>
      <c r="E234" s="7"/>
      <c r="F234" s="90"/>
      <c r="G234" s="7"/>
      <c r="H234" s="7"/>
      <c r="I234" s="90"/>
      <c r="J234" s="7"/>
      <c r="K234" s="7"/>
      <c r="L234" s="90"/>
      <c r="M234" s="7"/>
      <c r="N234" s="7"/>
      <c r="O234" s="90"/>
      <c r="P234" s="7"/>
      <c r="Q234" s="7"/>
      <c r="R234" s="90"/>
      <c r="S234" s="7"/>
      <c r="T234" s="7"/>
      <c r="U234" s="90"/>
      <c r="V234" s="7"/>
      <c r="W234" s="7"/>
      <c r="X234" s="90"/>
      <c r="Y234" s="7"/>
      <c r="Z234" s="7"/>
      <c r="AA234" s="90"/>
      <c r="AB234" s="7"/>
      <c r="AC234" s="7"/>
      <c r="AD234" s="90"/>
      <c r="AE234" s="7"/>
      <c r="AF234" s="7"/>
      <c r="AG234" s="90"/>
      <c r="AH234" s="7"/>
      <c r="AI234" s="7"/>
      <c r="AJ234" s="90"/>
      <c r="AK234" s="7"/>
      <c r="AL234" s="7"/>
      <c r="AM234" s="90"/>
      <c r="AN234" s="7"/>
      <c r="AO234" s="7"/>
      <c r="AP234" s="90"/>
      <c r="AQ234" s="7"/>
      <c r="AR234" s="7"/>
      <c r="AS234" s="90"/>
      <c r="AT234" s="7"/>
      <c r="AU234" s="7"/>
      <c r="AV234" s="90"/>
      <c r="AW234" s="7"/>
      <c r="AX234" s="7"/>
      <c r="AY234" s="90"/>
      <c r="AZ234" s="7"/>
      <c r="BA234" s="7"/>
      <c r="BB234" s="90"/>
      <c r="BC234" s="7"/>
      <c r="BD234" s="7"/>
      <c r="BE234" s="90"/>
      <c r="BF234" s="7"/>
      <c r="BG234" s="7"/>
      <c r="BH234" s="90"/>
    </row>
    <row r="235" spans="3:60" ht="15.75" x14ac:dyDescent="0.25">
      <c r="C235" s="88"/>
      <c r="D235" s="88"/>
      <c r="E235" s="88"/>
      <c r="F235" s="103"/>
      <c r="G235" s="88"/>
      <c r="H235" s="88"/>
      <c r="I235" s="103"/>
      <c r="J235" s="88"/>
      <c r="K235" s="88"/>
      <c r="L235" s="103"/>
      <c r="M235" s="88"/>
      <c r="N235" s="88"/>
      <c r="O235" s="103"/>
      <c r="P235" s="88"/>
      <c r="Q235" s="88"/>
      <c r="R235" s="103"/>
      <c r="S235" s="88"/>
      <c r="T235" s="88"/>
      <c r="U235" s="103"/>
      <c r="V235" s="88"/>
      <c r="W235" s="88"/>
      <c r="X235" s="103"/>
      <c r="Y235" s="88"/>
      <c r="Z235" s="88"/>
      <c r="AA235" s="103"/>
      <c r="AB235" s="88"/>
      <c r="AC235" s="88"/>
      <c r="AD235" s="103"/>
      <c r="AE235" s="88"/>
      <c r="AF235" s="88"/>
      <c r="AG235" s="103"/>
      <c r="AH235" s="88"/>
      <c r="AI235" s="88"/>
      <c r="AJ235" s="103"/>
      <c r="AK235" s="88"/>
      <c r="AL235" s="88"/>
      <c r="AM235" s="103"/>
      <c r="AN235" s="88"/>
      <c r="AO235" s="88"/>
      <c r="AP235" s="103"/>
      <c r="AQ235" s="88"/>
      <c r="AR235" s="88"/>
      <c r="AS235" s="103"/>
      <c r="AT235" s="88"/>
      <c r="AU235" s="88"/>
      <c r="AV235" s="103"/>
      <c r="AW235" s="88"/>
      <c r="AX235" s="88"/>
      <c r="AY235" s="103"/>
      <c r="AZ235" s="88"/>
      <c r="BA235" s="88"/>
      <c r="BB235" s="103"/>
      <c r="BC235" s="88"/>
      <c r="BD235" s="88"/>
      <c r="BE235" s="103"/>
      <c r="BF235" s="88"/>
      <c r="BG235" s="88"/>
      <c r="BH235" s="103"/>
    </row>
    <row r="236" spans="3:60" ht="35.25" x14ac:dyDescent="0.5">
      <c r="C236" s="58" t="str">
        <f>Z236</f>
        <v>Carrosserie</v>
      </c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Z236" s="57" t="s">
        <v>57</v>
      </c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 t="str">
        <f>C236</f>
        <v>Carrosserie</v>
      </c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  <c r="BD236" s="57"/>
      <c r="BE236" s="57"/>
      <c r="BF236" s="57"/>
      <c r="BG236" s="57"/>
      <c r="BH236" s="57"/>
    </row>
    <row r="237" spans="3:60" ht="16.5" thickBot="1" x14ac:dyDescent="0.3">
      <c r="C237" s="89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  <c r="AQ237" s="88"/>
      <c r="AR237" s="88"/>
      <c r="AS237" s="88"/>
      <c r="AT237" s="88"/>
      <c r="AU237" s="88"/>
      <c r="AV237" s="88"/>
      <c r="AW237" s="88"/>
      <c r="AX237" s="88"/>
      <c r="AY237" s="88"/>
      <c r="AZ237" s="88"/>
      <c r="BA237" s="88"/>
      <c r="BB237" s="88"/>
      <c r="BC237" s="88"/>
      <c r="BD237" s="88"/>
      <c r="BE237" s="88"/>
      <c r="BF237" s="88"/>
      <c r="BG237" s="88"/>
      <c r="BH237" s="88"/>
    </row>
    <row r="238" spans="3:60" ht="21" thickTop="1" x14ac:dyDescent="0.3">
      <c r="C238" s="56"/>
      <c r="D238" s="166" t="str">
        <f>D$3</f>
        <v>Conso</v>
      </c>
      <c r="E238" s="167"/>
      <c r="F238" s="168"/>
      <c r="G238" s="166" t="str">
        <f>G$3</f>
        <v>BMW PA</v>
      </c>
      <c r="H238" s="167"/>
      <c r="I238" s="168"/>
      <c r="J238" s="166" t="str">
        <f>J$3</f>
        <v>BMW STJ</v>
      </c>
      <c r="K238" s="167"/>
      <c r="L238" s="168"/>
      <c r="M238" s="166" t="str">
        <f>M$3</f>
        <v>BMW SHER</v>
      </c>
      <c r="N238" s="167"/>
      <c r="O238" s="168"/>
      <c r="P238" s="166" t="str">
        <f>P$3</f>
        <v>MBQ</v>
      </c>
      <c r="Q238" s="167"/>
      <c r="R238" s="168"/>
      <c r="S238" s="166" t="str">
        <f>S$3</f>
        <v>SSMB</v>
      </c>
      <c r="T238" s="167"/>
      <c r="U238" s="168"/>
      <c r="V238" s="166" t="str">
        <f>V$3</f>
        <v>Audi</v>
      </c>
      <c r="W238" s="167"/>
      <c r="X238" s="168"/>
      <c r="Y238" s="166" t="str">
        <f>Y$3</f>
        <v>JLR</v>
      </c>
      <c r="Z238" s="167"/>
      <c r="AA238" s="168"/>
      <c r="AB238" s="166" t="str">
        <f>AB$3</f>
        <v>Lexus</v>
      </c>
      <c r="AC238" s="167"/>
      <c r="AD238" s="168"/>
      <c r="AE238" s="166" t="str">
        <f>AE$3</f>
        <v>Volvo</v>
      </c>
      <c r="AF238" s="167"/>
      <c r="AG238" s="168"/>
      <c r="AH238" s="166" t="str">
        <f>AH$3</f>
        <v>Mini</v>
      </c>
      <c r="AI238" s="167"/>
      <c r="AJ238" s="168"/>
      <c r="AK238" s="166" t="str">
        <f>AK$3</f>
        <v>Infiniti</v>
      </c>
      <c r="AL238" s="167"/>
      <c r="AM238" s="168"/>
      <c r="AN238" s="166" t="str">
        <f>AN$3</f>
        <v>Honda</v>
      </c>
      <c r="AO238" s="167"/>
      <c r="AP238" s="168"/>
      <c r="AQ238" s="166" t="str">
        <f>AQ$3</f>
        <v>Toyota</v>
      </c>
      <c r="AR238" s="167"/>
      <c r="AS238" s="168"/>
      <c r="AT238" s="166" t="str">
        <f>AT$3</f>
        <v>Volks</v>
      </c>
      <c r="AU238" s="167"/>
      <c r="AV238" s="168"/>
      <c r="AW238" s="166" t="str">
        <f>AW$3</f>
        <v>LHD</v>
      </c>
      <c r="AX238" s="167"/>
      <c r="AY238" s="168"/>
      <c r="AZ238" s="166"/>
      <c r="BA238" s="167"/>
      <c r="BB238" s="168"/>
      <c r="BC238" s="166"/>
      <c r="BD238" s="169"/>
      <c r="BE238" s="170"/>
      <c r="BF238" s="166"/>
      <c r="BG238" s="169"/>
      <c r="BH238" s="170"/>
    </row>
    <row r="239" spans="3:60" ht="20.25" x14ac:dyDescent="0.3">
      <c r="C239" s="8"/>
      <c r="D239" s="55" t="s">
        <v>56</v>
      </c>
      <c r="E239" s="54" t="s">
        <v>33</v>
      </c>
      <c r="F239" s="53" t="s">
        <v>31</v>
      </c>
      <c r="G239" s="55" t="str">
        <f>$D239</f>
        <v>#</v>
      </c>
      <c r="H239" s="54" t="str">
        <f>$E239</f>
        <v>$VENTES</v>
      </c>
      <c r="I239" s="53" t="str">
        <f>$F239</f>
        <v>$PROFITS</v>
      </c>
      <c r="J239" s="55" t="s">
        <v>56</v>
      </c>
      <c r="K239" s="54" t="s">
        <v>33</v>
      </c>
      <c r="L239" s="53" t="s">
        <v>31</v>
      </c>
      <c r="M239" s="55" t="s">
        <v>56</v>
      </c>
      <c r="N239" s="54" t="s">
        <v>33</v>
      </c>
      <c r="O239" s="53" t="s">
        <v>31</v>
      </c>
      <c r="P239" s="55" t="s">
        <v>56</v>
      </c>
      <c r="Q239" s="54" t="s">
        <v>33</v>
      </c>
      <c r="R239" s="53" t="s">
        <v>31</v>
      </c>
      <c r="S239" s="55" t="s">
        <v>56</v>
      </c>
      <c r="T239" s="54" t="s">
        <v>33</v>
      </c>
      <c r="U239" s="53" t="s">
        <v>31</v>
      </c>
      <c r="V239" s="55" t="s">
        <v>56</v>
      </c>
      <c r="W239" s="54" t="s">
        <v>33</v>
      </c>
      <c r="X239" s="53" t="s">
        <v>31</v>
      </c>
      <c r="Y239" s="55" t="s">
        <v>56</v>
      </c>
      <c r="Z239" s="54" t="s">
        <v>33</v>
      </c>
      <c r="AA239" s="53" t="s">
        <v>31</v>
      </c>
      <c r="AB239" s="55" t="s">
        <v>56</v>
      </c>
      <c r="AC239" s="54" t="s">
        <v>33</v>
      </c>
      <c r="AD239" s="53" t="s">
        <v>31</v>
      </c>
      <c r="AE239" s="55" t="s">
        <v>56</v>
      </c>
      <c r="AF239" s="54" t="s">
        <v>33</v>
      </c>
      <c r="AG239" s="53" t="s">
        <v>31</v>
      </c>
      <c r="AH239" s="55" t="s">
        <v>56</v>
      </c>
      <c r="AI239" s="54" t="s">
        <v>33</v>
      </c>
      <c r="AJ239" s="53" t="s">
        <v>31</v>
      </c>
      <c r="AK239" s="55" t="s">
        <v>56</v>
      </c>
      <c r="AL239" s="54" t="s">
        <v>33</v>
      </c>
      <c r="AM239" s="53" t="s">
        <v>31</v>
      </c>
      <c r="AN239" s="55" t="s">
        <v>56</v>
      </c>
      <c r="AO239" s="54" t="s">
        <v>33</v>
      </c>
      <c r="AP239" s="53" t="s">
        <v>31</v>
      </c>
      <c r="AQ239" s="55" t="s">
        <v>56</v>
      </c>
      <c r="AR239" s="54" t="s">
        <v>33</v>
      </c>
      <c r="AS239" s="53" t="s">
        <v>31</v>
      </c>
      <c r="AT239" s="55" t="s">
        <v>56</v>
      </c>
      <c r="AU239" s="54" t="s">
        <v>33</v>
      </c>
      <c r="AV239" s="53" t="s">
        <v>31</v>
      </c>
      <c r="AW239" s="55" t="s">
        <v>56</v>
      </c>
      <c r="AX239" s="54" t="s">
        <v>33</v>
      </c>
      <c r="AY239" s="53" t="s">
        <v>31</v>
      </c>
      <c r="AZ239" s="55"/>
      <c r="BA239" s="54"/>
      <c r="BB239" s="53"/>
      <c r="BC239" s="55"/>
      <c r="BD239" s="54"/>
      <c r="BE239" s="53"/>
      <c r="BF239" s="55"/>
      <c r="BG239" s="54"/>
      <c r="BH239" s="53"/>
    </row>
    <row r="240" spans="3:60" ht="20.25" x14ac:dyDescent="0.3">
      <c r="C240" s="8"/>
      <c r="D240" s="55"/>
      <c r="E240" s="97"/>
      <c r="F240" s="18"/>
      <c r="G240" s="55"/>
      <c r="H240" s="97"/>
      <c r="I240" s="18"/>
      <c r="J240" s="55"/>
      <c r="K240" s="97"/>
      <c r="L240" s="18"/>
      <c r="M240" s="55"/>
      <c r="N240" s="97"/>
      <c r="O240" s="18"/>
      <c r="P240" s="55"/>
      <c r="Q240" s="97"/>
      <c r="R240" s="18"/>
      <c r="S240" s="55"/>
      <c r="T240" s="97"/>
      <c r="U240" s="18"/>
      <c r="V240" s="55"/>
      <c r="W240" s="97"/>
      <c r="X240" s="18"/>
      <c r="Y240" s="55"/>
      <c r="Z240" s="97"/>
      <c r="AA240" s="18"/>
      <c r="AB240" s="55"/>
      <c r="AC240" s="97"/>
      <c r="AD240" s="18"/>
      <c r="AE240" s="55"/>
      <c r="AF240" s="97"/>
      <c r="AG240" s="18"/>
      <c r="AH240" s="55"/>
      <c r="AI240" s="97"/>
      <c r="AJ240" s="18"/>
      <c r="AK240" s="55"/>
      <c r="AL240" s="97"/>
      <c r="AM240" s="18"/>
      <c r="AN240" s="55"/>
      <c r="AO240" s="97"/>
      <c r="AP240" s="18"/>
      <c r="AQ240" s="55"/>
      <c r="AR240" s="97"/>
      <c r="AS240" s="18"/>
      <c r="AT240" s="55"/>
      <c r="AU240" s="97"/>
      <c r="AV240" s="18"/>
      <c r="AW240" s="55"/>
      <c r="AX240" s="97"/>
      <c r="AY240" s="18"/>
      <c r="AZ240" s="55"/>
      <c r="BA240" s="97"/>
      <c r="BB240" s="18"/>
      <c r="BC240" s="55"/>
      <c r="BD240" s="97"/>
      <c r="BE240" s="18"/>
      <c r="BF240" s="55"/>
      <c r="BG240" s="97"/>
      <c r="BH240" s="18"/>
    </row>
    <row r="241" spans="3:60" ht="20.25" x14ac:dyDescent="0.3">
      <c r="C241" s="8" t="s">
        <v>55</v>
      </c>
      <c r="D241" s="73">
        <f>+SUM(G241,J241,M241,P241,S241,V241,Y241,AB241,AE241,AH241,AK241,AN241,AQ241,AT241,AW241,AZ241,BC241,BF241)</f>
        <v>301</v>
      </c>
      <c r="E241" s="97">
        <f>+SUM(H241,K241,N241,Q241,T241,W241,Z241,AC241,AF241,AI241,AL241,AO241,AR241,AU241,AX241,BA241,BD241,BG241)</f>
        <v>610822.33999999985</v>
      </c>
      <c r="F241" s="18">
        <f>+SUM(I241,L241,O241,R241,U241,X241,AA241,AD241,AG241,AJ241,AM241,AP241,AS241,AV241,AY241,BB241,BE241,BH241)</f>
        <v>141042.75999999989</v>
      </c>
      <c r="G241" s="73">
        <v>0</v>
      </c>
      <c r="H241" s="97">
        <v>5598.12</v>
      </c>
      <c r="I241" s="18">
        <v>5598.12</v>
      </c>
      <c r="J241" s="73">
        <v>0</v>
      </c>
      <c r="K241" s="97">
        <v>0</v>
      </c>
      <c r="L241" s="18">
        <v>0</v>
      </c>
      <c r="M241" s="73">
        <v>8</v>
      </c>
      <c r="N241" s="97">
        <v>0</v>
      </c>
      <c r="O241" s="18">
        <v>0</v>
      </c>
      <c r="P241" s="73">
        <v>57</v>
      </c>
      <c r="Q241" s="97">
        <v>38991.659999999902</v>
      </c>
      <c r="R241" s="18">
        <v>7682.20999999999</v>
      </c>
      <c r="S241" s="73">
        <v>142</v>
      </c>
      <c r="T241" s="97">
        <v>438856.14</v>
      </c>
      <c r="U241" s="18">
        <v>81849.53</v>
      </c>
      <c r="V241" s="73">
        <v>74</v>
      </c>
      <c r="W241" s="97">
        <v>88649.669999999896</v>
      </c>
      <c r="X241" s="18">
        <v>32546.359999999899</v>
      </c>
      <c r="Y241" s="73">
        <v>0</v>
      </c>
      <c r="Z241" s="97">
        <v>0</v>
      </c>
      <c r="AA241" s="18">
        <v>0</v>
      </c>
      <c r="AB241" s="73">
        <v>0</v>
      </c>
      <c r="AC241" s="97">
        <v>0</v>
      </c>
      <c r="AD241" s="18">
        <v>0</v>
      </c>
      <c r="AE241" s="73">
        <v>0</v>
      </c>
      <c r="AF241" s="97">
        <v>1657.9</v>
      </c>
      <c r="AG241" s="18">
        <v>1645.47</v>
      </c>
      <c r="AH241" s="73">
        <v>0</v>
      </c>
      <c r="AI241" s="97">
        <v>313.22000000000003</v>
      </c>
      <c r="AJ241" s="18">
        <v>313.22000000000003</v>
      </c>
      <c r="AK241" s="73">
        <v>1</v>
      </c>
      <c r="AL241" s="97">
        <v>265.14999999999998</v>
      </c>
      <c r="AM241" s="18">
        <v>265.14999999999998</v>
      </c>
      <c r="AN241" s="73">
        <v>2</v>
      </c>
      <c r="AO241" s="97">
        <v>1508.39</v>
      </c>
      <c r="AP241" s="18">
        <v>1508.39</v>
      </c>
      <c r="AQ241" s="73">
        <v>0</v>
      </c>
      <c r="AR241" s="97">
        <v>2448.84</v>
      </c>
      <c r="AS241" s="18">
        <v>2448.84</v>
      </c>
      <c r="AT241" s="73">
        <v>17</v>
      </c>
      <c r="AU241" s="97">
        <v>32533.25</v>
      </c>
      <c r="AV241" s="18">
        <v>7185.4699999999903</v>
      </c>
      <c r="AW241" s="73">
        <v>0</v>
      </c>
      <c r="AX241" s="97">
        <v>0</v>
      </c>
      <c r="AY241" s="18">
        <v>0</v>
      </c>
      <c r="AZ241" s="73"/>
      <c r="BA241" s="97"/>
      <c r="BB241" s="18"/>
      <c r="BC241" s="73"/>
      <c r="BD241" s="97"/>
      <c r="BE241" s="18"/>
      <c r="BF241" s="73"/>
      <c r="BG241" s="97"/>
      <c r="BH241" s="18"/>
    </row>
    <row r="242" spans="3:60" ht="20.25" x14ac:dyDescent="0.3">
      <c r="C242" s="8" t="s">
        <v>52</v>
      </c>
      <c r="D242" s="73"/>
      <c r="E242" s="7"/>
      <c r="F242" s="96"/>
      <c r="G242" s="73">
        <v>0</v>
      </c>
      <c r="H242" s="7">
        <v>0</v>
      </c>
      <c r="I242" s="96">
        <v>1</v>
      </c>
      <c r="J242" s="73">
        <v>0</v>
      </c>
      <c r="K242" s="7">
        <v>0</v>
      </c>
      <c r="L242" s="96">
        <v>0</v>
      </c>
      <c r="M242" s="73">
        <v>0</v>
      </c>
      <c r="N242" s="7">
        <v>0</v>
      </c>
      <c r="O242" s="96">
        <v>0</v>
      </c>
      <c r="P242" s="73">
        <v>0</v>
      </c>
      <c r="Q242" s="7">
        <v>0</v>
      </c>
      <c r="R242" s="96">
        <v>0.19702187596014101</v>
      </c>
      <c r="S242" s="73">
        <v>0</v>
      </c>
      <c r="T242" s="7">
        <v>0</v>
      </c>
      <c r="U242" s="96">
        <v>0.18650651669132401</v>
      </c>
      <c r="V242" s="73">
        <v>0</v>
      </c>
      <c r="W242" s="7">
        <v>0</v>
      </c>
      <c r="X242" s="96">
        <v>0.36713458719022801</v>
      </c>
      <c r="Y242" s="73">
        <v>0</v>
      </c>
      <c r="Z242" s="97">
        <v>0</v>
      </c>
      <c r="AA242" s="96">
        <v>0</v>
      </c>
      <c r="AB242" s="73">
        <v>0</v>
      </c>
      <c r="AC242" s="97">
        <v>0</v>
      </c>
      <c r="AD242" s="96">
        <v>0</v>
      </c>
      <c r="AE242" s="73">
        <v>0</v>
      </c>
      <c r="AF242" s="97">
        <v>0</v>
      </c>
      <c r="AG242" s="96">
        <v>0.99250256348392496</v>
      </c>
      <c r="AH242" s="73">
        <v>0</v>
      </c>
      <c r="AI242" s="97">
        <v>0</v>
      </c>
      <c r="AJ242" s="96">
        <v>1</v>
      </c>
      <c r="AK242" s="73">
        <v>0</v>
      </c>
      <c r="AL242" s="97">
        <v>0</v>
      </c>
      <c r="AM242" s="96">
        <v>1</v>
      </c>
      <c r="AN242" s="73">
        <v>0</v>
      </c>
      <c r="AO242" s="97">
        <v>0</v>
      </c>
      <c r="AP242" s="96">
        <v>1</v>
      </c>
      <c r="AQ242" s="73">
        <v>0</v>
      </c>
      <c r="AR242" s="97">
        <v>0</v>
      </c>
      <c r="AS242" s="96">
        <v>1</v>
      </c>
      <c r="AT242" s="73">
        <v>0</v>
      </c>
      <c r="AU242" s="97">
        <v>0</v>
      </c>
      <c r="AV242" s="96">
        <v>0.22086542229872499</v>
      </c>
      <c r="AW242" s="73">
        <v>0</v>
      </c>
      <c r="AX242" s="97">
        <v>0</v>
      </c>
      <c r="AY242" s="96">
        <v>0</v>
      </c>
      <c r="AZ242" s="73"/>
      <c r="BA242" s="97"/>
      <c r="BB242" s="96"/>
      <c r="BC242" s="73"/>
      <c r="BD242" s="97"/>
      <c r="BE242" s="96"/>
      <c r="BF242" s="73"/>
      <c r="BG242" s="97"/>
      <c r="BH242" s="96"/>
    </row>
    <row r="243" spans="3:60" ht="20.25" x14ac:dyDescent="0.3">
      <c r="C243" s="8"/>
      <c r="D243" s="55"/>
      <c r="E243" s="54"/>
      <c r="F243" s="53"/>
      <c r="G243" s="55"/>
      <c r="H243" s="54"/>
      <c r="I243" s="53"/>
      <c r="J243" s="55"/>
      <c r="K243" s="54"/>
      <c r="L243" s="53"/>
      <c r="M243" s="55"/>
      <c r="N243" s="54"/>
      <c r="O243" s="53"/>
      <c r="P243" s="55"/>
      <c r="Q243" s="54"/>
      <c r="R243" s="53"/>
      <c r="S243" s="55"/>
      <c r="T243" s="54"/>
      <c r="U243" s="53"/>
      <c r="V243" s="55"/>
      <c r="W243" s="54"/>
      <c r="X243" s="53"/>
      <c r="Y243" s="55"/>
      <c r="Z243" s="54"/>
      <c r="AA243" s="53"/>
      <c r="AB243" s="55"/>
      <c r="AC243" s="54"/>
      <c r="AD243" s="53"/>
      <c r="AE243" s="55"/>
      <c r="AF243" s="54"/>
      <c r="AG243" s="53"/>
      <c r="AH243" s="55"/>
      <c r="AI243" s="54"/>
      <c r="AJ243" s="53"/>
      <c r="AK243" s="55"/>
      <c r="AL243" s="54"/>
      <c r="AM243" s="53"/>
      <c r="AN243" s="55"/>
      <c r="AO243" s="54"/>
      <c r="AP243" s="53"/>
      <c r="AQ243" s="55"/>
      <c r="AR243" s="54"/>
      <c r="AS243" s="53"/>
      <c r="AT243" s="55"/>
      <c r="AU243" s="54"/>
      <c r="AV243" s="53"/>
      <c r="AW243" s="55"/>
      <c r="AX243" s="54"/>
      <c r="AY243" s="53"/>
      <c r="AZ243" s="55"/>
      <c r="BA243" s="54"/>
      <c r="BB243" s="53"/>
      <c r="BC243" s="55"/>
      <c r="BD243" s="54"/>
      <c r="BE243" s="53"/>
      <c r="BF243" s="55"/>
      <c r="BG243" s="54"/>
      <c r="BH243" s="53"/>
    </row>
    <row r="244" spans="3:60" ht="20.25" x14ac:dyDescent="0.3">
      <c r="C244" s="72" t="s">
        <v>54</v>
      </c>
      <c r="D244" s="98">
        <f>+SUM(G244,J244,M244,P244,S244,V244,Y244,AB244,AE244,AH244,AK244,AN244,AQ244,AT244,AW244,AZ244,BC244,BF244)</f>
        <v>127</v>
      </c>
      <c r="E244" s="102">
        <f>+SUM(H244,K244,N244,Q244,T244,W244,Z244,AC244,AF244,AI244,AL244,AO244,AR244,AU244,AX244,BA244,BD244,BG244)</f>
        <v>184795.28999999899</v>
      </c>
      <c r="F244" s="68">
        <f>+SUM(I244,L244,O244,R244,U244,X244,AA244,AD244,AG244,AJ244,AM244,AP244,AS244,AV244,AY244,BB244,BE244,BH244)</f>
        <v>141219.77999999901</v>
      </c>
      <c r="G244" s="98">
        <v>0</v>
      </c>
      <c r="H244" s="102">
        <v>0</v>
      </c>
      <c r="I244" s="68">
        <v>0</v>
      </c>
      <c r="J244" s="98">
        <v>0</v>
      </c>
      <c r="K244" s="102">
        <v>0</v>
      </c>
      <c r="L244" s="68">
        <v>0</v>
      </c>
      <c r="M244" s="98">
        <v>0</v>
      </c>
      <c r="N244" s="102">
        <v>0</v>
      </c>
      <c r="O244" s="68">
        <v>0</v>
      </c>
      <c r="P244" s="98">
        <v>127</v>
      </c>
      <c r="Q244" s="102">
        <v>184795.28999999899</v>
      </c>
      <c r="R244" s="68">
        <v>141219.77999999901</v>
      </c>
      <c r="S244" s="98">
        <v>0</v>
      </c>
      <c r="T244" s="102">
        <v>0</v>
      </c>
      <c r="U244" s="68">
        <v>0</v>
      </c>
      <c r="V244" s="98">
        <v>0</v>
      </c>
      <c r="W244" s="102">
        <v>0</v>
      </c>
      <c r="X244" s="68">
        <v>0</v>
      </c>
      <c r="Y244" s="98">
        <v>0</v>
      </c>
      <c r="Z244" s="102">
        <v>0</v>
      </c>
      <c r="AA244" s="68">
        <v>0</v>
      </c>
      <c r="AB244" s="98">
        <v>0</v>
      </c>
      <c r="AC244" s="102">
        <v>0</v>
      </c>
      <c r="AD244" s="68">
        <v>0</v>
      </c>
      <c r="AE244" s="98">
        <v>0</v>
      </c>
      <c r="AF244" s="102">
        <v>0</v>
      </c>
      <c r="AG244" s="68">
        <v>0</v>
      </c>
      <c r="AH244" s="98">
        <v>0</v>
      </c>
      <c r="AI244" s="102">
        <v>0</v>
      </c>
      <c r="AJ244" s="68">
        <v>0</v>
      </c>
      <c r="AK244" s="98">
        <v>0</v>
      </c>
      <c r="AL244" s="102">
        <v>0</v>
      </c>
      <c r="AM244" s="68">
        <v>0</v>
      </c>
      <c r="AN244" s="98">
        <v>0</v>
      </c>
      <c r="AO244" s="102">
        <v>0</v>
      </c>
      <c r="AP244" s="68">
        <v>0</v>
      </c>
      <c r="AQ244" s="98">
        <v>0</v>
      </c>
      <c r="AR244" s="102">
        <v>0</v>
      </c>
      <c r="AS244" s="68">
        <v>0</v>
      </c>
      <c r="AT244" s="98">
        <v>0</v>
      </c>
      <c r="AU244" s="102">
        <v>0</v>
      </c>
      <c r="AV244" s="68">
        <v>0</v>
      </c>
      <c r="AW244" s="98">
        <v>0</v>
      </c>
      <c r="AX244" s="102">
        <v>0</v>
      </c>
      <c r="AY244" s="68">
        <v>0</v>
      </c>
      <c r="AZ244" s="98"/>
      <c r="BA244" s="102"/>
      <c r="BB244" s="68"/>
      <c r="BC244" s="98"/>
      <c r="BD244" s="102"/>
      <c r="BE244" s="68"/>
      <c r="BF244" s="98"/>
      <c r="BG244" s="102"/>
      <c r="BH244" s="68"/>
    </row>
    <row r="245" spans="3:60" ht="20.25" x14ac:dyDescent="0.3">
      <c r="C245" s="8" t="s">
        <v>52</v>
      </c>
      <c r="D245" s="73"/>
      <c r="E245" s="7"/>
      <c r="F245" s="96"/>
      <c r="G245" s="73">
        <v>0</v>
      </c>
      <c r="H245" s="7">
        <v>0</v>
      </c>
      <c r="I245" s="96">
        <v>0</v>
      </c>
      <c r="J245" s="73">
        <v>0</v>
      </c>
      <c r="K245" s="7">
        <v>0</v>
      </c>
      <c r="L245" s="96">
        <v>0</v>
      </c>
      <c r="M245" s="73">
        <v>0</v>
      </c>
      <c r="N245" s="7">
        <v>0</v>
      </c>
      <c r="O245" s="96">
        <v>0</v>
      </c>
      <c r="P245" s="73">
        <v>0</v>
      </c>
      <c r="Q245" s="7">
        <v>0</v>
      </c>
      <c r="R245" s="96">
        <v>0.76419577576896003</v>
      </c>
      <c r="S245" s="73">
        <v>0</v>
      </c>
      <c r="T245" s="7">
        <v>0</v>
      </c>
      <c r="U245" s="96">
        <v>0</v>
      </c>
      <c r="V245" s="73">
        <v>0</v>
      </c>
      <c r="W245" s="7">
        <v>0</v>
      </c>
      <c r="X245" s="96">
        <v>0</v>
      </c>
      <c r="Y245" s="73">
        <v>0</v>
      </c>
      <c r="Z245" s="97">
        <v>0</v>
      </c>
      <c r="AA245" s="96">
        <v>0</v>
      </c>
      <c r="AB245" s="73">
        <v>0</v>
      </c>
      <c r="AC245" s="97">
        <v>0</v>
      </c>
      <c r="AD245" s="96">
        <v>0</v>
      </c>
      <c r="AE245" s="73">
        <v>0</v>
      </c>
      <c r="AF245" s="97">
        <v>0</v>
      </c>
      <c r="AG245" s="96">
        <v>0</v>
      </c>
      <c r="AH245" s="73">
        <v>0</v>
      </c>
      <c r="AI245" s="97">
        <v>0</v>
      </c>
      <c r="AJ245" s="96">
        <v>0</v>
      </c>
      <c r="AK245" s="73">
        <v>0</v>
      </c>
      <c r="AL245" s="97">
        <v>0</v>
      </c>
      <c r="AM245" s="96">
        <v>0</v>
      </c>
      <c r="AN245" s="73">
        <v>0</v>
      </c>
      <c r="AO245" s="97">
        <v>0</v>
      </c>
      <c r="AP245" s="96">
        <v>0</v>
      </c>
      <c r="AQ245" s="73">
        <v>0</v>
      </c>
      <c r="AR245" s="97">
        <v>0</v>
      </c>
      <c r="AS245" s="96">
        <v>0</v>
      </c>
      <c r="AT245" s="73">
        <v>0</v>
      </c>
      <c r="AU245" s="97">
        <v>0</v>
      </c>
      <c r="AV245" s="96">
        <v>0</v>
      </c>
      <c r="AW245" s="73">
        <v>0</v>
      </c>
      <c r="AX245" s="97">
        <v>0</v>
      </c>
      <c r="AY245" s="96">
        <v>0</v>
      </c>
      <c r="AZ245" s="73"/>
      <c r="BA245" s="97"/>
      <c r="BB245" s="96"/>
      <c r="BC245" s="73"/>
      <c r="BD245" s="97"/>
      <c r="BE245" s="96"/>
      <c r="BF245" s="73"/>
      <c r="BG245" s="97"/>
      <c r="BH245" s="96"/>
    </row>
    <row r="246" spans="3:60" ht="20.25" x14ac:dyDescent="0.3">
      <c r="C246" s="67"/>
      <c r="D246" s="101"/>
      <c r="E246" s="100"/>
      <c r="F246" s="99"/>
      <c r="G246" s="101"/>
      <c r="H246" s="100"/>
      <c r="I246" s="99"/>
      <c r="J246" s="101"/>
      <c r="K246" s="100"/>
      <c r="L246" s="99"/>
      <c r="M246" s="101"/>
      <c r="N246" s="100"/>
      <c r="O246" s="99"/>
      <c r="P246" s="101"/>
      <c r="Q246" s="100"/>
      <c r="R246" s="99"/>
      <c r="S246" s="101"/>
      <c r="T246" s="100"/>
      <c r="U246" s="99"/>
      <c r="V246" s="101"/>
      <c r="W246" s="100"/>
      <c r="X246" s="99"/>
      <c r="Y246" s="101"/>
      <c r="Z246" s="100"/>
      <c r="AA246" s="99"/>
      <c r="AB246" s="101"/>
      <c r="AC246" s="100"/>
      <c r="AD246" s="99"/>
      <c r="AE246" s="101"/>
      <c r="AF246" s="100"/>
      <c r="AG246" s="99"/>
      <c r="AH246" s="101"/>
      <c r="AI246" s="100"/>
      <c r="AJ246" s="99"/>
      <c r="AK246" s="101"/>
      <c r="AL246" s="100"/>
      <c r="AM246" s="99"/>
      <c r="AN246" s="101"/>
      <c r="AO246" s="100"/>
      <c r="AP246" s="99"/>
      <c r="AQ246" s="101"/>
      <c r="AR246" s="100"/>
      <c r="AS246" s="99"/>
      <c r="AT246" s="101"/>
      <c r="AU246" s="100"/>
      <c r="AV246" s="99"/>
      <c r="AW246" s="101"/>
      <c r="AX246" s="100"/>
      <c r="AY246" s="99"/>
      <c r="AZ246" s="101"/>
      <c r="BA246" s="100"/>
      <c r="BB246" s="99"/>
      <c r="BC246" s="101"/>
      <c r="BD246" s="100"/>
      <c r="BE246" s="99"/>
      <c r="BF246" s="101"/>
      <c r="BG246" s="100"/>
      <c r="BH246" s="99"/>
    </row>
    <row r="247" spans="3:60" ht="20.25" x14ac:dyDescent="0.3">
      <c r="C247" s="72" t="s">
        <v>53</v>
      </c>
      <c r="D247" s="98">
        <f>+SUM(G247,J247,M247,P247,S247,V247,Y247,AB247,AE247,AH247,AK247,AN247,AQ247,AT247,AW247,AZ247,BC247,BF247)</f>
        <v>169</v>
      </c>
      <c r="E247" s="97">
        <f>+SUM(H247,K247,N247,Q247,T247,W247,Z247,AC247,AF247,AI247,AL247,AO247,AR247,AU247,AX247,BA247,BD247,BG247)</f>
        <v>64365.2</v>
      </c>
      <c r="F247" s="18">
        <f>+SUM(I247,L247,O247,R247,U247,X247,AA247,AD247,AG247,AJ247,AM247,AP247,AS247,AV247,AY247,BB247,BE247,BH247)</f>
        <v>19404.809999999899</v>
      </c>
      <c r="G247" s="98">
        <v>0</v>
      </c>
      <c r="H247" s="97">
        <v>0</v>
      </c>
      <c r="I247" s="18">
        <v>0</v>
      </c>
      <c r="J247" s="98">
        <v>0</v>
      </c>
      <c r="K247" s="97">
        <v>0</v>
      </c>
      <c r="L247" s="18">
        <v>0</v>
      </c>
      <c r="M247" s="98">
        <v>0</v>
      </c>
      <c r="N247" s="97">
        <v>0</v>
      </c>
      <c r="O247" s="18">
        <v>0</v>
      </c>
      <c r="P247" s="98">
        <v>169</v>
      </c>
      <c r="Q247" s="97">
        <v>64365.2</v>
      </c>
      <c r="R247" s="18">
        <v>19404.809999999899</v>
      </c>
      <c r="S247" s="98">
        <v>0</v>
      </c>
      <c r="T247" s="97">
        <v>0</v>
      </c>
      <c r="U247" s="18">
        <v>0</v>
      </c>
      <c r="V247" s="98">
        <v>0</v>
      </c>
      <c r="W247" s="97">
        <v>0</v>
      </c>
      <c r="X247" s="18">
        <v>0</v>
      </c>
      <c r="Y247" s="98">
        <v>0</v>
      </c>
      <c r="Z247" s="97">
        <v>0</v>
      </c>
      <c r="AA247" s="18">
        <v>0</v>
      </c>
      <c r="AB247" s="98">
        <v>0</v>
      </c>
      <c r="AC247" s="97">
        <v>0</v>
      </c>
      <c r="AD247" s="18">
        <v>0</v>
      </c>
      <c r="AE247" s="98">
        <v>0</v>
      </c>
      <c r="AF247" s="97">
        <v>0</v>
      </c>
      <c r="AG247" s="18">
        <v>0</v>
      </c>
      <c r="AH247" s="98">
        <v>0</v>
      </c>
      <c r="AI247" s="97">
        <v>0</v>
      </c>
      <c r="AJ247" s="18">
        <v>0</v>
      </c>
      <c r="AK247" s="98">
        <v>0</v>
      </c>
      <c r="AL247" s="97">
        <v>0</v>
      </c>
      <c r="AM247" s="18">
        <v>0</v>
      </c>
      <c r="AN247" s="98">
        <v>0</v>
      </c>
      <c r="AO247" s="97">
        <v>0</v>
      </c>
      <c r="AP247" s="18">
        <v>0</v>
      </c>
      <c r="AQ247" s="98">
        <v>0</v>
      </c>
      <c r="AR247" s="97">
        <v>0</v>
      </c>
      <c r="AS247" s="18">
        <v>0</v>
      </c>
      <c r="AT247" s="98">
        <v>0</v>
      </c>
      <c r="AU247" s="97">
        <v>0</v>
      </c>
      <c r="AV247" s="18">
        <v>0</v>
      </c>
      <c r="AW247" s="98">
        <v>0</v>
      </c>
      <c r="AX247" s="97">
        <v>0</v>
      </c>
      <c r="AY247" s="18">
        <v>0</v>
      </c>
      <c r="AZ247" s="98"/>
      <c r="BA247" s="97"/>
      <c r="BB247" s="18"/>
      <c r="BC247" s="98"/>
      <c r="BD247" s="97"/>
      <c r="BE247" s="18"/>
      <c r="BF247" s="98"/>
      <c r="BG247" s="97"/>
      <c r="BH247" s="18"/>
    </row>
    <row r="248" spans="3:60" ht="20.25" x14ac:dyDescent="0.3">
      <c r="C248" s="8" t="s">
        <v>52</v>
      </c>
      <c r="D248" s="8"/>
      <c r="E248" s="7"/>
      <c r="F248" s="96"/>
      <c r="G248" s="8">
        <v>0</v>
      </c>
      <c r="H248" s="7">
        <v>0</v>
      </c>
      <c r="I248" s="96">
        <v>0</v>
      </c>
      <c r="J248" s="8">
        <v>0</v>
      </c>
      <c r="K248" s="7">
        <v>0</v>
      </c>
      <c r="L248" s="96">
        <v>0</v>
      </c>
      <c r="M248" s="8">
        <v>0</v>
      </c>
      <c r="N248" s="7">
        <v>0</v>
      </c>
      <c r="O248" s="96">
        <v>0</v>
      </c>
      <c r="P248" s="8">
        <v>0</v>
      </c>
      <c r="Q248" s="7">
        <v>0</v>
      </c>
      <c r="R248" s="96">
        <v>0.301479836930515</v>
      </c>
      <c r="S248" s="8">
        <v>0</v>
      </c>
      <c r="T248" s="7">
        <v>0</v>
      </c>
      <c r="U248" s="96">
        <v>0</v>
      </c>
      <c r="V248" s="8">
        <v>0</v>
      </c>
      <c r="W248" s="7">
        <v>0</v>
      </c>
      <c r="X248" s="96">
        <v>0</v>
      </c>
      <c r="Y248" s="73">
        <v>0</v>
      </c>
      <c r="Z248" s="97">
        <v>0</v>
      </c>
      <c r="AA248" s="96">
        <v>0</v>
      </c>
      <c r="AB248" s="73">
        <v>0</v>
      </c>
      <c r="AC248" s="97">
        <v>0</v>
      </c>
      <c r="AD248" s="96">
        <v>0</v>
      </c>
      <c r="AE248" s="73">
        <v>0</v>
      </c>
      <c r="AF248" s="97">
        <v>0</v>
      </c>
      <c r="AG248" s="96">
        <v>0</v>
      </c>
      <c r="AH248" s="73">
        <v>0</v>
      </c>
      <c r="AI248" s="97">
        <v>0</v>
      </c>
      <c r="AJ248" s="96">
        <v>0</v>
      </c>
      <c r="AK248" s="73">
        <v>0</v>
      </c>
      <c r="AL248" s="97">
        <v>0</v>
      </c>
      <c r="AM248" s="96">
        <v>0</v>
      </c>
      <c r="AN248" s="73">
        <v>0</v>
      </c>
      <c r="AO248" s="97">
        <v>0</v>
      </c>
      <c r="AP248" s="96">
        <v>0</v>
      </c>
      <c r="AQ248" s="73">
        <v>0</v>
      </c>
      <c r="AR248" s="97">
        <v>0</v>
      </c>
      <c r="AS248" s="96">
        <v>0</v>
      </c>
      <c r="AT248" s="73">
        <v>0</v>
      </c>
      <c r="AU248" s="97">
        <v>0</v>
      </c>
      <c r="AV248" s="96">
        <v>0</v>
      </c>
      <c r="AW248" s="73">
        <v>0</v>
      </c>
      <c r="AX248" s="97">
        <v>0</v>
      </c>
      <c r="AY248" s="96">
        <v>0</v>
      </c>
      <c r="AZ248" s="73"/>
      <c r="BA248" s="97"/>
      <c r="BB248" s="96"/>
      <c r="BC248" s="73"/>
      <c r="BD248" s="97"/>
      <c r="BE248" s="96"/>
      <c r="BF248" s="73"/>
      <c r="BG248" s="97"/>
      <c r="BH248" s="96"/>
    </row>
    <row r="249" spans="3:60" ht="21" thickBot="1" x14ac:dyDescent="0.35">
      <c r="C249" s="8"/>
      <c r="D249" s="8"/>
      <c r="E249" s="7"/>
      <c r="F249" s="96"/>
      <c r="G249" s="8"/>
      <c r="H249" s="7"/>
      <c r="I249" s="96"/>
      <c r="J249" s="8"/>
      <c r="K249" s="7"/>
      <c r="L249" s="96"/>
      <c r="M249" s="8"/>
      <c r="N249" s="7"/>
      <c r="O249" s="96"/>
      <c r="P249" s="8"/>
      <c r="Q249" s="7"/>
      <c r="R249" s="96"/>
      <c r="S249" s="8"/>
      <c r="T249" s="7"/>
      <c r="U249" s="96"/>
      <c r="V249" s="8"/>
      <c r="W249" s="7"/>
      <c r="X249" s="96"/>
      <c r="Y249" s="8"/>
      <c r="Z249" s="7"/>
      <c r="AA249" s="96"/>
      <c r="AB249" s="8"/>
      <c r="AC249" s="7"/>
      <c r="AD249" s="96"/>
      <c r="AE249" s="8"/>
      <c r="AF249" s="7"/>
      <c r="AG249" s="96"/>
      <c r="AH249" s="8"/>
      <c r="AI249" s="7"/>
      <c r="AJ249" s="96"/>
      <c r="AK249" s="8"/>
      <c r="AL249" s="7"/>
      <c r="AM249" s="96"/>
      <c r="AN249" s="8"/>
      <c r="AO249" s="7"/>
      <c r="AP249" s="96"/>
      <c r="AQ249" s="8"/>
      <c r="AR249" s="7"/>
      <c r="AS249" s="96"/>
      <c r="AT249" s="8"/>
      <c r="AU249" s="7"/>
      <c r="AV249" s="96"/>
      <c r="AW249" s="8"/>
      <c r="AX249" s="7"/>
      <c r="AY249" s="96"/>
      <c r="AZ249" s="8"/>
      <c r="BA249" s="7"/>
      <c r="BB249" s="96"/>
      <c r="BC249" s="8"/>
      <c r="BD249" s="7"/>
      <c r="BE249" s="96"/>
      <c r="BF249" s="8"/>
      <c r="BG249" s="7"/>
      <c r="BH249" s="96"/>
    </row>
    <row r="250" spans="3:60" ht="21" thickTop="1" x14ac:dyDescent="0.3">
      <c r="C250" s="43" t="s">
        <v>51</v>
      </c>
      <c r="D250" s="49">
        <f>SUM(D241:D247)</f>
        <v>597</v>
      </c>
      <c r="E250" s="95">
        <f>SUM(E241:E247)</f>
        <v>859982.82999999879</v>
      </c>
      <c r="F250" s="47">
        <f>SUM(F241:F247)</f>
        <v>301667.34999999875</v>
      </c>
      <c r="G250" s="49">
        <v>0</v>
      </c>
      <c r="H250" s="95">
        <v>5598.12</v>
      </c>
      <c r="I250" s="47">
        <v>5598.12</v>
      </c>
      <c r="J250" s="49">
        <v>0</v>
      </c>
      <c r="K250" s="95">
        <v>0</v>
      </c>
      <c r="L250" s="47">
        <v>0</v>
      </c>
      <c r="M250" s="49">
        <v>0</v>
      </c>
      <c r="N250" s="95">
        <v>0</v>
      </c>
      <c r="O250" s="47">
        <v>0</v>
      </c>
      <c r="P250" s="49">
        <v>0</v>
      </c>
      <c r="Q250" s="95">
        <v>288152.14999999898</v>
      </c>
      <c r="R250" s="47">
        <v>168306.799999999</v>
      </c>
      <c r="S250" s="49">
        <v>0</v>
      </c>
      <c r="T250" s="95">
        <v>438856.14</v>
      </c>
      <c r="U250" s="47">
        <v>81849.53</v>
      </c>
      <c r="V250" s="49">
        <v>0</v>
      </c>
      <c r="W250" s="95">
        <v>88649.669999999896</v>
      </c>
      <c r="X250" s="47">
        <v>32546.359999999899</v>
      </c>
      <c r="Y250" s="49">
        <v>0</v>
      </c>
      <c r="Z250" s="95">
        <v>0</v>
      </c>
      <c r="AA250" s="47">
        <v>0</v>
      </c>
      <c r="AB250" s="49">
        <v>0</v>
      </c>
      <c r="AC250" s="95">
        <v>0</v>
      </c>
      <c r="AD250" s="47">
        <v>0</v>
      </c>
      <c r="AE250" s="49">
        <v>0</v>
      </c>
      <c r="AF250" s="95">
        <v>1657.9</v>
      </c>
      <c r="AG250" s="47">
        <v>1645.47</v>
      </c>
      <c r="AH250" s="49">
        <v>0</v>
      </c>
      <c r="AI250" s="95">
        <v>313.22000000000003</v>
      </c>
      <c r="AJ250" s="47">
        <v>313.22000000000003</v>
      </c>
      <c r="AK250" s="49">
        <v>0</v>
      </c>
      <c r="AL250" s="95">
        <v>265.14999999999998</v>
      </c>
      <c r="AM250" s="47">
        <v>265.14999999999998</v>
      </c>
      <c r="AN250" s="49">
        <v>0</v>
      </c>
      <c r="AO250" s="95">
        <v>1508.39</v>
      </c>
      <c r="AP250" s="47">
        <v>1508.39</v>
      </c>
      <c r="AQ250" s="49">
        <v>0</v>
      </c>
      <c r="AR250" s="95">
        <v>2448.84</v>
      </c>
      <c r="AS250" s="47">
        <v>2448.84</v>
      </c>
      <c r="AT250" s="49">
        <v>0</v>
      </c>
      <c r="AU250" s="95">
        <v>32533.25</v>
      </c>
      <c r="AV250" s="47">
        <v>7185.4699999999903</v>
      </c>
      <c r="AW250" s="49">
        <v>0</v>
      </c>
      <c r="AX250" s="95">
        <v>0</v>
      </c>
      <c r="AY250" s="47">
        <v>0</v>
      </c>
      <c r="AZ250" s="49"/>
      <c r="BA250" s="95"/>
      <c r="BB250" s="47"/>
      <c r="BC250" s="49"/>
      <c r="BD250" s="95"/>
      <c r="BE250" s="47"/>
      <c r="BF250" s="49"/>
      <c r="BG250" s="95"/>
      <c r="BH250" s="47"/>
    </row>
    <row r="251" spans="3:60" ht="21" thickBot="1" x14ac:dyDescent="0.35">
      <c r="C251" s="40"/>
      <c r="D251" s="40"/>
      <c r="E251" s="39"/>
      <c r="F251" s="92"/>
      <c r="G251" s="40">
        <v>0</v>
      </c>
      <c r="H251" s="39">
        <v>0</v>
      </c>
      <c r="I251" s="92">
        <v>1</v>
      </c>
      <c r="J251" s="40">
        <v>0</v>
      </c>
      <c r="K251" s="39">
        <v>0</v>
      </c>
      <c r="L251" s="92">
        <v>0</v>
      </c>
      <c r="M251" s="40">
        <v>0</v>
      </c>
      <c r="N251" s="39">
        <v>0</v>
      </c>
      <c r="O251" s="92">
        <v>0</v>
      </c>
      <c r="P251" s="40">
        <v>0</v>
      </c>
      <c r="Q251" s="39">
        <v>0</v>
      </c>
      <c r="R251" s="92">
        <v>0.58409003715571695</v>
      </c>
      <c r="S251" s="40">
        <v>0</v>
      </c>
      <c r="T251" s="39">
        <v>0</v>
      </c>
      <c r="U251" s="92">
        <v>0.18650651669132401</v>
      </c>
      <c r="V251" s="40">
        <v>0</v>
      </c>
      <c r="W251" s="39">
        <v>0</v>
      </c>
      <c r="X251" s="92">
        <v>0.36713458719022801</v>
      </c>
      <c r="Y251" s="94">
        <v>0</v>
      </c>
      <c r="Z251" s="93">
        <v>0</v>
      </c>
      <c r="AA251" s="92">
        <v>0</v>
      </c>
      <c r="AB251" s="94">
        <v>0</v>
      </c>
      <c r="AC251" s="93">
        <v>0</v>
      </c>
      <c r="AD251" s="92">
        <v>0</v>
      </c>
      <c r="AE251" s="94">
        <v>0</v>
      </c>
      <c r="AF251" s="93">
        <v>0</v>
      </c>
      <c r="AG251" s="92">
        <v>0.99250256348392496</v>
      </c>
      <c r="AH251" s="94">
        <v>0</v>
      </c>
      <c r="AI251" s="93">
        <v>0</v>
      </c>
      <c r="AJ251" s="92">
        <v>1</v>
      </c>
      <c r="AK251" s="94">
        <v>0</v>
      </c>
      <c r="AL251" s="93">
        <v>0</v>
      </c>
      <c r="AM251" s="92">
        <v>1</v>
      </c>
      <c r="AN251" s="94">
        <v>0</v>
      </c>
      <c r="AO251" s="93">
        <v>0</v>
      </c>
      <c r="AP251" s="92">
        <v>1</v>
      </c>
      <c r="AQ251" s="94">
        <v>0</v>
      </c>
      <c r="AR251" s="93">
        <v>0</v>
      </c>
      <c r="AS251" s="92">
        <v>1</v>
      </c>
      <c r="AT251" s="94">
        <v>0</v>
      </c>
      <c r="AU251" s="93">
        <v>0</v>
      </c>
      <c r="AV251" s="92">
        <v>0.22086542229872499</v>
      </c>
      <c r="AW251" s="94">
        <v>0</v>
      </c>
      <c r="AX251" s="93">
        <v>0</v>
      </c>
      <c r="AY251" s="92">
        <v>0</v>
      </c>
      <c r="AZ251" s="94"/>
      <c r="BA251" s="93"/>
      <c r="BB251" s="92"/>
      <c r="BC251" s="94"/>
      <c r="BD251" s="93"/>
      <c r="BE251" s="92"/>
      <c r="BF251" s="94"/>
      <c r="BG251" s="93"/>
      <c r="BH251" s="92"/>
    </row>
    <row r="252" spans="3:60" ht="21" thickTop="1" x14ac:dyDescent="0.3">
      <c r="C252" s="8"/>
      <c r="D252" s="8"/>
      <c r="E252" s="7"/>
      <c r="F252" s="6">
        <f t="shared" ref="F252:F265" si="15">+SUM(I252,L252,O252,R252,U252,X252,AA252,AD252,AG252,AJ252,AM252,AP252,AS252,AV252,AY252,BB252,BE252,BH252)</f>
        <v>0</v>
      </c>
      <c r="G252" s="8">
        <v>0</v>
      </c>
      <c r="H252" s="7">
        <v>0</v>
      </c>
      <c r="I252" s="6">
        <v>0</v>
      </c>
      <c r="J252" s="8">
        <v>0</v>
      </c>
      <c r="K252" s="7">
        <v>0</v>
      </c>
      <c r="L252" s="6">
        <v>0</v>
      </c>
      <c r="M252" s="8">
        <v>0</v>
      </c>
      <c r="N252" s="7">
        <v>0</v>
      </c>
      <c r="O252" s="6">
        <v>0</v>
      </c>
      <c r="P252" s="8">
        <v>0</v>
      </c>
      <c r="Q252" s="7">
        <v>0</v>
      </c>
      <c r="R252" s="6">
        <v>0</v>
      </c>
      <c r="S252" s="8">
        <v>0</v>
      </c>
      <c r="T252" s="7">
        <v>0</v>
      </c>
      <c r="U252" s="6">
        <v>0</v>
      </c>
      <c r="V252" s="8">
        <v>0</v>
      </c>
      <c r="W252" s="7">
        <v>0</v>
      </c>
      <c r="X252" s="6">
        <v>0</v>
      </c>
      <c r="Y252" s="8">
        <v>0</v>
      </c>
      <c r="Z252" s="7">
        <v>0</v>
      </c>
      <c r="AA252" s="6">
        <v>0</v>
      </c>
      <c r="AB252" s="8">
        <v>0</v>
      </c>
      <c r="AC252" s="7">
        <v>0</v>
      </c>
      <c r="AD252" s="6">
        <v>0</v>
      </c>
      <c r="AE252" s="8">
        <v>0</v>
      </c>
      <c r="AF252" s="7">
        <v>0</v>
      </c>
      <c r="AG252" s="6">
        <v>0</v>
      </c>
      <c r="AH252" s="8">
        <v>0</v>
      </c>
      <c r="AI252" s="7">
        <v>0</v>
      </c>
      <c r="AJ252" s="6">
        <v>0</v>
      </c>
      <c r="AK252" s="8">
        <v>0</v>
      </c>
      <c r="AL252" s="7">
        <v>0</v>
      </c>
      <c r="AM252" s="6">
        <v>0</v>
      </c>
      <c r="AN252" s="8">
        <v>0</v>
      </c>
      <c r="AO252" s="7">
        <v>0</v>
      </c>
      <c r="AP252" s="6">
        <v>0</v>
      </c>
      <c r="AQ252" s="8">
        <v>0</v>
      </c>
      <c r="AR252" s="7">
        <v>0</v>
      </c>
      <c r="AS252" s="6">
        <v>0</v>
      </c>
      <c r="AT252" s="8">
        <v>0</v>
      </c>
      <c r="AU252" s="7">
        <v>0</v>
      </c>
      <c r="AV252" s="6">
        <v>0</v>
      </c>
      <c r="AW252" s="8">
        <v>0</v>
      </c>
      <c r="AX252" s="7">
        <v>0</v>
      </c>
      <c r="AY252" s="6">
        <v>0</v>
      </c>
      <c r="AZ252" s="8"/>
      <c r="BA252" s="7"/>
      <c r="BB252" s="6"/>
      <c r="BC252" s="8"/>
      <c r="BD252" s="7"/>
      <c r="BE252" s="6"/>
      <c r="BF252" s="8"/>
      <c r="BG252" s="7"/>
      <c r="BH252" s="6"/>
    </row>
    <row r="253" spans="3:60" ht="20.25" x14ac:dyDescent="0.3">
      <c r="C253" s="29" t="s">
        <v>28</v>
      </c>
      <c r="D253" s="8"/>
      <c r="E253" s="7"/>
      <c r="F253" s="6">
        <f t="shared" si="15"/>
        <v>0</v>
      </c>
      <c r="G253" s="8">
        <v>0</v>
      </c>
      <c r="H253" s="7">
        <v>0</v>
      </c>
      <c r="I253" s="6">
        <v>0</v>
      </c>
      <c r="J253" s="8">
        <v>0</v>
      </c>
      <c r="K253" s="7">
        <v>0</v>
      </c>
      <c r="L253" s="6">
        <v>0</v>
      </c>
      <c r="M253" s="8">
        <v>0</v>
      </c>
      <c r="N253" s="7">
        <v>0</v>
      </c>
      <c r="O253" s="6">
        <v>0</v>
      </c>
      <c r="P253" s="8">
        <v>0</v>
      </c>
      <c r="Q253" s="7">
        <v>0</v>
      </c>
      <c r="R253" s="6">
        <v>0</v>
      </c>
      <c r="S253" s="8">
        <v>0</v>
      </c>
      <c r="T253" s="7">
        <v>0</v>
      </c>
      <c r="U253" s="6">
        <v>0</v>
      </c>
      <c r="V253" s="8">
        <v>0</v>
      </c>
      <c r="W253" s="7">
        <v>0</v>
      </c>
      <c r="X253" s="6">
        <v>0</v>
      </c>
      <c r="Y253" s="8">
        <v>0</v>
      </c>
      <c r="Z253" s="7">
        <v>0</v>
      </c>
      <c r="AA253" s="6">
        <v>0</v>
      </c>
      <c r="AB253" s="8">
        <v>0</v>
      </c>
      <c r="AC253" s="7">
        <v>0</v>
      </c>
      <c r="AD253" s="6">
        <v>0</v>
      </c>
      <c r="AE253" s="8">
        <v>0</v>
      </c>
      <c r="AF253" s="7">
        <v>0</v>
      </c>
      <c r="AG253" s="6">
        <v>0</v>
      </c>
      <c r="AH253" s="8">
        <v>0</v>
      </c>
      <c r="AI253" s="7">
        <v>0</v>
      </c>
      <c r="AJ253" s="6">
        <v>0</v>
      </c>
      <c r="AK253" s="8">
        <v>0</v>
      </c>
      <c r="AL253" s="7">
        <v>0</v>
      </c>
      <c r="AM253" s="6">
        <v>0</v>
      </c>
      <c r="AN253" s="8">
        <v>0</v>
      </c>
      <c r="AO253" s="7">
        <v>0</v>
      </c>
      <c r="AP253" s="6">
        <v>0</v>
      </c>
      <c r="AQ253" s="8">
        <v>0</v>
      </c>
      <c r="AR253" s="7">
        <v>0</v>
      </c>
      <c r="AS253" s="6">
        <v>0</v>
      </c>
      <c r="AT253" s="8">
        <v>0</v>
      </c>
      <c r="AU253" s="7">
        <v>0</v>
      </c>
      <c r="AV253" s="6">
        <v>0</v>
      </c>
      <c r="AW253" s="8">
        <v>0</v>
      </c>
      <c r="AX253" s="7">
        <v>0</v>
      </c>
      <c r="AY253" s="6">
        <v>0</v>
      </c>
      <c r="AZ253" s="8"/>
      <c r="BA253" s="7"/>
      <c r="BB253" s="6"/>
      <c r="BC253" s="8"/>
      <c r="BD253" s="7"/>
      <c r="BE253" s="6"/>
      <c r="BF253" s="8"/>
      <c r="BG253" s="7"/>
      <c r="BH253" s="6"/>
    </row>
    <row r="254" spans="3:60" ht="20.25" x14ac:dyDescent="0.3">
      <c r="C254" s="17" t="s">
        <v>27</v>
      </c>
      <c r="D254" s="8"/>
      <c r="E254" s="7"/>
      <c r="F254" s="18">
        <f t="shared" si="15"/>
        <v>25425.489999999998</v>
      </c>
      <c r="G254" s="8">
        <v>0</v>
      </c>
      <c r="H254" s="7">
        <v>0</v>
      </c>
      <c r="I254" s="18">
        <v>0</v>
      </c>
      <c r="J254" s="8">
        <v>0</v>
      </c>
      <c r="K254" s="7">
        <v>0</v>
      </c>
      <c r="L254" s="18">
        <v>0</v>
      </c>
      <c r="M254" s="8">
        <v>0</v>
      </c>
      <c r="N254" s="7">
        <v>0</v>
      </c>
      <c r="O254" s="18">
        <v>0</v>
      </c>
      <c r="P254" s="8">
        <v>0</v>
      </c>
      <c r="Q254" s="7">
        <v>0</v>
      </c>
      <c r="R254" s="18">
        <v>21817.97</v>
      </c>
      <c r="S254" s="8">
        <v>0</v>
      </c>
      <c r="T254" s="7">
        <v>0</v>
      </c>
      <c r="U254" s="18">
        <v>0</v>
      </c>
      <c r="V254" s="8">
        <v>0</v>
      </c>
      <c r="W254" s="7">
        <v>0</v>
      </c>
      <c r="X254" s="18">
        <v>1803.76</v>
      </c>
      <c r="Y254" s="8">
        <v>0</v>
      </c>
      <c r="Z254" s="7">
        <v>0</v>
      </c>
      <c r="AA254" s="18">
        <v>0</v>
      </c>
      <c r="AB254" s="8">
        <v>0</v>
      </c>
      <c r="AC254" s="7">
        <v>0</v>
      </c>
      <c r="AD254" s="18">
        <v>0</v>
      </c>
      <c r="AE254" s="8">
        <v>0</v>
      </c>
      <c r="AF254" s="7">
        <v>0</v>
      </c>
      <c r="AG254" s="18">
        <v>0</v>
      </c>
      <c r="AH254" s="8">
        <v>0</v>
      </c>
      <c r="AI254" s="7">
        <v>0</v>
      </c>
      <c r="AJ254" s="18">
        <v>0</v>
      </c>
      <c r="AK254" s="8">
        <v>0</v>
      </c>
      <c r="AL254" s="7">
        <v>0</v>
      </c>
      <c r="AM254" s="18">
        <v>0</v>
      </c>
      <c r="AN254" s="8">
        <v>0</v>
      </c>
      <c r="AO254" s="7">
        <v>0</v>
      </c>
      <c r="AP254" s="18">
        <v>0</v>
      </c>
      <c r="AQ254" s="8">
        <v>0</v>
      </c>
      <c r="AR254" s="7">
        <v>0</v>
      </c>
      <c r="AS254" s="18">
        <v>0</v>
      </c>
      <c r="AT254" s="8">
        <v>0</v>
      </c>
      <c r="AU254" s="7">
        <v>0</v>
      </c>
      <c r="AV254" s="18">
        <v>1803.76</v>
      </c>
      <c r="AW254" s="8">
        <v>0</v>
      </c>
      <c r="AX254" s="7">
        <v>0</v>
      </c>
      <c r="AY254" s="18">
        <v>0</v>
      </c>
      <c r="AZ254" s="8"/>
      <c r="BA254" s="7"/>
      <c r="BB254" s="18"/>
      <c r="BC254" s="8"/>
      <c r="BD254" s="7"/>
      <c r="BE254" s="18"/>
      <c r="BF254" s="8"/>
      <c r="BG254" s="7"/>
      <c r="BH254" s="18"/>
    </row>
    <row r="255" spans="3:60" ht="20.25" x14ac:dyDescent="0.3">
      <c r="C255" s="25" t="s">
        <v>26</v>
      </c>
      <c r="D255" s="8"/>
      <c r="E255" s="7"/>
      <c r="F255" s="18">
        <f t="shared" si="15"/>
        <v>76954.759999999995</v>
      </c>
      <c r="G255" s="8">
        <v>0</v>
      </c>
      <c r="H255" s="7">
        <v>0</v>
      </c>
      <c r="I255" s="18">
        <v>0</v>
      </c>
      <c r="J255" s="8">
        <v>0</v>
      </c>
      <c r="K255" s="7">
        <v>0</v>
      </c>
      <c r="L255" s="18">
        <v>0</v>
      </c>
      <c r="M255" s="8">
        <v>0</v>
      </c>
      <c r="N255" s="7">
        <v>0</v>
      </c>
      <c r="O255" s="18">
        <v>0</v>
      </c>
      <c r="P255" s="8">
        <v>0</v>
      </c>
      <c r="Q255" s="7">
        <v>0</v>
      </c>
      <c r="R255" s="18">
        <v>30414.21</v>
      </c>
      <c r="S255" s="8">
        <v>0</v>
      </c>
      <c r="T255" s="7">
        <v>0</v>
      </c>
      <c r="U255" s="18">
        <v>36009.769999999997</v>
      </c>
      <c r="V255" s="8">
        <v>0</v>
      </c>
      <c r="W255" s="7">
        <v>0</v>
      </c>
      <c r="X255" s="18">
        <v>3501.4</v>
      </c>
      <c r="Y255" s="8">
        <v>0</v>
      </c>
      <c r="Z255" s="7">
        <v>0</v>
      </c>
      <c r="AA255" s="18">
        <v>0</v>
      </c>
      <c r="AB255" s="8">
        <v>0</v>
      </c>
      <c r="AC255" s="7">
        <v>0</v>
      </c>
      <c r="AD255" s="18">
        <v>0</v>
      </c>
      <c r="AE255" s="8">
        <v>0</v>
      </c>
      <c r="AF255" s="7">
        <v>0</v>
      </c>
      <c r="AG255" s="18">
        <v>0</v>
      </c>
      <c r="AH255" s="8">
        <v>0</v>
      </c>
      <c r="AI255" s="7">
        <v>0</v>
      </c>
      <c r="AJ255" s="18">
        <v>0</v>
      </c>
      <c r="AK255" s="8">
        <v>0</v>
      </c>
      <c r="AL255" s="7">
        <v>0</v>
      </c>
      <c r="AM255" s="18">
        <v>0</v>
      </c>
      <c r="AN255" s="8">
        <v>0</v>
      </c>
      <c r="AO255" s="7">
        <v>0</v>
      </c>
      <c r="AP255" s="18">
        <v>0</v>
      </c>
      <c r="AQ255" s="8">
        <v>0</v>
      </c>
      <c r="AR255" s="7">
        <v>0</v>
      </c>
      <c r="AS255" s="18">
        <v>0</v>
      </c>
      <c r="AT255" s="8">
        <v>0</v>
      </c>
      <c r="AU255" s="7">
        <v>0</v>
      </c>
      <c r="AV255" s="18">
        <v>7029.38</v>
      </c>
      <c r="AW255" s="8">
        <v>0</v>
      </c>
      <c r="AX255" s="7">
        <v>0</v>
      </c>
      <c r="AY255" s="18">
        <v>0</v>
      </c>
      <c r="AZ255" s="8"/>
      <c r="BA255" s="7"/>
      <c r="BB255" s="18"/>
      <c r="BC255" s="8"/>
      <c r="BD255" s="7"/>
      <c r="BE255" s="18"/>
      <c r="BF255" s="8"/>
      <c r="BG255" s="7"/>
      <c r="BH255" s="18"/>
    </row>
    <row r="256" spans="3:60" ht="20.25" x14ac:dyDescent="0.3">
      <c r="C256" s="17" t="s">
        <v>25</v>
      </c>
      <c r="D256" s="72"/>
      <c r="E256" s="71"/>
      <c r="F256" s="68">
        <f t="shared" si="15"/>
        <v>2794.93</v>
      </c>
      <c r="G256" s="72">
        <v>0</v>
      </c>
      <c r="H256" s="71">
        <v>0</v>
      </c>
      <c r="I256" s="68">
        <v>0</v>
      </c>
      <c r="J256" s="72">
        <v>0</v>
      </c>
      <c r="K256" s="71">
        <v>0</v>
      </c>
      <c r="L256" s="68">
        <v>0</v>
      </c>
      <c r="M256" s="72">
        <v>0</v>
      </c>
      <c r="N256" s="71">
        <v>0</v>
      </c>
      <c r="O256" s="68">
        <v>0</v>
      </c>
      <c r="P256" s="72">
        <v>0</v>
      </c>
      <c r="Q256" s="71">
        <v>0</v>
      </c>
      <c r="R256" s="68">
        <v>121.6</v>
      </c>
      <c r="S256" s="72">
        <v>0</v>
      </c>
      <c r="T256" s="71">
        <v>0</v>
      </c>
      <c r="U256" s="68">
        <v>0</v>
      </c>
      <c r="V256" s="72">
        <v>0</v>
      </c>
      <c r="W256" s="71">
        <v>0</v>
      </c>
      <c r="X256" s="68">
        <v>2673.17</v>
      </c>
      <c r="Y256" s="72">
        <v>0</v>
      </c>
      <c r="Z256" s="71">
        <v>0</v>
      </c>
      <c r="AA256" s="68">
        <v>0</v>
      </c>
      <c r="AB256" s="72">
        <v>0</v>
      </c>
      <c r="AC256" s="71">
        <v>0</v>
      </c>
      <c r="AD256" s="68">
        <v>0</v>
      </c>
      <c r="AE256" s="72">
        <v>0</v>
      </c>
      <c r="AF256" s="71">
        <v>0</v>
      </c>
      <c r="AG256" s="68">
        <v>0</v>
      </c>
      <c r="AH256" s="72">
        <v>0</v>
      </c>
      <c r="AI256" s="71">
        <v>0</v>
      </c>
      <c r="AJ256" s="68">
        <v>0</v>
      </c>
      <c r="AK256" s="72">
        <v>0</v>
      </c>
      <c r="AL256" s="71">
        <v>0</v>
      </c>
      <c r="AM256" s="68">
        <v>0</v>
      </c>
      <c r="AN256" s="72">
        <v>0</v>
      </c>
      <c r="AO256" s="71">
        <v>0</v>
      </c>
      <c r="AP256" s="68">
        <v>0</v>
      </c>
      <c r="AQ256" s="72">
        <v>0</v>
      </c>
      <c r="AR256" s="71">
        <v>0</v>
      </c>
      <c r="AS256" s="68">
        <v>0</v>
      </c>
      <c r="AT256" s="72">
        <v>0</v>
      </c>
      <c r="AU256" s="71">
        <v>0</v>
      </c>
      <c r="AV256" s="68">
        <v>0.16</v>
      </c>
      <c r="AW256" s="72">
        <v>0</v>
      </c>
      <c r="AX256" s="71">
        <v>0</v>
      </c>
      <c r="AY256" s="68">
        <v>0</v>
      </c>
      <c r="AZ256" s="72"/>
      <c r="BA256" s="71"/>
      <c r="BB256" s="68"/>
      <c r="BC256" s="72"/>
      <c r="BD256" s="71"/>
      <c r="BE256" s="68"/>
      <c r="BF256" s="72"/>
      <c r="BG256" s="71"/>
      <c r="BH256" s="68"/>
    </row>
    <row r="257" spans="3:60" ht="20.25" x14ac:dyDescent="0.3">
      <c r="C257" s="17" t="s">
        <v>24</v>
      </c>
      <c r="D257" s="8"/>
      <c r="E257" s="7"/>
      <c r="F257" s="18">
        <f t="shared" si="15"/>
        <v>25644.690000000002</v>
      </c>
      <c r="G257" s="8">
        <v>0</v>
      </c>
      <c r="H257" s="7">
        <v>0</v>
      </c>
      <c r="I257" s="18">
        <v>0</v>
      </c>
      <c r="J257" s="8">
        <v>0</v>
      </c>
      <c r="K257" s="7">
        <v>0</v>
      </c>
      <c r="L257" s="18">
        <v>0</v>
      </c>
      <c r="M257" s="8">
        <v>0</v>
      </c>
      <c r="N257" s="7">
        <v>0</v>
      </c>
      <c r="O257" s="18">
        <v>0</v>
      </c>
      <c r="P257" s="8">
        <v>0</v>
      </c>
      <c r="Q257" s="7">
        <v>0</v>
      </c>
      <c r="R257" s="18">
        <v>12432.29</v>
      </c>
      <c r="S257" s="8">
        <v>0</v>
      </c>
      <c r="T257" s="7">
        <v>0</v>
      </c>
      <c r="U257" s="18">
        <v>0</v>
      </c>
      <c r="V257" s="8">
        <v>0</v>
      </c>
      <c r="W257" s="7">
        <v>0</v>
      </c>
      <c r="X257" s="18">
        <v>13212.4</v>
      </c>
      <c r="Y257" s="8">
        <v>0</v>
      </c>
      <c r="Z257" s="7">
        <v>0</v>
      </c>
      <c r="AA257" s="18">
        <v>0</v>
      </c>
      <c r="AB257" s="8">
        <v>0</v>
      </c>
      <c r="AC257" s="7">
        <v>0</v>
      </c>
      <c r="AD257" s="18">
        <v>0</v>
      </c>
      <c r="AE257" s="8">
        <v>0</v>
      </c>
      <c r="AF257" s="7">
        <v>0</v>
      </c>
      <c r="AG257" s="18">
        <v>0</v>
      </c>
      <c r="AH257" s="8">
        <v>0</v>
      </c>
      <c r="AI257" s="7">
        <v>0</v>
      </c>
      <c r="AJ257" s="18">
        <v>0</v>
      </c>
      <c r="AK257" s="8">
        <v>0</v>
      </c>
      <c r="AL257" s="7">
        <v>0</v>
      </c>
      <c r="AM257" s="18">
        <v>0</v>
      </c>
      <c r="AN257" s="8">
        <v>0</v>
      </c>
      <c r="AO257" s="7">
        <v>0</v>
      </c>
      <c r="AP257" s="18">
        <v>0</v>
      </c>
      <c r="AQ257" s="8">
        <v>0</v>
      </c>
      <c r="AR257" s="7">
        <v>0</v>
      </c>
      <c r="AS257" s="18">
        <v>0</v>
      </c>
      <c r="AT257" s="8">
        <v>0</v>
      </c>
      <c r="AU257" s="7">
        <v>0</v>
      </c>
      <c r="AV257" s="18">
        <v>0</v>
      </c>
      <c r="AW257" s="8">
        <v>0</v>
      </c>
      <c r="AX257" s="7">
        <v>0</v>
      </c>
      <c r="AY257" s="18">
        <v>0</v>
      </c>
      <c r="AZ257" s="8"/>
      <c r="BA257" s="7"/>
      <c r="BB257" s="18"/>
      <c r="BC257" s="8"/>
      <c r="BD257" s="7"/>
      <c r="BE257" s="18"/>
      <c r="BF257" s="8"/>
      <c r="BG257" s="7"/>
      <c r="BH257" s="18"/>
    </row>
    <row r="258" spans="3:60" ht="20.25" hidden="1" x14ac:dyDescent="0.3">
      <c r="C258" s="8" t="s">
        <v>3</v>
      </c>
      <c r="D258" s="8"/>
      <c r="E258" s="7"/>
      <c r="F258" s="18">
        <f t="shared" si="15"/>
        <v>0</v>
      </c>
      <c r="G258" s="8">
        <v>0</v>
      </c>
      <c r="H258" s="7">
        <v>0</v>
      </c>
      <c r="I258" s="18">
        <v>0</v>
      </c>
      <c r="J258" s="8">
        <v>0</v>
      </c>
      <c r="K258" s="7">
        <v>0</v>
      </c>
      <c r="L258" s="18">
        <v>0</v>
      </c>
      <c r="M258" s="8">
        <v>0</v>
      </c>
      <c r="N258" s="7">
        <v>0</v>
      </c>
      <c r="O258" s="18">
        <v>0</v>
      </c>
      <c r="P258" s="8">
        <v>0</v>
      </c>
      <c r="Q258" s="7">
        <v>0</v>
      </c>
      <c r="R258" s="18">
        <v>0</v>
      </c>
      <c r="S258" s="8">
        <v>0</v>
      </c>
      <c r="T258" s="7">
        <v>0</v>
      </c>
      <c r="U258" s="18">
        <v>0</v>
      </c>
      <c r="V258" s="8">
        <v>0</v>
      </c>
      <c r="W258" s="7">
        <v>0</v>
      </c>
      <c r="X258" s="18">
        <v>0</v>
      </c>
      <c r="Y258" s="8">
        <v>0</v>
      </c>
      <c r="Z258" s="7">
        <v>0</v>
      </c>
      <c r="AA258" s="18">
        <v>0</v>
      </c>
      <c r="AB258" s="8">
        <v>0</v>
      </c>
      <c r="AC258" s="7">
        <v>0</v>
      </c>
      <c r="AD258" s="18">
        <v>0</v>
      </c>
      <c r="AE258" s="8">
        <v>0</v>
      </c>
      <c r="AF258" s="7">
        <v>0</v>
      </c>
      <c r="AG258" s="18">
        <v>0</v>
      </c>
      <c r="AH258" s="8">
        <v>0</v>
      </c>
      <c r="AI258" s="7">
        <v>0</v>
      </c>
      <c r="AJ258" s="18">
        <v>0</v>
      </c>
      <c r="AK258" s="8">
        <v>0</v>
      </c>
      <c r="AL258" s="7">
        <v>0</v>
      </c>
      <c r="AM258" s="18">
        <v>0</v>
      </c>
      <c r="AN258" s="8">
        <v>0</v>
      </c>
      <c r="AO258" s="7">
        <v>0</v>
      </c>
      <c r="AP258" s="18">
        <v>0</v>
      </c>
      <c r="AQ258" s="8">
        <v>0</v>
      </c>
      <c r="AR258" s="7">
        <v>0</v>
      </c>
      <c r="AS258" s="18">
        <v>0</v>
      </c>
      <c r="AT258" s="8">
        <v>0</v>
      </c>
      <c r="AU258" s="7">
        <v>0</v>
      </c>
      <c r="AV258" s="18">
        <v>0</v>
      </c>
      <c r="AW258" s="8">
        <v>0</v>
      </c>
      <c r="AX258" s="7">
        <v>0</v>
      </c>
      <c r="AY258" s="18">
        <v>0</v>
      </c>
      <c r="AZ258" s="8"/>
      <c r="BA258" s="7"/>
      <c r="BB258" s="18"/>
      <c r="BC258" s="8"/>
      <c r="BD258" s="7"/>
      <c r="BE258" s="18"/>
      <c r="BF258" s="8"/>
      <c r="BG258" s="7"/>
      <c r="BH258" s="18"/>
    </row>
    <row r="259" spans="3:60" ht="20.25" hidden="1" x14ac:dyDescent="0.3">
      <c r="C259" s="8" t="s">
        <v>3</v>
      </c>
      <c r="D259" s="8"/>
      <c r="E259" s="7"/>
      <c r="F259" s="18">
        <f t="shared" si="15"/>
        <v>0</v>
      </c>
      <c r="G259" s="8">
        <v>0</v>
      </c>
      <c r="H259" s="7">
        <v>0</v>
      </c>
      <c r="I259" s="18">
        <v>0</v>
      </c>
      <c r="J259" s="8">
        <v>0</v>
      </c>
      <c r="K259" s="7">
        <v>0</v>
      </c>
      <c r="L259" s="18">
        <v>0</v>
      </c>
      <c r="M259" s="8">
        <v>0</v>
      </c>
      <c r="N259" s="7">
        <v>0</v>
      </c>
      <c r="O259" s="18">
        <v>0</v>
      </c>
      <c r="P259" s="8">
        <v>0</v>
      </c>
      <c r="Q259" s="7">
        <v>0</v>
      </c>
      <c r="R259" s="18">
        <v>0</v>
      </c>
      <c r="S259" s="8">
        <v>0</v>
      </c>
      <c r="T259" s="7">
        <v>0</v>
      </c>
      <c r="U259" s="18">
        <v>0</v>
      </c>
      <c r="V259" s="8">
        <v>0</v>
      </c>
      <c r="W259" s="7">
        <v>0</v>
      </c>
      <c r="X259" s="18">
        <v>0</v>
      </c>
      <c r="Y259" s="8">
        <v>0</v>
      </c>
      <c r="Z259" s="7">
        <v>0</v>
      </c>
      <c r="AA259" s="18">
        <v>0</v>
      </c>
      <c r="AB259" s="8">
        <v>0</v>
      </c>
      <c r="AC259" s="7">
        <v>0</v>
      </c>
      <c r="AD259" s="18">
        <v>0</v>
      </c>
      <c r="AE259" s="8">
        <v>0</v>
      </c>
      <c r="AF259" s="7">
        <v>0</v>
      </c>
      <c r="AG259" s="18">
        <v>0</v>
      </c>
      <c r="AH259" s="8">
        <v>0</v>
      </c>
      <c r="AI259" s="7">
        <v>0</v>
      </c>
      <c r="AJ259" s="18">
        <v>0</v>
      </c>
      <c r="AK259" s="8">
        <v>0</v>
      </c>
      <c r="AL259" s="7">
        <v>0</v>
      </c>
      <c r="AM259" s="18">
        <v>0</v>
      </c>
      <c r="AN259" s="8">
        <v>0</v>
      </c>
      <c r="AO259" s="7">
        <v>0</v>
      </c>
      <c r="AP259" s="18">
        <v>0</v>
      </c>
      <c r="AQ259" s="8">
        <v>0</v>
      </c>
      <c r="AR259" s="7">
        <v>0</v>
      </c>
      <c r="AS259" s="18">
        <v>0</v>
      </c>
      <c r="AT259" s="8">
        <v>0</v>
      </c>
      <c r="AU259" s="7">
        <v>0</v>
      </c>
      <c r="AV259" s="18">
        <v>0</v>
      </c>
      <c r="AW259" s="8">
        <v>0</v>
      </c>
      <c r="AX259" s="7">
        <v>0</v>
      </c>
      <c r="AY259" s="18">
        <v>0</v>
      </c>
      <c r="AZ259" s="8"/>
      <c r="BA259" s="7"/>
      <c r="BB259" s="18"/>
      <c r="BC259" s="8"/>
      <c r="BD259" s="7"/>
      <c r="BE259" s="18"/>
      <c r="BF259" s="8"/>
      <c r="BG259" s="7"/>
      <c r="BH259" s="18"/>
    </row>
    <row r="260" spans="3:60" ht="20.25" hidden="1" x14ac:dyDescent="0.3">
      <c r="C260" s="8" t="s">
        <v>3</v>
      </c>
      <c r="D260" s="8"/>
      <c r="E260" s="7"/>
      <c r="F260" s="18">
        <f t="shared" si="15"/>
        <v>0</v>
      </c>
      <c r="G260" s="8">
        <v>0</v>
      </c>
      <c r="H260" s="7">
        <v>0</v>
      </c>
      <c r="I260" s="18">
        <v>0</v>
      </c>
      <c r="J260" s="8">
        <v>0</v>
      </c>
      <c r="K260" s="7">
        <v>0</v>
      </c>
      <c r="L260" s="18">
        <v>0</v>
      </c>
      <c r="M260" s="8">
        <v>0</v>
      </c>
      <c r="N260" s="7">
        <v>0</v>
      </c>
      <c r="O260" s="18">
        <v>0</v>
      </c>
      <c r="P260" s="8">
        <v>0</v>
      </c>
      <c r="Q260" s="7">
        <v>0</v>
      </c>
      <c r="R260" s="18">
        <v>0</v>
      </c>
      <c r="S260" s="8">
        <v>0</v>
      </c>
      <c r="T260" s="7">
        <v>0</v>
      </c>
      <c r="U260" s="18">
        <v>0</v>
      </c>
      <c r="V260" s="8">
        <v>0</v>
      </c>
      <c r="W260" s="7">
        <v>0</v>
      </c>
      <c r="X260" s="18">
        <v>0</v>
      </c>
      <c r="Y260" s="8">
        <v>0</v>
      </c>
      <c r="Z260" s="7">
        <v>0</v>
      </c>
      <c r="AA260" s="18">
        <v>0</v>
      </c>
      <c r="AB260" s="8">
        <v>0</v>
      </c>
      <c r="AC260" s="7">
        <v>0</v>
      </c>
      <c r="AD260" s="18">
        <v>0</v>
      </c>
      <c r="AE260" s="8">
        <v>0</v>
      </c>
      <c r="AF260" s="7">
        <v>0</v>
      </c>
      <c r="AG260" s="18">
        <v>0</v>
      </c>
      <c r="AH260" s="8">
        <v>0</v>
      </c>
      <c r="AI260" s="7">
        <v>0</v>
      </c>
      <c r="AJ260" s="18">
        <v>0</v>
      </c>
      <c r="AK260" s="8">
        <v>0</v>
      </c>
      <c r="AL260" s="7">
        <v>0</v>
      </c>
      <c r="AM260" s="18">
        <v>0</v>
      </c>
      <c r="AN260" s="8">
        <v>0</v>
      </c>
      <c r="AO260" s="7">
        <v>0</v>
      </c>
      <c r="AP260" s="18">
        <v>0</v>
      </c>
      <c r="AQ260" s="8">
        <v>0</v>
      </c>
      <c r="AR260" s="7">
        <v>0</v>
      </c>
      <c r="AS260" s="18">
        <v>0</v>
      </c>
      <c r="AT260" s="8">
        <v>0</v>
      </c>
      <c r="AU260" s="7">
        <v>0</v>
      </c>
      <c r="AV260" s="18">
        <v>0</v>
      </c>
      <c r="AW260" s="8">
        <v>0</v>
      </c>
      <c r="AX260" s="7">
        <v>0</v>
      </c>
      <c r="AY260" s="18">
        <v>0</v>
      </c>
      <c r="AZ260" s="8"/>
      <c r="BA260" s="7"/>
      <c r="BB260" s="18"/>
      <c r="BC260" s="8"/>
      <c r="BD260" s="7"/>
      <c r="BE260" s="18"/>
      <c r="BF260" s="8"/>
      <c r="BG260" s="7"/>
      <c r="BH260" s="18"/>
    </row>
    <row r="261" spans="3:60" ht="20.25" x14ac:dyDescent="0.3">
      <c r="C261" s="25" t="s">
        <v>23</v>
      </c>
      <c r="D261" s="8"/>
      <c r="E261" s="7"/>
      <c r="F261" s="18">
        <f t="shared" si="15"/>
        <v>27549.53</v>
      </c>
      <c r="G261" s="8">
        <v>0</v>
      </c>
      <c r="H261" s="7">
        <v>0</v>
      </c>
      <c r="I261" s="18">
        <v>0</v>
      </c>
      <c r="J261" s="8">
        <v>0</v>
      </c>
      <c r="K261" s="7">
        <v>0</v>
      </c>
      <c r="L261" s="18">
        <v>0</v>
      </c>
      <c r="M261" s="8">
        <v>0</v>
      </c>
      <c r="N261" s="7">
        <v>0</v>
      </c>
      <c r="O261" s="18">
        <v>0</v>
      </c>
      <c r="P261" s="8">
        <v>0</v>
      </c>
      <c r="Q261" s="7">
        <v>0</v>
      </c>
      <c r="R261" s="18">
        <v>19685.27</v>
      </c>
      <c r="S261" s="8">
        <v>0</v>
      </c>
      <c r="T261" s="7">
        <v>0</v>
      </c>
      <c r="U261" s="18">
        <v>4612.3900000000003</v>
      </c>
      <c r="V261" s="8">
        <v>0</v>
      </c>
      <c r="W261" s="7">
        <v>0</v>
      </c>
      <c r="X261" s="18">
        <v>2482.89</v>
      </c>
      <c r="Y261" s="8">
        <v>0</v>
      </c>
      <c r="Z261" s="7">
        <v>0</v>
      </c>
      <c r="AA261" s="18">
        <v>0</v>
      </c>
      <c r="AB261" s="8">
        <v>0</v>
      </c>
      <c r="AC261" s="7">
        <v>0</v>
      </c>
      <c r="AD261" s="18">
        <v>0</v>
      </c>
      <c r="AE261" s="8">
        <v>0</v>
      </c>
      <c r="AF261" s="7">
        <v>0</v>
      </c>
      <c r="AG261" s="18">
        <v>0</v>
      </c>
      <c r="AH261" s="8">
        <v>0</v>
      </c>
      <c r="AI261" s="7">
        <v>0</v>
      </c>
      <c r="AJ261" s="18">
        <v>0</v>
      </c>
      <c r="AK261" s="8">
        <v>0</v>
      </c>
      <c r="AL261" s="7">
        <v>0</v>
      </c>
      <c r="AM261" s="18">
        <v>0</v>
      </c>
      <c r="AN261" s="8">
        <v>0</v>
      </c>
      <c r="AO261" s="7">
        <v>0</v>
      </c>
      <c r="AP261" s="18">
        <v>0</v>
      </c>
      <c r="AQ261" s="8">
        <v>0</v>
      </c>
      <c r="AR261" s="7">
        <v>0</v>
      </c>
      <c r="AS261" s="18">
        <v>0</v>
      </c>
      <c r="AT261" s="8">
        <v>0</v>
      </c>
      <c r="AU261" s="7">
        <v>0</v>
      </c>
      <c r="AV261" s="18">
        <v>768.98</v>
      </c>
      <c r="AW261" s="8">
        <v>0</v>
      </c>
      <c r="AX261" s="7">
        <v>0</v>
      </c>
      <c r="AY261" s="18">
        <v>0</v>
      </c>
      <c r="AZ261" s="8"/>
      <c r="BA261" s="7"/>
      <c r="BB261" s="18"/>
      <c r="BC261" s="8"/>
      <c r="BD261" s="7"/>
      <c r="BE261" s="18"/>
      <c r="BF261" s="8"/>
      <c r="BG261" s="7"/>
      <c r="BH261" s="18"/>
    </row>
    <row r="262" spans="3:60" ht="20.25" x14ac:dyDescent="0.3">
      <c r="C262" s="17" t="s">
        <v>22</v>
      </c>
      <c r="D262" s="72"/>
      <c r="E262" s="71"/>
      <c r="F262" s="68">
        <f t="shared" si="15"/>
        <v>35448.17</v>
      </c>
      <c r="G262" s="72">
        <v>0</v>
      </c>
      <c r="H262" s="71">
        <v>0</v>
      </c>
      <c r="I262" s="68">
        <v>0</v>
      </c>
      <c r="J262" s="72">
        <v>0</v>
      </c>
      <c r="K262" s="71">
        <v>0</v>
      </c>
      <c r="L262" s="68">
        <v>0</v>
      </c>
      <c r="M262" s="72">
        <v>0</v>
      </c>
      <c r="N262" s="71">
        <v>0</v>
      </c>
      <c r="O262" s="68">
        <v>0</v>
      </c>
      <c r="P262" s="72">
        <v>0</v>
      </c>
      <c r="Q262" s="71">
        <v>0</v>
      </c>
      <c r="R262" s="68">
        <v>23521.4</v>
      </c>
      <c r="S262" s="72">
        <v>0</v>
      </c>
      <c r="T262" s="71">
        <v>0</v>
      </c>
      <c r="U262" s="68">
        <v>5918.61</v>
      </c>
      <c r="V262" s="72">
        <v>0</v>
      </c>
      <c r="W262" s="71">
        <v>0</v>
      </c>
      <c r="X262" s="68">
        <v>2978.62</v>
      </c>
      <c r="Y262" s="72">
        <v>0</v>
      </c>
      <c r="Z262" s="71">
        <v>0</v>
      </c>
      <c r="AA262" s="68">
        <v>0</v>
      </c>
      <c r="AB262" s="72">
        <v>0</v>
      </c>
      <c r="AC262" s="71">
        <v>0</v>
      </c>
      <c r="AD262" s="68">
        <v>0</v>
      </c>
      <c r="AE262" s="72">
        <v>0</v>
      </c>
      <c r="AF262" s="71">
        <v>0</v>
      </c>
      <c r="AG262" s="68">
        <v>0</v>
      </c>
      <c r="AH262" s="72">
        <v>0</v>
      </c>
      <c r="AI262" s="71">
        <v>0</v>
      </c>
      <c r="AJ262" s="68">
        <v>0</v>
      </c>
      <c r="AK262" s="72">
        <v>0</v>
      </c>
      <c r="AL262" s="71">
        <v>0</v>
      </c>
      <c r="AM262" s="68">
        <v>0</v>
      </c>
      <c r="AN262" s="72">
        <v>0</v>
      </c>
      <c r="AO262" s="71">
        <v>0</v>
      </c>
      <c r="AP262" s="68">
        <v>0</v>
      </c>
      <c r="AQ262" s="72">
        <v>0</v>
      </c>
      <c r="AR262" s="71">
        <v>0</v>
      </c>
      <c r="AS262" s="68">
        <v>0</v>
      </c>
      <c r="AT262" s="72">
        <v>0</v>
      </c>
      <c r="AU262" s="71">
        <v>0</v>
      </c>
      <c r="AV262" s="68">
        <v>3029.54</v>
      </c>
      <c r="AW262" s="72">
        <v>0</v>
      </c>
      <c r="AX262" s="71">
        <v>0</v>
      </c>
      <c r="AY262" s="68">
        <v>0</v>
      </c>
      <c r="AZ262" s="72"/>
      <c r="BA262" s="71"/>
      <c r="BB262" s="68"/>
      <c r="BC262" s="72"/>
      <c r="BD262" s="71"/>
      <c r="BE262" s="68"/>
      <c r="BF262" s="72"/>
      <c r="BG262" s="71"/>
      <c r="BH262" s="68"/>
    </row>
    <row r="263" spans="3:60" ht="20.25" x14ac:dyDescent="0.3">
      <c r="C263" s="17" t="s">
        <v>21</v>
      </c>
      <c r="D263" s="8"/>
      <c r="E263" s="7"/>
      <c r="F263" s="18">
        <f t="shared" si="15"/>
        <v>17098.760000000002</v>
      </c>
      <c r="G263" s="8">
        <v>0</v>
      </c>
      <c r="H263" s="7">
        <v>0</v>
      </c>
      <c r="I263" s="18">
        <v>0</v>
      </c>
      <c r="J263" s="8">
        <v>0</v>
      </c>
      <c r="K263" s="7">
        <v>0</v>
      </c>
      <c r="L263" s="18">
        <v>0</v>
      </c>
      <c r="M263" s="8">
        <v>0</v>
      </c>
      <c r="N263" s="7">
        <v>0</v>
      </c>
      <c r="O263" s="18">
        <v>0</v>
      </c>
      <c r="P263" s="8">
        <v>0</v>
      </c>
      <c r="Q263" s="7">
        <v>0</v>
      </c>
      <c r="R263" s="18">
        <v>14740.74</v>
      </c>
      <c r="S263" s="8">
        <v>0</v>
      </c>
      <c r="T263" s="7">
        <v>0</v>
      </c>
      <c r="U263" s="18">
        <v>0</v>
      </c>
      <c r="V263" s="8">
        <v>0</v>
      </c>
      <c r="W263" s="7">
        <v>0</v>
      </c>
      <c r="X263" s="18">
        <v>1464.77</v>
      </c>
      <c r="Y263" s="8">
        <v>0</v>
      </c>
      <c r="Z263" s="7">
        <v>0</v>
      </c>
      <c r="AA263" s="18">
        <v>0</v>
      </c>
      <c r="AB263" s="8">
        <v>0</v>
      </c>
      <c r="AC263" s="7">
        <v>0</v>
      </c>
      <c r="AD263" s="18">
        <v>0</v>
      </c>
      <c r="AE263" s="8">
        <v>0</v>
      </c>
      <c r="AF263" s="7">
        <v>0</v>
      </c>
      <c r="AG263" s="18">
        <v>0</v>
      </c>
      <c r="AH263" s="8">
        <v>0</v>
      </c>
      <c r="AI263" s="7">
        <v>0</v>
      </c>
      <c r="AJ263" s="18">
        <v>0</v>
      </c>
      <c r="AK263" s="8">
        <v>0</v>
      </c>
      <c r="AL263" s="7">
        <v>0</v>
      </c>
      <c r="AM263" s="18">
        <v>0</v>
      </c>
      <c r="AN263" s="8">
        <v>0</v>
      </c>
      <c r="AO263" s="7">
        <v>0</v>
      </c>
      <c r="AP263" s="18">
        <v>0</v>
      </c>
      <c r="AQ263" s="8">
        <v>0</v>
      </c>
      <c r="AR263" s="7">
        <v>0</v>
      </c>
      <c r="AS263" s="18">
        <v>0</v>
      </c>
      <c r="AT263" s="8">
        <v>0</v>
      </c>
      <c r="AU263" s="7">
        <v>0</v>
      </c>
      <c r="AV263" s="18">
        <v>893.25</v>
      </c>
      <c r="AW263" s="8">
        <v>0</v>
      </c>
      <c r="AX263" s="7">
        <v>0</v>
      </c>
      <c r="AY263" s="18">
        <v>0</v>
      </c>
      <c r="AZ263" s="8"/>
      <c r="BA263" s="7"/>
      <c r="BB263" s="18"/>
      <c r="BC263" s="8"/>
      <c r="BD263" s="7"/>
      <c r="BE263" s="18"/>
      <c r="BF263" s="8"/>
      <c r="BG263" s="7"/>
      <c r="BH263" s="18"/>
    </row>
    <row r="264" spans="3:60" ht="20.25" x14ac:dyDescent="0.3">
      <c r="C264" s="17" t="s">
        <v>20</v>
      </c>
      <c r="D264" s="8"/>
      <c r="E264" s="7"/>
      <c r="F264" s="18">
        <f t="shared" si="15"/>
        <v>4736.3</v>
      </c>
      <c r="G264" s="8">
        <v>0</v>
      </c>
      <c r="H264" s="7">
        <v>0</v>
      </c>
      <c r="I264" s="18">
        <v>0</v>
      </c>
      <c r="J264" s="8">
        <v>0</v>
      </c>
      <c r="K264" s="7">
        <v>0</v>
      </c>
      <c r="L264" s="18">
        <v>0</v>
      </c>
      <c r="M264" s="8">
        <v>0</v>
      </c>
      <c r="N264" s="7">
        <v>0</v>
      </c>
      <c r="O264" s="18">
        <v>0</v>
      </c>
      <c r="P264" s="8">
        <v>0</v>
      </c>
      <c r="Q264" s="7">
        <v>0</v>
      </c>
      <c r="R264" s="18">
        <v>3518.81</v>
      </c>
      <c r="S264" s="8">
        <v>0</v>
      </c>
      <c r="T264" s="7">
        <v>0</v>
      </c>
      <c r="U264" s="18">
        <v>0</v>
      </c>
      <c r="V264" s="8">
        <v>0</v>
      </c>
      <c r="W264" s="7">
        <v>0</v>
      </c>
      <c r="X264" s="18">
        <v>706.65</v>
      </c>
      <c r="Y264" s="8">
        <v>0</v>
      </c>
      <c r="Z264" s="7">
        <v>0</v>
      </c>
      <c r="AA264" s="18">
        <v>0</v>
      </c>
      <c r="AB264" s="8">
        <v>0</v>
      </c>
      <c r="AC264" s="7">
        <v>0</v>
      </c>
      <c r="AD264" s="18">
        <v>0</v>
      </c>
      <c r="AE264" s="8">
        <v>0</v>
      </c>
      <c r="AF264" s="7">
        <v>0</v>
      </c>
      <c r="AG264" s="18">
        <v>0</v>
      </c>
      <c r="AH264" s="8">
        <v>0</v>
      </c>
      <c r="AI264" s="7">
        <v>0</v>
      </c>
      <c r="AJ264" s="18">
        <v>0</v>
      </c>
      <c r="AK264" s="8">
        <v>0</v>
      </c>
      <c r="AL264" s="7">
        <v>0</v>
      </c>
      <c r="AM264" s="18">
        <v>0</v>
      </c>
      <c r="AN264" s="8">
        <v>0</v>
      </c>
      <c r="AO264" s="7">
        <v>0</v>
      </c>
      <c r="AP264" s="18">
        <v>0</v>
      </c>
      <c r="AQ264" s="8">
        <v>0</v>
      </c>
      <c r="AR264" s="7">
        <v>0</v>
      </c>
      <c r="AS264" s="18">
        <v>0</v>
      </c>
      <c r="AT264" s="8">
        <v>0</v>
      </c>
      <c r="AU264" s="7">
        <v>0</v>
      </c>
      <c r="AV264" s="18">
        <v>510.84</v>
      </c>
      <c r="AW264" s="8">
        <v>0</v>
      </c>
      <c r="AX264" s="7">
        <v>0</v>
      </c>
      <c r="AY264" s="18">
        <v>0</v>
      </c>
      <c r="AZ264" s="8"/>
      <c r="BA264" s="7"/>
      <c r="BB264" s="18"/>
      <c r="BC264" s="8"/>
      <c r="BD264" s="7"/>
      <c r="BE264" s="18"/>
      <c r="BF264" s="8"/>
      <c r="BG264" s="7"/>
      <c r="BH264" s="18"/>
    </row>
    <row r="265" spans="3:60" ht="20.25" hidden="1" x14ac:dyDescent="0.3">
      <c r="C265" s="8" t="s">
        <v>3</v>
      </c>
      <c r="D265" s="67"/>
      <c r="E265" s="66"/>
      <c r="F265" s="18">
        <f t="shared" si="15"/>
        <v>0</v>
      </c>
      <c r="G265" s="8">
        <v>0</v>
      </c>
      <c r="H265" s="7">
        <v>0</v>
      </c>
      <c r="I265" s="18">
        <v>0</v>
      </c>
      <c r="J265" s="8">
        <v>0</v>
      </c>
      <c r="K265" s="7">
        <v>0</v>
      </c>
      <c r="L265" s="18">
        <v>0</v>
      </c>
      <c r="M265" s="8">
        <v>0</v>
      </c>
      <c r="N265" s="7">
        <v>0</v>
      </c>
      <c r="O265" s="18">
        <v>0</v>
      </c>
      <c r="P265" s="8">
        <v>0</v>
      </c>
      <c r="Q265" s="7">
        <v>0</v>
      </c>
      <c r="R265" s="18">
        <v>0</v>
      </c>
      <c r="S265" s="8">
        <v>0</v>
      </c>
      <c r="T265" s="7">
        <v>0</v>
      </c>
      <c r="U265" s="18">
        <v>0</v>
      </c>
      <c r="V265" s="8">
        <v>0</v>
      </c>
      <c r="W265" s="7">
        <v>0</v>
      </c>
      <c r="X265" s="18">
        <v>0</v>
      </c>
      <c r="Y265" s="8">
        <v>0</v>
      </c>
      <c r="Z265" s="7">
        <v>0</v>
      </c>
      <c r="AA265" s="18">
        <v>0</v>
      </c>
      <c r="AB265" s="8">
        <v>0</v>
      </c>
      <c r="AC265" s="7">
        <v>0</v>
      </c>
      <c r="AD265" s="18">
        <v>0</v>
      </c>
      <c r="AE265" s="8">
        <v>0</v>
      </c>
      <c r="AF265" s="7">
        <v>0</v>
      </c>
      <c r="AG265" s="18">
        <v>0</v>
      </c>
      <c r="AH265" s="8">
        <v>0</v>
      </c>
      <c r="AI265" s="7">
        <v>0</v>
      </c>
      <c r="AJ265" s="18">
        <v>0</v>
      </c>
      <c r="AK265" s="8">
        <v>0</v>
      </c>
      <c r="AL265" s="7">
        <v>0</v>
      </c>
      <c r="AM265" s="18">
        <v>0</v>
      </c>
      <c r="AN265" s="8">
        <v>0</v>
      </c>
      <c r="AO265" s="7">
        <v>0</v>
      </c>
      <c r="AP265" s="18">
        <v>0</v>
      </c>
      <c r="AQ265" s="8">
        <v>0</v>
      </c>
      <c r="AR265" s="7">
        <v>0</v>
      </c>
      <c r="AS265" s="18">
        <v>0</v>
      </c>
      <c r="AT265" s="8">
        <v>0</v>
      </c>
      <c r="AU265" s="7">
        <v>0</v>
      </c>
      <c r="AV265" s="18">
        <v>0</v>
      </c>
      <c r="AW265" s="8">
        <v>0</v>
      </c>
      <c r="AX265" s="7">
        <v>0</v>
      </c>
      <c r="AY265" s="18">
        <v>0</v>
      </c>
      <c r="AZ265" s="8"/>
      <c r="BA265" s="7"/>
      <c r="BB265" s="18"/>
      <c r="BC265" s="8"/>
      <c r="BD265" s="7"/>
      <c r="BE265" s="18"/>
      <c r="BF265" s="8"/>
      <c r="BG265" s="7"/>
      <c r="BH265" s="18"/>
    </row>
    <row r="266" spans="3:60" ht="20.25" x14ac:dyDescent="0.3">
      <c r="C266" s="11" t="s">
        <v>19</v>
      </c>
      <c r="D266" s="70"/>
      <c r="E266" s="13"/>
      <c r="F266" s="69">
        <f>SUM(F254:F264)</f>
        <v>215652.63</v>
      </c>
      <c r="G266" s="70" t="s">
        <v>18</v>
      </c>
      <c r="H266" s="13">
        <v>0</v>
      </c>
      <c r="I266" s="69">
        <v>0</v>
      </c>
      <c r="J266" s="70" t="s">
        <v>18</v>
      </c>
      <c r="K266" s="13">
        <v>0</v>
      </c>
      <c r="L266" s="69">
        <v>0</v>
      </c>
      <c r="M266" s="70" t="s">
        <v>18</v>
      </c>
      <c r="N266" s="13">
        <v>0</v>
      </c>
      <c r="O266" s="69">
        <v>0</v>
      </c>
      <c r="P266" s="70" t="s">
        <v>18</v>
      </c>
      <c r="Q266" s="13">
        <v>0.89401279339197404</v>
      </c>
      <c r="R266" s="69">
        <v>126252.29</v>
      </c>
      <c r="S266" s="70" t="s">
        <v>18</v>
      </c>
      <c r="T266" s="13">
        <v>0</v>
      </c>
      <c r="U266" s="69">
        <v>46540.77</v>
      </c>
      <c r="V266" s="70" t="s">
        <v>18</v>
      </c>
      <c r="W266" s="13">
        <v>0</v>
      </c>
      <c r="X266" s="69">
        <v>28823.66</v>
      </c>
      <c r="Y266" s="70" t="s">
        <v>18</v>
      </c>
      <c r="Z266" s="13">
        <v>0</v>
      </c>
      <c r="AA266" s="69">
        <v>0</v>
      </c>
      <c r="AB266" s="70" t="s">
        <v>18</v>
      </c>
      <c r="AC266" s="13">
        <v>0</v>
      </c>
      <c r="AD266" s="69">
        <v>0</v>
      </c>
      <c r="AE266" s="70" t="s">
        <v>18</v>
      </c>
      <c r="AF266" s="13">
        <v>0</v>
      </c>
      <c r="AG266" s="69">
        <v>0</v>
      </c>
      <c r="AH266" s="70" t="s">
        <v>18</v>
      </c>
      <c r="AI266" s="13">
        <v>0</v>
      </c>
      <c r="AJ266" s="69">
        <v>0</v>
      </c>
      <c r="AK266" s="70" t="s">
        <v>18</v>
      </c>
      <c r="AL266" s="13">
        <v>0</v>
      </c>
      <c r="AM266" s="69">
        <v>0</v>
      </c>
      <c r="AN266" s="70" t="s">
        <v>18</v>
      </c>
      <c r="AO266" s="13">
        <v>0</v>
      </c>
      <c r="AP266" s="69">
        <v>0</v>
      </c>
      <c r="AQ266" s="70" t="s">
        <v>18</v>
      </c>
      <c r="AR266" s="13">
        <v>0</v>
      </c>
      <c r="AS266" s="69">
        <v>0</v>
      </c>
      <c r="AT266" s="70" t="s">
        <v>18</v>
      </c>
      <c r="AU266" s="13">
        <v>0</v>
      </c>
      <c r="AV266" s="69">
        <v>14035.91</v>
      </c>
      <c r="AW266" s="70" t="s">
        <v>18</v>
      </c>
      <c r="AX266" s="13">
        <v>0</v>
      </c>
      <c r="AY266" s="69">
        <v>0</v>
      </c>
      <c r="AZ266" s="70"/>
      <c r="BA266" s="13"/>
      <c r="BB266" s="69"/>
      <c r="BC266" s="70"/>
      <c r="BD266" s="13"/>
      <c r="BE266" s="69"/>
      <c r="BF266" s="70"/>
      <c r="BG266" s="13"/>
      <c r="BH266" s="69"/>
    </row>
    <row r="267" spans="3:60" ht="20.25" x14ac:dyDescent="0.3">
      <c r="C267" s="21" t="s">
        <v>17</v>
      </c>
      <c r="D267" s="8"/>
      <c r="E267" s="7"/>
      <c r="F267" s="18">
        <f t="shared" ref="F267:F284" si="16">+SUM(I267,L267,O267,R267,U267,X267,AA267,AD267,AG267,AJ267,AM267,AP267,AS267,AV267,AY267,BB267,BE267,BH267)</f>
        <v>851.23</v>
      </c>
      <c r="G267" s="8">
        <v>0</v>
      </c>
      <c r="H267" s="7">
        <v>0</v>
      </c>
      <c r="I267" s="18">
        <v>0</v>
      </c>
      <c r="J267" s="8">
        <v>0</v>
      </c>
      <c r="K267" s="7">
        <v>0</v>
      </c>
      <c r="L267" s="18">
        <v>0</v>
      </c>
      <c r="M267" s="8">
        <v>0</v>
      </c>
      <c r="N267" s="7">
        <v>0</v>
      </c>
      <c r="O267" s="18">
        <v>0</v>
      </c>
      <c r="P267" s="8">
        <v>0</v>
      </c>
      <c r="Q267" s="7">
        <v>0</v>
      </c>
      <c r="R267" s="18">
        <v>819.73</v>
      </c>
      <c r="S267" s="8">
        <v>0</v>
      </c>
      <c r="T267" s="7">
        <v>0</v>
      </c>
      <c r="U267" s="18">
        <v>0</v>
      </c>
      <c r="V267" s="8">
        <v>0</v>
      </c>
      <c r="W267" s="7">
        <v>0</v>
      </c>
      <c r="X267" s="18">
        <v>0</v>
      </c>
      <c r="Y267" s="8">
        <v>0</v>
      </c>
      <c r="Z267" s="7">
        <v>0</v>
      </c>
      <c r="AA267" s="18">
        <v>0</v>
      </c>
      <c r="AB267" s="8">
        <v>0</v>
      </c>
      <c r="AC267" s="7">
        <v>0</v>
      </c>
      <c r="AD267" s="18">
        <v>0</v>
      </c>
      <c r="AE267" s="8">
        <v>0</v>
      </c>
      <c r="AF267" s="7">
        <v>0</v>
      </c>
      <c r="AG267" s="18">
        <v>0</v>
      </c>
      <c r="AH267" s="8">
        <v>0</v>
      </c>
      <c r="AI267" s="7">
        <v>0</v>
      </c>
      <c r="AJ267" s="18">
        <v>0</v>
      </c>
      <c r="AK267" s="8">
        <v>0</v>
      </c>
      <c r="AL267" s="7">
        <v>0</v>
      </c>
      <c r="AM267" s="18">
        <v>0</v>
      </c>
      <c r="AN267" s="8">
        <v>0</v>
      </c>
      <c r="AO267" s="7">
        <v>0</v>
      </c>
      <c r="AP267" s="18">
        <v>0</v>
      </c>
      <c r="AQ267" s="8">
        <v>0</v>
      </c>
      <c r="AR267" s="7">
        <v>0</v>
      </c>
      <c r="AS267" s="18">
        <v>0</v>
      </c>
      <c r="AT267" s="8">
        <v>0</v>
      </c>
      <c r="AU267" s="7">
        <v>0</v>
      </c>
      <c r="AV267" s="18">
        <v>31.5</v>
      </c>
      <c r="AW267" s="8">
        <v>0</v>
      </c>
      <c r="AX267" s="7">
        <v>0</v>
      </c>
      <c r="AY267" s="18">
        <v>0</v>
      </c>
      <c r="AZ267" s="8"/>
      <c r="BA267" s="7"/>
      <c r="BB267" s="18"/>
      <c r="BC267" s="8"/>
      <c r="BD267" s="7"/>
      <c r="BE267" s="18"/>
      <c r="BF267" s="8"/>
      <c r="BG267" s="7"/>
      <c r="BH267" s="18"/>
    </row>
    <row r="268" spans="3:60" ht="20.25" x14ac:dyDescent="0.3">
      <c r="C268" s="17" t="s">
        <v>16</v>
      </c>
      <c r="D268" s="8"/>
      <c r="E268" s="7"/>
      <c r="F268" s="18">
        <f t="shared" si="16"/>
        <v>15215.91</v>
      </c>
      <c r="G268" s="8">
        <v>0</v>
      </c>
      <c r="H268" s="7">
        <v>0</v>
      </c>
      <c r="I268" s="18">
        <v>0</v>
      </c>
      <c r="J268" s="8">
        <v>0</v>
      </c>
      <c r="K268" s="7">
        <v>0</v>
      </c>
      <c r="L268" s="18">
        <v>0</v>
      </c>
      <c r="M268" s="8">
        <v>0</v>
      </c>
      <c r="N268" s="7">
        <v>0</v>
      </c>
      <c r="O268" s="18">
        <v>0</v>
      </c>
      <c r="P268" s="8">
        <v>0</v>
      </c>
      <c r="Q268" s="7">
        <v>0</v>
      </c>
      <c r="R268" s="18">
        <v>1516.16</v>
      </c>
      <c r="S268" s="8">
        <v>0</v>
      </c>
      <c r="T268" s="7">
        <v>0</v>
      </c>
      <c r="U268" s="18">
        <v>0</v>
      </c>
      <c r="V268" s="8">
        <v>0</v>
      </c>
      <c r="W268" s="7">
        <v>0</v>
      </c>
      <c r="X268" s="18">
        <v>1982.55</v>
      </c>
      <c r="Y268" s="8">
        <v>0</v>
      </c>
      <c r="Z268" s="7">
        <v>0</v>
      </c>
      <c r="AA268" s="18">
        <v>0</v>
      </c>
      <c r="AB268" s="8">
        <v>0</v>
      </c>
      <c r="AC268" s="7">
        <v>0</v>
      </c>
      <c r="AD268" s="18">
        <v>0</v>
      </c>
      <c r="AE268" s="8">
        <v>0</v>
      </c>
      <c r="AF268" s="7">
        <v>0</v>
      </c>
      <c r="AG268" s="18">
        <v>0</v>
      </c>
      <c r="AH268" s="8">
        <v>0</v>
      </c>
      <c r="AI268" s="7">
        <v>0</v>
      </c>
      <c r="AJ268" s="18">
        <v>0</v>
      </c>
      <c r="AK268" s="8">
        <v>0</v>
      </c>
      <c r="AL268" s="7">
        <v>0</v>
      </c>
      <c r="AM268" s="18">
        <v>0</v>
      </c>
      <c r="AN268" s="8">
        <v>0</v>
      </c>
      <c r="AO268" s="7">
        <v>0</v>
      </c>
      <c r="AP268" s="18">
        <v>0</v>
      </c>
      <c r="AQ268" s="8">
        <v>0</v>
      </c>
      <c r="AR268" s="7">
        <v>0</v>
      </c>
      <c r="AS268" s="18">
        <v>0</v>
      </c>
      <c r="AT268" s="8">
        <v>0</v>
      </c>
      <c r="AU268" s="7">
        <v>0</v>
      </c>
      <c r="AV268" s="18">
        <v>11717.2</v>
      </c>
      <c r="AW268" s="8">
        <v>0</v>
      </c>
      <c r="AX268" s="7">
        <v>0</v>
      </c>
      <c r="AY268" s="18">
        <v>0</v>
      </c>
      <c r="AZ268" s="8"/>
      <c r="BA268" s="7"/>
      <c r="BB268" s="18"/>
      <c r="BC268" s="8"/>
      <c r="BD268" s="7"/>
      <c r="BE268" s="18"/>
      <c r="BF268" s="8"/>
      <c r="BG268" s="7"/>
      <c r="BH268" s="18"/>
    </row>
    <row r="269" spans="3:60" ht="20.25" x14ac:dyDescent="0.3">
      <c r="C269" s="25" t="s">
        <v>15</v>
      </c>
      <c r="D269" s="67"/>
      <c r="E269" s="66"/>
      <c r="F269" s="18">
        <f t="shared" si="16"/>
        <v>29319.040000000001</v>
      </c>
      <c r="G269" s="67">
        <v>0</v>
      </c>
      <c r="H269" s="66">
        <v>0</v>
      </c>
      <c r="I269" s="18">
        <v>0</v>
      </c>
      <c r="J269" s="67">
        <v>0</v>
      </c>
      <c r="K269" s="66">
        <v>0</v>
      </c>
      <c r="L269" s="18">
        <v>0</v>
      </c>
      <c r="M269" s="67">
        <v>0</v>
      </c>
      <c r="N269" s="66">
        <v>0</v>
      </c>
      <c r="O269" s="18">
        <v>0</v>
      </c>
      <c r="P269" s="67">
        <v>0</v>
      </c>
      <c r="Q269" s="66">
        <v>0</v>
      </c>
      <c r="R269" s="18">
        <v>28555.06</v>
      </c>
      <c r="S269" s="67">
        <v>0</v>
      </c>
      <c r="T269" s="66">
        <v>0</v>
      </c>
      <c r="U269" s="18">
        <v>0</v>
      </c>
      <c r="V269" s="67">
        <v>0</v>
      </c>
      <c r="W269" s="66">
        <v>0</v>
      </c>
      <c r="X269" s="18">
        <v>428.3</v>
      </c>
      <c r="Y269" s="67">
        <v>0</v>
      </c>
      <c r="Z269" s="66">
        <v>0</v>
      </c>
      <c r="AA269" s="18">
        <v>0</v>
      </c>
      <c r="AB269" s="67">
        <v>0</v>
      </c>
      <c r="AC269" s="66">
        <v>0</v>
      </c>
      <c r="AD269" s="18">
        <v>0</v>
      </c>
      <c r="AE269" s="67">
        <v>0</v>
      </c>
      <c r="AF269" s="66">
        <v>0</v>
      </c>
      <c r="AG269" s="18">
        <v>0</v>
      </c>
      <c r="AH269" s="67">
        <v>0</v>
      </c>
      <c r="AI269" s="66">
        <v>0</v>
      </c>
      <c r="AJ269" s="18">
        <v>0</v>
      </c>
      <c r="AK269" s="67">
        <v>0</v>
      </c>
      <c r="AL269" s="66">
        <v>0</v>
      </c>
      <c r="AM269" s="18">
        <v>0</v>
      </c>
      <c r="AN269" s="67">
        <v>0</v>
      </c>
      <c r="AO269" s="66">
        <v>0</v>
      </c>
      <c r="AP269" s="18">
        <v>0</v>
      </c>
      <c r="AQ269" s="67">
        <v>0</v>
      </c>
      <c r="AR269" s="66">
        <v>0</v>
      </c>
      <c r="AS269" s="18">
        <v>0</v>
      </c>
      <c r="AT269" s="67">
        <v>0</v>
      </c>
      <c r="AU269" s="66">
        <v>0</v>
      </c>
      <c r="AV269" s="18">
        <v>335.68</v>
      </c>
      <c r="AW269" s="67">
        <v>0</v>
      </c>
      <c r="AX269" s="66">
        <v>0</v>
      </c>
      <c r="AY269" s="18">
        <v>0</v>
      </c>
      <c r="AZ269" s="67"/>
      <c r="BA269" s="66"/>
      <c r="BB269" s="18"/>
      <c r="BC269" s="67"/>
      <c r="BD269" s="66"/>
      <c r="BE269" s="18"/>
      <c r="BF269" s="67"/>
      <c r="BG269" s="66"/>
      <c r="BH269" s="18"/>
    </row>
    <row r="270" spans="3:60" ht="20.25" x14ac:dyDescent="0.3">
      <c r="C270" s="17" t="s">
        <v>14</v>
      </c>
      <c r="D270" s="8"/>
      <c r="E270" s="7"/>
      <c r="F270" s="68">
        <f t="shared" si="16"/>
        <v>14735.3</v>
      </c>
      <c r="G270" s="8">
        <v>0</v>
      </c>
      <c r="H270" s="7">
        <v>0</v>
      </c>
      <c r="I270" s="68">
        <v>0</v>
      </c>
      <c r="J270" s="8">
        <v>0</v>
      </c>
      <c r="K270" s="7">
        <v>0</v>
      </c>
      <c r="L270" s="68">
        <v>0</v>
      </c>
      <c r="M270" s="8">
        <v>0</v>
      </c>
      <c r="N270" s="7">
        <v>0</v>
      </c>
      <c r="O270" s="68">
        <v>0</v>
      </c>
      <c r="P270" s="8">
        <v>0</v>
      </c>
      <c r="Q270" s="7">
        <v>0</v>
      </c>
      <c r="R270" s="68">
        <v>6835.79</v>
      </c>
      <c r="S270" s="8">
        <v>0</v>
      </c>
      <c r="T270" s="7">
        <v>0</v>
      </c>
      <c r="U270" s="68">
        <v>0</v>
      </c>
      <c r="V270" s="8">
        <v>0</v>
      </c>
      <c r="W270" s="7">
        <v>0</v>
      </c>
      <c r="X270" s="68">
        <v>4508.99</v>
      </c>
      <c r="Y270" s="8">
        <v>0</v>
      </c>
      <c r="Z270" s="7">
        <v>0</v>
      </c>
      <c r="AA270" s="68">
        <v>0</v>
      </c>
      <c r="AB270" s="8">
        <v>0</v>
      </c>
      <c r="AC270" s="7">
        <v>0</v>
      </c>
      <c r="AD270" s="68">
        <v>0</v>
      </c>
      <c r="AE270" s="8">
        <v>0</v>
      </c>
      <c r="AF270" s="7">
        <v>0</v>
      </c>
      <c r="AG270" s="68">
        <v>0</v>
      </c>
      <c r="AH270" s="8">
        <v>0</v>
      </c>
      <c r="AI270" s="7">
        <v>0</v>
      </c>
      <c r="AJ270" s="68">
        <v>0</v>
      </c>
      <c r="AK270" s="8">
        <v>0</v>
      </c>
      <c r="AL270" s="7">
        <v>0</v>
      </c>
      <c r="AM270" s="68">
        <v>0</v>
      </c>
      <c r="AN270" s="8">
        <v>0</v>
      </c>
      <c r="AO270" s="7">
        <v>0</v>
      </c>
      <c r="AP270" s="68">
        <v>0</v>
      </c>
      <c r="AQ270" s="8">
        <v>0</v>
      </c>
      <c r="AR270" s="7">
        <v>0</v>
      </c>
      <c r="AS270" s="68">
        <v>0</v>
      </c>
      <c r="AT270" s="8">
        <v>0</v>
      </c>
      <c r="AU270" s="7">
        <v>0</v>
      </c>
      <c r="AV270" s="68">
        <v>3390.52</v>
      </c>
      <c r="AW270" s="8">
        <v>0</v>
      </c>
      <c r="AX270" s="7">
        <v>0</v>
      </c>
      <c r="AY270" s="68">
        <v>0</v>
      </c>
      <c r="AZ270" s="8"/>
      <c r="BA270" s="7"/>
      <c r="BB270" s="68"/>
      <c r="BC270" s="8"/>
      <c r="BD270" s="7"/>
      <c r="BE270" s="68"/>
      <c r="BF270" s="8"/>
      <c r="BG270" s="7"/>
      <c r="BH270" s="68"/>
    </row>
    <row r="271" spans="3:60" ht="20.25" x14ac:dyDescent="0.3">
      <c r="C271" s="17" t="s">
        <v>13</v>
      </c>
      <c r="D271" s="8"/>
      <c r="E271" s="7"/>
      <c r="F271" s="18">
        <f t="shared" si="16"/>
        <v>1718.119999999999</v>
      </c>
      <c r="G271" s="8">
        <v>0</v>
      </c>
      <c r="H271" s="7">
        <v>0</v>
      </c>
      <c r="I271" s="18">
        <v>0</v>
      </c>
      <c r="J271" s="8">
        <v>0</v>
      </c>
      <c r="K271" s="7">
        <v>0</v>
      </c>
      <c r="L271" s="18">
        <v>0</v>
      </c>
      <c r="M271" s="8">
        <v>0</v>
      </c>
      <c r="N271" s="7">
        <v>0</v>
      </c>
      <c r="O271" s="18">
        <v>0</v>
      </c>
      <c r="P271" s="8">
        <v>0</v>
      </c>
      <c r="Q271" s="7">
        <v>0</v>
      </c>
      <c r="R271" s="18">
        <v>365.789999999999</v>
      </c>
      <c r="S271" s="8">
        <v>0</v>
      </c>
      <c r="T271" s="7">
        <v>0</v>
      </c>
      <c r="U271" s="18">
        <v>140.32</v>
      </c>
      <c r="V271" s="8">
        <v>0</v>
      </c>
      <c r="W271" s="7">
        <v>0</v>
      </c>
      <c r="X271" s="18">
        <v>715.91</v>
      </c>
      <c r="Y271" s="8">
        <v>0</v>
      </c>
      <c r="Z271" s="7">
        <v>0</v>
      </c>
      <c r="AA271" s="18">
        <v>0</v>
      </c>
      <c r="AB271" s="8">
        <v>0</v>
      </c>
      <c r="AC271" s="7">
        <v>0</v>
      </c>
      <c r="AD271" s="18">
        <v>0</v>
      </c>
      <c r="AE271" s="8">
        <v>0</v>
      </c>
      <c r="AF271" s="7">
        <v>0</v>
      </c>
      <c r="AG271" s="18">
        <v>0</v>
      </c>
      <c r="AH271" s="8">
        <v>0</v>
      </c>
      <c r="AI271" s="7">
        <v>0</v>
      </c>
      <c r="AJ271" s="18">
        <v>0</v>
      </c>
      <c r="AK271" s="8">
        <v>0</v>
      </c>
      <c r="AL271" s="7">
        <v>0</v>
      </c>
      <c r="AM271" s="18">
        <v>0</v>
      </c>
      <c r="AN271" s="8">
        <v>0</v>
      </c>
      <c r="AO271" s="7">
        <v>0</v>
      </c>
      <c r="AP271" s="18">
        <v>0</v>
      </c>
      <c r="AQ271" s="8">
        <v>0</v>
      </c>
      <c r="AR271" s="7">
        <v>0</v>
      </c>
      <c r="AS271" s="18">
        <v>0</v>
      </c>
      <c r="AT271" s="8">
        <v>0</v>
      </c>
      <c r="AU271" s="7">
        <v>0</v>
      </c>
      <c r="AV271" s="18">
        <v>496.1</v>
      </c>
      <c r="AW271" s="8">
        <v>0</v>
      </c>
      <c r="AX271" s="7">
        <v>0</v>
      </c>
      <c r="AY271" s="18">
        <v>0</v>
      </c>
      <c r="AZ271" s="8"/>
      <c r="BA271" s="7"/>
      <c r="BB271" s="18"/>
      <c r="BC271" s="8"/>
      <c r="BD271" s="7"/>
      <c r="BE271" s="18"/>
      <c r="BF271" s="8"/>
      <c r="BG271" s="7"/>
      <c r="BH271" s="18"/>
    </row>
    <row r="272" spans="3:60" ht="20.25" x14ac:dyDescent="0.3">
      <c r="C272" s="17" t="s">
        <v>12</v>
      </c>
      <c r="D272" s="67"/>
      <c r="E272" s="66"/>
      <c r="F272" s="18">
        <f t="shared" si="16"/>
        <v>8906.2900000000009</v>
      </c>
      <c r="G272" s="67">
        <v>0</v>
      </c>
      <c r="H272" s="66">
        <v>0</v>
      </c>
      <c r="I272" s="18">
        <v>0</v>
      </c>
      <c r="J272" s="67">
        <v>0</v>
      </c>
      <c r="K272" s="66">
        <v>0</v>
      </c>
      <c r="L272" s="18">
        <v>0</v>
      </c>
      <c r="M272" s="67">
        <v>0</v>
      </c>
      <c r="N272" s="66">
        <v>0</v>
      </c>
      <c r="O272" s="18">
        <v>0</v>
      </c>
      <c r="P272" s="67">
        <v>0</v>
      </c>
      <c r="Q272" s="66">
        <v>0</v>
      </c>
      <c r="R272" s="18">
        <v>3582.34</v>
      </c>
      <c r="S272" s="67">
        <v>0</v>
      </c>
      <c r="T272" s="66">
        <v>0</v>
      </c>
      <c r="U272" s="18">
        <v>0</v>
      </c>
      <c r="V272" s="67">
        <v>0</v>
      </c>
      <c r="W272" s="66">
        <v>0</v>
      </c>
      <c r="X272" s="18">
        <v>3656.88</v>
      </c>
      <c r="Y272" s="67">
        <v>0</v>
      </c>
      <c r="Z272" s="66">
        <v>0</v>
      </c>
      <c r="AA272" s="18">
        <v>0</v>
      </c>
      <c r="AB272" s="67">
        <v>0</v>
      </c>
      <c r="AC272" s="66">
        <v>0</v>
      </c>
      <c r="AD272" s="18">
        <v>0</v>
      </c>
      <c r="AE272" s="67">
        <v>0</v>
      </c>
      <c r="AF272" s="66">
        <v>0</v>
      </c>
      <c r="AG272" s="18">
        <v>0</v>
      </c>
      <c r="AH272" s="67">
        <v>0</v>
      </c>
      <c r="AI272" s="66">
        <v>0</v>
      </c>
      <c r="AJ272" s="18">
        <v>0</v>
      </c>
      <c r="AK272" s="67">
        <v>0</v>
      </c>
      <c r="AL272" s="66">
        <v>0</v>
      </c>
      <c r="AM272" s="18">
        <v>0</v>
      </c>
      <c r="AN272" s="67">
        <v>0</v>
      </c>
      <c r="AO272" s="66">
        <v>0</v>
      </c>
      <c r="AP272" s="18">
        <v>0</v>
      </c>
      <c r="AQ272" s="67">
        <v>0</v>
      </c>
      <c r="AR272" s="66">
        <v>0</v>
      </c>
      <c r="AS272" s="18">
        <v>0</v>
      </c>
      <c r="AT272" s="67">
        <v>0</v>
      </c>
      <c r="AU272" s="66">
        <v>0</v>
      </c>
      <c r="AV272" s="18">
        <v>1667.07</v>
      </c>
      <c r="AW272" s="67">
        <v>0</v>
      </c>
      <c r="AX272" s="66">
        <v>0</v>
      </c>
      <c r="AY272" s="18">
        <v>0</v>
      </c>
      <c r="AZ272" s="67"/>
      <c r="BA272" s="66"/>
      <c r="BB272" s="18"/>
      <c r="BC272" s="67"/>
      <c r="BD272" s="66"/>
      <c r="BE272" s="18"/>
      <c r="BF272" s="67"/>
      <c r="BG272" s="66"/>
      <c r="BH272" s="18"/>
    </row>
    <row r="273" spans="3:60" ht="20.25" x14ac:dyDescent="0.3">
      <c r="C273" s="21" t="s">
        <v>34</v>
      </c>
      <c r="D273" s="8"/>
      <c r="E273" s="7"/>
      <c r="F273" s="68">
        <f t="shared" si="16"/>
        <v>0</v>
      </c>
      <c r="G273" s="8">
        <v>0</v>
      </c>
      <c r="H273" s="7">
        <v>0</v>
      </c>
      <c r="I273" s="68">
        <v>0</v>
      </c>
      <c r="J273" s="8">
        <v>0</v>
      </c>
      <c r="K273" s="7">
        <v>0</v>
      </c>
      <c r="L273" s="68">
        <v>0</v>
      </c>
      <c r="M273" s="8">
        <v>0</v>
      </c>
      <c r="N273" s="7">
        <v>0</v>
      </c>
      <c r="O273" s="68">
        <v>0</v>
      </c>
      <c r="P273" s="8">
        <v>0</v>
      </c>
      <c r="Q273" s="7">
        <v>0</v>
      </c>
      <c r="R273" s="68">
        <v>0</v>
      </c>
      <c r="S273" s="8">
        <v>0</v>
      </c>
      <c r="T273" s="7">
        <v>0</v>
      </c>
      <c r="U273" s="68">
        <v>0</v>
      </c>
      <c r="V273" s="8">
        <v>0</v>
      </c>
      <c r="W273" s="7">
        <v>0</v>
      </c>
      <c r="X273" s="68">
        <v>0</v>
      </c>
      <c r="Y273" s="8">
        <v>0</v>
      </c>
      <c r="Z273" s="7">
        <v>0</v>
      </c>
      <c r="AA273" s="68">
        <v>0</v>
      </c>
      <c r="AB273" s="8">
        <v>0</v>
      </c>
      <c r="AC273" s="7">
        <v>0</v>
      </c>
      <c r="AD273" s="68">
        <v>0</v>
      </c>
      <c r="AE273" s="8">
        <v>0</v>
      </c>
      <c r="AF273" s="7">
        <v>0</v>
      </c>
      <c r="AG273" s="68">
        <v>0</v>
      </c>
      <c r="AH273" s="8">
        <v>0</v>
      </c>
      <c r="AI273" s="7">
        <v>0</v>
      </c>
      <c r="AJ273" s="68">
        <v>0</v>
      </c>
      <c r="AK273" s="8">
        <v>0</v>
      </c>
      <c r="AL273" s="7">
        <v>0</v>
      </c>
      <c r="AM273" s="68">
        <v>0</v>
      </c>
      <c r="AN273" s="8">
        <v>0</v>
      </c>
      <c r="AO273" s="7">
        <v>0</v>
      </c>
      <c r="AP273" s="68">
        <v>0</v>
      </c>
      <c r="AQ273" s="8">
        <v>0</v>
      </c>
      <c r="AR273" s="7">
        <v>0</v>
      </c>
      <c r="AS273" s="68">
        <v>0</v>
      </c>
      <c r="AT273" s="8">
        <v>0</v>
      </c>
      <c r="AU273" s="7">
        <v>0</v>
      </c>
      <c r="AV273" s="68">
        <v>0</v>
      </c>
      <c r="AW273" s="8">
        <v>0</v>
      </c>
      <c r="AX273" s="7">
        <v>0</v>
      </c>
      <c r="AY273" s="68">
        <v>0</v>
      </c>
      <c r="AZ273" s="8"/>
      <c r="BA273" s="7"/>
      <c r="BB273" s="68"/>
      <c r="BC273" s="8"/>
      <c r="BD273" s="7"/>
      <c r="BE273" s="68"/>
      <c r="BF273" s="8"/>
      <c r="BG273" s="7"/>
      <c r="BH273" s="68"/>
    </row>
    <row r="274" spans="3:60" ht="20.25" x14ac:dyDescent="0.3">
      <c r="C274" s="17" t="s">
        <v>11</v>
      </c>
      <c r="D274" s="8"/>
      <c r="E274" s="7"/>
      <c r="F274" s="18">
        <f t="shared" si="16"/>
        <v>17248.5799999999</v>
      </c>
      <c r="G274" s="8">
        <v>0</v>
      </c>
      <c r="H274" s="7">
        <v>0</v>
      </c>
      <c r="I274" s="18">
        <v>0</v>
      </c>
      <c r="J274" s="8">
        <v>0</v>
      </c>
      <c r="K274" s="7">
        <v>0</v>
      </c>
      <c r="L274" s="18">
        <v>0</v>
      </c>
      <c r="M274" s="8">
        <v>0</v>
      </c>
      <c r="N274" s="7">
        <v>0</v>
      </c>
      <c r="O274" s="18">
        <v>0</v>
      </c>
      <c r="P274" s="8">
        <v>0</v>
      </c>
      <c r="Q274" s="7">
        <v>0</v>
      </c>
      <c r="R274" s="18">
        <v>16868.5799999999</v>
      </c>
      <c r="S274" s="8">
        <v>0</v>
      </c>
      <c r="T274" s="7">
        <v>0</v>
      </c>
      <c r="U274" s="18">
        <v>0</v>
      </c>
      <c r="V274" s="8">
        <v>0</v>
      </c>
      <c r="W274" s="7">
        <v>0</v>
      </c>
      <c r="X274" s="18">
        <v>0</v>
      </c>
      <c r="Y274" s="8">
        <v>0</v>
      </c>
      <c r="Z274" s="7">
        <v>0</v>
      </c>
      <c r="AA274" s="18">
        <v>380</v>
      </c>
      <c r="AB274" s="8">
        <v>0</v>
      </c>
      <c r="AC274" s="7">
        <v>0</v>
      </c>
      <c r="AD274" s="18">
        <v>0</v>
      </c>
      <c r="AE274" s="8">
        <v>0</v>
      </c>
      <c r="AF274" s="7">
        <v>0</v>
      </c>
      <c r="AG274" s="18">
        <v>0</v>
      </c>
      <c r="AH274" s="8">
        <v>0</v>
      </c>
      <c r="AI274" s="7">
        <v>0</v>
      </c>
      <c r="AJ274" s="18">
        <v>0</v>
      </c>
      <c r="AK274" s="8">
        <v>0</v>
      </c>
      <c r="AL274" s="7">
        <v>0</v>
      </c>
      <c r="AM274" s="18">
        <v>0</v>
      </c>
      <c r="AN274" s="8">
        <v>0</v>
      </c>
      <c r="AO274" s="7">
        <v>0</v>
      </c>
      <c r="AP274" s="18">
        <v>0</v>
      </c>
      <c r="AQ274" s="8">
        <v>0</v>
      </c>
      <c r="AR274" s="7">
        <v>0</v>
      </c>
      <c r="AS274" s="18">
        <v>0</v>
      </c>
      <c r="AT274" s="8">
        <v>0</v>
      </c>
      <c r="AU274" s="7">
        <v>0</v>
      </c>
      <c r="AV274" s="18">
        <v>0</v>
      </c>
      <c r="AW274" s="8">
        <v>0</v>
      </c>
      <c r="AX274" s="7">
        <v>0</v>
      </c>
      <c r="AY274" s="18">
        <v>0</v>
      </c>
      <c r="AZ274" s="8"/>
      <c r="BA274" s="7"/>
      <c r="BB274" s="18"/>
      <c r="BC274" s="8"/>
      <c r="BD274" s="7"/>
      <c r="BE274" s="18"/>
      <c r="BF274" s="8"/>
      <c r="BG274" s="7"/>
      <c r="BH274" s="18"/>
    </row>
    <row r="275" spans="3:60" ht="20.25" x14ac:dyDescent="0.3">
      <c r="C275" s="17" t="s">
        <v>10</v>
      </c>
      <c r="D275" s="8"/>
      <c r="E275" s="7"/>
      <c r="F275" s="18">
        <f t="shared" si="16"/>
        <v>1995.8600000000001</v>
      </c>
      <c r="G275" s="8">
        <v>0</v>
      </c>
      <c r="H275" s="7">
        <v>0</v>
      </c>
      <c r="I275" s="18">
        <v>0</v>
      </c>
      <c r="J275" s="8">
        <v>0</v>
      </c>
      <c r="K275" s="7">
        <v>0</v>
      </c>
      <c r="L275" s="18">
        <v>0</v>
      </c>
      <c r="M275" s="8">
        <v>0</v>
      </c>
      <c r="N275" s="7">
        <v>0</v>
      </c>
      <c r="O275" s="18">
        <v>0</v>
      </c>
      <c r="P275" s="8">
        <v>0</v>
      </c>
      <c r="Q275" s="7">
        <v>0</v>
      </c>
      <c r="R275" s="18">
        <v>1980.39</v>
      </c>
      <c r="S275" s="8">
        <v>0</v>
      </c>
      <c r="T275" s="7">
        <v>0</v>
      </c>
      <c r="U275" s="18">
        <v>15.47</v>
      </c>
      <c r="V275" s="8">
        <v>0</v>
      </c>
      <c r="W275" s="7">
        <v>0</v>
      </c>
      <c r="X275" s="18">
        <v>0</v>
      </c>
      <c r="Y275" s="8">
        <v>0</v>
      </c>
      <c r="Z275" s="7">
        <v>0</v>
      </c>
      <c r="AA275" s="18">
        <v>0</v>
      </c>
      <c r="AB275" s="8">
        <v>0</v>
      </c>
      <c r="AC275" s="7">
        <v>0</v>
      </c>
      <c r="AD275" s="18">
        <v>0</v>
      </c>
      <c r="AE275" s="8">
        <v>0</v>
      </c>
      <c r="AF275" s="7">
        <v>0</v>
      </c>
      <c r="AG275" s="18">
        <v>0</v>
      </c>
      <c r="AH275" s="8">
        <v>0</v>
      </c>
      <c r="AI275" s="7">
        <v>0</v>
      </c>
      <c r="AJ275" s="18">
        <v>0</v>
      </c>
      <c r="AK275" s="8">
        <v>0</v>
      </c>
      <c r="AL275" s="7">
        <v>0</v>
      </c>
      <c r="AM275" s="18">
        <v>0</v>
      </c>
      <c r="AN275" s="8">
        <v>0</v>
      </c>
      <c r="AO275" s="7">
        <v>0</v>
      </c>
      <c r="AP275" s="18">
        <v>0</v>
      </c>
      <c r="AQ275" s="8">
        <v>0</v>
      </c>
      <c r="AR275" s="7">
        <v>0</v>
      </c>
      <c r="AS275" s="18">
        <v>0</v>
      </c>
      <c r="AT275" s="8">
        <v>0</v>
      </c>
      <c r="AU275" s="7">
        <v>0</v>
      </c>
      <c r="AV275" s="18">
        <v>0</v>
      </c>
      <c r="AW275" s="8">
        <v>0</v>
      </c>
      <c r="AX275" s="7">
        <v>0</v>
      </c>
      <c r="AY275" s="18">
        <v>0</v>
      </c>
      <c r="AZ275" s="8"/>
      <c r="BA275" s="7"/>
      <c r="BB275" s="18"/>
      <c r="BC275" s="8"/>
      <c r="BD275" s="7"/>
      <c r="BE275" s="18"/>
      <c r="BF275" s="8"/>
      <c r="BG275" s="7"/>
      <c r="BH275" s="18"/>
    </row>
    <row r="276" spans="3:60" ht="20.25" x14ac:dyDescent="0.3">
      <c r="C276" s="17" t="s">
        <v>9</v>
      </c>
      <c r="D276" s="8"/>
      <c r="E276" s="7"/>
      <c r="F276" s="18">
        <f t="shared" si="16"/>
        <v>1609.4199999999998</v>
      </c>
      <c r="G276" s="8">
        <v>0</v>
      </c>
      <c r="H276" s="7">
        <v>0</v>
      </c>
      <c r="I276" s="18">
        <v>0</v>
      </c>
      <c r="J276" s="8">
        <v>0</v>
      </c>
      <c r="K276" s="7">
        <v>0</v>
      </c>
      <c r="L276" s="18">
        <v>0</v>
      </c>
      <c r="M276" s="8">
        <v>0</v>
      </c>
      <c r="N276" s="7">
        <v>0</v>
      </c>
      <c r="O276" s="18">
        <v>0</v>
      </c>
      <c r="P276" s="8">
        <v>0</v>
      </c>
      <c r="Q276" s="7">
        <v>0</v>
      </c>
      <c r="R276" s="18">
        <v>937.39</v>
      </c>
      <c r="S276" s="8">
        <v>0</v>
      </c>
      <c r="T276" s="7">
        <v>0</v>
      </c>
      <c r="U276" s="18">
        <v>0</v>
      </c>
      <c r="V276" s="8">
        <v>0</v>
      </c>
      <c r="W276" s="7">
        <v>0</v>
      </c>
      <c r="X276" s="18">
        <v>408.71</v>
      </c>
      <c r="Y276" s="8">
        <v>0</v>
      </c>
      <c r="Z276" s="7">
        <v>0</v>
      </c>
      <c r="AA276" s="18">
        <v>0</v>
      </c>
      <c r="AB276" s="8">
        <v>0</v>
      </c>
      <c r="AC276" s="7">
        <v>0</v>
      </c>
      <c r="AD276" s="18">
        <v>0</v>
      </c>
      <c r="AE276" s="8">
        <v>0</v>
      </c>
      <c r="AF276" s="7">
        <v>0</v>
      </c>
      <c r="AG276" s="18">
        <v>0</v>
      </c>
      <c r="AH276" s="8">
        <v>0</v>
      </c>
      <c r="AI276" s="7">
        <v>0</v>
      </c>
      <c r="AJ276" s="18">
        <v>0</v>
      </c>
      <c r="AK276" s="8">
        <v>0</v>
      </c>
      <c r="AL276" s="7">
        <v>0</v>
      </c>
      <c r="AM276" s="18">
        <v>0</v>
      </c>
      <c r="AN276" s="8">
        <v>0</v>
      </c>
      <c r="AO276" s="7">
        <v>0</v>
      </c>
      <c r="AP276" s="18">
        <v>0</v>
      </c>
      <c r="AQ276" s="8">
        <v>0</v>
      </c>
      <c r="AR276" s="7">
        <v>0</v>
      </c>
      <c r="AS276" s="18">
        <v>0</v>
      </c>
      <c r="AT276" s="8">
        <v>0</v>
      </c>
      <c r="AU276" s="7">
        <v>0</v>
      </c>
      <c r="AV276" s="18">
        <v>263.32</v>
      </c>
      <c r="AW276" s="8">
        <v>0</v>
      </c>
      <c r="AX276" s="7">
        <v>0</v>
      </c>
      <c r="AY276" s="18">
        <v>0</v>
      </c>
      <c r="AZ276" s="8"/>
      <c r="BA276" s="7"/>
      <c r="BB276" s="18"/>
      <c r="BC276" s="8"/>
      <c r="BD276" s="7"/>
      <c r="BE276" s="18"/>
      <c r="BF276" s="8"/>
      <c r="BG276" s="7"/>
      <c r="BH276" s="18"/>
    </row>
    <row r="277" spans="3:60" ht="20.25" x14ac:dyDescent="0.3">
      <c r="C277" s="17" t="s">
        <v>8</v>
      </c>
      <c r="D277" s="8"/>
      <c r="E277" s="7"/>
      <c r="F277" s="18">
        <f t="shared" si="16"/>
        <v>695.23000000000013</v>
      </c>
      <c r="G277" s="8">
        <v>0</v>
      </c>
      <c r="H277" s="7">
        <v>0</v>
      </c>
      <c r="I277" s="18">
        <v>0</v>
      </c>
      <c r="J277" s="8">
        <v>0</v>
      </c>
      <c r="K277" s="7">
        <v>0</v>
      </c>
      <c r="L277" s="18">
        <v>0</v>
      </c>
      <c r="M277" s="8">
        <v>0</v>
      </c>
      <c r="N277" s="7">
        <v>0</v>
      </c>
      <c r="O277" s="18">
        <v>0</v>
      </c>
      <c r="P277" s="8">
        <v>0</v>
      </c>
      <c r="Q277" s="7">
        <v>0</v>
      </c>
      <c r="R277" s="18">
        <v>557.45000000000005</v>
      </c>
      <c r="S277" s="8">
        <v>0</v>
      </c>
      <c r="T277" s="7">
        <v>0</v>
      </c>
      <c r="U277" s="18">
        <v>0</v>
      </c>
      <c r="V277" s="8">
        <v>0</v>
      </c>
      <c r="W277" s="7">
        <v>0</v>
      </c>
      <c r="X277" s="18">
        <v>67.430000000000007</v>
      </c>
      <c r="Y277" s="8">
        <v>0</v>
      </c>
      <c r="Z277" s="7">
        <v>0</v>
      </c>
      <c r="AA277" s="18">
        <v>0</v>
      </c>
      <c r="AB277" s="8">
        <v>0</v>
      </c>
      <c r="AC277" s="7">
        <v>0</v>
      </c>
      <c r="AD277" s="18">
        <v>0</v>
      </c>
      <c r="AE277" s="8">
        <v>0</v>
      </c>
      <c r="AF277" s="7">
        <v>0</v>
      </c>
      <c r="AG277" s="18">
        <v>0</v>
      </c>
      <c r="AH277" s="8">
        <v>0</v>
      </c>
      <c r="AI277" s="7">
        <v>0</v>
      </c>
      <c r="AJ277" s="18">
        <v>0</v>
      </c>
      <c r="AK277" s="8">
        <v>0</v>
      </c>
      <c r="AL277" s="7">
        <v>0</v>
      </c>
      <c r="AM277" s="18">
        <v>0</v>
      </c>
      <c r="AN277" s="8">
        <v>0</v>
      </c>
      <c r="AO277" s="7">
        <v>0</v>
      </c>
      <c r="AP277" s="18">
        <v>0</v>
      </c>
      <c r="AQ277" s="8">
        <v>0</v>
      </c>
      <c r="AR277" s="7">
        <v>0</v>
      </c>
      <c r="AS277" s="18">
        <v>0</v>
      </c>
      <c r="AT277" s="8">
        <v>0</v>
      </c>
      <c r="AU277" s="7">
        <v>0</v>
      </c>
      <c r="AV277" s="18">
        <v>70.349999999999994</v>
      </c>
      <c r="AW277" s="8">
        <v>0</v>
      </c>
      <c r="AX277" s="7">
        <v>0</v>
      </c>
      <c r="AY277" s="18">
        <v>0</v>
      </c>
      <c r="AZ277" s="8"/>
      <c r="BA277" s="7"/>
      <c r="BB277" s="18"/>
      <c r="BC277" s="8"/>
      <c r="BD277" s="7"/>
      <c r="BE277" s="18"/>
      <c r="BF277" s="8"/>
      <c r="BG277" s="7"/>
      <c r="BH277" s="18"/>
    </row>
    <row r="278" spans="3:60" ht="20.25" x14ac:dyDescent="0.3">
      <c r="C278" s="17" t="s">
        <v>7</v>
      </c>
      <c r="D278" s="8"/>
      <c r="E278" s="7"/>
      <c r="F278" s="18">
        <f t="shared" si="16"/>
        <v>301.8</v>
      </c>
      <c r="G278" s="8">
        <v>0</v>
      </c>
      <c r="H278" s="7">
        <v>0</v>
      </c>
      <c r="I278" s="18">
        <v>0</v>
      </c>
      <c r="J278" s="8">
        <v>0</v>
      </c>
      <c r="K278" s="7">
        <v>0</v>
      </c>
      <c r="L278" s="18">
        <v>0</v>
      </c>
      <c r="M278" s="8">
        <v>0</v>
      </c>
      <c r="N278" s="7">
        <v>0</v>
      </c>
      <c r="O278" s="18">
        <v>0</v>
      </c>
      <c r="P278" s="8">
        <v>0</v>
      </c>
      <c r="Q278" s="7">
        <v>0</v>
      </c>
      <c r="R278" s="18">
        <v>48.29</v>
      </c>
      <c r="S278" s="8">
        <v>0</v>
      </c>
      <c r="T278" s="7">
        <v>0</v>
      </c>
      <c r="U278" s="18">
        <v>0</v>
      </c>
      <c r="V278" s="8">
        <v>0</v>
      </c>
      <c r="W278" s="7">
        <v>0</v>
      </c>
      <c r="X278" s="18">
        <v>-3.23</v>
      </c>
      <c r="Y278" s="8">
        <v>0</v>
      </c>
      <c r="Z278" s="7">
        <v>0</v>
      </c>
      <c r="AA278" s="18">
        <v>0</v>
      </c>
      <c r="AB278" s="8">
        <v>0</v>
      </c>
      <c r="AC278" s="7">
        <v>0</v>
      </c>
      <c r="AD278" s="18">
        <v>0</v>
      </c>
      <c r="AE278" s="8">
        <v>0</v>
      </c>
      <c r="AF278" s="7">
        <v>0</v>
      </c>
      <c r="AG278" s="18">
        <v>0</v>
      </c>
      <c r="AH278" s="8">
        <v>0</v>
      </c>
      <c r="AI278" s="7">
        <v>0</v>
      </c>
      <c r="AJ278" s="18">
        <v>0</v>
      </c>
      <c r="AK278" s="8">
        <v>0</v>
      </c>
      <c r="AL278" s="7">
        <v>0</v>
      </c>
      <c r="AM278" s="18">
        <v>0</v>
      </c>
      <c r="AN278" s="8">
        <v>0</v>
      </c>
      <c r="AO278" s="7">
        <v>0</v>
      </c>
      <c r="AP278" s="18">
        <v>0</v>
      </c>
      <c r="AQ278" s="8">
        <v>0</v>
      </c>
      <c r="AR278" s="7">
        <v>0</v>
      </c>
      <c r="AS278" s="18">
        <v>0</v>
      </c>
      <c r="AT278" s="8">
        <v>0</v>
      </c>
      <c r="AU278" s="7">
        <v>0</v>
      </c>
      <c r="AV278" s="18">
        <v>256.74</v>
      </c>
      <c r="AW278" s="8">
        <v>0</v>
      </c>
      <c r="AX278" s="7">
        <v>0</v>
      </c>
      <c r="AY278" s="18">
        <v>0</v>
      </c>
      <c r="AZ278" s="8"/>
      <c r="BA278" s="7"/>
      <c r="BB278" s="18"/>
      <c r="BC278" s="8"/>
      <c r="BD278" s="7"/>
      <c r="BE278" s="18"/>
      <c r="BF278" s="8"/>
      <c r="BG278" s="7"/>
      <c r="BH278" s="18"/>
    </row>
    <row r="279" spans="3:60" ht="20.25" x14ac:dyDescent="0.3">
      <c r="C279" s="17" t="s">
        <v>6</v>
      </c>
      <c r="D279" s="8"/>
      <c r="E279" s="7"/>
      <c r="F279" s="18">
        <f t="shared" si="16"/>
        <v>865.29</v>
      </c>
      <c r="G279" s="8">
        <v>0</v>
      </c>
      <c r="H279" s="7">
        <v>0</v>
      </c>
      <c r="I279" s="18">
        <v>0</v>
      </c>
      <c r="J279" s="8">
        <v>0</v>
      </c>
      <c r="K279" s="7">
        <v>0</v>
      </c>
      <c r="L279" s="18">
        <v>0</v>
      </c>
      <c r="M279" s="8">
        <v>0</v>
      </c>
      <c r="N279" s="7">
        <v>0</v>
      </c>
      <c r="O279" s="18">
        <v>0</v>
      </c>
      <c r="P279" s="8">
        <v>0</v>
      </c>
      <c r="Q279" s="7">
        <v>0</v>
      </c>
      <c r="R279" s="18">
        <v>385.03</v>
      </c>
      <c r="S279" s="8">
        <v>0</v>
      </c>
      <c r="T279" s="7">
        <v>0</v>
      </c>
      <c r="U279" s="18">
        <v>0</v>
      </c>
      <c r="V279" s="8">
        <v>0</v>
      </c>
      <c r="W279" s="7">
        <v>0</v>
      </c>
      <c r="X279" s="18">
        <v>445.11</v>
      </c>
      <c r="Y279" s="8">
        <v>0</v>
      </c>
      <c r="Z279" s="7">
        <v>0</v>
      </c>
      <c r="AA279" s="18">
        <v>0</v>
      </c>
      <c r="AB279" s="8">
        <v>0</v>
      </c>
      <c r="AC279" s="7">
        <v>0</v>
      </c>
      <c r="AD279" s="18">
        <v>0</v>
      </c>
      <c r="AE279" s="8">
        <v>0</v>
      </c>
      <c r="AF279" s="7">
        <v>0</v>
      </c>
      <c r="AG279" s="18">
        <v>0</v>
      </c>
      <c r="AH279" s="8">
        <v>0</v>
      </c>
      <c r="AI279" s="7">
        <v>0</v>
      </c>
      <c r="AJ279" s="18">
        <v>0</v>
      </c>
      <c r="AK279" s="8">
        <v>0</v>
      </c>
      <c r="AL279" s="7">
        <v>0</v>
      </c>
      <c r="AM279" s="18">
        <v>0</v>
      </c>
      <c r="AN279" s="8">
        <v>0</v>
      </c>
      <c r="AO279" s="7">
        <v>0</v>
      </c>
      <c r="AP279" s="18">
        <v>0</v>
      </c>
      <c r="AQ279" s="8">
        <v>0</v>
      </c>
      <c r="AR279" s="7">
        <v>0</v>
      </c>
      <c r="AS279" s="18">
        <v>0</v>
      </c>
      <c r="AT279" s="8">
        <v>0</v>
      </c>
      <c r="AU279" s="7">
        <v>0</v>
      </c>
      <c r="AV279" s="18">
        <v>35.15</v>
      </c>
      <c r="AW279" s="8">
        <v>0</v>
      </c>
      <c r="AX279" s="7">
        <v>0</v>
      </c>
      <c r="AY279" s="18">
        <v>0</v>
      </c>
      <c r="AZ279" s="8"/>
      <c r="BA279" s="7"/>
      <c r="BB279" s="18"/>
      <c r="BC279" s="8"/>
      <c r="BD279" s="7"/>
      <c r="BE279" s="18"/>
      <c r="BF279" s="8"/>
      <c r="BG279" s="7"/>
      <c r="BH279" s="18"/>
    </row>
    <row r="280" spans="3:60" ht="20.25" x14ac:dyDescent="0.3">
      <c r="C280" s="17" t="s">
        <v>5</v>
      </c>
      <c r="D280" s="8"/>
      <c r="E280" s="7"/>
      <c r="F280" s="18">
        <f t="shared" si="16"/>
        <v>1881.14</v>
      </c>
      <c r="G280" s="8">
        <v>0</v>
      </c>
      <c r="H280" s="7">
        <v>0</v>
      </c>
      <c r="I280" s="18">
        <v>0</v>
      </c>
      <c r="J280" s="8">
        <v>0</v>
      </c>
      <c r="K280" s="7">
        <v>0</v>
      </c>
      <c r="L280" s="18">
        <v>0</v>
      </c>
      <c r="M280" s="8">
        <v>0</v>
      </c>
      <c r="N280" s="7">
        <v>0</v>
      </c>
      <c r="O280" s="18">
        <v>0</v>
      </c>
      <c r="P280" s="8">
        <v>0</v>
      </c>
      <c r="Q280" s="7">
        <v>0</v>
      </c>
      <c r="R280" s="18">
        <v>1650.89</v>
      </c>
      <c r="S280" s="8">
        <v>0</v>
      </c>
      <c r="T280" s="7">
        <v>0</v>
      </c>
      <c r="U280" s="18">
        <v>0</v>
      </c>
      <c r="V280" s="8">
        <v>0</v>
      </c>
      <c r="W280" s="7">
        <v>0</v>
      </c>
      <c r="X280" s="18">
        <v>141.34</v>
      </c>
      <c r="Y280" s="8">
        <v>0</v>
      </c>
      <c r="Z280" s="7">
        <v>0</v>
      </c>
      <c r="AA280" s="18">
        <v>0</v>
      </c>
      <c r="AB280" s="8">
        <v>0</v>
      </c>
      <c r="AC280" s="7">
        <v>0</v>
      </c>
      <c r="AD280" s="18">
        <v>0</v>
      </c>
      <c r="AE280" s="8">
        <v>0</v>
      </c>
      <c r="AF280" s="7">
        <v>0</v>
      </c>
      <c r="AG280" s="18">
        <v>0</v>
      </c>
      <c r="AH280" s="8">
        <v>0</v>
      </c>
      <c r="AI280" s="7">
        <v>0</v>
      </c>
      <c r="AJ280" s="18">
        <v>0</v>
      </c>
      <c r="AK280" s="8">
        <v>0</v>
      </c>
      <c r="AL280" s="7">
        <v>0</v>
      </c>
      <c r="AM280" s="18">
        <v>0</v>
      </c>
      <c r="AN280" s="8">
        <v>0</v>
      </c>
      <c r="AO280" s="7">
        <v>0</v>
      </c>
      <c r="AP280" s="18">
        <v>0</v>
      </c>
      <c r="AQ280" s="8">
        <v>0</v>
      </c>
      <c r="AR280" s="7">
        <v>0</v>
      </c>
      <c r="AS280" s="18">
        <v>0</v>
      </c>
      <c r="AT280" s="8">
        <v>0</v>
      </c>
      <c r="AU280" s="7">
        <v>0</v>
      </c>
      <c r="AV280" s="18">
        <v>88.91</v>
      </c>
      <c r="AW280" s="8">
        <v>0</v>
      </c>
      <c r="AX280" s="7">
        <v>0</v>
      </c>
      <c r="AY280" s="18">
        <v>0</v>
      </c>
      <c r="AZ280" s="8"/>
      <c r="BA280" s="7"/>
      <c r="BB280" s="18"/>
      <c r="BC280" s="8"/>
      <c r="BD280" s="7"/>
      <c r="BE280" s="18"/>
      <c r="BF280" s="8"/>
      <c r="BG280" s="7"/>
      <c r="BH280" s="18"/>
    </row>
    <row r="281" spans="3:60" ht="20.25" x14ac:dyDescent="0.3">
      <c r="C281" s="17" t="s">
        <v>4</v>
      </c>
      <c r="D281" s="8"/>
      <c r="E281" s="7"/>
      <c r="F281" s="18">
        <f t="shared" si="16"/>
        <v>5497.8708999999999</v>
      </c>
      <c r="G281" s="8">
        <v>0</v>
      </c>
      <c r="H281" s="7">
        <v>0</v>
      </c>
      <c r="I281" s="18">
        <v>0</v>
      </c>
      <c r="J281" s="8">
        <v>0</v>
      </c>
      <c r="K281" s="7">
        <v>0</v>
      </c>
      <c r="L281" s="18">
        <v>0</v>
      </c>
      <c r="M281" s="8">
        <v>0</v>
      </c>
      <c r="N281" s="7">
        <v>0</v>
      </c>
      <c r="O281" s="18">
        <v>0</v>
      </c>
      <c r="P281" s="8">
        <v>0</v>
      </c>
      <c r="Q281" s="7">
        <v>0</v>
      </c>
      <c r="R281" s="18">
        <v>2021.29</v>
      </c>
      <c r="S281" s="8">
        <v>0</v>
      </c>
      <c r="T281" s="7">
        <v>0</v>
      </c>
      <c r="U281" s="18">
        <v>1323.56</v>
      </c>
      <c r="V281" s="8">
        <v>0</v>
      </c>
      <c r="W281" s="7">
        <v>0</v>
      </c>
      <c r="X281" s="18">
        <v>1680.32</v>
      </c>
      <c r="Y281" s="8">
        <v>0</v>
      </c>
      <c r="Z281" s="7">
        <v>0</v>
      </c>
      <c r="AA281" s="18">
        <v>0</v>
      </c>
      <c r="AB281" s="8">
        <v>0</v>
      </c>
      <c r="AC281" s="7">
        <v>0</v>
      </c>
      <c r="AD281" s="18">
        <v>0</v>
      </c>
      <c r="AE281" s="8">
        <v>0</v>
      </c>
      <c r="AF281" s="7">
        <v>0</v>
      </c>
      <c r="AG281" s="18">
        <v>0</v>
      </c>
      <c r="AH281" s="8">
        <v>0</v>
      </c>
      <c r="AI281" s="7">
        <v>0</v>
      </c>
      <c r="AJ281" s="18">
        <v>0</v>
      </c>
      <c r="AK281" s="8">
        <v>0</v>
      </c>
      <c r="AL281" s="7">
        <v>0</v>
      </c>
      <c r="AM281" s="18">
        <v>196.6909</v>
      </c>
      <c r="AN281" s="8">
        <v>0</v>
      </c>
      <c r="AO281" s="7">
        <v>0</v>
      </c>
      <c r="AP281" s="18">
        <v>0</v>
      </c>
      <c r="AQ281" s="8">
        <v>0</v>
      </c>
      <c r="AR281" s="7">
        <v>0</v>
      </c>
      <c r="AS281" s="18">
        <v>0</v>
      </c>
      <c r="AT281" s="8">
        <v>0</v>
      </c>
      <c r="AU281" s="7">
        <v>0</v>
      </c>
      <c r="AV281" s="18">
        <v>276.01</v>
      </c>
      <c r="AW281" s="8">
        <v>0</v>
      </c>
      <c r="AX281" s="7">
        <v>0</v>
      </c>
      <c r="AY281" s="18">
        <v>0</v>
      </c>
      <c r="AZ281" s="8"/>
      <c r="BA281" s="7"/>
      <c r="BB281" s="18"/>
      <c r="BC281" s="8"/>
      <c r="BD281" s="7"/>
      <c r="BE281" s="18"/>
      <c r="BF281" s="8"/>
      <c r="BG281" s="7"/>
      <c r="BH281" s="18"/>
    </row>
    <row r="282" spans="3:60" ht="20.25" hidden="1" x14ac:dyDescent="0.3">
      <c r="C282" s="17" t="s">
        <v>3</v>
      </c>
      <c r="D282" s="8"/>
      <c r="E282" s="7"/>
      <c r="F282" s="18">
        <f t="shared" si="16"/>
        <v>0</v>
      </c>
      <c r="G282" s="8">
        <v>0</v>
      </c>
      <c r="H282" s="7">
        <v>0</v>
      </c>
      <c r="I282" s="18">
        <v>0</v>
      </c>
      <c r="J282" s="8">
        <v>0</v>
      </c>
      <c r="K282" s="7">
        <v>0</v>
      </c>
      <c r="L282" s="18">
        <v>0</v>
      </c>
      <c r="M282" s="8">
        <v>0</v>
      </c>
      <c r="N282" s="7">
        <v>0</v>
      </c>
      <c r="O282" s="18">
        <v>0</v>
      </c>
      <c r="P282" s="8">
        <v>0</v>
      </c>
      <c r="Q282" s="7">
        <v>0</v>
      </c>
      <c r="R282" s="18">
        <v>0</v>
      </c>
      <c r="S282" s="8">
        <v>0</v>
      </c>
      <c r="T282" s="7">
        <v>0</v>
      </c>
      <c r="U282" s="18">
        <v>0</v>
      </c>
      <c r="V282" s="8">
        <v>0</v>
      </c>
      <c r="W282" s="7">
        <v>0</v>
      </c>
      <c r="X282" s="18">
        <v>0</v>
      </c>
      <c r="Y282" s="8">
        <v>0</v>
      </c>
      <c r="Z282" s="7">
        <v>0</v>
      </c>
      <c r="AA282" s="18">
        <v>0</v>
      </c>
      <c r="AB282" s="8">
        <v>0</v>
      </c>
      <c r="AC282" s="7">
        <v>0</v>
      </c>
      <c r="AD282" s="18">
        <v>0</v>
      </c>
      <c r="AE282" s="8">
        <v>0</v>
      </c>
      <c r="AF282" s="7">
        <v>0</v>
      </c>
      <c r="AG282" s="18">
        <v>0</v>
      </c>
      <c r="AH282" s="8">
        <v>0</v>
      </c>
      <c r="AI282" s="7">
        <v>0</v>
      </c>
      <c r="AJ282" s="18">
        <v>0</v>
      </c>
      <c r="AK282" s="8">
        <v>0</v>
      </c>
      <c r="AL282" s="7">
        <v>0</v>
      </c>
      <c r="AM282" s="18">
        <v>0</v>
      </c>
      <c r="AN282" s="8">
        <v>0</v>
      </c>
      <c r="AO282" s="7">
        <v>0</v>
      </c>
      <c r="AP282" s="18">
        <v>0</v>
      </c>
      <c r="AQ282" s="8">
        <v>0</v>
      </c>
      <c r="AR282" s="7">
        <v>0</v>
      </c>
      <c r="AS282" s="18">
        <v>0</v>
      </c>
      <c r="AT282" s="8">
        <v>0</v>
      </c>
      <c r="AU282" s="7">
        <v>0</v>
      </c>
      <c r="AV282" s="18">
        <v>0</v>
      </c>
      <c r="AW282" s="8">
        <v>0</v>
      </c>
      <c r="AX282" s="7">
        <v>0</v>
      </c>
      <c r="AY282" s="18">
        <v>0</v>
      </c>
      <c r="AZ282" s="8"/>
      <c r="BA282" s="7"/>
      <c r="BB282" s="18"/>
      <c r="BC282" s="8"/>
      <c r="BD282" s="7"/>
      <c r="BE282" s="18"/>
      <c r="BF282" s="8"/>
      <c r="BG282" s="7"/>
      <c r="BH282" s="18"/>
    </row>
    <row r="283" spans="3:60" ht="20.25" hidden="1" x14ac:dyDescent="0.3">
      <c r="C283" s="17" t="s">
        <v>3</v>
      </c>
      <c r="D283" s="8"/>
      <c r="E283" s="7"/>
      <c r="F283" s="18">
        <f t="shared" si="16"/>
        <v>0</v>
      </c>
      <c r="G283" s="8">
        <v>0</v>
      </c>
      <c r="H283" s="7">
        <v>0</v>
      </c>
      <c r="I283" s="18">
        <v>0</v>
      </c>
      <c r="J283" s="8">
        <v>0</v>
      </c>
      <c r="K283" s="7">
        <v>0</v>
      </c>
      <c r="L283" s="18">
        <v>0</v>
      </c>
      <c r="M283" s="8">
        <v>0</v>
      </c>
      <c r="N283" s="7">
        <v>0</v>
      </c>
      <c r="O283" s="18">
        <v>0</v>
      </c>
      <c r="P283" s="8">
        <v>0</v>
      </c>
      <c r="Q283" s="7">
        <v>0</v>
      </c>
      <c r="R283" s="18">
        <v>0</v>
      </c>
      <c r="S283" s="8">
        <v>0</v>
      </c>
      <c r="T283" s="7">
        <v>0</v>
      </c>
      <c r="U283" s="18">
        <v>0</v>
      </c>
      <c r="V283" s="8">
        <v>0</v>
      </c>
      <c r="W283" s="7">
        <v>0</v>
      </c>
      <c r="X283" s="18">
        <v>0</v>
      </c>
      <c r="Y283" s="8">
        <v>0</v>
      </c>
      <c r="Z283" s="7">
        <v>0</v>
      </c>
      <c r="AA283" s="18">
        <v>0</v>
      </c>
      <c r="AB283" s="8">
        <v>0</v>
      </c>
      <c r="AC283" s="7">
        <v>0</v>
      </c>
      <c r="AD283" s="18">
        <v>0</v>
      </c>
      <c r="AE283" s="8">
        <v>0</v>
      </c>
      <c r="AF283" s="7">
        <v>0</v>
      </c>
      <c r="AG283" s="18">
        <v>0</v>
      </c>
      <c r="AH283" s="8">
        <v>0</v>
      </c>
      <c r="AI283" s="7">
        <v>0</v>
      </c>
      <c r="AJ283" s="18">
        <v>0</v>
      </c>
      <c r="AK283" s="8">
        <v>0</v>
      </c>
      <c r="AL283" s="7">
        <v>0</v>
      </c>
      <c r="AM283" s="18">
        <v>0</v>
      </c>
      <c r="AN283" s="8">
        <v>0</v>
      </c>
      <c r="AO283" s="7">
        <v>0</v>
      </c>
      <c r="AP283" s="18">
        <v>0</v>
      </c>
      <c r="AQ283" s="8">
        <v>0</v>
      </c>
      <c r="AR283" s="7">
        <v>0</v>
      </c>
      <c r="AS283" s="18">
        <v>0</v>
      </c>
      <c r="AT283" s="8">
        <v>0</v>
      </c>
      <c r="AU283" s="7">
        <v>0</v>
      </c>
      <c r="AV283" s="18">
        <v>0</v>
      </c>
      <c r="AW283" s="8">
        <v>0</v>
      </c>
      <c r="AX283" s="7">
        <v>0</v>
      </c>
      <c r="AY283" s="18">
        <v>0</v>
      </c>
      <c r="AZ283" s="8"/>
      <c r="BA283" s="7"/>
      <c r="BB283" s="18"/>
      <c r="BC283" s="8"/>
      <c r="BD283" s="7"/>
      <c r="BE283" s="18"/>
      <c r="BF283" s="8"/>
      <c r="BG283" s="7"/>
      <c r="BH283" s="18"/>
    </row>
    <row r="284" spans="3:60" ht="20.25" hidden="1" x14ac:dyDescent="0.3">
      <c r="C284" s="17" t="s">
        <v>3</v>
      </c>
      <c r="D284" s="8"/>
      <c r="E284" s="7"/>
      <c r="F284" s="18">
        <f t="shared" si="16"/>
        <v>0</v>
      </c>
      <c r="G284" s="8">
        <v>0</v>
      </c>
      <c r="H284" s="7">
        <v>0</v>
      </c>
      <c r="I284" s="18">
        <v>0</v>
      </c>
      <c r="J284" s="8">
        <v>0</v>
      </c>
      <c r="K284" s="7">
        <v>0</v>
      </c>
      <c r="L284" s="18">
        <v>0</v>
      </c>
      <c r="M284" s="8">
        <v>0</v>
      </c>
      <c r="N284" s="7">
        <v>0</v>
      </c>
      <c r="O284" s="18">
        <v>0</v>
      </c>
      <c r="P284" s="8">
        <v>0</v>
      </c>
      <c r="Q284" s="7">
        <v>0</v>
      </c>
      <c r="R284" s="18">
        <v>0</v>
      </c>
      <c r="S284" s="8">
        <v>0</v>
      </c>
      <c r="T284" s="7">
        <v>0</v>
      </c>
      <c r="U284" s="18">
        <v>0</v>
      </c>
      <c r="V284" s="8">
        <v>0</v>
      </c>
      <c r="W284" s="7">
        <v>0</v>
      </c>
      <c r="X284" s="18">
        <v>0</v>
      </c>
      <c r="Y284" s="8">
        <v>0</v>
      </c>
      <c r="Z284" s="7">
        <v>0</v>
      </c>
      <c r="AA284" s="18">
        <v>0</v>
      </c>
      <c r="AB284" s="8">
        <v>0</v>
      </c>
      <c r="AC284" s="7">
        <v>0</v>
      </c>
      <c r="AD284" s="18">
        <v>0</v>
      </c>
      <c r="AE284" s="8">
        <v>0</v>
      </c>
      <c r="AF284" s="7">
        <v>0</v>
      </c>
      <c r="AG284" s="18">
        <v>0</v>
      </c>
      <c r="AH284" s="8">
        <v>0</v>
      </c>
      <c r="AI284" s="7">
        <v>0</v>
      </c>
      <c r="AJ284" s="18">
        <v>0</v>
      </c>
      <c r="AK284" s="8">
        <v>0</v>
      </c>
      <c r="AL284" s="7">
        <v>0</v>
      </c>
      <c r="AM284" s="18">
        <v>0</v>
      </c>
      <c r="AN284" s="8">
        <v>0</v>
      </c>
      <c r="AO284" s="7">
        <v>0</v>
      </c>
      <c r="AP284" s="18">
        <v>0</v>
      </c>
      <c r="AQ284" s="8">
        <v>0</v>
      </c>
      <c r="AR284" s="7">
        <v>0</v>
      </c>
      <c r="AS284" s="18">
        <v>0</v>
      </c>
      <c r="AT284" s="8">
        <v>0</v>
      </c>
      <c r="AU284" s="7">
        <v>0</v>
      </c>
      <c r="AV284" s="18">
        <v>0</v>
      </c>
      <c r="AW284" s="8">
        <v>0</v>
      </c>
      <c r="AX284" s="7">
        <v>0</v>
      </c>
      <c r="AY284" s="18">
        <v>0</v>
      </c>
      <c r="AZ284" s="8"/>
      <c r="BA284" s="7"/>
      <c r="BB284" s="18"/>
      <c r="BC284" s="8"/>
      <c r="BD284" s="7"/>
      <c r="BE284" s="18"/>
      <c r="BF284" s="8"/>
      <c r="BG284" s="7"/>
      <c r="BH284" s="18"/>
    </row>
    <row r="285" spans="3:60" ht="20.25" x14ac:dyDescent="0.3">
      <c r="C285" s="11" t="s">
        <v>2</v>
      </c>
      <c r="D285" s="70"/>
      <c r="E285" s="13"/>
      <c r="F285" s="69">
        <f>SUM(F267:F281)</f>
        <v>100841.08089999987</v>
      </c>
      <c r="G285" s="70" t="s">
        <v>18</v>
      </c>
      <c r="H285" s="13">
        <v>0</v>
      </c>
      <c r="I285" s="69">
        <v>0</v>
      </c>
      <c r="J285" s="70" t="s">
        <v>18</v>
      </c>
      <c r="K285" s="13">
        <v>0</v>
      </c>
      <c r="L285" s="69">
        <v>0</v>
      </c>
      <c r="M285" s="70" t="s">
        <v>18</v>
      </c>
      <c r="N285" s="13">
        <v>0</v>
      </c>
      <c r="O285" s="69">
        <v>0</v>
      </c>
      <c r="P285" s="70" t="s">
        <v>18</v>
      </c>
      <c r="Q285" s="13">
        <v>0.46823596524509498</v>
      </c>
      <c r="R285" s="69">
        <v>66124.179999999993</v>
      </c>
      <c r="S285" s="70" t="s">
        <v>18</v>
      </c>
      <c r="T285" s="13" t="s">
        <v>50</v>
      </c>
      <c r="U285" s="69">
        <v>1479.35</v>
      </c>
      <c r="V285" s="70" t="s">
        <v>18</v>
      </c>
      <c r="W285" s="13">
        <v>0.43114836805098899</v>
      </c>
      <c r="X285" s="69">
        <v>14032.31</v>
      </c>
      <c r="Y285" s="70" t="s">
        <v>18</v>
      </c>
      <c r="Z285" s="13">
        <v>0</v>
      </c>
      <c r="AA285" s="69">
        <v>380</v>
      </c>
      <c r="AB285" s="70" t="s">
        <v>18</v>
      </c>
      <c r="AC285" s="13">
        <v>0</v>
      </c>
      <c r="AD285" s="69">
        <v>0</v>
      </c>
      <c r="AE285" s="70" t="s">
        <v>18</v>
      </c>
      <c r="AF285" s="13">
        <v>0</v>
      </c>
      <c r="AG285" s="69">
        <v>0</v>
      </c>
      <c r="AH285" s="70" t="s">
        <v>18</v>
      </c>
      <c r="AI285" s="13">
        <v>0</v>
      </c>
      <c r="AJ285" s="69">
        <v>0</v>
      </c>
      <c r="AK285" s="70" t="s">
        <v>18</v>
      </c>
      <c r="AL285" s="13">
        <v>0</v>
      </c>
      <c r="AM285" s="69">
        <v>196.6909</v>
      </c>
      <c r="AN285" s="70" t="s">
        <v>18</v>
      </c>
      <c r="AO285" s="13">
        <v>0</v>
      </c>
      <c r="AP285" s="69">
        <v>0</v>
      </c>
      <c r="AQ285" s="70" t="s">
        <v>18</v>
      </c>
      <c r="AR285" s="13">
        <v>0</v>
      </c>
      <c r="AS285" s="69">
        <v>0</v>
      </c>
      <c r="AT285" s="70" t="s">
        <v>18</v>
      </c>
      <c r="AU285" s="13">
        <v>2.5925304816525498</v>
      </c>
      <c r="AV285" s="69">
        <v>18628.55</v>
      </c>
      <c r="AW285" s="70" t="s">
        <v>18</v>
      </c>
      <c r="AX285" s="13">
        <v>0</v>
      </c>
      <c r="AY285" s="69">
        <v>0</v>
      </c>
      <c r="AZ285" s="70"/>
      <c r="BA285" s="13"/>
      <c r="BB285" s="69"/>
      <c r="BC285" s="70"/>
      <c r="BD285" s="13"/>
      <c r="BE285" s="69"/>
      <c r="BF285" s="70"/>
      <c r="BG285" s="13"/>
      <c r="BH285" s="69"/>
    </row>
    <row r="286" spans="3:60" ht="20.25" x14ac:dyDescent="0.3">
      <c r="C286" s="67"/>
      <c r="D286" s="67"/>
      <c r="E286" s="66"/>
      <c r="F286" s="65"/>
      <c r="G286" s="67"/>
      <c r="H286" s="66"/>
      <c r="I286" s="65"/>
      <c r="J286" s="67"/>
      <c r="K286" s="66"/>
      <c r="L286" s="65"/>
      <c r="M286" s="67"/>
      <c r="N286" s="66"/>
      <c r="O286" s="65"/>
      <c r="P286" s="67"/>
      <c r="Q286" s="66"/>
      <c r="R286" s="65"/>
      <c r="S286" s="67"/>
      <c r="T286" s="66"/>
      <c r="U286" s="65"/>
      <c r="V286" s="67"/>
      <c r="W286" s="66"/>
      <c r="X286" s="65"/>
      <c r="Y286" s="67"/>
      <c r="Z286" s="66"/>
      <c r="AA286" s="65"/>
      <c r="AB286" s="67"/>
      <c r="AC286" s="66"/>
      <c r="AD286" s="65"/>
      <c r="AE286" s="67"/>
      <c r="AF286" s="66"/>
      <c r="AG286" s="65"/>
      <c r="AH286" s="67"/>
      <c r="AI286" s="66"/>
      <c r="AJ286" s="65"/>
      <c r="AK286" s="67"/>
      <c r="AL286" s="66"/>
      <c r="AM286" s="65"/>
      <c r="AN286" s="67"/>
      <c r="AO286" s="66"/>
      <c r="AP286" s="65"/>
      <c r="AQ286" s="67"/>
      <c r="AR286" s="66"/>
      <c r="AS286" s="65"/>
      <c r="AT286" s="67"/>
      <c r="AU286" s="66"/>
      <c r="AV286" s="65"/>
      <c r="AW286" s="67"/>
      <c r="AX286" s="66"/>
      <c r="AY286" s="65"/>
      <c r="AZ286" s="67"/>
      <c r="BA286" s="66"/>
      <c r="BB286" s="65"/>
      <c r="BC286" s="67"/>
      <c r="BD286" s="66"/>
      <c r="BE286" s="65"/>
      <c r="BF286" s="67"/>
      <c r="BG286" s="66"/>
      <c r="BH286" s="65"/>
    </row>
    <row r="287" spans="3:60" ht="20.25" x14ac:dyDescent="0.3">
      <c r="C287" s="11" t="s">
        <v>1</v>
      </c>
      <c r="D287" s="70"/>
      <c r="E287" s="13"/>
      <c r="F287" s="69">
        <f>F266+F285</f>
        <v>316493.71089999989</v>
      </c>
      <c r="G287" s="70" t="s">
        <v>18</v>
      </c>
      <c r="H287" s="13">
        <v>0</v>
      </c>
      <c r="I287" s="69">
        <v>0</v>
      </c>
      <c r="J287" s="70" t="s">
        <v>18</v>
      </c>
      <c r="K287" s="13">
        <v>0</v>
      </c>
      <c r="L287" s="69">
        <v>0</v>
      </c>
      <c r="M287" s="70" t="s">
        <v>18</v>
      </c>
      <c r="N287" s="13">
        <v>0</v>
      </c>
      <c r="O287" s="69">
        <v>0</v>
      </c>
      <c r="P287" s="70" t="s">
        <v>18</v>
      </c>
      <c r="Q287" s="13">
        <v>1.36224875863706</v>
      </c>
      <c r="R287" s="69">
        <v>192376.46999999901</v>
      </c>
      <c r="S287" s="70" t="s">
        <v>18</v>
      </c>
      <c r="T287" s="13">
        <v>0</v>
      </c>
      <c r="U287" s="69">
        <v>48020.119999999901</v>
      </c>
      <c r="V287" s="70" t="s">
        <v>18</v>
      </c>
      <c r="W287" s="13">
        <v>1.31676691341213</v>
      </c>
      <c r="X287" s="69">
        <v>42855.97</v>
      </c>
      <c r="Y287" s="70" t="s">
        <v>18</v>
      </c>
      <c r="Z287" s="13">
        <v>0</v>
      </c>
      <c r="AA287" s="69">
        <v>380</v>
      </c>
      <c r="AB287" s="70" t="s">
        <v>18</v>
      </c>
      <c r="AC287" s="13">
        <v>0</v>
      </c>
      <c r="AD287" s="69">
        <v>0</v>
      </c>
      <c r="AE287" s="70" t="s">
        <v>18</v>
      </c>
      <c r="AF287" s="13">
        <v>0</v>
      </c>
      <c r="AG287" s="69">
        <v>0</v>
      </c>
      <c r="AH287" s="70" t="s">
        <v>18</v>
      </c>
      <c r="AI287" s="13">
        <v>0</v>
      </c>
      <c r="AJ287" s="69">
        <v>0</v>
      </c>
      <c r="AK287" s="70" t="s">
        <v>18</v>
      </c>
      <c r="AL287" s="13">
        <v>0</v>
      </c>
      <c r="AM287" s="69">
        <v>196.6909</v>
      </c>
      <c r="AN287" s="70" t="s">
        <v>18</v>
      </c>
      <c r="AO287" s="13">
        <v>0</v>
      </c>
      <c r="AP287" s="69">
        <v>0</v>
      </c>
      <c r="AQ287" s="70" t="s">
        <v>18</v>
      </c>
      <c r="AR287" s="13">
        <v>0</v>
      </c>
      <c r="AS287" s="69">
        <v>0</v>
      </c>
      <c r="AT287" s="70" t="s">
        <v>18</v>
      </c>
      <c r="AU287" s="13" t="s">
        <v>50</v>
      </c>
      <c r="AV287" s="69">
        <v>32664.46</v>
      </c>
      <c r="AW287" s="70" t="s">
        <v>18</v>
      </c>
      <c r="AX287" s="13">
        <v>0</v>
      </c>
      <c r="AY287" s="69">
        <v>0</v>
      </c>
      <c r="AZ287" s="70"/>
      <c r="BA287" s="13"/>
      <c r="BB287" s="69"/>
      <c r="BC287" s="70"/>
      <c r="BD287" s="13"/>
      <c r="BE287" s="69"/>
      <c r="BF287" s="70"/>
      <c r="BG287" s="13"/>
      <c r="BH287" s="69"/>
    </row>
    <row r="288" spans="3:60" ht="20.25" x14ac:dyDescent="0.3">
      <c r="C288" s="8"/>
      <c r="D288" s="8"/>
      <c r="E288" s="7"/>
      <c r="F288" s="63"/>
      <c r="G288" s="8"/>
      <c r="H288" s="7"/>
      <c r="I288" s="63"/>
      <c r="J288" s="8"/>
      <c r="K288" s="7"/>
      <c r="L288" s="63"/>
      <c r="M288" s="8"/>
      <c r="N288" s="7"/>
      <c r="O288" s="63"/>
      <c r="P288" s="8"/>
      <c r="Q288" s="7"/>
      <c r="R288" s="63"/>
      <c r="S288" s="8"/>
      <c r="T288" s="7"/>
      <c r="U288" s="63"/>
      <c r="V288" s="8"/>
      <c r="W288" s="7"/>
      <c r="X288" s="63"/>
      <c r="Y288" s="8"/>
      <c r="Z288" s="7"/>
      <c r="AA288" s="63"/>
      <c r="AB288" s="8"/>
      <c r="AC288" s="7"/>
      <c r="AD288" s="63"/>
      <c r="AE288" s="8"/>
      <c r="AF288" s="7"/>
      <c r="AG288" s="63"/>
      <c r="AH288" s="8"/>
      <c r="AI288" s="7"/>
      <c r="AJ288" s="63"/>
      <c r="AK288" s="8"/>
      <c r="AL288" s="7"/>
      <c r="AM288" s="63"/>
      <c r="AN288" s="8"/>
      <c r="AO288" s="7"/>
      <c r="AP288" s="63"/>
      <c r="AQ288" s="8"/>
      <c r="AR288" s="7"/>
      <c r="AS288" s="63"/>
      <c r="AT288" s="8"/>
      <c r="AU288" s="7"/>
      <c r="AV288" s="63"/>
      <c r="AW288" s="8"/>
      <c r="AX288" s="7"/>
      <c r="AY288" s="63"/>
      <c r="AZ288" s="8"/>
      <c r="BA288" s="7"/>
      <c r="BB288" s="63"/>
      <c r="BC288" s="8"/>
      <c r="BD288" s="7"/>
      <c r="BE288" s="63"/>
      <c r="BF288" s="8"/>
      <c r="BG288" s="7"/>
      <c r="BH288" s="63"/>
    </row>
    <row r="289" spans="3:60" ht="21" thickBot="1" x14ac:dyDescent="0.35">
      <c r="C289" s="38" t="s">
        <v>0</v>
      </c>
      <c r="D289" s="38"/>
      <c r="E289" s="37"/>
      <c r="F289" s="77">
        <f>F250-F287</f>
        <v>-14826.360900001135</v>
      </c>
      <c r="G289" s="38">
        <v>0</v>
      </c>
      <c r="H289" s="91">
        <v>0</v>
      </c>
      <c r="I289" s="77">
        <v>5598.12</v>
      </c>
      <c r="J289" s="38">
        <v>0</v>
      </c>
      <c r="K289" s="91">
        <v>0</v>
      </c>
      <c r="L289" s="77">
        <v>0</v>
      </c>
      <c r="M289" s="38">
        <v>0</v>
      </c>
      <c r="N289" s="91">
        <v>0</v>
      </c>
      <c r="O289" s="77">
        <v>0</v>
      </c>
      <c r="P289" s="38">
        <v>0</v>
      </c>
      <c r="Q289" s="91">
        <v>0</v>
      </c>
      <c r="R289" s="77">
        <v>-24069.67</v>
      </c>
      <c r="S289" s="38">
        <v>0</v>
      </c>
      <c r="T289" s="91">
        <v>0</v>
      </c>
      <c r="U289" s="77">
        <v>33829.410000000003</v>
      </c>
      <c r="V289" s="38">
        <v>0</v>
      </c>
      <c r="W289" s="91">
        <v>0</v>
      </c>
      <c r="X289" s="77">
        <v>-10309.61</v>
      </c>
      <c r="Y289" s="38">
        <v>0</v>
      </c>
      <c r="Z289" s="91">
        <v>0</v>
      </c>
      <c r="AA289" s="77">
        <v>-380</v>
      </c>
      <c r="AB289" s="38">
        <v>0</v>
      </c>
      <c r="AC289" s="91">
        <v>0</v>
      </c>
      <c r="AD289" s="77">
        <v>0</v>
      </c>
      <c r="AE289" s="38">
        <v>0</v>
      </c>
      <c r="AF289" s="91">
        <v>0</v>
      </c>
      <c r="AG289" s="77">
        <v>1645.47</v>
      </c>
      <c r="AH289" s="38">
        <v>0</v>
      </c>
      <c r="AI289" s="91">
        <v>0</v>
      </c>
      <c r="AJ289" s="77">
        <v>313.22000000000003</v>
      </c>
      <c r="AK289" s="38">
        <v>0</v>
      </c>
      <c r="AL289" s="91">
        <v>0</v>
      </c>
      <c r="AM289" s="77">
        <v>68.459099999999907</v>
      </c>
      <c r="AN289" s="38">
        <v>0</v>
      </c>
      <c r="AO289" s="91">
        <v>0</v>
      </c>
      <c r="AP289" s="77">
        <v>1508.39</v>
      </c>
      <c r="AQ289" s="38">
        <v>0</v>
      </c>
      <c r="AR289" s="91">
        <v>0</v>
      </c>
      <c r="AS289" s="77">
        <v>2448.84</v>
      </c>
      <c r="AT289" s="38">
        <v>0</v>
      </c>
      <c r="AU289" s="91">
        <v>0</v>
      </c>
      <c r="AV289" s="77">
        <v>-25478.99</v>
      </c>
      <c r="AW289" s="38">
        <v>0</v>
      </c>
      <c r="AX289" s="91">
        <v>0</v>
      </c>
      <c r="AY289" s="77">
        <v>0</v>
      </c>
      <c r="AZ289" s="38"/>
      <c r="BA289" s="91"/>
      <c r="BB289" s="77"/>
      <c r="BC289" s="38"/>
      <c r="BD289" s="91"/>
      <c r="BE289" s="77"/>
      <c r="BF289" s="38"/>
      <c r="BG289" s="91"/>
      <c r="BH289" s="77"/>
    </row>
    <row r="290" spans="3:60" ht="21" thickTop="1" x14ac:dyDescent="0.3">
      <c r="C290" s="7"/>
      <c r="D290" s="7"/>
      <c r="E290" s="7"/>
      <c r="F290" s="90"/>
      <c r="G290" s="7"/>
      <c r="H290" s="7"/>
      <c r="I290" s="90"/>
      <c r="J290" s="7"/>
      <c r="K290" s="7"/>
      <c r="L290" s="90"/>
      <c r="M290" s="7"/>
      <c r="N290" s="7"/>
      <c r="O290" s="90"/>
      <c r="P290" s="7"/>
      <c r="Q290" s="7"/>
      <c r="R290" s="90"/>
      <c r="S290" s="7"/>
      <c r="T290" s="7"/>
      <c r="U290" s="90"/>
      <c r="V290" s="7"/>
      <c r="W290" s="7"/>
      <c r="X290" s="90"/>
      <c r="Y290" s="7"/>
      <c r="Z290" s="7"/>
      <c r="AA290" s="90"/>
      <c r="AB290" s="7"/>
      <c r="AC290" s="7"/>
      <c r="AD290" s="90"/>
      <c r="AE290" s="7"/>
      <c r="AF290" s="7"/>
      <c r="AG290" s="90"/>
      <c r="AH290" s="7"/>
      <c r="AI290" s="7"/>
      <c r="AJ290" s="90"/>
      <c r="AK290" s="7"/>
      <c r="AL290" s="7"/>
      <c r="AM290" s="90"/>
      <c r="AN290" s="7"/>
      <c r="AO290" s="7"/>
      <c r="AP290" s="90"/>
      <c r="AQ290" s="7"/>
      <c r="AR290" s="7"/>
      <c r="AS290" s="90"/>
      <c r="AT290" s="7"/>
      <c r="AU290" s="7"/>
      <c r="AV290" s="90"/>
      <c r="AW290" s="7"/>
      <c r="AX290" s="7"/>
      <c r="AY290" s="90"/>
      <c r="AZ290" s="7"/>
      <c r="BA290" s="7"/>
      <c r="BB290" s="90"/>
      <c r="BC290" s="7"/>
      <c r="BD290" s="7"/>
      <c r="BE290" s="90"/>
      <c r="BF290" s="7"/>
      <c r="BG290" s="7"/>
      <c r="BH290" s="90"/>
    </row>
    <row r="291" spans="3:60" ht="35.25" x14ac:dyDescent="0.5">
      <c r="C291" s="58" t="str">
        <f>Z291</f>
        <v>Pièces</v>
      </c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Z291" s="57" t="s">
        <v>49</v>
      </c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 t="str">
        <f>C291</f>
        <v>Pièces</v>
      </c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7"/>
      <c r="BE291" s="57"/>
      <c r="BF291" s="57"/>
      <c r="BG291" s="57"/>
      <c r="BH291" s="57"/>
    </row>
    <row r="292" spans="3:60" ht="16.5" thickBot="1" x14ac:dyDescent="0.3">
      <c r="C292" s="89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  <c r="AQ292" s="88"/>
      <c r="AR292" s="88"/>
      <c r="AS292" s="88"/>
      <c r="AT292" s="88"/>
      <c r="AU292" s="88"/>
      <c r="AV292" s="88"/>
      <c r="AW292" s="88"/>
      <c r="AX292" s="88"/>
      <c r="AY292" s="88"/>
      <c r="AZ292" s="88"/>
      <c r="BA292" s="88"/>
      <c r="BB292" s="88"/>
      <c r="BC292" s="88"/>
      <c r="BD292" s="88"/>
      <c r="BE292" s="88"/>
      <c r="BF292" s="88"/>
      <c r="BG292" s="88"/>
      <c r="BH292" s="88"/>
    </row>
    <row r="293" spans="3:60" ht="21" thickTop="1" x14ac:dyDescent="0.3">
      <c r="C293" s="56"/>
      <c r="D293" s="166" t="str">
        <f>D$3</f>
        <v>Conso</v>
      </c>
      <c r="E293" s="167"/>
      <c r="F293" s="168"/>
      <c r="G293" s="166" t="str">
        <f>G$3</f>
        <v>BMW PA</v>
      </c>
      <c r="H293" s="167"/>
      <c r="I293" s="168"/>
      <c r="J293" s="166" t="str">
        <f>J$3</f>
        <v>BMW STJ</v>
      </c>
      <c r="K293" s="167"/>
      <c r="L293" s="168"/>
      <c r="M293" s="166" t="str">
        <f>M$3</f>
        <v>BMW SHER</v>
      </c>
      <c r="N293" s="167"/>
      <c r="O293" s="168"/>
      <c r="P293" s="166" t="str">
        <f>P$3</f>
        <v>MBQ</v>
      </c>
      <c r="Q293" s="167"/>
      <c r="R293" s="168"/>
      <c r="S293" s="166" t="str">
        <f>S$3</f>
        <v>SSMB</v>
      </c>
      <c r="T293" s="167"/>
      <c r="U293" s="168"/>
      <c r="V293" s="166" t="str">
        <f>V$3</f>
        <v>Audi</v>
      </c>
      <c r="W293" s="167"/>
      <c r="X293" s="168"/>
      <c r="Y293" s="166" t="str">
        <f>Y$3</f>
        <v>JLR</v>
      </c>
      <c r="Z293" s="167"/>
      <c r="AA293" s="168"/>
      <c r="AB293" s="166" t="str">
        <f>AB$3</f>
        <v>Lexus</v>
      </c>
      <c r="AC293" s="167"/>
      <c r="AD293" s="168"/>
      <c r="AE293" s="166" t="str">
        <f>AE$3</f>
        <v>Volvo</v>
      </c>
      <c r="AF293" s="167"/>
      <c r="AG293" s="168"/>
      <c r="AH293" s="166" t="str">
        <f>AH$3</f>
        <v>Mini</v>
      </c>
      <c r="AI293" s="167"/>
      <c r="AJ293" s="168"/>
      <c r="AK293" s="166" t="str">
        <f>AK$3</f>
        <v>Infiniti</v>
      </c>
      <c r="AL293" s="167"/>
      <c r="AM293" s="168"/>
      <c r="AN293" s="166" t="str">
        <f>AN$3</f>
        <v>Honda</v>
      </c>
      <c r="AO293" s="167"/>
      <c r="AP293" s="168"/>
      <c r="AQ293" s="166" t="str">
        <f>AQ$3</f>
        <v>Toyota</v>
      </c>
      <c r="AR293" s="167"/>
      <c r="AS293" s="168"/>
      <c r="AT293" s="166" t="str">
        <f>AT$3</f>
        <v>Volks</v>
      </c>
      <c r="AU293" s="167"/>
      <c r="AV293" s="168"/>
      <c r="AW293" s="166" t="str">
        <f>AW$3</f>
        <v>LHD</v>
      </c>
      <c r="AX293" s="167"/>
      <c r="AY293" s="168"/>
      <c r="AZ293" s="166"/>
      <c r="BA293" s="167"/>
      <c r="BB293" s="168"/>
      <c r="BC293" s="166"/>
      <c r="BD293" s="169"/>
      <c r="BE293" s="170"/>
      <c r="BF293" s="166"/>
      <c r="BG293" s="169"/>
      <c r="BH293" s="170"/>
    </row>
    <row r="294" spans="3:60" ht="20.25" x14ac:dyDescent="0.3">
      <c r="C294" s="8"/>
      <c r="D294" s="55" t="s">
        <v>33</v>
      </c>
      <c r="E294" s="54" t="s">
        <v>32</v>
      </c>
      <c r="F294" s="53" t="s">
        <v>31</v>
      </c>
      <c r="G294" s="55" t="str">
        <f>$D294</f>
        <v>$VENTES</v>
      </c>
      <c r="H294" s="54" t="str">
        <f>$E294</f>
        <v>% P. BRUT</v>
      </c>
      <c r="I294" s="53" t="str">
        <f>$F294</f>
        <v>$PROFITS</v>
      </c>
      <c r="J294" s="55" t="s">
        <v>33</v>
      </c>
      <c r="K294" s="54" t="s">
        <v>32</v>
      </c>
      <c r="L294" s="53" t="s">
        <v>31</v>
      </c>
      <c r="M294" s="55" t="s">
        <v>33</v>
      </c>
      <c r="N294" s="54" t="s">
        <v>32</v>
      </c>
      <c r="O294" s="53" t="s">
        <v>31</v>
      </c>
      <c r="P294" s="55" t="s">
        <v>33</v>
      </c>
      <c r="Q294" s="54" t="s">
        <v>32</v>
      </c>
      <c r="R294" s="53" t="s">
        <v>31</v>
      </c>
      <c r="S294" s="55" t="s">
        <v>33</v>
      </c>
      <c r="T294" s="54" t="s">
        <v>32</v>
      </c>
      <c r="U294" s="53" t="s">
        <v>31</v>
      </c>
      <c r="V294" s="55" t="s">
        <v>33</v>
      </c>
      <c r="W294" s="54" t="s">
        <v>32</v>
      </c>
      <c r="X294" s="53" t="s">
        <v>31</v>
      </c>
      <c r="Y294" s="55" t="s">
        <v>33</v>
      </c>
      <c r="Z294" s="54" t="s">
        <v>32</v>
      </c>
      <c r="AA294" s="53" t="s">
        <v>31</v>
      </c>
      <c r="AB294" s="55" t="s">
        <v>33</v>
      </c>
      <c r="AC294" s="54" t="s">
        <v>32</v>
      </c>
      <c r="AD294" s="53" t="s">
        <v>31</v>
      </c>
      <c r="AE294" s="55" t="s">
        <v>33</v>
      </c>
      <c r="AF294" s="54" t="s">
        <v>32</v>
      </c>
      <c r="AG294" s="53" t="s">
        <v>31</v>
      </c>
      <c r="AH294" s="55" t="s">
        <v>33</v>
      </c>
      <c r="AI294" s="54" t="s">
        <v>32</v>
      </c>
      <c r="AJ294" s="53" t="s">
        <v>31</v>
      </c>
      <c r="AK294" s="55" t="s">
        <v>33</v>
      </c>
      <c r="AL294" s="54" t="s">
        <v>32</v>
      </c>
      <c r="AM294" s="53" t="s">
        <v>31</v>
      </c>
      <c r="AN294" s="55" t="s">
        <v>33</v>
      </c>
      <c r="AO294" s="54" t="s">
        <v>32</v>
      </c>
      <c r="AP294" s="53" t="s">
        <v>31</v>
      </c>
      <c r="AQ294" s="55" t="s">
        <v>33</v>
      </c>
      <c r="AR294" s="54" t="s">
        <v>32</v>
      </c>
      <c r="AS294" s="53" t="s">
        <v>31</v>
      </c>
      <c r="AT294" s="55" t="s">
        <v>33</v>
      </c>
      <c r="AU294" s="54" t="s">
        <v>32</v>
      </c>
      <c r="AV294" s="53" t="s">
        <v>31</v>
      </c>
      <c r="AW294" s="55" t="s">
        <v>33</v>
      </c>
      <c r="AX294" s="54" t="s">
        <v>32</v>
      </c>
      <c r="AY294" s="53" t="s">
        <v>31</v>
      </c>
      <c r="AZ294" s="55"/>
      <c r="BA294" s="54"/>
      <c r="BB294" s="53"/>
      <c r="BC294" s="55"/>
      <c r="BD294" s="54"/>
      <c r="BE294" s="53"/>
      <c r="BF294" s="55"/>
      <c r="BG294" s="54"/>
      <c r="BH294" s="53"/>
    </row>
    <row r="295" spans="3:60" ht="20.25" x14ac:dyDescent="0.3">
      <c r="C295" s="8" t="s">
        <v>48</v>
      </c>
      <c r="D295" s="86">
        <f t="shared" ref="D295:D303" si="17">+SUM(G295,J295,M295,P295,S295,V295,Y295,AB295,AE295,AH295,AK295,AN295,AQ295,AT295,AW295,AZ295,BC295,BF295)</f>
        <v>2731489.5599999991</v>
      </c>
      <c r="E295" s="80">
        <f t="shared" ref="E295:E304" si="18">IF(D295&lt;=0,0,F295/D295)</f>
        <v>0.36723769868627976</v>
      </c>
      <c r="F295" s="18">
        <f t="shared" ref="F295:F303" si="19">+SUM(I295,L295,O295,R295,U295,X295,AA295,AD295,AG295,AJ295,AM295,AP295,AS295,AV295,AY295,BB295,BE295,BH295)</f>
        <v>1003105.9399999985</v>
      </c>
      <c r="G295" s="86">
        <v>249278.84</v>
      </c>
      <c r="H295" s="80">
        <v>0.39841941658586</v>
      </c>
      <c r="I295" s="18">
        <v>99317.53</v>
      </c>
      <c r="J295" s="86">
        <v>226186.88</v>
      </c>
      <c r="K295" s="80">
        <v>0.40750559891006899</v>
      </c>
      <c r="L295" s="18">
        <v>92172.42</v>
      </c>
      <c r="M295" s="86">
        <v>82303.989999999903</v>
      </c>
      <c r="N295" s="80">
        <v>0.42735534449787899</v>
      </c>
      <c r="O295" s="18">
        <v>35173.049999999901</v>
      </c>
      <c r="P295" s="86">
        <v>246988.21</v>
      </c>
      <c r="Q295" s="80">
        <v>0.382994273289401</v>
      </c>
      <c r="R295" s="18">
        <v>94595.07</v>
      </c>
      <c r="S295" s="86">
        <v>541009.71</v>
      </c>
      <c r="T295" s="80">
        <v>0.36011808364770298</v>
      </c>
      <c r="U295" s="18">
        <v>194827.37999999899</v>
      </c>
      <c r="V295" s="86">
        <v>298513.73</v>
      </c>
      <c r="W295" s="80">
        <v>0.34764588550081099</v>
      </c>
      <c r="X295" s="18">
        <v>103777.07</v>
      </c>
      <c r="Y295" s="86">
        <v>149682.73000000001</v>
      </c>
      <c r="Z295" s="80">
        <v>0.39263574361584602</v>
      </c>
      <c r="AA295" s="18">
        <v>58770.79</v>
      </c>
      <c r="AB295" s="86">
        <v>61624.659999999902</v>
      </c>
      <c r="AC295" s="80">
        <v>0.35346401911182901</v>
      </c>
      <c r="AD295" s="18">
        <v>21782.0999999999</v>
      </c>
      <c r="AE295" s="86">
        <v>198275.139999999</v>
      </c>
      <c r="AF295" s="80">
        <v>0.430862184739851</v>
      </c>
      <c r="AG295" s="18">
        <v>85429.259999999893</v>
      </c>
      <c r="AH295" s="86">
        <v>79291.34</v>
      </c>
      <c r="AI295" s="80">
        <v>0.39586290255657097</v>
      </c>
      <c r="AJ295" s="18">
        <v>31388.5</v>
      </c>
      <c r="AK295" s="86">
        <v>47113.43</v>
      </c>
      <c r="AL295" s="80">
        <v>0.394295639268887</v>
      </c>
      <c r="AM295" s="18">
        <v>18576.62</v>
      </c>
      <c r="AN295" s="86">
        <v>115232</v>
      </c>
      <c r="AO295" s="80">
        <v>0.40296749166897999</v>
      </c>
      <c r="AP295" s="18">
        <v>46434.75</v>
      </c>
      <c r="AQ295" s="86">
        <v>146833.01</v>
      </c>
      <c r="AR295" s="80">
        <v>0.34381621680301899</v>
      </c>
      <c r="AS295" s="18">
        <v>50483.569999999898</v>
      </c>
      <c r="AT295" s="86">
        <v>127649.33</v>
      </c>
      <c r="AU295" s="80">
        <v>0.30501382185084702</v>
      </c>
      <c r="AV295" s="18">
        <v>38934.81</v>
      </c>
      <c r="AW295" s="86">
        <v>161506.56</v>
      </c>
      <c r="AX295" s="80">
        <v>0.19468571431401899</v>
      </c>
      <c r="AY295" s="18">
        <v>31443.02</v>
      </c>
      <c r="AZ295" s="86"/>
      <c r="BA295" s="80"/>
      <c r="BB295" s="18"/>
      <c r="BC295" s="86"/>
      <c r="BD295" s="80"/>
      <c r="BE295" s="18"/>
      <c r="BF295" s="86"/>
      <c r="BG295" s="80"/>
      <c r="BH295" s="18"/>
    </row>
    <row r="296" spans="3:60" ht="20.25" x14ac:dyDescent="0.3">
      <c r="C296" s="8" t="s">
        <v>47</v>
      </c>
      <c r="D296" s="86">
        <f t="shared" si="17"/>
        <v>623224.12999999989</v>
      </c>
      <c r="E296" s="80">
        <f t="shared" si="18"/>
        <v>0.25011303718294736</v>
      </c>
      <c r="F296" s="18">
        <f t="shared" si="19"/>
        <v>155876.47999999998</v>
      </c>
      <c r="G296" s="86">
        <v>106629.08</v>
      </c>
      <c r="H296" s="80">
        <v>0.20157962537048901</v>
      </c>
      <c r="I296" s="18">
        <v>21494.25</v>
      </c>
      <c r="J296" s="86">
        <v>57574.03</v>
      </c>
      <c r="K296" s="80">
        <v>0.19490367445183099</v>
      </c>
      <c r="L296" s="18">
        <v>11221.39</v>
      </c>
      <c r="M296" s="86">
        <v>507.77</v>
      </c>
      <c r="N296" s="80">
        <v>0.47671189711877399</v>
      </c>
      <c r="O296" s="18">
        <v>242.06</v>
      </c>
      <c r="P296" s="86">
        <v>236603.45</v>
      </c>
      <c r="Q296" s="80">
        <v>0.29565984773256598</v>
      </c>
      <c r="R296" s="18">
        <v>69954.14</v>
      </c>
      <c r="S296" s="86">
        <v>65778.83</v>
      </c>
      <c r="T296" s="80">
        <v>0.36187250518137798</v>
      </c>
      <c r="U296" s="18">
        <v>23803.55</v>
      </c>
      <c r="V296" s="86">
        <v>135953.99</v>
      </c>
      <c r="W296" s="80">
        <v>0.17989894963729999</v>
      </c>
      <c r="X296" s="18">
        <v>24457.98</v>
      </c>
      <c r="Y296" s="86">
        <v>0</v>
      </c>
      <c r="Z296" s="80">
        <v>0</v>
      </c>
      <c r="AA296" s="18">
        <v>0</v>
      </c>
      <c r="AB296" s="86">
        <v>0</v>
      </c>
      <c r="AC296" s="80">
        <v>0</v>
      </c>
      <c r="AD296" s="18">
        <v>0</v>
      </c>
      <c r="AE296" s="86">
        <v>0</v>
      </c>
      <c r="AF296" s="80">
        <v>0</v>
      </c>
      <c r="AG296" s="18">
        <v>0</v>
      </c>
      <c r="AH296" s="86">
        <v>6858.54</v>
      </c>
      <c r="AI296" s="80">
        <v>0.21937030330070201</v>
      </c>
      <c r="AJ296" s="18">
        <v>1504.56</v>
      </c>
      <c r="AK296" s="86">
        <v>0</v>
      </c>
      <c r="AL296" s="80">
        <v>0</v>
      </c>
      <c r="AM296" s="18">
        <v>0</v>
      </c>
      <c r="AN296" s="86">
        <v>0</v>
      </c>
      <c r="AO296" s="80">
        <v>0</v>
      </c>
      <c r="AP296" s="18">
        <v>0</v>
      </c>
      <c r="AQ296" s="86">
        <v>0</v>
      </c>
      <c r="AR296" s="80">
        <v>0</v>
      </c>
      <c r="AS296" s="18">
        <v>0</v>
      </c>
      <c r="AT296" s="86">
        <v>13318.44</v>
      </c>
      <c r="AU296" s="80">
        <v>0.24015950817062601</v>
      </c>
      <c r="AV296" s="18">
        <v>3198.5499999999902</v>
      </c>
      <c r="AW296" s="86">
        <v>0</v>
      </c>
      <c r="AX296" s="80">
        <v>0</v>
      </c>
      <c r="AY296" s="18">
        <v>0</v>
      </c>
      <c r="AZ296" s="86"/>
      <c r="BA296" s="80"/>
      <c r="BB296" s="18"/>
      <c r="BC296" s="86"/>
      <c r="BD296" s="80"/>
      <c r="BE296" s="18"/>
      <c r="BF296" s="86"/>
      <c r="BG296" s="80"/>
      <c r="BH296" s="18"/>
    </row>
    <row r="297" spans="3:60" ht="20.25" x14ac:dyDescent="0.3">
      <c r="C297" s="8" t="s">
        <v>46</v>
      </c>
      <c r="D297" s="86">
        <f t="shared" si="17"/>
        <v>3449328.5299999984</v>
      </c>
      <c r="E297" s="80">
        <f t="shared" si="18"/>
        <v>0.24777357754322085</v>
      </c>
      <c r="F297" s="18">
        <f t="shared" si="19"/>
        <v>854652.46999999858</v>
      </c>
      <c r="G297" s="86">
        <v>368988.2</v>
      </c>
      <c r="H297" s="80">
        <v>0.28218742496372501</v>
      </c>
      <c r="I297" s="18">
        <v>104123.83</v>
      </c>
      <c r="J297" s="86">
        <v>335461.69</v>
      </c>
      <c r="K297" s="80">
        <v>0.27902047473736802</v>
      </c>
      <c r="L297" s="18">
        <v>93600.68</v>
      </c>
      <c r="M297" s="86">
        <v>119224.1</v>
      </c>
      <c r="N297" s="80">
        <v>0.28246948393823001</v>
      </c>
      <c r="O297" s="18">
        <v>33677.17</v>
      </c>
      <c r="P297" s="86">
        <v>441581.38</v>
      </c>
      <c r="Q297" s="80">
        <v>0.21662729529039401</v>
      </c>
      <c r="R297" s="18">
        <v>95658.58</v>
      </c>
      <c r="S297" s="86">
        <v>580502.89999999898</v>
      </c>
      <c r="T297" s="80">
        <v>0.20596906578761201</v>
      </c>
      <c r="U297" s="18">
        <v>119565.639999999</v>
      </c>
      <c r="V297" s="86">
        <v>497930</v>
      </c>
      <c r="W297" s="80">
        <v>0.234239732492519</v>
      </c>
      <c r="X297" s="18">
        <v>116634.99</v>
      </c>
      <c r="Y297" s="86">
        <v>233629.41999999899</v>
      </c>
      <c r="Z297" s="80">
        <v>0.274887469223696</v>
      </c>
      <c r="AA297" s="18">
        <v>64221.799999999901</v>
      </c>
      <c r="AB297" s="86">
        <v>114902.75</v>
      </c>
      <c r="AC297" s="80">
        <v>0.27852257670073099</v>
      </c>
      <c r="AD297" s="18">
        <v>32003.0099999999</v>
      </c>
      <c r="AE297" s="86">
        <v>166485.57999999999</v>
      </c>
      <c r="AF297" s="80">
        <v>0.28894436383018801</v>
      </c>
      <c r="AG297" s="18">
        <v>48105.069999999898</v>
      </c>
      <c r="AH297" s="86">
        <v>84211.01</v>
      </c>
      <c r="AI297" s="80">
        <v>0.27112333648533599</v>
      </c>
      <c r="AJ297" s="18">
        <v>22831.57</v>
      </c>
      <c r="AK297" s="86">
        <v>52689.37</v>
      </c>
      <c r="AL297" s="80">
        <v>0.22715587603343901</v>
      </c>
      <c r="AM297" s="18">
        <v>11968.7</v>
      </c>
      <c r="AN297" s="86">
        <v>94023.71</v>
      </c>
      <c r="AO297" s="80">
        <v>0.24567813799306501</v>
      </c>
      <c r="AP297" s="18">
        <v>23099.57</v>
      </c>
      <c r="AQ297" s="86">
        <v>166520.66</v>
      </c>
      <c r="AR297" s="80">
        <v>0.257481504096849</v>
      </c>
      <c r="AS297" s="18">
        <v>42875.99</v>
      </c>
      <c r="AT297" s="86">
        <v>174728.16</v>
      </c>
      <c r="AU297" s="80">
        <v>0.23104964878013901</v>
      </c>
      <c r="AV297" s="18">
        <v>40370.879999999997</v>
      </c>
      <c r="AW297" s="86">
        <v>18449.599999999999</v>
      </c>
      <c r="AX297" s="80">
        <v>0.32060261469083301</v>
      </c>
      <c r="AY297" s="18">
        <v>5914.9899999999898</v>
      </c>
      <c r="AZ297" s="86"/>
      <c r="BA297" s="80"/>
      <c r="BB297" s="18"/>
      <c r="BC297" s="86"/>
      <c r="BD297" s="80"/>
      <c r="BE297" s="18"/>
      <c r="BF297" s="86"/>
      <c r="BG297" s="80"/>
      <c r="BH297" s="18"/>
    </row>
    <row r="298" spans="3:60" ht="20.25" x14ac:dyDescent="0.3">
      <c r="C298" s="8" t="s">
        <v>45</v>
      </c>
      <c r="D298" s="86">
        <f t="shared" si="17"/>
        <v>1148990.6999999997</v>
      </c>
      <c r="E298" s="80">
        <f t="shared" si="18"/>
        <v>0.301531161218276</v>
      </c>
      <c r="F298" s="18">
        <f t="shared" si="19"/>
        <v>346456.49999999971</v>
      </c>
      <c r="G298" s="86">
        <v>62444.169999999896</v>
      </c>
      <c r="H298" s="80">
        <v>0.40683317593940299</v>
      </c>
      <c r="I298" s="18">
        <v>25404.359999999899</v>
      </c>
      <c r="J298" s="86">
        <v>77352.469999999899</v>
      </c>
      <c r="K298" s="80">
        <v>0.36732324126172</v>
      </c>
      <c r="L298" s="18">
        <v>28413.359999999899</v>
      </c>
      <c r="M298" s="86">
        <v>25742.46</v>
      </c>
      <c r="N298" s="80">
        <v>0.38497097790964802</v>
      </c>
      <c r="O298" s="18">
        <v>9910.1</v>
      </c>
      <c r="P298" s="86">
        <v>154757.07999999999</v>
      </c>
      <c r="Q298" s="80">
        <v>0.25268795456724802</v>
      </c>
      <c r="R298" s="18">
        <v>39105.25</v>
      </c>
      <c r="S298" s="86">
        <v>145144.07</v>
      </c>
      <c r="T298" s="80">
        <v>0.29115677960525699</v>
      </c>
      <c r="U298" s="18">
        <v>42259.68</v>
      </c>
      <c r="V298" s="86">
        <v>163558.89000000001</v>
      </c>
      <c r="W298" s="80">
        <v>0.27725389919190502</v>
      </c>
      <c r="X298" s="18">
        <v>45347.34</v>
      </c>
      <c r="Y298" s="86">
        <v>56578.59</v>
      </c>
      <c r="Z298" s="80">
        <v>0.36630004388585802</v>
      </c>
      <c r="AA298" s="18">
        <v>20724.740000000002</v>
      </c>
      <c r="AB298" s="86">
        <v>97084.72</v>
      </c>
      <c r="AC298" s="80">
        <v>0.31657865418986603</v>
      </c>
      <c r="AD298" s="18">
        <v>30734.95</v>
      </c>
      <c r="AE298" s="86">
        <v>41961.45</v>
      </c>
      <c r="AF298" s="80">
        <v>0.301686190539173</v>
      </c>
      <c r="AG298" s="18">
        <v>12659.1899999999</v>
      </c>
      <c r="AH298" s="86">
        <v>29592.74</v>
      </c>
      <c r="AI298" s="80">
        <v>0.39099218254206902</v>
      </c>
      <c r="AJ298" s="18">
        <v>11570.53</v>
      </c>
      <c r="AK298" s="86">
        <v>42515.51</v>
      </c>
      <c r="AL298" s="80">
        <v>0.24583640182135799</v>
      </c>
      <c r="AM298" s="18">
        <v>10451.86</v>
      </c>
      <c r="AN298" s="86">
        <v>38699.68</v>
      </c>
      <c r="AO298" s="80">
        <v>0.28781762536537697</v>
      </c>
      <c r="AP298" s="18">
        <v>11138.45</v>
      </c>
      <c r="AQ298" s="86">
        <v>69623.3</v>
      </c>
      <c r="AR298" s="80">
        <v>0.29836936772603401</v>
      </c>
      <c r="AS298" s="18">
        <v>20773.46</v>
      </c>
      <c r="AT298" s="86">
        <v>143935.57</v>
      </c>
      <c r="AU298" s="80">
        <v>0.26375155217018198</v>
      </c>
      <c r="AV298" s="18">
        <v>37963.230000000003</v>
      </c>
      <c r="AW298" s="86">
        <v>0</v>
      </c>
      <c r="AX298" s="80">
        <v>0</v>
      </c>
      <c r="AY298" s="18">
        <v>0</v>
      </c>
      <c r="AZ298" s="86"/>
      <c r="BA298" s="80"/>
      <c r="BB298" s="18"/>
      <c r="BC298" s="86"/>
      <c r="BD298" s="80"/>
      <c r="BE298" s="18"/>
      <c r="BF298" s="86"/>
      <c r="BG298" s="80"/>
      <c r="BH298" s="18"/>
    </row>
    <row r="299" spans="3:60" ht="20.25" x14ac:dyDescent="0.3">
      <c r="C299" s="8" t="s">
        <v>44</v>
      </c>
      <c r="D299" s="86">
        <f t="shared" si="17"/>
        <v>714583.30999999878</v>
      </c>
      <c r="E299" s="80">
        <f t="shared" si="18"/>
        <v>0.28465088276411049</v>
      </c>
      <c r="F299" s="18">
        <f t="shared" si="19"/>
        <v>203406.76999999967</v>
      </c>
      <c r="G299" s="86">
        <v>119590.769999999</v>
      </c>
      <c r="H299" s="80">
        <v>0.26312900234691999</v>
      </c>
      <c r="I299" s="18">
        <v>31467.799999999901</v>
      </c>
      <c r="J299" s="86">
        <v>54241.3999999999</v>
      </c>
      <c r="K299" s="80">
        <v>0.299792593848978</v>
      </c>
      <c r="L299" s="18">
        <v>16261.1699999999</v>
      </c>
      <c r="M299" s="86">
        <v>20087.009999999998</v>
      </c>
      <c r="N299" s="80">
        <v>0.301141384407136</v>
      </c>
      <c r="O299" s="18">
        <v>6049.03</v>
      </c>
      <c r="P299" s="86">
        <v>48652.3299999999</v>
      </c>
      <c r="Q299" s="80">
        <v>0.334215031428093</v>
      </c>
      <c r="R299" s="18">
        <v>16260.3399999999</v>
      </c>
      <c r="S299" s="86">
        <v>161798.54</v>
      </c>
      <c r="T299" s="80">
        <v>0.25644180720048498</v>
      </c>
      <c r="U299" s="18">
        <v>41491.910000000003</v>
      </c>
      <c r="V299" s="86">
        <v>35939.980000000003</v>
      </c>
      <c r="W299" s="80">
        <v>0.32459561747112797</v>
      </c>
      <c r="X299" s="18">
        <v>11665.96</v>
      </c>
      <c r="Y299" s="86">
        <v>18616.490000000002</v>
      </c>
      <c r="Z299" s="80">
        <v>0.21117460917713199</v>
      </c>
      <c r="AA299" s="18">
        <v>3931.33</v>
      </c>
      <c r="AB299" s="86">
        <v>5390.36</v>
      </c>
      <c r="AC299" s="80">
        <v>0.28293657566470498</v>
      </c>
      <c r="AD299" s="18">
        <v>1525.1299999999901</v>
      </c>
      <c r="AE299" s="86">
        <v>19722.57</v>
      </c>
      <c r="AF299" s="80">
        <v>0.33381349388036102</v>
      </c>
      <c r="AG299" s="18">
        <v>6583.66</v>
      </c>
      <c r="AH299" s="86">
        <v>35393.83</v>
      </c>
      <c r="AI299" s="80">
        <v>0.21241188082781601</v>
      </c>
      <c r="AJ299" s="18">
        <v>7518.07</v>
      </c>
      <c r="AK299" s="86">
        <v>13204.31</v>
      </c>
      <c r="AL299" s="80">
        <v>0.27516167069691599</v>
      </c>
      <c r="AM299" s="18">
        <v>3633.3199999999902</v>
      </c>
      <c r="AN299" s="86">
        <v>13667.52</v>
      </c>
      <c r="AO299" s="80">
        <v>0.36218348317763499</v>
      </c>
      <c r="AP299" s="18">
        <v>4950.1499999999996</v>
      </c>
      <c r="AQ299" s="86">
        <v>20464.740000000002</v>
      </c>
      <c r="AR299" s="80">
        <v>0.30161487514622698</v>
      </c>
      <c r="AS299" s="18">
        <v>6172.47</v>
      </c>
      <c r="AT299" s="86">
        <v>30512.76</v>
      </c>
      <c r="AU299" s="80">
        <v>0.30912182313235498</v>
      </c>
      <c r="AV299" s="18">
        <v>9432.16</v>
      </c>
      <c r="AW299" s="86">
        <v>117300.7</v>
      </c>
      <c r="AX299" s="80">
        <v>0.31086148676009601</v>
      </c>
      <c r="AY299" s="18">
        <v>36464.269999999997</v>
      </c>
      <c r="AZ299" s="86"/>
      <c r="BA299" s="80"/>
      <c r="BB299" s="18"/>
      <c r="BC299" s="86"/>
      <c r="BD299" s="80"/>
      <c r="BE299" s="18"/>
      <c r="BF299" s="86"/>
      <c r="BG299" s="80"/>
      <c r="BH299" s="18"/>
    </row>
    <row r="300" spans="3:60" ht="20.25" x14ac:dyDescent="0.3">
      <c r="C300" s="8" t="s">
        <v>43</v>
      </c>
      <c r="D300" s="86">
        <f t="shared" si="17"/>
        <v>5269114.9899999984</v>
      </c>
      <c r="E300" s="80">
        <f t="shared" si="18"/>
        <v>0.17123326625293459</v>
      </c>
      <c r="F300" s="18">
        <f t="shared" si="19"/>
        <v>902247.76999999851</v>
      </c>
      <c r="G300" s="86">
        <v>389421.08</v>
      </c>
      <c r="H300" s="80">
        <v>0.17257247604572401</v>
      </c>
      <c r="I300" s="18">
        <v>67203.360000000001</v>
      </c>
      <c r="J300" s="86">
        <v>163247.85999999999</v>
      </c>
      <c r="K300" s="80">
        <v>0.176054068947672</v>
      </c>
      <c r="L300" s="18">
        <v>28740.449999999899</v>
      </c>
      <c r="M300" s="86">
        <v>89348.94</v>
      </c>
      <c r="N300" s="80">
        <v>0.21911597384367401</v>
      </c>
      <c r="O300" s="18">
        <v>19577.78</v>
      </c>
      <c r="P300" s="86">
        <v>280046.19</v>
      </c>
      <c r="Q300" s="80">
        <v>0.191128434919968</v>
      </c>
      <c r="R300" s="18">
        <v>53524.79</v>
      </c>
      <c r="S300" s="86">
        <v>1114026.01</v>
      </c>
      <c r="T300" s="80">
        <v>0.16619379470323101</v>
      </c>
      <c r="U300" s="18">
        <v>185144.209999999</v>
      </c>
      <c r="V300" s="86">
        <v>648521.22</v>
      </c>
      <c r="W300" s="80">
        <v>0.14076187052136799</v>
      </c>
      <c r="X300" s="18">
        <v>91287.059999999896</v>
      </c>
      <c r="Y300" s="86">
        <v>387368.51</v>
      </c>
      <c r="Z300" s="80">
        <v>0.189884639822684</v>
      </c>
      <c r="AA300" s="18">
        <v>73555.33</v>
      </c>
      <c r="AB300" s="86">
        <v>331956.63</v>
      </c>
      <c r="AC300" s="80">
        <v>0.215999662365532</v>
      </c>
      <c r="AD300" s="18">
        <v>71702.52</v>
      </c>
      <c r="AE300" s="86">
        <v>362347.51</v>
      </c>
      <c r="AF300" s="80">
        <v>0.221178172302053</v>
      </c>
      <c r="AG300" s="18">
        <v>80143.359999999899</v>
      </c>
      <c r="AH300" s="86">
        <v>82281.72</v>
      </c>
      <c r="AI300" s="80">
        <v>0.20074458822688601</v>
      </c>
      <c r="AJ300" s="18">
        <v>16517.609999999899</v>
      </c>
      <c r="AK300" s="86">
        <v>102689.12</v>
      </c>
      <c r="AL300" s="80">
        <v>0.155280033561491</v>
      </c>
      <c r="AM300" s="18">
        <v>15945.5699999999</v>
      </c>
      <c r="AN300" s="86">
        <v>501274.7</v>
      </c>
      <c r="AO300" s="80">
        <v>0.158856770549162</v>
      </c>
      <c r="AP300" s="18">
        <v>79630.880000000005</v>
      </c>
      <c r="AQ300" s="86">
        <v>419658.1</v>
      </c>
      <c r="AR300" s="80">
        <v>0.16471889855098701</v>
      </c>
      <c r="AS300" s="18">
        <v>69125.62</v>
      </c>
      <c r="AT300" s="86">
        <v>396618.38</v>
      </c>
      <c r="AU300" s="80">
        <v>0.12566288531560199</v>
      </c>
      <c r="AV300" s="18">
        <v>49840.21</v>
      </c>
      <c r="AW300" s="86">
        <v>309.02</v>
      </c>
      <c r="AX300" s="80">
        <v>1</v>
      </c>
      <c r="AY300" s="18">
        <v>309.02</v>
      </c>
      <c r="AZ300" s="86"/>
      <c r="BA300" s="80"/>
      <c r="BB300" s="18"/>
      <c r="BC300" s="86"/>
      <c r="BD300" s="80"/>
      <c r="BE300" s="18"/>
      <c r="BF300" s="86"/>
      <c r="BG300" s="80"/>
      <c r="BH300" s="18"/>
    </row>
    <row r="301" spans="3:60" ht="20.25" hidden="1" x14ac:dyDescent="0.3">
      <c r="C301" s="8" t="s">
        <v>3</v>
      </c>
      <c r="D301" s="86">
        <f t="shared" si="17"/>
        <v>0</v>
      </c>
      <c r="E301" s="80">
        <f t="shared" si="18"/>
        <v>0</v>
      </c>
      <c r="F301" s="18">
        <f t="shared" si="19"/>
        <v>0</v>
      </c>
      <c r="G301" s="86">
        <v>0</v>
      </c>
      <c r="H301" s="80">
        <v>0</v>
      </c>
      <c r="I301" s="18">
        <v>0</v>
      </c>
      <c r="J301" s="86">
        <v>0</v>
      </c>
      <c r="K301" s="80">
        <v>0</v>
      </c>
      <c r="L301" s="18">
        <v>0</v>
      </c>
      <c r="M301" s="86">
        <v>0</v>
      </c>
      <c r="N301" s="80">
        <v>0</v>
      </c>
      <c r="O301" s="18">
        <v>0</v>
      </c>
      <c r="P301" s="86">
        <v>0</v>
      </c>
      <c r="Q301" s="80">
        <v>0</v>
      </c>
      <c r="R301" s="18">
        <v>0</v>
      </c>
      <c r="S301" s="86">
        <v>0</v>
      </c>
      <c r="T301" s="80">
        <v>0</v>
      </c>
      <c r="U301" s="18">
        <v>0</v>
      </c>
      <c r="V301" s="86">
        <v>0</v>
      </c>
      <c r="W301" s="80">
        <v>0</v>
      </c>
      <c r="X301" s="18">
        <v>0</v>
      </c>
      <c r="Y301" s="86">
        <v>0</v>
      </c>
      <c r="Z301" s="80">
        <v>0</v>
      </c>
      <c r="AA301" s="18">
        <v>0</v>
      </c>
      <c r="AB301" s="86">
        <v>0</v>
      </c>
      <c r="AC301" s="80">
        <v>0</v>
      </c>
      <c r="AD301" s="18">
        <v>0</v>
      </c>
      <c r="AE301" s="86">
        <v>0</v>
      </c>
      <c r="AF301" s="80">
        <v>0</v>
      </c>
      <c r="AG301" s="18">
        <v>0</v>
      </c>
      <c r="AH301" s="86">
        <v>0</v>
      </c>
      <c r="AI301" s="80">
        <v>0</v>
      </c>
      <c r="AJ301" s="18">
        <v>0</v>
      </c>
      <c r="AK301" s="86">
        <v>0</v>
      </c>
      <c r="AL301" s="80">
        <v>0</v>
      </c>
      <c r="AM301" s="18">
        <v>0</v>
      </c>
      <c r="AN301" s="86">
        <v>0</v>
      </c>
      <c r="AO301" s="80">
        <v>0</v>
      </c>
      <c r="AP301" s="18">
        <v>0</v>
      </c>
      <c r="AQ301" s="86">
        <v>0</v>
      </c>
      <c r="AR301" s="80">
        <v>0</v>
      </c>
      <c r="AS301" s="18">
        <v>0</v>
      </c>
      <c r="AT301" s="86">
        <v>0</v>
      </c>
      <c r="AU301" s="80">
        <v>0</v>
      </c>
      <c r="AV301" s="18">
        <v>0</v>
      </c>
      <c r="AW301" s="86">
        <v>0</v>
      </c>
      <c r="AX301" s="80">
        <v>0</v>
      </c>
      <c r="AY301" s="18">
        <v>0</v>
      </c>
      <c r="AZ301" s="86"/>
      <c r="BA301" s="80"/>
      <c r="BB301" s="18"/>
      <c r="BC301" s="86"/>
      <c r="BD301" s="80"/>
      <c r="BE301" s="18"/>
      <c r="BF301" s="86"/>
      <c r="BG301" s="80"/>
      <c r="BH301" s="18"/>
    </row>
    <row r="302" spans="3:60" ht="20.25" x14ac:dyDescent="0.3">
      <c r="C302" s="8" t="s">
        <v>42</v>
      </c>
      <c r="D302" s="86">
        <f t="shared" si="17"/>
        <v>0</v>
      </c>
      <c r="E302" s="80">
        <f t="shared" si="18"/>
        <v>0</v>
      </c>
      <c r="F302" s="18">
        <f t="shared" si="19"/>
        <v>115317.8</v>
      </c>
      <c r="G302" s="86">
        <v>0</v>
      </c>
      <c r="H302" s="80">
        <v>0</v>
      </c>
      <c r="I302" s="18">
        <v>22767.16</v>
      </c>
      <c r="J302" s="86">
        <v>0</v>
      </c>
      <c r="K302" s="80">
        <v>0</v>
      </c>
      <c r="L302" s="18">
        <v>21750.23</v>
      </c>
      <c r="M302" s="86">
        <v>0</v>
      </c>
      <c r="N302" s="80">
        <v>0</v>
      </c>
      <c r="O302" s="18">
        <v>24062.25</v>
      </c>
      <c r="P302" s="86">
        <v>0</v>
      </c>
      <c r="Q302" s="80">
        <v>0</v>
      </c>
      <c r="R302" s="18">
        <v>0</v>
      </c>
      <c r="S302" s="86">
        <v>0</v>
      </c>
      <c r="T302" s="80">
        <v>0</v>
      </c>
      <c r="U302" s="18">
        <v>0</v>
      </c>
      <c r="V302" s="86">
        <v>0</v>
      </c>
      <c r="W302" s="80">
        <v>0</v>
      </c>
      <c r="X302" s="18">
        <v>18621.14</v>
      </c>
      <c r="Y302" s="86">
        <v>0</v>
      </c>
      <c r="Z302" s="80">
        <v>0</v>
      </c>
      <c r="AA302" s="18">
        <v>-6300.2199999999903</v>
      </c>
      <c r="AB302" s="86">
        <v>0</v>
      </c>
      <c r="AC302" s="80">
        <v>0</v>
      </c>
      <c r="AD302" s="18">
        <v>43.95</v>
      </c>
      <c r="AE302" s="86">
        <v>0</v>
      </c>
      <c r="AF302" s="80">
        <v>0</v>
      </c>
      <c r="AG302" s="18">
        <v>-8029.22</v>
      </c>
      <c r="AH302" s="86">
        <v>0</v>
      </c>
      <c r="AI302" s="80">
        <v>0</v>
      </c>
      <c r="AJ302" s="18">
        <v>9917.61</v>
      </c>
      <c r="AK302" s="86">
        <v>0</v>
      </c>
      <c r="AL302" s="80">
        <v>0</v>
      </c>
      <c r="AM302" s="18">
        <v>9880.76</v>
      </c>
      <c r="AN302" s="86">
        <v>0</v>
      </c>
      <c r="AO302" s="80">
        <v>0</v>
      </c>
      <c r="AP302" s="18">
        <v>-297.16000000000003</v>
      </c>
      <c r="AQ302" s="86">
        <v>0</v>
      </c>
      <c r="AR302" s="80">
        <v>0</v>
      </c>
      <c r="AS302" s="18">
        <v>9598.34</v>
      </c>
      <c r="AT302" s="86">
        <v>0</v>
      </c>
      <c r="AU302" s="80">
        <v>0</v>
      </c>
      <c r="AV302" s="18">
        <v>12270.07</v>
      </c>
      <c r="AW302" s="86">
        <v>0</v>
      </c>
      <c r="AX302" s="80">
        <v>0</v>
      </c>
      <c r="AY302" s="18">
        <v>1032.8900000000001</v>
      </c>
      <c r="AZ302" s="86"/>
      <c r="BA302" s="80"/>
      <c r="BB302" s="18"/>
      <c r="BC302" s="86"/>
      <c r="BD302" s="80"/>
      <c r="BE302" s="18"/>
      <c r="BF302" s="86"/>
      <c r="BG302" s="80"/>
      <c r="BH302" s="18"/>
    </row>
    <row r="303" spans="3:60" ht="20.25" x14ac:dyDescent="0.3">
      <c r="C303" s="67" t="s">
        <v>41</v>
      </c>
      <c r="D303" s="86">
        <f t="shared" si="17"/>
        <v>0</v>
      </c>
      <c r="E303" s="80">
        <f t="shared" si="18"/>
        <v>0</v>
      </c>
      <c r="F303" s="18">
        <f t="shared" si="19"/>
        <v>-3890.37</v>
      </c>
      <c r="G303" s="86">
        <v>0</v>
      </c>
      <c r="H303" s="80">
        <v>0</v>
      </c>
      <c r="I303" s="18">
        <v>0</v>
      </c>
      <c r="J303" s="86">
        <v>0</v>
      </c>
      <c r="K303" s="80">
        <v>0</v>
      </c>
      <c r="L303" s="18">
        <v>0</v>
      </c>
      <c r="M303" s="86">
        <v>0</v>
      </c>
      <c r="N303" s="80">
        <v>0</v>
      </c>
      <c r="O303" s="18">
        <v>0</v>
      </c>
      <c r="P303" s="86">
        <v>0</v>
      </c>
      <c r="Q303" s="80">
        <v>0</v>
      </c>
      <c r="R303" s="18">
        <v>0</v>
      </c>
      <c r="S303" s="86">
        <v>0</v>
      </c>
      <c r="T303" s="80">
        <v>0</v>
      </c>
      <c r="U303" s="18">
        <v>0</v>
      </c>
      <c r="V303" s="86">
        <v>0</v>
      </c>
      <c r="W303" s="80">
        <v>0</v>
      </c>
      <c r="X303" s="18">
        <v>0</v>
      </c>
      <c r="Y303" s="86">
        <v>0</v>
      </c>
      <c r="Z303" s="80">
        <v>0</v>
      </c>
      <c r="AA303" s="18">
        <v>0</v>
      </c>
      <c r="AB303" s="86">
        <v>0</v>
      </c>
      <c r="AC303" s="80">
        <v>0</v>
      </c>
      <c r="AD303" s="18">
        <v>0</v>
      </c>
      <c r="AE303" s="86">
        <v>0</v>
      </c>
      <c r="AF303" s="80">
        <v>0</v>
      </c>
      <c r="AG303" s="18">
        <v>0</v>
      </c>
      <c r="AH303" s="86">
        <v>0</v>
      </c>
      <c r="AI303" s="80">
        <v>0</v>
      </c>
      <c r="AJ303" s="18">
        <v>0</v>
      </c>
      <c r="AK303" s="86">
        <v>0</v>
      </c>
      <c r="AL303" s="80">
        <v>0</v>
      </c>
      <c r="AM303" s="18">
        <v>0</v>
      </c>
      <c r="AN303" s="86">
        <v>0</v>
      </c>
      <c r="AO303" s="80">
        <v>0</v>
      </c>
      <c r="AP303" s="18">
        <v>0</v>
      </c>
      <c r="AQ303" s="86">
        <v>0</v>
      </c>
      <c r="AR303" s="80">
        <v>0</v>
      </c>
      <c r="AS303" s="18">
        <v>-3890.37</v>
      </c>
      <c r="AT303" s="86">
        <v>0</v>
      </c>
      <c r="AU303" s="80">
        <v>0</v>
      </c>
      <c r="AV303" s="18">
        <v>0</v>
      </c>
      <c r="AW303" s="86">
        <v>0</v>
      </c>
      <c r="AX303" s="80">
        <v>0</v>
      </c>
      <c r="AY303" s="18">
        <v>0</v>
      </c>
      <c r="AZ303" s="86"/>
      <c r="BA303" s="80"/>
      <c r="BB303" s="18"/>
      <c r="BC303" s="86"/>
      <c r="BD303" s="80"/>
      <c r="BE303" s="18"/>
      <c r="BF303" s="86"/>
      <c r="BG303" s="80"/>
      <c r="BH303" s="18"/>
    </row>
    <row r="304" spans="3:60" ht="20.25" x14ac:dyDescent="0.3">
      <c r="C304" s="32" t="s">
        <v>40</v>
      </c>
      <c r="D304" s="85">
        <f>SUM(D295:D303)</f>
        <v>13936731.219999993</v>
      </c>
      <c r="E304" s="84">
        <f t="shared" si="18"/>
        <v>0.25667233611182438</v>
      </c>
      <c r="F304" s="83">
        <f>SUM(F295:F303)</f>
        <v>3577173.3599999947</v>
      </c>
      <c r="G304" s="85">
        <v>1296352.1399999999</v>
      </c>
      <c r="H304" s="84">
        <v>0.28678804047795198</v>
      </c>
      <c r="I304" s="83">
        <v>371778.29</v>
      </c>
      <c r="J304" s="85">
        <v>914064.33</v>
      </c>
      <c r="K304" s="84">
        <v>0.31962706607312802</v>
      </c>
      <c r="L304" s="83">
        <v>292159.69999999902</v>
      </c>
      <c r="M304" s="85">
        <v>337214.27</v>
      </c>
      <c r="N304" s="84">
        <v>0.381631062054402</v>
      </c>
      <c r="O304" s="83">
        <v>128691.44</v>
      </c>
      <c r="P304" s="85">
        <v>1408628.64</v>
      </c>
      <c r="Q304" s="84">
        <v>0.26202659772699199</v>
      </c>
      <c r="R304" s="83">
        <v>369098.17</v>
      </c>
      <c r="S304" s="85">
        <v>2608260.06</v>
      </c>
      <c r="T304" s="84">
        <v>0.23275760700027701</v>
      </c>
      <c r="U304" s="83">
        <v>607092.36999999895</v>
      </c>
      <c r="V304" s="85">
        <v>1780417.81</v>
      </c>
      <c r="W304" s="84">
        <v>0.231289272488237</v>
      </c>
      <c r="X304" s="83">
        <v>411791.54</v>
      </c>
      <c r="Y304" s="85">
        <v>845875.74</v>
      </c>
      <c r="Z304" s="84">
        <v>0.25406068508360302</v>
      </c>
      <c r="AA304" s="83">
        <v>214903.77</v>
      </c>
      <c r="AB304" s="85">
        <v>610959.12</v>
      </c>
      <c r="AC304" s="84">
        <v>0.25826876927543002</v>
      </c>
      <c r="AD304" s="83">
        <v>157791.66</v>
      </c>
      <c r="AE304" s="85">
        <v>788792.25</v>
      </c>
      <c r="AF304" s="84">
        <v>0.28510843000802799</v>
      </c>
      <c r="AG304" s="83">
        <v>224891.31999999899</v>
      </c>
      <c r="AH304" s="85">
        <v>317629.179999999</v>
      </c>
      <c r="AI304" s="84">
        <v>0.31876306200834498</v>
      </c>
      <c r="AJ304" s="83">
        <v>101248.45</v>
      </c>
      <c r="AK304" s="85">
        <v>258211.74</v>
      </c>
      <c r="AL304" s="84">
        <v>0.27286454907123803</v>
      </c>
      <c r="AM304" s="83">
        <v>70456.83</v>
      </c>
      <c r="AN304" s="85">
        <v>762897.61</v>
      </c>
      <c r="AO304" s="84">
        <v>0.21622382589453901</v>
      </c>
      <c r="AP304" s="83">
        <v>164956.64000000001</v>
      </c>
      <c r="AQ304" s="85">
        <v>823099.81</v>
      </c>
      <c r="AR304" s="84">
        <v>0.237078271224482</v>
      </c>
      <c r="AS304" s="83">
        <v>195139.08</v>
      </c>
      <c r="AT304" s="85">
        <v>886762.64</v>
      </c>
      <c r="AU304" s="84">
        <v>0.21652909283593599</v>
      </c>
      <c r="AV304" s="83">
        <v>192009.91</v>
      </c>
      <c r="AW304" s="85">
        <v>297565.88</v>
      </c>
      <c r="AX304" s="84">
        <v>0.25259680310121502</v>
      </c>
      <c r="AY304" s="83">
        <v>75164.19</v>
      </c>
      <c r="AZ304" s="85"/>
      <c r="BA304" s="84"/>
      <c r="BB304" s="83"/>
      <c r="BC304" s="85"/>
      <c r="BD304" s="84"/>
      <c r="BE304" s="83"/>
      <c r="BF304" s="85"/>
      <c r="BG304" s="84"/>
      <c r="BH304" s="83"/>
    </row>
    <row r="305" spans="3:60" ht="20.25" x14ac:dyDescent="0.3">
      <c r="C305" s="8"/>
      <c r="D305" s="73"/>
      <c r="E305" s="7"/>
      <c r="F305" s="6"/>
      <c r="G305" s="73"/>
      <c r="H305" s="7"/>
      <c r="I305" s="6"/>
      <c r="J305" s="73"/>
      <c r="K305" s="7"/>
      <c r="L305" s="6"/>
      <c r="M305" s="73"/>
      <c r="N305" s="7"/>
      <c r="O305" s="6"/>
      <c r="P305" s="73"/>
      <c r="Q305" s="7"/>
      <c r="R305" s="6"/>
      <c r="S305" s="73"/>
      <c r="T305" s="7"/>
      <c r="U305" s="6"/>
      <c r="V305" s="73"/>
      <c r="W305" s="7"/>
      <c r="X305" s="6"/>
      <c r="Y305" s="73"/>
      <c r="Z305" s="7"/>
      <c r="AA305" s="6"/>
      <c r="AB305" s="73"/>
      <c r="AC305" s="7"/>
      <c r="AD305" s="6"/>
      <c r="AE305" s="73"/>
      <c r="AF305" s="7"/>
      <c r="AG305" s="6"/>
      <c r="AH305" s="73"/>
      <c r="AI305" s="7"/>
      <c r="AJ305" s="6"/>
      <c r="AK305" s="73"/>
      <c r="AL305" s="7"/>
      <c r="AM305" s="6"/>
      <c r="AN305" s="73"/>
      <c r="AO305" s="7"/>
      <c r="AP305" s="6"/>
      <c r="AQ305" s="73"/>
      <c r="AR305" s="7"/>
      <c r="AS305" s="6"/>
      <c r="AT305" s="73"/>
      <c r="AU305" s="7"/>
      <c r="AV305" s="6"/>
      <c r="AW305" s="73"/>
      <c r="AX305" s="7"/>
      <c r="AY305" s="6"/>
      <c r="AZ305" s="73"/>
      <c r="BA305" s="7"/>
      <c r="BB305" s="6"/>
      <c r="BC305" s="73"/>
      <c r="BD305" s="7"/>
      <c r="BE305" s="6"/>
      <c r="BF305" s="73"/>
      <c r="BG305" s="7"/>
      <c r="BH305" s="6"/>
    </row>
    <row r="306" spans="3:60" ht="20.25" x14ac:dyDescent="0.3">
      <c r="C306" s="67"/>
      <c r="D306" s="67"/>
      <c r="E306" s="66"/>
      <c r="F306" s="87"/>
      <c r="G306" s="67"/>
      <c r="H306" s="66"/>
      <c r="I306" s="87"/>
      <c r="J306" s="67"/>
      <c r="K306" s="66"/>
      <c r="L306" s="87"/>
      <c r="M306" s="67"/>
      <c r="N306" s="66"/>
      <c r="O306" s="87"/>
      <c r="P306" s="67"/>
      <c r="Q306" s="66"/>
      <c r="R306" s="87"/>
      <c r="S306" s="67"/>
      <c r="T306" s="66"/>
      <c r="U306" s="87"/>
      <c r="V306" s="67"/>
      <c r="W306" s="66"/>
      <c r="X306" s="87"/>
      <c r="Y306" s="67"/>
      <c r="Z306" s="66"/>
      <c r="AA306" s="87"/>
      <c r="AB306" s="67"/>
      <c r="AC306" s="66"/>
      <c r="AD306" s="87"/>
      <c r="AE306" s="67"/>
      <c r="AF306" s="66"/>
      <c r="AG306" s="87"/>
      <c r="AH306" s="67"/>
      <c r="AI306" s="66"/>
      <c r="AJ306" s="87"/>
      <c r="AK306" s="67"/>
      <c r="AL306" s="66"/>
      <c r="AM306" s="87"/>
      <c r="AN306" s="67"/>
      <c r="AO306" s="66"/>
      <c r="AP306" s="87"/>
      <c r="AQ306" s="67"/>
      <c r="AR306" s="66"/>
      <c r="AS306" s="87"/>
      <c r="AT306" s="67"/>
      <c r="AU306" s="66"/>
      <c r="AV306" s="87"/>
      <c r="AW306" s="67"/>
      <c r="AX306" s="66"/>
      <c r="AY306" s="87"/>
      <c r="AZ306" s="67"/>
      <c r="BA306" s="66"/>
      <c r="BB306" s="87"/>
      <c r="BC306" s="67"/>
      <c r="BD306" s="66"/>
      <c r="BE306" s="87"/>
      <c r="BF306" s="67"/>
      <c r="BG306" s="66"/>
      <c r="BH306" s="87"/>
    </row>
    <row r="307" spans="3:60" ht="20.25" x14ac:dyDescent="0.3">
      <c r="C307" s="8" t="s">
        <v>39</v>
      </c>
      <c r="D307" s="86">
        <f>+SUM(G307,J307,M307,P307,S307,V307,Y307,AB307,AE307,AH307,AK307,AN307,AQ307,AT307,AW307,AZ307,BC307,BF307)</f>
        <v>1562757.07</v>
      </c>
      <c r="E307" s="80">
        <f>IF(D307&lt;=0,0,F307/D307)</f>
        <v>0.19623608549728064</v>
      </c>
      <c r="F307" s="18">
        <f>+SUM(I307,L307,O307,R307,U307,X307,AA307,AD307,AG307,AJ307,AM307,AP307,AS307,AV307,AY307,BB307,BE307,BH307)</f>
        <v>306669.32999999978</v>
      </c>
      <c r="G307" s="86">
        <v>119101.54</v>
      </c>
      <c r="H307" s="80">
        <v>0.22236572255908599</v>
      </c>
      <c r="I307" s="18">
        <v>26484.1</v>
      </c>
      <c r="J307" s="86">
        <v>132223.03</v>
      </c>
      <c r="K307" s="80">
        <v>0.22841694067969801</v>
      </c>
      <c r="L307" s="18">
        <v>30201.979999999901</v>
      </c>
      <c r="M307" s="86">
        <v>81842.600000000006</v>
      </c>
      <c r="N307" s="80">
        <v>0.26407140046870398</v>
      </c>
      <c r="O307" s="18">
        <v>21612.29</v>
      </c>
      <c r="P307" s="86">
        <v>129245.53</v>
      </c>
      <c r="Q307" s="80">
        <v>0.18221349705479101</v>
      </c>
      <c r="R307" s="18">
        <v>23550.28</v>
      </c>
      <c r="S307" s="86">
        <v>336083.09</v>
      </c>
      <c r="T307" s="80">
        <v>0.171880679864018</v>
      </c>
      <c r="U307" s="18">
        <v>57766.19</v>
      </c>
      <c r="V307" s="86">
        <v>249114.91</v>
      </c>
      <c r="W307" s="80">
        <v>0.20013458849171201</v>
      </c>
      <c r="X307" s="18">
        <v>49856.51</v>
      </c>
      <c r="Y307" s="86">
        <v>64743.49</v>
      </c>
      <c r="Z307" s="80">
        <v>0.15409780967939701</v>
      </c>
      <c r="AA307" s="18">
        <v>9976.8299999999908</v>
      </c>
      <c r="AB307" s="86">
        <v>84154.47</v>
      </c>
      <c r="AC307" s="80">
        <v>0.206622773573406</v>
      </c>
      <c r="AD307" s="18">
        <v>17388.229999999901</v>
      </c>
      <c r="AE307" s="86">
        <v>122013.67</v>
      </c>
      <c r="AF307" s="80">
        <v>0.21358991988356699</v>
      </c>
      <c r="AG307" s="18">
        <v>26060.89</v>
      </c>
      <c r="AH307" s="86">
        <v>16080.62</v>
      </c>
      <c r="AI307" s="80">
        <v>0.21613594500709499</v>
      </c>
      <c r="AJ307" s="18">
        <v>3475.6</v>
      </c>
      <c r="AK307" s="86">
        <v>18481.64</v>
      </c>
      <c r="AL307" s="80">
        <v>0.11278815083509799</v>
      </c>
      <c r="AM307" s="18">
        <v>2084.5099999999902</v>
      </c>
      <c r="AN307" s="86">
        <v>48887.21</v>
      </c>
      <c r="AO307" s="80">
        <v>0.190473131929598</v>
      </c>
      <c r="AP307" s="18">
        <v>9311.6999999999898</v>
      </c>
      <c r="AQ307" s="86">
        <v>57732.3</v>
      </c>
      <c r="AR307" s="80">
        <v>0.222916460975918</v>
      </c>
      <c r="AS307" s="18">
        <v>12869.48</v>
      </c>
      <c r="AT307" s="86">
        <v>103052.97</v>
      </c>
      <c r="AU307" s="80">
        <v>0.15555825319736</v>
      </c>
      <c r="AV307" s="18">
        <v>16030.74</v>
      </c>
      <c r="AW307" s="86">
        <v>0</v>
      </c>
      <c r="AX307" s="80">
        <v>0</v>
      </c>
      <c r="AY307" s="18">
        <v>0</v>
      </c>
      <c r="AZ307" s="86"/>
      <c r="BA307" s="80"/>
      <c r="BB307" s="18"/>
      <c r="BC307" s="86"/>
      <c r="BD307" s="80"/>
      <c r="BE307" s="18"/>
      <c r="BF307" s="86"/>
      <c r="BG307" s="80"/>
      <c r="BH307" s="18"/>
    </row>
    <row r="308" spans="3:60" ht="20.25" x14ac:dyDescent="0.3">
      <c r="C308" s="67" t="s">
        <v>38</v>
      </c>
      <c r="D308" s="86">
        <f>+SUM(G308,J308,M308,P308,S308,V308,Y308,AB308,AE308,AH308,AK308,AN308,AQ308,AT308,AW308,AZ308,BC308,BF308)</f>
        <v>344501.35</v>
      </c>
      <c r="E308" s="80">
        <f>IF(D308&lt;=0,0,F308/D308)</f>
        <v>0.31793410969216807</v>
      </c>
      <c r="F308" s="18">
        <f>+SUM(I308,L308,O308,R308,U308,X308,AA308,AD308,AG308,AJ308,AM308,AP308,AS308,AV308,AY308,BB308,BE308,BH308)</f>
        <v>109528.72999999998</v>
      </c>
      <c r="G308" s="86">
        <v>47652.71</v>
      </c>
      <c r="H308" s="80">
        <v>0.29164952003778999</v>
      </c>
      <c r="I308" s="18">
        <v>13897.89</v>
      </c>
      <c r="J308" s="86">
        <v>37889.18</v>
      </c>
      <c r="K308" s="80">
        <v>0.34702360937871901</v>
      </c>
      <c r="L308" s="18">
        <v>13148.44</v>
      </c>
      <c r="M308" s="86">
        <v>13550.61</v>
      </c>
      <c r="N308" s="80">
        <v>0.35360179357239202</v>
      </c>
      <c r="O308" s="18">
        <v>4791.5200000000004</v>
      </c>
      <c r="P308" s="86">
        <v>64061.13</v>
      </c>
      <c r="Q308" s="80">
        <v>0.35300142223529302</v>
      </c>
      <c r="R308" s="18">
        <v>22613.67</v>
      </c>
      <c r="S308" s="86">
        <v>0</v>
      </c>
      <c r="T308" s="80">
        <v>0</v>
      </c>
      <c r="U308" s="18">
        <v>0</v>
      </c>
      <c r="V308" s="86">
        <v>32028.29</v>
      </c>
      <c r="W308" s="80">
        <v>0.37235050638045297</v>
      </c>
      <c r="X308" s="18">
        <v>11925.75</v>
      </c>
      <c r="Y308" s="86">
        <v>14510.53</v>
      </c>
      <c r="Z308" s="80">
        <v>0.311001734602388</v>
      </c>
      <c r="AA308" s="18">
        <v>4512.8</v>
      </c>
      <c r="AB308" s="86">
        <v>11171.8</v>
      </c>
      <c r="AC308" s="80">
        <v>0.38600225567947799</v>
      </c>
      <c r="AD308" s="18">
        <v>4312.3399999999901</v>
      </c>
      <c r="AE308" s="86">
        <v>28729.56</v>
      </c>
      <c r="AF308" s="80">
        <v>0.27409225898342998</v>
      </c>
      <c r="AG308" s="18">
        <v>7874.55</v>
      </c>
      <c r="AH308" s="86">
        <v>10484.52</v>
      </c>
      <c r="AI308" s="80">
        <v>0.33604399629167497</v>
      </c>
      <c r="AJ308" s="18">
        <v>3523.26</v>
      </c>
      <c r="AK308" s="86">
        <v>4381.01</v>
      </c>
      <c r="AL308" s="80">
        <v>0.311679270305249</v>
      </c>
      <c r="AM308" s="18">
        <v>1365.47</v>
      </c>
      <c r="AN308" s="86">
        <v>26541.67</v>
      </c>
      <c r="AO308" s="80">
        <v>0.33078099456439602</v>
      </c>
      <c r="AP308" s="18">
        <v>8779.48</v>
      </c>
      <c r="AQ308" s="86">
        <v>20936.689999999999</v>
      </c>
      <c r="AR308" s="80">
        <v>0.22577685393440799</v>
      </c>
      <c r="AS308" s="18">
        <v>4727.0199999999904</v>
      </c>
      <c r="AT308" s="86">
        <v>32563.65</v>
      </c>
      <c r="AU308" s="80">
        <v>0.24740899745575201</v>
      </c>
      <c r="AV308" s="18">
        <v>8056.54</v>
      </c>
      <c r="AW308" s="86">
        <v>0</v>
      </c>
      <c r="AX308" s="80">
        <v>0</v>
      </c>
      <c r="AY308" s="18">
        <v>0</v>
      </c>
      <c r="AZ308" s="86"/>
      <c r="BA308" s="80"/>
      <c r="BB308" s="18"/>
      <c r="BC308" s="86"/>
      <c r="BD308" s="80"/>
      <c r="BE308" s="18"/>
      <c r="BF308" s="86"/>
      <c r="BG308" s="80"/>
      <c r="BH308" s="18"/>
    </row>
    <row r="309" spans="3:60" ht="20.25" x14ac:dyDescent="0.3">
      <c r="C309" s="32" t="s">
        <v>37</v>
      </c>
      <c r="D309" s="85">
        <f>SUM(D304,D307:D308)</f>
        <v>15843989.639999993</v>
      </c>
      <c r="E309" s="84">
        <f>IF(D309&lt;=0,0,F309/D309)</f>
        <v>0.25204329911440132</v>
      </c>
      <c r="F309" s="83">
        <f>SUM(F304,F307:F308)</f>
        <v>3993371.4199999943</v>
      </c>
      <c r="G309" s="85">
        <v>1463106.39</v>
      </c>
      <c r="H309" s="84">
        <v>0.28170219391906198</v>
      </c>
      <c r="I309" s="83">
        <v>412160.27999999898</v>
      </c>
      <c r="J309" s="85">
        <v>1084176.54</v>
      </c>
      <c r="K309" s="84">
        <v>0.30946078209735001</v>
      </c>
      <c r="L309" s="83">
        <v>335510.11999999901</v>
      </c>
      <c r="M309" s="85">
        <v>432607.48</v>
      </c>
      <c r="N309" s="84">
        <v>0.358512640604365</v>
      </c>
      <c r="O309" s="83">
        <v>155095.25</v>
      </c>
      <c r="P309" s="85">
        <v>1601935.3</v>
      </c>
      <c r="Q309" s="84">
        <v>0.25922527582730698</v>
      </c>
      <c r="R309" s="83">
        <v>415262.12</v>
      </c>
      <c r="S309" s="85">
        <v>2944343.15</v>
      </c>
      <c r="T309" s="84">
        <v>0.225808788625741</v>
      </c>
      <c r="U309" s="83">
        <v>664858.55999999901</v>
      </c>
      <c r="V309" s="85">
        <v>2061561.01</v>
      </c>
      <c r="W309" s="84">
        <v>0.229716121765419</v>
      </c>
      <c r="X309" s="83">
        <v>473573.8</v>
      </c>
      <c r="Y309" s="85">
        <v>925129.76</v>
      </c>
      <c r="Z309" s="84">
        <v>0.24795808103719399</v>
      </c>
      <c r="AA309" s="83">
        <v>229393.4</v>
      </c>
      <c r="AB309" s="85">
        <v>706285.39</v>
      </c>
      <c r="AC309" s="84">
        <v>0.25413555560026502</v>
      </c>
      <c r="AD309" s="83">
        <v>179492.23</v>
      </c>
      <c r="AE309" s="85">
        <v>939535.48</v>
      </c>
      <c r="AF309" s="84">
        <v>0.27548375288605298</v>
      </c>
      <c r="AG309" s="83">
        <v>258826.75999999899</v>
      </c>
      <c r="AH309" s="85">
        <v>344194.31999999902</v>
      </c>
      <c r="AI309" s="84">
        <v>0.31449475982055702</v>
      </c>
      <c r="AJ309" s="83">
        <v>108247.31</v>
      </c>
      <c r="AK309" s="85">
        <v>281074.39</v>
      </c>
      <c r="AL309" s="84">
        <v>0.26294394875320998</v>
      </c>
      <c r="AM309" s="83">
        <v>73906.81</v>
      </c>
      <c r="AN309" s="85">
        <v>838326.49</v>
      </c>
      <c r="AO309" s="84">
        <v>0.218349082587143</v>
      </c>
      <c r="AP309" s="83">
        <v>183047.82</v>
      </c>
      <c r="AQ309" s="85">
        <v>901768.8</v>
      </c>
      <c r="AR309" s="84">
        <v>0.23590922640038101</v>
      </c>
      <c r="AS309" s="83">
        <v>212735.58</v>
      </c>
      <c r="AT309" s="85">
        <v>1022379.26</v>
      </c>
      <c r="AU309" s="84">
        <v>0.21136695398144101</v>
      </c>
      <c r="AV309" s="83">
        <v>216097.19</v>
      </c>
      <c r="AW309" s="85">
        <v>297565.88</v>
      </c>
      <c r="AX309" s="84">
        <v>0.25259680310121502</v>
      </c>
      <c r="AY309" s="83">
        <v>75164.19</v>
      </c>
      <c r="AZ309" s="85"/>
      <c r="BA309" s="84"/>
      <c r="BB309" s="83"/>
      <c r="BC309" s="85"/>
      <c r="BD309" s="84"/>
      <c r="BE309" s="83"/>
      <c r="BF309" s="85"/>
      <c r="BG309" s="84"/>
      <c r="BH309" s="83"/>
    </row>
    <row r="310" spans="3:60" ht="20.25" x14ac:dyDescent="0.3">
      <c r="C310" s="8"/>
      <c r="D310" s="73"/>
      <c r="E310" s="7"/>
      <c r="F310" s="6"/>
      <c r="G310" s="73"/>
      <c r="H310" s="7"/>
      <c r="I310" s="6"/>
      <c r="J310" s="73"/>
      <c r="K310" s="7"/>
      <c r="L310" s="6"/>
      <c r="M310" s="73"/>
      <c r="N310" s="7"/>
      <c r="O310" s="6"/>
      <c r="P310" s="73"/>
      <c r="Q310" s="7"/>
      <c r="R310" s="6"/>
      <c r="S310" s="73"/>
      <c r="T310" s="7"/>
      <c r="U310" s="6"/>
      <c r="V310" s="73"/>
      <c r="W310" s="7"/>
      <c r="X310" s="6"/>
      <c r="Y310" s="73"/>
      <c r="Z310" s="7"/>
      <c r="AA310" s="6"/>
      <c r="AB310" s="73"/>
      <c r="AC310" s="7"/>
      <c r="AD310" s="6"/>
      <c r="AE310" s="73"/>
      <c r="AF310" s="7"/>
      <c r="AG310" s="6"/>
      <c r="AH310" s="73"/>
      <c r="AI310" s="7"/>
      <c r="AJ310" s="6"/>
      <c r="AK310" s="73"/>
      <c r="AL310" s="7"/>
      <c r="AM310" s="6"/>
      <c r="AN310" s="73"/>
      <c r="AO310" s="7"/>
      <c r="AP310" s="6"/>
      <c r="AQ310" s="73"/>
      <c r="AR310" s="7"/>
      <c r="AS310" s="6"/>
      <c r="AT310" s="73"/>
      <c r="AU310" s="7"/>
      <c r="AV310" s="6"/>
      <c r="AW310" s="73"/>
      <c r="AX310" s="7"/>
      <c r="AY310" s="6"/>
      <c r="AZ310" s="73"/>
      <c r="BA310" s="7"/>
      <c r="BB310" s="6"/>
      <c r="BC310" s="73"/>
      <c r="BD310" s="7"/>
      <c r="BE310" s="6"/>
      <c r="BF310" s="73"/>
      <c r="BG310" s="7"/>
      <c r="BH310" s="6"/>
    </row>
    <row r="311" spans="3:60" ht="20.25" x14ac:dyDescent="0.3">
      <c r="C311" s="8"/>
      <c r="D311" s="8"/>
      <c r="E311" s="7"/>
      <c r="F311" s="6"/>
      <c r="G311" s="8"/>
      <c r="H311" s="7"/>
      <c r="I311" s="6"/>
      <c r="J311" s="8"/>
      <c r="K311" s="7"/>
      <c r="L311" s="6"/>
      <c r="M311" s="8"/>
      <c r="N311" s="7"/>
      <c r="O311" s="6"/>
      <c r="P311" s="8"/>
      <c r="Q311" s="7"/>
      <c r="R311" s="6"/>
      <c r="S311" s="8"/>
      <c r="T311" s="7"/>
      <c r="U311" s="6"/>
      <c r="V311" s="8"/>
      <c r="W311" s="7"/>
      <c r="X311" s="6"/>
      <c r="Y311" s="8"/>
      <c r="Z311" s="7"/>
      <c r="AA311" s="6"/>
      <c r="AB311" s="8"/>
      <c r="AC311" s="7"/>
      <c r="AD311" s="6"/>
      <c r="AE311" s="8"/>
      <c r="AF311" s="7"/>
      <c r="AG311" s="6"/>
      <c r="AH311" s="8"/>
      <c r="AI311" s="7"/>
      <c r="AJ311" s="6"/>
      <c r="AK311" s="8"/>
      <c r="AL311" s="7"/>
      <c r="AM311" s="6"/>
      <c r="AN311" s="8"/>
      <c r="AO311" s="7"/>
      <c r="AP311" s="6"/>
      <c r="AQ311" s="8"/>
      <c r="AR311" s="7"/>
      <c r="AS311" s="6"/>
      <c r="AT311" s="8"/>
      <c r="AU311" s="7"/>
      <c r="AV311" s="6"/>
      <c r="AW311" s="8"/>
      <c r="AX311" s="7"/>
      <c r="AY311" s="6"/>
      <c r="AZ311" s="8"/>
      <c r="BA311" s="7"/>
      <c r="BB311" s="6"/>
      <c r="BC311" s="8"/>
      <c r="BD311" s="7"/>
      <c r="BE311" s="6"/>
      <c r="BF311" s="8"/>
      <c r="BG311" s="7"/>
      <c r="BH311" s="6"/>
    </row>
    <row r="312" spans="3:60" ht="20.25" x14ac:dyDescent="0.3">
      <c r="C312" s="67" t="s">
        <v>36</v>
      </c>
      <c r="D312" s="82">
        <f>+SUM(G312,J312,M312,P312,S312,V312,Y312,AB312,AE312,AH312,AK312,AN312,AQ312,AT312,AW312,AZ312,BC312,BF312)</f>
        <v>0</v>
      </c>
      <c r="E312" s="81">
        <f>IF(D312&lt;=0,0,F312/D312)</f>
        <v>0</v>
      </c>
      <c r="F312" s="22">
        <f>+SUM(I312,L312,O312,R312,U312,X312,AA312,AD312,AG312,AJ312,AM312,AP312,AS312,AV312,AY312,BB312,BE312,BH312)</f>
        <v>0</v>
      </c>
      <c r="G312" s="82">
        <v>0</v>
      </c>
      <c r="H312" s="81">
        <v>0</v>
      </c>
      <c r="I312" s="22">
        <v>0</v>
      </c>
      <c r="J312" s="82">
        <v>0</v>
      </c>
      <c r="K312" s="81">
        <v>0</v>
      </c>
      <c r="L312" s="22">
        <v>0</v>
      </c>
      <c r="M312" s="82">
        <v>0</v>
      </c>
      <c r="N312" s="81">
        <v>0</v>
      </c>
      <c r="O312" s="22">
        <v>0</v>
      </c>
      <c r="P312" s="82">
        <v>0</v>
      </c>
      <c r="Q312" s="81">
        <v>0</v>
      </c>
      <c r="R312" s="22">
        <v>0</v>
      </c>
      <c r="S312" s="82">
        <v>0</v>
      </c>
      <c r="T312" s="81">
        <v>0</v>
      </c>
      <c r="U312" s="22">
        <v>0</v>
      </c>
      <c r="V312" s="82">
        <v>0</v>
      </c>
      <c r="W312" s="81">
        <v>0</v>
      </c>
      <c r="X312" s="22">
        <v>0</v>
      </c>
      <c r="Y312" s="82">
        <v>0</v>
      </c>
      <c r="Z312" s="81">
        <v>0</v>
      </c>
      <c r="AA312" s="22">
        <v>0</v>
      </c>
      <c r="AB312" s="82">
        <v>0</v>
      </c>
      <c r="AC312" s="81">
        <v>0</v>
      </c>
      <c r="AD312" s="22">
        <v>0</v>
      </c>
      <c r="AE312" s="82">
        <v>0</v>
      </c>
      <c r="AF312" s="81">
        <v>0</v>
      </c>
      <c r="AG312" s="22">
        <v>0</v>
      </c>
      <c r="AH312" s="82">
        <v>0</v>
      </c>
      <c r="AI312" s="81">
        <v>0</v>
      </c>
      <c r="AJ312" s="22">
        <v>0</v>
      </c>
      <c r="AK312" s="82">
        <v>0</v>
      </c>
      <c r="AL312" s="81">
        <v>0</v>
      </c>
      <c r="AM312" s="22">
        <v>0</v>
      </c>
      <c r="AN312" s="82">
        <v>0</v>
      </c>
      <c r="AO312" s="81">
        <v>0</v>
      </c>
      <c r="AP312" s="22">
        <v>0</v>
      </c>
      <c r="AQ312" s="82">
        <v>0</v>
      </c>
      <c r="AR312" s="81">
        <v>0</v>
      </c>
      <c r="AS312" s="22">
        <v>0</v>
      </c>
      <c r="AT312" s="82">
        <v>0</v>
      </c>
      <c r="AU312" s="81">
        <v>0</v>
      </c>
      <c r="AV312" s="22">
        <v>0</v>
      </c>
      <c r="AW312" s="82">
        <v>0</v>
      </c>
      <c r="AX312" s="81">
        <v>0</v>
      </c>
      <c r="AY312" s="22">
        <v>0</v>
      </c>
      <c r="AZ312" s="82"/>
      <c r="BA312" s="81"/>
      <c r="BB312" s="22"/>
      <c r="BC312" s="82"/>
      <c r="BD312" s="81"/>
      <c r="BE312" s="22"/>
      <c r="BF312" s="82"/>
      <c r="BG312" s="81"/>
      <c r="BH312" s="22"/>
    </row>
    <row r="313" spans="3:60" ht="21" thickBot="1" x14ac:dyDescent="0.35">
      <c r="C313" s="8"/>
      <c r="D313" s="73"/>
      <c r="E313" s="80"/>
      <c r="F313" s="63"/>
      <c r="G313" s="73">
        <v>0</v>
      </c>
      <c r="H313" s="80">
        <v>0</v>
      </c>
      <c r="I313" s="63">
        <v>0</v>
      </c>
      <c r="J313" s="73">
        <v>0</v>
      </c>
      <c r="K313" s="80">
        <v>0</v>
      </c>
      <c r="L313" s="63">
        <v>0</v>
      </c>
      <c r="M313" s="73">
        <v>0</v>
      </c>
      <c r="N313" s="80">
        <v>0</v>
      </c>
      <c r="O313" s="63">
        <v>0</v>
      </c>
      <c r="P313" s="73">
        <v>0</v>
      </c>
      <c r="Q313" s="80">
        <v>0</v>
      </c>
      <c r="R313" s="63">
        <v>0</v>
      </c>
      <c r="S313" s="73">
        <v>0</v>
      </c>
      <c r="T313" s="80">
        <v>0</v>
      </c>
      <c r="U313" s="63">
        <v>0</v>
      </c>
      <c r="V313" s="73">
        <v>0</v>
      </c>
      <c r="W313" s="80">
        <v>0</v>
      </c>
      <c r="X313" s="63">
        <v>0</v>
      </c>
      <c r="Y313" s="73">
        <v>0</v>
      </c>
      <c r="Z313" s="80">
        <v>0</v>
      </c>
      <c r="AA313" s="63">
        <v>0</v>
      </c>
      <c r="AB313" s="73">
        <v>0</v>
      </c>
      <c r="AC313" s="80">
        <v>0</v>
      </c>
      <c r="AD313" s="63">
        <v>0</v>
      </c>
      <c r="AE313" s="73">
        <v>0</v>
      </c>
      <c r="AF313" s="80">
        <v>0</v>
      </c>
      <c r="AG313" s="63">
        <v>0</v>
      </c>
      <c r="AH313" s="73">
        <v>0</v>
      </c>
      <c r="AI313" s="80">
        <v>0</v>
      </c>
      <c r="AJ313" s="63">
        <v>0</v>
      </c>
      <c r="AK313" s="73">
        <v>0</v>
      </c>
      <c r="AL313" s="80">
        <v>0</v>
      </c>
      <c r="AM313" s="63">
        <v>0</v>
      </c>
      <c r="AN313" s="73">
        <v>0</v>
      </c>
      <c r="AO313" s="80">
        <v>0</v>
      </c>
      <c r="AP313" s="63">
        <v>0</v>
      </c>
      <c r="AQ313" s="73">
        <v>0</v>
      </c>
      <c r="AR313" s="80">
        <v>0</v>
      </c>
      <c r="AS313" s="63">
        <v>0</v>
      </c>
      <c r="AT313" s="73">
        <v>0</v>
      </c>
      <c r="AU313" s="80">
        <v>0</v>
      </c>
      <c r="AV313" s="63">
        <v>0</v>
      </c>
      <c r="AW313" s="73">
        <v>0</v>
      </c>
      <c r="AX313" s="80">
        <v>0</v>
      </c>
      <c r="AY313" s="63">
        <v>0</v>
      </c>
      <c r="AZ313" s="73"/>
      <c r="BA313" s="80"/>
      <c r="BB313" s="63"/>
      <c r="BC313" s="73"/>
      <c r="BD313" s="80"/>
      <c r="BE313" s="63"/>
      <c r="BF313" s="73"/>
      <c r="BG313" s="80"/>
      <c r="BH313" s="63"/>
    </row>
    <row r="314" spans="3:60" ht="21" thickTop="1" x14ac:dyDescent="0.3">
      <c r="C314" s="43" t="s">
        <v>35</v>
      </c>
      <c r="D314" s="49">
        <f>D309+D311+D312</f>
        <v>15843989.639999993</v>
      </c>
      <c r="E314" s="48">
        <f>IF(D314&lt;=0,0,F314/D314)</f>
        <v>0.25204329911440132</v>
      </c>
      <c r="F314" s="47">
        <f>F309+F311+F312</f>
        <v>3993371.4199999943</v>
      </c>
      <c r="G314" s="49">
        <v>1463106.39</v>
      </c>
      <c r="H314" s="48">
        <v>0.28170219391906198</v>
      </c>
      <c r="I314" s="47">
        <v>412160.27999999898</v>
      </c>
      <c r="J314" s="49">
        <v>1084176.54</v>
      </c>
      <c r="K314" s="48">
        <v>0.30946078209735001</v>
      </c>
      <c r="L314" s="47">
        <v>335510.11999999901</v>
      </c>
      <c r="M314" s="49">
        <v>432607.48</v>
      </c>
      <c r="N314" s="48">
        <v>0.358512640604365</v>
      </c>
      <c r="O314" s="47">
        <v>155095.25</v>
      </c>
      <c r="P314" s="49">
        <v>1601935.3</v>
      </c>
      <c r="Q314" s="48">
        <v>0.25922527582730698</v>
      </c>
      <c r="R314" s="47">
        <v>415262.12</v>
      </c>
      <c r="S314" s="49">
        <v>2944343.15</v>
      </c>
      <c r="T314" s="48">
        <v>0.225808788625741</v>
      </c>
      <c r="U314" s="47">
        <v>664858.55999999901</v>
      </c>
      <c r="V314" s="49">
        <v>2061561.01</v>
      </c>
      <c r="W314" s="48">
        <v>0.229716121765419</v>
      </c>
      <c r="X314" s="47">
        <v>473573.8</v>
      </c>
      <c r="Y314" s="49">
        <v>925129.76</v>
      </c>
      <c r="Z314" s="48">
        <v>0.24795808103719399</v>
      </c>
      <c r="AA314" s="47">
        <v>229393.4</v>
      </c>
      <c r="AB314" s="49">
        <v>706285.39</v>
      </c>
      <c r="AC314" s="48">
        <v>0.25413555560026502</v>
      </c>
      <c r="AD314" s="47">
        <v>179492.23</v>
      </c>
      <c r="AE314" s="49">
        <v>939535.48</v>
      </c>
      <c r="AF314" s="48">
        <v>0.27548375288605298</v>
      </c>
      <c r="AG314" s="47">
        <v>258826.75999999899</v>
      </c>
      <c r="AH314" s="49">
        <v>344194.31999999902</v>
      </c>
      <c r="AI314" s="48">
        <v>0.31449475982055702</v>
      </c>
      <c r="AJ314" s="47">
        <v>108247.31</v>
      </c>
      <c r="AK314" s="49">
        <v>281074.39</v>
      </c>
      <c r="AL314" s="48">
        <v>0.26294394875320998</v>
      </c>
      <c r="AM314" s="47">
        <v>73906.81</v>
      </c>
      <c r="AN314" s="49">
        <v>838326.49</v>
      </c>
      <c r="AO314" s="48">
        <v>0.218349082587143</v>
      </c>
      <c r="AP314" s="47">
        <v>183047.82</v>
      </c>
      <c r="AQ314" s="49">
        <v>901768.8</v>
      </c>
      <c r="AR314" s="48">
        <v>0.23590922640038101</v>
      </c>
      <c r="AS314" s="47">
        <v>212735.58</v>
      </c>
      <c r="AT314" s="49">
        <v>1022379.26</v>
      </c>
      <c r="AU314" s="48">
        <v>0.21136695398144101</v>
      </c>
      <c r="AV314" s="47">
        <v>216097.19</v>
      </c>
      <c r="AW314" s="49">
        <v>297565.88</v>
      </c>
      <c r="AX314" s="48">
        <v>0.25259680310121502</v>
      </c>
      <c r="AY314" s="47">
        <v>75164.19</v>
      </c>
      <c r="AZ314" s="49"/>
      <c r="BA314" s="48"/>
      <c r="BB314" s="47"/>
      <c r="BC314" s="49"/>
      <c r="BD314" s="48"/>
      <c r="BE314" s="47"/>
      <c r="BF314" s="49"/>
      <c r="BG314" s="48"/>
      <c r="BH314" s="47"/>
    </row>
    <row r="315" spans="3:60" ht="21" thickBot="1" x14ac:dyDescent="0.35">
      <c r="C315" s="38"/>
      <c r="D315" s="79"/>
      <c r="E315" s="78"/>
      <c r="F315" s="77"/>
      <c r="G315" s="79">
        <v>0</v>
      </c>
      <c r="H315" s="78">
        <v>0</v>
      </c>
      <c r="I315" s="77">
        <v>0</v>
      </c>
      <c r="J315" s="79">
        <v>0</v>
      </c>
      <c r="K315" s="78">
        <v>0</v>
      </c>
      <c r="L315" s="77">
        <v>0</v>
      </c>
      <c r="M315" s="79">
        <v>0</v>
      </c>
      <c r="N315" s="78">
        <v>0</v>
      </c>
      <c r="O315" s="77">
        <v>0</v>
      </c>
      <c r="P315" s="79">
        <v>0</v>
      </c>
      <c r="Q315" s="78">
        <v>0</v>
      </c>
      <c r="R315" s="77">
        <v>0</v>
      </c>
      <c r="S315" s="79">
        <v>0</v>
      </c>
      <c r="T315" s="78">
        <v>0</v>
      </c>
      <c r="U315" s="77">
        <v>0</v>
      </c>
      <c r="V315" s="79">
        <v>0</v>
      </c>
      <c r="W315" s="78">
        <v>0</v>
      </c>
      <c r="X315" s="77">
        <v>0.92687390597596797</v>
      </c>
      <c r="Y315" s="79">
        <v>0</v>
      </c>
      <c r="Z315" s="78">
        <v>0</v>
      </c>
      <c r="AA315" s="77">
        <v>0</v>
      </c>
      <c r="AB315" s="79">
        <v>0</v>
      </c>
      <c r="AC315" s="78">
        <v>0</v>
      </c>
      <c r="AD315" s="77">
        <v>0</v>
      </c>
      <c r="AE315" s="79">
        <v>0</v>
      </c>
      <c r="AF315" s="78">
        <v>0</v>
      </c>
      <c r="AG315" s="77">
        <v>0</v>
      </c>
      <c r="AH315" s="79">
        <v>0</v>
      </c>
      <c r="AI315" s="78">
        <v>0</v>
      </c>
      <c r="AJ315" s="77">
        <v>0</v>
      </c>
      <c r="AK315" s="79">
        <v>0</v>
      </c>
      <c r="AL315" s="78">
        <v>0</v>
      </c>
      <c r="AM315" s="77">
        <v>0</v>
      </c>
      <c r="AN315" s="79">
        <v>0</v>
      </c>
      <c r="AO315" s="78">
        <v>0</v>
      </c>
      <c r="AP315" s="77">
        <v>0</v>
      </c>
      <c r="AQ315" s="79">
        <v>0</v>
      </c>
      <c r="AR315" s="78">
        <v>0</v>
      </c>
      <c r="AS315" s="77">
        <v>0</v>
      </c>
      <c r="AT315" s="79">
        <v>0</v>
      </c>
      <c r="AU315" s="78">
        <v>0</v>
      </c>
      <c r="AV315" s="77">
        <v>0</v>
      </c>
      <c r="AW315" s="79">
        <v>0</v>
      </c>
      <c r="AX315" s="78">
        <v>0</v>
      </c>
      <c r="AY315" s="77">
        <v>0</v>
      </c>
      <c r="AZ315" s="79"/>
      <c r="BA315" s="78"/>
      <c r="BB315" s="77"/>
      <c r="BC315" s="79"/>
      <c r="BD315" s="78"/>
      <c r="BE315" s="77"/>
      <c r="BF315" s="79"/>
      <c r="BG315" s="78"/>
      <c r="BH315" s="77"/>
    </row>
    <row r="316" spans="3:60" ht="21" thickTop="1" x14ac:dyDescent="0.3">
      <c r="C316" s="32"/>
      <c r="D316" s="76"/>
      <c r="E316" s="75"/>
      <c r="F316" s="74"/>
      <c r="G316" s="76"/>
      <c r="H316" s="75"/>
      <c r="I316" s="74"/>
      <c r="J316" s="76"/>
      <c r="K316" s="75"/>
      <c r="L316" s="74"/>
      <c r="M316" s="76"/>
      <c r="N316" s="75"/>
      <c r="O316" s="74"/>
      <c r="P316" s="76"/>
      <c r="Q316" s="75"/>
      <c r="R316" s="74"/>
      <c r="S316" s="76"/>
      <c r="T316" s="75"/>
      <c r="U316" s="74"/>
      <c r="V316" s="76"/>
      <c r="W316" s="75"/>
      <c r="X316" s="74"/>
      <c r="Y316" s="76"/>
      <c r="Z316" s="75"/>
      <c r="AA316" s="74"/>
      <c r="AB316" s="76"/>
      <c r="AC316" s="75"/>
      <c r="AD316" s="74"/>
      <c r="AE316" s="76"/>
      <c r="AF316" s="75"/>
      <c r="AG316" s="74"/>
      <c r="AH316" s="76"/>
      <c r="AI316" s="75"/>
      <c r="AJ316" s="74"/>
      <c r="AK316" s="76"/>
      <c r="AL316" s="75"/>
      <c r="AM316" s="74"/>
      <c r="AN316" s="76"/>
      <c r="AO316" s="75"/>
      <c r="AP316" s="74"/>
      <c r="AQ316" s="76"/>
      <c r="AR316" s="75"/>
      <c r="AS316" s="74"/>
      <c r="AT316" s="76"/>
      <c r="AU316" s="75"/>
      <c r="AV316" s="74"/>
      <c r="AW316" s="76"/>
      <c r="AX316" s="75"/>
      <c r="AY316" s="74"/>
      <c r="AZ316" s="76"/>
      <c r="BA316" s="75"/>
      <c r="BB316" s="74"/>
      <c r="BC316" s="76"/>
      <c r="BD316" s="75"/>
      <c r="BE316" s="74"/>
      <c r="BF316" s="76"/>
      <c r="BG316" s="75"/>
      <c r="BH316" s="74"/>
    </row>
    <row r="317" spans="3:60" ht="20.25" x14ac:dyDescent="0.3">
      <c r="C317" s="29" t="s">
        <v>28</v>
      </c>
      <c r="D317" s="8"/>
      <c r="E317" s="7"/>
      <c r="F317" s="6">
        <f t="shared" ref="F317:F329" si="20">+SUM(I317,L317,O317,R317,U317,X317,AA317,AD317,AG317,AJ317,AM317,AP317,AS317,AV317,AY317,BB317,BE317,BH317)</f>
        <v>0</v>
      </c>
      <c r="G317" s="8">
        <v>0</v>
      </c>
      <c r="H317" s="7">
        <v>0</v>
      </c>
      <c r="I317" s="6">
        <v>0</v>
      </c>
      <c r="J317" s="8">
        <v>0</v>
      </c>
      <c r="K317" s="7">
        <v>0</v>
      </c>
      <c r="L317" s="6">
        <v>0</v>
      </c>
      <c r="M317" s="8">
        <v>0</v>
      </c>
      <c r="N317" s="7">
        <v>0</v>
      </c>
      <c r="O317" s="6">
        <v>0</v>
      </c>
      <c r="P317" s="8">
        <v>0</v>
      </c>
      <c r="Q317" s="7">
        <v>0</v>
      </c>
      <c r="R317" s="6">
        <v>0</v>
      </c>
      <c r="S317" s="8">
        <v>0</v>
      </c>
      <c r="T317" s="7">
        <v>0</v>
      </c>
      <c r="U317" s="6">
        <v>0</v>
      </c>
      <c r="V317" s="8">
        <v>0</v>
      </c>
      <c r="W317" s="7">
        <v>0</v>
      </c>
      <c r="X317" s="6">
        <v>0</v>
      </c>
      <c r="Y317" s="73">
        <v>0</v>
      </c>
      <c r="Z317" s="7">
        <v>0</v>
      </c>
      <c r="AA317" s="63">
        <v>0</v>
      </c>
      <c r="AB317" s="73">
        <v>0</v>
      </c>
      <c r="AC317" s="7">
        <v>0</v>
      </c>
      <c r="AD317" s="63">
        <v>0</v>
      </c>
      <c r="AE317" s="73">
        <v>0</v>
      </c>
      <c r="AF317" s="7">
        <v>0</v>
      </c>
      <c r="AG317" s="63">
        <v>0</v>
      </c>
      <c r="AH317" s="73">
        <v>0</v>
      </c>
      <c r="AI317" s="7">
        <v>0</v>
      </c>
      <c r="AJ317" s="63">
        <v>0</v>
      </c>
      <c r="AK317" s="73">
        <v>0</v>
      </c>
      <c r="AL317" s="7">
        <v>0</v>
      </c>
      <c r="AM317" s="63">
        <v>0</v>
      </c>
      <c r="AN317" s="73">
        <v>0</v>
      </c>
      <c r="AO317" s="7">
        <v>0</v>
      </c>
      <c r="AP317" s="63">
        <v>0</v>
      </c>
      <c r="AQ317" s="73">
        <v>0</v>
      </c>
      <c r="AR317" s="7">
        <v>0</v>
      </c>
      <c r="AS317" s="63">
        <v>0</v>
      </c>
      <c r="AT317" s="73">
        <v>0</v>
      </c>
      <c r="AU317" s="7">
        <v>0</v>
      </c>
      <c r="AV317" s="63">
        <v>0</v>
      </c>
      <c r="AW317" s="73">
        <v>0</v>
      </c>
      <c r="AX317" s="7">
        <v>0</v>
      </c>
      <c r="AY317" s="63">
        <v>0</v>
      </c>
      <c r="AZ317" s="73"/>
      <c r="BA317" s="7"/>
      <c r="BB317" s="63"/>
      <c r="BC317" s="73"/>
      <c r="BD317" s="7"/>
      <c r="BE317" s="63"/>
      <c r="BF317" s="73"/>
      <c r="BG317" s="7"/>
      <c r="BH317" s="63"/>
    </row>
    <row r="318" spans="3:60" ht="20.25" x14ac:dyDescent="0.3">
      <c r="C318" s="17" t="s">
        <v>27</v>
      </c>
      <c r="D318" s="8"/>
      <c r="E318" s="7"/>
      <c r="F318" s="18">
        <f t="shared" si="20"/>
        <v>257705.55000000002</v>
      </c>
      <c r="G318" s="8">
        <v>0</v>
      </c>
      <c r="H318" s="7">
        <v>0</v>
      </c>
      <c r="I318" s="18">
        <v>20636.09</v>
      </c>
      <c r="J318" s="8">
        <v>0</v>
      </c>
      <c r="K318" s="7">
        <v>0</v>
      </c>
      <c r="L318" s="18">
        <v>18001.37</v>
      </c>
      <c r="M318" s="8">
        <v>0</v>
      </c>
      <c r="N318" s="7">
        <v>0</v>
      </c>
      <c r="O318" s="18">
        <v>6367.89</v>
      </c>
      <c r="P318" s="8">
        <v>0</v>
      </c>
      <c r="Q318" s="7">
        <v>0</v>
      </c>
      <c r="R318" s="18">
        <v>23812.77</v>
      </c>
      <c r="S318" s="8">
        <v>0</v>
      </c>
      <c r="T318" s="7">
        <v>0</v>
      </c>
      <c r="U318" s="18">
        <v>53534.45</v>
      </c>
      <c r="V318" s="8">
        <v>0</v>
      </c>
      <c r="W318" s="7">
        <v>0</v>
      </c>
      <c r="X318" s="18">
        <v>36275.379999999997</v>
      </c>
      <c r="Y318" s="8">
        <v>0</v>
      </c>
      <c r="Z318" s="7">
        <v>0</v>
      </c>
      <c r="AA318" s="18">
        <v>23113.31</v>
      </c>
      <c r="AB318" s="8">
        <v>0</v>
      </c>
      <c r="AC318" s="7">
        <v>0</v>
      </c>
      <c r="AD318" s="18">
        <v>4138.1400000000003</v>
      </c>
      <c r="AE318" s="8">
        <v>0</v>
      </c>
      <c r="AF318" s="7">
        <v>0</v>
      </c>
      <c r="AG318" s="18">
        <v>15656.36</v>
      </c>
      <c r="AH318" s="8">
        <v>0</v>
      </c>
      <c r="AI318" s="7">
        <v>0</v>
      </c>
      <c r="AJ318" s="18">
        <v>12826.16</v>
      </c>
      <c r="AK318" s="8">
        <v>0</v>
      </c>
      <c r="AL318" s="7">
        <v>0</v>
      </c>
      <c r="AM318" s="18">
        <v>8097.5</v>
      </c>
      <c r="AN318" s="8">
        <v>0</v>
      </c>
      <c r="AO318" s="7">
        <v>0</v>
      </c>
      <c r="AP318" s="18">
        <v>5153.6000000000004</v>
      </c>
      <c r="AQ318" s="8">
        <v>0</v>
      </c>
      <c r="AR318" s="7">
        <v>0</v>
      </c>
      <c r="AS318" s="18">
        <v>4380.5600000000004</v>
      </c>
      <c r="AT318" s="8">
        <v>0</v>
      </c>
      <c r="AU318" s="7">
        <v>0</v>
      </c>
      <c r="AV318" s="18">
        <v>18531.400000000001</v>
      </c>
      <c r="AW318" s="8">
        <v>0</v>
      </c>
      <c r="AX318" s="7">
        <v>0</v>
      </c>
      <c r="AY318" s="18">
        <v>7180.57</v>
      </c>
      <c r="AZ318" s="8"/>
      <c r="BA318" s="7"/>
      <c r="BB318" s="18"/>
      <c r="BC318" s="8"/>
      <c r="BD318" s="7"/>
      <c r="BE318" s="18"/>
      <c r="BF318" s="8"/>
      <c r="BG318" s="7"/>
      <c r="BH318" s="18"/>
    </row>
    <row r="319" spans="3:60" ht="20.25" x14ac:dyDescent="0.3">
      <c r="C319" s="25" t="s">
        <v>26</v>
      </c>
      <c r="D319" s="8"/>
      <c r="E319" s="7"/>
      <c r="F319" s="18">
        <f t="shared" si="20"/>
        <v>296985.48</v>
      </c>
      <c r="G319" s="8">
        <v>0</v>
      </c>
      <c r="H319" s="7">
        <v>0</v>
      </c>
      <c r="I319" s="18">
        <v>12550.49</v>
      </c>
      <c r="J319" s="8">
        <v>0</v>
      </c>
      <c r="K319" s="7">
        <v>0</v>
      </c>
      <c r="L319" s="18">
        <v>6957.11</v>
      </c>
      <c r="M319" s="8">
        <v>0</v>
      </c>
      <c r="N319" s="7">
        <v>0</v>
      </c>
      <c r="O319" s="18">
        <v>5685.12</v>
      </c>
      <c r="P319" s="8">
        <v>0</v>
      </c>
      <c r="Q319" s="7">
        <v>0</v>
      </c>
      <c r="R319" s="18">
        <v>8478.24</v>
      </c>
      <c r="S319" s="8">
        <v>0</v>
      </c>
      <c r="T319" s="7">
        <v>0</v>
      </c>
      <c r="U319" s="18">
        <v>37693.25</v>
      </c>
      <c r="V319" s="8">
        <v>0</v>
      </c>
      <c r="W319" s="7">
        <v>0</v>
      </c>
      <c r="X319" s="18">
        <v>73930.649999999994</v>
      </c>
      <c r="Y319" s="8">
        <v>0</v>
      </c>
      <c r="Z319" s="7">
        <v>0</v>
      </c>
      <c r="AA319" s="18">
        <v>31947.14</v>
      </c>
      <c r="AB319" s="8">
        <v>0</v>
      </c>
      <c r="AC319" s="7">
        <v>0</v>
      </c>
      <c r="AD319" s="18">
        <v>6689.09</v>
      </c>
      <c r="AE319" s="8">
        <v>0</v>
      </c>
      <c r="AF319" s="7">
        <v>0</v>
      </c>
      <c r="AG319" s="18">
        <v>9505.43</v>
      </c>
      <c r="AH319" s="8">
        <v>0</v>
      </c>
      <c r="AI319" s="7">
        <v>0</v>
      </c>
      <c r="AJ319" s="18">
        <v>4937.8500000000004</v>
      </c>
      <c r="AK319" s="8">
        <v>0</v>
      </c>
      <c r="AL319" s="7">
        <v>0</v>
      </c>
      <c r="AM319" s="18">
        <v>26718.11</v>
      </c>
      <c r="AN319" s="8">
        <v>0</v>
      </c>
      <c r="AO319" s="7">
        <v>0</v>
      </c>
      <c r="AP319" s="18">
        <v>6660.56</v>
      </c>
      <c r="AQ319" s="8">
        <v>0</v>
      </c>
      <c r="AR319" s="7">
        <v>0</v>
      </c>
      <c r="AS319" s="18">
        <v>5676.84</v>
      </c>
      <c r="AT319" s="8">
        <v>0</v>
      </c>
      <c r="AU319" s="7">
        <v>0</v>
      </c>
      <c r="AV319" s="18">
        <v>53326.67</v>
      </c>
      <c r="AW319" s="8">
        <v>0</v>
      </c>
      <c r="AX319" s="7">
        <v>0</v>
      </c>
      <c r="AY319" s="18">
        <v>6228.93</v>
      </c>
      <c r="AZ319" s="8"/>
      <c r="BA319" s="7"/>
      <c r="BB319" s="18"/>
      <c r="BC319" s="8"/>
      <c r="BD319" s="7"/>
      <c r="BE319" s="18"/>
      <c r="BF319" s="8"/>
      <c r="BG319" s="7"/>
      <c r="BH319" s="18"/>
    </row>
    <row r="320" spans="3:60" ht="20.25" x14ac:dyDescent="0.3">
      <c r="C320" s="17" t="s">
        <v>25</v>
      </c>
      <c r="D320" s="72"/>
      <c r="E320" s="71"/>
      <c r="F320" s="68">
        <f t="shared" si="20"/>
        <v>531363.45000000007</v>
      </c>
      <c r="G320" s="72">
        <v>0</v>
      </c>
      <c r="H320" s="71">
        <v>0</v>
      </c>
      <c r="I320" s="68">
        <v>67132.34</v>
      </c>
      <c r="J320" s="72">
        <v>0</v>
      </c>
      <c r="K320" s="71">
        <v>0</v>
      </c>
      <c r="L320" s="68">
        <v>32027.08</v>
      </c>
      <c r="M320" s="72">
        <v>0</v>
      </c>
      <c r="N320" s="71">
        <v>0</v>
      </c>
      <c r="O320" s="68">
        <v>26745.22</v>
      </c>
      <c r="P320" s="72">
        <v>0</v>
      </c>
      <c r="Q320" s="71">
        <v>0</v>
      </c>
      <c r="R320" s="68">
        <v>62424.24</v>
      </c>
      <c r="S320" s="72">
        <v>0</v>
      </c>
      <c r="T320" s="71">
        <v>0</v>
      </c>
      <c r="U320" s="68">
        <v>135447.82999999999</v>
      </c>
      <c r="V320" s="72">
        <v>0</v>
      </c>
      <c r="W320" s="71">
        <v>0</v>
      </c>
      <c r="X320" s="68">
        <v>10189.89</v>
      </c>
      <c r="Y320" s="72">
        <v>0</v>
      </c>
      <c r="Z320" s="71">
        <v>0</v>
      </c>
      <c r="AA320" s="68">
        <v>342</v>
      </c>
      <c r="AB320" s="72">
        <v>0</v>
      </c>
      <c r="AC320" s="71">
        <v>0</v>
      </c>
      <c r="AD320" s="68">
        <v>18134.349999999999</v>
      </c>
      <c r="AE320" s="72">
        <v>0</v>
      </c>
      <c r="AF320" s="71">
        <v>0</v>
      </c>
      <c r="AG320" s="68">
        <v>38043.019999999997</v>
      </c>
      <c r="AH320" s="72">
        <v>0</v>
      </c>
      <c r="AI320" s="71">
        <v>0</v>
      </c>
      <c r="AJ320" s="68">
        <v>13916.03</v>
      </c>
      <c r="AK320" s="72">
        <v>0</v>
      </c>
      <c r="AL320" s="71">
        <v>0</v>
      </c>
      <c r="AM320" s="68">
        <v>258.39999999999998</v>
      </c>
      <c r="AN320" s="72">
        <v>0</v>
      </c>
      <c r="AO320" s="71">
        <v>0</v>
      </c>
      <c r="AP320" s="68">
        <v>43004.45</v>
      </c>
      <c r="AQ320" s="72">
        <v>0</v>
      </c>
      <c r="AR320" s="71">
        <v>0</v>
      </c>
      <c r="AS320" s="68">
        <v>53953.56</v>
      </c>
      <c r="AT320" s="72">
        <v>0</v>
      </c>
      <c r="AU320" s="71">
        <v>0</v>
      </c>
      <c r="AV320" s="68">
        <v>227.84</v>
      </c>
      <c r="AW320" s="72">
        <v>0</v>
      </c>
      <c r="AX320" s="71">
        <v>0</v>
      </c>
      <c r="AY320" s="68">
        <v>29517.200000000001</v>
      </c>
      <c r="AZ320" s="72"/>
      <c r="BA320" s="71"/>
      <c r="BB320" s="68"/>
      <c r="BC320" s="72"/>
      <c r="BD320" s="71"/>
      <c r="BE320" s="68"/>
      <c r="BF320" s="72"/>
      <c r="BG320" s="71"/>
      <c r="BH320" s="68"/>
    </row>
    <row r="321" spans="3:60" ht="20.25" x14ac:dyDescent="0.3">
      <c r="C321" s="17" t="s">
        <v>24</v>
      </c>
      <c r="D321" s="8"/>
      <c r="E321" s="7"/>
      <c r="F321" s="18">
        <f t="shared" si="20"/>
        <v>0</v>
      </c>
      <c r="G321" s="8">
        <v>0</v>
      </c>
      <c r="H321" s="7">
        <v>0</v>
      </c>
      <c r="I321" s="18">
        <v>0</v>
      </c>
      <c r="J321" s="8">
        <v>0</v>
      </c>
      <c r="K321" s="7">
        <v>0</v>
      </c>
      <c r="L321" s="18">
        <v>0</v>
      </c>
      <c r="M321" s="8">
        <v>0</v>
      </c>
      <c r="N321" s="7">
        <v>0</v>
      </c>
      <c r="O321" s="18">
        <v>0</v>
      </c>
      <c r="P321" s="8">
        <v>0</v>
      </c>
      <c r="Q321" s="7">
        <v>0</v>
      </c>
      <c r="R321" s="18">
        <v>0</v>
      </c>
      <c r="S321" s="8">
        <v>0</v>
      </c>
      <c r="T321" s="7">
        <v>0</v>
      </c>
      <c r="U321" s="18">
        <v>0</v>
      </c>
      <c r="V321" s="8">
        <v>0</v>
      </c>
      <c r="W321" s="7">
        <v>0</v>
      </c>
      <c r="X321" s="18">
        <v>0</v>
      </c>
      <c r="Y321" s="8">
        <v>0</v>
      </c>
      <c r="Z321" s="7">
        <v>0</v>
      </c>
      <c r="AA321" s="18">
        <v>0</v>
      </c>
      <c r="AB321" s="8">
        <v>0</v>
      </c>
      <c r="AC321" s="7">
        <v>0</v>
      </c>
      <c r="AD321" s="18">
        <v>0</v>
      </c>
      <c r="AE321" s="8">
        <v>0</v>
      </c>
      <c r="AF321" s="7">
        <v>0</v>
      </c>
      <c r="AG321" s="18">
        <v>0</v>
      </c>
      <c r="AH321" s="8">
        <v>0</v>
      </c>
      <c r="AI321" s="7">
        <v>0</v>
      </c>
      <c r="AJ321" s="18">
        <v>0</v>
      </c>
      <c r="AK321" s="8">
        <v>0</v>
      </c>
      <c r="AL321" s="7">
        <v>0</v>
      </c>
      <c r="AM321" s="18">
        <v>0</v>
      </c>
      <c r="AN321" s="8">
        <v>0</v>
      </c>
      <c r="AO321" s="7">
        <v>0</v>
      </c>
      <c r="AP321" s="18">
        <v>0</v>
      </c>
      <c r="AQ321" s="8">
        <v>0</v>
      </c>
      <c r="AR321" s="7">
        <v>0</v>
      </c>
      <c r="AS321" s="18">
        <v>0</v>
      </c>
      <c r="AT321" s="8">
        <v>0</v>
      </c>
      <c r="AU321" s="7">
        <v>0</v>
      </c>
      <c r="AV321" s="18">
        <v>0</v>
      </c>
      <c r="AW321" s="8">
        <v>0</v>
      </c>
      <c r="AX321" s="7">
        <v>0</v>
      </c>
      <c r="AY321" s="18">
        <v>0</v>
      </c>
      <c r="AZ321" s="8"/>
      <c r="BA321" s="7"/>
      <c r="BB321" s="18"/>
      <c r="BC321" s="8"/>
      <c r="BD321" s="7"/>
      <c r="BE321" s="18"/>
      <c r="BF321" s="8"/>
      <c r="BG321" s="7"/>
      <c r="BH321" s="18"/>
    </row>
    <row r="322" spans="3:60" ht="20.25" hidden="1" x14ac:dyDescent="0.3">
      <c r="C322" s="8" t="s">
        <v>3</v>
      </c>
      <c r="D322" s="8"/>
      <c r="E322" s="7"/>
      <c r="F322" s="18">
        <f t="shared" si="20"/>
        <v>0</v>
      </c>
      <c r="G322" s="8">
        <v>0</v>
      </c>
      <c r="H322" s="7">
        <v>0</v>
      </c>
      <c r="I322" s="18">
        <v>0</v>
      </c>
      <c r="J322" s="8">
        <v>0</v>
      </c>
      <c r="K322" s="7">
        <v>0</v>
      </c>
      <c r="L322" s="18">
        <v>0</v>
      </c>
      <c r="M322" s="8">
        <v>0</v>
      </c>
      <c r="N322" s="7">
        <v>0</v>
      </c>
      <c r="O322" s="18">
        <v>0</v>
      </c>
      <c r="P322" s="8">
        <v>0</v>
      </c>
      <c r="Q322" s="7">
        <v>0</v>
      </c>
      <c r="R322" s="18">
        <v>0</v>
      </c>
      <c r="S322" s="8">
        <v>0</v>
      </c>
      <c r="T322" s="7">
        <v>0</v>
      </c>
      <c r="U322" s="18">
        <v>0</v>
      </c>
      <c r="V322" s="8">
        <v>0</v>
      </c>
      <c r="W322" s="7">
        <v>0</v>
      </c>
      <c r="X322" s="18">
        <v>0</v>
      </c>
      <c r="Y322" s="8">
        <v>0</v>
      </c>
      <c r="Z322" s="7">
        <v>0</v>
      </c>
      <c r="AA322" s="18">
        <v>0</v>
      </c>
      <c r="AB322" s="8">
        <v>0</v>
      </c>
      <c r="AC322" s="7">
        <v>0</v>
      </c>
      <c r="AD322" s="18">
        <v>0</v>
      </c>
      <c r="AE322" s="8">
        <v>0</v>
      </c>
      <c r="AF322" s="7">
        <v>0</v>
      </c>
      <c r="AG322" s="18">
        <v>0</v>
      </c>
      <c r="AH322" s="8">
        <v>0</v>
      </c>
      <c r="AI322" s="7">
        <v>0</v>
      </c>
      <c r="AJ322" s="18">
        <v>0</v>
      </c>
      <c r="AK322" s="8">
        <v>0</v>
      </c>
      <c r="AL322" s="7">
        <v>0</v>
      </c>
      <c r="AM322" s="18">
        <v>0</v>
      </c>
      <c r="AN322" s="8">
        <v>0</v>
      </c>
      <c r="AO322" s="7">
        <v>0</v>
      </c>
      <c r="AP322" s="18">
        <v>0</v>
      </c>
      <c r="AQ322" s="8">
        <v>0</v>
      </c>
      <c r="AR322" s="7">
        <v>0</v>
      </c>
      <c r="AS322" s="18">
        <v>0</v>
      </c>
      <c r="AT322" s="8">
        <v>0</v>
      </c>
      <c r="AU322" s="7">
        <v>0</v>
      </c>
      <c r="AV322" s="18">
        <v>0</v>
      </c>
      <c r="AW322" s="8">
        <v>0</v>
      </c>
      <c r="AX322" s="7">
        <v>0</v>
      </c>
      <c r="AY322" s="18">
        <v>0</v>
      </c>
      <c r="AZ322" s="8"/>
      <c r="BA322" s="7"/>
      <c r="BB322" s="18"/>
      <c r="BC322" s="8"/>
      <c r="BD322" s="7"/>
      <c r="BE322" s="18"/>
      <c r="BF322" s="8"/>
      <c r="BG322" s="7"/>
      <c r="BH322" s="18"/>
    </row>
    <row r="323" spans="3:60" ht="20.25" hidden="1" x14ac:dyDescent="0.3">
      <c r="C323" s="8" t="s">
        <v>3</v>
      </c>
      <c r="D323" s="8"/>
      <c r="E323" s="7"/>
      <c r="F323" s="18">
        <f t="shared" si="20"/>
        <v>0</v>
      </c>
      <c r="G323" s="8">
        <v>0</v>
      </c>
      <c r="H323" s="7">
        <v>0</v>
      </c>
      <c r="I323" s="18">
        <v>0</v>
      </c>
      <c r="J323" s="8">
        <v>0</v>
      </c>
      <c r="K323" s="7">
        <v>0</v>
      </c>
      <c r="L323" s="18">
        <v>0</v>
      </c>
      <c r="M323" s="8">
        <v>0</v>
      </c>
      <c r="N323" s="7">
        <v>0</v>
      </c>
      <c r="O323" s="18">
        <v>0</v>
      </c>
      <c r="P323" s="8">
        <v>0</v>
      </c>
      <c r="Q323" s="7">
        <v>0</v>
      </c>
      <c r="R323" s="18">
        <v>0</v>
      </c>
      <c r="S323" s="8">
        <v>0</v>
      </c>
      <c r="T323" s="7">
        <v>0</v>
      </c>
      <c r="U323" s="18">
        <v>0</v>
      </c>
      <c r="V323" s="8">
        <v>0</v>
      </c>
      <c r="W323" s="7">
        <v>0</v>
      </c>
      <c r="X323" s="18">
        <v>0</v>
      </c>
      <c r="Y323" s="8">
        <v>0</v>
      </c>
      <c r="Z323" s="7">
        <v>0</v>
      </c>
      <c r="AA323" s="18">
        <v>0</v>
      </c>
      <c r="AB323" s="8">
        <v>0</v>
      </c>
      <c r="AC323" s="7">
        <v>0</v>
      </c>
      <c r="AD323" s="18">
        <v>0</v>
      </c>
      <c r="AE323" s="8">
        <v>0</v>
      </c>
      <c r="AF323" s="7">
        <v>0</v>
      </c>
      <c r="AG323" s="18">
        <v>0</v>
      </c>
      <c r="AH323" s="8">
        <v>0</v>
      </c>
      <c r="AI323" s="7">
        <v>0</v>
      </c>
      <c r="AJ323" s="18">
        <v>0</v>
      </c>
      <c r="AK323" s="8">
        <v>0</v>
      </c>
      <c r="AL323" s="7">
        <v>0</v>
      </c>
      <c r="AM323" s="18">
        <v>0</v>
      </c>
      <c r="AN323" s="8">
        <v>0</v>
      </c>
      <c r="AO323" s="7">
        <v>0</v>
      </c>
      <c r="AP323" s="18">
        <v>0</v>
      </c>
      <c r="AQ323" s="8">
        <v>0</v>
      </c>
      <c r="AR323" s="7">
        <v>0</v>
      </c>
      <c r="AS323" s="18">
        <v>0</v>
      </c>
      <c r="AT323" s="8">
        <v>0</v>
      </c>
      <c r="AU323" s="7">
        <v>0</v>
      </c>
      <c r="AV323" s="18">
        <v>0</v>
      </c>
      <c r="AW323" s="8">
        <v>0</v>
      </c>
      <c r="AX323" s="7">
        <v>0</v>
      </c>
      <c r="AY323" s="18">
        <v>0</v>
      </c>
      <c r="AZ323" s="8"/>
      <c r="BA323" s="7"/>
      <c r="BB323" s="18"/>
      <c r="BC323" s="8"/>
      <c r="BD323" s="7"/>
      <c r="BE323" s="18"/>
      <c r="BF323" s="8"/>
      <c r="BG323" s="7"/>
      <c r="BH323" s="18"/>
    </row>
    <row r="324" spans="3:60" ht="20.25" hidden="1" x14ac:dyDescent="0.3">
      <c r="C324" s="8" t="s">
        <v>3</v>
      </c>
      <c r="D324" s="8"/>
      <c r="E324" s="7"/>
      <c r="F324" s="18">
        <f t="shared" si="20"/>
        <v>0</v>
      </c>
      <c r="G324" s="8">
        <v>0</v>
      </c>
      <c r="H324" s="7">
        <v>0</v>
      </c>
      <c r="I324" s="18">
        <v>0</v>
      </c>
      <c r="J324" s="8">
        <v>0</v>
      </c>
      <c r="K324" s="7">
        <v>0</v>
      </c>
      <c r="L324" s="18">
        <v>0</v>
      </c>
      <c r="M324" s="8">
        <v>0</v>
      </c>
      <c r="N324" s="7">
        <v>0</v>
      </c>
      <c r="O324" s="18">
        <v>0</v>
      </c>
      <c r="P324" s="8">
        <v>0</v>
      </c>
      <c r="Q324" s="7">
        <v>0</v>
      </c>
      <c r="R324" s="18">
        <v>0</v>
      </c>
      <c r="S324" s="8">
        <v>0</v>
      </c>
      <c r="T324" s="7">
        <v>0</v>
      </c>
      <c r="U324" s="18">
        <v>0</v>
      </c>
      <c r="V324" s="8">
        <v>0</v>
      </c>
      <c r="W324" s="7">
        <v>0</v>
      </c>
      <c r="X324" s="18">
        <v>0</v>
      </c>
      <c r="Y324" s="8">
        <v>0</v>
      </c>
      <c r="Z324" s="7">
        <v>0</v>
      </c>
      <c r="AA324" s="18">
        <v>0</v>
      </c>
      <c r="AB324" s="8">
        <v>0</v>
      </c>
      <c r="AC324" s="7">
        <v>0</v>
      </c>
      <c r="AD324" s="18">
        <v>0</v>
      </c>
      <c r="AE324" s="8">
        <v>0</v>
      </c>
      <c r="AF324" s="7">
        <v>0</v>
      </c>
      <c r="AG324" s="18">
        <v>0</v>
      </c>
      <c r="AH324" s="8">
        <v>0</v>
      </c>
      <c r="AI324" s="7">
        <v>0</v>
      </c>
      <c r="AJ324" s="18">
        <v>0</v>
      </c>
      <c r="AK324" s="8">
        <v>0</v>
      </c>
      <c r="AL324" s="7">
        <v>0</v>
      </c>
      <c r="AM324" s="18">
        <v>0</v>
      </c>
      <c r="AN324" s="8">
        <v>0</v>
      </c>
      <c r="AO324" s="7">
        <v>0</v>
      </c>
      <c r="AP324" s="18">
        <v>0</v>
      </c>
      <c r="AQ324" s="8">
        <v>0</v>
      </c>
      <c r="AR324" s="7">
        <v>0</v>
      </c>
      <c r="AS324" s="18">
        <v>0</v>
      </c>
      <c r="AT324" s="8">
        <v>0</v>
      </c>
      <c r="AU324" s="7">
        <v>0</v>
      </c>
      <c r="AV324" s="18">
        <v>0</v>
      </c>
      <c r="AW324" s="8">
        <v>0</v>
      </c>
      <c r="AX324" s="7">
        <v>0</v>
      </c>
      <c r="AY324" s="18">
        <v>0</v>
      </c>
      <c r="AZ324" s="8"/>
      <c r="BA324" s="7"/>
      <c r="BB324" s="18"/>
      <c r="BC324" s="8"/>
      <c r="BD324" s="7"/>
      <c r="BE324" s="18"/>
      <c r="BF324" s="8"/>
      <c r="BG324" s="7"/>
      <c r="BH324" s="18"/>
    </row>
    <row r="325" spans="3:60" ht="20.25" x14ac:dyDescent="0.3">
      <c r="C325" s="25" t="s">
        <v>23</v>
      </c>
      <c r="D325" s="8"/>
      <c r="E325" s="7"/>
      <c r="F325" s="18">
        <f t="shared" si="20"/>
        <v>170043.60000000003</v>
      </c>
      <c r="G325" s="8">
        <v>0</v>
      </c>
      <c r="H325" s="7">
        <v>0</v>
      </c>
      <c r="I325" s="18">
        <v>20075.91</v>
      </c>
      <c r="J325" s="8">
        <v>0</v>
      </c>
      <c r="K325" s="105">
        <v>0.27881379072171902</v>
      </c>
      <c r="L325" s="18">
        <v>15888.36</v>
      </c>
      <c r="M325" s="8">
        <v>0</v>
      </c>
      <c r="N325" s="7">
        <v>0</v>
      </c>
      <c r="O325" s="18">
        <v>5712.12</v>
      </c>
      <c r="P325" s="8">
        <v>0</v>
      </c>
      <c r="Q325" s="7">
        <v>0</v>
      </c>
      <c r="R325" s="18">
        <v>16931.72</v>
      </c>
      <c r="S325" s="8">
        <v>0</v>
      </c>
      <c r="T325" s="7">
        <v>0</v>
      </c>
      <c r="U325" s="18">
        <v>33998.58</v>
      </c>
      <c r="V325" s="8">
        <v>0</v>
      </c>
      <c r="W325" s="7">
        <v>0</v>
      </c>
      <c r="X325" s="18">
        <v>16313.53</v>
      </c>
      <c r="Y325" s="8">
        <v>0</v>
      </c>
      <c r="Z325" s="7">
        <v>0</v>
      </c>
      <c r="AA325" s="18">
        <v>6319.76</v>
      </c>
      <c r="AB325" s="8">
        <v>0</v>
      </c>
      <c r="AC325" s="7">
        <v>0</v>
      </c>
      <c r="AD325" s="18">
        <v>4531.96</v>
      </c>
      <c r="AE325" s="8">
        <v>0</v>
      </c>
      <c r="AF325" s="7">
        <v>0</v>
      </c>
      <c r="AG325" s="18">
        <v>6476.19</v>
      </c>
      <c r="AH325" s="8">
        <v>0</v>
      </c>
      <c r="AI325" s="105">
        <v>0.13193828038095901</v>
      </c>
      <c r="AJ325" s="18">
        <v>4179.8100000000004</v>
      </c>
      <c r="AK325" s="8">
        <v>0</v>
      </c>
      <c r="AL325" s="7">
        <v>0</v>
      </c>
      <c r="AM325" s="18">
        <v>7144.67</v>
      </c>
      <c r="AN325" s="8">
        <v>0</v>
      </c>
      <c r="AO325" s="7">
        <v>0</v>
      </c>
      <c r="AP325" s="18">
        <v>5698.92</v>
      </c>
      <c r="AQ325" s="8">
        <v>0</v>
      </c>
      <c r="AR325" s="7">
        <v>0</v>
      </c>
      <c r="AS325" s="18">
        <v>10969.98</v>
      </c>
      <c r="AT325" s="8">
        <v>0</v>
      </c>
      <c r="AU325" s="7">
        <v>0</v>
      </c>
      <c r="AV325" s="18">
        <v>8327.43</v>
      </c>
      <c r="AW325" s="8">
        <v>0</v>
      </c>
      <c r="AX325" s="7">
        <v>0</v>
      </c>
      <c r="AY325" s="18">
        <v>7474.66</v>
      </c>
      <c r="AZ325" s="8"/>
      <c r="BA325" s="7"/>
      <c r="BB325" s="18"/>
      <c r="BC325" s="8"/>
      <c r="BD325" s="7"/>
      <c r="BE325" s="18"/>
      <c r="BF325" s="8"/>
      <c r="BG325" s="7"/>
      <c r="BH325" s="18"/>
    </row>
    <row r="326" spans="3:60" ht="20.25" x14ac:dyDescent="0.3">
      <c r="C326" s="17" t="s">
        <v>22</v>
      </c>
      <c r="D326" s="72"/>
      <c r="E326" s="71"/>
      <c r="F326" s="68">
        <f t="shared" si="20"/>
        <v>198470.07000000004</v>
      </c>
      <c r="G326" s="72">
        <v>0</v>
      </c>
      <c r="H326" s="71">
        <v>0</v>
      </c>
      <c r="I326" s="68">
        <v>11995.42</v>
      </c>
      <c r="J326" s="72">
        <v>0</v>
      </c>
      <c r="K326" s="71">
        <v>0</v>
      </c>
      <c r="L326" s="68">
        <v>11760.46</v>
      </c>
      <c r="M326" s="72">
        <v>0</v>
      </c>
      <c r="N326" s="71">
        <v>0</v>
      </c>
      <c r="O326" s="68">
        <v>7405.69</v>
      </c>
      <c r="P326" s="72">
        <v>0</v>
      </c>
      <c r="Q326" s="71">
        <v>0</v>
      </c>
      <c r="R326" s="68">
        <v>14222.43</v>
      </c>
      <c r="S326" s="72">
        <v>0</v>
      </c>
      <c r="T326" s="71">
        <v>0</v>
      </c>
      <c r="U326" s="68">
        <v>36786.82</v>
      </c>
      <c r="V326" s="72">
        <v>0</v>
      </c>
      <c r="W326" s="71">
        <v>0</v>
      </c>
      <c r="X326" s="68">
        <v>17337.689999999999</v>
      </c>
      <c r="Y326" s="72">
        <v>0</v>
      </c>
      <c r="Z326" s="71">
        <v>0</v>
      </c>
      <c r="AA326" s="68">
        <v>11895.01</v>
      </c>
      <c r="AB326" s="72">
        <v>0</v>
      </c>
      <c r="AC326" s="71">
        <v>0</v>
      </c>
      <c r="AD326" s="68">
        <v>5643.13</v>
      </c>
      <c r="AE326" s="72">
        <v>0</v>
      </c>
      <c r="AF326" s="71">
        <v>0</v>
      </c>
      <c r="AG326" s="68">
        <v>12321.18</v>
      </c>
      <c r="AH326" s="72">
        <v>0</v>
      </c>
      <c r="AI326" s="104">
        <v>0.15847500756416899</v>
      </c>
      <c r="AJ326" s="68">
        <v>5682.89</v>
      </c>
      <c r="AK326" s="72">
        <v>0</v>
      </c>
      <c r="AL326" s="71">
        <v>0</v>
      </c>
      <c r="AM326" s="68">
        <v>10652.49</v>
      </c>
      <c r="AN326" s="72">
        <v>0</v>
      </c>
      <c r="AO326" s="71">
        <v>0</v>
      </c>
      <c r="AP326" s="68">
        <v>10699.06</v>
      </c>
      <c r="AQ326" s="72">
        <v>0</v>
      </c>
      <c r="AR326" s="71">
        <v>0</v>
      </c>
      <c r="AS326" s="68">
        <v>13700.81</v>
      </c>
      <c r="AT326" s="72">
        <v>0</v>
      </c>
      <c r="AU326" s="71">
        <v>0</v>
      </c>
      <c r="AV326" s="68">
        <v>17528.32</v>
      </c>
      <c r="AW326" s="72">
        <v>0</v>
      </c>
      <c r="AX326" s="71">
        <v>0</v>
      </c>
      <c r="AY326" s="68">
        <v>10838.67</v>
      </c>
      <c r="AZ326" s="72"/>
      <c r="BA326" s="71"/>
      <c r="BB326" s="68"/>
      <c r="BC326" s="72"/>
      <c r="BD326" s="71"/>
      <c r="BE326" s="68"/>
      <c r="BF326" s="72"/>
      <c r="BG326" s="71"/>
      <c r="BH326" s="68"/>
    </row>
    <row r="327" spans="3:60" ht="20.25" x14ac:dyDescent="0.3">
      <c r="C327" s="17" t="s">
        <v>21</v>
      </c>
      <c r="D327" s="8"/>
      <c r="E327" s="7"/>
      <c r="F327" s="18">
        <f t="shared" si="20"/>
        <v>124407.7199999999</v>
      </c>
      <c r="G327" s="8">
        <v>0</v>
      </c>
      <c r="H327" s="7">
        <v>0</v>
      </c>
      <c r="I327" s="18">
        <v>11366.78</v>
      </c>
      <c r="J327" s="8">
        <v>0</v>
      </c>
      <c r="K327" s="7">
        <v>0</v>
      </c>
      <c r="L327" s="18">
        <v>6286.37</v>
      </c>
      <c r="M327" s="8">
        <v>0</v>
      </c>
      <c r="N327" s="7">
        <v>0</v>
      </c>
      <c r="O327" s="18">
        <v>3501.42</v>
      </c>
      <c r="P327" s="8">
        <v>0</v>
      </c>
      <c r="Q327" s="7">
        <v>0</v>
      </c>
      <c r="R327" s="18">
        <v>13060.6899999999</v>
      </c>
      <c r="S327" s="8">
        <v>0</v>
      </c>
      <c r="T327" s="7">
        <v>0</v>
      </c>
      <c r="U327" s="18">
        <v>41819.89</v>
      </c>
      <c r="V327" s="8">
        <v>0</v>
      </c>
      <c r="W327" s="7">
        <v>0</v>
      </c>
      <c r="X327" s="18">
        <v>10228.450000000001</v>
      </c>
      <c r="Y327" s="8">
        <v>0</v>
      </c>
      <c r="Z327" s="7">
        <v>0</v>
      </c>
      <c r="AA327" s="18">
        <v>5237.18</v>
      </c>
      <c r="AB327" s="8">
        <v>0</v>
      </c>
      <c r="AC327" s="7">
        <v>0</v>
      </c>
      <c r="AD327" s="18">
        <v>1561.77</v>
      </c>
      <c r="AE327" s="8">
        <v>0</v>
      </c>
      <c r="AF327" s="7">
        <v>0</v>
      </c>
      <c r="AG327" s="18">
        <v>5174.87</v>
      </c>
      <c r="AH327" s="8">
        <v>0</v>
      </c>
      <c r="AI327" s="7">
        <v>0</v>
      </c>
      <c r="AJ327" s="18">
        <v>2230.4899999999998</v>
      </c>
      <c r="AK327" s="8">
        <v>0</v>
      </c>
      <c r="AL327" s="7">
        <v>0</v>
      </c>
      <c r="AM327" s="18">
        <v>7204.34</v>
      </c>
      <c r="AN327" s="8">
        <v>0</v>
      </c>
      <c r="AO327" s="7">
        <v>0</v>
      </c>
      <c r="AP327" s="18">
        <v>2995.28</v>
      </c>
      <c r="AQ327" s="8">
        <v>0</v>
      </c>
      <c r="AR327" s="7">
        <v>0</v>
      </c>
      <c r="AS327" s="18">
        <v>6499.15</v>
      </c>
      <c r="AT327" s="8">
        <v>0</v>
      </c>
      <c r="AU327" s="7">
        <v>0</v>
      </c>
      <c r="AV327" s="18">
        <v>3723.95</v>
      </c>
      <c r="AW327" s="8">
        <v>0</v>
      </c>
      <c r="AX327" s="7">
        <v>0</v>
      </c>
      <c r="AY327" s="18">
        <v>3517.09</v>
      </c>
      <c r="AZ327" s="8"/>
      <c r="BA327" s="7"/>
      <c r="BB327" s="18"/>
      <c r="BC327" s="8"/>
      <c r="BD327" s="7"/>
      <c r="BE327" s="18"/>
      <c r="BF327" s="8"/>
      <c r="BG327" s="7"/>
      <c r="BH327" s="18"/>
    </row>
    <row r="328" spans="3:60" ht="20.25" x14ac:dyDescent="0.3">
      <c r="C328" s="17" t="s">
        <v>20</v>
      </c>
      <c r="D328" s="8"/>
      <c r="E328" s="7"/>
      <c r="F328" s="18">
        <f t="shared" si="20"/>
        <v>25927.12999999999</v>
      </c>
      <c r="G328" s="8">
        <v>0</v>
      </c>
      <c r="H328" s="7">
        <v>0</v>
      </c>
      <c r="I328" s="18">
        <v>2252.25</v>
      </c>
      <c r="J328" s="8">
        <v>0</v>
      </c>
      <c r="K328" s="7">
        <v>0</v>
      </c>
      <c r="L328" s="18">
        <v>1482.67</v>
      </c>
      <c r="M328" s="8">
        <v>0</v>
      </c>
      <c r="N328" s="7">
        <v>0</v>
      </c>
      <c r="O328" s="18">
        <v>808.58</v>
      </c>
      <c r="P328" s="8">
        <v>0</v>
      </c>
      <c r="Q328" s="7">
        <v>0</v>
      </c>
      <c r="R328" s="18">
        <v>1902.95</v>
      </c>
      <c r="S328" s="8">
        <v>0</v>
      </c>
      <c r="T328" s="7">
        <v>0</v>
      </c>
      <c r="U328" s="18">
        <v>5587.56</v>
      </c>
      <c r="V328" s="8">
        <v>0</v>
      </c>
      <c r="W328" s="7">
        <v>0</v>
      </c>
      <c r="X328" s="18">
        <v>3362.07</v>
      </c>
      <c r="Y328" s="8">
        <v>0</v>
      </c>
      <c r="Z328" s="7">
        <v>0</v>
      </c>
      <c r="AA328" s="18">
        <v>1275.1799999999901</v>
      </c>
      <c r="AB328" s="8">
        <v>0</v>
      </c>
      <c r="AC328" s="7">
        <v>0</v>
      </c>
      <c r="AD328" s="18">
        <v>377.82</v>
      </c>
      <c r="AE328" s="8">
        <v>0</v>
      </c>
      <c r="AF328" s="7">
        <v>0</v>
      </c>
      <c r="AG328" s="18">
        <v>1003.09</v>
      </c>
      <c r="AH328" s="8">
        <v>0</v>
      </c>
      <c r="AI328" s="7">
        <v>0</v>
      </c>
      <c r="AJ328" s="18">
        <v>491.47</v>
      </c>
      <c r="AK328" s="8">
        <v>0</v>
      </c>
      <c r="AL328" s="7">
        <v>0</v>
      </c>
      <c r="AM328" s="18">
        <v>952.16</v>
      </c>
      <c r="AN328" s="8">
        <v>0</v>
      </c>
      <c r="AO328" s="7">
        <v>0</v>
      </c>
      <c r="AP328" s="18">
        <v>1204.3499999999999</v>
      </c>
      <c r="AQ328" s="8">
        <v>0</v>
      </c>
      <c r="AR328" s="7">
        <v>0</v>
      </c>
      <c r="AS328" s="18">
        <v>1419.62</v>
      </c>
      <c r="AT328" s="8">
        <v>0</v>
      </c>
      <c r="AU328" s="7">
        <v>0</v>
      </c>
      <c r="AV328" s="18">
        <v>2774.22</v>
      </c>
      <c r="AW328" s="8">
        <v>0</v>
      </c>
      <c r="AX328" s="7">
        <v>0</v>
      </c>
      <c r="AY328" s="18">
        <v>1033.1400000000001</v>
      </c>
      <c r="AZ328" s="8"/>
      <c r="BA328" s="7"/>
      <c r="BB328" s="18"/>
      <c r="BC328" s="8"/>
      <c r="BD328" s="7"/>
      <c r="BE328" s="18"/>
      <c r="BF328" s="8"/>
      <c r="BG328" s="7"/>
      <c r="BH328" s="18"/>
    </row>
    <row r="329" spans="3:60" ht="20.25" hidden="1" x14ac:dyDescent="0.3">
      <c r="C329" s="8" t="s">
        <v>3</v>
      </c>
      <c r="D329" s="67"/>
      <c r="E329" s="66"/>
      <c r="F329" s="18">
        <f t="shared" si="20"/>
        <v>0</v>
      </c>
      <c r="G329" s="67">
        <v>0</v>
      </c>
      <c r="H329" s="66">
        <v>0</v>
      </c>
      <c r="I329" s="18">
        <v>0</v>
      </c>
      <c r="J329" s="67">
        <v>0</v>
      </c>
      <c r="K329" s="66">
        <v>0</v>
      </c>
      <c r="L329" s="18">
        <v>0</v>
      </c>
      <c r="M329" s="67">
        <v>0</v>
      </c>
      <c r="N329" s="66">
        <v>0</v>
      </c>
      <c r="O329" s="18">
        <v>0</v>
      </c>
      <c r="P329" s="67">
        <v>0</v>
      </c>
      <c r="Q329" s="66">
        <v>0</v>
      </c>
      <c r="R329" s="18">
        <v>0</v>
      </c>
      <c r="S329" s="67">
        <v>0</v>
      </c>
      <c r="T329" s="66">
        <v>0</v>
      </c>
      <c r="U329" s="18">
        <v>0</v>
      </c>
      <c r="V329" s="67">
        <v>0</v>
      </c>
      <c r="W329" s="66">
        <v>0</v>
      </c>
      <c r="X329" s="18">
        <v>0</v>
      </c>
      <c r="Y329" s="67">
        <v>0</v>
      </c>
      <c r="Z329" s="66">
        <v>0</v>
      </c>
      <c r="AA329" s="18">
        <v>0</v>
      </c>
      <c r="AB329" s="67">
        <v>0</v>
      </c>
      <c r="AC329" s="66">
        <v>0</v>
      </c>
      <c r="AD329" s="18">
        <v>0</v>
      </c>
      <c r="AE329" s="67">
        <v>0</v>
      </c>
      <c r="AF329" s="66">
        <v>0</v>
      </c>
      <c r="AG329" s="18">
        <v>0</v>
      </c>
      <c r="AH329" s="67">
        <v>0</v>
      </c>
      <c r="AI329" s="66">
        <v>0</v>
      </c>
      <c r="AJ329" s="18">
        <v>0</v>
      </c>
      <c r="AK329" s="67">
        <v>0</v>
      </c>
      <c r="AL329" s="66">
        <v>0</v>
      </c>
      <c r="AM329" s="18">
        <v>0</v>
      </c>
      <c r="AN329" s="67">
        <v>0</v>
      </c>
      <c r="AO329" s="66">
        <v>0</v>
      </c>
      <c r="AP329" s="18">
        <v>0</v>
      </c>
      <c r="AQ329" s="67">
        <v>0</v>
      </c>
      <c r="AR329" s="66">
        <v>0</v>
      </c>
      <c r="AS329" s="18">
        <v>0</v>
      </c>
      <c r="AT329" s="67">
        <v>0</v>
      </c>
      <c r="AU329" s="66">
        <v>0</v>
      </c>
      <c r="AV329" s="18">
        <v>0</v>
      </c>
      <c r="AW329" s="67">
        <v>0</v>
      </c>
      <c r="AX329" s="66">
        <v>0</v>
      </c>
      <c r="AY329" s="18">
        <v>0</v>
      </c>
      <c r="AZ329" s="67"/>
      <c r="BA329" s="66"/>
      <c r="BB329" s="18"/>
      <c r="BC329" s="67"/>
      <c r="BD329" s="66"/>
      <c r="BE329" s="18"/>
      <c r="BF329" s="67"/>
      <c r="BG329" s="66"/>
      <c r="BH329" s="18"/>
    </row>
    <row r="330" spans="3:60" ht="20.25" x14ac:dyDescent="0.3">
      <c r="C330" s="11" t="s">
        <v>19</v>
      </c>
      <c r="D330" s="70"/>
      <c r="E330" s="13"/>
      <c r="F330" s="69">
        <f>SUM(F318:F328)</f>
        <v>1604903</v>
      </c>
      <c r="G330" s="70" t="s">
        <v>18</v>
      </c>
      <c r="H330" s="13">
        <v>0.35425364132613602</v>
      </c>
      <c r="I330" s="69">
        <v>146009.28</v>
      </c>
      <c r="J330" s="70" t="s">
        <v>18</v>
      </c>
      <c r="K330" s="13">
        <v>0.275411722305127</v>
      </c>
      <c r="L330" s="69">
        <v>92403.42</v>
      </c>
      <c r="M330" s="70" t="s">
        <v>18</v>
      </c>
      <c r="N330" s="13">
        <v>0.36252586716872298</v>
      </c>
      <c r="O330" s="69">
        <v>56226.04</v>
      </c>
      <c r="P330" s="70" t="s">
        <v>18</v>
      </c>
      <c r="Q330" s="13">
        <v>0.33914251557546299</v>
      </c>
      <c r="R330" s="69">
        <v>140833.04</v>
      </c>
      <c r="S330" s="70" t="s">
        <v>18</v>
      </c>
      <c r="T330" s="13">
        <v>0.51870939286695805</v>
      </c>
      <c r="U330" s="69">
        <v>344868.38</v>
      </c>
      <c r="V330" s="70" t="s">
        <v>18</v>
      </c>
      <c r="W330" s="13">
        <v>0.35398423645902699</v>
      </c>
      <c r="X330" s="69">
        <v>167637.66</v>
      </c>
      <c r="Y330" s="70" t="s">
        <v>18</v>
      </c>
      <c r="Z330" s="13">
        <v>0.349310747388547</v>
      </c>
      <c r="AA330" s="69">
        <v>80129.5799999999</v>
      </c>
      <c r="AB330" s="70" t="s">
        <v>18</v>
      </c>
      <c r="AC330" s="13">
        <v>0.228847009143515</v>
      </c>
      <c r="AD330" s="69">
        <v>41076.2599999999</v>
      </c>
      <c r="AE330" s="70" t="s">
        <v>18</v>
      </c>
      <c r="AF330" s="13">
        <v>0.34069174300215299</v>
      </c>
      <c r="AG330" s="69">
        <v>88180.139999999898</v>
      </c>
      <c r="AH330" s="70" t="s">
        <v>18</v>
      </c>
      <c r="AI330" s="13">
        <v>0.40892193995398102</v>
      </c>
      <c r="AJ330" s="69">
        <v>44264.7</v>
      </c>
      <c r="AK330" s="70" t="s">
        <v>18</v>
      </c>
      <c r="AL330" s="13">
        <v>0.82573811533740904</v>
      </c>
      <c r="AM330" s="69">
        <v>61027.67</v>
      </c>
      <c r="AN330" s="70" t="s">
        <v>18</v>
      </c>
      <c r="AO330" s="13">
        <v>0.41200283073570598</v>
      </c>
      <c r="AP330" s="69">
        <v>75416.22</v>
      </c>
      <c r="AQ330" s="70" t="s">
        <v>18</v>
      </c>
      <c r="AR330" s="13">
        <v>0.45408727585672298</v>
      </c>
      <c r="AS330" s="69">
        <v>96600.519999999902</v>
      </c>
      <c r="AT330" s="70" t="s">
        <v>18</v>
      </c>
      <c r="AU330" s="13">
        <v>0.48330026873556198</v>
      </c>
      <c r="AV330" s="69">
        <v>104439.83</v>
      </c>
      <c r="AW330" s="70" t="s">
        <v>18</v>
      </c>
      <c r="AX330" s="13">
        <v>0.875287287736354</v>
      </c>
      <c r="AY330" s="69">
        <v>65790.259999999995</v>
      </c>
      <c r="AZ330" s="70"/>
      <c r="BA330" s="13"/>
      <c r="BB330" s="69"/>
      <c r="BC330" s="70"/>
      <c r="BD330" s="13"/>
      <c r="BE330" s="69"/>
      <c r="BF330" s="70"/>
      <c r="BG330" s="13"/>
      <c r="BH330" s="69"/>
    </row>
    <row r="331" spans="3:60" ht="20.25" x14ac:dyDescent="0.3">
      <c r="C331" s="21" t="s">
        <v>17</v>
      </c>
      <c r="D331" s="8"/>
      <c r="E331" s="7"/>
      <c r="F331" s="18">
        <f t="shared" ref="F331:F348" si="21">+SUM(I331,L331,O331,R331,U331,X331,AA331,AD331,AG331,AJ331,AM331,AP331,AS331,AV331,AY331,BB331,BE331,BH331)</f>
        <v>99312.109999999986</v>
      </c>
      <c r="G331" s="8">
        <v>0</v>
      </c>
      <c r="H331" s="7">
        <v>0</v>
      </c>
      <c r="I331" s="18">
        <v>8570.59</v>
      </c>
      <c r="J331" s="8">
        <v>0</v>
      </c>
      <c r="K331" s="7">
        <v>0</v>
      </c>
      <c r="L331" s="18">
        <v>3586.57</v>
      </c>
      <c r="M331" s="8">
        <v>0</v>
      </c>
      <c r="N331" s="7">
        <v>0</v>
      </c>
      <c r="O331" s="18">
        <v>5754.56</v>
      </c>
      <c r="P331" s="8">
        <v>0</v>
      </c>
      <c r="Q331" s="7">
        <v>0</v>
      </c>
      <c r="R331" s="18">
        <v>6822.95</v>
      </c>
      <c r="S331" s="8">
        <v>0</v>
      </c>
      <c r="T331" s="7">
        <v>0</v>
      </c>
      <c r="U331" s="18">
        <v>2443.7600000000002</v>
      </c>
      <c r="V331" s="8">
        <v>0</v>
      </c>
      <c r="W331" s="7">
        <v>0</v>
      </c>
      <c r="X331" s="18">
        <v>20090.78</v>
      </c>
      <c r="Y331" s="8">
        <v>0</v>
      </c>
      <c r="Z331" s="7">
        <v>0</v>
      </c>
      <c r="AA331" s="18">
        <v>5058.2699999999904</v>
      </c>
      <c r="AB331" s="8">
        <v>0</v>
      </c>
      <c r="AC331" s="7">
        <v>0</v>
      </c>
      <c r="AD331" s="18">
        <v>816</v>
      </c>
      <c r="AE331" s="8">
        <v>0</v>
      </c>
      <c r="AF331" s="7">
        <v>0</v>
      </c>
      <c r="AG331" s="18">
        <v>7959.98</v>
      </c>
      <c r="AH331" s="8">
        <v>0</v>
      </c>
      <c r="AI331" s="7">
        <v>0</v>
      </c>
      <c r="AJ331" s="18">
        <v>4711.41</v>
      </c>
      <c r="AK331" s="8">
        <v>0</v>
      </c>
      <c r="AL331" s="7">
        <v>0</v>
      </c>
      <c r="AM331" s="18">
        <v>1266.45</v>
      </c>
      <c r="AN331" s="8">
        <v>0</v>
      </c>
      <c r="AO331" s="7">
        <v>0</v>
      </c>
      <c r="AP331" s="18">
        <v>11001.69</v>
      </c>
      <c r="AQ331" s="8">
        <v>0</v>
      </c>
      <c r="AR331" s="7">
        <v>0</v>
      </c>
      <c r="AS331" s="18">
        <v>9562.2900000000009</v>
      </c>
      <c r="AT331" s="8">
        <v>0</v>
      </c>
      <c r="AU331" s="7">
        <v>0</v>
      </c>
      <c r="AV331" s="18">
        <v>9789.68</v>
      </c>
      <c r="AW331" s="8">
        <v>0</v>
      </c>
      <c r="AX331" s="7">
        <v>0</v>
      </c>
      <c r="AY331" s="18">
        <v>1877.13</v>
      </c>
      <c r="AZ331" s="8"/>
      <c r="BA331" s="7"/>
      <c r="BB331" s="18"/>
      <c r="BC331" s="8"/>
      <c r="BD331" s="7"/>
      <c r="BE331" s="18"/>
      <c r="BF331" s="8"/>
      <c r="BG331" s="7"/>
      <c r="BH331" s="18"/>
    </row>
    <row r="332" spans="3:60" ht="20.25" x14ac:dyDescent="0.3">
      <c r="C332" s="17" t="s">
        <v>16</v>
      </c>
      <c r="D332" s="8"/>
      <c r="E332" s="7"/>
      <c r="F332" s="18">
        <f t="shared" si="21"/>
        <v>32453.49</v>
      </c>
      <c r="G332" s="8">
        <v>0</v>
      </c>
      <c r="H332" s="7">
        <v>0</v>
      </c>
      <c r="I332" s="18">
        <v>6095.57</v>
      </c>
      <c r="J332" s="8">
        <v>0</v>
      </c>
      <c r="K332" s="7">
        <v>0</v>
      </c>
      <c r="L332" s="18">
        <v>3701.76</v>
      </c>
      <c r="M332" s="8">
        <v>0</v>
      </c>
      <c r="N332" s="7">
        <v>0</v>
      </c>
      <c r="O332" s="18">
        <v>491.07</v>
      </c>
      <c r="P332" s="8">
        <v>0</v>
      </c>
      <c r="Q332" s="7">
        <v>0</v>
      </c>
      <c r="R332" s="18">
        <v>3228.94</v>
      </c>
      <c r="S332" s="8">
        <v>0</v>
      </c>
      <c r="T332" s="7">
        <v>0</v>
      </c>
      <c r="U332" s="18">
        <v>1772.23</v>
      </c>
      <c r="V332" s="8">
        <v>0</v>
      </c>
      <c r="W332" s="7">
        <v>0</v>
      </c>
      <c r="X332" s="18">
        <v>6518.65</v>
      </c>
      <c r="Y332" s="8">
        <v>0</v>
      </c>
      <c r="Z332" s="7">
        <v>0</v>
      </c>
      <c r="AA332" s="18">
        <v>0</v>
      </c>
      <c r="AB332" s="8">
        <v>0</v>
      </c>
      <c r="AC332" s="7">
        <v>0</v>
      </c>
      <c r="AD332" s="18">
        <v>1037.8499999999999</v>
      </c>
      <c r="AE332" s="8">
        <v>0</v>
      </c>
      <c r="AF332" s="7">
        <v>0</v>
      </c>
      <c r="AG332" s="18">
        <v>-494.07</v>
      </c>
      <c r="AH332" s="8">
        <v>0</v>
      </c>
      <c r="AI332" s="7">
        <v>0</v>
      </c>
      <c r="AJ332" s="18">
        <v>1001.91</v>
      </c>
      <c r="AK332" s="8">
        <v>0</v>
      </c>
      <c r="AL332" s="7">
        <v>0</v>
      </c>
      <c r="AM332" s="18">
        <v>2185.29</v>
      </c>
      <c r="AN332" s="8">
        <v>0</v>
      </c>
      <c r="AO332" s="7">
        <v>0</v>
      </c>
      <c r="AP332" s="18">
        <v>410.68</v>
      </c>
      <c r="AQ332" s="8">
        <v>0</v>
      </c>
      <c r="AR332" s="7">
        <v>0</v>
      </c>
      <c r="AS332" s="18">
        <v>184.88</v>
      </c>
      <c r="AT332" s="8">
        <v>0</v>
      </c>
      <c r="AU332" s="7">
        <v>0</v>
      </c>
      <c r="AV332" s="18">
        <v>6318.73</v>
      </c>
      <c r="AW332" s="8">
        <v>0</v>
      </c>
      <c r="AX332" s="7">
        <v>0</v>
      </c>
      <c r="AY332" s="18">
        <v>0</v>
      </c>
      <c r="AZ332" s="8"/>
      <c r="BA332" s="7"/>
      <c r="BB332" s="18"/>
      <c r="BC332" s="8"/>
      <c r="BD332" s="7"/>
      <c r="BE332" s="18"/>
      <c r="BF332" s="8"/>
      <c r="BG332" s="7"/>
      <c r="BH332" s="18"/>
    </row>
    <row r="333" spans="3:60" ht="20.25" x14ac:dyDescent="0.3">
      <c r="C333" s="25" t="s">
        <v>15</v>
      </c>
      <c r="D333" s="67"/>
      <c r="E333" s="66"/>
      <c r="F333" s="18">
        <f t="shared" si="21"/>
        <v>47299.189999999893</v>
      </c>
      <c r="G333" s="67">
        <v>0</v>
      </c>
      <c r="H333" s="66">
        <v>0</v>
      </c>
      <c r="I333" s="18">
        <v>3459.05</v>
      </c>
      <c r="J333" s="67">
        <v>0</v>
      </c>
      <c r="K333" s="66">
        <v>0</v>
      </c>
      <c r="L333" s="18">
        <v>2691.42</v>
      </c>
      <c r="M333" s="67">
        <v>0</v>
      </c>
      <c r="N333" s="66">
        <v>0</v>
      </c>
      <c r="O333" s="18">
        <v>8249.02</v>
      </c>
      <c r="P333" s="67">
        <v>0</v>
      </c>
      <c r="Q333" s="66">
        <v>0</v>
      </c>
      <c r="R333" s="18">
        <v>241.65</v>
      </c>
      <c r="S333" s="67">
        <v>0</v>
      </c>
      <c r="T333" s="66">
        <v>0</v>
      </c>
      <c r="U333" s="18">
        <v>21628.289999999899</v>
      </c>
      <c r="V333" s="67">
        <v>0</v>
      </c>
      <c r="W333" s="66">
        <v>0</v>
      </c>
      <c r="X333" s="18">
        <v>1398.06</v>
      </c>
      <c r="Y333" s="67">
        <v>0</v>
      </c>
      <c r="Z333" s="66">
        <v>0</v>
      </c>
      <c r="AA333" s="18">
        <v>1664.51</v>
      </c>
      <c r="AB333" s="67">
        <v>0</v>
      </c>
      <c r="AC333" s="66">
        <v>0</v>
      </c>
      <c r="AD333" s="18">
        <v>507.28</v>
      </c>
      <c r="AE333" s="67">
        <v>0</v>
      </c>
      <c r="AF333" s="66">
        <v>0</v>
      </c>
      <c r="AG333" s="18">
        <v>1224.6300000000001</v>
      </c>
      <c r="AH333" s="67">
        <v>0</v>
      </c>
      <c r="AI333" s="66">
        <v>0</v>
      </c>
      <c r="AJ333" s="18">
        <v>731.74</v>
      </c>
      <c r="AK333" s="67">
        <v>0</v>
      </c>
      <c r="AL333" s="66">
        <v>0</v>
      </c>
      <c r="AM333" s="18">
        <v>414.46</v>
      </c>
      <c r="AN333" s="67">
        <v>0</v>
      </c>
      <c r="AO333" s="66">
        <v>0</v>
      </c>
      <c r="AP333" s="18">
        <v>416.8</v>
      </c>
      <c r="AQ333" s="67">
        <v>0</v>
      </c>
      <c r="AR333" s="66">
        <v>0</v>
      </c>
      <c r="AS333" s="18">
        <v>1454.27</v>
      </c>
      <c r="AT333" s="67">
        <v>0</v>
      </c>
      <c r="AU333" s="66">
        <v>0</v>
      </c>
      <c r="AV333" s="18">
        <v>2524.4699999999998</v>
      </c>
      <c r="AW333" s="67">
        <v>0</v>
      </c>
      <c r="AX333" s="66">
        <v>0</v>
      </c>
      <c r="AY333" s="18">
        <v>693.54</v>
      </c>
      <c r="AZ333" s="67"/>
      <c r="BA333" s="66"/>
      <c r="BB333" s="18"/>
      <c r="BC333" s="67"/>
      <c r="BD333" s="66"/>
      <c r="BE333" s="18"/>
      <c r="BF333" s="67"/>
      <c r="BG333" s="66"/>
      <c r="BH333" s="18"/>
    </row>
    <row r="334" spans="3:60" ht="20.25" x14ac:dyDescent="0.3">
      <c r="C334" s="17" t="s">
        <v>14</v>
      </c>
      <c r="D334" s="8"/>
      <c r="E334" s="7"/>
      <c r="F334" s="68">
        <f t="shared" si="21"/>
        <v>130694.56</v>
      </c>
      <c r="G334" s="8">
        <v>0</v>
      </c>
      <c r="H334" s="7">
        <v>0</v>
      </c>
      <c r="I334" s="68">
        <v>8096.19</v>
      </c>
      <c r="J334" s="8">
        <v>0</v>
      </c>
      <c r="K334" s="7">
        <v>0</v>
      </c>
      <c r="L334" s="68">
        <v>6346.45</v>
      </c>
      <c r="M334" s="8">
        <v>0</v>
      </c>
      <c r="N334" s="7">
        <v>0</v>
      </c>
      <c r="O334" s="68">
        <v>4044.08</v>
      </c>
      <c r="P334" s="8">
        <v>0</v>
      </c>
      <c r="Q334" s="7">
        <v>0</v>
      </c>
      <c r="R334" s="68">
        <v>13729.88</v>
      </c>
      <c r="S334" s="8">
        <v>0</v>
      </c>
      <c r="T334" s="7">
        <v>0</v>
      </c>
      <c r="U334" s="68">
        <v>27805.64</v>
      </c>
      <c r="V334" s="8">
        <v>0</v>
      </c>
      <c r="W334" s="7">
        <v>0</v>
      </c>
      <c r="X334" s="68">
        <v>13227.69</v>
      </c>
      <c r="Y334" s="8">
        <v>0</v>
      </c>
      <c r="Z334" s="7">
        <v>0</v>
      </c>
      <c r="AA334" s="68">
        <v>4508.83</v>
      </c>
      <c r="AB334" s="8">
        <v>0</v>
      </c>
      <c r="AC334" s="7">
        <v>0</v>
      </c>
      <c r="AD334" s="68">
        <v>5684.29</v>
      </c>
      <c r="AE334" s="8">
        <v>0</v>
      </c>
      <c r="AF334" s="7">
        <v>0</v>
      </c>
      <c r="AG334" s="68">
        <v>4286.8599999999997</v>
      </c>
      <c r="AH334" s="8">
        <v>0</v>
      </c>
      <c r="AI334" s="7">
        <v>0</v>
      </c>
      <c r="AJ334" s="68">
        <v>4928.3900000000003</v>
      </c>
      <c r="AK334" s="8">
        <v>0</v>
      </c>
      <c r="AL334" s="7">
        <v>0</v>
      </c>
      <c r="AM334" s="68">
        <v>4359.74</v>
      </c>
      <c r="AN334" s="8">
        <v>0</v>
      </c>
      <c r="AO334" s="7">
        <v>0</v>
      </c>
      <c r="AP334" s="68">
        <v>7414.83</v>
      </c>
      <c r="AQ334" s="8">
        <v>0</v>
      </c>
      <c r="AR334" s="7">
        <v>0</v>
      </c>
      <c r="AS334" s="68">
        <v>7832.83</v>
      </c>
      <c r="AT334" s="8">
        <v>0</v>
      </c>
      <c r="AU334" s="7">
        <v>0</v>
      </c>
      <c r="AV334" s="68">
        <v>13589.92</v>
      </c>
      <c r="AW334" s="8">
        <v>0</v>
      </c>
      <c r="AX334" s="7">
        <v>0</v>
      </c>
      <c r="AY334" s="68">
        <v>4838.9399999999996</v>
      </c>
      <c r="AZ334" s="8"/>
      <c r="BA334" s="7"/>
      <c r="BB334" s="68"/>
      <c r="BC334" s="8"/>
      <c r="BD334" s="7"/>
      <c r="BE334" s="68"/>
      <c r="BF334" s="8"/>
      <c r="BG334" s="7"/>
      <c r="BH334" s="68"/>
    </row>
    <row r="335" spans="3:60" ht="20.25" x14ac:dyDescent="0.3">
      <c r="C335" s="17" t="s">
        <v>13</v>
      </c>
      <c r="D335" s="8"/>
      <c r="E335" s="7"/>
      <c r="F335" s="18">
        <f t="shared" si="21"/>
        <v>17511.71</v>
      </c>
      <c r="G335" s="8">
        <v>0</v>
      </c>
      <c r="H335" s="7">
        <v>0</v>
      </c>
      <c r="I335" s="18">
        <v>2156.92</v>
      </c>
      <c r="J335" s="8">
        <v>0</v>
      </c>
      <c r="K335" s="7">
        <v>0</v>
      </c>
      <c r="L335" s="18">
        <v>1814.7</v>
      </c>
      <c r="M335" s="8">
        <v>0</v>
      </c>
      <c r="N335" s="7">
        <v>0</v>
      </c>
      <c r="O335" s="18">
        <v>667.86</v>
      </c>
      <c r="P335" s="8">
        <v>0</v>
      </c>
      <c r="Q335" s="7">
        <v>0</v>
      </c>
      <c r="R335" s="18">
        <v>942.3</v>
      </c>
      <c r="S335" s="8">
        <v>0</v>
      </c>
      <c r="T335" s="7">
        <v>0</v>
      </c>
      <c r="U335" s="18">
        <v>70.16</v>
      </c>
      <c r="V335" s="8">
        <v>0</v>
      </c>
      <c r="W335" s="7">
        <v>0</v>
      </c>
      <c r="X335" s="18">
        <v>2556.75</v>
      </c>
      <c r="Y335" s="8">
        <v>0</v>
      </c>
      <c r="Z335" s="7">
        <v>0</v>
      </c>
      <c r="AA335" s="18">
        <v>826.71</v>
      </c>
      <c r="AB335" s="8">
        <v>0</v>
      </c>
      <c r="AC335" s="7">
        <v>0</v>
      </c>
      <c r="AD335" s="18">
        <v>404.68</v>
      </c>
      <c r="AE335" s="8">
        <v>0</v>
      </c>
      <c r="AF335" s="7">
        <v>0</v>
      </c>
      <c r="AG335" s="18">
        <v>1293.02</v>
      </c>
      <c r="AH335" s="8">
        <v>0</v>
      </c>
      <c r="AI335" s="7">
        <v>0</v>
      </c>
      <c r="AJ335" s="18">
        <v>922.93</v>
      </c>
      <c r="AK335" s="8">
        <v>0</v>
      </c>
      <c r="AL335" s="7">
        <v>0</v>
      </c>
      <c r="AM335" s="18">
        <v>1184.76</v>
      </c>
      <c r="AN335" s="8">
        <v>0</v>
      </c>
      <c r="AO335" s="7">
        <v>0</v>
      </c>
      <c r="AP335" s="18">
        <v>708.34</v>
      </c>
      <c r="AQ335" s="8">
        <v>0</v>
      </c>
      <c r="AR335" s="7">
        <v>0</v>
      </c>
      <c r="AS335" s="18">
        <v>1108.8699999999999</v>
      </c>
      <c r="AT335" s="8">
        <v>0</v>
      </c>
      <c r="AU335" s="7">
        <v>0</v>
      </c>
      <c r="AV335" s="18">
        <v>1771.85</v>
      </c>
      <c r="AW335" s="8">
        <v>0</v>
      </c>
      <c r="AX335" s="7">
        <v>0</v>
      </c>
      <c r="AY335" s="18">
        <v>1081.8599999999999</v>
      </c>
      <c r="AZ335" s="8"/>
      <c r="BA335" s="7"/>
      <c r="BB335" s="18"/>
      <c r="BC335" s="8"/>
      <c r="BD335" s="7"/>
      <c r="BE335" s="18"/>
      <c r="BF335" s="8"/>
      <c r="BG335" s="7"/>
      <c r="BH335" s="18"/>
    </row>
    <row r="336" spans="3:60" ht="20.25" x14ac:dyDescent="0.3">
      <c r="C336" s="25" t="s">
        <v>12</v>
      </c>
      <c r="D336" s="67"/>
      <c r="E336" s="66"/>
      <c r="F336" s="22">
        <f t="shared" si="21"/>
        <v>274272.56999999983</v>
      </c>
      <c r="G336" s="67">
        <v>0</v>
      </c>
      <c r="H336" s="66">
        <v>0</v>
      </c>
      <c r="I336" s="22">
        <v>24943.85</v>
      </c>
      <c r="J336" s="67">
        <v>0</v>
      </c>
      <c r="K336" s="66">
        <v>0</v>
      </c>
      <c r="L336" s="22">
        <v>12056.57</v>
      </c>
      <c r="M336" s="67">
        <v>0</v>
      </c>
      <c r="N336" s="66">
        <v>0</v>
      </c>
      <c r="O336" s="22">
        <v>4177.43</v>
      </c>
      <c r="P336" s="67">
        <v>0</v>
      </c>
      <c r="Q336" s="66">
        <v>0</v>
      </c>
      <c r="R336" s="22">
        <v>6269.09</v>
      </c>
      <c r="S336" s="67">
        <v>0</v>
      </c>
      <c r="T336" s="66">
        <v>0</v>
      </c>
      <c r="U336" s="22">
        <v>24324.199999999899</v>
      </c>
      <c r="V336" s="67">
        <v>0</v>
      </c>
      <c r="W336" s="66">
        <v>0</v>
      </c>
      <c r="X336" s="22">
        <v>37765.81</v>
      </c>
      <c r="Y336" s="67">
        <v>0</v>
      </c>
      <c r="Z336" s="66">
        <v>0</v>
      </c>
      <c r="AA336" s="22">
        <v>14591.61</v>
      </c>
      <c r="AB336" s="67">
        <v>0</v>
      </c>
      <c r="AC336" s="66">
        <v>0</v>
      </c>
      <c r="AD336" s="22">
        <v>16168.029999999901</v>
      </c>
      <c r="AE336" s="67">
        <v>0</v>
      </c>
      <c r="AF336" s="66">
        <v>0</v>
      </c>
      <c r="AG336" s="22">
        <v>23856.45</v>
      </c>
      <c r="AH336" s="67">
        <v>0</v>
      </c>
      <c r="AI336" s="66">
        <v>0</v>
      </c>
      <c r="AJ336" s="22">
        <v>9002.0400000000009</v>
      </c>
      <c r="AK336" s="67">
        <v>0</v>
      </c>
      <c r="AL336" s="66">
        <v>0</v>
      </c>
      <c r="AM336" s="22">
        <v>8768.24</v>
      </c>
      <c r="AN336" s="67">
        <v>0</v>
      </c>
      <c r="AO336" s="66">
        <v>0</v>
      </c>
      <c r="AP336" s="22">
        <v>30601.439999999999</v>
      </c>
      <c r="AQ336" s="67">
        <v>0</v>
      </c>
      <c r="AR336" s="66">
        <v>0</v>
      </c>
      <c r="AS336" s="22">
        <v>25393.01</v>
      </c>
      <c r="AT336" s="67">
        <v>0</v>
      </c>
      <c r="AU336" s="66">
        <v>0</v>
      </c>
      <c r="AV336" s="22">
        <v>27344.17</v>
      </c>
      <c r="AW336" s="67">
        <v>0</v>
      </c>
      <c r="AX336" s="66">
        <v>0</v>
      </c>
      <c r="AY336" s="22">
        <v>9010.6299999999992</v>
      </c>
      <c r="AZ336" s="67"/>
      <c r="BA336" s="66"/>
      <c r="BB336" s="22"/>
      <c r="BC336" s="67"/>
      <c r="BD336" s="66"/>
      <c r="BE336" s="22"/>
      <c r="BF336" s="67"/>
      <c r="BG336" s="66"/>
      <c r="BH336" s="22"/>
    </row>
    <row r="337" spans="3:60" ht="20.25" x14ac:dyDescent="0.3">
      <c r="C337" s="17" t="s">
        <v>34</v>
      </c>
      <c r="D337" s="8"/>
      <c r="E337" s="7"/>
      <c r="F337" s="18">
        <f t="shared" si="21"/>
        <v>0</v>
      </c>
      <c r="G337" s="8">
        <v>0</v>
      </c>
      <c r="H337" s="7">
        <v>0</v>
      </c>
      <c r="I337" s="18">
        <v>0</v>
      </c>
      <c r="J337" s="8">
        <v>0</v>
      </c>
      <c r="K337" s="7">
        <v>0</v>
      </c>
      <c r="L337" s="18">
        <v>0</v>
      </c>
      <c r="M337" s="8">
        <v>0</v>
      </c>
      <c r="N337" s="7">
        <v>0</v>
      </c>
      <c r="O337" s="18">
        <v>0</v>
      </c>
      <c r="P337" s="8">
        <v>0</v>
      </c>
      <c r="Q337" s="7">
        <v>0</v>
      </c>
      <c r="R337" s="18">
        <v>0</v>
      </c>
      <c r="S337" s="8">
        <v>0</v>
      </c>
      <c r="T337" s="7">
        <v>0</v>
      </c>
      <c r="U337" s="18">
        <v>0</v>
      </c>
      <c r="V337" s="8">
        <v>0</v>
      </c>
      <c r="W337" s="7">
        <v>0</v>
      </c>
      <c r="X337" s="18">
        <v>0</v>
      </c>
      <c r="Y337" s="8">
        <v>0</v>
      </c>
      <c r="Z337" s="7">
        <v>0</v>
      </c>
      <c r="AA337" s="18">
        <v>0</v>
      </c>
      <c r="AB337" s="8">
        <v>0</v>
      </c>
      <c r="AC337" s="7">
        <v>0</v>
      </c>
      <c r="AD337" s="18">
        <v>0</v>
      </c>
      <c r="AE337" s="8">
        <v>0</v>
      </c>
      <c r="AF337" s="7">
        <v>0</v>
      </c>
      <c r="AG337" s="18">
        <v>0</v>
      </c>
      <c r="AH337" s="8">
        <v>0</v>
      </c>
      <c r="AI337" s="7">
        <v>0</v>
      </c>
      <c r="AJ337" s="18">
        <v>0</v>
      </c>
      <c r="AK337" s="8">
        <v>0</v>
      </c>
      <c r="AL337" s="7">
        <v>0</v>
      </c>
      <c r="AM337" s="18">
        <v>0</v>
      </c>
      <c r="AN337" s="8">
        <v>0</v>
      </c>
      <c r="AO337" s="7">
        <v>0</v>
      </c>
      <c r="AP337" s="18">
        <v>0</v>
      </c>
      <c r="AQ337" s="8">
        <v>0</v>
      </c>
      <c r="AR337" s="7">
        <v>0</v>
      </c>
      <c r="AS337" s="18">
        <v>0</v>
      </c>
      <c r="AT337" s="8">
        <v>0</v>
      </c>
      <c r="AU337" s="7">
        <v>0</v>
      </c>
      <c r="AV337" s="18">
        <v>0</v>
      </c>
      <c r="AW337" s="8">
        <v>0</v>
      </c>
      <c r="AX337" s="7">
        <v>0</v>
      </c>
      <c r="AY337" s="18">
        <v>0</v>
      </c>
      <c r="AZ337" s="8"/>
      <c r="BA337" s="7"/>
      <c r="BB337" s="18"/>
      <c r="BC337" s="8"/>
      <c r="BD337" s="7"/>
      <c r="BE337" s="18"/>
      <c r="BF337" s="8"/>
      <c r="BG337" s="7"/>
      <c r="BH337" s="18"/>
    </row>
    <row r="338" spans="3:60" ht="20.25" x14ac:dyDescent="0.3">
      <c r="C338" s="17" t="s">
        <v>11</v>
      </c>
      <c r="D338" s="8"/>
      <c r="E338" s="7"/>
      <c r="F338" s="18">
        <f t="shared" si="21"/>
        <v>4750.6600000000008</v>
      </c>
      <c r="G338" s="8">
        <v>0</v>
      </c>
      <c r="H338" s="7">
        <v>0</v>
      </c>
      <c r="I338" s="18">
        <v>179.12</v>
      </c>
      <c r="J338" s="8">
        <v>0</v>
      </c>
      <c r="K338" s="7">
        <v>0</v>
      </c>
      <c r="L338" s="18">
        <v>11.96</v>
      </c>
      <c r="M338" s="8">
        <v>0</v>
      </c>
      <c r="N338" s="7">
        <v>0</v>
      </c>
      <c r="O338" s="18">
        <v>2.19</v>
      </c>
      <c r="P338" s="8">
        <v>0</v>
      </c>
      <c r="Q338" s="7">
        <v>0</v>
      </c>
      <c r="R338" s="18">
        <v>2607.3000000000002</v>
      </c>
      <c r="S338" s="8">
        <v>0</v>
      </c>
      <c r="T338" s="7">
        <v>0</v>
      </c>
      <c r="U338" s="18">
        <v>0</v>
      </c>
      <c r="V338" s="8">
        <v>0</v>
      </c>
      <c r="W338" s="7">
        <v>0</v>
      </c>
      <c r="X338" s="18">
        <v>0</v>
      </c>
      <c r="Y338" s="8">
        <v>0</v>
      </c>
      <c r="Z338" s="7">
        <v>0</v>
      </c>
      <c r="AA338" s="18">
        <v>355.77</v>
      </c>
      <c r="AB338" s="8">
        <v>0</v>
      </c>
      <c r="AC338" s="7">
        <v>0</v>
      </c>
      <c r="AD338" s="18">
        <v>0</v>
      </c>
      <c r="AE338" s="8">
        <v>0</v>
      </c>
      <c r="AF338" s="7">
        <v>0</v>
      </c>
      <c r="AG338" s="18">
        <v>199.55</v>
      </c>
      <c r="AH338" s="8">
        <v>0</v>
      </c>
      <c r="AI338" s="7">
        <v>0</v>
      </c>
      <c r="AJ338" s="18">
        <v>684.87</v>
      </c>
      <c r="AK338" s="8">
        <v>0</v>
      </c>
      <c r="AL338" s="7">
        <v>0</v>
      </c>
      <c r="AM338" s="18">
        <v>185.01</v>
      </c>
      <c r="AN338" s="8">
        <v>0</v>
      </c>
      <c r="AO338" s="7">
        <v>0</v>
      </c>
      <c r="AP338" s="18">
        <v>136.51</v>
      </c>
      <c r="AQ338" s="8">
        <v>0</v>
      </c>
      <c r="AR338" s="7">
        <v>0</v>
      </c>
      <c r="AS338" s="18">
        <v>388.38</v>
      </c>
      <c r="AT338" s="8">
        <v>0</v>
      </c>
      <c r="AU338" s="7">
        <v>0</v>
      </c>
      <c r="AV338" s="18">
        <v>0</v>
      </c>
      <c r="AW338" s="8">
        <v>0</v>
      </c>
      <c r="AX338" s="7">
        <v>0</v>
      </c>
      <c r="AY338" s="18">
        <v>0</v>
      </c>
      <c r="AZ338" s="8"/>
      <c r="BA338" s="7"/>
      <c r="BB338" s="18"/>
      <c r="BC338" s="8"/>
      <c r="BD338" s="7"/>
      <c r="BE338" s="18"/>
      <c r="BF338" s="8"/>
      <c r="BG338" s="7"/>
      <c r="BH338" s="18"/>
    </row>
    <row r="339" spans="3:60" ht="20.25" x14ac:dyDescent="0.3">
      <c r="C339" s="17" t="s">
        <v>10</v>
      </c>
      <c r="D339" s="8"/>
      <c r="E339" s="7"/>
      <c r="F339" s="18">
        <f t="shared" si="21"/>
        <v>1992.8700000000001</v>
      </c>
      <c r="G339" s="8">
        <v>0</v>
      </c>
      <c r="H339" s="7">
        <v>0</v>
      </c>
      <c r="I339" s="18">
        <v>0</v>
      </c>
      <c r="J339" s="8">
        <v>0</v>
      </c>
      <c r="K339" s="7">
        <v>0</v>
      </c>
      <c r="L339" s="18">
        <v>208</v>
      </c>
      <c r="M339" s="8">
        <v>0</v>
      </c>
      <c r="N339" s="7">
        <v>0</v>
      </c>
      <c r="O339" s="18">
        <v>0</v>
      </c>
      <c r="P339" s="8">
        <v>0</v>
      </c>
      <c r="Q339" s="7">
        <v>0</v>
      </c>
      <c r="R339" s="18">
        <v>292.60000000000002</v>
      </c>
      <c r="S339" s="8">
        <v>0</v>
      </c>
      <c r="T339" s="7">
        <v>0</v>
      </c>
      <c r="U339" s="18">
        <v>793.43</v>
      </c>
      <c r="V339" s="8">
        <v>0</v>
      </c>
      <c r="W339" s="7">
        <v>0</v>
      </c>
      <c r="X339" s="18">
        <v>0</v>
      </c>
      <c r="Y339" s="8">
        <v>0</v>
      </c>
      <c r="Z339" s="7">
        <v>0</v>
      </c>
      <c r="AA339" s="18">
        <v>0</v>
      </c>
      <c r="AB339" s="8">
        <v>0</v>
      </c>
      <c r="AC339" s="7">
        <v>0</v>
      </c>
      <c r="AD339" s="18">
        <v>0</v>
      </c>
      <c r="AE339" s="8">
        <v>0</v>
      </c>
      <c r="AF339" s="7">
        <v>0</v>
      </c>
      <c r="AG339" s="18">
        <v>0</v>
      </c>
      <c r="AH339" s="8">
        <v>0</v>
      </c>
      <c r="AI339" s="7">
        <v>0</v>
      </c>
      <c r="AJ339" s="18">
        <v>0</v>
      </c>
      <c r="AK339" s="8">
        <v>0</v>
      </c>
      <c r="AL339" s="7">
        <v>0</v>
      </c>
      <c r="AM339" s="18">
        <v>0</v>
      </c>
      <c r="AN339" s="8">
        <v>0</v>
      </c>
      <c r="AO339" s="7">
        <v>0</v>
      </c>
      <c r="AP339" s="18">
        <v>0</v>
      </c>
      <c r="AQ339" s="8">
        <v>0</v>
      </c>
      <c r="AR339" s="7">
        <v>0</v>
      </c>
      <c r="AS339" s="18">
        <v>337.39</v>
      </c>
      <c r="AT339" s="8">
        <v>0</v>
      </c>
      <c r="AU339" s="7">
        <v>0</v>
      </c>
      <c r="AV339" s="18">
        <v>361.45</v>
      </c>
      <c r="AW339" s="8">
        <v>0</v>
      </c>
      <c r="AX339" s="7">
        <v>0</v>
      </c>
      <c r="AY339" s="18">
        <v>0</v>
      </c>
      <c r="AZ339" s="8"/>
      <c r="BA339" s="7"/>
      <c r="BB339" s="18"/>
      <c r="BC339" s="8"/>
      <c r="BD339" s="7"/>
      <c r="BE339" s="18"/>
      <c r="BF339" s="8"/>
      <c r="BG339" s="7"/>
      <c r="BH339" s="18"/>
    </row>
    <row r="340" spans="3:60" ht="20.25" x14ac:dyDescent="0.3">
      <c r="C340" s="17" t="s">
        <v>9</v>
      </c>
      <c r="D340" s="8"/>
      <c r="E340" s="7"/>
      <c r="F340" s="18">
        <f t="shared" si="21"/>
        <v>10380.380000000001</v>
      </c>
      <c r="G340" s="8">
        <v>0</v>
      </c>
      <c r="H340" s="7">
        <v>0</v>
      </c>
      <c r="I340" s="18">
        <v>613.22</v>
      </c>
      <c r="J340" s="8">
        <v>0</v>
      </c>
      <c r="K340" s="7">
        <v>0</v>
      </c>
      <c r="L340" s="18">
        <v>329.18</v>
      </c>
      <c r="M340" s="8">
        <v>0</v>
      </c>
      <c r="N340" s="7">
        <v>0</v>
      </c>
      <c r="O340" s="18">
        <v>348.4</v>
      </c>
      <c r="P340" s="8">
        <v>0</v>
      </c>
      <c r="Q340" s="7">
        <v>0</v>
      </c>
      <c r="R340" s="18">
        <v>1086.17</v>
      </c>
      <c r="S340" s="8">
        <v>0</v>
      </c>
      <c r="T340" s="7">
        <v>0</v>
      </c>
      <c r="U340" s="18">
        <v>444.97</v>
      </c>
      <c r="V340" s="8">
        <v>0</v>
      </c>
      <c r="W340" s="7">
        <v>0</v>
      </c>
      <c r="X340" s="18">
        <v>1459.54</v>
      </c>
      <c r="Y340" s="8">
        <v>0</v>
      </c>
      <c r="Z340" s="7">
        <v>0</v>
      </c>
      <c r="AA340" s="18">
        <v>803.05</v>
      </c>
      <c r="AB340" s="8">
        <v>0</v>
      </c>
      <c r="AC340" s="7">
        <v>0</v>
      </c>
      <c r="AD340" s="18">
        <v>477.06</v>
      </c>
      <c r="AE340" s="8">
        <v>0</v>
      </c>
      <c r="AF340" s="7">
        <v>0</v>
      </c>
      <c r="AG340" s="18">
        <v>630.21</v>
      </c>
      <c r="AH340" s="8">
        <v>0</v>
      </c>
      <c r="AI340" s="7">
        <v>0</v>
      </c>
      <c r="AJ340" s="18">
        <v>210.73</v>
      </c>
      <c r="AK340" s="8">
        <v>0</v>
      </c>
      <c r="AL340" s="7">
        <v>0</v>
      </c>
      <c r="AM340" s="18">
        <v>286.74</v>
      </c>
      <c r="AN340" s="8">
        <v>0</v>
      </c>
      <c r="AO340" s="7">
        <v>0</v>
      </c>
      <c r="AP340" s="18">
        <v>351.8</v>
      </c>
      <c r="AQ340" s="8">
        <v>0</v>
      </c>
      <c r="AR340" s="7">
        <v>0</v>
      </c>
      <c r="AS340" s="18">
        <v>188.91</v>
      </c>
      <c r="AT340" s="8">
        <v>0</v>
      </c>
      <c r="AU340" s="7">
        <v>0</v>
      </c>
      <c r="AV340" s="18">
        <v>940.35</v>
      </c>
      <c r="AW340" s="8">
        <v>0</v>
      </c>
      <c r="AX340" s="7">
        <v>0</v>
      </c>
      <c r="AY340" s="18">
        <v>2210.0500000000002</v>
      </c>
      <c r="AZ340" s="8"/>
      <c r="BA340" s="7"/>
      <c r="BB340" s="18"/>
      <c r="BC340" s="8"/>
      <c r="BD340" s="7"/>
      <c r="BE340" s="18"/>
      <c r="BF340" s="8"/>
      <c r="BG340" s="7"/>
      <c r="BH340" s="18"/>
    </row>
    <row r="341" spans="3:60" ht="20.25" x14ac:dyDescent="0.3">
      <c r="C341" s="17" t="s">
        <v>8</v>
      </c>
      <c r="D341" s="8"/>
      <c r="E341" s="7"/>
      <c r="F341" s="18">
        <f t="shared" si="21"/>
        <v>4480.8500000000004</v>
      </c>
      <c r="G341" s="8">
        <v>0</v>
      </c>
      <c r="H341" s="7">
        <v>0</v>
      </c>
      <c r="I341" s="18">
        <v>525.84</v>
      </c>
      <c r="J341" s="8">
        <v>0</v>
      </c>
      <c r="K341" s="7">
        <v>0</v>
      </c>
      <c r="L341" s="18">
        <v>352.88</v>
      </c>
      <c r="M341" s="8">
        <v>0</v>
      </c>
      <c r="N341" s="7">
        <v>0</v>
      </c>
      <c r="O341" s="18">
        <v>418.91</v>
      </c>
      <c r="P341" s="8">
        <v>0</v>
      </c>
      <c r="Q341" s="7">
        <v>0</v>
      </c>
      <c r="R341" s="18">
        <v>291.7</v>
      </c>
      <c r="S341" s="8">
        <v>0</v>
      </c>
      <c r="T341" s="7">
        <v>0</v>
      </c>
      <c r="U341" s="18">
        <v>1220.07</v>
      </c>
      <c r="V341" s="8">
        <v>0</v>
      </c>
      <c r="W341" s="7">
        <v>0</v>
      </c>
      <c r="X341" s="18">
        <v>240.77</v>
      </c>
      <c r="Y341" s="8">
        <v>0</v>
      </c>
      <c r="Z341" s="7">
        <v>0</v>
      </c>
      <c r="AA341" s="18">
        <v>138.13999999999999</v>
      </c>
      <c r="AB341" s="8">
        <v>0</v>
      </c>
      <c r="AC341" s="7">
        <v>0</v>
      </c>
      <c r="AD341" s="18">
        <v>95.88</v>
      </c>
      <c r="AE341" s="8">
        <v>0</v>
      </c>
      <c r="AF341" s="7">
        <v>0</v>
      </c>
      <c r="AG341" s="18">
        <v>207.73</v>
      </c>
      <c r="AH341" s="8">
        <v>0</v>
      </c>
      <c r="AI341" s="7">
        <v>0</v>
      </c>
      <c r="AJ341" s="18">
        <v>105.63</v>
      </c>
      <c r="AK341" s="8">
        <v>0</v>
      </c>
      <c r="AL341" s="7">
        <v>0</v>
      </c>
      <c r="AM341" s="18">
        <v>70.150000000000006</v>
      </c>
      <c r="AN341" s="8">
        <v>0</v>
      </c>
      <c r="AO341" s="7">
        <v>0</v>
      </c>
      <c r="AP341" s="18">
        <v>138.80000000000001</v>
      </c>
      <c r="AQ341" s="8">
        <v>0</v>
      </c>
      <c r="AR341" s="7">
        <v>0</v>
      </c>
      <c r="AS341" s="18">
        <v>139.97999999999999</v>
      </c>
      <c r="AT341" s="8">
        <v>0</v>
      </c>
      <c r="AU341" s="7">
        <v>0</v>
      </c>
      <c r="AV341" s="18">
        <v>251.25</v>
      </c>
      <c r="AW341" s="8">
        <v>0</v>
      </c>
      <c r="AX341" s="7">
        <v>0</v>
      </c>
      <c r="AY341" s="18">
        <v>283.12</v>
      </c>
      <c r="AZ341" s="8"/>
      <c r="BA341" s="7"/>
      <c r="BB341" s="18"/>
      <c r="BC341" s="8"/>
      <c r="BD341" s="7"/>
      <c r="BE341" s="18"/>
      <c r="BF341" s="8"/>
      <c r="BG341" s="7"/>
      <c r="BH341" s="18"/>
    </row>
    <row r="342" spans="3:60" ht="20.25" x14ac:dyDescent="0.3">
      <c r="C342" s="17" t="s">
        <v>7</v>
      </c>
      <c r="D342" s="8"/>
      <c r="E342" s="7"/>
      <c r="F342" s="18">
        <f t="shared" si="21"/>
        <v>13747.539999999999</v>
      </c>
      <c r="G342" s="8">
        <v>0</v>
      </c>
      <c r="H342" s="7">
        <v>0</v>
      </c>
      <c r="I342" s="18">
        <v>-435.2</v>
      </c>
      <c r="J342" s="8">
        <v>0</v>
      </c>
      <c r="K342" s="7">
        <v>0</v>
      </c>
      <c r="L342" s="18">
        <v>913.97</v>
      </c>
      <c r="M342" s="8">
        <v>0</v>
      </c>
      <c r="N342" s="7">
        <v>0</v>
      </c>
      <c r="O342" s="18">
        <v>2252.64</v>
      </c>
      <c r="P342" s="8">
        <v>0</v>
      </c>
      <c r="Q342" s="7">
        <v>0</v>
      </c>
      <c r="R342" s="18">
        <v>7163.94</v>
      </c>
      <c r="S342" s="8">
        <v>0</v>
      </c>
      <c r="T342" s="7">
        <v>0</v>
      </c>
      <c r="U342" s="18">
        <v>3103.96</v>
      </c>
      <c r="V342" s="8">
        <v>0</v>
      </c>
      <c r="W342" s="7">
        <v>0</v>
      </c>
      <c r="X342" s="18">
        <v>19.84</v>
      </c>
      <c r="Y342" s="8">
        <v>0</v>
      </c>
      <c r="Z342" s="7">
        <v>0</v>
      </c>
      <c r="AA342" s="18">
        <v>514.70000000000005</v>
      </c>
      <c r="AB342" s="8">
        <v>0</v>
      </c>
      <c r="AC342" s="7">
        <v>0</v>
      </c>
      <c r="AD342" s="18">
        <v>163.44</v>
      </c>
      <c r="AE342" s="8">
        <v>0</v>
      </c>
      <c r="AF342" s="7">
        <v>0</v>
      </c>
      <c r="AG342" s="18">
        <v>957.14</v>
      </c>
      <c r="AH342" s="8">
        <v>0</v>
      </c>
      <c r="AI342" s="7">
        <v>0</v>
      </c>
      <c r="AJ342" s="18">
        <v>-376.53</v>
      </c>
      <c r="AK342" s="8">
        <v>0</v>
      </c>
      <c r="AL342" s="7">
        <v>0</v>
      </c>
      <c r="AM342" s="18">
        <v>64.12</v>
      </c>
      <c r="AN342" s="8">
        <v>0</v>
      </c>
      <c r="AO342" s="7">
        <v>0</v>
      </c>
      <c r="AP342" s="18">
        <v>-1054.95</v>
      </c>
      <c r="AQ342" s="8">
        <v>0</v>
      </c>
      <c r="AR342" s="7">
        <v>0</v>
      </c>
      <c r="AS342" s="18">
        <v>405.45</v>
      </c>
      <c r="AT342" s="8">
        <v>0</v>
      </c>
      <c r="AU342" s="7">
        <v>0</v>
      </c>
      <c r="AV342" s="18">
        <v>-437.33</v>
      </c>
      <c r="AW342" s="8">
        <v>0</v>
      </c>
      <c r="AX342" s="7">
        <v>0</v>
      </c>
      <c r="AY342" s="18">
        <v>492.35</v>
      </c>
      <c r="AZ342" s="8"/>
      <c r="BA342" s="7"/>
      <c r="BB342" s="18"/>
      <c r="BC342" s="8"/>
      <c r="BD342" s="7"/>
      <c r="BE342" s="18"/>
      <c r="BF342" s="8"/>
      <c r="BG342" s="7"/>
      <c r="BH342" s="18"/>
    </row>
    <row r="343" spans="3:60" ht="20.25" x14ac:dyDescent="0.3">
      <c r="C343" s="17" t="s">
        <v>6</v>
      </c>
      <c r="D343" s="8"/>
      <c r="E343" s="7"/>
      <c r="F343" s="18">
        <f t="shared" si="21"/>
        <v>13808.039999999999</v>
      </c>
      <c r="G343" s="8">
        <v>0</v>
      </c>
      <c r="H343" s="7">
        <v>0</v>
      </c>
      <c r="I343" s="18">
        <v>2955.22</v>
      </c>
      <c r="J343" s="8">
        <v>0</v>
      </c>
      <c r="K343" s="7">
        <v>0</v>
      </c>
      <c r="L343" s="18">
        <v>1867.69</v>
      </c>
      <c r="M343" s="8">
        <v>0</v>
      </c>
      <c r="N343" s="7">
        <v>0</v>
      </c>
      <c r="O343" s="18">
        <v>606.4</v>
      </c>
      <c r="P343" s="8">
        <v>0</v>
      </c>
      <c r="Q343" s="7">
        <v>0</v>
      </c>
      <c r="R343" s="18">
        <v>898.38</v>
      </c>
      <c r="S343" s="8">
        <v>0</v>
      </c>
      <c r="T343" s="7">
        <v>0</v>
      </c>
      <c r="U343" s="18">
        <v>2.44</v>
      </c>
      <c r="V343" s="8">
        <v>0</v>
      </c>
      <c r="W343" s="7">
        <v>0</v>
      </c>
      <c r="X343" s="18">
        <v>143.99</v>
      </c>
      <c r="Y343" s="8">
        <v>0</v>
      </c>
      <c r="Z343" s="7">
        <v>0</v>
      </c>
      <c r="AA343" s="18">
        <v>1138.54</v>
      </c>
      <c r="AB343" s="8">
        <v>0</v>
      </c>
      <c r="AC343" s="7">
        <v>0</v>
      </c>
      <c r="AD343" s="18">
        <v>928.64</v>
      </c>
      <c r="AE343" s="8">
        <v>0</v>
      </c>
      <c r="AF343" s="7">
        <v>0</v>
      </c>
      <c r="AG343" s="18">
        <v>1027.18</v>
      </c>
      <c r="AH343" s="8">
        <v>0</v>
      </c>
      <c r="AI343" s="7">
        <v>0</v>
      </c>
      <c r="AJ343" s="18">
        <v>1150.22</v>
      </c>
      <c r="AK343" s="8">
        <v>0</v>
      </c>
      <c r="AL343" s="7">
        <v>0</v>
      </c>
      <c r="AM343" s="18">
        <v>500.29</v>
      </c>
      <c r="AN343" s="8">
        <v>0</v>
      </c>
      <c r="AO343" s="7">
        <v>0</v>
      </c>
      <c r="AP343" s="18">
        <v>1407.6</v>
      </c>
      <c r="AQ343" s="8">
        <v>0</v>
      </c>
      <c r="AR343" s="7">
        <v>0</v>
      </c>
      <c r="AS343" s="18">
        <v>892.05</v>
      </c>
      <c r="AT343" s="8">
        <v>0</v>
      </c>
      <c r="AU343" s="7">
        <v>0</v>
      </c>
      <c r="AV343" s="18">
        <v>125.49</v>
      </c>
      <c r="AW343" s="8">
        <v>0</v>
      </c>
      <c r="AX343" s="7">
        <v>0</v>
      </c>
      <c r="AY343" s="18">
        <v>163.91</v>
      </c>
      <c r="AZ343" s="8"/>
      <c r="BA343" s="7"/>
      <c r="BB343" s="18"/>
      <c r="BC343" s="8"/>
      <c r="BD343" s="7"/>
      <c r="BE343" s="18"/>
      <c r="BF343" s="8"/>
      <c r="BG343" s="7"/>
      <c r="BH343" s="18"/>
    </row>
    <row r="344" spans="3:60" ht="20.25" x14ac:dyDescent="0.3">
      <c r="C344" s="17" t="s">
        <v>5</v>
      </c>
      <c r="D344" s="8"/>
      <c r="E344" s="7"/>
      <c r="F344" s="18">
        <f t="shared" si="21"/>
        <v>6527.6200000000008</v>
      </c>
      <c r="G344" s="8">
        <v>0</v>
      </c>
      <c r="H344" s="7">
        <v>0</v>
      </c>
      <c r="I344" s="18">
        <v>2242.1</v>
      </c>
      <c r="J344" s="8">
        <v>0</v>
      </c>
      <c r="K344" s="7">
        <v>0</v>
      </c>
      <c r="L344" s="18">
        <v>1559.41</v>
      </c>
      <c r="M344" s="8">
        <v>0</v>
      </c>
      <c r="N344" s="7">
        <v>0</v>
      </c>
      <c r="O344" s="18">
        <v>324.70999999999998</v>
      </c>
      <c r="P344" s="8">
        <v>0</v>
      </c>
      <c r="Q344" s="7">
        <v>0</v>
      </c>
      <c r="R344" s="18">
        <v>89.32</v>
      </c>
      <c r="S344" s="8">
        <v>0</v>
      </c>
      <c r="T344" s="7">
        <v>0</v>
      </c>
      <c r="U344" s="18">
        <v>0</v>
      </c>
      <c r="V344" s="8">
        <v>0</v>
      </c>
      <c r="W344" s="7">
        <v>0</v>
      </c>
      <c r="X344" s="18">
        <v>504.8</v>
      </c>
      <c r="Y344" s="8">
        <v>0</v>
      </c>
      <c r="Z344" s="7">
        <v>0</v>
      </c>
      <c r="AA344" s="18">
        <v>143.56</v>
      </c>
      <c r="AB344" s="8">
        <v>0</v>
      </c>
      <c r="AC344" s="7">
        <v>0</v>
      </c>
      <c r="AD344" s="18">
        <v>108.46</v>
      </c>
      <c r="AE344" s="8">
        <v>0</v>
      </c>
      <c r="AF344" s="7">
        <v>0</v>
      </c>
      <c r="AG344" s="18">
        <v>220.48</v>
      </c>
      <c r="AH344" s="8">
        <v>0</v>
      </c>
      <c r="AI344" s="7">
        <v>0</v>
      </c>
      <c r="AJ344" s="18">
        <v>634.41999999999996</v>
      </c>
      <c r="AK344" s="8">
        <v>0</v>
      </c>
      <c r="AL344" s="7">
        <v>0</v>
      </c>
      <c r="AM344" s="18">
        <v>108.46</v>
      </c>
      <c r="AN344" s="8">
        <v>0</v>
      </c>
      <c r="AO344" s="7">
        <v>0</v>
      </c>
      <c r="AP344" s="18">
        <v>127.6</v>
      </c>
      <c r="AQ344" s="8">
        <v>0</v>
      </c>
      <c r="AR344" s="7">
        <v>0</v>
      </c>
      <c r="AS344" s="18">
        <v>108.46</v>
      </c>
      <c r="AT344" s="8">
        <v>0</v>
      </c>
      <c r="AU344" s="7">
        <v>0</v>
      </c>
      <c r="AV344" s="18">
        <v>317.56</v>
      </c>
      <c r="AW344" s="8">
        <v>0</v>
      </c>
      <c r="AX344" s="7">
        <v>0</v>
      </c>
      <c r="AY344" s="18">
        <v>38.28</v>
      </c>
      <c r="AZ344" s="8"/>
      <c r="BA344" s="7"/>
      <c r="BB344" s="18"/>
      <c r="BC344" s="8"/>
      <c r="BD344" s="7"/>
      <c r="BE344" s="18"/>
      <c r="BF344" s="8"/>
      <c r="BG344" s="7"/>
      <c r="BH344" s="18"/>
    </row>
    <row r="345" spans="3:60" ht="20.25" x14ac:dyDescent="0.3">
      <c r="C345" s="17" t="s">
        <v>4</v>
      </c>
      <c r="D345" s="8"/>
      <c r="E345" s="7"/>
      <c r="F345" s="18">
        <f t="shared" si="21"/>
        <v>45675.877499999995</v>
      </c>
      <c r="G345" s="8">
        <v>0</v>
      </c>
      <c r="H345" s="7">
        <v>0</v>
      </c>
      <c r="I345" s="18">
        <v>3272.34</v>
      </c>
      <c r="J345" s="8">
        <v>0</v>
      </c>
      <c r="K345" s="7">
        <v>0</v>
      </c>
      <c r="L345" s="18">
        <v>2167.37</v>
      </c>
      <c r="M345" s="8">
        <v>0</v>
      </c>
      <c r="N345" s="7">
        <v>0</v>
      </c>
      <c r="O345" s="18">
        <v>1555.98</v>
      </c>
      <c r="P345" s="8">
        <v>0</v>
      </c>
      <c r="Q345" s="7">
        <v>0</v>
      </c>
      <c r="R345" s="18">
        <v>7535.16</v>
      </c>
      <c r="S345" s="8">
        <v>0</v>
      </c>
      <c r="T345" s="7">
        <v>0</v>
      </c>
      <c r="U345" s="18">
        <v>11418.99</v>
      </c>
      <c r="V345" s="8">
        <v>0</v>
      </c>
      <c r="W345" s="7">
        <v>0</v>
      </c>
      <c r="X345" s="18">
        <v>6004.5</v>
      </c>
      <c r="Y345" s="8">
        <v>0</v>
      </c>
      <c r="Z345" s="7">
        <v>0</v>
      </c>
      <c r="AA345" s="18">
        <v>2647.87</v>
      </c>
      <c r="AB345" s="8">
        <v>0</v>
      </c>
      <c r="AC345" s="7">
        <v>0</v>
      </c>
      <c r="AD345" s="18">
        <v>1190.52</v>
      </c>
      <c r="AE345" s="8">
        <v>0</v>
      </c>
      <c r="AF345" s="7">
        <v>0</v>
      </c>
      <c r="AG345" s="18">
        <v>2718.52</v>
      </c>
      <c r="AH345" s="8">
        <v>0</v>
      </c>
      <c r="AI345" s="7">
        <v>0</v>
      </c>
      <c r="AJ345" s="18">
        <v>742.72</v>
      </c>
      <c r="AK345" s="8">
        <v>0</v>
      </c>
      <c r="AL345" s="7">
        <v>0</v>
      </c>
      <c r="AM345" s="18">
        <v>702.46749999999997</v>
      </c>
      <c r="AN345" s="8">
        <v>0</v>
      </c>
      <c r="AO345" s="7">
        <v>0</v>
      </c>
      <c r="AP345" s="18">
        <v>508.89</v>
      </c>
      <c r="AQ345" s="8">
        <v>0</v>
      </c>
      <c r="AR345" s="7">
        <v>0</v>
      </c>
      <c r="AS345" s="18">
        <v>925.88</v>
      </c>
      <c r="AT345" s="8">
        <v>0</v>
      </c>
      <c r="AU345" s="7">
        <v>0</v>
      </c>
      <c r="AV345" s="18">
        <v>2217.5500000000002</v>
      </c>
      <c r="AW345" s="8">
        <v>0</v>
      </c>
      <c r="AX345" s="7">
        <v>0</v>
      </c>
      <c r="AY345" s="18">
        <v>2067.12</v>
      </c>
      <c r="AZ345" s="8"/>
      <c r="BA345" s="7"/>
      <c r="BB345" s="18"/>
      <c r="BC345" s="8"/>
      <c r="BD345" s="7"/>
      <c r="BE345" s="18"/>
      <c r="BF345" s="8"/>
      <c r="BG345" s="7"/>
      <c r="BH345" s="18"/>
    </row>
    <row r="346" spans="3:60" ht="20.25" hidden="1" x14ac:dyDescent="0.3">
      <c r="C346" s="17" t="s">
        <v>3</v>
      </c>
      <c r="D346" s="8"/>
      <c r="E346" s="7"/>
      <c r="F346" s="18">
        <f t="shared" si="21"/>
        <v>0</v>
      </c>
      <c r="G346" s="8">
        <v>0</v>
      </c>
      <c r="H346" s="7">
        <v>0</v>
      </c>
      <c r="I346" s="18">
        <v>0</v>
      </c>
      <c r="J346" s="8">
        <v>0</v>
      </c>
      <c r="K346" s="7">
        <v>0</v>
      </c>
      <c r="L346" s="18">
        <v>0</v>
      </c>
      <c r="M346" s="8">
        <v>0</v>
      </c>
      <c r="N346" s="7">
        <v>0</v>
      </c>
      <c r="O346" s="18">
        <v>0</v>
      </c>
      <c r="P346" s="8">
        <v>0</v>
      </c>
      <c r="Q346" s="7">
        <v>0</v>
      </c>
      <c r="R346" s="18">
        <v>0</v>
      </c>
      <c r="S346" s="8">
        <v>0</v>
      </c>
      <c r="T346" s="7">
        <v>0</v>
      </c>
      <c r="U346" s="18">
        <v>0</v>
      </c>
      <c r="V346" s="8">
        <v>0</v>
      </c>
      <c r="W346" s="7">
        <v>0</v>
      </c>
      <c r="X346" s="18">
        <v>0</v>
      </c>
      <c r="Y346" s="8">
        <v>0</v>
      </c>
      <c r="Z346" s="7">
        <v>0</v>
      </c>
      <c r="AA346" s="18">
        <v>0</v>
      </c>
      <c r="AB346" s="8">
        <v>0</v>
      </c>
      <c r="AC346" s="7">
        <v>0</v>
      </c>
      <c r="AD346" s="18">
        <v>0</v>
      </c>
      <c r="AE346" s="8">
        <v>0</v>
      </c>
      <c r="AF346" s="7">
        <v>0</v>
      </c>
      <c r="AG346" s="18">
        <v>0</v>
      </c>
      <c r="AH346" s="8">
        <v>0</v>
      </c>
      <c r="AI346" s="7">
        <v>0</v>
      </c>
      <c r="AJ346" s="18">
        <v>0</v>
      </c>
      <c r="AK346" s="8">
        <v>0</v>
      </c>
      <c r="AL346" s="7">
        <v>0</v>
      </c>
      <c r="AM346" s="18">
        <v>0</v>
      </c>
      <c r="AN346" s="8">
        <v>0</v>
      </c>
      <c r="AO346" s="7">
        <v>0</v>
      </c>
      <c r="AP346" s="18">
        <v>0</v>
      </c>
      <c r="AQ346" s="8">
        <v>0</v>
      </c>
      <c r="AR346" s="7">
        <v>0</v>
      </c>
      <c r="AS346" s="18">
        <v>0</v>
      </c>
      <c r="AT346" s="8">
        <v>0</v>
      </c>
      <c r="AU346" s="7">
        <v>0</v>
      </c>
      <c r="AV346" s="18">
        <v>0</v>
      </c>
      <c r="AW346" s="8">
        <v>0</v>
      </c>
      <c r="AX346" s="7">
        <v>0</v>
      </c>
      <c r="AY346" s="18">
        <v>0</v>
      </c>
      <c r="AZ346" s="8"/>
      <c r="BA346" s="7"/>
      <c r="BB346" s="18"/>
      <c r="BC346" s="8"/>
      <c r="BD346" s="7"/>
      <c r="BE346" s="18"/>
      <c r="BF346" s="8"/>
      <c r="BG346" s="7"/>
      <c r="BH346" s="18"/>
    </row>
    <row r="347" spans="3:60" ht="20.25" hidden="1" x14ac:dyDescent="0.3">
      <c r="C347" s="17" t="s">
        <v>3</v>
      </c>
      <c r="D347" s="8"/>
      <c r="E347" s="7"/>
      <c r="F347" s="18">
        <f t="shared" si="21"/>
        <v>0</v>
      </c>
      <c r="G347" s="8">
        <v>0</v>
      </c>
      <c r="H347" s="7">
        <v>0</v>
      </c>
      <c r="I347" s="18">
        <v>0</v>
      </c>
      <c r="J347" s="8">
        <v>0</v>
      </c>
      <c r="K347" s="7">
        <v>0</v>
      </c>
      <c r="L347" s="18">
        <v>0</v>
      </c>
      <c r="M347" s="8">
        <v>0</v>
      </c>
      <c r="N347" s="7">
        <v>0</v>
      </c>
      <c r="O347" s="18">
        <v>0</v>
      </c>
      <c r="P347" s="8">
        <v>0</v>
      </c>
      <c r="Q347" s="7">
        <v>0</v>
      </c>
      <c r="R347" s="18">
        <v>0</v>
      </c>
      <c r="S347" s="8">
        <v>0</v>
      </c>
      <c r="T347" s="7">
        <v>0</v>
      </c>
      <c r="U347" s="18">
        <v>0</v>
      </c>
      <c r="V347" s="8">
        <v>0</v>
      </c>
      <c r="W347" s="7">
        <v>0</v>
      </c>
      <c r="X347" s="18">
        <v>0</v>
      </c>
      <c r="Y347" s="8">
        <v>0</v>
      </c>
      <c r="Z347" s="7">
        <v>0</v>
      </c>
      <c r="AA347" s="18">
        <v>0</v>
      </c>
      <c r="AB347" s="8">
        <v>0</v>
      </c>
      <c r="AC347" s="7">
        <v>0</v>
      </c>
      <c r="AD347" s="18">
        <v>0</v>
      </c>
      <c r="AE347" s="8">
        <v>0</v>
      </c>
      <c r="AF347" s="7">
        <v>0</v>
      </c>
      <c r="AG347" s="18">
        <v>0</v>
      </c>
      <c r="AH347" s="8">
        <v>0</v>
      </c>
      <c r="AI347" s="7">
        <v>0</v>
      </c>
      <c r="AJ347" s="18">
        <v>0</v>
      </c>
      <c r="AK347" s="8">
        <v>0</v>
      </c>
      <c r="AL347" s="7">
        <v>0</v>
      </c>
      <c r="AM347" s="18">
        <v>0</v>
      </c>
      <c r="AN347" s="8">
        <v>0</v>
      </c>
      <c r="AO347" s="7">
        <v>0</v>
      </c>
      <c r="AP347" s="18">
        <v>0</v>
      </c>
      <c r="AQ347" s="8">
        <v>0</v>
      </c>
      <c r="AR347" s="7">
        <v>0</v>
      </c>
      <c r="AS347" s="18">
        <v>0</v>
      </c>
      <c r="AT347" s="8">
        <v>0</v>
      </c>
      <c r="AU347" s="7">
        <v>0</v>
      </c>
      <c r="AV347" s="18">
        <v>0</v>
      </c>
      <c r="AW347" s="8">
        <v>0</v>
      </c>
      <c r="AX347" s="7">
        <v>0</v>
      </c>
      <c r="AY347" s="18">
        <v>0</v>
      </c>
      <c r="AZ347" s="8"/>
      <c r="BA347" s="7"/>
      <c r="BB347" s="18"/>
      <c r="BC347" s="8"/>
      <c r="BD347" s="7"/>
      <c r="BE347" s="18"/>
      <c r="BF347" s="8"/>
      <c r="BG347" s="7"/>
      <c r="BH347" s="18"/>
    </row>
    <row r="348" spans="3:60" ht="20.25" hidden="1" x14ac:dyDescent="0.3">
      <c r="C348" s="17" t="s">
        <v>3</v>
      </c>
      <c r="D348" s="8"/>
      <c r="E348" s="7"/>
      <c r="F348" s="18">
        <f t="shared" si="21"/>
        <v>0</v>
      </c>
      <c r="G348" s="8">
        <v>0</v>
      </c>
      <c r="H348" s="7">
        <v>0</v>
      </c>
      <c r="I348" s="18">
        <v>0</v>
      </c>
      <c r="J348" s="8">
        <v>0</v>
      </c>
      <c r="K348" s="7">
        <v>0</v>
      </c>
      <c r="L348" s="18">
        <v>0</v>
      </c>
      <c r="M348" s="8">
        <v>0</v>
      </c>
      <c r="N348" s="7">
        <v>0</v>
      </c>
      <c r="O348" s="18">
        <v>0</v>
      </c>
      <c r="P348" s="8">
        <v>0</v>
      </c>
      <c r="Q348" s="7">
        <v>0</v>
      </c>
      <c r="R348" s="18">
        <v>0</v>
      </c>
      <c r="S348" s="8">
        <v>0</v>
      </c>
      <c r="T348" s="7">
        <v>0</v>
      </c>
      <c r="U348" s="18">
        <v>0</v>
      </c>
      <c r="V348" s="8">
        <v>0</v>
      </c>
      <c r="W348" s="7">
        <v>0</v>
      </c>
      <c r="X348" s="18">
        <v>0</v>
      </c>
      <c r="Y348" s="8">
        <v>0</v>
      </c>
      <c r="Z348" s="7">
        <v>0</v>
      </c>
      <c r="AA348" s="18">
        <v>0</v>
      </c>
      <c r="AB348" s="8">
        <v>0</v>
      </c>
      <c r="AC348" s="7">
        <v>0</v>
      </c>
      <c r="AD348" s="18">
        <v>0</v>
      </c>
      <c r="AE348" s="8">
        <v>0</v>
      </c>
      <c r="AF348" s="7">
        <v>0</v>
      </c>
      <c r="AG348" s="18">
        <v>0</v>
      </c>
      <c r="AH348" s="8">
        <v>0</v>
      </c>
      <c r="AI348" s="7">
        <v>0</v>
      </c>
      <c r="AJ348" s="18">
        <v>0</v>
      </c>
      <c r="AK348" s="8">
        <v>0</v>
      </c>
      <c r="AL348" s="7">
        <v>0</v>
      </c>
      <c r="AM348" s="18">
        <v>0</v>
      </c>
      <c r="AN348" s="8">
        <v>0</v>
      </c>
      <c r="AO348" s="7">
        <v>0</v>
      </c>
      <c r="AP348" s="18">
        <v>0</v>
      </c>
      <c r="AQ348" s="8">
        <v>0</v>
      </c>
      <c r="AR348" s="7">
        <v>0</v>
      </c>
      <c r="AS348" s="18">
        <v>0</v>
      </c>
      <c r="AT348" s="8">
        <v>0</v>
      </c>
      <c r="AU348" s="7">
        <v>0</v>
      </c>
      <c r="AV348" s="18">
        <v>0</v>
      </c>
      <c r="AW348" s="8">
        <v>0</v>
      </c>
      <c r="AX348" s="7">
        <v>0</v>
      </c>
      <c r="AY348" s="18">
        <v>0</v>
      </c>
      <c r="AZ348" s="8"/>
      <c r="BA348" s="7"/>
      <c r="BB348" s="18"/>
      <c r="BC348" s="8"/>
      <c r="BD348" s="7"/>
      <c r="BE348" s="18"/>
      <c r="BF348" s="8"/>
      <c r="BG348" s="7"/>
      <c r="BH348" s="18"/>
    </row>
    <row r="349" spans="3:60" ht="20.25" x14ac:dyDescent="0.3">
      <c r="C349" s="11" t="s">
        <v>2</v>
      </c>
      <c r="D349" s="64"/>
      <c r="E349" s="14"/>
      <c r="F349" s="12">
        <f>SUM(F331:F345)</f>
        <v>702907.46749999968</v>
      </c>
      <c r="G349" s="64" t="s">
        <v>18</v>
      </c>
      <c r="H349" s="14">
        <v>0.15206416785237001</v>
      </c>
      <c r="I349" s="12">
        <v>62674.81</v>
      </c>
      <c r="J349" s="64" t="s">
        <v>18</v>
      </c>
      <c r="K349" s="14">
        <v>0.11209179025658</v>
      </c>
      <c r="L349" s="12">
        <v>37607.93</v>
      </c>
      <c r="M349" s="64" t="s">
        <v>18</v>
      </c>
      <c r="N349" s="14">
        <v>0.18629358410396099</v>
      </c>
      <c r="O349" s="12">
        <v>28893.25</v>
      </c>
      <c r="P349" s="64" t="s">
        <v>18</v>
      </c>
      <c r="Q349" s="14">
        <v>0.123294125647675</v>
      </c>
      <c r="R349" s="12">
        <v>51199.379999999903</v>
      </c>
      <c r="S349" s="64" t="s">
        <v>18</v>
      </c>
      <c r="T349" s="14">
        <v>0.14292985864542301</v>
      </c>
      <c r="U349" s="12">
        <v>95028.14</v>
      </c>
      <c r="V349" s="64" t="s">
        <v>18</v>
      </c>
      <c r="W349" s="14">
        <v>0.18989897667480701</v>
      </c>
      <c r="X349" s="12">
        <v>89931.18</v>
      </c>
      <c r="Y349" s="64" t="s">
        <v>18</v>
      </c>
      <c r="Z349" s="14">
        <v>0.14120528315112801</v>
      </c>
      <c r="AA349" s="12">
        <v>32391.56</v>
      </c>
      <c r="AB349" s="64" t="s">
        <v>18</v>
      </c>
      <c r="AC349" s="14">
        <v>0.153667543157717</v>
      </c>
      <c r="AD349" s="12">
        <v>27582.129999999899</v>
      </c>
      <c r="AE349" s="64" t="s">
        <v>18</v>
      </c>
      <c r="AF349" s="14">
        <v>0.170336637525424</v>
      </c>
      <c r="AG349" s="12">
        <v>44087.68</v>
      </c>
      <c r="AH349" s="64" t="s">
        <v>18</v>
      </c>
      <c r="AI349" s="14">
        <v>0.225876097983404</v>
      </c>
      <c r="AJ349" s="12">
        <v>24450.48</v>
      </c>
      <c r="AK349" s="64" t="s">
        <v>18</v>
      </c>
      <c r="AL349" s="14">
        <v>0.27191239210568002</v>
      </c>
      <c r="AM349" s="12">
        <v>20096.1774999999</v>
      </c>
      <c r="AN349" s="64" t="s">
        <v>18</v>
      </c>
      <c r="AO349" s="14">
        <v>0.28500765537661099</v>
      </c>
      <c r="AP349" s="12">
        <v>52170.03</v>
      </c>
      <c r="AQ349" s="64" t="s">
        <v>18</v>
      </c>
      <c r="AR349" s="14">
        <v>0.22996928863521501</v>
      </c>
      <c r="AS349" s="12">
        <v>48922.65</v>
      </c>
      <c r="AT349" s="64" t="s">
        <v>18</v>
      </c>
      <c r="AU349" s="14">
        <v>0.301323399901682</v>
      </c>
      <c r="AV349" s="12">
        <v>65115.139999999898</v>
      </c>
      <c r="AW349" s="64" t="s">
        <v>18</v>
      </c>
      <c r="AX349" s="14">
        <v>0.30276292473849498</v>
      </c>
      <c r="AY349" s="12">
        <v>22756.929999999898</v>
      </c>
      <c r="AZ349" s="64"/>
      <c r="BA349" s="14"/>
      <c r="BB349" s="12"/>
      <c r="BC349" s="64"/>
      <c r="BD349" s="14"/>
      <c r="BE349" s="12"/>
      <c r="BF349" s="64"/>
      <c r="BG349" s="14"/>
      <c r="BH349" s="12"/>
    </row>
    <row r="350" spans="3:60" ht="20.25" x14ac:dyDescent="0.3">
      <c r="C350" s="67"/>
      <c r="D350" s="67"/>
      <c r="E350" s="66"/>
      <c r="F350" s="65"/>
      <c r="G350" s="67"/>
      <c r="H350" s="66"/>
      <c r="I350" s="65"/>
      <c r="J350" s="67"/>
      <c r="K350" s="66"/>
      <c r="L350" s="65"/>
      <c r="M350" s="67"/>
      <c r="N350" s="66"/>
      <c r="O350" s="65"/>
      <c r="P350" s="67"/>
      <c r="Q350" s="66"/>
      <c r="R350" s="65"/>
      <c r="S350" s="67"/>
      <c r="T350" s="66"/>
      <c r="U350" s="65"/>
      <c r="V350" s="67"/>
      <c r="W350" s="66"/>
      <c r="X350" s="65"/>
      <c r="Y350" s="67"/>
      <c r="Z350" s="66"/>
      <c r="AA350" s="65"/>
      <c r="AB350" s="67"/>
      <c r="AC350" s="66"/>
      <c r="AD350" s="65"/>
      <c r="AE350" s="67"/>
      <c r="AF350" s="66"/>
      <c r="AG350" s="65"/>
      <c r="AH350" s="67"/>
      <c r="AI350" s="66"/>
      <c r="AJ350" s="65"/>
      <c r="AK350" s="67"/>
      <c r="AL350" s="66"/>
      <c r="AM350" s="65"/>
      <c r="AN350" s="67"/>
      <c r="AO350" s="66"/>
      <c r="AP350" s="65"/>
      <c r="AQ350" s="67"/>
      <c r="AR350" s="66"/>
      <c r="AS350" s="65"/>
      <c r="AT350" s="67"/>
      <c r="AU350" s="66"/>
      <c r="AV350" s="65"/>
      <c r="AW350" s="67"/>
      <c r="AX350" s="66"/>
      <c r="AY350" s="65"/>
      <c r="AZ350" s="67"/>
      <c r="BA350" s="66"/>
      <c r="BB350" s="65"/>
      <c r="BC350" s="67"/>
      <c r="BD350" s="66"/>
      <c r="BE350" s="65"/>
      <c r="BF350" s="67"/>
      <c r="BG350" s="66"/>
      <c r="BH350" s="65"/>
    </row>
    <row r="351" spans="3:60" ht="20.25" x14ac:dyDescent="0.3">
      <c r="C351" s="11" t="s">
        <v>1</v>
      </c>
      <c r="D351" s="64"/>
      <c r="E351" s="14"/>
      <c r="F351" s="12">
        <f>F330+F349</f>
        <v>2307810.4674999998</v>
      </c>
      <c r="G351" s="64" t="s">
        <v>18</v>
      </c>
      <c r="H351" s="14">
        <v>0.50631780917850699</v>
      </c>
      <c r="I351" s="12">
        <v>208684.09</v>
      </c>
      <c r="J351" s="64" t="s">
        <v>18</v>
      </c>
      <c r="K351" s="14">
        <v>0.38750351256170701</v>
      </c>
      <c r="L351" s="12">
        <v>130011.35</v>
      </c>
      <c r="M351" s="64" t="s">
        <v>18</v>
      </c>
      <c r="N351" s="14">
        <v>0.54881945127268505</v>
      </c>
      <c r="O351" s="12">
        <v>85119.29</v>
      </c>
      <c r="P351" s="64" t="s">
        <v>18</v>
      </c>
      <c r="Q351" s="14">
        <v>0.46243664122313799</v>
      </c>
      <c r="R351" s="12">
        <v>192032.41999999899</v>
      </c>
      <c r="S351" s="64" t="s">
        <v>18</v>
      </c>
      <c r="T351" s="14">
        <v>0.66163925151238201</v>
      </c>
      <c r="U351" s="12">
        <v>439896.52</v>
      </c>
      <c r="V351" s="64" t="s">
        <v>18</v>
      </c>
      <c r="W351" s="14">
        <v>0.54388321313383403</v>
      </c>
      <c r="X351" s="12">
        <v>257568.84</v>
      </c>
      <c r="Y351" s="64" t="s">
        <v>18</v>
      </c>
      <c r="Z351" s="14">
        <v>0.49051603053967502</v>
      </c>
      <c r="AA351" s="12">
        <v>112521.139999999</v>
      </c>
      <c r="AB351" s="64" t="s">
        <v>18</v>
      </c>
      <c r="AC351" s="14">
        <v>0.38251455230123299</v>
      </c>
      <c r="AD351" s="12">
        <v>68658.389999999898</v>
      </c>
      <c r="AE351" s="64" t="s">
        <v>18</v>
      </c>
      <c r="AF351" s="14">
        <v>0.51102838052757704</v>
      </c>
      <c r="AG351" s="12">
        <v>132267.82</v>
      </c>
      <c r="AH351" s="64" t="s">
        <v>18</v>
      </c>
      <c r="AI351" s="14">
        <v>0.63479803793738598</v>
      </c>
      <c r="AJ351" s="12">
        <v>68715.179999999993</v>
      </c>
      <c r="AK351" s="64" t="s">
        <v>18</v>
      </c>
      <c r="AL351" s="14">
        <v>1.09765050744308</v>
      </c>
      <c r="AM351" s="12">
        <v>81123.847500000003</v>
      </c>
      <c r="AN351" s="64" t="s">
        <v>18</v>
      </c>
      <c r="AO351" s="14">
        <v>0.69701048611231697</v>
      </c>
      <c r="AP351" s="12">
        <v>127586.25</v>
      </c>
      <c r="AQ351" s="64" t="s">
        <v>18</v>
      </c>
      <c r="AR351" s="14">
        <v>0.68405656449193797</v>
      </c>
      <c r="AS351" s="12">
        <v>145523.16999999899</v>
      </c>
      <c r="AT351" s="64" t="s">
        <v>18</v>
      </c>
      <c r="AU351" s="14">
        <v>0.78462366863724498</v>
      </c>
      <c r="AV351" s="12">
        <v>169554.97</v>
      </c>
      <c r="AW351" s="64" t="s">
        <v>18</v>
      </c>
      <c r="AX351" s="14">
        <v>1.17805021247484</v>
      </c>
      <c r="AY351" s="12">
        <v>88547.1899999999</v>
      </c>
      <c r="AZ351" s="64"/>
      <c r="BA351" s="14"/>
      <c r="BB351" s="12"/>
      <c r="BC351" s="64"/>
      <c r="BD351" s="14"/>
      <c r="BE351" s="12"/>
      <c r="BF351" s="64"/>
      <c r="BG351" s="14"/>
      <c r="BH351" s="12"/>
    </row>
    <row r="352" spans="3:60" ht="20.25" x14ac:dyDescent="0.3">
      <c r="C352" s="8"/>
      <c r="D352" s="8"/>
      <c r="E352" s="7"/>
      <c r="F352" s="63"/>
      <c r="G352" s="8"/>
      <c r="H352" s="7"/>
      <c r="I352" s="63"/>
      <c r="J352" s="8"/>
      <c r="K352" s="7"/>
      <c r="L352" s="63"/>
      <c r="M352" s="8"/>
      <c r="N352" s="7"/>
      <c r="O352" s="63"/>
      <c r="P352" s="8"/>
      <c r="Q352" s="7"/>
      <c r="R352" s="63"/>
      <c r="S352" s="8"/>
      <c r="T352" s="7"/>
      <c r="U352" s="63"/>
      <c r="V352" s="8"/>
      <c r="W352" s="7"/>
      <c r="X352" s="63"/>
      <c r="Y352" s="8"/>
      <c r="Z352" s="7"/>
      <c r="AA352" s="63"/>
      <c r="AB352" s="8"/>
      <c r="AC352" s="7"/>
      <c r="AD352" s="63"/>
      <c r="AE352" s="8"/>
      <c r="AF352" s="7"/>
      <c r="AG352" s="63"/>
      <c r="AH352" s="8"/>
      <c r="AI352" s="7"/>
      <c r="AJ352" s="63"/>
      <c r="AK352" s="8"/>
      <c r="AL352" s="7"/>
      <c r="AM352" s="63"/>
      <c r="AN352" s="8"/>
      <c r="AO352" s="7"/>
      <c r="AP352" s="63"/>
      <c r="AQ352" s="8"/>
      <c r="AR352" s="7"/>
      <c r="AS352" s="63"/>
      <c r="AT352" s="8"/>
      <c r="AU352" s="7"/>
      <c r="AV352" s="63"/>
      <c r="AW352" s="8"/>
      <c r="AX352" s="7"/>
      <c r="AY352" s="63"/>
      <c r="AZ352" s="8"/>
      <c r="BA352" s="7"/>
      <c r="BB352" s="63"/>
      <c r="BC352" s="8"/>
      <c r="BD352" s="7"/>
      <c r="BE352" s="63"/>
      <c r="BF352" s="8"/>
      <c r="BG352" s="7"/>
      <c r="BH352" s="63"/>
    </row>
    <row r="353" spans="3:60" ht="21" thickBot="1" x14ac:dyDescent="0.35">
      <c r="C353" s="38" t="s">
        <v>0</v>
      </c>
      <c r="D353" s="61"/>
      <c r="E353" s="62"/>
      <c r="F353" s="59">
        <f>F314-F351</f>
        <v>1685560.9524999945</v>
      </c>
      <c r="G353" s="61">
        <v>0</v>
      </c>
      <c r="H353" s="60">
        <v>0</v>
      </c>
      <c r="I353" s="59">
        <v>203476.18999999901</v>
      </c>
      <c r="J353" s="61">
        <v>0</v>
      </c>
      <c r="K353" s="60">
        <v>0</v>
      </c>
      <c r="L353" s="59">
        <v>205498.769999999</v>
      </c>
      <c r="M353" s="61">
        <v>0</v>
      </c>
      <c r="N353" s="60">
        <v>0</v>
      </c>
      <c r="O353" s="59">
        <v>69975.959999999905</v>
      </c>
      <c r="P353" s="61">
        <v>0</v>
      </c>
      <c r="Q353" s="60">
        <v>0</v>
      </c>
      <c r="R353" s="59">
        <v>223229.7</v>
      </c>
      <c r="S353" s="61">
        <v>0</v>
      </c>
      <c r="T353" s="60">
        <v>0</v>
      </c>
      <c r="U353" s="59">
        <v>224962.03999999899</v>
      </c>
      <c r="V353" s="61">
        <v>0</v>
      </c>
      <c r="W353" s="60">
        <v>0</v>
      </c>
      <c r="X353" s="59">
        <v>216004.96</v>
      </c>
      <c r="Y353" s="61">
        <v>0</v>
      </c>
      <c r="Z353" s="60">
        <v>0</v>
      </c>
      <c r="AA353" s="59">
        <v>116872.26</v>
      </c>
      <c r="AB353" s="61">
        <v>0</v>
      </c>
      <c r="AC353" s="60">
        <v>0</v>
      </c>
      <c r="AD353" s="59">
        <v>110833.84</v>
      </c>
      <c r="AE353" s="61">
        <v>0</v>
      </c>
      <c r="AF353" s="60">
        <v>0</v>
      </c>
      <c r="AG353" s="59">
        <v>126558.939999999</v>
      </c>
      <c r="AH353" s="61">
        <v>0</v>
      </c>
      <c r="AI353" s="60">
        <v>0</v>
      </c>
      <c r="AJ353" s="59">
        <v>39532.129999999997</v>
      </c>
      <c r="AK353" s="61">
        <v>0</v>
      </c>
      <c r="AL353" s="60">
        <v>0</v>
      </c>
      <c r="AM353" s="59">
        <v>-7217.0375000000004</v>
      </c>
      <c r="AN353" s="61">
        <v>0</v>
      </c>
      <c r="AO353" s="60">
        <v>0</v>
      </c>
      <c r="AP353" s="59">
        <v>55461.57</v>
      </c>
      <c r="AQ353" s="61">
        <v>0</v>
      </c>
      <c r="AR353" s="60">
        <v>0</v>
      </c>
      <c r="AS353" s="59">
        <v>67212.41</v>
      </c>
      <c r="AT353" s="61">
        <v>0</v>
      </c>
      <c r="AU353" s="60">
        <v>0</v>
      </c>
      <c r="AV353" s="59">
        <v>46542.220000000103</v>
      </c>
      <c r="AW353" s="61">
        <v>0</v>
      </c>
      <c r="AX353" s="60">
        <v>0</v>
      </c>
      <c r="AY353" s="59">
        <v>-13382.9999999999</v>
      </c>
      <c r="AZ353" s="61"/>
      <c r="BA353" s="60"/>
      <c r="BB353" s="59"/>
      <c r="BC353" s="61"/>
      <c r="BD353" s="60"/>
      <c r="BE353" s="59"/>
      <c r="BF353" s="61"/>
      <c r="BG353" s="60"/>
      <c r="BH353" s="59"/>
    </row>
    <row r="354" spans="3:60" ht="15.75" thickTop="1" x14ac:dyDescent="0.25"/>
    <row r="355" spans="3:60" x14ac:dyDescent="0.25"/>
    <row r="356" spans="3:60" ht="35.25" x14ac:dyDescent="0.5">
      <c r="C356" s="58" t="str">
        <f>Y356</f>
        <v>Boutique</v>
      </c>
      <c r="Y356" s="57" t="s">
        <v>30</v>
      </c>
    </row>
    <row r="357" spans="3:60" ht="15.75" thickBot="1" x14ac:dyDescent="0.3"/>
    <row r="358" spans="3:60" ht="21" thickTop="1" x14ac:dyDescent="0.3">
      <c r="C358" s="56"/>
      <c r="D358" s="166" t="str">
        <f>D$3</f>
        <v>Conso</v>
      </c>
      <c r="E358" s="167"/>
      <c r="F358" s="168"/>
      <c r="G358" s="166" t="str">
        <f>G$3</f>
        <v>BMW PA</v>
      </c>
      <c r="H358" s="167"/>
      <c r="I358" s="168"/>
      <c r="J358" s="166" t="str">
        <f>J$3</f>
        <v>BMW STJ</v>
      </c>
      <c r="K358" s="167"/>
      <c r="L358" s="168"/>
      <c r="M358" s="166" t="str">
        <f>M$3</f>
        <v>BMW SHER</v>
      </c>
      <c r="N358" s="167"/>
      <c r="O358" s="168"/>
      <c r="P358" s="166" t="str">
        <f>P$3</f>
        <v>MBQ</v>
      </c>
      <c r="Q358" s="167"/>
      <c r="R358" s="168"/>
      <c r="S358" s="166" t="str">
        <f>S$3</f>
        <v>SSMB</v>
      </c>
      <c r="T358" s="167"/>
      <c r="U358" s="168"/>
      <c r="V358" s="166" t="str">
        <f>V$3</f>
        <v>Audi</v>
      </c>
      <c r="W358" s="167"/>
      <c r="X358" s="168"/>
      <c r="Y358" s="166" t="str">
        <f>Y$3</f>
        <v>JLR</v>
      </c>
      <c r="Z358" s="167"/>
      <c r="AA358" s="168"/>
      <c r="AB358" s="166" t="str">
        <f>AB$3</f>
        <v>Lexus</v>
      </c>
      <c r="AC358" s="167"/>
      <c r="AD358" s="168"/>
      <c r="AE358" s="166" t="str">
        <f>AE$3</f>
        <v>Volvo</v>
      </c>
      <c r="AF358" s="167"/>
      <c r="AG358" s="168"/>
      <c r="AH358" s="166" t="str">
        <f>AH$3</f>
        <v>Mini</v>
      </c>
      <c r="AI358" s="167"/>
      <c r="AJ358" s="168"/>
      <c r="AK358" s="166" t="str">
        <f>AK$3</f>
        <v>Infiniti</v>
      </c>
      <c r="AL358" s="167"/>
      <c r="AM358" s="168"/>
      <c r="AN358" s="166" t="str">
        <f>AN$3</f>
        <v>Honda</v>
      </c>
      <c r="AO358" s="167"/>
      <c r="AP358" s="168"/>
      <c r="AQ358" s="166" t="str">
        <f>AQ$3</f>
        <v>Toyota</v>
      </c>
      <c r="AR358" s="167"/>
      <c r="AS358" s="168"/>
      <c r="AT358" s="166" t="str">
        <f>AT$3</f>
        <v>Volks</v>
      </c>
      <c r="AU358" s="167"/>
      <c r="AV358" s="168"/>
      <c r="AW358" s="166" t="str">
        <f>AW$3</f>
        <v>LHD</v>
      </c>
      <c r="AX358" s="167"/>
      <c r="AY358" s="168"/>
      <c r="AZ358" s="166"/>
      <c r="BA358" s="167"/>
      <c r="BB358" s="168"/>
      <c r="BC358" s="166"/>
      <c r="BD358" s="169"/>
      <c r="BE358" s="170"/>
      <c r="BF358" s="166"/>
      <c r="BG358" s="169"/>
      <c r="BH358" s="170"/>
    </row>
    <row r="359" spans="3:60" ht="21" thickBot="1" x14ac:dyDescent="0.35">
      <c r="C359" s="8"/>
      <c r="D359" s="55" t="s">
        <v>33</v>
      </c>
      <c r="E359" s="54" t="s">
        <v>32</v>
      </c>
      <c r="F359" s="53" t="s">
        <v>31</v>
      </c>
      <c r="G359" s="55" t="str">
        <f>$D359</f>
        <v>$VENTES</v>
      </c>
      <c r="H359" s="54" t="str">
        <f>$E359</f>
        <v>% P. BRUT</v>
      </c>
      <c r="I359" s="53" t="str">
        <f>$F359</f>
        <v>$PROFITS</v>
      </c>
      <c r="J359" s="55" t="s">
        <v>33</v>
      </c>
      <c r="K359" s="54" t="s">
        <v>32</v>
      </c>
      <c r="L359" s="53" t="s">
        <v>31</v>
      </c>
      <c r="M359" s="55" t="s">
        <v>33</v>
      </c>
      <c r="N359" s="54" t="s">
        <v>32</v>
      </c>
      <c r="O359" s="53" t="s">
        <v>31</v>
      </c>
      <c r="P359" s="55" t="s">
        <v>33</v>
      </c>
      <c r="Q359" s="54" t="s">
        <v>32</v>
      </c>
      <c r="R359" s="53" t="s">
        <v>31</v>
      </c>
      <c r="S359" s="55" t="s">
        <v>33</v>
      </c>
      <c r="T359" s="54" t="s">
        <v>32</v>
      </c>
      <c r="U359" s="53" t="s">
        <v>31</v>
      </c>
      <c r="V359" s="55" t="s">
        <v>33</v>
      </c>
      <c r="W359" s="54" t="s">
        <v>32</v>
      </c>
      <c r="X359" s="53" t="s">
        <v>31</v>
      </c>
      <c r="Y359" s="55" t="s">
        <v>33</v>
      </c>
      <c r="Z359" s="54" t="s">
        <v>32</v>
      </c>
      <c r="AA359" s="53" t="s">
        <v>31</v>
      </c>
      <c r="AB359" s="55" t="s">
        <v>33</v>
      </c>
      <c r="AC359" s="54" t="s">
        <v>32</v>
      </c>
      <c r="AD359" s="53" t="s">
        <v>31</v>
      </c>
      <c r="AE359" s="55" t="s">
        <v>33</v>
      </c>
      <c r="AF359" s="54" t="s">
        <v>32</v>
      </c>
      <c r="AG359" s="53" t="s">
        <v>31</v>
      </c>
      <c r="AH359" s="55" t="s">
        <v>33</v>
      </c>
      <c r="AI359" s="54" t="s">
        <v>32</v>
      </c>
      <c r="AJ359" s="53" t="s">
        <v>31</v>
      </c>
      <c r="AK359" s="55" t="s">
        <v>33</v>
      </c>
      <c r="AL359" s="54" t="s">
        <v>32</v>
      </c>
      <c r="AM359" s="53" t="s">
        <v>31</v>
      </c>
      <c r="AN359" s="55" t="s">
        <v>33</v>
      </c>
      <c r="AO359" s="54" t="s">
        <v>32</v>
      </c>
      <c r="AP359" s="53" t="s">
        <v>31</v>
      </c>
      <c r="AQ359" s="55" t="s">
        <v>33</v>
      </c>
      <c r="AR359" s="54" t="s">
        <v>32</v>
      </c>
      <c r="AS359" s="53" t="s">
        <v>31</v>
      </c>
      <c r="AT359" s="55" t="s">
        <v>33</v>
      </c>
      <c r="AU359" s="54" t="s">
        <v>32</v>
      </c>
      <c r="AV359" s="53" t="s">
        <v>31</v>
      </c>
      <c r="AW359" s="55" t="s">
        <v>33</v>
      </c>
      <c r="AX359" s="54" t="s">
        <v>32</v>
      </c>
      <c r="AY359" s="53" t="s">
        <v>31</v>
      </c>
      <c r="AZ359" s="55"/>
      <c r="BA359" s="54"/>
      <c r="BB359" s="53"/>
      <c r="BC359" s="8"/>
      <c r="BD359" s="7"/>
      <c r="BE359" s="7"/>
      <c r="BF359" s="8"/>
      <c r="BG359" s="7"/>
      <c r="BH359" s="6"/>
    </row>
    <row r="360" spans="3:60" ht="21" thickTop="1" x14ac:dyDescent="0.3">
      <c r="C360" s="43" t="s">
        <v>30</v>
      </c>
      <c r="D360" s="49">
        <f>+SUM(G360,J360,M360,P360,S360,V360,Y360,AB360,AE360,AH360,AK360,AN360,AQ360,AT360,AW360,AZ360,BC360,BF360)</f>
        <v>68137.87</v>
      </c>
      <c r="E360" s="48">
        <f>IF(D360&lt;=0,0,F360/D360)</f>
        <v>0.32757539970063643</v>
      </c>
      <c r="F360" s="47">
        <f>+SUM(I360,L360,O360,R360,U360,X360,AA360,AD360,AG360,AJ360,AM360,AP360,AS360,AV360,AY360,BB360,BE360,BH360)</f>
        <v>22320.29</v>
      </c>
      <c r="G360" s="43"/>
      <c r="H360" s="42"/>
      <c r="I360" s="42"/>
      <c r="J360" s="43"/>
      <c r="K360" s="42"/>
      <c r="L360" s="42"/>
      <c r="M360" s="43"/>
      <c r="N360" s="42"/>
      <c r="O360" s="42"/>
      <c r="P360" s="43"/>
      <c r="Q360" s="42"/>
      <c r="R360" s="42"/>
      <c r="S360" s="43"/>
      <c r="T360" s="42"/>
      <c r="U360" s="42"/>
      <c r="V360" s="43"/>
      <c r="W360" s="42"/>
      <c r="X360" s="42"/>
      <c r="Y360" s="43"/>
      <c r="Z360" s="42"/>
      <c r="AA360" s="42"/>
      <c r="AB360" s="43"/>
      <c r="AC360" s="42"/>
      <c r="AD360" s="42"/>
      <c r="AE360" s="43"/>
      <c r="AF360" s="42"/>
      <c r="AG360" s="42"/>
      <c r="AH360" s="43"/>
      <c r="AI360" s="42"/>
      <c r="AJ360" s="42"/>
      <c r="AK360" s="43"/>
      <c r="AL360" s="42"/>
      <c r="AM360" s="42"/>
      <c r="AN360" s="43"/>
      <c r="AO360" s="42"/>
      <c r="AP360" s="42"/>
      <c r="AQ360" s="43"/>
      <c r="AR360" s="42"/>
      <c r="AS360" s="42"/>
      <c r="AT360" s="43"/>
      <c r="AU360" s="42"/>
      <c r="AV360" s="42"/>
      <c r="AW360" s="46">
        <v>68137.87</v>
      </c>
      <c r="AX360" s="45">
        <v>0.32757539970063598</v>
      </c>
      <c r="AY360" s="44">
        <v>22320.29</v>
      </c>
      <c r="AZ360" s="43"/>
      <c r="BA360" s="42"/>
      <c r="BB360" s="42"/>
      <c r="BC360" s="43"/>
      <c r="BD360" s="42"/>
      <c r="BE360" s="42"/>
      <c r="BF360" s="43"/>
      <c r="BG360" s="42"/>
      <c r="BH360" s="41"/>
    </row>
    <row r="361" spans="3:60" ht="21" thickBot="1" x14ac:dyDescent="0.35">
      <c r="C361" s="38"/>
      <c r="D361" s="38"/>
      <c r="E361" s="37"/>
      <c r="F361" s="37"/>
      <c r="G361" s="38"/>
      <c r="H361" s="37"/>
      <c r="I361" s="37"/>
      <c r="J361" s="38"/>
      <c r="K361" s="37"/>
      <c r="L361" s="37"/>
      <c r="M361" s="38"/>
      <c r="N361" s="37"/>
      <c r="O361" s="37"/>
      <c r="P361" s="38"/>
      <c r="Q361" s="37"/>
      <c r="R361" s="37"/>
      <c r="S361" s="38"/>
      <c r="T361" s="37"/>
      <c r="U361" s="37"/>
      <c r="V361" s="38"/>
      <c r="W361" s="37"/>
      <c r="X361" s="37"/>
      <c r="Y361" s="38"/>
      <c r="Z361" s="37"/>
      <c r="AA361" s="37"/>
      <c r="AB361" s="38"/>
      <c r="AC361" s="37"/>
      <c r="AD361" s="37"/>
      <c r="AE361" s="38"/>
      <c r="AF361" s="37"/>
      <c r="AG361" s="37"/>
      <c r="AH361" s="38"/>
      <c r="AI361" s="37"/>
      <c r="AJ361" s="37"/>
      <c r="AK361" s="38"/>
      <c r="AL361" s="37"/>
      <c r="AM361" s="37"/>
      <c r="AN361" s="38"/>
      <c r="AO361" s="37"/>
      <c r="AP361" s="37"/>
      <c r="AQ361" s="38"/>
      <c r="AR361" s="37"/>
      <c r="AS361" s="37"/>
      <c r="AT361" s="38"/>
      <c r="AU361" s="37"/>
      <c r="AV361" s="37"/>
      <c r="AW361" s="40"/>
      <c r="AX361" s="37"/>
      <c r="AY361" s="39"/>
      <c r="AZ361" s="38"/>
      <c r="BA361" s="37"/>
      <c r="BB361" s="37"/>
      <c r="BC361" s="38"/>
      <c r="BD361" s="37"/>
      <c r="BE361" s="37"/>
      <c r="BF361" s="38"/>
      <c r="BG361" s="37"/>
      <c r="BH361" s="36"/>
    </row>
    <row r="362" spans="3:60" ht="21" thickTop="1" x14ac:dyDescent="0.3">
      <c r="C362" s="32" t="s">
        <v>29</v>
      </c>
      <c r="D362" s="35">
        <f>+SUM(G362,J362,M362,P362,S362,V362,Y362,AB362,AE362,AH362,AK362,AN362,AQ362,AT362,AW362,AZ362,BC362,BF362)</f>
        <v>68137.87</v>
      </c>
      <c r="E362" s="34">
        <f>IF(D362&lt;=0,0,F362/D362)</f>
        <v>0.32757539970063643</v>
      </c>
      <c r="F362" s="33">
        <f>+SUM(I362,L362,O362,R362,U362,X362,AA362,AD362,AG362,AJ362,AM362,AP362,AS362,AV362,AY362,BB362,BE362,BH362)</f>
        <v>22320.29</v>
      </c>
      <c r="G362" s="32"/>
      <c r="H362" s="31"/>
      <c r="I362" s="31"/>
      <c r="J362" s="32"/>
      <c r="K362" s="31"/>
      <c r="L362" s="31"/>
      <c r="M362" s="32"/>
      <c r="N362" s="31"/>
      <c r="O362" s="31"/>
      <c r="P362" s="32"/>
      <c r="Q362" s="31"/>
      <c r="R362" s="31"/>
      <c r="S362" s="32"/>
      <c r="T362" s="31"/>
      <c r="U362" s="31"/>
      <c r="V362" s="32"/>
      <c r="W362" s="31"/>
      <c r="X362" s="31"/>
      <c r="Y362" s="32"/>
      <c r="Z362" s="31"/>
      <c r="AA362" s="31"/>
      <c r="AB362" s="32"/>
      <c r="AC362" s="31"/>
      <c r="AD362" s="31"/>
      <c r="AE362" s="32"/>
      <c r="AF362" s="31"/>
      <c r="AG362" s="31"/>
      <c r="AH362" s="32"/>
      <c r="AI362" s="31"/>
      <c r="AJ362" s="31"/>
      <c r="AK362" s="32"/>
      <c r="AL362" s="31"/>
      <c r="AM362" s="31"/>
      <c r="AN362" s="32"/>
      <c r="AO362" s="31"/>
      <c r="AP362" s="31"/>
      <c r="AQ362" s="32"/>
      <c r="AR362" s="31"/>
      <c r="AS362" s="31"/>
      <c r="AT362" s="32"/>
      <c r="AU362" s="31"/>
      <c r="AV362" s="31"/>
      <c r="AW362" s="35">
        <v>68137.87</v>
      </c>
      <c r="AX362" s="34">
        <v>0.32757539970063598</v>
      </c>
      <c r="AY362" s="33">
        <v>22320.29</v>
      </c>
      <c r="AZ362" s="32"/>
      <c r="BA362" s="31"/>
      <c r="BB362" s="31"/>
      <c r="BC362" s="32"/>
      <c r="BD362" s="31"/>
      <c r="BE362" s="31"/>
      <c r="BF362" s="32"/>
      <c r="BG362" s="31"/>
      <c r="BH362" s="30"/>
    </row>
    <row r="363" spans="3:60" ht="20.25" x14ac:dyDescent="0.3">
      <c r="C363" s="29"/>
      <c r="D363" s="29"/>
      <c r="E363" s="28"/>
      <c r="F363" s="18"/>
      <c r="G363" s="29"/>
      <c r="H363" s="28"/>
      <c r="I363" s="28"/>
      <c r="J363" s="29"/>
      <c r="K363" s="28"/>
      <c r="L363" s="28"/>
      <c r="M363" s="29"/>
      <c r="N363" s="28"/>
      <c r="O363" s="28"/>
      <c r="P363" s="29"/>
      <c r="Q363" s="28"/>
      <c r="R363" s="28"/>
      <c r="S363" s="29"/>
      <c r="T363" s="28"/>
      <c r="U363" s="28"/>
      <c r="V363" s="29"/>
      <c r="W363" s="28"/>
      <c r="X363" s="28"/>
      <c r="Y363" s="29"/>
      <c r="Z363" s="28"/>
      <c r="AA363" s="28"/>
      <c r="AB363" s="29"/>
      <c r="AC363" s="28"/>
      <c r="AD363" s="28"/>
      <c r="AE363" s="29"/>
      <c r="AF363" s="28"/>
      <c r="AG363" s="28"/>
      <c r="AH363" s="29"/>
      <c r="AI363" s="28"/>
      <c r="AJ363" s="28"/>
      <c r="AK363" s="29"/>
      <c r="AL363" s="28"/>
      <c r="AM363" s="28"/>
      <c r="AN363" s="29"/>
      <c r="AO363" s="28"/>
      <c r="AP363" s="28"/>
      <c r="AQ363" s="29"/>
      <c r="AR363" s="28"/>
      <c r="AS363" s="28"/>
      <c r="AT363" s="29"/>
      <c r="AU363" s="28"/>
      <c r="AV363" s="28"/>
      <c r="AW363" s="29"/>
      <c r="AX363" s="28"/>
      <c r="AY363" s="18"/>
      <c r="AZ363" s="29"/>
      <c r="BA363" s="28"/>
      <c r="BB363" s="28"/>
      <c r="BC363" s="29"/>
      <c r="BD363" s="28"/>
      <c r="BE363" s="28"/>
      <c r="BF363" s="29"/>
      <c r="BG363" s="28"/>
      <c r="BH363" s="27"/>
    </row>
    <row r="364" spans="3:60" ht="20.25" x14ac:dyDescent="0.3">
      <c r="C364" s="29" t="s">
        <v>28</v>
      </c>
      <c r="D364" s="29"/>
      <c r="E364" s="28"/>
      <c r="F364" s="18"/>
      <c r="G364" s="29"/>
      <c r="H364" s="28"/>
      <c r="I364" s="28"/>
      <c r="J364" s="29"/>
      <c r="K364" s="28"/>
      <c r="L364" s="28"/>
      <c r="M364" s="29"/>
      <c r="N364" s="28"/>
      <c r="O364" s="28"/>
      <c r="P364" s="29"/>
      <c r="Q364" s="28"/>
      <c r="R364" s="28"/>
      <c r="S364" s="29"/>
      <c r="T364" s="28"/>
      <c r="U364" s="28"/>
      <c r="V364" s="29"/>
      <c r="W364" s="28"/>
      <c r="X364" s="28"/>
      <c r="Y364" s="29"/>
      <c r="Z364" s="28"/>
      <c r="AA364" s="28"/>
      <c r="AB364" s="29"/>
      <c r="AC364" s="28"/>
      <c r="AD364" s="28"/>
      <c r="AE364" s="29"/>
      <c r="AF364" s="28"/>
      <c r="AG364" s="28"/>
      <c r="AH364" s="29"/>
      <c r="AI364" s="28"/>
      <c r="AJ364" s="28"/>
      <c r="AK364" s="29"/>
      <c r="AL364" s="28"/>
      <c r="AM364" s="28"/>
      <c r="AN364" s="29"/>
      <c r="AO364" s="28"/>
      <c r="AP364" s="28"/>
      <c r="AQ364" s="29"/>
      <c r="AR364" s="28"/>
      <c r="AS364" s="28"/>
      <c r="AT364" s="29"/>
      <c r="AU364" s="28"/>
      <c r="AV364" s="28"/>
      <c r="AW364" s="29"/>
      <c r="AX364" s="28"/>
      <c r="AY364" s="18"/>
      <c r="AZ364" s="29"/>
      <c r="BA364" s="28"/>
      <c r="BB364" s="28"/>
      <c r="BC364" s="29"/>
      <c r="BD364" s="28"/>
      <c r="BE364" s="28"/>
      <c r="BF364" s="29"/>
      <c r="BG364" s="28"/>
      <c r="BH364" s="27"/>
    </row>
    <row r="365" spans="3:60" ht="20.25" x14ac:dyDescent="0.3">
      <c r="C365" s="17" t="s">
        <v>27</v>
      </c>
      <c r="D365" s="17"/>
      <c r="E365" s="16"/>
      <c r="F365" s="18">
        <f t="shared" ref="F365:F376" si="22">+SUM(I365,L365,O365,R365,U365,X365,AA365,AD365,AG365,AJ365,AM365,AP365,AS365,AV365,AY365,BB365,BE365,BH365)</f>
        <v>7302.31</v>
      </c>
      <c r="G365" s="17"/>
      <c r="H365" s="16"/>
      <c r="I365" s="16"/>
      <c r="J365" s="17"/>
      <c r="K365" s="16"/>
      <c r="L365" s="16"/>
      <c r="M365" s="17"/>
      <c r="N365" s="16"/>
      <c r="O365" s="16"/>
      <c r="P365" s="17"/>
      <c r="Q365" s="16"/>
      <c r="R365" s="16"/>
      <c r="S365" s="17"/>
      <c r="T365" s="16"/>
      <c r="U365" s="16"/>
      <c r="V365" s="17"/>
      <c r="W365" s="16"/>
      <c r="X365" s="16"/>
      <c r="Y365" s="17"/>
      <c r="Z365" s="16"/>
      <c r="AA365" s="16"/>
      <c r="AB365" s="17"/>
      <c r="AC365" s="16"/>
      <c r="AD365" s="16"/>
      <c r="AE365" s="17"/>
      <c r="AF365" s="16"/>
      <c r="AG365" s="16"/>
      <c r="AH365" s="17"/>
      <c r="AI365" s="16"/>
      <c r="AJ365" s="16"/>
      <c r="AK365" s="17"/>
      <c r="AL365" s="16"/>
      <c r="AM365" s="16"/>
      <c r="AN365" s="17"/>
      <c r="AO365" s="16"/>
      <c r="AP365" s="16"/>
      <c r="AQ365" s="17"/>
      <c r="AR365" s="16"/>
      <c r="AS365" s="16"/>
      <c r="AT365" s="17"/>
      <c r="AU365" s="16"/>
      <c r="AV365" s="16"/>
      <c r="AW365" s="17"/>
      <c r="AX365" s="16"/>
      <c r="AY365" s="18">
        <v>7302.31</v>
      </c>
      <c r="AZ365" s="17"/>
      <c r="BA365" s="16"/>
      <c r="BB365" s="16"/>
      <c r="BC365" s="17"/>
      <c r="BD365" s="16"/>
      <c r="BE365" s="16"/>
      <c r="BF365" s="17"/>
      <c r="BG365" s="16"/>
      <c r="BH365" s="15"/>
    </row>
    <row r="366" spans="3:60" ht="20.25" x14ac:dyDescent="0.3">
      <c r="C366" s="25" t="s">
        <v>26</v>
      </c>
      <c r="D366" s="25"/>
      <c r="E366" s="24"/>
      <c r="F366" s="22">
        <f t="shared" si="22"/>
        <v>2307.02</v>
      </c>
      <c r="G366" s="25"/>
      <c r="H366" s="24"/>
      <c r="I366" s="24"/>
      <c r="J366" s="25"/>
      <c r="K366" s="24"/>
      <c r="L366" s="24"/>
      <c r="M366" s="25"/>
      <c r="N366" s="24"/>
      <c r="O366" s="24"/>
      <c r="P366" s="25"/>
      <c r="Q366" s="24"/>
      <c r="R366" s="24"/>
      <c r="S366" s="25"/>
      <c r="T366" s="24"/>
      <c r="U366" s="24"/>
      <c r="V366" s="25"/>
      <c r="W366" s="24"/>
      <c r="X366" s="24"/>
      <c r="Y366" s="25"/>
      <c r="Z366" s="24"/>
      <c r="AA366" s="24"/>
      <c r="AB366" s="25"/>
      <c r="AC366" s="24"/>
      <c r="AD366" s="24"/>
      <c r="AE366" s="25"/>
      <c r="AF366" s="24"/>
      <c r="AG366" s="24"/>
      <c r="AH366" s="25"/>
      <c r="AI366" s="24"/>
      <c r="AJ366" s="24"/>
      <c r="AK366" s="25"/>
      <c r="AL366" s="24"/>
      <c r="AM366" s="24"/>
      <c r="AN366" s="25"/>
      <c r="AO366" s="24"/>
      <c r="AP366" s="24"/>
      <c r="AQ366" s="25"/>
      <c r="AR366" s="24"/>
      <c r="AS366" s="24"/>
      <c r="AT366" s="25"/>
      <c r="AU366" s="24"/>
      <c r="AV366" s="24"/>
      <c r="AW366" s="25"/>
      <c r="AX366" s="24"/>
      <c r="AY366" s="22">
        <v>2307.02</v>
      </c>
      <c r="AZ366" s="25"/>
      <c r="BA366" s="24"/>
      <c r="BB366" s="24"/>
      <c r="BC366" s="25"/>
      <c r="BD366" s="24"/>
      <c r="BE366" s="24"/>
      <c r="BF366" s="25"/>
      <c r="BG366" s="24"/>
      <c r="BH366" s="23"/>
    </row>
    <row r="367" spans="3:60" ht="20.25" x14ac:dyDescent="0.3">
      <c r="C367" s="17" t="s">
        <v>25</v>
      </c>
      <c r="D367" s="17"/>
      <c r="E367" s="16"/>
      <c r="F367" s="18">
        <f t="shared" si="22"/>
        <v>15002.04</v>
      </c>
      <c r="G367" s="17"/>
      <c r="H367" s="16"/>
      <c r="I367" s="16"/>
      <c r="J367" s="17"/>
      <c r="K367" s="16"/>
      <c r="L367" s="16"/>
      <c r="M367" s="17"/>
      <c r="N367" s="16"/>
      <c r="O367" s="16"/>
      <c r="P367" s="17"/>
      <c r="Q367" s="16"/>
      <c r="R367" s="16"/>
      <c r="S367" s="17"/>
      <c r="T367" s="16"/>
      <c r="U367" s="16"/>
      <c r="V367" s="17"/>
      <c r="W367" s="16"/>
      <c r="X367" s="16"/>
      <c r="Y367" s="17"/>
      <c r="Z367" s="16"/>
      <c r="AA367" s="16"/>
      <c r="AB367" s="17"/>
      <c r="AC367" s="16"/>
      <c r="AD367" s="16"/>
      <c r="AE367" s="17"/>
      <c r="AF367" s="16"/>
      <c r="AG367" s="16"/>
      <c r="AH367" s="17"/>
      <c r="AI367" s="16"/>
      <c r="AJ367" s="16"/>
      <c r="AK367" s="17"/>
      <c r="AL367" s="16"/>
      <c r="AM367" s="16"/>
      <c r="AN367" s="17"/>
      <c r="AO367" s="16"/>
      <c r="AP367" s="16"/>
      <c r="AQ367" s="17"/>
      <c r="AR367" s="16"/>
      <c r="AS367" s="16"/>
      <c r="AT367" s="17"/>
      <c r="AU367" s="16"/>
      <c r="AV367" s="16"/>
      <c r="AW367" s="17"/>
      <c r="AX367" s="16"/>
      <c r="AY367" s="18">
        <v>15002.04</v>
      </c>
      <c r="AZ367" s="17"/>
      <c r="BA367" s="16"/>
      <c r="BB367" s="16"/>
      <c r="BC367" s="17"/>
      <c r="BD367" s="16"/>
      <c r="BE367" s="16"/>
      <c r="BF367" s="17"/>
      <c r="BG367" s="16"/>
      <c r="BH367" s="15"/>
    </row>
    <row r="368" spans="3:60" ht="20.25" x14ac:dyDescent="0.3">
      <c r="C368" s="17" t="s">
        <v>24</v>
      </c>
      <c r="D368" s="17"/>
      <c r="E368" s="16"/>
      <c r="F368" s="18">
        <f t="shared" si="22"/>
        <v>0</v>
      </c>
      <c r="G368" s="17"/>
      <c r="H368" s="16"/>
      <c r="I368" s="16"/>
      <c r="J368" s="17"/>
      <c r="K368" s="16"/>
      <c r="L368" s="16"/>
      <c r="M368" s="17"/>
      <c r="N368" s="16"/>
      <c r="O368" s="16"/>
      <c r="P368" s="17"/>
      <c r="Q368" s="16"/>
      <c r="R368" s="16"/>
      <c r="S368" s="17"/>
      <c r="T368" s="16"/>
      <c r="U368" s="16"/>
      <c r="V368" s="17"/>
      <c r="W368" s="16"/>
      <c r="X368" s="16"/>
      <c r="Y368" s="17"/>
      <c r="Z368" s="16"/>
      <c r="AA368" s="16"/>
      <c r="AB368" s="17"/>
      <c r="AC368" s="16"/>
      <c r="AD368" s="16"/>
      <c r="AE368" s="17"/>
      <c r="AF368" s="16"/>
      <c r="AG368" s="16"/>
      <c r="AH368" s="17"/>
      <c r="AI368" s="16"/>
      <c r="AJ368" s="16"/>
      <c r="AK368" s="17"/>
      <c r="AL368" s="16"/>
      <c r="AM368" s="16"/>
      <c r="AN368" s="17"/>
      <c r="AO368" s="16"/>
      <c r="AP368" s="16"/>
      <c r="AQ368" s="17"/>
      <c r="AR368" s="16"/>
      <c r="AS368" s="16"/>
      <c r="AT368" s="17"/>
      <c r="AU368" s="16"/>
      <c r="AV368" s="16"/>
      <c r="AW368" s="17"/>
      <c r="AX368" s="16"/>
      <c r="AY368" s="18">
        <v>0</v>
      </c>
      <c r="AZ368" s="17"/>
      <c r="BA368" s="16"/>
      <c r="BB368" s="16"/>
      <c r="BC368" s="17"/>
      <c r="BD368" s="16"/>
      <c r="BE368" s="16"/>
      <c r="BF368" s="17"/>
      <c r="BG368" s="16"/>
      <c r="BH368" s="15"/>
    </row>
    <row r="369" spans="3:60" ht="20.25" hidden="1" x14ac:dyDescent="0.3">
      <c r="C369" s="8" t="s">
        <v>3</v>
      </c>
      <c r="D369" s="8"/>
      <c r="E369" s="7"/>
      <c r="F369" s="18">
        <f t="shared" si="22"/>
        <v>0</v>
      </c>
      <c r="G369" s="8"/>
      <c r="H369" s="7"/>
      <c r="I369" s="7"/>
      <c r="J369" s="8"/>
      <c r="K369" s="7"/>
      <c r="L369" s="7"/>
      <c r="M369" s="8"/>
      <c r="N369" s="7"/>
      <c r="O369" s="7"/>
      <c r="P369" s="8"/>
      <c r="Q369" s="7"/>
      <c r="R369" s="7"/>
      <c r="S369" s="8"/>
      <c r="T369" s="7"/>
      <c r="U369" s="7"/>
      <c r="V369" s="8"/>
      <c r="W369" s="7"/>
      <c r="X369" s="7"/>
      <c r="Y369" s="8"/>
      <c r="Z369" s="7"/>
      <c r="AA369" s="7"/>
      <c r="AB369" s="8"/>
      <c r="AC369" s="7"/>
      <c r="AD369" s="7"/>
      <c r="AE369" s="8"/>
      <c r="AF369" s="7"/>
      <c r="AG369" s="7"/>
      <c r="AH369" s="8"/>
      <c r="AI369" s="7"/>
      <c r="AJ369" s="7"/>
      <c r="AK369" s="8"/>
      <c r="AL369" s="7"/>
      <c r="AM369" s="7"/>
      <c r="AN369" s="8"/>
      <c r="AO369" s="7"/>
      <c r="AP369" s="7"/>
      <c r="AQ369" s="8"/>
      <c r="AR369" s="7"/>
      <c r="AS369" s="7"/>
      <c r="AT369" s="8"/>
      <c r="AU369" s="7"/>
      <c r="AV369" s="7"/>
      <c r="AW369" s="8"/>
      <c r="AX369" s="7"/>
      <c r="AY369" s="18">
        <v>0</v>
      </c>
      <c r="AZ369" s="8"/>
      <c r="BA369" s="7"/>
      <c r="BB369" s="7"/>
      <c r="BC369" s="8"/>
      <c r="BD369" s="7"/>
      <c r="BE369" s="7"/>
      <c r="BF369" s="8"/>
      <c r="BG369" s="7"/>
      <c r="BH369" s="6"/>
    </row>
    <row r="370" spans="3:60" ht="20.25" hidden="1" x14ac:dyDescent="0.3">
      <c r="C370" s="8" t="s">
        <v>3</v>
      </c>
      <c r="D370" s="8"/>
      <c r="E370" s="7"/>
      <c r="F370" s="18">
        <f t="shared" si="22"/>
        <v>0</v>
      </c>
      <c r="G370" s="8"/>
      <c r="H370" s="7"/>
      <c r="I370" s="7"/>
      <c r="J370" s="8"/>
      <c r="K370" s="7"/>
      <c r="L370" s="7"/>
      <c r="M370" s="8"/>
      <c r="N370" s="7"/>
      <c r="O370" s="7"/>
      <c r="P370" s="8"/>
      <c r="Q370" s="7"/>
      <c r="R370" s="7"/>
      <c r="S370" s="8"/>
      <c r="T370" s="7"/>
      <c r="U370" s="7"/>
      <c r="V370" s="8"/>
      <c r="W370" s="7"/>
      <c r="X370" s="7"/>
      <c r="Y370" s="8"/>
      <c r="Z370" s="7"/>
      <c r="AA370" s="7"/>
      <c r="AB370" s="8"/>
      <c r="AC370" s="7"/>
      <c r="AD370" s="7"/>
      <c r="AE370" s="8"/>
      <c r="AF370" s="7"/>
      <c r="AG370" s="7"/>
      <c r="AH370" s="8"/>
      <c r="AI370" s="7"/>
      <c r="AJ370" s="7"/>
      <c r="AK370" s="8"/>
      <c r="AL370" s="7"/>
      <c r="AM370" s="7"/>
      <c r="AN370" s="8"/>
      <c r="AO370" s="7"/>
      <c r="AP370" s="7"/>
      <c r="AQ370" s="8"/>
      <c r="AR370" s="7"/>
      <c r="AS370" s="7"/>
      <c r="AT370" s="8"/>
      <c r="AU370" s="7"/>
      <c r="AV370" s="7"/>
      <c r="AW370" s="8"/>
      <c r="AX370" s="7"/>
      <c r="AY370" s="18">
        <v>0</v>
      </c>
      <c r="AZ370" s="8"/>
      <c r="BA370" s="7"/>
      <c r="BB370" s="7"/>
      <c r="BC370" s="8"/>
      <c r="BD370" s="7"/>
      <c r="BE370" s="7"/>
      <c r="BF370" s="8"/>
      <c r="BG370" s="7"/>
      <c r="BH370" s="6"/>
    </row>
    <row r="371" spans="3:60" ht="20.25" hidden="1" x14ac:dyDescent="0.3">
      <c r="C371" s="8" t="s">
        <v>3</v>
      </c>
      <c r="D371" s="8"/>
      <c r="E371" s="7"/>
      <c r="F371" s="18">
        <f t="shared" si="22"/>
        <v>0</v>
      </c>
      <c r="G371" s="8"/>
      <c r="H371" s="7"/>
      <c r="I371" s="7"/>
      <c r="J371" s="8"/>
      <c r="K371" s="7"/>
      <c r="L371" s="7"/>
      <c r="M371" s="8"/>
      <c r="N371" s="7"/>
      <c r="O371" s="7"/>
      <c r="P371" s="8"/>
      <c r="Q371" s="7"/>
      <c r="R371" s="7"/>
      <c r="S371" s="8"/>
      <c r="T371" s="7"/>
      <c r="U371" s="7"/>
      <c r="V371" s="8"/>
      <c r="W371" s="7"/>
      <c r="X371" s="7"/>
      <c r="Y371" s="8"/>
      <c r="Z371" s="7"/>
      <c r="AA371" s="7"/>
      <c r="AB371" s="8"/>
      <c r="AC371" s="7"/>
      <c r="AD371" s="7"/>
      <c r="AE371" s="8"/>
      <c r="AF371" s="7"/>
      <c r="AG371" s="7"/>
      <c r="AH371" s="8"/>
      <c r="AI371" s="7"/>
      <c r="AJ371" s="7"/>
      <c r="AK371" s="8"/>
      <c r="AL371" s="7"/>
      <c r="AM371" s="7"/>
      <c r="AN371" s="8"/>
      <c r="AO371" s="7"/>
      <c r="AP371" s="7"/>
      <c r="AQ371" s="8"/>
      <c r="AR371" s="7"/>
      <c r="AS371" s="7"/>
      <c r="AT371" s="8"/>
      <c r="AU371" s="7"/>
      <c r="AV371" s="7"/>
      <c r="AW371" s="8"/>
      <c r="AX371" s="7"/>
      <c r="AY371" s="18">
        <v>0</v>
      </c>
      <c r="AZ371" s="8"/>
      <c r="BA371" s="7"/>
      <c r="BB371" s="7"/>
      <c r="BC371" s="8"/>
      <c r="BD371" s="7"/>
      <c r="BE371" s="7"/>
      <c r="BF371" s="8"/>
      <c r="BG371" s="7"/>
      <c r="BH371" s="6"/>
    </row>
    <row r="372" spans="3:60" ht="20.25" x14ac:dyDescent="0.3">
      <c r="C372" s="25" t="s">
        <v>23</v>
      </c>
      <c r="D372" s="25"/>
      <c r="E372" s="24"/>
      <c r="F372" s="22">
        <f t="shared" si="22"/>
        <v>3726.53</v>
      </c>
      <c r="G372" s="25"/>
      <c r="H372" s="24"/>
      <c r="I372" s="24"/>
      <c r="J372" s="25"/>
      <c r="K372" s="24"/>
      <c r="L372" s="24"/>
      <c r="M372" s="25"/>
      <c r="N372" s="24"/>
      <c r="O372" s="24"/>
      <c r="P372" s="25"/>
      <c r="Q372" s="24"/>
      <c r="R372" s="24"/>
      <c r="S372" s="25"/>
      <c r="T372" s="24"/>
      <c r="U372" s="24"/>
      <c r="V372" s="25"/>
      <c r="W372" s="24"/>
      <c r="X372" s="24"/>
      <c r="Y372" s="25"/>
      <c r="Z372" s="24"/>
      <c r="AA372" s="24"/>
      <c r="AB372" s="25"/>
      <c r="AC372" s="24"/>
      <c r="AD372" s="24"/>
      <c r="AE372" s="25"/>
      <c r="AF372" s="24"/>
      <c r="AG372" s="24"/>
      <c r="AH372" s="25"/>
      <c r="AI372" s="24"/>
      <c r="AJ372" s="24"/>
      <c r="AK372" s="25"/>
      <c r="AL372" s="24"/>
      <c r="AM372" s="24"/>
      <c r="AN372" s="25"/>
      <c r="AO372" s="24"/>
      <c r="AP372" s="24"/>
      <c r="AQ372" s="25"/>
      <c r="AR372" s="24"/>
      <c r="AS372" s="24"/>
      <c r="AT372" s="25"/>
      <c r="AU372" s="24"/>
      <c r="AV372" s="24"/>
      <c r="AW372" s="25"/>
      <c r="AX372" s="24"/>
      <c r="AY372" s="22">
        <v>3726.53</v>
      </c>
      <c r="AZ372" s="25"/>
      <c r="BA372" s="24"/>
      <c r="BB372" s="24"/>
      <c r="BC372" s="25"/>
      <c r="BD372" s="24"/>
      <c r="BE372" s="24"/>
      <c r="BF372" s="25"/>
      <c r="BG372" s="24"/>
      <c r="BH372" s="23"/>
    </row>
    <row r="373" spans="3:60" ht="20.25" x14ac:dyDescent="0.3">
      <c r="C373" s="17" t="s">
        <v>22</v>
      </c>
      <c r="D373" s="17"/>
      <c r="E373" s="16"/>
      <c r="F373" s="18">
        <f t="shared" si="22"/>
        <v>4629.04</v>
      </c>
      <c r="G373" s="17"/>
      <c r="H373" s="16"/>
      <c r="I373" s="16"/>
      <c r="J373" s="17"/>
      <c r="K373" s="16"/>
      <c r="L373" s="16"/>
      <c r="M373" s="17"/>
      <c r="N373" s="16"/>
      <c r="O373" s="16"/>
      <c r="P373" s="17"/>
      <c r="Q373" s="16"/>
      <c r="R373" s="16"/>
      <c r="S373" s="17"/>
      <c r="T373" s="16"/>
      <c r="U373" s="16"/>
      <c r="V373" s="17"/>
      <c r="W373" s="16"/>
      <c r="X373" s="16"/>
      <c r="Y373" s="17"/>
      <c r="Z373" s="16"/>
      <c r="AA373" s="16"/>
      <c r="AB373" s="17"/>
      <c r="AC373" s="16"/>
      <c r="AD373" s="16"/>
      <c r="AE373" s="17"/>
      <c r="AF373" s="16"/>
      <c r="AG373" s="16"/>
      <c r="AH373" s="17"/>
      <c r="AI373" s="16"/>
      <c r="AJ373" s="16"/>
      <c r="AK373" s="17"/>
      <c r="AL373" s="16"/>
      <c r="AM373" s="16"/>
      <c r="AN373" s="17"/>
      <c r="AO373" s="16"/>
      <c r="AP373" s="16"/>
      <c r="AQ373" s="17"/>
      <c r="AR373" s="16"/>
      <c r="AS373" s="16"/>
      <c r="AT373" s="17"/>
      <c r="AU373" s="16"/>
      <c r="AV373" s="16"/>
      <c r="AW373" s="17"/>
      <c r="AX373" s="16"/>
      <c r="AY373" s="18">
        <v>4629.04</v>
      </c>
      <c r="AZ373" s="17"/>
      <c r="BA373" s="16"/>
      <c r="BB373" s="16"/>
      <c r="BC373" s="17"/>
      <c r="BD373" s="16"/>
      <c r="BE373" s="16"/>
      <c r="BF373" s="17"/>
      <c r="BG373" s="16"/>
      <c r="BH373" s="15"/>
    </row>
    <row r="374" spans="3:60" ht="20.25" x14ac:dyDescent="0.3">
      <c r="C374" s="17" t="s">
        <v>21</v>
      </c>
      <c r="D374" s="17"/>
      <c r="E374" s="16"/>
      <c r="F374" s="18">
        <f t="shared" si="22"/>
        <v>1619.78</v>
      </c>
      <c r="G374" s="17"/>
      <c r="H374" s="16"/>
      <c r="I374" s="16"/>
      <c r="J374" s="17"/>
      <c r="K374" s="16"/>
      <c r="L374" s="16"/>
      <c r="M374" s="17"/>
      <c r="N374" s="16"/>
      <c r="O374" s="16"/>
      <c r="P374" s="17"/>
      <c r="Q374" s="16"/>
      <c r="R374" s="16"/>
      <c r="S374" s="17"/>
      <c r="T374" s="16"/>
      <c r="U374" s="16"/>
      <c r="V374" s="17"/>
      <c r="W374" s="16"/>
      <c r="X374" s="16"/>
      <c r="Y374" s="17"/>
      <c r="Z374" s="16"/>
      <c r="AA374" s="16"/>
      <c r="AB374" s="17"/>
      <c r="AC374" s="16"/>
      <c r="AD374" s="16"/>
      <c r="AE374" s="17"/>
      <c r="AF374" s="16"/>
      <c r="AG374" s="16"/>
      <c r="AH374" s="17"/>
      <c r="AI374" s="16"/>
      <c r="AJ374" s="16"/>
      <c r="AK374" s="17"/>
      <c r="AL374" s="16"/>
      <c r="AM374" s="16"/>
      <c r="AN374" s="17"/>
      <c r="AO374" s="16"/>
      <c r="AP374" s="16"/>
      <c r="AQ374" s="17"/>
      <c r="AR374" s="16"/>
      <c r="AS374" s="16"/>
      <c r="AT374" s="17"/>
      <c r="AU374" s="16"/>
      <c r="AV374" s="16"/>
      <c r="AW374" s="17"/>
      <c r="AX374" s="16"/>
      <c r="AY374" s="18">
        <v>1619.78</v>
      </c>
      <c r="AZ374" s="17"/>
      <c r="BA374" s="16"/>
      <c r="BB374" s="16"/>
      <c r="BC374" s="17"/>
      <c r="BD374" s="16"/>
      <c r="BE374" s="16"/>
      <c r="BF374" s="17"/>
      <c r="BG374" s="16"/>
      <c r="BH374" s="15"/>
    </row>
    <row r="375" spans="3:60" ht="20.25" x14ac:dyDescent="0.3">
      <c r="C375" s="17" t="s">
        <v>20</v>
      </c>
      <c r="D375" s="17"/>
      <c r="E375" s="16"/>
      <c r="F375" s="18">
        <f t="shared" si="22"/>
        <v>459.56</v>
      </c>
      <c r="G375" s="17"/>
      <c r="H375" s="16"/>
      <c r="I375" s="16"/>
      <c r="J375" s="17"/>
      <c r="K375" s="16"/>
      <c r="L375" s="16"/>
      <c r="M375" s="17"/>
      <c r="N375" s="16"/>
      <c r="O375" s="16"/>
      <c r="P375" s="17"/>
      <c r="Q375" s="16"/>
      <c r="R375" s="16"/>
      <c r="S375" s="17"/>
      <c r="T375" s="16"/>
      <c r="U375" s="16"/>
      <c r="V375" s="17"/>
      <c r="W375" s="16"/>
      <c r="X375" s="16"/>
      <c r="Y375" s="17"/>
      <c r="Z375" s="16"/>
      <c r="AA375" s="16"/>
      <c r="AB375" s="17"/>
      <c r="AC375" s="16"/>
      <c r="AD375" s="16"/>
      <c r="AE375" s="17"/>
      <c r="AF375" s="16"/>
      <c r="AG375" s="16"/>
      <c r="AH375" s="17"/>
      <c r="AI375" s="16"/>
      <c r="AJ375" s="16"/>
      <c r="AK375" s="17"/>
      <c r="AL375" s="16"/>
      <c r="AM375" s="16"/>
      <c r="AN375" s="17"/>
      <c r="AO375" s="16"/>
      <c r="AP375" s="16"/>
      <c r="AQ375" s="17"/>
      <c r="AR375" s="16"/>
      <c r="AS375" s="16"/>
      <c r="AT375" s="17"/>
      <c r="AU375" s="16"/>
      <c r="AV375" s="16"/>
      <c r="AW375" s="17"/>
      <c r="AX375" s="16"/>
      <c r="AY375" s="18">
        <v>459.56</v>
      </c>
      <c r="AZ375" s="17"/>
      <c r="BA375" s="16"/>
      <c r="BB375" s="16"/>
      <c r="BC375" s="17"/>
      <c r="BD375" s="16"/>
      <c r="BE375" s="16"/>
      <c r="BF375" s="17"/>
      <c r="BG375" s="16"/>
      <c r="BH375" s="15"/>
    </row>
    <row r="376" spans="3:60" ht="20.25" hidden="1" x14ac:dyDescent="0.3">
      <c r="C376" s="8" t="s">
        <v>3</v>
      </c>
      <c r="D376" s="8"/>
      <c r="E376" s="7"/>
      <c r="F376" s="18">
        <f t="shared" si="22"/>
        <v>0</v>
      </c>
      <c r="G376" s="8"/>
      <c r="H376" s="7"/>
      <c r="I376" s="7"/>
      <c r="J376" s="8"/>
      <c r="K376" s="7"/>
      <c r="L376" s="7"/>
      <c r="M376" s="8"/>
      <c r="N376" s="7"/>
      <c r="O376" s="7"/>
      <c r="P376" s="8"/>
      <c r="Q376" s="7"/>
      <c r="R376" s="7"/>
      <c r="S376" s="8"/>
      <c r="T376" s="7"/>
      <c r="U376" s="7"/>
      <c r="V376" s="8"/>
      <c r="W376" s="7"/>
      <c r="X376" s="7"/>
      <c r="Y376" s="8"/>
      <c r="Z376" s="7"/>
      <c r="AA376" s="7"/>
      <c r="AB376" s="8"/>
      <c r="AC376" s="7"/>
      <c r="AD376" s="7"/>
      <c r="AE376" s="8"/>
      <c r="AF376" s="7"/>
      <c r="AG376" s="7"/>
      <c r="AH376" s="8"/>
      <c r="AI376" s="7"/>
      <c r="AJ376" s="7"/>
      <c r="AK376" s="8"/>
      <c r="AL376" s="7"/>
      <c r="AM376" s="7"/>
      <c r="AN376" s="8"/>
      <c r="AO376" s="7"/>
      <c r="AP376" s="7"/>
      <c r="AQ376" s="8"/>
      <c r="AR376" s="7"/>
      <c r="AS376" s="7"/>
      <c r="AT376" s="8"/>
      <c r="AU376" s="7"/>
      <c r="AV376" s="7"/>
      <c r="AW376" s="8"/>
      <c r="AX376" s="7"/>
      <c r="AY376" s="18">
        <v>0</v>
      </c>
      <c r="AZ376" s="8"/>
      <c r="BA376" s="7"/>
      <c r="BB376" s="7"/>
      <c r="BC376" s="8"/>
      <c r="BD376" s="7"/>
      <c r="BE376" s="7"/>
      <c r="BF376" s="8"/>
      <c r="BG376" s="7"/>
      <c r="BH376" s="6"/>
    </row>
    <row r="377" spans="3:60" ht="20.25" x14ac:dyDescent="0.3">
      <c r="C377" s="11" t="s">
        <v>19</v>
      </c>
      <c r="D377" s="11"/>
      <c r="E377" s="10"/>
      <c r="F377" s="12">
        <f>SUM(F365:F376)</f>
        <v>35046.28</v>
      </c>
      <c r="G377" s="11"/>
      <c r="H377" s="10"/>
      <c r="I377" s="10"/>
      <c r="J377" s="11"/>
      <c r="K377" s="10"/>
      <c r="L377" s="10"/>
      <c r="M377" s="11"/>
      <c r="N377" s="10"/>
      <c r="O377" s="10"/>
      <c r="P377" s="11"/>
      <c r="Q377" s="10"/>
      <c r="R377" s="10"/>
      <c r="S377" s="11"/>
      <c r="T377" s="10"/>
      <c r="U377" s="10"/>
      <c r="V377" s="11"/>
      <c r="W377" s="10"/>
      <c r="X377" s="10"/>
      <c r="Y377" s="11"/>
      <c r="Z377" s="10"/>
      <c r="AA377" s="10"/>
      <c r="AB377" s="11"/>
      <c r="AC377" s="10"/>
      <c r="AD377" s="10"/>
      <c r="AE377" s="11"/>
      <c r="AF377" s="10"/>
      <c r="AG377" s="10"/>
      <c r="AH377" s="11"/>
      <c r="AI377" s="10"/>
      <c r="AJ377" s="10"/>
      <c r="AK377" s="11"/>
      <c r="AL377" s="10"/>
      <c r="AM377" s="10"/>
      <c r="AN377" s="11"/>
      <c r="AO377" s="10"/>
      <c r="AP377" s="10"/>
      <c r="AQ377" s="11"/>
      <c r="AR377" s="10"/>
      <c r="AS377" s="10"/>
      <c r="AT377" s="11"/>
      <c r="AU377" s="10"/>
      <c r="AV377" s="10"/>
      <c r="AW377" s="26" t="s">
        <v>18</v>
      </c>
      <c r="AX377" s="14">
        <v>1.5701534343863801</v>
      </c>
      <c r="AY377" s="12">
        <v>35046.28</v>
      </c>
      <c r="AZ377" s="11"/>
      <c r="BA377" s="10"/>
      <c r="BB377" s="10"/>
      <c r="BC377" s="11"/>
      <c r="BD377" s="10"/>
      <c r="BE377" s="10"/>
      <c r="BF377" s="11"/>
      <c r="BG377" s="10"/>
      <c r="BH377" s="9"/>
    </row>
    <row r="378" spans="3:60" ht="20.25" x14ac:dyDescent="0.3">
      <c r="C378" s="21" t="s">
        <v>17</v>
      </c>
      <c r="D378" s="21"/>
      <c r="E378" s="20"/>
      <c r="F378" s="18">
        <f t="shared" ref="F378:F394" si="23">+SUM(I378,L378,O378,R378,U378,X378,AA378,AD378,AG378,AJ378,AM378,AP378,AS378,AV378,AY378,BB378,BE378,BH378)</f>
        <v>1010.84</v>
      </c>
      <c r="G378" s="21"/>
      <c r="H378" s="20"/>
      <c r="I378" s="20"/>
      <c r="J378" s="21"/>
      <c r="K378" s="20"/>
      <c r="L378" s="20"/>
      <c r="M378" s="21"/>
      <c r="N378" s="20"/>
      <c r="O378" s="20"/>
      <c r="P378" s="21"/>
      <c r="Q378" s="20"/>
      <c r="R378" s="20"/>
      <c r="S378" s="21"/>
      <c r="T378" s="20"/>
      <c r="U378" s="20"/>
      <c r="V378" s="21"/>
      <c r="W378" s="20"/>
      <c r="X378" s="20"/>
      <c r="Y378" s="21"/>
      <c r="Z378" s="20"/>
      <c r="AA378" s="20"/>
      <c r="AB378" s="21"/>
      <c r="AC378" s="20"/>
      <c r="AD378" s="20"/>
      <c r="AE378" s="21"/>
      <c r="AF378" s="20"/>
      <c r="AG378" s="20"/>
      <c r="AH378" s="21"/>
      <c r="AI378" s="20"/>
      <c r="AJ378" s="20"/>
      <c r="AK378" s="21"/>
      <c r="AL378" s="20"/>
      <c r="AM378" s="20"/>
      <c r="AN378" s="21"/>
      <c r="AO378" s="20"/>
      <c r="AP378" s="20"/>
      <c r="AQ378" s="21"/>
      <c r="AR378" s="20"/>
      <c r="AS378" s="20"/>
      <c r="AT378" s="21"/>
      <c r="AU378" s="20"/>
      <c r="AV378" s="20"/>
      <c r="AW378" s="21"/>
      <c r="AX378" s="20"/>
      <c r="AY378" s="18">
        <v>1010.84</v>
      </c>
      <c r="AZ378" s="21"/>
      <c r="BA378" s="20"/>
      <c r="BB378" s="20"/>
      <c r="BC378" s="21"/>
      <c r="BD378" s="20"/>
      <c r="BE378" s="20"/>
      <c r="BF378" s="21"/>
      <c r="BG378" s="20"/>
      <c r="BH378" s="19"/>
    </row>
    <row r="379" spans="3:60" ht="20.25" x14ac:dyDescent="0.3">
      <c r="C379" s="17" t="s">
        <v>16</v>
      </c>
      <c r="D379" s="17"/>
      <c r="E379" s="16"/>
      <c r="F379" s="18">
        <f t="shared" si="23"/>
        <v>38.32</v>
      </c>
      <c r="G379" s="17"/>
      <c r="H379" s="16"/>
      <c r="I379" s="16"/>
      <c r="J379" s="17"/>
      <c r="K379" s="16"/>
      <c r="L379" s="16"/>
      <c r="M379" s="17"/>
      <c r="N379" s="16"/>
      <c r="O379" s="16"/>
      <c r="P379" s="17"/>
      <c r="Q379" s="16"/>
      <c r="R379" s="16"/>
      <c r="S379" s="17"/>
      <c r="T379" s="16"/>
      <c r="U379" s="16"/>
      <c r="V379" s="17"/>
      <c r="W379" s="16"/>
      <c r="X379" s="16"/>
      <c r="Y379" s="17"/>
      <c r="Z379" s="16"/>
      <c r="AA379" s="16"/>
      <c r="AB379" s="17"/>
      <c r="AC379" s="16"/>
      <c r="AD379" s="16"/>
      <c r="AE379" s="17"/>
      <c r="AF379" s="16"/>
      <c r="AG379" s="16"/>
      <c r="AH379" s="17"/>
      <c r="AI379" s="16"/>
      <c r="AJ379" s="16"/>
      <c r="AK379" s="17"/>
      <c r="AL379" s="16"/>
      <c r="AM379" s="16"/>
      <c r="AN379" s="17"/>
      <c r="AO379" s="16"/>
      <c r="AP379" s="16"/>
      <c r="AQ379" s="17"/>
      <c r="AR379" s="16"/>
      <c r="AS379" s="16"/>
      <c r="AT379" s="17"/>
      <c r="AU379" s="16"/>
      <c r="AV379" s="16"/>
      <c r="AW379" s="17"/>
      <c r="AX379" s="16"/>
      <c r="AY379" s="18">
        <v>38.32</v>
      </c>
      <c r="AZ379" s="17"/>
      <c r="BA379" s="16"/>
      <c r="BB379" s="16"/>
      <c r="BC379" s="17"/>
      <c r="BD379" s="16"/>
      <c r="BE379" s="16"/>
      <c r="BF379" s="17"/>
      <c r="BG379" s="16"/>
      <c r="BH379" s="15"/>
    </row>
    <row r="380" spans="3:60" ht="20.25" x14ac:dyDescent="0.3">
      <c r="C380" s="25" t="s">
        <v>15</v>
      </c>
      <c r="D380" s="25"/>
      <c r="E380" s="24"/>
      <c r="F380" s="22">
        <f t="shared" si="23"/>
        <v>256.82</v>
      </c>
      <c r="G380" s="25"/>
      <c r="H380" s="24"/>
      <c r="I380" s="24"/>
      <c r="J380" s="25"/>
      <c r="K380" s="24"/>
      <c r="L380" s="24"/>
      <c r="M380" s="25"/>
      <c r="N380" s="24"/>
      <c r="O380" s="24"/>
      <c r="P380" s="25"/>
      <c r="Q380" s="24"/>
      <c r="R380" s="24"/>
      <c r="S380" s="25"/>
      <c r="T380" s="24"/>
      <c r="U380" s="24"/>
      <c r="V380" s="25"/>
      <c r="W380" s="24"/>
      <c r="X380" s="24"/>
      <c r="Y380" s="25"/>
      <c r="Z380" s="24"/>
      <c r="AA380" s="24"/>
      <c r="AB380" s="25"/>
      <c r="AC380" s="24"/>
      <c r="AD380" s="24"/>
      <c r="AE380" s="25"/>
      <c r="AF380" s="24"/>
      <c r="AG380" s="24"/>
      <c r="AH380" s="25"/>
      <c r="AI380" s="24"/>
      <c r="AJ380" s="24"/>
      <c r="AK380" s="25"/>
      <c r="AL380" s="24"/>
      <c r="AM380" s="24"/>
      <c r="AN380" s="25"/>
      <c r="AO380" s="24"/>
      <c r="AP380" s="24"/>
      <c r="AQ380" s="25"/>
      <c r="AR380" s="24"/>
      <c r="AS380" s="24"/>
      <c r="AT380" s="25"/>
      <c r="AU380" s="24"/>
      <c r="AV380" s="24"/>
      <c r="AW380" s="25"/>
      <c r="AX380" s="24"/>
      <c r="AY380" s="22">
        <v>256.82</v>
      </c>
      <c r="AZ380" s="25"/>
      <c r="BA380" s="24"/>
      <c r="BB380" s="24"/>
      <c r="BC380" s="25"/>
      <c r="BD380" s="24"/>
      <c r="BE380" s="24"/>
      <c r="BF380" s="25"/>
      <c r="BG380" s="24"/>
      <c r="BH380" s="23"/>
    </row>
    <row r="381" spans="3:60" ht="20.25" x14ac:dyDescent="0.3">
      <c r="C381" s="17" t="s">
        <v>14</v>
      </c>
      <c r="D381" s="17"/>
      <c r="E381" s="16"/>
      <c r="F381" s="18">
        <f t="shared" si="23"/>
        <v>1792.22</v>
      </c>
      <c r="G381" s="17"/>
      <c r="H381" s="16"/>
      <c r="I381" s="16"/>
      <c r="J381" s="17"/>
      <c r="K381" s="16"/>
      <c r="L381" s="16"/>
      <c r="M381" s="17"/>
      <c r="N381" s="16"/>
      <c r="O381" s="16"/>
      <c r="P381" s="17"/>
      <c r="Q381" s="16"/>
      <c r="R381" s="16"/>
      <c r="S381" s="17"/>
      <c r="T381" s="16"/>
      <c r="U381" s="16"/>
      <c r="V381" s="17"/>
      <c r="W381" s="16"/>
      <c r="X381" s="16"/>
      <c r="Y381" s="17"/>
      <c r="Z381" s="16"/>
      <c r="AA381" s="16"/>
      <c r="AB381" s="17"/>
      <c r="AC381" s="16"/>
      <c r="AD381" s="16"/>
      <c r="AE381" s="17"/>
      <c r="AF381" s="16"/>
      <c r="AG381" s="16"/>
      <c r="AH381" s="17"/>
      <c r="AI381" s="16"/>
      <c r="AJ381" s="16"/>
      <c r="AK381" s="17"/>
      <c r="AL381" s="16"/>
      <c r="AM381" s="16"/>
      <c r="AN381" s="17"/>
      <c r="AO381" s="16"/>
      <c r="AP381" s="16"/>
      <c r="AQ381" s="17"/>
      <c r="AR381" s="16"/>
      <c r="AS381" s="16"/>
      <c r="AT381" s="17"/>
      <c r="AU381" s="16"/>
      <c r="AV381" s="16"/>
      <c r="AW381" s="17"/>
      <c r="AX381" s="16"/>
      <c r="AY381" s="18">
        <v>1792.22</v>
      </c>
      <c r="AZ381" s="17"/>
      <c r="BA381" s="16"/>
      <c r="BB381" s="16"/>
      <c r="BC381" s="17"/>
      <c r="BD381" s="16"/>
      <c r="BE381" s="16"/>
      <c r="BF381" s="17"/>
      <c r="BG381" s="16"/>
      <c r="BH381" s="15"/>
    </row>
    <row r="382" spans="3:60" ht="20.25" x14ac:dyDescent="0.3">
      <c r="C382" s="17" t="s">
        <v>13</v>
      </c>
      <c r="D382" s="17"/>
      <c r="E382" s="16"/>
      <c r="F382" s="18">
        <f t="shared" si="23"/>
        <v>688.8</v>
      </c>
      <c r="G382" s="17"/>
      <c r="H382" s="16"/>
      <c r="I382" s="16"/>
      <c r="J382" s="17"/>
      <c r="K382" s="16"/>
      <c r="L382" s="16"/>
      <c r="M382" s="17"/>
      <c r="N382" s="16"/>
      <c r="O382" s="16"/>
      <c r="P382" s="17"/>
      <c r="Q382" s="16"/>
      <c r="R382" s="16"/>
      <c r="S382" s="17"/>
      <c r="T382" s="16"/>
      <c r="U382" s="16"/>
      <c r="V382" s="17"/>
      <c r="W382" s="16"/>
      <c r="X382" s="16"/>
      <c r="Y382" s="17"/>
      <c r="Z382" s="16"/>
      <c r="AA382" s="16"/>
      <c r="AB382" s="17"/>
      <c r="AC382" s="16"/>
      <c r="AD382" s="16"/>
      <c r="AE382" s="17"/>
      <c r="AF382" s="16"/>
      <c r="AG382" s="16"/>
      <c r="AH382" s="17"/>
      <c r="AI382" s="16"/>
      <c r="AJ382" s="16"/>
      <c r="AK382" s="17"/>
      <c r="AL382" s="16"/>
      <c r="AM382" s="16"/>
      <c r="AN382" s="17"/>
      <c r="AO382" s="16"/>
      <c r="AP382" s="16"/>
      <c r="AQ382" s="17"/>
      <c r="AR382" s="16"/>
      <c r="AS382" s="16"/>
      <c r="AT382" s="17"/>
      <c r="AU382" s="16"/>
      <c r="AV382" s="16"/>
      <c r="AW382" s="17"/>
      <c r="AX382" s="16"/>
      <c r="AY382" s="18">
        <v>688.8</v>
      </c>
      <c r="AZ382" s="17"/>
      <c r="BA382" s="16"/>
      <c r="BB382" s="16"/>
      <c r="BC382" s="17"/>
      <c r="BD382" s="16"/>
      <c r="BE382" s="16"/>
      <c r="BF382" s="17"/>
      <c r="BG382" s="16"/>
      <c r="BH382" s="15"/>
    </row>
    <row r="383" spans="3:60" ht="20.25" x14ac:dyDescent="0.3">
      <c r="C383" s="17" t="s">
        <v>12</v>
      </c>
      <c r="D383" s="17"/>
      <c r="E383" s="16"/>
      <c r="F383" s="22">
        <f t="shared" si="23"/>
        <v>570.23</v>
      </c>
      <c r="G383" s="17"/>
      <c r="H383" s="16"/>
      <c r="I383" s="16"/>
      <c r="J383" s="17"/>
      <c r="K383" s="16"/>
      <c r="L383" s="16"/>
      <c r="M383" s="17"/>
      <c r="N383" s="16"/>
      <c r="O383" s="16"/>
      <c r="P383" s="17"/>
      <c r="Q383" s="16"/>
      <c r="R383" s="16"/>
      <c r="S383" s="17"/>
      <c r="T383" s="16"/>
      <c r="U383" s="16"/>
      <c r="V383" s="17"/>
      <c r="W383" s="16"/>
      <c r="X383" s="16"/>
      <c r="Y383" s="17"/>
      <c r="Z383" s="16"/>
      <c r="AA383" s="16"/>
      <c r="AB383" s="17"/>
      <c r="AC383" s="16"/>
      <c r="AD383" s="16"/>
      <c r="AE383" s="17"/>
      <c r="AF383" s="16"/>
      <c r="AG383" s="16"/>
      <c r="AH383" s="17"/>
      <c r="AI383" s="16"/>
      <c r="AJ383" s="16"/>
      <c r="AK383" s="17"/>
      <c r="AL383" s="16"/>
      <c r="AM383" s="16"/>
      <c r="AN383" s="17"/>
      <c r="AO383" s="16"/>
      <c r="AP383" s="16"/>
      <c r="AQ383" s="17"/>
      <c r="AR383" s="16"/>
      <c r="AS383" s="16"/>
      <c r="AT383" s="17"/>
      <c r="AU383" s="16"/>
      <c r="AV383" s="16"/>
      <c r="AW383" s="17"/>
      <c r="AX383" s="16"/>
      <c r="AY383" s="22">
        <v>570.23</v>
      </c>
      <c r="AZ383" s="17"/>
      <c r="BA383" s="16"/>
      <c r="BB383" s="16"/>
      <c r="BC383" s="17"/>
      <c r="BD383" s="16"/>
      <c r="BE383" s="16"/>
      <c r="BF383" s="17"/>
      <c r="BG383" s="16"/>
      <c r="BH383" s="15"/>
    </row>
    <row r="384" spans="3:60" ht="20.25" x14ac:dyDescent="0.3">
      <c r="C384" s="21" t="s">
        <v>11</v>
      </c>
      <c r="D384" s="21"/>
      <c r="E384" s="20"/>
      <c r="F384" s="18">
        <f t="shared" si="23"/>
        <v>0</v>
      </c>
      <c r="G384" s="21"/>
      <c r="H384" s="20"/>
      <c r="I384" s="20"/>
      <c r="J384" s="21"/>
      <c r="K384" s="20"/>
      <c r="L384" s="20"/>
      <c r="M384" s="21"/>
      <c r="N384" s="20"/>
      <c r="O384" s="20"/>
      <c r="P384" s="21"/>
      <c r="Q384" s="20"/>
      <c r="R384" s="20"/>
      <c r="S384" s="21"/>
      <c r="T384" s="20"/>
      <c r="U384" s="20"/>
      <c r="V384" s="21"/>
      <c r="W384" s="20"/>
      <c r="X384" s="20"/>
      <c r="Y384" s="21"/>
      <c r="Z384" s="20"/>
      <c r="AA384" s="20"/>
      <c r="AB384" s="21"/>
      <c r="AC384" s="20"/>
      <c r="AD384" s="20"/>
      <c r="AE384" s="21"/>
      <c r="AF384" s="20"/>
      <c r="AG384" s="20"/>
      <c r="AH384" s="21"/>
      <c r="AI384" s="20"/>
      <c r="AJ384" s="20"/>
      <c r="AK384" s="21"/>
      <c r="AL384" s="20"/>
      <c r="AM384" s="20"/>
      <c r="AN384" s="21"/>
      <c r="AO384" s="20"/>
      <c r="AP384" s="20"/>
      <c r="AQ384" s="21"/>
      <c r="AR384" s="20"/>
      <c r="AS384" s="20"/>
      <c r="AT384" s="21"/>
      <c r="AU384" s="20"/>
      <c r="AV384" s="20"/>
      <c r="AW384" s="21"/>
      <c r="AX384" s="20"/>
      <c r="AY384" s="18">
        <v>0</v>
      </c>
      <c r="AZ384" s="21"/>
      <c r="BA384" s="20"/>
      <c r="BB384" s="20"/>
      <c r="BC384" s="21"/>
      <c r="BD384" s="20"/>
      <c r="BE384" s="20"/>
      <c r="BF384" s="21"/>
      <c r="BG384" s="20"/>
      <c r="BH384" s="19"/>
    </row>
    <row r="385" spans="3:60" ht="20.25" x14ac:dyDescent="0.3">
      <c r="C385" s="17" t="s">
        <v>10</v>
      </c>
      <c r="D385" s="17"/>
      <c r="E385" s="16"/>
      <c r="F385" s="18">
        <f t="shared" si="23"/>
        <v>0</v>
      </c>
      <c r="G385" s="17"/>
      <c r="H385" s="16"/>
      <c r="I385" s="16"/>
      <c r="J385" s="17"/>
      <c r="K385" s="16"/>
      <c r="L385" s="16"/>
      <c r="M385" s="17"/>
      <c r="N385" s="16"/>
      <c r="O385" s="16"/>
      <c r="P385" s="17"/>
      <c r="Q385" s="16"/>
      <c r="R385" s="16"/>
      <c r="S385" s="17"/>
      <c r="T385" s="16"/>
      <c r="U385" s="16"/>
      <c r="V385" s="17"/>
      <c r="W385" s="16"/>
      <c r="X385" s="16"/>
      <c r="Y385" s="17"/>
      <c r="Z385" s="16"/>
      <c r="AA385" s="16"/>
      <c r="AB385" s="17"/>
      <c r="AC385" s="16"/>
      <c r="AD385" s="16"/>
      <c r="AE385" s="17"/>
      <c r="AF385" s="16"/>
      <c r="AG385" s="16"/>
      <c r="AH385" s="17"/>
      <c r="AI385" s="16"/>
      <c r="AJ385" s="16"/>
      <c r="AK385" s="17"/>
      <c r="AL385" s="16"/>
      <c r="AM385" s="16"/>
      <c r="AN385" s="17"/>
      <c r="AO385" s="16"/>
      <c r="AP385" s="16"/>
      <c r="AQ385" s="17"/>
      <c r="AR385" s="16"/>
      <c r="AS385" s="16"/>
      <c r="AT385" s="17"/>
      <c r="AU385" s="16"/>
      <c r="AV385" s="16"/>
      <c r="AW385" s="17"/>
      <c r="AX385" s="16"/>
      <c r="AY385" s="18">
        <v>0</v>
      </c>
      <c r="AZ385" s="17"/>
      <c r="BA385" s="16"/>
      <c r="BB385" s="16"/>
      <c r="BC385" s="17"/>
      <c r="BD385" s="16"/>
      <c r="BE385" s="16"/>
      <c r="BF385" s="17"/>
      <c r="BG385" s="16"/>
      <c r="BH385" s="15"/>
    </row>
    <row r="386" spans="3:60" ht="20.25" x14ac:dyDescent="0.3">
      <c r="C386" s="17" t="s">
        <v>9</v>
      </c>
      <c r="D386" s="17"/>
      <c r="E386" s="16"/>
      <c r="F386" s="18">
        <f t="shared" si="23"/>
        <v>263.01</v>
      </c>
      <c r="G386" s="17"/>
      <c r="H386" s="16"/>
      <c r="I386" s="16"/>
      <c r="J386" s="17"/>
      <c r="K386" s="16"/>
      <c r="L386" s="16"/>
      <c r="M386" s="17"/>
      <c r="N386" s="16"/>
      <c r="O386" s="16"/>
      <c r="P386" s="17"/>
      <c r="Q386" s="16"/>
      <c r="R386" s="16"/>
      <c r="S386" s="17"/>
      <c r="T386" s="16"/>
      <c r="U386" s="16"/>
      <c r="V386" s="17"/>
      <c r="W386" s="16"/>
      <c r="X386" s="16"/>
      <c r="Y386" s="17"/>
      <c r="Z386" s="16"/>
      <c r="AA386" s="16"/>
      <c r="AB386" s="17"/>
      <c r="AC386" s="16"/>
      <c r="AD386" s="16"/>
      <c r="AE386" s="17"/>
      <c r="AF386" s="16"/>
      <c r="AG386" s="16"/>
      <c r="AH386" s="17"/>
      <c r="AI386" s="16"/>
      <c r="AJ386" s="16"/>
      <c r="AK386" s="17"/>
      <c r="AL386" s="16"/>
      <c r="AM386" s="16"/>
      <c r="AN386" s="17"/>
      <c r="AO386" s="16"/>
      <c r="AP386" s="16"/>
      <c r="AQ386" s="17"/>
      <c r="AR386" s="16"/>
      <c r="AS386" s="16"/>
      <c r="AT386" s="17"/>
      <c r="AU386" s="16"/>
      <c r="AV386" s="16"/>
      <c r="AW386" s="17"/>
      <c r="AX386" s="16"/>
      <c r="AY386" s="18">
        <v>263.01</v>
      </c>
      <c r="AZ386" s="17"/>
      <c r="BA386" s="16"/>
      <c r="BB386" s="16"/>
      <c r="BC386" s="17"/>
      <c r="BD386" s="16"/>
      <c r="BE386" s="16"/>
      <c r="BF386" s="17"/>
      <c r="BG386" s="16"/>
      <c r="BH386" s="15"/>
    </row>
    <row r="387" spans="3:60" ht="20.25" x14ac:dyDescent="0.3">
      <c r="C387" s="17" t="s">
        <v>8</v>
      </c>
      <c r="D387" s="17"/>
      <c r="E387" s="16"/>
      <c r="F387" s="18">
        <f t="shared" si="23"/>
        <v>104.85</v>
      </c>
      <c r="G387" s="17"/>
      <c r="H387" s="16"/>
      <c r="I387" s="16"/>
      <c r="J387" s="17"/>
      <c r="K387" s="16"/>
      <c r="L387" s="16"/>
      <c r="M387" s="17"/>
      <c r="N387" s="16"/>
      <c r="O387" s="16"/>
      <c r="P387" s="17"/>
      <c r="Q387" s="16"/>
      <c r="R387" s="16"/>
      <c r="S387" s="17"/>
      <c r="T387" s="16"/>
      <c r="U387" s="16"/>
      <c r="V387" s="17"/>
      <c r="W387" s="16"/>
      <c r="X387" s="16"/>
      <c r="Y387" s="17"/>
      <c r="Z387" s="16"/>
      <c r="AA387" s="16"/>
      <c r="AB387" s="17"/>
      <c r="AC387" s="16"/>
      <c r="AD387" s="16"/>
      <c r="AE387" s="17"/>
      <c r="AF387" s="16"/>
      <c r="AG387" s="16"/>
      <c r="AH387" s="17"/>
      <c r="AI387" s="16"/>
      <c r="AJ387" s="16"/>
      <c r="AK387" s="17"/>
      <c r="AL387" s="16"/>
      <c r="AM387" s="16"/>
      <c r="AN387" s="17"/>
      <c r="AO387" s="16"/>
      <c r="AP387" s="16"/>
      <c r="AQ387" s="17"/>
      <c r="AR387" s="16"/>
      <c r="AS387" s="16"/>
      <c r="AT387" s="17"/>
      <c r="AU387" s="16"/>
      <c r="AV387" s="16"/>
      <c r="AW387" s="17"/>
      <c r="AX387" s="16"/>
      <c r="AY387" s="18">
        <v>104.85</v>
      </c>
      <c r="AZ387" s="17"/>
      <c r="BA387" s="16"/>
      <c r="BB387" s="16"/>
      <c r="BC387" s="17"/>
      <c r="BD387" s="16"/>
      <c r="BE387" s="16"/>
      <c r="BF387" s="17"/>
      <c r="BG387" s="16"/>
      <c r="BH387" s="15"/>
    </row>
    <row r="388" spans="3:60" ht="20.25" x14ac:dyDescent="0.3">
      <c r="C388" s="17" t="s">
        <v>7</v>
      </c>
      <c r="D388" s="17"/>
      <c r="E388" s="16"/>
      <c r="F388" s="18">
        <f t="shared" si="23"/>
        <v>0</v>
      </c>
      <c r="G388" s="17"/>
      <c r="H388" s="16"/>
      <c r="I388" s="16"/>
      <c r="J388" s="17"/>
      <c r="K388" s="16"/>
      <c r="L388" s="16"/>
      <c r="M388" s="17"/>
      <c r="N388" s="16"/>
      <c r="O388" s="16"/>
      <c r="P388" s="17"/>
      <c r="Q388" s="16"/>
      <c r="R388" s="16"/>
      <c r="S388" s="17"/>
      <c r="T388" s="16"/>
      <c r="U388" s="16"/>
      <c r="V388" s="17"/>
      <c r="W388" s="16"/>
      <c r="X388" s="16"/>
      <c r="Y388" s="17"/>
      <c r="Z388" s="16"/>
      <c r="AA388" s="16"/>
      <c r="AB388" s="17"/>
      <c r="AC388" s="16"/>
      <c r="AD388" s="16"/>
      <c r="AE388" s="17"/>
      <c r="AF388" s="16"/>
      <c r="AG388" s="16"/>
      <c r="AH388" s="17"/>
      <c r="AI388" s="16"/>
      <c r="AJ388" s="16"/>
      <c r="AK388" s="17"/>
      <c r="AL388" s="16"/>
      <c r="AM388" s="16"/>
      <c r="AN388" s="17"/>
      <c r="AO388" s="16"/>
      <c r="AP388" s="16"/>
      <c r="AQ388" s="17"/>
      <c r="AR388" s="16"/>
      <c r="AS388" s="16"/>
      <c r="AT388" s="17"/>
      <c r="AU388" s="16"/>
      <c r="AV388" s="16"/>
      <c r="AW388" s="17"/>
      <c r="AX388" s="16"/>
      <c r="AY388" s="18">
        <v>0</v>
      </c>
      <c r="AZ388" s="17"/>
      <c r="BA388" s="16"/>
      <c r="BB388" s="16"/>
      <c r="BC388" s="17"/>
      <c r="BD388" s="16"/>
      <c r="BE388" s="16"/>
      <c r="BF388" s="17"/>
      <c r="BG388" s="16"/>
      <c r="BH388" s="15"/>
    </row>
    <row r="389" spans="3:60" ht="20.25" x14ac:dyDescent="0.3">
      <c r="C389" s="17" t="s">
        <v>6</v>
      </c>
      <c r="D389" s="17"/>
      <c r="E389" s="16"/>
      <c r="F389" s="18">
        <f t="shared" si="23"/>
        <v>60.71</v>
      </c>
      <c r="G389" s="17"/>
      <c r="H389" s="16"/>
      <c r="I389" s="16"/>
      <c r="J389" s="17"/>
      <c r="K389" s="16"/>
      <c r="L389" s="16"/>
      <c r="M389" s="17"/>
      <c r="N389" s="16"/>
      <c r="O389" s="16"/>
      <c r="P389" s="17"/>
      <c r="Q389" s="16"/>
      <c r="R389" s="16"/>
      <c r="S389" s="17"/>
      <c r="T389" s="16"/>
      <c r="U389" s="16"/>
      <c r="V389" s="17"/>
      <c r="W389" s="16"/>
      <c r="X389" s="16"/>
      <c r="Y389" s="17"/>
      <c r="Z389" s="16"/>
      <c r="AA389" s="16"/>
      <c r="AB389" s="17"/>
      <c r="AC389" s="16"/>
      <c r="AD389" s="16"/>
      <c r="AE389" s="17"/>
      <c r="AF389" s="16"/>
      <c r="AG389" s="16"/>
      <c r="AH389" s="17"/>
      <c r="AI389" s="16"/>
      <c r="AJ389" s="16"/>
      <c r="AK389" s="17"/>
      <c r="AL389" s="16"/>
      <c r="AM389" s="16"/>
      <c r="AN389" s="17"/>
      <c r="AO389" s="16"/>
      <c r="AP389" s="16"/>
      <c r="AQ389" s="17"/>
      <c r="AR389" s="16"/>
      <c r="AS389" s="16"/>
      <c r="AT389" s="17"/>
      <c r="AU389" s="16"/>
      <c r="AV389" s="16"/>
      <c r="AW389" s="17"/>
      <c r="AX389" s="16"/>
      <c r="AY389" s="18">
        <v>60.71</v>
      </c>
      <c r="AZ389" s="17"/>
      <c r="BA389" s="16"/>
      <c r="BB389" s="16"/>
      <c r="BC389" s="17"/>
      <c r="BD389" s="16"/>
      <c r="BE389" s="16"/>
      <c r="BF389" s="17"/>
      <c r="BG389" s="16"/>
      <c r="BH389" s="15"/>
    </row>
    <row r="390" spans="3:60" ht="20.25" x14ac:dyDescent="0.3">
      <c r="C390" s="17" t="s">
        <v>5</v>
      </c>
      <c r="D390" s="17"/>
      <c r="E390" s="16"/>
      <c r="F390" s="18">
        <f t="shared" si="23"/>
        <v>0</v>
      </c>
      <c r="G390" s="17"/>
      <c r="H390" s="16"/>
      <c r="I390" s="16"/>
      <c r="J390" s="17"/>
      <c r="K390" s="16"/>
      <c r="L390" s="16"/>
      <c r="M390" s="17"/>
      <c r="N390" s="16"/>
      <c r="O390" s="16"/>
      <c r="P390" s="17"/>
      <c r="Q390" s="16"/>
      <c r="R390" s="16"/>
      <c r="S390" s="17"/>
      <c r="T390" s="16"/>
      <c r="U390" s="16"/>
      <c r="V390" s="17"/>
      <c r="W390" s="16"/>
      <c r="X390" s="16"/>
      <c r="Y390" s="17"/>
      <c r="Z390" s="16"/>
      <c r="AA390" s="16"/>
      <c r="AB390" s="17"/>
      <c r="AC390" s="16"/>
      <c r="AD390" s="16"/>
      <c r="AE390" s="17"/>
      <c r="AF390" s="16"/>
      <c r="AG390" s="16"/>
      <c r="AH390" s="17"/>
      <c r="AI390" s="16"/>
      <c r="AJ390" s="16"/>
      <c r="AK390" s="17"/>
      <c r="AL390" s="16"/>
      <c r="AM390" s="16"/>
      <c r="AN390" s="17"/>
      <c r="AO390" s="16"/>
      <c r="AP390" s="16"/>
      <c r="AQ390" s="17"/>
      <c r="AR390" s="16"/>
      <c r="AS390" s="16"/>
      <c r="AT390" s="17"/>
      <c r="AU390" s="16"/>
      <c r="AV390" s="16"/>
      <c r="AW390" s="17"/>
      <c r="AX390" s="16"/>
      <c r="AY390" s="18">
        <v>0</v>
      </c>
      <c r="AZ390" s="17"/>
      <c r="BA390" s="16"/>
      <c r="BB390" s="16"/>
      <c r="BC390" s="17"/>
      <c r="BD390" s="16"/>
      <c r="BE390" s="16"/>
      <c r="BF390" s="17"/>
      <c r="BG390" s="16"/>
      <c r="BH390" s="15"/>
    </row>
    <row r="391" spans="3:60" ht="20.25" x14ac:dyDescent="0.3">
      <c r="C391" s="17" t="s">
        <v>4</v>
      </c>
      <c r="D391" s="17"/>
      <c r="E391" s="16"/>
      <c r="F391" s="18">
        <f t="shared" si="23"/>
        <v>1007.34</v>
      </c>
      <c r="G391" s="17"/>
      <c r="H391" s="16"/>
      <c r="I391" s="16"/>
      <c r="J391" s="17"/>
      <c r="K391" s="16"/>
      <c r="L391" s="16"/>
      <c r="M391" s="17"/>
      <c r="N391" s="16"/>
      <c r="O391" s="16"/>
      <c r="P391" s="17"/>
      <c r="Q391" s="16"/>
      <c r="R391" s="16"/>
      <c r="S391" s="17"/>
      <c r="T391" s="16"/>
      <c r="U391" s="16"/>
      <c r="V391" s="17"/>
      <c r="W391" s="16"/>
      <c r="X391" s="16"/>
      <c r="Y391" s="17"/>
      <c r="Z391" s="16"/>
      <c r="AA391" s="16"/>
      <c r="AB391" s="17"/>
      <c r="AC391" s="16"/>
      <c r="AD391" s="16"/>
      <c r="AE391" s="17"/>
      <c r="AF391" s="16"/>
      <c r="AG391" s="16"/>
      <c r="AH391" s="17"/>
      <c r="AI391" s="16"/>
      <c r="AJ391" s="16"/>
      <c r="AK391" s="17"/>
      <c r="AL391" s="16"/>
      <c r="AM391" s="16"/>
      <c r="AN391" s="17"/>
      <c r="AO391" s="16"/>
      <c r="AP391" s="16"/>
      <c r="AQ391" s="17"/>
      <c r="AR391" s="16"/>
      <c r="AS391" s="16"/>
      <c r="AT391" s="17"/>
      <c r="AU391" s="16"/>
      <c r="AV391" s="16"/>
      <c r="AW391" s="17"/>
      <c r="AX391" s="16"/>
      <c r="AY391" s="18">
        <v>1007.34</v>
      </c>
      <c r="AZ391" s="17"/>
      <c r="BA391" s="16"/>
      <c r="BB391" s="16"/>
      <c r="BC391" s="17"/>
      <c r="BD391" s="16"/>
      <c r="BE391" s="16"/>
      <c r="BF391" s="17"/>
      <c r="BG391" s="16"/>
      <c r="BH391" s="15"/>
    </row>
    <row r="392" spans="3:60" ht="20.25" hidden="1" x14ac:dyDescent="0.3">
      <c r="C392" s="17" t="s">
        <v>3</v>
      </c>
      <c r="D392" s="17"/>
      <c r="E392" s="16"/>
      <c r="F392" s="18">
        <f t="shared" si="23"/>
        <v>0</v>
      </c>
      <c r="G392" s="17"/>
      <c r="H392" s="16"/>
      <c r="I392" s="16"/>
      <c r="J392" s="17"/>
      <c r="K392" s="16"/>
      <c r="L392" s="16"/>
      <c r="M392" s="17"/>
      <c r="N392" s="16"/>
      <c r="O392" s="16"/>
      <c r="P392" s="17"/>
      <c r="Q392" s="16"/>
      <c r="R392" s="16"/>
      <c r="S392" s="17"/>
      <c r="T392" s="16"/>
      <c r="U392" s="16"/>
      <c r="V392" s="17"/>
      <c r="W392" s="16"/>
      <c r="X392" s="16"/>
      <c r="Y392" s="17"/>
      <c r="Z392" s="16"/>
      <c r="AA392" s="16"/>
      <c r="AB392" s="17"/>
      <c r="AC392" s="16"/>
      <c r="AD392" s="16"/>
      <c r="AE392" s="17"/>
      <c r="AF392" s="16"/>
      <c r="AG392" s="16"/>
      <c r="AH392" s="17"/>
      <c r="AI392" s="16"/>
      <c r="AJ392" s="16"/>
      <c r="AK392" s="17"/>
      <c r="AL392" s="16"/>
      <c r="AM392" s="16"/>
      <c r="AN392" s="17"/>
      <c r="AO392" s="16"/>
      <c r="AP392" s="16"/>
      <c r="AQ392" s="17"/>
      <c r="AR392" s="16"/>
      <c r="AS392" s="16"/>
      <c r="AT392" s="17"/>
      <c r="AU392" s="16"/>
      <c r="AV392" s="16"/>
      <c r="AW392" s="17"/>
      <c r="AX392" s="16"/>
      <c r="AY392" s="18">
        <v>0</v>
      </c>
      <c r="AZ392" s="17"/>
      <c r="BA392" s="16"/>
      <c r="BB392" s="16"/>
      <c r="BC392" s="17"/>
      <c r="BD392" s="16"/>
      <c r="BE392" s="16"/>
      <c r="BF392" s="17"/>
      <c r="BG392" s="16"/>
      <c r="BH392" s="15"/>
    </row>
    <row r="393" spans="3:60" ht="20.25" hidden="1" x14ac:dyDescent="0.3">
      <c r="C393" s="17" t="s">
        <v>3</v>
      </c>
      <c r="D393" s="17"/>
      <c r="E393" s="16"/>
      <c r="F393" s="18">
        <f t="shared" si="23"/>
        <v>0</v>
      </c>
      <c r="G393" s="17"/>
      <c r="H393" s="16"/>
      <c r="I393" s="16"/>
      <c r="J393" s="17"/>
      <c r="K393" s="16"/>
      <c r="L393" s="16"/>
      <c r="M393" s="17"/>
      <c r="N393" s="16"/>
      <c r="O393" s="16"/>
      <c r="P393" s="17"/>
      <c r="Q393" s="16"/>
      <c r="R393" s="16"/>
      <c r="S393" s="17"/>
      <c r="T393" s="16"/>
      <c r="U393" s="16"/>
      <c r="V393" s="17"/>
      <c r="W393" s="16"/>
      <c r="X393" s="16"/>
      <c r="Y393" s="17"/>
      <c r="Z393" s="16"/>
      <c r="AA393" s="16"/>
      <c r="AB393" s="17"/>
      <c r="AC393" s="16"/>
      <c r="AD393" s="16"/>
      <c r="AE393" s="17"/>
      <c r="AF393" s="16"/>
      <c r="AG393" s="16"/>
      <c r="AH393" s="17"/>
      <c r="AI393" s="16"/>
      <c r="AJ393" s="16"/>
      <c r="AK393" s="17"/>
      <c r="AL393" s="16"/>
      <c r="AM393" s="16"/>
      <c r="AN393" s="17"/>
      <c r="AO393" s="16"/>
      <c r="AP393" s="16"/>
      <c r="AQ393" s="17"/>
      <c r="AR393" s="16"/>
      <c r="AS393" s="16"/>
      <c r="AT393" s="17"/>
      <c r="AU393" s="16"/>
      <c r="AV393" s="16"/>
      <c r="AW393" s="17"/>
      <c r="AX393" s="16"/>
      <c r="AY393" s="18">
        <v>0</v>
      </c>
      <c r="AZ393" s="17"/>
      <c r="BA393" s="16"/>
      <c r="BB393" s="16"/>
      <c r="BC393" s="17"/>
      <c r="BD393" s="16"/>
      <c r="BE393" s="16"/>
      <c r="BF393" s="17"/>
      <c r="BG393" s="16"/>
      <c r="BH393" s="15"/>
    </row>
    <row r="394" spans="3:60" ht="20.25" hidden="1" x14ac:dyDescent="0.3">
      <c r="C394" s="17" t="s">
        <v>3</v>
      </c>
      <c r="D394" s="17"/>
      <c r="E394" s="16"/>
      <c r="F394" s="18">
        <f t="shared" si="23"/>
        <v>0</v>
      </c>
      <c r="G394" s="17"/>
      <c r="H394" s="16"/>
      <c r="I394" s="16"/>
      <c r="J394" s="17"/>
      <c r="K394" s="16"/>
      <c r="L394" s="16"/>
      <c r="M394" s="17"/>
      <c r="N394" s="16"/>
      <c r="O394" s="16"/>
      <c r="P394" s="17"/>
      <c r="Q394" s="16"/>
      <c r="R394" s="16"/>
      <c r="S394" s="17"/>
      <c r="T394" s="16"/>
      <c r="U394" s="16"/>
      <c r="V394" s="17"/>
      <c r="W394" s="16"/>
      <c r="X394" s="16"/>
      <c r="Y394" s="17"/>
      <c r="Z394" s="16"/>
      <c r="AA394" s="16"/>
      <c r="AB394" s="17"/>
      <c r="AC394" s="16"/>
      <c r="AD394" s="16"/>
      <c r="AE394" s="17"/>
      <c r="AF394" s="16"/>
      <c r="AG394" s="16"/>
      <c r="AH394" s="17"/>
      <c r="AI394" s="16"/>
      <c r="AJ394" s="16"/>
      <c r="AK394" s="17"/>
      <c r="AL394" s="16"/>
      <c r="AM394" s="16"/>
      <c r="AN394" s="17"/>
      <c r="AO394" s="16"/>
      <c r="AP394" s="16"/>
      <c r="AQ394" s="17"/>
      <c r="AR394" s="16"/>
      <c r="AS394" s="16"/>
      <c r="AT394" s="17"/>
      <c r="AU394" s="16"/>
      <c r="AV394" s="16"/>
      <c r="AW394" s="17"/>
      <c r="AX394" s="16"/>
      <c r="AY394" s="18">
        <v>0</v>
      </c>
      <c r="AZ394" s="17"/>
      <c r="BA394" s="16"/>
      <c r="BB394" s="16"/>
      <c r="BC394" s="17"/>
      <c r="BD394" s="16"/>
      <c r="BE394" s="16"/>
      <c r="BF394" s="17"/>
      <c r="BG394" s="16"/>
      <c r="BH394" s="15"/>
    </row>
    <row r="395" spans="3:60" ht="20.25" x14ac:dyDescent="0.3">
      <c r="C395" s="11" t="s">
        <v>2</v>
      </c>
      <c r="D395" s="11"/>
      <c r="E395" s="14">
        <f>+SUM(H395,K395,N395,Q395,T395,W395,Z395,AC395,AF395,AI395,AL395,AO395,AR395,AU395,AX395,BA395,BD395,BG395)</f>
        <v>0.25954591091782397</v>
      </c>
      <c r="F395" s="12">
        <f>SUM(F378:F394)</f>
        <v>5793.14</v>
      </c>
      <c r="G395" s="11"/>
      <c r="H395" s="10"/>
      <c r="I395" s="10"/>
      <c r="J395" s="11"/>
      <c r="K395" s="10"/>
      <c r="L395" s="10"/>
      <c r="M395" s="11"/>
      <c r="N395" s="10"/>
      <c r="O395" s="10"/>
      <c r="P395" s="11"/>
      <c r="Q395" s="10"/>
      <c r="R395" s="10"/>
      <c r="S395" s="11"/>
      <c r="T395" s="10"/>
      <c r="U395" s="10"/>
      <c r="V395" s="11"/>
      <c r="W395" s="10"/>
      <c r="X395" s="10"/>
      <c r="Y395" s="11"/>
      <c r="Z395" s="10"/>
      <c r="AA395" s="10"/>
      <c r="AB395" s="11"/>
      <c r="AC395" s="10"/>
      <c r="AD395" s="10"/>
      <c r="AE395" s="11"/>
      <c r="AF395" s="10"/>
      <c r="AG395" s="10"/>
      <c r="AH395" s="11"/>
      <c r="AI395" s="10"/>
      <c r="AJ395" s="10"/>
      <c r="AK395" s="11"/>
      <c r="AL395" s="10"/>
      <c r="AM395" s="10"/>
      <c r="AN395" s="11"/>
      <c r="AO395" s="10"/>
      <c r="AP395" s="10"/>
      <c r="AQ395" s="11"/>
      <c r="AR395" s="10"/>
      <c r="AS395" s="10"/>
      <c r="AT395" s="11"/>
      <c r="AU395" s="10"/>
      <c r="AV395" s="10"/>
      <c r="AW395" s="11"/>
      <c r="AX395" s="13">
        <v>0.25954591091782397</v>
      </c>
      <c r="AY395" s="12">
        <v>5793.14</v>
      </c>
      <c r="AZ395" s="11"/>
      <c r="BA395" s="10"/>
      <c r="BB395" s="10"/>
      <c r="BC395" s="11"/>
      <c r="BD395" s="10"/>
      <c r="BE395" s="10"/>
      <c r="BF395" s="11"/>
      <c r="BG395" s="10"/>
      <c r="BH395" s="9"/>
    </row>
    <row r="396" spans="3:60" ht="20.25" x14ac:dyDescent="0.3">
      <c r="C396" s="8"/>
      <c r="D396" s="8"/>
      <c r="E396" s="7"/>
      <c r="F396" s="7"/>
      <c r="G396" s="8"/>
      <c r="H396" s="7"/>
      <c r="I396" s="7"/>
      <c r="J396" s="8"/>
      <c r="K396" s="7"/>
      <c r="L396" s="7"/>
      <c r="M396" s="8"/>
      <c r="N396" s="7"/>
      <c r="O396" s="7"/>
      <c r="P396" s="8"/>
      <c r="Q396" s="7"/>
      <c r="R396" s="7"/>
      <c r="S396" s="8"/>
      <c r="T396" s="7"/>
      <c r="U396" s="7"/>
      <c r="V396" s="8"/>
      <c r="W396" s="7"/>
      <c r="X396" s="7"/>
      <c r="Y396" s="8"/>
      <c r="Z396" s="7"/>
      <c r="AA396" s="7"/>
      <c r="AB396" s="8"/>
      <c r="AC396" s="7"/>
      <c r="AD396" s="7"/>
      <c r="AE396" s="8"/>
      <c r="AF396" s="7"/>
      <c r="AG396" s="7"/>
      <c r="AH396" s="8"/>
      <c r="AI396" s="7"/>
      <c r="AJ396" s="7"/>
      <c r="AK396" s="8"/>
      <c r="AL396" s="7"/>
      <c r="AM396" s="7"/>
      <c r="AN396" s="8"/>
      <c r="AO396" s="7"/>
      <c r="AP396" s="7"/>
      <c r="AQ396" s="8"/>
      <c r="AR396" s="7"/>
      <c r="AS396" s="7"/>
      <c r="AT396" s="8"/>
      <c r="AU396" s="7"/>
      <c r="AV396" s="7"/>
      <c r="AW396" s="8"/>
      <c r="AX396" s="7"/>
      <c r="AY396" s="7"/>
      <c r="AZ396" s="8"/>
      <c r="BA396" s="7"/>
      <c r="BB396" s="7"/>
      <c r="BC396" s="8"/>
      <c r="BD396" s="7"/>
      <c r="BE396" s="7"/>
      <c r="BF396" s="8"/>
      <c r="BG396" s="7"/>
      <c r="BH396" s="6"/>
    </row>
    <row r="397" spans="3:60" ht="20.25" x14ac:dyDescent="0.3">
      <c r="C397" s="11" t="s">
        <v>1</v>
      </c>
      <c r="D397" s="11"/>
      <c r="E397" s="14">
        <f>+SUM(H397,K397,N397,Q397,T397,W397,Z397,AC397,AF397,AI397,AL397,AO397,AR397,AU397,AX397,BA397,BD397,BG397)</f>
        <v>1.8296993453042001</v>
      </c>
      <c r="F397" s="12">
        <f>F377+F395</f>
        <v>40839.42</v>
      </c>
      <c r="G397" s="11"/>
      <c r="H397" s="10"/>
      <c r="I397" s="10"/>
      <c r="J397" s="11"/>
      <c r="K397" s="10"/>
      <c r="L397" s="10"/>
      <c r="M397" s="11"/>
      <c r="N397" s="10"/>
      <c r="O397" s="10"/>
      <c r="P397" s="11"/>
      <c r="Q397" s="10"/>
      <c r="R397" s="10"/>
      <c r="S397" s="11"/>
      <c r="T397" s="10"/>
      <c r="U397" s="10"/>
      <c r="V397" s="11"/>
      <c r="W397" s="10"/>
      <c r="X397" s="10"/>
      <c r="Y397" s="11"/>
      <c r="Z397" s="10"/>
      <c r="AA397" s="10"/>
      <c r="AB397" s="11"/>
      <c r="AC397" s="10"/>
      <c r="AD397" s="10"/>
      <c r="AE397" s="11"/>
      <c r="AF397" s="10"/>
      <c r="AG397" s="10"/>
      <c r="AH397" s="11"/>
      <c r="AI397" s="10"/>
      <c r="AJ397" s="10"/>
      <c r="AK397" s="11"/>
      <c r="AL397" s="10"/>
      <c r="AM397" s="10"/>
      <c r="AN397" s="11"/>
      <c r="AO397" s="10"/>
      <c r="AP397" s="10"/>
      <c r="AQ397" s="11"/>
      <c r="AR397" s="10"/>
      <c r="AS397" s="10"/>
      <c r="AT397" s="11"/>
      <c r="AU397" s="10"/>
      <c r="AV397" s="10"/>
      <c r="AW397" s="11"/>
      <c r="AX397" s="13">
        <v>1.8296993453042001</v>
      </c>
      <c r="AY397" s="12">
        <v>40839.42</v>
      </c>
      <c r="AZ397" s="11"/>
      <c r="BA397" s="10"/>
      <c r="BB397" s="10"/>
      <c r="BC397" s="11"/>
      <c r="BD397" s="10"/>
      <c r="BE397" s="10"/>
      <c r="BF397" s="11"/>
      <c r="BG397" s="10"/>
      <c r="BH397" s="9"/>
    </row>
    <row r="398" spans="3:60" ht="21" thickBot="1" x14ac:dyDescent="0.35">
      <c r="C398" s="8"/>
      <c r="D398" s="8"/>
      <c r="E398" s="7"/>
      <c r="F398" s="7"/>
      <c r="G398" s="8"/>
      <c r="H398" s="7"/>
      <c r="I398" s="7"/>
      <c r="J398" s="8"/>
      <c r="K398" s="7"/>
      <c r="L398" s="7"/>
      <c r="M398" s="8"/>
      <c r="N398" s="7"/>
      <c r="O398" s="7"/>
      <c r="P398" s="8"/>
      <c r="Q398" s="7"/>
      <c r="R398" s="7"/>
      <c r="S398" s="8"/>
      <c r="T398" s="7"/>
      <c r="U398" s="7"/>
      <c r="V398" s="8"/>
      <c r="W398" s="7"/>
      <c r="X398" s="7"/>
      <c r="Y398" s="8"/>
      <c r="Z398" s="7"/>
      <c r="AA398" s="7"/>
      <c r="AB398" s="8"/>
      <c r="AC398" s="7"/>
      <c r="AD398" s="7"/>
      <c r="AE398" s="8"/>
      <c r="AF398" s="7"/>
      <c r="AG398" s="7"/>
      <c r="AH398" s="8"/>
      <c r="AI398" s="7"/>
      <c r="AJ398" s="7"/>
      <c r="AK398" s="8"/>
      <c r="AL398" s="7"/>
      <c r="AM398" s="7"/>
      <c r="AN398" s="8"/>
      <c r="AO398" s="7"/>
      <c r="AP398" s="7"/>
      <c r="AQ398" s="8"/>
      <c r="AR398" s="7"/>
      <c r="AS398" s="7"/>
      <c r="AT398" s="8"/>
      <c r="AU398" s="7"/>
      <c r="AV398" s="7"/>
      <c r="AW398" s="8"/>
      <c r="AX398" s="7"/>
      <c r="AY398" s="7"/>
      <c r="AZ398" s="8"/>
      <c r="BA398" s="7"/>
      <c r="BB398" s="7"/>
      <c r="BC398" s="8"/>
      <c r="BD398" s="7"/>
      <c r="BE398" s="7"/>
      <c r="BF398" s="8"/>
      <c r="BG398" s="7"/>
      <c r="BH398" s="6"/>
    </row>
    <row r="399" spans="3:60" ht="21.75" thickTop="1" thickBot="1" x14ac:dyDescent="0.35">
      <c r="C399" s="4" t="s">
        <v>0</v>
      </c>
      <c r="D399" s="4"/>
      <c r="E399" s="3"/>
      <c r="F399" s="5">
        <f>F362-F397</f>
        <v>-18519.129999999997</v>
      </c>
      <c r="G399" s="4"/>
      <c r="H399" s="3"/>
      <c r="I399" s="3"/>
      <c r="J399" s="4"/>
      <c r="K399" s="3"/>
      <c r="L399" s="3"/>
      <c r="M399" s="4"/>
      <c r="N399" s="3"/>
      <c r="O399" s="3"/>
      <c r="P399" s="4"/>
      <c r="Q399" s="3"/>
      <c r="R399" s="3"/>
      <c r="S399" s="4"/>
      <c r="T399" s="3"/>
      <c r="U399" s="3"/>
      <c r="V399" s="4"/>
      <c r="W399" s="3"/>
      <c r="X399" s="3"/>
      <c r="Y399" s="4"/>
      <c r="Z399" s="3"/>
      <c r="AA399" s="3"/>
      <c r="AB399" s="4"/>
      <c r="AC399" s="3"/>
      <c r="AD399" s="3"/>
      <c r="AE399" s="4"/>
      <c r="AF399" s="3"/>
      <c r="AG399" s="3"/>
      <c r="AH399" s="4"/>
      <c r="AI399" s="3"/>
      <c r="AJ399" s="3"/>
      <c r="AK399" s="4"/>
      <c r="AL399" s="3"/>
      <c r="AM399" s="3"/>
      <c r="AN399" s="4"/>
      <c r="AO399" s="3"/>
      <c r="AP399" s="3"/>
      <c r="AQ399" s="4"/>
      <c r="AR399" s="3"/>
      <c r="AS399" s="3"/>
      <c r="AT399" s="4"/>
      <c r="AU399" s="3"/>
      <c r="AV399" s="3"/>
      <c r="AW399" s="4"/>
      <c r="AX399" s="3"/>
      <c r="AY399" s="5">
        <v>-18519.129999999899</v>
      </c>
      <c r="AZ399" s="4"/>
      <c r="BA399" s="3"/>
      <c r="BB399" s="3"/>
      <c r="BC399" s="4"/>
      <c r="BD399" s="3"/>
      <c r="BE399" s="3"/>
      <c r="BF399" s="4"/>
      <c r="BG399" s="3"/>
      <c r="BH399" s="2"/>
    </row>
    <row r="400" spans="3:60" ht="15.75" thickTop="1" x14ac:dyDescent="0.25"/>
    <row r="401" spans="6:24" x14ac:dyDescent="0.25"/>
    <row r="402" spans="6:24" ht="14.25" customHeight="1" x14ac:dyDescent="0.25"/>
    <row r="403" spans="6:24" ht="14.25" customHeight="1" x14ac:dyDescent="0.25"/>
    <row r="404" spans="6:24" ht="14.25" customHeight="1" x14ac:dyDescent="0.25"/>
    <row r="405" spans="6:24" ht="14.25" customHeight="1" x14ac:dyDescent="0.25"/>
    <row r="406" spans="6:24" ht="14.25" customHeight="1" x14ac:dyDescent="0.25"/>
    <row r="407" spans="6:24" ht="14.25" customHeight="1" x14ac:dyDescent="0.25">
      <c r="F407" s="1"/>
      <c r="I407" s="1"/>
      <c r="L407" s="1"/>
      <c r="O407" s="1"/>
      <c r="R407" s="1"/>
      <c r="U407" s="1"/>
      <c r="X407" s="1"/>
    </row>
  </sheetData>
  <mergeCells count="142">
    <mergeCell ref="BF170:BH170"/>
    <mergeCell ref="BC170:BE170"/>
    <mergeCell ref="BF91:BH91"/>
    <mergeCell ref="BC91:BE91"/>
    <mergeCell ref="BC3:BE3"/>
    <mergeCell ref="BF1:BH1"/>
    <mergeCell ref="BC1:BE1"/>
    <mergeCell ref="BF358:BH358"/>
    <mergeCell ref="BC358:BE358"/>
    <mergeCell ref="BF293:BH293"/>
    <mergeCell ref="BC293:BE293"/>
    <mergeCell ref="BF238:BH238"/>
    <mergeCell ref="BC238:BE238"/>
    <mergeCell ref="BF3:BH3"/>
    <mergeCell ref="AZ358:BB358"/>
    <mergeCell ref="AE358:AG358"/>
    <mergeCell ref="AH358:AJ358"/>
    <mergeCell ref="AK358:AM358"/>
    <mergeCell ref="AN358:AP358"/>
    <mergeCell ref="AQ358:AS358"/>
    <mergeCell ref="AT358:AV358"/>
    <mergeCell ref="AZ293:BB293"/>
    <mergeCell ref="V293:X293"/>
    <mergeCell ref="Y293:AA293"/>
    <mergeCell ref="AB293:AD293"/>
    <mergeCell ref="AE293:AG293"/>
    <mergeCell ref="AH293:AJ293"/>
    <mergeCell ref="AK293:AM293"/>
    <mergeCell ref="Y358:AA358"/>
    <mergeCell ref="AB358:AD358"/>
    <mergeCell ref="AN293:AP293"/>
    <mergeCell ref="AQ293:AS293"/>
    <mergeCell ref="AT293:AV293"/>
    <mergeCell ref="AW293:AY293"/>
    <mergeCell ref="AW358:AY358"/>
    <mergeCell ref="AQ238:AS238"/>
    <mergeCell ref="AT238:AV238"/>
    <mergeCell ref="D358:F358"/>
    <mergeCell ref="G358:I358"/>
    <mergeCell ref="J358:L358"/>
    <mergeCell ref="M358:O358"/>
    <mergeCell ref="P358:R358"/>
    <mergeCell ref="S358:U358"/>
    <mergeCell ref="V358:X358"/>
    <mergeCell ref="AN238:AP238"/>
    <mergeCell ref="AZ238:BB238"/>
    <mergeCell ref="D293:F293"/>
    <mergeCell ref="G293:I293"/>
    <mergeCell ref="J293:L293"/>
    <mergeCell ref="M293:O293"/>
    <mergeCell ref="P293:R293"/>
    <mergeCell ref="S293:U293"/>
    <mergeCell ref="AE238:AG238"/>
    <mergeCell ref="AZ170:BB170"/>
    <mergeCell ref="V170:X170"/>
    <mergeCell ref="Y170:AA170"/>
    <mergeCell ref="AB170:AD170"/>
    <mergeCell ref="AE170:AG170"/>
    <mergeCell ref="AH170:AJ170"/>
    <mergeCell ref="AK170:AM170"/>
    <mergeCell ref="Y238:AA238"/>
    <mergeCell ref="AB238:AD238"/>
    <mergeCell ref="AN170:AP170"/>
    <mergeCell ref="AQ170:AS170"/>
    <mergeCell ref="AT170:AV170"/>
    <mergeCell ref="AW170:AY170"/>
    <mergeCell ref="AW238:AY238"/>
    <mergeCell ref="AH238:AJ238"/>
    <mergeCell ref="AK238:AM238"/>
    <mergeCell ref="D91:F91"/>
    <mergeCell ref="G91:I91"/>
    <mergeCell ref="J91:L91"/>
    <mergeCell ref="M91:O91"/>
    <mergeCell ref="P91:R91"/>
    <mergeCell ref="AQ91:AS91"/>
    <mergeCell ref="AT91:AV91"/>
    <mergeCell ref="D238:F238"/>
    <mergeCell ref="G238:I238"/>
    <mergeCell ref="J238:L238"/>
    <mergeCell ref="M238:O238"/>
    <mergeCell ref="P238:R238"/>
    <mergeCell ref="S238:U238"/>
    <mergeCell ref="V238:X238"/>
    <mergeCell ref="D170:F170"/>
    <mergeCell ref="G170:I170"/>
    <mergeCell ref="J170:L170"/>
    <mergeCell ref="M170:O170"/>
    <mergeCell ref="P170:R170"/>
    <mergeCell ref="S170:U170"/>
    <mergeCell ref="S91:U91"/>
    <mergeCell ref="V91:X91"/>
    <mergeCell ref="Y91:AA91"/>
    <mergeCell ref="AB91:AD91"/>
    <mergeCell ref="AW91:AY91"/>
    <mergeCell ref="AZ91:BB91"/>
    <mergeCell ref="AE91:AG91"/>
    <mergeCell ref="AH91:AJ91"/>
    <mergeCell ref="AK91:AM91"/>
    <mergeCell ref="AN91:AP91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Y2:AA2"/>
    <mergeCell ref="AB2:AD2"/>
    <mergeCell ref="AE2:AG2"/>
    <mergeCell ref="AH2:AJ2"/>
    <mergeCell ref="AK2:AM2"/>
    <mergeCell ref="AZ1:BB1"/>
    <mergeCell ref="V1:X1"/>
    <mergeCell ref="Y1:AA1"/>
    <mergeCell ref="AB1:AD1"/>
    <mergeCell ref="AE1:AG1"/>
    <mergeCell ref="AN2:AP2"/>
    <mergeCell ref="AQ2:AS2"/>
    <mergeCell ref="AT2:AV2"/>
    <mergeCell ref="AW2:AY2"/>
    <mergeCell ref="AN1:AP1"/>
    <mergeCell ref="AQ1:AS1"/>
    <mergeCell ref="AT1:AV1"/>
    <mergeCell ref="AW1:AY1"/>
    <mergeCell ref="AH1:AJ1"/>
    <mergeCell ref="AK1:AM1"/>
    <mergeCell ref="D1:F1"/>
    <mergeCell ref="G1:I1"/>
    <mergeCell ref="J1:L1"/>
    <mergeCell ref="M1:O1"/>
    <mergeCell ref="P1:R1"/>
    <mergeCell ref="S1:U1"/>
    <mergeCell ref="J3:L3"/>
    <mergeCell ref="M3:O3"/>
    <mergeCell ref="P3:R3"/>
    <mergeCell ref="S3:U3"/>
    <mergeCell ref="D3:F3"/>
    <mergeCell ref="G3:I3"/>
  </mergeCells>
  <conditionalFormatting sqref="D3 G3 J3 M3 P3 S3 V3 Y3 AB3 AE3 AH3 AK3 AN3 AQ3 AT3 AW3 AZ3 BC3 BF3 AA5:AA24 D13:D14 G13:G14 J13:J14 M13:M14 P13:P14 S13:S14 V13:V14 Y13:Y14 AB13:AB14 AE13:AE14 AH13:AH14 AK13:AK14 AN13:AN14 AQ13:AQ14 AT13:AT14 AW13:AW14 AZ13:AZ14 BC13:BC14 BF13:BF14 D16 G16 J16 M16 P16 S16 V16 Y16 AB16 AE16 AH16 AK16 AN16 AQ16 AT16 AW16 AZ16 BC16 BF16 D18:D24 G18:G24 J18:J24 M18:M24 P18:P24 S18:S24 V18:V24 Y18:Y24 AB18:AB24 AE18:AE24 AH18:AH24 AK18:AK24 AN18:AN24 AQ18:AQ24 AT18:AT24 AW18:AW24 AZ18:AZ24 BC18:BC24 BF18:BF24 D25:BH28 F29:BH30 D29:E40 G31:H40 J31:K40 M31:N40 P31:Q40 S31:T40 V31:W40 Y31:Z40 AB31:AC40 AE31:AF40 AH31:AI40 AK31:AL40 AN31:AO40 AQ31:AR40 AT31:AU40 AW31:AX40 AZ31:BA40 BC31:BD40 BF31:BG40 D83:BH88 E90:BH90 D90:D91 G91 J91 M91 P91 S91 V91 Y91 AB91 AE91 AH91 AK91 AN91 AQ91 AT91 AW91 AZ91 BC91 BF91 Z93:AA96 D97:BH98 Z99:AA100 D156:E157 G156:H157 J156:K157 M156:N157 P156:Q157 S156:T157 V156:W157 Y156:Z157 AB156:AC157 AE156:AF157 AH156:AI157 AK156:AL157 AN156:AO157 AQ156:AR157 AT156:AU157 AW156:AX157 AZ156:BA157 BC156:BD157 BF156:BG157 F164:BH164 D164:E167 G165:H167 J165:K167 M165:N167 P165:Q167 S165:T167 V165:W167 Y165:Z167 AB165:AC167 AE165:AF167 AH165:AI167 AK165:AL167 AN165:AO167 AQ165:AR167 AT165:AU167 AW165:AX167 AZ165:BA167 BC165:BD167 BF165:BG167 F166:F167 I166:I167 L166:L167 O166:O167 R166:R167 U166:U167 X166:X167 AA166:AA167 AD166:AD167 AG166:AG167 AJ166:AJ167 AM166:AM167 AP166:AP167 AS166:AS167 AV166:AV167 AY166:AY167 BB166:BB167 BE166:BE167 BH166:BH167 D169:BH169 D170 G170 J170 M170 P170 S170 V170 AN170:AN196 AT170:AT196 BC170:BC196 BF170:BF196 D171:X171 Z171:AA173 AA174:AA175 Y198:Z229 D232:BH232 D233:E235 G233:H235 J233:K235 M233:N235 P233:Q235 S233:T235 V233:W235 Y233:Z235 AB233:AC235 AE233:AF235 AH233:AI235 AK233:AL235 AN233:AO235 AQ233:AR235 AT233:AU235 AW233:AX235 AZ233:BA235 BC233:BD235 BF233:BG235 F234:F235 I234:I235 L234:L235 O234:O235 R234:R235 U234:U235 X234:X235 AA234:AA235 AD234:AD235 AG234:AG235 AJ234:AJ235 AM234:AM235 AP234:AP235 AS234:AS235 AV234:AV235 AY234:AY235 BB234:BB235 BE234:BE235 BH234:BH235 D237:BH237 D238 G238 J238 M238 P238 S238 V238 Y238:Y240 AB238:AB240 AE238:AE240 AH238:AH240 AK238:AK240 AN238:AN240 AQ238:AQ240 AT238:AT240 AW238:AW240 AZ238:AZ240 BC238:BC240 BF238:BF240 D239:X239 Z239:AA241 D240 G240 J240 M240 P240 S240 V240 D243:BH243 D252:BH253 Y254:Z285 AA267:AA284 D288:BH288 D289:E290 G289:H290 J289:K290 M289:N290 P289:Q290 S289:T290 V289:W290 Y289:Z290 AB289:AC290 AE289:AF290 AH289:AI290 AK289:AL290 AN289:AO290 AQ289:AR290 AT289:AU290 AW289:AX290 AZ289:BA290 BC289:BD290 BF289:BG290 F290 I290 L290 O290 R290 U290 X290 AA290 AD290 AG290 AJ290 AM290 AP290 AS290 AV290 AY290 BB290 BE290 BH290 D292:BH292 D293 G293 J293 M293 P293 S293 V293 Y293 AB293 AE293 AH293 AK293 AN293 AQ293 AT293 AW293 AZ293 BC293 BF293 AA318:AA329 D318:E348 G318:H348 J318:K348 M318:N348 P318:Q348 S318:T348 V318:W348 Y318:Z348 AB318:AC348 AE318:AF348 AH318:AI348 AK318:AL348 AN318:AO348 AQ318:AR348 AT318:AU348 AW318:AX348 AZ318:BA348 BC318:BD348 BF318:BG348 D349:BH349 D352:BH352 D353:E353 G353:H353 J353:K353 M353:N353 P353:Q353 S353:T353 V353:W353 Y353:Z353 AB353:AC353 AE353:AF353 AH353:AI353 AK353:AL353 AN353:AO353 AQ353:AR353 AT353:AU353 AW353:AX353 AZ353:BA353 BC353:BD353 BF353:BG353">
    <cfRule type="expression" dxfId="215" priority="1" stopIfTrue="1">
      <formula>"esterreur(reference)"</formula>
    </cfRule>
  </conditionalFormatting>
  <conditionalFormatting sqref="D172:D196">
    <cfRule type="expression" dxfId="214" priority="2" stopIfTrue="1">
      <formula>"esterreur(reference)"</formula>
    </cfRule>
  </conditionalFormatting>
  <conditionalFormatting sqref="D358 G358 J358 M358 P358 S358 V358 Y358 AB358 AE358 AH358 AK358 AN358 AQ358 AT358 AW358 AZ358 BC358 BF358">
    <cfRule type="expression" dxfId="213" priority="3" stopIfTrue="1">
      <formula>"esterreur(reference)"</formula>
    </cfRule>
  </conditionalFormatting>
  <conditionalFormatting sqref="D360">
    <cfRule type="expression" dxfId="212" priority="4" stopIfTrue="1">
      <formula>"esterreur(reference)"</formula>
    </cfRule>
  </conditionalFormatting>
  <conditionalFormatting sqref="D362">
    <cfRule type="expression" dxfId="211" priority="5" stopIfTrue="1">
      <formula>"esterreur(reference)"</formula>
    </cfRule>
  </conditionalFormatting>
  <conditionalFormatting sqref="D101:E153">
    <cfRule type="expression" dxfId="210" priority="6" stopIfTrue="1">
      <formula>"esterreur(reference)"</formula>
    </cfRule>
  </conditionalFormatting>
  <conditionalFormatting sqref="D198:E229">
    <cfRule type="expression" dxfId="209" priority="7" stopIfTrue="1">
      <formula>"esterreur(reference)"</formula>
    </cfRule>
  </conditionalFormatting>
  <conditionalFormatting sqref="D254:E285">
    <cfRule type="expression" dxfId="208" priority="8" stopIfTrue="1">
      <formula>"esterreur(reference)"</formula>
    </cfRule>
  </conditionalFormatting>
  <conditionalFormatting sqref="D359:BB359">
    <cfRule type="expression" dxfId="207" priority="9" stopIfTrue="1">
      <formula>"esterreur(reference)"</formula>
    </cfRule>
  </conditionalFormatting>
  <conditionalFormatting sqref="D42:BH72">
    <cfRule type="expression" dxfId="206" priority="10" stopIfTrue="1">
      <formula>"esterreur(reference)"</formula>
    </cfRule>
  </conditionalFormatting>
  <conditionalFormatting sqref="D197:BH197">
    <cfRule type="expression" dxfId="205" priority="11" stopIfTrue="1">
      <formula>"esterreur(reference)"</formula>
    </cfRule>
  </conditionalFormatting>
  <conditionalFormatting sqref="D294:BH317">
    <cfRule type="expression" dxfId="204" priority="12" stopIfTrue="1">
      <formula>"esterreur(reference)"</formula>
    </cfRule>
  </conditionalFormatting>
  <conditionalFormatting sqref="E5">
    <cfRule type="expression" dxfId="203" priority="13" stopIfTrue="1">
      <formula>"esterreur(reference)"</formula>
    </cfRule>
  </conditionalFormatting>
  <conditionalFormatting sqref="E99:E100 H99:I100 K99:L100 N99:O100 Q99:R100 T99:U100 W99:X100">
    <cfRule type="expression" dxfId="202" priority="14" stopIfTrue="1">
      <formula>"esterreur(reference)"</formula>
    </cfRule>
  </conditionalFormatting>
  <conditionalFormatting sqref="E175">
    <cfRule type="expression" dxfId="201" priority="15" stopIfTrue="1">
      <formula>"esterreur(reference)"</formula>
    </cfRule>
  </conditionalFormatting>
  <conditionalFormatting sqref="E287">
    <cfRule type="expression" dxfId="200" priority="16" stopIfTrue="1">
      <formula>"esterreur(reference)"</formula>
    </cfRule>
  </conditionalFormatting>
  <conditionalFormatting sqref="E93:F96 H93:I96 K93:L96 N93:O96 Q93:R96 T93:U96 W93:X96">
    <cfRule type="expression" dxfId="199" priority="17" stopIfTrue="1">
      <formula>"esterreur(reference)"</formula>
    </cfRule>
  </conditionalFormatting>
  <conditionalFormatting sqref="E172:F173 H172:I173 K172:L173 N172:O173 Q172:R173 T172:U173 W172:X173">
    <cfRule type="expression" dxfId="198" priority="18" stopIfTrue="1">
      <formula>"esterreur(reference)"</formula>
    </cfRule>
  </conditionalFormatting>
  <conditionalFormatting sqref="E176:F196">
    <cfRule type="expression" dxfId="197" priority="19" stopIfTrue="1">
      <formula>"esterreur(reference)"</formula>
    </cfRule>
  </conditionalFormatting>
  <conditionalFormatting sqref="E240:F241 H240:I241 K240:L241 N240:O241 Q240:R241 T240:U241 W240:X241">
    <cfRule type="expression" dxfId="196" priority="20" stopIfTrue="1">
      <formula>"esterreur(reference)"</formula>
    </cfRule>
  </conditionalFormatting>
  <conditionalFormatting sqref="E244:F244 H244:I244 K244:L244 N244:O244 Q244:R244 T244:U244 W244:X244">
    <cfRule type="expression" dxfId="195" priority="21" stopIfTrue="1">
      <formula>"esterreur(reference)"</formula>
    </cfRule>
  </conditionalFormatting>
  <conditionalFormatting sqref="E247:F247 H247:I247 K247:L247 N247:O247 Q247:R247 T247:U247 W247:X247">
    <cfRule type="expression" dxfId="194" priority="22" stopIfTrue="1">
      <formula>"esterreur(reference)"</formula>
    </cfRule>
  </conditionalFormatting>
  <conditionalFormatting sqref="F5:F24 I5:I24 L5:L24 O5:O24 R5:R24 U5:U24 X5:X24">
    <cfRule type="expression" dxfId="193" priority="23" stopIfTrue="1">
      <formula>"esterreur(reference)"</formula>
    </cfRule>
  </conditionalFormatting>
  <conditionalFormatting sqref="F75:F82">
    <cfRule type="expression" dxfId="192" priority="24" stopIfTrue="1">
      <formula>"esterreur(reference)"</formula>
    </cfRule>
  </conditionalFormatting>
  <conditionalFormatting sqref="F99:F153">
    <cfRule type="expression" dxfId="191" priority="25" stopIfTrue="1">
      <formula>"esterreur(reference)"</formula>
    </cfRule>
  </conditionalFormatting>
  <conditionalFormatting sqref="F156:F162">
    <cfRule type="expression" dxfId="190" priority="26" stopIfTrue="1">
      <formula>"esterreur(reference)"</formula>
    </cfRule>
  </conditionalFormatting>
  <conditionalFormatting sqref="F174:F175 I174:I175 L174:L175 O174:O175 R174:R175 U174:U175 X174:X175">
    <cfRule type="expression" dxfId="189" priority="27" stopIfTrue="1">
      <formula>"esterreur(reference)"</formula>
    </cfRule>
  </conditionalFormatting>
  <conditionalFormatting sqref="F198:F209 I198:I209 L198:L209 O198:O209 R198:R209 U198:U209 X198:X209">
    <cfRule type="expression" dxfId="188" priority="28" stopIfTrue="1">
      <formula>"esterreur(reference)"</formula>
    </cfRule>
  </conditionalFormatting>
  <conditionalFormatting sqref="F211:F228 I211:I228 L211:L228 O211:O228 R211:R228 U211:U228 X211:X228">
    <cfRule type="expression" dxfId="187" priority="29" stopIfTrue="1">
      <formula>"esterreur(reference)"</formula>
    </cfRule>
  </conditionalFormatting>
  <conditionalFormatting sqref="F254:F265 I254:I265 L254:L265 O254:O265 R254:R265 U254:U265 X254:X265">
    <cfRule type="expression" dxfId="186" priority="30" stopIfTrue="1">
      <formula>"esterreur(reference)"</formula>
    </cfRule>
  </conditionalFormatting>
  <conditionalFormatting sqref="F267:F284 I267:I284 L267:L284 O267:O284 R267:R284 U267:U284 X267:X284">
    <cfRule type="expression" dxfId="185" priority="31" stopIfTrue="1">
      <formula>"esterreur(reference)"</formula>
    </cfRule>
  </conditionalFormatting>
  <conditionalFormatting sqref="F318:F329 I318:I329 L318:L329 O318:O329 R318:R329 U318:U329 X318:X329">
    <cfRule type="expression" dxfId="184" priority="32" stopIfTrue="1">
      <formula>"esterreur(reference)"</formula>
    </cfRule>
  </conditionalFormatting>
  <conditionalFormatting sqref="F331:F348 I331:I348 L331:L348 O331:O348 R331:R348 U331:U348 X331:X348">
    <cfRule type="expression" dxfId="183" priority="33" stopIfTrue="1">
      <formula>"esterreur(reference)"</formula>
    </cfRule>
  </conditionalFormatting>
  <conditionalFormatting sqref="F360">
    <cfRule type="expression" dxfId="182" priority="34" stopIfTrue="1">
      <formula>"esterreur(reference)"</formula>
    </cfRule>
  </conditionalFormatting>
  <conditionalFormatting sqref="F362:F376">
    <cfRule type="expression" dxfId="181" priority="35" stopIfTrue="1">
      <formula>"esterreur(reference)"</formula>
    </cfRule>
  </conditionalFormatting>
  <conditionalFormatting sqref="F378:F394">
    <cfRule type="expression" dxfId="180" priority="36" stopIfTrue="1">
      <formula>"esterreur(reference)"</formula>
    </cfRule>
  </conditionalFormatting>
  <conditionalFormatting sqref="G172:G196">
    <cfRule type="expression" dxfId="179" priority="37" stopIfTrue="1">
      <formula>"esterreur(reference)"</formula>
    </cfRule>
  </conditionalFormatting>
  <conditionalFormatting sqref="G198:H229">
    <cfRule type="expression" dxfId="178" priority="38" stopIfTrue="1">
      <formula>"esterreur(reference)"</formula>
    </cfRule>
  </conditionalFormatting>
  <conditionalFormatting sqref="G254:H285">
    <cfRule type="expression" dxfId="177" priority="39" stopIfTrue="1">
      <formula>"esterreur(reference)"</formula>
    </cfRule>
  </conditionalFormatting>
  <conditionalFormatting sqref="G101:BH153">
    <cfRule type="expression" dxfId="176" priority="40" stopIfTrue="1">
      <formula>"esterreur(reference)"</formula>
    </cfRule>
  </conditionalFormatting>
  <conditionalFormatting sqref="H5">
    <cfRule type="expression" dxfId="175" priority="41" stopIfTrue="1">
      <formula>"esterreur(reference)"</formula>
    </cfRule>
  </conditionalFormatting>
  <conditionalFormatting sqref="H175">
    <cfRule type="expression" dxfId="174" priority="42" stopIfTrue="1">
      <formula>"esterreur(reference)"</formula>
    </cfRule>
  </conditionalFormatting>
  <conditionalFormatting sqref="H287">
    <cfRule type="expression" dxfId="173" priority="43" stopIfTrue="1">
      <formula>"esterreur(reference)"</formula>
    </cfRule>
  </conditionalFormatting>
  <conditionalFormatting sqref="I75:I82 L75:L82 O75:O82 R75:R82 U75:U82 X75:X82">
    <cfRule type="expression" dxfId="172" priority="44" stopIfTrue="1">
      <formula>"esterreur(reference)"</formula>
    </cfRule>
  </conditionalFormatting>
  <conditionalFormatting sqref="I156:I162 L156:L162 O156:O162 R156:R162 U156:U162 X156:X162">
    <cfRule type="expression" dxfId="171" priority="45" stopIfTrue="1">
      <formula>"esterreur(reference)"</formula>
    </cfRule>
  </conditionalFormatting>
  <conditionalFormatting sqref="J198:K229 M198:N229 P198:Q229">
    <cfRule type="expression" dxfId="170" priority="46" stopIfTrue="1">
      <formula>"esterreur(reference)"</formula>
    </cfRule>
  </conditionalFormatting>
  <conditionalFormatting sqref="J254:K285 M254:N285 P254:Q285">
    <cfRule type="expression" dxfId="169" priority="47" stopIfTrue="1">
      <formula>"esterreur(reference)"</formula>
    </cfRule>
  </conditionalFormatting>
  <conditionalFormatting sqref="K5 N5 Q5">
    <cfRule type="expression" dxfId="168" priority="48" stopIfTrue="1">
      <formula>"esterreur(reference)"</formula>
    </cfRule>
  </conditionalFormatting>
  <conditionalFormatting sqref="K175 N175 Q175">
    <cfRule type="expression" dxfId="167" priority="49" stopIfTrue="1">
      <formula>"esterreur(reference)"</formula>
    </cfRule>
  </conditionalFormatting>
  <conditionalFormatting sqref="K287 N287 Q287">
    <cfRule type="expression" dxfId="166" priority="50" stopIfTrue="1">
      <formula>"esterreur(reference)"</formula>
    </cfRule>
  </conditionalFormatting>
  <conditionalFormatting sqref="S198:T229 V198:W229">
    <cfRule type="expression" dxfId="165" priority="51" stopIfTrue="1">
      <formula>"esterreur(reference)"</formula>
    </cfRule>
  </conditionalFormatting>
  <conditionalFormatting sqref="S254:T285 V254:W285">
    <cfRule type="expression" dxfId="164" priority="52" stopIfTrue="1">
      <formula>"esterreur(reference)"</formula>
    </cfRule>
  </conditionalFormatting>
  <conditionalFormatting sqref="T5 W5">
    <cfRule type="expression" dxfId="163" priority="53" stopIfTrue="1">
      <formula>"esterreur(reference)"</formula>
    </cfRule>
  </conditionalFormatting>
  <conditionalFormatting sqref="T175 W175">
    <cfRule type="expression" dxfId="162" priority="54" stopIfTrue="1">
      <formula>"esterreur(reference)"</formula>
    </cfRule>
  </conditionalFormatting>
  <conditionalFormatting sqref="T287 W287">
    <cfRule type="expression" dxfId="161" priority="55" stopIfTrue="1">
      <formula>"esterreur(reference)"</formula>
    </cfRule>
  </conditionalFormatting>
  <conditionalFormatting sqref="W176:X192 H176:I196 K176:L196 N176:O196 Q176:R196 T176:U196">
    <cfRule type="expression" dxfId="160" priority="56" stopIfTrue="1">
      <formula>"esterreur(reference)"</formula>
    </cfRule>
  </conditionalFormatting>
  <conditionalFormatting sqref="W193:AD196">
    <cfRule type="expression" dxfId="159" priority="57" stopIfTrue="1">
      <formula>"esterreur(reference)"</formula>
    </cfRule>
  </conditionalFormatting>
  <conditionalFormatting sqref="Y170:Y192 AB170:AB192 AE170:AE196 AH170:AH196 AK170:AK196 J172:J196 M172:M196 P172:P196 S172:S196 V172:V196">
    <cfRule type="expression" dxfId="158" priority="58" stopIfTrue="1">
      <formula>"esterreur(reference)"</formula>
    </cfRule>
  </conditionalFormatting>
  <conditionalFormatting sqref="Z5">
    <cfRule type="expression" dxfId="157" priority="59" stopIfTrue="1">
      <formula>"esterreur(reference)"</formula>
    </cfRule>
  </conditionalFormatting>
  <conditionalFormatting sqref="Z175">
    <cfRule type="expression" dxfId="156" priority="60" stopIfTrue="1">
      <formula>"esterreur(reference)"</formula>
    </cfRule>
  </conditionalFormatting>
  <conditionalFormatting sqref="Z287">
    <cfRule type="expression" dxfId="155" priority="61" stopIfTrue="1">
      <formula>"esterreur(reference)"</formula>
    </cfRule>
  </conditionalFormatting>
  <conditionalFormatting sqref="Z176:AA192 AC176:AD192 AF176:AG196 AI176:AJ196 AL176:AM196 AO176:AP196 AR176:AS196 AU176:AV196 AX176:AY196 BA176:BB196">
    <cfRule type="expression" dxfId="154" priority="62" stopIfTrue="1">
      <formula>"esterreur(reference)"</formula>
    </cfRule>
  </conditionalFormatting>
  <conditionalFormatting sqref="Z244:AA244">
    <cfRule type="expression" dxfId="153" priority="63" stopIfTrue="1">
      <formula>"esterreur(reference)"</formula>
    </cfRule>
  </conditionalFormatting>
  <conditionalFormatting sqref="Z247:AA247">
    <cfRule type="expression" dxfId="152" priority="64" stopIfTrue="1">
      <formula>"esterreur(reference)"</formula>
    </cfRule>
  </conditionalFormatting>
  <conditionalFormatting sqref="AA75:AA82">
    <cfRule type="expression" dxfId="151" priority="65" stopIfTrue="1">
      <formula>"esterreur(reference)"</formula>
    </cfRule>
  </conditionalFormatting>
  <conditionalFormatting sqref="AA156:AA162">
    <cfRule type="expression" dxfId="150" priority="66" stopIfTrue="1">
      <formula>"esterreur(reference)"</formula>
    </cfRule>
  </conditionalFormatting>
  <conditionalFormatting sqref="AA198:AA209">
    <cfRule type="expression" dxfId="149" priority="67" stopIfTrue="1">
      <formula>"esterreur(reference)"</formula>
    </cfRule>
  </conditionalFormatting>
  <conditionalFormatting sqref="AA211:AA228">
    <cfRule type="expression" dxfId="148" priority="68" stopIfTrue="1">
      <formula>"esterreur(reference)"</formula>
    </cfRule>
  </conditionalFormatting>
  <conditionalFormatting sqref="AA254:AA265">
    <cfRule type="expression" dxfId="147" priority="69" stopIfTrue="1">
      <formula>"esterreur(reference)"</formula>
    </cfRule>
  </conditionalFormatting>
  <conditionalFormatting sqref="AA331:AA348">
    <cfRule type="expression" dxfId="146" priority="70" stopIfTrue="1">
      <formula>"esterreur(reference)"</formula>
    </cfRule>
  </conditionalFormatting>
  <conditionalFormatting sqref="AB198:AC229">
    <cfRule type="expression" dxfId="145" priority="71" stopIfTrue="1">
      <formula>"esterreur(reference)"</formula>
    </cfRule>
  </conditionalFormatting>
  <conditionalFormatting sqref="AB254:AC285">
    <cfRule type="expression" dxfId="144" priority="72" stopIfTrue="1">
      <formula>"esterreur(reference)"</formula>
    </cfRule>
  </conditionalFormatting>
  <conditionalFormatting sqref="AC5">
    <cfRule type="expression" dxfId="143" priority="73" stopIfTrue="1">
      <formula>"esterreur(reference)"</formula>
    </cfRule>
  </conditionalFormatting>
  <conditionalFormatting sqref="AC175">
    <cfRule type="expression" dxfId="142" priority="74" stopIfTrue="1">
      <formula>"esterreur(reference)"</formula>
    </cfRule>
  </conditionalFormatting>
  <conditionalFormatting sqref="AC287">
    <cfRule type="expression" dxfId="141" priority="75" stopIfTrue="1">
      <formula>"esterreur(reference)"</formula>
    </cfRule>
  </conditionalFormatting>
  <conditionalFormatting sqref="AC93:AD96 AF93:AG96 AI93:AJ96">
    <cfRule type="expression" dxfId="140" priority="76" stopIfTrue="1">
      <formula>"esterreur(reference)"</formula>
    </cfRule>
  </conditionalFormatting>
  <conditionalFormatting sqref="AC99:AD100 AF99:AG100 AI99:AJ100">
    <cfRule type="expression" dxfId="139" priority="77" stopIfTrue="1">
      <formula>"esterreur(reference)"</formula>
    </cfRule>
  </conditionalFormatting>
  <conditionalFormatting sqref="AC171:AD173 AF171:AG173 AI171:AJ173">
    <cfRule type="expression" dxfId="138" priority="78" stopIfTrue="1">
      <formula>"esterreur(reference)"</formula>
    </cfRule>
  </conditionalFormatting>
  <conditionalFormatting sqref="AC239:AD241 AF239:AG241 AI239:AJ241">
    <cfRule type="expression" dxfId="137" priority="79" stopIfTrue="1">
      <formula>"esterreur(reference)"</formula>
    </cfRule>
  </conditionalFormatting>
  <conditionalFormatting sqref="AC244:AD244 AF244:AG244 AI244:AJ244">
    <cfRule type="expression" dxfId="136" priority="80" stopIfTrue="1">
      <formula>"esterreur(reference)"</formula>
    </cfRule>
  </conditionalFormatting>
  <conditionalFormatting sqref="AC247:AD247 AF247:AG247 AI247:AJ247">
    <cfRule type="expression" dxfId="135" priority="81" stopIfTrue="1">
      <formula>"esterreur(reference)"</formula>
    </cfRule>
  </conditionalFormatting>
  <conditionalFormatting sqref="AD5:AD24 AG5:AG24 AJ5:AJ24">
    <cfRule type="expression" dxfId="134" priority="82" stopIfTrue="1">
      <formula>"esterreur(reference)"</formula>
    </cfRule>
  </conditionalFormatting>
  <conditionalFormatting sqref="AD75:AD82 AG75:AG82 AJ75:AJ82">
    <cfRule type="expression" dxfId="133" priority="83" stopIfTrue="1">
      <formula>"esterreur(reference)"</formula>
    </cfRule>
  </conditionalFormatting>
  <conditionalFormatting sqref="AD156:AD162 AG156:AG162 AJ156:AJ162">
    <cfRule type="expression" dxfId="132" priority="84" stopIfTrue="1">
      <formula>"esterreur(reference)"</formula>
    </cfRule>
  </conditionalFormatting>
  <conditionalFormatting sqref="AD174:AD175 AG174:AG175 AJ174:AJ175">
    <cfRule type="expression" dxfId="131" priority="85" stopIfTrue="1">
      <formula>"esterreur(reference)"</formula>
    </cfRule>
  </conditionalFormatting>
  <conditionalFormatting sqref="AD198:AD209 AG198:AG209 AJ198:AJ209">
    <cfRule type="expression" dxfId="130" priority="86" stopIfTrue="1">
      <formula>"esterreur(reference)"</formula>
    </cfRule>
  </conditionalFormatting>
  <conditionalFormatting sqref="AD211:AD228 AG211:AG228 AJ211:AJ228">
    <cfRule type="expression" dxfId="129" priority="87" stopIfTrue="1">
      <formula>"esterreur(reference)"</formula>
    </cfRule>
  </conditionalFormatting>
  <conditionalFormatting sqref="AD254:AD265 AG254:AG265 AJ254:AJ265">
    <cfRule type="expression" dxfId="128" priority="88" stopIfTrue="1">
      <formula>"esterreur(reference)"</formula>
    </cfRule>
  </conditionalFormatting>
  <conditionalFormatting sqref="AD267:AD284 AG267:AG284 AJ267:AJ284">
    <cfRule type="expression" dxfId="127" priority="89" stopIfTrue="1">
      <formula>"esterreur(reference)"</formula>
    </cfRule>
  </conditionalFormatting>
  <conditionalFormatting sqref="AD318:AD329 AG318:AG329 AJ318:AJ329">
    <cfRule type="expression" dxfId="126" priority="90" stopIfTrue="1">
      <formula>"esterreur(reference)"</formula>
    </cfRule>
  </conditionalFormatting>
  <conditionalFormatting sqref="AD331:AD348 AG331:AG348 AJ331:AJ348">
    <cfRule type="expression" dxfId="125" priority="91" stopIfTrue="1">
      <formula>"esterreur(reference)"</formula>
    </cfRule>
  </conditionalFormatting>
  <conditionalFormatting sqref="AE198:AF229">
    <cfRule type="expression" dxfId="124" priority="92" stopIfTrue="1">
      <formula>"esterreur(reference)"</formula>
    </cfRule>
  </conditionalFormatting>
  <conditionalFormatting sqref="AE254:AF285">
    <cfRule type="expression" dxfId="123" priority="93" stopIfTrue="1">
      <formula>"esterreur(reference)"</formula>
    </cfRule>
  </conditionalFormatting>
  <conditionalFormatting sqref="AF5">
    <cfRule type="expression" dxfId="122" priority="94" stopIfTrue="1">
      <formula>"esterreur(reference)"</formula>
    </cfRule>
  </conditionalFormatting>
  <conditionalFormatting sqref="AF175">
    <cfRule type="expression" dxfId="121" priority="95" stopIfTrue="1">
      <formula>"esterreur(reference)"</formula>
    </cfRule>
  </conditionalFormatting>
  <conditionalFormatting sqref="AF287">
    <cfRule type="expression" dxfId="120" priority="96" stopIfTrue="1">
      <formula>"esterreur(reference)"</formula>
    </cfRule>
  </conditionalFormatting>
  <conditionalFormatting sqref="AH198:AI229">
    <cfRule type="expression" dxfId="119" priority="97" stopIfTrue="1">
      <formula>"esterreur(reference)"</formula>
    </cfRule>
  </conditionalFormatting>
  <conditionalFormatting sqref="AH254:AI285">
    <cfRule type="expression" dxfId="118" priority="98" stopIfTrue="1">
      <formula>"esterreur(reference)"</formula>
    </cfRule>
  </conditionalFormatting>
  <conditionalFormatting sqref="AI5">
    <cfRule type="expression" dxfId="117" priority="99" stopIfTrue="1">
      <formula>"esterreur(reference)"</formula>
    </cfRule>
  </conditionalFormatting>
  <conditionalFormatting sqref="AI175">
    <cfRule type="expression" dxfId="116" priority="100" stopIfTrue="1">
      <formula>"esterreur(reference)"</formula>
    </cfRule>
  </conditionalFormatting>
  <conditionalFormatting sqref="AI287">
    <cfRule type="expression" dxfId="115" priority="101" stopIfTrue="1">
      <formula>"esterreur(reference)"</formula>
    </cfRule>
  </conditionalFormatting>
  <conditionalFormatting sqref="AK198:AL229">
    <cfRule type="expression" dxfId="114" priority="102" stopIfTrue="1">
      <formula>"esterreur(reference)"</formula>
    </cfRule>
  </conditionalFormatting>
  <conditionalFormatting sqref="AK254:AL285">
    <cfRule type="expression" dxfId="113" priority="103" stopIfTrue="1">
      <formula>"esterreur(reference)"</formula>
    </cfRule>
  </conditionalFormatting>
  <conditionalFormatting sqref="AL5">
    <cfRule type="expression" dxfId="112" priority="104" stopIfTrue="1">
      <formula>"esterreur(reference)"</formula>
    </cfRule>
  </conditionalFormatting>
  <conditionalFormatting sqref="AL175">
    <cfRule type="expression" dxfId="111" priority="105" stopIfTrue="1">
      <formula>"esterreur(reference)"</formula>
    </cfRule>
  </conditionalFormatting>
  <conditionalFormatting sqref="AL287">
    <cfRule type="expression" dxfId="110" priority="106" stopIfTrue="1">
      <formula>"esterreur(reference)"</formula>
    </cfRule>
  </conditionalFormatting>
  <conditionalFormatting sqref="AL93:AM96">
    <cfRule type="expression" dxfId="109" priority="107" stopIfTrue="1">
      <formula>"esterreur(reference)"</formula>
    </cfRule>
  </conditionalFormatting>
  <conditionalFormatting sqref="AL99:AM100">
    <cfRule type="expression" dxfId="108" priority="108" stopIfTrue="1">
      <formula>"esterreur(reference)"</formula>
    </cfRule>
  </conditionalFormatting>
  <conditionalFormatting sqref="AL171:AM173">
    <cfRule type="expression" dxfId="107" priority="109" stopIfTrue="1">
      <formula>"esterreur(reference)"</formula>
    </cfRule>
  </conditionalFormatting>
  <conditionalFormatting sqref="AL239:AM241">
    <cfRule type="expression" dxfId="106" priority="110" stopIfTrue="1">
      <formula>"esterreur(reference)"</formula>
    </cfRule>
  </conditionalFormatting>
  <conditionalFormatting sqref="AL244:AM244">
    <cfRule type="expression" dxfId="105" priority="111" stopIfTrue="1">
      <formula>"esterreur(reference)"</formula>
    </cfRule>
  </conditionalFormatting>
  <conditionalFormatting sqref="AL247:AM247">
    <cfRule type="expression" dxfId="104" priority="112" stopIfTrue="1">
      <formula>"esterreur(reference)"</formula>
    </cfRule>
  </conditionalFormatting>
  <conditionalFormatting sqref="AM5:AM24">
    <cfRule type="expression" dxfId="103" priority="113" stopIfTrue="1">
      <formula>"esterreur(reference)"</formula>
    </cfRule>
  </conditionalFormatting>
  <conditionalFormatting sqref="AM75:AM82">
    <cfRule type="expression" dxfId="102" priority="114" stopIfTrue="1">
      <formula>"esterreur(reference)"</formula>
    </cfRule>
  </conditionalFormatting>
  <conditionalFormatting sqref="AM156:AM162">
    <cfRule type="expression" dxfId="101" priority="115" stopIfTrue="1">
      <formula>"esterreur(reference)"</formula>
    </cfRule>
  </conditionalFormatting>
  <conditionalFormatting sqref="AM174:AM175">
    <cfRule type="expression" dxfId="100" priority="116" stopIfTrue="1">
      <formula>"esterreur(reference)"</formula>
    </cfRule>
  </conditionalFormatting>
  <conditionalFormatting sqref="AM198:AM209">
    <cfRule type="expression" dxfId="99" priority="117" stopIfTrue="1">
      <formula>"esterreur(reference)"</formula>
    </cfRule>
  </conditionalFormatting>
  <conditionalFormatting sqref="AM211:AM228">
    <cfRule type="expression" dxfId="98" priority="118" stopIfTrue="1">
      <formula>"esterreur(reference)"</formula>
    </cfRule>
  </conditionalFormatting>
  <conditionalFormatting sqref="AM254:AM265">
    <cfRule type="expression" dxfId="97" priority="119" stopIfTrue="1">
      <formula>"esterreur(reference)"</formula>
    </cfRule>
  </conditionalFormatting>
  <conditionalFormatting sqref="AM267:AM284">
    <cfRule type="expression" dxfId="96" priority="120" stopIfTrue="1">
      <formula>"esterreur(reference)"</formula>
    </cfRule>
  </conditionalFormatting>
  <conditionalFormatting sqref="AM318:AM329">
    <cfRule type="expression" dxfId="95" priority="121" stopIfTrue="1">
      <formula>"esterreur(reference)"</formula>
    </cfRule>
  </conditionalFormatting>
  <conditionalFormatting sqref="AM331:AM348">
    <cfRule type="expression" dxfId="94" priority="122" stopIfTrue="1">
      <formula>"esterreur(reference)"</formula>
    </cfRule>
  </conditionalFormatting>
  <conditionalFormatting sqref="AN198:AO229">
    <cfRule type="expression" dxfId="93" priority="123" stopIfTrue="1">
      <formula>"esterreur(reference)"</formula>
    </cfRule>
  </conditionalFormatting>
  <conditionalFormatting sqref="AN254:AO285">
    <cfRule type="expression" dxfId="92" priority="124" stopIfTrue="1">
      <formula>"esterreur(reference)"</formula>
    </cfRule>
  </conditionalFormatting>
  <conditionalFormatting sqref="AO5">
    <cfRule type="expression" dxfId="91" priority="125" stopIfTrue="1">
      <formula>"esterreur(reference)"</formula>
    </cfRule>
  </conditionalFormatting>
  <conditionalFormatting sqref="AO175">
    <cfRule type="expression" dxfId="90" priority="126" stopIfTrue="1">
      <formula>"esterreur(reference)"</formula>
    </cfRule>
  </conditionalFormatting>
  <conditionalFormatting sqref="AO287">
    <cfRule type="expression" dxfId="89" priority="127" stopIfTrue="1">
      <formula>"esterreur(reference)"</formula>
    </cfRule>
  </conditionalFormatting>
  <conditionalFormatting sqref="AO93:AP96">
    <cfRule type="expression" dxfId="88" priority="128" stopIfTrue="1">
      <formula>"esterreur(reference)"</formula>
    </cfRule>
  </conditionalFormatting>
  <conditionalFormatting sqref="AO99:AP100">
    <cfRule type="expression" dxfId="87" priority="129" stopIfTrue="1">
      <formula>"esterreur(reference)"</formula>
    </cfRule>
  </conditionalFormatting>
  <conditionalFormatting sqref="AO171:AP173">
    <cfRule type="expression" dxfId="86" priority="130" stopIfTrue="1">
      <formula>"esterreur(reference)"</formula>
    </cfRule>
  </conditionalFormatting>
  <conditionalFormatting sqref="AO239:AP241">
    <cfRule type="expression" dxfId="85" priority="131" stopIfTrue="1">
      <formula>"esterreur(reference)"</formula>
    </cfRule>
  </conditionalFormatting>
  <conditionalFormatting sqref="AO244:AP244">
    <cfRule type="expression" dxfId="84" priority="132" stopIfTrue="1">
      <formula>"esterreur(reference)"</formula>
    </cfRule>
  </conditionalFormatting>
  <conditionalFormatting sqref="AO247:AP247">
    <cfRule type="expression" dxfId="83" priority="133" stopIfTrue="1">
      <formula>"esterreur(reference)"</formula>
    </cfRule>
  </conditionalFormatting>
  <conditionalFormatting sqref="AP5:AP24">
    <cfRule type="expression" dxfId="82" priority="134" stopIfTrue="1">
      <formula>"esterreur(reference)"</formula>
    </cfRule>
  </conditionalFormatting>
  <conditionalFormatting sqref="AP75:AP82">
    <cfRule type="expression" dxfId="81" priority="135" stopIfTrue="1">
      <formula>"esterreur(reference)"</formula>
    </cfRule>
  </conditionalFormatting>
  <conditionalFormatting sqref="AP156:AP162">
    <cfRule type="expression" dxfId="80" priority="136" stopIfTrue="1">
      <formula>"esterreur(reference)"</formula>
    </cfRule>
  </conditionalFormatting>
  <conditionalFormatting sqref="AP174:AP175">
    <cfRule type="expression" dxfId="79" priority="137" stopIfTrue="1">
      <formula>"esterreur(reference)"</formula>
    </cfRule>
  </conditionalFormatting>
  <conditionalFormatting sqref="AP198:AP209">
    <cfRule type="expression" dxfId="78" priority="138" stopIfTrue="1">
      <formula>"esterreur(reference)"</formula>
    </cfRule>
  </conditionalFormatting>
  <conditionalFormatting sqref="AP211:AP228">
    <cfRule type="expression" dxfId="77" priority="139" stopIfTrue="1">
      <formula>"esterreur(reference)"</formula>
    </cfRule>
  </conditionalFormatting>
  <conditionalFormatting sqref="AP254:AP265">
    <cfRule type="expression" dxfId="76" priority="140" stopIfTrue="1">
      <formula>"esterreur(reference)"</formula>
    </cfRule>
  </conditionalFormatting>
  <conditionalFormatting sqref="AP267:AP284">
    <cfRule type="expression" dxfId="75" priority="141" stopIfTrue="1">
      <formula>"esterreur(reference)"</formula>
    </cfRule>
  </conditionalFormatting>
  <conditionalFormatting sqref="AP318:AP329">
    <cfRule type="expression" dxfId="74" priority="142" stopIfTrue="1">
      <formula>"esterreur(reference)"</formula>
    </cfRule>
  </conditionalFormatting>
  <conditionalFormatting sqref="AP331:AP348">
    <cfRule type="expression" dxfId="73" priority="143" stopIfTrue="1">
      <formula>"esterreur(reference)"</formula>
    </cfRule>
  </conditionalFormatting>
  <conditionalFormatting sqref="AQ170:AQ196 AW170:AW196 AZ170:AZ196">
    <cfRule type="expression" dxfId="72" priority="144" stopIfTrue="1">
      <formula>"esterreur(reference)"</formula>
    </cfRule>
  </conditionalFormatting>
  <conditionalFormatting sqref="AQ198:AR229">
    <cfRule type="expression" dxfId="71" priority="145" stopIfTrue="1">
      <formula>"esterreur(reference)"</formula>
    </cfRule>
  </conditionalFormatting>
  <conditionalFormatting sqref="AQ254:AR285">
    <cfRule type="expression" dxfId="70" priority="146" stopIfTrue="1">
      <formula>"esterreur(reference)"</formula>
    </cfRule>
  </conditionalFormatting>
  <conditionalFormatting sqref="AR5">
    <cfRule type="expression" dxfId="69" priority="147" stopIfTrue="1">
      <formula>"esterreur(reference)"</formula>
    </cfRule>
  </conditionalFormatting>
  <conditionalFormatting sqref="AR175">
    <cfRule type="expression" dxfId="68" priority="148" stopIfTrue="1">
      <formula>"esterreur(reference)"</formula>
    </cfRule>
  </conditionalFormatting>
  <conditionalFormatting sqref="AR287">
    <cfRule type="expression" dxfId="67" priority="149" stopIfTrue="1">
      <formula>"esterreur(reference)"</formula>
    </cfRule>
  </conditionalFormatting>
  <conditionalFormatting sqref="AR93:AS96">
    <cfRule type="expression" dxfId="66" priority="150" stopIfTrue="1">
      <formula>"esterreur(reference)"</formula>
    </cfRule>
  </conditionalFormatting>
  <conditionalFormatting sqref="AR99:AS100">
    <cfRule type="expression" dxfId="65" priority="151" stopIfTrue="1">
      <formula>"esterreur(reference)"</formula>
    </cfRule>
  </conditionalFormatting>
  <conditionalFormatting sqref="AR171:AS173">
    <cfRule type="expression" dxfId="64" priority="152" stopIfTrue="1">
      <formula>"esterreur(reference)"</formula>
    </cfRule>
  </conditionalFormatting>
  <conditionalFormatting sqref="AR239:AS241">
    <cfRule type="expression" dxfId="63" priority="153" stopIfTrue="1">
      <formula>"esterreur(reference)"</formula>
    </cfRule>
  </conditionalFormatting>
  <conditionalFormatting sqref="AR244:AS244">
    <cfRule type="expression" dxfId="62" priority="154" stopIfTrue="1">
      <formula>"esterreur(reference)"</formula>
    </cfRule>
  </conditionalFormatting>
  <conditionalFormatting sqref="AR247:AS247">
    <cfRule type="expression" dxfId="61" priority="155" stopIfTrue="1">
      <formula>"esterreur(reference)"</formula>
    </cfRule>
  </conditionalFormatting>
  <conditionalFormatting sqref="AS5:AS24">
    <cfRule type="expression" dxfId="60" priority="156" stopIfTrue="1">
      <formula>"esterreur(reference)"</formula>
    </cfRule>
  </conditionalFormatting>
  <conditionalFormatting sqref="AS75:AS82">
    <cfRule type="expression" dxfId="59" priority="157" stopIfTrue="1">
      <formula>"esterreur(reference)"</formula>
    </cfRule>
  </conditionalFormatting>
  <conditionalFormatting sqref="AS156:AS162">
    <cfRule type="expression" dxfId="58" priority="158" stopIfTrue="1">
      <formula>"esterreur(reference)"</formula>
    </cfRule>
  </conditionalFormatting>
  <conditionalFormatting sqref="AS174:AS175">
    <cfRule type="expression" dxfId="57" priority="159" stopIfTrue="1">
      <formula>"esterreur(reference)"</formula>
    </cfRule>
  </conditionalFormatting>
  <conditionalFormatting sqref="AS198:AS209">
    <cfRule type="expression" dxfId="56" priority="160" stopIfTrue="1">
      <formula>"esterreur(reference)"</formula>
    </cfRule>
  </conditionalFormatting>
  <conditionalFormatting sqref="AS211:AS228">
    <cfRule type="expression" dxfId="55" priority="161" stopIfTrue="1">
      <formula>"esterreur(reference)"</formula>
    </cfRule>
  </conditionalFormatting>
  <conditionalFormatting sqref="AS254:AS265">
    <cfRule type="expression" dxfId="54" priority="162" stopIfTrue="1">
      <formula>"esterreur(reference)"</formula>
    </cfRule>
  </conditionalFormatting>
  <conditionalFormatting sqref="AS267:AS284">
    <cfRule type="expression" dxfId="53" priority="163" stopIfTrue="1">
      <formula>"esterreur(reference)"</formula>
    </cfRule>
  </conditionalFormatting>
  <conditionalFormatting sqref="AS318:AS329">
    <cfRule type="expression" dxfId="52" priority="164" stopIfTrue="1">
      <formula>"esterreur(reference)"</formula>
    </cfRule>
  </conditionalFormatting>
  <conditionalFormatting sqref="AS331:AS348">
    <cfRule type="expression" dxfId="51" priority="165" stopIfTrue="1">
      <formula>"esterreur(reference)"</formula>
    </cfRule>
  </conditionalFormatting>
  <conditionalFormatting sqref="AT198:AU229 AW198:AX229 AZ198:BA229">
    <cfRule type="expression" dxfId="50" priority="166" stopIfTrue="1">
      <formula>"esterreur(reference)"</formula>
    </cfRule>
  </conditionalFormatting>
  <conditionalFormatting sqref="AT254:AU285 AW254:AX285 AZ254:BA285">
    <cfRule type="expression" dxfId="49" priority="167" stopIfTrue="1">
      <formula>"esterreur(reference)"</formula>
    </cfRule>
  </conditionalFormatting>
  <conditionalFormatting sqref="AU5 AX5 BA5">
    <cfRule type="expression" dxfId="48" priority="168" stopIfTrue="1">
      <formula>"esterreur(reference)"</formula>
    </cfRule>
  </conditionalFormatting>
  <conditionalFormatting sqref="AU175 AX175 BA175">
    <cfRule type="expression" dxfId="47" priority="169" stopIfTrue="1">
      <formula>"esterreur(reference)"</formula>
    </cfRule>
  </conditionalFormatting>
  <conditionalFormatting sqref="AU287 AX287 BA287">
    <cfRule type="expression" dxfId="46" priority="170" stopIfTrue="1">
      <formula>"esterreur(reference)"</formula>
    </cfRule>
  </conditionalFormatting>
  <conditionalFormatting sqref="AU93:AV96 AX93:AY96 BA93:BB96 BD93:BE96">
    <cfRule type="expression" dxfId="45" priority="171" stopIfTrue="1">
      <formula>"esterreur(reference)"</formula>
    </cfRule>
  </conditionalFormatting>
  <conditionalFormatting sqref="AU99:AV100 AX99:AY100 BA99:BB100 BD99:BE100">
    <cfRule type="expression" dxfId="44" priority="172" stopIfTrue="1">
      <formula>"esterreur(reference)"</formula>
    </cfRule>
  </conditionalFormatting>
  <conditionalFormatting sqref="AU171:AV173 AX171:AY173 BA171:BB173 BD171:BE173">
    <cfRule type="expression" dxfId="43" priority="173" stopIfTrue="1">
      <formula>"esterreur(reference)"</formula>
    </cfRule>
  </conditionalFormatting>
  <conditionalFormatting sqref="AU239:AV241 AX239:AY241 BA239:BB241 BD239:BE241">
    <cfRule type="expression" dxfId="42" priority="174" stopIfTrue="1">
      <formula>"esterreur(reference)"</formula>
    </cfRule>
  </conditionalFormatting>
  <conditionalFormatting sqref="AU244:AV244 AX244:AY244 BA244:BB244 BD244:BE244">
    <cfRule type="expression" dxfId="41" priority="175" stopIfTrue="1">
      <formula>"esterreur(reference)"</formula>
    </cfRule>
  </conditionalFormatting>
  <conditionalFormatting sqref="AU247:AV247 AX247:AY247 BA247:BB247 BD247:BE247">
    <cfRule type="expression" dxfId="40" priority="176" stopIfTrue="1">
      <formula>"esterreur(reference)"</formula>
    </cfRule>
  </conditionalFormatting>
  <conditionalFormatting sqref="AV5:AV24 AY5:AY24 BB5:BB24 BE5:BE24">
    <cfRule type="expression" dxfId="39" priority="177" stopIfTrue="1">
      <formula>"esterreur(reference)"</formula>
    </cfRule>
  </conditionalFormatting>
  <conditionalFormatting sqref="AV75:AV82 AY75:AY82 BB75:BB82 BE75:BE82">
    <cfRule type="expression" dxfId="38" priority="178" stopIfTrue="1">
      <formula>"esterreur(reference)"</formula>
    </cfRule>
  </conditionalFormatting>
  <conditionalFormatting sqref="AV156:AV162 AY156:AY162 BB156:BB162 BE156:BE162">
    <cfRule type="expression" dxfId="37" priority="179" stopIfTrue="1">
      <formula>"esterreur(reference)"</formula>
    </cfRule>
  </conditionalFormatting>
  <conditionalFormatting sqref="AV174:AV175 AY174:AY175 BB174:BB175 BE174:BE175">
    <cfRule type="expression" dxfId="36" priority="180" stopIfTrue="1">
      <formula>"esterreur(reference)"</formula>
    </cfRule>
  </conditionalFormatting>
  <conditionalFormatting sqref="AV198:AV209 AY198:AY209 BB198:BB209 BE198:BE209">
    <cfRule type="expression" dxfId="35" priority="181" stopIfTrue="1">
      <formula>"esterreur(reference)"</formula>
    </cfRule>
  </conditionalFormatting>
  <conditionalFormatting sqref="AV211:AV228 AY211:AY228 BB211:BB228 BE211:BE228">
    <cfRule type="expression" dxfId="34" priority="182" stopIfTrue="1">
      <formula>"esterreur(reference)"</formula>
    </cfRule>
  </conditionalFormatting>
  <conditionalFormatting sqref="AV254:AV265 AY254:AY265 BB254:BB265 BE254:BE265">
    <cfRule type="expression" dxfId="33" priority="183" stopIfTrue="1">
      <formula>"esterreur(reference)"</formula>
    </cfRule>
  </conditionalFormatting>
  <conditionalFormatting sqref="AV267:AV284 AY267:AY284 BB267:BB284 BE267:BE284">
    <cfRule type="expression" dxfId="32" priority="184" stopIfTrue="1">
      <formula>"esterreur(reference)"</formula>
    </cfRule>
  </conditionalFormatting>
  <conditionalFormatting sqref="AV318:AV329 AY318:AY329 BB318:BB329 BE318:BE329">
    <cfRule type="expression" dxfId="31" priority="185" stopIfTrue="1">
      <formula>"esterreur(reference)"</formula>
    </cfRule>
  </conditionalFormatting>
  <conditionalFormatting sqref="AV331:AV348 AY331:AY348 BB331:BB348 BE331:BE348">
    <cfRule type="expression" dxfId="30" priority="186" stopIfTrue="1">
      <formula>"esterreur(reference)"</formula>
    </cfRule>
  </conditionalFormatting>
  <conditionalFormatting sqref="AY362:AY376">
    <cfRule type="expression" dxfId="29" priority="187" stopIfTrue="1">
      <formula>"esterreur(reference)"</formula>
    </cfRule>
  </conditionalFormatting>
  <conditionalFormatting sqref="AY378:AY394">
    <cfRule type="expression" dxfId="28" priority="188" stopIfTrue="1">
      <formula>"esterreur(reference)"</formula>
    </cfRule>
  </conditionalFormatting>
  <conditionalFormatting sqref="BC198:BD229">
    <cfRule type="expression" dxfId="27" priority="189" stopIfTrue="1">
      <formula>"esterreur(reference)"</formula>
    </cfRule>
  </conditionalFormatting>
  <conditionalFormatting sqref="BC254:BD285">
    <cfRule type="expression" dxfId="26" priority="190" stopIfTrue="1">
      <formula>"esterreur(reference)"</formula>
    </cfRule>
  </conditionalFormatting>
  <conditionalFormatting sqref="BD5">
    <cfRule type="expression" dxfId="25" priority="191" stopIfTrue="1">
      <formula>"esterreur(reference)"</formula>
    </cfRule>
  </conditionalFormatting>
  <conditionalFormatting sqref="BD175">
    <cfRule type="expression" dxfId="24" priority="192" stopIfTrue="1">
      <formula>"esterreur(reference)"</formula>
    </cfRule>
  </conditionalFormatting>
  <conditionalFormatting sqref="BD287">
    <cfRule type="expression" dxfId="23" priority="193" stopIfTrue="1">
      <formula>"esterreur(reference)"</formula>
    </cfRule>
  </conditionalFormatting>
  <conditionalFormatting sqref="BD176:BE196">
    <cfRule type="expression" dxfId="22" priority="194" stopIfTrue="1">
      <formula>"esterreur(reference)"</formula>
    </cfRule>
  </conditionalFormatting>
  <conditionalFormatting sqref="BF198:BG229">
    <cfRule type="expression" dxfId="21" priority="195" stopIfTrue="1">
      <formula>"esterreur(reference)"</formula>
    </cfRule>
  </conditionalFormatting>
  <conditionalFormatting sqref="BF254:BG285">
    <cfRule type="expression" dxfId="20" priority="196" stopIfTrue="1">
      <formula>"esterreur(reference)"</formula>
    </cfRule>
  </conditionalFormatting>
  <conditionalFormatting sqref="BG5">
    <cfRule type="expression" dxfId="19" priority="197" stopIfTrue="1">
      <formula>"esterreur(reference)"</formula>
    </cfRule>
  </conditionalFormatting>
  <conditionalFormatting sqref="BG175">
    <cfRule type="expression" dxfId="18" priority="198" stopIfTrue="1">
      <formula>"esterreur(reference)"</formula>
    </cfRule>
  </conditionalFormatting>
  <conditionalFormatting sqref="BG287">
    <cfRule type="expression" dxfId="17" priority="199" stopIfTrue="1">
      <formula>"esterreur(reference)"</formula>
    </cfRule>
  </conditionalFormatting>
  <conditionalFormatting sqref="BG93:BH96">
    <cfRule type="expression" dxfId="16" priority="200" stopIfTrue="1">
      <formula>"esterreur(reference)"</formula>
    </cfRule>
  </conditionalFormatting>
  <conditionalFormatting sqref="BG99:BH100">
    <cfRule type="expression" dxfId="15" priority="201" stopIfTrue="1">
      <formula>"esterreur(reference)"</formula>
    </cfRule>
  </conditionalFormatting>
  <conditionalFormatting sqref="BG171:BH173">
    <cfRule type="expression" dxfId="14" priority="202" stopIfTrue="1">
      <formula>"esterreur(reference)"</formula>
    </cfRule>
  </conditionalFormatting>
  <conditionalFormatting sqref="BG176:BH196">
    <cfRule type="expression" dxfId="13" priority="203" stopIfTrue="1">
      <formula>"esterreur(reference)"</formula>
    </cfRule>
  </conditionalFormatting>
  <conditionalFormatting sqref="BG239:BH241">
    <cfRule type="expression" dxfId="12" priority="204" stopIfTrue="1">
      <formula>"esterreur(reference)"</formula>
    </cfRule>
  </conditionalFormatting>
  <conditionalFormatting sqref="BG244:BH244">
    <cfRule type="expression" dxfId="11" priority="205" stopIfTrue="1">
      <formula>"esterreur(reference)"</formula>
    </cfRule>
  </conditionalFormatting>
  <conditionalFormatting sqref="BG247:BH247">
    <cfRule type="expression" dxfId="10" priority="206" stopIfTrue="1">
      <formula>"esterreur(reference)"</formula>
    </cfRule>
  </conditionalFormatting>
  <conditionalFormatting sqref="BH5:BH24">
    <cfRule type="expression" dxfId="9" priority="207" stopIfTrue="1">
      <formula>"esterreur(reference)"</formula>
    </cfRule>
  </conditionalFormatting>
  <conditionalFormatting sqref="BH75:BH82">
    <cfRule type="expression" dxfId="8" priority="208" stopIfTrue="1">
      <formula>"esterreur(reference)"</formula>
    </cfRule>
  </conditionalFormatting>
  <conditionalFormatting sqref="BH156:BH162">
    <cfRule type="expression" dxfId="7" priority="209" stopIfTrue="1">
      <formula>"esterreur(reference)"</formula>
    </cfRule>
  </conditionalFormatting>
  <conditionalFormatting sqref="BH174:BH175">
    <cfRule type="expression" dxfId="6" priority="210" stopIfTrue="1">
      <formula>"esterreur(reference)"</formula>
    </cfRule>
  </conditionalFormatting>
  <conditionalFormatting sqref="BH198:BH209">
    <cfRule type="expression" dxfId="5" priority="211" stopIfTrue="1">
      <formula>"esterreur(reference)"</formula>
    </cfRule>
  </conditionalFormatting>
  <conditionalFormatting sqref="BH211:BH228">
    <cfRule type="expression" dxfId="4" priority="212" stopIfTrue="1">
      <formula>"esterreur(reference)"</formula>
    </cfRule>
  </conditionalFormatting>
  <conditionalFormatting sqref="BH254:BH265">
    <cfRule type="expression" dxfId="3" priority="213" stopIfTrue="1">
      <formula>"esterreur(reference)"</formula>
    </cfRule>
  </conditionalFormatting>
  <conditionalFormatting sqref="BH267:BH284">
    <cfRule type="expression" dxfId="2" priority="214" stopIfTrue="1">
      <formula>"esterreur(reference)"</formula>
    </cfRule>
  </conditionalFormatting>
  <conditionalFormatting sqref="BH318:BH329">
    <cfRule type="expression" dxfId="1" priority="215" stopIfTrue="1">
      <formula>"esterreur(reference)"</formula>
    </cfRule>
  </conditionalFormatting>
  <conditionalFormatting sqref="BH331:BH348">
    <cfRule type="expression" dxfId="0" priority="216" stopIfTrue="1">
      <formula>"esterreur(reference)"</formula>
    </cfRule>
  </conditionalFormatting>
  <pageMargins left="0.7" right="0.7" top="0.75" bottom="0.75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Dir. Mois </vt:lpstr>
      <vt:lpstr>Dir. AAD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Lacoste Labelle</dc:creator>
  <cp:lastModifiedBy>Antoine Lacoste Labelle</cp:lastModifiedBy>
  <dcterms:created xsi:type="dcterms:W3CDTF">2025-03-18T18:58:55Z</dcterms:created>
  <dcterms:modified xsi:type="dcterms:W3CDTF">2025-03-18T20:24:39Z</dcterms:modified>
</cp:coreProperties>
</file>