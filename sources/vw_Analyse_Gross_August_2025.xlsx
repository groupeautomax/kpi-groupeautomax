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isques partagés\2- QG FP&amp;A\2.1- Analyses récurrentes\2.1.1 Forecast &amp; réalisés\2025\08-Août\Analyse fin de mois\"/>
    </mc:Choice>
  </mc:AlternateContent>
  <xr:revisionPtr revIDLastSave="0" documentId="13_ncr:1_{E84502DC-3F95-4287-891C-D7756DF84F64}" xr6:coauthVersionLast="47" xr6:coauthVersionMax="47" xr10:uidLastSave="{00000000-0000-0000-0000-000000000000}"/>
  <bookViews>
    <workbookView xWindow="-120" yWindow="-120" windowWidth="29040" windowHeight="15720" xr2:uid="{B4596602-EB64-4089-A17B-E9D89311B04D}"/>
  </bookViews>
  <sheets>
    <sheet name="AC Gross per Unit vs Budget" sheetId="1" r:id="rId1"/>
    <sheet name="AC Gross per Unit vs Last Year" sheetId="2" r:id="rId2"/>
    <sheet name="AC YTD Gross per Unit vs Budget" sheetId="3" r:id="rId3"/>
    <sheet name="AC YTD Gross per Unit vs Last Y" sheetId="4" r:id="rId4"/>
  </sheets>
  <definedNames>
    <definedName name="NamedRange1">#REF!</definedName>
    <definedName name="oui">#REF!</definedName>
    <definedName name="_xlnm.Print_Area" localSheetId="0">'AC Gross per Unit vs Budget'!$A$1:$W$141</definedName>
    <definedName name="_xlnm.Print_Area" localSheetId="1">'AC Gross per Unit vs Last Year'!$A$1:$W$140</definedName>
    <definedName name="_xlnm.Print_Area" localSheetId="2">'AC YTD Gross per Unit vs Budget'!$A$1:$W$140</definedName>
    <definedName name="_xlnm.Print_Area" localSheetId="3">'AC YTD Gross per Unit vs Last Y'!$A$1:$W$140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5" i="4" l="1"/>
  <c r="U65" i="4"/>
  <c r="T65" i="4"/>
  <c r="V64" i="4"/>
  <c r="U64" i="4"/>
  <c r="T64" i="4"/>
  <c r="V63" i="4"/>
  <c r="U63" i="4"/>
  <c r="T63" i="4"/>
  <c r="V62" i="4"/>
  <c r="V66" i="4" s="1"/>
  <c r="U62" i="4"/>
  <c r="U66" i="4" s="1"/>
  <c r="T62" i="4"/>
  <c r="T66" i="4" s="1"/>
  <c r="V59" i="4"/>
  <c r="U59" i="4"/>
  <c r="T59" i="4"/>
  <c r="V58" i="4"/>
  <c r="U58" i="4"/>
  <c r="T58" i="4"/>
  <c r="V57" i="4"/>
  <c r="V60" i="4" s="1"/>
  <c r="U57" i="4"/>
  <c r="U60" i="4" s="1"/>
  <c r="T57" i="4"/>
  <c r="T60" i="4" s="1"/>
  <c r="V55" i="4"/>
  <c r="V67" i="4" s="1"/>
  <c r="U55" i="4"/>
  <c r="T55" i="4"/>
  <c r="Q65" i="4"/>
  <c r="P65" i="4"/>
  <c r="O65" i="4"/>
  <c r="N65" i="4"/>
  <c r="I65" i="4"/>
  <c r="H65" i="4"/>
  <c r="E65" i="4"/>
  <c r="D65" i="4"/>
  <c r="Q64" i="4"/>
  <c r="P64" i="4"/>
  <c r="M64" i="4"/>
  <c r="L64" i="4"/>
  <c r="K64" i="4"/>
  <c r="J64" i="4"/>
  <c r="E64" i="4"/>
  <c r="C53" i="4"/>
  <c r="S63" i="4"/>
  <c r="R63" i="4"/>
  <c r="O63" i="4"/>
  <c r="M63" i="4"/>
  <c r="L63" i="4"/>
  <c r="K63" i="4"/>
  <c r="I63" i="4"/>
  <c r="H63" i="4"/>
  <c r="G63" i="4"/>
  <c r="F63" i="4"/>
  <c r="E63" i="4"/>
  <c r="C52" i="4"/>
  <c r="S55" i="4"/>
  <c r="R55" i="4"/>
  <c r="Q55" i="4"/>
  <c r="P55" i="4"/>
  <c r="O55" i="4"/>
  <c r="N55" i="4"/>
  <c r="M55" i="4"/>
  <c r="L55" i="4"/>
  <c r="K62" i="4"/>
  <c r="J62" i="4"/>
  <c r="I62" i="4"/>
  <c r="H62" i="4"/>
  <c r="G55" i="4"/>
  <c r="F55" i="4"/>
  <c r="E55" i="4"/>
  <c r="C51" i="4"/>
  <c r="V50" i="4"/>
  <c r="U50" i="4"/>
  <c r="T50" i="4"/>
  <c r="T61" i="4" s="1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C49" i="4"/>
  <c r="D59" i="4"/>
  <c r="S58" i="4"/>
  <c r="R58" i="4"/>
  <c r="Q58" i="4"/>
  <c r="P58" i="4"/>
  <c r="O58" i="4"/>
  <c r="N58" i="4"/>
  <c r="M58" i="4"/>
  <c r="L58" i="4"/>
  <c r="K58" i="4"/>
  <c r="C48" i="4"/>
  <c r="I58" i="4"/>
  <c r="H58" i="4"/>
  <c r="G58" i="4"/>
  <c r="F58" i="4"/>
  <c r="E58" i="4"/>
  <c r="D58" i="4"/>
  <c r="C47" i="4"/>
  <c r="S50" i="4"/>
  <c r="R50" i="4"/>
  <c r="R61" i="4" s="1"/>
  <c r="Q57" i="4"/>
  <c r="Q60" i="4" s="1"/>
  <c r="P50" i="4"/>
  <c r="O57" i="4"/>
  <c r="O60" i="4" s="1"/>
  <c r="N57" i="4"/>
  <c r="M57" i="4"/>
  <c r="L57" i="4"/>
  <c r="K50" i="4"/>
  <c r="J50" i="4"/>
  <c r="I50" i="4"/>
  <c r="H50" i="4"/>
  <c r="G50" i="4"/>
  <c r="G61" i="4" s="1"/>
  <c r="C46" i="4"/>
  <c r="E57" i="4"/>
  <c r="D50" i="4"/>
  <c r="V44" i="4"/>
  <c r="U44" i="4"/>
  <c r="T44" i="4"/>
  <c r="N44" i="4"/>
  <c r="I44" i="4"/>
  <c r="C43" i="4"/>
  <c r="S44" i="4"/>
  <c r="G44" i="4"/>
  <c r="C42" i="4"/>
  <c r="R44" i="4"/>
  <c r="Q44" i="4"/>
  <c r="P44" i="4"/>
  <c r="O44" i="4"/>
  <c r="M44" i="4"/>
  <c r="L44" i="4"/>
  <c r="K44" i="4"/>
  <c r="J44" i="4"/>
  <c r="H44" i="4"/>
  <c r="F44" i="4"/>
  <c r="E44" i="4"/>
  <c r="D44" i="4"/>
  <c r="C41" i="4"/>
  <c r="V40" i="4"/>
  <c r="U40" i="4"/>
  <c r="T40" i="4"/>
  <c r="O40" i="4"/>
  <c r="M40" i="4"/>
  <c r="H40" i="4"/>
  <c r="R40" i="4"/>
  <c r="N40" i="4"/>
  <c r="N45" i="4" s="1"/>
  <c r="F40" i="4"/>
  <c r="F45" i="4" s="1"/>
  <c r="C39" i="4"/>
  <c r="S40" i="4"/>
  <c r="Q40" i="4"/>
  <c r="P40" i="4"/>
  <c r="L40" i="4"/>
  <c r="K40" i="4"/>
  <c r="J40" i="4"/>
  <c r="J45" i="4" s="1"/>
  <c r="I40" i="4"/>
  <c r="I45" i="4" s="1"/>
  <c r="G40" i="4"/>
  <c r="E40" i="4"/>
  <c r="C38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E87" i="4"/>
  <c r="D87" i="4"/>
  <c r="A21" i="4"/>
  <c r="V86" i="4"/>
  <c r="U86" i="4"/>
  <c r="T86" i="4"/>
  <c r="S86" i="4"/>
  <c r="R86" i="4"/>
  <c r="Q86" i="4"/>
  <c r="P86" i="4"/>
  <c r="O86" i="4"/>
  <c r="L86" i="4"/>
  <c r="K86" i="4"/>
  <c r="J86" i="4"/>
  <c r="I86" i="4"/>
  <c r="H86" i="4"/>
  <c r="G86" i="4"/>
  <c r="F86" i="4"/>
  <c r="E86" i="4"/>
  <c r="D86" i="4"/>
  <c r="C20" i="4"/>
  <c r="A20" i="4"/>
  <c r="V85" i="4"/>
  <c r="U85" i="4"/>
  <c r="T85" i="4"/>
  <c r="S85" i="4"/>
  <c r="R85" i="4"/>
  <c r="Q85" i="4"/>
  <c r="P85" i="4"/>
  <c r="O85" i="4"/>
  <c r="N85" i="4"/>
  <c r="M85" i="4"/>
  <c r="L85" i="4"/>
  <c r="K85" i="4"/>
  <c r="I85" i="4"/>
  <c r="H30" i="4"/>
  <c r="F85" i="4"/>
  <c r="E85" i="4"/>
  <c r="D85" i="4"/>
  <c r="A19" i="4"/>
  <c r="V84" i="4"/>
  <c r="U84" i="4"/>
  <c r="T84" i="4"/>
  <c r="S84" i="4"/>
  <c r="R84" i="4"/>
  <c r="Q84" i="4"/>
  <c r="P22" i="4"/>
  <c r="O22" i="4"/>
  <c r="N84" i="4"/>
  <c r="M84" i="4"/>
  <c r="L84" i="4"/>
  <c r="K84" i="4"/>
  <c r="H84" i="4"/>
  <c r="E29" i="4"/>
  <c r="D22" i="4"/>
  <c r="A18" i="4"/>
  <c r="R17" i="4"/>
  <c r="M17" i="4"/>
  <c r="R82" i="4"/>
  <c r="Q82" i="4"/>
  <c r="P82" i="4"/>
  <c r="O82" i="4"/>
  <c r="M82" i="4"/>
  <c r="K82" i="4"/>
  <c r="F82" i="4"/>
  <c r="D82" i="4"/>
  <c r="A16" i="4"/>
  <c r="V81" i="4"/>
  <c r="T81" i="4"/>
  <c r="M81" i="4"/>
  <c r="J81" i="4"/>
  <c r="H81" i="4"/>
  <c r="A15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E80" i="4"/>
  <c r="D80" i="4"/>
  <c r="C14" i="4"/>
  <c r="C80" i="4" s="1"/>
  <c r="T17" i="4"/>
  <c r="R79" i="4"/>
  <c r="M79" i="4"/>
  <c r="H79" i="4"/>
  <c r="C13" i="4"/>
  <c r="A13" i="4"/>
  <c r="T11" i="4"/>
  <c r="T77" i="4" s="1"/>
  <c r="S11" i="4"/>
  <c r="H11" i="4"/>
  <c r="H77" i="4" s="1"/>
  <c r="D11" i="4"/>
  <c r="V76" i="4"/>
  <c r="T76" i="4"/>
  <c r="S76" i="4"/>
  <c r="R31" i="4"/>
  <c r="Q76" i="4"/>
  <c r="Q117" i="4" s="1"/>
  <c r="P76" i="4"/>
  <c r="O76" i="4"/>
  <c r="N76" i="4"/>
  <c r="M76" i="4"/>
  <c r="L76" i="4"/>
  <c r="K76" i="4"/>
  <c r="K117" i="4" s="1"/>
  <c r="J76" i="4"/>
  <c r="J117" i="4" s="1"/>
  <c r="H76" i="4"/>
  <c r="G76" i="4"/>
  <c r="F76" i="4"/>
  <c r="E76" i="4"/>
  <c r="E117" i="4" s="1"/>
  <c r="D76" i="4"/>
  <c r="C10" i="4"/>
  <c r="C76" i="4" s="1"/>
  <c r="A10" i="4"/>
  <c r="V75" i="4"/>
  <c r="T75" i="4"/>
  <c r="S75" i="4"/>
  <c r="R75" i="4"/>
  <c r="Q75" i="4"/>
  <c r="P75" i="4"/>
  <c r="O75" i="4"/>
  <c r="M75" i="4"/>
  <c r="L75" i="4"/>
  <c r="K75" i="4"/>
  <c r="J75" i="4"/>
  <c r="H75" i="4"/>
  <c r="G75" i="4"/>
  <c r="F75" i="4"/>
  <c r="E75" i="4"/>
  <c r="D75" i="4"/>
  <c r="A9" i="4"/>
  <c r="T74" i="4"/>
  <c r="R11" i="4"/>
  <c r="Q74" i="4"/>
  <c r="N11" i="4"/>
  <c r="N77" i="4" s="1"/>
  <c r="M11" i="4"/>
  <c r="M77" i="4" s="1"/>
  <c r="E74" i="4"/>
  <c r="A8" i="4"/>
  <c r="T7" i="4"/>
  <c r="T73" i="4" s="1"/>
  <c r="S7" i="4"/>
  <c r="R7" i="4"/>
  <c r="G7" i="4"/>
  <c r="E7" i="4"/>
  <c r="E73" i="4" s="1"/>
  <c r="V72" i="4"/>
  <c r="U72" i="4"/>
  <c r="T72" i="4"/>
  <c r="S72" i="4"/>
  <c r="S106" i="4" s="1"/>
  <c r="R72" i="4"/>
  <c r="R106" i="4" s="1"/>
  <c r="Q72" i="4"/>
  <c r="Q106" i="4" s="1"/>
  <c r="P72" i="4"/>
  <c r="O72" i="4"/>
  <c r="N72" i="4"/>
  <c r="L72" i="4"/>
  <c r="K72" i="4"/>
  <c r="J72" i="4"/>
  <c r="I72" i="4"/>
  <c r="H72" i="4"/>
  <c r="H106" i="4" s="1"/>
  <c r="G72" i="4"/>
  <c r="G106" i="4" s="1"/>
  <c r="F72" i="4"/>
  <c r="F106" i="4" s="1"/>
  <c r="E72" i="4"/>
  <c r="E106" i="4" s="1"/>
  <c r="D72" i="4"/>
  <c r="A6" i="4"/>
  <c r="U71" i="4"/>
  <c r="T71" i="4"/>
  <c r="S71" i="4"/>
  <c r="R71" i="4"/>
  <c r="Q71" i="4"/>
  <c r="P71" i="4"/>
  <c r="O71" i="4"/>
  <c r="M71" i="4"/>
  <c r="L71" i="4"/>
  <c r="K71" i="4"/>
  <c r="I71" i="4"/>
  <c r="H71" i="4"/>
  <c r="G71" i="4"/>
  <c r="F71" i="4"/>
  <c r="E71" i="4"/>
  <c r="D71" i="4"/>
  <c r="A5" i="4"/>
  <c r="V87" i="3"/>
  <c r="U87" i="3"/>
  <c r="T87" i="3"/>
  <c r="V86" i="3"/>
  <c r="U86" i="3"/>
  <c r="T86" i="3"/>
  <c r="V85" i="3"/>
  <c r="U85" i="3"/>
  <c r="T85" i="3"/>
  <c r="V84" i="3"/>
  <c r="U84" i="3"/>
  <c r="T84" i="3"/>
  <c r="V82" i="3"/>
  <c r="U82" i="3"/>
  <c r="T82" i="3"/>
  <c r="V81" i="3"/>
  <c r="U81" i="3"/>
  <c r="T81" i="3"/>
  <c r="V80" i="3"/>
  <c r="U80" i="3"/>
  <c r="T80" i="3"/>
  <c r="V79" i="3"/>
  <c r="U79" i="3"/>
  <c r="T79" i="3"/>
  <c r="V76" i="3"/>
  <c r="U76" i="3"/>
  <c r="T76" i="3"/>
  <c r="V75" i="3"/>
  <c r="U75" i="3"/>
  <c r="T75" i="3"/>
  <c r="V74" i="3"/>
  <c r="U74" i="3"/>
  <c r="T74" i="3"/>
  <c r="V72" i="3"/>
  <c r="U72" i="3"/>
  <c r="T72" i="3"/>
  <c r="V71" i="3"/>
  <c r="U71" i="3"/>
  <c r="T71" i="3"/>
  <c r="V65" i="3"/>
  <c r="U65" i="3"/>
  <c r="T65" i="3"/>
  <c r="V64" i="3"/>
  <c r="U64" i="3"/>
  <c r="T64" i="3"/>
  <c r="V63" i="3"/>
  <c r="U63" i="3"/>
  <c r="T63" i="3"/>
  <c r="V62" i="3"/>
  <c r="U62" i="3"/>
  <c r="T62" i="3"/>
  <c r="V59" i="3"/>
  <c r="U59" i="3"/>
  <c r="T59" i="3"/>
  <c r="V58" i="3"/>
  <c r="U58" i="3"/>
  <c r="T58" i="3"/>
  <c r="V57" i="3"/>
  <c r="U57" i="3"/>
  <c r="T57" i="3"/>
  <c r="V55" i="3"/>
  <c r="U55" i="3"/>
  <c r="T55" i="3"/>
  <c r="R65" i="3"/>
  <c r="Q65" i="3"/>
  <c r="P65" i="3"/>
  <c r="N65" i="3"/>
  <c r="M65" i="3"/>
  <c r="L65" i="3"/>
  <c r="K65" i="3"/>
  <c r="J65" i="3"/>
  <c r="I65" i="3"/>
  <c r="H65" i="3"/>
  <c r="G65" i="3"/>
  <c r="F65" i="3"/>
  <c r="E65" i="3"/>
  <c r="C54" i="3"/>
  <c r="S64" i="3"/>
  <c r="R64" i="3"/>
  <c r="Q64" i="3"/>
  <c r="O64" i="3"/>
  <c r="N64" i="3"/>
  <c r="M64" i="3"/>
  <c r="L64" i="3"/>
  <c r="K64" i="3"/>
  <c r="J64" i="3"/>
  <c r="I64" i="3"/>
  <c r="H64" i="3"/>
  <c r="G64" i="3"/>
  <c r="F64" i="3"/>
  <c r="E64" i="3"/>
  <c r="D64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S55" i="3"/>
  <c r="R55" i="3"/>
  <c r="Q55" i="3"/>
  <c r="P55" i="3"/>
  <c r="O55" i="3"/>
  <c r="N62" i="3"/>
  <c r="M62" i="3"/>
  <c r="M66" i="3" s="1"/>
  <c r="L62" i="3"/>
  <c r="L66" i="3" s="1"/>
  <c r="K62" i="3"/>
  <c r="J55" i="3"/>
  <c r="I55" i="3"/>
  <c r="H55" i="3"/>
  <c r="G55" i="3"/>
  <c r="F55" i="3"/>
  <c r="E55" i="3"/>
  <c r="C51" i="3"/>
  <c r="V50" i="3"/>
  <c r="U50" i="3"/>
  <c r="T50" i="3"/>
  <c r="L50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C49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47" i="3"/>
  <c r="S50" i="3"/>
  <c r="R57" i="3"/>
  <c r="Q57" i="3"/>
  <c r="P57" i="3"/>
  <c r="O57" i="3"/>
  <c r="N50" i="3"/>
  <c r="M50" i="3"/>
  <c r="M61" i="3" s="1"/>
  <c r="L57" i="3"/>
  <c r="K50" i="3"/>
  <c r="J50" i="3"/>
  <c r="I50" i="3"/>
  <c r="H50" i="3"/>
  <c r="G50" i="3"/>
  <c r="F57" i="3"/>
  <c r="E57" i="3"/>
  <c r="D57" i="3"/>
  <c r="V44" i="3"/>
  <c r="U44" i="3"/>
  <c r="T44" i="3"/>
  <c r="Q44" i="3"/>
  <c r="I44" i="3"/>
  <c r="E44" i="3"/>
  <c r="P64" i="3"/>
  <c r="C43" i="3"/>
  <c r="D44" i="3"/>
  <c r="J44" i="3"/>
  <c r="C42" i="3"/>
  <c r="S44" i="3"/>
  <c r="R44" i="3"/>
  <c r="O44" i="3"/>
  <c r="N44" i="3"/>
  <c r="M44" i="3"/>
  <c r="L44" i="3"/>
  <c r="K44" i="3"/>
  <c r="H44" i="3"/>
  <c r="G44" i="3"/>
  <c r="F44" i="3"/>
  <c r="V40" i="3"/>
  <c r="U40" i="3"/>
  <c r="T40" i="3"/>
  <c r="S40" i="3"/>
  <c r="P40" i="3"/>
  <c r="J40" i="3"/>
  <c r="H40" i="3"/>
  <c r="G40" i="3"/>
  <c r="D40" i="3"/>
  <c r="O40" i="3"/>
  <c r="C39" i="3"/>
  <c r="R40" i="3"/>
  <c r="Q40" i="3"/>
  <c r="N40" i="3"/>
  <c r="M40" i="3"/>
  <c r="L40" i="3"/>
  <c r="L45" i="3" s="1"/>
  <c r="K40" i="3"/>
  <c r="I40" i="3"/>
  <c r="I45" i="3" s="1"/>
  <c r="F40" i="3"/>
  <c r="E40" i="3"/>
  <c r="V32" i="3"/>
  <c r="V98" i="3" s="1"/>
  <c r="U32" i="3"/>
  <c r="U98" i="3" s="1"/>
  <c r="T32" i="3"/>
  <c r="T98" i="3" s="1"/>
  <c r="V31" i="3"/>
  <c r="V97" i="3" s="1"/>
  <c r="U31" i="3"/>
  <c r="U97" i="3" s="1"/>
  <c r="T31" i="3"/>
  <c r="T97" i="3" s="1"/>
  <c r="V30" i="3"/>
  <c r="V96" i="3" s="1"/>
  <c r="U30" i="3"/>
  <c r="U96" i="3" s="1"/>
  <c r="T30" i="3"/>
  <c r="T96" i="3" s="1"/>
  <c r="V29" i="3"/>
  <c r="V95" i="3" s="1"/>
  <c r="U29" i="3"/>
  <c r="U95" i="3" s="1"/>
  <c r="T29" i="3"/>
  <c r="T95" i="3" s="1"/>
  <c r="V26" i="3"/>
  <c r="V92" i="3" s="1"/>
  <c r="U26" i="3"/>
  <c r="U92" i="3" s="1"/>
  <c r="T26" i="3"/>
  <c r="T92" i="3" s="1"/>
  <c r="V25" i="3"/>
  <c r="V91" i="3" s="1"/>
  <c r="U25" i="3"/>
  <c r="U91" i="3" s="1"/>
  <c r="T25" i="3"/>
  <c r="T91" i="3" s="1"/>
  <c r="V24" i="3"/>
  <c r="V90" i="3" s="1"/>
  <c r="U24" i="3"/>
  <c r="U90" i="3" s="1"/>
  <c r="T24" i="3"/>
  <c r="T90" i="3" s="1"/>
  <c r="V22" i="3"/>
  <c r="V88" i="3" s="1"/>
  <c r="U22" i="3"/>
  <c r="U88" i="3" s="1"/>
  <c r="T22" i="3"/>
  <c r="T88" i="3" s="1"/>
  <c r="S87" i="3"/>
  <c r="R87" i="3"/>
  <c r="Q87" i="3"/>
  <c r="P87" i="3"/>
  <c r="O87" i="3"/>
  <c r="N87" i="3"/>
  <c r="M87" i="3"/>
  <c r="L87" i="3"/>
  <c r="K87" i="3"/>
  <c r="J87" i="3"/>
  <c r="I87" i="3"/>
  <c r="H87" i="3"/>
  <c r="G87" i="3"/>
  <c r="F87" i="3"/>
  <c r="E87" i="3"/>
  <c r="D87" i="3"/>
  <c r="A21" i="3"/>
  <c r="S86" i="3"/>
  <c r="R86" i="3"/>
  <c r="Q86" i="3"/>
  <c r="P86" i="3"/>
  <c r="O86" i="3"/>
  <c r="N86" i="3"/>
  <c r="M86" i="3"/>
  <c r="L86" i="3"/>
  <c r="K86" i="3"/>
  <c r="J86" i="3"/>
  <c r="I86" i="3"/>
  <c r="H86" i="3"/>
  <c r="G86" i="3"/>
  <c r="F86" i="3"/>
  <c r="E86" i="3"/>
  <c r="D86" i="3"/>
  <c r="A20" i="3"/>
  <c r="S85" i="3"/>
  <c r="R85" i="3"/>
  <c r="Q85" i="3"/>
  <c r="O85" i="3"/>
  <c r="N85" i="3"/>
  <c r="M85" i="3"/>
  <c r="K85" i="3"/>
  <c r="J85" i="3"/>
  <c r="I85" i="3"/>
  <c r="H85" i="3"/>
  <c r="G85" i="3"/>
  <c r="F85" i="3"/>
  <c r="E85" i="3"/>
  <c r="A19" i="3"/>
  <c r="S84" i="3"/>
  <c r="R84" i="3"/>
  <c r="Q84" i="3"/>
  <c r="P84" i="3"/>
  <c r="O84" i="3"/>
  <c r="N84" i="3"/>
  <c r="M84" i="3"/>
  <c r="K84" i="3"/>
  <c r="J84" i="3"/>
  <c r="I84" i="3"/>
  <c r="H84" i="3"/>
  <c r="G84" i="3"/>
  <c r="F84" i="3"/>
  <c r="E22" i="3"/>
  <c r="D22" i="3"/>
  <c r="A18" i="3"/>
  <c r="V17" i="3"/>
  <c r="U17" i="3"/>
  <c r="T17" i="3"/>
  <c r="I17" i="3"/>
  <c r="S82" i="3"/>
  <c r="Q82" i="3"/>
  <c r="P82" i="3"/>
  <c r="O82" i="3"/>
  <c r="M82" i="3"/>
  <c r="L26" i="3"/>
  <c r="K82" i="3"/>
  <c r="I26" i="3"/>
  <c r="I92" i="3" s="1"/>
  <c r="I111" i="3" s="1"/>
  <c r="E82" i="3"/>
  <c r="D82" i="3"/>
  <c r="A16" i="3"/>
  <c r="S81" i="3"/>
  <c r="R81" i="3"/>
  <c r="Q81" i="3"/>
  <c r="O81" i="3"/>
  <c r="J81" i="3"/>
  <c r="I81" i="3"/>
  <c r="E81" i="3"/>
  <c r="A15" i="3"/>
  <c r="S80" i="3"/>
  <c r="R80" i="3"/>
  <c r="Q80" i="3"/>
  <c r="P80" i="3"/>
  <c r="O80" i="3"/>
  <c r="M80" i="3"/>
  <c r="L80" i="3"/>
  <c r="K80" i="3"/>
  <c r="J80" i="3"/>
  <c r="I80" i="3"/>
  <c r="G80" i="3"/>
  <c r="F80" i="3"/>
  <c r="D80" i="3"/>
  <c r="Q17" i="3"/>
  <c r="N79" i="3"/>
  <c r="M17" i="3"/>
  <c r="I79" i="3"/>
  <c r="H79" i="3"/>
  <c r="E17" i="3"/>
  <c r="C13" i="3"/>
  <c r="A13" i="3"/>
  <c r="V11" i="3"/>
  <c r="V77" i="3" s="1"/>
  <c r="U11" i="3"/>
  <c r="T11" i="3"/>
  <c r="S11" i="3"/>
  <c r="S77" i="3" s="1"/>
  <c r="O11" i="3"/>
  <c r="O77" i="3" s="1"/>
  <c r="G11" i="3"/>
  <c r="S76" i="3"/>
  <c r="R76" i="3"/>
  <c r="R117" i="3" s="1"/>
  <c r="Q76" i="3"/>
  <c r="Q117" i="3" s="1"/>
  <c r="P76" i="3"/>
  <c r="O76" i="3"/>
  <c r="O117" i="3" s="1"/>
  <c r="L76" i="3"/>
  <c r="K76" i="3"/>
  <c r="J76" i="3"/>
  <c r="J117" i="3" s="1"/>
  <c r="I76" i="3"/>
  <c r="I117" i="3" s="1"/>
  <c r="H76" i="3"/>
  <c r="H117" i="3" s="1"/>
  <c r="G76" i="3"/>
  <c r="D76" i="3"/>
  <c r="A10" i="3"/>
  <c r="R75" i="3"/>
  <c r="Q75" i="3"/>
  <c r="O75" i="3"/>
  <c r="N75" i="3"/>
  <c r="M75" i="3"/>
  <c r="L75" i="3"/>
  <c r="K75" i="3"/>
  <c r="J75" i="3"/>
  <c r="I75" i="3"/>
  <c r="H75" i="3"/>
  <c r="G75" i="3"/>
  <c r="F75" i="3"/>
  <c r="E75" i="3"/>
  <c r="A9" i="3"/>
  <c r="A8" i="3"/>
  <c r="V7" i="3"/>
  <c r="V73" i="3" s="1"/>
  <c r="U7" i="3"/>
  <c r="U73" i="3" s="1"/>
  <c r="T7" i="3"/>
  <c r="T73" i="3" s="1"/>
  <c r="S7" i="3"/>
  <c r="S73" i="3" s="1"/>
  <c r="R7" i="3"/>
  <c r="K7" i="3"/>
  <c r="F7" i="3"/>
  <c r="S72" i="3"/>
  <c r="R72" i="3"/>
  <c r="R106" i="3" s="1"/>
  <c r="Q72" i="3"/>
  <c r="Q106" i="3" s="1"/>
  <c r="P72" i="3"/>
  <c r="P106" i="3" s="1"/>
  <c r="O72" i="3"/>
  <c r="N72" i="3"/>
  <c r="N106" i="3" s="1"/>
  <c r="M72" i="3"/>
  <c r="M106" i="3" s="1"/>
  <c r="L72" i="3"/>
  <c r="L106" i="3" s="1"/>
  <c r="K72" i="3"/>
  <c r="K106" i="3" s="1"/>
  <c r="J72" i="3"/>
  <c r="I72" i="3"/>
  <c r="I106" i="3" s="1"/>
  <c r="H72" i="3"/>
  <c r="G72" i="3"/>
  <c r="F72" i="3"/>
  <c r="F106" i="3" s="1"/>
  <c r="E72" i="3"/>
  <c r="E106" i="3" s="1"/>
  <c r="A6" i="3"/>
  <c r="S71" i="3"/>
  <c r="R71" i="3"/>
  <c r="Q71" i="3"/>
  <c r="P71" i="3"/>
  <c r="N71" i="3"/>
  <c r="K71" i="3"/>
  <c r="I71" i="3"/>
  <c r="H71" i="3"/>
  <c r="G71" i="3"/>
  <c r="F71" i="3"/>
  <c r="E71" i="3"/>
  <c r="D71" i="3"/>
  <c r="A5" i="3"/>
  <c r="U86" i="2"/>
  <c r="U80" i="2"/>
  <c r="G76" i="2"/>
  <c r="K74" i="2"/>
  <c r="O72" i="2"/>
  <c r="J72" i="2"/>
  <c r="V65" i="2"/>
  <c r="U65" i="2"/>
  <c r="T65" i="2"/>
  <c r="V64" i="2"/>
  <c r="U64" i="2"/>
  <c r="T64" i="2"/>
  <c r="L64" i="2"/>
  <c r="K64" i="2"/>
  <c r="V63" i="2"/>
  <c r="U63" i="2"/>
  <c r="T63" i="2"/>
  <c r="S63" i="2"/>
  <c r="H63" i="2"/>
  <c r="G63" i="2"/>
  <c r="V62" i="2"/>
  <c r="V66" i="2" s="1"/>
  <c r="U62" i="2"/>
  <c r="U66" i="2" s="1"/>
  <c r="T62" i="2"/>
  <c r="T66" i="2" s="1"/>
  <c r="V59" i="2"/>
  <c r="U59" i="2"/>
  <c r="T59" i="2"/>
  <c r="T60" i="2" s="1"/>
  <c r="P59" i="2"/>
  <c r="O59" i="2"/>
  <c r="D59" i="2"/>
  <c r="V58" i="2"/>
  <c r="U58" i="2"/>
  <c r="T58" i="2"/>
  <c r="L58" i="2"/>
  <c r="K58" i="2"/>
  <c r="V57" i="2"/>
  <c r="V60" i="2" s="1"/>
  <c r="U57" i="2"/>
  <c r="U60" i="2" s="1"/>
  <c r="T57" i="2"/>
  <c r="S57" i="2"/>
  <c r="H57" i="2"/>
  <c r="G57" i="2"/>
  <c r="V55" i="2"/>
  <c r="U55" i="2"/>
  <c r="T55" i="2"/>
  <c r="L55" i="2"/>
  <c r="K55" i="2"/>
  <c r="S65" i="2"/>
  <c r="Q65" i="2"/>
  <c r="N65" i="2"/>
  <c r="M65" i="2"/>
  <c r="L65" i="2"/>
  <c r="K65" i="2"/>
  <c r="J65" i="2"/>
  <c r="I65" i="2"/>
  <c r="H65" i="2"/>
  <c r="G65" i="2"/>
  <c r="E65" i="2"/>
  <c r="C54" i="2"/>
  <c r="S64" i="2"/>
  <c r="P64" i="2"/>
  <c r="O64" i="2"/>
  <c r="M64" i="2"/>
  <c r="J64" i="2"/>
  <c r="H64" i="2"/>
  <c r="G64" i="2"/>
  <c r="D64" i="2"/>
  <c r="R63" i="2"/>
  <c r="Q63" i="2"/>
  <c r="P63" i="2"/>
  <c r="O63" i="2"/>
  <c r="M63" i="2"/>
  <c r="L63" i="2"/>
  <c r="K63" i="2"/>
  <c r="I63" i="2"/>
  <c r="F63" i="2"/>
  <c r="E63" i="2"/>
  <c r="D63" i="2"/>
  <c r="R55" i="2"/>
  <c r="Q55" i="2"/>
  <c r="P55" i="2"/>
  <c r="O55" i="2"/>
  <c r="N62" i="2"/>
  <c r="M62" i="2"/>
  <c r="L62" i="2"/>
  <c r="K62" i="2"/>
  <c r="K66" i="2" s="1"/>
  <c r="F55" i="2"/>
  <c r="E55" i="2"/>
  <c r="C51" i="2"/>
  <c r="V50" i="2"/>
  <c r="U50" i="2"/>
  <c r="T50" i="2"/>
  <c r="P50" i="2"/>
  <c r="O50" i="2"/>
  <c r="D50" i="2"/>
  <c r="S59" i="2"/>
  <c r="R59" i="2"/>
  <c r="Q59" i="2"/>
  <c r="N59" i="2"/>
  <c r="M59" i="2"/>
  <c r="L59" i="2"/>
  <c r="K59" i="2"/>
  <c r="H59" i="2"/>
  <c r="G59" i="2"/>
  <c r="F59" i="2"/>
  <c r="E59" i="2"/>
  <c r="C49" i="2"/>
  <c r="S58" i="2"/>
  <c r="R58" i="2"/>
  <c r="O58" i="2"/>
  <c r="N58" i="2"/>
  <c r="M58" i="2"/>
  <c r="J58" i="2"/>
  <c r="I58" i="2"/>
  <c r="H58" i="2"/>
  <c r="G58" i="2"/>
  <c r="F58" i="2"/>
  <c r="R50" i="2"/>
  <c r="F50" i="2"/>
  <c r="S50" i="2"/>
  <c r="R57" i="2"/>
  <c r="R60" i="2" s="1"/>
  <c r="Q57" i="2"/>
  <c r="Q60" i="2" s="1"/>
  <c r="P57" i="2"/>
  <c r="P60" i="2" s="1"/>
  <c r="O57" i="2"/>
  <c r="O60" i="2" s="1"/>
  <c r="N50" i="2"/>
  <c r="J50" i="2"/>
  <c r="I50" i="2"/>
  <c r="H50" i="2"/>
  <c r="G50" i="2"/>
  <c r="F57" i="2"/>
  <c r="F60" i="2" s="1"/>
  <c r="E57" i="2"/>
  <c r="E60" i="2" s="1"/>
  <c r="D57" i="2"/>
  <c r="D60" i="2" s="1"/>
  <c r="V44" i="2"/>
  <c r="U44" i="2"/>
  <c r="T44" i="2"/>
  <c r="M44" i="2"/>
  <c r="L44" i="2"/>
  <c r="N64" i="2"/>
  <c r="C43" i="2"/>
  <c r="K44" i="2"/>
  <c r="S44" i="2"/>
  <c r="P44" i="2"/>
  <c r="O44" i="2"/>
  <c r="N44" i="2"/>
  <c r="I44" i="2"/>
  <c r="H44" i="2"/>
  <c r="G44" i="2"/>
  <c r="D44" i="2"/>
  <c r="C41" i="2"/>
  <c r="V40" i="2"/>
  <c r="U40" i="2"/>
  <c r="T40" i="2"/>
  <c r="N40" i="2"/>
  <c r="L40" i="2"/>
  <c r="K40" i="2"/>
  <c r="Q40" i="2"/>
  <c r="P40" i="2"/>
  <c r="P45" i="2" s="1"/>
  <c r="E40" i="2"/>
  <c r="S40" i="2"/>
  <c r="S45" i="2" s="1"/>
  <c r="R40" i="2"/>
  <c r="O40" i="2"/>
  <c r="M40" i="2"/>
  <c r="J40" i="2"/>
  <c r="H40" i="2"/>
  <c r="G40" i="2"/>
  <c r="G45" i="2" s="1"/>
  <c r="F40" i="2"/>
  <c r="O32" i="2"/>
  <c r="K31" i="2"/>
  <c r="T30" i="2"/>
  <c r="S30" i="2"/>
  <c r="H30" i="2"/>
  <c r="H96" i="2" s="1"/>
  <c r="G30" i="2"/>
  <c r="G96" i="2" s="1"/>
  <c r="P29" i="2"/>
  <c r="O29" i="2"/>
  <c r="D29" i="2"/>
  <c r="P26" i="2"/>
  <c r="P92" i="2" s="1"/>
  <c r="P111" i="2" s="1"/>
  <c r="O26" i="2"/>
  <c r="O92" i="2" s="1"/>
  <c r="O111" i="2" s="1"/>
  <c r="D26" i="2"/>
  <c r="D92" i="2" s="1"/>
  <c r="D111" i="2" s="1"/>
  <c r="K25" i="2"/>
  <c r="S24" i="2"/>
  <c r="G24" i="2"/>
  <c r="G90" i="2" s="1"/>
  <c r="G109" i="2" s="1"/>
  <c r="U22" i="2"/>
  <c r="T22" i="2"/>
  <c r="I22" i="2"/>
  <c r="H22" i="2"/>
  <c r="V87" i="2"/>
  <c r="U87" i="2"/>
  <c r="T87" i="2"/>
  <c r="S87" i="2"/>
  <c r="R87" i="2"/>
  <c r="P87" i="2"/>
  <c r="O87" i="2"/>
  <c r="N87" i="2"/>
  <c r="M32" i="2"/>
  <c r="L87" i="2"/>
  <c r="K87" i="2"/>
  <c r="J87" i="2"/>
  <c r="I87" i="2"/>
  <c r="H87" i="2"/>
  <c r="G87" i="2"/>
  <c r="F87" i="2"/>
  <c r="D32" i="2"/>
  <c r="A21" i="2"/>
  <c r="V86" i="2"/>
  <c r="T86" i="2"/>
  <c r="S86" i="2"/>
  <c r="R86" i="2"/>
  <c r="Q86" i="2"/>
  <c r="P86" i="2"/>
  <c r="O86" i="2"/>
  <c r="N31" i="2"/>
  <c r="N97" i="2" s="1"/>
  <c r="N121" i="2" s="1"/>
  <c r="L86" i="2"/>
  <c r="K86" i="2"/>
  <c r="I86" i="2"/>
  <c r="H86" i="2"/>
  <c r="G86" i="2"/>
  <c r="F86" i="2"/>
  <c r="E86" i="2"/>
  <c r="D86" i="2"/>
  <c r="A20" i="2"/>
  <c r="U85" i="2"/>
  <c r="T85" i="2"/>
  <c r="S85" i="2"/>
  <c r="R85" i="2"/>
  <c r="Q85" i="2"/>
  <c r="P85" i="2"/>
  <c r="M85" i="2"/>
  <c r="L85" i="2"/>
  <c r="I85" i="2"/>
  <c r="H85" i="2"/>
  <c r="G85" i="2"/>
  <c r="F85" i="2"/>
  <c r="E30" i="2"/>
  <c r="E96" i="2" s="1"/>
  <c r="D85" i="2"/>
  <c r="A19" i="2"/>
  <c r="V84" i="2"/>
  <c r="U84" i="2"/>
  <c r="R22" i="2"/>
  <c r="Q84" i="2"/>
  <c r="P84" i="2"/>
  <c r="O84" i="2"/>
  <c r="N84" i="2"/>
  <c r="M29" i="2"/>
  <c r="L84" i="2"/>
  <c r="K84" i="2"/>
  <c r="J84" i="2"/>
  <c r="I84" i="2"/>
  <c r="F22" i="2"/>
  <c r="E84" i="2"/>
  <c r="D84" i="2"/>
  <c r="A18" i="2"/>
  <c r="Q17" i="2"/>
  <c r="P17" i="2"/>
  <c r="E17" i="2"/>
  <c r="D17" i="2"/>
  <c r="V82" i="2"/>
  <c r="U82" i="2"/>
  <c r="T82" i="2"/>
  <c r="S82" i="2"/>
  <c r="R82" i="2"/>
  <c r="Q82" i="2"/>
  <c r="P82" i="2"/>
  <c r="O82" i="2"/>
  <c r="N82" i="2"/>
  <c r="K82" i="2"/>
  <c r="J82" i="2"/>
  <c r="I26" i="2"/>
  <c r="G82" i="2"/>
  <c r="F82" i="2"/>
  <c r="E82" i="2"/>
  <c r="D82" i="2"/>
  <c r="A16" i="2"/>
  <c r="T81" i="2"/>
  <c r="S81" i="2"/>
  <c r="R25" i="2"/>
  <c r="R91" i="2" s="1"/>
  <c r="R110" i="2" s="1"/>
  <c r="Q81" i="2"/>
  <c r="P81" i="2"/>
  <c r="O81" i="2"/>
  <c r="M81" i="2"/>
  <c r="L81" i="2"/>
  <c r="K81" i="2"/>
  <c r="H81" i="2"/>
  <c r="G81" i="2"/>
  <c r="F25" i="2"/>
  <c r="F91" i="2" s="1"/>
  <c r="F110" i="2" s="1"/>
  <c r="E81" i="2"/>
  <c r="D81" i="2"/>
  <c r="A15" i="2"/>
  <c r="V80" i="2"/>
  <c r="U17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E80" i="2"/>
  <c r="D80" i="2"/>
  <c r="V79" i="2"/>
  <c r="U79" i="2"/>
  <c r="T79" i="2"/>
  <c r="S79" i="2"/>
  <c r="R79" i="2"/>
  <c r="P79" i="2"/>
  <c r="M79" i="2"/>
  <c r="K17" i="2"/>
  <c r="J79" i="2"/>
  <c r="I79" i="2"/>
  <c r="H79" i="2"/>
  <c r="G79" i="2"/>
  <c r="F79" i="2"/>
  <c r="D79" i="2"/>
  <c r="C13" i="2"/>
  <c r="A13" i="2"/>
  <c r="Q11" i="2"/>
  <c r="P11" i="2"/>
  <c r="P77" i="2" s="1"/>
  <c r="E11" i="2"/>
  <c r="D11" i="2"/>
  <c r="V76" i="2"/>
  <c r="U76" i="2"/>
  <c r="T76" i="2"/>
  <c r="S76" i="2"/>
  <c r="P76" i="2"/>
  <c r="O76" i="2"/>
  <c r="O117" i="2" s="1"/>
  <c r="N76" i="2"/>
  <c r="N117" i="2" s="1"/>
  <c r="M76" i="2"/>
  <c r="L76" i="2"/>
  <c r="L117" i="2" s="1"/>
  <c r="K76" i="2"/>
  <c r="J76" i="2"/>
  <c r="I76" i="2"/>
  <c r="H76" i="2"/>
  <c r="D76" i="2"/>
  <c r="A10" i="2"/>
  <c r="V75" i="2"/>
  <c r="U75" i="2"/>
  <c r="T75" i="2"/>
  <c r="S75" i="2"/>
  <c r="R75" i="2"/>
  <c r="Q75" i="2"/>
  <c r="P75" i="2"/>
  <c r="O75" i="2"/>
  <c r="N75" i="2"/>
  <c r="M75" i="2"/>
  <c r="L75" i="2"/>
  <c r="J75" i="2"/>
  <c r="I75" i="2"/>
  <c r="H75" i="2"/>
  <c r="G75" i="2"/>
  <c r="F75" i="2"/>
  <c r="E75" i="2"/>
  <c r="D75" i="2"/>
  <c r="A9" i="2"/>
  <c r="V74" i="2"/>
  <c r="T74" i="2"/>
  <c r="P74" i="2"/>
  <c r="N74" i="2"/>
  <c r="A8" i="2"/>
  <c r="S7" i="2"/>
  <c r="R7" i="2"/>
  <c r="O7" i="2"/>
  <c r="G7" i="2"/>
  <c r="F7" i="2"/>
  <c r="V72" i="2"/>
  <c r="U72" i="2"/>
  <c r="T72" i="2"/>
  <c r="S72" i="2"/>
  <c r="R72" i="2"/>
  <c r="P72" i="2"/>
  <c r="N72" i="2"/>
  <c r="M72" i="2"/>
  <c r="L72" i="2"/>
  <c r="K72" i="2"/>
  <c r="I72" i="2"/>
  <c r="I106" i="2" s="1"/>
  <c r="H72" i="2"/>
  <c r="H106" i="2" s="1"/>
  <c r="G72" i="2"/>
  <c r="F72" i="2"/>
  <c r="E72" i="2"/>
  <c r="D72" i="2"/>
  <c r="A6" i="2"/>
  <c r="V71" i="2"/>
  <c r="T7" i="2"/>
  <c r="T73" i="2" s="1"/>
  <c r="S71" i="2"/>
  <c r="R71" i="2"/>
  <c r="P71" i="2"/>
  <c r="O71" i="2"/>
  <c r="H71" i="2"/>
  <c r="G71" i="2"/>
  <c r="G105" i="2" s="1"/>
  <c r="F71" i="2"/>
  <c r="D71" i="2"/>
  <c r="A5" i="2"/>
  <c r="Q85" i="1"/>
  <c r="S82" i="1"/>
  <c r="U79" i="1"/>
  <c r="M75" i="1"/>
  <c r="O72" i="1"/>
  <c r="J71" i="1"/>
  <c r="J64" i="1"/>
  <c r="G63" i="1"/>
  <c r="T62" i="1"/>
  <c r="T59" i="1"/>
  <c r="O59" i="1"/>
  <c r="T58" i="1"/>
  <c r="E58" i="1"/>
  <c r="T57" i="1"/>
  <c r="V55" i="1"/>
  <c r="T55" i="1"/>
  <c r="V65" i="1"/>
  <c r="S65" i="1"/>
  <c r="R65" i="1"/>
  <c r="O65" i="1"/>
  <c r="M65" i="1"/>
  <c r="L65" i="1"/>
  <c r="F65" i="1"/>
  <c r="E65" i="1"/>
  <c r="D65" i="1"/>
  <c r="U64" i="1"/>
  <c r="S64" i="1"/>
  <c r="R64" i="1"/>
  <c r="O64" i="1"/>
  <c r="L64" i="1"/>
  <c r="K64" i="1"/>
  <c r="H64" i="1"/>
  <c r="G64" i="1"/>
  <c r="C53" i="1"/>
  <c r="V63" i="1"/>
  <c r="U63" i="1"/>
  <c r="S63" i="1"/>
  <c r="R63" i="1"/>
  <c r="Q63" i="1"/>
  <c r="P63" i="1"/>
  <c r="C52" i="1"/>
  <c r="K63" i="1"/>
  <c r="I63" i="1"/>
  <c r="H63" i="1"/>
  <c r="E63" i="1"/>
  <c r="D63" i="1"/>
  <c r="V62" i="1"/>
  <c r="U55" i="1"/>
  <c r="S55" i="1"/>
  <c r="R55" i="1"/>
  <c r="P55" i="1"/>
  <c r="O55" i="1"/>
  <c r="N55" i="1"/>
  <c r="L55" i="1"/>
  <c r="K55" i="1"/>
  <c r="J55" i="1"/>
  <c r="G55" i="1"/>
  <c r="F55" i="1"/>
  <c r="E55" i="1"/>
  <c r="C51" i="1"/>
  <c r="T50" i="1"/>
  <c r="S50" i="1"/>
  <c r="R50" i="1"/>
  <c r="L50" i="1"/>
  <c r="G50" i="1"/>
  <c r="F50" i="1"/>
  <c r="S59" i="1"/>
  <c r="R59" i="1"/>
  <c r="P59" i="1"/>
  <c r="N59" i="1"/>
  <c r="M59" i="1"/>
  <c r="K59" i="1"/>
  <c r="J59" i="1"/>
  <c r="G59" i="1"/>
  <c r="F59" i="1"/>
  <c r="E59" i="1"/>
  <c r="D59" i="1"/>
  <c r="V58" i="1"/>
  <c r="U58" i="1"/>
  <c r="R58" i="1"/>
  <c r="Q58" i="1"/>
  <c r="O58" i="1"/>
  <c r="N58" i="1"/>
  <c r="M58" i="1"/>
  <c r="L58" i="1"/>
  <c r="K58" i="1"/>
  <c r="J58" i="1"/>
  <c r="I58" i="1"/>
  <c r="H58" i="1"/>
  <c r="F58" i="1"/>
  <c r="C48" i="1"/>
  <c r="C47" i="1"/>
  <c r="V57" i="1"/>
  <c r="U57" i="1"/>
  <c r="S57" i="1"/>
  <c r="R57" i="1"/>
  <c r="Q57" i="1"/>
  <c r="P50" i="1"/>
  <c r="N50" i="1"/>
  <c r="M50" i="1"/>
  <c r="K50" i="1"/>
  <c r="J57" i="1"/>
  <c r="I50" i="1"/>
  <c r="H57" i="1"/>
  <c r="G57" i="1"/>
  <c r="F57" i="1"/>
  <c r="E57" i="1"/>
  <c r="D50" i="1"/>
  <c r="T64" i="1"/>
  <c r="C43" i="1"/>
  <c r="T63" i="1"/>
  <c r="C42" i="1"/>
  <c r="V44" i="1"/>
  <c r="U44" i="1"/>
  <c r="T65" i="1"/>
  <c r="S44" i="1"/>
  <c r="R44" i="1"/>
  <c r="Q44" i="1"/>
  <c r="P44" i="1"/>
  <c r="O44" i="1"/>
  <c r="N44" i="1"/>
  <c r="M44" i="1"/>
  <c r="L44" i="1"/>
  <c r="K65" i="1"/>
  <c r="J44" i="1"/>
  <c r="I44" i="1"/>
  <c r="H44" i="1"/>
  <c r="G44" i="1"/>
  <c r="F44" i="1"/>
  <c r="E44" i="1"/>
  <c r="D44" i="1"/>
  <c r="T40" i="1"/>
  <c r="S40" i="1"/>
  <c r="S45" i="1" s="1"/>
  <c r="R40" i="1"/>
  <c r="P40" i="1"/>
  <c r="L40" i="1"/>
  <c r="G40" i="1"/>
  <c r="G45" i="1" s="1"/>
  <c r="F40" i="1"/>
  <c r="D40" i="1"/>
  <c r="M40" i="1"/>
  <c r="K40" i="1"/>
  <c r="V40" i="1"/>
  <c r="U40" i="1"/>
  <c r="Q40" i="1"/>
  <c r="O40" i="1"/>
  <c r="N40" i="1"/>
  <c r="J40" i="1"/>
  <c r="I40" i="1"/>
  <c r="C38" i="1"/>
  <c r="E40" i="1"/>
  <c r="U32" i="1"/>
  <c r="N32" i="1"/>
  <c r="I32" i="1"/>
  <c r="R30" i="1"/>
  <c r="F30" i="1"/>
  <c r="U29" i="1"/>
  <c r="O29" i="1"/>
  <c r="N29" i="1"/>
  <c r="I29" i="1"/>
  <c r="U26" i="1"/>
  <c r="O26" i="1"/>
  <c r="N26" i="1"/>
  <c r="I26" i="1"/>
  <c r="V25" i="1"/>
  <c r="V91" i="1" s="1"/>
  <c r="Q25" i="1"/>
  <c r="L25" i="1"/>
  <c r="K25" i="1"/>
  <c r="J25" i="1"/>
  <c r="E25" i="1"/>
  <c r="T22" i="1"/>
  <c r="T88" i="1" s="1"/>
  <c r="S22" i="1"/>
  <c r="H22" i="1"/>
  <c r="G22" i="1"/>
  <c r="G88" i="1" s="1"/>
  <c r="V87" i="1"/>
  <c r="U87" i="1"/>
  <c r="T87" i="1"/>
  <c r="S87" i="1"/>
  <c r="R87" i="1"/>
  <c r="Q87" i="1"/>
  <c r="P87" i="1"/>
  <c r="O87" i="1"/>
  <c r="N87" i="1"/>
  <c r="L87" i="1"/>
  <c r="K87" i="1"/>
  <c r="J87" i="1"/>
  <c r="I87" i="1"/>
  <c r="H87" i="1"/>
  <c r="G87" i="1"/>
  <c r="F87" i="1"/>
  <c r="E87" i="1"/>
  <c r="D87" i="1"/>
  <c r="A21" i="1"/>
  <c r="V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31" i="1"/>
  <c r="A20" i="1"/>
  <c r="V85" i="1"/>
  <c r="U85" i="1"/>
  <c r="T85" i="1"/>
  <c r="S85" i="1"/>
  <c r="R85" i="1"/>
  <c r="Q30" i="1"/>
  <c r="P85" i="1"/>
  <c r="N85" i="1"/>
  <c r="M85" i="1"/>
  <c r="L85" i="1"/>
  <c r="K85" i="1"/>
  <c r="J85" i="1"/>
  <c r="I85" i="1"/>
  <c r="H85" i="1"/>
  <c r="G85" i="1"/>
  <c r="F85" i="1"/>
  <c r="E85" i="1"/>
  <c r="D85" i="1"/>
  <c r="A19" i="1"/>
  <c r="V84" i="1"/>
  <c r="U84" i="1"/>
  <c r="T84" i="1"/>
  <c r="S84" i="1"/>
  <c r="R22" i="1"/>
  <c r="Q84" i="1"/>
  <c r="P22" i="1"/>
  <c r="O84" i="1"/>
  <c r="N84" i="1"/>
  <c r="M84" i="1"/>
  <c r="L84" i="1"/>
  <c r="K22" i="1"/>
  <c r="J22" i="1"/>
  <c r="I84" i="1"/>
  <c r="H84" i="1"/>
  <c r="G84" i="1"/>
  <c r="F84" i="1"/>
  <c r="E84" i="1"/>
  <c r="D22" i="1"/>
  <c r="A18" i="1"/>
  <c r="P17" i="1"/>
  <c r="O17" i="1"/>
  <c r="D17" i="1"/>
  <c r="V82" i="1"/>
  <c r="U82" i="1"/>
  <c r="T82" i="1"/>
  <c r="S26" i="1"/>
  <c r="R82" i="1"/>
  <c r="Q82" i="1"/>
  <c r="P82" i="1"/>
  <c r="O82" i="1"/>
  <c r="L82" i="1"/>
  <c r="K82" i="1"/>
  <c r="J82" i="1"/>
  <c r="I82" i="1"/>
  <c r="H82" i="1"/>
  <c r="G82" i="1"/>
  <c r="F82" i="1"/>
  <c r="E82" i="1"/>
  <c r="D82" i="1"/>
  <c r="A16" i="1"/>
  <c r="V81" i="1"/>
  <c r="U81" i="1"/>
  <c r="T25" i="1"/>
  <c r="T91" i="1" s="1"/>
  <c r="S81" i="1"/>
  <c r="R81" i="1"/>
  <c r="Q81" i="1"/>
  <c r="P81" i="1"/>
  <c r="O81" i="1"/>
  <c r="N81" i="1"/>
  <c r="M81" i="1"/>
  <c r="L81" i="1"/>
  <c r="K81" i="1"/>
  <c r="J81" i="1"/>
  <c r="I25" i="1"/>
  <c r="H81" i="1"/>
  <c r="G81" i="1"/>
  <c r="F25" i="1"/>
  <c r="E81" i="1"/>
  <c r="D25" i="1"/>
  <c r="A15" i="1"/>
  <c r="V80" i="1"/>
  <c r="U80" i="1"/>
  <c r="T80" i="1"/>
  <c r="S80" i="1"/>
  <c r="S112" i="1" s="1"/>
  <c r="R80" i="1"/>
  <c r="R112" i="1" s="1"/>
  <c r="Q80" i="1"/>
  <c r="Q112" i="1" s="1"/>
  <c r="O80" i="1"/>
  <c r="O112" i="1" s="1"/>
  <c r="N80" i="1"/>
  <c r="N112" i="1" s="1"/>
  <c r="M80" i="1"/>
  <c r="M112" i="1" s="1"/>
  <c r="L80" i="1"/>
  <c r="L112" i="1" s="1"/>
  <c r="K80" i="1"/>
  <c r="K112" i="1" s="1"/>
  <c r="J80" i="1"/>
  <c r="J112" i="1" s="1"/>
  <c r="I80" i="1"/>
  <c r="I112" i="1" s="1"/>
  <c r="H80" i="1"/>
  <c r="H112" i="1" s="1"/>
  <c r="G80" i="1"/>
  <c r="G112" i="1" s="1"/>
  <c r="F80" i="1"/>
  <c r="F112" i="1" s="1"/>
  <c r="E80" i="1"/>
  <c r="E112" i="1" s="1"/>
  <c r="V79" i="1"/>
  <c r="U24" i="1"/>
  <c r="T79" i="1"/>
  <c r="S79" i="1"/>
  <c r="R17" i="1"/>
  <c r="Q79" i="1"/>
  <c r="P79" i="1"/>
  <c r="O79" i="1"/>
  <c r="N79" i="1"/>
  <c r="M79" i="1"/>
  <c r="L79" i="1"/>
  <c r="K79" i="1"/>
  <c r="J24" i="1"/>
  <c r="I79" i="1"/>
  <c r="H79" i="1"/>
  <c r="G79" i="1"/>
  <c r="F79" i="1"/>
  <c r="E79" i="1"/>
  <c r="D24" i="1"/>
  <c r="O11" i="1"/>
  <c r="N11" i="1"/>
  <c r="N77" i="1" s="1"/>
  <c r="V76" i="1"/>
  <c r="U76" i="1"/>
  <c r="T76" i="1"/>
  <c r="Q76" i="1"/>
  <c r="P76" i="1"/>
  <c r="O76" i="1"/>
  <c r="N76" i="1"/>
  <c r="L76" i="1"/>
  <c r="K76" i="1"/>
  <c r="J76" i="1"/>
  <c r="I76" i="1"/>
  <c r="H76" i="1"/>
  <c r="G76" i="1"/>
  <c r="F76" i="1"/>
  <c r="E76" i="1"/>
  <c r="D76" i="1"/>
  <c r="A10" i="1"/>
  <c r="V75" i="1"/>
  <c r="U11" i="1"/>
  <c r="T75" i="1"/>
  <c r="S75" i="1"/>
  <c r="R75" i="1"/>
  <c r="Q75" i="1"/>
  <c r="M30" i="1"/>
  <c r="L30" i="1"/>
  <c r="K75" i="1"/>
  <c r="J75" i="1"/>
  <c r="I75" i="1"/>
  <c r="H75" i="1"/>
  <c r="G75" i="1"/>
  <c r="F75" i="1"/>
  <c r="E75" i="1"/>
  <c r="A9" i="1"/>
  <c r="U74" i="1"/>
  <c r="T74" i="1"/>
  <c r="Q11" i="1"/>
  <c r="P11" i="1"/>
  <c r="O74" i="1"/>
  <c r="M74" i="1"/>
  <c r="L32" i="1"/>
  <c r="K11" i="1"/>
  <c r="J11" i="1"/>
  <c r="H74" i="1"/>
  <c r="E11" i="1"/>
  <c r="D11" i="1"/>
  <c r="A8" i="1"/>
  <c r="Q7" i="1"/>
  <c r="N7" i="1"/>
  <c r="M7" i="1"/>
  <c r="E7" i="1"/>
  <c r="V72" i="1"/>
  <c r="U72" i="1"/>
  <c r="T72" i="1"/>
  <c r="S72" i="1"/>
  <c r="R72" i="1"/>
  <c r="Q72" i="1"/>
  <c r="P72" i="1"/>
  <c r="O7" i="1"/>
  <c r="N72" i="1"/>
  <c r="L72" i="1"/>
  <c r="K72" i="1"/>
  <c r="J72" i="1"/>
  <c r="I72" i="1"/>
  <c r="G72" i="1"/>
  <c r="F72" i="1"/>
  <c r="E72" i="1"/>
  <c r="D72" i="1"/>
  <c r="A6" i="1"/>
  <c r="V7" i="1"/>
  <c r="U71" i="1"/>
  <c r="T7" i="1"/>
  <c r="T73" i="1" s="1"/>
  <c r="S71" i="1"/>
  <c r="R71" i="1"/>
  <c r="Q71" i="1"/>
  <c r="P71" i="1"/>
  <c r="N71" i="1"/>
  <c r="M71" i="1"/>
  <c r="L71" i="1"/>
  <c r="K71" i="1"/>
  <c r="J7" i="1"/>
  <c r="H7" i="1"/>
  <c r="G71" i="1"/>
  <c r="F71" i="1"/>
  <c r="E71" i="1"/>
  <c r="D71" i="1"/>
  <c r="A5" i="1"/>
  <c r="S60" i="2" l="1"/>
  <c r="Q45" i="4"/>
  <c r="C44" i="4"/>
  <c r="H61" i="4"/>
  <c r="I61" i="4"/>
  <c r="D77" i="4"/>
  <c r="D45" i="3"/>
  <c r="T66" i="3"/>
  <c r="F45" i="3"/>
  <c r="T60" i="3"/>
  <c r="H96" i="4"/>
  <c r="P45" i="4"/>
  <c r="U61" i="4"/>
  <c r="S61" i="4"/>
  <c r="R77" i="4"/>
  <c r="C40" i="4"/>
  <c r="C45" i="4" s="1"/>
  <c r="J61" i="4"/>
  <c r="K106" i="4"/>
  <c r="E45" i="4"/>
  <c r="R45" i="4"/>
  <c r="L117" i="4"/>
  <c r="C64" i="4"/>
  <c r="O45" i="4"/>
  <c r="C59" i="4"/>
  <c r="C58" i="4"/>
  <c r="V56" i="4"/>
  <c r="L106" i="4"/>
  <c r="L60" i="4"/>
  <c r="H66" i="4"/>
  <c r="N106" i="4"/>
  <c r="M117" i="4"/>
  <c r="M60" i="4"/>
  <c r="I66" i="4"/>
  <c r="O106" i="4"/>
  <c r="N60" i="4"/>
  <c r="P106" i="4"/>
  <c r="D106" i="4"/>
  <c r="P117" i="4"/>
  <c r="U33" i="3"/>
  <c r="L60" i="3"/>
  <c r="V67" i="3"/>
  <c r="V66" i="3"/>
  <c r="K45" i="3"/>
  <c r="V60" i="3"/>
  <c r="G77" i="3"/>
  <c r="K66" i="3"/>
  <c r="R45" i="3"/>
  <c r="U66" i="3"/>
  <c r="U60" i="3"/>
  <c r="V83" i="3"/>
  <c r="N66" i="3"/>
  <c r="K117" i="3"/>
  <c r="O45" i="3"/>
  <c r="L117" i="3"/>
  <c r="J61" i="3"/>
  <c r="T67" i="3"/>
  <c r="E45" i="3"/>
  <c r="U67" i="3"/>
  <c r="N61" i="3"/>
  <c r="O60" i="3"/>
  <c r="G106" i="3"/>
  <c r="S106" i="3"/>
  <c r="H106" i="3"/>
  <c r="Q45" i="3"/>
  <c r="T61" i="3"/>
  <c r="G61" i="3"/>
  <c r="S61" i="3"/>
  <c r="U61" i="3"/>
  <c r="H61" i="3"/>
  <c r="V61" i="3"/>
  <c r="V33" i="3"/>
  <c r="D77" i="2"/>
  <c r="L66" i="2"/>
  <c r="K97" i="2"/>
  <c r="K121" i="2" s="1"/>
  <c r="K117" i="2"/>
  <c r="C65" i="2"/>
  <c r="O56" i="2"/>
  <c r="T67" i="2"/>
  <c r="T61" i="2"/>
  <c r="U67" i="2"/>
  <c r="U61" i="2"/>
  <c r="V67" i="2"/>
  <c r="O106" i="2"/>
  <c r="V61" i="2"/>
  <c r="O45" i="2"/>
  <c r="N61" i="2"/>
  <c r="M66" i="2"/>
  <c r="M117" i="2"/>
  <c r="K91" i="2"/>
  <c r="K110" i="2" s="1"/>
  <c r="P105" i="2"/>
  <c r="K106" i="2"/>
  <c r="L106" i="2"/>
  <c r="S105" i="2"/>
  <c r="G60" i="2"/>
  <c r="N106" i="2"/>
  <c r="H60" i="2"/>
  <c r="M98" i="2"/>
  <c r="M122" i="2" s="1"/>
  <c r="O118" i="1"/>
  <c r="E60" i="1"/>
  <c r="V66" i="1"/>
  <c r="R96" i="1"/>
  <c r="T60" i="1"/>
  <c r="I91" i="1"/>
  <c r="I110" i="1" s="1"/>
  <c r="I106" i="1"/>
  <c r="M45" i="1"/>
  <c r="K106" i="1"/>
  <c r="E12" i="1"/>
  <c r="T66" i="1"/>
  <c r="G118" i="1"/>
  <c r="F45" i="1"/>
  <c r="I33" i="1"/>
  <c r="R45" i="1"/>
  <c r="C64" i="1"/>
  <c r="P77" i="1"/>
  <c r="O92" i="1"/>
  <c r="O111" i="1" s="1"/>
  <c r="N106" i="1"/>
  <c r="Q12" i="1"/>
  <c r="D77" i="1"/>
  <c r="P45" i="1"/>
  <c r="G56" i="1"/>
  <c r="G68" i="1" s="1"/>
  <c r="J118" i="1"/>
  <c r="Q96" i="1"/>
  <c r="J91" i="1"/>
  <c r="J110" i="1" s="1"/>
  <c r="U33" i="1"/>
  <c r="E45" i="1"/>
  <c r="F61" i="1"/>
  <c r="Q77" i="1"/>
  <c r="G61" i="1"/>
  <c r="M61" i="1"/>
  <c r="N61" i="1"/>
  <c r="R61" i="1"/>
  <c r="V73" i="1"/>
  <c r="E77" i="1"/>
  <c r="T61" i="1"/>
  <c r="S67" i="1"/>
  <c r="O28" i="1"/>
  <c r="Q45" i="1"/>
  <c r="D61" i="1"/>
  <c r="D45" i="1"/>
  <c r="L45" i="1"/>
  <c r="U67" i="1"/>
  <c r="G105" i="1"/>
  <c r="G107" i="1"/>
  <c r="J90" i="1"/>
  <c r="J109" i="1" s="1"/>
  <c r="M119" i="1"/>
  <c r="J73" i="1"/>
  <c r="J12" i="1"/>
  <c r="C63" i="1"/>
  <c r="P88" i="1"/>
  <c r="P34" i="1"/>
  <c r="P23" i="1"/>
  <c r="I45" i="1"/>
  <c r="P61" i="1"/>
  <c r="P56" i="1"/>
  <c r="P68" i="1" s="1"/>
  <c r="J67" i="1"/>
  <c r="J45" i="1"/>
  <c r="K56" i="1"/>
  <c r="M107" i="1"/>
  <c r="L67" i="1"/>
  <c r="L56" i="1"/>
  <c r="N107" i="1"/>
  <c r="R106" i="1"/>
  <c r="G60" i="1"/>
  <c r="S60" i="1"/>
  <c r="O73" i="1"/>
  <c r="O12" i="1"/>
  <c r="S92" i="1"/>
  <c r="S111" i="1" s="1"/>
  <c r="N56" i="1"/>
  <c r="N67" i="1"/>
  <c r="R83" i="1"/>
  <c r="N45" i="1"/>
  <c r="I61" i="1"/>
  <c r="O67" i="1"/>
  <c r="O116" i="1" s="1"/>
  <c r="J105" i="1"/>
  <c r="D34" i="1"/>
  <c r="D23" i="1"/>
  <c r="R88" i="1"/>
  <c r="R23" i="1"/>
  <c r="R60" i="1"/>
  <c r="Q105" i="1"/>
  <c r="J88" i="1"/>
  <c r="J34" i="1"/>
  <c r="J60" i="1"/>
  <c r="F67" i="1"/>
  <c r="F56" i="1"/>
  <c r="F68" i="1" s="1"/>
  <c r="R67" i="1"/>
  <c r="R56" i="1"/>
  <c r="R68" i="1" s="1"/>
  <c r="L98" i="1"/>
  <c r="L123" i="1" s="1"/>
  <c r="U77" i="1"/>
  <c r="F60" i="1"/>
  <c r="O45" i="1"/>
  <c r="F107" i="1"/>
  <c r="F105" i="1"/>
  <c r="J106" i="1"/>
  <c r="J77" i="1"/>
  <c r="U90" i="1"/>
  <c r="U27" i="1"/>
  <c r="F91" i="1"/>
  <c r="F110" i="1" s="1"/>
  <c r="K88" i="1"/>
  <c r="K34" i="1"/>
  <c r="K61" i="1"/>
  <c r="E67" i="1"/>
  <c r="G58" i="1"/>
  <c r="G106" i="1" s="1"/>
  <c r="S58" i="1"/>
  <c r="S106" i="1" s="1"/>
  <c r="L59" i="1"/>
  <c r="L107" i="1" s="1"/>
  <c r="E50" i="1"/>
  <c r="E61" i="1" s="1"/>
  <c r="Q50" i="1"/>
  <c r="Q61" i="1" s="1"/>
  <c r="I62" i="1"/>
  <c r="N63" i="1"/>
  <c r="I57" i="1"/>
  <c r="J62" i="1"/>
  <c r="V67" i="1"/>
  <c r="H71" i="1"/>
  <c r="L75" i="1"/>
  <c r="R79" i="1"/>
  <c r="I22" i="1"/>
  <c r="U22" i="1"/>
  <c r="H24" i="1"/>
  <c r="L91" i="1"/>
  <c r="L110" i="1" s="1"/>
  <c r="D26" i="1"/>
  <c r="D92" i="1" s="1"/>
  <c r="D111" i="1" s="1"/>
  <c r="P26" i="1"/>
  <c r="P92" i="1" s="1"/>
  <c r="P111" i="1" s="1"/>
  <c r="D29" i="1"/>
  <c r="P29" i="1"/>
  <c r="T30" i="1"/>
  <c r="T96" i="1" s="1"/>
  <c r="L31" i="1"/>
  <c r="L97" i="1" s="1"/>
  <c r="L122" i="1" s="1"/>
  <c r="D32" i="1"/>
  <c r="D98" i="1" s="1"/>
  <c r="D123" i="1" s="1"/>
  <c r="P32" i="1"/>
  <c r="C39" i="1"/>
  <c r="C40" i="1" s="1"/>
  <c r="H40" i="1"/>
  <c r="H45" i="1" s="1"/>
  <c r="S61" i="1"/>
  <c r="I64" i="1"/>
  <c r="I118" i="1" s="1"/>
  <c r="V64" i="1"/>
  <c r="N65" i="1"/>
  <c r="N98" i="1" s="1"/>
  <c r="N123" i="1" s="1"/>
  <c r="I55" i="1"/>
  <c r="K57" i="1"/>
  <c r="K60" i="1" s="1"/>
  <c r="L62" i="1"/>
  <c r="L66" i="1" s="1"/>
  <c r="E74" i="1"/>
  <c r="U75" i="1"/>
  <c r="D86" i="1"/>
  <c r="F73" i="2"/>
  <c r="O63" i="1"/>
  <c r="L118" i="1"/>
  <c r="C13" i="1"/>
  <c r="T24" i="1"/>
  <c r="I71" i="1"/>
  <c r="L106" i="1"/>
  <c r="D7" i="1"/>
  <c r="P7" i="1"/>
  <c r="G74" i="1"/>
  <c r="M76" i="1"/>
  <c r="N82" i="1"/>
  <c r="F17" i="1"/>
  <c r="C20" i="1"/>
  <c r="V22" i="1"/>
  <c r="I24" i="1"/>
  <c r="M25" i="1"/>
  <c r="M91" i="1" s="1"/>
  <c r="M110" i="1" s="1"/>
  <c r="E26" i="1"/>
  <c r="E92" i="1" s="1"/>
  <c r="E111" i="1" s="1"/>
  <c r="Q26" i="1"/>
  <c r="E29" i="1"/>
  <c r="Q29" i="1"/>
  <c r="I30" i="1"/>
  <c r="I96" i="1" s="1"/>
  <c r="U30" i="1"/>
  <c r="U96" i="1" s="1"/>
  <c r="M31" i="1"/>
  <c r="E32" i="1"/>
  <c r="E98" i="1" s="1"/>
  <c r="E123" i="1" s="1"/>
  <c r="Q32" i="1"/>
  <c r="L57" i="1"/>
  <c r="L105" i="1" s="1"/>
  <c r="C49" i="1"/>
  <c r="C59" i="1" s="1"/>
  <c r="H50" i="1"/>
  <c r="C54" i="1"/>
  <c r="M57" i="1"/>
  <c r="M60" i="1" s="1"/>
  <c r="N62" i="1"/>
  <c r="F74" i="1"/>
  <c r="K118" i="1"/>
  <c r="K91" i="1"/>
  <c r="K110" i="1" s="1"/>
  <c r="K44" i="1"/>
  <c r="K77" i="1" s="1"/>
  <c r="E17" i="1"/>
  <c r="H30" i="1"/>
  <c r="H96" i="1" s="1"/>
  <c r="M72" i="1"/>
  <c r="M106" i="1" s="1"/>
  <c r="F11" i="1"/>
  <c r="F77" i="1" s="1"/>
  <c r="R11" i="1"/>
  <c r="R77" i="1" s="1"/>
  <c r="C16" i="1"/>
  <c r="G17" i="1"/>
  <c r="G23" i="1" s="1"/>
  <c r="S17" i="1"/>
  <c r="J84" i="1"/>
  <c r="V24" i="1"/>
  <c r="N25" i="1"/>
  <c r="N91" i="1" s="1"/>
  <c r="N110" i="1" s="1"/>
  <c r="F26" i="1"/>
  <c r="F92" i="1" s="1"/>
  <c r="F111" i="1" s="1"/>
  <c r="R26" i="1"/>
  <c r="R92" i="1" s="1"/>
  <c r="R111" i="1" s="1"/>
  <c r="F29" i="1"/>
  <c r="R29" i="1"/>
  <c r="J30" i="1"/>
  <c r="V30" i="1"/>
  <c r="V96" i="1" s="1"/>
  <c r="N31" i="1"/>
  <c r="F32" i="1"/>
  <c r="F98" i="1" s="1"/>
  <c r="F123" i="1" s="1"/>
  <c r="R32" i="1"/>
  <c r="R98" i="1" s="1"/>
  <c r="R123" i="1" s="1"/>
  <c r="U50" i="1"/>
  <c r="U61" i="1" s="1"/>
  <c r="M62" i="1"/>
  <c r="M66" i="1" s="1"/>
  <c r="F63" i="1"/>
  <c r="F96" i="1" s="1"/>
  <c r="P65" i="1"/>
  <c r="S56" i="1"/>
  <c r="S68" i="1" s="1"/>
  <c r="N57" i="1"/>
  <c r="N60" i="1" s="1"/>
  <c r="O62" i="1"/>
  <c r="O66" i="1" s="1"/>
  <c r="K74" i="1"/>
  <c r="N73" i="1"/>
  <c r="M82" i="1"/>
  <c r="Q17" i="1"/>
  <c r="K107" i="1"/>
  <c r="F7" i="1"/>
  <c r="R7" i="1"/>
  <c r="I74" i="1"/>
  <c r="C10" i="1"/>
  <c r="C76" i="1" s="1"/>
  <c r="G11" i="1"/>
  <c r="G77" i="1" s="1"/>
  <c r="S11" i="1"/>
  <c r="S77" i="1" s="1"/>
  <c r="H17" i="1"/>
  <c r="T17" i="1"/>
  <c r="K84" i="1"/>
  <c r="L22" i="1"/>
  <c r="K24" i="1"/>
  <c r="O25" i="1"/>
  <c r="O91" i="1" s="1"/>
  <c r="O110" i="1" s="1"/>
  <c r="G26" i="1"/>
  <c r="G92" i="1" s="1"/>
  <c r="G111" i="1" s="1"/>
  <c r="G29" i="1"/>
  <c r="S29" i="1"/>
  <c r="K30" i="1"/>
  <c r="K96" i="1" s="1"/>
  <c r="O31" i="1"/>
  <c r="O97" i="1" s="1"/>
  <c r="O122" i="1" s="1"/>
  <c r="G32" i="1"/>
  <c r="S32" i="1"/>
  <c r="S98" i="1" s="1"/>
  <c r="S123" i="1" s="1"/>
  <c r="C41" i="1"/>
  <c r="C44" i="1" s="1"/>
  <c r="Q59" i="1"/>
  <c r="Q107" i="1" s="1"/>
  <c r="J50" i="1"/>
  <c r="J61" i="1" s="1"/>
  <c r="V50" i="1"/>
  <c r="V61" i="1" s="1"/>
  <c r="Q65" i="1"/>
  <c r="P57" i="1"/>
  <c r="P60" i="1" s="1"/>
  <c r="P62" i="1"/>
  <c r="T71" i="1"/>
  <c r="L74" i="1"/>
  <c r="D81" i="1"/>
  <c r="C21" i="1"/>
  <c r="N92" i="1"/>
  <c r="N111" i="1" s="1"/>
  <c r="J31" i="1"/>
  <c r="J97" i="1" s="1"/>
  <c r="J122" i="1" s="1"/>
  <c r="V74" i="1"/>
  <c r="T11" i="1"/>
  <c r="T34" i="1" s="1"/>
  <c r="I17" i="1"/>
  <c r="U17" i="1"/>
  <c r="C19" i="1"/>
  <c r="O85" i="1"/>
  <c r="M22" i="1"/>
  <c r="L24" i="1"/>
  <c r="P25" i="1"/>
  <c r="H26" i="1"/>
  <c r="T26" i="1"/>
  <c r="T92" i="1" s="1"/>
  <c r="H29" i="1"/>
  <c r="T29" i="1"/>
  <c r="P31" i="1"/>
  <c r="H32" i="1"/>
  <c r="T32" i="1"/>
  <c r="T98" i="1" s="1"/>
  <c r="C46" i="1"/>
  <c r="O57" i="1"/>
  <c r="O60" i="1" s="1"/>
  <c r="M64" i="1"/>
  <c r="M55" i="1"/>
  <c r="R62" i="1"/>
  <c r="R66" i="1" s="1"/>
  <c r="E73" i="1"/>
  <c r="F81" i="1"/>
  <c r="D84" i="1"/>
  <c r="S107" i="1"/>
  <c r="S105" i="1"/>
  <c r="Q74" i="1"/>
  <c r="O77" i="1"/>
  <c r="C15" i="1"/>
  <c r="E91" i="1"/>
  <c r="E110" i="1" s="1"/>
  <c r="L61" i="1"/>
  <c r="D55" i="1"/>
  <c r="P67" i="1"/>
  <c r="N64" i="1"/>
  <c r="N118" i="1" s="1"/>
  <c r="G65" i="1"/>
  <c r="D57" i="1"/>
  <c r="D60" i="1" s="1"/>
  <c r="S62" i="1"/>
  <c r="S66" i="1" s="1"/>
  <c r="V71" i="1"/>
  <c r="R74" i="1"/>
  <c r="I81" i="1"/>
  <c r="M73" i="1"/>
  <c r="N22" i="1"/>
  <c r="Q91" i="1"/>
  <c r="Q110" i="1" s="1"/>
  <c r="I95" i="1"/>
  <c r="I121" i="1" s="1"/>
  <c r="E106" i="1"/>
  <c r="C9" i="1"/>
  <c r="C75" i="1" s="1"/>
  <c r="O75" i="1"/>
  <c r="R76" i="1"/>
  <c r="R118" i="1" s="1"/>
  <c r="V11" i="1"/>
  <c r="V77" i="1" s="1"/>
  <c r="N12" i="1"/>
  <c r="K17" i="1"/>
  <c r="O22" i="1"/>
  <c r="N24" i="1"/>
  <c r="R25" i="1"/>
  <c r="R91" i="1" s="1"/>
  <c r="R110" i="1" s="1"/>
  <c r="J26" i="1"/>
  <c r="J92" i="1" s="1"/>
  <c r="J111" i="1" s="1"/>
  <c r="V26" i="1"/>
  <c r="J29" i="1"/>
  <c r="V29" i="1"/>
  <c r="N30" i="1"/>
  <c r="F31" i="1"/>
  <c r="R31" i="1"/>
  <c r="R97" i="1" s="1"/>
  <c r="R122" i="1" s="1"/>
  <c r="J32" i="1"/>
  <c r="V32" i="1"/>
  <c r="V98" i="1" s="1"/>
  <c r="N33" i="1"/>
  <c r="H59" i="1"/>
  <c r="H60" i="1" s="1"/>
  <c r="U59" i="1"/>
  <c r="U92" i="1" s="1"/>
  <c r="Q62" i="1"/>
  <c r="Q66" i="1" s="1"/>
  <c r="J63" i="1"/>
  <c r="H65" i="1"/>
  <c r="H119" i="1" s="1"/>
  <c r="U65" i="1"/>
  <c r="U98" i="1" s="1"/>
  <c r="S74" i="1"/>
  <c r="P84" i="1"/>
  <c r="O68" i="2"/>
  <c r="D74" i="1"/>
  <c r="F24" i="1"/>
  <c r="V31" i="1"/>
  <c r="G24" i="1"/>
  <c r="S30" i="1"/>
  <c r="S96" i="1" s="1"/>
  <c r="O32" i="1"/>
  <c r="O98" i="1" s="1"/>
  <c r="O123" i="1" s="1"/>
  <c r="O106" i="1"/>
  <c r="S88" i="1"/>
  <c r="C6" i="1"/>
  <c r="J74" i="1"/>
  <c r="H11" i="1"/>
  <c r="H77" i="1" s="1"/>
  <c r="I11" i="1"/>
  <c r="I77" i="1" s="1"/>
  <c r="J17" i="1"/>
  <c r="J23" i="1" s="1"/>
  <c r="V17" i="1"/>
  <c r="M24" i="1"/>
  <c r="E31" i="1"/>
  <c r="Q31" i="1"/>
  <c r="Q106" i="1"/>
  <c r="I7" i="1"/>
  <c r="U7" i="1"/>
  <c r="U73" i="1" s="1"/>
  <c r="C5" i="1"/>
  <c r="O71" i="1"/>
  <c r="F106" i="1"/>
  <c r="D75" i="1"/>
  <c r="P75" i="1"/>
  <c r="S76" i="1"/>
  <c r="S118" i="1" s="1"/>
  <c r="J79" i="1"/>
  <c r="L17" i="1"/>
  <c r="C18" i="1"/>
  <c r="U86" i="1"/>
  <c r="O24" i="1"/>
  <c r="G25" i="1"/>
  <c r="S25" i="1"/>
  <c r="K26" i="1"/>
  <c r="K92" i="1" s="1"/>
  <c r="K111" i="1" s="1"/>
  <c r="K29" i="1"/>
  <c r="O30" i="1"/>
  <c r="G31" i="1"/>
  <c r="G97" i="1" s="1"/>
  <c r="G122" i="1" s="1"/>
  <c r="S31" i="1"/>
  <c r="S97" i="1" s="1"/>
  <c r="S122" i="1" s="1"/>
  <c r="K32" i="1"/>
  <c r="K98" i="1" s="1"/>
  <c r="K123" i="1" s="1"/>
  <c r="D58" i="1"/>
  <c r="D91" i="1" s="1"/>
  <c r="D110" i="1" s="1"/>
  <c r="P58" i="1"/>
  <c r="P106" i="1" s="1"/>
  <c r="I59" i="1"/>
  <c r="I92" i="1" s="1"/>
  <c r="I111" i="1" s="1"/>
  <c r="V59" i="1"/>
  <c r="V60" i="1" s="1"/>
  <c r="F62" i="1"/>
  <c r="F66" i="1" s="1"/>
  <c r="D64" i="1"/>
  <c r="D97" i="1" s="1"/>
  <c r="D122" i="1" s="1"/>
  <c r="P64" i="1"/>
  <c r="P118" i="1" s="1"/>
  <c r="I65" i="1"/>
  <c r="I98" i="1" s="1"/>
  <c r="I123" i="1" s="1"/>
  <c r="Q55" i="1"/>
  <c r="D62" i="1"/>
  <c r="D66" i="1" s="1"/>
  <c r="D79" i="1"/>
  <c r="T81" i="1"/>
  <c r="R84" i="1"/>
  <c r="R24" i="1"/>
  <c r="G7" i="1"/>
  <c r="S7" i="1"/>
  <c r="H118" i="1"/>
  <c r="L11" i="1"/>
  <c r="L77" i="1" s="1"/>
  <c r="M17" i="1"/>
  <c r="M87" i="1"/>
  <c r="E22" i="1"/>
  <c r="Q22" i="1"/>
  <c r="P24" i="1"/>
  <c r="H25" i="1"/>
  <c r="H91" i="1" s="1"/>
  <c r="H110" i="1" s="1"/>
  <c r="L26" i="1"/>
  <c r="L29" i="1"/>
  <c r="D30" i="1"/>
  <c r="D96" i="1" s="1"/>
  <c r="P30" i="1"/>
  <c r="P96" i="1" s="1"/>
  <c r="H31" i="1"/>
  <c r="H97" i="1" s="1"/>
  <c r="H122" i="1" s="1"/>
  <c r="T31" i="1"/>
  <c r="T97" i="1" s="1"/>
  <c r="T44" i="1"/>
  <c r="T67" i="1" s="1"/>
  <c r="O50" i="1"/>
  <c r="O61" i="1" s="1"/>
  <c r="G67" i="1"/>
  <c r="L63" i="1"/>
  <c r="L96" i="1" s="1"/>
  <c r="E64" i="1"/>
  <c r="E118" i="1" s="1"/>
  <c r="Q64" i="1"/>
  <c r="Q118" i="1" s="1"/>
  <c r="J65" i="1"/>
  <c r="E62" i="1"/>
  <c r="E66" i="1" s="1"/>
  <c r="Q73" i="1"/>
  <c r="R107" i="1"/>
  <c r="R105" i="1"/>
  <c r="P74" i="1"/>
  <c r="D83" i="1"/>
  <c r="P83" i="1"/>
  <c r="S24" i="1"/>
  <c r="G30" i="1"/>
  <c r="G96" i="1" s="1"/>
  <c r="K31" i="1"/>
  <c r="K97" i="1" s="1"/>
  <c r="K122" i="1" s="1"/>
  <c r="H55" i="1"/>
  <c r="H88" i="1" s="1"/>
  <c r="K62" i="1"/>
  <c r="K66" i="1" s="1"/>
  <c r="J107" i="1"/>
  <c r="N75" i="1"/>
  <c r="D107" i="1"/>
  <c r="P107" i="1"/>
  <c r="K7" i="1"/>
  <c r="N74" i="1"/>
  <c r="C14" i="1"/>
  <c r="C80" i="1" s="1"/>
  <c r="E107" i="1"/>
  <c r="E105" i="1"/>
  <c r="H72" i="1"/>
  <c r="H106" i="1" s="1"/>
  <c r="L7" i="1"/>
  <c r="C8" i="1"/>
  <c r="O119" i="1"/>
  <c r="M11" i="1"/>
  <c r="M77" i="1" s="1"/>
  <c r="D80" i="1"/>
  <c r="D112" i="1" s="1"/>
  <c r="P80" i="1"/>
  <c r="P112" i="1" s="1"/>
  <c r="N17" i="1"/>
  <c r="F22" i="1"/>
  <c r="E24" i="1"/>
  <c r="Q24" i="1"/>
  <c r="U25" i="1"/>
  <c r="U91" i="1" s="1"/>
  <c r="M26" i="1"/>
  <c r="M92" i="1" s="1"/>
  <c r="M111" i="1" s="1"/>
  <c r="M29" i="1"/>
  <c r="E30" i="1"/>
  <c r="E96" i="1" s="1"/>
  <c r="I31" i="1"/>
  <c r="U31" i="1"/>
  <c r="U97" i="1" s="1"/>
  <c r="M32" i="1"/>
  <c r="M98" i="1" s="1"/>
  <c r="M123" i="1" s="1"/>
  <c r="H62" i="1"/>
  <c r="H66" i="1" s="1"/>
  <c r="U62" i="1"/>
  <c r="M63" i="1"/>
  <c r="M96" i="1" s="1"/>
  <c r="F64" i="1"/>
  <c r="F118" i="1" s="1"/>
  <c r="T56" i="1"/>
  <c r="G62" i="1"/>
  <c r="G74" i="2"/>
  <c r="G11" i="2"/>
  <c r="G77" i="2" s="1"/>
  <c r="S74" i="2"/>
  <c r="S11" i="2"/>
  <c r="S77" i="2" s="1"/>
  <c r="C62" i="2"/>
  <c r="C66" i="2" s="1"/>
  <c r="P67" i="2"/>
  <c r="P115" i="2" s="1"/>
  <c r="P56" i="2"/>
  <c r="P68" i="2" s="1"/>
  <c r="I71" i="2"/>
  <c r="I7" i="2"/>
  <c r="U71" i="2"/>
  <c r="U7" i="2"/>
  <c r="U73" i="2" s="1"/>
  <c r="D7" i="2"/>
  <c r="C8" i="2"/>
  <c r="F32" i="2"/>
  <c r="F11" i="2"/>
  <c r="F12" i="2" s="1"/>
  <c r="R74" i="2"/>
  <c r="R32" i="2"/>
  <c r="R11" i="2"/>
  <c r="R12" i="2" s="1"/>
  <c r="H26" i="2"/>
  <c r="H92" i="2" s="1"/>
  <c r="H111" i="2" s="1"/>
  <c r="H84" i="2"/>
  <c r="H29" i="2"/>
  <c r="T84" i="2"/>
  <c r="T29" i="2"/>
  <c r="T24" i="2"/>
  <c r="N45" i="2"/>
  <c r="O67" i="2"/>
  <c r="F64" i="2"/>
  <c r="R64" i="2"/>
  <c r="P65" i="2"/>
  <c r="J67" i="3"/>
  <c r="J56" i="3"/>
  <c r="K7" i="2"/>
  <c r="K71" i="2"/>
  <c r="C10" i="2"/>
  <c r="C76" i="2" s="1"/>
  <c r="L25" i="2"/>
  <c r="L91" i="2" s="1"/>
  <c r="L110" i="2" s="1"/>
  <c r="D33" i="2"/>
  <c r="P32" i="2"/>
  <c r="P98" i="2" s="1"/>
  <c r="P122" i="2" s="1"/>
  <c r="P107" i="2"/>
  <c r="L71" i="2"/>
  <c r="L7" i="2"/>
  <c r="C6" i="2"/>
  <c r="H7" i="2"/>
  <c r="I74" i="2"/>
  <c r="I11" i="2"/>
  <c r="I77" i="2" s="1"/>
  <c r="U74" i="2"/>
  <c r="U11" i="2"/>
  <c r="U77" i="2" s="1"/>
  <c r="D83" i="2"/>
  <c r="D28" i="2"/>
  <c r="O33" i="2"/>
  <c r="J44" i="2"/>
  <c r="C42" i="2"/>
  <c r="C44" i="2" s="1"/>
  <c r="J63" i="2"/>
  <c r="F56" i="2"/>
  <c r="R56" i="2"/>
  <c r="I64" i="2"/>
  <c r="I117" i="2" s="1"/>
  <c r="C53" i="2"/>
  <c r="C64" i="2" s="1"/>
  <c r="J106" i="2"/>
  <c r="N86" i="2"/>
  <c r="M71" i="2"/>
  <c r="M7" i="2"/>
  <c r="O73" i="2"/>
  <c r="L82" i="2"/>
  <c r="L26" i="2"/>
  <c r="L92" i="2" s="1"/>
  <c r="L111" i="2" s="1"/>
  <c r="C16" i="2"/>
  <c r="P33" i="2"/>
  <c r="R45" i="2"/>
  <c r="G55" i="2"/>
  <c r="G62" i="2"/>
  <c r="G66" i="2" s="1"/>
  <c r="S55" i="2"/>
  <c r="S62" i="2"/>
  <c r="S66" i="2" s="1"/>
  <c r="N63" i="2"/>
  <c r="N55" i="2"/>
  <c r="D62" i="2"/>
  <c r="D72" i="3"/>
  <c r="D106" i="3" s="1"/>
  <c r="C6" i="3"/>
  <c r="C72" i="3" s="1"/>
  <c r="D7" i="3"/>
  <c r="F76" i="3"/>
  <c r="F117" i="3" s="1"/>
  <c r="F11" i="3"/>
  <c r="F77" i="3" s="1"/>
  <c r="N71" i="2"/>
  <c r="N7" i="2"/>
  <c r="P7" i="2"/>
  <c r="L17" i="2"/>
  <c r="I81" i="2"/>
  <c r="I25" i="2"/>
  <c r="I91" i="2" s="1"/>
  <c r="I110" i="2" s="1"/>
  <c r="U81" i="2"/>
  <c r="U25" i="2"/>
  <c r="U91" i="2" s="1"/>
  <c r="M82" i="2"/>
  <c r="M26" i="2"/>
  <c r="M92" i="2" s="1"/>
  <c r="M111" i="2" s="1"/>
  <c r="P83" i="2"/>
  <c r="P28" i="2"/>
  <c r="M95" i="2"/>
  <c r="M120" i="2" s="1"/>
  <c r="M33" i="2"/>
  <c r="M99" i="2" s="1"/>
  <c r="T88" i="2"/>
  <c r="G61" i="2"/>
  <c r="S61" i="2"/>
  <c r="H55" i="2"/>
  <c r="H62" i="2"/>
  <c r="H66" i="2" s="1"/>
  <c r="C52" i="2"/>
  <c r="O62" i="2"/>
  <c r="O95" i="2" s="1"/>
  <c r="O120" i="2" s="1"/>
  <c r="F74" i="2"/>
  <c r="J71" i="3"/>
  <c r="J7" i="3"/>
  <c r="C5" i="3"/>
  <c r="C24" i="3" s="1"/>
  <c r="O107" i="2"/>
  <c r="O105" i="2"/>
  <c r="R73" i="2"/>
  <c r="S117" i="2"/>
  <c r="F80" i="2"/>
  <c r="C14" i="2"/>
  <c r="J81" i="2"/>
  <c r="J25" i="2"/>
  <c r="J91" i="2" s="1"/>
  <c r="J110" i="2" s="1"/>
  <c r="V81" i="2"/>
  <c r="V25" i="2"/>
  <c r="V91" i="2" s="1"/>
  <c r="U88" i="2"/>
  <c r="H45" i="2"/>
  <c r="C39" i="2"/>
  <c r="D40" i="2"/>
  <c r="D45" i="2" s="1"/>
  <c r="E44" i="2"/>
  <c r="E77" i="2" s="1"/>
  <c r="Q44" i="2"/>
  <c r="Q45" i="2" s="1"/>
  <c r="H61" i="2"/>
  <c r="C47" i="2"/>
  <c r="I55" i="2"/>
  <c r="I88" i="2" s="1"/>
  <c r="P62" i="2"/>
  <c r="P66" i="2" s="1"/>
  <c r="K116" i="2"/>
  <c r="K118" i="2"/>
  <c r="D105" i="2"/>
  <c r="D107" i="2"/>
  <c r="G106" i="2"/>
  <c r="S106" i="2"/>
  <c r="S12" i="2"/>
  <c r="S78" i="2" s="1"/>
  <c r="N79" i="2"/>
  <c r="N17" i="2"/>
  <c r="N24" i="2"/>
  <c r="S96" i="2"/>
  <c r="I40" i="2"/>
  <c r="I45" i="2" s="1"/>
  <c r="C38" i="2"/>
  <c r="C40" i="2" s="1"/>
  <c r="F44" i="2"/>
  <c r="F45" i="2" s="1"/>
  <c r="R44" i="2"/>
  <c r="R67" i="2" s="1"/>
  <c r="I59" i="2"/>
  <c r="I92" i="2" s="1"/>
  <c r="I111" i="2" s="1"/>
  <c r="D61" i="2"/>
  <c r="J55" i="2"/>
  <c r="E71" i="2"/>
  <c r="C5" i="2"/>
  <c r="E7" i="2"/>
  <c r="Q71" i="2"/>
  <c r="Q7" i="2"/>
  <c r="Q28" i="2" s="1"/>
  <c r="O17" i="2"/>
  <c r="O24" i="2"/>
  <c r="O79" i="2"/>
  <c r="D87" i="2"/>
  <c r="C21" i="2"/>
  <c r="T96" i="2"/>
  <c r="J45" i="2"/>
  <c r="J61" i="2"/>
  <c r="F61" i="2"/>
  <c r="R61" i="2"/>
  <c r="J59" i="2"/>
  <c r="O61" i="2"/>
  <c r="G117" i="2"/>
  <c r="F105" i="2"/>
  <c r="F107" i="2"/>
  <c r="R105" i="2"/>
  <c r="R107" i="2"/>
  <c r="O74" i="2"/>
  <c r="U28" i="2"/>
  <c r="U94" i="2" s="1"/>
  <c r="U83" i="2"/>
  <c r="M86" i="2"/>
  <c r="M31" i="2"/>
  <c r="M97" i="2" s="1"/>
  <c r="M121" i="2" s="1"/>
  <c r="E87" i="2"/>
  <c r="E32" i="2"/>
  <c r="E98" i="2" s="1"/>
  <c r="E122" i="2" s="1"/>
  <c r="Q87" i="2"/>
  <c r="Q32" i="2"/>
  <c r="Q98" i="2" s="1"/>
  <c r="Q122" i="2" s="1"/>
  <c r="K50" i="2"/>
  <c r="K61" i="2" s="1"/>
  <c r="K57" i="2"/>
  <c r="K60" i="2" s="1"/>
  <c r="P61" i="2"/>
  <c r="K67" i="2"/>
  <c r="K115" i="2" s="1"/>
  <c r="P116" i="2"/>
  <c r="P118" i="2"/>
  <c r="E24" i="2"/>
  <c r="E79" i="2"/>
  <c r="Q24" i="2"/>
  <c r="N25" i="2"/>
  <c r="N91" i="2" s="1"/>
  <c r="N110" i="2" s="1"/>
  <c r="F88" i="2"/>
  <c r="F34" i="2"/>
  <c r="R88" i="2"/>
  <c r="J85" i="2"/>
  <c r="J30" i="2"/>
  <c r="J96" i="2" s="1"/>
  <c r="V85" i="2"/>
  <c r="V30" i="2"/>
  <c r="V96" i="2" s="1"/>
  <c r="H24" i="2"/>
  <c r="L31" i="2"/>
  <c r="L97" i="2" s="1"/>
  <c r="L121" i="2" s="1"/>
  <c r="K45" i="2"/>
  <c r="L50" i="2"/>
  <c r="L61" i="2" s="1"/>
  <c r="L57" i="2"/>
  <c r="L60" i="2" s="1"/>
  <c r="D58" i="2"/>
  <c r="D106" i="2" s="1"/>
  <c r="P58" i="2"/>
  <c r="P106" i="2" s="1"/>
  <c r="D65" i="2"/>
  <c r="D98" i="2" s="1"/>
  <c r="D122" i="2" s="1"/>
  <c r="L67" i="2"/>
  <c r="H105" i="2"/>
  <c r="H107" i="2"/>
  <c r="T71" i="2"/>
  <c r="T26" i="2"/>
  <c r="T92" i="2" s="1"/>
  <c r="G84" i="2"/>
  <c r="G22" i="2"/>
  <c r="G29" i="2"/>
  <c r="S84" i="2"/>
  <c r="S22" i="2"/>
  <c r="S29" i="2"/>
  <c r="K85" i="2"/>
  <c r="K30" i="2"/>
  <c r="K96" i="2" s="1"/>
  <c r="S90" i="2"/>
  <c r="S109" i="2" s="1"/>
  <c r="K28" i="2"/>
  <c r="M45" i="2"/>
  <c r="L45" i="2"/>
  <c r="M50" i="2"/>
  <c r="M61" i="2" s="1"/>
  <c r="E58" i="2"/>
  <c r="E106" i="2" s="1"/>
  <c r="Q58" i="2"/>
  <c r="N66" i="2"/>
  <c r="E64" i="2"/>
  <c r="Q64" i="2"/>
  <c r="O65" i="2"/>
  <c r="O98" i="2" s="1"/>
  <c r="O122" i="2" s="1"/>
  <c r="J71" i="2"/>
  <c r="M106" i="2"/>
  <c r="H74" i="2"/>
  <c r="K75" i="2"/>
  <c r="F17" i="2"/>
  <c r="F23" i="2" s="1"/>
  <c r="R17" i="2"/>
  <c r="R23" i="2" s="1"/>
  <c r="C20" i="2"/>
  <c r="J22" i="2"/>
  <c r="V22" i="2"/>
  <c r="I24" i="2"/>
  <c r="U24" i="2"/>
  <c r="M25" i="2"/>
  <c r="M91" i="2" s="1"/>
  <c r="M110" i="2" s="1"/>
  <c r="E26" i="2"/>
  <c r="E92" i="2" s="1"/>
  <c r="E111" i="2" s="1"/>
  <c r="Q26" i="2"/>
  <c r="Q92" i="2" s="1"/>
  <c r="Q111" i="2" s="1"/>
  <c r="E29" i="2"/>
  <c r="Q29" i="2"/>
  <c r="I30" i="2"/>
  <c r="I96" i="2" s="1"/>
  <c r="U30" i="2"/>
  <c r="U96" i="2" s="1"/>
  <c r="C48" i="2"/>
  <c r="E50" i="2"/>
  <c r="E61" i="2" s="1"/>
  <c r="Q50" i="2"/>
  <c r="Q61" i="2" s="1"/>
  <c r="M55" i="2"/>
  <c r="I57" i="2"/>
  <c r="I60" i="2" s="1"/>
  <c r="E62" i="2"/>
  <c r="E66" i="2" s="1"/>
  <c r="Q62" i="2"/>
  <c r="Q66" i="2" s="1"/>
  <c r="F81" i="2"/>
  <c r="C8" i="3"/>
  <c r="E74" i="3"/>
  <c r="E11" i="3"/>
  <c r="E77" i="3" s="1"/>
  <c r="Q74" i="3"/>
  <c r="Q11" i="3"/>
  <c r="Q77" i="3" s="1"/>
  <c r="G17" i="2"/>
  <c r="S17" i="2"/>
  <c r="K22" i="2"/>
  <c r="J24" i="2"/>
  <c r="V24" i="2"/>
  <c r="F26" i="2"/>
  <c r="F92" i="2" s="1"/>
  <c r="F111" i="2" s="1"/>
  <c r="R26" i="2"/>
  <c r="R92" i="2" s="1"/>
  <c r="R111" i="2" s="1"/>
  <c r="F29" i="2"/>
  <c r="R29" i="2"/>
  <c r="J57" i="2"/>
  <c r="J60" i="2" s="1"/>
  <c r="F62" i="2"/>
  <c r="R62" i="2"/>
  <c r="F65" i="2"/>
  <c r="R65" i="2"/>
  <c r="M87" i="2"/>
  <c r="F79" i="3"/>
  <c r="F24" i="3"/>
  <c r="F17" i="3"/>
  <c r="R79" i="3"/>
  <c r="R24" i="3"/>
  <c r="R17" i="3"/>
  <c r="N80" i="3"/>
  <c r="N17" i="3"/>
  <c r="J74" i="2"/>
  <c r="D117" i="2"/>
  <c r="P117" i="2"/>
  <c r="H11" i="2"/>
  <c r="H77" i="2" s="1"/>
  <c r="T11" i="2"/>
  <c r="T77" i="2" s="1"/>
  <c r="H17" i="2"/>
  <c r="T17" i="2"/>
  <c r="N85" i="2"/>
  <c r="L22" i="2"/>
  <c r="K24" i="2"/>
  <c r="O25" i="2"/>
  <c r="O91" i="2" s="1"/>
  <c r="O110" i="2" s="1"/>
  <c r="G26" i="2"/>
  <c r="G92" i="2" s="1"/>
  <c r="G111" i="2" s="1"/>
  <c r="S26" i="2"/>
  <c r="O31" i="2"/>
  <c r="O97" i="2" s="1"/>
  <c r="O121" i="2" s="1"/>
  <c r="G32" i="2"/>
  <c r="G98" i="2" s="1"/>
  <c r="G122" i="2" s="1"/>
  <c r="S32" i="2"/>
  <c r="S98" i="2" s="1"/>
  <c r="S122" i="2" s="1"/>
  <c r="C46" i="2"/>
  <c r="F84" i="2"/>
  <c r="E76" i="2"/>
  <c r="Q76" i="2"/>
  <c r="N81" i="2"/>
  <c r="I17" i="2"/>
  <c r="C19" i="2"/>
  <c r="O85" i="2"/>
  <c r="M22" i="2"/>
  <c r="L24" i="2"/>
  <c r="D25" i="2"/>
  <c r="P25" i="2"/>
  <c r="L30" i="2"/>
  <c r="L96" i="2" s="1"/>
  <c r="D31" i="2"/>
  <c r="D97" i="2" s="1"/>
  <c r="D121" i="2" s="1"/>
  <c r="P31" i="2"/>
  <c r="P97" i="2" s="1"/>
  <c r="P121" i="2" s="1"/>
  <c r="H32" i="2"/>
  <c r="H98" i="2" s="1"/>
  <c r="H122" i="2" s="1"/>
  <c r="T32" i="2"/>
  <c r="T98" i="2" s="1"/>
  <c r="D55" i="2"/>
  <c r="T56" i="2"/>
  <c r="G73" i="2"/>
  <c r="G104" i="2" s="1"/>
  <c r="R81" i="2"/>
  <c r="M84" i="2"/>
  <c r="Q72" i="2"/>
  <c r="L74" i="2"/>
  <c r="C9" i="2"/>
  <c r="F76" i="2"/>
  <c r="R76" i="2"/>
  <c r="R117" i="2" s="1"/>
  <c r="J11" i="2"/>
  <c r="J77" i="2" s="1"/>
  <c r="V11" i="2"/>
  <c r="V77" i="2" s="1"/>
  <c r="C15" i="2"/>
  <c r="J17" i="2"/>
  <c r="V17" i="2"/>
  <c r="N22" i="2"/>
  <c r="M24" i="2"/>
  <c r="E25" i="2"/>
  <c r="Q25" i="2"/>
  <c r="U26" i="2"/>
  <c r="U92" i="2" s="1"/>
  <c r="I29" i="2"/>
  <c r="U29" i="2"/>
  <c r="M30" i="2"/>
  <c r="M96" i="2" s="1"/>
  <c r="E31" i="2"/>
  <c r="Q31" i="2"/>
  <c r="I32" i="2"/>
  <c r="I98" i="2" s="1"/>
  <c r="I122" i="2" s="1"/>
  <c r="U32" i="2"/>
  <c r="U98" i="2" s="1"/>
  <c r="U56" i="2"/>
  <c r="M57" i="2"/>
  <c r="M60" i="2" s="1"/>
  <c r="I62" i="2"/>
  <c r="I66" i="2" s="1"/>
  <c r="R84" i="2"/>
  <c r="O71" i="3"/>
  <c r="O7" i="3"/>
  <c r="K73" i="3"/>
  <c r="D75" i="3"/>
  <c r="C9" i="3"/>
  <c r="C75" i="3" s="1"/>
  <c r="D11" i="3"/>
  <c r="D77" i="3" s="1"/>
  <c r="P75" i="3"/>
  <c r="P11" i="3"/>
  <c r="F106" i="2"/>
  <c r="R106" i="2"/>
  <c r="J7" i="2"/>
  <c r="V7" i="2"/>
  <c r="V73" i="2" s="1"/>
  <c r="M74" i="2"/>
  <c r="K11" i="2"/>
  <c r="K77" i="2" s="1"/>
  <c r="O22" i="2"/>
  <c r="J26" i="2"/>
  <c r="J92" i="2" s="1"/>
  <c r="J111" i="2" s="1"/>
  <c r="V26" i="2"/>
  <c r="V92" i="2" s="1"/>
  <c r="J29" i="2"/>
  <c r="V29" i="2"/>
  <c r="N30" i="2"/>
  <c r="N96" i="2" s="1"/>
  <c r="F31" i="2"/>
  <c r="R31" i="2"/>
  <c r="R97" i="2" s="1"/>
  <c r="R121" i="2" s="1"/>
  <c r="J32" i="2"/>
  <c r="J98" i="2" s="1"/>
  <c r="J122" i="2" s="1"/>
  <c r="V32" i="2"/>
  <c r="V98" i="2" s="1"/>
  <c r="V56" i="2"/>
  <c r="N57" i="2"/>
  <c r="N60" i="2" s="1"/>
  <c r="J62" i="2"/>
  <c r="J66" i="2" s="1"/>
  <c r="Q79" i="2"/>
  <c r="E85" i="2"/>
  <c r="R73" i="3"/>
  <c r="J74" i="3"/>
  <c r="J11" i="3"/>
  <c r="J77" i="3" s="1"/>
  <c r="N116" i="2"/>
  <c r="N118" i="2"/>
  <c r="H117" i="2"/>
  <c r="L11" i="2"/>
  <c r="L77" i="2" s="1"/>
  <c r="H82" i="2"/>
  <c r="C18" i="2"/>
  <c r="D22" i="2"/>
  <c r="P22" i="2"/>
  <c r="G25" i="2"/>
  <c r="G91" i="2" s="1"/>
  <c r="G110" i="2" s="1"/>
  <c r="S25" i="2"/>
  <c r="S91" i="2" s="1"/>
  <c r="S110" i="2" s="1"/>
  <c r="K26" i="2"/>
  <c r="K92" i="2" s="1"/>
  <c r="K111" i="2" s="1"/>
  <c r="K29" i="2"/>
  <c r="O30" i="2"/>
  <c r="O96" i="2" s="1"/>
  <c r="G31" i="2"/>
  <c r="G97" i="2" s="1"/>
  <c r="G121" i="2" s="1"/>
  <c r="S31" i="2"/>
  <c r="S97" i="2" s="1"/>
  <c r="S121" i="2" s="1"/>
  <c r="K32" i="2"/>
  <c r="K98" i="2" s="1"/>
  <c r="K122" i="2" s="1"/>
  <c r="U34" i="3"/>
  <c r="U100" i="3" s="1"/>
  <c r="U77" i="3"/>
  <c r="K79" i="3"/>
  <c r="K17" i="3"/>
  <c r="K24" i="3"/>
  <c r="M11" i="2"/>
  <c r="M77" i="2" s="1"/>
  <c r="K79" i="2"/>
  <c r="I82" i="2"/>
  <c r="M17" i="2"/>
  <c r="J86" i="2"/>
  <c r="E22" i="2"/>
  <c r="Q22" i="2"/>
  <c r="D24" i="2"/>
  <c r="P24" i="2"/>
  <c r="H25" i="2"/>
  <c r="H91" i="2" s="1"/>
  <c r="H110" i="2" s="1"/>
  <c r="T25" i="2"/>
  <c r="T91" i="2" s="1"/>
  <c r="L29" i="2"/>
  <c r="D30" i="2"/>
  <c r="D96" i="2" s="1"/>
  <c r="P30" i="2"/>
  <c r="P96" i="2" s="1"/>
  <c r="H31" i="2"/>
  <c r="H97" i="2" s="1"/>
  <c r="H121" i="2" s="1"/>
  <c r="T31" i="2"/>
  <c r="T97" i="2" s="1"/>
  <c r="L32" i="2"/>
  <c r="L98" i="2" s="1"/>
  <c r="L122" i="2" s="1"/>
  <c r="S73" i="2"/>
  <c r="J117" i="2"/>
  <c r="N11" i="2"/>
  <c r="N77" i="2" s="1"/>
  <c r="L79" i="2"/>
  <c r="Q30" i="2"/>
  <c r="Q96" i="2" s="1"/>
  <c r="I31" i="2"/>
  <c r="U31" i="2"/>
  <c r="U97" i="2" s="1"/>
  <c r="M83" i="3"/>
  <c r="G107" i="2"/>
  <c r="S107" i="2"/>
  <c r="E74" i="2"/>
  <c r="Q74" i="2"/>
  <c r="O11" i="2"/>
  <c r="O77" i="2" s="1"/>
  <c r="F24" i="2"/>
  <c r="R24" i="2"/>
  <c r="N26" i="2"/>
  <c r="N92" i="2" s="1"/>
  <c r="N111" i="2" s="1"/>
  <c r="N29" i="2"/>
  <c r="F30" i="2"/>
  <c r="F96" i="2" s="1"/>
  <c r="R30" i="2"/>
  <c r="R96" i="2" s="1"/>
  <c r="J31" i="2"/>
  <c r="J97" i="2" s="1"/>
  <c r="J121" i="2" s="1"/>
  <c r="V31" i="2"/>
  <c r="V97" i="2" s="1"/>
  <c r="N32" i="2"/>
  <c r="N98" i="2" s="1"/>
  <c r="N122" i="2" s="1"/>
  <c r="D74" i="2"/>
  <c r="K107" i="3"/>
  <c r="N7" i="3"/>
  <c r="F74" i="3"/>
  <c r="R74" i="3"/>
  <c r="G117" i="3"/>
  <c r="S117" i="3"/>
  <c r="G79" i="3"/>
  <c r="G17" i="3"/>
  <c r="G24" i="3"/>
  <c r="S79" i="3"/>
  <c r="S17" i="3"/>
  <c r="S24" i="3"/>
  <c r="E88" i="3"/>
  <c r="E34" i="3"/>
  <c r="E23" i="3"/>
  <c r="L30" i="3"/>
  <c r="L96" i="3" s="1"/>
  <c r="L7" i="3"/>
  <c r="G74" i="3"/>
  <c r="G32" i="3"/>
  <c r="G98" i="3" s="1"/>
  <c r="G122" i="3" s="1"/>
  <c r="S32" i="3"/>
  <c r="S74" i="3"/>
  <c r="R11" i="3"/>
  <c r="R77" i="3" s="1"/>
  <c r="K81" i="3"/>
  <c r="K25" i="3"/>
  <c r="K91" i="3" s="1"/>
  <c r="K110" i="3" s="1"/>
  <c r="F82" i="3"/>
  <c r="F26" i="3"/>
  <c r="F92" i="3" s="1"/>
  <c r="F111" i="3" s="1"/>
  <c r="R82" i="3"/>
  <c r="R26" i="3"/>
  <c r="R92" i="3" s="1"/>
  <c r="R111" i="3" s="1"/>
  <c r="I61" i="3"/>
  <c r="L61" i="3"/>
  <c r="M7" i="3"/>
  <c r="M28" i="3" s="1"/>
  <c r="M94" i="3" s="1"/>
  <c r="M108" i="3" s="1"/>
  <c r="M71" i="3"/>
  <c r="P7" i="3"/>
  <c r="H74" i="3"/>
  <c r="H32" i="3"/>
  <c r="H98" i="3" s="1"/>
  <c r="H122" i="3" s="1"/>
  <c r="E80" i="3"/>
  <c r="C14" i="3"/>
  <c r="C80" i="3" s="1"/>
  <c r="L81" i="3"/>
  <c r="L25" i="3"/>
  <c r="L91" i="3" s="1"/>
  <c r="L110" i="3" s="1"/>
  <c r="G82" i="3"/>
  <c r="G26" i="3"/>
  <c r="G92" i="3" s="1"/>
  <c r="G111" i="3" s="1"/>
  <c r="N107" i="3"/>
  <c r="Q7" i="3"/>
  <c r="Q28" i="3" s="1"/>
  <c r="I74" i="3"/>
  <c r="T77" i="3"/>
  <c r="T34" i="3"/>
  <c r="T100" i="3" s="1"/>
  <c r="J79" i="3"/>
  <c r="J17" i="3"/>
  <c r="J24" i="3"/>
  <c r="M81" i="3"/>
  <c r="M25" i="3"/>
  <c r="M91" i="3" s="1"/>
  <c r="M110" i="3" s="1"/>
  <c r="H26" i="3"/>
  <c r="H92" i="3" s="1"/>
  <c r="H111" i="3" s="1"/>
  <c r="K61" i="3"/>
  <c r="N81" i="3"/>
  <c r="N25" i="3"/>
  <c r="N91" i="3" s="1"/>
  <c r="N110" i="3" s="1"/>
  <c r="I83" i="3"/>
  <c r="D30" i="3"/>
  <c r="D96" i="3" s="1"/>
  <c r="P30" i="3"/>
  <c r="P96" i="3" s="1"/>
  <c r="O67" i="3"/>
  <c r="D105" i="3"/>
  <c r="P105" i="3"/>
  <c r="P107" i="3"/>
  <c r="J106" i="3"/>
  <c r="E7" i="3"/>
  <c r="E28" i="3" s="1"/>
  <c r="S104" i="3"/>
  <c r="K74" i="3"/>
  <c r="K11" i="3"/>
  <c r="K77" i="3" s="1"/>
  <c r="L17" i="3"/>
  <c r="L79" i="3"/>
  <c r="L24" i="3"/>
  <c r="H80" i="3"/>
  <c r="H17" i="3"/>
  <c r="J82" i="3"/>
  <c r="J26" i="3"/>
  <c r="J92" i="3" s="1"/>
  <c r="J111" i="3" s="1"/>
  <c r="E105" i="3"/>
  <c r="E107" i="3"/>
  <c r="Q105" i="3"/>
  <c r="Q107" i="3"/>
  <c r="F73" i="3"/>
  <c r="L74" i="3"/>
  <c r="L32" i="3"/>
  <c r="L98" i="3" s="1"/>
  <c r="L122" i="3" s="1"/>
  <c r="M76" i="3"/>
  <c r="M117" i="3" s="1"/>
  <c r="M31" i="3"/>
  <c r="M97" i="3" s="1"/>
  <c r="M121" i="3" s="1"/>
  <c r="H11" i="3"/>
  <c r="H77" i="3" s="1"/>
  <c r="S12" i="3"/>
  <c r="M79" i="3"/>
  <c r="M24" i="3"/>
  <c r="D81" i="3"/>
  <c r="D25" i="3"/>
  <c r="D91" i="3" s="1"/>
  <c r="D110" i="3" s="1"/>
  <c r="C15" i="3"/>
  <c r="P81" i="3"/>
  <c r="P25" i="3"/>
  <c r="P91" i="3" s="1"/>
  <c r="P110" i="3" s="1"/>
  <c r="M45" i="3"/>
  <c r="G45" i="3"/>
  <c r="E67" i="3"/>
  <c r="Q67" i="3"/>
  <c r="F105" i="3"/>
  <c r="F107" i="3"/>
  <c r="R105" i="3"/>
  <c r="R107" i="3"/>
  <c r="G7" i="3"/>
  <c r="M74" i="3"/>
  <c r="S75" i="3"/>
  <c r="S30" i="3"/>
  <c r="S96" i="3" s="1"/>
  <c r="N76" i="3"/>
  <c r="N117" i="3" s="1"/>
  <c r="N31" i="3"/>
  <c r="N97" i="3" s="1"/>
  <c r="N121" i="3" s="1"/>
  <c r="I11" i="3"/>
  <c r="I77" i="3" s="1"/>
  <c r="L92" i="3"/>
  <c r="L111" i="3" s="1"/>
  <c r="T28" i="3"/>
  <c r="T94" i="3" s="1"/>
  <c r="L29" i="3"/>
  <c r="N45" i="3"/>
  <c r="H45" i="3"/>
  <c r="F67" i="3"/>
  <c r="R67" i="3"/>
  <c r="G107" i="3"/>
  <c r="S107" i="3"/>
  <c r="H7" i="3"/>
  <c r="N74" i="3"/>
  <c r="N32" i="3"/>
  <c r="N98" i="3" s="1"/>
  <c r="N122" i="3" s="1"/>
  <c r="N29" i="3"/>
  <c r="L11" i="3"/>
  <c r="L77" i="3" s="1"/>
  <c r="O79" i="3"/>
  <c r="O17" i="3"/>
  <c r="O24" i="3"/>
  <c r="F81" i="3"/>
  <c r="F25" i="3"/>
  <c r="F91" i="3" s="1"/>
  <c r="F110" i="3" s="1"/>
  <c r="U83" i="3"/>
  <c r="U28" i="3"/>
  <c r="U94" i="3" s="1"/>
  <c r="J45" i="3"/>
  <c r="P60" i="3"/>
  <c r="G67" i="3"/>
  <c r="G56" i="3"/>
  <c r="G68" i="3" s="1"/>
  <c r="S67" i="3"/>
  <c r="S56" i="3"/>
  <c r="H107" i="3"/>
  <c r="I7" i="3"/>
  <c r="I28" i="3" s="1"/>
  <c r="I94" i="3" s="1"/>
  <c r="I108" i="3" s="1"/>
  <c r="M11" i="3"/>
  <c r="M77" i="3" s="1"/>
  <c r="D24" i="3"/>
  <c r="D79" i="3"/>
  <c r="D17" i="3"/>
  <c r="D23" i="3" s="1"/>
  <c r="P24" i="3"/>
  <c r="P79" i="3"/>
  <c r="P17" i="3"/>
  <c r="G81" i="3"/>
  <c r="G25" i="3"/>
  <c r="G91" i="3" s="1"/>
  <c r="G110" i="3" s="1"/>
  <c r="N82" i="3"/>
  <c r="N26" i="3"/>
  <c r="N92" i="3" s="1"/>
  <c r="N111" i="3" s="1"/>
  <c r="E60" i="3"/>
  <c r="Q60" i="3"/>
  <c r="H67" i="3"/>
  <c r="H56" i="3"/>
  <c r="I107" i="3"/>
  <c r="O106" i="3"/>
  <c r="C10" i="3"/>
  <c r="C76" i="3" s="1"/>
  <c r="E76" i="3"/>
  <c r="E117" i="3" s="1"/>
  <c r="N11" i="3"/>
  <c r="N77" i="3" s="1"/>
  <c r="E79" i="3"/>
  <c r="E24" i="3"/>
  <c r="Q79" i="3"/>
  <c r="Q24" i="3"/>
  <c r="H25" i="3"/>
  <c r="H91" i="3" s="1"/>
  <c r="H110" i="3" s="1"/>
  <c r="H81" i="3"/>
  <c r="S45" i="3"/>
  <c r="F60" i="3"/>
  <c r="R60" i="3"/>
  <c r="I67" i="3"/>
  <c r="I56" i="3"/>
  <c r="I68" i="3" s="1"/>
  <c r="H22" i="3"/>
  <c r="O26" i="3"/>
  <c r="O92" i="3" s="1"/>
  <c r="O111" i="3" s="1"/>
  <c r="O29" i="3"/>
  <c r="G30" i="3"/>
  <c r="G96" i="3" s="1"/>
  <c r="K31" i="3"/>
  <c r="K97" i="3" s="1"/>
  <c r="K121" i="3" s="1"/>
  <c r="O32" i="3"/>
  <c r="C41" i="3"/>
  <c r="C44" i="3" s="1"/>
  <c r="O50" i="3"/>
  <c r="O61" i="3" s="1"/>
  <c r="K55" i="3"/>
  <c r="G57" i="3"/>
  <c r="G60" i="3" s="1"/>
  <c r="S57" i="3"/>
  <c r="S60" i="3" s="1"/>
  <c r="O62" i="3"/>
  <c r="O65" i="3"/>
  <c r="I22" i="3"/>
  <c r="H24" i="3"/>
  <c r="D26" i="3"/>
  <c r="P26" i="3"/>
  <c r="P92" i="3" s="1"/>
  <c r="P111" i="3" s="1"/>
  <c r="T27" i="3"/>
  <c r="T93" i="3" s="1"/>
  <c r="D29" i="3"/>
  <c r="P29" i="3"/>
  <c r="H30" i="3"/>
  <c r="H96" i="3" s="1"/>
  <c r="L31" i="3"/>
  <c r="L97" i="3" s="1"/>
  <c r="L121" i="3" s="1"/>
  <c r="D32" i="3"/>
  <c r="P32" i="3"/>
  <c r="P98" i="3" s="1"/>
  <c r="P122" i="3" s="1"/>
  <c r="T33" i="3"/>
  <c r="T99" i="3" s="1"/>
  <c r="D50" i="3"/>
  <c r="D61" i="3" s="1"/>
  <c r="P50" i="3"/>
  <c r="P61" i="3" s="1"/>
  <c r="C52" i="3"/>
  <c r="C63" i="3" s="1"/>
  <c r="L55" i="3"/>
  <c r="H57" i="3"/>
  <c r="H60" i="3" s="1"/>
  <c r="D59" i="3"/>
  <c r="D107" i="3" s="1"/>
  <c r="D62" i="3"/>
  <c r="P62" i="3"/>
  <c r="P66" i="3" s="1"/>
  <c r="D65" i="3"/>
  <c r="L71" i="3"/>
  <c r="D85" i="3"/>
  <c r="C19" i="3"/>
  <c r="C21" i="3"/>
  <c r="J22" i="3"/>
  <c r="I24" i="3"/>
  <c r="E26" i="3"/>
  <c r="E92" i="3" s="1"/>
  <c r="E111" i="3" s="1"/>
  <c r="Q26" i="3"/>
  <c r="Q92" i="3" s="1"/>
  <c r="Q111" i="3" s="1"/>
  <c r="U27" i="3"/>
  <c r="U93" i="3" s="1"/>
  <c r="E29" i="3"/>
  <c r="Q29" i="3"/>
  <c r="I30" i="3"/>
  <c r="I96" i="3" s="1"/>
  <c r="E32" i="3"/>
  <c r="E98" i="3" s="1"/>
  <c r="E122" i="3" s="1"/>
  <c r="Q32" i="3"/>
  <c r="Q98" i="3" s="1"/>
  <c r="Q122" i="3" s="1"/>
  <c r="U99" i="3"/>
  <c r="C48" i="3"/>
  <c r="C58" i="3" s="1"/>
  <c r="E50" i="3"/>
  <c r="E61" i="3" s="1"/>
  <c r="Q50" i="3"/>
  <c r="Q61" i="3" s="1"/>
  <c r="M55" i="3"/>
  <c r="I57" i="3"/>
  <c r="I60" i="3" s="1"/>
  <c r="E62" i="3"/>
  <c r="E66" i="3" s="1"/>
  <c r="Q62" i="3"/>
  <c r="Q66" i="3" s="1"/>
  <c r="C8" i="4"/>
  <c r="K22" i="3"/>
  <c r="V27" i="3"/>
  <c r="V93" i="3" s="1"/>
  <c r="F29" i="3"/>
  <c r="R29" i="3"/>
  <c r="J30" i="3"/>
  <c r="J96" i="3" s="1"/>
  <c r="F32" i="3"/>
  <c r="F98" i="3" s="1"/>
  <c r="F122" i="3" s="1"/>
  <c r="R32" i="3"/>
  <c r="R98" i="3" s="1"/>
  <c r="R122" i="3" s="1"/>
  <c r="F50" i="3"/>
  <c r="F61" i="3" s="1"/>
  <c r="R50" i="3"/>
  <c r="R61" i="3" s="1"/>
  <c r="N55" i="3"/>
  <c r="J57" i="3"/>
  <c r="J60" i="3" s="1"/>
  <c r="F62" i="3"/>
  <c r="F66" i="3" s="1"/>
  <c r="R62" i="3"/>
  <c r="R66" i="3" s="1"/>
  <c r="L85" i="3"/>
  <c r="L22" i="3"/>
  <c r="O25" i="3"/>
  <c r="O91" i="3" s="1"/>
  <c r="O110" i="3" s="1"/>
  <c r="S26" i="3"/>
  <c r="S92" i="3" s="1"/>
  <c r="S111" i="3" s="1"/>
  <c r="G29" i="3"/>
  <c r="S29" i="3"/>
  <c r="K30" i="3"/>
  <c r="K96" i="3" s="1"/>
  <c r="O31" i="3"/>
  <c r="O97" i="3" s="1"/>
  <c r="O121" i="3" s="1"/>
  <c r="P44" i="3"/>
  <c r="P67" i="3" s="1"/>
  <c r="C46" i="3"/>
  <c r="C79" i="3" s="1"/>
  <c r="K57" i="3"/>
  <c r="K60" i="3" s="1"/>
  <c r="G62" i="3"/>
  <c r="G66" i="3" s="1"/>
  <c r="S62" i="3"/>
  <c r="S65" i="3"/>
  <c r="H82" i="3"/>
  <c r="T83" i="3"/>
  <c r="P85" i="3"/>
  <c r="M22" i="3"/>
  <c r="H29" i="3"/>
  <c r="D31" i="3"/>
  <c r="D97" i="3" s="1"/>
  <c r="D121" i="3" s="1"/>
  <c r="P31" i="3"/>
  <c r="P97" i="3" s="1"/>
  <c r="P121" i="3" s="1"/>
  <c r="D55" i="3"/>
  <c r="D88" i="3" s="1"/>
  <c r="T56" i="3"/>
  <c r="H62" i="3"/>
  <c r="H66" i="3" s="1"/>
  <c r="I82" i="3"/>
  <c r="D84" i="3"/>
  <c r="I74" i="4"/>
  <c r="I11" i="4"/>
  <c r="I77" i="4" s="1"/>
  <c r="U74" i="4"/>
  <c r="U11" i="4"/>
  <c r="U77" i="4" s="1"/>
  <c r="N82" i="4"/>
  <c r="N26" i="4"/>
  <c r="N92" i="4" s="1"/>
  <c r="N111" i="4" s="1"/>
  <c r="O74" i="3"/>
  <c r="C16" i="3"/>
  <c r="N22" i="3"/>
  <c r="E25" i="3"/>
  <c r="E91" i="3" s="1"/>
  <c r="E110" i="3" s="1"/>
  <c r="Q25" i="3"/>
  <c r="Q91" i="3" s="1"/>
  <c r="Q110" i="3" s="1"/>
  <c r="I29" i="3"/>
  <c r="M30" i="3"/>
  <c r="M96" i="3" s="1"/>
  <c r="E31" i="3"/>
  <c r="E97" i="3" s="1"/>
  <c r="E121" i="3" s="1"/>
  <c r="Q31" i="3"/>
  <c r="Q97" i="3" s="1"/>
  <c r="Q121" i="3" s="1"/>
  <c r="I32" i="3"/>
  <c r="I98" i="3" s="1"/>
  <c r="I122" i="3" s="1"/>
  <c r="C38" i="3"/>
  <c r="C40" i="3" s="1"/>
  <c r="C45" i="3" s="1"/>
  <c r="C53" i="3"/>
  <c r="C64" i="3" s="1"/>
  <c r="U56" i="3"/>
  <c r="M57" i="3"/>
  <c r="M60" i="3" s="1"/>
  <c r="I62" i="3"/>
  <c r="I66" i="3" s="1"/>
  <c r="L82" i="3"/>
  <c r="E84" i="3"/>
  <c r="C79" i="4"/>
  <c r="O79" i="4"/>
  <c r="O24" i="4"/>
  <c r="O17" i="4"/>
  <c r="K81" i="4"/>
  <c r="K25" i="4"/>
  <c r="K91" i="4" s="1"/>
  <c r="K110" i="4" s="1"/>
  <c r="D74" i="3"/>
  <c r="P74" i="3"/>
  <c r="D117" i="3"/>
  <c r="P117" i="3"/>
  <c r="O22" i="3"/>
  <c r="N24" i="3"/>
  <c r="R25" i="3"/>
  <c r="R91" i="3" s="1"/>
  <c r="R110" i="3" s="1"/>
  <c r="J29" i="3"/>
  <c r="N30" i="3"/>
  <c r="N96" i="3" s="1"/>
  <c r="F31" i="3"/>
  <c r="F97" i="3" s="1"/>
  <c r="F121" i="3" s="1"/>
  <c r="R31" i="3"/>
  <c r="R97" i="3" s="1"/>
  <c r="R121" i="3" s="1"/>
  <c r="J32" i="3"/>
  <c r="J98" i="3" s="1"/>
  <c r="J122" i="3" s="1"/>
  <c r="V56" i="3"/>
  <c r="N57" i="3"/>
  <c r="N60" i="3" s="1"/>
  <c r="J62" i="3"/>
  <c r="J66" i="3" s="1"/>
  <c r="C18" i="3"/>
  <c r="C20" i="3"/>
  <c r="P22" i="3"/>
  <c r="S25" i="3"/>
  <c r="S91" i="3" s="1"/>
  <c r="S110" i="3" s="1"/>
  <c r="K26" i="3"/>
  <c r="K92" i="3" s="1"/>
  <c r="K111" i="3" s="1"/>
  <c r="K29" i="3"/>
  <c r="O30" i="3"/>
  <c r="O96" i="3" s="1"/>
  <c r="G31" i="3"/>
  <c r="G97" i="3" s="1"/>
  <c r="G121" i="3" s="1"/>
  <c r="S31" i="3"/>
  <c r="S97" i="3" s="1"/>
  <c r="S121" i="3" s="1"/>
  <c r="K32" i="3"/>
  <c r="K98" i="3" s="1"/>
  <c r="K122" i="3" s="1"/>
  <c r="L84" i="3"/>
  <c r="M72" i="4"/>
  <c r="M106" i="4" s="1"/>
  <c r="M7" i="4"/>
  <c r="M28" i="4" s="1"/>
  <c r="R73" i="4"/>
  <c r="R104" i="4" s="1"/>
  <c r="R12" i="4"/>
  <c r="R78" i="4" s="1"/>
  <c r="C16" i="4"/>
  <c r="Q22" i="3"/>
  <c r="H31" i="3"/>
  <c r="H97" i="3" s="1"/>
  <c r="H121" i="3" s="1"/>
  <c r="J71" i="4"/>
  <c r="J7" i="4"/>
  <c r="V71" i="4"/>
  <c r="V7" i="4"/>
  <c r="V73" i="4" s="1"/>
  <c r="N17" i="4"/>
  <c r="F22" i="3"/>
  <c r="R22" i="3"/>
  <c r="I25" i="3"/>
  <c r="I91" i="3" s="1"/>
  <c r="I110" i="3" s="1"/>
  <c r="M26" i="3"/>
  <c r="M92" i="3" s="1"/>
  <c r="M111" i="3" s="1"/>
  <c r="M29" i="3"/>
  <c r="E30" i="3"/>
  <c r="E96" i="3" s="1"/>
  <c r="Q30" i="3"/>
  <c r="Q96" i="3" s="1"/>
  <c r="I31" i="3"/>
  <c r="I97" i="3" s="1"/>
  <c r="I121" i="3" s="1"/>
  <c r="M32" i="3"/>
  <c r="M98" i="3" s="1"/>
  <c r="M122" i="3" s="1"/>
  <c r="G22" i="3"/>
  <c r="S22" i="3"/>
  <c r="J25" i="3"/>
  <c r="J91" i="3" s="1"/>
  <c r="J110" i="3" s="1"/>
  <c r="V28" i="3"/>
  <c r="V94" i="3" s="1"/>
  <c r="F30" i="3"/>
  <c r="F96" i="3" s="1"/>
  <c r="R30" i="3"/>
  <c r="R96" i="3" s="1"/>
  <c r="J31" i="3"/>
  <c r="J97" i="3" s="1"/>
  <c r="J121" i="3" s="1"/>
  <c r="V34" i="3"/>
  <c r="V100" i="3" s="1"/>
  <c r="K107" i="4"/>
  <c r="F7" i="4"/>
  <c r="S73" i="4"/>
  <c r="S104" i="4" s="1"/>
  <c r="S12" i="4"/>
  <c r="J32" i="4"/>
  <c r="J11" i="4"/>
  <c r="J77" i="4" s="1"/>
  <c r="J74" i="4"/>
  <c r="V32" i="4"/>
  <c r="V98" i="4" s="1"/>
  <c r="V11" i="4"/>
  <c r="V77" i="4" s="1"/>
  <c r="V74" i="4"/>
  <c r="D79" i="4"/>
  <c r="D24" i="4"/>
  <c r="P79" i="4"/>
  <c r="P24" i="4"/>
  <c r="L81" i="4"/>
  <c r="L25" i="4"/>
  <c r="L91" i="4" s="1"/>
  <c r="L110" i="4" s="1"/>
  <c r="C57" i="4"/>
  <c r="C60" i="4" s="1"/>
  <c r="C50" i="4"/>
  <c r="C61" i="4" s="1"/>
  <c r="L105" i="4"/>
  <c r="L107" i="4"/>
  <c r="C6" i="4"/>
  <c r="C72" i="4" s="1"/>
  <c r="G73" i="4"/>
  <c r="G104" i="4" s="1"/>
  <c r="K74" i="4"/>
  <c r="N30" i="4"/>
  <c r="N75" i="4"/>
  <c r="K11" i="4"/>
  <c r="K77" i="4" s="1"/>
  <c r="E79" i="4"/>
  <c r="E17" i="4"/>
  <c r="E24" i="4"/>
  <c r="Q79" i="4"/>
  <c r="Q17" i="4"/>
  <c r="Q24" i="4"/>
  <c r="P17" i="4"/>
  <c r="L67" i="4"/>
  <c r="M105" i="4"/>
  <c r="M107" i="4"/>
  <c r="H7" i="4"/>
  <c r="U7" i="4"/>
  <c r="U73" i="4" s="1"/>
  <c r="L74" i="4"/>
  <c r="L11" i="4"/>
  <c r="L77" i="4" s="1"/>
  <c r="L32" i="4"/>
  <c r="C9" i="4"/>
  <c r="C75" i="4" s="1"/>
  <c r="F79" i="4"/>
  <c r="F24" i="4"/>
  <c r="N81" i="4"/>
  <c r="N25" i="4"/>
  <c r="N91" i="4" s="1"/>
  <c r="N110" i="4" s="1"/>
  <c r="E82" i="4"/>
  <c r="E26" i="4"/>
  <c r="R28" i="4"/>
  <c r="R94" i="4" s="1"/>
  <c r="R108" i="4" s="1"/>
  <c r="R83" i="4"/>
  <c r="M67" i="4"/>
  <c r="N71" i="4"/>
  <c r="N7" i="4"/>
  <c r="I7" i="4"/>
  <c r="M74" i="4"/>
  <c r="M32" i="4"/>
  <c r="G79" i="4"/>
  <c r="G17" i="4"/>
  <c r="G24" i="4"/>
  <c r="S17" i="4"/>
  <c r="S79" i="4"/>
  <c r="S24" i="4"/>
  <c r="O25" i="4"/>
  <c r="O91" i="4" s="1"/>
  <c r="O110" i="4" s="1"/>
  <c r="O88" i="4"/>
  <c r="G30" i="4"/>
  <c r="G96" i="4" s="1"/>
  <c r="N67" i="4"/>
  <c r="C5" i="4"/>
  <c r="O105" i="4"/>
  <c r="O107" i="4"/>
  <c r="N74" i="4"/>
  <c r="P11" i="4"/>
  <c r="P77" i="4" s="1"/>
  <c r="T83" i="4"/>
  <c r="T28" i="4"/>
  <c r="T94" i="4" s="1"/>
  <c r="C15" i="4"/>
  <c r="C17" i="4" s="1"/>
  <c r="D25" i="4"/>
  <c r="D91" i="4" s="1"/>
  <c r="D110" i="4" s="1"/>
  <c r="D81" i="4"/>
  <c r="P25" i="4"/>
  <c r="P91" i="4" s="1"/>
  <c r="P110" i="4" s="1"/>
  <c r="P81" i="4"/>
  <c r="G82" i="4"/>
  <c r="G26" i="4"/>
  <c r="G92" i="4" s="1"/>
  <c r="G111" i="4" s="1"/>
  <c r="S26" i="4"/>
  <c r="S92" i="4" s="1"/>
  <c r="S111" i="4" s="1"/>
  <c r="S82" i="4"/>
  <c r="D34" i="4"/>
  <c r="P88" i="4"/>
  <c r="P34" i="4"/>
  <c r="P23" i="4"/>
  <c r="G45" i="4"/>
  <c r="S45" i="4"/>
  <c r="O67" i="4"/>
  <c r="D107" i="4"/>
  <c r="P107" i="4"/>
  <c r="K7" i="4"/>
  <c r="O74" i="4"/>
  <c r="O32" i="4"/>
  <c r="O98" i="4" s="1"/>
  <c r="O122" i="4" s="1"/>
  <c r="O11" i="4"/>
  <c r="O77" i="4" s="1"/>
  <c r="I76" i="4"/>
  <c r="I31" i="4"/>
  <c r="U76" i="4"/>
  <c r="U31" i="4"/>
  <c r="U97" i="4" s="1"/>
  <c r="Q11" i="4"/>
  <c r="Q77" i="4" s="1"/>
  <c r="I17" i="4"/>
  <c r="I24" i="4"/>
  <c r="I79" i="4"/>
  <c r="U17" i="4"/>
  <c r="U79" i="4"/>
  <c r="U24" i="4"/>
  <c r="E25" i="4"/>
  <c r="E91" i="4" s="1"/>
  <c r="E110" i="4" s="1"/>
  <c r="Q25" i="4"/>
  <c r="Q91" i="4" s="1"/>
  <c r="Q110" i="4" s="1"/>
  <c r="H26" i="4"/>
  <c r="H92" i="4" s="1"/>
  <c r="H111" i="4" s="1"/>
  <c r="T26" i="4"/>
  <c r="T92" i="4" s="1"/>
  <c r="K61" i="4"/>
  <c r="C62" i="4"/>
  <c r="P67" i="4"/>
  <c r="P56" i="4"/>
  <c r="P68" i="4" s="1"/>
  <c r="E105" i="4"/>
  <c r="Q107" i="4"/>
  <c r="Q105" i="4"/>
  <c r="L7" i="4"/>
  <c r="D74" i="4"/>
  <c r="P74" i="4"/>
  <c r="J17" i="4"/>
  <c r="V17" i="4"/>
  <c r="F25" i="4"/>
  <c r="F91" i="4" s="1"/>
  <c r="F110" i="4" s="1"/>
  <c r="F81" i="4"/>
  <c r="R25" i="4"/>
  <c r="R91" i="4" s="1"/>
  <c r="R110" i="4" s="1"/>
  <c r="R81" i="4"/>
  <c r="I26" i="4"/>
  <c r="I92" i="4" s="1"/>
  <c r="I111" i="4" s="1"/>
  <c r="I82" i="4"/>
  <c r="U26" i="4"/>
  <c r="U92" i="4" s="1"/>
  <c r="U82" i="4"/>
  <c r="F29" i="4"/>
  <c r="J30" i="4"/>
  <c r="M31" i="4"/>
  <c r="M97" i="4" s="1"/>
  <c r="M121" i="4" s="1"/>
  <c r="E67" i="4"/>
  <c r="E115" i="4" s="1"/>
  <c r="Q67" i="4"/>
  <c r="Q115" i="4" s="1"/>
  <c r="F107" i="4"/>
  <c r="R107" i="4"/>
  <c r="I106" i="4"/>
  <c r="S77" i="4"/>
  <c r="K79" i="4"/>
  <c r="K24" i="4"/>
  <c r="G81" i="4"/>
  <c r="G25" i="4"/>
  <c r="G91" i="4" s="1"/>
  <c r="G110" i="4" s="1"/>
  <c r="S81" i="4"/>
  <c r="S25" i="4"/>
  <c r="S91" i="4" s="1"/>
  <c r="S110" i="4" s="1"/>
  <c r="J26" i="4"/>
  <c r="J92" i="4" s="1"/>
  <c r="J111" i="4" s="1"/>
  <c r="J82" i="4"/>
  <c r="V26" i="4"/>
  <c r="V92" i="4" s="1"/>
  <c r="V82" i="4"/>
  <c r="G84" i="4"/>
  <c r="G29" i="4"/>
  <c r="G22" i="4"/>
  <c r="N31" i="4"/>
  <c r="F67" i="4"/>
  <c r="R67" i="4"/>
  <c r="R56" i="4"/>
  <c r="R68" i="4" s="1"/>
  <c r="O7" i="4"/>
  <c r="F74" i="4"/>
  <c r="R74" i="4"/>
  <c r="I75" i="4"/>
  <c r="I30" i="4"/>
  <c r="I96" i="4" s="1"/>
  <c r="U75" i="4"/>
  <c r="U30" i="4"/>
  <c r="U96" i="4" s="1"/>
  <c r="E11" i="4"/>
  <c r="E77" i="4" s="1"/>
  <c r="L79" i="4"/>
  <c r="L17" i="4"/>
  <c r="L24" i="4"/>
  <c r="D17" i="4"/>
  <c r="D23" i="4" s="1"/>
  <c r="K45" i="4"/>
  <c r="G67" i="4"/>
  <c r="G56" i="4"/>
  <c r="S67" i="4"/>
  <c r="S56" i="4"/>
  <c r="S68" i="4" s="1"/>
  <c r="H107" i="4"/>
  <c r="P7" i="4"/>
  <c r="G74" i="4"/>
  <c r="S74" i="4"/>
  <c r="F11" i="4"/>
  <c r="F77" i="4" s="1"/>
  <c r="I81" i="4"/>
  <c r="I25" i="4"/>
  <c r="I91" i="4" s="1"/>
  <c r="I110" i="4" s="1"/>
  <c r="U81" i="4"/>
  <c r="U25" i="4"/>
  <c r="U91" i="4" s="1"/>
  <c r="L82" i="4"/>
  <c r="L26" i="4"/>
  <c r="L92" i="4" s="1"/>
  <c r="L111" i="4" s="1"/>
  <c r="F17" i="4"/>
  <c r="I84" i="4"/>
  <c r="I29" i="4"/>
  <c r="I22" i="4"/>
  <c r="L45" i="4"/>
  <c r="H45" i="4"/>
  <c r="C63" i="4"/>
  <c r="I107" i="4"/>
  <c r="D7" i="4"/>
  <c r="Q7" i="4"/>
  <c r="H74" i="4"/>
  <c r="G11" i="4"/>
  <c r="G77" i="4" s="1"/>
  <c r="N24" i="4"/>
  <c r="N79" i="4"/>
  <c r="K17" i="4"/>
  <c r="J29" i="4"/>
  <c r="M45" i="4"/>
  <c r="P61" i="4"/>
  <c r="E22" i="4"/>
  <c r="Q22" i="4"/>
  <c r="H25" i="4"/>
  <c r="H91" i="4" s="1"/>
  <c r="H110" i="4" s="1"/>
  <c r="T25" i="4"/>
  <c r="T91" i="4" s="1"/>
  <c r="L29" i="4"/>
  <c r="D30" i="4"/>
  <c r="P30" i="4"/>
  <c r="H31" i="4"/>
  <c r="T31" i="4"/>
  <c r="T97" i="4" s="1"/>
  <c r="L50" i="4"/>
  <c r="L61" i="4" s="1"/>
  <c r="F64" i="4"/>
  <c r="F117" i="4" s="1"/>
  <c r="R64" i="4"/>
  <c r="R97" i="4" s="1"/>
  <c r="R121" i="4" s="1"/>
  <c r="M65" i="4"/>
  <c r="H55" i="4"/>
  <c r="T67" i="4"/>
  <c r="D57" i="4"/>
  <c r="D60" i="4" s="1"/>
  <c r="P57" i="4"/>
  <c r="P60" i="4" s="1"/>
  <c r="L62" i="4"/>
  <c r="D63" i="4"/>
  <c r="H82" i="4"/>
  <c r="G85" i="4"/>
  <c r="M86" i="4"/>
  <c r="F22" i="4"/>
  <c r="R22" i="4"/>
  <c r="M26" i="4"/>
  <c r="M92" i="4" s="1"/>
  <c r="M111" i="4" s="1"/>
  <c r="M29" i="4"/>
  <c r="E30" i="4"/>
  <c r="E96" i="4" s="1"/>
  <c r="Q30" i="4"/>
  <c r="M50" i="4"/>
  <c r="M61" i="4" s="1"/>
  <c r="G64" i="4"/>
  <c r="G117" i="4" s="1"/>
  <c r="S64" i="4"/>
  <c r="S117" i="4" s="1"/>
  <c r="I55" i="4"/>
  <c r="U67" i="4"/>
  <c r="M62" i="4"/>
  <c r="J79" i="4"/>
  <c r="H85" i="4"/>
  <c r="N86" i="4"/>
  <c r="E118" i="4"/>
  <c r="Q118" i="4"/>
  <c r="C21" i="4"/>
  <c r="S22" i="4"/>
  <c r="R24" i="4"/>
  <c r="J25" i="4"/>
  <c r="V25" i="4"/>
  <c r="V91" i="4" s="1"/>
  <c r="N29" i="4"/>
  <c r="F30" i="4"/>
  <c r="F96" i="4" s="1"/>
  <c r="R30" i="4"/>
  <c r="R96" i="4" s="1"/>
  <c r="J31" i="4"/>
  <c r="J97" i="4" s="1"/>
  <c r="J121" i="4" s="1"/>
  <c r="V31" i="4"/>
  <c r="V97" i="4" s="1"/>
  <c r="N32" i="4"/>
  <c r="N98" i="4" s="1"/>
  <c r="N122" i="4" s="1"/>
  <c r="N50" i="4"/>
  <c r="N61" i="4" s="1"/>
  <c r="H64" i="4"/>
  <c r="H117" i="4" s="1"/>
  <c r="C54" i="4"/>
  <c r="C65" i="4" s="1"/>
  <c r="J55" i="4"/>
  <c r="F57" i="4"/>
  <c r="F60" i="4" s="1"/>
  <c r="R57" i="4"/>
  <c r="R60" i="4" s="1"/>
  <c r="J58" i="4"/>
  <c r="J106" i="4" s="1"/>
  <c r="V61" i="4"/>
  <c r="N62" i="4"/>
  <c r="N66" i="4" s="1"/>
  <c r="H22" i="4"/>
  <c r="T22" i="4"/>
  <c r="O26" i="4"/>
  <c r="O92" i="4" s="1"/>
  <c r="O111" i="4" s="1"/>
  <c r="O29" i="4"/>
  <c r="S30" i="4"/>
  <c r="S96" i="4" s="1"/>
  <c r="K31" i="4"/>
  <c r="K97" i="4" s="1"/>
  <c r="K121" i="4" s="1"/>
  <c r="O50" i="4"/>
  <c r="O61" i="4" s="1"/>
  <c r="N63" i="4"/>
  <c r="I64" i="4"/>
  <c r="K55" i="4"/>
  <c r="G57" i="4"/>
  <c r="G60" i="4" s="1"/>
  <c r="S57" i="4"/>
  <c r="S60" i="4" s="1"/>
  <c r="O62" i="4"/>
  <c r="O66" i="4" s="1"/>
  <c r="D64" i="4"/>
  <c r="D117" i="4" s="1"/>
  <c r="E81" i="4"/>
  <c r="D84" i="4"/>
  <c r="J85" i="4"/>
  <c r="S107" i="4"/>
  <c r="U22" i="4"/>
  <c r="H24" i="4"/>
  <c r="T24" i="4"/>
  <c r="D26" i="4"/>
  <c r="D92" i="4" s="1"/>
  <c r="D111" i="4" s="1"/>
  <c r="P26" i="4"/>
  <c r="P92" i="4" s="1"/>
  <c r="P111" i="4" s="1"/>
  <c r="D29" i="4"/>
  <c r="P29" i="4"/>
  <c r="T30" i="4"/>
  <c r="T96" i="4" s="1"/>
  <c r="L31" i="4"/>
  <c r="L97" i="4" s="1"/>
  <c r="L121" i="4" s="1"/>
  <c r="D32" i="4"/>
  <c r="D98" i="4" s="1"/>
  <c r="D122" i="4" s="1"/>
  <c r="P32" i="4"/>
  <c r="P98" i="4" s="1"/>
  <c r="P122" i="4" s="1"/>
  <c r="H57" i="4"/>
  <c r="H60" i="4" s="1"/>
  <c r="D62" i="4"/>
  <c r="D66" i="4" s="1"/>
  <c r="P62" i="4"/>
  <c r="P66" i="4" s="1"/>
  <c r="R76" i="4"/>
  <c r="T79" i="4"/>
  <c r="E84" i="4"/>
  <c r="C86" i="4"/>
  <c r="J22" i="4"/>
  <c r="V22" i="4"/>
  <c r="M25" i="4"/>
  <c r="M91" i="4" s="1"/>
  <c r="M110" i="4" s="1"/>
  <c r="Q26" i="4"/>
  <c r="Q92" i="4" s="1"/>
  <c r="Q111" i="4" s="1"/>
  <c r="Q29" i="4"/>
  <c r="E32" i="4"/>
  <c r="E98" i="4" s="1"/>
  <c r="E122" i="4" s="1"/>
  <c r="Q32" i="4"/>
  <c r="Q98" i="4" s="1"/>
  <c r="Q122" i="4" s="1"/>
  <c r="E50" i="4"/>
  <c r="E61" i="4" s="1"/>
  <c r="E104" i="4" s="1"/>
  <c r="Q50" i="4"/>
  <c r="Q61" i="4" s="1"/>
  <c r="P63" i="4"/>
  <c r="F65" i="4"/>
  <c r="R65" i="4"/>
  <c r="I57" i="4"/>
  <c r="I60" i="4" s="1"/>
  <c r="E59" i="4"/>
  <c r="E107" i="4" s="1"/>
  <c r="E62" i="4"/>
  <c r="E66" i="4" s="1"/>
  <c r="Q62" i="4"/>
  <c r="Q66" i="4" s="1"/>
  <c r="T82" i="4"/>
  <c r="F84" i="4"/>
  <c r="K22" i="4"/>
  <c r="J24" i="4"/>
  <c r="V24" i="4"/>
  <c r="F26" i="4"/>
  <c r="F92" i="4" s="1"/>
  <c r="F111" i="4" s="1"/>
  <c r="R26" i="4"/>
  <c r="R92" i="4" s="1"/>
  <c r="R111" i="4" s="1"/>
  <c r="R29" i="4"/>
  <c r="V30" i="4"/>
  <c r="V96" i="4" s="1"/>
  <c r="F32" i="4"/>
  <c r="R32" i="4"/>
  <c r="R98" i="4" s="1"/>
  <c r="R122" i="4" s="1"/>
  <c r="F50" i="4"/>
  <c r="F61" i="4" s="1"/>
  <c r="Q63" i="4"/>
  <c r="G65" i="4"/>
  <c r="S65" i="4"/>
  <c r="J57" i="4"/>
  <c r="J60" i="4" s="1"/>
  <c r="F62" i="4"/>
  <c r="R62" i="4"/>
  <c r="R66" i="4" s="1"/>
  <c r="V79" i="4"/>
  <c r="O81" i="4"/>
  <c r="J84" i="4"/>
  <c r="H17" i="4"/>
  <c r="L22" i="4"/>
  <c r="S29" i="4"/>
  <c r="K30" i="4"/>
  <c r="K96" i="4" s="1"/>
  <c r="C31" i="4"/>
  <c r="C97" i="4" s="1"/>
  <c r="O31" i="4"/>
  <c r="G32" i="4"/>
  <c r="S32" i="4"/>
  <c r="S98" i="4" s="1"/>
  <c r="S122" i="4" s="1"/>
  <c r="K57" i="4"/>
  <c r="K60" i="4" s="1"/>
  <c r="G62" i="4"/>
  <c r="S62" i="4"/>
  <c r="O84" i="4"/>
  <c r="C19" i="4"/>
  <c r="M22" i="4"/>
  <c r="H29" i="4"/>
  <c r="T29" i="4"/>
  <c r="L30" i="4"/>
  <c r="L96" i="4" s="1"/>
  <c r="D31" i="4"/>
  <c r="D97" i="4" s="1"/>
  <c r="D121" i="4" s="1"/>
  <c r="P31" i="4"/>
  <c r="P97" i="4" s="1"/>
  <c r="P121" i="4" s="1"/>
  <c r="H32" i="4"/>
  <c r="H98" i="4" s="1"/>
  <c r="H122" i="4" s="1"/>
  <c r="T32" i="4"/>
  <c r="T98" i="4" s="1"/>
  <c r="D40" i="4"/>
  <c r="D45" i="4" s="1"/>
  <c r="N64" i="4"/>
  <c r="N117" i="4" s="1"/>
  <c r="D55" i="4"/>
  <c r="D88" i="4" s="1"/>
  <c r="T56" i="4"/>
  <c r="Q81" i="4"/>
  <c r="P84" i="4"/>
  <c r="N22" i="4"/>
  <c r="M24" i="4"/>
  <c r="U29" i="4"/>
  <c r="M30" i="4"/>
  <c r="M96" i="4" s="1"/>
  <c r="E31" i="4"/>
  <c r="E97" i="4" s="1"/>
  <c r="E121" i="4" s="1"/>
  <c r="Q31" i="4"/>
  <c r="Q97" i="4" s="1"/>
  <c r="Q121" i="4" s="1"/>
  <c r="I32" i="4"/>
  <c r="I98" i="4" s="1"/>
  <c r="I122" i="4" s="1"/>
  <c r="U32" i="4"/>
  <c r="U98" i="4" s="1"/>
  <c r="O64" i="4"/>
  <c r="O117" i="4" s="1"/>
  <c r="J65" i="4"/>
  <c r="J66" i="4" s="1"/>
  <c r="U56" i="4"/>
  <c r="V29" i="4"/>
  <c r="F31" i="4"/>
  <c r="K65" i="4"/>
  <c r="K66" i="4" s="1"/>
  <c r="C18" i="4"/>
  <c r="K26" i="4"/>
  <c r="K92" i="4" s="1"/>
  <c r="K111" i="4" s="1"/>
  <c r="K29" i="4"/>
  <c r="O30" i="4"/>
  <c r="O96" i="4" s="1"/>
  <c r="G31" i="4"/>
  <c r="G97" i="4" s="1"/>
  <c r="G121" i="4" s="1"/>
  <c r="S31" i="4"/>
  <c r="K32" i="4"/>
  <c r="J63" i="4"/>
  <c r="L65" i="4"/>
  <c r="G107" i="4"/>
  <c r="Q97" i="2" l="1"/>
  <c r="Q121" i="2" s="1"/>
  <c r="E97" i="2"/>
  <c r="E121" i="2" s="1"/>
  <c r="Q77" i="2"/>
  <c r="S68" i="3"/>
  <c r="D34" i="3"/>
  <c r="V99" i="3"/>
  <c r="N56" i="4"/>
  <c r="N68" i="4" s="1"/>
  <c r="E56" i="4"/>
  <c r="E68" i="4" s="1"/>
  <c r="I105" i="4"/>
  <c r="D61" i="4"/>
  <c r="S78" i="4"/>
  <c r="E60" i="4"/>
  <c r="F66" i="4"/>
  <c r="G98" i="4"/>
  <c r="G122" i="4" s="1"/>
  <c r="M94" i="4"/>
  <c r="M108" i="4" s="1"/>
  <c r="R117" i="4"/>
  <c r="O97" i="4"/>
  <c r="O121" i="4" s="1"/>
  <c r="N97" i="4"/>
  <c r="N121" i="4" s="1"/>
  <c r="M83" i="4"/>
  <c r="M56" i="4"/>
  <c r="C106" i="4"/>
  <c r="J98" i="4"/>
  <c r="J122" i="4" s="1"/>
  <c r="Q96" i="4"/>
  <c r="F98" i="4"/>
  <c r="F122" i="4" s="1"/>
  <c r="S105" i="4"/>
  <c r="G105" i="4"/>
  <c r="E92" i="4"/>
  <c r="E111" i="4" s="1"/>
  <c r="C111" i="4" s="1"/>
  <c r="S97" i="4"/>
  <c r="S121" i="4" s="1"/>
  <c r="S66" i="3"/>
  <c r="Q83" i="3"/>
  <c r="H105" i="3"/>
  <c r="O56" i="3"/>
  <c r="O68" i="3" s="1"/>
  <c r="Q94" i="3"/>
  <c r="Q108" i="3" s="1"/>
  <c r="G105" i="3"/>
  <c r="O66" i="3"/>
  <c r="F12" i="3"/>
  <c r="F78" i="3" s="1"/>
  <c r="K105" i="3"/>
  <c r="E83" i="3"/>
  <c r="C106" i="3"/>
  <c r="H68" i="3"/>
  <c r="Q56" i="3"/>
  <c r="Q68" i="3" s="1"/>
  <c r="C65" i="3"/>
  <c r="S78" i="3"/>
  <c r="P56" i="3"/>
  <c r="E94" i="3"/>
  <c r="E108" i="3" s="1"/>
  <c r="K104" i="3"/>
  <c r="E56" i="3"/>
  <c r="E68" i="3" s="1"/>
  <c r="C62" i="3"/>
  <c r="S105" i="3"/>
  <c r="P45" i="3"/>
  <c r="C17" i="3"/>
  <c r="C121" i="3"/>
  <c r="G12" i="2"/>
  <c r="G78" i="2" s="1"/>
  <c r="P95" i="2"/>
  <c r="P120" i="2" s="1"/>
  <c r="F67" i="2"/>
  <c r="F115" i="2" s="1"/>
  <c r="Q91" i="2"/>
  <c r="Q110" i="2" s="1"/>
  <c r="L56" i="2"/>
  <c r="L68" i="2" s="1"/>
  <c r="R78" i="2"/>
  <c r="E91" i="2"/>
  <c r="E110" i="2" s="1"/>
  <c r="E67" i="2"/>
  <c r="R77" i="2"/>
  <c r="T34" i="2"/>
  <c r="T100" i="2" s="1"/>
  <c r="F66" i="2"/>
  <c r="E45" i="2"/>
  <c r="P99" i="2"/>
  <c r="F117" i="2"/>
  <c r="F98" i="2"/>
  <c r="F122" i="2" s="1"/>
  <c r="O104" i="2"/>
  <c r="F97" i="2"/>
  <c r="F121" i="2" s="1"/>
  <c r="C121" i="2" s="1"/>
  <c r="R66" i="2"/>
  <c r="E56" i="2"/>
  <c r="I97" i="2"/>
  <c r="I121" i="2" s="1"/>
  <c r="Q94" i="2"/>
  <c r="Q108" i="2" s="1"/>
  <c r="R98" i="2"/>
  <c r="R122" i="2" s="1"/>
  <c r="P66" i="1"/>
  <c r="S91" i="1"/>
  <c r="S110" i="1" s="1"/>
  <c r="Q78" i="1"/>
  <c r="E78" i="1"/>
  <c r="N66" i="1"/>
  <c r="D105" i="1"/>
  <c r="N96" i="1"/>
  <c r="O94" i="1"/>
  <c r="M12" i="1"/>
  <c r="M78" i="1" s="1"/>
  <c r="N78" i="1"/>
  <c r="G91" i="1"/>
  <c r="G110" i="1" s="1"/>
  <c r="L92" i="1"/>
  <c r="L111" i="1" s="1"/>
  <c r="L104" i="1"/>
  <c r="L68" i="1"/>
  <c r="O56" i="1"/>
  <c r="O68" i="1" s="1"/>
  <c r="U66" i="1"/>
  <c r="U99" i="1" s="1"/>
  <c r="P91" i="1"/>
  <c r="P110" i="1" s="1"/>
  <c r="G98" i="1"/>
  <c r="G123" i="1" s="1"/>
  <c r="C45" i="1"/>
  <c r="O95" i="1"/>
  <c r="O121" i="1" s="1"/>
  <c r="P98" i="1"/>
  <c r="P123" i="1" s="1"/>
  <c r="D27" i="1"/>
  <c r="D93" i="1" s="1"/>
  <c r="O117" i="1"/>
  <c r="V97" i="1"/>
  <c r="Q60" i="1"/>
  <c r="G66" i="1"/>
  <c r="R104" i="1"/>
  <c r="O96" i="1"/>
  <c r="K45" i="1"/>
  <c r="K68" i="1" s="1"/>
  <c r="E104" i="1"/>
  <c r="D90" i="1"/>
  <c r="D109" i="1" s="1"/>
  <c r="D108" i="1" s="1"/>
  <c r="D106" i="1"/>
  <c r="P100" i="1"/>
  <c r="P120" i="1" s="1"/>
  <c r="F97" i="1"/>
  <c r="F122" i="1" s="1"/>
  <c r="N97" i="1"/>
  <c r="N122" i="1" s="1"/>
  <c r="Q92" i="1"/>
  <c r="Q111" i="1" s="1"/>
  <c r="I97" i="1"/>
  <c r="I122" i="1" s="1"/>
  <c r="C65" i="1"/>
  <c r="H73" i="1"/>
  <c r="O33" i="1"/>
  <c r="O99" i="1" s="1"/>
  <c r="K67" i="1"/>
  <c r="K116" i="1" s="1"/>
  <c r="H92" i="1"/>
  <c r="H111" i="1" s="1"/>
  <c r="C83" i="4"/>
  <c r="J35" i="1"/>
  <c r="G89" i="1"/>
  <c r="M95" i="3"/>
  <c r="M120" i="3" s="1"/>
  <c r="M33" i="3"/>
  <c r="M99" i="3" s="1"/>
  <c r="K95" i="4"/>
  <c r="K120" i="4" s="1"/>
  <c r="K33" i="4"/>
  <c r="K99" i="4" s="1"/>
  <c r="K56" i="4"/>
  <c r="K68" i="4" s="1"/>
  <c r="K67" i="4"/>
  <c r="N33" i="4"/>
  <c r="N99" i="4" s="1"/>
  <c r="N95" i="4"/>
  <c r="N120" i="4" s="1"/>
  <c r="L95" i="4"/>
  <c r="L120" i="4" s="1"/>
  <c r="L33" i="4"/>
  <c r="I33" i="4"/>
  <c r="I99" i="4" s="1"/>
  <c r="I95" i="4"/>
  <c r="I120" i="4" s="1"/>
  <c r="L83" i="4"/>
  <c r="L28" i="4"/>
  <c r="L94" i="4" s="1"/>
  <c r="L108" i="4" s="1"/>
  <c r="Q56" i="4"/>
  <c r="Q68" i="4" s="1"/>
  <c r="C71" i="4"/>
  <c r="C7" i="4"/>
  <c r="G83" i="4"/>
  <c r="G28" i="4"/>
  <c r="G94" i="4" s="1"/>
  <c r="G108" i="4" s="1"/>
  <c r="Q83" i="4"/>
  <c r="Q28" i="4"/>
  <c r="Q94" i="4" s="1"/>
  <c r="Q108" i="4" s="1"/>
  <c r="Q88" i="3"/>
  <c r="Q34" i="3"/>
  <c r="Q100" i="3" s="1"/>
  <c r="Q119" i="3" s="1"/>
  <c r="Q23" i="3"/>
  <c r="J95" i="3"/>
  <c r="J120" i="3" s="1"/>
  <c r="J33" i="3"/>
  <c r="J99" i="3" s="1"/>
  <c r="O83" i="4"/>
  <c r="O28" i="4"/>
  <c r="O94" i="4" s="1"/>
  <c r="O108" i="4" s="1"/>
  <c r="O116" i="3"/>
  <c r="O118" i="3"/>
  <c r="O115" i="3"/>
  <c r="C85" i="3"/>
  <c r="C30" i="3"/>
  <c r="C96" i="3" s="1"/>
  <c r="O95" i="3"/>
  <c r="O120" i="3" s="1"/>
  <c r="O33" i="3"/>
  <c r="O99" i="3" s="1"/>
  <c r="E90" i="3"/>
  <c r="E109" i="3" s="1"/>
  <c r="E27" i="3"/>
  <c r="E93" i="3" s="1"/>
  <c r="H73" i="3"/>
  <c r="H104" i="3" s="1"/>
  <c r="H12" i="3"/>
  <c r="H78" i="3" s="1"/>
  <c r="L90" i="3"/>
  <c r="L109" i="3" s="1"/>
  <c r="L27" i="3"/>
  <c r="L93" i="3" s="1"/>
  <c r="G115" i="3"/>
  <c r="G116" i="3"/>
  <c r="G118" i="3"/>
  <c r="S104" i="2"/>
  <c r="E34" i="2"/>
  <c r="E88" i="2"/>
  <c r="E23" i="2"/>
  <c r="C81" i="2"/>
  <c r="C25" i="2"/>
  <c r="E90" i="2"/>
  <c r="E109" i="2" s="1"/>
  <c r="E27" i="2"/>
  <c r="E93" i="2" s="1"/>
  <c r="C17" i="2"/>
  <c r="H67" i="2"/>
  <c r="H56" i="2"/>
  <c r="H68" i="2" s="1"/>
  <c r="O12" i="2"/>
  <c r="O78" i="2" s="1"/>
  <c r="F68" i="2"/>
  <c r="H95" i="2"/>
  <c r="H120" i="2" s="1"/>
  <c r="H33" i="2"/>
  <c r="H99" i="2" s="1"/>
  <c r="G73" i="1"/>
  <c r="G12" i="1"/>
  <c r="G78" i="1" s="1"/>
  <c r="D117" i="1"/>
  <c r="D119" i="1"/>
  <c r="C32" i="1"/>
  <c r="C87" i="1"/>
  <c r="H28" i="1"/>
  <c r="H83" i="1"/>
  <c r="Q83" i="1"/>
  <c r="Q28" i="1"/>
  <c r="Q94" i="1" s="1"/>
  <c r="S83" i="1"/>
  <c r="S28" i="1"/>
  <c r="S94" i="1" s="1"/>
  <c r="F116" i="1"/>
  <c r="F119" i="1"/>
  <c r="F117" i="1"/>
  <c r="Q95" i="1"/>
  <c r="Q121" i="1" s="1"/>
  <c r="Q33" i="1"/>
  <c r="Q99" i="1" s="1"/>
  <c r="G116" i="1"/>
  <c r="G119" i="1"/>
  <c r="G117" i="1"/>
  <c r="F78" i="2"/>
  <c r="U88" i="1"/>
  <c r="U34" i="1"/>
  <c r="U100" i="1" s="1"/>
  <c r="J104" i="1"/>
  <c r="H12" i="1"/>
  <c r="H78" i="1" s="1"/>
  <c r="S34" i="1"/>
  <c r="S100" i="1" s="1"/>
  <c r="S120" i="1" s="1"/>
  <c r="J90" i="3"/>
  <c r="J109" i="3" s="1"/>
  <c r="J27" i="3"/>
  <c r="J93" i="3" s="1"/>
  <c r="C45" i="2"/>
  <c r="G116" i="2"/>
  <c r="G118" i="2"/>
  <c r="M95" i="1"/>
  <c r="M121" i="1" s="1"/>
  <c r="M33" i="1"/>
  <c r="M99" i="1" s="1"/>
  <c r="S90" i="1"/>
  <c r="S109" i="1" s="1"/>
  <c r="S108" i="1" s="1"/>
  <c r="S27" i="1"/>
  <c r="S93" i="1" s="1"/>
  <c r="K95" i="1"/>
  <c r="K121" i="1" s="1"/>
  <c r="K33" i="1"/>
  <c r="K99" i="1" s="1"/>
  <c r="M90" i="1"/>
  <c r="M109" i="1" s="1"/>
  <c r="M108" i="1" s="1"/>
  <c r="M27" i="1"/>
  <c r="M93" i="1" s="1"/>
  <c r="J98" i="1"/>
  <c r="J123" i="1" s="1"/>
  <c r="O88" i="1"/>
  <c r="O34" i="1"/>
  <c r="O100" i="1" s="1"/>
  <c r="O120" i="1" s="1"/>
  <c r="O124" i="1" s="1"/>
  <c r="O23" i="1"/>
  <c r="N88" i="1"/>
  <c r="N34" i="1"/>
  <c r="N100" i="1" s="1"/>
  <c r="N120" i="1" s="1"/>
  <c r="N23" i="1"/>
  <c r="G83" i="1"/>
  <c r="G28" i="1"/>
  <c r="G94" i="1" s="1"/>
  <c r="E33" i="1"/>
  <c r="E99" i="1" s="1"/>
  <c r="E95" i="1"/>
  <c r="E121" i="1" s="1"/>
  <c r="F104" i="2"/>
  <c r="I88" i="1"/>
  <c r="I34" i="1"/>
  <c r="I23" i="1"/>
  <c r="C22" i="4"/>
  <c r="C29" i="4"/>
  <c r="C84" i="4"/>
  <c r="J90" i="4"/>
  <c r="J109" i="4" s="1"/>
  <c r="J27" i="4"/>
  <c r="J93" i="4" s="1"/>
  <c r="H90" i="4"/>
  <c r="H109" i="4" s="1"/>
  <c r="H27" i="4"/>
  <c r="H93" i="4" s="1"/>
  <c r="J91" i="4"/>
  <c r="J110" i="4" s="1"/>
  <c r="C110" i="4" s="1"/>
  <c r="M95" i="4"/>
  <c r="M120" i="4" s="1"/>
  <c r="M33" i="4"/>
  <c r="H118" i="4"/>
  <c r="H116" i="4"/>
  <c r="F28" i="4"/>
  <c r="F94" i="4" s="1"/>
  <c r="F108" i="4" s="1"/>
  <c r="F83" i="4"/>
  <c r="P12" i="4"/>
  <c r="P78" i="4" s="1"/>
  <c r="P73" i="4"/>
  <c r="P104" i="4" s="1"/>
  <c r="F56" i="4"/>
  <c r="F68" i="4" s="1"/>
  <c r="O116" i="4"/>
  <c r="O118" i="4"/>
  <c r="O115" i="4"/>
  <c r="P100" i="4"/>
  <c r="P119" i="4" s="1"/>
  <c r="E90" i="4"/>
  <c r="E109" i="4" s="1"/>
  <c r="E27" i="4"/>
  <c r="E93" i="4" s="1"/>
  <c r="P34" i="3"/>
  <c r="P100" i="3" s="1"/>
  <c r="P119" i="3" s="1"/>
  <c r="P23" i="3"/>
  <c r="P88" i="3"/>
  <c r="N90" i="3"/>
  <c r="N109" i="3" s="1"/>
  <c r="N27" i="3"/>
  <c r="N93" i="3" s="1"/>
  <c r="L105" i="3"/>
  <c r="L107" i="3"/>
  <c r="D98" i="3"/>
  <c r="D122" i="3" s="1"/>
  <c r="H88" i="3"/>
  <c r="H34" i="3"/>
  <c r="H100" i="3" s="1"/>
  <c r="H119" i="3" s="1"/>
  <c r="H23" i="3"/>
  <c r="L83" i="3"/>
  <c r="L28" i="3"/>
  <c r="L94" i="3" s="1"/>
  <c r="L108" i="3" s="1"/>
  <c r="J83" i="3"/>
  <c r="J28" i="3"/>
  <c r="J94" i="3" s="1"/>
  <c r="J108" i="3" s="1"/>
  <c r="L73" i="3"/>
  <c r="L104" i="3" s="1"/>
  <c r="L12" i="3"/>
  <c r="L78" i="3" s="1"/>
  <c r="M83" i="2"/>
  <c r="M28" i="2"/>
  <c r="M94" i="2" s="1"/>
  <c r="M108" i="2" s="1"/>
  <c r="K12" i="3"/>
  <c r="K78" i="3" s="1"/>
  <c r="D67" i="2"/>
  <c r="D56" i="2"/>
  <c r="D68" i="2" s="1"/>
  <c r="I28" i="2"/>
  <c r="I83" i="2"/>
  <c r="K90" i="2"/>
  <c r="K109" i="2" s="1"/>
  <c r="K27" i="2"/>
  <c r="K93" i="2" s="1"/>
  <c r="U90" i="2"/>
  <c r="U27" i="2"/>
  <c r="U93" i="2" s="1"/>
  <c r="Q105" i="2"/>
  <c r="Q107" i="2"/>
  <c r="U34" i="2"/>
  <c r="U100" i="2" s="1"/>
  <c r="R104" i="2"/>
  <c r="D66" i="2"/>
  <c r="D99" i="2" s="1"/>
  <c r="I73" i="2"/>
  <c r="I12" i="2"/>
  <c r="I78" i="2" s="1"/>
  <c r="R90" i="1"/>
  <c r="R109" i="1" s="1"/>
  <c r="R108" i="1" s="1"/>
  <c r="R27" i="1"/>
  <c r="R93" i="1" s="1"/>
  <c r="V83" i="1"/>
  <c r="V28" i="1"/>
  <c r="V94" i="1" s="1"/>
  <c r="K83" i="1"/>
  <c r="K28" i="1"/>
  <c r="K94" i="1" s="1"/>
  <c r="M56" i="1"/>
  <c r="M68" i="1" s="1"/>
  <c r="M67" i="1"/>
  <c r="M116" i="1" s="1"/>
  <c r="L90" i="1"/>
  <c r="L109" i="1" s="1"/>
  <c r="L27" i="1"/>
  <c r="C82" i="1"/>
  <c r="C26" i="1"/>
  <c r="C92" i="1" s="1"/>
  <c r="P73" i="1"/>
  <c r="P12" i="1"/>
  <c r="P78" i="1" s="1"/>
  <c r="C106" i="1"/>
  <c r="R90" i="4"/>
  <c r="R109" i="4" s="1"/>
  <c r="R27" i="4"/>
  <c r="R93" i="4" s="1"/>
  <c r="O88" i="3"/>
  <c r="O34" i="3"/>
  <c r="O100" i="3" s="1"/>
  <c r="O119" i="3" s="1"/>
  <c r="O23" i="3"/>
  <c r="O90" i="3"/>
  <c r="O109" i="3" s="1"/>
  <c r="O27" i="3"/>
  <c r="O93" i="3" s="1"/>
  <c r="R115" i="3"/>
  <c r="R116" i="3"/>
  <c r="R118" i="3"/>
  <c r="N95" i="2"/>
  <c r="N120" i="2" s="1"/>
  <c r="N33" i="2"/>
  <c r="N99" i="2" s="1"/>
  <c r="M116" i="2"/>
  <c r="M118" i="2"/>
  <c r="U95" i="2"/>
  <c r="U33" i="2"/>
  <c r="U99" i="2" s="1"/>
  <c r="L88" i="2"/>
  <c r="L34" i="2"/>
  <c r="L100" i="2" s="1"/>
  <c r="L119" i="2" s="1"/>
  <c r="L23" i="2"/>
  <c r="R83" i="3"/>
  <c r="R28" i="3"/>
  <c r="R94" i="3" s="1"/>
  <c r="R108" i="3" s="1"/>
  <c r="R95" i="2"/>
  <c r="R120" i="2" s="1"/>
  <c r="R33" i="2"/>
  <c r="R99" i="2" s="1"/>
  <c r="M56" i="2"/>
  <c r="M68" i="2" s="1"/>
  <c r="M67" i="2"/>
  <c r="M115" i="2" s="1"/>
  <c r="I27" i="2"/>
  <c r="I93" i="2" s="1"/>
  <c r="I90" i="2"/>
  <c r="I109" i="2" s="1"/>
  <c r="S95" i="2"/>
  <c r="S120" i="2" s="1"/>
  <c r="S33" i="2"/>
  <c r="S99" i="2" s="1"/>
  <c r="R89" i="2"/>
  <c r="R35" i="2"/>
  <c r="E73" i="2"/>
  <c r="E104" i="2" s="1"/>
  <c r="E12" i="2"/>
  <c r="L83" i="2"/>
  <c r="L28" i="2"/>
  <c r="L94" i="2" s="1"/>
  <c r="L108" i="2" s="1"/>
  <c r="N56" i="2"/>
  <c r="N68" i="2" s="1"/>
  <c r="N67" i="2"/>
  <c r="N115" i="2" s="1"/>
  <c r="I23" i="2"/>
  <c r="I116" i="2"/>
  <c r="I118" i="2"/>
  <c r="I105" i="2"/>
  <c r="I107" i="2"/>
  <c r="C74" i="1"/>
  <c r="C11" i="1"/>
  <c r="C77" i="1" s="1"/>
  <c r="D104" i="1"/>
  <c r="J28" i="1"/>
  <c r="J94" i="1" s="1"/>
  <c r="J83" i="1"/>
  <c r="C81" i="1"/>
  <c r="C25" i="1"/>
  <c r="M34" i="1"/>
  <c r="M23" i="1"/>
  <c r="M88" i="1"/>
  <c r="L117" i="1"/>
  <c r="L119" i="1"/>
  <c r="L116" i="1"/>
  <c r="N95" i="1"/>
  <c r="N121" i="1" s="1"/>
  <c r="D12" i="1"/>
  <c r="D78" i="1" s="1"/>
  <c r="D73" i="1"/>
  <c r="Q104" i="1"/>
  <c r="P89" i="1"/>
  <c r="P35" i="1"/>
  <c r="P101" i="1" s="1"/>
  <c r="J27" i="1"/>
  <c r="J93" i="1" s="1"/>
  <c r="K88" i="3"/>
  <c r="K23" i="3"/>
  <c r="K34" i="3"/>
  <c r="C85" i="2"/>
  <c r="C30" i="2"/>
  <c r="L95" i="1"/>
  <c r="L121" i="1" s="1"/>
  <c r="L33" i="1"/>
  <c r="L99" i="1" s="1"/>
  <c r="Q88" i="4"/>
  <c r="Q34" i="4"/>
  <c r="Q100" i="4" s="1"/>
  <c r="Q119" i="4" s="1"/>
  <c r="Q123" i="4" s="1"/>
  <c r="Q23" i="4"/>
  <c r="R88" i="4"/>
  <c r="R34" i="4"/>
  <c r="R100" i="4" s="1"/>
  <c r="R119" i="4" s="1"/>
  <c r="R23" i="4"/>
  <c r="K90" i="4"/>
  <c r="K109" i="4" s="1"/>
  <c r="K27" i="4"/>
  <c r="K93" i="4" s="1"/>
  <c r="J83" i="4"/>
  <c r="J28" i="4"/>
  <c r="J94" i="4" s="1"/>
  <c r="J108" i="4" s="1"/>
  <c r="O23" i="4"/>
  <c r="H73" i="4"/>
  <c r="H104" i="4" s="1"/>
  <c r="H12" i="4"/>
  <c r="H78" i="4" s="1"/>
  <c r="J116" i="4"/>
  <c r="J118" i="4"/>
  <c r="R88" i="3"/>
  <c r="R34" i="3"/>
  <c r="R100" i="3" s="1"/>
  <c r="R119" i="3" s="1"/>
  <c r="R23" i="3"/>
  <c r="M73" i="4"/>
  <c r="M104" i="4" s="1"/>
  <c r="M112" i="4" s="1"/>
  <c r="M12" i="4"/>
  <c r="M78" i="4" s="1"/>
  <c r="C84" i="3"/>
  <c r="C22" i="3"/>
  <c r="C29" i="3"/>
  <c r="C24" i="4"/>
  <c r="H95" i="3"/>
  <c r="H120" i="3" s="1"/>
  <c r="H33" i="3"/>
  <c r="H99" i="3" s="1"/>
  <c r="N56" i="3"/>
  <c r="N68" i="3" s="1"/>
  <c r="N67" i="3"/>
  <c r="C74" i="4"/>
  <c r="C11" i="4"/>
  <c r="C77" i="4" s="1"/>
  <c r="Q95" i="3"/>
  <c r="Q120" i="3" s="1"/>
  <c r="Q33" i="3"/>
  <c r="Q99" i="3" s="1"/>
  <c r="O83" i="3"/>
  <c r="O28" i="3"/>
  <c r="O94" i="3" s="1"/>
  <c r="O108" i="3" s="1"/>
  <c r="P68" i="3"/>
  <c r="K116" i="3"/>
  <c r="K118" i="3"/>
  <c r="E89" i="3"/>
  <c r="O73" i="3"/>
  <c r="O104" i="3" s="1"/>
  <c r="O12" i="3"/>
  <c r="O78" i="3" s="1"/>
  <c r="I95" i="2"/>
  <c r="I120" i="2" s="1"/>
  <c r="I33" i="2"/>
  <c r="I99" i="2" s="1"/>
  <c r="Q117" i="2"/>
  <c r="R90" i="3"/>
  <c r="R109" i="3" s="1"/>
  <c r="R27" i="3"/>
  <c r="R93" i="3" s="1"/>
  <c r="F95" i="2"/>
  <c r="F120" i="2" s="1"/>
  <c r="F33" i="2"/>
  <c r="F99" i="2" s="1"/>
  <c r="V34" i="2"/>
  <c r="V100" i="2" s="1"/>
  <c r="V88" i="2"/>
  <c r="S88" i="2"/>
  <c r="S34" i="2"/>
  <c r="S23" i="2"/>
  <c r="R34" i="2"/>
  <c r="R100" i="2" s="1"/>
  <c r="R119" i="2" s="1"/>
  <c r="O116" i="2"/>
  <c r="O118" i="2"/>
  <c r="O115" i="2"/>
  <c r="C71" i="2"/>
  <c r="C7" i="2"/>
  <c r="G27" i="2"/>
  <c r="G93" i="2" s="1"/>
  <c r="I34" i="2"/>
  <c r="M73" i="2"/>
  <c r="M104" i="2" s="1"/>
  <c r="M112" i="2" s="1"/>
  <c r="M12" i="2"/>
  <c r="M78" i="2" s="1"/>
  <c r="D95" i="2"/>
  <c r="D120" i="2" s="1"/>
  <c r="Q90" i="1"/>
  <c r="Q109" i="1" s="1"/>
  <c r="Q27" i="1"/>
  <c r="Q93" i="1" s="1"/>
  <c r="L73" i="1"/>
  <c r="L12" i="1"/>
  <c r="L78" i="1" s="1"/>
  <c r="P90" i="1"/>
  <c r="P109" i="1" s="1"/>
  <c r="P27" i="1"/>
  <c r="P93" i="1" s="1"/>
  <c r="O107" i="1"/>
  <c r="O105" i="1"/>
  <c r="S117" i="1"/>
  <c r="S116" i="1"/>
  <c r="S119" i="1"/>
  <c r="R116" i="1"/>
  <c r="R117" i="1"/>
  <c r="R119" i="1"/>
  <c r="S95" i="1"/>
  <c r="S121" i="1" s="1"/>
  <c r="S33" i="1"/>
  <c r="S99" i="1" s="1"/>
  <c r="I117" i="1"/>
  <c r="I119" i="1"/>
  <c r="K119" i="1"/>
  <c r="K117" i="1"/>
  <c r="J96" i="1"/>
  <c r="H61" i="1"/>
  <c r="E116" i="1"/>
  <c r="E119" i="1"/>
  <c r="E117" i="1"/>
  <c r="C58" i="1"/>
  <c r="J108" i="1"/>
  <c r="O88" i="2"/>
  <c r="O34" i="2"/>
  <c r="O100" i="2" s="1"/>
  <c r="O119" i="2" s="1"/>
  <c r="O23" i="2"/>
  <c r="U95" i="4"/>
  <c r="U33" i="4"/>
  <c r="U99" i="4" s="1"/>
  <c r="C57" i="3"/>
  <c r="C90" i="3" s="1"/>
  <c r="C50" i="3"/>
  <c r="C61" i="3" s="1"/>
  <c r="S34" i="4"/>
  <c r="S100" i="4" s="1"/>
  <c r="S119" i="4" s="1"/>
  <c r="S23" i="4"/>
  <c r="S88" i="4"/>
  <c r="Q73" i="4"/>
  <c r="Q104" i="4" s="1"/>
  <c r="Q112" i="4" s="1"/>
  <c r="Q12" i="4"/>
  <c r="Q78" i="4" s="1"/>
  <c r="H105" i="4"/>
  <c r="C66" i="4"/>
  <c r="K73" i="4"/>
  <c r="K104" i="4" s="1"/>
  <c r="K12" i="4"/>
  <c r="K78" i="4" s="1"/>
  <c r="M98" i="4"/>
  <c r="M122" i="4" s="1"/>
  <c r="F97" i="4"/>
  <c r="F121" i="4" s="1"/>
  <c r="N34" i="4"/>
  <c r="N100" i="4" s="1"/>
  <c r="N119" i="4" s="1"/>
  <c r="N88" i="4"/>
  <c r="N23" i="4"/>
  <c r="T95" i="4"/>
  <c r="T33" i="4"/>
  <c r="T99" i="4" s="1"/>
  <c r="Q95" i="4"/>
  <c r="Q120" i="4" s="1"/>
  <c r="Q33" i="4"/>
  <c r="Q99" i="4" s="1"/>
  <c r="C87" i="4"/>
  <c r="C32" i="4"/>
  <c r="C98" i="4" s="1"/>
  <c r="F88" i="4"/>
  <c r="F34" i="4"/>
  <c r="F100" i="4" s="1"/>
  <c r="F119" i="4" s="1"/>
  <c r="F23" i="4"/>
  <c r="D12" i="4"/>
  <c r="D78" i="4" s="1"/>
  <c r="D73" i="4"/>
  <c r="D104" i="4" s="1"/>
  <c r="G34" i="4"/>
  <c r="G100" i="4" s="1"/>
  <c r="G119" i="4" s="1"/>
  <c r="G23" i="4"/>
  <c r="G88" i="4"/>
  <c r="J96" i="4"/>
  <c r="C55" i="4"/>
  <c r="I90" i="4"/>
  <c r="I109" i="4" s="1"/>
  <c r="I27" i="4"/>
  <c r="I93" i="4" s="1"/>
  <c r="P105" i="4"/>
  <c r="O34" i="4"/>
  <c r="O100" i="4" s="1"/>
  <c r="O119" i="4" s="1"/>
  <c r="M116" i="4"/>
  <c r="M118" i="4"/>
  <c r="M115" i="4"/>
  <c r="F88" i="3"/>
  <c r="F34" i="3"/>
  <c r="F100" i="3" s="1"/>
  <c r="F119" i="3" s="1"/>
  <c r="F23" i="3"/>
  <c r="C117" i="3"/>
  <c r="M88" i="3"/>
  <c r="M34" i="3"/>
  <c r="M23" i="3"/>
  <c r="E95" i="3"/>
  <c r="E120" i="3" s="1"/>
  <c r="E33" i="3"/>
  <c r="E99" i="3" s="1"/>
  <c r="D66" i="3"/>
  <c r="P95" i="3"/>
  <c r="P120" i="3" s="1"/>
  <c r="P33" i="3"/>
  <c r="P99" i="3" s="1"/>
  <c r="R56" i="3"/>
  <c r="R68" i="3" s="1"/>
  <c r="E100" i="3"/>
  <c r="E119" i="3" s="1"/>
  <c r="F115" i="3"/>
  <c r="F116" i="3"/>
  <c r="F118" i="3"/>
  <c r="R90" i="2"/>
  <c r="R109" i="2" s="1"/>
  <c r="R27" i="2"/>
  <c r="R93" i="2" s="1"/>
  <c r="K95" i="2"/>
  <c r="K120" i="2" s="1"/>
  <c r="K33" i="2"/>
  <c r="K99" i="2" s="1"/>
  <c r="O105" i="3"/>
  <c r="O107" i="3"/>
  <c r="C75" i="2"/>
  <c r="E117" i="2"/>
  <c r="T83" i="2"/>
  <c r="T28" i="2"/>
  <c r="T94" i="2" s="1"/>
  <c r="Q118" i="3"/>
  <c r="Q116" i="3"/>
  <c r="Q115" i="3"/>
  <c r="Q123" i="3" s="1"/>
  <c r="J34" i="2"/>
  <c r="J23" i="2"/>
  <c r="J88" i="2"/>
  <c r="C87" i="2"/>
  <c r="C32" i="2"/>
  <c r="C98" i="2" s="1"/>
  <c r="E105" i="2"/>
  <c r="E107" i="2"/>
  <c r="N90" i="2"/>
  <c r="N109" i="2" s="1"/>
  <c r="N27" i="2"/>
  <c r="N93" i="2" s="1"/>
  <c r="K56" i="2"/>
  <c r="K68" i="2" s="1"/>
  <c r="Q83" i="2"/>
  <c r="C71" i="3"/>
  <c r="C7" i="3"/>
  <c r="C28" i="3" s="1"/>
  <c r="C94" i="3" s="1"/>
  <c r="P73" i="2"/>
  <c r="P104" i="2" s="1"/>
  <c r="P12" i="2"/>
  <c r="P78" i="2" s="1"/>
  <c r="M105" i="2"/>
  <c r="M107" i="2"/>
  <c r="H73" i="2"/>
  <c r="H104" i="2" s="1"/>
  <c r="H12" i="2"/>
  <c r="H78" i="2" s="1"/>
  <c r="R118" i="2"/>
  <c r="R115" i="2"/>
  <c r="R123" i="2" s="1"/>
  <c r="R116" i="2"/>
  <c r="E90" i="1"/>
  <c r="E109" i="1" s="1"/>
  <c r="E108" i="1" s="1"/>
  <c r="E27" i="1"/>
  <c r="E93" i="1" s="1"/>
  <c r="Q88" i="1"/>
  <c r="Q34" i="1"/>
  <c r="Q23" i="1"/>
  <c r="O90" i="1"/>
  <c r="O109" i="1" s="1"/>
  <c r="O108" i="1" s="1"/>
  <c r="O27" i="1"/>
  <c r="O93" i="1" s="1"/>
  <c r="C71" i="1"/>
  <c r="C7" i="1"/>
  <c r="V95" i="1"/>
  <c r="V33" i="1"/>
  <c r="V99" i="1" s="1"/>
  <c r="Q117" i="1"/>
  <c r="Q119" i="1"/>
  <c r="C57" i="1"/>
  <c r="C60" i="1" s="1"/>
  <c r="C50" i="1"/>
  <c r="C61" i="1" s="1"/>
  <c r="C85" i="1"/>
  <c r="C30" i="1"/>
  <c r="C96" i="1" s="1"/>
  <c r="G95" i="1"/>
  <c r="G121" i="1" s="1"/>
  <c r="G33" i="1"/>
  <c r="R33" i="1"/>
  <c r="R99" i="1" s="1"/>
  <c r="R95" i="1"/>
  <c r="R121" i="1" s="1"/>
  <c r="I90" i="1"/>
  <c r="I109" i="1" s="1"/>
  <c r="I108" i="1" s="1"/>
  <c r="I27" i="1"/>
  <c r="I105" i="1"/>
  <c r="I107" i="1"/>
  <c r="V56" i="1"/>
  <c r="N68" i="1"/>
  <c r="N105" i="1"/>
  <c r="N104" i="1" s="1"/>
  <c r="Q73" i="2"/>
  <c r="Q104" i="2" s="1"/>
  <c r="Q12" i="2"/>
  <c r="Q78" i="2" s="1"/>
  <c r="K88" i="4"/>
  <c r="K34" i="4"/>
  <c r="K100" i="4" s="1"/>
  <c r="K119" i="4" s="1"/>
  <c r="K23" i="4"/>
  <c r="V83" i="4"/>
  <c r="V28" i="4"/>
  <c r="V94" i="4" s="1"/>
  <c r="U83" i="4"/>
  <c r="U28" i="4"/>
  <c r="U94" i="4" s="1"/>
  <c r="E83" i="4"/>
  <c r="E28" i="4"/>
  <c r="E94" i="4" s="1"/>
  <c r="E108" i="4" s="1"/>
  <c r="E112" i="4" s="1"/>
  <c r="R112" i="4"/>
  <c r="N28" i="4"/>
  <c r="N94" i="4" s="1"/>
  <c r="N108" i="4" s="1"/>
  <c r="N83" i="4"/>
  <c r="I95" i="3"/>
  <c r="I120" i="3" s="1"/>
  <c r="I33" i="3"/>
  <c r="I99" i="3" s="1"/>
  <c r="E12" i="4"/>
  <c r="E78" i="4" s="1"/>
  <c r="D95" i="3"/>
  <c r="D120" i="3" s="1"/>
  <c r="D33" i="3"/>
  <c r="K56" i="3"/>
  <c r="K68" i="3" s="1"/>
  <c r="K67" i="3"/>
  <c r="K115" i="3" s="1"/>
  <c r="I105" i="3"/>
  <c r="P28" i="3"/>
  <c r="P94" i="3" s="1"/>
  <c r="P108" i="3" s="1"/>
  <c r="P83" i="3"/>
  <c r="I116" i="3"/>
  <c r="I118" i="3"/>
  <c r="I115" i="3"/>
  <c r="H115" i="3"/>
  <c r="H123" i="3" s="1"/>
  <c r="H116" i="3"/>
  <c r="H118" i="3"/>
  <c r="F90" i="2"/>
  <c r="F109" i="2" s="1"/>
  <c r="F27" i="2"/>
  <c r="F93" i="2" s="1"/>
  <c r="L95" i="2"/>
  <c r="L120" i="2" s="1"/>
  <c r="L33" i="2"/>
  <c r="L99" i="2" s="1"/>
  <c r="J73" i="2"/>
  <c r="J104" i="2" s="1"/>
  <c r="J12" i="2"/>
  <c r="J78" i="2" s="1"/>
  <c r="L116" i="2"/>
  <c r="L115" i="2"/>
  <c r="L118" i="2"/>
  <c r="H83" i="2"/>
  <c r="H28" i="2"/>
  <c r="H94" i="2" s="1"/>
  <c r="H108" i="2" s="1"/>
  <c r="F83" i="3"/>
  <c r="F28" i="3"/>
  <c r="F94" i="3" s="1"/>
  <c r="F108" i="3" s="1"/>
  <c r="C58" i="2"/>
  <c r="C86" i="2"/>
  <c r="C31" i="2"/>
  <c r="C97" i="2" s="1"/>
  <c r="G95" i="2"/>
  <c r="G120" i="2" s="1"/>
  <c r="G33" i="2"/>
  <c r="G99" i="2" s="1"/>
  <c r="F89" i="2"/>
  <c r="F35" i="2"/>
  <c r="F101" i="2" s="1"/>
  <c r="N28" i="2"/>
  <c r="N94" i="2" s="1"/>
  <c r="N108" i="2" s="1"/>
  <c r="N83" i="2"/>
  <c r="I67" i="2"/>
  <c r="I115" i="2" s="1"/>
  <c r="I56" i="2"/>
  <c r="I68" i="2" s="1"/>
  <c r="J73" i="3"/>
  <c r="J104" i="3" s="1"/>
  <c r="J12" i="3"/>
  <c r="J78" i="3" s="1"/>
  <c r="S67" i="2"/>
  <c r="S56" i="2"/>
  <c r="S68" i="2" s="1"/>
  <c r="E28" i="2"/>
  <c r="E94" i="2" s="1"/>
  <c r="E108" i="2" s="1"/>
  <c r="C72" i="2"/>
  <c r="F88" i="1"/>
  <c r="F23" i="1"/>
  <c r="F34" i="1"/>
  <c r="F100" i="1" s="1"/>
  <c r="F120" i="1" s="1"/>
  <c r="E88" i="1"/>
  <c r="E34" i="1"/>
  <c r="E100" i="1" s="1"/>
  <c r="E120" i="1" s="1"/>
  <c r="E23" i="1"/>
  <c r="H23" i="1"/>
  <c r="J95" i="1"/>
  <c r="J121" i="1" s="1"/>
  <c r="J33" i="1"/>
  <c r="U83" i="1"/>
  <c r="U28" i="1"/>
  <c r="U94" i="1" s="1"/>
  <c r="R73" i="1"/>
  <c r="R12" i="1"/>
  <c r="R78" i="1" s="1"/>
  <c r="F95" i="1"/>
  <c r="F121" i="1" s="1"/>
  <c r="F33" i="1"/>
  <c r="F99" i="1" s="1"/>
  <c r="L60" i="1"/>
  <c r="V88" i="1"/>
  <c r="V34" i="1"/>
  <c r="V100" i="1" s="1"/>
  <c r="T90" i="1"/>
  <c r="T27" i="1"/>
  <c r="T93" i="1" s="1"/>
  <c r="P95" i="1"/>
  <c r="P121" i="1" s="1"/>
  <c r="P33" i="1"/>
  <c r="P99" i="1" s="1"/>
  <c r="H107" i="1"/>
  <c r="H105" i="1"/>
  <c r="E56" i="1"/>
  <c r="E68" i="1" s="1"/>
  <c r="F104" i="1"/>
  <c r="H34" i="1"/>
  <c r="R89" i="1"/>
  <c r="U60" i="1"/>
  <c r="U93" i="1" s="1"/>
  <c r="J105" i="2"/>
  <c r="J107" i="2"/>
  <c r="U88" i="4"/>
  <c r="U34" i="4"/>
  <c r="U100" i="4" s="1"/>
  <c r="C25" i="4"/>
  <c r="C91" i="4" s="1"/>
  <c r="C81" i="4"/>
  <c r="E88" i="4"/>
  <c r="E34" i="4"/>
  <c r="E100" i="4" s="1"/>
  <c r="E119" i="4" s="1"/>
  <c r="E123" i="4" s="1"/>
  <c r="E23" i="4"/>
  <c r="P118" i="3"/>
  <c r="P115" i="3"/>
  <c r="P116" i="3"/>
  <c r="I118" i="4"/>
  <c r="I116" i="4"/>
  <c r="S95" i="3"/>
  <c r="S120" i="3" s="1"/>
  <c r="S33" i="3"/>
  <c r="S99" i="3" s="1"/>
  <c r="F56" i="3"/>
  <c r="F68" i="3" s="1"/>
  <c r="C55" i="3"/>
  <c r="E73" i="3"/>
  <c r="E104" i="3" s="1"/>
  <c r="E12" i="3"/>
  <c r="E78" i="3" s="1"/>
  <c r="S90" i="3"/>
  <c r="S109" i="3" s="1"/>
  <c r="S27" i="3"/>
  <c r="S93" i="3" s="1"/>
  <c r="N73" i="3"/>
  <c r="N104" i="3" s="1"/>
  <c r="N12" i="3"/>
  <c r="N78" i="3" s="1"/>
  <c r="J116" i="3"/>
  <c r="J118" i="3"/>
  <c r="J115" i="3"/>
  <c r="C57" i="2"/>
  <c r="C50" i="2"/>
  <c r="C61" i="2" s="1"/>
  <c r="F90" i="3"/>
  <c r="F109" i="3" s="1"/>
  <c r="F27" i="3"/>
  <c r="F93" i="3" s="1"/>
  <c r="V90" i="2"/>
  <c r="V27" i="2"/>
  <c r="V93" i="2" s="1"/>
  <c r="R83" i="2"/>
  <c r="R28" i="2"/>
  <c r="R94" i="2" s="1"/>
  <c r="R108" i="2" s="1"/>
  <c r="G88" i="2"/>
  <c r="G34" i="2"/>
  <c r="G23" i="2"/>
  <c r="J67" i="2"/>
  <c r="J115" i="2" s="1"/>
  <c r="J56" i="2"/>
  <c r="J68" i="2" s="1"/>
  <c r="J105" i="3"/>
  <c r="J107" i="3"/>
  <c r="P94" i="2"/>
  <c r="P108" i="2" s="1"/>
  <c r="N73" i="2"/>
  <c r="N104" i="2" s="1"/>
  <c r="N112" i="2" s="1"/>
  <c r="N12" i="2"/>
  <c r="N78" i="2" s="1"/>
  <c r="E83" i="2"/>
  <c r="H23" i="2"/>
  <c r="L73" i="2"/>
  <c r="L104" i="2" s="1"/>
  <c r="L112" i="2" s="1"/>
  <c r="L12" i="2"/>
  <c r="L78" i="2" s="1"/>
  <c r="F77" i="2"/>
  <c r="C55" i="2"/>
  <c r="N83" i="1"/>
  <c r="N28" i="1"/>
  <c r="N94" i="1" s="1"/>
  <c r="C59" i="2"/>
  <c r="P116" i="1"/>
  <c r="P117" i="1"/>
  <c r="P119" i="1"/>
  <c r="G34" i="1"/>
  <c r="G100" i="1" s="1"/>
  <c r="G120" i="1" s="1"/>
  <c r="I73" i="1"/>
  <c r="I12" i="1"/>
  <c r="I78" i="1" s="1"/>
  <c r="V92" i="1"/>
  <c r="S104" i="1"/>
  <c r="H98" i="1"/>
  <c r="H123" i="1" s="1"/>
  <c r="I83" i="1"/>
  <c r="I28" i="1"/>
  <c r="I94" i="1" s="1"/>
  <c r="F73" i="1"/>
  <c r="F12" i="1"/>
  <c r="F78" i="1" s="1"/>
  <c r="Q98" i="1"/>
  <c r="Q123" i="1" s="1"/>
  <c r="C86" i="1"/>
  <c r="C31" i="1"/>
  <c r="C97" i="1" s="1"/>
  <c r="C79" i="1"/>
  <c r="C24" i="1"/>
  <c r="C17" i="1"/>
  <c r="I56" i="1"/>
  <c r="I68" i="1" s="1"/>
  <c r="I67" i="1"/>
  <c r="I116" i="1" s="1"/>
  <c r="D95" i="1"/>
  <c r="D121" i="1" s="1"/>
  <c r="D33" i="1"/>
  <c r="D99" i="1" s="1"/>
  <c r="D28" i="1"/>
  <c r="D94" i="1" s="1"/>
  <c r="R34" i="1"/>
  <c r="R100" i="1" s="1"/>
  <c r="R120" i="1" s="1"/>
  <c r="J78" i="1"/>
  <c r="G104" i="1"/>
  <c r="M66" i="4"/>
  <c r="P116" i="4"/>
  <c r="P118" i="4"/>
  <c r="P115" i="4"/>
  <c r="M88" i="4"/>
  <c r="M34" i="4"/>
  <c r="M100" i="4" s="1"/>
  <c r="M119" i="4" s="1"/>
  <c r="M23" i="4"/>
  <c r="I73" i="4"/>
  <c r="I104" i="4" s="1"/>
  <c r="I12" i="4"/>
  <c r="I78" i="4" s="1"/>
  <c r="K98" i="4"/>
  <c r="K122" i="4" s="1"/>
  <c r="D116" i="4"/>
  <c r="D118" i="4"/>
  <c r="P90" i="4"/>
  <c r="P109" i="4" s="1"/>
  <c r="P27" i="4"/>
  <c r="P93" i="4" s="1"/>
  <c r="G88" i="3"/>
  <c r="G34" i="3"/>
  <c r="G100" i="3" s="1"/>
  <c r="G119" i="3" s="1"/>
  <c r="G23" i="3"/>
  <c r="G95" i="3"/>
  <c r="G120" i="3" s="1"/>
  <c r="G33" i="3"/>
  <c r="G99" i="3" s="1"/>
  <c r="M56" i="3"/>
  <c r="M68" i="3" s="1"/>
  <c r="M67" i="3"/>
  <c r="M115" i="3" s="1"/>
  <c r="L56" i="3"/>
  <c r="L68" i="3" s="1"/>
  <c r="L67" i="3"/>
  <c r="P90" i="3"/>
  <c r="P109" i="3" s="1"/>
  <c r="P27" i="3"/>
  <c r="P93" i="3" s="1"/>
  <c r="N95" i="3"/>
  <c r="N120" i="3" s="1"/>
  <c r="N33" i="3"/>
  <c r="N99" i="3" s="1"/>
  <c r="M116" i="3"/>
  <c r="M118" i="3"/>
  <c r="L118" i="3"/>
  <c r="L115" i="3"/>
  <c r="L116" i="3"/>
  <c r="Q73" i="3"/>
  <c r="Q104" i="3" s="1"/>
  <c r="Q112" i="3" s="1"/>
  <c r="Q12" i="3"/>
  <c r="Q78" i="3" s="1"/>
  <c r="P73" i="3"/>
  <c r="P104" i="3" s="1"/>
  <c r="P12" i="3"/>
  <c r="P78" i="3" s="1"/>
  <c r="S115" i="3"/>
  <c r="S116" i="3"/>
  <c r="S118" i="3"/>
  <c r="S83" i="3"/>
  <c r="S28" i="3"/>
  <c r="S94" i="3" s="1"/>
  <c r="S108" i="3" s="1"/>
  <c r="S112" i="3" s="1"/>
  <c r="K90" i="3"/>
  <c r="K109" i="3" s="1"/>
  <c r="K27" i="3"/>
  <c r="K93" i="3" s="1"/>
  <c r="M90" i="2"/>
  <c r="M109" i="2" s="1"/>
  <c r="M27" i="2"/>
  <c r="M93" i="2" s="1"/>
  <c r="Q106" i="2"/>
  <c r="C106" i="2" s="1"/>
  <c r="P91" i="2"/>
  <c r="P110" i="2" s="1"/>
  <c r="J90" i="2"/>
  <c r="J109" i="2" s="1"/>
  <c r="J27" i="2"/>
  <c r="J93" i="2" s="1"/>
  <c r="E118" i="3"/>
  <c r="E116" i="3"/>
  <c r="E115" i="3"/>
  <c r="F83" i="2"/>
  <c r="F28" i="2"/>
  <c r="F94" i="2" s="1"/>
  <c r="F108" i="2" s="1"/>
  <c r="O90" i="2"/>
  <c r="O109" i="2" s="1"/>
  <c r="O27" i="2"/>
  <c r="O93" i="2" s="1"/>
  <c r="F118" i="2"/>
  <c r="F116" i="2"/>
  <c r="N107" i="2"/>
  <c r="N105" i="2"/>
  <c r="G67" i="2"/>
  <c r="G115" i="2" s="1"/>
  <c r="G56" i="2"/>
  <c r="G68" i="2" s="1"/>
  <c r="C82" i="2"/>
  <c r="C26" i="2"/>
  <c r="H34" i="2"/>
  <c r="H100" i="2" s="1"/>
  <c r="H119" i="2" s="1"/>
  <c r="L105" i="2"/>
  <c r="L107" i="2"/>
  <c r="T100" i="1"/>
  <c r="M83" i="1"/>
  <c r="M28" i="1"/>
  <c r="M94" i="1" s="1"/>
  <c r="C84" i="1"/>
  <c r="C29" i="1"/>
  <c r="C22" i="1"/>
  <c r="D118" i="1"/>
  <c r="G27" i="1"/>
  <c r="G93" i="1" s="1"/>
  <c r="G90" i="1"/>
  <c r="G109" i="1" s="1"/>
  <c r="P97" i="1"/>
  <c r="P122" i="1" s="1"/>
  <c r="T77" i="1"/>
  <c r="K90" i="1"/>
  <c r="K109" i="1" s="1"/>
  <c r="K108" i="1" s="1"/>
  <c r="K27" i="1"/>
  <c r="K93" i="1" s="1"/>
  <c r="E83" i="1"/>
  <c r="E28" i="1"/>
  <c r="E94" i="1" s="1"/>
  <c r="F83" i="1"/>
  <c r="F28" i="1"/>
  <c r="F94" i="1" s="1"/>
  <c r="J66" i="1"/>
  <c r="C55" i="1"/>
  <c r="M105" i="1"/>
  <c r="M104" i="1" s="1"/>
  <c r="M113" i="1" s="1"/>
  <c r="U56" i="1"/>
  <c r="P89" i="4"/>
  <c r="P35" i="4"/>
  <c r="P101" i="4" s="1"/>
  <c r="L116" i="4"/>
  <c r="L118" i="4"/>
  <c r="L115" i="4"/>
  <c r="O90" i="4"/>
  <c r="O109" i="4" s="1"/>
  <c r="O27" i="4"/>
  <c r="O93" i="4" s="1"/>
  <c r="D67" i="3"/>
  <c r="D100" i="3" s="1"/>
  <c r="D119" i="3" s="1"/>
  <c r="D56" i="3"/>
  <c r="D68" i="3" s="1"/>
  <c r="I73" i="3"/>
  <c r="I104" i="3" s="1"/>
  <c r="I112" i="3" s="1"/>
  <c r="I12" i="3"/>
  <c r="I78" i="3" s="1"/>
  <c r="J56" i="4"/>
  <c r="J68" i="4" s="1"/>
  <c r="J67" i="4"/>
  <c r="J115" i="4" s="1"/>
  <c r="H95" i="4"/>
  <c r="H120" i="4" s="1"/>
  <c r="H33" i="4"/>
  <c r="H99" i="4" s="1"/>
  <c r="O33" i="4"/>
  <c r="O99" i="4" s="1"/>
  <c r="O95" i="4"/>
  <c r="O120" i="4" s="1"/>
  <c r="F95" i="4"/>
  <c r="F120" i="4" s="1"/>
  <c r="F33" i="4"/>
  <c r="F99" i="4" s="1"/>
  <c r="I83" i="4"/>
  <c r="I28" i="4"/>
  <c r="I94" i="4" s="1"/>
  <c r="I108" i="4" s="1"/>
  <c r="G68" i="4"/>
  <c r="E33" i="4"/>
  <c r="E99" i="4" s="1"/>
  <c r="S88" i="3"/>
  <c r="S34" i="3"/>
  <c r="S100" i="3" s="1"/>
  <c r="S119" i="3" s="1"/>
  <c r="S23" i="3"/>
  <c r="H83" i="4"/>
  <c r="H28" i="4"/>
  <c r="H94" i="4" s="1"/>
  <c r="H108" i="4" s="1"/>
  <c r="T88" i="4"/>
  <c r="T34" i="4"/>
  <c r="T100" i="4" s="1"/>
  <c r="Q116" i="4"/>
  <c r="I67" i="4"/>
  <c r="I115" i="4" s="1"/>
  <c r="I56" i="4"/>
  <c r="I68" i="4" s="1"/>
  <c r="J95" i="4"/>
  <c r="J120" i="4" s="1"/>
  <c r="J33" i="4"/>
  <c r="J99" i="4" s="1"/>
  <c r="R116" i="4"/>
  <c r="R118" i="4"/>
  <c r="R115" i="4"/>
  <c r="R123" i="4" s="1"/>
  <c r="E95" i="4"/>
  <c r="E120" i="4" s="1"/>
  <c r="N116" i="4"/>
  <c r="N118" i="4"/>
  <c r="N115" i="4"/>
  <c r="N123" i="4" s="1"/>
  <c r="S90" i="4"/>
  <c r="S109" i="4" s="1"/>
  <c r="S27" i="4"/>
  <c r="S93" i="4" s="1"/>
  <c r="N73" i="4"/>
  <c r="N104" i="4" s="1"/>
  <c r="N12" i="4"/>
  <c r="N78" i="4" s="1"/>
  <c r="L56" i="4"/>
  <c r="L68" i="4" s="1"/>
  <c r="K115" i="4"/>
  <c r="K123" i="4" s="1"/>
  <c r="K116" i="4"/>
  <c r="K118" i="4"/>
  <c r="D67" i="4"/>
  <c r="D100" i="4" s="1"/>
  <c r="D119" i="4" s="1"/>
  <c r="D56" i="4"/>
  <c r="D68" i="4" s="1"/>
  <c r="J88" i="4"/>
  <c r="J34" i="4"/>
  <c r="J23" i="4"/>
  <c r="P95" i="4"/>
  <c r="P120" i="4" s="1"/>
  <c r="P33" i="4"/>
  <c r="P99" i="4" s="1"/>
  <c r="H23" i="4"/>
  <c r="H88" i="4"/>
  <c r="H34" i="4"/>
  <c r="H97" i="4"/>
  <c r="H121" i="4" s="1"/>
  <c r="K83" i="4"/>
  <c r="K28" i="4"/>
  <c r="K94" i="4" s="1"/>
  <c r="K108" i="4" s="1"/>
  <c r="R105" i="4"/>
  <c r="L73" i="4"/>
  <c r="L104" i="4" s="1"/>
  <c r="L112" i="4" s="1"/>
  <c r="L12" i="4"/>
  <c r="L78" i="4" s="1"/>
  <c r="O56" i="4"/>
  <c r="O68" i="4" s="1"/>
  <c r="N105" i="4"/>
  <c r="N107" i="4"/>
  <c r="J73" i="4"/>
  <c r="J104" i="4" s="1"/>
  <c r="J112" i="4" s="1"/>
  <c r="J12" i="4"/>
  <c r="J78" i="4" s="1"/>
  <c r="D118" i="3"/>
  <c r="D115" i="3"/>
  <c r="D116" i="3"/>
  <c r="N88" i="3"/>
  <c r="N34" i="3"/>
  <c r="N100" i="3" s="1"/>
  <c r="N119" i="3" s="1"/>
  <c r="N23" i="3"/>
  <c r="I90" i="3"/>
  <c r="I109" i="3" s="1"/>
  <c r="I27" i="3"/>
  <c r="I93" i="3" s="1"/>
  <c r="D92" i="3"/>
  <c r="D111" i="3" s="1"/>
  <c r="C111" i="3" s="1"/>
  <c r="O98" i="3"/>
  <c r="O122" i="3" s="1"/>
  <c r="D83" i="3"/>
  <c r="D28" i="3"/>
  <c r="D94" i="3" s="1"/>
  <c r="D108" i="3" s="1"/>
  <c r="D60" i="3"/>
  <c r="G73" i="3"/>
  <c r="G104" i="3" s="1"/>
  <c r="G12" i="3"/>
  <c r="G78" i="3" s="1"/>
  <c r="N105" i="3"/>
  <c r="M107" i="3"/>
  <c r="M105" i="3"/>
  <c r="S98" i="3"/>
  <c r="S122" i="3" s="1"/>
  <c r="D116" i="2"/>
  <c r="D118" i="2"/>
  <c r="D115" i="2"/>
  <c r="Q118" i="2"/>
  <c r="Q116" i="2"/>
  <c r="P27" i="2"/>
  <c r="P93" i="2" s="1"/>
  <c r="P90" i="2"/>
  <c r="P109" i="2" s="1"/>
  <c r="K83" i="3"/>
  <c r="K28" i="3"/>
  <c r="K94" i="3" s="1"/>
  <c r="K108" i="3" s="1"/>
  <c r="K112" i="3" s="1"/>
  <c r="P88" i="2"/>
  <c r="P34" i="2"/>
  <c r="P100" i="2" s="1"/>
  <c r="P119" i="2" s="1"/>
  <c r="P23" i="2"/>
  <c r="R12" i="3"/>
  <c r="R78" i="3" s="1"/>
  <c r="V95" i="2"/>
  <c r="V33" i="2"/>
  <c r="V99" i="2" s="1"/>
  <c r="P77" i="3"/>
  <c r="N88" i="2"/>
  <c r="N34" i="2"/>
  <c r="N23" i="2"/>
  <c r="D91" i="2"/>
  <c r="D110" i="2" s="1"/>
  <c r="C110" i="2" s="1"/>
  <c r="K88" i="2"/>
  <c r="K23" i="2"/>
  <c r="K34" i="2"/>
  <c r="K100" i="2" s="1"/>
  <c r="K119" i="2" s="1"/>
  <c r="K123" i="2" s="1"/>
  <c r="C74" i="3"/>
  <c r="C11" i="3"/>
  <c r="C77" i="3" s="1"/>
  <c r="Q33" i="2"/>
  <c r="Q99" i="2" s="1"/>
  <c r="Q95" i="2"/>
  <c r="Q120" i="2" s="1"/>
  <c r="O83" i="2"/>
  <c r="O28" i="2"/>
  <c r="O94" i="2" s="1"/>
  <c r="O108" i="2" s="1"/>
  <c r="O112" i="2" s="1"/>
  <c r="O66" i="2"/>
  <c r="O99" i="2" s="1"/>
  <c r="H88" i="2"/>
  <c r="K105" i="2"/>
  <c r="K107" i="2"/>
  <c r="T90" i="2"/>
  <c r="T27" i="2"/>
  <c r="T93" i="2" s="1"/>
  <c r="C11" i="2"/>
  <c r="C77" i="2" s="1"/>
  <c r="C74" i="2"/>
  <c r="C112" i="1"/>
  <c r="N119" i="1"/>
  <c r="N116" i="1"/>
  <c r="N117" i="1"/>
  <c r="L83" i="1"/>
  <c r="L28" i="1"/>
  <c r="L94" i="1" s="1"/>
  <c r="Q97" i="1"/>
  <c r="Q122" i="1" s="1"/>
  <c r="J117" i="1"/>
  <c r="J116" i="1"/>
  <c r="J119" i="1"/>
  <c r="O83" i="1"/>
  <c r="T95" i="1"/>
  <c r="T33" i="1"/>
  <c r="T99" i="1" s="1"/>
  <c r="L88" i="1"/>
  <c r="L23" i="1"/>
  <c r="L34" i="1"/>
  <c r="L100" i="1" s="1"/>
  <c r="L120" i="1" s="1"/>
  <c r="K105" i="1"/>
  <c r="K104" i="1" s="1"/>
  <c r="M97" i="1"/>
  <c r="M122" i="1" s="1"/>
  <c r="I60" i="1"/>
  <c r="K23" i="1"/>
  <c r="C62" i="1"/>
  <c r="C66" i="1" s="1"/>
  <c r="P105" i="1"/>
  <c r="P104" i="1" s="1"/>
  <c r="T90" i="4"/>
  <c r="T27" i="4"/>
  <c r="T93" i="4" s="1"/>
  <c r="N83" i="3"/>
  <c r="N28" i="3"/>
  <c r="N94" i="3" s="1"/>
  <c r="N108" i="3" s="1"/>
  <c r="C85" i="4"/>
  <c r="C30" i="4"/>
  <c r="C96" i="4" s="1"/>
  <c r="S83" i="4"/>
  <c r="S28" i="4"/>
  <c r="S94" i="4" s="1"/>
  <c r="S108" i="4" s="1"/>
  <c r="S112" i="4" s="1"/>
  <c r="P83" i="4"/>
  <c r="P28" i="4"/>
  <c r="P94" i="4" s="1"/>
  <c r="P108" i="4" s="1"/>
  <c r="G12" i="4"/>
  <c r="G78" i="4" s="1"/>
  <c r="D90" i="4"/>
  <c r="D109" i="4" s="1"/>
  <c r="D27" i="4"/>
  <c r="D93" i="4" s="1"/>
  <c r="F73" i="4"/>
  <c r="F104" i="4" s="1"/>
  <c r="F112" i="4" s="1"/>
  <c r="F12" i="4"/>
  <c r="F78" i="4" s="1"/>
  <c r="J105" i="4"/>
  <c r="J107" i="4"/>
  <c r="C107" i="4" s="1"/>
  <c r="C82" i="3"/>
  <c r="C26" i="3"/>
  <c r="R95" i="3"/>
  <c r="R120" i="3" s="1"/>
  <c r="R33" i="3"/>
  <c r="R99" i="3" s="1"/>
  <c r="J88" i="3"/>
  <c r="J34" i="3"/>
  <c r="J100" i="3" s="1"/>
  <c r="J119" i="3" s="1"/>
  <c r="J23" i="3"/>
  <c r="H90" i="3"/>
  <c r="H109" i="3" s="1"/>
  <c r="H27" i="3"/>
  <c r="H93" i="3" s="1"/>
  <c r="Q90" i="3"/>
  <c r="Q109" i="3" s="1"/>
  <c r="Q27" i="3"/>
  <c r="Q93" i="3" s="1"/>
  <c r="C59" i="3"/>
  <c r="C81" i="3"/>
  <c r="C25" i="3"/>
  <c r="C91" i="3" s="1"/>
  <c r="F104" i="3"/>
  <c r="F112" i="3" s="1"/>
  <c r="H28" i="3"/>
  <c r="H94" i="3" s="1"/>
  <c r="H108" i="3" s="1"/>
  <c r="H83" i="3"/>
  <c r="M73" i="3"/>
  <c r="M104" i="3" s="1"/>
  <c r="M112" i="3" s="1"/>
  <c r="M12" i="3"/>
  <c r="M78" i="3" s="1"/>
  <c r="G90" i="3"/>
  <c r="G109" i="3" s="1"/>
  <c r="G27" i="3"/>
  <c r="G93" i="3" s="1"/>
  <c r="D90" i="2"/>
  <c r="D109" i="2" s="1"/>
  <c r="D27" i="2"/>
  <c r="D93" i="2" s="1"/>
  <c r="D88" i="2"/>
  <c r="D34" i="2"/>
  <c r="D23" i="2"/>
  <c r="R104" i="3"/>
  <c r="R112" i="3" s="1"/>
  <c r="J95" i="2"/>
  <c r="J120" i="2" s="1"/>
  <c r="J33" i="2"/>
  <c r="J99" i="2" s="1"/>
  <c r="V83" i="2"/>
  <c r="V28" i="2"/>
  <c r="V94" i="2" s="1"/>
  <c r="L90" i="2"/>
  <c r="L109" i="2" s="1"/>
  <c r="L27" i="2"/>
  <c r="L93" i="2" s="1"/>
  <c r="S83" i="2"/>
  <c r="S28" i="2"/>
  <c r="S94" i="2" s="1"/>
  <c r="S108" i="2" s="1"/>
  <c r="E33" i="2"/>
  <c r="E99" i="2" s="1"/>
  <c r="E95" i="2"/>
  <c r="E120" i="2" s="1"/>
  <c r="H115" i="2"/>
  <c r="H116" i="2"/>
  <c r="H118" i="2"/>
  <c r="H90" i="2"/>
  <c r="H109" i="2" s="1"/>
  <c r="H27" i="2"/>
  <c r="H93" i="2" s="1"/>
  <c r="Q90" i="2"/>
  <c r="Q109" i="2" s="1"/>
  <c r="Q27" i="2"/>
  <c r="Q93" i="2" s="1"/>
  <c r="C79" i="2"/>
  <c r="I61" i="2"/>
  <c r="C80" i="2"/>
  <c r="C63" i="2"/>
  <c r="R68" i="2"/>
  <c r="D94" i="2"/>
  <c r="D108" i="2" s="1"/>
  <c r="Q56" i="2"/>
  <c r="Q68" i="2" s="1"/>
  <c r="K73" i="2"/>
  <c r="K104" i="2" s="1"/>
  <c r="K12" i="2"/>
  <c r="K78" i="2" s="1"/>
  <c r="T95" i="2"/>
  <c r="T33" i="2"/>
  <c r="T99" i="2" s="1"/>
  <c r="S115" i="2"/>
  <c r="S116" i="2"/>
  <c r="S118" i="2"/>
  <c r="H56" i="1"/>
  <c r="H68" i="1" s="1"/>
  <c r="H67" i="1"/>
  <c r="H116" i="1" s="1"/>
  <c r="Q67" i="1"/>
  <c r="Q116" i="1" s="1"/>
  <c r="Q56" i="1"/>
  <c r="Q68" i="1" s="1"/>
  <c r="E97" i="1"/>
  <c r="E122" i="1" s="1"/>
  <c r="F90" i="1"/>
  <c r="F109" i="1" s="1"/>
  <c r="F108" i="1" s="1"/>
  <c r="F27" i="1"/>
  <c r="F93" i="1" s="1"/>
  <c r="N90" i="1"/>
  <c r="N109" i="1" s="1"/>
  <c r="N108" i="1" s="1"/>
  <c r="N27" i="1"/>
  <c r="N93" i="1" s="1"/>
  <c r="H95" i="1"/>
  <c r="H121" i="1" s="1"/>
  <c r="H33" i="1"/>
  <c r="H99" i="1" s="1"/>
  <c r="V90" i="1"/>
  <c r="V27" i="1"/>
  <c r="V93" i="1" s="1"/>
  <c r="M118" i="1"/>
  <c r="R28" i="1"/>
  <c r="R94" i="1" s="1"/>
  <c r="J56" i="1"/>
  <c r="J68" i="1" s="1"/>
  <c r="V90" i="4"/>
  <c r="V27" i="4"/>
  <c r="V93" i="4" s="1"/>
  <c r="G118" i="4"/>
  <c r="G115" i="4"/>
  <c r="G123" i="4" s="1"/>
  <c r="G116" i="4"/>
  <c r="U27" i="4"/>
  <c r="U93" i="4" s="1"/>
  <c r="U90" i="4"/>
  <c r="C82" i="4"/>
  <c r="C26" i="4"/>
  <c r="C92" i="4" s="1"/>
  <c r="M90" i="3"/>
  <c r="M109" i="3" s="1"/>
  <c r="M27" i="3"/>
  <c r="M93" i="3" s="1"/>
  <c r="P123" i="2"/>
  <c r="H67" i="4"/>
  <c r="H115" i="4" s="1"/>
  <c r="H56" i="4"/>
  <c r="H68" i="4" s="1"/>
  <c r="C86" i="3"/>
  <c r="C31" i="3"/>
  <c r="C97" i="3" s="1"/>
  <c r="M27" i="4"/>
  <c r="M93" i="4" s="1"/>
  <c r="M90" i="4"/>
  <c r="M109" i="4" s="1"/>
  <c r="V95" i="4"/>
  <c r="V33" i="4"/>
  <c r="V99" i="4" s="1"/>
  <c r="S95" i="4"/>
  <c r="S120" i="4" s="1"/>
  <c r="S33" i="4"/>
  <c r="G95" i="4"/>
  <c r="G120" i="4" s="1"/>
  <c r="G33" i="4"/>
  <c r="F90" i="4"/>
  <c r="F109" i="4" s="1"/>
  <c r="F27" i="4"/>
  <c r="F93" i="4" s="1"/>
  <c r="L88" i="4"/>
  <c r="L34" i="4"/>
  <c r="L100" i="4" s="1"/>
  <c r="L119" i="4" s="1"/>
  <c r="L23" i="4"/>
  <c r="D105" i="4"/>
  <c r="N96" i="4"/>
  <c r="V88" i="4"/>
  <c r="V34" i="4"/>
  <c r="V100" i="4" s="1"/>
  <c r="S66" i="4"/>
  <c r="R95" i="4"/>
  <c r="R120" i="4" s="1"/>
  <c r="R33" i="4"/>
  <c r="R99" i="4" s="1"/>
  <c r="D95" i="4"/>
  <c r="D120" i="4" s="1"/>
  <c r="D33" i="4"/>
  <c r="D99" i="4" s="1"/>
  <c r="P96" i="4"/>
  <c r="D83" i="4"/>
  <c r="D28" i="4"/>
  <c r="D94" i="4" s="1"/>
  <c r="D108" i="4" s="1"/>
  <c r="F116" i="4"/>
  <c r="F118" i="4"/>
  <c r="F115" i="4"/>
  <c r="F105" i="4"/>
  <c r="I97" i="4"/>
  <c r="I121" i="4" s="1"/>
  <c r="M68" i="4"/>
  <c r="G66" i="4"/>
  <c r="E116" i="4"/>
  <c r="L66" i="4"/>
  <c r="D96" i="4"/>
  <c r="N90" i="4"/>
  <c r="N109" i="4" s="1"/>
  <c r="N27" i="4"/>
  <c r="N93" i="4" s="1"/>
  <c r="I88" i="4"/>
  <c r="I34" i="4"/>
  <c r="I100" i="4" s="1"/>
  <c r="I119" i="4" s="1"/>
  <c r="I23" i="4"/>
  <c r="S118" i="4"/>
  <c r="S115" i="4"/>
  <c r="S123" i="4" s="1"/>
  <c r="S116" i="4"/>
  <c r="L90" i="4"/>
  <c r="L109" i="4" s="1"/>
  <c r="L27" i="4"/>
  <c r="L93" i="4" s="1"/>
  <c r="O73" i="4"/>
  <c r="O104" i="4" s="1"/>
  <c r="O112" i="4" s="1"/>
  <c r="O12" i="4"/>
  <c r="O78" i="4" s="1"/>
  <c r="I117" i="4"/>
  <c r="C117" i="4" s="1"/>
  <c r="G90" i="4"/>
  <c r="G109" i="4" s="1"/>
  <c r="G27" i="4"/>
  <c r="G93" i="4" s="1"/>
  <c r="L98" i="4"/>
  <c r="L122" i="4" s="1"/>
  <c r="Q90" i="4"/>
  <c r="Q109" i="4" s="1"/>
  <c r="Q27" i="4"/>
  <c r="Q93" i="4" s="1"/>
  <c r="G112" i="4"/>
  <c r="K105" i="4"/>
  <c r="K95" i="3"/>
  <c r="K120" i="3" s="1"/>
  <c r="K33" i="3"/>
  <c r="K99" i="3" s="1"/>
  <c r="L34" i="3"/>
  <c r="L100" i="3" s="1"/>
  <c r="L119" i="3" s="1"/>
  <c r="L88" i="3"/>
  <c r="L23" i="3"/>
  <c r="F95" i="3"/>
  <c r="F120" i="3" s="1"/>
  <c r="F33" i="3"/>
  <c r="F99" i="3" s="1"/>
  <c r="C87" i="3"/>
  <c r="C32" i="3"/>
  <c r="I88" i="3"/>
  <c r="I34" i="3"/>
  <c r="I100" i="3" s="1"/>
  <c r="I119" i="3" s="1"/>
  <c r="I23" i="3"/>
  <c r="D90" i="3"/>
  <c r="D109" i="3" s="1"/>
  <c r="D27" i="3"/>
  <c r="D93" i="3" s="1"/>
  <c r="N116" i="3"/>
  <c r="N115" i="3"/>
  <c r="N123" i="3" s="1"/>
  <c r="N118" i="3"/>
  <c r="L95" i="3"/>
  <c r="L120" i="3" s="1"/>
  <c r="L33" i="3"/>
  <c r="L99" i="3" s="1"/>
  <c r="C110" i="3"/>
  <c r="G83" i="3"/>
  <c r="G28" i="3"/>
  <c r="G94" i="3" s="1"/>
  <c r="G108" i="3" s="1"/>
  <c r="E118" i="2"/>
  <c r="E115" i="2"/>
  <c r="E116" i="2"/>
  <c r="Q88" i="2"/>
  <c r="Q34" i="2"/>
  <c r="Q23" i="2"/>
  <c r="C84" i="2"/>
  <c r="C22" i="2"/>
  <c r="C29" i="2"/>
  <c r="J83" i="2"/>
  <c r="J28" i="2"/>
  <c r="J94" i="2" s="1"/>
  <c r="J108" i="2" s="1"/>
  <c r="M88" i="2"/>
  <c r="M34" i="2"/>
  <c r="M100" i="2" s="1"/>
  <c r="M119" i="2" s="1"/>
  <c r="M23" i="2"/>
  <c r="S92" i="2"/>
  <c r="S111" i="2" s="1"/>
  <c r="C111" i="2" s="1"/>
  <c r="S27" i="2"/>
  <c r="S93" i="2" s="1"/>
  <c r="J118" i="2"/>
  <c r="J116" i="2"/>
  <c r="G28" i="2"/>
  <c r="G94" i="2" s="1"/>
  <c r="G108" i="2" s="1"/>
  <c r="G112" i="2" s="1"/>
  <c r="G83" i="2"/>
  <c r="K94" i="2"/>
  <c r="K108" i="2" s="1"/>
  <c r="C24" i="2"/>
  <c r="D73" i="3"/>
  <c r="D104" i="3" s="1"/>
  <c r="D12" i="3"/>
  <c r="D78" i="3" s="1"/>
  <c r="K83" i="2"/>
  <c r="Q67" i="2"/>
  <c r="Q115" i="2" s="1"/>
  <c r="J68" i="3"/>
  <c r="D73" i="2"/>
  <c r="D104" i="2" s="1"/>
  <c r="D12" i="2"/>
  <c r="D78" i="2" s="1"/>
  <c r="K73" i="1"/>
  <c r="K12" i="1"/>
  <c r="K78" i="1" s="1"/>
  <c r="S12" i="1"/>
  <c r="S78" i="1" s="1"/>
  <c r="S73" i="1"/>
  <c r="U95" i="1"/>
  <c r="C72" i="1"/>
  <c r="N99" i="1"/>
  <c r="S23" i="1"/>
  <c r="D67" i="1"/>
  <c r="D100" i="1" s="1"/>
  <c r="D120" i="1" s="1"/>
  <c r="D56" i="1"/>
  <c r="D68" i="1" s="1"/>
  <c r="T83" i="1"/>
  <c r="T28" i="1"/>
  <c r="T94" i="1" s="1"/>
  <c r="H117" i="1"/>
  <c r="H90" i="1"/>
  <c r="H109" i="1" s="1"/>
  <c r="H27" i="1"/>
  <c r="H93" i="1" s="1"/>
  <c r="I66" i="1"/>
  <c r="I99" i="1" s="1"/>
  <c r="J100" i="1"/>
  <c r="J120" i="1" s="1"/>
  <c r="D88" i="1"/>
  <c r="O78" i="1"/>
  <c r="M117" i="1"/>
  <c r="P28" i="1"/>
  <c r="P94" i="1" s="1"/>
  <c r="N100" i="2" l="1"/>
  <c r="N119" i="2" s="1"/>
  <c r="F100" i="2"/>
  <c r="F119" i="2" s="1"/>
  <c r="C107" i="2"/>
  <c r="P123" i="4"/>
  <c r="F123" i="4"/>
  <c r="C122" i="4"/>
  <c r="D35" i="4"/>
  <c r="C121" i="4"/>
  <c r="I123" i="4"/>
  <c r="D115" i="4"/>
  <c r="L123" i="4"/>
  <c r="I112" i="4"/>
  <c r="H100" i="4"/>
  <c r="H119" i="4" s="1"/>
  <c r="H123" i="4" s="1"/>
  <c r="C66" i="3"/>
  <c r="C98" i="3"/>
  <c r="O112" i="3"/>
  <c r="D99" i="3"/>
  <c r="C107" i="3"/>
  <c r="E112" i="3"/>
  <c r="C105" i="3"/>
  <c r="C92" i="3"/>
  <c r="S123" i="3"/>
  <c r="P112" i="3"/>
  <c r="G112" i="3"/>
  <c r="R123" i="3"/>
  <c r="E68" i="2"/>
  <c r="E100" i="2"/>
  <c r="E119" i="2" s="1"/>
  <c r="E123" i="2" s="1"/>
  <c r="D100" i="2"/>
  <c r="D119" i="2" s="1"/>
  <c r="E78" i="2"/>
  <c r="C117" i="2"/>
  <c r="C122" i="2"/>
  <c r="S100" i="2"/>
  <c r="S119" i="2" s="1"/>
  <c r="S123" i="2" s="1"/>
  <c r="Q100" i="2"/>
  <c r="Q119" i="2" s="1"/>
  <c r="Q123" i="2" s="1"/>
  <c r="L123" i="2"/>
  <c r="C105" i="2"/>
  <c r="M123" i="2"/>
  <c r="C60" i="2"/>
  <c r="J112" i="2"/>
  <c r="Q112" i="2"/>
  <c r="G100" i="2"/>
  <c r="G119" i="2" s="1"/>
  <c r="G123" i="2" s="1"/>
  <c r="O123" i="2"/>
  <c r="C98" i="1"/>
  <c r="C110" i="1"/>
  <c r="P108" i="1"/>
  <c r="P113" i="1" s="1"/>
  <c r="P124" i="1"/>
  <c r="N124" i="1"/>
  <c r="G108" i="1"/>
  <c r="G113" i="1" s="1"/>
  <c r="Q108" i="1"/>
  <c r="Q113" i="1" s="1"/>
  <c r="L108" i="1"/>
  <c r="L113" i="1" s="1"/>
  <c r="S124" i="1"/>
  <c r="R113" i="1"/>
  <c r="C111" i="1"/>
  <c r="E113" i="1"/>
  <c r="K100" i="1"/>
  <c r="K120" i="1" s="1"/>
  <c r="K124" i="1" s="1"/>
  <c r="K113" i="1"/>
  <c r="H104" i="1"/>
  <c r="C123" i="1"/>
  <c r="H108" i="1"/>
  <c r="D35" i="1"/>
  <c r="D101" i="1" s="1"/>
  <c r="O104" i="1"/>
  <c r="O113" i="1" s="1"/>
  <c r="G99" i="1"/>
  <c r="C122" i="1"/>
  <c r="R35" i="1"/>
  <c r="R101" i="1" s="1"/>
  <c r="S113" i="1"/>
  <c r="M100" i="1"/>
  <c r="M120" i="1" s="1"/>
  <c r="M124" i="1" s="1"/>
  <c r="J99" i="1"/>
  <c r="C107" i="1"/>
  <c r="C104" i="3"/>
  <c r="D112" i="3"/>
  <c r="S99" i="4"/>
  <c r="J89" i="4"/>
  <c r="J35" i="4"/>
  <c r="J101" i="4" s="1"/>
  <c r="C67" i="1"/>
  <c r="C56" i="1"/>
  <c r="C68" i="1" s="1"/>
  <c r="C118" i="1"/>
  <c r="E123" i="3"/>
  <c r="G89" i="3"/>
  <c r="G35" i="3"/>
  <c r="G101" i="3" s="1"/>
  <c r="C67" i="2"/>
  <c r="C56" i="2"/>
  <c r="C68" i="2" s="1"/>
  <c r="C12" i="1"/>
  <c r="C78" i="1" s="1"/>
  <c r="C73" i="1"/>
  <c r="C73" i="2"/>
  <c r="C12" i="2"/>
  <c r="C78" i="2" s="1"/>
  <c r="C90" i="4"/>
  <c r="C27" i="4"/>
  <c r="C93" i="4" s="1"/>
  <c r="Q89" i="4"/>
  <c r="Q35" i="4"/>
  <c r="Q101" i="4" s="1"/>
  <c r="C33" i="4"/>
  <c r="C99" i="4" s="1"/>
  <c r="C95" i="4"/>
  <c r="D116" i="1"/>
  <c r="L99" i="4"/>
  <c r="H123" i="2"/>
  <c r="K35" i="1"/>
  <c r="K101" i="1" s="1"/>
  <c r="K89" i="1"/>
  <c r="J124" i="1"/>
  <c r="K89" i="2"/>
  <c r="K35" i="2"/>
  <c r="K101" i="2" s="1"/>
  <c r="N89" i="3"/>
  <c r="N35" i="3"/>
  <c r="N101" i="3" s="1"/>
  <c r="J100" i="4"/>
  <c r="J119" i="4" s="1"/>
  <c r="C88" i="1"/>
  <c r="C34" i="1"/>
  <c r="C23" i="1"/>
  <c r="J123" i="3"/>
  <c r="H112" i="2"/>
  <c r="G89" i="4"/>
  <c r="G35" i="4"/>
  <c r="G101" i="4" s="1"/>
  <c r="C95" i="3"/>
  <c r="C33" i="3"/>
  <c r="C99" i="3" s="1"/>
  <c r="H112" i="4"/>
  <c r="C91" i="1"/>
  <c r="C88" i="4"/>
  <c r="C34" i="4"/>
  <c r="C23" i="4"/>
  <c r="O89" i="1"/>
  <c r="O35" i="1"/>
  <c r="O101" i="1" s="1"/>
  <c r="C119" i="1"/>
  <c r="C90" i="2"/>
  <c r="C27" i="2"/>
  <c r="C93" i="2" s="1"/>
  <c r="I89" i="4"/>
  <c r="I35" i="4"/>
  <c r="I101" i="4" s="1"/>
  <c r="D89" i="2"/>
  <c r="D35" i="2"/>
  <c r="D101" i="2" s="1"/>
  <c r="C95" i="1"/>
  <c r="C33" i="1"/>
  <c r="C99" i="1" s="1"/>
  <c r="C83" i="1"/>
  <c r="C28" i="1"/>
  <c r="C94" i="1" s="1"/>
  <c r="G89" i="2"/>
  <c r="G35" i="2"/>
  <c r="G101" i="2" s="1"/>
  <c r="M123" i="4"/>
  <c r="N89" i="4"/>
  <c r="N35" i="4"/>
  <c r="N101" i="4" s="1"/>
  <c r="S89" i="4"/>
  <c r="S35" i="4"/>
  <c r="S101" i="4" s="1"/>
  <c r="C88" i="3"/>
  <c r="C34" i="3"/>
  <c r="C23" i="3"/>
  <c r="O89" i="4"/>
  <c r="O35" i="4"/>
  <c r="O101" i="4" s="1"/>
  <c r="I104" i="2"/>
  <c r="C104" i="2" s="1"/>
  <c r="I94" i="2"/>
  <c r="I108" i="2" s="1"/>
  <c r="C108" i="2" s="1"/>
  <c r="H35" i="3"/>
  <c r="H101" i="3" s="1"/>
  <c r="H89" i="3"/>
  <c r="I89" i="1"/>
  <c r="I35" i="1"/>
  <c r="I101" i="1" s="1"/>
  <c r="C117" i="1"/>
  <c r="C83" i="2"/>
  <c r="C28" i="2"/>
  <c r="C94" i="2" s="1"/>
  <c r="G123" i="3"/>
  <c r="O123" i="3"/>
  <c r="D112" i="4"/>
  <c r="C104" i="4"/>
  <c r="D101" i="4"/>
  <c r="O89" i="3"/>
  <c r="O35" i="3"/>
  <c r="O101" i="3" s="1"/>
  <c r="L93" i="1"/>
  <c r="I100" i="1"/>
  <c r="I120" i="1" s="1"/>
  <c r="I124" i="1" s="1"/>
  <c r="F124" i="1"/>
  <c r="J101" i="1"/>
  <c r="C90" i="1"/>
  <c r="C27" i="1"/>
  <c r="C93" i="1" s="1"/>
  <c r="C95" i="2"/>
  <c r="C33" i="2"/>
  <c r="C99" i="2" s="1"/>
  <c r="C105" i="4"/>
  <c r="N35" i="2"/>
  <c r="N101" i="2" s="1"/>
  <c r="N89" i="2"/>
  <c r="C116" i="3"/>
  <c r="H89" i="2"/>
  <c r="H35" i="2"/>
  <c r="H101" i="2" s="1"/>
  <c r="N113" i="1"/>
  <c r="Q89" i="1"/>
  <c r="Q35" i="1"/>
  <c r="Q101" i="1" s="1"/>
  <c r="D89" i="4"/>
  <c r="I89" i="2"/>
  <c r="I35" i="2"/>
  <c r="I101" i="2" s="1"/>
  <c r="M99" i="4"/>
  <c r="J113" i="1"/>
  <c r="C27" i="3"/>
  <c r="J89" i="1"/>
  <c r="D123" i="4"/>
  <c r="C115" i="4"/>
  <c r="N112" i="3"/>
  <c r="H35" i="1"/>
  <c r="H101" i="1" s="1"/>
  <c r="H89" i="1"/>
  <c r="Q100" i="1"/>
  <c r="Q120" i="1" s="1"/>
  <c r="Q124" i="1" s="1"/>
  <c r="F89" i="4"/>
  <c r="F35" i="4"/>
  <c r="F101" i="4" s="1"/>
  <c r="C60" i="3"/>
  <c r="E124" i="1"/>
  <c r="C96" i="2"/>
  <c r="C105" i="1"/>
  <c r="N123" i="2"/>
  <c r="R112" i="2"/>
  <c r="C122" i="3"/>
  <c r="O123" i="4"/>
  <c r="F112" i="2"/>
  <c r="C73" i="4"/>
  <c r="C12" i="4"/>
  <c r="C78" i="4" s="1"/>
  <c r="C88" i="2"/>
  <c r="C34" i="2"/>
  <c r="C23" i="2"/>
  <c r="C108" i="4"/>
  <c r="L89" i="4"/>
  <c r="L35" i="4"/>
  <c r="L101" i="4" s="1"/>
  <c r="D123" i="3"/>
  <c r="C115" i="3"/>
  <c r="L35" i="3"/>
  <c r="L101" i="3" s="1"/>
  <c r="L89" i="3"/>
  <c r="C109" i="2"/>
  <c r="C118" i="3"/>
  <c r="S89" i="3"/>
  <c r="S35" i="3"/>
  <c r="S101" i="3" s="1"/>
  <c r="F123" i="2"/>
  <c r="C118" i="4"/>
  <c r="P123" i="3"/>
  <c r="E89" i="1"/>
  <c r="E35" i="1"/>
  <c r="E101" i="1" s="1"/>
  <c r="J112" i="3"/>
  <c r="P112" i="2"/>
  <c r="J89" i="2"/>
  <c r="J35" i="2"/>
  <c r="J101" i="2" s="1"/>
  <c r="R124" i="1"/>
  <c r="S89" i="2"/>
  <c r="S35" i="2"/>
  <c r="S101" i="2" s="1"/>
  <c r="R89" i="3"/>
  <c r="R35" i="3"/>
  <c r="R101" i="3" s="1"/>
  <c r="D113" i="1"/>
  <c r="C83" i="3"/>
  <c r="C91" i="2"/>
  <c r="C28" i="4"/>
  <c r="C94" i="4" s="1"/>
  <c r="L89" i="1"/>
  <c r="L35" i="1"/>
  <c r="L101" i="1" s="1"/>
  <c r="C108" i="3"/>
  <c r="C116" i="4"/>
  <c r="C12" i="3"/>
  <c r="C78" i="3" s="1"/>
  <c r="C73" i="3"/>
  <c r="J100" i="2"/>
  <c r="J119" i="2" s="1"/>
  <c r="J123" i="2" s="1"/>
  <c r="M89" i="3"/>
  <c r="M35" i="3"/>
  <c r="M101" i="3" s="1"/>
  <c r="C120" i="2"/>
  <c r="K100" i="3"/>
  <c r="K119" i="3" s="1"/>
  <c r="L124" i="1"/>
  <c r="D35" i="3"/>
  <c r="D101" i="3" s="1"/>
  <c r="H112" i="3"/>
  <c r="E89" i="4"/>
  <c r="E35" i="4"/>
  <c r="E101" i="4" s="1"/>
  <c r="I104" i="1"/>
  <c r="I113" i="1" s="1"/>
  <c r="M100" i="3"/>
  <c r="M119" i="3" s="1"/>
  <c r="M123" i="3" s="1"/>
  <c r="K112" i="4"/>
  <c r="E35" i="3"/>
  <c r="E101" i="3" s="1"/>
  <c r="K89" i="3"/>
  <c r="K35" i="3"/>
  <c r="K101" i="3" s="1"/>
  <c r="D89" i="3"/>
  <c r="E89" i="2"/>
  <c r="E35" i="2"/>
  <c r="E101" i="2" s="1"/>
  <c r="D112" i="2"/>
  <c r="Q89" i="2"/>
  <c r="Q35" i="2"/>
  <c r="Q101" i="2" s="1"/>
  <c r="C120" i="4"/>
  <c r="J89" i="3"/>
  <c r="J35" i="3"/>
  <c r="J101" i="3" s="1"/>
  <c r="C109" i="4"/>
  <c r="D123" i="2"/>
  <c r="C115" i="2"/>
  <c r="H89" i="4"/>
  <c r="H35" i="4"/>
  <c r="H101" i="4" s="1"/>
  <c r="L123" i="3"/>
  <c r="H100" i="1"/>
  <c r="H120" i="1" s="1"/>
  <c r="H124" i="1" s="1"/>
  <c r="I93" i="1"/>
  <c r="C109" i="1"/>
  <c r="R35" i="4"/>
  <c r="R101" i="4" s="1"/>
  <c r="R89" i="4"/>
  <c r="L112" i="3"/>
  <c r="P112" i="4"/>
  <c r="H94" i="1"/>
  <c r="Q89" i="3"/>
  <c r="Q35" i="3"/>
  <c r="Q101" i="3" s="1"/>
  <c r="S89" i="1"/>
  <c r="S35" i="1"/>
  <c r="S101" i="1" s="1"/>
  <c r="C118" i="2"/>
  <c r="N112" i="4"/>
  <c r="C67" i="3"/>
  <c r="C56" i="3"/>
  <c r="C68" i="3" s="1"/>
  <c r="F113" i="1"/>
  <c r="C120" i="3"/>
  <c r="C67" i="4"/>
  <c r="C56" i="4"/>
  <c r="C68" i="4" s="1"/>
  <c r="O89" i="2"/>
  <c r="O35" i="2"/>
  <c r="O101" i="2" s="1"/>
  <c r="I100" i="2"/>
  <c r="I119" i="2" s="1"/>
  <c r="I123" i="2" s="1"/>
  <c r="E112" i="2"/>
  <c r="N35" i="1"/>
  <c r="N101" i="1" s="1"/>
  <c r="N89" i="1"/>
  <c r="G124" i="1"/>
  <c r="C109" i="3"/>
  <c r="G99" i="4"/>
  <c r="M89" i="2"/>
  <c r="M35" i="2"/>
  <c r="M101" i="2" s="1"/>
  <c r="I89" i="3"/>
  <c r="I35" i="3"/>
  <c r="I101" i="3" s="1"/>
  <c r="K112" i="2"/>
  <c r="D89" i="1"/>
  <c r="P89" i="2"/>
  <c r="P35" i="2"/>
  <c r="P101" i="2" s="1"/>
  <c r="C116" i="2"/>
  <c r="C92" i="2"/>
  <c r="M89" i="4"/>
  <c r="M35" i="4"/>
  <c r="M101" i="4" s="1"/>
  <c r="C121" i="1"/>
  <c r="F89" i="1"/>
  <c r="F35" i="1"/>
  <c r="F101" i="1" s="1"/>
  <c r="I123" i="3"/>
  <c r="K89" i="4"/>
  <c r="K35" i="4"/>
  <c r="K101" i="4" s="1"/>
  <c r="F123" i="3"/>
  <c r="F89" i="3"/>
  <c r="F35" i="3"/>
  <c r="F101" i="3" s="1"/>
  <c r="M89" i="1"/>
  <c r="M35" i="1"/>
  <c r="M101" i="1" s="1"/>
  <c r="R101" i="2"/>
  <c r="L89" i="2"/>
  <c r="L35" i="2"/>
  <c r="L101" i="2" s="1"/>
  <c r="P89" i="3"/>
  <c r="P35" i="3"/>
  <c r="P101" i="3" s="1"/>
  <c r="S112" i="2"/>
  <c r="G35" i="1"/>
  <c r="G101" i="1" s="1"/>
  <c r="C100" i="2" l="1"/>
  <c r="C119" i="4"/>
  <c r="C119" i="3"/>
  <c r="C123" i="3" s="1"/>
  <c r="C93" i="3"/>
  <c r="H113" i="1"/>
  <c r="C108" i="1"/>
  <c r="C100" i="1"/>
  <c r="C104" i="1"/>
  <c r="C113" i="1" s="1"/>
  <c r="C89" i="3"/>
  <c r="C35" i="3"/>
  <c r="C101" i="3" s="1"/>
  <c r="C89" i="4"/>
  <c r="C35" i="4"/>
  <c r="C101" i="4" s="1"/>
  <c r="C100" i="3"/>
  <c r="C100" i="4"/>
  <c r="C116" i="1"/>
  <c r="D124" i="1"/>
  <c r="C112" i="3"/>
  <c r="K123" i="3"/>
  <c r="C123" i="4"/>
  <c r="C120" i="1"/>
  <c r="C89" i="2"/>
  <c r="C35" i="2"/>
  <c r="C101" i="2" s="1"/>
  <c r="J123" i="4"/>
  <c r="C112" i="2"/>
  <c r="C119" i="2"/>
  <c r="C123" i="2" s="1"/>
  <c r="C112" i="4"/>
  <c r="I112" i="2"/>
  <c r="C89" i="1"/>
  <c r="C35" i="1"/>
  <c r="C101" i="1" s="1"/>
  <c r="C124" i="1" l="1"/>
</calcChain>
</file>

<file path=xl/sharedStrings.xml><?xml version="1.0" encoding="utf-8"?>
<sst xmlns="http://schemas.openxmlformats.org/spreadsheetml/2006/main" count="572" uniqueCount="66">
  <si>
    <t>CONSO</t>
  </si>
  <si>
    <t>AUDI</t>
  </si>
  <si>
    <t>INFINITI</t>
  </si>
  <si>
    <t>MCPA</t>
  </si>
  <si>
    <t>HONDA</t>
  </si>
  <si>
    <t>TOYOTA</t>
  </si>
  <si>
    <t>VOLKS</t>
  </si>
  <si>
    <t>BMW PA</t>
  </si>
  <si>
    <t>MINI</t>
  </si>
  <si>
    <t>BMW STJ</t>
  </si>
  <si>
    <t>LEXUS</t>
  </si>
  <si>
    <t>BMW SHER</t>
  </si>
  <si>
    <t>SSMB</t>
  </si>
  <si>
    <t>MBQ</t>
  </si>
  <si>
    <t>VOLVO</t>
  </si>
  <si>
    <t>JLR</t>
  </si>
  <si>
    <t>LHD</t>
  </si>
  <si>
    <t>Actual</t>
  </si>
  <si>
    <t>AJUST.</t>
  </si>
  <si>
    <t>COMPLEXE</t>
  </si>
  <si>
    <t>GPA</t>
  </si>
  <si>
    <t>NB New</t>
  </si>
  <si>
    <t>NB Fleet</t>
  </si>
  <si>
    <t>Total New Unité</t>
  </si>
  <si>
    <t>NB Used</t>
  </si>
  <si>
    <t>NB US</t>
  </si>
  <si>
    <t>NB Wholesale</t>
  </si>
  <si>
    <t>Total Used Unité</t>
  </si>
  <si>
    <t>Grand Total Unité</t>
  </si>
  <si>
    <t>#</t>
  </si>
  <si>
    <t>Profit Front new</t>
  </si>
  <si>
    <t>Profit Rachat de bail</t>
  </si>
  <si>
    <t>Profit Fleet</t>
  </si>
  <si>
    <t>Profit F&amp;I new</t>
  </si>
  <si>
    <t>Gross New</t>
  </si>
  <si>
    <t>Profit Front used</t>
  </si>
  <si>
    <t>Profit US</t>
  </si>
  <si>
    <t>Profit Wholesale</t>
  </si>
  <si>
    <t>Profit F&amp;I used</t>
  </si>
  <si>
    <t>Gross Used</t>
  </si>
  <si>
    <t>Gross Total</t>
  </si>
  <si>
    <t>Profit Front new / Unité</t>
  </si>
  <si>
    <t>Profit Fleet / Unité</t>
  </si>
  <si>
    <t>Profit F&amp;I new / Unité</t>
  </si>
  <si>
    <t>Profit Front &amp; Back New / Unité</t>
  </si>
  <si>
    <t>Gross New / Unité</t>
  </si>
  <si>
    <t>Profit Front used / Unité</t>
  </si>
  <si>
    <t>Profit US / Unité</t>
  </si>
  <si>
    <t>Profit Wholesale / Unité</t>
  </si>
  <si>
    <t>Profit F&amp;I used / Unité</t>
  </si>
  <si>
    <t>Profit Front &amp; Back Used / Unité</t>
  </si>
  <si>
    <t>Gross Used / Unité</t>
  </si>
  <si>
    <t>Gross Total / Unité</t>
  </si>
  <si>
    <t>▲ Budget</t>
  </si>
  <si>
    <t>▲ new</t>
  </si>
  <si>
    <t>écart volume</t>
  </si>
  <si>
    <t>écart rendement</t>
  </si>
  <si>
    <t>Écart total</t>
  </si>
  <si>
    <t>▲ used</t>
  </si>
  <si>
    <t>Profit wholesale / Unité</t>
  </si>
  <si>
    <t>August Actual Gross / Unité vs Budget</t>
  </si>
  <si>
    <t>Budget 2025</t>
  </si>
  <si>
    <t>August Actual Gross / Unité vs Last Year</t>
  </si>
  <si>
    <t>▲ 2024</t>
  </si>
  <si>
    <t>August Actual YTD Gross / Unité vs Budget</t>
  </si>
  <si>
    <t>August Actual YTD Gross / Unité vs Last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</si>
</sst>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)\ &quot;$&quot;_ ;_ * \(#,##0.00\)\ &quot;$&quot;_ ;_ * &quot;-&quot;??_)\ &quot;$&quot;_ ;_ @_ "/>
    <numFmt numFmtId="165" formatCode="&quot;$&quot;#,##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rgb="FFFF3300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B9ED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95">
    <xf numFmtId="0" fontId="0" fillId="0" borderId="0" xfId="0"/>
    <xf numFmtId="164" fontId="0" fillId="0" borderId="0" xfId="2" applyFont="1"/>
    <xf numFmtId="0" fontId="5" fillId="0" borderId="0" xfId="0" applyFont="1"/>
    <xf numFmtId="43" fontId="6" fillId="0" borderId="0" xfId="1" quotePrefix="1" applyFont="1" applyAlignment="1">
      <alignment horizontal="center"/>
    </xf>
    <xf numFmtId="0" fontId="3" fillId="0" borderId="0" xfId="0" applyFont="1"/>
    <xf numFmtId="0" fontId="3" fillId="2" borderId="1" xfId="0" applyFont="1" applyFill="1" applyBorder="1" applyAlignment="1">
      <alignment horizontal="center"/>
    </xf>
    <xf numFmtId="0" fontId="7" fillId="0" borderId="0" xfId="0" applyFont="1"/>
    <xf numFmtId="165" fontId="3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4" fillId="0" borderId="0" xfId="0" applyFont="1"/>
    <xf numFmtId="0" fontId="0" fillId="0" borderId="2" xfId="0" applyBorder="1"/>
    <xf numFmtId="3" fontId="3" fillId="0" borderId="1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3" xfId="0" applyBorder="1"/>
    <xf numFmtId="3" fontId="3" fillId="0" borderId="4" xfId="0" applyNumberFormat="1" applyFon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0" fontId="0" fillId="0" borderId="5" xfId="0" applyBorder="1"/>
    <xf numFmtId="3" fontId="3" fillId="0" borderId="5" xfId="0" applyNumberFormat="1" applyFon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3" fontId="0" fillId="0" borderId="6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3" fillId="0" borderId="1" xfId="0" applyFont="1" applyBorder="1"/>
    <xf numFmtId="1" fontId="3" fillId="0" borderId="7" xfId="0" applyNumberFormat="1" applyFont="1" applyBorder="1" applyAlignment="1">
      <alignment horizontal="center"/>
    </xf>
    <xf numFmtId="0" fontId="0" fillId="0" borderId="1" xfId="0" applyBorder="1"/>
    <xf numFmtId="165" fontId="3" fillId="0" borderId="1" xfId="0" applyNumberFormat="1" applyFon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0" fontId="0" fillId="0" borderId="4" xfId="0" applyBorder="1"/>
    <xf numFmtId="165" fontId="3" fillId="0" borderId="4" xfId="0" applyNumberFormat="1" applyFon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0" fillId="0" borderId="6" xfId="0" applyBorder="1"/>
    <xf numFmtId="165" fontId="3" fillId="0" borderId="6" xfId="0" applyNumberFormat="1" applyFon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5" fontId="3" fillId="0" borderId="5" xfId="0" applyNumberFormat="1" applyFon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0" xfId="0" applyBorder="1"/>
    <xf numFmtId="165" fontId="3" fillId="0" borderId="11" xfId="0" applyNumberFormat="1" applyFont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0" fontId="0" fillId="0" borderId="13" xfId="0" applyBorder="1"/>
    <xf numFmtId="165" fontId="0" fillId="0" borderId="4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0" fontId="0" fillId="0" borderId="15" xfId="0" applyBorder="1"/>
    <xf numFmtId="165" fontId="3" fillId="0" borderId="16" xfId="0" applyNumberFormat="1" applyFont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165" fontId="0" fillId="0" borderId="17" xfId="0" applyNumberFormat="1" applyBorder="1" applyAlignment="1">
      <alignment horizontal="center"/>
    </xf>
    <xf numFmtId="165" fontId="0" fillId="0" borderId="18" xfId="0" applyNumberFormat="1" applyBorder="1" applyAlignment="1">
      <alignment horizontal="center"/>
    </xf>
    <xf numFmtId="0" fontId="0" fillId="0" borderId="19" xfId="0" applyBorder="1"/>
    <xf numFmtId="165" fontId="3" fillId="0" borderId="20" xfId="0" applyNumberFormat="1" applyFont="1" applyBorder="1" applyAlignment="1">
      <alignment horizontal="center"/>
    </xf>
    <xf numFmtId="165" fontId="0" fillId="0" borderId="20" xfId="0" applyNumberFormat="1" applyBorder="1" applyAlignment="1">
      <alignment horizontal="center"/>
    </xf>
    <xf numFmtId="165" fontId="0" fillId="0" borderId="21" xfId="0" applyNumberFormat="1" applyBorder="1" applyAlignment="1">
      <alignment horizontal="center"/>
    </xf>
    <xf numFmtId="165" fontId="3" fillId="0" borderId="18" xfId="0" applyNumberFormat="1" applyFont="1" applyBorder="1" applyAlignment="1">
      <alignment horizontal="center"/>
    </xf>
    <xf numFmtId="0" fontId="0" fillId="0" borderId="22" xfId="0" applyBorder="1"/>
    <xf numFmtId="165" fontId="0" fillId="0" borderId="23" xfId="0" applyNumberFormat="1" applyBorder="1" applyAlignment="1">
      <alignment horizontal="center"/>
    </xf>
    <xf numFmtId="0" fontId="0" fillId="0" borderId="24" xfId="0" applyBorder="1"/>
    <xf numFmtId="165" fontId="0" fillId="0" borderId="25" xfId="0" applyNumberFormat="1" applyBorder="1" applyAlignment="1">
      <alignment horizontal="center"/>
    </xf>
    <xf numFmtId="0" fontId="3" fillId="3" borderId="26" xfId="0" applyFont="1" applyFill="1" applyBorder="1"/>
    <xf numFmtId="165" fontId="3" fillId="0" borderId="27" xfId="0" applyNumberFormat="1" applyFont="1" applyBorder="1" applyAlignment="1">
      <alignment horizontal="center"/>
    </xf>
    <xf numFmtId="165" fontId="3" fillId="0" borderId="28" xfId="0" applyNumberFormat="1" applyFont="1" applyBorder="1" applyAlignment="1">
      <alignment horizontal="center"/>
    </xf>
    <xf numFmtId="165" fontId="0" fillId="0" borderId="0" xfId="0" applyNumberFormat="1"/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8" fillId="2" borderId="31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165" fontId="0" fillId="0" borderId="29" xfId="0" applyNumberFormat="1" applyBorder="1" applyAlignment="1">
      <alignment horizontal="center"/>
    </xf>
    <xf numFmtId="165" fontId="0" fillId="0" borderId="32" xfId="0" applyNumberFormat="1" applyBorder="1" applyAlignment="1">
      <alignment horizontal="center"/>
    </xf>
    <xf numFmtId="165" fontId="0" fillId="0" borderId="27" xfId="0" applyNumberForma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165" fontId="3" fillId="0" borderId="29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9" fillId="2" borderId="33" xfId="0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165" fontId="0" fillId="0" borderId="34" xfId="0" applyNumberFormat="1" applyBorder="1" applyAlignment="1">
      <alignment horizontal="center"/>
    </xf>
    <xf numFmtId="165" fontId="3" fillId="0" borderId="34" xfId="0" applyNumberFormat="1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165" fontId="2" fillId="0" borderId="5" xfId="0" applyNumberFormat="1" applyFont="1" applyBorder="1" applyAlignment="1">
      <alignment horizontal="center"/>
    </xf>
    <xf numFmtId="165" fontId="2" fillId="5" borderId="5" xfId="0" applyNumberFormat="1" applyFont="1" applyFill="1" applyBorder="1" applyAlignment="1">
      <alignment horizontal="center"/>
    </xf>
    <xf numFmtId="0" fontId="3" fillId="4" borderId="29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0" fillId="4" borderId="0" xfId="0" applyFill="1"/>
    <xf numFmtId="3" fontId="0" fillId="0" borderId="0" xfId="0" applyNumberFormat="1"/>
  </cellXfs>
  <cellStyles count="3">
    <cellStyle name="Milliers" xfId="1" builtinId="3"/>
    <cellStyle name="Monétaire" xfId="2" builtinId="4"/>
    <cellStyle name="Normal" xfId="0" builtinId="0"/>
  </cellStyles>
  <dxfs count="16">
    <dxf>
      <font>
        <color rgb="FFFF0000"/>
      </font>
    </dxf>
    <dxf>
      <font>
        <color theme="1"/>
      </font>
      <fill>
        <patternFill patternType="none">
          <bgColor auto="1"/>
        </patternFill>
      </fill>
    </dxf>
    <dxf>
      <font>
        <color rgb="FFFF0000"/>
      </font>
    </dxf>
    <dxf>
      <font>
        <color theme="1"/>
      </font>
      <fill>
        <patternFill patternType="none">
          <bgColor auto="1"/>
        </patternFill>
      </fill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theme="1"/>
      </font>
      <fill>
        <patternFill patternType="none">
          <bgColor auto="1"/>
        </patternFill>
      </fill>
    </dxf>
    <dxf>
      <font>
        <color rgb="FFFF0000"/>
      </font>
    </dxf>
    <dxf>
      <font>
        <color theme="1"/>
      </font>
      <fill>
        <patternFill patternType="none">
          <bgColor auto="1"/>
        </patternFill>
      </fill>
    </dxf>
    <dxf>
      <font>
        <color rgb="FFFF0000"/>
      </font>
    </dxf>
    <dxf>
      <font>
        <color theme="1"/>
      </font>
      <fill>
        <patternFill patternType="none">
          <bgColor auto="1"/>
        </patternFill>
      </fill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theme="1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 Gross per Unit vs Budget'!$B$2</c:f>
          <c:strCache>
            <c:ptCount val="1"/>
            <c:pt idx="0">
              <c:v>August Actual Gross / Unité vs Budget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sng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5.8155995590401841E-2"/>
          <c:y val="0.17005948278062852"/>
          <c:w val="0.90159319342734179"/>
          <c:h val="0.723831648608308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'AC Gross per Unit vs Budget'!$B$4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7CB953"/>
            </a:solidFill>
            <a:ln>
              <a:solidFill>
                <a:schemeClr val="accent6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'AC Gross per Unit vs Budget'!$C$3:$S$3</c:f>
              <c:strCache>
                <c:ptCount val="16"/>
                <c:pt idx="0">
                  <c:v>CONSO</c:v>
                </c:pt>
                <c:pt idx="1">
                  <c:v>AUDI</c:v>
                </c:pt>
                <c:pt idx="2">
                  <c:v>INFINITI</c:v>
                </c:pt>
                <c:pt idx="3">
                  <c:v>HONDA</c:v>
                </c:pt>
                <c:pt idx="4">
                  <c:v>TOYOTA</c:v>
                </c:pt>
                <c:pt idx="5">
                  <c:v>VOLKS</c:v>
                </c:pt>
                <c:pt idx="6">
                  <c:v>BMW PA</c:v>
                </c:pt>
                <c:pt idx="7">
                  <c:v>MINI</c:v>
                </c:pt>
                <c:pt idx="8">
                  <c:v>BMW STJ</c:v>
                </c:pt>
                <c:pt idx="9">
                  <c:v>LEXUS</c:v>
                </c:pt>
                <c:pt idx="10">
                  <c:v>BMW SHER</c:v>
                </c:pt>
                <c:pt idx="11">
                  <c:v>SSMB</c:v>
                </c:pt>
                <c:pt idx="12">
                  <c:v>MBQ</c:v>
                </c:pt>
                <c:pt idx="13">
                  <c:v>VOLVO</c:v>
                </c:pt>
                <c:pt idx="14">
                  <c:v>JLR</c:v>
                </c:pt>
                <c:pt idx="15">
                  <c:v>LHD</c:v>
                </c:pt>
              </c:strCache>
            </c:strRef>
          </c:cat>
          <c:val>
            <c:numRef>
              <c:f>'AC Gross per Unit vs Budget'!$C$35:$S$35</c:f>
              <c:numCache>
                <c:formatCode>"$"#,##0</c:formatCode>
                <c:ptCount val="16"/>
                <c:pt idx="0">
                  <c:v>2987.9705207646643</c:v>
                </c:pt>
                <c:pt idx="1">
                  <c:v>2790.310751445084</c:v>
                </c:pt>
                <c:pt idx="2">
                  <c:v>0</c:v>
                </c:pt>
                <c:pt idx="3">
                  <c:v>2303.1392307692226</c:v>
                </c:pt>
                <c:pt idx="4">
                  <c:v>3072.6973529411753</c:v>
                </c:pt>
                <c:pt idx="5">
                  <c:v>2274.103219178081</c:v>
                </c:pt>
                <c:pt idx="6">
                  <c:v>2393.3411965811974</c:v>
                </c:pt>
                <c:pt idx="7">
                  <c:v>2500.1824193548323</c:v>
                </c:pt>
                <c:pt idx="8">
                  <c:v>2417.510326086956</c:v>
                </c:pt>
                <c:pt idx="9">
                  <c:v>3032.4709999999991</c:v>
                </c:pt>
                <c:pt idx="10">
                  <c:v>3150.596727272723</c:v>
                </c:pt>
                <c:pt idx="11">
                  <c:v>3414.0736051502122</c:v>
                </c:pt>
                <c:pt idx="12">
                  <c:v>3379.4788495575181</c:v>
                </c:pt>
                <c:pt idx="13">
                  <c:v>3515.2925196850306</c:v>
                </c:pt>
                <c:pt idx="14">
                  <c:v>4315.2805357142843</c:v>
                </c:pt>
                <c:pt idx="15">
                  <c:v>3478.7255357142835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93-4AE1-BFE8-65FFFE71586A}"/>
            </c:ext>
          </c:extLst>
        </c:ser>
        <c:ser>
          <c:idx val="1"/>
          <c:order val="1"/>
          <c:tx>
            <c:strRef>
              <c:f>'AC Gross per Unit vs Budget'!$B$37</c:f>
              <c:strCache>
                <c:ptCount val="1"/>
                <c:pt idx="0">
                  <c:v>Budget 2025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'AC Gross per Unit vs Budget'!$C$3:$S$3</c:f>
              <c:strCache>
                <c:ptCount val="16"/>
                <c:pt idx="0">
                  <c:v>CONSO</c:v>
                </c:pt>
                <c:pt idx="1">
                  <c:v>AUDI</c:v>
                </c:pt>
                <c:pt idx="2">
                  <c:v>INFINITI</c:v>
                </c:pt>
                <c:pt idx="3">
                  <c:v>HONDA</c:v>
                </c:pt>
                <c:pt idx="4">
                  <c:v>TOYOTA</c:v>
                </c:pt>
                <c:pt idx="5">
                  <c:v>VOLKS</c:v>
                </c:pt>
                <c:pt idx="6">
                  <c:v>BMW PA</c:v>
                </c:pt>
                <c:pt idx="7">
                  <c:v>MINI</c:v>
                </c:pt>
                <c:pt idx="8">
                  <c:v>BMW STJ</c:v>
                </c:pt>
                <c:pt idx="9">
                  <c:v>LEXUS</c:v>
                </c:pt>
                <c:pt idx="10">
                  <c:v>BMW SHER</c:v>
                </c:pt>
                <c:pt idx="11">
                  <c:v>SSMB</c:v>
                </c:pt>
                <c:pt idx="12">
                  <c:v>MBQ</c:v>
                </c:pt>
                <c:pt idx="13">
                  <c:v>VOLVO</c:v>
                </c:pt>
                <c:pt idx="14">
                  <c:v>JLR</c:v>
                </c:pt>
                <c:pt idx="15">
                  <c:v>LHD</c:v>
                </c:pt>
              </c:strCache>
            </c:strRef>
          </c:cat>
          <c:val>
            <c:numRef>
              <c:f>'AC Gross per Unit vs Budget'!$C$68:$S$68</c:f>
              <c:numCache>
                <c:formatCode>"$"#,##0</c:formatCode>
                <c:ptCount val="16"/>
                <c:pt idx="0">
                  <c:v>2899.3797673666622</c:v>
                </c:pt>
                <c:pt idx="1">
                  <c:v>2763.5568395879759</c:v>
                </c:pt>
                <c:pt idx="2">
                  <c:v>1729.8227848101278</c:v>
                </c:pt>
                <c:pt idx="3">
                  <c:v>2255.8121565609204</c:v>
                </c:pt>
                <c:pt idx="4">
                  <c:v>2835.1379310344828</c:v>
                </c:pt>
                <c:pt idx="5">
                  <c:v>2716.3452876988285</c:v>
                </c:pt>
                <c:pt idx="6">
                  <c:v>2844.484158540834</c:v>
                </c:pt>
                <c:pt idx="7">
                  <c:v>2486.0252613240418</c:v>
                </c:pt>
                <c:pt idx="8">
                  <c:v>2480.6737967341073</c:v>
                </c:pt>
                <c:pt idx="9">
                  <c:v>2731.060606060606</c:v>
                </c:pt>
                <c:pt idx="10">
                  <c:v>2984.5154126217121</c:v>
                </c:pt>
                <c:pt idx="11">
                  <c:v>3573.2441727919499</c:v>
                </c:pt>
                <c:pt idx="12">
                  <c:v>3212.4014479178227</c:v>
                </c:pt>
                <c:pt idx="13">
                  <c:v>3037.8722461913499</c:v>
                </c:pt>
                <c:pt idx="14">
                  <c:v>2147.6693366328436</c:v>
                </c:pt>
                <c:pt idx="15">
                  <c:v>3454.3859649122805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93-4AE1-BFE8-65FFFE715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9504336"/>
        <c:axId val="1689501840"/>
      </c:barChart>
      <c:lineChart>
        <c:grouping val="standard"/>
        <c:varyColors val="0"/>
        <c:ser>
          <c:idx val="2"/>
          <c:order val="2"/>
          <c:tx>
            <c:v>Unités Actual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'AC Gross per Unit vs Budget'!$C$3:$S$3</c:f>
              <c:strCache>
                <c:ptCount val="16"/>
                <c:pt idx="0">
                  <c:v>CONSO</c:v>
                </c:pt>
                <c:pt idx="1">
                  <c:v>AUDI</c:v>
                </c:pt>
                <c:pt idx="2">
                  <c:v>INFINITI</c:v>
                </c:pt>
                <c:pt idx="3">
                  <c:v>HONDA</c:v>
                </c:pt>
                <c:pt idx="4">
                  <c:v>TOYOTA</c:v>
                </c:pt>
                <c:pt idx="5">
                  <c:v>VOLKS</c:v>
                </c:pt>
                <c:pt idx="6">
                  <c:v>BMW PA</c:v>
                </c:pt>
                <c:pt idx="7">
                  <c:v>MINI</c:v>
                </c:pt>
                <c:pt idx="8">
                  <c:v>BMW STJ</c:v>
                </c:pt>
                <c:pt idx="9">
                  <c:v>LEXUS</c:v>
                </c:pt>
                <c:pt idx="10">
                  <c:v>BMW SHER</c:v>
                </c:pt>
                <c:pt idx="11">
                  <c:v>SSMB</c:v>
                </c:pt>
                <c:pt idx="12">
                  <c:v>MBQ</c:v>
                </c:pt>
                <c:pt idx="13">
                  <c:v>VOLVO</c:v>
                </c:pt>
                <c:pt idx="14">
                  <c:v>JLR</c:v>
                </c:pt>
                <c:pt idx="15">
                  <c:v>LHD</c:v>
                </c:pt>
              </c:strCache>
            </c:strRef>
          </c:cat>
          <c:val>
            <c:numRef>
              <c:f>('AC Gross per Unit vs Budget'!$A$12,'AC Gross per Unit vs Budget'!$D$12:$S$12)</c:f>
              <c:numCache>
                <c:formatCode>#,##0</c:formatCode>
                <c:ptCount val="16"/>
                <c:pt idx="1">
                  <c:v>173</c:v>
                </c:pt>
                <c:pt idx="2">
                  <c:v>0</c:v>
                </c:pt>
                <c:pt idx="3">
                  <c:v>65</c:v>
                </c:pt>
                <c:pt idx="4">
                  <c:v>102</c:v>
                </c:pt>
                <c:pt idx="5">
                  <c:v>146</c:v>
                </c:pt>
                <c:pt idx="6">
                  <c:v>117</c:v>
                </c:pt>
                <c:pt idx="7">
                  <c:v>62</c:v>
                </c:pt>
                <c:pt idx="8">
                  <c:v>92</c:v>
                </c:pt>
                <c:pt idx="9">
                  <c:v>120</c:v>
                </c:pt>
                <c:pt idx="10">
                  <c:v>55</c:v>
                </c:pt>
                <c:pt idx="11">
                  <c:v>233</c:v>
                </c:pt>
                <c:pt idx="12">
                  <c:v>113</c:v>
                </c:pt>
                <c:pt idx="13">
                  <c:v>127</c:v>
                </c:pt>
                <c:pt idx="14">
                  <c:v>56</c:v>
                </c:pt>
                <c:pt idx="15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93-4AE1-BFE8-65FFFE71586A}"/>
            </c:ext>
          </c:extLst>
        </c:ser>
        <c:ser>
          <c:idx val="3"/>
          <c:order val="3"/>
          <c:tx>
            <c:v>Unités Budget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'AC Gross per Unit vs Budget'!$C$37:$S$37</c:f>
              <c:numCache>
                <c:formatCode>General</c:formatCode>
                <c:ptCount val="16"/>
              </c:numCache>
            </c:numRef>
          </c:cat>
          <c:val>
            <c:numRef>
              <c:f>('AC Gross per Unit vs Budget'!$A$45,'AC Gross per Unit vs Budget'!$D$45:$S$45)</c:f>
              <c:numCache>
                <c:formatCode>#,##0</c:formatCode>
                <c:ptCount val="16"/>
                <c:pt idx="1">
                  <c:v>225</c:v>
                </c:pt>
                <c:pt idx="2">
                  <c:v>25</c:v>
                </c:pt>
                <c:pt idx="3">
                  <c:v>67</c:v>
                </c:pt>
                <c:pt idx="4">
                  <c:v>145</c:v>
                </c:pt>
                <c:pt idx="5">
                  <c:v>153</c:v>
                </c:pt>
                <c:pt idx="6">
                  <c:v>115.9676</c:v>
                </c:pt>
                <c:pt idx="7">
                  <c:v>41</c:v>
                </c:pt>
                <c:pt idx="8">
                  <c:v>86</c:v>
                </c:pt>
                <c:pt idx="9">
                  <c:v>99</c:v>
                </c:pt>
                <c:pt idx="10">
                  <c:v>69</c:v>
                </c:pt>
                <c:pt idx="11">
                  <c:v>247</c:v>
                </c:pt>
                <c:pt idx="12">
                  <c:v>142</c:v>
                </c:pt>
                <c:pt idx="13">
                  <c:v>95</c:v>
                </c:pt>
                <c:pt idx="14">
                  <c:v>60.311352753391859</c:v>
                </c:pt>
                <c:pt idx="15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593-4AE1-BFE8-65FFFE715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9748047"/>
        <c:axId val="280416095"/>
      </c:lineChart>
      <c:catAx>
        <c:axId val="1689504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9501840"/>
        <c:crosses val="autoZero"/>
        <c:auto val="1"/>
        <c:lblAlgn val="ctr"/>
        <c:lblOffset val="100"/>
        <c:noMultiLvlLbl val="0"/>
      </c:catAx>
      <c:valAx>
        <c:axId val="1689501840"/>
        <c:scaling>
          <c:orientation val="minMax"/>
          <c:max val="6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>
                    <a:solidFill>
                      <a:sysClr val="windowText" lastClr="000000"/>
                    </a:solidFill>
                  </a:rPr>
                  <a:t>Gross Tota</a:t>
                </a:r>
                <a:r>
                  <a:rPr lang="en-US" sz="1000" b="1" baseline="0">
                    <a:solidFill>
                      <a:sysClr val="windowText" lastClr="000000"/>
                    </a:solidFill>
                  </a:rPr>
                  <a:t>l</a:t>
                </a:r>
                <a:r>
                  <a:rPr lang="en-US" sz="1000" b="1">
                    <a:solidFill>
                      <a:sysClr val="windowText" lastClr="000000"/>
                    </a:solidFill>
                  </a:rPr>
                  <a:t> / unité</a:t>
                </a:r>
              </a:p>
            </c:rich>
          </c:tx>
          <c:layout>
            <c:manualLayout>
              <c:xMode val="edge"/>
              <c:yMode val="edge"/>
              <c:x val="8.4991538154313949E-3"/>
              <c:y val="0.313191902172525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&quot;$&quot;#,##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9504336"/>
        <c:crosses val="autoZero"/>
        <c:crossBetween val="between"/>
      </c:valAx>
      <c:valAx>
        <c:axId val="28041609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>
                    <a:solidFill>
                      <a:sysClr val="windowText" lastClr="000000"/>
                    </a:solidFill>
                  </a:rPr>
                  <a:t>Nb unités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99748047"/>
        <c:crosses val="max"/>
        <c:crossBetween val="between"/>
      </c:valAx>
      <c:catAx>
        <c:axId val="299748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80416095"/>
        <c:crosses val="autoZero"/>
        <c:auto val="1"/>
        <c:lblAlgn val="ctr"/>
        <c:lblOffset val="100"/>
        <c:noMultiLvlLbl val="0"/>
      </c:cat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2.6586427274692653E-2"/>
          <c:y val="3.8866508386306196E-2"/>
          <c:w val="0.3513820993464104"/>
          <c:h val="0.101104690078561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 Gross per Unit vs Last Year'!$B$2</c:f>
          <c:strCache>
            <c:ptCount val="1"/>
            <c:pt idx="0">
              <c:v>August Actual Gross / Unité vs Last Year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sng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5.6623048132679807E-2"/>
          <c:y val="0.17438250002518316"/>
          <c:w val="0.90462588209587469"/>
          <c:h val="0.723831648608308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'AC Gross per Unit vs Last Year'!$B$4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7CB953"/>
            </a:solidFill>
            <a:ln>
              <a:solidFill>
                <a:schemeClr val="accent6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'AC Gross per Unit vs Last Year'!$C$3:$S$3</c:f>
              <c:strCache>
                <c:ptCount val="16"/>
                <c:pt idx="0">
                  <c:v>CONSO</c:v>
                </c:pt>
                <c:pt idx="1">
                  <c:v>AUDI</c:v>
                </c:pt>
                <c:pt idx="2">
                  <c:v>INFINITI</c:v>
                </c:pt>
                <c:pt idx="3">
                  <c:v>HONDA</c:v>
                </c:pt>
                <c:pt idx="4">
                  <c:v>TOYOTA</c:v>
                </c:pt>
                <c:pt idx="5">
                  <c:v>VOLKS</c:v>
                </c:pt>
                <c:pt idx="6">
                  <c:v>BMW PA</c:v>
                </c:pt>
                <c:pt idx="7">
                  <c:v>MINI</c:v>
                </c:pt>
                <c:pt idx="8">
                  <c:v>BMW STJ</c:v>
                </c:pt>
                <c:pt idx="9">
                  <c:v>LEXUS</c:v>
                </c:pt>
                <c:pt idx="10">
                  <c:v>BMW SHER</c:v>
                </c:pt>
                <c:pt idx="11">
                  <c:v>SSMB</c:v>
                </c:pt>
                <c:pt idx="12">
                  <c:v>MBQ</c:v>
                </c:pt>
                <c:pt idx="13">
                  <c:v>VOLVO</c:v>
                </c:pt>
                <c:pt idx="14">
                  <c:v>JLR</c:v>
                </c:pt>
                <c:pt idx="15">
                  <c:v>LHD</c:v>
                </c:pt>
              </c:strCache>
            </c:strRef>
          </c:cat>
          <c:val>
            <c:numRef>
              <c:f>'AC Gross per Unit vs Last Year'!$C$35:$S$35</c:f>
              <c:numCache>
                <c:formatCode>"$"#,##0</c:formatCode>
                <c:ptCount val="16"/>
                <c:pt idx="0">
                  <c:v>2987.9705207646643</c:v>
                </c:pt>
                <c:pt idx="1">
                  <c:v>2790.310751445084</c:v>
                </c:pt>
                <c:pt idx="2">
                  <c:v>0</c:v>
                </c:pt>
                <c:pt idx="3">
                  <c:v>2303.1392307692226</c:v>
                </c:pt>
                <c:pt idx="4">
                  <c:v>3072.6973529411753</c:v>
                </c:pt>
                <c:pt idx="5">
                  <c:v>2274.103219178081</c:v>
                </c:pt>
                <c:pt idx="6">
                  <c:v>2393.3411965811974</c:v>
                </c:pt>
                <c:pt idx="7">
                  <c:v>2500.1824193548323</c:v>
                </c:pt>
                <c:pt idx="8">
                  <c:v>2417.510326086956</c:v>
                </c:pt>
                <c:pt idx="9">
                  <c:v>3032.4709999999991</c:v>
                </c:pt>
                <c:pt idx="10">
                  <c:v>3150.596727272723</c:v>
                </c:pt>
                <c:pt idx="11">
                  <c:v>3414.0736051502122</c:v>
                </c:pt>
                <c:pt idx="12">
                  <c:v>3379.4788495575181</c:v>
                </c:pt>
                <c:pt idx="13">
                  <c:v>3515.2925196850306</c:v>
                </c:pt>
                <c:pt idx="14">
                  <c:v>4315.2805357142843</c:v>
                </c:pt>
                <c:pt idx="15">
                  <c:v>3478.7255357142835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A8-4E20-AFB4-2F6C51DD657C}"/>
            </c:ext>
          </c:extLst>
        </c:ser>
        <c:ser>
          <c:idx val="1"/>
          <c:order val="1"/>
          <c:tx>
            <c:strRef>
              <c:f>'AC Gross per Unit vs Last Year'!$B$37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'AC Gross per Unit vs Last Year'!$C$3:$S$3</c:f>
              <c:strCache>
                <c:ptCount val="16"/>
                <c:pt idx="0">
                  <c:v>CONSO</c:v>
                </c:pt>
                <c:pt idx="1">
                  <c:v>AUDI</c:v>
                </c:pt>
                <c:pt idx="2">
                  <c:v>INFINITI</c:v>
                </c:pt>
                <c:pt idx="3">
                  <c:v>HONDA</c:v>
                </c:pt>
                <c:pt idx="4">
                  <c:v>TOYOTA</c:v>
                </c:pt>
                <c:pt idx="5">
                  <c:v>VOLKS</c:v>
                </c:pt>
                <c:pt idx="6">
                  <c:v>BMW PA</c:v>
                </c:pt>
                <c:pt idx="7">
                  <c:v>MINI</c:v>
                </c:pt>
                <c:pt idx="8">
                  <c:v>BMW STJ</c:v>
                </c:pt>
                <c:pt idx="9">
                  <c:v>LEXUS</c:v>
                </c:pt>
                <c:pt idx="10">
                  <c:v>BMW SHER</c:v>
                </c:pt>
                <c:pt idx="11">
                  <c:v>SSMB</c:v>
                </c:pt>
                <c:pt idx="12">
                  <c:v>MBQ</c:v>
                </c:pt>
                <c:pt idx="13">
                  <c:v>VOLVO</c:v>
                </c:pt>
                <c:pt idx="14">
                  <c:v>JLR</c:v>
                </c:pt>
                <c:pt idx="15">
                  <c:v>LHD</c:v>
                </c:pt>
              </c:strCache>
            </c:strRef>
          </c:cat>
          <c:val>
            <c:numRef>
              <c:f>'AC Gross per Unit vs Last Year'!$C$68:$S$68</c:f>
              <c:numCache>
                <c:formatCode>"$"#,##0</c:formatCode>
                <c:ptCount val="16"/>
                <c:pt idx="0">
                  <c:v>2601.4733467202109</c:v>
                </c:pt>
                <c:pt idx="1">
                  <c:v>2727.7113989637282</c:v>
                </c:pt>
                <c:pt idx="2">
                  <c:v>571.43461538461406</c:v>
                </c:pt>
                <c:pt idx="3">
                  <c:v>2211.2853731343239</c:v>
                </c:pt>
                <c:pt idx="4">
                  <c:v>3044.98894308943</c:v>
                </c:pt>
                <c:pt idx="5">
                  <c:v>2039.7407096774125</c:v>
                </c:pt>
                <c:pt idx="6">
                  <c:v>1321.964758064518</c:v>
                </c:pt>
                <c:pt idx="7">
                  <c:v>1483.9369444444415</c:v>
                </c:pt>
                <c:pt idx="8">
                  <c:v>2247.0571999999952</c:v>
                </c:pt>
                <c:pt idx="9">
                  <c:v>2216.9352212389358</c:v>
                </c:pt>
                <c:pt idx="10">
                  <c:v>2444.7111764705855</c:v>
                </c:pt>
                <c:pt idx="11">
                  <c:v>3893.4037068965454</c:v>
                </c:pt>
                <c:pt idx="12">
                  <c:v>2953.3509166666645</c:v>
                </c:pt>
                <c:pt idx="13">
                  <c:v>2311.7804494382003</c:v>
                </c:pt>
                <c:pt idx="14">
                  <c:v>1738.5839130434722</c:v>
                </c:pt>
                <c:pt idx="15">
                  <c:v>3673.8766666666652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A8-4E20-AFB4-2F6C51DD6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9504336"/>
        <c:axId val="1689501840"/>
      </c:barChart>
      <c:lineChart>
        <c:grouping val="standard"/>
        <c:varyColors val="0"/>
        <c:ser>
          <c:idx val="2"/>
          <c:order val="2"/>
          <c:tx>
            <c:v>Unités Actual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'AC Gross per Unit vs Last Year'!$C$4:$S$4</c:f>
              <c:numCache>
                <c:formatCode>General</c:formatCode>
                <c:ptCount val="16"/>
              </c:numCache>
            </c:numRef>
          </c:cat>
          <c:val>
            <c:numRef>
              <c:f>('AC Gross per Unit vs Last Year'!$A$12,'AC Gross per Unit vs Last Year'!$D$12:$S$12)</c:f>
              <c:numCache>
                <c:formatCode>#,##0</c:formatCode>
                <c:ptCount val="16"/>
                <c:pt idx="1">
                  <c:v>173</c:v>
                </c:pt>
                <c:pt idx="2">
                  <c:v>0</c:v>
                </c:pt>
                <c:pt idx="3">
                  <c:v>65</c:v>
                </c:pt>
                <c:pt idx="4">
                  <c:v>102</c:v>
                </c:pt>
                <c:pt idx="5">
                  <c:v>146</c:v>
                </c:pt>
                <c:pt idx="6">
                  <c:v>117</c:v>
                </c:pt>
                <c:pt idx="7">
                  <c:v>62</c:v>
                </c:pt>
                <c:pt idx="8">
                  <c:v>92</c:v>
                </c:pt>
                <c:pt idx="9">
                  <c:v>120</c:v>
                </c:pt>
                <c:pt idx="10">
                  <c:v>55</c:v>
                </c:pt>
                <c:pt idx="11">
                  <c:v>233</c:v>
                </c:pt>
                <c:pt idx="12">
                  <c:v>113</c:v>
                </c:pt>
                <c:pt idx="13">
                  <c:v>127</c:v>
                </c:pt>
                <c:pt idx="14">
                  <c:v>56</c:v>
                </c:pt>
                <c:pt idx="15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A8-4E20-AFB4-2F6C51DD657C}"/>
            </c:ext>
          </c:extLst>
        </c:ser>
        <c:ser>
          <c:idx val="3"/>
          <c:order val="3"/>
          <c:tx>
            <c:v>Unités Budget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'AC Gross per Unit vs Last Year'!$C$37:$S$37</c:f>
              <c:numCache>
                <c:formatCode>General</c:formatCode>
                <c:ptCount val="16"/>
              </c:numCache>
            </c:numRef>
          </c:cat>
          <c:val>
            <c:numRef>
              <c:f>('AC Gross per Unit vs Last Year'!$A$45,'AC Gross per Unit vs Last Year'!$D$45:$S$45)</c:f>
              <c:numCache>
                <c:formatCode>#,##0</c:formatCode>
                <c:ptCount val="16"/>
                <c:pt idx="1">
                  <c:v>193</c:v>
                </c:pt>
                <c:pt idx="2">
                  <c:v>13</c:v>
                </c:pt>
                <c:pt idx="3">
                  <c:v>67</c:v>
                </c:pt>
                <c:pt idx="4">
                  <c:v>123</c:v>
                </c:pt>
                <c:pt idx="5">
                  <c:v>155</c:v>
                </c:pt>
                <c:pt idx="6">
                  <c:v>124</c:v>
                </c:pt>
                <c:pt idx="7">
                  <c:v>36</c:v>
                </c:pt>
                <c:pt idx="8">
                  <c:v>75</c:v>
                </c:pt>
                <c:pt idx="9">
                  <c:v>113</c:v>
                </c:pt>
                <c:pt idx="10">
                  <c:v>51</c:v>
                </c:pt>
                <c:pt idx="11">
                  <c:v>232</c:v>
                </c:pt>
                <c:pt idx="12">
                  <c:v>120</c:v>
                </c:pt>
                <c:pt idx="13">
                  <c:v>89</c:v>
                </c:pt>
                <c:pt idx="14">
                  <c:v>46</c:v>
                </c:pt>
                <c:pt idx="15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A8-4E20-AFB4-2F6C51DD6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508159"/>
        <c:axId val="280434815"/>
      </c:lineChart>
      <c:catAx>
        <c:axId val="168950433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9501840"/>
        <c:crosses val="autoZero"/>
        <c:auto val="1"/>
        <c:lblAlgn val="ctr"/>
        <c:lblOffset val="100"/>
        <c:noMultiLvlLbl val="0"/>
      </c:catAx>
      <c:valAx>
        <c:axId val="1689501840"/>
        <c:scaling>
          <c:orientation val="minMax"/>
          <c:max val="7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Gross Total / unité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9504336"/>
        <c:crosses val="autoZero"/>
        <c:crossBetween val="between"/>
      </c:valAx>
      <c:valAx>
        <c:axId val="28043481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Nb unités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508159"/>
        <c:crosses val="max"/>
        <c:crossBetween val="between"/>
      </c:valAx>
      <c:catAx>
        <c:axId val="2115081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80434815"/>
        <c:crosses val="autoZero"/>
        <c:auto val="1"/>
        <c:lblAlgn val="ctr"/>
        <c:lblOffset val="100"/>
        <c:noMultiLvlLbl val="0"/>
      </c:cat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2.0325479233789353E-2"/>
          <c:y val="3.8866486482543545E-2"/>
          <c:w val="0.3460155711014285"/>
          <c:h val="0.101104690078561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 YTD Gross per Unit vs Budget'!$B$2</c:f>
          <c:strCache>
            <c:ptCount val="1"/>
            <c:pt idx="0">
              <c:v>August Actual YTD Gross / Unité vs Budget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sng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9233813011053645E-2"/>
          <c:y val="0.17438250002518316"/>
          <c:w val="0.90676243072586282"/>
          <c:h val="0.723831648608308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'AC YTD Gross per Unit vs Budget'!$B$4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7CB953"/>
            </a:solidFill>
            <a:ln>
              <a:solidFill>
                <a:schemeClr val="accent6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'AC YTD Gross per Unit vs Budget'!$C$3:$S$3</c:f>
              <c:strCache>
                <c:ptCount val="16"/>
                <c:pt idx="0">
                  <c:v>CONSO</c:v>
                </c:pt>
                <c:pt idx="1">
                  <c:v>AUDI</c:v>
                </c:pt>
                <c:pt idx="2">
                  <c:v>INFINITI</c:v>
                </c:pt>
                <c:pt idx="3">
                  <c:v>HONDA</c:v>
                </c:pt>
                <c:pt idx="4">
                  <c:v>TOYOTA</c:v>
                </c:pt>
                <c:pt idx="5">
                  <c:v>VOLKS</c:v>
                </c:pt>
                <c:pt idx="6">
                  <c:v>BMW PA</c:v>
                </c:pt>
                <c:pt idx="7">
                  <c:v>MINI</c:v>
                </c:pt>
                <c:pt idx="8">
                  <c:v>BMW STJ</c:v>
                </c:pt>
                <c:pt idx="9">
                  <c:v>LEXUS</c:v>
                </c:pt>
                <c:pt idx="10">
                  <c:v>BMW SHER</c:v>
                </c:pt>
                <c:pt idx="11">
                  <c:v>SSMB</c:v>
                </c:pt>
                <c:pt idx="12">
                  <c:v>MBQ</c:v>
                </c:pt>
                <c:pt idx="13">
                  <c:v>VOLVO</c:v>
                </c:pt>
                <c:pt idx="14">
                  <c:v>JLR</c:v>
                </c:pt>
                <c:pt idx="15">
                  <c:v>LHD</c:v>
                </c:pt>
              </c:strCache>
            </c:strRef>
          </c:cat>
          <c:val>
            <c:numRef>
              <c:f>'AC YTD Gross per Unit vs Budget'!$C$35:$S$35</c:f>
              <c:numCache>
                <c:formatCode>"$"#,##0</c:formatCode>
                <c:ptCount val="16"/>
                <c:pt idx="0">
                  <c:v>3132.1755955844565</c:v>
                </c:pt>
                <c:pt idx="1">
                  <c:v>2887.2166573816112</c:v>
                </c:pt>
                <c:pt idx="2">
                  <c:v>68.935882352946052</c:v>
                </c:pt>
                <c:pt idx="3">
                  <c:v>2340.7031773879107</c:v>
                </c:pt>
                <c:pt idx="4">
                  <c:v>3177.4409410430767</c:v>
                </c:pt>
                <c:pt idx="5">
                  <c:v>2657.7768322295778</c:v>
                </c:pt>
                <c:pt idx="6">
                  <c:v>3186.2884154929538</c:v>
                </c:pt>
                <c:pt idx="7">
                  <c:v>2456.2552588555814</c:v>
                </c:pt>
                <c:pt idx="8">
                  <c:v>2928.6976679841864</c:v>
                </c:pt>
                <c:pt idx="9">
                  <c:v>2789.4455839416037</c:v>
                </c:pt>
                <c:pt idx="10">
                  <c:v>3676.6832321041179</c:v>
                </c:pt>
                <c:pt idx="11">
                  <c:v>3630.7211888111892</c:v>
                </c:pt>
                <c:pt idx="12">
                  <c:v>3402.6237084673066</c:v>
                </c:pt>
                <c:pt idx="13">
                  <c:v>3425.7173677884575</c:v>
                </c:pt>
                <c:pt idx="14">
                  <c:v>3354.7865451055618</c:v>
                </c:pt>
                <c:pt idx="15">
                  <c:v>3440.439593495933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FB-4752-B9EA-A77629AE8F9B}"/>
            </c:ext>
          </c:extLst>
        </c:ser>
        <c:ser>
          <c:idx val="1"/>
          <c:order val="1"/>
          <c:tx>
            <c:strRef>
              <c:f>'AC YTD Gross per Unit vs Budget'!$B$37</c:f>
              <c:strCache>
                <c:ptCount val="1"/>
                <c:pt idx="0">
                  <c:v>Budget 2025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'AC YTD Gross per Unit vs Budget'!$C$3:$S$3</c:f>
              <c:strCache>
                <c:ptCount val="16"/>
                <c:pt idx="0">
                  <c:v>CONSO</c:v>
                </c:pt>
                <c:pt idx="1">
                  <c:v>AUDI</c:v>
                </c:pt>
                <c:pt idx="2">
                  <c:v>INFINITI</c:v>
                </c:pt>
                <c:pt idx="3">
                  <c:v>HONDA</c:v>
                </c:pt>
                <c:pt idx="4">
                  <c:v>TOYOTA</c:v>
                </c:pt>
                <c:pt idx="5">
                  <c:v>VOLKS</c:v>
                </c:pt>
                <c:pt idx="6">
                  <c:v>BMW PA</c:v>
                </c:pt>
                <c:pt idx="7">
                  <c:v>MINI</c:v>
                </c:pt>
                <c:pt idx="8">
                  <c:v>BMW STJ</c:v>
                </c:pt>
                <c:pt idx="9">
                  <c:v>LEXUS</c:v>
                </c:pt>
                <c:pt idx="10">
                  <c:v>BMW SHER</c:v>
                </c:pt>
                <c:pt idx="11">
                  <c:v>SSMB</c:v>
                </c:pt>
                <c:pt idx="12">
                  <c:v>MBQ</c:v>
                </c:pt>
                <c:pt idx="13">
                  <c:v>VOLVO</c:v>
                </c:pt>
                <c:pt idx="14">
                  <c:v>JLR</c:v>
                </c:pt>
                <c:pt idx="15">
                  <c:v>LHD</c:v>
                </c:pt>
              </c:strCache>
            </c:strRef>
          </c:cat>
          <c:val>
            <c:numRef>
              <c:f>'AC YTD Gross per Unit vs Budget'!$C$68:$S$68</c:f>
              <c:numCache>
                <c:formatCode>"$"#,##0</c:formatCode>
                <c:ptCount val="16"/>
                <c:pt idx="0">
                  <c:v>2864.8306052860266</c:v>
                </c:pt>
                <c:pt idx="1">
                  <c:v>2660.3379026536022</c:v>
                </c:pt>
                <c:pt idx="2">
                  <c:v>1745.3477750228383</c:v>
                </c:pt>
                <c:pt idx="3">
                  <c:v>2310.3241507679022</c:v>
                </c:pt>
                <c:pt idx="4">
                  <c:v>2801.2331047992166</c:v>
                </c:pt>
                <c:pt idx="5">
                  <c:v>2605.0480951338927</c:v>
                </c:pt>
                <c:pt idx="6">
                  <c:v>2767.7980158537061</c:v>
                </c:pt>
                <c:pt idx="7">
                  <c:v>2541.6110880398674</c:v>
                </c:pt>
                <c:pt idx="8">
                  <c:v>2514.7304156354785</c:v>
                </c:pt>
                <c:pt idx="9">
                  <c:v>2750.4801536491677</c:v>
                </c:pt>
                <c:pt idx="10">
                  <c:v>3141.0902919401992</c:v>
                </c:pt>
                <c:pt idx="11">
                  <c:v>3505.0999272773602</c:v>
                </c:pt>
                <c:pt idx="12">
                  <c:v>3198.354226588488</c:v>
                </c:pt>
                <c:pt idx="13">
                  <c:v>3145.3342370533414</c:v>
                </c:pt>
                <c:pt idx="14">
                  <c:v>2053.8354898460043</c:v>
                </c:pt>
                <c:pt idx="15">
                  <c:v>3315.6429942418426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FB-4752-B9EA-A77629AE8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9504336"/>
        <c:axId val="1689501840"/>
      </c:barChart>
      <c:lineChart>
        <c:grouping val="standard"/>
        <c:varyColors val="0"/>
        <c:ser>
          <c:idx val="2"/>
          <c:order val="2"/>
          <c:tx>
            <c:v>Unités Actual</c:v>
          </c:tx>
          <c:spPr>
            <a:ln w="25400" cap="rnd">
              <a:solidFill>
                <a:schemeClr val="accent6">
                  <a:lumMod val="60000"/>
                  <a:lumOff val="4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'AC YTD Gross per Unit vs Budget'!$C$3:$S$3</c:f>
              <c:strCache>
                <c:ptCount val="16"/>
                <c:pt idx="0">
                  <c:v>CONSO</c:v>
                </c:pt>
                <c:pt idx="1">
                  <c:v>AUDI</c:v>
                </c:pt>
                <c:pt idx="2">
                  <c:v>INFINITI</c:v>
                </c:pt>
                <c:pt idx="3">
                  <c:v>HONDA</c:v>
                </c:pt>
                <c:pt idx="4">
                  <c:v>TOYOTA</c:v>
                </c:pt>
                <c:pt idx="5">
                  <c:v>VOLKS</c:v>
                </c:pt>
                <c:pt idx="6">
                  <c:v>BMW PA</c:v>
                </c:pt>
                <c:pt idx="7">
                  <c:v>MINI</c:v>
                </c:pt>
                <c:pt idx="8">
                  <c:v>BMW STJ</c:v>
                </c:pt>
                <c:pt idx="9">
                  <c:v>LEXUS</c:v>
                </c:pt>
                <c:pt idx="10">
                  <c:v>BMW SHER</c:v>
                </c:pt>
                <c:pt idx="11">
                  <c:v>SSMB</c:v>
                </c:pt>
                <c:pt idx="12">
                  <c:v>MBQ</c:v>
                </c:pt>
                <c:pt idx="13">
                  <c:v>VOLVO</c:v>
                </c:pt>
                <c:pt idx="14">
                  <c:v>JLR</c:v>
                </c:pt>
                <c:pt idx="15">
                  <c:v>LHD</c:v>
                </c:pt>
              </c:strCache>
            </c:strRef>
          </c:cat>
          <c:val>
            <c:numRef>
              <c:f>('AC YTD Gross per Unit vs Budget'!$A$12,'AC YTD Gross per Unit vs Budget'!$D$12:$S$12)</c:f>
              <c:numCache>
                <c:formatCode>#,##0</c:formatCode>
                <c:ptCount val="16"/>
                <c:pt idx="1">
                  <c:v>1436</c:v>
                </c:pt>
                <c:pt idx="2">
                  <c:v>51</c:v>
                </c:pt>
                <c:pt idx="3">
                  <c:v>513</c:v>
                </c:pt>
                <c:pt idx="4">
                  <c:v>882</c:v>
                </c:pt>
                <c:pt idx="5">
                  <c:v>906</c:v>
                </c:pt>
                <c:pt idx="6">
                  <c:v>852</c:v>
                </c:pt>
                <c:pt idx="7">
                  <c:v>367</c:v>
                </c:pt>
                <c:pt idx="8">
                  <c:v>759</c:v>
                </c:pt>
                <c:pt idx="9">
                  <c:v>822</c:v>
                </c:pt>
                <c:pt idx="10">
                  <c:v>461</c:v>
                </c:pt>
                <c:pt idx="11">
                  <c:v>1859</c:v>
                </c:pt>
                <c:pt idx="12">
                  <c:v>933</c:v>
                </c:pt>
                <c:pt idx="13">
                  <c:v>832</c:v>
                </c:pt>
                <c:pt idx="14">
                  <c:v>521</c:v>
                </c:pt>
                <c:pt idx="15">
                  <c:v>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FB-4752-B9EA-A77629AE8F9B}"/>
            </c:ext>
          </c:extLst>
        </c:ser>
        <c:ser>
          <c:idx val="3"/>
          <c:order val="3"/>
          <c:tx>
            <c:v>Unités Budget</c:v>
          </c:tx>
          <c:spPr>
            <a:ln w="25400" cap="rnd">
              <a:solidFill>
                <a:schemeClr val="accent5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'AC YTD Gross per Unit vs Budget'!$C$37:$S$37</c:f>
              <c:numCache>
                <c:formatCode>General</c:formatCode>
                <c:ptCount val="16"/>
              </c:numCache>
            </c:numRef>
          </c:cat>
          <c:val>
            <c:numRef>
              <c:f>('AC YTD Gross per Unit vs Budget'!$A$45,'AC YTD Gross per Unit vs Budget'!$D$45:$S$45)</c:f>
              <c:numCache>
                <c:formatCode>#,##0</c:formatCode>
                <c:ptCount val="16"/>
                <c:pt idx="1">
                  <c:v>1520</c:v>
                </c:pt>
                <c:pt idx="2">
                  <c:v>194</c:v>
                </c:pt>
                <c:pt idx="3">
                  <c:v>505</c:v>
                </c:pt>
                <c:pt idx="4">
                  <c:v>1021</c:v>
                </c:pt>
                <c:pt idx="5">
                  <c:v>1042</c:v>
                </c:pt>
                <c:pt idx="6">
                  <c:v>842.9701</c:v>
                </c:pt>
                <c:pt idx="7">
                  <c:v>344</c:v>
                </c:pt>
                <c:pt idx="8">
                  <c:v>674</c:v>
                </c:pt>
                <c:pt idx="9">
                  <c:v>781</c:v>
                </c:pt>
                <c:pt idx="10">
                  <c:v>499</c:v>
                </c:pt>
                <c:pt idx="11">
                  <c:v>1829</c:v>
                </c:pt>
                <c:pt idx="12">
                  <c:v>1068</c:v>
                </c:pt>
                <c:pt idx="13">
                  <c:v>769</c:v>
                </c:pt>
                <c:pt idx="14">
                  <c:v>559.52355774712123</c:v>
                </c:pt>
                <c:pt idx="15">
                  <c:v>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3FB-4752-B9EA-A77629AE8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4707552"/>
        <c:axId val="524706304"/>
      </c:lineChart>
      <c:catAx>
        <c:axId val="168950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9501840"/>
        <c:crosses val="autoZero"/>
        <c:auto val="1"/>
        <c:lblAlgn val="ctr"/>
        <c:lblOffset val="100"/>
        <c:noMultiLvlLbl val="0"/>
      </c:catAx>
      <c:valAx>
        <c:axId val="1689501840"/>
        <c:scaling>
          <c:orientation val="minMax"/>
          <c:max val="600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strRef>
              <c:f>'AC YTD Gross per Unit vs Budget'!$B$101</c:f>
              <c:strCache>
                <c:ptCount val="1"/>
                <c:pt idx="0">
                  <c:v>Gross Total / Unité</c:v>
                </c:pt>
              </c:strCache>
            </c:strRef>
          </c:tx>
          <c:layout>
            <c:manualLayout>
              <c:xMode val="edge"/>
              <c:yMode val="edge"/>
              <c:x val="7.0962056626015079E-3"/>
              <c:y val="0.35017039452820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9504336"/>
        <c:crosses val="autoZero"/>
        <c:crossBetween val="between"/>
      </c:valAx>
      <c:valAx>
        <c:axId val="524706304"/>
        <c:scaling>
          <c:orientation val="minMax"/>
          <c:max val="200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Nb unités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24707552"/>
        <c:crosses val="max"/>
        <c:crossBetween val="between"/>
        <c:majorUnit val="200"/>
        <c:minorUnit val="100"/>
      </c:valAx>
      <c:catAx>
        <c:axId val="5247075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24706304"/>
        <c:crosses val="autoZero"/>
        <c:auto val="1"/>
        <c:lblAlgn val="ctr"/>
        <c:lblOffset val="100"/>
        <c:noMultiLvlLbl val="0"/>
      </c:cat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2.213608620354824E-2"/>
          <c:y val="3.8866486482543545E-2"/>
          <c:w val="0.35583240653441073"/>
          <c:h val="0.101104690078561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 YTD Gross per Unit vs Last Y'!$B$2</c:f>
          <c:strCache>
            <c:ptCount val="1"/>
            <c:pt idx="0">
              <c:v>August Actual YTD Gross / Unité vs Last Year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sng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5.1394866614367117E-2"/>
          <c:y val="0.17438240875477606"/>
          <c:w val="0.89622293260563368"/>
          <c:h val="0.723831648608308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'AC YTD Gross per Unit vs Last Y'!$B$4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7CB953"/>
            </a:solidFill>
            <a:ln>
              <a:solidFill>
                <a:schemeClr val="accent6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'AC YTD Gross per Unit vs Last Y'!$C$3:$S$3</c:f>
              <c:strCache>
                <c:ptCount val="16"/>
                <c:pt idx="0">
                  <c:v>CONSO</c:v>
                </c:pt>
                <c:pt idx="1">
                  <c:v>AUDI</c:v>
                </c:pt>
                <c:pt idx="2">
                  <c:v>INFINITI</c:v>
                </c:pt>
                <c:pt idx="3">
                  <c:v>HONDA</c:v>
                </c:pt>
                <c:pt idx="4">
                  <c:v>TOYOTA</c:v>
                </c:pt>
                <c:pt idx="5">
                  <c:v>VOLKS</c:v>
                </c:pt>
                <c:pt idx="6">
                  <c:v>BMW PA</c:v>
                </c:pt>
                <c:pt idx="7">
                  <c:v>MINI</c:v>
                </c:pt>
                <c:pt idx="8">
                  <c:v>BMW STJ</c:v>
                </c:pt>
                <c:pt idx="9">
                  <c:v>LEXUS</c:v>
                </c:pt>
                <c:pt idx="10">
                  <c:v>BMW SHER</c:v>
                </c:pt>
                <c:pt idx="11">
                  <c:v>SSMB</c:v>
                </c:pt>
                <c:pt idx="12">
                  <c:v>MBQ</c:v>
                </c:pt>
                <c:pt idx="13">
                  <c:v>VOLVO</c:v>
                </c:pt>
                <c:pt idx="14">
                  <c:v>JLR</c:v>
                </c:pt>
                <c:pt idx="15">
                  <c:v>LHD</c:v>
                </c:pt>
              </c:strCache>
            </c:strRef>
          </c:cat>
          <c:val>
            <c:numRef>
              <c:f>'AC YTD Gross per Unit vs Last Y'!$C$35:$S$35</c:f>
              <c:numCache>
                <c:formatCode>"$"#,##0</c:formatCode>
                <c:ptCount val="16"/>
                <c:pt idx="0">
                  <c:v>3132.1755955844565</c:v>
                </c:pt>
                <c:pt idx="1">
                  <c:v>2887.2166573816112</c:v>
                </c:pt>
                <c:pt idx="2">
                  <c:v>68.935882352946052</c:v>
                </c:pt>
                <c:pt idx="3">
                  <c:v>2340.7031773879107</c:v>
                </c:pt>
                <c:pt idx="4">
                  <c:v>3177.4409410430767</c:v>
                </c:pt>
                <c:pt idx="5">
                  <c:v>2657.7768322295778</c:v>
                </c:pt>
                <c:pt idx="6">
                  <c:v>3186.2884154929538</c:v>
                </c:pt>
                <c:pt idx="7">
                  <c:v>2456.2552588555814</c:v>
                </c:pt>
                <c:pt idx="8">
                  <c:v>2928.6976679841864</c:v>
                </c:pt>
                <c:pt idx="9">
                  <c:v>2789.4455839416037</c:v>
                </c:pt>
                <c:pt idx="10">
                  <c:v>3676.6832321041179</c:v>
                </c:pt>
                <c:pt idx="11">
                  <c:v>3630.7211888111892</c:v>
                </c:pt>
                <c:pt idx="12">
                  <c:v>3402.6237084673066</c:v>
                </c:pt>
                <c:pt idx="13">
                  <c:v>3425.7173677884575</c:v>
                </c:pt>
                <c:pt idx="14">
                  <c:v>3354.7865451055618</c:v>
                </c:pt>
                <c:pt idx="15">
                  <c:v>3440.439593495933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C7-4003-B5C0-78CFA2559F4F}"/>
            </c:ext>
          </c:extLst>
        </c:ser>
        <c:ser>
          <c:idx val="1"/>
          <c:order val="1"/>
          <c:tx>
            <c:strRef>
              <c:f>'AC YTD Gross per Unit vs Last Y'!$B$37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'AC YTD Gross per Unit vs Last Y'!$C$3:$S$3</c:f>
              <c:strCache>
                <c:ptCount val="16"/>
                <c:pt idx="0">
                  <c:v>CONSO</c:v>
                </c:pt>
                <c:pt idx="1">
                  <c:v>AUDI</c:v>
                </c:pt>
                <c:pt idx="2">
                  <c:v>INFINITI</c:v>
                </c:pt>
                <c:pt idx="3">
                  <c:v>HONDA</c:v>
                </c:pt>
                <c:pt idx="4">
                  <c:v>TOYOTA</c:v>
                </c:pt>
                <c:pt idx="5">
                  <c:v>VOLKS</c:v>
                </c:pt>
                <c:pt idx="6">
                  <c:v>BMW PA</c:v>
                </c:pt>
                <c:pt idx="7">
                  <c:v>MINI</c:v>
                </c:pt>
                <c:pt idx="8">
                  <c:v>BMW STJ</c:v>
                </c:pt>
                <c:pt idx="9">
                  <c:v>LEXUS</c:v>
                </c:pt>
                <c:pt idx="10">
                  <c:v>BMW SHER</c:v>
                </c:pt>
                <c:pt idx="11">
                  <c:v>SSMB</c:v>
                </c:pt>
                <c:pt idx="12">
                  <c:v>MBQ</c:v>
                </c:pt>
                <c:pt idx="13">
                  <c:v>VOLVO</c:v>
                </c:pt>
                <c:pt idx="14">
                  <c:v>JLR</c:v>
                </c:pt>
                <c:pt idx="15">
                  <c:v>LHD</c:v>
                </c:pt>
              </c:strCache>
            </c:strRef>
          </c:cat>
          <c:val>
            <c:numRef>
              <c:f>'AC YTD Gross per Unit vs Last Y'!$C$68:$S$68</c:f>
              <c:numCache>
                <c:formatCode>"$"#,##0</c:formatCode>
                <c:ptCount val="16"/>
                <c:pt idx="0">
                  <c:v>2765.2177492974492</c:v>
                </c:pt>
                <c:pt idx="1">
                  <c:v>2426.1753205128157</c:v>
                </c:pt>
                <c:pt idx="2">
                  <c:v>993.14865853658307</c:v>
                </c:pt>
                <c:pt idx="3">
                  <c:v>2448.6652913752878</c:v>
                </c:pt>
                <c:pt idx="4">
                  <c:v>2793.7019693877492</c:v>
                </c:pt>
                <c:pt idx="5">
                  <c:v>2134.0981690140802</c:v>
                </c:pt>
                <c:pt idx="6">
                  <c:v>2611.0120730270864</c:v>
                </c:pt>
                <c:pt idx="7">
                  <c:v>2102.3218210862588</c:v>
                </c:pt>
                <c:pt idx="8">
                  <c:v>2476.4287091503224</c:v>
                </c:pt>
                <c:pt idx="9">
                  <c:v>2535.5738541666619</c:v>
                </c:pt>
                <c:pt idx="10">
                  <c:v>3305.999659090905</c:v>
                </c:pt>
                <c:pt idx="11">
                  <c:v>3593.0609027777723</c:v>
                </c:pt>
                <c:pt idx="12">
                  <c:v>3081.3683062880273</c:v>
                </c:pt>
                <c:pt idx="13">
                  <c:v>2808.8153077975348</c:v>
                </c:pt>
                <c:pt idx="14">
                  <c:v>2439.0421341463393</c:v>
                </c:pt>
                <c:pt idx="15">
                  <c:v>3429.7084232365096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C7-4003-B5C0-78CFA2559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9504336"/>
        <c:axId val="1689501840"/>
      </c:barChart>
      <c:lineChart>
        <c:grouping val="standard"/>
        <c:varyColors val="0"/>
        <c:ser>
          <c:idx val="2"/>
          <c:order val="2"/>
          <c:tx>
            <c:v>Unités Actual</c:v>
          </c:tx>
          <c:spPr>
            <a:ln w="25400" cap="rnd">
              <a:solidFill>
                <a:schemeClr val="accent6">
                  <a:lumMod val="60000"/>
                  <a:lumOff val="4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'AC YTD Gross per Unit vs Last Y'!$C$3:$S$3</c:f>
              <c:strCache>
                <c:ptCount val="16"/>
                <c:pt idx="0">
                  <c:v>CONSO</c:v>
                </c:pt>
                <c:pt idx="1">
                  <c:v>AUDI</c:v>
                </c:pt>
                <c:pt idx="2">
                  <c:v>INFINITI</c:v>
                </c:pt>
                <c:pt idx="3">
                  <c:v>HONDA</c:v>
                </c:pt>
                <c:pt idx="4">
                  <c:v>TOYOTA</c:v>
                </c:pt>
                <c:pt idx="5">
                  <c:v>VOLKS</c:v>
                </c:pt>
                <c:pt idx="6">
                  <c:v>BMW PA</c:v>
                </c:pt>
                <c:pt idx="7">
                  <c:v>MINI</c:v>
                </c:pt>
                <c:pt idx="8">
                  <c:v>BMW STJ</c:v>
                </c:pt>
                <c:pt idx="9">
                  <c:v>LEXUS</c:v>
                </c:pt>
                <c:pt idx="10">
                  <c:v>BMW SHER</c:v>
                </c:pt>
                <c:pt idx="11">
                  <c:v>SSMB</c:v>
                </c:pt>
                <c:pt idx="12">
                  <c:v>MBQ</c:v>
                </c:pt>
                <c:pt idx="13">
                  <c:v>VOLVO</c:v>
                </c:pt>
                <c:pt idx="14">
                  <c:v>JLR</c:v>
                </c:pt>
                <c:pt idx="15">
                  <c:v>LHD</c:v>
                </c:pt>
              </c:strCache>
            </c:strRef>
          </c:cat>
          <c:val>
            <c:numRef>
              <c:f>('AC YTD Gross per Unit vs Last Y'!$A$12,'AC YTD Gross per Unit vs Last Y'!$D$12:$S$12)</c:f>
              <c:numCache>
                <c:formatCode>#,##0</c:formatCode>
                <c:ptCount val="16"/>
                <c:pt idx="1">
                  <c:v>1436</c:v>
                </c:pt>
                <c:pt idx="2">
                  <c:v>51</c:v>
                </c:pt>
                <c:pt idx="3">
                  <c:v>513</c:v>
                </c:pt>
                <c:pt idx="4">
                  <c:v>882</c:v>
                </c:pt>
                <c:pt idx="5">
                  <c:v>906</c:v>
                </c:pt>
                <c:pt idx="6">
                  <c:v>852</c:v>
                </c:pt>
                <c:pt idx="7">
                  <c:v>367</c:v>
                </c:pt>
                <c:pt idx="8">
                  <c:v>759</c:v>
                </c:pt>
                <c:pt idx="9">
                  <c:v>822</c:v>
                </c:pt>
                <c:pt idx="10">
                  <c:v>461</c:v>
                </c:pt>
                <c:pt idx="11">
                  <c:v>1859</c:v>
                </c:pt>
                <c:pt idx="12">
                  <c:v>933</c:v>
                </c:pt>
                <c:pt idx="13">
                  <c:v>832</c:v>
                </c:pt>
                <c:pt idx="14">
                  <c:v>521</c:v>
                </c:pt>
                <c:pt idx="15">
                  <c:v>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C7-4003-B5C0-78CFA2559F4F}"/>
            </c:ext>
          </c:extLst>
        </c:ser>
        <c:ser>
          <c:idx val="3"/>
          <c:order val="3"/>
          <c:tx>
            <c:v>Unités Budget</c:v>
          </c:tx>
          <c:spPr>
            <a:ln w="25400" cap="rnd">
              <a:solidFill>
                <a:schemeClr val="accent5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'AC YTD Gross per Unit vs Last Y'!$C$37:$S$37</c:f>
              <c:numCache>
                <c:formatCode>General</c:formatCode>
                <c:ptCount val="16"/>
              </c:numCache>
            </c:numRef>
          </c:cat>
          <c:val>
            <c:numRef>
              <c:f>('AC YTD Gross per Unit vs Last Y'!$A$45,'AC YTD Gross per Unit vs Last Y'!$D$45:$S$45)</c:f>
              <c:numCache>
                <c:formatCode>#,##0</c:formatCode>
                <c:ptCount val="16"/>
                <c:pt idx="1">
                  <c:v>1560</c:v>
                </c:pt>
                <c:pt idx="2">
                  <c:v>164</c:v>
                </c:pt>
                <c:pt idx="3">
                  <c:v>429</c:v>
                </c:pt>
                <c:pt idx="4">
                  <c:v>980</c:v>
                </c:pt>
                <c:pt idx="5">
                  <c:v>1065</c:v>
                </c:pt>
                <c:pt idx="6">
                  <c:v>849</c:v>
                </c:pt>
                <c:pt idx="7">
                  <c:v>313</c:v>
                </c:pt>
                <c:pt idx="8">
                  <c:v>612</c:v>
                </c:pt>
                <c:pt idx="9">
                  <c:v>768</c:v>
                </c:pt>
                <c:pt idx="10">
                  <c:v>440</c:v>
                </c:pt>
                <c:pt idx="11">
                  <c:v>1872</c:v>
                </c:pt>
                <c:pt idx="12">
                  <c:v>986</c:v>
                </c:pt>
                <c:pt idx="13">
                  <c:v>731</c:v>
                </c:pt>
                <c:pt idx="14">
                  <c:v>492</c:v>
                </c:pt>
                <c:pt idx="15">
                  <c:v>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C7-4003-B5C0-78CFA2559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4707552"/>
        <c:axId val="524706304"/>
      </c:lineChart>
      <c:catAx>
        <c:axId val="168950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9501840"/>
        <c:crosses val="autoZero"/>
        <c:auto val="1"/>
        <c:lblAlgn val="ctr"/>
        <c:lblOffset val="100"/>
        <c:noMultiLvlLbl val="0"/>
      </c:catAx>
      <c:valAx>
        <c:axId val="1689501840"/>
        <c:scaling>
          <c:orientation val="minMax"/>
          <c:max val="7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strRef>
              <c:f>'AC YTD Gross per Unit vs Last Y'!$B$101</c:f>
              <c:strCache>
                <c:ptCount val="1"/>
                <c:pt idx="0">
                  <c:v>Gross Total / Unité</c:v>
                </c:pt>
              </c:strCache>
            </c:strRef>
          </c:tx>
          <c:layout>
            <c:manualLayout>
              <c:xMode val="edge"/>
              <c:yMode val="edge"/>
              <c:x val="7.3860706956672094E-3"/>
              <c:y val="0.31046782685234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9504336"/>
        <c:crosses val="autoZero"/>
        <c:crossBetween val="between"/>
      </c:valAx>
      <c:valAx>
        <c:axId val="524706304"/>
        <c:scaling>
          <c:orientation val="minMax"/>
          <c:max val="200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Nb unités</a:t>
                </a:r>
              </a:p>
            </c:rich>
          </c:tx>
          <c:layout>
            <c:manualLayout>
              <c:xMode val="edge"/>
              <c:yMode val="edge"/>
              <c:x val="0.97420687543698081"/>
              <c:y val="0.437019674480627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24707552"/>
        <c:crosses val="max"/>
        <c:crossBetween val="between"/>
        <c:majorUnit val="200"/>
        <c:minorUnit val="100"/>
      </c:valAx>
      <c:catAx>
        <c:axId val="5247075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24706304"/>
        <c:crosses val="autoZero"/>
        <c:auto val="1"/>
        <c:lblAlgn val="ctr"/>
        <c:lblOffset val="100"/>
        <c:noMultiLvlLbl val="0"/>
      </c:cat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2.0325479233789353E-2"/>
          <c:y val="3.8866486482543545E-2"/>
          <c:w val="0.3460155711014285"/>
          <c:h val="0.101104690078561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15940</xdr:colOff>
      <xdr:row>124</xdr:row>
      <xdr:rowOff>183689</xdr:rowOff>
    </xdr:from>
    <xdr:to>
      <xdr:col>18</xdr:col>
      <xdr:colOff>284512</xdr:colOff>
      <xdr:row>140</xdr:row>
      <xdr:rowOff>96162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CD1FDFC-D663-4038-92CC-B2B1C4AAD1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126399</xdr:colOff>
      <xdr:row>124</xdr:row>
      <xdr:rowOff>808</xdr:rowOff>
    </xdr:from>
    <xdr:to>
      <xdr:col>18</xdr:col>
      <xdr:colOff>243946</xdr:colOff>
      <xdr:row>139</xdr:row>
      <xdr:rowOff>91612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7530F3D-C7AB-4A1A-8CBA-0F3232BC5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2964</xdr:colOff>
      <xdr:row>123</xdr:row>
      <xdr:rowOff>177128</xdr:rowOff>
    </xdr:from>
    <xdr:to>
      <xdr:col>18</xdr:col>
      <xdr:colOff>302266</xdr:colOff>
      <xdr:row>139</xdr:row>
      <xdr:rowOff>74890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4812D70-3AAD-4748-B85D-282EA39839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124785</xdr:colOff>
      <xdr:row>123</xdr:row>
      <xdr:rowOff>183189</xdr:rowOff>
    </xdr:from>
    <xdr:to>
      <xdr:col>18</xdr:col>
      <xdr:colOff>263333</xdr:colOff>
      <xdr:row>139</xdr:row>
      <xdr:rowOff>70474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2E97A34-3B4A-42C8-981C-B3D60E85CC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A308B-E798-4A3C-B269-B8CB9590323A}">
  <sheetPr>
    <tabColor rgb="FF00B050"/>
    <pageSetUpPr fitToPage="1"/>
  </sheetPr>
  <dimension ref="A1:AA124"/>
  <sheetViews>
    <sheetView tabSelected="1" workbookViewId="0">
      <selection activeCell="H45" sqref="H45"/>
    </sheetView>
  </sheetViews>
  <sheetFormatPr baseColWidth="10" defaultColWidth="11.42578125" defaultRowHeight="15" outlineLevelRow="1" x14ac:dyDescent="0.25"/>
  <cols>
    <col min="1" max="1" width="1.5703125" customWidth="1"/>
    <col min="2" max="2" width="29.5703125" customWidth="1"/>
    <col min="3" max="3" width="13.5703125" customWidth="1"/>
    <col min="4" max="5" width="12" customWidth="1"/>
    <col min="6" max="6" width="12" hidden="1" customWidth="1"/>
    <col min="7" max="19" width="12" customWidth="1"/>
    <col min="20" max="20" width="12" hidden="1" customWidth="1"/>
    <col min="21" max="21" width="13.5703125" hidden="1" customWidth="1"/>
    <col min="22" max="22" width="12" hidden="1" customWidth="1"/>
    <col min="26" max="26" width="35.42578125" bestFit="1" customWidth="1"/>
    <col min="27" max="27" width="12.42578125" bestFit="1" customWidth="1"/>
    <col min="29" max="29" width="35.42578125" bestFit="1" customWidth="1"/>
  </cols>
  <sheetData>
    <row r="1" spans="1:27" ht="9.75" customHeight="1" x14ac:dyDescent="0.25">
      <c r="D1" s="1"/>
      <c r="G1" s="1"/>
    </row>
    <row r="2" spans="1:27" ht="18.75" x14ac:dyDescent="0.3">
      <c r="B2" s="2" t="s">
        <v>60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7" x14ac:dyDescent="0.25">
      <c r="B3" s="4"/>
      <c r="C3" s="5" t="s">
        <v>0</v>
      </c>
      <c r="D3" s="5" t="s">
        <v>1</v>
      </c>
      <c r="E3" s="5" t="s">
        <v>2</v>
      </c>
      <c r="F3" s="5" t="s">
        <v>3</v>
      </c>
      <c r="G3" s="5" t="s">
        <v>4</v>
      </c>
      <c r="H3" s="5" t="s">
        <v>5</v>
      </c>
      <c r="I3" s="5" t="s">
        <v>6</v>
      </c>
      <c r="J3" s="5" t="s">
        <v>7</v>
      </c>
      <c r="K3" s="5" t="s">
        <v>8</v>
      </c>
      <c r="L3" s="5" t="s">
        <v>9</v>
      </c>
      <c r="M3" s="5" t="s">
        <v>10</v>
      </c>
      <c r="N3" s="5" t="s">
        <v>11</v>
      </c>
      <c r="O3" s="5" t="s">
        <v>12</v>
      </c>
      <c r="P3" s="5" t="s">
        <v>13</v>
      </c>
      <c r="Q3" s="5" t="s">
        <v>14</v>
      </c>
      <c r="R3" s="5" t="s">
        <v>15</v>
      </c>
      <c r="S3" s="5" t="s">
        <v>16</v>
      </c>
      <c r="T3" s="6"/>
      <c r="U3" s="6"/>
      <c r="V3" s="6"/>
      <c r="AA3" s="7"/>
    </row>
    <row r="4" spans="1:27" x14ac:dyDescent="0.25">
      <c r="B4" s="5" t="s">
        <v>17</v>
      </c>
      <c r="T4" s="5" t="s">
        <v>18</v>
      </c>
      <c r="U4" s="5" t="s">
        <v>19</v>
      </c>
      <c r="V4" s="5" t="s">
        <v>20</v>
      </c>
      <c r="AA4" s="8"/>
    </row>
    <row r="5" spans="1:27" hidden="1" outlineLevel="1" x14ac:dyDescent="0.25">
      <c r="A5" s="9" t="str">
        <f>B5</f>
        <v>NB New</v>
      </c>
      <c r="B5" s="10" t="s">
        <v>21</v>
      </c>
      <c r="C5" s="11">
        <f>+SUM(D5:V5)</f>
        <v>708</v>
      </c>
      <c r="D5" s="12">
        <v>84</v>
      </c>
      <c r="E5" s="12">
        <v>0</v>
      </c>
      <c r="F5" s="12">
        <v>0</v>
      </c>
      <c r="G5" s="12">
        <v>29</v>
      </c>
      <c r="H5" s="12">
        <v>56</v>
      </c>
      <c r="I5" s="12">
        <v>67</v>
      </c>
      <c r="J5" s="12">
        <v>48</v>
      </c>
      <c r="K5" s="12">
        <v>27</v>
      </c>
      <c r="L5" s="12">
        <v>31</v>
      </c>
      <c r="M5" s="12">
        <v>47</v>
      </c>
      <c r="N5" s="12">
        <v>21</v>
      </c>
      <c r="O5" s="12">
        <v>132</v>
      </c>
      <c r="P5" s="12">
        <v>53</v>
      </c>
      <c r="Q5" s="12">
        <v>55</v>
      </c>
      <c r="R5" s="12">
        <v>33</v>
      </c>
      <c r="S5" s="12">
        <v>25</v>
      </c>
      <c r="T5" s="12">
        <v>0</v>
      </c>
      <c r="U5" s="12">
        <v>0</v>
      </c>
      <c r="V5" s="12">
        <v>0</v>
      </c>
      <c r="AA5" s="8"/>
    </row>
    <row r="6" spans="1:27" hidden="1" outlineLevel="1" x14ac:dyDescent="0.25">
      <c r="A6" s="9" t="str">
        <f t="shared" ref="A6:A21" si="0">B6</f>
        <v>NB Fleet</v>
      </c>
      <c r="B6" s="13" t="s">
        <v>22</v>
      </c>
      <c r="C6" s="14">
        <f>+SUM(D6:V6)</f>
        <v>33</v>
      </c>
      <c r="D6" s="15">
        <v>5</v>
      </c>
      <c r="E6" s="15">
        <v>0</v>
      </c>
      <c r="F6" s="15">
        <v>0</v>
      </c>
      <c r="G6" s="15">
        <v>0</v>
      </c>
      <c r="H6" s="15">
        <v>0</v>
      </c>
      <c r="I6" s="15">
        <v>2</v>
      </c>
      <c r="J6" s="15">
        <v>4</v>
      </c>
      <c r="K6" s="15">
        <v>1</v>
      </c>
      <c r="L6" s="15">
        <v>2</v>
      </c>
      <c r="M6" s="15">
        <v>7</v>
      </c>
      <c r="N6" s="15">
        <v>0</v>
      </c>
      <c r="O6" s="15">
        <v>0</v>
      </c>
      <c r="P6" s="15">
        <v>6</v>
      </c>
      <c r="Q6" s="15">
        <v>1</v>
      </c>
      <c r="R6" s="15">
        <v>5</v>
      </c>
      <c r="S6" s="15">
        <v>0</v>
      </c>
      <c r="T6" s="15">
        <v>0</v>
      </c>
      <c r="U6" s="15">
        <v>0</v>
      </c>
      <c r="V6" s="15">
        <v>0</v>
      </c>
      <c r="AA6" s="8"/>
    </row>
    <row r="7" spans="1:27" collapsed="1" x14ac:dyDescent="0.25">
      <c r="A7" s="9"/>
      <c r="B7" s="16" t="s">
        <v>23</v>
      </c>
      <c r="C7" s="17">
        <f>SUM(C5:C6)</f>
        <v>741</v>
      </c>
      <c r="D7" s="18">
        <f t="shared" ref="D7:V7" si="1">SUM(D5:D6)</f>
        <v>89</v>
      </c>
      <c r="E7" s="18">
        <f t="shared" si="1"/>
        <v>0</v>
      </c>
      <c r="F7" s="18">
        <f t="shared" si="1"/>
        <v>0</v>
      </c>
      <c r="G7" s="18">
        <f t="shared" si="1"/>
        <v>29</v>
      </c>
      <c r="H7" s="18">
        <f t="shared" si="1"/>
        <v>56</v>
      </c>
      <c r="I7" s="18">
        <f t="shared" si="1"/>
        <v>69</v>
      </c>
      <c r="J7" s="18">
        <f t="shared" si="1"/>
        <v>52</v>
      </c>
      <c r="K7" s="18">
        <f t="shared" si="1"/>
        <v>28</v>
      </c>
      <c r="L7" s="18">
        <f t="shared" si="1"/>
        <v>33</v>
      </c>
      <c r="M7" s="18">
        <f t="shared" si="1"/>
        <v>54</v>
      </c>
      <c r="N7" s="18">
        <f t="shared" si="1"/>
        <v>21</v>
      </c>
      <c r="O7" s="18">
        <f t="shared" si="1"/>
        <v>132</v>
      </c>
      <c r="P7" s="18">
        <f t="shared" si="1"/>
        <v>59</v>
      </c>
      <c r="Q7" s="18">
        <f t="shared" si="1"/>
        <v>56</v>
      </c>
      <c r="R7" s="18">
        <f t="shared" si="1"/>
        <v>38</v>
      </c>
      <c r="S7" s="18">
        <f t="shared" si="1"/>
        <v>25</v>
      </c>
      <c r="T7" s="19">
        <f t="shared" si="1"/>
        <v>0</v>
      </c>
      <c r="U7" s="19">
        <f t="shared" si="1"/>
        <v>0</v>
      </c>
      <c r="V7" s="19">
        <f t="shared" si="1"/>
        <v>0</v>
      </c>
      <c r="AA7" s="8"/>
    </row>
    <row r="8" spans="1:27" ht="14.25" hidden="1" customHeight="1" outlineLevel="1" x14ac:dyDescent="0.25">
      <c r="A8" s="9" t="str">
        <f t="shared" si="0"/>
        <v>NB Used</v>
      </c>
      <c r="B8" s="10" t="s">
        <v>24</v>
      </c>
      <c r="C8" s="11">
        <f>+SUM(D8:V8)</f>
        <v>362</v>
      </c>
      <c r="D8" s="12">
        <v>34</v>
      </c>
      <c r="E8" s="12">
        <v>0</v>
      </c>
      <c r="F8" s="12">
        <v>0</v>
      </c>
      <c r="G8" s="12">
        <v>23</v>
      </c>
      <c r="H8" s="12">
        <v>23</v>
      </c>
      <c r="I8" s="12">
        <v>27</v>
      </c>
      <c r="J8" s="12">
        <v>24</v>
      </c>
      <c r="K8" s="12">
        <v>12</v>
      </c>
      <c r="L8" s="12">
        <v>24</v>
      </c>
      <c r="M8" s="12">
        <v>32</v>
      </c>
      <c r="N8" s="12">
        <v>19</v>
      </c>
      <c r="O8" s="12">
        <v>54</v>
      </c>
      <c r="P8" s="12">
        <v>27</v>
      </c>
      <c r="Q8" s="12">
        <v>35</v>
      </c>
      <c r="R8" s="12">
        <v>6</v>
      </c>
      <c r="S8" s="12">
        <v>22</v>
      </c>
      <c r="T8" s="20">
        <v>0</v>
      </c>
      <c r="U8" s="20">
        <v>0</v>
      </c>
      <c r="V8" s="20">
        <v>0</v>
      </c>
      <c r="AA8" s="8"/>
    </row>
    <row r="9" spans="1:27" hidden="1" outlineLevel="1" x14ac:dyDescent="0.25">
      <c r="A9" s="9" t="str">
        <f t="shared" si="0"/>
        <v>NB US</v>
      </c>
      <c r="B9" s="13" t="s">
        <v>25</v>
      </c>
      <c r="C9" s="14">
        <f>+SUM(D9:V9)</f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21">
        <v>0</v>
      </c>
      <c r="U9" s="21">
        <v>0</v>
      </c>
      <c r="V9" s="21">
        <v>0</v>
      </c>
      <c r="AA9" s="8"/>
    </row>
    <row r="10" spans="1:27" hidden="1" outlineLevel="1" x14ac:dyDescent="0.25">
      <c r="A10" s="9" t="str">
        <f t="shared" si="0"/>
        <v>NB Wholesale</v>
      </c>
      <c r="B10" s="13" t="s">
        <v>26</v>
      </c>
      <c r="C10" s="22">
        <f>+SUM(D10:V10)</f>
        <v>414</v>
      </c>
      <c r="D10" s="23">
        <v>50</v>
      </c>
      <c r="E10" s="23">
        <v>0</v>
      </c>
      <c r="F10" s="23">
        <v>0</v>
      </c>
      <c r="G10" s="23">
        <v>13</v>
      </c>
      <c r="H10" s="23">
        <v>23</v>
      </c>
      <c r="I10" s="23">
        <v>50</v>
      </c>
      <c r="J10" s="23">
        <v>41</v>
      </c>
      <c r="K10" s="23">
        <v>22</v>
      </c>
      <c r="L10" s="23">
        <v>35</v>
      </c>
      <c r="M10" s="23">
        <v>34</v>
      </c>
      <c r="N10" s="23">
        <v>15</v>
      </c>
      <c r="O10" s="23">
        <v>47</v>
      </c>
      <c r="P10" s="23">
        <v>27</v>
      </c>
      <c r="Q10" s="23">
        <v>36</v>
      </c>
      <c r="R10" s="23">
        <v>12</v>
      </c>
      <c r="S10" s="23">
        <v>9</v>
      </c>
      <c r="T10" s="24">
        <v>0</v>
      </c>
      <c r="U10" s="24">
        <v>0</v>
      </c>
      <c r="V10" s="24">
        <v>0</v>
      </c>
      <c r="AA10" s="8"/>
    </row>
    <row r="11" spans="1:27" collapsed="1" x14ac:dyDescent="0.25">
      <c r="A11" s="9"/>
      <c r="B11" s="16" t="s">
        <v>27</v>
      </c>
      <c r="C11" s="17">
        <f t="shared" ref="C11:V11" si="2">SUM(C8:C10)</f>
        <v>776</v>
      </c>
      <c r="D11" s="18">
        <f t="shared" si="2"/>
        <v>84</v>
      </c>
      <c r="E11" s="18">
        <f t="shared" si="2"/>
        <v>0</v>
      </c>
      <c r="F11" s="18">
        <f t="shared" si="2"/>
        <v>0</v>
      </c>
      <c r="G11" s="18">
        <f t="shared" si="2"/>
        <v>36</v>
      </c>
      <c r="H11" s="18">
        <f t="shared" si="2"/>
        <v>46</v>
      </c>
      <c r="I11" s="18">
        <f t="shared" si="2"/>
        <v>77</v>
      </c>
      <c r="J11" s="18">
        <f t="shared" si="2"/>
        <v>65</v>
      </c>
      <c r="K11" s="18">
        <f t="shared" si="2"/>
        <v>34</v>
      </c>
      <c r="L11" s="18">
        <f t="shared" si="2"/>
        <v>59</v>
      </c>
      <c r="M11" s="18">
        <f t="shared" si="2"/>
        <v>66</v>
      </c>
      <c r="N11" s="18">
        <f t="shared" si="2"/>
        <v>34</v>
      </c>
      <c r="O11" s="18">
        <f t="shared" si="2"/>
        <v>101</v>
      </c>
      <c r="P11" s="18">
        <f t="shared" si="2"/>
        <v>54</v>
      </c>
      <c r="Q11" s="18">
        <f t="shared" si="2"/>
        <v>71</v>
      </c>
      <c r="R11" s="18">
        <f t="shared" si="2"/>
        <v>18</v>
      </c>
      <c r="S11" s="18">
        <f t="shared" si="2"/>
        <v>31</v>
      </c>
      <c r="T11" s="19">
        <f t="shared" si="2"/>
        <v>0</v>
      </c>
      <c r="U11" s="19">
        <f t="shared" si="2"/>
        <v>0</v>
      </c>
      <c r="V11" s="19">
        <f t="shared" si="2"/>
        <v>0</v>
      </c>
      <c r="AA11" s="8"/>
    </row>
    <row r="12" spans="1:27" ht="15.75" thickBot="1" x14ac:dyDescent="0.3">
      <c r="A12" s="9"/>
      <c r="B12" s="25" t="s">
        <v>28</v>
      </c>
      <c r="C12" s="11">
        <f t="shared" ref="C12:S12" si="3">+C7+C11</f>
        <v>1517</v>
      </c>
      <c r="D12" s="11">
        <f t="shared" si="3"/>
        <v>173</v>
      </c>
      <c r="E12" s="11">
        <f t="shared" si="3"/>
        <v>0</v>
      </c>
      <c r="F12" s="11">
        <f t="shared" si="3"/>
        <v>0</v>
      </c>
      <c r="G12" s="11">
        <f t="shared" si="3"/>
        <v>65</v>
      </c>
      <c r="H12" s="11">
        <f t="shared" si="3"/>
        <v>102</v>
      </c>
      <c r="I12" s="11">
        <f t="shared" si="3"/>
        <v>146</v>
      </c>
      <c r="J12" s="11">
        <f t="shared" si="3"/>
        <v>117</v>
      </c>
      <c r="K12" s="11">
        <f t="shared" si="3"/>
        <v>62</v>
      </c>
      <c r="L12" s="11">
        <f t="shared" si="3"/>
        <v>92</v>
      </c>
      <c r="M12" s="11">
        <f t="shared" si="3"/>
        <v>120</v>
      </c>
      <c r="N12" s="11">
        <f t="shared" si="3"/>
        <v>55</v>
      </c>
      <c r="O12" s="11">
        <f t="shared" si="3"/>
        <v>233</v>
      </c>
      <c r="P12" s="11">
        <f t="shared" si="3"/>
        <v>113</v>
      </c>
      <c r="Q12" s="11">
        <f t="shared" si="3"/>
        <v>127</v>
      </c>
      <c r="R12" s="11">
        <f t="shared" si="3"/>
        <v>56</v>
      </c>
      <c r="S12" s="11">
        <f t="shared" si="3"/>
        <v>56</v>
      </c>
      <c r="T12" s="26"/>
      <c r="U12" s="26"/>
      <c r="V12" s="26"/>
      <c r="AA12" s="8"/>
    </row>
    <row r="13" spans="1:27" hidden="1" outlineLevel="1" x14ac:dyDescent="0.25">
      <c r="A13" s="9" t="s">
        <v>29</v>
      </c>
      <c r="B13" s="27" t="s">
        <v>30</v>
      </c>
      <c r="C13" s="28">
        <f>+SUM(D13:V13)</f>
        <v>1993009.0099999974</v>
      </c>
      <c r="D13" s="29">
        <v>192170.88999999949</v>
      </c>
      <c r="E13" s="29">
        <v>0</v>
      </c>
      <c r="F13" s="29">
        <v>0</v>
      </c>
      <c r="G13" s="29">
        <v>21552.739999999882</v>
      </c>
      <c r="H13" s="29">
        <v>158373.32999999999</v>
      </c>
      <c r="I13" s="29">
        <v>149931.93999999992</v>
      </c>
      <c r="J13" s="29">
        <v>124313.2500000001</v>
      </c>
      <c r="K13" s="29">
        <v>75753.629999999786</v>
      </c>
      <c r="L13" s="29">
        <v>94700.319999999891</v>
      </c>
      <c r="M13" s="29">
        <v>156677.62999999998</v>
      </c>
      <c r="N13" s="29">
        <v>76732.759999999893</v>
      </c>
      <c r="O13" s="29">
        <v>379240.86999999976</v>
      </c>
      <c r="P13" s="29">
        <v>165698.93999999942</v>
      </c>
      <c r="Q13" s="29">
        <v>203522.50999999899</v>
      </c>
      <c r="R13" s="29">
        <v>120008.27000000002</v>
      </c>
      <c r="S13" s="29">
        <v>74331.929999999993</v>
      </c>
      <c r="T13" s="29">
        <v>0</v>
      </c>
      <c r="U13" s="29">
        <v>0</v>
      </c>
      <c r="V13" s="29">
        <v>0</v>
      </c>
      <c r="AA13" s="8"/>
    </row>
    <row r="14" spans="1:27" hidden="1" outlineLevel="1" x14ac:dyDescent="0.25">
      <c r="A14" s="9"/>
      <c r="B14" s="30" t="s">
        <v>31</v>
      </c>
      <c r="C14" s="31">
        <f>+SUM(D14:V14)</f>
        <v>58667.720000000067</v>
      </c>
      <c r="D14" s="32">
        <v>16575</v>
      </c>
      <c r="E14" s="32">
        <v>0</v>
      </c>
      <c r="F14" s="32">
        <v>0</v>
      </c>
      <c r="G14" s="32">
        <v>4130.6000000000004</v>
      </c>
      <c r="H14" s="32">
        <v>4600</v>
      </c>
      <c r="I14" s="32">
        <v>9461.7300000000396</v>
      </c>
      <c r="J14" s="32">
        <v>4911.3399999999901</v>
      </c>
      <c r="K14" s="32">
        <v>3999</v>
      </c>
      <c r="L14" s="32">
        <v>5994</v>
      </c>
      <c r="M14" s="32">
        <v>2564.1400000000099</v>
      </c>
      <c r="N14" s="32">
        <v>3531</v>
      </c>
      <c r="O14" s="32">
        <v>-730.57000000000698</v>
      </c>
      <c r="P14" s="32">
        <v>0</v>
      </c>
      <c r="Q14" s="32">
        <v>3625.4700000000298</v>
      </c>
      <c r="R14" s="32">
        <v>6.0100000000093097</v>
      </c>
      <c r="S14" s="32">
        <v>0</v>
      </c>
      <c r="T14" s="32">
        <v>0</v>
      </c>
      <c r="U14" s="32">
        <v>0</v>
      </c>
      <c r="V14" s="32">
        <v>0</v>
      </c>
      <c r="AA14" s="8"/>
    </row>
    <row r="15" spans="1:27" hidden="1" outlineLevel="1" x14ac:dyDescent="0.25">
      <c r="A15" s="9" t="str">
        <f t="shared" si="0"/>
        <v>Profit Fleet</v>
      </c>
      <c r="B15" s="30" t="s">
        <v>32</v>
      </c>
      <c r="C15" s="31">
        <f>+SUM(D15:V15)</f>
        <v>100904.65999999981</v>
      </c>
      <c r="D15" s="32">
        <v>19146.150000000001</v>
      </c>
      <c r="E15" s="32">
        <v>0</v>
      </c>
      <c r="F15" s="32">
        <v>0</v>
      </c>
      <c r="G15" s="32">
        <v>0</v>
      </c>
      <c r="H15" s="32">
        <v>0</v>
      </c>
      <c r="I15" s="32">
        <v>1811.83</v>
      </c>
      <c r="J15" s="32">
        <v>5275.9800000000096</v>
      </c>
      <c r="K15" s="32">
        <v>-745.150000000001</v>
      </c>
      <c r="L15" s="32">
        <v>300.25</v>
      </c>
      <c r="M15" s="32">
        <v>15814.369999999901</v>
      </c>
      <c r="N15" s="32">
        <v>0</v>
      </c>
      <c r="O15" s="32">
        <v>0</v>
      </c>
      <c r="P15" s="32">
        <v>32519.29</v>
      </c>
      <c r="Q15" s="32">
        <v>5573.25</v>
      </c>
      <c r="R15" s="32">
        <v>21208.6899999999</v>
      </c>
      <c r="S15" s="32">
        <v>0</v>
      </c>
      <c r="T15" s="32">
        <v>0</v>
      </c>
      <c r="U15" s="32">
        <v>0</v>
      </c>
      <c r="V15" s="32">
        <v>0</v>
      </c>
      <c r="AA15" s="8"/>
    </row>
    <row r="16" spans="1:27" hidden="1" outlineLevel="1" x14ac:dyDescent="0.25">
      <c r="A16" s="9" t="str">
        <f t="shared" si="0"/>
        <v>Profit F&amp;I new</v>
      </c>
      <c r="B16" s="33" t="s">
        <v>33</v>
      </c>
      <c r="C16" s="34">
        <f>+SUM(D16:V16)</f>
        <v>904397.5399999998</v>
      </c>
      <c r="D16" s="35">
        <v>92831.57</v>
      </c>
      <c r="E16" s="35">
        <v>0</v>
      </c>
      <c r="F16" s="35">
        <v>0</v>
      </c>
      <c r="G16" s="35">
        <v>32702.199999999899</v>
      </c>
      <c r="H16" s="35">
        <v>57902.919999999896</v>
      </c>
      <c r="I16" s="35">
        <v>65089.4</v>
      </c>
      <c r="J16" s="35">
        <v>57696.06</v>
      </c>
      <c r="K16" s="35">
        <v>34993.279999999999</v>
      </c>
      <c r="L16" s="35">
        <v>49805.57</v>
      </c>
      <c r="M16" s="35">
        <v>44195.44</v>
      </c>
      <c r="N16" s="35">
        <v>42281.56</v>
      </c>
      <c r="O16" s="35">
        <v>173617.66</v>
      </c>
      <c r="P16" s="35">
        <v>79934.94</v>
      </c>
      <c r="Q16" s="35">
        <v>67836.5</v>
      </c>
      <c r="R16" s="35">
        <v>50312.35</v>
      </c>
      <c r="S16" s="35">
        <v>55198.09</v>
      </c>
      <c r="T16" s="35">
        <v>0</v>
      </c>
      <c r="U16" s="35">
        <v>0</v>
      </c>
      <c r="V16" s="35">
        <v>0</v>
      </c>
      <c r="AA16" s="8"/>
    </row>
    <row r="17" spans="1:27" hidden="1" outlineLevel="1" x14ac:dyDescent="0.25">
      <c r="A17" s="9"/>
      <c r="B17" s="16" t="s">
        <v>34</v>
      </c>
      <c r="C17" s="36">
        <f>+SUM(C13:C16)</f>
        <v>3056978.9299999969</v>
      </c>
      <c r="D17" s="37">
        <f t="shared" ref="D17:V17" si="4">+SUM(D13:D16)</f>
        <v>320723.60999999952</v>
      </c>
      <c r="E17" s="37">
        <f t="shared" si="4"/>
        <v>0</v>
      </c>
      <c r="F17" s="37">
        <f t="shared" si="4"/>
        <v>0</v>
      </c>
      <c r="G17" s="37">
        <f t="shared" si="4"/>
        <v>58385.539999999775</v>
      </c>
      <c r="H17" s="37">
        <f t="shared" si="4"/>
        <v>220876.24999999988</v>
      </c>
      <c r="I17" s="37">
        <f t="shared" si="4"/>
        <v>226294.89999999994</v>
      </c>
      <c r="J17" s="37">
        <f t="shared" si="4"/>
        <v>192196.63000000009</v>
      </c>
      <c r="K17" s="37">
        <f t="shared" si="4"/>
        <v>114000.75999999979</v>
      </c>
      <c r="L17" s="37">
        <f t="shared" si="4"/>
        <v>150800.1399999999</v>
      </c>
      <c r="M17" s="37">
        <f t="shared" si="4"/>
        <v>219251.5799999999</v>
      </c>
      <c r="N17" s="37">
        <f t="shared" si="4"/>
        <v>122545.31999999989</v>
      </c>
      <c r="O17" s="37">
        <f t="shared" si="4"/>
        <v>552127.95999999973</v>
      </c>
      <c r="P17" s="37">
        <f t="shared" si="4"/>
        <v>278153.16999999946</v>
      </c>
      <c r="Q17" s="37">
        <f t="shared" si="4"/>
        <v>280557.72999999905</v>
      </c>
      <c r="R17" s="37">
        <f t="shared" si="4"/>
        <v>191535.31999999992</v>
      </c>
      <c r="S17" s="37">
        <f t="shared" si="4"/>
        <v>129530.01999999999</v>
      </c>
      <c r="T17" s="36">
        <f t="shared" si="4"/>
        <v>0</v>
      </c>
      <c r="U17" s="36">
        <f t="shared" si="4"/>
        <v>0</v>
      </c>
      <c r="V17" s="36">
        <f t="shared" si="4"/>
        <v>0</v>
      </c>
      <c r="AA17" s="8"/>
    </row>
    <row r="18" spans="1:27" hidden="1" outlineLevel="1" x14ac:dyDescent="0.25">
      <c r="A18" s="9" t="str">
        <f t="shared" si="0"/>
        <v>Profit Front used</v>
      </c>
      <c r="B18" s="30" t="s">
        <v>35</v>
      </c>
      <c r="C18" s="31">
        <f>+SUM(D18:V18)</f>
        <v>715513.40999999945</v>
      </c>
      <c r="D18" s="32">
        <v>79169.009999999995</v>
      </c>
      <c r="E18" s="32">
        <v>0</v>
      </c>
      <c r="F18" s="32">
        <v>0</v>
      </c>
      <c r="G18" s="32">
        <v>51546.6499999999</v>
      </c>
      <c r="H18" s="32">
        <v>45122.589999999982</v>
      </c>
      <c r="I18" s="32">
        <v>15027.56</v>
      </c>
      <c r="J18" s="32">
        <v>42666.38</v>
      </c>
      <c r="K18" s="32">
        <v>18216.399999999889</v>
      </c>
      <c r="L18" s="32">
        <v>31027.260000000009</v>
      </c>
      <c r="M18" s="32">
        <v>65743.64</v>
      </c>
      <c r="N18" s="32">
        <v>25110.249999999989</v>
      </c>
      <c r="O18" s="32">
        <v>112592.75999999991</v>
      </c>
      <c r="P18" s="32">
        <v>61599.1700000001</v>
      </c>
      <c r="Q18" s="32">
        <v>116268.69999999979</v>
      </c>
      <c r="R18" s="32">
        <v>16812.39</v>
      </c>
      <c r="S18" s="32">
        <v>34610.6499999999</v>
      </c>
      <c r="T18" s="32">
        <v>0</v>
      </c>
      <c r="U18" s="32">
        <v>0</v>
      </c>
      <c r="V18" s="32">
        <v>0</v>
      </c>
      <c r="AA18" s="8"/>
    </row>
    <row r="19" spans="1:27" hidden="1" outlineLevel="1" x14ac:dyDescent="0.25">
      <c r="A19" s="9" t="str">
        <f t="shared" si="0"/>
        <v>Profit US</v>
      </c>
      <c r="B19" s="30" t="s">
        <v>36</v>
      </c>
      <c r="C19" s="31">
        <f>+SUM(D19:V19)</f>
        <v>0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AA19" s="8"/>
    </row>
    <row r="20" spans="1:27" hidden="1" outlineLevel="1" x14ac:dyDescent="0.25">
      <c r="A20" s="9" t="str">
        <f t="shared" si="0"/>
        <v>Profit Wholesale</v>
      </c>
      <c r="B20" s="30" t="s">
        <v>37</v>
      </c>
      <c r="C20" s="31">
        <f>+SUM(D20:V20)</f>
        <v>278156.22999999975</v>
      </c>
      <c r="D20" s="32">
        <v>42821.84</v>
      </c>
      <c r="E20" s="32">
        <v>0</v>
      </c>
      <c r="F20" s="32">
        <v>0</v>
      </c>
      <c r="G20" s="32">
        <v>12198.7399999999</v>
      </c>
      <c r="H20" s="32">
        <v>18677</v>
      </c>
      <c r="I20" s="32">
        <v>31850.43</v>
      </c>
      <c r="J20" s="32">
        <v>15128.01</v>
      </c>
      <c r="K20" s="32">
        <v>11430.1699999999</v>
      </c>
      <c r="L20" s="32">
        <v>5947.6200000000499</v>
      </c>
      <c r="M20" s="32">
        <v>32844.39</v>
      </c>
      <c r="N20" s="32">
        <v>9680.7900000000009</v>
      </c>
      <c r="O20" s="32">
        <v>50037.879999999903</v>
      </c>
      <c r="P20" s="32">
        <v>-2399.5900000000202</v>
      </c>
      <c r="Q20" s="32">
        <v>21297.96</v>
      </c>
      <c r="R20" s="32">
        <v>26831</v>
      </c>
      <c r="S20" s="32">
        <v>1809.98999999999</v>
      </c>
      <c r="T20" s="32">
        <v>0</v>
      </c>
      <c r="U20" s="32">
        <v>0</v>
      </c>
      <c r="V20" s="32">
        <v>0</v>
      </c>
      <c r="AA20" s="8"/>
    </row>
    <row r="21" spans="1:27" hidden="1" outlineLevel="1" x14ac:dyDescent="0.25">
      <c r="A21" s="9" t="str">
        <f t="shared" si="0"/>
        <v>Profit F&amp;I used</v>
      </c>
      <c r="B21" s="30" t="s">
        <v>38</v>
      </c>
      <c r="C21" s="31">
        <f>+SUM(D21:V21)</f>
        <v>482102.70999999961</v>
      </c>
      <c r="D21" s="32">
        <v>40009.300000000003</v>
      </c>
      <c r="E21" s="32">
        <v>0</v>
      </c>
      <c r="F21" s="32">
        <v>0</v>
      </c>
      <c r="G21" s="32">
        <v>27573.119999999901</v>
      </c>
      <c r="H21" s="32">
        <v>28739.29</v>
      </c>
      <c r="I21" s="32">
        <v>58846.179999999898</v>
      </c>
      <c r="J21" s="32">
        <v>30029.9</v>
      </c>
      <c r="K21" s="32">
        <v>11363.98</v>
      </c>
      <c r="L21" s="32">
        <v>34635.93</v>
      </c>
      <c r="M21" s="32">
        <v>46056.91</v>
      </c>
      <c r="N21" s="32">
        <v>15946.459999999901</v>
      </c>
      <c r="O21" s="32">
        <v>80720.549999999901</v>
      </c>
      <c r="P21" s="32">
        <v>44528.36</v>
      </c>
      <c r="Q21" s="32">
        <v>28317.759999999998</v>
      </c>
      <c r="R21" s="32">
        <v>6477</v>
      </c>
      <c r="S21" s="32">
        <v>28857.97</v>
      </c>
      <c r="T21" s="32">
        <v>0</v>
      </c>
      <c r="U21" s="32">
        <v>0</v>
      </c>
      <c r="V21" s="32">
        <v>0</v>
      </c>
      <c r="AA21" s="8"/>
    </row>
    <row r="22" spans="1:27" hidden="1" outlineLevel="1" x14ac:dyDescent="0.25">
      <c r="A22" s="9"/>
      <c r="B22" s="16" t="s">
        <v>39</v>
      </c>
      <c r="C22" s="36">
        <f>+SUM(C18:C21)</f>
        <v>1475772.3499999987</v>
      </c>
      <c r="D22" s="37">
        <f>+SUM(D18:D21)</f>
        <v>162000.15</v>
      </c>
      <c r="E22" s="37">
        <f t="shared" ref="E22:V22" si="5">+SUM(E18:E21)</f>
        <v>0</v>
      </c>
      <c r="F22" s="37">
        <f t="shared" si="5"/>
        <v>0</v>
      </c>
      <c r="G22" s="37">
        <f t="shared" si="5"/>
        <v>91318.509999999689</v>
      </c>
      <c r="H22" s="37">
        <f t="shared" si="5"/>
        <v>92538.879999999976</v>
      </c>
      <c r="I22" s="37">
        <f t="shared" si="5"/>
        <v>105724.1699999999</v>
      </c>
      <c r="J22" s="37">
        <f t="shared" si="5"/>
        <v>87824.290000000008</v>
      </c>
      <c r="K22" s="37">
        <f t="shared" si="5"/>
        <v>41010.549999999785</v>
      </c>
      <c r="L22" s="37">
        <f t="shared" si="5"/>
        <v>71610.810000000056</v>
      </c>
      <c r="M22" s="37">
        <f t="shared" si="5"/>
        <v>144644.94</v>
      </c>
      <c r="N22" s="37">
        <f t="shared" si="5"/>
        <v>50737.499999999898</v>
      </c>
      <c r="O22" s="37">
        <f t="shared" si="5"/>
        <v>243351.18999999971</v>
      </c>
      <c r="P22" s="37">
        <f t="shared" si="5"/>
        <v>103727.94000000009</v>
      </c>
      <c r="Q22" s="37">
        <f t="shared" si="5"/>
        <v>165884.41999999981</v>
      </c>
      <c r="R22" s="37">
        <f t="shared" si="5"/>
        <v>50120.39</v>
      </c>
      <c r="S22" s="37">
        <f t="shared" si="5"/>
        <v>65278.609999999891</v>
      </c>
      <c r="T22" s="36">
        <f t="shared" si="5"/>
        <v>0</v>
      </c>
      <c r="U22" s="36">
        <f t="shared" si="5"/>
        <v>0</v>
      </c>
      <c r="V22" s="36">
        <f t="shared" si="5"/>
        <v>0</v>
      </c>
      <c r="AA22" s="8"/>
    </row>
    <row r="23" spans="1:27" ht="15.75" hidden="1" outlineLevel="1" thickBot="1" x14ac:dyDescent="0.3">
      <c r="A23" s="9"/>
      <c r="B23" s="27" t="s">
        <v>40</v>
      </c>
      <c r="C23" s="28">
        <f>+C22+C17</f>
        <v>4532751.2799999956</v>
      </c>
      <c r="D23" s="38">
        <f t="shared" ref="D23:S23" si="6">+D22+D17</f>
        <v>482723.75999999954</v>
      </c>
      <c r="E23" s="38">
        <f t="shared" si="6"/>
        <v>0</v>
      </c>
      <c r="F23" s="38">
        <f t="shared" si="6"/>
        <v>0</v>
      </c>
      <c r="G23" s="38">
        <f t="shared" si="6"/>
        <v>149704.04999999946</v>
      </c>
      <c r="H23" s="38">
        <f t="shared" si="6"/>
        <v>313415.12999999989</v>
      </c>
      <c r="I23" s="38">
        <f t="shared" si="6"/>
        <v>332019.06999999983</v>
      </c>
      <c r="J23" s="38">
        <f t="shared" si="6"/>
        <v>280020.9200000001</v>
      </c>
      <c r="K23" s="38">
        <f t="shared" si="6"/>
        <v>155011.30999999959</v>
      </c>
      <c r="L23" s="38">
        <f t="shared" si="6"/>
        <v>222410.94999999995</v>
      </c>
      <c r="M23" s="38">
        <f t="shared" si="6"/>
        <v>363896.5199999999</v>
      </c>
      <c r="N23" s="38">
        <f t="shared" si="6"/>
        <v>173282.81999999977</v>
      </c>
      <c r="O23" s="38">
        <f t="shared" si="6"/>
        <v>795479.14999999944</v>
      </c>
      <c r="P23" s="38">
        <f t="shared" si="6"/>
        <v>381881.10999999952</v>
      </c>
      <c r="Q23" s="38">
        <f t="shared" si="6"/>
        <v>446442.14999999886</v>
      </c>
      <c r="R23" s="38">
        <f t="shared" si="6"/>
        <v>241655.7099999999</v>
      </c>
      <c r="S23" s="38">
        <f t="shared" si="6"/>
        <v>194808.62999999989</v>
      </c>
      <c r="T23" s="28"/>
      <c r="U23" s="28"/>
      <c r="V23" s="28"/>
      <c r="AA23" s="8"/>
    </row>
    <row r="24" spans="1:27" hidden="1" outlineLevel="1" collapsed="1" x14ac:dyDescent="0.25">
      <c r="A24" s="9"/>
      <c r="B24" s="39" t="s">
        <v>41</v>
      </c>
      <c r="C24" s="40">
        <f t="shared" ref="C24:V24" si="7">IFERROR(C13/C5,0)</f>
        <v>2814.9844774011262</v>
      </c>
      <c r="D24" s="41">
        <f t="shared" si="7"/>
        <v>2287.7486904761845</v>
      </c>
      <c r="E24" s="41">
        <f t="shared" si="7"/>
        <v>0</v>
      </c>
      <c r="F24" s="41">
        <f t="shared" si="7"/>
        <v>0</v>
      </c>
      <c r="G24" s="41">
        <f t="shared" si="7"/>
        <v>743.19793103447864</v>
      </c>
      <c r="H24" s="41">
        <f t="shared" si="7"/>
        <v>2828.0951785714283</v>
      </c>
      <c r="I24" s="41">
        <f t="shared" si="7"/>
        <v>2237.7901492537299</v>
      </c>
      <c r="J24" s="41">
        <f t="shared" si="7"/>
        <v>2589.8593750000023</v>
      </c>
      <c r="K24" s="41">
        <f t="shared" si="7"/>
        <v>2805.6899999999919</v>
      </c>
      <c r="L24" s="41">
        <f t="shared" si="7"/>
        <v>3054.849032258061</v>
      </c>
      <c r="M24" s="41">
        <f t="shared" si="7"/>
        <v>3333.5665957446804</v>
      </c>
      <c r="N24" s="41">
        <f t="shared" si="7"/>
        <v>3653.9409523809472</v>
      </c>
      <c r="O24" s="41">
        <f t="shared" si="7"/>
        <v>2873.036893939392</v>
      </c>
      <c r="P24" s="41">
        <f t="shared" si="7"/>
        <v>3126.3950943396117</v>
      </c>
      <c r="Q24" s="41">
        <f t="shared" si="7"/>
        <v>3700.4092727272546</v>
      </c>
      <c r="R24" s="41">
        <f t="shared" si="7"/>
        <v>3636.614242424243</v>
      </c>
      <c r="S24" s="42">
        <f t="shared" si="7"/>
        <v>2973.2771999999995</v>
      </c>
      <c r="T24" s="29">
        <f t="shared" si="7"/>
        <v>0</v>
      </c>
      <c r="U24" s="38">
        <f t="shared" si="7"/>
        <v>0</v>
      </c>
      <c r="V24" s="38">
        <f t="shared" si="7"/>
        <v>0</v>
      </c>
      <c r="AA24" s="8"/>
    </row>
    <row r="25" spans="1:27" hidden="1" outlineLevel="1" x14ac:dyDescent="0.25">
      <c r="A25" s="9"/>
      <c r="B25" s="43" t="s">
        <v>42</v>
      </c>
      <c r="C25" s="31">
        <f t="shared" ref="C25:V25" si="8">IFERROR(C15/C6,0)</f>
        <v>3057.716969696964</v>
      </c>
      <c r="D25" s="44">
        <f t="shared" si="8"/>
        <v>3829.2300000000005</v>
      </c>
      <c r="E25" s="44">
        <f t="shared" si="8"/>
        <v>0</v>
      </c>
      <c r="F25" s="44">
        <f t="shared" si="8"/>
        <v>0</v>
      </c>
      <c r="G25" s="44">
        <f t="shared" si="8"/>
        <v>0</v>
      </c>
      <c r="H25" s="44">
        <f t="shared" si="8"/>
        <v>0</v>
      </c>
      <c r="I25" s="44">
        <f t="shared" si="8"/>
        <v>905.91499999999996</v>
      </c>
      <c r="J25" s="44">
        <f t="shared" si="8"/>
        <v>1318.9950000000024</v>
      </c>
      <c r="K25" s="44">
        <f t="shared" si="8"/>
        <v>-745.150000000001</v>
      </c>
      <c r="L25" s="44">
        <f t="shared" si="8"/>
        <v>150.125</v>
      </c>
      <c r="M25" s="44">
        <f t="shared" si="8"/>
        <v>2259.1957142857</v>
      </c>
      <c r="N25" s="44">
        <f t="shared" si="8"/>
        <v>0</v>
      </c>
      <c r="O25" s="44">
        <f t="shared" si="8"/>
        <v>0</v>
      </c>
      <c r="P25" s="44">
        <f t="shared" si="8"/>
        <v>5419.8816666666671</v>
      </c>
      <c r="Q25" s="44">
        <f t="shared" si="8"/>
        <v>5573.25</v>
      </c>
      <c r="R25" s="44">
        <f t="shared" si="8"/>
        <v>4241.7379999999803</v>
      </c>
      <c r="S25" s="45">
        <f t="shared" si="8"/>
        <v>0</v>
      </c>
      <c r="T25" s="32">
        <f t="shared" si="8"/>
        <v>0</v>
      </c>
      <c r="U25" s="44">
        <f t="shared" si="8"/>
        <v>0</v>
      </c>
      <c r="V25" s="44">
        <f t="shared" si="8"/>
        <v>0</v>
      </c>
      <c r="AA25" s="8"/>
    </row>
    <row r="26" spans="1:27" hidden="1" outlineLevel="1" x14ac:dyDescent="0.25">
      <c r="A26" s="9"/>
      <c r="B26" s="43" t="s">
        <v>43</v>
      </c>
      <c r="C26" s="31">
        <f t="shared" ref="C26:V26" si="9">IFERROR(C16/C5,0)</f>
        <v>1277.3976553672314</v>
      </c>
      <c r="D26" s="44">
        <f t="shared" si="9"/>
        <v>1105.1377380952381</v>
      </c>
      <c r="E26" s="44">
        <f t="shared" si="9"/>
        <v>0</v>
      </c>
      <c r="F26" s="44">
        <f t="shared" si="9"/>
        <v>0</v>
      </c>
      <c r="G26" s="44">
        <f t="shared" si="9"/>
        <v>1127.6620689655138</v>
      </c>
      <c r="H26" s="44">
        <f t="shared" si="9"/>
        <v>1033.9807142857123</v>
      </c>
      <c r="I26" s="44">
        <f t="shared" si="9"/>
        <v>971.48358208955221</v>
      </c>
      <c r="J26" s="44">
        <f t="shared" si="9"/>
        <v>1202.00125</v>
      </c>
      <c r="K26" s="44">
        <f t="shared" si="9"/>
        <v>1296.0474074074073</v>
      </c>
      <c r="L26" s="44">
        <f t="shared" si="9"/>
        <v>1606.6312903225805</v>
      </c>
      <c r="M26" s="44">
        <f t="shared" si="9"/>
        <v>940.32851063829787</v>
      </c>
      <c r="N26" s="44">
        <f t="shared" si="9"/>
        <v>2013.4076190476189</v>
      </c>
      <c r="O26" s="44">
        <f t="shared" si="9"/>
        <v>1315.2853030303031</v>
      </c>
      <c r="P26" s="44">
        <f t="shared" si="9"/>
        <v>1508.2064150943397</v>
      </c>
      <c r="Q26" s="44">
        <f t="shared" si="9"/>
        <v>1233.3909090909092</v>
      </c>
      <c r="R26" s="44">
        <f t="shared" si="9"/>
        <v>1524.6166666666666</v>
      </c>
      <c r="S26" s="45">
        <f t="shared" si="9"/>
        <v>2207.9236000000001</v>
      </c>
      <c r="T26" s="35">
        <f t="shared" si="9"/>
        <v>0</v>
      </c>
      <c r="U26" s="46">
        <f t="shared" si="9"/>
        <v>0</v>
      </c>
      <c r="V26" s="46">
        <f t="shared" si="9"/>
        <v>0</v>
      </c>
      <c r="AA26" s="8"/>
    </row>
    <row r="27" spans="1:27" ht="15.75" hidden="1" outlineLevel="1" thickBot="1" x14ac:dyDescent="0.3">
      <c r="A27" s="9"/>
      <c r="B27" s="47" t="s">
        <v>44</v>
      </c>
      <c r="C27" s="48">
        <f>SUM(C24,C26)</f>
        <v>4092.3821327683577</v>
      </c>
      <c r="D27" s="49">
        <f t="shared" ref="D27:V27" si="10">SUM(D24,D26)</f>
        <v>3392.8864285714226</v>
      </c>
      <c r="E27" s="49">
        <f t="shared" si="10"/>
        <v>0</v>
      </c>
      <c r="F27" s="49">
        <f t="shared" si="10"/>
        <v>0</v>
      </c>
      <c r="G27" s="49">
        <f t="shared" si="10"/>
        <v>1870.8599999999924</v>
      </c>
      <c r="H27" s="49">
        <f t="shared" si="10"/>
        <v>3862.0758928571404</v>
      </c>
      <c r="I27" s="49">
        <f t="shared" si="10"/>
        <v>3209.2737313432822</v>
      </c>
      <c r="J27" s="49">
        <f t="shared" si="10"/>
        <v>3791.8606250000021</v>
      </c>
      <c r="K27" s="49">
        <f t="shared" si="10"/>
        <v>4101.7374074073996</v>
      </c>
      <c r="L27" s="49">
        <f t="shared" si="10"/>
        <v>4661.4803225806418</v>
      </c>
      <c r="M27" s="49">
        <f t="shared" si="10"/>
        <v>4273.8951063829782</v>
      </c>
      <c r="N27" s="49">
        <f t="shared" si="10"/>
        <v>5667.3485714285662</v>
      </c>
      <c r="O27" s="49">
        <f t="shared" si="10"/>
        <v>4188.3221969696951</v>
      </c>
      <c r="P27" s="49">
        <f t="shared" si="10"/>
        <v>4634.6015094339509</v>
      </c>
      <c r="Q27" s="49">
        <f t="shared" si="10"/>
        <v>4933.8001818181638</v>
      </c>
      <c r="R27" s="49">
        <f t="shared" si="10"/>
        <v>5161.2309090909093</v>
      </c>
      <c r="S27" s="50">
        <f t="shared" si="10"/>
        <v>5181.2007999999996</v>
      </c>
      <c r="T27" s="51">
        <f t="shared" si="10"/>
        <v>0</v>
      </c>
      <c r="U27" s="37">
        <f t="shared" si="10"/>
        <v>0</v>
      </c>
      <c r="V27" s="37">
        <f t="shared" si="10"/>
        <v>0</v>
      </c>
      <c r="AA27" s="8"/>
    </row>
    <row r="28" spans="1:27" collapsed="1" x14ac:dyDescent="0.25">
      <c r="A28" s="9"/>
      <c r="B28" s="52" t="s">
        <v>45</v>
      </c>
      <c r="C28" s="53">
        <f t="shared" ref="C28:V31" si="11">IFERROR(C17/C7,0)</f>
        <v>4125.4776383265817</v>
      </c>
      <c r="D28" s="54">
        <f t="shared" si="11"/>
        <v>3603.6360674157249</v>
      </c>
      <c r="E28" s="54">
        <f t="shared" si="11"/>
        <v>0</v>
      </c>
      <c r="F28" s="54">
        <f t="shared" si="11"/>
        <v>0</v>
      </c>
      <c r="G28" s="54">
        <f t="shared" si="11"/>
        <v>2013.294482758613</v>
      </c>
      <c r="H28" s="54">
        <f t="shared" si="11"/>
        <v>3944.2187499999977</v>
      </c>
      <c r="I28" s="54">
        <f t="shared" si="11"/>
        <v>3279.636231884057</v>
      </c>
      <c r="J28" s="54">
        <f t="shared" si="11"/>
        <v>3696.0890384615404</v>
      </c>
      <c r="K28" s="54">
        <f t="shared" si="11"/>
        <v>4071.455714285707</v>
      </c>
      <c r="L28" s="54">
        <f t="shared" si="11"/>
        <v>4569.7012121212092</v>
      </c>
      <c r="M28" s="54">
        <f t="shared" si="11"/>
        <v>4060.2144444444425</v>
      </c>
      <c r="N28" s="54">
        <f t="shared" si="11"/>
        <v>5835.4914285714231</v>
      </c>
      <c r="O28" s="54">
        <f t="shared" si="11"/>
        <v>4182.7875757575739</v>
      </c>
      <c r="P28" s="54">
        <f t="shared" si="11"/>
        <v>4714.4605084745672</v>
      </c>
      <c r="Q28" s="54">
        <f t="shared" si="11"/>
        <v>5009.9594642856973</v>
      </c>
      <c r="R28" s="54">
        <f t="shared" si="11"/>
        <v>5040.4031578947352</v>
      </c>
      <c r="S28" s="55">
        <f t="shared" si="11"/>
        <v>5181.2007999999996</v>
      </c>
      <c r="T28" s="56">
        <f t="shared" si="11"/>
        <v>0</v>
      </c>
      <c r="U28" s="36">
        <f t="shared" si="11"/>
        <v>0</v>
      </c>
      <c r="V28" s="36">
        <f t="shared" si="11"/>
        <v>0</v>
      </c>
      <c r="AA28" s="8"/>
    </row>
    <row r="29" spans="1:27" hidden="1" outlineLevel="1" x14ac:dyDescent="0.25">
      <c r="A29" s="9"/>
      <c r="B29" s="43" t="s">
        <v>46</v>
      </c>
      <c r="C29" s="31">
        <f t="shared" si="11"/>
        <v>1976.556381215468</v>
      </c>
      <c r="D29" s="44">
        <f t="shared" si="11"/>
        <v>2328.5002941176467</v>
      </c>
      <c r="E29" s="44">
        <f t="shared" si="11"/>
        <v>0</v>
      </c>
      <c r="F29" s="44">
        <f t="shared" si="11"/>
        <v>0</v>
      </c>
      <c r="G29" s="44">
        <f t="shared" si="11"/>
        <v>2241.1586956521696</v>
      </c>
      <c r="H29" s="44">
        <f t="shared" si="11"/>
        <v>1961.851739130434</v>
      </c>
      <c r="I29" s="44">
        <f t="shared" si="11"/>
        <v>556.57629629629628</v>
      </c>
      <c r="J29" s="44">
        <f t="shared" si="11"/>
        <v>1777.7658333333331</v>
      </c>
      <c r="K29" s="44">
        <f t="shared" si="11"/>
        <v>1518.033333333324</v>
      </c>
      <c r="L29" s="44">
        <f t="shared" si="11"/>
        <v>1292.8025000000005</v>
      </c>
      <c r="M29" s="44">
        <f t="shared" si="11"/>
        <v>2054.48875</v>
      </c>
      <c r="N29" s="44">
        <f t="shared" si="11"/>
        <v>1321.5921052631572</v>
      </c>
      <c r="O29" s="44">
        <f t="shared" si="11"/>
        <v>2085.0511111111095</v>
      </c>
      <c r="P29" s="44">
        <f t="shared" si="11"/>
        <v>2281.4507407407445</v>
      </c>
      <c r="Q29" s="44">
        <f t="shared" si="11"/>
        <v>3321.9628571428511</v>
      </c>
      <c r="R29" s="44">
        <f t="shared" si="11"/>
        <v>2802.0650000000001</v>
      </c>
      <c r="S29" s="45">
        <f t="shared" si="11"/>
        <v>1573.211363636359</v>
      </c>
      <c r="T29" s="32">
        <f>IFERROR(T18/T5,0)</f>
        <v>0</v>
      </c>
      <c r="U29" s="44">
        <f>IFERROR(U18/U5,0)</f>
        <v>0</v>
      </c>
      <c r="V29" s="44">
        <f>IFERROR(V18/V5,0)</f>
        <v>0</v>
      </c>
      <c r="AA29" s="8"/>
    </row>
    <row r="30" spans="1:27" hidden="1" outlineLevel="1" x14ac:dyDescent="0.25">
      <c r="A30" s="9"/>
      <c r="B30" s="43" t="s">
        <v>47</v>
      </c>
      <c r="C30" s="31">
        <f t="shared" si="11"/>
        <v>0</v>
      </c>
      <c r="D30" s="44">
        <f t="shared" si="11"/>
        <v>0</v>
      </c>
      <c r="E30" s="44">
        <f t="shared" si="11"/>
        <v>0</v>
      </c>
      <c r="F30" s="44">
        <f t="shared" si="11"/>
        <v>0</v>
      </c>
      <c r="G30" s="44">
        <f t="shared" si="11"/>
        <v>0</v>
      </c>
      <c r="H30" s="44">
        <f t="shared" si="11"/>
        <v>0</v>
      </c>
      <c r="I30" s="44">
        <f t="shared" si="11"/>
        <v>0</v>
      </c>
      <c r="J30" s="44">
        <f t="shared" si="11"/>
        <v>0</v>
      </c>
      <c r="K30" s="44">
        <f t="shared" si="11"/>
        <v>0</v>
      </c>
      <c r="L30" s="44">
        <f t="shared" si="11"/>
        <v>0</v>
      </c>
      <c r="M30" s="44">
        <f t="shared" si="11"/>
        <v>0</v>
      </c>
      <c r="N30" s="44">
        <f t="shared" si="11"/>
        <v>0</v>
      </c>
      <c r="O30" s="44">
        <f t="shared" si="11"/>
        <v>0</v>
      </c>
      <c r="P30" s="44">
        <f t="shared" si="11"/>
        <v>0</v>
      </c>
      <c r="Q30" s="44">
        <f t="shared" si="11"/>
        <v>0</v>
      </c>
      <c r="R30" s="44">
        <f t="shared" si="11"/>
        <v>0</v>
      </c>
      <c r="S30" s="45">
        <f t="shared" si="11"/>
        <v>0</v>
      </c>
      <c r="T30" s="32">
        <f t="shared" si="11"/>
        <v>0</v>
      </c>
      <c r="U30" s="44">
        <f t="shared" si="11"/>
        <v>0</v>
      </c>
      <c r="V30" s="44">
        <f t="shared" si="11"/>
        <v>0</v>
      </c>
      <c r="AA30" s="8"/>
    </row>
    <row r="31" spans="1:27" hidden="1" outlineLevel="1" x14ac:dyDescent="0.25">
      <c r="A31" s="9"/>
      <c r="B31" s="43" t="s">
        <v>48</v>
      </c>
      <c r="C31" s="31">
        <f t="shared" si="11"/>
        <v>671.87495169082069</v>
      </c>
      <c r="D31" s="44">
        <f t="shared" si="11"/>
        <v>856.43679999999995</v>
      </c>
      <c r="E31" s="44">
        <f t="shared" si="11"/>
        <v>0</v>
      </c>
      <c r="F31" s="44">
        <f t="shared" si="11"/>
        <v>0</v>
      </c>
      <c r="G31" s="44">
        <f t="shared" si="11"/>
        <v>938.36461538460765</v>
      </c>
      <c r="H31" s="44">
        <f t="shared" si="11"/>
        <v>812.04347826086962</v>
      </c>
      <c r="I31" s="44">
        <f t="shared" si="11"/>
        <v>637.0086</v>
      </c>
      <c r="J31" s="44">
        <f t="shared" si="11"/>
        <v>368.97585365853661</v>
      </c>
      <c r="K31" s="44">
        <f t="shared" si="11"/>
        <v>519.55318181817722</v>
      </c>
      <c r="L31" s="44">
        <f t="shared" si="11"/>
        <v>169.93200000000144</v>
      </c>
      <c r="M31" s="44">
        <f t="shared" si="11"/>
        <v>966.01147058823528</v>
      </c>
      <c r="N31" s="44">
        <f t="shared" si="11"/>
        <v>645.38600000000008</v>
      </c>
      <c r="O31" s="44">
        <f t="shared" si="11"/>
        <v>1064.635744680849</v>
      </c>
      <c r="P31" s="44">
        <f t="shared" si="11"/>
        <v>-88.87370370370445</v>
      </c>
      <c r="Q31" s="44">
        <f t="shared" si="11"/>
        <v>591.61</v>
      </c>
      <c r="R31" s="44">
        <f t="shared" si="11"/>
        <v>2235.9166666666665</v>
      </c>
      <c r="S31" s="45">
        <f t="shared" si="11"/>
        <v>201.10999999999888</v>
      </c>
      <c r="T31" s="32">
        <f t="shared" si="11"/>
        <v>0</v>
      </c>
      <c r="U31" s="44">
        <f t="shared" si="11"/>
        <v>0</v>
      </c>
      <c r="V31" s="44">
        <f t="shared" si="11"/>
        <v>0</v>
      </c>
      <c r="AA31" s="8"/>
    </row>
    <row r="32" spans="1:27" hidden="1" outlineLevel="1" x14ac:dyDescent="0.25">
      <c r="A32" s="9"/>
      <c r="B32" s="43" t="s">
        <v>49</v>
      </c>
      <c r="C32" s="31">
        <f t="shared" ref="C32:V32" si="12">IFERROR(C21/C8,0)</f>
        <v>1331.7754419889493</v>
      </c>
      <c r="D32" s="44">
        <f t="shared" si="12"/>
        <v>1176.7441176470588</v>
      </c>
      <c r="E32" s="44">
        <f t="shared" si="12"/>
        <v>0</v>
      </c>
      <c r="F32" s="44">
        <f t="shared" si="12"/>
        <v>0</v>
      </c>
      <c r="G32" s="44">
        <f t="shared" si="12"/>
        <v>1198.8313043478217</v>
      </c>
      <c r="H32" s="44">
        <f t="shared" si="12"/>
        <v>1249.534347826087</v>
      </c>
      <c r="I32" s="44">
        <f t="shared" si="12"/>
        <v>2179.4881481481443</v>
      </c>
      <c r="J32" s="44">
        <f t="shared" si="12"/>
        <v>1251.2458333333334</v>
      </c>
      <c r="K32" s="44">
        <f t="shared" si="12"/>
        <v>946.99833333333333</v>
      </c>
      <c r="L32" s="44">
        <f t="shared" si="12"/>
        <v>1443.1637499999999</v>
      </c>
      <c r="M32" s="44">
        <f t="shared" si="12"/>
        <v>1439.2784375000001</v>
      </c>
      <c r="N32" s="44">
        <f t="shared" si="12"/>
        <v>839.2873684210474</v>
      </c>
      <c r="O32" s="44">
        <f t="shared" si="12"/>
        <v>1494.8249999999982</v>
      </c>
      <c r="P32" s="44">
        <f t="shared" si="12"/>
        <v>1649.1985185185185</v>
      </c>
      <c r="Q32" s="44">
        <f t="shared" si="12"/>
        <v>809.07885714285715</v>
      </c>
      <c r="R32" s="44">
        <f t="shared" si="12"/>
        <v>1079.5</v>
      </c>
      <c r="S32" s="45">
        <f t="shared" si="12"/>
        <v>1311.7259090909092</v>
      </c>
      <c r="T32" s="32">
        <f t="shared" si="12"/>
        <v>0</v>
      </c>
      <c r="U32" s="44">
        <f t="shared" si="12"/>
        <v>0</v>
      </c>
      <c r="V32" s="44">
        <f t="shared" si="12"/>
        <v>0</v>
      </c>
      <c r="AA32" s="8"/>
    </row>
    <row r="33" spans="1:27" hidden="1" outlineLevel="1" x14ac:dyDescent="0.25">
      <c r="A33" s="9"/>
      <c r="B33" s="57" t="s">
        <v>50</v>
      </c>
      <c r="C33" s="34">
        <f>SUM(C29,C32)</f>
        <v>3308.3318232044176</v>
      </c>
      <c r="D33" s="46">
        <f t="shared" ref="D33:V33" si="13">SUM(D29,D32)</f>
        <v>3505.2444117647055</v>
      </c>
      <c r="E33" s="46">
        <f t="shared" si="13"/>
        <v>0</v>
      </c>
      <c r="F33" s="46">
        <f t="shared" si="13"/>
        <v>0</v>
      </c>
      <c r="G33" s="46">
        <f t="shared" si="13"/>
        <v>3439.9899999999916</v>
      </c>
      <c r="H33" s="46">
        <f t="shared" si="13"/>
        <v>3211.386086956521</v>
      </c>
      <c r="I33" s="46">
        <f t="shared" si="13"/>
        <v>2736.0644444444406</v>
      </c>
      <c r="J33" s="46">
        <f t="shared" si="13"/>
        <v>3029.0116666666663</v>
      </c>
      <c r="K33" s="46">
        <f t="shared" si="13"/>
        <v>2465.0316666666572</v>
      </c>
      <c r="L33" s="46">
        <f t="shared" si="13"/>
        <v>2735.9662500000004</v>
      </c>
      <c r="M33" s="46">
        <f t="shared" si="13"/>
        <v>3493.7671875000001</v>
      </c>
      <c r="N33" s="46">
        <f t="shared" si="13"/>
        <v>2160.8794736842046</v>
      </c>
      <c r="O33" s="46">
        <f t="shared" si="13"/>
        <v>3579.876111111108</v>
      </c>
      <c r="P33" s="46">
        <f t="shared" si="13"/>
        <v>3930.6492592592631</v>
      </c>
      <c r="Q33" s="46">
        <f t="shared" si="13"/>
        <v>4131.0417142857086</v>
      </c>
      <c r="R33" s="46">
        <f t="shared" si="13"/>
        <v>3881.5650000000001</v>
      </c>
      <c r="S33" s="58">
        <f t="shared" si="13"/>
        <v>2884.9372727272685</v>
      </c>
      <c r="T33" s="51">
        <f t="shared" si="13"/>
        <v>0</v>
      </c>
      <c r="U33" s="37">
        <f t="shared" si="13"/>
        <v>0</v>
      </c>
      <c r="V33" s="36">
        <f t="shared" si="13"/>
        <v>0</v>
      </c>
      <c r="AA33" s="8"/>
    </row>
    <row r="34" spans="1:27" collapsed="1" x14ac:dyDescent="0.25">
      <c r="A34" s="9"/>
      <c r="B34" s="59" t="s">
        <v>51</v>
      </c>
      <c r="C34" s="36">
        <f t="shared" ref="C34:V35" si="14">IFERROR(C22/C11,0)</f>
        <v>1901.7684922680396</v>
      </c>
      <c r="D34" s="37">
        <f t="shared" si="14"/>
        <v>1928.5732142857141</v>
      </c>
      <c r="E34" s="37">
        <f t="shared" si="14"/>
        <v>0</v>
      </c>
      <c r="F34" s="37">
        <f t="shared" si="14"/>
        <v>0</v>
      </c>
      <c r="G34" s="37">
        <f t="shared" si="14"/>
        <v>2536.625277777769</v>
      </c>
      <c r="H34" s="37">
        <f t="shared" si="14"/>
        <v>2011.714782608695</v>
      </c>
      <c r="I34" s="37">
        <f t="shared" si="14"/>
        <v>1373.0411688311674</v>
      </c>
      <c r="J34" s="37">
        <f t="shared" si="14"/>
        <v>1351.1429230769231</v>
      </c>
      <c r="K34" s="37">
        <f t="shared" si="14"/>
        <v>1206.1926470588171</v>
      </c>
      <c r="L34" s="37">
        <f t="shared" si="14"/>
        <v>1213.7425423728823</v>
      </c>
      <c r="M34" s="37">
        <f t="shared" si="14"/>
        <v>2191.59</v>
      </c>
      <c r="N34" s="37">
        <f t="shared" si="14"/>
        <v>1492.2794117647029</v>
      </c>
      <c r="O34" s="37">
        <f t="shared" si="14"/>
        <v>2409.4177227722744</v>
      </c>
      <c r="P34" s="37">
        <f t="shared" si="14"/>
        <v>1920.8877777777795</v>
      </c>
      <c r="Q34" s="37">
        <f t="shared" si="14"/>
        <v>2336.4002816901379</v>
      </c>
      <c r="R34" s="37">
        <f t="shared" si="14"/>
        <v>2784.4661111111109</v>
      </c>
      <c r="S34" s="60">
        <f t="shared" si="14"/>
        <v>2105.7616129032222</v>
      </c>
      <c r="T34" s="56">
        <f t="shared" si="14"/>
        <v>0</v>
      </c>
      <c r="U34" s="36">
        <f t="shared" si="14"/>
        <v>0</v>
      </c>
      <c r="V34" s="36">
        <f t="shared" si="14"/>
        <v>0</v>
      </c>
      <c r="AA34" s="8"/>
    </row>
    <row r="35" spans="1:27" ht="15.75" thickBot="1" x14ac:dyDescent="0.3">
      <c r="A35" s="9"/>
      <c r="B35" s="61" t="s">
        <v>52</v>
      </c>
      <c r="C35" s="62">
        <f t="shared" si="14"/>
        <v>2987.9705207646643</v>
      </c>
      <c r="D35" s="62">
        <f t="shared" si="14"/>
        <v>2790.310751445084</v>
      </c>
      <c r="E35" s="62">
        <f t="shared" si="14"/>
        <v>0</v>
      </c>
      <c r="F35" s="62">
        <f t="shared" si="14"/>
        <v>0</v>
      </c>
      <c r="G35" s="62">
        <f t="shared" si="14"/>
        <v>2303.1392307692226</v>
      </c>
      <c r="H35" s="62">
        <f t="shared" si="14"/>
        <v>3072.6973529411753</v>
      </c>
      <c r="I35" s="62">
        <f t="shared" si="14"/>
        <v>2274.103219178081</v>
      </c>
      <c r="J35" s="62">
        <f t="shared" si="14"/>
        <v>2393.3411965811974</v>
      </c>
      <c r="K35" s="62">
        <f t="shared" si="14"/>
        <v>2500.1824193548323</v>
      </c>
      <c r="L35" s="62">
        <f t="shared" si="14"/>
        <v>2417.510326086956</v>
      </c>
      <c r="M35" s="62">
        <f t="shared" si="14"/>
        <v>3032.4709999999991</v>
      </c>
      <c r="N35" s="62">
        <f t="shared" si="14"/>
        <v>3150.596727272723</v>
      </c>
      <c r="O35" s="62">
        <f t="shared" si="14"/>
        <v>3414.0736051502122</v>
      </c>
      <c r="P35" s="62">
        <f t="shared" si="14"/>
        <v>3379.4788495575181</v>
      </c>
      <c r="Q35" s="62">
        <f t="shared" si="14"/>
        <v>3515.2925196850306</v>
      </c>
      <c r="R35" s="62">
        <f t="shared" si="14"/>
        <v>4315.2805357142843</v>
      </c>
      <c r="S35" s="63">
        <f t="shared" si="14"/>
        <v>3478.7255357142835</v>
      </c>
      <c r="T35" s="7"/>
      <c r="U35" s="7"/>
      <c r="V35" s="7"/>
      <c r="AA35" s="8"/>
    </row>
    <row r="36" spans="1:27" ht="5.25" customHeight="1" x14ac:dyDescent="0.25"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</row>
    <row r="37" spans="1:27" x14ac:dyDescent="0.25">
      <c r="B37" s="5" t="s">
        <v>61</v>
      </c>
      <c r="C37" s="65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7" t="s">
        <v>18</v>
      </c>
      <c r="U37" s="5" t="s">
        <v>19</v>
      </c>
      <c r="V37" s="5" t="s">
        <v>20</v>
      </c>
    </row>
    <row r="38" spans="1:27" hidden="1" outlineLevel="1" x14ac:dyDescent="0.25">
      <c r="A38" s="9"/>
      <c r="B38" s="10" t="s">
        <v>21</v>
      </c>
      <c r="C38" s="11">
        <f>+SUM(D38:V38)</f>
        <v>815</v>
      </c>
      <c r="D38" s="12">
        <v>125</v>
      </c>
      <c r="E38" s="12">
        <v>8</v>
      </c>
      <c r="F38" s="12">
        <v>0</v>
      </c>
      <c r="G38" s="12">
        <v>38</v>
      </c>
      <c r="H38" s="12">
        <v>80</v>
      </c>
      <c r="I38" s="12">
        <v>88</v>
      </c>
      <c r="J38" s="12">
        <v>56</v>
      </c>
      <c r="K38" s="12">
        <v>17</v>
      </c>
      <c r="L38" s="12">
        <v>37</v>
      </c>
      <c r="M38" s="12">
        <v>41</v>
      </c>
      <c r="N38" s="12">
        <v>22</v>
      </c>
      <c r="O38" s="12">
        <v>150</v>
      </c>
      <c r="P38" s="12">
        <v>56</v>
      </c>
      <c r="Q38" s="12">
        <v>49</v>
      </c>
      <c r="R38" s="12">
        <v>23</v>
      </c>
      <c r="S38" s="12">
        <v>25</v>
      </c>
      <c r="T38" s="12"/>
      <c r="U38" s="12">
        <v>0</v>
      </c>
      <c r="V38" s="12">
        <v>0</v>
      </c>
      <c r="AA38" s="8"/>
    </row>
    <row r="39" spans="1:27" hidden="1" outlineLevel="1" x14ac:dyDescent="0.25">
      <c r="A39" s="9"/>
      <c r="B39" s="13" t="s">
        <v>22</v>
      </c>
      <c r="C39" s="14">
        <f>+SUM(D39:V39)</f>
        <v>49</v>
      </c>
      <c r="D39" s="15">
        <v>2</v>
      </c>
      <c r="E39" s="15">
        <v>0</v>
      </c>
      <c r="F39" s="15">
        <v>0</v>
      </c>
      <c r="G39" s="15">
        <v>4</v>
      </c>
      <c r="H39" s="15">
        <v>2</v>
      </c>
      <c r="I39" s="15">
        <v>2</v>
      </c>
      <c r="J39" s="15">
        <v>6</v>
      </c>
      <c r="K39" s="15">
        <v>1</v>
      </c>
      <c r="L39" s="15">
        <v>2</v>
      </c>
      <c r="M39" s="15">
        <v>2</v>
      </c>
      <c r="N39" s="15">
        <v>0</v>
      </c>
      <c r="O39" s="15">
        <v>0</v>
      </c>
      <c r="P39" s="15">
        <v>15</v>
      </c>
      <c r="Q39" s="15">
        <v>1</v>
      </c>
      <c r="R39" s="15">
        <v>12</v>
      </c>
      <c r="S39" s="15">
        <v>0</v>
      </c>
      <c r="T39" s="15"/>
      <c r="U39" s="15">
        <v>0</v>
      </c>
      <c r="V39" s="15">
        <v>0</v>
      </c>
      <c r="AA39" s="8"/>
    </row>
    <row r="40" spans="1:27" collapsed="1" x14ac:dyDescent="0.25">
      <c r="A40" s="9"/>
      <c r="B40" s="16" t="s">
        <v>23</v>
      </c>
      <c r="C40" s="17">
        <f>SUM(C38:C39)</f>
        <v>864</v>
      </c>
      <c r="D40" s="18">
        <f t="shared" ref="D40:V40" si="15">SUM(D38:D39)</f>
        <v>127</v>
      </c>
      <c r="E40" s="18">
        <f t="shared" si="15"/>
        <v>8</v>
      </c>
      <c r="F40" s="18">
        <f t="shared" si="15"/>
        <v>0</v>
      </c>
      <c r="G40" s="18">
        <f t="shared" si="15"/>
        <v>42</v>
      </c>
      <c r="H40" s="18">
        <f t="shared" si="15"/>
        <v>82</v>
      </c>
      <c r="I40" s="18">
        <f t="shared" si="15"/>
        <v>90</v>
      </c>
      <c r="J40" s="18">
        <f t="shared" si="15"/>
        <v>62</v>
      </c>
      <c r="K40" s="18">
        <f t="shared" si="15"/>
        <v>18</v>
      </c>
      <c r="L40" s="18">
        <f t="shared" si="15"/>
        <v>39</v>
      </c>
      <c r="M40" s="18">
        <f t="shared" si="15"/>
        <v>43</v>
      </c>
      <c r="N40" s="18">
        <f t="shared" si="15"/>
        <v>22</v>
      </c>
      <c r="O40" s="18">
        <f t="shared" si="15"/>
        <v>150</v>
      </c>
      <c r="P40" s="18">
        <f t="shared" si="15"/>
        <v>71</v>
      </c>
      <c r="Q40" s="18">
        <f t="shared" si="15"/>
        <v>50</v>
      </c>
      <c r="R40" s="18">
        <f t="shared" si="15"/>
        <v>35</v>
      </c>
      <c r="S40" s="18">
        <f t="shared" si="15"/>
        <v>25</v>
      </c>
      <c r="T40" s="19">
        <f t="shared" si="15"/>
        <v>0</v>
      </c>
      <c r="U40" s="19">
        <f t="shared" si="15"/>
        <v>0</v>
      </c>
      <c r="V40" s="19">
        <f t="shared" si="15"/>
        <v>0</v>
      </c>
      <c r="AA40" s="8"/>
    </row>
    <row r="41" spans="1:27" ht="14.25" hidden="1" customHeight="1" outlineLevel="1" x14ac:dyDescent="0.25">
      <c r="A41" s="9"/>
      <c r="B41" s="10" t="s">
        <v>24</v>
      </c>
      <c r="C41" s="11">
        <f>+SUM(D41:V41)</f>
        <v>391.11671987230648</v>
      </c>
      <c r="D41" s="12">
        <v>45</v>
      </c>
      <c r="E41" s="12">
        <v>8</v>
      </c>
      <c r="F41" s="12">
        <v>0</v>
      </c>
      <c r="G41" s="12">
        <v>17</v>
      </c>
      <c r="H41" s="12">
        <v>38</v>
      </c>
      <c r="I41" s="12">
        <v>30</v>
      </c>
      <c r="J41" s="12">
        <v>27</v>
      </c>
      <c r="K41" s="12">
        <v>12</v>
      </c>
      <c r="L41" s="12">
        <v>20</v>
      </c>
      <c r="M41" s="12">
        <v>33</v>
      </c>
      <c r="N41" s="12">
        <v>24</v>
      </c>
      <c r="O41" s="12">
        <v>44</v>
      </c>
      <c r="P41" s="12">
        <v>39</v>
      </c>
      <c r="Q41" s="12">
        <v>20</v>
      </c>
      <c r="R41" s="12">
        <v>7.1167198723064642</v>
      </c>
      <c r="S41" s="12">
        <v>27</v>
      </c>
      <c r="T41" s="20">
        <v>0</v>
      </c>
      <c r="U41" s="20">
        <v>0</v>
      </c>
      <c r="V41" s="20">
        <v>0</v>
      </c>
      <c r="AA41" s="8"/>
    </row>
    <row r="42" spans="1:27" hidden="1" outlineLevel="1" x14ac:dyDescent="0.25">
      <c r="A42" s="9"/>
      <c r="B42" s="13" t="s">
        <v>25</v>
      </c>
      <c r="C42" s="14">
        <f>+SUM(D42:V42)</f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21">
        <v>0</v>
      </c>
      <c r="U42" s="21">
        <v>0</v>
      </c>
      <c r="V42" s="21">
        <v>0</v>
      </c>
      <c r="AA42" s="8"/>
    </row>
    <row r="43" spans="1:27" hidden="1" outlineLevel="1" x14ac:dyDescent="0.25">
      <c r="A43" s="9"/>
      <c r="B43" s="13" t="s">
        <v>26</v>
      </c>
      <c r="C43" s="22">
        <f>+SUM(D43:V43)</f>
        <v>372.1622328810854</v>
      </c>
      <c r="D43" s="23">
        <v>53</v>
      </c>
      <c r="E43" s="23">
        <v>9</v>
      </c>
      <c r="F43" s="23">
        <v>0</v>
      </c>
      <c r="G43" s="23">
        <v>8</v>
      </c>
      <c r="H43" s="23">
        <v>25</v>
      </c>
      <c r="I43" s="23">
        <v>33</v>
      </c>
      <c r="J43" s="23">
        <v>26.967600000000001</v>
      </c>
      <c r="K43" s="23">
        <v>11</v>
      </c>
      <c r="L43" s="23">
        <v>27</v>
      </c>
      <c r="M43" s="23">
        <v>23</v>
      </c>
      <c r="N43" s="23">
        <v>23</v>
      </c>
      <c r="O43" s="23">
        <v>53</v>
      </c>
      <c r="P43" s="23">
        <v>32</v>
      </c>
      <c r="Q43" s="23">
        <v>25</v>
      </c>
      <c r="R43" s="23">
        <v>18.194632881085393</v>
      </c>
      <c r="S43" s="23">
        <v>5</v>
      </c>
      <c r="T43" s="24">
        <v>0</v>
      </c>
      <c r="U43" s="24">
        <v>0</v>
      </c>
      <c r="V43" s="24">
        <v>0</v>
      </c>
      <c r="AA43" s="8"/>
    </row>
    <row r="44" spans="1:27" collapsed="1" x14ac:dyDescent="0.25">
      <c r="A44" s="9"/>
      <c r="B44" s="16" t="s">
        <v>27</v>
      </c>
      <c r="C44" s="17">
        <f>SUM(C41:C43)</f>
        <v>763.27895275339188</v>
      </c>
      <c r="D44" s="18">
        <f t="shared" ref="D44:V44" si="16">SUM(D41:D43)</f>
        <v>98</v>
      </c>
      <c r="E44" s="18">
        <f t="shared" si="16"/>
        <v>17</v>
      </c>
      <c r="F44" s="18">
        <f t="shared" si="16"/>
        <v>0</v>
      </c>
      <c r="G44" s="18">
        <f t="shared" si="16"/>
        <v>25</v>
      </c>
      <c r="H44" s="18">
        <f t="shared" si="16"/>
        <v>63</v>
      </c>
      <c r="I44" s="18">
        <f t="shared" si="16"/>
        <v>63</v>
      </c>
      <c r="J44" s="18">
        <f t="shared" si="16"/>
        <v>53.967600000000004</v>
      </c>
      <c r="K44" s="18">
        <f t="shared" si="16"/>
        <v>23</v>
      </c>
      <c r="L44" s="18">
        <f t="shared" si="16"/>
        <v>47</v>
      </c>
      <c r="M44" s="18">
        <f t="shared" si="16"/>
        <v>56</v>
      </c>
      <c r="N44" s="18">
        <f t="shared" si="16"/>
        <v>47</v>
      </c>
      <c r="O44" s="18">
        <f t="shared" si="16"/>
        <v>97</v>
      </c>
      <c r="P44" s="18">
        <f t="shared" si="16"/>
        <v>71</v>
      </c>
      <c r="Q44" s="18">
        <f t="shared" si="16"/>
        <v>45</v>
      </c>
      <c r="R44" s="18">
        <f t="shared" si="16"/>
        <v>25.311352753391859</v>
      </c>
      <c r="S44" s="18">
        <f t="shared" si="16"/>
        <v>32</v>
      </c>
      <c r="T44" s="19">
        <f t="shared" si="16"/>
        <v>0</v>
      </c>
      <c r="U44" s="19">
        <f t="shared" si="16"/>
        <v>0</v>
      </c>
      <c r="V44" s="19">
        <f t="shared" si="16"/>
        <v>0</v>
      </c>
      <c r="AA44" s="8"/>
    </row>
    <row r="45" spans="1:27" ht="15.75" thickBot="1" x14ac:dyDescent="0.3">
      <c r="A45" s="9"/>
      <c r="B45" s="25" t="s">
        <v>28</v>
      </c>
      <c r="C45" s="11">
        <f>+C40+C44</f>
        <v>1627.2789527533919</v>
      </c>
      <c r="D45" s="11">
        <f t="shared" ref="D45:S45" si="17">+D40+D44</f>
        <v>225</v>
      </c>
      <c r="E45" s="11">
        <f t="shared" si="17"/>
        <v>25</v>
      </c>
      <c r="F45" s="11">
        <f t="shared" si="17"/>
        <v>0</v>
      </c>
      <c r="G45" s="11">
        <f t="shared" si="17"/>
        <v>67</v>
      </c>
      <c r="H45" s="11">
        <f t="shared" si="17"/>
        <v>145</v>
      </c>
      <c r="I45" s="11">
        <f t="shared" si="17"/>
        <v>153</v>
      </c>
      <c r="J45" s="11">
        <f t="shared" si="17"/>
        <v>115.9676</v>
      </c>
      <c r="K45" s="11">
        <f t="shared" si="17"/>
        <v>41</v>
      </c>
      <c r="L45" s="11">
        <f t="shared" si="17"/>
        <v>86</v>
      </c>
      <c r="M45" s="11">
        <f t="shared" si="17"/>
        <v>99</v>
      </c>
      <c r="N45" s="11">
        <f t="shared" si="17"/>
        <v>69</v>
      </c>
      <c r="O45" s="11">
        <f t="shared" si="17"/>
        <v>247</v>
      </c>
      <c r="P45" s="11">
        <f t="shared" si="17"/>
        <v>142</v>
      </c>
      <c r="Q45" s="11">
        <f t="shared" si="17"/>
        <v>95</v>
      </c>
      <c r="R45" s="11">
        <f t="shared" si="17"/>
        <v>60.311352753391859</v>
      </c>
      <c r="S45" s="11">
        <f t="shared" si="17"/>
        <v>57</v>
      </c>
      <c r="T45" s="26"/>
      <c r="U45" s="26"/>
      <c r="V45" s="26"/>
      <c r="AA45" s="8"/>
    </row>
    <row r="46" spans="1:27" hidden="1" outlineLevel="1" x14ac:dyDescent="0.25">
      <c r="A46" s="9"/>
      <c r="B46" s="27" t="s">
        <v>30</v>
      </c>
      <c r="C46" s="28">
        <f>+SUM(D46:V46)</f>
        <v>2131646.7116297726</v>
      </c>
      <c r="D46" s="29">
        <v>294696.47938348516</v>
      </c>
      <c r="E46" s="29">
        <v>11645.5696202532</v>
      </c>
      <c r="F46" s="29">
        <v>0</v>
      </c>
      <c r="G46" s="29">
        <v>34234.402852049912</v>
      </c>
      <c r="H46" s="29">
        <v>190530</v>
      </c>
      <c r="I46" s="29">
        <v>199663.12477949122</v>
      </c>
      <c r="J46" s="29">
        <v>147400</v>
      </c>
      <c r="K46" s="29">
        <v>39127</v>
      </c>
      <c r="L46" s="29">
        <v>88745.946519133242</v>
      </c>
      <c r="M46" s="29">
        <v>127650</v>
      </c>
      <c r="N46" s="29">
        <v>80398.740951794229</v>
      </c>
      <c r="O46" s="29">
        <v>498491.31067961163</v>
      </c>
      <c r="P46" s="29">
        <v>141935.56168728648</v>
      </c>
      <c r="Q46" s="29">
        <v>171363.33360582514</v>
      </c>
      <c r="R46" s="29">
        <v>30765.241550841813</v>
      </c>
      <c r="S46" s="29">
        <v>75000</v>
      </c>
      <c r="T46" s="29"/>
      <c r="U46" s="29">
        <v>0</v>
      </c>
      <c r="V46" s="29">
        <v>0</v>
      </c>
      <c r="AA46" s="8"/>
    </row>
    <row r="47" spans="1:27" hidden="1" outlineLevel="1" x14ac:dyDescent="0.25">
      <c r="A47" s="9"/>
      <c r="B47" s="30" t="s">
        <v>31</v>
      </c>
      <c r="C47" s="31">
        <f>+SUM(D47:V47)</f>
        <v>73072.467131999816</v>
      </c>
      <c r="D47" s="32">
        <v>20952.380952380954</v>
      </c>
      <c r="E47" s="32">
        <v>100</v>
      </c>
      <c r="F47" s="32">
        <v>0</v>
      </c>
      <c r="G47" s="32">
        <v>4930.0116375317275</v>
      </c>
      <c r="H47" s="32">
        <v>4000</v>
      </c>
      <c r="I47" s="32">
        <v>9350</v>
      </c>
      <c r="J47" s="32">
        <v>12015.99</v>
      </c>
      <c r="K47" s="32">
        <v>5000</v>
      </c>
      <c r="L47" s="32">
        <v>7992</v>
      </c>
      <c r="M47" s="32">
        <v>3000</v>
      </c>
      <c r="N47" s="32">
        <v>3072.8225191038937</v>
      </c>
      <c r="O47" s="32">
        <v>0</v>
      </c>
      <c r="P47" s="32">
        <v>0</v>
      </c>
      <c r="Q47" s="32">
        <v>1651.4999999933943</v>
      </c>
      <c r="R47" s="32">
        <v>1007.7620229898507</v>
      </c>
      <c r="S47" s="32">
        <v>0</v>
      </c>
      <c r="T47" s="32"/>
      <c r="U47" s="32">
        <v>0</v>
      </c>
      <c r="V47" s="32">
        <v>0</v>
      </c>
      <c r="AA47" s="8"/>
    </row>
    <row r="48" spans="1:27" hidden="1" outlineLevel="1" x14ac:dyDescent="0.25">
      <c r="A48" s="9"/>
      <c r="B48" s="30" t="s">
        <v>32</v>
      </c>
      <c r="C48" s="31">
        <f>+SUM(D48:V48)</f>
        <v>115735.16799674372</v>
      </c>
      <c r="D48" s="32">
        <v>12571.428571428572</v>
      </c>
      <c r="E48" s="32">
        <v>0</v>
      </c>
      <c r="F48" s="32">
        <v>0</v>
      </c>
      <c r="G48" s="32">
        <v>2000</v>
      </c>
      <c r="H48" s="32">
        <v>0</v>
      </c>
      <c r="I48" s="32">
        <v>4787.7042384295655</v>
      </c>
      <c r="J48" s="32">
        <v>1500</v>
      </c>
      <c r="K48" s="32">
        <v>3.5714285714285712E-2</v>
      </c>
      <c r="L48" s="32">
        <v>0</v>
      </c>
      <c r="M48" s="32">
        <v>4100</v>
      </c>
      <c r="N48" s="32">
        <v>0</v>
      </c>
      <c r="O48" s="32">
        <v>0</v>
      </c>
      <c r="P48" s="32">
        <v>57775.443917044307</v>
      </c>
      <c r="Q48" s="32">
        <v>3000.5555555555557</v>
      </c>
      <c r="R48" s="32">
        <v>30000</v>
      </c>
      <c r="S48" s="32">
        <v>0</v>
      </c>
      <c r="T48" s="32"/>
      <c r="U48" s="32">
        <v>0</v>
      </c>
      <c r="V48" s="32">
        <v>0</v>
      </c>
      <c r="AA48" s="8"/>
    </row>
    <row r="49" spans="1:27" hidden="1" outlineLevel="1" x14ac:dyDescent="0.25">
      <c r="A49" s="9"/>
      <c r="B49" s="33" t="s">
        <v>33</v>
      </c>
      <c r="C49" s="34">
        <f>+SUM(D49:V49)</f>
        <v>999886</v>
      </c>
      <c r="D49" s="35">
        <v>137500</v>
      </c>
      <c r="E49" s="35">
        <v>7200</v>
      </c>
      <c r="F49" s="35">
        <v>0</v>
      </c>
      <c r="G49" s="35">
        <v>46550</v>
      </c>
      <c r="H49" s="35">
        <v>80000</v>
      </c>
      <c r="I49" s="35">
        <v>88000</v>
      </c>
      <c r="J49" s="35">
        <v>73136</v>
      </c>
      <c r="K49" s="35">
        <v>20400</v>
      </c>
      <c r="L49" s="35">
        <v>48100</v>
      </c>
      <c r="M49" s="35">
        <v>41000</v>
      </c>
      <c r="N49" s="35">
        <v>36410</v>
      </c>
      <c r="O49" s="35">
        <v>181500</v>
      </c>
      <c r="P49" s="35">
        <v>100800</v>
      </c>
      <c r="Q49" s="35">
        <v>58800</v>
      </c>
      <c r="R49" s="35">
        <v>31740</v>
      </c>
      <c r="S49" s="35">
        <v>48750</v>
      </c>
      <c r="T49" s="35"/>
      <c r="U49" s="35">
        <v>0</v>
      </c>
      <c r="V49" s="35">
        <v>0</v>
      </c>
      <c r="AA49" s="8"/>
    </row>
    <row r="50" spans="1:27" hidden="1" outlineLevel="1" x14ac:dyDescent="0.25">
      <c r="A50" s="9"/>
      <c r="B50" s="16" t="s">
        <v>34</v>
      </c>
      <c r="C50" s="36">
        <f>+SUM(C46:C49)</f>
        <v>3320340.346758516</v>
      </c>
      <c r="D50" s="37">
        <f t="shared" ref="D50:V50" si="18">+SUM(D46:D49)</f>
        <v>465720.28890729469</v>
      </c>
      <c r="E50" s="37">
        <f t="shared" si="18"/>
        <v>18945.569620253198</v>
      </c>
      <c r="F50" s="37">
        <f t="shared" si="18"/>
        <v>0</v>
      </c>
      <c r="G50" s="37">
        <f t="shared" si="18"/>
        <v>87714.414489581643</v>
      </c>
      <c r="H50" s="37">
        <f t="shared" si="18"/>
        <v>274530</v>
      </c>
      <c r="I50" s="37">
        <f t="shared" si="18"/>
        <v>301800.82901792077</v>
      </c>
      <c r="J50" s="37">
        <f t="shared" si="18"/>
        <v>234051.99</v>
      </c>
      <c r="K50" s="37">
        <f t="shared" si="18"/>
        <v>64527.035714285717</v>
      </c>
      <c r="L50" s="37">
        <f t="shared" si="18"/>
        <v>144837.94651913323</v>
      </c>
      <c r="M50" s="37">
        <f t="shared" si="18"/>
        <v>175750</v>
      </c>
      <c r="N50" s="37">
        <f t="shared" si="18"/>
        <v>119881.56347089812</v>
      </c>
      <c r="O50" s="37">
        <f t="shared" si="18"/>
        <v>679991.31067961163</v>
      </c>
      <c r="P50" s="37">
        <f t="shared" si="18"/>
        <v>300511.0056043308</v>
      </c>
      <c r="Q50" s="37">
        <f t="shared" si="18"/>
        <v>234815.3891613741</v>
      </c>
      <c r="R50" s="37">
        <f t="shared" si="18"/>
        <v>93513.003573831666</v>
      </c>
      <c r="S50" s="37">
        <f t="shared" si="18"/>
        <v>123750</v>
      </c>
      <c r="T50" s="36">
        <f t="shared" si="18"/>
        <v>0</v>
      </c>
      <c r="U50" s="36">
        <f t="shared" si="18"/>
        <v>0</v>
      </c>
      <c r="V50" s="36">
        <f t="shared" si="18"/>
        <v>0</v>
      </c>
      <c r="AA50" s="8"/>
    </row>
    <row r="51" spans="1:27" hidden="1" outlineLevel="1" x14ac:dyDescent="0.25">
      <c r="A51" s="9"/>
      <c r="B51" s="30" t="s">
        <v>35</v>
      </c>
      <c r="C51" s="31">
        <f>+SUM(D51:V51)</f>
        <v>617293.69553072623</v>
      </c>
      <c r="D51" s="32">
        <v>71880</v>
      </c>
      <c r="E51" s="32">
        <v>9600</v>
      </c>
      <c r="F51" s="32">
        <v>0</v>
      </c>
      <c r="G51" s="32">
        <v>25500</v>
      </c>
      <c r="H51" s="32">
        <v>60765</v>
      </c>
      <c r="I51" s="32">
        <v>43600</v>
      </c>
      <c r="J51" s="32">
        <v>43200</v>
      </c>
      <c r="K51" s="32">
        <v>18000</v>
      </c>
      <c r="L51" s="32">
        <v>30900</v>
      </c>
      <c r="M51" s="32">
        <v>47600</v>
      </c>
      <c r="N51" s="32">
        <v>43200</v>
      </c>
      <c r="O51" s="32">
        <v>74800</v>
      </c>
      <c r="P51" s="32">
        <v>69950</v>
      </c>
      <c r="Q51" s="32">
        <v>26200</v>
      </c>
      <c r="R51" s="32">
        <v>13198.695530726256</v>
      </c>
      <c r="S51" s="32">
        <v>38900</v>
      </c>
      <c r="T51" s="32"/>
      <c r="U51" s="32">
        <v>0</v>
      </c>
      <c r="V51" s="32">
        <v>0</v>
      </c>
      <c r="AA51" s="8"/>
    </row>
    <row r="52" spans="1:27" hidden="1" outlineLevel="1" x14ac:dyDescent="0.25">
      <c r="A52" s="9"/>
      <c r="B52" s="30" t="s">
        <v>36</v>
      </c>
      <c r="C52" s="31">
        <f>+SUM(D52:V52)</f>
        <v>0</v>
      </c>
      <c r="D52" s="32">
        <v>0</v>
      </c>
      <c r="E52" s="32">
        <v>0</v>
      </c>
      <c r="F52" s="32">
        <v>0</v>
      </c>
      <c r="G52" s="32">
        <v>0</v>
      </c>
      <c r="H52" s="32">
        <v>0</v>
      </c>
      <c r="I52" s="32">
        <v>0</v>
      </c>
      <c r="J52" s="32">
        <v>0</v>
      </c>
      <c r="K52" s="32">
        <v>0</v>
      </c>
      <c r="L52" s="32">
        <v>0</v>
      </c>
      <c r="M52" s="32">
        <v>0</v>
      </c>
      <c r="N52" s="32">
        <v>0</v>
      </c>
      <c r="O52" s="32">
        <v>0</v>
      </c>
      <c r="P52" s="32">
        <v>0</v>
      </c>
      <c r="Q52" s="32">
        <v>0</v>
      </c>
      <c r="R52" s="32">
        <v>0</v>
      </c>
      <c r="S52" s="32">
        <v>0</v>
      </c>
      <c r="T52" s="32"/>
      <c r="U52" s="32">
        <v>0</v>
      </c>
      <c r="V52" s="32">
        <v>0</v>
      </c>
      <c r="AA52" s="8"/>
    </row>
    <row r="53" spans="1:27" hidden="1" outlineLevel="1" x14ac:dyDescent="0.25">
      <c r="A53" s="9"/>
      <c r="B53" s="30" t="s">
        <v>37</v>
      </c>
      <c r="C53" s="31">
        <f>+SUM(D53:V53)</f>
        <v>181155.53341540109</v>
      </c>
      <c r="D53" s="32">
        <v>21200</v>
      </c>
      <c r="E53" s="32">
        <v>2700</v>
      </c>
      <c r="F53" s="32">
        <v>0</v>
      </c>
      <c r="G53" s="32">
        <v>5200</v>
      </c>
      <c r="H53" s="32">
        <v>15000</v>
      </c>
      <c r="I53" s="32">
        <v>13200</v>
      </c>
      <c r="J53" s="32">
        <v>6716.0111040000011</v>
      </c>
      <c r="K53" s="32">
        <v>4400</v>
      </c>
      <c r="L53" s="32">
        <v>8100</v>
      </c>
      <c r="M53" s="32">
        <v>2300</v>
      </c>
      <c r="N53" s="32">
        <v>8050</v>
      </c>
      <c r="O53" s="32">
        <v>53000</v>
      </c>
      <c r="P53" s="32">
        <v>27200</v>
      </c>
      <c r="Q53" s="32">
        <v>3582.4742268041236</v>
      </c>
      <c r="R53" s="32">
        <v>10007.048084596967</v>
      </c>
      <c r="S53" s="32">
        <v>500</v>
      </c>
      <c r="T53" s="32"/>
      <c r="U53" s="32">
        <v>0</v>
      </c>
      <c r="V53" s="32">
        <v>0</v>
      </c>
      <c r="AA53" s="8"/>
    </row>
    <row r="54" spans="1:27" hidden="1" outlineLevel="1" x14ac:dyDescent="0.25">
      <c r="A54" s="9"/>
      <c r="B54" s="30" t="s">
        <v>38</v>
      </c>
      <c r="C54" s="31">
        <f>+SUM(D54:V54)</f>
        <v>599310.09577015159</v>
      </c>
      <c r="D54" s="32">
        <v>63000</v>
      </c>
      <c r="E54" s="32">
        <v>12000</v>
      </c>
      <c r="F54" s="32">
        <v>0</v>
      </c>
      <c r="G54" s="32">
        <v>32725</v>
      </c>
      <c r="H54" s="32">
        <v>60800</v>
      </c>
      <c r="I54" s="32">
        <v>57000</v>
      </c>
      <c r="J54" s="32">
        <v>45900.000000000007</v>
      </c>
      <c r="K54" s="32">
        <v>15000</v>
      </c>
      <c r="L54" s="32">
        <v>29500</v>
      </c>
      <c r="M54" s="32">
        <v>44725</v>
      </c>
      <c r="N54" s="32">
        <v>34800</v>
      </c>
      <c r="O54" s="32">
        <v>74800</v>
      </c>
      <c r="P54" s="32">
        <v>58500</v>
      </c>
      <c r="Q54" s="32">
        <v>23999.999999999996</v>
      </c>
      <c r="R54" s="32">
        <v>12810.095770151634</v>
      </c>
      <c r="S54" s="32">
        <v>33750</v>
      </c>
      <c r="T54" s="32"/>
      <c r="U54" s="32">
        <v>0</v>
      </c>
      <c r="V54" s="32">
        <v>0</v>
      </c>
      <c r="AA54" s="8"/>
    </row>
    <row r="55" spans="1:27" hidden="1" outlineLevel="1" x14ac:dyDescent="0.25">
      <c r="A55" s="9"/>
      <c r="B55" s="16" t="s">
        <v>39</v>
      </c>
      <c r="C55" s="36">
        <f>+SUM(C51:C54)</f>
        <v>1397759.3247162788</v>
      </c>
      <c r="D55" s="37">
        <f>+SUM(D51:D54)</f>
        <v>156080</v>
      </c>
      <c r="E55" s="37">
        <f t="shared" ref="E55:V55" si="19">+SUM(E51:E54)</f>
        <v>24300</v>
      </c>
      <c r="F55" s="37">
        <f t="shared" si="19"/>
        <v>0</v>
      </c>
      <c r="G55" s="37">
        <f t="shared" si="19"/>
        <v>63425</v>
      </c>
      <c r="H55" s="37">
        <f t="shared" si="19"/>
        <v>136565</v>
      </c>
      <c r="I55" s="37">
        <f t="shared" si="19"/>
        <v>113800</v>
      </c>
      <c r="J55" s="37">
        <f t="shared" si="19"/>
        <v>95816.011104000005</v>
      </c>
      <c r="K55" s="37">
        <f t="shared" si="19"/>
        <v>37400</v>
      </c>
      <c r="L55" s="37">
        <f t="shared" si="19"/>
        <v>68500</v>
      </c>
      <c r="M55" s="37">
        <f t="shared" si="19"/>
        <v>94625</v>
      </c>
      <c r="N55" s="37">
        <f t="shared" si="19"/>
        <v>86050</v>
      </c>
      <c r="O55" s="37">
        <f t="shared" si="19"/>
        <v>202600</v>
      </c>
      <c r="P55" s="37">
        <f t="shared" si="19"/>
        <v>155650</v>
      </c>
      <c r="Q55" s="37">
        <f t="shared" si="19"/>
        <v>53782.474226804115</v>
      </c>
      <c r="R55" s="37">
        <f t="shared" si="19"/>
        <v>36015.839385474857</v>
      </c>
      <c r="S55" s="37">
        <f t="shared" si="19"/>
        <v>73150</v>
      </c>
      <c r="T55" s="36">
        <f t="shared" si="19"/>
        <v>0</v>
      </c>
      <c r="U55" s="36">
        <f t="shared" si="19"/>
        <v>0</v>
      </c>
      <c r="V55" s="36">
        <f t="shared" si="19"/>
        <v>0</v>
      </c>
      <c r="AA55" s="8"/>
    </row>
    <row r="56" spans="1:27" ht="15.75" hidden="1" outlineLevel="1" thickBot="1" x14ac:dyDescent="0.3">
      <c r="A56" s="9"/>
      <c r="B56" s="27" t="s">
        <v>40</v>
      </c>
      <c r="C56" s="28">
        <f>+C55+C50</f>
        <v>4718099.6714747949</v>
      </c>
      <c r="D56" s="38">
        <f t="shared" ref="D56:V56" si="20">+D55+D50</f>
        <v>621800.28890729463</v>
      </c>
      <c r="E56" s="38">
        <f t="shared" si="20"/>
        <v>43245.569620253198</v>
      </c>
      <c r="F56" s="38">
        <f t="shared" si="20"/>
        <v>0</v>
      </c>
      <c r="G56" s="38">
        <f t="shared" si="20"/>
        <v>151139.41448958166</v>
      </c>
      <c r="H56" s="38">
        <f t="shared" si="20"/>
        <v>411095</v>
      </c>
      <c r="I56" s="38">
        <f t="shared" si="20"/>
        <v>415600.82901792077</v>
      </c>
      <c r="J56" s="38">
        <f t="shared" si="20"/>
        <v>329868.00110400002</v>
      </c>
      <c r="K56" s="38">
        <f t="shared" si="20"/>
        <v>101927.03571428571</v>
      </c>
      <c r="L56" s="38">
        <f t="shared" si="20"/>
        <v>213337.94651913323</v>
      </c>
      <c r="M56" s="38">
        <f t="shared" si="20"/>
        <v>270375</v>
      </c>
      <c r="N56" s="38">
        <f t="shared" si="20"/>
        <v>205931.56347089814</v>
      </c>
      <c r="O56" s="38">
        <f t="shared" si="20"/>
        <v>882591.31067961163</v>
      </c>
      <c r="P56" s="38">
        <f t="shared" si="20"/>
        <v>456161.0056043308</v>
      </c>
      <c r="Q56" s="38">
        <f t="shared" si="20"/>
        <v>288597.86338817823</v>
      </c>
      <c r="R56" s="38">
        <f t="shared" si="20"/>
        <v>129528.84295930652</v>
      </c>
      <c r="S56" s="38">
        <f t="shared" si="20"/>
        <v>196900</v>
      </c>
      <c r="T56" s="28">
        <f t="shared" si="20"/>
        <v>0</v>
      </c>
      <c r="U56" s="28">
        <f t="shared" si="20"/>
        <v>0</v>
      </c>
      <c r="V56" s="28">
        <f t="shared" si="20"/>
        <v>0</v>
      </c>
      <c r="AA56" s="8"/>
    </row>
    <row r="57" spans="1:27" hidden="1" outlineLevel="1" collapsed="1" x14ac:dyDescent="0.25">
      <c r="A57" s="9"/>
      <c r="B57" s="39" t="s">
        <v>41</v>
      </c>
      <c r="C57" s="40">
        <f>IFERROR(C46/C38,0)</f>
        <v>2615.5174375825432</v>
      </c>
      <c r="D57" s="41">
        <f t="shared" ref="D57:S57" si="21">IFERROR(D46/D38,0)</f>
        <v>2357.5718350678812</v>
      </c>
      <c r="E57" s="41">
        <f t="shared" si="21"/>
        <v>1455.69620253165</v>
      </c>
      <c r="F57" s="41">
        <f t="shared" si="21"/>
        <v>0</v>
      </c>
      <c r="G57" s="41">
        <f t="shared" si="21"/>
        <v>900.90533821183976</v>
      </c>
      <c r="H57" s="41">
        <f t="shared" si="21"/>
        <v>2381.625</v>
      </c>
      <c r="I57" s="41">
        <f t="shared" si="21"/>
        <v>2268.8991452214909</v>
      </c>
      <c r="J57" s="41">
        <f t="shared" si="21"/>
        <v>2632.1428571428573</v>
      </c>
      <c r="K57" s="41">
        <f t="shared" si="21"/>
        <v>2301.5882352941176</v>
      </c>
      <c r="L57" s="41">
        <f t="shared" si="21"/>
        <v>2398.5390951117092</v>
      </c>
      <c r="M57" s="41">
        <f t="shared" si="21"/>
        <v>3113.4146341463415</v>
      </c>
      <c r="N57" s="41">
        <f t="shared" si="21"/>
        <v>3654.4882250815558</v>
      </c>
      <c r="O57" s="41">
        <f t="shared" si="21"/>
        <v>3323.2754045307443</v>
      </c>
      <c r="P57" s="41">
        <f t="shared" si="21"/>
        <v>2534.563601558687</v>
      </c>
      <c r="Q57" s="41">
        <f t="shared" si="21"/>
        <v>3497.2108899147988</v>
      </c>
      <c r="R57" s="41">
        <f t="shared" si="21"/>
        <v>1337.6191978626875</v>
      </c>
      <c r="S57" s="42">
        <f t="shared" si="21"/>
        <v>3000</v>
      </c>
      <c r="T57" s="29">
        <f>IFERROR(T46/T38,0)</f>
        <v>0</v>
      </c>
      <c r="U57" s="38">
        <f>IFERROR(U46/U38,0)</f>
        <v>0</v>
      </c>
      <c r="V57" s="38">
        <f>IFERROR(V46/V38,0)</f>
        <v>0</v>
      </c>
      <c r="AA57" s="8"/>
    </row>
    <row r="58" spans="1:27" hidden="1" outlineLevel="1" x14ac:dyDescent="0.25">
      <c r="A58" s="9"/>
      <c r="B58" s="43" t="s">
        <v>42</v>
      </c>
      <c r="C58" s="31">
        <f>IFERROR(C48/C39,0)</f>
        <v>2361.942204015178</v>
      </c>
      <c r="D58" s="44">
        <f t="shared" ref="D58:S58" si="22">IFERROR(D48/D39,0)</f>
        <v>6285.7142857142862</v>
      </c>
      <c r="E58" s="44">
        <f t="shared" si="22"/>
        <v>0</v>
      </c>
      <c r="F58" s="44">
        <f t="shared" si="22"/>
        <v>0</v>
      </c>
      <c r="G58" s="44">
        <f t="shared" si="22"/>
        <v>500</v>
      </c>
      <c r="H58" s="44">
        <f t="shared" si="22"/>
        <v>0</v>
      </c>
      <c r="I58" s="44">
        <f t="shared" si="22"/>
        <v>2393.8521192147828</v>
      </c>
      <c r="J58" s="44">
        <f t="shared" si="22"/>
        <v>250</v>
      </c>
      <c r="K58" s="44">
        <f t="shared" si="22"/>
        <v>3.5714285714285712E-2</v>
      </c>
      <c r="L58" s="44">
        <f t="shared" si="22"/>
        <v>0</v>
      </c>
      <c r="M58" s="44">
        <f t="shared" si="22"/>
        <v>2050</v>
      </c>
      <c r="N58" s="44">
        <f t="shared" si="22"/>
        <v>0</v>
      </c>
      <c r="O58" s="44">
        <f>IFERROR(O48/O39,0)</f>
        <v>0</v>
      </c>
      <c r="P58" s="44">
        <f t="shared" si="22"/>
        <v>3851.6962611362874</v>
      </c>
      <c r="Q58" s="44">
        <f t="shared" si="22"/>
        <v>3000.5555555555557</v>
      </c>
      <c r="R58" s="44">
        <f t="shared" si="22"/>
        <v>2500</v>
      </c>
      <c r="S58" s="45">
        <f t="shared" si="22"/>
        <v>0</v>
      </c>
      <c r="T58" s="32">
        <f>IFERROR(T48/T39,0)</f>
        <v>0</v>
      </c>
      <c r="U58" s="44">
        <f>IFERROR(U48/U39,0)</f>
        <v>0</v>
      </c>
      <c r="V58" s="44">
        <f>IFERROR(V48/V39,0)</f>
        <v>0</v>
      </c>
      <c r="AA58" s="8"/>
    </row>
    <row r="59" spans="1:27" hidden="1" outlineLevel="1" x14ac:dyDescent="0.25">
      <c r="A59" s="9"/>
      <c r="B59" s="43" t="s">
        <v>43</v>
      </c>
      <c r="C59" s="31">
        <f>IFERROR(C49/C38,0)</f>
        <v>1226.8539877300614</v>
      </c>
      <c r="D59" s="44">
        <f t="shared" ref="D59:S59" si="23">IFERROR(D49/D38,0)</f>
        <v>1100</v>
      </c>
      <c r="E59" s="44">
        <f t="shared" si="23"/>
        <v>900</v>
      </c>
      <c r="F59" s="44">
        <f t="shared" si="23"/>
        <v>0</v>
      </c>
      <c r="G59" s="44">
        <f t="shared" si="23"/>
        <v>1225</v>
      </c>
      <c r="H59" s="44">
        <f t="shared" si="23"/>
        <v>1000</v>
      </c>
      <c r="I59" s="44">
        <f t="shared" si="23"/>
        <v>1000</v>
      </c>
      <c r="J59" s="44">
        <f t="shared" si="23"/>
        <v>1306</v>
      </c>
      <c r="K59" s="44">
        <f t="shared" si="23"/>
        <v>1200</v>
      </c>
      <c r="L59" s="44">
        <f t="shared" si="23"/>
        <v>1300</v>
      </c>
      <c r="M59" s="44">
        <f t="shared" si="23"/>
        <v>1000</v>
      </c>
      <c r="N59" s="44">
        <f t="shared" si="23"/>
        <v>1655</v>
      </c>
      <c r="O59" s="44">
        <f t="shared" si="23"/>
        <v>1210</v>
      </c>
      <c r="P59" s="44">
        <f>IFERROR(P49/P38,0)</f>
        <v>1800</v>
      </c>
      <c r="Q59" s="44">
        <f t="shared" si="23"/>
        <v>1200</v>
      </c>
      <c r="R59" s="44">
        <f t="shared" si="23"/>
        <v>1380</v>
      </c>
      <c r="S59" s="45">
        <f t="shared" si="23"/>
        <v>1950</v>
      </c>
      <c r="T59" s="35">
        <f>IFERROR(T49/T38,0)</f>
        <v>0</v>
      </c>
      <c r="U59" s="46">
        <f>IFERROR(U49/U38,0)</f>
        <v>0</v>
      </c>
      <c r="V59" s="46">
        <f>IFERROR(V49/V38,0)</f>
        <v>0</v>
      </c>
      <c r="AA59" s="8"/>
    </row>
    <row r="60" spans="1:27" ht="15.75" hidden="1" outlineLevel="1" thickBot="1" x14ac:dyDescent="0.3">
      <c r="A60" s="9"/>
      <c r="B60" s="47" t="s">
        <v>44</v>
      </c>
      <c r="C60" s="48">
        <f>SUM(C57,C59)</f>
        <v>3842.3714253126045</v>
      </c>
      <c r="D60" s="49">
        <f t="shared" ref="D60:V60" si="24">SUM(D57,D59)</f>
        <v>3457.5718350678812</v>
      </c>
      <c r="E60" s="49">
        <f t="shared" si="24"/>
        <v>2355.6962025316498</v>
      </c>
      <c r="F60" s="49">
        <f t="shared" si="24"/>
        <v>0</v>
      </c>
      <c r="G60" s="49">
        <f t="shared" si="24"/>
        <v>2125.90533821184</v>
      </c>
      <c r="H60" s="49">
        <f t="shared" si="24"/>
        <v>3381.625</v>
      </c>
      <c r="I60" s="49">
        <f t="shared" si="24"/>
        <v>3268.8991452214909</v>
      </c>
      <c r="J60" s="49">
        <f t="shared" si="24"/>
        <v>3938.1428571428573</v>
      </c>
      <c r="K60" s="49">
        <f t="shared" si="24"/>
        <v>3501.5882352941176</v>
      </c>
      <c r="L60" s="49">
        <f t="shared" si="24"/>
        <v>3698.5390951117092</v>
      </c>
      <c r="M60" s="49">
        <f t="shared" si="24"/>
        <v>4113.414634146342</v>
      </c>
      <c r="N60" s="49">
        <f t="shared" si="24"/>
        <v>5309.4882250815554</v>
      </c>
      <c r="O60" s="49">
        <f t="shared" si="24"/>
        <v>4533.2754045307447</v>
      </c>
      <c r="P60" s="49">
        <f t="shared" si="24"/>
        <v>4334.563601558687</v>
      </c>
      <c r="Q60" s="49">
        <f t="shared" si="24"/>
        <v>4697.2108899147988</v>
      </c>
      <c r="R60" s="49">
        <f t="shared" si="24"/>
        <v>2717.6191978626875</v>
      </c>
      <c r="S60" s="50">
        <f t="shared" si="24"/>
        <v>4950</v>
      </c>
      <c r="T60" s="51">
        <f t="shared" si="24"/>
        <v>0</v>
      </c>
      <c r="U60" s="37">
        <f t="shared" si="24"/>
        <v>0</v>
      </c>
      <c r="V60" s="37">
        <f t="shared" si="24"/>
        <v>0</v>
      </c>
      <c r="AA60" s="8"/>
    </row>
    <row r="61" spans="1:27" collapsed="1" x14ac:dyDescent="0.25">
      <c r="A61" s="9"/>
      <c r="B61" s="52" t="s">
        <v>45</v>
      </c>
      <c r="C61" s="53">
        <f>IFERROR(C50/C40,0)</f>
        <v>3842.9865124519861</v>
      </c>
      <c r="D61" s="54">
        <f t="shared" ref="D61:S64" si="25">IFERROR(D50/D40,0)</f>
        <v>3667.0888890338165</v>
      </c>
      <c r="E61" s="54">
        <f t="shared" si="25"/>
        <v>2368.1962025316498</v>
      </c>
      <c r="F61" s="54">
        <f t="shared" si="25"/>
        <v>0</v>
      </c>
      <c r="G61" s="54">
        <f t="shared" si="25"/>
        <v>2088.4384402281344</v>
      </c>
      <c r="H61" s="54">
        <f t="shared" si="25"/>
        <v>3347.9268292682927</v>
      </c>
      <c r="I61" s="54">
        <f t="shared" si="25"/>
        <v>3353.342544643564</v>
      </c>
      <c r="J61" s="54">
        <f t="shared" si="25"/>
        <v>3775.0320967741932</v>
      </c>
      <c r="K61" s="54">
        <f t="shared" si="25"/>
        <v>3584.8353174603176</v>
      </c>
      <c r="L61" s="54">
        <f t="shared" si="25"/>
        <v>3713.7935004905958</v>
      </c>
      <c r="M61" s="54">
        <f t="shared" si="25"/>
        <v>4087.2093023255816</v>
      </c>
      <c r="N61" s="54">
        <f t="shared" si="25"/>
        <v>5449.1619759499144</v>
      </c>
      <c r="O61" s="54">
        <f t="shared" si="25"/>
        <v>4533.2754045307438</v>
      </c>
      <c r="P61" s="54">
        <f t="shared" si="25"/>
        <v>4232.5493747088849</v>
      </c>
      <c r="Q61" s="54">
        <f t="shared" si="25"/>
        <v>4696.3077832274821</v>
      </c>
      <c r="R61" s="54">
        <f t="shared" si="25"/>
        <v>2671.800102109476</v>
      </c>
      <c r="S61" s="55">
        <f t="shared" si="25"/>
        <v>4950</v>
      </c>
      <c r="T61" s="56">
        <f>IFERROR(T50/T40,0)</f>
        <v>0</v>
      </c>
      <c r="U61" s="36">
        <f>IFERROR(U50/U40,0)</f>
        <v>0</v>
      </c>
      <c r="V61" s="36">
        <f>IFERROR(V50/V40,0)</f>
        <v>0</v>
      </c>
      <c r="AA61" s="8"/>
    </row>
    <row r="62" spans="1:27" hidden="1" outlineLevel="1" x14ac:dyDescent="0.25">
      <c r="A62" s="9"/>
      <c r="B62" s="43" t="s">
        <v>46</v>
      </c>
      <c r="C62" s="31">
        <f>IFERROR(C51/C41,0)</f>
        <v>1578.2851107266981</v>
      </c>
      <c r="D62" s="44">
        <f t="shared" si="25"/>
        <v>1597.3333333333333</v>
      </c>
      <c r="E62" s="44">
        <f t="shared" si="25"/>
        <v>1200</v>
      </c>
      <c r="F62" s="44">
        <f t="shared" si="25"/>
        <v>0</v>
      </c>
      <c r="G62" s="44">
        <f t="shared" si="25"/>
        <v>1500</v>
      </c>
      <c r="H62" s="44">
        <f t="shared" si="25"/>
        <v>1599.078947368421</v>
      </c>
      <c r="I62" s="44">
        <f t="shared" si="25"/>
        <v>1453.3333333333333</v>
      </c>
      <c r="J62" s="44">
        <f t="shared" si="25"/>
        <v>1600</v>
      </c>
      <c r="K62" s="44">
        <f t="shared" si="25"/>
        <v>1500</v>
      </c>
      <c r="L62" s="44">
        <f t="shared" si="25"/>
        <v>1545</v>
      </c>
      <c r="M62" s="44">
        <f t="shared" si="25"/>
        <v>1442.4242424242425</v>
      </c>
      <c r="N62" s="44">
        <f t="shared" si="25"/>
        <v>1800</v>
      </c>
      <c r="O62" s="44">
        <f t="shared" si="25"/>
        <v>1700</v>
      </c>
      <c r="P62" s="44">
        <f t="shared" si="25"/>
        <v>1793.5897435897436</v>
      </c>
      <c r="Q62" s="44">
        <f t="shared" si="25"/>
        <v>1310</v>
      </c>
      <c r="R62" s="44">
        <f t="shared" si="25"/>
        <v>1854.6037735849056</v>
      </c>
      <c r="S62" s="45">
        <f t="shared" si="25"/>
        <v>1440.7407407407406</v>
      </c>
      <c r="T62" s="32">
        <f>IFERROR(T51/T38,0)</f>
        <v>0</v>
      </c>
      <c r="U62" s="44">
        <f>IFERROR(U51/U38,0)</f>
        <v>0</v>
      </c>
      <c r="V62" s="44">
        <f>IFERROR(V51/V38,0)</f>
        <v>0</v>
      </c>
      <c r="AA62" s="8"/>
    </row>
    <row r="63" spans="1:27" hidden="1" outlineLevel="1" x14ac:dyDescent="0.25">
      <c r="A63" s="9"/>
      <c r="B63" s="43" t="s">
        <v>47</v>
      </c>
      <c r="C63" s="31">
        <f>IFERROR(C52/C42,0)</f>
        <v>0</v>
      </c>
      <c r="D63" s="44">
        <f t="shared" si="25"/>
        <v>0</v>
      </c>
      <c r="E63" s="44">
        <f t="shared" si="25"/>
        <v>0</v>
      </c>
      <c r="F63" s="44">
        <f t="shared" si="25"/>
        <v>0</v>
      </c>
      <c r="G63" s="44">
        <f t="shared" si="25"/>
        <v>0</v>
      </c>
      <c r="H63" s="44">
        <f t="shared" si="25"/>
        <v>0</v>
      </c>
      <c r="I63" s="44">
        <f t="shared" si="25"/>
        <v>0</v>
      </c>
      <c r="J63" s="44">
        <f t="shared" si="25"/>
        <v>0</v>
      </c>
      <c r="K63" s="44">
        <f t="shared" si="25"/>
        <v>0</v>
      </c>
      <c r="L63" s="44">
        <f t="shared" si="25"/>
        <v>0</v>
      </c>
      <c r="M63" s="44">
        <f t="shared" si="25"/>
        <v>0</v>
      </c>
      <c r="N63" s="44">
        <f t="shared" si="25"/>
        <v>0</v>
      </c>
      <c r="O63" s="44">
        <f t="shared" si="25"/>
        <v>0</v>
      </c>
      <c r="P63" s="44">
        <f t="shared" si="25"/>
        <v>0</v>
      </c>
      <c r="Q63" s="44">
        <f t="shared" si="25"/>
        <v>0</v>
      </c>
      <c r="R63" s="44">
        <f t="shared" si="25"/>
        <v>0</v>
      </c>
      <c r="S63" s="45">
        <f t="shared" si="25"/>
        <v>0</v>
      </c>
      <c r="T63" s="32">
        <f t="shared" ref="T63:V64" si="26">IFERROR(T52/T42,0)</f>
        <v>0</v>
      </c>
      <c r="U63" s="44">
        <f t="shared" si="26"/>
        <v>0</v>
      </c>
      <c r="V63" s="44">
        <f t="shared" si="26"/>
        <v>0</v>
      </c>
      <c r="AA63" s="8"/>
    </row>
    <row r="64" spans="1:27" hidden="1" outlineLevel="1" x14ac:dyDescent="0.25">
      <c r="A64" s="9"/>
      <c r="B64" s="43" t="s">
        <v>48</v>
      </c>
      <c r="C64" s="31">
        <f>IFERROR(C53/C43,0)</f>
        <v>486.76495734935185</v>
      </c>
      <c r="D64" s="44">
        <f t="shared" si="25"/>
        <v>400</v>
      </c>
      <c r="E64" s="44">
        <f t="shared" si="25"/>
        <v>300</v>
      </c>
      <c r="F64" s="44">
        <f t="shared" si="25"/>
        <v>0</v>
      </c>
      <c r="G64" s="44">
        <f t="shared" si="25"/>
        <v>650</v>
      </c>
      <c r="H64" s="44">
        <f t="shared" si="25"/>
        <v>600</v>
      </c>
      <c r="I64" s="44">
        <f t="shared" si="25"/>
        <v>400</v>
      </c>
      <c r="J64" s="44">
        <f t="shared" si="25"/>
        <v>249.04000000000002</v>
      </c>
      <c r="K64" s="44">
        <f t="shared" si="25"/>
        <v>400</v>
      </c>
      <c r="L64" s="44">
        <f t="shared" si="25"/>
        <v>300</v>
      </c>
      <c r="M64" s="44">
        <f t="shared" si="25"/>
        <v>100</v>
      </c>
      <c r="N64" s="44">
        <f t="shared" si="25"/>
        <v>350</v>
      </c>
      <c r="O64" s="44">
        <f t="shared" si="25"/>
        <v>1000</v>
      </c>
      <c r="P64" s="44">
        <f t="shared" si="25"/>
        <v>850</v>
      </c>
      <c r="Q64" s="44">
        <f t="shared" si="25"/>
        <v>143.29896907216494</v>
      </c>
      <c r="R64" s="44">
        <f t="shared" si="25"/>
        <v>550</v>
      </c>
      <c r="S64" s="45">
        <f t="shared" si="25"/>
        <v>100</v>
      </c>
      <c r="T64" s="32">
        <f t="shared" si="26"/>
        <v>0</v>
      </c>
      <c r="U64" s="44">
        <f t="shared" si="26"/>
        <v>0</v>
      </c>
      <c r="V64" s="44">
        <f t="shared" si="26"/>
        <v>0</v>
      </c>
      <c r="AA64" s="8"/>
    </row>
    <row r="65" spans="1:27" hidden="1" outlineLevel="1" x14ac:dyDescent="0.25">
      <c r="A65" s="9"/>
      <c r="B65" s="43" t="s">
        <v>49</v>
      </c>
      <c r="C65" s="31">
        <f>IFERROR(C54/C41,0)</f>
        <v>1532.3049752662505</v>
      </c>
      <c r="D65" s="44">
        <f t="shared" ref="D65:S65" si="27">IFERROR(D54/D41,0)</f>
        <v>1400</v>
      </c>
      <c r="E65" s="44">
        <f t="shared" si="27"/>
        <v>1500</v>
      </c>
      <c r="F65" s="44">
        <f t="shared" si="27"/>
        <v>0</v>
      </c>
      <c r="G65" s="44">
        <f t="shared" si="27"/>
        <v>1925</v>
      </c>
      <c r="H65" s="44">
        <f t="shared" si="27"/>
        <v>1600</v>
      </c>
      <c r="I65" s="44">
        <f t="shared" si="27"/>
        <v>1900</v>
      </c>
      <c r="J65" s="44">
        <f t="shared" si="27"/>
        <v>1700.0000000000002</v>
      </c>
      <c r="K65" s="44">
        <f t="shared" si="27"/>
        <v>1250</v>
      </c>
      <c r="L65" s="44">
        <f t="shared" si="27"/>
        <v>1475</v>
      </c>
      <c r="M65" s="44">
        <f t="shared" si="27"/>
        <v>1355.3030303030303</v>
      </c>
      <c r="N65" s="44">
        <f t="shared" si="27"/>
        <v>1450</v>
      </c>
      <c r="O65" s="44">
        <f t="shared" si="27"/>
        <v>1700</v>
      </c>
      <c r="P65" s="44">
        <f t="shared" si="27"/>
        <v>1500</v>
      </c>
      <c r="Q65" s="44">
        <f t="shared" si="27"/>
        <v>1199.9999999999998</v>
      </c>
      <c r="R65" s="44">
        <f t="shared" si="27"/>
        <v>1799.9999999999998</v>
      </c>
      <c r="S65" s="45">
        <f t="shared" si="27"/>
        <v>1250</v>
      </c>
      <c r="T65" s="32">
        <f>IFERROR(T54/T41,0)</f>
        <v>0</v>
      </c>
      <c r="U65" s="44">
        <f>IFERROR(U54/U41,0)</f>
        <v>0</v>
      </c>
      <c r="V65" s="44">
        <f>IFERROR(V54/V41,0)</f>
        <v>0</v>
      </c>
      <c r="AA65" s="8"/>
    </row>
    <row r="66" spans="1:27" hidden="1" outlineLevel="1" x14ac:dyDescent="0.25">
      <c r="A66" s="9"/>
      <c r="B66" s="57" t="s">
        <v>50</v>
      </c>
      <c r="C66" s="34">
        <f>SUM(C62,C65)</f>
        <v>3110.5900859929488</v>
      </c>
      <c r="D66" s="46">
        <f t="shared" ref="D66:V66" si="28">SUM(D62,D65)</f>
        <v>2997.333333333333</v>
      </c>
      <c r="E66" s="46">
        <f t="shared" si="28"/>
        <v>2700</v>
      </c>
      <c r="F66" s="46">
        <f t="shared" si="28"/>
        <v>0</v>
      </c>
      <c r="G66" s="46">
        <f t="shared" si="28"/>
        <v>3425</v>
      </c>
      <c r="H66" s="46">
        <f t="shared" si="28"/>
        <v>3199.0789473684208</v>
      </c>
      <c r="I66" s="46">
        <f t="shared" si="28"/>
        <v>3353.333333333333</v>
      </c>
      <c r="J66" s="46">
        <f t="shared" si="28"/>
        <v>3300</v>
      </c>
      <c r="K66" s="46">
        <f t="shared" si="28"/>
        <v>2750</v>
      </c>
      <c r="L66" s="46">
        <f t="shared" si="28"/>
        <v>3020</v>
      </c>
      <c r="M66" s="46">
        <f t="shared" si="28"/>
        <v>2797.727272727273</v>
      </c>
      <c r="N66" s="46">
        <f t="shared" si="28"/>
        <v>3250</v>
      </c>
      <c r="O66" s="46">
        <f t="shared" si="28"/>
        <v>3400</v>
      </c>
      <c r="P66" s="46">
        <f t="shared" si="28"/>
        <v>3293.5897435897436</v>
      </c>
      <c r="Q66" s="46">
        <f t="shared" si="28"/>
        <v>2510</v>
      </c>
      <c r="R66" s="46">
        <f t="shared" si="28"/>
        <v>3654.6037735849054</v>
      </c>
      <c r="S66" s="58">
        <f t="shared" si="28"/>
        <v>2690.7407407407409</v>
      </c>
      <c r="T66" s="51">
        <f t="shared" si="28"/>
        <v>0</v>
      </c>
      <c r="U66" s="37">
        <f t="shared" si="28"/>
        <v>0</v>
      </c>
      <c r="V66" s="36">
        <f t="shared" si="28"/>
        <v>0</v>
      </c>
      <c r="AA66" s="8"/>
    </row>
    <row r="67" spans="1:27" collapsed="1" x14ac:dyDescent="0.25">
      <c r="A67" s="9"/>
      <c r="B67" s="59" t="s">
        <v>51</v>
      </c>
      <c r="C67" s="36">
        <f>IFERROR(C55/C44,0)</f>
        <v>1831.2562133072224</v>
      </c>
      <c r="D67" s="37">
        <f t="shared" ref="D67:S68" si="29">IFERROR(D55/D44,0)</f>
        <v>1592.6530612244899</v>
      </c>
      <c r="E67" s="37">
        <f t="shared" si="29"/>
        <v>1429.4117647058824</v>
      </c>
      <c r="F67" s="37">
        <f t="shared" si="29"/>
        <v>0</v>
      </c>
      <c r="G67" s="37">
        <f t="shared" si="29"/>
        <v>2537</v>
      </c>
      <c r="H67" s="37">
        <f t="shared" si="29"/>
        <v>2167.6984126984125</v>
      </c>
      <c r="I67" s="37">
        <f t="shared" si="29"/>
        <v>1806.3492063492063</v>
      </c>
      <c r="J67" s="37">
        <f t="shared" si="29"/>
        <v>1775.4358375025015</v>
      </c>
      <c r="K67" s="37">
        <f t="shared" si="29"/>
        <v>1626.0869565217392</v>
      </c>
      <c r="L67" s="37">
        <f t="shared" si="29"/>
        <v>1457.4468085106382</v>
      </c>
      <c r="M67" s="37">
        <f t="shared" si="29"/>
        <v>1689.7321428571429</v>
      </c>
      <c r="N67" s="37">
        <f>IFERROR(N55/N44,0)</f>
        <v>1830.8510638297873</v>
      </c>
      <c r="O67" s="37">
        <f t="shared" si="29"/>
        <v>2088.6597938144332</v>
      </c>
      <c r="P67" s="37">
        <f t="shared" si="29"/>
        <v>2192.2535211267605</v>
      </c>
      <c r="Q67" s="37">
        <f t="shared" si="29"/>
        <v>1195.1660939289804</v>
      </c>
      <c r="R67" s="37">
        <f t="shared" si="29"/>
        <v>1422.9124668435013</v>
      </c>
      <c r="S67" s="60">
        <f t="shared" si="29"/>
        <v>2285.9375</v>
      </c>
      <c r="T67" s="56">
        <f>IFERROR(T55/T44,0)</f>
        <v>0</v>
      </c>
      <c r="U67" s="36">
        <f>IFERROR(U55/U44,0)</f>
        <v>0</v>
      </c>
      <c r="V67" s="36">
        <f>IFERROR(V55/V44,0)</f>
        <v>0</v>
      </c>
      <c r="AA67" s="8"/>
    </row>
    <row r="68" spans="1:27" ht="15.75" thickBot="1" x14ac:dyDescent="0.3">
      <c r="A68" s="9"/>
      <c r="B68" s="61" t="s">
        <v>52</v>
      </c>
      <c r="C68" s="62">
        <f>IFERROR(C56/C45,0)</f>
        <v>2899.3797673666622</v>
      </c>
      <c r="D68" s="62">
        <f t="shared" si="29"/>
        <v>2763.5568395879759</v>
      </c>
      <c r="E68" s="62">
        <f t="shared" si="29"/>
        <v>1729.8227848101278</v>
      </c>
      <c r="F68" s="62">
        <f t="shared" si="29"/>
        <v>0</v>
      </c>
      <c r="G68" s="62">
        <f t="shared" si="29"/>
        <v>2255.8121565609204</v>
      </c>
      <c r="H68" s="62">
        <f t="shared" si="29"/>
        <v>2835.1379310344828</v>
      </c>
      <c r="I68" s="62">
        <f t="shared" si="29"/>
        <v>2716.3452876988285</v>
      </c>
      <c r="J68" s="62">
        <f t="shared" si="29"/>
        <v>2844.484158540834</v>
      </c>
      <c r="K68" s="62">
        <f t="shared" si="29"/>
        <v>2486.0252613240418</v>
      </c>
      <c r="L68" s="62">
        <f t="shared" si="29"/>
        <v>2480.6737967341073</v>
      </c>
      <c r="M68" s="62">
        <f t="shared" si="29"/>
        <v>2731.060606060606</v>
      </c>
      <c r="N68" s="62">
        <f t="shared" si="29"/>
        <v>2984.5154126217121</v>
      </c>
      <c r="O68" s="62">
        <f t="shared" si="29"/>
        <v>3573.2441727919499</v>
      </c>
      <c r="P68" s="62">
        <f t="shared" si="29"/>
        <v>3212.4014479178227</v>
      </c>
      <c r="Q68" s="62">
        <f t="shared" si="29"/>
        <v>3037.8722461913499</v>
      </c>
      <c r="R68" s="62">
        <f t="shared" si="29"/>
        <v>2147.6693366328436</v>
      </c>
      <c r="S68" s="63">
        <f t="shared" si="29"/>
        <v>3454.3859649122805</v>
      </c>
      <c r="T68" s="7"/>
      <c r="U68" s="7"/>
      <c r="V68" s="7"/>
      <c r="AA68" s="8"/>
    </row>
    <row r="69" spans="1:27" ht="5.25" customHeight="1" x14ac:dyDescent="0.25"/>
    <row r="70" spans="1:27" x14ac:dyDescent="0.25">
      <c r="B70" s="68" t="s">
        <v>53</v>
      </c>
      <c r="C70" s="65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7" t="s">
        <v>18</v>
      </c>
      <c r="U70" s="5" t="s">
        <v>19</v>
      </c>
      <c r="V70" s="5" t="s">
        <v>20</v>
      </c>
    </row>
    <row r="71" spans="1:27" hidden="1" outlineLevel="1" x14ac:dyDescent="0.25">
      <c r="A71" s="9"/>
      <c r="B71" s="10" t="s">
        <v>21</v>
      </c>
      <c r="C71" s="12">
        <f t="shared" ref="C71:V83" si="30">+C5-C38</f>
        <v>-107</v>
      </c>
      <c r="D71" s="12">
        <f t="shared" si="30"/>
        <v>-41</v>
      </c>
      <c r="E71" s="12">
        <f t="shared" si="30"/>
        <v>-8</v>
      </c>
      <c r="F71" s="12">
        <f t="shared" si="30"/>
        <v>0</v>
      </c>
      <c r="G71" s="12">
        <f t="shared" si="30"/>
        <v>-9</v>
      </c>
      <c r="H71" s="12">
        <f t="shared" si="30"/>
        <v>-24</v>
      </c>
      <c r="I71" s="12">
        <f t="shared" si="30"/>
        <v>-21</v>
      </c>
      <c r="J71" s="12">
        <f t="shared" si="30"/>
        <v>-8</v>
      </c>
      <c r="K71" s="12">
        <f t="shared" si="30"/>
        <v>10</v>
      </c>
      <c r="L71" s="12">
        <f t="shared" si="30"/>
        <v>-6</v>
      </c>
      <c r="M71" s="12">
        <f t="shared" si="30"/>
        <v>6</v>
      </c>
      <c r="N71" s="12">
        <f t="shared" si="30"/>
        <v>-1</v>
      </c>
      <c r="O71" s="12">
        <f t="shared" si="30"/>
        <v>-18</v>
      </c>
      <c r="P71" s="12">
        <f t="shared" si="30"/>
        <v>-3</v>
      </c>
      <c r="Q71" s="12">
        <f t="shared" si="30"/>
        <v>6</v>
      </c>
      <c r="R71" s="12">
        <f t="shared" si="30"/>
        <v>10</v>
      </c>
      <c r="S71" s="12">
        <f t="shared" si="30"/>
        <v>0</v>
      </c>
      <c r="T71" s="12">
        <f t="shared" si="30"/>
        <v>0</v>
      </c>
      <c r="U71" s="12">
        <f t="shared" si="30"/>
        <v>0</v>
      </c>
      <c r="V71" s="12">
        <f t="shared" si="30"/>
        <v>0</v>
      </c>
      <c r="AA71" s="8"/>
    </row>
    <row r="72" spans="1:27" hidden="1" outlineLevel="1" x14ac:dyDescent="0.25">
      <c r="A72" s="9"/>
      <c r="B72" s="13" t="s">
        <v>22</v>
      </c>
      <c r="C72" s="15">
        <f t="shared" si="30"/>
        <v>-16</v>
      </c>
      <c r="D72" s="15">
        <f t="shared" si="30"/>
        <v>3</v>
      </c>
      <c r="E72" s="15">
        <f t="shared" si="30"/>
        <v>0</v>
      </c>
      <c r="F72" s="15">
        <f t="shared" si="30"/>
        <v>0</v>
      </c>
      <c r="G72" s="15">
        <f t="shared" si="30"/>
        <v>-4</v>
      </c>
      <c r="H72" s="15">
        <f t="shared" si="30"/>
        <v>-2</v>
      </c>
      <c r="I72" s="15">
        <f t="shared" si="30"/>
        <v>0</v>
      </c>
      <c r="J72" s="15">
        <f t="shared" si="30"/>
        <v>-2</v>
      </c>
      <c r="K72" s="15">
        <f t="shared" si="30"/>
        <v>0</v>
      </c>
      <c r="L72" s="15">
        <f t="shared" si="30"/>
        <v>0</v>
      </c>
      <c r="M72" s="15">
        <f t="shared" si="30"/>
        <v>5</v>
      </c>
      <c r="N72" s="15">
        <f t="shared" si="30"/>
        <v>0</v>
      </c>
      <c r="O72" s="15">
        <f t="shared" si="30"/>
        <v>0</v>
      </c>
      <c r="P72" s="15">
        <f t="shared" si="30"/>
        <v>-9</v>
      </c>
      <c r="Q72" s="15">
        <f t="shared" si="30"/>
        <v>0</v>
      </c>
      <c r="R72" s="15">
        <f t="shared" si="30"/>
        <v>-7</v>
      </c>
      <c r="S72" s="15">
        <f t="shared" si="30"/>
        <v>0</v>
      </c>
      <c r="T72" s="15">
        <f t="shared" si="30"/>
        <v>0</v>
      </c>
      <c r="U72" s="15">
        <f t="shared" si="30"/>
        <v>0</v>
      </c>
      <c r="V72" s="15">
        <f t="shared" si="30"/>
        <v>0</v>
      </c>
      <c r="AA72" s="8"/>
    </row>
    <row r="73" spans="1:27" collapsed="1" x14ac:dyDescent="0.25">
      <c r="A73" s="9"/>
      <c r="B73" s="16" t="s">
        <v>23</v>
      </c>
      <c r="C73" s="17">
        <f t="shared" si="30"/>
        <v>-123</v>
      </c>
      <c r="D73" s="18">
        <f t="shared" si="30"/>
        <v>-38</v>
      </c>
      <c r="E73" s="18">
        <f t="shared" si="30"/>
        <v>-8</v>
      </c>
      <c r="F73" s="18">
        <f t="shared" si="30"/>
        <v>0</v>
      </c>
      <c r="G73" s="18">
        <f t="shared" si="30"/>
        <v>-13</v>
      </c>
      <c r="H73" s="18">
        <f t="shared" si="30"/>
        <v>-26</v>
      </c>
      <c r="I73" s="18">
        <f t="shared" si="30"/>
        <v>-21</v>
      </c>
      <c r="J73" s="18">
        <f t="shared" si="30"/>
        <v>-10</v>
      </c>
      <c r="K73" s="18">
        <f t="shared" si="30"/>
        <v>10</v>
      </c>
      <c r="L73" s="18">
        <f t="shared" si="30"/>
        <v>-6</v>
      </c>
      <c r="M73" s="18">
        <f t="shared" si="30"/>
        <v>11</v>
      </c>
      <c r="N73" s="18">
        <f t="shared" si="30"/>
        <v>-1</v>
      </c>
      <c r="O73" s="18">
        <f t="shared" si="30"/>
        <v>-18</v>
      </c>
      <c r="P73" s="18">
        <f t="shared" si="30"/>
        <v>-12</v>
      </c>
      <c r="Q73" s="18">
        <f t="shared" si="30"/>
        <v>6</v>
      </c>
      <c r="R73" s="18">
        <f t="shared" si="30"/>
        <v>3</v>
      </c>
      <c r="S73" s="18">
        <f t="shared" si="30"/>
        <v>0</v>
      </c>
      <c r="T73" s="19">
        <f t="shared" si="30"/>
        <v>0</v>
      </c>
      <c r="U73" s="19">
        <f t="shared" si="30"/>
        <v>0</v>
      </c>
      <c r="V73" s="19">
        <f t="shared" si="30"/>
        <v>0</v>
      </c>
      <c r="AA73" s="8"/>
    </row>
    <row r="74" spans="1:27" ht="14.25" hidden="1" customHeight="1" outlineLevel="1" x14ac:dyDescent="0.25">
      <c r="A74" s="9"/>
      <c r="B74" s="10" t="s">
        <v>24</v>
      </c>
      <c r="C74" s="11">
        <f t="shared" si="30"/>
        <v>-29.116719872306476</v>
      </c>
      <c r="D74" s="12">
        <f t="shared" si="30"/>
        <v>-11</v>
      </c>
      <c r="E74" s="12">
        <f t="shared" si="30"/>
        <v>-8</v>
      </c>
      <c r="F74" s="12">
        <f t="shared" si="30"/>
        <v>0</v>
      </c>
      <c r="G74" s="12">
        <f t="shared" si="30"/>
        <v>6</v>
      </c>
      <c r="H74" s="12">
        <f t="shared" si="30"/>
        <v>-15</v>
      </c>
      <c r="I74" s="12">
        <f t="shared" si="30"/>
        <v>-3</v>
      </c>
      <c r="J74" s="12">
        <f t="shared" si="30"/>
        <v>-3</v>
      </c>
      <c r="K74" s="12">
        <f t="shared" si="30"/>
        <v>0</v>
      </c>
      <c r="L74" s="12">
        <f t="shared" si="30"/>
        <v>4</v>
      </c>
      <c r="M74" s="12">
        <f t="shared" si="30"/>
        <v>-1</v>
      </c>
      <c r="N74" s="12">
        <f t="shared" si="30"/>
        <v>-5</v>
      </c>
      <c r="O74" s="12">
        <f t="shared" si="30"/>
        <v>10</v>
      </c>
      <c r="P74" s="12">
        <f t="shared" si="30"/>
        <v>-12</v>
      </c>
      <c r="Q74" s="12">
        <f t="shared" si="30"/>
        <v>15</v>
      </c>
      <c r="R74" s="12">
        <f t="shared" si="30"/>
        <v>-1.1167198723064642</v>
      </c>
      <c r="S74" s="12">
        <f t="shared" si="30"/>
        <v>-5</v>
      </c>
      <c r="T74" s="20">
        <f t="shared" si="30"/>
        <v>0</v>
      </c>
      <c r="U74" s="20">
        <f t="shared" si="30"/>
        <v>0</v>
      </c>
      <c r="V74" s="20">
        <f t="shared" si="30"/>
        <v>0</v>
      </c>
      <c r="AA74" s="8"/>
    </row>
    <row r="75" spans="1:27" hidden="1" outlineLevel="1" x14ac:dyDescent="0.25">
      <c r="A75" s="9"/>
      <c r="B75" s="13" t="s">
        <v>25</v>
      </c>
      <c r="C75" s="14">
        <f t="shared" si="30"/>
        <v>0</v>
      </c>
      <c r="D75" s="15">
        <f t="shared" si="30"/>
        <v>0</v>
      </c>
      <c r="E75" s="15">
        <f t="shared" si="30"/>
        <v>0</v>
      </c>
      <c r="F75" s="15">
        <f t="shared" si="30"/>
        <v>0</v>
      </c>
      <c r="G75" s="15">
        <f t="shared" si="30"/>
        <v>0</v>
      </c>
      <c r="H75" s="15">
        <f t="shared" si="30"/>
        <v>0</v>
      </c>
      <c r="I75" s="15">
        <f t="shared" si="30"/>
        <v>0</v>
      </c>
      <c r="J75" s="15">
        <f t="shared" si="30"/>
        <v>0</v>
      </c>
      <c r="K75" s="15">
        <f t="shared" si="30"/>
        <v>0</v>
      </c>
      <c r="L75" s="15">
        <f t="shared" si="30"/>
        <v>0</v>
      </c>
      <c r="M75" s="15">
        <f t="shared" si="30"/>
        <v>0</v>
      </c>
      <c r="N75" s="15">
        <f t="shared" si="30"/>
        <v>0</v>
      </c>
      <c r="O75" s="15">
        <f t="shared" si="30"/>
        <v>0</v>
      </c>
      <c r="P75" s="15">
        <f t="shared" si="30"/>
        <v>0</v>
      </c>
      <c r="Q75" s="15">
        <f t="shared" si="30"/>
        <v>0</v>
      </c>
      <c r="R75" s="15">
        <f t="shared" si="30"/>
        <v>0</v>
      </c>
      <c r="S75" s="15">
        <f t="shared" si="30"/>
        <v>0</v>
      </c>
      <c r="T75" s="21">
        <f t="shared" si="30"/>
        <v>0</v>
      </c>
      <c r="U75" s="21">
        <f t="shared" si="30"/>
        <v>0</v>
      </c>
      <c r="V75" s="21">
        <f t="shared" si="30"/>
        <v>0</v>
      </c>
      <c r="AA75" s="8"/>
    </row>
    <row r="76" spans="1:27" hidden="1" outlineLevel="1" x14ac:dyDescent="0.25">
      <c r="A76" s="9"/>
      <c r="B76" s="13" t="s">
        <v>26</v>
      </c>
      <c r="C76" s="22">
        <f t="shared" si="30"/>
        <v>41.837767118914599</v>
      </c>
      <c r="D76" s="23">
        <f t="shared" si="30"/>
        <v>-3</v>
      </c>
      <c r="E76" s="23">
        <f t="shared" si="30"/>
        <v>-9</v>
      </c>
      <c r="F76" s="23">
        <f t="shared" si="30"/>
        <v>0</v>
      </c>
      <c r="G76" s="23">
        <f t="shared" si="30"/>
        <v>5</v>
      </c>
      <c r="H76" s="23">
        <f t="shared" si="30"/>
        <v>-2</v>
      </c>
      <c r="I76" s="23">
        <f t="shared" si="30"/>
        <v>17</v>
      </c>
      <c r="J76" s="23">
        <f t="shared" si="30"/>
        <v>14.032399999999999</v>
      </c>
      <c r="K76" s="23">
        <f t="shared" si="30"/>
        <v>11</v>
      </c>
      <c r="L76" s="23">
        <f t="shared" si="30"/>
        <v>8</v>
      </c>
      <c r="M76" s="23">
        <f t="shared" si="30"/>
        <v>11</v>
      </c>
      <c r="N76" s="23">
        <f t="shared" si="30"/>
        <v>-8</v>
      </c>
      <c r="O76" s="23">
        <f t="shared" si="30"/>
        <v>-6</v>
      </c>
      <c r="P76" s="23">
        <f t="shared" si="30"/>
        <v>-5</v>
      </c>
      <c r="Q76" s="23">
        <f t="shared" si="30"/>
        <v>11</v>
      </c>
      <c r="R76" s="23">
        <f t="shared" si="30"/>
        <v>-6.1946328810853934</v>
      </c>
      <c r="S76" s="23">
        <f t="shared" si="30"/>
        <v>4</v>
      </c>
      <c r="T76" s="24">
        <f t="shared" si="30"/>
        <v>0</v>
      </c>
      <c r="U76" s="24">
        <f t="shared" si="30"/>
        <v>0</v>
      </c>
      <c r="V76" s="24">
        <f t="shared" si="30"/>
        <v>0</v>
      </c>
      <c r="AA76" s="8"/>
    </row>
    <row r="77" spans="1:27" collapsed="1" x14ac:dyDescent="0.25">
      <c r="A77" s="9"/>
      <c r="B77" s="16" t="s">
        <v>27</v>
      </c>
      <c r="C77" s="17">
        <f t="shared" si="30"/>
        <v>12.721047246608123</v>
      </c>
      <c r="D77" s="18">
        <f t="shared" si="30"/>
        <v>-14</v>
      </c>
      <c r="E77" s="18">
        <f t="shared" si="30"/>
        <v>-17</v>
      </c>
      <c r="F77" s="18">
        <f t="shared" si="30"/>
        <v>0</v>
      </c>
      <c r="G77" s="18">
        <f t="shared" si="30"/>
        <v>11</v>
      </c>
      <c r="H77" s="18">
        <f t="shared" si="30"/>
        <v>-17</v>
      </c>
      <c r="I77" s="18">
        <f t="shared" si="30"/>
        <v>14</v>
      </c>
      <c r="J77" s="18">
        <f t="shared" si="30"/>
        <v>11.032399999999996</v>
      </c>
      <c r="K77" s="18">
        <f t="shared" si="30"/>
        <v>11</v>
      </c>
      <c r="L77" s="18">
        <f t="shared" si="30"/>
        <v>12</v>
      </c>
      <c r="M77" s="18">
        <f t="shared" si="30"/>
        <v>10</v>
      </c>
      <c r="N77" s="18">
        <f t="shared" si="30"/>
        <v>-13</v>
      </c>
      <c r="O77" s="18">
        <f t="shared" si="30"/>
        <v>4</v>
      </c>
      <c r="P77" s="18">
        <f t="shared" si="30"/>
        <v>-17</v>
      </c>
      <c r="Q77" s="18">
        <f t="shared" si="30"/>
        <v>26</v>
      </c>
      <c r="R77" s="18">
        <f t="shared" si="30"/>
        <v>-7.3113527533918585</v>
      </c>
      <c r="S77" s="18">
        <f t="shared" si="30"/>
        <v>-1</v>
      </c>
      <c r="T77" s="19">
        <f t="shared" si="30"/>
        <v>0</v>
      </c>
      <c r="U77" s="19">
        <f t="shared" si="30"/>
        <v>0</v>
      </c>
      <c r="V77" s="19">
        <f t="shared" si="30"/>
        <v>0</v>
      </c>
      <c r="AA77" s="8"/>
    </row>
    <row r="78" spans="1:27" ht="15.75" thickBot="1" x14ac:dyDescent="0.3">
      <c r="A78" s="9"/>
      <c r="B78" s="25" t="s">
        <v>28</v>
      </c>
      <c r="C78" s="11">
        <f t="shared" si="30"/>
        <v>-110.27895275339188</v>
      </c>
      <c r="D78" s="11">
        <f t="shared" si="30"/>
        <v>-52</v>
      </c>
      <c r="E78" s="11">
        <f t="shared" si="30"/>
        <v>-25</v>
      </c>
      <c r="F78" s="11">
        <f t="shared" si="30"/>
        <v>0</v>
      </c>
      <c r="G78" s="11">
        <f t="shared" si="30"/>
        <v>-2</v>
      </c>
      <c r="H78" s="11">
        <f t="shared" si="30"/>
        <v>-43</v>
      </c>
      <c r="I78" s="11">
        <f t="shared" si="30"/>
        <v>-7</v>
      </c>
      <c r="J78" s="11">
        <f t="shared" si="30"/>
        <v>1.0323999999999955</v>
      </c>
      <c r="K78" s="11">
        <f t="shared" si="30"/>
        <v>21</v>
      </c>
      <c r="L78" s="11">
        <f t="shared" si="30"/>
        <v>6</v>
      </c>
      <c r="M78" s="11">
        <f t="shared" si="30"/>
        <v>21</v>
      </c>
      <c r="N78" s="11">
        <f t="shared" si="30"/>
        <v>-14</v>
      </c>
      <c r="O78" s="11">
        <f t="shared" si="30"/>
        <v>-14</v>
      </c>
      <c r="P78" s="11">
        <f t="shared" si="30"/>
        <v>-29</v>
      </c>
      <c r="Q78" s="11">
        <f t="shared" si="30"/>
        <v>32</v>
      </c>
      <c r="R78" s="11">
        <f t="shared" si="30"/>
        <v>-4.3113527533918585</v>
      </c>
      <c r="S78" s="11">
        <f t="shared" si="30"/>
        <v>-1</v>
      </c>
      <c r="T78" s="26"/>
      <c r="U78" s="26"/>
      <c r="V78" s="26"/>
      <c r="AA78" s="8"/>
    </row>
    <row r="79" spans="1:27" hidden="1" outlineLevel="1" x14ac:dyDescent="0.25">
      <c r="A79" s="9"/>
      <c r="B79" s="27" t="s">
        <v>30</v>
      </c>
      <c r="C79" s="28">
        <f t="shared" si="30"/>
        <v>-138637.70162977511</v>
      </c>
      <c r="D79" s="29">
        <f t="shared" si="30"/>
        <v>-102525.58938348567</v>
      </c>
      <c r="E79" s="29">
        <f t="shared" si="30"/>
        <v>-11645.5696202532</v>
      </c>
      <c r="F79" s="29">
        <f t="shared" si="30"/>
        <v>0</v>
      </c>
      <c r="G79" s="29">
        <f t="shared" si="30"/>
        <v>-12681.662852050031</v>
      </c>
      <c r="H79" s="29">
        <f t="shared" si="30"/>
        <v>-32156.670000000013</v>
      </c>
      <c r="I79" s="29">
        <f t="shared" si="30"/>
        <v>-49731.184779491305</v>
      </c>
      <c r="J79" s="29">
        <f t="shared" si="30"/>
        <v>-23086.749999999898</v>
      </c>
      <c r="K79" s="29">
        <f t="shared" si="30"/>
        <v>36626.629999999786</v>
      </c>
      <c r="L79" s="29">
        <f t="shared" si="30"/>
        <v>5954.3734808666486</v>
      </c>
      <c r="M79" s="29">
        <f t="shared" si="30"/>
        <v>29027.629999999976</v>
      </c>
      <c r="N79" s="29">
        <f t="shared" si="30"/>
        <v>-3665.9809517943359</v>
      </c>
      <c r="O79" s="29">
        <f t="shared" si="30"/>
        <v>-119250.44067961187</v>
      </c>
      <c r="P79" s="29">
        <f t="shared" si="30"/>
        <v>23763.378312712943</v>
      </c>
      <c r="Q79" s="29">
        <f t="shared" si="30"/>
        <v>32159.176394173846</v>
      </c>
      <c r="R79" s="29">
        <f t="shared" si="30"/>
        <v>89243.028449158213</v>
      </c>
      <c r="S79" s="29">
        <f t="shared" si="30"/>
        <v>-668.07000000000698</v>
      </c>
      <c r="T79" s="29">
        <f t="shared" si="30"/>
        <v>0</v>
      </c>
      <c r="U79" s="29">
        <f t="shared" si="30"/>
        <v>0</v>
      </c>
      <c r="V79" s="29">
        <f t="shared" si="30"/>
        <v>0</v>
      </c>
      <c r="AA79" s="8"/>
    </row>
    <row r="80" spans="1:27" hidden="1" outlineLevel="1" x14ac:dyDescent="0.25">
      <c r="A80" s="9"/>
      <c r="B80" s="30" t="s">
        <v>31</v>
      </c>
      <c r="C80" s="31">
        <f>+C14-C47</f>
        <v>-14404.747131999749</v>
      </c>
      <c r="D80" s="32">
        <f t="shared" si="30"/>
        <v>-4377.3809523809541</v>
      </c>
      <c r="E80" s="32">
        <f t="shared" si="30"/>
        <v>-100</v>
      </c>
      <c r="F80" s="32">
        <f t="shared" si="30"/>
        <v>0</v>
      </c>
      <c r="G80" s="32">
        <f t="shared" si="30"/>
        <v>-799.41163753172714</v>
      </c>
      <c r="H80" s="32">
        <f t="shared" si="30"/>
        <v>600</v>
      </c>
      <c r="I80" s="32">
        <f t="shared" si="30"/>
        <v>111.73000000003958</v>
      </c>
      <c r="J80" s="32">
        <f t="shared" si="30"/>
        <v>-7104.6500000000096</v>
      </c>
      <c r="K80" s="32">
        <f t="shared" si="30"/>
        <v>-1001</v>
      </c>
      <c r="L80" s="32">
        <f t="shared" si="30"/>
        <v>-1998</v>
      </c>
      <c r="M80" s="32">
        <f t="shared" si="30"/>
        <v>-435.85999999999012</v>
      </c>
      <c r="N80" s="32">
        <f t="shared" si="30"/>
        <v>458.17748089610632</v>
      </c>
      <c r="O80" s="32">
        <f t="shared" si="30"/>
        <v>-730.57000000000698</v>
      </c>
      <c r="P80" s="32">
        <f t="shared" si="30"/>
        <v>0</v>
      </c>
      <c r="Q80" s="32">
        <f t="shared" si="30"/>
        <v>1973.9700000066355</v>
      </c>
      <c r="R80" s="32">
        <f t="shared" si="30"/>
        <v>-1001.7520229898414</v>
      </c>
      <c r="S80" s="32">
        <f t="shared" si="30"/>
        <v>0</v>
      </c>
      <c r="T80" s="32">
        <f t="shared" si="30"/>
        <v>0</v>
      </c>
      <c r="U80" s="32">
        <f t="shared" si="30"/>
        <v>0</v>
      </c>
      <c r="V80" s="32">
        <f t="shared" si="30"/>
        <v>0</v>
      </c>
      <c r="AA80" s="8"/>
    </row>
    <row r="81" spans="1:27" hidden="1" outlineLevel="1" x14ac:dyDescent="0.25">
      <c r="A81" s="9"/>
      <c r="B81" s="30" t="s">
        <v>32</v>
      </c>
      <c r="C81" s="31">
        <f t="shared" si="30"/>
        <v>-14830.507996743909</v>
      </c>
      <c r="D81" s="32">
        <f t="shared" si="30"/>
        <v>6574.721428571429</v>
      </c>
      <c r="E81" s="32">
        <f t="shared" si="30"/>
        <v>0</v>
      </c>
      <c r="F81" s="32">
        <f t="shared" si="30"/>
        <v>0</v>
      </c>
      <c r="G81" s="32">
        <f t="shared" si="30"/>
        <v>-2000</v>
      </c>
      <c r="H81" s="32">
        <f t="shared" si="30"/>
        <v>0</v>
      </c>
      <c r="I81" s="32">
        <f t="shared" si="30"/>
        <v>-2975.8742384295656</v>
      </c>
      <c r="J81" s="32">
        <f t="shared" si="30"/>
        <v>3775.9800000000096</v>
      </c>
      <c r="K81" s="32">
        <f t="shared" si="30"/>
        <v>-745.18571428571533</v>
      </c>
      <c r="L81" s="32">
        <f t="shared" si="30"/>
        <v>300.25</v>
      </c>
      <c r="M81" s="32">
        <f t="shared" si="30"/>
        <v>11714.369999999901</v>
      </c>
      <c r="N81" s="32">
        <f t="shared" si="30"/>
        <v>0</v>
      </c>
      <c r="O81" s="32">
        <f t="shared" si="30"/>
        <v>0</v>
      </c>
      <c r="P81" s="32">
        <f t="shared" si="30"/>
        <v>-25256.153917044307</v>
      </c>
      <c r="Q81" s="32">
        <f t="shared" si="30"/>
        <v>2572.6944444444443</v>
      </c>
      <c r="R81" s="32">
        <f t="shared" si="30"/>
        <v>-8791.3100000000995</v>
      </c>
      <c r="S81" s="32">
        <f t="shared" si="30"/>
        <v>0</v>
      </c>
      <c r="T81" s="32">
        <f t="shared" si="30"/>
        <v>0</v>
      </c>
      <c r="U81" s="32">
        <f t="shared" si="30"/>
        <v>0</v>
      </c>
      <c r="V81" s="32">
        <f t="shared" si="30"/>
        <v>0</v>
      </c>
      <c r="AA81" s="8"/>
    </row>
    <row r="82" spans="1:27" hidden="1" outlineLevel="1" x14ac:dyDescent="0.25">
      <c r="A82" s="9"/>
      <c r="B82" s="33" t="s">
        <v>33</v>
      </c>
      <c r="C82" s="34">
        <f t="shared" si="30"/>
        <v>-95488.460000000196</v>
      </c>
      <c r="D82" s="35">
        <f>+D16-D49</f>
        <v>-44668.429999999993</v>
      </c>
      <c r="E82" s="35">
        <f t="shared" si="30"/>
        <v>-7200</v>
      </c>
      <c r="F82" s="35">
        <f t="shared" si="30"/>
        <v>0</v>
      </c>
      <c r="G82" s="35">
        <f t="shared" si="30"/>
        <v>-13847.800000000101</v>
      </c>
      <c r="H82" s="35">
        <f t="shared" si="30"/>
        <v>-22097.080000000104</v>
      </c>
      <c r="I82" s="35">
        <f t="shared" si="30"/>
        <v>-22910.6</v>
      </c>
      <c r="J82" s="35">
        <f t="shared" si="30"/>
        <v>-15439.940000000002</v>
      </c>
      <c r="K82" s="35">
        <f t="shared" si="30"/>
        <v>14593.279999999999</v>
      </c>
      <c r="L82" s="35">
        <f t="shared" si="30"/>
        <v>1705.5699999999997</v>
      </c>
      <c r="M82" s="35">
        <f t="shared" si="30"/>
        <v>3195.4400000000023</v>
      </c>
      <c r="N82" s="35">
        <f t="shared" si="30"/>
        <v>5871.5599999999977</v>
      </c>
      <c r="O82" s="35">
        <f t="shared" si="30"/>
        <v>-7882.3399999999965</v>
      </c>
      <c r="P82" s="35">
        <f t="shared" si="30"/>
        <v>-20865.059999999998</v>
      </c>
      <c r="Q82" s="35">
        <f t="shared" si="30"/>
        <v>9036.5</v>
      </c>
      <c r="R82" s="35">
        <f t="shared" si="30"/>
        <v>18572.349999999999</v>
      </c>
      <c r="S82" s="35">
        <f t="shared" si="30"/>
        <v>6448.0899999999965</v>
      </c>
      <c r="T82" s="35">
        <f t="shared" si="30"/>
        <v>0</v>
      </c>
      <c r="U82" s="35">
        <f t="shared" si="30"/>
        <v>0</v>
      </c>
      <c r="V82" s="35">
        <f t="shared" si="30"/>
        <v>0</v>
      </c>
      <c r="AA82" s="8"/>
    </row>
    <row r="83" spans="1:27" hidden="1" outlineLevel="1" x14ac:dyDescent="0.25">
      <c r="A83" s="9"/>
      <c r="B83" s="16" t="s">
        <v>34</v>
      </c>
      <c r="C83" s="36">
        <f t="shared" si="30"/>
        <v>-263361.41675851913</v>
      </c>
      <c r="D83" s="37">
        <f t="shared" si="30"/>
        <v>-144996.67890729517</v>
      </c>
      <c r="E83" s="37">
        <f t="shared" si="30"/>
        <v>-18945.569620253198</v>
      </c>
      <c r="F83" s="37">
        <f t="shared" si="30"/>
        <v>0</v>
      </c>
      <c r="G83" s="37">
        <f t="shared" si="30"/>
        <v>-29328.874489581867</v>
      </c>
      <c r="H83" s="37">
        <f t="shared" si="30"/>
        <v>-53653.750000000116</v>
      </c>
      <c r="I83" s="37">
        <f t="shared" si="30"/>
        <v>-75505.929017920833</v>
      </c>
      <c r="J83" s="37">
        <f t="shared" si="30"/>
        <v>-41855.359999999899</v>
      </c>
      <c r="K83" s="37">
        <f t="shared" si="30"/>
        <v>49473.724285714074</v>
      </c>
      <c r="L83" s="37">
        <f t="shared" si="30"/>
        <v>5962.1934808666701</v>
      </c>
      <c r="M83" s="37">
        <f t="shared" si="30"/>
        <v>43501.5799999999</v>
      </c>
      <c r="N83" s="37">
        <f t="shared" si="30"/>
        <v>2663.7565291017672</v>
      </c>
      <c r="O83" s="37">
        <f t="shared" si="30"/>
        <v>-127863.3506796119</v>
      </c>
      <c r="P83" s="37">
        <f t="shared" si="30"/>
        <v>-22357.83560433134</v>
      </c>
      <c r="Q83" s="37">
        <f t="shared" si="30"/>
        <v>45742.34083862495</v>
      </c>
      <c r="R83" s="37">
        <f t="shared" si="30"/>
        <v>98022.316426168254</v>
      </c>
      <c r="S83" s="37">
        <f t="shared" si="30"/>
        <v>5780.0199999999895</v>
      </c>
      <c r="T83" s="36">
        <f t="shared" si="30"/>
        <v>0</v>
      </c>
      <c r="U83" s="36">
        <f t="shared" si="30"/>
        <v>0</v>
      </c>
      <c r="V83" s="36">
        <f t="shared" si="30"/>
        <v>0</v>
      </c>
      <c r="AA83" s="8"/>
    </row>
    <row r="84" spans="1:27" hidden="1" outlineLevel="1" x14ac:dyDescent="0.25">
      <c r="A84" s="9"/>
      <c r="B84" s="30" t="s">
        <v>35</v>
      </c>
      <c r="C84" s="31">
        <f t="shared" ref="C84:V91" si="31">+C18-C51</f>
        <v>98219.714469273225</v>
      </c>
      <c r="D84" s="32">
        <f t="shared" si="31"/>
        <v>7289.0099999999948</v>
      </c>
      <c r="E84" s="32">
        <f t="shared" si="31"/>
        <v>-9600</v>
      </c>
      <c r="F84" s="32">
        <f t="shared" si="31"/>
        <v>0</v>
      </c>
      <c r="G84" s="32">
        <f t="shared" si="31"/>
        <v>26046.6499999999</v>
      </c>
      <c r="H84" s="32">
        <f t="shared" si="31"/>
        <v>-15642.410000000018</v>
      </c>
      <c r="I84" s="32">
        <f t="shared" si="31"/>
        <v>-28572.440000000002</v>
      </c>
      <c r="J84" s="32">
        <f t="shared" si="31"/>
        <v>-533.62000000000262</v>
      </c>
      <c r="K84" s="32">
        <f t="shared" si="31"/>
        <v>216.39999999988868</v>
      </c>
      <c r="L84" s="32">
        <f t="shared" si="31"/>
        <v>127.26000000000931</v>
      </c>
      <c r="M84" s="32">
        <f t="shared" si="31"/>
        <v>18143.64</v>
      </c>
      <c r="N84" s="32">
        <f t="shared" si="31"/>
        <v>-18089.750000000011</v>
      </c>
      <c r="O84" s="32">
        <f t="shared" si="31"/>
        <v>37792.759999999907</v>
      </c>
      <c r="P84" s="32">
        <f t="shared" si="31"/>
        <v>-8350.8299999998999</v>
      </c>
      <c r="Q84" s="32">
        <f t="shared" si="31"/>
        <v>90068.699999999793</v>
      </c>
      <c r="R84" s="32">
        <f t="shared" si="31"/>
        <v>3613.6944692737434</v>
      </c>
      <c r="S84" s="32">
        <f t="shared" si="31"/>
        <v>-4289.3500000001004</v>
      </c>
      <c r="T84" s="32">
        <f t="shared" si="31"/>
        <v>0</v>
      </c>
      <c r="U84" s="32">
        <f t="shared" si="31"/>
        <v>0</v>
      </c>
      <c r="V84" s="32">
        <f t="shared" si="31"/>
        <v>0</v>
      </c>
      <c r="AA84" s="8"/>
    </row>
    <row r="85" spans="1:27" hidden="1" outlineLevel="1" x14ac:dyDescent="0.25">
      <c r="A85" s="9"/>
      <c r="B85" s="30" t="s">
        <v>36</v>
      </c>
      <c r="C85" s="31">
        <f t="shared" si="31"/>
        <v>0</v>
      </c>
      <c r="D85" s="32">
        <f t="shared" si="31"/>
        <v>0</v>
      </c>
      <c r="E85" s="32">
        <f t="shared" si="31"/>
        <v>0</v>
      </c>
      <c r="F85" s="32">
        <f t="shared" si="31"/>
        <v>0</v>
      </c>
      <c r="G85" s="32">
        <f t="shared" si="31"/>
        <v>0</v>
      </c>
      <c r="H85" s="32">
        <f t="shared" si="31"/>
        <v>0</v>
      </c>
      <c r="I85" s="32">
        <f t="shared" si="31"/>
        <v>0</v>
      </c>
      <c r="J85" s="32">
        <f t="shared" si="31"/>
        <v>0</v>
      </c>
      <c r="K85" s="32">
        <f t="shared" si="31"/>
        <v>0</v>
      </c>
      <c r="L85" s="32">
        <f t="shared" si="31"/>
        <v>0</v>
      </c>
      <c r="M85" s="32">
        <f t="shared" si="31"/>
        <v>0</v>
      </c>
      <c r="N85" s="32">
        <f t="shared" si="31"/>
        <v>0</v>
      </c>
      <c r="O85" s="32">
        <f t="shared" si="31"/>
        <v>0</v>
      </c>
      <c r="P85" s="32">
        <f t="shared" si="31"/>
        <v>0</v>
      </c>
      <c r="Q85" s="32">
        <f t="shared" si="31"/>
        <v>0</v>
      </c>
      <c r="R85" s="32">
        <f t="shared" si="31"/>
        <v>0</v>
      </c>
      <c r="S85" s="32">
        <f t="shared" si="31"/>
        <v>0</v>
      </c>
      <c r="T85" s="32">
        <f t="shared" si="31"/>
        <v>0</v>
      </c>
      <c r="U85" s="32">
        <f t="shared" si="31"/>
        <v>0</v>
      </c>
      <c r="V85" s="32">
        <f t="shared" si="31"/>
        <v>0</v>
      </c>
      <c r="AA85" s="8"/>
    </row>
    <row r="86" spans="1:27" hidden="1" outlineLevel="1" x14ac:dyDescent="0.25">
      <c r="A86" s="9"/>
      <c r="B86" s="30" t="s">
        <v>37</v>
      </c>
      <c r="C86" s="31">
        <f t="shared" si="31"/>
        <v>97000.696584598656</v>
      </c>
      <c r="D86" s="32">
        <f t="shared" si="31"/>
        <v>21621.839999999997</v>
      </c>
      <c r="E86" s="32">
        <f t="shared" si="31"/>
        <v>-2700</v>
      </c>
      <c r="F86" s="32">
        <f t="shared" si="31"/>
        <v>0</v>
      </c>
      <c r="G86" s="32">
        <f t="shared" si="31"/>
        <v>6998.7399999998997</v>
      </c>
      <c r="H86" s="32">
        <f t="shared" si="31"/>
        <v>3677</v>
      </c>
      <c r="I86" s="32">
        <f t="shared" si="31"/>
        <v>18650.43</v>
      </c>
      <c r="J86" s="32">
        <f t="shared" si="31"/>
        <v>8411.9988959999991</v>
      </c>
      <c r="K86" s="32">
        <f t="shared" si="31"/>
        <v>7030.1699999999</v>
      </c>
      <c r="L86" s="32">
        <f t="shared" si="31"/>
        <v>-2152.3799999999501</v>
      </c>
      <c r="M86" s="32">
        <f t="shared" si="31"/>
        <v>30544.39</v>
      </c>
      <c r="N86" s="32">
        <f t="shared" si="31"/>
        <v>1630.7900000000009</v>
      </c>
      <c r="O86" s="32">
        <f t="shared" si="31"/>
        <v>-2962.1200000000972</v>
      </c>
      <c r="P86" s="32">
        <f t="shared" si="31"/>
        <v>-29599.590000000018</v>
      </c>
      <c r="Q86" s="32">
        <f t="shared" si="31"/>
        <v>17715.485773195876</v>
      </c>
      <c r="R86" s="32">
        <f t="shared" si="31"/>
        <v>16823.951915403035</v>
      </c>
      <c r="S86" s="32">
        <f t="shared" si="31"/>
        <v>1309.98999999999</v>
      </c>
      <c r="T86" s="32">
        <f t="shared" si="31"/>
        <v>0</v>
      </c>
      <c r="U86" s="32">
        <f t="shared" si="31"/>
        <v>0</v>
      </c>
      <c r="V86" s="32">
        <f t="shared" si="31"/>
        <v>0</v>
      </c>
      <c r="AA86" s="8"/>
    </row>
    <row r="87" spans="1:27" hidden="1" outlineLevel="1" x14ac:dyDescent="0.25">
      <c r="A87" s="9"/>
      <c r="B87" s="30" t="s">
        <v>38</v>
      </c>
      <c r="C87" s="31">
        <f>+C21-C54</f>
        <v>-117207.38577015197</v>
      </c>
      <c r="D87" s="32">
        <f t="shared" si="31"/>
        <v>-22990.699999999997</v>
      </c>
      <c r="E87" s="32">
        <f t="shared" si="31"/>
        <v>-12000</v>
      </c>
      <c r="F87" s="32">
        <f t="shared" si="31"/>
        <v>0</v>
      </c>
      <c r="G87" s="32">
        <f t="shared" si="31"/>
        <v>-5151.8800000000992</v>
      </c>
      <c r="H87" s="32">
        <f t="shared" si="31"/>
        <v>-32060.71</v>
      </c>
      <c r="I87" s="32">
        <f t="shared" si="31"/>
        <v>1846.1799999998984</v>
      </c>
      <c r="J87" s="32">
        <f t="shared" si="31"/>
        <v>-15870.100000000006</v>
      </c>
      <c r="K87" s="32">
        <f t="shared" si="31"/>
        <v>-3636.0200000000004</v>
      </c>
      <c r="L87" s="32">
        <f t="shared" si="31"/>
        <v>5135.93</v>
      </c>
      <c r="M87" s="32">
        <f t="shared" si="31"/>
        <v>1331.9100000000035</v>
      </c>
      <c r="N87" s="32">
        <f t="shared" si="31"/>
        <v>-18853.540000000099</v>
      </c>
      <c r="O87" s="32">
        <f t="shared" si="31"/>
        <v>5920.549999999901</v>
      </c>
      <c r="P87" s="32">
        <f t="shared" si="31"/>
        <v>-13971.64</v>
      </c>
      <c r="Q87" s="32">
        <f t="shared" si="31"/>
        <v>4317.760000000002</v>
      </c>
      <c r="R87" s="32">
        <f t="shared" si="31"/>
        <v>-6333.0957701516345</v>
      </c>
      <c r="S87" s="32">
        <f t="shared" si="31"/>
        <v>-4892.0299999999988</v>
      </c>
      <c r="T87" s="32">
        <f t="shared" si="31"/>
        <v>0</v>
      </c>
      <c r="U87" s="32">
        <f t="shared" si="31"/>
        <v>0</v>
      </c>
      <c r="V87" s="32">
        <f t="shared" si="31"/>
        <v>0</v>
      </c>
      <c r="AA87" s="8"/>
    </row>
    <row r="88" spans="1:27" hidden="1" outlineLevel="1" x14ac:dyDescent="0.25">
      <c r="A88" s="9"/>
      <c r="B88" s="16" t="s">
        <v>39</v>
      </c>
      <c r="C88" s="36">
        <f>+C22-C55</f>
        <v>78013.025283719879</v>
      </c>
      <c r="D88" s="37">
        <f t="shared" si="31"/>
        <v>5920.1499999999942</v>
      </c>
      <c r="E88" s="37">
        <f t="shared" si="31"/>
        <v>-24300</v>
      </c>
      <c r="F88" s="37">
        <f t="shared" si="31"/>
        <v>0</v>
      </c>
      <c r="G88" s="37">
        <f t="shared" si="31"/>
        <v>27893.509999999689</v>
      </c>
      <c r="H88" s="37">
        <f t="shared" si="31"/>
        <v>-44026.120000000024</v>
      </c>
      <c r="I88" s="37">
        <f t="shared" si="31"/>
        <v>-8075.8300000001036</v>
      </c>
      <c r="J88" s="37">
        <f t="shared" si="31"/>
        <v>-7991.7211039999966</v>
      </c>
      <c r="K88" s="37">
        <f t="shared" si="31"/>
        <v>3610.5499999997846</v>
      </c>
      <c r="L88" s="37">
        <f t="shared" si="31"/>
        <v>3110.8100000000559</v>
      </c>
      <c r="M88" s="37">
        <f t="shared" si="31"/>
        <v>50019.94</v>
      </c>
      <c r="N88" s="37">
        <f t="shared" si="31"/>
        <v>-35312.500000000102</v>
      </c>
      <c r="O88" s="37">
        <f t="shared" si="31"/>
        <v>40751.189999999711</v>
      </c>
      <c r="P88" s="37">
        <f t="shared" si="31"/>
        <v>-51922.05999999991</v>
      </c>
      <c r="Q88" s="37">
        <f t="shared" si="31"/>
        <v>112101.94577319569</v>
      </c>
      <c r="R88" s="37">
        <f t="shared" si="31"/>
        <v>14104.550614525142</v>
      </c>
      <c r="S88" s="37">
        <f t="shared" si="31"/>
        <v>-7871.3900000001086</v>
      </c>
      <c r="T88" s="36">
        <f t="shared" si="31"/>
        <v>0</v>
      </c>
      <c r="U88" s="36">
        <f t="shared" si="31"/>
        <v>0</v>
      </c>
      <c r="V88" s="36">
        <f t="shared" si="31"/>
        <v>0</v>
      </c>
      <c r="AA88" s="8"/>
    </row>
    <row r="89" spans="1:27" ht="15.75" hidden="1" outlineLevel="1" thickBot="1" x14ac:dyDescent="0.3">
      <c r="A89" s="9"/>
      <c r="B89" s="27" t="s">
        <v>40</v>
      </c>
      <c r="C89" s="28">
        <f>+C23-C56</f>
        <v>-185348.39147479925</v>
      </c>
      <c r="D89" s="38">
        <f t="shared" si="31"/>
        <v>-139076.52890729508</v>
      </c>
      <c r="E89" s="38">
        <f t="shared" si="31"/>
        <v>-43245.569620253198</v>
      </c>
      <c r="F89" s="38">
        <f t="shared" si="31"/>
        <v>0</v>
      </c>
      <c r="G89" s="38">
        <f t="shared" si="31"/>
        <v>-1435.3644895821926</v>
      </c>
      <c r="H89" s="38">
        <f t="shared" si="31"/>
        <v>-97679.870000000112</v>
      </c>
      <c r="I89" s="38">
        <f t="shared" si="31"/>
        <v>-83581.759017920936</v>
      </c>
      <c r="J89" s="38">
        <f t="shared" si="31"/>
        <v>-49847.081103999924</v>
      </c>
      <c r="K89" s="38">
        <f t="shared" si="31"/>
        <v>53084.27428571388</v>
      </c>
      <c r="L89" s="38">
        <f t="shared" si="31"/>
        <v>9073.003480866726</v>
      </c>
      <c r="M89" s="38">
        <f t="shared" si="31"/>
        <v>93521.519999999902</v>
      </c>
      <c r="N89" s="38">
        <f t="shared" si="31"/>
        <v>-32648.743470898364</v>
      </c>
      <c r="O89" s="38">
        <f t="shared" si="31"/>
        <v>-87112.160679612192</v>
      </c>
      <c r="P89" s="38">
        <f t="shared" si="31"/>
        <v>-74279.895604331279</v>
      </c>
      <c r="Q89" s="38">
        <f t="shared" si="31"/>
        <v>157844.28661182063</v>
      </c>
      <c r="R89" s="38">
        <f t="shared" si="31"/>
        <v>112126.86704069338</v>
      </c>
      <c r="S89" s="38">
        <f t="shared" si="31"/>
        <v>-2091.3700000001118</v>
      </c>
      <c r="T89" s="28"/>
      <c r="U89" s="28"/>
      <c r="V89" s="28"/>
      <c r="AA89" s="8"/>
    </row>
    <row r="90" spans="1:27" hidden="1" outlineLevel="1" collapsed="1" x14ac:dyDescent="0.25">
      <c r="A90" s="9"/>
      <c r="B90" s="39" t="s">
        <v>41</v>
      </c>
      <c r="C90" s="40">
        <f>+C24-C57</f>
        <v>199.46703981858309</v>
      </c>
      <c r="D90" s="41">
        <f t="shared" si="31"/>
        <v>-69.823144591696746</v>
      </c>
      <c r="E90" s="41">
        <f t="shared" si="31"/>
        <v>-1455.69620253165</v>
      </c>
      <c r="F90" s="41">
        <f t="shared" si="31"/>
        <v>0</v>
      </c>
      <c r="G90" s="41">
        <f t="shared" si="31"/>
        <v>-157.70740717736112</v>
      </c>
      <c r="H90" s="41">
        <f t="shared" si="31"/>
        <v>446.47017857142828</v>
      </c>
      <c r="I90" s="41">
        <f t="shared" si="31"/>
        <v>-31.108995967761075</v>
      </c>
      <c r="J90" s="41">
        <f t="shared" si="31"/>
        <v>-42.283482142855064</v>
      </c>
      <c r="K90" s="41">
        <f t="shared" si="31"/>
        <v>504.1017647058743</v>
      </c>
      <c r="L90" s="41">
        <f t="shared" si="31"/>
        <v>656.30993714635179</v>
      </c>
      <c r="M90" s="41">
        <f t="shared" si="31"/>
        <v>220.15196159833886</v>
      </c>
      <c r="N90" s="41">
        <f t="shared" si="31"/>
        <v>-0.54727270060857336</v>
      </c>
      <c r="O90" s="41">
        <f t="shared" si="31"/>
        <v>-450.23851059135222</v>
      </c>
      <c r="P90" s="41">
        <f t="shared" si="31"/>
        <v>591.83149278092469</v>
      </c>
      <c r="Q90" s="41">
        <f t="shared" si="31"/>
        <v>203.19838281245575</v>
      </c>
      <c r="R90" s="41">
        <f t="shared" si="31"/>
        <v>2298.9950445615555</v>
      </c>
      <c r="S90" s="42">
        <f t="shared" si="31"/>
        <v>-26.722800000000461</v>
      </c>
      <c r="T90" s="29">
        <f t="shared" si="31"/>
        <v>0</v>
      </c>
      <c r="U90" s="38">
        <f t="shared" si="31"/>
        <v>0</v>
      </c>
      <c r="V90" s="38">
        <f t="shared" si="31"/>
        <v>0</v>
      </c>
      <c r="AA90" s="8"/>
    </row>
    <row r="91" spans="1:27" hidden="1" outlineLevel="1" x14ac:dyDescent="0.25">
      <c r="A91" s="9"/>
      <c r="B91" s="43" t="s">
        <v>42</v>
      </c>
      <c r="C91" s="31">
        <f>+C25-C58</f>
        <v>695.77476568178599</v>
      </c>
      <c r="D91" s="44">
        <f t="shared" si="31"/>
        <v>-2456.4842857142858</v>
      </c>
      <c r="E91" s="44">
        <f t="shared" si="31"/>
        <v>0</v>
      </c>
      <c r="F91" s="44">
        <f t="shared" si="31"/>
        <v>0</v>
      </c>
      <c r="G91" s="44">
        <f t="shared" si="31"/>
        <v>-500</v>
      </c>
      <c r="H91" s="44">
        <f t="shared" si="31"/>
        <v>0</v>
      </c>
      <c r="I91" s="44">
        <f t="shared" si="31"/>
        <v>-1487.9371192147828</v>
      </c>
      <c r="J91" s="44">
        <f t="shared" si="31"/>
        <v>1068.9950000000024</v>
      </c>
      <c r="K91" s="44">
        <f t="shared" si="31"/>
        <v>-745.18571428571533</v>
      </c>
      <c r="L91" s="44">
        <f t="shared" si="31"/>
        <v>150.125</v>
      </c>
      <c r="M91" s="44">
        <f t="shared" si="31"/>
        <v>209.19571428569998</v>
      </c>
      <c r="N91" s="44">
        <f t="shared" si="31"/>
        <v>0</v>
      </c>
      <c r="O91" s="44">
        <f t="shared" si="31"/>
        <v>0</v>
      </c>
      <c r="P91" s="44">
        <f t="shared" si="31"/>
        <v>1568.1854055303797</v>
      </c>
      <c r="Q91" s="44">
        <f t="shared" si="31"/>
        <v>2572.6944444444443</v>
      </c>
      <c r="R91" s="44">
        <f t="shared" si="31"/>
        <v>1741.7379999999803</v>
      </c>
      <c r="S91" s="45">
        <f t="shared" si="31"/>
        <v>0</v>
      </c>
      <c r="T91" s="32">
        <f t="shared" si="31"/>
        <v>0</v>
      </c>
      <c r="U91" s="44">
        <f t="shared" si="31"/>
        <v>0</v>
      </c>
      <c r="V91" s="44">
        <f t="shared" si="31"/>
        <v>0</v>
      </c>
      <c r="AA91" s="8"/>
    </row>
    <row r="92" spans="1:27" hidden="1" outlineLevel="1" x14ac:dyDescent="0.25">
      <c r="A92" s="9"/>
      <c r="B92" s="43" t="s">
        <v>43</v>
      </c>
      <c r="C92" s="31">
        <f t="shared" ref="C92:V94" si="32">+C26-C59</f>
        <v>50.543667637170074</v>
      </c>
      <c r="D92" s="44">
        <f t="shared" si="32"/>
        <v>5.1377380952380918</v>
      </c>
      <c r="E92" s="44">
        <f t="shared" si="32"/>
        <v>-900</v>
      </c>
      <c r="F92" s="44">
        <f t="shared" si="32"/>
        <v>0</v>
      </c>
      <c r="G92" s="44">
        <f t="shared" si="32"/>
        <v>-97.337931034486246</v>
      </c>
      <c r="H92" s="44">
        <f t="shared" si="32"/>
        <v>33.980714285712338</v>
      </c>
      <c r="I92" s="44">
        <f t="shared" si="32"/>
        <v>-28.516417910447785</v>
      </c>
      <c r="J92" s="44">
        <f t="shared" si="32"/>
        <v>-103.99874999999997</v>
      </c>
      <c r="K92" s="44">
        <f t="shared" si="32"/>
        <v>96.047407407407263</v>
      </c>
      <c r="L92" s="44">
        <f t="shared" si="32"/>
        <v>306.63129032258053</v>
      </c>
      <c r="M92" s="44">
        <f t="shared" si="32"/>
        <v>-59.671489361702129</v>
      </c>
      <c r="N92" s="44">
        <f t="shared" si="32"/>
        <v>358.40761904761894</v>
      </c>
      <c r="O92" s="44">
        <f t="shared" si="32"/>
        <v>105.28530303030311</v>
      </c>
      <c r="P92" s="44">
        <f t="shared" si="32"/>
        <v>-291.79358490566028</v>
      </c>
      <c r="Q92" s="44">
        <f t="shared" si="32"/>
        <v>33.39090909090919</v>
      </c>
      <c r="R92" s="44">
        <f t="shared" si="32"/>
        <v>144.61666666666656</v>
      </c>
      <c r="S92" s="45">
        <f t="shared" si="32"/>
        <v>257.92360000000008</v>
      </c>
      <c r="T92" s="35">
        <f t="shared" si="32"/>
        <v>0</v>
      </c>
      <c r="U92" s="46">
        <f t="shared" si="32"/>
        <v>0</v>
      </c>
      <c r="V92" s="46">
        <f t="shared" si="32"/>
        <v>0</v>
      </c>
      <c r="AA92" s="8"/>
    </row>
    <row r="93" spans="1:27" ht="15.75" hidden="1" outlineLevel="1" thickBot="1" x14ac:dyDescent="0.3">
      <c r="A93" s="9"/>
      <c r="B93" s="47" t="s">
        <v>44</v>
      </c>
      <c r="C93" s="48">
        <f t="shared" si="32"/>
        <v>250.01070745575316</v>
      </c>
      <c r="D93" s="49">
        <f t="shared" si="32"/>
        <v>-64.685406496458654</v>
      </c>
      <c r="E93" s="49">
        <f t="shared" si="32"/>
        <v>-2355.6962025316498</v>
      </c>
      <c r="F93" s="49">
        <f t="shared" si="32"/>
        <v>0</v>
      </c>
      <c r="G93" s="49">
        <f t="shared" si="32"/>
        <v>-255.04533821184759</v>
      </c>
      <c r="H93" s="49">
        <f t="shared" si="32"/>
        <v>480.45089285714039</v>
      </c>
      <c r="I93" s="49">
        <f t="shared" si="32"/>
        <v>-59.625413878208747</v>
      </c>
      <c r="J93" s="49">
        <f t="shared" si="32"/>
        <v>-146.28223214285526</v>
      </c>
      <c r="K93" s="49">
        <f t="shared" si="32"/>
        <v>600.14917211328202</v>
      </c>
      <c r="L93" s="49">
        <f t="shared" si="32"/>
        <v>962.94122746893254</v>
      </c>
      <c r="M93" s="49">
        <f t="shared" si="32"/>
        <v>160.48047223663616</v>
      </c>
      <c r="N93" s="49">
        <f t="shared" si="32"/>
        <v>357.86034634701082</v>
      </c>
      <c r="O93" s="49">
        <f t="shared" si="32"/>
        <v>-344.95320756104957</v>
      </c>
      <c r="P93" s="49">
        <f t="shared" si="32"/>
        <v>300.03790787526395</v>
      </c>
      <c r="Q93" s="49">
        <f t="shared" si="32"/>
        <v>236.58929190336494</v>
      </c>
      <c r="R93" s="49">
        <f t="shared" si="32"/>
        <v>2443.6117112282218</v>
      </c>
      <c r="S93" s="50">
        <f t="shared" si="32"/>
        <v>231.20079999999962</v>
      </c>
      <c r="T93" s="51">
        <f t="shared" si="32"/>
        <v>0</v>
      </c>
      <c r="U93" s="37">
        <f t="shared" si="32"/>
        <v>0</v>
      </c>
      <c r="V93" s="37">
        <f t="shared" si="32"/>
        <v>0</v>
      </c>
      <c r="AA93" s="8"/>
    </row>
    <row r="94" spans="1:27" collapsed="1" x14ac:dyDescent="0.25">
      <c r="A94" s="9"/>
      <c r="B94" s="52" t="s">
        <v>45</v>
      </c>
      <c r="C94" s="53">
        <f>+C28-C61</f>
        <v>282.49112587459558</v>
      </c>
      <c r="D94" s="54">
        <f t="shared" si="32"/>
        <v>-63.452821618091548</v>
      </c>
      <c r="E94" s="54">
        <f t="shared" si="32"/>
        <v>-2368.1962025316498</v>
      </c>
      <c r="F94" s="54">
        <f t="shared" si="32"/>
        <v>0</v>
      </c>
      <c r="G94" s="54">
        <f t="shared" si="32"/>
        <v>-75.143957469521411</v>
      </c>
      <c r="H94" s="54">
        <f t="shared" si="32"/>
        <v>596.29192073170498</v>
      </c>
      <c r="I94" s="54">
        <f t="shared" si="32"/>
        <v>-73.706312759507</v>
      </c>
      <c r="J94" s="54">
        <f t="shared" si="32"/>
        <v>-78.943058312652738</v>
      </c>
      <c r="K94" s="54">
        <f t="shared" si="32"/>
        <v>486.62039682538943</v>
      </c>
      <c r="L94" s="54">
        <f t="shared" si="32"/>
        <v>855.90771163061345</v>
      </c>
      <c r="M94" s="54">
        <f t="shared" si="32"/>
        <v>-26.994857881139069</v>
      </c>
      <c r="N94" s="54">
        <f t="shared" si="32"/>
        <v>386.32945262150861</v>
      </c>
      <c r="O94" s="54">
        <f t="shared" si="32"/>
        <v>-350.48782877316989</v>
      </c>
      <c r="P94" s="54">
        <f t="shared" si="32"/>
        <v>481.91113376568228</v>
      </c>
      <c r="Q94" s="54">
        <f t="shared" si="32"/>
        <v>313.65168105821522</v>
      </c>
      <c r="R94" s="54">
        <f t="shared" si="32"/>
        <v>2368.6030557852591</v>
      </c>
      <c r="S94" s="55">
        <f t="shared" si="32"/>
        <v>231.20079999999962</v>
      </c>
      <c r="T94" s="56">
        <f t="shared" si="32"/>
        <v>0</v>
      </c>
      <c r="U94" s="36">
        <f t="shared" si="32"/>
        <v>0</v>
      </c>
      <c r="V94" s="36">
        <f t="shared" si="32"/>
        <v>0</v>
      </c>
      <c r="AA94" s="8"/>
    </row>
    <row r="95" spans="1:27" hidden="1" outlineLevel="1" x14ac:dyDescent="0.25">
      <c r="A95" s="9"/>
      <c r="B95" s="43" t="s">
        <v>46</v>
      </c>
      <c r="C95" s="31">
        <f t="shared" ref="C95:V101" si="33">+C29-C62</f>
        <v>398.27127048876991</v>
      </c>
      <c r="D95" s="44">
        <f t="shared" si="33"/>
        <v>731.16696078431346</v>
      </c>
      <c r="E95" s="44">
        <f t="shared" si="33"/>
        <v>-1200</v>
      </c>
      <c r="F95" s="44">
        <f t="shared" si="33"/>
        <v>0</v>
      </c>
      <c r="G95" s="44">
        <f t="shared" si="33"/>
        <v>741.15869565216963</v>
      </c>
      <c r="H95" s="44">
        <f t="shared" si="33"/>
        <v>362.77279176201296</v>
      </c>
      <c r="I95" s="44">
        <f t="shared" si="33"/>
        <v>-896.75703703703698</v>
      </c>
      <c r="J95" s="44">
        <f t="shared" si="33"/>
        <v>177.76583333333315</v>
      </c>
      <c r="K95" s="44">
        <f t="shared" si="33"/>
        <v>18.033333333323981</v>
      </c>
      <c r="L95" s="44">
        <f t="shared" si="33"/>
        <v>-252.19749999999954</v>
      </c>
      <c r="M95" s="44">
        <f t="shared" si="33"/>
        <v>612.06450757575749</v>
      </c>
      <c r="N95" s="44">
        <f t="shared" si="33"/>
        <v>-478.40789473684276</v>
      </c>
      <c r="O95" s="44">
        <f t="shared" si="33"/>
        <v>385.05111111110955</v>
      </c>
      <c r="P95" s="44">
        <f t="shared" si="33"/>
        <v>487.8609971510009</v>
      </c>
      <c r="Q95" s="44">
        <f t="shared" si="33"/>
        <v>2011.9628571428511</v>
      </c>
      <c r="R95" s="44">
        <f t="shared" si="33"/>
        <v>947.46122641509442</v>
      </c>
      <c r="S95" s="45">
        <f t="shared" si="33"/>
        <v>132.47062289561836</v>
      </c>
      <c r="T95" s="32">
        <f t="shared" si="33"/>
        <v>0</v>
      </c>
      <c r="U95" s="44">
        <f t="shared" si="33"/>
        <v>0</v>
      </c>
      <c r="V95" s="44">
        <f t="shared" si="33"/>
        <v>0</v>
      </c>
      <c r="AA95" s="8"/>
    </row>
    <row r="96" spans="1:27" hidden="1" outlineLevel="1" x14ac:dyDescent="0.25">
      <c r="A96" s="9"/>
      <c r="B96" s="43" t="s">
        <v>47</v>
      </c>
      <c r="C96" s="31">
        <f t="shared" si="33"/>
        <v>0</v>
      </c>
      <c r="D96" s="44">
        <f t="shared" si="33"/>
        <v>0</v>
      </c>
      <c r="E96" s="44">
        <f t="shared" si="33"/>
        <v>0</v>
      </c>
      <c r="F96" s="44">
        <f t="shared" si="33"/>
        <v>0</v>
      </c>
      <c r="G96" s="44">
        <f t="shared" si="33"/>
        <v>0</v>
      </c>
      <c r="H96" s="44">
        <f t="shared" si="33"/>
        <v>0</v>
      </c>
      <c r="I96" s="44">
        <f t="shared" si="33"/>
        <v>0</v>
      </c>
      <c r="J96" s="44">
        <f t="shared" si="33"/>
        <v>0</v>
      </c>
      <c r="K96" s="44">
        <f t="shared" si="33"/>
        <v>0</v>
      </c>
      <c r="L96" s="44">
        <f t="shared" si="33"/>
        <v>0</v>
      </c>
      <c r="M96" s="44">
        <f t="shared" si="33"/>
        <v>0</v>
      </c>
      <c r="N96" s="44">
        <f t="shared" si="33"/>
        <v>0</v>
      </c>
      <c r="O96" s="44">
        <f t="shared" si="33"/>
        <v>0</v>
      </c>
      <c r="P96" s="44">
        <f t="shared" si="33"/>
        <v>0</v>
      </c>
      <c r="Q96" s="44">
        <f t="shared" si="33"/>
        <v>0</v>
      </c>
      <c r="R96" s="44">
        <f t="shared" si="33"/>
        <v>0</v>
      </c>
      <c r="S96" s="45">
        <f t="shared" si="33"/>
        <v>0</v>
      </c>
      <c r="T96" s="32">
        <f t="shared" si="33"/>
        <v>0</v>
      </c>
      <c r="U96" s="44">
        <f t="shared" si="33"/>
        <v>0</v>
      </c>
      <c r="V96" s="44">
        <f t="shared" si="33"/>
        <v>0</v>
      </c>
      <c r="AA96" s="8"/>
    </row>
    <row r="97" spans="1:27" hidden="1" outlineLevel="1" x14ac:dyDescent="0.25">
      <c r="A97" s="9"/>
      <c r="B97" s="43" t="s">
        <v>48</v>
      </c>
      <c r="C97" s="31">
        <f t="shared" si="33"/>
        <v>185.10999434146885</v>
      </c>
      <c r="D97" s="44">
        <f t="shared" si="33"/>
        <v>456.43679999999995</v>
      </c>
      <c r="E97" s="44">
        <f t="shared" si="33"/>
        <v>-300</v>
      </c>
      <c r="F97" s="44">
        <f t="shared" si="33"/>
        <v>0</v>
      </c>
      <c r="G97" s="44">
        <f t="shared" si="33"/>
        <v>288.36461538460765</v>
      </c>
      <c r="H97" s="44">
        <f t="shared" si="33"/>
        <v>212.04347826086962</v>
      </c>
      <c r="I97" s="44">
        <f t="shared" si="33"/>
        <v>237.0086</v>
      </c>
      <c r="J97" s="44">
        <f t="shared" si="33"/>
        <v>119.93585365853659</v>
      </c>
      <c r="K97" s="44">
        <f t="shared" si="33"/>
        <v>119.55318181817722</v>
      </c>
      <c r="L97" s="44">
        <f t="shared" si="33"/>
        <v>-130.06799999999856</v>
      </c>
      <c r="M97" s="44">
        <f t="shared" si="33"/>
        <v>866.01147058823528</v>
      </c>
      <c r="N97" s="44">
        <f t="shared" si="33"/>
        <v>295.38600000000008</v>
      </c>
      <c r="O97" s="44">
        <f t="shared" si="33"/>
        <v>64.635744680849029</v>
      </c>
      <c r="P97" s="44">
        <f t="shared" si="33"/>
        <v>-938.87370370370445</v>
      </c>
      <c r="Q97" s="44">
        <f t="shared" si="33"/>
        <v>448.31103092783508</v>
      </c>
      <c r="R97" s="44">
        <f t="shared" si="33"/>
        <v>1685.9166666666665</v>
      </c>
      <c r="S97" s="45">
        <f t="shared" si="33"/>
        <v>101.10999999999888</v>
      </c>
      <c r="T97" s="32">
        <f t="shared" si="33"/>
        <v>0</v>
      </c>
      <c r="U97" s="44">
        <f t="shared" si="33"/>
        <v>0</v>
      </c>
      <c r="V97" s="44">
        <f t="shared" si="33"/>
        <v>0</v>
      </c>
      <c r="AA97" s="8"/>
    </row>
    <row r="98" spans="1:27" hidden="1" outlineLevel="1" x14ac:dyDescent="0.25">
      <c r="A98" s="9"/>
      <c r="B98" s="43" t="s">
        <v>49</v>
      </c>
      <c r="C98" s="31">
        <f t="shared" si="33"/>
        <v>-200.5295332773012</v>
      </c>
      <c r="D98" s="44">
        <f t="shared" si="33"/>
        <v>-223.25588235294117</v>
      </c>
      <c r="E98" s="44">
        <f t="shared" si="33"/>
        <v>-1500</v>
      </c>
      <c r="F98" s="44">
        <f t="shared" si="33"/>
        <v>0</v>
      </c>
      <c r="G98" s="44">
        <f t="shared" si="33"/>
        <v>-726.16869565217826</v>
      </c>
      <c r="H98" s="44">
        <f t="shared" si="33"/>
        <v>-350.46565217391299</v>
      </c>
      <c r="I98" s="44">
        <f t="shared" si="33"/>
        <v>279.48814814814432</v>
      </c>
      <c r="J98" s="44">
        <f t="shared" si="33"/>
        <v>-448.75416666666683</v>
      </c>
      <c r="K98" s="44">
        <f t="shared" si="33"/>
        <v>-303.00166666666667</v>
      </c>
      <c r="L98" s="44">
        <f t="shared" si="33"/>
        <v>-31.836250000000064</v>
      </c>
      <c r="M98" s="44">
        <f t="shared" si="33"/>
        <v>83.975407196969854</v>
      </c>
      <c r="N98" s="44">
        <f t="shared" si="33"/>
        <v>-610.7126315789526</v>
      </c>
      <c r="O98" s="44">
        <f t="shared" si="33"/>
        <v>-205.17500000000177</v>
      </c>
      <c r="P98" s="44">
        <f t="shared" si="33"/>
        <v>149.19851851851854</v>
      </c>
      <c r="Q98" s="44">
        <f t="shared" si="33"/>
        <v>-390.92114285714263</v>
      </c>
      <c r="R98" s="44">
        <f t="shared" si="33"/>
        <v>-720.49999999999977</v>
      </c>
      <c r="S98" s="45">
        <f t="shared" si="33"/>
        <v>61.725909090909227</v>
      </c>
      <c r="T98" s="32">
        <f t="shared" si="33"/>
        <v>0</v>
      </c>
      <c r="U98" s="44">
        <f t="shared" si="33"/>
        <v>0</v>
      </c>
      <c r="V98" s="44">
        <f t="shared" si="33"/>
        <v>0</v>
      </c>
      <c r="AA98" s="8"/>
    </row>
    <row r="99" spans="1:27" hidden="1" outlineLevel="1" x14ac:dyDescent="0.25">
      <c r="A99" s="9"/>
      <c r="B99" s="57" t="s">
        <v>50</v>
      </c>
      <c r="C99" s="34">
        <f t="shared" si="33"/>
        <v>197.74173721146872</v>
      </c>
      <c r="D99" s="46">
        <f t="shared" si="33"/>
        <v>507.91107843137252</v>
      </c>
      <c r="E99" s="46">
        <f t="shared" si="33"/>
        <v>-2700</v>
      </c>
      <c r="F99" s="46">
        <f t="shared" si="33"/>
        <v>0</v>
      </c>
      <c r="G99" s="46">
        <f t="shared" si="33"/>
        <v>14.989999999991596</v>
      </c>
      <c r="H99" s="46">
        <f t="shared" si="33"/>
        <v>12.307139588100199</v>
      </c>
      <c r="I99" s="46">
        <f t="shared" si="33"/>
        <v>-617.26888888889243</v>
      </c>
      <c r="J99" s="46">
        <f t="shared" si="33"/>
        <v>-270.98833333333369</v>
      </c>
      <c r="K99" s="46">
        <f t="shared" si="33"/>
        <v>-284.9683333333428</v>
      </c>
      <c r="L99" s="46">
        <f t="shared" si="33"/>
        <v>-284.0337499999996</v>
      </c>
      <c r="M99" s="46">
        <f>+M33-M66</f>
        <v>696.03991477272712</v>
      </c>
      <c r="N99" s="46">
        <f t="shared" si="33"/>
        <v>-1089.1205263157954</v>
      </c>
      <c r="O99" s="46">
        <f t="shared" si="33"/>
        <v>179.876111111108</v>
      </c>
      <c r="P99" s="46">
        <f t="shared" si="33"/>
        <v>637.05951566951944</v>
      </c>
      <c r="Q99" s="46">
        <f t="shared" si="33"/>
        <v>1621.0417142857086</v>
      </c>
      <c r="R99" s="46">
        <f t="shared" si="33"/>
        <v>226.96122641509464</v>
      </c>
      <c r="S99" s="58">
        <f t="shared" si="33"/>
        <v>194.19653198652759</v>
      </c>
      <c r="T99" s="51">
        <f t="shared" si="33"/>
        <v>0</v>
      </c>
      <c r="U99" s="37">
        <f t="shared" si="33"/>
        <v>0</v>
      </c>
      <c r="V99" s="36">
        <f t="shared" si="33"/>
        <v>0</v>
      </c>
      <c r="AA99" s="8"/>
    </row>
    <row r="100" spans="1:27" collapsed="1" x14ac:dyDescent="0.25">
      <c r="A100" s="9"/>
      <c r="B100" s="59" t="s">
        <v>51</v>
      </c>
      <c r="C100" s="36">
        <f t="shared" si="33"/>
        <v>70.512278960817184</v>
      </c>
      <c r="D100" s="37">
        <f t="shared" si="33"/>
        <v>335.92015306122425</v>
      </c>
      <c r="E100" s="37">
        <f t="shared" si="33"/>
        <v>-1429.4117647058824</v>
      </c>
      <c r="F100" s="37">
        <f t="shared" si="33"/>
        <v>0</v>
      </c>
      <c r="G100" s="37">
        <f t="shared" si="33"/>
        <v>-0.37472222223095741</v>
      </c>
      <c r="H100" s="37">
        <f t="shared" si="33"/>
        <v>-155.98363008971751</v>
      </c>
      <c r="I100" s="37">
        <f t="shared" si="33"/>
        <v>-433.30803751803887</v>
      </c>
      <c r="J100" s="37">
        <f t="shared" si="33"/>
        <v>-424.29291442557837</v>
      </c>
      <c r="K100" s="37">
        <f t="shared" si="33"/>
        <v>-419.89430946292214</v>
      </c>
      <c r="L100" s="37">
        <f t="shared" si="33"/>
        <v>-243.70426613775589</v>
      </c>
      <c r="M100" s="37">
        <f>+M34-M67</f>
        <v>501.85785714285726</v>
      </c>
      <c r="N100" s="37">
        <f t="shared" si="33"/>
        <v>-338.57165206508444</v>
      </c>
      <c r="O100" s="37">
        <f t="shared" si="33"/>
        <v>320.75792895784116</v>
      </c>
      <c r="P100" s="37">
        <f t="shared" si="33"/>
        <v>-271.36574334898091</v>
      </c>
      <c r="Q100" s="37">
        <f t="shared" si="33"/>
        <v>1141.2341877611575</v>
      </c>
      <c r="R100" s="37">
        <f t="shared" si="33"/>
        <v>1361.5536442676096</v>
      </c>
      <c r="S100" s="60">
        <f t="shared" si="33"/>
        <v>-180.17588709677784</v>
      </c>
      <c r="T100" s="56">
        <f t="shared" si="33"/>
        <v>0</v>
      </c>
      <c r="U100" s="36">
        <f t="shared" si="33"/>
        <v>0</v>
      </c>
      <c r="V100" s="36">
        <f t="shared" si="33"/>
        <v>0</v>
      </c>
      <c r="AA100" s="8"/>
    </row>
    <row r="101" spans="1:27" ht="15.75" thickBot="1" x14ac:dyDescent="0.3">
      <c r="A101" s="9"/>
      <c r="B101" s="61" t="s">
        <v>52</v>
      </c>
      <c r="C101" s="62">
        <f>+C35-C68</f>
        <v>88.590753398002107</v>
      </c>
      <c r="D101" s="62">
        <f t="shared" si="33"/>
        <v>26.753911857108051</v>
      </c>
      <c r="E101" s="62">
        <f t="shared" si="33"/>
        <v>-1729.8227848101278</v>
      </c>
      <c r="F101" s="62">
        <f t="shared" si="33"/>
        <v>0</v>
      </c>
      <c r="G101" s="62">
        <f t="shared" si="33"/>
        <v>47.327074208302292</v>
      </c>
      <c r="H101" s="62">
        <f t="shared" si="33"/>
        <v>237.55942190669248</v>
      </c>
      <c r="I101" s="62">
        <f t="shared" si="33"/>
        <v>-442.24206852074758</v>
      </c>
      <c r="J101" s="62">
        <f t="shared" si="33"/>
        <v>-451.14296195963652</v>
      </c>
      <c r="K101" s="62">
        <f t="shared" si="33"/>
        <v>14.15715803079047</v>
      </c>
      <c r="L101" s="62">
        <f t="shared" si="33"/>
        <v>-63.163470647151371</v>
      </c>
      <c r="M101" s="62">
        <f t="shared" si="33"/>
        <v>301.41039393939309</v>
      </c>
      <c r="N101" s="62">
        <f t="shared" si="33"/>
        <v>166.08131465101087</v>
      </c>
      <c r="O101" s="62">
        <f t="shared" si="33"/>
        <v>-159.17056764173776</v>
      </c>
      <c r="P101" s="62">
        <f t="shared" si="33"/>
        <v>167.07740163969538</v>
      </c>
      <c r="Q101" s="62">
        <f t="shared" si="33"/>
        <v>477.42027349368072</v>
      </c>
      <c r="R101" s="62">
        <f t="shared" si="33"/>
        <v>2167.6111990814406</v>
      </c>
      <c r="S101" s="63">
        <f t="shared" si="33"/>
        <v>24.339570802002982</v>
      </c>
      <c r="T101" s="7"/>
      <c r="U101" s="7"/>
      <c r="V101" s="7"/>
      <c r="AA101" s="8"/>
    </row>
    <row r="102" spans="1:27" ht="6.6" customHeight="1" x14ac:dyDescent="0.25">
      <c r="A102" s="9"/>
      <c r="B102" s="4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AA102" s="8"/>
    </row>
    <row r="103" spans="1:27" ht="15.75" x14ac:dyDescent="0.25">
      <c r="A103" s="9"/>
      <c r="B103" s="69" t="s">
        <v>54</v>
      </c>
      <c r="C103" s="65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7"/>
      <c r="U103" s="7"/>
      <c r="V103" s="7"/>
      <c r="AA103" s="8"/>
    </row>
    <row r="104" spans="1:27" x14ac:dyDescent="0.25">
      <c r="B104" s="70" t="s">
        <v>55</v>
      </c>
      <c r="C104" s="37">
        <f>SUM(D104:S104)</f>
        <v>-393.65585470786715</v>
      </c>
      <c r="D104" s="37">
        <f>SUM(D105:D107)</f>
        <v>-122.90330238064027</v>
      </c>
      <c r="E104" s="37">
        <f>SUM(E105:E107)</f>
        <v>-18.845569620253201</v>
      </c>
      <c r="F104" s="37">
        <f t="shared" ref="F104:S104" si="34">SUM(F105:F107)</f>
        <v>0</v>
      </c>
      <c r="G104" s="37">
        <f t="shared" si="34"/>
        <v>-21.133148043906559</v>
      </c>
      <c r="H104" s="37">
        <f t="shared" si="34"/>
        <v>-81.158999999999992</v>
      </c>
      <c r="I104" s="37">
        <f t="shared" si="34"/>
        <v>-68.64688204965131</v>
      </c>
      <c r="J104" s="37">
        <f t="shared" si="34"/>
        <v>-32.005142857142857</v>
      </c>
      <c r="K104" s="37">
        <f t="shared" si="34"/>
        <v>35.015882352941176</v>
      </c>
      <c r="L104" s="37">
        <f t="shared" si="34"/>
        <v>-22.191234570670254</v>
      </c>
      <c r="M104" s="37">
        <f t="shared" si="34"/>
        <v>34.930487804878048</v>
      </c>
      <c r="N104" s="37">
        <f t="shared" si="34"/>
        <v>-5.309488225081556</v>
      </c>
      <c r="O104" s="37">
        <f t="shared" si="34"/>
        <v>-81.598957281553396</v>
      </c>
      <c r="P104" s="37">
        <f t="shared" si="34"/>
        <v>-47.66895715490265</v>
      </c>
      <c r="Q104" s="37">
        <f t="shared" si="34"/>
        <v>28.183265339488791</v>
      </c>
      <c r="R104" s="37">
        <f t="shared" si="34"/>
        <v>9.6761919786268766</v>
      </c>
      <c r="S104" s="37">
        <f t="shared" si="34"/>
        <v>0</v>
      </c>
    </row>
    <row r="105" spans="1:27" hidden="1" outlineLevel="1" x14ac:dyDescent="0.25">
      <c r="B105" s="71" t="s">
        <v>41</v>
      </c>
      <c r="C105" s="37">
        <f t="shared" ref="C105:C112" si="35">SUM(D105:S105)</f>
        <v>-251.68973121478336</v>
      </c>
      <c r="D105" s="37">
        <f t="shared" ref="D105:S106" si="36">(D71)*D57/1000</f>
        <v>-96.660445237783136</v>
      </c>
      <c r="E105" s="37">
        <f t="shared" si="36"/>
        <v>-11.6455696202532</v>
      </c>
      <c r="F105" s="37">
        <f t="shared" si="36"/>
        <v>0</v>
      </c>
      <c r="G105" s="37">
        <f t="shared" si="36"/>
        <v>-8.1081480439065583</v>
      </c>
      <c r="H105" s="37">
        <f t="shared" si="36"/>
        <v>-57.158999999999999</v>
      </c>
      <c r="I105" s="37">
        <f t="shared" si="36"/>
        <v>-47.64688204965131</v>
      </c>
      <c r="J105" s="37">
        <f t="shared" si="36"/>
        <v>-21.057142857142857</v>
      </c>
      <c r="K105" s="37">
        <f t="shared" si="36"/>
        <v>23.015882352941176</v>
      </c>
      <c r="L105" s="37">
        <f t="shared" si="36"/>
        <v>-14.391234570670255</v>
      </c>
      <c r="M105" s="37">
        <f t="shared" si="36"/>
        <v>18.680487804878048</v>
      </c>
      <c r="N105" s="37">
        <f t="shared" si="36"/>
        <v>-3.6544882250815558</v>
      </c>
      <c r="O105" s="37">
        <f t="shared" si="36"/>
        <v>-59.818957281553395</v>
      </c>
      <c r="P105" s="37">
        <f t="shared" si="36"/>
        <v>-7.6036908046760612</v>
      </c>
      <c r="Q105" s="37">
        <f t="shared" si="36"/>
        <v>20.983265339488792</v>
      </c>
      <c r="R105" s="37">
        <f t="shared" si="36"/>
        <v>13.376191978626876</v>
      </c>
      <c r="S105" s="37">
        <f t="shared" si="36"/>
        <v>0</v>
      </c>
    </row>
    <row r="106" spans="1:27" hidden="1" outlineLevel="1" x14ac:dyDescent="0.25">
      <c r="B106" s="71" t="s">
        <v>42</v>
      </c>
      <c r="C106" s="37">
        <f t="shared" si="35"/>
        <v>-25.55812349308373</v>
      </c>
      <c r="D106" s="37">
        <f t="shared" si="36"/>
        <v>18.857142857142858</v>
      </c>
      <c r="E106" s="37">
        <f t="shared" si="36"/>
        <v>0</v>
      </c>
      <c r="F106" s="37">
        <f t="shared" si="36"/>
        <v>0</v>
      </c>
      <c r="G106" s="37">
        <f t="shared" si="36"/>
        <v>-2</v>
      </c>
      <c r="H106" s="37">
        <f t="shared" si="36"/>
        <v>0</v>
      </c>
      <c r="I106" s="37">
        <f t="shared" si="36"/>
        <v>0</v>
      </c>
      <c r="J106" s="37">
        <f t="shared" si="36"/>
        <v>-0.5</v>
      </c>
      <c r="K106" s="37">
        <f t="shared" si="36"/>
        <v>0</v>
      </c>
      <c r="L106" s="37">
        <f t="shared" si="36"/>
        <v>0</v>
      </c>
      <c r="M106" s="37">
        <f t="shared" si="36"/>
        <v>10.25</v>
      </c>
      <c r="N106" s="37">
        <f t="shared" si="36"/>
        <v>0</v>
      </c>
      <c r="O106" s="37">
        <f t="shared" si="36"/>
        <v>0</v>
      </c>
      <c r="P106" s="37">
        <f t="shared" si="36"/>
        <v>-34.665266350226588</v>
      </c>
      <c r="Q106" s="37">
        <f t="shared" si="36"/>
        <v>0</v>
      </c>
      <c r="R106" s="37">
        <f t="shared" si="36"/>
        <v>-17.5</v>
      </c>
      <c r="S106" s="37">
        <f t="shared" si="36"/>
        <v>0</v>
      </c>
    </row>
    <row r="107" spans="1:27" hidden="1" outlineLevel="1" x14ac:dyDescent="0.25">
      <c r="B107" s="71" t="s">
        <v>43</v>
      </c>
      <c r="C107" s="37">
        <f t="shared" si="35"/>
        <v>-116.408</v>
      </c>
      <c r="D107" s="37">
        <f t="shared" ref="D107:S107" si="37">(D71)*D59/1000</f>
        <v>-45.1</v>
      </c>
      <c r="E107" s="37">
        <f t="shared" si="37"/>
        <v>-7.2</v>
      </c>
      <c r="F107" s="37">
        <f t="shared" si="37"/>
        <v>0</v>
      </c>
      <c r="G107" s="37">
        <f t="shared" si="37"/>
        <v>-11.025</v>
      </c>
      <c r="H107" s="37">
        <f t="shared" si="37"/>
        <v>-24</v>
      </c>
      <c r="I107" s="37">
        <f t="shared" si="37"/>
        <v>-21</v>
      </c>
      <c r="J107" s="37">
        <f t="shared" si="37"/>
        <v>-10.448</v>
      </c>
      <c r="K107" s="37">
        <f t="shared" si="37"/>
        <v>12</v>
      </c>
      <c r="L107" s="37">
        <f t="shared" si="37"/>
        <v>-7.8</v>
      </c>
      <c r="M107" s="37">
        <f t="shared" si="37"/>
        <v>6</v>
      </c>
      <c r="N107" s="37">
        <f t="shared" si="37"/>
        <v>-1.655</v>
      </c>
      <c r="O107" s="37">
        <f t="shared" si="37"/>
        <v>-21.78</v>
      </c>
      <c r="P107" s="37">
        <f t="shared" si="37"/>
        <v>-5.4</v>
      </c>
      <c r="Q107" s="37">
        <f t="shared" si="37"/>
        <v>7.2</v>
      </c>
      <c r="R107" s="37">
        <f t="shared" si="37"/>
        <v>13.8</v>
      </c>
      <c r="S107" s="37">
        <f t="shared" si="37"/>
        <v>0</v>
      </c>
    </row>
    <row r="108" spans="1:27" collapsed="1" x14ac:dyDescent="0.25">
      <c r="B108" s="72" t="s">
        <v>56</v>
      </c>
      <c r="C108" s="37">
        <f t="shared" si="35"/>
        <v>144.69918508134811</v>
      </c>
      <c r="D108" s="37">
        <f>SUM(D109:D111)</f>
        <v>-17.715995574273954</v>
      </c>
      <c r="E108" s="37">
        <f t="shared" ref="E108:S108" si="38">SUM(E109:E111)</f>
        <v>0</v>
      </c>
      <c r="F108" s="37">
        <f t="shared" si="38"/>
        <v>0</v>
      </c>
      <c r="G108" s="37">
        <f t="shared" si="38"/>
        <v>-7.3963148081435737</v>
      </c>
      <c r="H108" s="37">
        <f t="shared" si="38"/>
        <v>26.905249999999874</v>
      </c>
      <c r="I108" s="37">
        <f t="shared" si="38"/>
        <v>-6.9707769682695586</v>
      </c>
      <c r="J108" s="37">
        <f t="shared" si="38"/>
        <v>-2.7455671428570323</v>
      </c>
      <c r="K108" s="37">
        <f t="shared" si="38"/>
        <v>15.458841932772886</v>
      </c>
      <c r="L108" s="37">
        <f t="shared" si="38"/>
        <v>30.1514280515369</v>
      </c>
      <c r="M108" s="37">
        <f t="shared" si="38"/>
        <v>9.0069521951218263</v>
      </c>
      <c r="N108" s="37">
        <f t="shared" si="38"/>
        <v>7.515067273287217</v>
      </c>
      <c r="O108" s="37">
        <f t="shared" si="38"/>
        <v>-45.533823398058487</v>
      </c>
      <c r="P108" s="37">
        <f t="shared" si="38"/>
        <v>25.311121550571293</v>
      </c>
      <c r="Q108" s="37">
        <f t="shared" si="38"/>
        <v>15.585105499129515</v>
      </c>
      <c r="R108" s="37">
        <f t="shared" si="38"/>
        <v>89.347876470531233</v>
      </c>
      <c r="S108" s="37">
        <f t="shared" si="38"/>
        <v>5.7800199999999906</v>
      </c>
    </row>
    <row r="109" spans="1:27" hidden="1" outlineLevel="1" x14ac:dyDescent="0.25">
      <c r="B109" s="73" t="s">
        <v>41</v>
      </c>
      <c r="C109" s="74">
        <f t="shared" si="35"/>
        <v>113.0520295850085</v>
      </c>
      <c r="D109" s="74">
        <f t="shared" ref="D109:S110" si="39">D90*(D5)/1000</f>
        <v>-5.8651441457025264</v>
      </c>
      <c r="E109" s="74">
        <f t="shared" si="39"/>
        <v>0</v>
      </c>
      <c r="F109" s="74">
        <f t="shared" si="39"/>
        <v>0</v>
      </c>
      <c r="G109" s="74">
        <f t="shared" si="39"/>
        <v>-4.5735148081434724</v>
      </c>
      <c r="H109" s="74">
        <f t="shared" si="39"/>
        <v>25.002329999999983</v>
      </c>
      <c r="I109" s="74">
        <f t="shared" si="39"/>
        <v>-2.0843027298399921</v>
      </c>
      <c r="J109" s="74">
        <f t="shared" si="39"/>
        <v>-2.029607142857043</v>
      </c>
      <c r="K109" s="74">
        <f t="shared" si="39"/>
        <v>13.610747647058606</v>
      </c>
      <c r="L109" s="74">
        <f t="shared" si="39"/>
        <v>20.345608051536907</v>
      </c>
      <c r="M109" s="74">
        <f t="shared" si="39"/>
        <v>10.347142195121927</v>
      </c>
      <c r="N109" s="74">
        <f t="shared" si="39"/>
        <v>-1.149272671278004E-2</v>
      </c>
      <c r="O109" s="74">
        <f t="shared" si="39"/>
        <v>-59.431483398058496</v>
      </c>
      <c r="P109" s="74">
        <f t="shared" si="39"/>
        <v>31.367069117389008</v>
      </c>
      <c r="Q109" s="74">
        <f t="shared" si="39"/>
        <v>11.175911054685066</v>
      </c>
      <c r="R109" s="74">
        <f t="shared" si="39"/>
        <v>75.866836470531325</v>
      </c>
      <c r="S109" s="37">
        <f t="shared" si="39"/>
        <v>-0.66807000000001149</v>
      </c>
    </row>
    <row r="110" spans="1:27" hidden="1" outlineLevel="1" x14ac:dyDescent="0.25">
      <c r="B110" s="73" t="s">
        <v>42</v>
      </c>
      <c r="C110" s="74">
        <f t="shared" si="35"/>
        <v>10.727615496339823</v>
      </c>
      <c r="D110" s="74">
        <f t="shared" si="39"/>
        <v>-12.28242142857143</v>
      </c>
      <c r="E110" s="74">
        <f t="shared" si="39"/>
        <v>0</v>
      </c>
      <c r="F110" s="74">
        <f t="shared" si="39"/>
        <v>0</v>
      </c>
      <c r="G110" s="74">
        <f t="shared" si="39"/>
        <v>0</v>
      </c>
      <c r="H110" s="74">
        <f t="shared" si="39"/>
        <v>0</v>
      </c>
      <c r="I110" s="74">
        <f t="shared" si="39"/>
        <v>-2.9758742384295656</v>
      </c>
      <c r="J110" s="74">
        <f t="shared" si="39"/>
        <v>4.2759800000000094</v>
      </c>
      <c r="K110" s="74">
        <f t="shared" si="39"/>
        <v>-0.74518571428571534</v>
      </c>
      <c r="L110" s="74">
        <f t="shared" si="39"/>
        <v>0.30025000000000002</v>
      </c>
      <c r="M110" s="74">
        <f t="shared" si="39"/>
        <v>1.4643699999998998</v>
      </c>
      <c r="N110" s="74">
        <f t="shared" si="39"/>
        <v>0</v>
      </c>
      <c r="O110" s="74">
        <f t="shared" si="39"/>
        <v>0</v>
      </c>
      <c r="P110" s="74">
        <f t="shared" si="39"/>
        <v>9.4091124331822797</v>
      </c>
      <c r="Q110" s="74">
        <f t="shared" si="39"/>
        <v>2.5726944444444442</v>
      </c>
      <c r="R110" s="74">
        <f t="shared" si="39"/>
        <v>8.7086899999999012</v>
      </c>
      <c r="S110" s="46">
        <f t="shared" si="39"/>
        <v>0</v>
      </c>
    </row>
    <row r="111" spans="1:27" ht="15.75" hidden="1" outlineLevel="1" thickBot="1" x14ac:dyDescent="0.3">
      <c r="B111" s="73" t="s">
        <v>43</v>
      </c>
      <c r="C111" s="75">
        <f t="shared" si="35"/>
        <v>20.919539999999799</v>
      </c>
      <c r="D111" s="75">
        <f t="shared" ref="D111:S111" si="40">D92*(D5)/1000</f>
        <v>0.43156999999999973</v>
      </c>
      <c r="E111" s="75">
        <f t="shared" si="40"/>
        <v>0</v>
      </c>
      <c r="F111" s="75">
        <f t="shared" si="40"/>
        <v>0</v>
      </c>
      <c r="G111" s="75">
        <f t="shared" si="40"/>
        <v>-2.8228000000001012</v>
      </c>
      <c r="H111" s="75">
        <f t="shared" si="40"/>
        <v>1.9029199999998909</v>
      </c>
      <c r="I111" s="75">
        <f t="shared" si="40"/>
        <v>-1.9106000000000016</v>
      </c>
      <c r="J111" s="75">
        <f t="shared" si="40"/>
        <v>-4.9919399999999987</v>
      </c>
      <c r="K111" s="75">
        <f t="shared" si="40"/>
        <v>2.593279999999996</v>
      </c>
      <c r="L111" s="75">
        <f t="shared" si="40"/>
        <v>9.5055699999999952</v>
      </c>
      <c r="M111" s="75">
        <f t="shared" si="40"/>
        <v>-2.8045599999999999</v>
      </c>
      <c r="N111" s="75">
        <f t="shared" si="40"/>
        <v>7.5265599999999973</v>
      </c>
      <c r="O111" s="75">
        <f t="shared" si="40"/>
        <v>13.897660000000011</v>
      </c>
      <c r="P111" s="75">
        <f t="shared" si="40"/>
        <v>-15.465059999999994</v>
      </c>
      <c r="Q111" s="75">
        <f t="shared" si="40"/>
        <v>1.8365000000000054</v>
      </c>
      <c r="R111" s="75">
        <f t="shared" si="40"/>
        <v>4.7723499999999968</v>
      </c>
      <c r="S111" s="76">
        <f t="shared" si="40"/>
        <v>6.4480900000000023</v>
      </c>
    </row>
    <row r="112" spans="1:27" hidden="1" outlineLevel="1" x14ac:dyDescent="0.25">
      <c r="B112" s="77" t="s">
        <v>31</v>
      </c>
      <c r="C112" s="74">
        <f t="shared" si="35"/>
        <v>-14.404747131999745</v>
      </c>
      <c r="D112" s="74">
        <f>D80/1000</f>
        <v>-4.3773809523809541</v>
      </c>
      <c r="E112" s="74">
        <f t="shared" ref="E112:S112" si="41">E80/1000</f>
        <v>-0.1</v>
      </c>
      <c r="F112" s="74">
        <f t="shared" si="41"/>
        <v>0</v>
      </c>
      <c r="G112" s="74">
        <f t="shared" si="41"/>
        <v>-0.79941163753172717</v>
      </c>
      <c r="H112" s="74">
        <f t="shared" si="41"/>
        <v>0.6</v>
      </c>
      <c r="I112" s="74">
        <f t="shared" si="41"/>
        <v>0.11173000000003958</v>
      </c>
      <c r="J112" s="74">
        <f t="shared" si="41"/>
        <v>-7.1046500000000092</v>
      </c>
      <c r="K112" s="74">
        <f t="shared" si="41"/>
        <v>-1.0009999999999999</v>
      </c>
      <c r="L112" s="74">
        <f t="shared" si="41"/>
        <v>-1.998</v>
      </c>
      <c r="M112" s="74">
        <f t="shared" si="41"/>
        <v>-0.43585999999999014</v>
      </c>
      <c r="N112" s="74">
        <f t="shared" si="41"/>
        <v>0.45817748089610633</v>
      </c>
      <c r="O112" s="74">
        <f t="shared" si="41"/>
        <v>-0.73057000000000694</v>
      </c>
      <c r="P112" s="74">
        <f t="shared" si="41"/>
        <v>0</v>
      </c>
      <c r="Q112" s="74">
        <f t="shared" si="41"/>
        <v>1.9739700000066356</v>
      </c>
      <c r="R112" s="74">
        <f t="shared" si="41"/>
        <v>-1.0017520229898413</v>
      </c>
      <c r="S112" s="46">
        <f t="shared" si="41"/>
        <v>0</v>
      </c>
    </row>
    <row r="113" spans="2:19" collapsed="1" x14ac:dyDescent="0.25">
      <c r="B113" s="78" t="s">
        <v>57</v>
      </c>
      <c r="C113" s="79">
        <f>SUM(C104,C108,C112)</f>
        <v>-263.36141675851877</v>
      </c>
      <c r="D113" s="79">
        <f>SUM(D104,D108,D112)</f>
        <v>-144.99667890729518</v>
      </c>
      <c r="E113" s="79">
        <f t="shared" ref="E113:S113" si="42">SUM(E104,E108,E112)</f>
        <v>-18.945569620253202</v>
      </c>
      <c r="F113" s="79">
        <f t="shared" si="42"/>
        <v>0</v>
      </c>
      <c r="G113" s="79">
        <f t="shared" si="42"/>
        <v>-29.328874489581857</v>
      </c>
      <c r="H113" s="79">
        <f t="shared" si="42"/>
        <v>-53.653750000000116</v>
      </c>
      <c r="I113" s="79">
        <f t="shared" si="42"/>
        <v>-75.505929017920835</v>
      </c>
      <c r="J113" s="79">
        <f t="shared" si="42"/>
        <v>-41.855359999999898</v>
      </c>
      <c r="K113" s="79">
        <f t="shared" si="42"/>
        <v>49.473724285714063</v>
      </c>
      <c r="L113" s="79">
        <f t="shared" si="42"/>
        <v>5.9621934808666461</v>
      </c>
      <c r="M113" s="79">
        <f t="shared" si="42"/>
        <v>43.501579999999883</v>
      </c>
      <c r="N113" s="79">
        <f t="shared" si="42"/>
        <v>2.6637565291017671</v>
      </c>
      <c r="O113" s="79">
        <f t="shared" si="42"/>
        <v>-127.86335067961188</v>
      </c>
      <c r="P113" s="79">
        <f t="shared" si="42"/>
        <v>-22.357835604331356</v>
      </c>
      <c r="Q113" s="79">
        <f t="shared" si="42"/>
        <v>45.742340838624948</v>
      </c>
      <c r="R113" s="79">
        <f t="shared" si="42"/>
        <v>98.02231642616826</v>
      </c>
      <c r="S113" s="36">
        <f t="shared" si="42"/>
        <v>5.7800199999999906</v>
      </c>
    </row>
    <row r="114" spans="2:19" ht="6" customHeight="1" x14ac:dyDescent="0.25"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</row>
    <row r="115" spans="2:19" ht="15.75" x14ac:dyDescent="0.25">
      <c r="B115" s="81" t="s">
        <v>58</v>
      </c>
      <c r="C115" s="65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</row>
    <row r="116" spans="2:19" x14ac:dyDescent="0.25">
      <c r="B116" s="82" t="s">
        <v>55</v>
      </c>
      <c r="C116" s="37">
        <f>SUM(D116:S116)</f>
        <v>7.2790624481510706</v>
      </c>
      <c r="D116" s="37">
        <f t="shared" ref="D116:S116" si="43">(D74+D76)*D67/1000</f>
        <v>-22.297142857142859</v>
      </c>
      <c r="E116" s="37">
        <f t="shared" si="43"/>
        <v>-24.3</v>
      </c>
      <c r="F116" s="37">
        <f t="shared" si="43"/>
        <v>0</v>
      </c>
      <c r="G116" s="37">
        <f t="shared" si="43"/>
        <v>27.907</v>
      </c>
      <c r="H116" s="37">
        <f t="shared" si="43"/>
        <v>-36.850873015873013</v>
      </c>
      <c r="I116" s="37">
        <f t="shared" si="43"/>
        <v>25.288888888888888</v>
      </c>
      <c r="J116" s="37">
        <f t="shared" si="43"/>
        <v>19.587318333662594</v>
      </c>
      <c r="K116" s="37">
        <f t="shared" si="43"/>
        <v>17.886956521739133</v>
      </c>
      <c r="L116" s="37">
        <f t="shared" si="43"/>
        <v>17.48936170212766</v>
      </c>
      <c r="M116" s="37">
        <f t="shared" si="43"/>
        <v>16.897321428571427</v>
      </c>
      <c r="N116" s="37">
        <f t="shared" si="43"/>
        <v>-23.801063829787235</v>
      </c>
      <c r="O116" s="37">
        <f t="shared" si="43"/>
        <v>8.3546391752577325</v>
      </c>
      <c r="P116" s="37">
        <f t="shared" si="43"/>
        <v>-37.268309859154925</v>
      </c>
      <c r="Q116" s="37">
        <f t="shared" si="43"/>
        <v>31.074318442153491</v>
      </c>
      <c r="R116" s="37">
        <f t="shared" si="43"/>
        <v>-10.403414982291833</v>
      </c>
      <c r="S116" s="37">
        <f t="shared" si="43"/>
        <v>-2.2859375000000002</v>
      </c>
    </row>
    <row r="117" spans="2:19" hidden="1" outlineLevel="1" x14ac:dyDescent="0.25">
      <c r="B117" s="83" t="s">
        <v>46</v>
      </c>
      <c r="C117" s="37">
        <f t="shared" ref="C117:C123" si="44">SUM(D117:S117)</f>
        <v>-49.727128635614669</v>
      </c>
      <c r="D117" s="37">
        <f t="shared" ref="D117:S117" si="45">(D74)*D62/1000</f>
        <v>-17.570666666666664</v>
      </c>
      <c r="E117" s="37">
        <f t="shared" si="45"/>
        <v>-9.6</v>
      </c>
      <c r="F117" s="37">
        <f t="shared" si="45"/>
        <v>0</v>
      </c>
      <c r="G117" s="37">
        <f t="shared" si="45"/>
        <v>9</v>
      </c>
      <c r="H117" s="37">
        <f t="shared" si="45"/>
        <v>-23.986184210526318</v>
      </c>
      <c r="I117" s="37">
        <f t="shared" si="45"/>
        <v>-4.3600000000000003</v>
      </c>
      <c r="J117" s="37">
        <f t="shared" si="45"/>
        <v>-4.8</v>
      </c>
      <c r="K117" s="37">
        <f t="shared" si="45"/>
        <v>0</v>
      </c>
      <c r="L117" s="37">
        <f t="shared" si="45"/>
        <v>6.18</v>
      </c>
      <c r="M117" s="37">
        <f t="shared" si="45"/>
        <v>-1.4424242424242424</v>
      </c>
      <c r="N117" s="37">
        <f t="shared" si="45"/>
        <v>-9</v>
      </c>
      <c r="O117" s="37">
        <f t="shared" si="45"/>
        <v>17</v>
      </c>
      <c r="P117" s="37">
        <f t="shared" si="45"/>
        <v>-21.523076923076921</v>
      </c>
      <c r="Q117" s="37">
        <f t="shared" si="45"/>
        <v>19.649999999999999</v>
      </c>
      <c r="R117" s="37">
        <f t="shared" si="45"/>
        <v>-2.0710728892168229</v>
      </c>
      <c r="S117" s="37">
        <f t="shared" si="45"/>
        <v>-7.2037037037037033</v>
      </c>
    </row>
    <row r="118" spans="2:19" hidden="1" outlineLevel="1" x14ac:dyDescent="0.25">
      <c r="B118" s="83" t="s">
        <v>59</v>
      </c>
      <c r="C118" s="37">
        <f t="shared" si="44"/>
        <v>1.8638694711968466</v>
      </c>
      <c r="D118" s="37">
        <f t="shared" ref="D118:S118" si="46">(D76)*D64/1000</f>
        <v>-1.2</v>
      </c>
      <c r="E118" s="37">
        <f t="shared" si="46"/>
        <v>-2.7</v>
      </c>
      <c r="F118" s="37">
        <f t="shared" si="46"/>
        <v>0</v>
      </c>
      <c r="G118" s="37">
        <f t="shared" si="46"/>
        <v>3.25</v>
      </c>
      <c r="H118" s="37">
        <f t="shared" si="46"/>
        <v>-1.2</v>
      </c>
      <c r="I118" s="37">
        <f t="shared" si="46"/>
        <v>6.8</v>
      </c>
      <c r="J118" s="37">
        <f t="shared" si="46"/>
        <v>3.494628896</v>
      </c>
      <c r="K118" s="37">
        <f t="shared" si="46"/>
        <v>4.4000000000000004</v>
      </c>
      <c r="L118" s="37">
        <f t="shared" si="46"/>
        <v>2.4</v>
      </c>
      <c r="M118" s="37">
        <f t="shared" si="46"/>
        <v>1.1000000000000001</v>
      </c>
      <c r="N118" s="37">
        <f t="shared" si="46"/>
        <v>-2.8</v>
      </c>
      <c r="O118" s="37">
        <f t="shared" si="46"/>
        <v>-6</v>
      </c>
      <c r="P118" s="37">
        <f t="shared" si="46"/>
        <v>-4.25</v>
      </c>
      <c r="Q118" s="37">
        <f t="shared" si="46"/>
        <v>1.5762886597938144</v>
      </c>
      <c r="R118" s="37">
        <f t="shared" si="46"/>
        <v>-3.4070480845969664</v>
      </c>
      <c r="S118" s="37">
        <f t="shared" si="46"/>
        <v>0.4</v>
      </c>
    </row>
    <row r="119" spans="2:19" hidden="1" outlineLevel="1" x14ac:dyDescent="0.25">
      <c r="B119" s="83" t="s">
        <v>49</v>
      </c>
      <c r="C119" s="37">
        <f t="shared" si="44"/>
        <v>-44.61539880045467</v>
      </c>
      <c r="D119" s="37">
        <f t="shared" ref="D119:S119" si="47">(D74)*D65/1000</f>
        <v>-15.4</v>
      </c>
      <c r="E119" s="37">
        <f t="shared" si="47"/>
        <v>-12</v>
      </c>
      <c r="F119" s="37">
        <f t="shared" si="47"/>
        <v>0</v>
      </c>
      <c r="G119" s="37">
        <f t="shared" si="47"/>
        <v>11.55</v>
      </c>
      <c r="H119" s="37">
        <f t="shared" si="47"/>
        <v>-24</v>
      </c>
      <c r="I119" s="37">
        <f t="shared" si="47"/>
        <v>-5.7</v>
      </c>
      <c r="J119" s="37">
        <f t="shared" si="47"/>
        <v>-5.1000000000000005</v>
      </c>
      <c r="K119" s="37">
        <f t="shared" si="47"/>
        <v>0</v>
      </c>
      <c r="L119" s="37">
        <f t="shared" si="47"/>
        <v>5.9</v>
      </c>
      <c r="M119" s="37">
        <f t="shared" si="47"/>
        <v>-1.3553030303030302</v>
      </c>
      <c r="N119" s="37">
        <f t="shared" si="47"/>
        <v>-7.25</v>
      </c>
      <c r="O119" s="37">
        <f t="shared" si="47"/>
        <v>17</v>
      </c>
      <c r="P119" s="37">
        <f t="shared" si="47"/>
        <v>-18</v>
      </c>
      <c r="Q119" s="37">
        <f t="shared" si="47"/>
        <v>17.999999999999996</v>
      </c>
      <c r="R119" s="37">
        <f t="shared" si="47"/>
        <v>-2.0100957701516351</v>
      </c>
      <c r="S119" s="37">
        <f t="shared" si="47"/>
        <v>-6.25</v>
      </c>
    </row>
    <row r="120" spans="2:19" collapsed="1" x14ac:dyDescent="0.25">
      <c r="B120" s="82" t="s">
        <v>56</v>
      </c>
      <c r="C120" s="37">
        <f>SUM(D120:S120)</f>
        <v>70.733962835568718</v>
      </c>
      <c r="D120" s="37">
        <f t="shared" ref="D120:S120" si="48">(D8+D10)*D100/1000</f>
        <v>28.217292857142837</v>
      </c>
      <c r="E120" s="37">
        <f t="shared" si="48"/>
        <v>0</v>
      </c>
      <c r="F120" s="37">
        <f t="shared" si="48"/>
        <v>0</v>
      </c>
      <c r="G120" s="37">
        <f t="shared" si="48"/>
        <v>-1.3490000000314467E-2</v>
      </c>
      <c r="H120" s="37">
        <f t="shared" si="48"/>
        <v>-7.1752469841270052</v>
      </c>
      <c r="I120" s="37">
        <f t="shared" si="48"/>
        <v>-33.364718888888994</v>
      </c>
      <c r="J120" s="37">
        <f t="shared" si="48"/>
        <v>-27.579039437662594</v>
      </c>
      <c r="K120" s="37">
        <f t="shared" si="48"/>
        <v>-14.276406521739352</v>
      </c>
      <c r="L120" s="37">
        <f t="shared" si="48"/>
        <v>-14.378551702127597</v>
      </c>
      <c r="M120" s="37">
        <f t="shared" si="48"/>
        <v>33.122618571428582</v>
      </c>
      <c r="N120" s="37">
        <f t="shared" si="48"/>
        <v>-11.511436170212869</v>
      </c>
      <c r="O120" s="37">
        <f t="shared" si="48"/>
        <v>32.396550824741958</v>
      </c>
      <c r="P120" s="37">
        <f t="shared" si="48"/>
        <v>-14.65375014084497</v>
      </c>
      <c r="Q120" s="37">
        <f t="shared" si="48"/>
        <v>81.027627331042183</v>
      </c>
      <c r="R120" s="37">
        <f t="shared" si="48"/>
        <v>24.507965596816973</v>
      </c>
      <c r="S120" s="37">
        <f t="shared" si="48"/>
        <v>-5.5854525000001134</v>
      </c>
    </row>
    <row r="121" spans="2:19" hidden="1" outlineLevel="1" x14ac:dyDescent="0.25">
      <c r="B121" s="73" t="s">
        <v>46</v>
      </c>
      <c r="C121" s="74">
        <f t="shared" si="44"/>
        <v>147.94684310488788</v>
      </c>
      <c r="D121" s="84">
        <f t="shared" ref="D121:S121" si="49">D95*D8/1000</f>
        <v>24.859676666666658</v>
      </c>
      <c r="E121" s="84">
        <f t="shared" si="49"/>
        <v>0</v>
      </c>
      <c r="F121" s="84">
        <f t="shared" si="49"/>
        <v>0</v>
      </c>
      <c r="G121" s="84">
        <f t="shared" si="49"/>
        <v>17.0466499999999</v>
      </c>
      <c r="H121" s="84">
        <f t="shared" si="49"/>
        <v>8.3437742105262984</v>
      </c>
      <c r="I121" s="84">
        <f t="shared" si="49"/>
        <v>-24.212439999999997</v>
      </c>
      <c r="J121" s="84">
        <f t="shared" si="49"/>
        <v>4.2663799999999954</v>
      </c>
      <c r="K121" s="84">
        <f t="shared" si="49"/>
        <v>0.21639999999988777</v>
      </c>
      <c r="L121" s="84">
        <f t="shared" si="49"/>
        <v>-6.0527399999999885</v>
      </c>
      <c r="M121" s="84">
        <f t="shared" si="49"/>
        <v>19.586064242424239</v>
      </c>
      <c r="N121" s="84">
        <f t="shared" si="49"/>
        <v>-9.0897500000000129</v>
      </c>
      <c r="O121" s="84">
        <f t="shared" si="49"/>
        <v>20.792759999999916</v>
      </c>
      <c r="P121" s="84">
        <f t="shared" si="49"/>
        <v>13.172246923077024</v>
      </c>
      <c r="Q121" s="84">
        <f t="shared" si="49"/>
        <v>70.418699999999788</v>
      </c>
      <c r="R121" s="84">
        <f t="shared" si="49"/>
        <v>5.684767358490566</v>
      </c>
      <c r="S121" s="37">
        <f t="shared" si="49"/>
        <v>2.914353703703604</v>
      </c>
    </row>
    <row r="122" spans="2:19" hidden="1" outlineLevel="1" x14ac:dyDescent="0.25">
      <c r="B122" s="73" t="s">
        <v>59</v>
      </c>
      <c r="C122" s="74">
        <f t="shared" si="44"/>
        <v>95.136827113401779</v>
      </c>
      <c r="D122" s="84">
        <f t="shared" ref="D122:S122" si="50">D97*D10/1000</f>
        <v>22.821839999999998</v>
      </c>
      <c r="E122" s="84">
        <f t="shared" si="50"/>
        <v>0</v>
      </c>
      <c r="F122" s="84">
        <f t="shared" si="50"/>
        <v>0</v>
      </c>
      <c r="G122" s="84">
        <f t="shared" si="50"/>
        <v>3.7487399999998994</v>
      </c>
      <c r="H122" s="84">
        <f t="shared" si="50"/>
        <v>4.8770000000000007</v>
      </c>
      <c r="I122" s="84">
        <f t="shared" si="50"/>
        <v>11.850430000000001</v>
      </c>
      <c r="J122" s="84">
        <f t="shared" si="50"/>
        <v>4.91737</v>
      </c>
      <c r="K122" s="84">
        <f t="shared" si="50"/>
        <v>2.6301699999998993</v>
      </c>
      <c r="L122" s="84">
        <f t="shared" si="50"/>
        <v>-4.5523799999999497</v>
      </c>
      <c r="M122" s="84">
        <f t="shared" si="50"/>
        <v>29.444389999999999</v>
      </c>
      <c r="N122" s="84">
        <f t="shared" si="50"/>
        <v>4.4307900000000009</v>
      </c>
      <c r="O122" s="84">
        <f t="shared" si="50"/>
        <v>3.0378799999999044</v>
      </c>
      <c r="P122" s="84">
        <f t="shared" si="50"/>
        <v>-25.349590000000017</v>
      </c>
      <c r="Q122" s="84">
        <f t="shared" si="50"/>
        <v>16.139197113402062</v>
      </c>
      <c r="R122" s="84">
        <f t="shared" si="50"/>
        <v>20.231000000000002</v>
      </c>
      <c r="S122" s="37">
        <f t="shared" si="50"/>
        <v>0.90998999999998986</v>
      </c>
    </row>
    <row r="123" spans="2:19" hidden="1" outlineLevel="1" x14ac:dyDescent="0.25">
      <c r="B123" s="73" t="s">
        <v>49</v>
      </c>
      <c r="C123" s="74">
        <f t="shared" si="44"/>
        <v>-72.591986969697359</v>
      </c>
      <c r="D123" s="84">
        <f t="shared" ref="D123:S123" si="51">D98*D8/1000</f>
        <v>-7.5907</v>
      </c>
      <c r="E123" s="84">
        <f t="shared" si="51"/>
        <v>0</v>
      </c>
      <c r="F123" s="84">
        <f t="shared" si="51"/>
        <v>0</v>
      </c>
      <c r="G123" s="84">
        <f t="shared" si="51"/>
        <v>-16.701880000000099</v>
      </c>
      <c r="H123" s="84">
        <f t="shared" si="51"/>
        <v>-8.0607099999999985</v>
      </c>
      <c r="I123" s="84">
        <f t="shared" si="51"/>
        <v>7.5461799999998966</v>
      </c>
      <c r="J123" s="84">
        <f t="shared" si="51"/>
        <v>-10.770100000000005</v>
      </c>
      <c r="K123" s="84">
        <f t="shared" si="51"/>
        <v>-3.6360199999999998</v>
      </c>
      <c r="L123" s="84">
        <f t="shared" si="51"/>
        <v>-0.76407000000000158</v>
      </c>
      <c r="M123" s="84">
        <f t="shared" si="51"/>
        <v>2.6872130303030355</v>
      </c>
      <c r="N123" s="84">
        <f t="shared" si="51"/>
        <v>-11.603540000000098</v>
      </c>
      <c r="O123" s="84">
        <f t="shared" si="51"/>
        <v>-11.079450000000095</v>
      </c>
      <c r="P123" s="84">
        <f t="shared" si="51"/>
        <v>4.0283600000000002</v>
      </c>
      <c r="Q123" s="84">
        <f t="shared" si="51"/>
        <v>-13.682239999999993</v>
      </c>
      <c r="R123" s="84">
        <f t="shared" si="51"/>
        <v>-4.3229999999999986</v>
      </c>
      <c r="S123" s="37">
        <f t="shared" si="51"/>
        <v>1.357970000000003</v>
      </c>
    </row>
    <row r="124" spans="2:19" collapsed="1" x14ac:dyDescent="0.25">
      <c r="B124" s="78" t="s">
        <v>57</v>
      </c>
      <c r="C124" s="79">
        <f>SUM(C116,C120)</f>
        <v>78.013025283719784</v>
      </c>
      <c r="D124" s="85">
        <f t="shared" ref="D124:S124" si="52">SUM(D116,D120)</f>
        <v>5.9201499999999783</v>
      </c>
      <c r="E124" s="85">
        <f t="shared" si="52"/>
        <v>-24.3</v>
      </c>
      <c r="F124" s="85">
        <f t="shared" si="52"/>
        <v>0</v>
      </c>
      <c r="G124" s="85">
        <f t="shared" si="52"/>
        <v>27.893509999999686</v>
      </c>
      <c r="H124" s="85">
        <f>SUM(H116,H120)</f>
        <v>-44.02612000000002</v>
      </c>
      <c r="I124" s="85">
        <f t="shared" si="52"/>
        <v>-8.0758300000001064</v>
      </c>
      <c r="J124" s="85">
        <f t="shared" si="52"/>
        <v>-7.9917211039999998</v>
      </c>
      <c r="K124" s="85">
        <f t="shared" si="52"/>
        <v>3.6105499999997814</v>
      </c>
      <c r="L124" s="85">
        <f t="shared" si="52"/>
        <v>3.1108100000000629</v>
      </c>
      <c r="M124" s="85">
        <f t="shared" si="52"/>
        <v>50.019940000000005</v>
      </c>
      <c r="N124" s="85">
        <f t="shared" si="52"/>
        <v>-35.312500000000107</v>
      </c>
      <c r="O124" s="85">
        <f t="shared" si="52"/>
        <v>40.751189999999688</v>
      </c>
      <c r="P124" s="85">
        <f t="shared" si="52"/>
        <v>-51.922059999999895</v>
      </c>
      <c r="Q124" s="85">
        <f t="shared" si="52"/>
        <v>112.10194577319567</v>
      </c>
      <c r="R124" s="85">
        <f t="shared" si="52"/>
        <v>14.10455061452514</v>
      </c>
      <c r="S124" s="36">
        <f t="shared" si="52"/>
        <v>-7.8713900000001136</v>
      </c>
    </row>
  </sheetData>
  <conditionalFormatting sqref="B28">
    <cfRule type="colorScale" priority="9">
      <colorScale>
        <cfvo type="min"/>
        <cfvo type="max"/>
        <color rgb="FFFCFCFF"/>
        <color rgb="FF63BE7B"/>
      </colorScale>
    </cfRule>
  </conditionalFormatting>
  <conditionalFormatting sqref="B61">
    <cfRule type="colorScale" priority="8">
      <colorScale>
        <cfvo type="min"/>
        <cfvo type="max"/>
        <color rgb="FFFCFCFF"/>
        <color rgb="FF63BE7B"/>
      </colorScale>
    </cfRule>
  </conditionalFormatting>
  <conditionalFormatting sqref="B94">
    <cfRule type="colorScale" priority="7">
      <colorScale>
        <cfvo type="min"/>
        <cfvo type="max"/>
        <color rgb="FFFCFCFF"/>
        <color rgb="FF63BE7B"/>
      </colorScale>
    </cfRule>
  </conditionalFormatting>
  <conditionalFormatting sqref="C35:S35 C124:S124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8:S68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1:S102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4:S112">
    <cfRule type="cellIs" dxfId="15" priority="1" operator="greaterThanOrEqual">
      <formula>0</formula>
    </cfRule>
    <cfRule type="cellIs" dxfId="14" priority="2" operator="lessThan">
      <formula>0</formula>
    </cfRule>
  </conditionalFormatting>
  <conditionalFormatting sqref="C113:S11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16:S123">
    <cfRule type="cellIs" dxfId="13" priority="5" operator="greaterThanOrEqual">
      <formula>0</formula>
    </cfRule>
    <cfRule type="cellIs" dxfId="12" priority="6" operator="lessThan">
      <formula>0</formula>
    </cfRule>
  </conditionalFormatting>
  <printOptions horizontalCentered="1"/>
  <pageMargins left="1" right="0" top="0" bottom="0" header="0" footer="0"/>
  <pageSetup paperSize="3" scale="86" orientation="landscape" r:id="rId1"/>
  <headerFooter>
    <oddFooter>&amp;R&amp;F
&amp;D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9DCBC-5BB8-4CDB-8DB5-E38916E3DF87}">
  <sheetPr>
    <tabColor rgb="FF00B050"/>
    <pageSetUpPr fitToPage="1"/>
  </sheetPr>
  <dimension ref="A1:AA123"/>
  <sheetViews>
    <sheetView workbookViewId="0">
      <selection activeCell="C55" sqref="C55"/>
    </sheetView>
  </sheetViews>
  <sheetFormatPr baseColWidth="10" defaultColWidth="11.42578125" defaultRowHeight="15" outlineLevelRow="1" x14ac:dyDescent="0.25"/>
  <cols>
    <col min="1" max="1" width="1.5703125" customWidth="1"/>
    <col min="2" max="2" width="29.5703125" customWidth="1"/>
    <col min="3" max="3" width="13.5703125" customWidth="1"/>
    <col min="4" max="5" width="12" customWidth="1"/>
    <col min="6" max="6" width="12" hidden="1" customWidth="1"/>
    <col min="7" max="19" width="12" customWidth="1"/>
    <col min="20" max="20" width="12" hidden="1" customWidth="1"/>
    <col min="21" max="21" width="13.5703125" hidden="1" customWidth="1"/>
    <col min="22" max="22" width="12" hidden="1" customWidth="1"/>
    <col min="26" max="26" width="35.42578125" bestFit="1" customWidth="1"/>
    <col min="27" max="27" width="12.42578125" bestFit="1" customWidth="1"/>
    <col min="29" max="29" width="35.42578125" bestFit="1" customWidth="1"/>
  </cols>
  <sheetData>
    <row r="1" spans="1:27" ht="9.75" customHeight="1" x14ac:dyDescent="0.25">
      <c r="D1" s="1"/>
      <c r="G1" s="1"/>
    </row>
    <row r="2" spans="1:27" ht="18.75" x14ac:dyDescent="0.3">
      <c r="B2" s="2" t="s">
        <v>62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7" ht="15.75" customHeight="1" x14ac:dyDescent="0.25">
      <c r="B3" s="4"/>
      <c r="C3" s="5" t="s">
        <v>0</v>
      </c>
      <c r="D3" s="5" t="s">
        <v>1</v>
      </c>
      <c r="E3" s="5" t="s">
        <v>2</v>
      </c>
      <c r="F3" s="5" t="s">
        <v>3</v>
      </c>
      <c r="G3" s="5" t="s">
        <v>4</v>
      </c>
      <c r="H3" s="5" t="s">
        <v>5</v>
      </c>
      <c r="I3" s="5" t="s">
        <v>6</v>
      </c>
      <c r="J3" s="5" t="s">
        <v>7</v>
      </c>
      <c r="K3" s="5" t="s">
        <v>8</v>
      </c>
      <c r="L3" s="5" t="s">
        <v>9</v>
      </c>
      <c r="M3" s="5" t="s">
        <v>10</v>
      </c>
      <c r="N3" s="5" t="s">
        <v>11</v>
      </c>
      <c r="O3" s="5" t="s">
        <v>12</v>
      </c>
      <c r="P3" s="5" t="s">
        <v>13</v>
      </c>
      <c r="Q3" s="5" t="s">
        <v>14</v>
      </c>
      <c r="R3" s="5" t="s">
        <v>15</v>
      </c>
      <c r="S3" s="5" t="s">
        <v>16</v>
      </c>
      <c r="T3" s="6"/>
      <c r="U3" s="6"/>
      <c r="V3" s="6"/>
      <c r="AA3" s="7"/>
    </row>
    <row r="4" spans="1:27" x14ac:dyDescent="0.25">
      <c r="B4" s="68" t="s">
        <v>17</v>
      </c>
      <c r="C4" s="86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67" t="s">
        <v>18</v>
      </c>
      <c r="U4" s="5" t="s">
        <v>19</v>
      </c>
      <c r="V4" s="5" t="s">
        <v>20</v>
      </c>
      <c r="AA4" s="8"/>
    </row>
    <row r="5" spans="1:27" hidden="1" outlineLevel="1" x14ac:dyDescent="0.25">
      <c r="A5" s="9" t="str">
        <f>B5</f>
        <v>NB New</v>
      </c>
      <c r="B5" s="10" t="s">
        <v>21</v>
      </c>
      <c r="C5" s="11">
        <f>+SUM(D5:V5)</f>
        <v>708</v>
      </c>
      <c r="D5" s="12">
        <v>84</v>
      </c>
      <c r="E5" s="12">
        <v>0</v>
      </c>
      <c r="F5" s="12">
        <v>0</v>
      </c>
      <c r="G5" s="12">
        <v>29</v>
      </c>
      <c r="H5" s="12">
        <v>56</v>
      </c>
      <c r="I5" s="12">
        <v>67</v>
      </c>
      <c r="J5" s="12">
        <v>48</v>
      </c>
      <c r="K5" s="12">
        <v>27</v>
      </c>
      <c r="L5" s="12">
        <v>31</v>
      </c>
      <c r="M5" s="12">
        <v>47</v>
      </c>
      <c r="N5" s="12">
        <v>21</v>
      </c>
      <c r="O5" s="12">
        <v>132</v>
      </c>
      <c r="P5" s="12">
        <v>53</v>
      </c>
      <c r="Q5" s="12">
        <v>55</v>
      </c>
      <c r="R5" s="12">
        <v>33</v>
      </c>
      <c r="S5" s="12">
        <v>25</v>
      </c>
      <c r="T5" s="12">
        <v>0</v>
      </c>
      <c r="U5" s="12">
        <v>0</v>
      </c>
      <c r="V5" s="12">
        <v>0</v>
      </c>
      <c r="AA5" s="8"/>
    </row>
    <row r="6" spans="1:27" hidden="1" outlineLevel="1" x14ac:dyDescent="0.25">
      <c r="A6" s="9" t="str">
        <f t="shared" ref="A6:A21" si="0">B6</f>
        <v>NB Fleet</v>
      </c>
      <c r="B6" s="13" t="s">
        <v>22</v>
      </c>
      <c r="C6" s="14">
        <f>+SUM(D6:V6)</f>
        <v>33</v>
      </c>
      <c r="D6" s="15">
        <v>5</v>
      </c>
      <c r="E6" s="15">
        <v>0</v>
      </c>
      <c r="F6" s="15">
        <v>0</v>
      </c>
      <c r="G6" s="15">
        <v>0</v>
      </c>
      <c r="H6" s="15">
        <v>0</v>
      </c>
      <c r="I6" s="15">
        <v>2</v>
      </c>
      <c r="J6" s="15">
        <v>4</v>
      </c>
      <c r="K6" s="15">
        <v>1</v>
      </c>
      <c r="L6" s="15">
        <v>2</v>
      </c>
      <c r="M6" s="15">
        <v>7</v>
      </c>
      <c r="N6" s="15">
        <v>0</v>
      </c>
      <c r="O6" s="15">
        <v>0</v>
      </c>
      <c r="P6" s="15">
        <v>6</v>
      </c>
      <c r="Q6" s="15">
        <v>1</v>
      </c>
      <c r="R6" s="15">
        <v>5</v>
      </c>
      <c r="S6" s="15">
        <v>0</v>
      </c>
      <c r="T6" s="15">
        <v>0</v>
      </c>
      <c r="U6" s="15">
        <v>0</v>
      </c>
      <c r="V6" s="15">
        <v>0</v>
      </c>
      <c r="AA6" s="8"/>
    </row>
    <row r="7" spans="1:27" collapsed="1" x14ac:dyDescent="0.25">
      <c r="A7" s="9"/>
      <c r="B7" s="16" t="s">
        <v>23</v>
      </c>
      <c r="C7" s="17">
        <f>SUM(C5:C6)</f>
        <v>741</v>
      </c>
      <c r="D7" s="18">
        <f t="shared" ref="D7:V7" si="1">SUM(D5:D6)</f>
        <v>89</v>
      </c>
      <c r="E7" s="18">
        <f t="shared" si="1"/>
        <v>0</v>
      </c>
      <c r="F7" s="18">
        <f t="shared" si="1"/>
        <v>0</v>
      </c>
      <c r="G7" s="18">
        <f t="shared" si="1"/>
        <v>29</v>
      </c>
      <c r="H7" s="18">
        <f t="shared" si="1"/>
        <v>56</v>
      </c>
      <c r="I7" s="18">
        <f t="shared" si="1"/>
        <v>69</v>
      </c>
      <c r="J7" s="18">
        <f t="shared" si="1"/>
        <v>52</v>
      </c>
      <c r="K7" s="18">
        <f t="shared" si="1"/>
        <v>28</v>
      </c>
      <c r="L7" s="18">
        <f t="shared" si="1"/>
        <v>33</v>
      </c>
      <c r="M7" s="18">
        <f t="shared" si="1"/>
        <v>54</v>
      </c>
      <c r="N7" s="18">
        <f t="shared" si="1"/>
        <v>21</v>
      </c>
      <c r="O7" s="18">
        <f t="shared" si="1"/>
        <v>132</v>
      </c>
      <c r="P7" s="18">
        <f t="shared" si="1"/>
        <v>59</v>
      </c>
      <c r="Q7" s="18">
        <f t="shared" si="1"/>
        <v>56</v>
      </c>
      <c r="R7" s="18">
        <f t="shared" si="1"/>
        <v>38</v>
      </c>
      <c r="S7" s="18">
        <f t="shared" si="1"/>
        <v>25</v>
      </c>
      <c r="T7" s="19">
        <f t="shared" si="1"/>
        <v>0</v>
      </c>
      <c r="U7" s="19">
        <f t="shared" si="1"/>
        <v>0</v>
      </c>
      <c r="V7" s="19">
        <f t="shared" si="1"/>
        <v>0</v>
      </c>
      <c r="AA7" s="8"/>
    </row>
    <row r="8" spans="1:27" ht="14.25" hidden="1" customHeight="1" outlineLevel="1" x14ac:dyDescent="0.25">
      <c r="A8" s="9" t="str">
        <f t="shared" si="0"/>
        <v>NB Used</v>
      </c>
      <c r="B8" s="10" t="s">
        <v>24</v>
      </c>
      <c r="C8" s="11">
        <f>+SUM(D8:V8)</f>
        <v>362</v>
      </c>
      <c r="D8" s="12">
        <v>34</v>
      </c>
      <c r="E8" s="12">
        <v>0</v>
      </c>
      <c r="F8" s="12">
        <v>0</v>
      </c>
      <c r="G8" s="12">
        <v>23</v>
      </c>
      <c r="H8" s="12">
        <v>23</v>
      </c>
      <c r="I8" s="12">
        <v>27</v>
      </c>
      <c r="J8" s="12">
        <v>24</v>
      </c>
      <c r="K8" s="12">
        <v>12</v>
      </c>
      <c r="L8" s="12">
        <v>24</v>
      </c>
      <c r="M8" s="12">
        <v>32</v>
      </c>
      <c r="N8" s="12">
        <v>19</v>
      </c>
      <c r="O8" s="12">
        <v>54</v>
      </c>
      <c r="P8" s="12">
        <v>27</v>
      </c>
      <c r="Q8" s="12">
        <v>35</v>
      </c>
      <c r="R8" s="12">
        <v>6</v>
      </c>
      <c r="S8" s="12">
        <v>22</v>
      </c>
      <c r="T8" s="20">
        <v>0</v>
      </c>
      <c r="U8" s="20">
        <v>0</v>
      </c>
      <c r="V8" s="20">
        <v>0</v>
      </c>
      <c r="AA8" s="8"/>
    </row>
    <row r="9" spans="1:27" hidden="1" outlineLevel="1" x14ac:dyDescent="0.25">
      <c r="A9" s="9" t="str">
        <f t="shared" si="0"/>
        <v>NB US</v>
      </c>
      <c r="B9" s="13" t="s">
        <v>25</v>
      </c>
      <c r="C9" s="14">
        <f>+SUM(D9:V9)</f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21">
        <v>0</v>
      </c>
      <c r="U9" s="21">
        <v>0</v>
      </c>
      <c r="V9" s="21">
        <v>0</v>
      </c>
      <c r="AA9" s="8"/>
    </row>
    <row r="10" spans="1:27" hidden="1" outlineLevel="1" x14ac:dyDescent="0.25">
      <c r="A10" s="9" t="str">
        <f t="shared" si="0"/>
        <v>NB Wholesale</v>
      </c>
      <c r="B10" s="13" t="s">
        <v>26</v>
      </c>
      <c r="C10" s="22">
        <f>+SUM(D10:V10)</f>
        <v>414</v>
      </c>
      <c r="D10" s="23">
        <v>50</v>
      </c>
      <c r="E10" s="23">
        <v>0</v>
      </c>
      <c r="F10" s="23">
        <v>0</v>
      </c>
      <c r="G10" s="23">
        <v>13</v>
      </c>
      <c r="H10" s="23">
        <v>23</v>
      </c>
      <c r="I10" s="23">
        <v>50</v>
      </c>
      <c r="J10" s="23">
        <v>41</v>
      </c>
      <c r="K10" s="23">
        <v>22</v>
      </c>
      <c r="L10" s="23">
        <v>35</v>
      </c>
      <c r="M10" s="23">
        <v>34</v>
      </c>
      <c r="N10" s="23">
        <v>15</v>
      </c>
      <c r="O10" s="23">
        <v>47</v>
      </c>
      <c r="P10" s="23">
        <v>27</v>
      </c>
      <c r="Q10" s="23">
        <v>36</v>
      </c>
      <c r="R10" s="23">
        <v>12</v>
      </c>
      <c r="S10" s="23">
        <v>9</v>
      </c>
      <c r="T10" s="24">
        <v>0</v>
      </c>
      <c r="U10" s="24">
        <v>0</v>
      </c>
      <c r="V10" s="24">
        <v>0</v>
      </c>
      <c r="AA10" s="8"/>
    </row>
    <row r="11" spans="1:27" collapsed="1" x14ac:dyDescent="0.25">
      <c r="A11" s="9"/>
      <c r="B11" s="16" t="s">
        <v>27</v>
      </c>
      <c r="C11" s="17">
        <f t="shared" ref="C11:V11" si="2">SUM(C8:C10)</f>
        <v>776</v>
      </c>
      <c r="D11" s="18">
        <f t="shared" si="2"/>
        <v>84</v>
      </c>
      <c r="E11" s="18">
        <f t="shared" si="2"/>
        <v>0</v>
      </c>
      <c r="F11" s="18">
        <f t="shared" si="2"/>
        <v>0</v>
      </c>
      <c r="G11" s="18">
        <f t="shared" si="2"/>
        <v>36</v>
      </c>
      <c r="H11" s="18">
        <f t="shared" si="2"/>
        <v>46</v>
      </c>
      <c r="I11" s="18">
        <f t="shared" si="2"/>
        <v>77</v>
      </c>
      <c r="J11" s="18">
        <f t="shared" si="2"/>
        <v>65</v>
      </c>
      <c r="K11" s="18">
        <f t="shared" si="2"/>
        <v>34</v>
      </c>
      <c r="L11" s="18">
        <f t="shared" si="2"/>
        <v>59</v>
      </c>
      <c r="M11" s="18">
        <f t="shared" si="2"/>
        <v>66</v>
      </c>
      <c r="N11" s="18">
        <f t="shared" si="2"/>
        <v>34</v>
      </c>
      <c r="O11" s="18">
        <f t="shared" si="2"/>
        <v>101</v>
      </c>
      <c r="P11" s="18">
        <f t="shared" si="2"/>
        <v>54</v>
      </c>
      <c r="Q11" s="18">
        <f t="shared" si="2"/>
        <v>71</v>
      </c>
      <c r="R11" s="18">
        <f t="shared" si="2"/>
        <v>18</v>
      </c>
      <c r="S11" s="18">
        <f t="shared" si="2"/>
        <v>31</v>
      </c>
      <c r="T11" s="19">
        <f t="shared" si="2"/>
        <v>0</v>
      </c>
      <c r="U11" s="19">
        <f t="shared" si="2"/>
        <v>0</v>
      </c>
      <c r="V11" s="19">
        <f t="shared" si="2"/>
        <v>0</v>
      </c>
      <c r="AA11" s="8"/>
    </row>
    <row r="12" spans="1:27" ht="15.75" thickBot="1" x14ac:dyDescent="0.3">
      <c r="A12" s="9"/>
      <c r="B12" s="25" t="s">
        <v>28</v>
      </c>
      <c r="C12" s="11">
        <f t="shared" ref="C12:S12" si="3">+C7+C11</f>
        <v>1517</v>
      </c>
      <c r="D12" s="11">
        <f t="shared" si="3"/>
        <v>173</v>
      </c>
      <c r="E12" s="11">
        <f t="shared" si="3"/>
        <v>0</v>
      </c>
      <c r="F12" s="11">
        <f t="shared" si="3"/>
        <v>0</v>
      </c>
      <c r="G12" s="11">
        <f t="shared" si="3"/>
        <v>65</v>
      </c>
      <c r="H12" s="11">
        <f t="shared" si="3"/>
        <v>102</v>
      </c>
      <c r="I12" s="11">
        <f t="shared" si="3"/>
        <v>146</v>
      </c>
      <c r="J12" s="11">
        <f t="shared" si="3"/>
        <v>117</v>
      </c>
      <c r="K12" s="11">
        <f t="shared" si="3"/>
        <v>62</v>
      </c>
      <c r="L12" s="11">
        <f t="shared" si="3"/>
        <v>92</v>
      </c>
      <c r="M12" s="11">
        <f t="shared" si="3"/>
        <v>120</v>
      </c>
      <c r="N12" s="11">
        <f t="shared" si="3"/>
        <v>55</v>
      </c>
      <c r="O12" s="11">
        <f t="shared" si="3"/>
        <v>233</v>
      </c>
      <c r="P12" s="11">
        <f t="shared" si="3"/>
        <v>113</v>
      </c>
      <c r="Q12" s="11">
        <f t="shared" si="3"/>
        <v>127</v>
      </c>
      <c r="R12" s="11">
        <f t="shared" si="3"/>
        <v>56</v>
      </c>
      <c r="S12" s="11">
        <f t="shared" si="3"/>
        <v>56</v>
      </c>
      <c r="T12" s="26"/>
      <c r="U12" s="26"/>
      <c r="V12" s="26"/>
      <c r="AA12" s="8"/>
    </row>
    <row r="13" spans="1:27" ht="15.75" hidden="1" outlineLevel="1" thickBot="1" x14ac:dyDescent="0.3">
      <c r="A13" s="9" t="str">
        <f t="shared" si="0"/>
        <v>Profit Front new</v>
      </c>
      <c r="B13" s="27" t="s">
        <v>30</v>
      </c>
      <c r="C13" s="28">
        <f>+SUM(D13:V13)</f>
        <v>1993009.0099999974</v>
      </c>
      <c r="D13" s="29">
        <v>192170.88999999949</v>
      </c>
      <c r="E13" s="29">
        <v>0</v>
      </c>
      <c r="F13" s="29">
        <v>0</v>
      </c>
      <c r="G13" s="29">
        <v>21552.739999999882</v>
      </c>
      <c r="H13" s="29">
        <v>158373.32999999999</v>
      </c>
      <c r="I13" s="29">
        <v>149931.93999999992</v>
      </c>
      <c r="J13" s="29">
        <v>124313.2500000001</v>
      </c>
      <c r="K13" s="29">
        <v>75753.629999999786</v>
      </c>
      <c r="L13" s="29">
        <v>94700.319999999891</v>
      </c>
      <c r="M13" s="29">
        <v>156677.62999999998</v>
      </c>
      <c r="N13" s="29">
        <v>76732.759999999893</v>
      </c>
      <c r="O13" s="29">
        <v>379240.86999999976</v>
      </c>
      <c r="P13" s="29">
        <v>165698.93999999942</v>
      </c>
      <c r="Q13" s="29">
        <v>203522.50999999899</v>
      </c>
      <c r="R13" s="29">
        <v>120008.27000000002</v>
      </c>
      <c r="S13" s="29">
        <v>74331.929999999993</v>
      </c>
      <c r="T13" s="29">
        <v>0</v>
      </c>
      <c r="U13" s="29">
        <v>0</v>
      </c>
      <c r="V13" s="29">
        <v>0</v>
      </c>
      <c r="AA13" s="8"/>
    </row>
    <row r="14" spans="1:27" ht="15.75" hidden="1" outlineLevel="1" thickBot="1" x14ac:dyDescent="0.3">
      <c r="A14" s="9"/>
      <c r="B14" s="30" t="s">
        <v>31</v>
      </c>
      <c r="C14" s="31">
        <f>+SUM(D14:V14)</f>
        <v>58667.720000000067</v>
      </c>
      <c r="D14" s="32">
        <v>16575</v>
      </c>
      <c r="E14" s="32">
        <v>0</v>
      </c>
      <c r="F14" s="32">
        <v>0</v>
      </c>
      <c r="G14" s="32">
        <v>4130.6000000000004</v>
      </c>
      <c r="H14" s="32">
        <v>4600</v>
      </c>
      <c r="I14" s="32">
        <v>9461.7300000000396</v>
      </c>
      <c r="J14" s="32">
        <v>4911.3399999999901</v>
      </c>
      <c r="K14" s="32">
        <v>3999</v>
      </c>
      <c r="L14" s="32">
        <v>5994</v>
      </c>
      <c r="M14" s="32">
        <v>2564.1400000000099</v>
      </c>
      <c r="N14" s="32">
        <v>3531</v>
      </c>
      <c r="O14" s="32">
        <v>-730.57000000000698</v>
      </c>
      <c r="P14" s="32">
        <v>0</v>
      </c>
      <c r="Q14" s="32">
        <v>3625.4700000000298</v>
      </c>
      <c r="R14" s="32">
        <v>6.0100000000093097</v>
      </c>
      <c r="S14" s="32">
        <v>0</v>
      </c>
      <c r="T14" s="32">
        <v>0</v>
      </c>
      <c r="U14" s="32">
        <v>0</v>
      </c>
      <c r="V14" s="32">
        <v>0</v>
      </c>
      <c r="AA14" s="8"/>
    </row>
    <row r="15" spans="1:27" ht="15.75" hidden="1" outlineLevel="1" thickBot="1" x14ac:dyDescent="0.3">
      <c r="A15" s="9" t="str">
        <f t="shared" si="0"/>
        <v>Profit Fleet</v>
      </c>
      <c r="B15" s="30" t="s">
        <v>32</v>
      </c>
      <c r="C15" s="31">
        <f>+SUM(D15:V15)</f>
        <v>100904.65999999981</v>
      </c>
      <c r="D15" s="32">
        <v>19146.150000000001</v>
      </c>
      <c r="E15" s="32">
        <v>0</v>
      </c>
      <c r="F15" s="32">
        <v>0</v>
      </c>
      <c r="G15" s="32">
        <v>0</v>
      </c>
      <c r="H15" s="32">
        <v>0</v>
      </c>
      <c r="I15" s="32">
        <v>1811.83</v>
      </c>
      <c r="J15" s="32">
        <v>5275.9800000000096</v>
      </c>
      <c r="K15" s="32">
        <v>-745.150000000001</v>
      </c>
      <c r="L15" s="32">
        <v>300.25</v>
      </c>
      <c r="M15" s="32">
        <v>15814.369999999901</v>
      </c>
      <c r="N15" s="32">
        <v>0</v>
      </c>
      <c r="O15" s="32">
        <v>0</v>
      </c>
      <c r="P15" s="32">
        <v>32519.29</v>
      </c>
      <c r="Q15" s="32">
        <v>5573.25</v>
      </c>
      <c r="R15" s="32">
        <v>21208.6899999999</v>
      </c>
      <c r="S15" s="32">
        <v>0</v>
      </c>
      <c r="T15" s="32">
        <v>0</v>
      </c>
      <c r="U15" s="32">
        <v>0</v>
      </c>
      <c r="V15" s="32">
        <v>0</v>
      </c>
      <c r="AA15" s="8"/>
    </row>
    <row r="16" spans="1:27" ht="15.75" hidden="1" outlineLevel="1" thickBot="1" x14ac:dyDescent="0.3">
      <c r="A16" s="9" t="str">
        <f t="shared" si="0"/>
        <v>Profit F&amp;I new</v>
      </c>
      <c r="B16" s="33" t="s">
        <v>33</v>
      </c>
      <c r="C16" s="34">
        <f>+SUM(D16:V16)</f>
        <v>904397.5399999998</v>
      </c>
      <c r="D16" s="35">
        <v>92831.57</v>
      </c>
      <c r="E16" s="35">
        <v>0</v>
      </c>
      <c r="F16" s="35">
        <v>0</v>
      </c>
      <c r="G16" s="35">
        <v>32702.199999999899</v>
      </c>
      <c r="H16" s="35">
        <v>57902.919999999896</v>
      </c>
      <c r="I16" s="35">
        <v>65089.4</v>
      </c>
      <c r="J16" s="35">
        <v>57696.06</v>
      </c>
      <c r="K16" s="35">
        <v>34993.279999999999</v>
      </c>
      <c r="L16" s="35">
        <v>49805.57</v>
      </c>
      <c r="M16" s="35">
        <v>44195.44</v>
      </c>
      <c r="N16" s="35">
        <v>42281.56</v>
      </c>
      <c r="O16" s="35">
        <v>173617.66</v>
      </c>
      <c r="P16" s="35">
        <v>79934.94</v>
      </c>
      <c r="Q16" s="35">
        <v>67836.5</v>
      </c>
      <c r="R16" s="35">
        <v>50312.35</v>
      </c>
      <c r="S16" s="35">
        <v>55198.09</v>
      </c>
      <c r="T16" s="35">
        <v>0</v>
      </c>
      <c r="U16" s="35">
        <v>0</v>
      </c>
      <c r="V16" s="35">
        <v>0</v>
      </c>
      <c r="AA16" s="8"/>
    </row>
    <row r="17" spans="1:27" ht="15.75" hidden="1" outlineLevel="1" thickBot="1" x14ac:dyDescent="0.3">
      <c r="A17" s="9"/>
      <c r="B17" s="16" t="s">
        <v>34</v>
      </c>
      <c r="C17" s="36">
        <f>+SUM(C13:C16)</f>
        <v>3056978.9299999969</v>
      </c>
      <c r="D17" s="37">
        <f t="shared" ref="D17:V17" si="4">+SUM(D13:D16)</f>
        <v>320723.60999999952</v>
      </c>
      <c r="E17" s="37">
        <f t="shared" si="4"/>
        <v>0</v>
      </c>
      <c r="F17" s="37">
        <f t="shared" si="4"/>
        <v>0</v>
      </c>
      <c r="G17" s="37">
        <f t="shared" si="4"/>
        <v>58385.539999999775</v>
      </c>
      <c r="H17" s="37">
        <f t="shared" si="4"/>
        <v>220876.24999999988</v>
      </c>
      <c r="I17" s="37">
        <f t="shared" si="4"/>
        <v>226294.89999999994</v>
      </c>
      <c r="J17" s="37">
        <f t="shared" si="4"/>
        <v>192196.63000000009</v>
      </c>
      <c r="K17" s="37">
        <f t="shared" si="4"/>
        <v>114000.75999999979</v>
      </c>
      <c r="L17" s="37">
        <f t="shared" si="4"/>
        <v>150800.1399999999</v>
      </c>
      <c r="M17" s="37">
        <f t="shared" si="4"/>
        <v>219251.5799999999</v>
      </c>
      <c r="N17" s="37">
        <f t="shared" si="4"/>
        <v>122545.31999999989</v>
      </c>
      <c r="O17" s="37">
        <f t="shared" si="4"/>
        <v>552127.95999999973</v>
      </c>
      <c r="P17" s="37">
        <f t="shared" si="4"/>
        <v>278153.16999999946</v>
      </c>
      <c r="Q17" s="37">
        <f t="shared" si="4"/>
        <v>280557.72999999905</v>
      </c>
      <c r="R17" s="37">
        <f t="shared" si="4"/>
        <v>191535.31999999992</v>
      </c>
      <c r="S17" s="37">
        <f t="shared" si="4"/>
        <v>129530.01999999999</v>
      </c>
      <c r="T17" s="36">
        <f t="shared" si="4"/>
        <v>0</v>
      </c>
      <c r="U17" s="36">
        <f t="shared" si="4"/>
        <v>0</v>
      </c>
      <c r="V17" s="36">
        <f t="shared" si="4"/>
        <v>0</v>
      </c>
      <c r="AA17" s="8"/>
    </row>
    <row r="18" spans="1:27" ht="15.75" hidden="1" outlineLevel="1" thickBot="1" x14ac:dyDescent="0.3">
      <c r="A18" s="9" t="str">
        <f t="shared" si="0"/>
        <v>Profit Front used</v>
      </c>
      <c r="B18" s="30" t="s">
        <v>35</v>
      </c>
      <c r="C18" s="31">
        <f>+SUM(D18:V18)</f>
        <v>715513.40999999945</v>
      </c>
      <c r="D18" s="32">
        <v>79169.009999999995</v>
      </c>
      <c r="E18" s="32">
        <v>0</v>
      </c>
      <c r="F18" s="32">
        <v>0</v>
      </c>
      <c r="G18" s="32">
        <v>51546.6499999999</v>
      </c>
      <c r="H18" s="32">
        <v>45122.589999999982</v>
      </c>
      <c r="I18" s="32">
        <v>15027.56</v>
      </c>
      <c r="J18" s="32">
        <v>42666.38</v>
      </c>
      <c r="K18" s="32">
        <v>18216.399999999889</v>
      </c>
      <c r="L18" s="32">
        <v>31027.260000000009</v>
      </c>
      <c r="M18" s="32">
        <v>65743.64</v>
      </c>
      <c r="N18" s="32">
        <v>25110.249999999989</v>
      </c>
      <c r="O18" s="32">
        <v>112592.75999999991</v>
      </c>
      <c r="P18" s="32">
        <v>61599.1700000001</v>
      </c>
      <c r="Q18" s="32">
        <v>116268.69999999979</v>
      </c>
      <c r="R18" s="32">
        <v>16812.39</v>
      </c>
      <c r="S18" s="32">
        <v>34610.6499999999</v>
      </c>
      <c r="T18" s="32">
        <v>0</v>
      </c>
      <c r="U18" s="32">
        <v>0</v>
      </c>
      <c r="V18" s="32">
        <v>0</v>
      </c>
      <c r="AA18" s="8"/>
    </row>
    <row r="19" spans="1:27" ht="15.75" hidden="1" outlineLevel="1" thickBot="1" x14ac:dyDescent="0.3">
      <c r="A19" s="9" t="str">
        <f t="shared" si="0"/>
        <v>Profit US</v>
      </c>
      <c r="B19" s="30" t="s">
        <v>36</v>
      </c>
      <c r="C19" s="31">
        <f>+SUM(D19:V19)</f>
        <v>0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AA19" s="8"/>
    </row>
    <row r="20" spans="1:27" ht="15.75" hidden="1" outlineLevel="1" thickBot="1" x14ac:dyDescent="0.3">
      <c r="A20" s="9" t="str">
        <f t="shared" si="0"/>
        <v>Profit Wholesale</v>
      </c>
      <c r="B20" s="30" t="s">
        <v>37</v>
      </c>
      <c r="C20" s="31">
        <f>+SUM(D20:V20)</f>
        <v>278156.22999999975</v>
      </c>
      <c r="D20" s="32">
        <v>42821.84</v>
      </c>
      <c r="E20" s="32">
        <v>0</v>
      </c>
      <c r="F20" s="32">
        <v>0</v>
      </c>
      <c r="G20" s="32">
        <v>12198.7399999999</v>
      </c>
      <c r="H20" s="32">
        <v>18677</v>
      </c>
      <c r="I20" s="32">
        <v>31850.43</v>
      </c>
      <c r="J20" s="32">
        <v>15128.01</v>
      </c>
      <c r="K20" s="32">
        <v>11430.1699999999</v>
      </c>
      <c r="L20" s="32">
        <v>5947.6200000000499</v>
      </c>
      <c r="M20" s="32">
        <v>32844.39</v>
      </c>
      <c r="N20" s="32">
        <v>9680.7900000000009</v>
      </c>
      <c r="O20" s="32">
        <v>50037.879999999903</v>
      </c>
      <c r="P20" s="32">
        <v>-2399.5900000000202</v>
      </c>
      <c r="Q20" s="32">
        <v>21297.96</v>
      </c>
      <c r="R20" s="32">
        <v>26831</v>
      </c>
      <c r="S20" s="32">
        <v>1809.98999999999</v>
      </c>
      <c r="T20" s="32">
        <v>0</v>
      </c>
      <c r="U20" s="32">
        <v>0</v>
      </c>
      <c r="V20" s="32">
        <v>0</v>
      </c>
      <c r="AA20" s="8"/>
    </row>
    <row r="21" spans="1:27" ht="15.75" hidden="1" outlineLevel="1" thickBot="1" x14ac:dyDescent="0.3">
      <c r="A21" s="9" t="str">
        <f t="shared" si="0"/>
        <v>Profit F&amp;I used</v>
      </c>
      <c r="B21" s="30" t="s">
        <v>38</v>
      </c>
      <c r="C21" s="31">
        <f>+SUM(D21:V21)</f>
        <v>482102.70999999961</v>
      </c>
      <c r="D21" s="32">
        <v>40009.300000000003</v>
      </c>
      <c r="E21" s="32">
        <v>0</v>
      </c>
      <c r="F21" s="32">
        <v>0</v>
      </c>
      <c r="G21" s="32">
        <v>27573.119999999901</v>
      </c>
      <c r="H21" s="32">
        <v>28739.29</v>
      </c>
      <c r="I21" s="32">
        <v>58846.179999999898</v>
      </c>
      <c r="J21" s="32">
        <v>30029.9</v>
      </c>
      <c r="K21" s="32">
        <v>11363.98</v>
      </c>
      <c r="L21" s="32">
        <v>34635.93</v>
      </c>
      <c r="M21" s="32">
        <v>46056.91</v>
      </c>
      <c r="N21" s="32">
        <v>15946.459999999901</v>
      </c>
      <c r="O21" s="32">
        <v>80720.549999999901</v>
      </c>
      <c r="P21" s="32">
        <v>44528.36</v>
      </c>
      <c r="Q21" s="32">
        <v>28317.759999999998</v>
      </c>
      <c r="R21" s="32">
        <v>6477</v>
      </c>
      <c r="S21" s="32">
        <v>28857.97</v>
      </c>
      <c r="T21" s="32">
        <v>0</v>
      </c>
      <c r="U21" s="32">
        <v>0</v>
      </c>
      <c r="V21" s="32">
        <v>0</v>
      </c>
      <c r="AA21" s="8"/>
    </row>
    <row r="22" spans="1:27" ht="15.75" hidden="1" outlineLevel="1" thickBot="1" x14ac:dyDescent="0.3">
      <c r="A22" s="9"/>
      <c r="B22" s="16" t="s">
        <v>39</v>
      </c>
      <c r="C22" s="36">
        <f>+SUM(C18:C21)</f>
        <v>1475772.3499999987</v>
      </c>
      <c r="D22" s="37">
        <f>+SUM(D18:D21)</f>
        <v>162000.15</v>
      </c>
      <c r="E22" s="37">
        <f t="shared" ref="E22:V22" si="5">+SUM(E18:E21)</f>
        <v>0</v>
      </c>
      <c r="F22" s="37">
        <f t="shared" si="5"/>
        <v>0</v>
      </c>
      <c r="G22" s="37">
        <f t="shared" si="5"/>
        <v>91318.509999999689</v>
      </c>
      <c r="H22" s="37">
        <f t="shared" si="5"/>
        <v>92538.879999999976</v>
      </c>
      <c r="I22" s="37">
        <f t="shared" si="5"/>
        <v>105724.1699999999</v>
      </c>
      <c r="J22" s="37">
        <f t="shared" si="5"/>
        <v>87824.290000000008</v>
      </c>
      <c r="K22" s="37">
        <f t="shared" si="5"/>
        <v>41010.549999999785</v>
      </c>
      <c r="L22" s="37">
        <f t="shared" si="5"/>
        <v>71610.810000000056</v>
      </c>
      <c r="M22" s="37">
        <f t="shared" si="5"/>
        <v>144644.94</v>
      </c>
      <c r="N22" s="37">
        <f t="shared" si="5"/>
        <v>50737.499999999898</v>
      </c>
      <c r="O22" s="37">
        <f t="shared" si="5"/>
        <v>243351.18999999971</v>
      </c>
      <c r="P22" s="37">
        <f t="shared" si="5"/>
        <v>103727.94000000009</v>
      </c>
      <c r="Q22" s="37">
        <f t="shared" si="5"/>
        <v>165884.41999999981</v>
      </c>
      <c r="R22" s="37">
        <f t="shared" si="5"/>
        <v>50120.39</v>
      </c>
      <c r="S22" s="37">
        <f t="shared" si="5"/>
        <v>65278.609999999891</v>
      </c>
      <c r="T22" s="36">
        <f t="shared" si="5"/>
        <v>0</v>
      </c>
      <c r="U22" s="36">
        <f t="shared" si="5"/>
        <v>0</v>
      </c>
      <c r="V22" s="36">
        <f t="shared" si="5"/>
        <v>0</v>
      </c>
      <c r="AA22" s="8"/>
    </row>
    <row r="23" spans="1:27" ht="15.75" hidden="1" outlineLevel="1" thickBot="1" x14ac:dyDescent="0.3">
      <c r="A23" s="9"/>
      <c r="B23" s="27" t="s">
        <v>40</v>
      </c>
      <c r="C23" s="28">
        <f>+C22+C17</f>
        <v>4532751.2799999956</v>
      </c>
      <c r="D23" s="38">
        <f t="shared" ref="D23:S23" si="6">+D22+D17</f>
        <v>482723.75999999954</v>
      </c>
      <c r="E23" s="38">
        <f t="shared" si="6"/>
        <v>0</v>
      </c>
      <c r="F23" s="38">
        <f t="shared" si="6"/>
        <v>0</v>
      </c>
      <c r="G23" s="38">
        <f t="shared" si="6"/>
        <v>149704.04999999946</v>
      </c>
      <c r="H23" s="38">
        <f t="shared" si="6"/>
        <v>313415.12999999989</v>
      </c>
      <c r="I23" s="38">
        <f t="shared" si="6"/>
        <v>332019.06999999983</v>
      </c>
      <c r="J23" s="38">
        <f t="shared" si="6"/>
        <v>280020.9200000001</v>
      </c>
      <c r="K23" s="38">
        <f t="shared" si="6"/>
        <v>155011.30999999959</v>
      </c>
      <c r="L23" s="38">
        <f t="shared" si="6"/>
        <v>222410.94999999995</v>
      </c>
      <c r="M23" s="38">
        <f t="shared" si="6"/>
        <v>363896.5199999999</v>
      </c>
      <c r="N23" s="38">
        <f t="shared" si="6"/>
        <v>173282.81999999977</v>
      </c>
      <c r="O23" s="38">
        <f t="shared" si="6"/>
        <v>795479.14999999944</v>
      </c>
      <c r="P23" s="38">
        <f t="shared" si="6"/>
        <v>381881.10999999952</v>
      </c>
      <c r="Q23" s="38">
        <f t="shared" si="6"/>
        <v>446442.14999999886</v>
      </c>
      <c r="R23" s="38">
        <f t="shared" si="6"/>
        <v>241655.7099999999</v>
      </c>
      <c r="S23" s="38">
        <f t="shared" si="6"/>
        <v>194808.62999999989</v>
      </c>
      <c r="T23" s="28"/>
      <c r="U23" s="28"/>
      <c r="V23" s="28"/>
      <c r="AA23" s="8"/>
    </row>
    <row r="24" spans="1:27" ht="15.75" hidden="1" outlineLevel="1" collapsed="1" thickBot="1" x14ac:dyDescent="0.3">
      <c r="A24" s="9"/>
      <c r="B24" s="39" t="s">
        <v>41</v>
      </c>
      <c r="C24" s="40">
        <f t="shared" ref="C24:V24" si="7">IFERROR(C13/C5,0)</f>
        <v>2814.9844774011262</v>
      </c>
      <c r="D24" s="41">
        <f t="shared" si="7"/>
        <v>2287.7486904761845</v>
      </c>
      <c r="E24" s="41">
        <f t="shared" si="7"/>
        <v>0</v>
      </c>
      <c r="F24" s="41">
        <f t="shared" si="7"/>
        <v>0</v>
      </c>
      <c r="G24" s="41">
        <f t="shared" si="7"/>
        <v>743.19793103447864</v>
      </c>
      <c r="H24" s="41">
        <f t="shared" si="7"/>
        <v>2828.0951785714283</v>
      </c>
      <c r="I24" s="41">
        <f t="shared" si="7"/>
        <v>2237.7901492537299</v>
      </c>
      <c r="J24" s="41">
        <f t="shared" si="7"/>
        <v>2589.8593750000023</v>
      </c>
      <c r="K24" s="41">
        <f t="shared" si="7"/>
        <v>2805.6899999999919</v>
      </c>
      <c r="L24" s="41">
        <f t="shared" si="7"/>
        <v>3054.849032258061</v>
      </c>
      <c r="M24" s="41">
        <f t="shared" si="7"/>
        <v>3333.5665957446804</v>
      </c>
      <c r="N24" s="41">
        <f t="shared" si="7"/>
        <v>3653.9409523809472</v>
      </c>
      <c r="O24" s="41">
        <f t="shared" si="7"/>
        <v>2873.036893939392</v>
      </c>
      <c r="P24" s="41">
        <f t="shared" si="7"/>
        <v>3126.3950943396117</v>
      </c>
      <c r="Q24" s="41">
        <f t="shared" si="7"/>
        <v>3700.4092727272546</v>
      </c>
      <c r="R24" s="41">
        <f t="shared" si="7"/>
        <v>3636.614242424243</v>
      </c>
      <c r="S24" s="42">
        <f t="shared" si="7"/>
        <v>2973.2771999999995</v>
      </c>
      <c r="T24" s="29">
        <f t="shared" si="7"/>
        <v>0</v>
      </c>
      <c r="U24" s="38">
        <f t="shared" si="7"/>
        <v>0</v>
      </c>
      <c r="V24" s="38">
        <f t="shared" si="7"/>
        <v>0</v>
      </c>
      <c r="AA24" s="8"/>
    </row>
    <row r="25" spans="1:27" ht="15.75" hidden="1" outlineLevel="1" thickBot="1" x14ac:dyDescent="0.3">
      <c r="A25" s="9"/>
      <c r="B25" s="43" t="s">
        <v>42</v>
      </c>
      <c r="C25" s="31">
        <f t="shared" ref="C25:V25" si="8">IFERROR(C15/C6,0)</f>
        <v>3057.716969696964</v>
      </c>
      <c r="D25" s="44">
        <f t="shared" si="8"/>
        <v>3829.2300000000005</v>
      </c>
      <c r="E25" s="44">
        <f t="shared" si="8"/>
        <v>0</v>
      </c>
      <c r="F25" s="44">
        <f t="shared" si="8"/>
        <v>0</v>
      </c>
      <c r="G25" s="44">
        <f t="shared" si="8"/>
        <v>0</v>
      </c>
      <c r="H25" s="44">
        <f t="shared" si="8"/>
        <v>0</v>
      </c>
      <c r="I25" s="44">
        <f t="shared" si="8"/>
        <v>905.91499999999996</v>
      </c>
      <c r="J25" s="44">
        <f t="shared" si="8"/>
        <v>1318.9950000000024</v>
      </c>
      <c r="K25" s="44">
        <f t="shared" si="8"/>
        <v>-745.150000000001</v>
      </c>
      <c r="L25" s="44">
        <f t="shared" si="8"/>
        <v>150.125</v>
      </c>
      <c r="M25" s="44">
        <f t="shared" si="8"/>
        <v>2259.1957142857</v>
      </c>
      <c r="N25" s="44">
        <f t="shared" si="8"/>
        <v>0</v>
      </c>
      <c r="O25" s="44">
        <f t="shared" si="8"/>
        <v>0</v>
      </c>
      <c r="P25" s="44">
        <f t="shared" si="8"/>
        <v>5419.8816666666671</v>
      </c>
      <c r="Q25" s="44">
        <f t="shared" si="8"/>
        <v>5573.25</v>
      </c>
      <c r="R25" s="44">
        <f t="shared" si="8"/>
        <v>4241.7379999999803</v>
      </c>
      <c r="S25" s="45">
        <f t="shared" si="8"/>
        <v>0</v>
      </c>
      <c r="T25" s="32">
        <f t="shared" si="8"/>
        <v>0</v>
      </c>
      <c r="U25" s="44">
        <f t="shared" si="8"/>
        <v>0</v>
      </c>
      <c r="V25" s="44">
        <f t="shared" si="8"/>
        <v>0</v>
      </c>
      <c r="AA25" s="8"/>
    </row>
    <row r="26" spans="1:27" ht="15.75" hidden="1" outlineLevel="1" thickBot="1" x14ac:dyDescent="0.3">
      <c r="A26" s="9"/>
      <c r="B26" s="43" t="s">
        <v>43</v>
      </c>
      <c r="C26" s="31">
        <f t="shared" ref="C26:V26" si="9">IFERROR(C16/C5,0)</f>
        <v>1277.3976553672314</v>
      </c>
      <c r="D26" s="44">
        <f t="shared" si="9"/>
        <v>1105.1377380952381</v>
      </c>
      <c r="E26" s="44">
        <f t="shared" si="9"/>
        <v>0</v>
      </c>
      <c r="F26" s="44">
        <f t="shared" si="9"/>
        <v>0</v>
      </c>
      <c r="G26" s="44">
        <f t="shared" si="9"/>
        <v>1127.6620689655138</v>
      </c>
      <c r="H26" s="44">
        <f t="shared" si="9"/>
        <v>1033.9807142857123</v>
      </c>
      <c r="I26" s="44">
        <f t="shared" si="9"/>
        <v>971.48358208955221</v>
      </c>
      <c r="J26" s="44">
        <f t="shared" si="9"/>
        <v>1202.00125</v>
      </c>
      <c r="K26" s="44">
        <f t="shared" si="9"/>
        <v>1296.0474074074073</v>
      </c>
      <c r="L26" s="44">
        <f t="shared" si="9"/>
        <v>1606.6312903225805</v>
      </c>
      <c r="M26" s="44">
        <f t="shared" si="9"/>
        <v>940.32851063829787</v>
      </c>
      <c r="N26" s="44">
        <f t="shared" si="9"/>
        <v>2013.4076190476189</v>
      </c>
      <c r="O26" s="44">
        <f t="shared" si="9"/>
        <v>1315.2853030303031</v>
      </c>
      <c r="P26" s="44">
        <f t="shared" si="9"/>
        <v>1508.2064150943397</v>
      </c>
      <c r="Q26" s="44">
        <f t="shared" si="9"/>
        <v>1233.3909090909092</v>
      </c>
      <c r="R26" s="44">
        <f t="shared" si="9"/>
        <v>1524.6166666666666</v>
      </c>
      <c r="S26" s="45">
        <f t="shared" si="9"/>
        <v>2207.9236000000001</v>
      </c>
      <c r="T26" s="35">
        <f t="shared" si="9"/>
        <v>0</v>
      </c>
      <c r="U26" s="46">
        <f t="shared" si="9"/>
        <v>0</v>
      </c>
      <c r="V26" s="46">
        <f t="shared" si="9"/>
        <v>0</v>
      </c>
      <c r="AA26" s="8"/>
    </row>
    <row r="27" spans="1:27" ht="15.75" hidden="1" outlineLevel="1" thickBot="1" x14ac:dyDescent="0.3">
      <c r="A27" s="9"/>
      <c r="B27" s="47" t="s">
        <v>44</v>
      </c>
      <c r="C27" s="48">
        <f>SUM(C24,C26)</f>
        <v>4092.3821327683577</v>
      </c>
      <c r="D27" s="49">
        <f t="shared" ref="D27:V27" si="10">SUM(D24,D26)</f>
        <v>3392.8864285714226</v>
      </c>
      <c r="E27" s="49">
        <f t="shared" si="10"/>
        <v>0</v>
      </c>
      <c r="F27" s="49">
        <f t="shared" si="10"/>
        <v>0</v>
      </c>
      <c r="G27" s="49">
        <f t="shared" si="10"/>
        <v>1870.8599999999924</v>
      </c>
      <c r="H27" s="49">
        <f t="shared" si="10"/>
        <v>3862.0758928571404</v>
      </c>
      <c r="I27" s="49">
        <f t="shared" si="10"/>
        <v>3209.2737313432822</v>
      </c>
      <c r="J27" s="49">
        <f t="shared" si="10"/>
        <v>3791.8606250000021</v>
      </c>
      <c r="K27" s="49">
        <f t="shared" si="10"/>
        <v>4101.7374074073996</v>
      </c>
      <c r="L27" s="49">
        <f t="shared" si="10"/>
        <v>4661.4803225806418</v>
      </c>
      <c r="M27" s="49">
        <f t="shared" si="10"/>
        <v>4273.8951063829782</v>
      </c>
      <c r="N27" s="49">
        <f t="shared" si="10"/>
        <v>5667.3485714285662</v>
      </c>
      <c r="O27" s="49">
        <f t="shared" si="10"/>
        <v>4188.3221969696951</v>
      </c>
      <c r="P27" s="49">
        <f t="shared" si="10"/>
        <v>4634.6015094339509</v>
      </c>
      <c r="Q27" s="49">
        <f t="shared" si="10"/>
        <v>4933.8001818181638</v>
      </c>
      <c r="R27" s="49">
        <f t="shared" si="10"/>
        <v>5161.2309090909093</v>
      </c>
      <c r="S27" s="50">
        <f t="shared" si="10"/>
        <v>5181.2007999999996</v>
      </c>
      <c r="T27" s="51">
        <f t="shared" si="10"/>
        <v>0</v>
      </c>
      <c r="U27" s="37">
        <f t="shared" si="10"/>
        <v>0</v>
      </c>
      <c r="V27" s="37">
        <f t="shared" si="10"/>
        <v>0</v>
      </c>
      <c r="AA27" s="8"/>
    </row>
    <row r="28" spans="1:27" collapsed="1" x14ac:dyDescent="0.25">
      <c r="A28" s="9"/>
      <c r="B28" s="52" t="s">
        <v>45</v>
      </c>
      <c r="C28" s="53">
        <f t="shared" ref="C28:V31" si="11">IFERROR(C17/C7,0)</f>
        <v>4125.4776383265817</v>
      </c>
      <c r="D28" s="54">
        <f t="shared" si="11"/>
        <v>3603.6360674157249</v>
      </c>
      <c r="E28" s="54">
        <f t="shared" si="11"/>
        <v>0</v>
      </c>
      <c r="F28" s="54">
        <f t="shared" si="11"/>
        <v>0</v>
      </c>
      <c r="G28" s="54">
        <f t="shared" si="11"/>
        <v>2013.294482758613</v>
      </c>
      <c r="H28" s="54">
        <f t="shared" si="11"/>
        <v>3944.2187499999977</v>
      </c>
      <c r="I28" s="54">
        <f t="shared" si="11"/>
        <v>3279.636231884057</v>
      </c>
      <c r="J28" s="54">
        <f t="shared" si="11"/>
        <v>3696.0890384615404</v>
      </c>
      <c r="K28" s="54">
        <f t="shared" si="11"/>
        <v>4071.455714285707</v>
      </c>
      <c r="L28" s="54">
        <f t="shared" si="11"/>
        <v>4569.7012121212092</v>
      </c>
      <c r="M28" s="54">
        <f t="shared" si="11"/>
        <v>4060.2144444444425</v>
      </c>
      <c r="N28" s="54">
        <f t="shared" si="11"/>
        <v>5835.4914285714231</v>
      </c>
      <c r="O28" s="54">
        <f t="shared" si="11"/>
        <v>4182.7875757575739</v>
      </c>
      <c r="P28" s="54">
        <f t="shared" si="11"/>
        <v>4714.4605084745672</v>
      </c>
      <c r="Q28" s="54">
        <f t="shared" si="11"/>
        <v>5009.9594642856973</v>
      </c>
      <c r="R28" s="54">
        <f t="shared" si="11"/>
        <v>5040.4031578947352</v>
      </c>
      <c r="S28" s="55">
        <f t="shared" si="11"/>
        <v>5181.2007999999996</v>
      </c>
      <c r="T28" s="56">
        <f t="shared" si="11"/>
        <v>0</v>
      </c>
      <c r="U28" s="36">
        <f t="shared" si="11"/>
        <v>0</v>
      </c>
      <c r="V28" s="36">
        <f t="shared" si="11"/>
        <v>0</v>
      </c>
      <c r="AA28" s="8"/>
    </row>
    <row r="29" spans="1:27" hidden="1" outlineLevel="1" x14ac:dyDescent="0.25">
      <c r="A29" s="9"/>
      <c r="B29" s="43" t="s">
        <v>46</v>
      </c>
      <c r="C29" s="31">
        <f t="shared" si="11"/>
        <v>1976.556381215468</v>
      </c>
      <c r="D29" s="44">
        <f t="shared" si="11"/>
        <v>2328.5002941176467</v>
      </c>
      <c r="E29" s="44">
        <f t="shared" si="11"/>
        <v>0</v>
      </c>
      <c r="F29" s="44">
        <f t="shared" si="11"/>
        <v>0</v>
      </c>
      <c r="G29" s="44">
        <f t="shared" si="11"/>
        <v>2241.1586956521696</v>
      </c>
      <c r="H29" s="44">
        <f t="shared" si="11"/>
        <v>1961.851739130434</v>
      </c>
      <c r="I29" s="44">
        <f t="shared" si="11"/>
        <v>556.57629629629628</v>
      </c>
      <c r="J29" s="44">
        <f t="shared" si="11"/>
        <v>1777.7658333333331</v>
      </c>
      <c r="K29" s="44">
        <f t="shared" si="11"/>
        <v>1518.033333333324</v>
      </c>
      <c r="L29" s="44">
        <f t="shared" si="11"/>
        <v>1292.8025000000005</v>
      </c>
      <c r="M29" s="44">
        <f t="shared" si="11"/>
        <v>2054.48875</v>
      </c>
      <c r="N29" s="44">
        <f t="shared" si="11"/>
        <v>1321.5921052631572</v>
      </c>
      <c r="O29" s="44">
        <f t="shared" si="11"/>
        <v>2085.0511111111095</v>
      </c>
      <c r="P29" s="44">
        <f t="shared" si="11"/>
        <v>2281.4507407407445</v>
      </c>
      <c r="Q29" s="44">
        <f t="shared" si="11"/>
        <v>3321.9628571428511</v>
      </c>
      <c r="R29" s="44">
        <f t="shared" si="11"/>
        <v>2802.0650000000001</v>
      </c>
      <c r="S29" s="45">
        <f t="shared" si="11"/>
        <v>1573.211363636359</v>
      </c>
      <c r="T29" s="32">
        <f>IFERROR(T18/T5,0)</f>
        <v>0</v>
      </c>
      <c r="U29" s="44">
        <f>IFERROR(U18/U5,0)</f>
        <v>0</v>
      </c>
      <c r="V29" s="44">
        <f>IFERROR(V18/V5,0)</f>
        <v>0</v>
      </c>
      <c r="AA29" s="8"/>
    </row>
    <row r="30" spans="1:27" hidden="1" outlineLevel="1" x14ac:dyDescent="0.25">
      <c r="A30" s="9"/>
      <c r="B30" s="43" t="s">
        <v>47</v>
      </c>
      <c r="C30" s="31">
        <f>IFERROR(C19/C9,0)</f>
        <v>0</v>
      </c>
      <c r="D30" s="44">
        <f t="shared" si="11"/>
        <v>0</v>
      </c>
      <c r="E30" s="44">
        <f t="shared" si="11"/>
        <v>0</v>
      </c>
      <c r="F30" s="44">
        <f t="shared" si="11"/>
        <v>0</v>
      </c>
      <c r="G30" s="44">
        <f t="shared" si="11"/>
        <v>0</v>
      </c>
      <c r="H30" s="44">
        <f t="shared" si="11"/>
        <v>0</v>
      </c>
      <c r="I30" s="44">
        <f t="shared" si="11"/>
        <v>0</v>
      </c>
      <c r="J30" s="44">
        <f t="shared" si="11"/>
        <v>0</v>
      </c>
      <c r="K30" s="44">
        <f t="shared" si="11"/>
        <v>0</v>
      </c>
      <c r="L30" s="44">
        <f t="shared" si="11"/>
        <v>0</v>
      </c>
      <c r="M30" s="44">
        <f t="shared" si="11"/>
        <v>0</v>
      </c>
      <c r="N30" s="44">
        <f t="shared" si="11"/>
        <v>0</v>
      </c>
      <c r="O30" s="44">
        <f t="shared" si="11"/>
        <v>0</v>
      </c>
      <c r="P30" s="44">
        <f t="shared" si="11"/>
        <v>0</v>
      </c>
      <c r="Q30" s="44">
        <f t="shared" si="11"/>
        <v>0</v>
      </c>
      <c r="R30" s="44">
        <f t="shared" si="11"/>
        <v>0</v>
      </c>
      <c r="S30" s="45">
        <f t="shared" si="11"/>
        <v>0</v>
      </c>
      <c r="T30" s="32">
        <f t="shared" si="11"/>
        <v>0</v>
      </c>
      <c r="U30" s="44">
        <f t="shared" si="11"/>
        <v>0</v>
      </c>
      <c r="V30" s="44">
        <f t="shared" si="11"/>
        <v>0</v>
      </c>
      <c r="AA30" s="8"/>
    </row>
    <row r="31" spans="1:27" hidden="1" outlineLevel="1" x14ac:dyDescent="0.25">
      <c r="A31" s="9"/>
      <c r="B31" s="43" t="s">
        <v>48</v>
      </c>
      <c r="C31" s="31">
        <f>IFERROR(C20/C10,0)</f>
        <v>671.87495169082069</v>
      </c>
      <c r="D31" s="44">
        <f t="shared" si="11"/>
        <v>856.43679999999995</v>
      </c>
      <c r="E31" s="44">
        <f t="shared" si="11"/>
        <v>0</v>
      </c>
      <c r="F31" s="44">
        <f t="shared" si="11"/>
        <v>0</v>
      </c>
      <c r="G31" s="44">
        <f t="shared" si="11"/>
        <v>938.36461538460765</v>
      </c>
      <c r="H31" s="44">
        <f t="shared" si="11"/>
        <v>812.04347826086962</v>
      </c>
      <c r="I31" s="44">
        <f t="shared" si="11"/>
        <v>637.0086</v>
      </c>
      <c r="J31" s="44">
        <f t="shared" si="11"/>
        <v>368.97585365853661</v>
      </c>
      <c r="K31" s="44">
        <f t="shared" si="11"/>
        <v>519.55318181817722</v>
      </c>
      <c r="L31" s="44">
        <f t="shared" si="11"/>
        <v>169.93200000000144</v>
      </c>
      <c r="M31" s="44">
        <f t="shared" si="11"/>
        <v>966.01147058823528</v>
      </c>
      <c r="N31" s="44">
        <f t="shared" si="11"/>
        <v>645.38600000000008</v>
      </c>
      <c r="O31" s="44">
        <f t="shared" si="11"/>
        <v>1064.635744680849</v>
      </c>
      <c r="P31" s="44">
        <f t="shared" si="11"/>
        <v>-88.87370370370445</v>
      </c>
      <c r="Q31" s="44">
        <f t="shared" si="11"/>
        <v>591.61</v>
      </c>
      <c r="R31" s="44">
        <f t="shared" si="11"/>
        <v>2235.9166666666665</v>
      </c>
      <c r="S31" s="45">
        <f t="shared" si="11"/>
        <v>201.10999999999888</v>
      </c>
      <c r="T31" s="32">
        <f t="shared" si="11"/>
        <v>0</v>
      </c>
      <c r="U31" s="44">
        <f t="shared" si="11"/>
        <v>0</v>
      </c>
      <c r="V31" s="44">
        <f t="shared" si="11"/>
        <v>0</v>
      </c>
      <c r="AA31" s="8"/>
    </row>
    <row r="32" spans="1:27" hidden="1" outlineLevel="1" x14ac:dyDescent="0.25">
      <c r="A32" s="9"/>
      <c r="B32" s="43" t="s">
        <v>49</v>
      </c>
      <c r="C32" s="31">
        <f t="shared" ref="C32:V32" si="12">IFERROR(C21/C8,0)</f>
        <v>1331.7754419889493</v>
      </c>
      <c r="D32" s="44">
        <f t="shared" si="12"/>
        <v>1176.7441176470588</v>
      </c>
      <c r="E32" s="44">
        <f t="shared" si="12"/>
        <v>0</v>
      </c>
      <c r="F32" s="44">
        <f t="shared" si="12"/>
        <v>0</v>
      </c>
      <c r="G32" s="44">
        <f t="shared" si="12"/>
        <v>1198.8313043478217</v>
      </c>
      <c r="H32" s="44">
        <f t="shared" si="12"/>
        <v>1249.534347826087</v>
      </c>
      <c r="I32" s="44">
        <f t="shared" si="12"/>
        <v>2179.4881481481443</v>
      </c>
      <c r="J32" s="44">
        <f t="shared" si="12"/>
        <v>1251.2458333333334</v>
      </c>
      <c r="K32" s="44">
        <f t="shared" si="12"/>
        <v>946.99833333333333</v>
      </c>
      <c r="L32" s="44">
        <f t="shared" si="12"/>
        <v>1443.1637499999999</v>
      </c>
      <c r="M32" s="44">
        <f t="shared" si="12"/>
        <v>1439.2784375000001</v>
      </c>
      <c r="N32" s="44">
        <f t="shared" si="12"/>
        <v>839.2873684210474</v>
      </c>
      <c r="O32" s="44">
        <f t="shared" si="12"/>
        <v>1494.8249999999982</v>
      </c>
      <c r="P32" s="44">
        <f t="shared" si="12"/>
        <v>1649.1985185185185</v>
      </c>
      <c r="Q32" s="44">
        <f t="shared" si="12"/>
        <v>809.07885714285715</v>
      </c>
      <c r="R32" s="44">
        <f t="shared" si="12"/>
        <v>1079.5</v>
      </c>
      <c r="S32" s="45">
        <f t="shared" si="12"/>
        <v>1311.7259090909092</v>
      </c>
      <c r="T32" s="32">
        <f t="shared" si="12"/>
        <v>0</v>
      </c>
      <c r="U32" s="44">
        <f t="shared" si="12"/>
        <v>0</v>
      </c>
      <c r="V32" s="44">
        <f t="shared" si="12"/>
        <v>0</v>
      </c>
      <c r="AA32" s="8"/>
    </row>
    <row r="33" spans="1:27" hidden="1" outlineLevel="1" x14ac:dyDescent="0.25">
      <c r="A33" s="9"/>
      <c r="B33" s="57" t="s">
        <v>50</v>
      </c>
      <c r="C33" s="34">
        <f>SUM(C29,C32)</f>
        <v>3308.3318232044176</v>
      </c>
      <c r="D33" s="46">
        <f t="shared" ref="D33:V33" si="13">SUM(D29,D32)</f>
        <v>3505.2444117647055</v>
      </c>
      <c r="E33" s="46">
        <f t="shared" si="13"/>
        <v>0</v>
      </c>
      <c r="F33" s="46">
        <f t="shared" si="13"/>
        <v>0</v>
      </c>
      <c r="G33" s="46">
        <f t="shared" si="13"/>
        <v>3439.9899999999916</v>
      </c>
      <c r="H33" s="46">
        <f t="shared" si="13"/>
        <v>3211.386086956521</v>
      </c>
      <c r="I33" s="46">
        <f t="shared" si="13"/>
        <v>2736.0644444444406</v>
      </c>
      <c r="J33" s="46">
        <f t="shared" si="13"/>
        <v>3029.0116666666663</v>
      </c>
      <c r="K33" s="46">
        <f t="shared" si="13"/>
        <v>2465.0316666666572</v>
      </c>
      <c r="L33" s="46">
        <f t="shared" si="13"/>
        <v>2735.9662500000004</v>
      </c>
      <c r="M33" s="46">
        <f t="shared" si="13"/>
        <v>3493.7671875000001</v>
      </c>
      <c r="N33" s="46">
        <f t="shared" si="13"/>
        <v>2160.8794736842046</v>
      </c>
      <c r="O33" s="46">
        <f t="shared" si="13"/>
        <v>3579.876111111108</v>
      </c>
      <c r="P33" s="46">
        <f t="shared" si="13"/>
        <v>3930.6492592592631</v>
      </c>
      <c r="Q33" s="46">
        <f t="shared" si="13"/>
        <v>4131.0417142857086</v>
      </c>
      <c r="R33" s="46">
        <f t="shared" si="13"/>
        <v>3881.5650000000001</v>
      </c>
      <c r="S33" s="58">
        <f t="shared" si="13"/>
        <v>2884.9372727272685</v>
      </c>
      <c r="T33" s="51">
        <f t="shared" si="13"/>
        <v>0</v>
      </c>
      <c r="U33" s="37">
        <f t="shared" si="13"/>
        <v>0</v>
      </c>
      <c r="V33" s="36">
        <f t="shared" si="13"/>
        <v>0</v>
      </c>
      <c r="AA33" s="8"/>
    </row>
    <row r="34" spans="1:27" collapsed="1" x14ac:dyDescent="0.25">
      <c r="A34" s="9"/>
      <c r="B34" s="59" t="s">
        <v>51</v>
      </c>
      <c r="C34" s="36">
        <f>IFERROR(C22/C11,0)</f>
        <v>1901.7684922680396</v>
      </c>
      <c r="D34" s="37">
        <f t="shared" ref="D34:S35" si="14">IFERROR(D22/D11,0)</f>
        <v>1928.5732142857141</v>
      </c>
      <c r="E34" s="37">
        <f t="shared" si="14"/>
        <v>0</v>
      </c>
      <c r="F34" s="37">
        <f t="shared" si="14"/>
        <v>0</v>
      </c>
      <c r="G34" s="37">
        <f t="shared" si="14"/>
        <v>2536.625277777769</v>
      </c>
      <c r="H34" s="37">
        <f t="shared" si="14"/>
        <v>2011.714782608695</v>
      </c>
      <c r="I34" s="37">
        <f t="shared" si="14"/>
        <v>1373.0411688311674</v>
      </c>
      <c r="J34" s="37">
        <f t="shared" si="14"/>
        <v>1351.1429230769231</v>
      </c>
      <c r="K34" s="37">
        <f t="shared" si="14"/>
        <v>1206.1926470588171</v>
      </c>
      <c r="L34" s="37">
        <f t="shared" si="14"/>
        <v>1213.7425423728823</v>
      </c>
      <c r="M34" s="37">
        <f t="shared" si="14"/>
        <v>2191.59</v>
      </c>
      <c r="N34" s="37">
        <f t="shared" si="14"/>
        <v>1492.2794117647029</v>
      </c>
      <c r="O34" s="37">
        <f t="shared" si="14"/>
        <v>2409.4177227722744</v>
      </c>
      <c r="P34" s="37">
        <f t="shared" si="14"/>
        <v>1920.8877777777795</v>
      </c>
      <c r="Q34" s="37">
        <f t="shared" si="14"/>
        <v>2336.4002816901379</v>
      </c>
      <c r="R34" s="37">
        <f t="shared" si="14"/>
        <v>2784.4661111111109</v>
      </c>
      <c r="S34" s="60">
        <f t="shared" si="14"/>
        <v>2105.7616129032222</v>
      </c>
      <c r="T34" s="56">
        <f>IFERROR(T22/T11,0)</f>
        <v>0</v>
      </c>
      <c r="U34" s="36">
        <f>IFERROR(U22/U11,0)</f>
        <v>0</v>
      </c>
      <c r="V34" s="36">
        <f>IFERROR(V22/V11,0)</f>
        <v>0</v>
      </c>
      <c r="AA34" s="8"/>
    </row>
    <row r="35" spans="1:27" ht="15.75" thickBot="1" x14ac:dyDescent="0.3">
      <c r="A35" s="9"/>
      <c r="B35" s="61" t="s">
        <v>52</v>
      </c>
      <c r="C35" s="62">
        <f>IFERROR(C23/C12,0)</f>
        <v>2987.9705207646643</v>
      </c>
      <c r="D35" s="62">
        <f t="shared" si="14"/>
        <v>2790.310751445084</v>
      </c>
      <c r="E35" s="62">
        <f t="shared" si="14"/>
        <v>0</v>
      </c>
      <c r="F35" s="62">
        <f t="shared" si="14"/>
        <v>0</v>
      </c>
      <c r="G35" s="62">
        <f t="shared" si="14"/>
        <v>2303.1392307692226</v>
      </c>
      <c r="H35" s="62">
        <f t="shared" si="14"/>
        <v>3072.6973529411753</v>
      </c>
      <c r="I35" s="62">
        <f t="shared" si="14"/>
        <v>2274.103219178081</v>
      </c>
      <c r="J35" s="62">
        <f t="shared" si="14"/>
        <v>2393.3411965811974</v>
      </c>
      <c r="K35" s="62">
        <f t="shared" si="14"/>
        <v>2500.1824193548323</v>
      </c>
      <c r="L35" s="62">
        <f t="shared" si="14"/>
        <v>2417.510326086956</v>
      </c>
      <c r="M35" s="62">
        <f t="shared" si="14"/>
        <v>3032.4709999999991</v>
      </c>
      <c r="N35" s="62">
        <f t="shared" si="14"/>
        <v>3150.596727272723</v>
      </c>
      <c r="O35" s="62">
        <f t="shared" si="14"/>
        <v>3414.0736051502122</v>
      </c>
      <c r="P35" s="62">
        <f t="shared" si="14"/>
        <v>3379.4788495575181</v>
      </c>
      <c r="Q35" s="62">
        <f t="shared" si="14"/>
        <v>3515.2925196850306</v>
      </c>
      <c r="R35" s="62">
        <f t="shared" si="14"/>
        <v>4315.2805357142843</v>
      </c>
      <c r="S35" s="63">
        <f t="shared" si="14"/>
        <v>3478.7255357142835</v>
      </c>
      <c r="T35" s="7"/>
      <c r="U35" s="7"/>
      <c r="V35" s="7"/>
      <c r="AA35" s="8"/>
    </row>
    <row r="36" spans="1:27" ht="5.25" customHeight="1" x14ac:dyDescent="0.25"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</row>
    <row r="37" spans="1:27" x14ac:dyDescent="0.25">
      <c r="B37" s="68">
        <v>2024</v>
      </c>
      <c r="C37" s="65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7" t="s">
        <v>18</v>
      </c>
      <c r="U37" s="5" t="s">
        <v>19</v>
      </c>
      <c r="V37" s="5" t="s">
        <v>20</v>
      </c>
    </row>
    <row r="38" spans="1:27" hidden="1" outlineLevel="1" x14ac:dyDescent="0.25">
      <c r="A38" s="9"/>
      <c r="B38" s="13" t="s">
        <v>21</v>
      </c>
      <c r="C38" s="11">
        <f>+SUM(D38:V38)</f>
        <v>671</v>
      </c>
      <c r="D38" s="12">
        <v>106</v>
      </c>
      <c r="E38" s="12">
        <v>3</v>
      </c>
      <c r="F38" s="12">
        <v>0</v>
      </c>
      <c r="G38" s="12">
        <v>28</v>
      </c>
      <c r="H38" s="12">
        <v>78</v>
      </c>
      <c r="I38" s="12">
        <v>87</v>
      </c>
      <c r="J38" s="12">
        <v>41</v>
      </c>
      <c r="K38" s="12">
        <v>8</v>
      </c>
      <c r="L38" s="12">
        <v>23</v>
      </c>
      <c r="M38" s="12">
        <v>39</v>
      </c>
      <c r="N38" s="12">
        <v>14</v>
      </c>
      <c r="O38" s="12">
        <v>122</v>
      </c>
      <c r="P38" s="12">
        <v>41</v>
      </c>
      <c r="Q38" s="12">
        <v>38</v>
      </c>
      <c r="R38" s="12">
        <v>13</v>
      </c>
      <c r="S38" s="12">
        <v>30</v>
      </c>
      <c r="T38" s="12"/>
      <c r="U38" s="12"/>
      <c r="V38" s="12"/>
      <c r="AA38" s="8"/>
    </row>
    <row r="39" spans="1:27" hidden="1" outlineLevel="1" x14ac:dyDescent="0.25">
      <c r="A39" s="9"/>
      <c r="B39" s="13" t="s">
        <v>22</v>
      </c>
      <c r="C39" s="14">
        <f>+SUM(D39:V39)</f>
        <v>33</v>
      </c>
      <c r="D39" s="15">
        <v>2</v>
      </c>
      <c r="E39" s="15">
        <v>0</v>
      </c>
      <c r="F39" s="15">
        <v>0</v>
      </c>
      <c r="G39" s="15">
        <v>8</v>
      </c>
      <c r="H39" s="15">
        <v>0</v>
      </c>
      <c r="I39" s="15">
        <v>1</v>
      </c>
      <c r="J39" s="15">
        <v>2</v>
      </c>
      <c r="K39" s="15">
        <v>2</v>
      </c>
      <c r="L39" s="15">
        <v>3</v>
      </c>
      <c r="M39" s="15">
        <v>1</v>
      </c>
      <c r="N39" s="15">
        <v>1</v>
      </c>
      <c r="O39" s="15">
        <v>0</v>
      </c>
      <c r="P39" s="15">
        <v>7</v>
      </c>
      <c r="Q39" s="15">
        <v>1</v>
      </c>
      <c r="R39" s="15">
        <v>5</v>
      </c>
      <c r="S39" s="15">
        <v>0</v>
      </c>
      <c r="T39" s="15"/>
      <c r="U39" s="15"/>
      <c r="V39" s="15"/>
      <c r="AA39" s="8"/>
    </row>
    <row r="40" spans="1:27" collapsed="1" x14ac:dyDescent="0.25">
      <c r="A40" s="9"/>
      <c r="B40" s="16" t="s">
        <v>23</v>
      </c>
      <c r="C40" s="17">
        <f>SUM(C38:C39)</f>
        <v>704</v>
      </c>
      <c r="D40" s="18">
        <f t="shared" ref="D40:S40" si="15">SUM(D38:D39)</f>
        <v>108</v>
      </c>
      <c r="E40" s="18">
        <f t="shared" si="15"/>
        <v>3</v>
      </c>
      <c r="F40" s="18">
        <f t="shared" si="15"/>
        <v>0</v>
      </c>
      <c r="G40" s="18">
        <f t="shared" si="15"/>
        <v>36</v>
      </c>
      <c r="H40" s="18">
        <f t="shared" si="15"/>
        <v>78</v>
      </c>
      <c r="I40" s="18">
        <f t="shared" si="15"/>
        <v>88</v>
      </c>
      <c r="J40" s="18">
        <f t="shared" si="15"/>
        <v>43</v>
      </c>
      <c r="K40" s="18">
        <f t="shared" si="15"/>
        <v>10</v>
      </c>
      <c r="L40" s="18">
        <f t="shared" si="15"/>
        <v>26</v>
      </c>
      <c r="M40" s="18">
        <f t="shared" si="15"/>
        <v>40</v>
      </c>
      <c r="N40" s="18">
        <f t="shared" si="15"/>
        <v>15</v>
      </c>
      <c r="O40" s="18">
        <f t="shared" si="15"/>
        <v>122</v>
      </c>
      <c r="P40" s="18">
        <f t="shared" si="15"/>
        <v>48</v>
      </c>
      <c r="Q40" s="18">
        <f t="shared" si="15"/>
        <v>39</v>
      </c>
      <c r="R40" s="18">
        <f t="shared" si="15"/>
        <v>18</v>
      </c>
      <c r="S40" s="18">
        <f t="shared" si="15"/>
        <v>30</v>
      </c>
      <c r="T40" s="19">
        <f>SUM(T38:T39)</f>
        <v>0</v>
      </c>
      <c r="U40" s="19">
        <f>SUM(U38:U39)</f>
        <v>0</v>
      </c>
      <c r="V40" s="19">
        <f>SUM(V38:V39)</f>
        <v>0</v>
      </c>
      <c r="AA40" s="8"/>
    </row>
    <row r="41" spans="1:27" ht="14.25" hidden="1" customHeight="1" outlineLevel="1" x14ac:dyDescent="0.25">
      <c r="A41" s="9"/>
      <c r="B41" s="10" t="s">
        <v>24</v>
      </c>
      <c r="C41" s="11">
        <f>+SUM(D41:V41)</f>
        <v>386</v>
      </c>
      <c r="D41" s="12">
        <v>41</v>
      </c>
      <c r="E41" s="12">
        <v>3</v>
      </c>
      <c r="F41" s="12">
        <v>0</v>
      </c>
      <c r="G41" s="12">
        <v>17</v>
      </c>
      <c r="H41" s="12">
        <v>32</v>
      </c>
      <c r="I41" s="12">
        <v>25</v>
      </c>
      <c r="J41" s="12">
        <v>33</v>
      </c>
      <c r="K41" s="12">
        <v>7</v>
      </c>
      <c r="L41" s="12">
        <v>25</v>
      </c>
      <c r="M41" s="12">
        <v>33</v>
      </c>
      <c r="N41" s="12">
        <v>19</v>
      </c>
      <c r="O41" s="12">
        <v>51</v>
      </c>
      <c r="P41" s="12">
        <v>43</v>
      </c>
      <c r="Q41" s="12">
        <v>18</v>
      </c>
      <c r="R41" s="12">
        <v>13</v>
      </c>
      <c r="S41" s="12">
        <v>26</v>
      </c>
      <c r="T41" s="20"/>
      <c r="U41" s="20"/>
      <c r="V41" s="20"/>
      <c r="AA41" s="8"/>
    </row>
    <row r="42" spans="1:27" hidden="1" outlineLevel="1" x14ac:dyDescent="0.25">
      <c r="A42" s="9"/>
      <c r="B42" s="13" t="s">
        <v>25</v>
      </c>
      <c r="C42" s="14">
        <f>+SUM(D42:V42)</f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21"/>
      <c r="U42" s="21"/>
      <c r="V42" s="21"/>
      <c r="AA42" s="8"/>
    </row>
    <row r="43" spans="1:27" hidden="1" outlineLevel="1" x14ac:dyDescent="0.25">
      <c r="A43" s="9"/>
      <c r="B43" s="13" t="s">
        <v>26</v>
      </c>
      <c r="C43" s="22">
        <f>+SUM(D43:V43)</f>
        <v>404</v>
      </c>
      <c r="D43" s="23">
        <v>44</v>
      </c>
      <c r="E43" s="23">
        <v>7</v>
      </c>
      <c r="F43" s="23">
        <v>0</v>
      </c>
      <c r="G43" s="23">
        <v>14</v>
      </c>
      <c r="H43" s="23">
        <v>13</v>
      </c>
      <c r="I43" s="23">
        <v>42</v>
      </c>
      <c r="J43" s="23">
        <v>48</v>
      </c>
      <c r="K43" s="23">
        <v>19</v>
      </c>
      <c r="L43" s="23">
        <v>24</v>
      </c>
      <c r="M43" s="23">
        <v>40</v>
      </c>
      <c r="N43" s="23">
        <v>17</v>
      </c>
      <c r="O43" s="23">
        <v>59</v>
      </c>
      <c r="P43" s="23">
        <v>29</v>
      </c>
      <c r="Q43" s="23">
        <v>32</v>
      </c>
      <c r="R43" s="23">
        <v>15</v>
      </c>
      <c r="S43" s="23">
        <v>1</v>
      </c>
      <c r="T43" s="24"/>
      <c r="U43" s="24"/>
      <c r="V43" s="24"/>
      <c r="AA43" s="8"/>
    </row>
    <row r="44" spans="1:27" collapsed="1" x14ac:dyDescent="0.25">
      <c r="A44" s="9"/>
      <c r="B44" s="16" t="s">
        <v>27</v>
      </c>
      <c r="C44" s="17">
        <f t="shared" ref="C44:S44" si="16">SUM(C41:C43)</f>
        <v>790</v>
      </c>
      <c r="D44" s="18">
        <f t="shared" si="16"/>
        <v>85</v>
      </c>
      <c r="E44" s="18">
        <f t="shared" si="16"/>
        <v>10</v>
      </c>
      <c r="F44" s="18">
        <f t="shared" si="16"/>
        <v>0</v>
      </c>
      <c r="G44" s="18">
        <f t="shared" si="16"/>
        <v>31</v>
      </c>
      <c r="H44" s="18">
        <f t="shared" si="16"/>
        <v>45</v>
      </c>
      <c r="I44" s="18">
        <f t="shared" si="16"/>
        <v>67</v>
      </c>
      <c r="J44" s="18">
        <f t="shared" si="16"/>
        <v>81</v>
      </c>
      <c r="K44" s="18">
        <f t="shared" si="16"/>
        <v>26</v>
      </c>
      <c r="L44" s="18">
        <f t="shared" si="16"/>
        <v>49</v>
      </c>
      <c r="M44" s="18">
        <f t="shared" si="16"/>
        <v>73</v>
      </c>
      <c r="N44" s="18">
        <f t="shared" si="16"/>
        <v>36</v>
      </c>
      <c r="O44" s="18">
        <f t="shared" si="16"/>
        <v>110</v>
      </c>
      <c r="P44" s="18">
        <f t="shared" si="16"/>
        <v>72</v>
      </c>
      <c r="Q44" s="18">
        <f t="shared" si="16"/>
        <v>50</v>
      </c>
      <c r="R44" s="18">
        <f t="shared" si="16"/>
        <v>28</v>
      </c>
      <c r="S44" s="18">
        <f t="shared" si="16"/>
        <v>27</v>
      </c>
      <c r="T44" s="19">
        <f>SUM(T41:T43)</f>
        <v>0</v>
      </c>
      <c r="U44" s="19">
        <f>SUM(U41:U43)</f>
        <v>0</v>
      </c>
      <c r="V44" s="19">
        <f>SUM(V41:V43)</f>
        <v>0</v>
      </c>
      <c r="AA44" s="8"/>
    </row>
    <row r="45" spans="1:27" ht="15.75" thickBot="1" x14ac:dyDescent="0.3">
      <c r="A45" s="9"/>
      <c r="B45" s="25" t="s">
        <v>28</v>
      </c>
      <c r="C45" s="11">
        <f t="shared" ref="C45:S45" si="17">+C40+C44</f>
        <v>1494</v>
      </c>
      <c r="D45" s="11">
        <f t="shared" si="17"/>
        <v>193</v>
      </c>
      <c r="E45" s="11">
        <f t="shared" si="17"/>
        <v>13</v>
      </c>
      <c r="F45" s="11">
        <f t="shared" si="17"/>
        <v>0</v>
      </c>
      <c r="G45" s="11">
        <f t="shared" si="17"/>
        <v>67</v>
      </c>
      <c r="H45" s="11">
        <f t="shared" si="17"/>
        <v>123</v>
      </c>
      <c r="I45" s="11">
        <f t="shared" si="17"/>
        <v>155</v>
      </c>
      <c r="J45" s="11">
        <f t="shared" si="17"/>
        <v>124</v>
      </c>
      <c r="K45" s="11">
        <f t="shared" si="17"/>
        <v>36</v>
      </c>
      <c r="L45" s="11">
        <f t="shared" si="17"/>
        <v>75</v>
      </c>
      <c r="M45" s="11">
        <f t="shared" si="17"/>
        <v>113</v>
      </c>
      <c r="N45" s="11">
        <f t="shared" si="17"/>
        <v>51</v>
      </c>
      <c r="O45" s="11">
        <f t="shared" si="17"/>
        <v>232</v>
      </c>
      <c r="P45" s="11">
        <f t="shared" si="17"/>
        <v>120</v>
      </c>
      <c r="Q45" s="11">
        <f t="shared" si="17"/>
        <v>89</v>
      </c>
      <c r="R45" s="11">
        <f t="shared" si="17"/>
        <v>46</v>
      </c>
      <c r="S45" s="11">
        <f t="shared" si="17"/>
        <v>57</v>
      </c>
      <c r="T45" s="26"/>
      <c r="U45" s="26"/>
      <c r="V45" s="26"/>
      <c r="AA45" s="8"/>
    </row>
    <row r="46" spans="1:27" hidden="1" outlineLevel="1" x14ac:dyDescent="0.25">
      <c r="A46" s="9"/>
      <c r="B46" s="27" t="s">
        <v>30</v>
      </c>
      <c r="C46" s="28">
        <f>+SUM(D46:V46)</f>
        <v>1844193.6199999964</v>
      </c>
      <c r="D46" s="29">
        <v>254626.30999999944</v>
      </c>
      <c r="E46" s="29">
        <v>-7.2759576141834202E-12</v>
      </c>
      <c r="F46" s="29">
        <v>0</v>
      </c>
      <c r="G46" s="29">
        <v>26845.379999999819</v>
      </c>
      <c r="H46" s="29">
        <v>190266.08000000007</v>
      </c>
      <c r="I46" s="29">
        <v>182430.79999999903</v>
      </c>
      <c r="J46" s="29">
        <v>45322.439999999944</v>
      </c>
      <c r="K46" s="29">
        <v>18439.689999999886</v>
      </c>
      <c r="L46" s="29">
        <v>72644.629999999699</v>
      </c>
      <c r="M46" s="29">
        <v>130794.7999999999</v>
      </c>
      <c r="N46" s="29">
        <v>38495.939999999908</v>
      </c>
      <c r="O46" s="29">
        <v>551361.92999999889</v>
      </c>
      <c r="P46" s="29">
        <v>114603.66999999993</v>
      </c>
      <c r="Q46" s="29">
        <v>138899.6699999999</v>
      </c>
      <c r="R46" s="29">
        <v>-8566.8499999999694</v>
      </c>
      <c r="S46" s="29">
        <v>88029.13</v>
      </c>
      <c r="T46" s="29"/>
      <c r="U46" s="29"/>
      <c r="V46" s="29"/>
      <c r="AA46" s="8"/>
    </row>
    <row r="47" spans="1:27" hidden="1" outlineLevel="1" x14ac:dyDescent="0.25">
      <c r="A47" s="9"/>
      <c r="B47" s="30" t="s">
        <v>31</v>
      </c>
      <c r="C47" s="31">
        <f>+SUM(D47:V47)</f>
        <v>77383.319999999891</v>
      </c>
      <c r="D47" s="32">
        <v>18131.259999999998</v>
      </c>
      <c r="E47" s="32">
        <v>0</v>
      </c>
      <c r="F47" s="32">
        <v>0</v>
      </c>
      <c r="G47" s="32">
        <v>9088.75</v>
      </c>
      <c r="H47" s="32">
        <v>5206.04</v>
      </c>
      <c r="I47" s="32">
        <v>4315</v>
      </c>
      <c r="J47" s="32">
        <v>13861.01</v>
      </c>
      <c r="K47" s="32">
        <v>6994</v>
      </c>
      <c r="L47" s="32">
        <v>6493</v>
      </c>
      <c r="M47" s="32">
        <v>2947.5</v>
      </c>
      <c r="N47" s="32">
        <v>5620.9499999999798</v>
      </c>
      <c r="O47" s="32">
        <v>-431.950000000069</v>
      </c>
      <c r="P47" s="32">
        <v>234.63</v>
      </c>
      <c r="Q47" s="32">
        <v>3028.6599999999798</v>
      </c>
      <c r="R47" s="32">
        <v>1894.47</v>
      </c>
      <c r="S47" s="32">
        <v>0</v>
      </c>
      <c r="T47" s="32"/>
      <c r="U47" s="32"/>
      <c r="V47" s="32"/>
      <c r="AA47" s="8"/>
    </row>
    <row r="48" spans="1:27" hidden="1" outlineLevel="1" x14ac:dyDescent="0.25">
      <c r="A48" s="9"/>
      <c r="B48" s="30" t="s">
        <v>32</v>
      </c>
      <c r="C48" s="31">
        <f>+SUM(D48:V48)</f>
        <v>62803.059999999794</v>
      </c>
      <c r="D48" s="32">
        <v>5015.2799999999897</v>
      </c>
      <c r="E48" s="32">
        <v>0</v>
      </c>
      <c r="F48" s="32">
        <v>0</v>
      </c>
      <c r="G48" s="32">
        <v>7034</v>
      </c>
      <c r="H48" s="32">
        <v>0</v>
      </c>
      <c r="I48" s="32">
        <v>1402.08</v>
      </c>
      <c r="J48" s="32">
        <v>1942.28999999999</v>
      </c>
      <c r="K48" s="32">
        <v>0</v>
      </c>
      <c r="L48" s="32">
        <v>96.550000000010101</v>
      </c>
      <c r="M48" s="32">
        <v>953.400000000001</v>
      </c>
      <c r="N48" s="32">
        <v>12964.17</v>
      </c>
      <c r="O48" s="32">
        <v>0</v>
      </c>
      <c r="P48" s="32">
        <v>13995.1699999999</v>
      </c>
      <c r="Q48" s="32">
        <v>817.050000000002</v>
      </c>
      <c r="R48" s="32">
        <v>18583.069999999901</v>
      </c>
      <c r="S48" s="32">
        <v>0</v>
      </c>
      <c r="T48" s="32"/>
      <c r="U48" s="32"/>
      <c r="V48" s="32"/>
      <c r="AA48" s="8"/>
    </row>
    <row r="49" spans="1:27" hidden="1" outlineLevel="1" x14ac:dyDescent="0.25">
      <c r="A49" s="9"/>
      <c r="B49" s="33" t="s">
        <v>33</v>
      </c>
      <c r="C49" s="34">
        <f>+SUM(D49:V49)</f>
        <v>770106.09999999986</v>
      </c>
      <c r="D49" s="35">
        <v>118269.52</v>
      </c>
      <c r="E49" s="35">
        <v>2251</v>
      </c>
      <c r="F49" s="35">
        <v>0</v>
      </c>
      <c r="G49" s="35">
        <v>38276.67</v>
      </c>
      <c r="H49" s="35">
        <v>69179.990000000005</v>
      </c>
      <c r="I49" s="35">
        <v>76578.39</v>
      </c>
      <c r="J49" s="35">
        <v>52139.51</v>
      </c>
      <c r="K49" s="35">
        <v>15165.7</v>
      </c>
      <c r="L49" s="35">
        <v>27349.5</v>
      </c>
      <c r="M49" s="35">
        <v>27933.87</v>
      </c>
      <c r="N49" s="35">
        <v>21849.8</v>
      </c>
      <c r="O49" s="35">
        <v>147602.56</v>
      </c>
      <c r="P49" s="35">
        <v>65528.21</v>
      </c>
      <c r="Q49" s="35">
        <v>38904.629999999997</v>
      </c>
      <c r="R49" s="35">
        <v>21318.129999999899</v>
      </c>
      <c r="S49" s="35">
        <v>47758.62</v>
      </c>
      <c r="T49" s="35"/>
      <c r="U49" s="35"/>
      <c r="V49" s="35"/>
      <c r="AA49" s="8"/>
    </row>
    <row r="50" spans="1:27" hidden="1" outlineLevel="1" x14ac:dyDescent="0.25">
      <c r="A50" s="9"/>
      <c r="B50" s="16" t="s">
        <v>34</v>
      </c>
      <c r="C50" s="36">
        <f>+SUM(C46:C49)</f>
        <v>2754486.0999999959</v>
      </c>
      <c r="D50" s="37">
        <f t="shared" ref="D50:S50" si="18">+SUM(D46:D49)</f>
        <v>396042.36999999941</v>
      </c>
      <c r="E50" s="37">
        <f t="shared" si="18"/>
        <v>2250.9999999999927</v>
      </c>
      <c r="F50" s="37">
        <f t="shared" si="18"/>
        <v>0</v>
      </c>
      <c r="G50" s="37">
        <f t="shared" si="18"/>
        <v>81244.799999999814</v>
      </c>
      <c r="H50" s="37">
        <f t="shared" si="18"/>
        <v>264652.1100000001</v>
      </c>
      <c r="I50" s="37">
        <f t="shared" si="18"/>
        <v>264726.26999999903</v>
      </c>
      <c r="J50" s="37">
        <f t="shared" si="18"/>
        <v>113265.24999999994</v>
      </c>
      <c r="K50" s="37">
        <f t="shared" si="18"/>
        <v>40599.389999999883</v>
      </c>
      <c r="L50" s="37">
        <f t="shared" si="18"/>
        <v>106583.6799999997</v>
      </c>
      <c r="M50" s="37">
        <f t="shared" si="18"/>
        <v>162629.56999999989</v>
      </c>
      <c r="N50" s="37">
        <f t="shared" si="18"/>
        <v>78930.859999999884</v>
      </c>
      <c r="O50" s="37">
        <f t="shared" si="18"/>
        <v>698532.53999999887</v>
      </c>
      <c r="P50" s="37">
        <f t="shared" si="18"/>
        <v>194361.67999999982</v>
      </c>
      <c r="Q50" s="37">
        <f t="shared" si="18"/>
        <v>181650.00999999986</v>
      </c>
      <c r="R50" s="37">
        <f t="shared" si="18"/>
        <v>33228.819999999832</v>
      </c>
      <c r="S50" s="37">
        <f t="shared" si="18"/>
        <v>135787.75</v>
      </c>
      <c r="T50" s="36">
        <f>+SUM(T46:T49)</f>
        <v>0</v>
      </c>
      <c r="U50" s="36">
        <f>+SUM(U46:U49)</f>
        <v>0</v>
      </c>
      <c r="V50" s="36">
        <f>+SUM(V46:V49)</f>
        <v>0</v>
      </c>
      <c r="AA50" s="8"/>
    </row>
    <row r="51" spans="1:27" hidden="1" outlineLevel="1" x14ac:dyDescent="0.25">
      <c r="A51" s="9"/>
      <c r="B51" s="30" t="s">
        <v>35</v>
      </c>
      <c r="C51" s="31">
        <f>+SUM(D51:V51)</f>
        <v>450780.32999999914</v>
      </c>
      <c r="D51" s="32">
        <v>60723.660000000105</v>
      </c>
      <c r="E51" s="32">
        <v>1869.22999999999</v>
      </c>
      <c r="F51" s="32">
        <v>0</v>
      </c>
      <c r="G51" s="32">
        <v>20099.729999999992</v>
      </c>
      <c r="H51" s="32">
        <v>73492.899999999805</v>
      </c>
      <c r="I51" s="32">
        <v>21212.34</v>
      </c>
      <c r="J51" s="32">
        <v>-15105.219999999972</v>
      </c>
      <c r="K51" s="32">
        <v>2902.7999999999902</v>
      </c>
      <c r="L51" s="32">
        <v>32964.679999999898</v>
      </c>
      <c r="M51" s="32">
        <v>51027.41</v>
      </c>
      <c r="N51" s="32">
        <v>24804.410000000018</v>
      </c>
      <c r="O51" s="32">
        <v>50666.82999999958</v>
      </c>
      <c r="P51" s="32">
        <v>66953.799999999916</v>
      </c>
      <c r="Q51" s="32">
        <v>6143.1899999999905</v>
      </c>
      <c r="R51" s="32">
        <v>16674.809999999889</v>
      </c>
      <c r="S51" s="32">
        <v>36349.7599999999</v>
      </c>
      <c r="T51" s="32"/>
      <c r="U51" s="32"/>
      <c r="V51" s="32"/>
      <c r="AA51" s="8"/>
    </row>
    <row r="52" spans="1:27" hidden="1" outlineLevel="1" x14ac:dyDescent="0.25">
      <c r="A52" s="9"/>
      <c r="B52" s="30" t="s">
        <v>36</v>
      </c>
      <c r="C52" s="31">
        <f>+SUM(D52:V52)</f>
        <v>0</v>
      </c>
      <c r="D52" s="32">
        <v>0</v>
      </c>
      <c r="E52" s="32">
        <v>0</v>
      </c>
      <c r="F52" s="32">
        <v>0</v>
      </c>
      <c r="G52" s="32">
        <v>0</v>
      </c>
      <c r="H52" s="32">
        <v>0</v>
      </c>
      <c r="I52" s="32">
        <v>0</v>
      </c>
      <c r="J52" s="32">
        <v>0</v>
      </c>
      <c r="K52" s="32">
        <v>0</v>
      </c>
      <c r="L52" s="32">
        <v>0</v>
      </c>
      <c r="M52" s="32">
        <v>0</v>
      </c>
      <c r="N52" s="32">
        <v>0</v>
      </c>
      <c r="O52" s="32">
        <v>0</v>
      </c>
      <c r="P52" s="32">
        <v>0</v>
      </c>
      <c r="Q52" s="32">
        <v>0</v>
      </c>
      <c r="R52" s="32">
        <v>0</v>
      </c>
      <c r="S52" s="32">
        <v>0</v>
      </c>
      <c r="T52" s="32"/>
      <c r="U52" s="32"/>
      <c r="V52" s="32"/>
      <c r="AA52" s="8"/>
    </row>
    <row r="53" spans="1:27" hidden="1" outlineLevel="1" x14ac:dyDescent="0.25">
      <c r="A53" s="9"/>
      <c r="B53" s="30" t="s">
        <v>37</v>
      </c>
      <c r="C53" s="31">
        <f>+SUM(D53:V53)</f>
        <v>147355.04000000018</v>
      </c>
      <c r="D53" s="32">
        <v>17918.03</v>
      </c>
      <c r="E53" s="32">
        <v>1274</v>
      </c>
      <c r="F53" s="32">
        <v>0</v>
      </c>
      <c r="G53" s="32">
        <v>16161.9799999999</v>
      </c>
      <c r="H53" s="32">
        <v>6772.9299999999903</v>
      </c>
      <c r="I53" s="32">
        <v>449.41000000003203</v>
      </c>
      <c r="J53" s="32">
        <v>-4195.0799999997198</v>
      </c>
      <c r="K53" s="32">
        <v>-2631.0499999999802</v>
      </c>
      <c r="L53" s="32">
        <v>-3268.0499999999802</v>
      </c>
      <c r="M53" s="32">
        <v>-148.660000000032</v>
      </c>
      <c r="N53" s="32">
        <v>7135.78999999997</v>
      </c>
      <c r="O53" s="32">
        <v>71412.800000000003</v>
      </c>
      <c r="P53" s="32">
        <v>23046.59</v>
      </c>
      <c r="Q53" s="32">
        <v>5256.5599999999904</v>
      </c>
      <c r="R53" s="32">
        <v>7669.79</v>
      </c>
      <c r="S53" s="32">
        <v>500</v>
      </c>
      <c r="T53" s="32"/>
      <c r="U53" s="32"/>
      <c r="V53" s="32"/>
      <c r="AA53" s="8"/>
    </row>
    <row r="54" spans="1:27" hidden="1" outlineLevel="1" x14ac:dyDescent="0.25">
      <c r="A54" s="9"/>
      <c r="B54" s="30" t="s">
        <v>38</v>
      </c>
      <c r="C54" s="31">
        <f>+SUM(D54:V54)</f>
        <v>533979.70999999973</v>
      </c>
      <c r="D54" s="32">
        <v>51764.24</v>
      </c>
      <c r="E54" s="32">
        <v>2034.42</v>
      </c>
      <c r="F54" s="32">
        <v>0</v>
      </c>
      <c r="G54" s="32">
        <v>30649.61</v>
      </c>
      <c r="H54" s="32">
        <v>29615.7</v>
      </c>
      <c r="I54" s="32">
        <v>29771.789999999899</v>
      </c>
      <c r="J54" s="32">
        <v>69958.679999999993</v>
      </c>
      <c r="K54" s="32">
        <v>12550.59</v>
      </c>
      <c r="L54" s="32">
        <v>32248.98</v>
      </c>
      <c r="M54" s="32">
        <v>37005.359999999899</v>
      </c>
      <c r="N54" s="32">
        <v>13809.21</v>
      </c>
      <c r="O54" s="32">
        <v>82657.490000000005</v>
      </c>
      <c r="P54" s="32">
        <v>70040.039999999994</v>
      </c>
      <c r="Q54" s="32">
        <v>12698.7</v>
      </c>
      <c r="R54" s="32">
        <v>22401.439999999999</v>
      </c>
      <c r="S54" s="32">
        <v>36773.46</v>
      </c>
      <c r="T54" s="32"/>
      <c r="U54" s="32"/>
      <c r="V54" s="32"/>
      <c r="AA54" s="8"/>
    </row>
    <row r="55" spans="1:27" hidden="1" outlineLevel="1" x14ac:dyDescent="0.25">
      <c r="A55" s="9"/>
      <c r="B55" s="16" t="s">
        <v>39</v>
      </c>
      <c r="C55" s="36">
        <f>+SUM(C51:C54)</f>
        <v>1132115.0799999991</v>
      </c>
      <c r="D55" s="37">
        <f>+SUM(D51:D54)</f>
        <v>130405.93000000011</v>
      </c>
      <c r="E55" s="37">
        <f t="shared" ref="E55:S55" si="19">+SUM(E51:E54)</f>
        <v>5177.6499999999905</v>
      </c>
      <c r="F55" s="37">
        <f t="shared" si="19"/>
        <v>0</v>
      </c>
      <c r="G55" s="37">
        <f t="shared" si="19"/>
        <v>66911.319999999891</v>
      </c>
      <c r="H55" s="37">
        <f t="shared" si="19"/>
        <v>109881.5299999998</v>
      </c>
      <c r="I55" s="37">
        <f t="shared" si="19"/>
        <v>51433.539999999935</v>
      </c>
      <c r="J55" s="37">
        <f t="shared" si="19"/>
        <v>50658.380000000303</v>
      </c>
      <c r="K55" s="37">
        <f t="shared" si="19"/>
        <v>12822.340000000011</v>
      </c>
      <c r="L55" s="37">
        <f t="shared" si="19"/>
        <v>61945.609999999913</v>
      </c>
      <c r="M55" s="37">
        <f t="shared" si="19"/>
        <v>87884.10999999987</v>
      </c>
      <c r="N55" s="37">
        <f t="shared" si="19"/>
        <v>45749.409999999989</v>
      </c>
      <c r="O55" s="37">
        <f t="shared" si="19"/>
        <v>204737.11999999959</v>
      </c>
      <c r="P55" s="37">
        <f t="shared" si="19"/>
        <v>160040.42999999991</v>
      </c>
      <c r="Q55" s="37">
        <f t="shared" si="19"/>
        <v>24098.449999999983</v>
      </c>
      <c r="R55" s="37">
        <f t="shared" si="19"/>
        <v>46746.039999999892</v>
      </c>
      <c r="S55" s="37">
        <f t="shared" si="19"/>
        <v>73623.219999999899</v>
      </c>
      <c r="T55" s="36">
        <f>+SUM(T51:T54)</f>
        <v>0</v>
      </c>
      <c r="U55" s="36">
        <f>+SUM(U51:U54)</f>
        <v>0</v>
      </c>
      <c r="V55" s="36">
        <f>+SUM(V51:V54)</f>
        <v>0</v>
      </c>
      <c r="AA55" s="8"/>
    </row>
    <row r="56" spans="1:27" ht="15.75" hidden="1" outlineLevel="1" thickBot="1" x14ac:dyDescent="0.3">
      <c r="A56" s="9"/>
      <c r="B56" s="27" t="s">
        <v>40</v>
      </c>
      <c r="C56" s="28">
        <f>+C55+C50</f>
        <v>3886601.179999995</v>
      </c>
      <c r="D56" s="38">
        <f t="shared" ref="D56:S56" si="20">+D55+D50</f>
        <v>526448.29999999958</v>
      </c>
      <c r="E56" s="38">
        <f t="shared" si="20"/>
        <v>7428.6499999999833</v>
      </c>
      <c r="F56" s="38">
        <f t="shared" si="20"/>
        <v>0</v>
      </c>
      <c r="G56" s="38">
        <f t="shared" si="20"/>
        <v>148156.1199999997</v>
      </c>
      <c r="H56" s="38">
        <f t="shared" si="20"/>
        <v>374533.6399999999</v>
      </c>
      <c r="I56" s="38">
        <f t="shared" si="20"/>
        <v>316159.80999999895</v>
      </c>
      <c r="J56" s="38">
        <f t="shared" si="20"/>
        <v>163923.63000000024</v>
      </c>
      <c r="K56" s="38">
        <f t="shared" si="20"/>
        <v>53421.729999999894</v>
      </c>
      <c r="L56" s="38">
        <f t="shared" si="20"/>
        <v>168529.28999999963</v>
      </c>
      <c r="M56" s="38">
        <f t="shared" si="20"/>
        <v>250513.67999999976</v>
      </c>
      <c r="N56" s="38">
        <f t="shared" si="20"/>
        <v>124680.26999999987</v>
      </c>
      <c r="O56" s="38">
        <f t="shared" si="20"/>
        <v>903269.65999999852</v>
      </c>
      <c r="P56" s="38">
        <f t="shared" si="20"/>
        <v>354402.10999999975</v>
      </c>
      <c r="Q56" s="38">
        <f t="shared" si="20"/>
        <v>205748.45999999985</v>
      </c>
      <c r="R56" s="38">
        <f t="shared" si="20"/>
        <v>79974.859999999724</v>
      </c>
      <c r="S56" s="38">
        <f t="shared" si="20"/>
        <v>209410.96999999991</v>
      </c>
      <c r="T56" s="28">
        <f>+T55+T50</f>
        <v>0</v>
      </c>
      <c r="U56" s="28">
        <f>+U55+U50</f>
        <v>0</v>
      </c>
      <c r="V56" s="28">
        <f>+V55+V50</f>
        <v>0</v>
      </c>
      <c r="AA56" s="8"/>
    </row>
    <row r="57" spans="1:27" hidden="1" outlineLevel="1" collapsed="1" x14ac:dyDescent="0.25">
      <c r="A57" s="9"/>
      <c r="B57" s="39" t="s">
        <v>41</v>
      </c>
      <c r="C57" s="40">
        <f>IFERROR(C46/C38,0)</f>
        <v>2748.4256631892645</v>
      </c>
      <c r="D57" s="41">
        <f t="shared" ref="D57:S57" si="21">IFERROR(D46/D38,0)</f>
        <v>2402.1349999999948</v>
      </c>
      <c r="E57" s="41">
        <f t="shared" si="21"/>
        <v>-2.4253192047278069E-12</v>
      </c>
      <c r="F57" s="41">
        <f t="shared" si="21"/>
        <v>0</v>
      </c>
      <c r="G57" s="41">
        <f t="shared" si="21"/>
        <v>958.763571428565</v>
      </c>
      <c r="H57" s="41">
        <f t="shared" si="21"/>
        <v>2439.3087179487188</v>
      </c>
      <c r="I57" s="41">
        <f t="shared" si="21"/>
        <v>2096.9057471264255</v>
      </c>
      <c r="J57" s="41">
        <f t="shared" si="21"/>
        <v>1105.4253658536572</v>
      </c>
      <c r="K57" s="41">
        <f t="shared" si="21"/>
        <v>2304.9612499999857</v>
      </c>
      <c r="L57" s="41">
        <f t="shared" si="21"/>
        <v>3158.4621739130303</v>
      </c>
      <c r="M57" s="41">
        <f t="shared" si="21"/>
        <v>3353.7128205128179</v>
      </c>
      <c r="N57" s="41">
        <f t="shared" si="21"/>
        <v>2749.7099999999932</v>
      </c>
      <c r="O57" s="41">
        <f t="shared" si="21"/>
        <v>4519.3600819672038</v>
      </c>
      <c r="P57" s="41">
        <f t="shared" si="21"/>
        <v>2795.2114634146324</v>
      </c>
      <c r="Q57" s="41">
        <f t="shared" si="21"/>
        <v>3655.2544736842078</v>
      </c>
      <c r="R57" s="41">
        <f t="shared" si="21"/>
        <v>-658.98846153845921</v>
      </c>
      <c r="S57" s="42">
        <f t="shared" si="21"/>
        <v>2934.3043333333335</v>
      </c>
      <c r="T57" s="29">
        <f>IFERROR(T46/T38,0)</f>
        <v>0</v>
      </c>
      <c r="U57" s="38">
        <f>IFERROR(U46/U38,0)</f>
        <v>0</v>
      </c>
      <c r="V57" s="38">
        <f>IFERROR(V46/V38,0)</f>
        <v>0</v>
      </c>
      <c r="AA57" s="8"/>
    </row>
    <row r="58" spans="1:27" hidden="1" outlineLevel="1" x14ac:dyDescent="0.25">
      <c r="A58" s="9"/>
      <c r="B58" s="43" t="s">
        <v>42</v>
      </c>
      <c r="C58" s="31">
        <f>IFERROR(C48/C39,0)</f>
        <v>1903.1230303030241</v>
      </c>
      <c r="D58" s="44">
        <f t="shared" ref="D58:S58" si="22">IFERROR(D48/D39,0)</f>
        <v>2507.6399999999949</v>
      </c>
      <c r="E58" s="44">
        <f t="shared" si="22"/>
        <v>0</v>
      </c>
      <c r="F58" s="44">
        <f t="shared" si="22"/>
        <v>0</v>
      </c>
      <c r="G58" s="44">
        <f t="shared" si="22"/>
        <v>879.25</v>
      </c>
      <c r="H58" s="44">
        <f t="shared" si="22"/>
        <v>0</v>
      </c>
      <c r="I58" s="44">
        <f t="shared" si="22"/>
        <v>1402.08</v>
      </c>
      <c r="J58" s="44">
        <f t="shared" si="22"/>
        <v>971.14499999999498</v>
      </c>
      <c r="K58" s="44">
        <f t="shared" si="22"/>
        <v>0</v>
      </c>
      <c r="L58" s="44">
        <f t="shared" si="22"/>
        <v>32.183333333336698</v>
      </c>
      <c r="M58" s="44">
        <f t="shared" si="22"/>
        <v>953.400000000001</v>
      </c>
      <c r="N58" s="44">
        <f t="shared" si="22"/>
        <v>12964.17</v>
      </c>
      <c r="O58" s="44">
        <f t="shared" si="22"/>
        <v>0</v>
      </c>
      <c r="P58" s="44">
        <f t="shared" si="22"/>
        <v>1999.3099999999856</v>
      </c>
      <c r="Q58" s="44">
        <f t="shared" si="22"/>
        <v>817.050000000002</v>
      </c>
      <c r="R58" s="44">
        <f t="shared" si="22"/>
        <v>3716.6139999999805</v>
      </c>
      <c r="S58" s="45">
        <f t="shared" si="22"/>
        <v>0</v>
      </c>
      <c r="T58" s="32">
        <f>IFERROR(T48/T39,0)</f>
        <v>0</v>
      </c>
      <c r="U58" s="44">
        <f>IFERROR(U48/U39,0)</f>
        <v>0</v>
      </c>
      <c r="V58" s="44">
        <f>IFERROR(V48/V39,0)</f>
        <v>0</v>
      </c>
      <c r="AA58" s="8"/>
    </row>
    <row r="59" spans="1:27" hidden="1" outlineLevel="1" x14ac:dyDescent="0.25">
      <c r="A59" s="9"/>
      <c r="B59" s="43" t="s">
        <v>43</v>
      </c>
      <c r="C59" s="31">
        <f>IFERROR(C49/C38,0)</f>
        <v>1147.6991058122203</v>
      </c>
      <c r="D59" s="44">
        <f t="shared" ref="D59:S59" si="23">IFERROR(D49/D38,0)</f>
        <v>1115.7501886792454</v>
      </c>
      <c r="E59" s="44">
        <f t="shared" si="23"/>
        <v>750.33333333333337</v>
      </c>
      <c r="F59" s="44">
        <f t="shared" si="23"/>
        <v>0</v>
      </c>
      <c r="G59" s="44">
        <f t="shared" si="23"/>
        <v>1367.0239285714285</v>
      </c>
      <c r="H59" s="44">
        <f t="shared" si="23"/>
        <v>886.92294871794877</v>
      </c>
      <c r="I59" s="44">
        <f t="shared" si="23"/>
        <v>880.2113793103448</v>
      </c>
      <c r="J59" s="44">
        <f t="shared" si="23"/>
        <v>1271.6953658536586</v>
      </c>
      <c r="K59" s="44">
        <f t="shared" si="23"/>
        <v>1895.7125000000001</v>
      </c>
      <c r="L59" s="44">
        <f t="shared" si="23"/>
        <v>1189.108695652174</v>
      </c>
      <c r="M59" s="44">
        <f t="shared" si="23"/>
        <v>716.25307692307695</v>
      </c>
      <c r="N59" s="44">
        <f t="shared" si="23"/>
        <v>1560.7</v>
      </c>
      <c r="O59" s="44">
        <f t="shared" si="23"/>
        <v>1209.8570491803277</v>
      </c>
      <c r="P59" s="44">
        <f t="shared" si="23"/>
        <v>1598.2490243902439</v>
      </c>
      <c r="Q59" s="44">
        <f t="shared" si="23"/>
        <v>1023.8060526315788</v>
      </c>
      <c r="R59" s="44">
        <f t="shared" si="23"/>
        <v>1639.8561538461461</v>
      </c>
      <c r="S59" s="45">
        <f t="shared" si="23"/>
        <v>1591.9540000000002</v>
      </c>
      <c r="T59" s="35">
        <f>IFERROR(T49/T38,0)</f>
        <v>0</v>
      </c>
      <c r="U59" s="46">
        <f>IFERROR(U49/U38,0)</f>
        <v>0</v>
      </c>
      <c r="V59" s="46">
        <f>IFERROR(V49/V38,0)</f>
        <v>0</v>
      </c>
      <c r="AA59" s="8"/>
    </row>
    <row r="60" spans="1:27" ht="15.75" hidden="1" outlineLevel="1" thickBot="1" x14ac:dyDescent="0.3">
      <c r="A60" s="9"/>
      <c r="B60" s="47" t="s">
        <v>44</v>
      </c>
      <c r="C60" s="48">
        <f>SUM(C57,C59)</f>
        <v>3896.1247690014848</v>
      </c>
      <c r="D60" s="49">
        <f t="shared" ref="D60:S60" si="24">SUM(D57,D59)</f>
        <v>3517.8851886792399</v>
      </c>
      <c r="E60" s="49">
        <f t="shared" si="24"/>
        <v>750.33333333333098</v>
      </c>
      <c r="F60" s="49">
        <f t="shared" si="24"/>
        <v>0</v>
      </c>
      <c r="G60" s="49">
        <f t="shared" si="24"/>
        <v>2325.7874999999935</v>
      </c>
      <c r="H60" s="49">
        <f t="shared" si="24"/>
        <v>3326.2316666666675</v>
      </c>
      <c r="I60" s="49">
        <f t="shared" si="24"/>
        <v>2977.1171264367704</v>
      </c>
      <c r="J60" s="49">
        <f t="shared" si="24"/>
        <v>2377.1207317073158</v>
      </c>
      <c r="K60" s="49">
        <f t="shared" si="24"/>
        <v>4200.6737499999854</v>
      </c>
      <c r="L60" s="49">
        <f t="shared" si="24"/>
        <v>4347.5708695652047</v>
      </c>
      <c r="M60" s="49">
        <f t="shared" si="24"/>
        <v>4069.9658974358949</v>
      </c>
      <c r="N60" s="49">
        <f t="shared" si="24"/>
        <v>4310.4099999999935</v>
      </c>
      <c r="O60" s="49">
        <f t="shared" si="24"/>
        <v>5729.2171311475313</v>
      </c>
      <c r="P60" s="49">
        <f t="shared" si="24"/>
        <v>4393.4604878048758</v>
      </c>
      <c r="Q60" s="49">
        <f t="shared" si="24"/>
        <v>4679.0605263157868</v>
      </c>
      <c r="R60" s="49">
        <f t="shared" si="24"/>
        <v>980.86769230768687</v>
      </c>
      <c r="S60" s="50">
        <f t="shared" si="24"/>
        <v>4526.2583333333332</v>
      </c>
      <c r="T60" s="51">
        <f>SUM(T57,T59)</f>
        <v>0</v>
      </c>
      <c r="U60" s="37">
        <f>SUM(U57,U59)</f>
        <v>0</v>
      </c>
      <c r="V60" s="37">
        <f>SUM(V57,V59)</f>
        <v>0</v>
      </c>
      <c r="AA60" s="8"/>
    </row>
    <row r="61" spans="1:27" collapsed="1" x14ac:dyDescent="0.25">
      <c r="A61" s="9"/>
      <c r="B61" s="52" t="s">
        <v>45</v>
      </c>
      <c r="C61" s="53">
        <f>IFERROR(C50/C40,0)</f>
        <v>3912.6223011363577</v>
      </c>
      <c r="D61" s="54">
        <f t="shared" ref="D61:S61" si="25">IFERROR(D50/D40,0)</f>
        <v>3667.0589814814762</v>
      </c>
      <c r="E61" s="54">
        <f t="shared" si="25"/>
        <v>750.33333333333087</v>
      </c>
      <c r="F61" s="54">
        <f t="shared" si="25"/>
        <v>0</v>
      </c>
      <c r="G61" s="54">
        <f t="shared" si="25"/>
        <v>2256.7999999999947</v>
      </c>
      <c r="H61" s="54">
        <f t="shared" si="25"/>
        <v>3392.9757692307708</v>
      </c>
      <c r="I61" s="54">
        <f t="shared" si="25"/>
        <v>3008.2530681818071</v>
      </c>
      <c r="J61" s="54">
        <f t="shared" si="25"/>
        <v>2634.0755813953474</v>
      </c>
      <c r="K61" s="54">
        <f t="shared" si="25"/>
        <v>4059.9389999999885</v>
      </c>
      <c r="L61" s="54">
        <f t="shared" si="25"/>
        <v>4099.3723076922961</v>
      </c>
      <c r="M61" s="54">
        <f t="shared" si="25"/>
        <v>4065.7392499999974</v>
      </c>
      <c r="N61" s="54">
        <f t="shared" si="25"/>
        <v>5262.0573333333259</v>
      </c>
      <c r="O61" s="54">
        <f t="shared" si="25"/>
        <v>5725.6765573770399</v>
      </c>
      <c r="P61" s="54">
        <f t="shared" si="25"/>
        <v>4049.2016666666627</v>
      </c>
      <c r="Q61" s="54">
        <f t="shared" si="25"/>
        <v>4657.6925641025609</v>
      </c>
      <c r="R61" s="54">
        <f t="shared" si="25"/>
        <v>1846.0455555555463</v>
      </c>
      <c r="S61" s="55">
        <f t="shared" si="25"/>
        <v>4526.2583333333332</v>
      </c>
      <c r="T61" s="56">
        <f>IFERROR(T50/T40,0)</f>
        <v>0</v>
      </c>
      <c r="U61" s="36">
        <f>IFERROR(U50/U40,0)</f>
        <v>0</v>
      </c>
      <c r="V61" s="36">
        <f>IFERROR(V50/V40,0)</f>
        <v>0</v>
      </c>
      <c r="AA61" s="8"/>
    </row>
    <row r="62" spans="1:27" hidden="1" outlineLevel="1" x14ac:dyDescent="0.25">
      <c r="A62" s="9"/>
      <c r="B62" s="43" t="s">
        <v>46</v>
      </c>
      <c r="C62" s="31">
        <f t="shared" ref="C62:S64" si="26">IFERROR(C51/C41,0)</f>
        <v>1167.8246891191689</v>
      </c>
      <c r="D62" s="44">
        <f t="shared" si="26"/>
        <v>1481.0648780487832</v>
      </c>
      <c r="E62" s="44">
        <f t="shared" si="26"/>
        <v>623.0766666666633</v>
      </c>
      <c r="F62" s="44">
        <f t="shared" si="26"/>
        <v>0</v>
      </c>
      <c r="G62" s="44">
        <f t="shared" si="26"/>
        <v>1182.3370588235289</v>
      </c>
      <c r="H62" s="44">
        <f t="shared" si="26"/>
        <v>2296.6531249999939</v>
      </c>
      <c r="I62" s="44">
        <f t="shared" si="26"/>
        <v>848.49360000000001</v>
      </c>
      <c r="J62" s="44">
        <f t="shared" si="26"/>
        <v>-457.73393939393856</v>
      </c>
      <c r="K62" s="44">
        <f t="shared" si="26"/>
        <v>414.68571428571289</v>
      </c>
      <c r="L62" s="44">
        <f t="shared" si="26"/>
        <v>1318.5871999999958</v>
      </c>
      <c r="M62" s="44">
        <f t="shared" si="26"/>
        <v>1546.2851515151517</v>
      </c>
      <c r="N62" s="44">
        <f t="shared" si="26"/>
        <v>1305.4952631578956</v>
      </c>
      <c r="O62" s="44">
        <f t="shared" si="26"/>
        <v>993.46725490195251</v>
      </c>
      <c r="P62" s="44">
        <f t="shared" si="26"/>
        <v>1557.0651162790678</v>
      </c>
      <c r="Q62" s="44">
        <f t="shared" si="26"/>
        <v>341.28833333333279</v>
      </c>
      <c r="R62" s="44">
        <f t="shared" si="26"/>
        <v>1282.6776923076836</v>
      </c>
      <c r="S62" s="45">
        <f t="shared" si="26"/>
        <v>1398.0676923076885</v>
      </c>
      <c r="T62" s="32">
        <f>IFERROR(T51/T38,0)</f>
        <v>0</v>
      </c>
      <c r="U62" s="44">
        <f>IFERROR(U51/U38,0)</f>
        <v>0</v>
      </c>
      <c r="V62" s="44">
        <f>IFERROR(V51/V38,0)</f>
        <v>0</v>
      </c>
      <c r="AA62" s="8"/>
    </row>
    <row r="63" spans="1:27" hidden="1" outlineLevel="1" x14ac:dyDescent="0.25">
      <c r="A63" s="9"/>
      <c r="B63" s="43" t="s">
        <v>47</v>
      </c>
      <c r="C63" s="31">
        <f>IFERROR(C52/C42,0)</f>
        <v>0</v>
      </c>
      <c r="D63" s="44">
        <f t="shared" si="26"/>
        <v>0</v>
      </c>
      <c r="E63" s="44">
        <f t="shared" si="26"/>
        <v>0</v>
      </c>
      <c r="F63" s="44">
        <f t="shared" si="26"/>
        <v>0</v>
      </c>
      <c r="G63" s="44">
        <f t="shared" si="26"/>
        <v>0</v>
      </c>
      <c r="H63" s="44">
        <f t="shared" si="26"/>
        <v>0</v>
      </c>
      <c r="I63" s="44">
        <f t="shared" si="26"/>
        <v>0</v>
      </c>
      <c r="J63" s="44">
        <f t="shared" si="26"/>
        <v>0</v>
      </c>
      <c r="K63" s="44">
        <f t="shared" si="26"/>
        <v>0</v>
      </c>
      <c r="L63" s="44">
        <f t="shared" si="26"/>
        <v>0</v>
      </c>
      <c r="M63" s="44">
        <f t="shared" si="26"/>
        <v>0</v>
      </c>
      <c r="N63" s="44">
        <f t="shared" si="26"/>
        <v>0</v>
      </c>
      <c r="O63" s="44">
        <f t="shared" si="26"/>
        <v>0</v>
      </c>
      <c r="P63" s="44">
        <f t="shared" si="26"/>
        <v>0</v>
      </c>
      <c r="Q63" s="44">
        <f t="shared" si="26"/>
        <v>0</v>
      </c>
      <c r="R63" s="44">
        <f t="shared" si="26"/>
        <v>0</v>
      </c>
      <c r="S63" s="45">
        <f t="shared" si="26"/>
        <v>0</v>
      </c>
      <c r="T63" s="32">
        <f t="shared" ref="T63:V64" si="27">IFERROR(T52/T42,0)</f>
        <v>0</v>
      </c>
      <c r="U63" s="44">
        <f t="shared" si="27"/>
        <v>0</v>
      </c>
      <c r="V63" s="44">
        <f t="shared" si="27"/>
        <v>0</v>
      </c>
      <c r="AA63" s="8"/>
    </row>
    <row r="64" spans="1:27" hidden="1" outlineLevel="1" x14ac:dyDescent="0.25">
      <c r="A64" s="9"/>
      <c r="B64" s="43" t="s">
        <v>48</v>
      </c>
      <c r="C64" s="31">
        <f>IFERROR(C53/C43,0)</f>
        <v>364.74019801980245</v>
      </c>
      <c r="D64" s="44">
        <f t="shared" si="26"/>
        <v>407.22795454545451</v>
      </c>
      <c r="E64" s="44">
        <f t="shared" si="26"/>
        <v>182</v>
      </c>
      <c r="F64" s="44">
        <f t="shared" si="26"/>
        <v>0</v>
      </c>
      <c r="G64" s="44">
        <f t="shared" si="26"/>
        <v>1154.4271428571358</v>
      </c>
      <c r="H64" s="44">
        <f t="shared" si="26"/>
        <v>520.99461538461469</v>
      </c>
      <c r="I64" s="44">
        <f t="shared" si="26"/>
        <v>10.700238095238857</v>
      </c>
      <c r="J64" s="44">
        <f t="shared" si="26"/>
        <v>-87.397499999994167</v>
      </c>
      <c r="K64" s="44">
        <f t="shared" si="26"/>
        <v>-138.47631578947264</v>
      </c>
      <c r="L64" s="44">
        <f t="shared" si="26"/>
        <v>-136.16874999999916</v>
      </c>
      <c r="M64" s="44">
        <f t="shared" si="26"/>
        <v>-3.7165000000008002</v>
      </c>
      <c r="N64" s="44">
        <f t="shared" si="26"/>
        <v>419.75235294117471</v>
      </c>
      <c r="O64" s="44">
        <f t="shared" si="26"/>
        <v>1210.3864406779662</v>
      </c>
      <c r="P64" s="44">
        <f t="shared" si="26"/>
        <v>794.71</v>
      </c>
      <c r="Q64" s="44">
        <f t="shared" si="26"/>
        <v>164.2674999999997</v>
      </c>
      <c r="R64" s="44">
        <f t="shared" si="26"/>
        <v>511.3193333333333</v>
      </c>
      <c r="S64" s="45">
        <f t="shared" si="26"/>
        <v>500</v>
      </c>
      <c r="T64" s="32">
        <f t="shared" si="27"/>
        <v>0</v>
      </c>
      <c r="U64" s="44">
        <f t="shared" si="27"/>
        <v>0</v>
      </c>
      <c r="V64" s="44">
        <f t="shared" si="27"/>
        <v>0</v>
      </c>
      <c r="AA64" s="8"/>
    </row>
    <row r="65" spans="1:27" hidden="1" outlineLevel="1" x14ac:dyDescent="0.25">
      <c r="A65" s="9"/>
      <c r="B65" s="43" t="s">
        <v>49</v>
      </c>
      <c r="C65" s="31">
        <f t="shared" ref="C65:S65" si="28">IFERROR(C54/C41,0)</f>
        <v>1383.3671243523308</v>
      </c>
      <c r="D65" s="44">
        <f t="shared" si="28"/>
        <v>1262.5424390243902</v>
      </c>
      <c r="E65" s="44">
        <f t="shared" si="28"/>
        <v>678.14</v>
      </c>
      <c r="F65" s="44">
        <f t="shared" si="28"/>
        <v>0</v>
      </c>
      <c r="G65" s="44">
        <f t="shared" si="28"/>
        <v>1802.9182352941177</v>
      </c>
      <c r="H65" s="44">
        <f t="shared" si="28"/>
        <v>925.49062500000002</v>
      </c>
      <c r="I65" s="44">
        <f t="shared" si="28"/>
        <v>1190.8715999999959</v>
      </c>
      <c r="J65" s="44">
        <f t="shared" si="28"/>
        <v>2119.9599999999996</v>
      </c>
      <c r="K65" s="44">
        <f t="shared" si="28"/>
        <v>1792.9414285714286</v>
      </c>
      <c r="L65" s="44">
        <f t="shared" si="28"/>
        <v>1289.9592</v>
      </c>
      <c r="M65" s="44">
        <f t="shared" si="28"/>
        <v>1121.3745454545424</v>
      </c>
      <c r="N65" s="44">
        <f t="shared" si="28"/>
        <v>726.8005263157894</v>
      </c>
      <c r="O65" s="44">
        <f t="shared" si="28"/>
        <v>1620.7350980392157</v>
      </c>
      <c r="P65" s="44">
        <f t="shared" si="28"/>
        <v>1628.8381395348836</v>
      </c>
      <c r="Q65" s="44">
        <f t="shared" si="28"/>
        <v>705.48333333333335</v>
      </c>
      <c r="R65" s="44">
        <f t="shared" si="28"/>
        <v>1723.1876923076923</v>
      </c>
      <c r="S65" s="45">
        <f t="shared" si="28"/>
        <v>1414.3638461538462</v>
      </c>
      <c r="T65" s="32">
        <f>IFERROR(T54/T41,0)</f>
        <v>0</v>
      </c>
      <c r="U65" s="44">
        <f>IFERROR(U54/U41,0)</f>
        <v>0</v>
      </c>
      <c r="V65" s="44">
        <f>IFERROR(V54/V41,0)</f>
        <v>0</v>
      </c>
      <c r="AA65" s="8"/>
    </row>
    <row r="66" spans="1:27" hidden="1" outlineLevel="1" x14ac:dyDescent="0.25">
      <c r="A66" s="9"/>
      <c r="B66" s="57" t="s">
        <v>50</v>
      </c>
      <c r="C66" s="34">
        <f>SUM(C62,C65)</f>
        <v>2551.1918134714997</v>
      </c>
      <c r="D66" s="46">
        <f t="shared" ref="D66:S66" si="29">SUM(D62,D65)</f>
        <v>2743.6073170731734</v>
      </c>
      <c r="E66" s="46">
        <f t="shared" si="29"/>
        <v>1301.2166666666633</v>
      </c>
      <c r="F66" s="46">
        <f t="shared" si="29"/>
        <v>0</v>
      </c>
      <c r="G66" s="46">
        <f t="shared" si="29"/>
        <v>2985.2552941176464</v>
      </c>
      <c r="H66" s="46">
        <f t="shared" si="29"/>
        <v>3222.1437499999938</v>
      </c>
      <c r="I66" s="46">
        <f t="shared" si="29"/>
        <v>2039.3651999999959</v>
      </c>
      <c r="J66" s="46">
        <f t="shared" si="29"/>
        <v>1662.2260606060611</v>
      </c>
      <c r="K66" s="46">
        <f t="shared" si="29"/>
        <v>2207.6271428571413</v>
      </c>
      <c r="L66" s="46">
        <f t="shared" si="29"/>
        <v>2608.5463999999956</v>
      </c>
      <c r="M66" s="46">
        <f t="shared" si="29"/>
        <v>2667.6596969696939</v>
      </c>
      <c r="N66" s="46">
        <f t="shared" si="29"/>
        <v>2032.2957894736851</v>
      </c>
      <c r="O66" s="46">
        <f t="shared" si="29"/>
        <v>2614.2023529411681</v>
      </c>
      <c r="P66" s="46">
        <f t="shared" si="29"/>
        <v>3185.9032558139515</v>
      </c>
      <c r="Q66" s="46">
        <f t="shared" si="29"/>
        <v>1046.7716666666661</v>
      </c>
      <c r="R66" s="46">
        <f t="shared" si="29"/>
        <v>3005.8653846153757</v>
      </c>
      <c r="S66" s="58">
        <f t="shared" si="29"/>
        <v>2812.4315384615347</v>
      </c>
      <c r="T66" s="51">
        <f>SUM(T62,T65)</f>
        <v>0</v>
      </c>
      <c r="U66" s="37">
        <f>SUM(U62,U65)</f>
        <v>0</v>
      </c>
      <c r="V66" s="36">
        <f>SUM(V62,V65)</f>
        <v>0</v>
      </c>
      <c r="AA66" s="8"/>
    </row>
    <row r="67" spans="1:27" collapsed="1" x14ac:dyDescent="0.25">
      <c r="A67" s="9"/>
      <c r="B67" s="59" t="s">
        <v>51</v>
      </c>
      <c r="C67" s="36">
        <f>IFERROR(C55/C44,0)</f>
        <v>1433.0570632911381</v>
      </c>
      <c r="D67" s="37">
        <f t="shared" ref="D67:S68" si="30">IFERROR(D55/D44,0)</f>
        <v>1534.1874117647071</v>
      </c>
      <c r="E67" s="37">
        <f t="shared" si="30"/>
        <v>517.76499999999908</v>
      </c>
      <c r="F67" s="37">
        <f t="shared" si="30"/>
        <v>0</v>
      </c>
      <c r="G67" s="37">
        <f t="shared" si="30"/>
        <v>2158.4296774193513</v>
      </c>
      <c r="H67" s="37">
        <f t="shared" si="30"/>
        <v>2441.8117777777734</v>
      </c>
      <c r="I67" s="37">
        <f t="shared" si="30"/>
        <v>767.66477611940206</v>
      </c>
      <c r="J67" s="37">
        <f t="shared" si="30"/>
        <v>625.41209876543587</v>
      </c>
      <c r="K67" s="37">
        <f t="shared" si="30"/>
        <v>493.16692307692352</v>
      </c>
      <c r="L67" s="37">
        <f t="shared" si="30"/>
        <v>1264.1961224489778</v>
      </c>
      <c r="M67" s="37">
        <f t="shared" si="30"/>
        <v>1203.8919178082174</v>
      </c>
      <c r="N67" s="37">
        <f t="shared" si="30"/>
        <v>1270.8169444444441</v>
      </c>
      <c r="O67" s="37">
        <f t="shared" si="30"/>
        <v>1861.2465454545418</v>
      </c>
      <c r="P67" s="37">
        <f t="shared" si="30"/>
        <v>2222.7837499999987</v>
      </c>
      <c r="Q67" s="37">
        <f t="shared" si="30"/>
        <v>481.96899999999965</v>
      </c>
      <c r="R67" s="37">
        <f t="shared" si="30"/>
        <v>1669.5014285714246</v>
      </c>
      <c r="S67" s="60">
        <f t="shared" si="30"/>
        <v>2726.7859259259221</v>
      </c>
      <c r="T67" s="56">
        <f>IFERROR(T55/T44,0)</f>
        <v>0</v>
      </c>
      <c r="U67" s="36">
        <f>IFERROR(U55/U44,0)</f>
        <v>0</v>
      </c>
      <c r="V67" s="36">
        <f>IFERROR(V55/V44,0)</f>
        <v>0</v>
      </c>
      <c r="AA67" s="8"/>
    </row>
    <row r="68" spans="1:27" ht="15.75" thickBot="1" x14ac:dyDescent="0.3">
      <c r="A68" s="9"/>
      <c r="B68" s="61" t="s">
        <v>52</v>
      </c>
      <c r="C68" s="62">
        <f>IFERROR(C56/C45,0)</f>
        <v>2601.4733467202109</v>
      </c>
      <c r="D68" s="62">
        <f t="shared" si="30"/>
        <v>2727.7113989637282</v>
      </c>
      <c r="E68" s="62">
        <f t="shared" si="30"/>
        <v>571.43461538461406</v>
      </c>
      <c r="F68" s="62">
        <f t="shared" si="30"/>
        <v>0</v>
      </c>
      <c r="G68" s="62">
        <f t="shared" si="30"/>
        <v>2211.2853731343239</v>
      </c>
      <c r="H68" s="62">
        <f t="shared" si="30"/>
        <v>3044.98894308943</v>
      </c>
      <c r="I68" s="62">
        <f t="shared" si="30"/>
        <v>2039.7407096774125</v>
      </c>
      <c r="J68" s="62">
        <f t="shared" si="30"/>
        <v>1321.964758064518</v>
      </c>
      <c r="K68" s="62">
        <f t="shared" si="30"/>
        <v>1483.9369444444415</v>
      </c>
      <c r="L68" s="62">
        <f t="shared" si="30"/>
        <v>2247.0571999999952</v>
      </c>
      <c r="M68" s="62">
        <f t="shared" si="30"/>
        <v>2216.9352212389358</v>
      </c>
      <c r="N68" s="62">
        <f t="shared" si="30"/>
        <v>2444.7111764705855</v>
      </c>
      <c r="O68" s="62">
        <f t="shared" si="30"/>
        <v>3893.4037068965454</v>
      </c>
      <c r="P68" s="62">
        <f t="shared" si="30"/>
        <v>2953.3509166666645</v>
      </c>
      <c r="Q68" s="62">
        <f t="shared" si="30"/>
        <v>2311.7804494382003</v>
      </c>
      <c r="R68" s="62">
        <f t="shared" si="30"/>
        <v>1738.5839130434722</v>
      </c>
      <c r="S68" s="63">
        <f t="shared" si="30"/>
        <v>3673.8766666666652</v>
      </c>
      <c r="T68" s="7"/>
      <c r="U68" s="7"/>
      <c r="V68" s="7"/>
      <c r="AA68" s="8"/>
    </row>
    <row r="69" spans="1:27" ht="5.25" customHeight="1" x14ac:dyDescent="0.25"/>
    <row r="70" spans="1:27" x14ac:dyDescent="0.25">
      <c r="B70" s="68" t="s">
        <v>63</v>
      </c>
      <c r="C70" s="65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7" t="s">
        <v>18</v>
      </c>
      <c r="U70" s="5" t="s">
        <v>19</v>
      </c>
      <c r="V70" s="5" t="s">
        <v>20</v>
      </c>
    </row>
    <row r="71" spans="1:27" hidden="1" outlineLevel="1" x14ac:dyDescent="0.25">
      <c r="A71" s="9"/>
      <c r="B71" s="13" t="s">
        <v>21</v>
      </c>
      <c r="C71" s="12">
        <f t="shared" ref="C71:V83" si="31">+C5-C38</f>
        <v>37</v>
      </c>
      <c r="D71" s="12">
        <f t="shared" si="31"/>
        <v>-22</v>
      </c>
      <c r="E71" s="12">
        <f t="shared" si="31"/>
        <v>-3</v>
      </c>
      <c r="F71" s="12">
        <f t="shared" si="31"/>
        <v>0</v>
      </c>
      <c r="G71" s="12">
        <f t="shared" si="31"/>
        <v>1</v>
      </c>
      <c r="H71" s="12">
        <f t="shared" si="31"/>
        <v>-22</v>
      </c>
      <c r="I71" s="12">
        <f t="shared" si="31"/>
        <v>-20</v>
      </c>
      <c r="J71" s="12">
        <f t="shared" si="31"/>
        <v>7</v>
      </c>
      <c r="K71" s="12">
        <f t="shared" si="31"/>
        <v>19</v>
      </c>
      <c r="L71" s="12">
        <f t="shared" si="31"/>
        <v>8</v>
      </c>
      <c r="M71" s="12">
        <f t="shared" si="31"/>
        <v>8</v>
      </c>
      <c r="N71" s="12">
        <f t="shared" si="31"/>
        <v>7</v>
      </c>
      <c r="O71" s="12">
        <f t="shared" si="31"/>
        <v>10</v>
      </c>
      <c r="P71" s="12">
        <f t="shared" si="31"/>
        <v>12</v>
      </c>
      <c r="Q71" s="12">
        <f t="shared" si="31"/>
        <v>17</v>
      </c>
      <c r="R71" s="12">
        <f t="shared" si="31"/>
        <v>20</v>
      </c>
      <c r="S71" s="12">
        <f t="shared" si="31"/>
        <v>-5</v>
      </c>
      <c r="T71" s="12">
        <f t="shared" si="31"/>
        <v>0</v>
      </c>
      <c r="U71" s="12">
        <f t="shared" si="31"/>
        <v>0</v>
      </c>
      <c r="V71" s="12">
        <f t="shared" si="31"/>
        <v>0</v>
      </c>
      <c r="AA71" s="8"/>
    </row>
    <row r="72" spans="1:27" hidden="1" outlineLevel="1" x14ac:dyDescent="0.25">
      <c r="A72" s="9"/>
      <c r="B72" s="13" t="s">
        <v>22</v>
      </c>
      <c r="C72" s="15">
        <f t="shared" si="31"/>
        <v>0</v>
      </c>
      <c r="D72" s="15">
        <f t="shared" si="31"/>
        <v>3</v>
      </c>
      <c r="E72" s="15">
        <f t="shared" si="31"/>
        <v>0</v>
      </c>
      <c r="F72" s="15">
        <f t="shared" si="31"/>
        <v>0</v>
      </c>
      <c r="G72" s="15">
        <f t="shared" si="31"/>
        <v>-8</v>
      </c>
      <c r="H72" s="15">
        <f t="shared" si="31"/>
        <v>0</v>
      </c>
      <c r="I72" s="15">
        <f t="shared" si="31"/>
        <v>1</v>
      </c>
      <c r="J72" s="15">
        <f t="shared" si="31"/>
        <v>2</v>
      </c>
      <c r="K72" s="15">
        <f t="shared" si="31"/>
        <v>-1</v>
      </c>
      <c r="L72" s="15">
        <f t="shared" si="31"/>
        <v>-1</v>
      </c>
      <c r="M72" s="15">
        <f t="shared" si="31"/>
        <v>6</v>
      </c>
      <c r="N72" s="15">
        <f t="shared" si="31"/>
        <v>-1</v>
      </c>
      <c r="O72" s="15">
        <f t="shared" si="31"/>
        <v>0</v>
      </c>
      <c r="P72" s="15">
        <f t="shared" si="31"/>
        <v>-1</v>
      </c>
      <c r="Q72" s="15">
        <f t="shared" si="31"/>
        <v>0</v>
      </c>
      <c r="R72" s="15">
        <f t="shared" si="31"/>
        <v>0</v>
      </c>
      <c r="S72" s="15">
        <f t="shared" si="31"/>
        <v>0</v>
      </c>
      <c r="T72" s="15">
        <f t="shared" si="31"/>
        <v>0</v>
      </c>
      <c r="U72" s="15">
        <f t="shared" si="31"/>
        <v>0</v>
      </c>
      <c r="V72" s="15">
        <f t="shared" si="31"/>
        <v>0</v>
      </c>
      <c r="AA72" s="8"/>
    </row>
    <row r="73" spans="1:27" collapsed="1" x14ac:dyDescent="0.25">
      <c r="A73" s="9"/>
      <c r="B73" s="16" t="s">
        <v>23</v>
      </c>
      <c r="C73" s="17">
        <f t="shared" si="31"/>
        <v>37</v>
      </c>
      <c r="D73" s="18">
        <f t="shared" si="31"/>
        <v>-19</v>
      </c>
      <c r="E73" s="18">
        <f t="shared" si="31"/>
        <v>-3</v>
      </c>
      <c r="F73" s="18">
        <f t="shared" si="31"/>
        <v>0</v>
      </c>
      <c r="G73" s="18">
        <f t="shared" si="31"/>
        <v>-7</v>
      </c>
      <c r="H73" s="18">
        <f t="shared" si="31"/>
        <v>-22</v>
      </c>
      <c r="I73" s="18">
        <f t="shared" si="31"/>
        <v>-19</v>
      </c>
      <c r="J73" s="18">
        <f t="shared" si="31"/>
        <v>9</v>
      </c>
      <c r="K73" s="18">
        <f t="shared" si="31"/>
        <v>18</v>
      </c>
      <c r="L73" s="18">
        <f t="shared" si="31"/>
        <v>7</v>
      </c>
      <c r="M73" s="18">
        <f t="shared" si="31"/>
        <v>14</v>
      </c>
      <c r="N73" s="18">
        <f t="shared" si="31"/>
        <v>6</v>
      </c>
      <c r="O73" s="18">
        <f t="shared" si="31"/>
        <v>10</v>
      </c>
      <c r="P73" s="18">
        <f t="shared" si="31"/>
        <v>11</v>
      </c>
      <c r="Q73" s="18">
        <f t="shared" si="31"/>
        <v>17</v>
      </c>
      <c r="R73" s="18">
        <f t="shared" si="31"/>
        <v>20</v>
      </c>
      <c r="S73" s="18">
        <f t="shared" si="31"/>
        <v>-5</v>
      </c>
      <c r="T73" s="19">
        <f t="shared" si="31"/>
        <v>0</v>
      </c>
      <c r="U73" s="19">
        <f t="shared" si="31"/>
        <v>0</v>
      </c>
      <c r="V73" s="19">
        <f t="shared" si="31"/>
        <v>0</v>
      </c>
      <c r="AA73" s="8"/>
    </row>
    <row r="74" spans="1:27" ht="14.25" hidden="1" customHeight="1" outlineLevel="1" x14ac:dyDescent="0.25">
      <c r="A74" s="9"/>
      <c r="B74" s="10" t="s">
        <v>24</v>
      </c>
      <c r="C74" s="11">
        <f t="shared" si="31"/>
        <v>-24</v>
      </c>
      <c r="D74" s="12">
        <f t="shared" si="31"/>
        <v>-7</v>
      </c>
      <c r="E74" s="12">
        <f t="shared" si="31"/>
        <v>-3</v>
      </c>
      <c r="F74" s="12">
        <f t="shared" si="31"/>
        <v>0</v>
      </c>
      <c r="G74" s="12">
        <f t="shared" si="31"/>
        <v>6</v>
      </c>
      <c r="H74" s="12">
        <f t="shared" si="31"/>
        <v>-9</v>
      </c>
      <c r="I74" s="12">
        <f t="shared" si="31"/>
        <v>2</v>
      </c>
      <c r="J74" s="12">
        <f t="shared" si="31"/>
        <v>-9</v>
      </c>
      <c r="K74" s="12">
        <f t="shared" si="31"/>
        <v>5</v>
      </c>
      <c r="L74" s="12">
        <f t="shared" si="31"/>
        <v>-1</v>
      </c>
      <c r="M74" s="12">
        <f t="shared" si="31"/>
        <v>-1</v>
      </c>
      <c r="N74" s="12">
        <f t="shared" si="31"/>
        <v>0</v>
      </c>
      <c r="O74" s="12">
        <f t="shared" si="31"/>
        <v>3</v>
      </c>
      <c r="P74" s="12">
        <f t="shared" si="31"/>
        <v>-16</v>
      </c>
      <c r="Q74" s="12">
        <f t="shared" si="31"/>
        <v>17</v>
      </c>
      <c r="R74" s="12">
        <f t="shared" si="31"/>
        <v>-7</v>
      </c>
      <c r="S74" s="12">
        <f t="shared" si="31"/>
        <v>-4</v>
      </c>
      <c r="T74" s="20">
        <f t="shared" si="31"/>
        <v>0</v>
      </c>
      <c r="U74" s="20">
        <f t="shared" si="31"/>
        <v>0</v>
      </c>
      <c r="V74" s="20">
        <f t="shared" si="31"/>
        <v>0</v>
      </c>
      <c r="AA74" s="8"/>
    </row>
    <row r="75" spans="1:27" hidden="1" outlineLevel="1" x14ac:dyDescent="0.25">
      <c r="A75" s="9"/>
      <c r="B75" s="13" t="s">
        <v>25</v>
      </c>
      <c r="C75" s="14">
        <f t="shared" si="31"/>
        <v>0</v>
      </c>
      <c r="D75" s="15">
        <f t="shared" si="31"/>
        <v>0</v>
      </c>
      <c r="E75" s="15">
        <f t="shared" si="31"/>
        <v>0</v>
      </c>
      <c r="F75" s="15">
        <f t="shared" si="31"/>
        <v>0</v>
      </c>
      <c r="G75" s="15">
        <f t="shared" si="31"/>
        <v>0</v>
      </c>
      <c r="H75" s="15">
        <f t="shared" si="31"/>
        <v>0</v>
      </c>
      <c r="I75" s="15">
        <f t="shared" si="31"/>
        <v>0</v>
      </c>
      <c r="J75" s="15">
        <f t="shared" si="31"/>
        <v>0</v>
      </c>
      <c r="K75" s="15">
        <f t="shared" si="31"/>
        <v>0</v>
      </c>
      <c r="L75" s="15">
        <f t="shared" si="31"/>
        <v>0</v>
      </c>
      <c r="M75" s="15">
        <f t="shared" si="31"/>
        <v>0</v>
      </c>
      <c r="N75" s="15">
        <f t="shared" si="31"/>
        <v>0</v>
      </c>
      <c r="O75" s="15">
        <f t="shared" si="31"/>
        <v>0</v>
      </c>
      <c r="P75" s="15">
        <f t="shared" si="31"/>
        <v>0</v>
      </c>
      <c r="Q75" s="15">
        <f t="shared" si="31"/>
        <v>0</v>
      </c>
      <c r="R75" s="15">
        <f t="shared" si="31"/>
        <v>0</v>
      </c>
      <c r="S75" s="15">
        <f t="shared" si="31"/>
        <v>0</v>
      </c>
      <c r="T75" s="21">
        <f t="shared" si="31"/>
        <v>0</v>
      </c>
      <c r="U75" s="21">
        <f t="shared" si="31"/>
        <v>0</v>
      </c>
      <c r="V75" s="21">
        <f t="shared" si="31"/>
        <v>0</v>
      </c>
      <c r="AA75" s="8"/>
    </row>
    <row r="76" spans="1:27" hidden="1" outlineLevel="1" x14ac:dyDescent="0.25">
      <c r="A76" s="9"/>
      <c r="B76" s="13" t="s">
        <v>26</v>
      </c>
      <c r="C76" s="22">
        <f t="shared" si="31"/>
        <v>10</v>
      </c>
      <c r="D76" s="23">
        <f t="shared" si="31"/>
        <v>6</v>
      </c>
      <c r="E76" s="23">
        <f t="shared" si="31"/>
        <v>-7</v>
      </c>
      <c r="F76" s="23">
        <f t="shared" si="31"/>
        <v>0</v>
      </c>
      <c r="G76" s="23">
        <f t="shared" si="31"/>
        <v>-1</v>
      </c>
      <c r="H76" s="23">
        <f t="shared" si="31"/>
        <v>10</v>
      </c>
      <c r="I76" s="23">
        <f t="shared" si="31"/>
        <v>8</v>
      </c>
      <c r="J76" s="23">
        <f t="shared" si="31"/>
        <v>-7</v>
      </c>
      <c r="K76" s="23">
        <f t="shared" si="31"/>
        <v>3</v>
      </c>
      <c r="L76" s="23">
        <f t="shared" si="31"/>
        <v>11</v>
      </c>
      <c r="M76" s="23">
        <f t="shared" si="31"/>
        <v>-6</v>
      </c>
      <c r="N76" s="23">
        <f t="shared" si="31"/>
        <v>-2</v>
      </c>
      <c r="O76" s="23">
        <f t="shared" si="31"/>
        <v>-12</v>
      </c>
      <c r="P76" s="23">
        <f t="shared" si="31"/>
        <v>-2</v>
      </c>
      <c r="Q76" s="23">
        <f t="shared" si="31"/>
        <v>4</v>
      </c>
      <c r="R76" s="23">
        <f t="shared" si="31"/>
        <v>-3</v>
      </c>
      <c r="S76" s="23">
        <f t="shared" si="31"/>
        <v>8</v>
      </c>
      <c r="T76" s="24">
        <f t="shared" si="31"/>
        <v>0</v>
      </c>
      <c r="U76" s="24">
        <f t="shared" si="31"/>
        <v>0</v>
      </c>
      <c r="V76" s="24">
        <f t="shared" si="31"/>
        <v>0</v>
      </c>
      <c r="AA76" s="8"/>
    </row>
    <row r="77" spans="1:27" collapsed="1" x14ac:dyDescent="0.25">
      <c r="A77" s="9"/>
      <c r="B77" s="16" t="s">
        <v>27</v>
      </c>
      <c r="C77" s="17">
        <f t="shared" si="31"/>
        <v>-14</v>
      </c>
      <c r="D77" s="18">
        <f t="shared" si="31"/>
        <v>-1</v>
      </c>
      <c r="E77" s="18">
        <f t="shared" si="31"/>
        <v>-10</v>
      </c>
      <c r="F77" s="18">
        <f t="shared" si="31"/>
        <v>0</v>
      </c>
      <c r="G77" s="18">
        <f t="shared" si="31"/>
        <v>5</v>
      </c>
      <c r="H77" s="18">
        <f t="shared" si="31"/>
        <v>1</v>
      </c>
      <c r="I77" s="18">
        <f t="shared" si="31"/>
        <v>10</v>
      </c>
      <c r="J77" s="18">
        <f t="shared" si="31"/>
        <v>-16</v>
      </c>
      <c r="K77" s="18">
        <f t="shared" si="31"/>
        <v>8</v>
      </c>
      <c r="L77" s="18">
        <f t="shared" si="31"/>
        <v>10</v>
      </c>
      <c r="M77" s="18">
        <f t="shared" si="31"/>
        <v>-7</v>
      </c>
      <c r="N77" s="18">
        <f t="shared" si="31"/>
        <v>-2</v>
      </c>
      <c r="O77" s="18">
        <f t="shared" si="31"/>
        <v>-9</v>
      </c>
      <c r="P77" s="18">
        <f t="shared" si="31"/>
        <v>-18</v>
      </c>
      <c r="Q77" s="18">
        <f t="shared" si="31"/>
        <v>21</v>
      </c>
      <c r="R77" s="18">
        <f t="shared" si="31"/>
        <v>-10</v>
      </c>
      <c r="S77" s="18">
        <f t="shared" si="31"/>
        <v>4</v>
      </c>
      <c r="T77" s="19">
        <f t="shared" si="31"/>
        <v>0</v>
      </c>
      <c r="U77" s="19">
        <f t="shared" si="31"/>
        <v>0</v>
      </c>
      <c r="V77" s="19">
        <f t="shared" si="31"/>
        <v>0</v>
      </c>
      <c r="AA77" s="8"/>
    </row>
    <row r="78" spans="1:27" ht="15.75" thickBot="1" x14ac:dyDescent="0.3">
      <c r="A78" s="9"/>
      <c r="B78" s="25" t="s">
        <v>28</v>
      </c>
      <c r="C78" s="11">
        <f t="shared" si="31"/>
        <v>23</v>
      </c>
      <c r="D78" s="11">
        <f>+D12-D45</f>
        <v>-20</v>
      </c>
      <c r="E78" s="11">
        <f t="shared" si="31"/>
        <v>-13</v>
      </c>
      <c r="F78" s="11">
        <f t="shared" si="31"/>
        <v>0</v>
      </c>
      <c r="G78" s="11">
        <f t="shared" si="31"/>
        <v>-2</v>
      </c>
      <c r="H78" s="11">
        <f t="shared" si="31"/>
        <v>-21</v>
      </c>
      <c r="I78" s="11">
        <f t="shared" si="31"/>
        <v>-9</v>
      </c>
      <c r="J78" s="11">
        <f t="shared" si="31"/>
        <v>-7</v>
      </c>
      <c r="K78" s="11">
        <f t="shared" si="31"/>
        <v>26</v>
      </c>
      <c r="L78" s="11">
        <f t="shared" si="31"/>
        <v>17</v>
      </c>
      <c r="M78" s="11">
        <f t="shared" si="31"/>
        <v>7</v>
      </c>
      <c r="N78" s="11">
        <f t="shared" si="31"/>
        <v>4</v>
      </c>
      <c r="O78" s="11">
        <f t="shared" si="31"/>
        <v>1</v>
      </c>
      <c r="P78" s="11">
        <f t="shared" si="31"/>
        <v>-7</v>
      </c>
      <c r="Q78" s="11">
        <f t="shared" si="31"/>
        <v>38</v>
      </c>
      <c r="R78" s="11">
        <f t="shared" si="31"/>
        <v>10</v>
      </c>
      <c r="S78" s="11">
        <f t="shared" si="31"/>
        <v>-1</v>
      </c>
      <c r="T78" s="26"/>
      <c r="U78" s="26"/>
      <c r="V78" s="26"/>
      <c r="AA78" s="8"/>
    </row>
    <row r="79" spans="1:27" ht="15.75" hidden="1" outlineLevel="1" thickBot="1" x14ac:dyDescent="0.3">
      <c r="A79" s="9"/>
      <c r="B79" s="27" t="s">
        <v>30</v>
      </c>
      <c r="C79" s="28">
        <f>+C13-C46</f>
        <v>148815.39000000106</v>
      </c>
      <c r="D79" s="29">
        <f t="shared" si="31"/>
        <v>-62455.419999999955</v>
      </c>
      <c r="E79" s="29">
        <f t="shared" si="31"/>
        <v>7.2759576141834202E-12</v>
      </c>
      <c r="F79" s="29">
        <f t="shared" si="31"/>
        <v>0</v>
      </c>
      <c r="G79" s="29">
        <f t="shared" si="31"/>
        <v>-5292.6399999999376</v>
      </c>
      <c r="H79" s="29">
        <f t="shared" si="31"/>
        <v>-31892.750000000087</v>
      </c>
      <c r="I79" s="29">
        <f t="shared" si="31"/>
        <v>-32498.859999999113</v>
      </c>
      <c r="J79" s="29">
        <f t="shared" si="31"/>
        <v>78990.810000000158</v>
      </c>
      <c r="K79" s="29">
        <f t="shared" si="31"/>
        <v>57313.9399999999</v>
      </c>
      <c r="L79" s="29">
        <f t="shared" si="31"/>
        <v>22055.690000000192</v>
      </c>
      <c r="M79" s="29">
        <f t="shared" si="31"/>
        <v>25882.830000000075</v>
      </c>
      <c r="N79" s="29">
        <f t="shared" si="31"/>
        <v>38236.819999999985</v>
      </c>
      <c r="O79" s="29">
        <f t="shared" si="31"/>
        <v>-172121.05999999912</v>
      </c>
      <c r="P79" s="29">
        <f t="shared" si="31"/>
        <v>51095.269999999495</v>
      </c>
      <c r="Q79" s="29">
        <f t="shared" si="31"/>
        <v>64622.839999999094</v>
      </c>
      <c r="R79" s="29">
        <f t="shared" si="31"/>
        <v>128575.12</v>
      </c>
      <c r="S79" s="29">
        <f t="shared" si="31"/>
        <v>-13697.200000000012</v>
      </c>
      <c r="T79" s="29">
        <f t="shared" si="31"/>
        <v>0</v>
      </c>
      <c r="U79" s="29">
        <f t="shared" si="31"/>
        <v>0</v>
      </c>
      <c r="V79" s="29">
        <f t="shared" si="31"/>
        <v>0</v>
      </c>
      <c r="AA79" s="8"/>
    </row>
    <row r="80" spans="1:27" ht="15.75" hidden="1" outlineLevel="1" thickBot="1" x14ac:dyDescent="0.3">
      <c r="A80" s="9"/>
      <c r="B80" s="30" t="s">
        <v>31</v>
      </c>
      <c r="C80" s="31">
        <f t="shared" si="31"/>
        <v>-18715.599999999824</v>
      </c>
      <c r="D80" s="32">
        <f t="shared" si="31"/>
        <v>-1556.2599999999984</v>
      </c>
      <c r="E80" s="32">
        <f t="shared" si="31"/>
        <v>0</v>
      </c>
      <c r="F80" s="32">
        <f t="shared" si="31"/>
        <v>0</v>
      </c>
      <c r="G80" s="32">
        <f t="shared" si="31"/>
        <v>-4958.1499999999996</v>
      </c>
      <c r="H80" s="32">
        <f t="shared" si="31"/>
        <v>-606.04</v>
      </c>
      <c r="I80" s="32">
        <f t="shared" si="31"/>
        <v>5146.7300000000396</v>
      </c>
      <c r="J80" s="32">
        <f t="shared" si="31"/>
        <v>-8949.6700000000092</v>
      </c>
      <c r="K80" s="32">
        <f t="shared" si="31"/>
        <v>-2995</v>
      </c>
      <c r="L80" s="32">
        <f t="shared" si="31"/>
        <v>-499</v>
      </c>
      <c r="M80" s="32">
        <f t="shared" si="31"/>
        <v>-383.35999999999012</v>
      </c>
      <c r="N80" s="32">
        <f t="shared" si="31"/>
        <v>-2089.9499999999798</v>
      </c>
      <c r="O80" s="32">
        <f t="shared" si="31"/>
        <v>-298.61999999993799</v>
      </c>
      <c r="P80" s="32">
        <f t="shared" si="31"/>
        <v>-234.63</v>
      </c>
      <c r="Q80" s="32">
        <f t="shared" si="31"/>
        <v>596.81000000004997</v>
      </c>
      <c r="R80" s="32">
        <f t="shared" si="31"/>
        <v>-1888.4599999999907</v>
      </c>
      <c r="S80" s="32">
        <f t="shared" si="31"/>
        <v>0</v>
      </c>
      <c r="T80" s="32">
        <f t="shared" si="31"/>
        <v>0</v>
      </c>
      <c r="U80" s="32">
        <f t="shared" si="31"/>
        <v>0</v>
      </c>
      <c r="V80" s="32">
        <f t="shared" si="31"/>
        <v>0</v>
      </c>
      <c r="AA80" s="8"/>
    </row>
    <row r="81" spans="1:27" ht="15.75" hidden="1" outlineLevel="1" thickBot="1" x14ac:dyDescent="0.3">
      <c r="A81" s="9"/>
      <c r="B81" s="30" t="s">
        <v>32</v>
      </c>
      <c r="C81" s="31">
        <f t="shared" si="31"/>
        <v>38101.60000000002</v>
      </c>
      <c r="D81" s="32">
        <f t="shared" si="31"/>
        <v>14130.870000000012</v>
      </c>
      <c r="E81" s="32">
        <f t="shared" si="31"/>
        <v>0</v>
      </c>
      <c r="F81" s="32">
        <f t="shared" si="31"/>
        <v>0</v>
      </c>
      <c r="G81" s="32">
        <f t="shared" si="31"/>
        <v>-7034</v>
      </c>
      <c r="H81" s="32">
        <f t="shared" si="31"/>
        <v>0</v>
      </c>
      <c r="I81" s="32">
        <f t="shared" si="31"/>
        <v>409.75</v>
      </c>
      <c r="J81" s="32">
        <f t="shared" si="31"/>
        <v>3333.6900000000196</v>
      </c>
      <c r="K81" s="32">
        <f t="shared" si="31"/>
        <v>-745.150000000001</v>
      </c>
      <c r="L81" s="32">
        <f t="shared" si="31"/>
        <v>203.6999999999899</v>
      </c>
      <c r="M81" s="32">
        <f t="shared" si="31"/>
        <v>14860.969999999899</v>
      </c>
      <c r="N81" s="32">
        <f t="shared" si="31"/>
        <v>-12964.17</v>
      </c>
      <c r="O81" s="32">
        <f t="shared" si="31"/>
        <v>0</v>
      </c>
      <c r="P81" s="32">
        <f t="shared" si="31"/>
        <v>18524.120000000101</v>
      </c>
      <c r="Q81" s="32">
        <f t="shared" si="31"/>
        <v>4756.199999999998</v>
      </c>
      <c r="R81" s="32">
        <f t="shared" si="31"/>
        <v>2625.619999999999</v>
      </c>
      <c r="S81" s="32">
        <f t="shared" si="31"/>
        <v>0</v>
      </c>
      <c r="T81" s="32">
        <f t="shared" si="31"/>
        <v>0</v>
      </c>
      <c r="U81" s="32">
        <f t="shared" si="31"/>
        <v>0</v>
      </c>
      <c r="V81" s="32">
        <f t="shared" si="31"/>
        <v>0</v>
      </c>
      <c r="AA81" s="8"/>
    </row>
    <row r="82" spans="1:27" ht="15.75" hidden="1" outlineLevel="1" thickBot="1" x14ac:dyDescent="0.3">
      <c r="A82" s="9"/>
      <c r="B82" s="33" t="s">
        <v>33</v>
      </c>
      <c r="C82" s="34">
        <f t="shared" si="31"/>
        <v>134291.43999999994</v>
      </c>
      <c r="D82" s="35">
        <f t="shared" si="31"/>
        <v>-25437.949999999997</v>
      </c>
      <c r="E82" s="35">
        <f t="shared" si="31"/>
        <v>-2251</v>
      </c>
      <c r="F82" s="35">
        <f t="shared" si="31"/>
        <v>0</v>
      </c>
      <c r="G82" s="35">
        <f t="shared" si="31"/>
        <v>-5574.4700000000994</v>
      </c>
      <c r="H82" s="35">
        <f t="shared" si="31"/>
        <v>-11277.070000000109</v>
      </c>
      <c r="I82" s="35">
        <f t="shared" si="31"/>
        <v>-11488.989999999998</v>
      </c>
      <c r="J82" s="35">
        <f t="shared" si="31"/>
        <v>5556.5499999999956</v>
      </c>
      <c r="K82" s="35">
        <f t="shared" si="31"/>
        <v>19827.579999999998</v>
      </c>
      <c r="L82" s="35">
        <f t="shared" si="31"/>
        <v>22456.07</v>
      </c>
      <c r="M82" s="35">
        <f t="shared" si="31"/>
        <v>16261.570000000003</v>
      </c>
      <c r="N82" s="35">
        <f t="shared" si="31"/>
        <v>20431.759999999998</v>
      </c>
      <c r="O82" s="35">
        <f t="shared" si="31"/>
        <v>26015.100000000006</v>
      </c>
      <c r="P82" s="35">
        <f t="shared" si="31"/>
        <v>14406.730000000003</v>
      </c>
      <c r="Q82" s="35">
        <f t="shared" si="31"/>
        <v>28931.870000000003</v>
      </c>
      <c r="R82" s="35">
        <f t="shared" si="31"/>
        <v>28994.220000000099</v>
      </c>
      <c r="S82" s="35">
        <f t="shared" si="31"/>
        <v>7439.4699999999939</v>
      </c>
      <c r="T82" s="35">
        <f t="shared" si="31"/>
        <v>0</v>
      </c>
      <c r="U82" s="35">
        <f t="shared" si="31"/>
        <v>0</v>
      </c>
      <c r="V82" s="35">
        <f t="shared" si="31"/>
        <v>0</v>
      </c>
      <c r="AA82" s="8"/>
    </row>
    <row r="83" spans="1:27" ht="15.75" hidden="1" outlineLevel="1" thickBot="1" x14ac:dyDescent="0.3">
      <c r="A83" s="9"/>
      <c r="B83" s="16" t="s">
        <v>34</v>
      </c>
      <c r="C83" s="36">
        <f t="shared" si="31"/>
        <v>302492.83000000101</v>
      </c>
      <c r="D83" s="37">
        <f t="shared" si="31"/>
        <v>-75318.759999999893</v>
      </c>
      <c r="E83" s="37">
        <f t="shared" si="31"/>
        <v>-2250.9999999999927</v>
      </c>
      <c r="F83" s="37">
        <f t="shared" si="31"/>
        <v>0</v>
      </c>
      <c r="G83" s="37">
        <f t="shared" si="31"/>
        <v>-22859.260000000038</v>
      </c>
      <c r="H83" s="37">
        <f t="shared" si="31"/>
        <v>-43775.860000000219</v>
      </c>
      <c r="I83" s="37">
        <f t="shared" si="31"/>
        <v>-38431.369999999093</v>
      </c>
      <c r="J83" s="37">
        <f t="shared" si="31"/>
        <v>78931.38000000015</v>
      </c>
      <c r="K83" s="37">
        <f t="shared" si="31"/>
        <v>73401.369999999908</v>
      </c>
      <c r="L83" s="37">
        <f t="shared" si="31"/>
        <v>44216.460000000196</v>
      </c>
      <c r="M83" s="37">
        <f t="shared" si="31"/>
        <v>56622.010000000009</v>
      </c>
      <c r="N83" s="37">
        <f t="shared" si="31"/>
        <v>43614.460000000006</v>
      </c>
      <c r="O83" s="37">
        <f t="shared" si="31"/>
        <v>-146404.57999999914</v>
      </c>
      <c r="P83" s="37">
        <f t="shared" si="31"/>
        <v>83791.489999999641</v>
      </c>
      <c r="Q83" s="37">
        <f t="shared" si="31"/>
        <v>98907.719999999186</v>
      </c>
      <c r="R83" s="37">
        <f t="shared" si="31"/>
        <v>158306.50000000009</v>
      </c>
      <c r="S83" s="37">
        <f t="shared" si="31"/>
        <v>-6257.7300000000105</v>
      </c>
      <c r="T83" s="36">
        <f t="shared" si="31"/>
        <v>0</v>
      </c>
      <c r="U83" s="36">
        <f t="shared" si="31"/>
        <v>0</v>
      </c>
      <c r="V83" s="36">
        <f t="shared" si="31"/>
        <v>0</v>
      </c>
      <c r="AA83" s="8"/>
    </row>
    <row r="84" spans="1:27" ht="15.75" hidden="1" outlineLevel="1" thickBot="1" x14ac:dyDescent="0.3">
      <c r="A84" s="9"/>
      <c r="B84" s="30" t="s">
        <v>35</v>
      </c>
      <c r="C84" s="31">
        <f t="shared" ref="C84:V91" si="32">+C18-C51</f>
        <v>264733.08000000031</v>
      </c>
      <c r="D84" s="32">
        <f t="shared" si="32"/>
        <v>18445.349999999889</v>
      </c>
      <c r="E84" s="32">
        <f t="shared" si="32"/>
        <v>-1869.22999999999</v>
      </c>
      <c r="F84" s="32">
        <f t="shared" si="32"/>
        <v>0</v>
      </c>
      <c r="G84" s="32">
        <f t="shared" si="32"/>
        <v>31446.919999999907</v>
      </c>
      <c r="H84" s="32">
        <f t="shared" si="32"/>
        <v>-28370.309999999823</v>
      </c>
      <c r="I84" s="32">
        <f t="shared" si="32"/>
        <v>-6184.7800000000007</v>
      </c>
      <c r="J84" s="32">
        <f t="shared" si="32"/>
        <v>57771.599999999969</v>
      </c>
      <c r="K84" s="32">
        <f t="shared" si="32"/>
        <v>15313.599999999899</v>
      </c>
      <c r="L84" s="32">
        <f t="shared" si="32"/>
        <v>-1937.4199999998891</v>
      </c>
      <c r="M84" s="32">
        <f t="shared" si="32"/>
        <v>14716.229999999996</v>
      </c>
      <c r="N84" s="32">
        <f t="shared" si="32"/>
        <v>305.83999999997104</v>
      </c>
      <c r="O84" s="32">
        <f t="shared" si="32"/>
        <v>61925.930000000328</v>
      </c>
      <c r="P84" s="32">
        <f t="shared" si="32"/>
        <v>-5354.6299999998155</v>
      </c>
      <c r="Q84" s="32">
        <f t="shared" si="32"/>
        <v>110125.50999999981</v>
      </c>
      <c r="R84" s="32">
        <f t="shared" si="32"/>
        <v>137.58000000011089</v>
      </c>
      <c r="S84" s="32">
        <f t="shared" si="32"/>
        <v>-1739.1100000000006</v>
      </c>
      <c r="T84" s="32">
        <f t="shared" si="32"/>
        <v>0</v>
      </c>
      <c r="U84" s="32">
        <f t="shared" si="32"/>
        <v>0</v>
      </c>
      <c r="V84" s="32">
        <f t="shared" si="32"/>
        <v>0</v>
      </c>
      <c r="AA84" s="8"/>
    </row>
    <row r="85" spans="1:27" ht="15.75" hidden="1" outlineLevel="1" thickBot="1" x14ac:dyDescent="0.3">
      <c r="A85" s="9"/>
      <c r="B85" s="30" t="s">
        <v>36</v>
      </c>
      <c r="C85" s="31">
        <f t="shared" si="32"/>
        <v>0</v>
      </c>
      <c r="D85" s="32">
        <f t="shared" si="32"/>
        <v>0</v>
      </c>
      <c r="E85" s="32">
        <f t="shared" si="32"/>
        <v>0</v>
      </c>
      <c r="F85" s="32">
        <f t="shared" si="32"/>
        <v>0</v>
      </c>
      <c r="G85" s="32">
        <f t="shared" si="32"/>
        <v>0</v>
      </c>
      <c r="H85" s="32">
        <f t="shared" si="32"/>
        <v>0</v>
      </c>
      <c r="I85" s="32">
        <f t="shared" si="32"/>
        <v>0</v>
      </c>
      <c r="J85" s="32">
        <f t="shared" si="32"/>
        <v>0</v>
      </c>
      <c r="K85" s="32">
        <f t="shared" si="32"/>
        <v>0</v>
      </c>
      <c r="L85" s="32">
        <f t="shared" si="32"/>
        <v>0</v>
      </c>
      <c r="M85" s="32">
        <f t="shared" si="32"/>
        <v>0</v>
      </c>
      <c r="N85" s="32">
        <f t="shared" si="32"/>
        <v>0</v>
      </c>
      <c r="O85" s="32">
        <f t="shared" si="32"/>
        <v>0</v>
      </c>
      <c r="P85" s="32">
        <f t="shared" si="32"/>
        <v>0</v>
      </c>
      <c r="Q85" s="32">
        <f t="shared" si="32"/>
        <v>0</v>
      </c>
      <c r="R85" s="32">
        <f t="shared" si="32"/>
        <v>0</v>
      </c>
      <c r="S85" s="32">
        <f t="shared" si="32"/>
        <v>0</v>
      </c>
      <c r="T85" s="32">
        <f t="shared" si="32"/>
        <v>0</v>
      </c>
      <c r="U85" s="32">
        <f t="shared" si="32"/>
        <v>0</v>
      </c>
      <c r="V85" s="32">
        <f t="shared" si="32"/>
        <v>0</v>
      </c>
      <c r="AA85" s="8"/>
    </row>
    <row r="86" spans="1:27" ht="15.75" hidden="1" outlineLevel="1" thickBot="1" x14ac:dyDescent="0.3">
      <c r="A86" s="9"/>
      <c r="B86" s="30" t="s">
        <v>37</v>
      </c>
      <c r="C86" s="31">
        <f t="shared" si="32"/>
        <v>130801.18999999957</v>
      </c>
      <c r="D86" s="32">
        <f t="shared" si="32"/>
        <v>24903.809999999998</v>
      </c>
      <c r="E86" s="32">
        <f t="shared" si="32"/>
        <v>-1274</v>
      </c>
      <c r="F86" s="32">
        <f t="shared" si="32"/>
        <v>0</v>
      </c>
      <c r="G86" s="32">
        <f t="shared" si="32"/>
        <v>-3963.24</v>
      </c>
      <c r="H86" s="32">
        <f t="shared" si="32"/>
        <v>11904.070000000011</v>
      </c>
      <c r="I86" s="32">
        <f t="shared" si="32"/>
        <v>31401.019999999968</v>
      </c>
      <c r="J86" s="32">
        <f t="shared" si="32"/>
        <v>19323.08999999972</v>
      </c>
      <c r="K86" s="32">
        <f t="shared" si="32"/>
        <v>14061.219999999881</v>
      </c>
      <c r="L86" s="32">
        <f t="shared" si="32"/>
        <v>9215.670000000031</v>
      </c>
      <c r="M86" s="32">
        <f t="shared" si="32"/>
        <v>32993.050000000032</v>
      </c>
      <c r="N86" s="32">
        <f t="shared" si="32"/>
        <v>2545.0000000000309</v>
      </c>
      <c r="O86" s="32">
        <f t="shared" si="32"/>
        <v>-21374.9200000001</v>
      </c>
      <c r="P86" s="32">
        <f t="shared" si="32"/>
        <v>-25446.180000000022</v>
      </c>
      <c r="Q86" s="32">
        <f t="shared" si="32"/>
        <v>16041.400000000009</v>
      </c>
      <c r="R86" s="32">
        <f t="shared" si="32"/>
        <v>19161.21</v>
      </c>
      <c r="S86" s="32">
        <f t="shared" si="32"/>
        <v>1309.98999999999</v>
      </c>
      <c r="T86" s="32">
        <f t="shared" si="32"/>
        <v>0</v>
      </c>
      <c r="U86" s="32">
        <f t="shared" si="32"/>
        <v>0</v>
      </c>
      <c r="V86" s="32">
        <f t="shared" si="32"/>
        <v>0</v>
      </c>
      <c r="AA86" s="8"/>
    </row>
    <row r="87" spans="1:27" ht="15.75" hidden="1" outlineLevel="1" thickBot="1" x14ac:dyDescent="0.3">
      <c r="A87" s="9"/>
      <c r="B87" s="30" t="s">
        <v>38</v>
      </c>
      <c r="C87" s="31">
        <f>+C21-C54</f>
        <v>-51877.000000000116</v>
      </c>
      <c r="D87" s="32">
        <f t="shared" si="32"/>
        <v>-11754.939999999995</v>
      </c>
      <c r="E87" s="32">
        <f t="shared" si="32"/>
        <v>-2034.42</v>
      </c>
      <c r="F87" s="32">
        <f t="shared" si="32"/>
        <v>0</v>
      </c>
      <c r="G87" s="32">
        <f t="shared" si="32"/>
        <v>-3076.4900000000998</v>
      </c>
      <c r="H87" s="32">
        <f t="shared" si="32"/>
        <v>-876.40999999999985</v>
      </c>
      <c r="I87" s="32">
        <f t="shared" si="32"/>
        <v>29074.39</v>
      </c>
      <c r="J87" s="32">
        <f t="shared" si="32"/>
        <v>-39928.779999999992</v>
      </c>
      <c r="K87" s="32">
        <f t="shared" si="32"/>
        <v>-1186.6100000000006</v>
      </c>
      <c r="L87" s="32">
        <f t="shared" si="32"/>
        <v>2386.9500000000007</v>
      </c>
      <c r="M87" s="32">
        <f t="shared" si="32"/>
        <v>9051.5500000001048</v>
      </c>
      <c r="N87" s="32">
        <f t="shared" si="32"/>
        <v>2137.2499999999018</v>
      </c>
      <c r="O87" s="32">
        <f t="shared" si="32"/>
        <v>-1936.9400000001042</v>
      </c>
      <c r="P87" s="32">
        <f t="shared" si="32"/>
        <v>-25511.679999999993</v>
      </c>
      <c r="Q87" s="32">
        <f t="shared" si="32"/>
        <v>15619.059999999998</v>
      </c>
      <c r="R87" s="32">
        <f t="shared" si="32"/>
        <v>-15924.439999999999</v>
      </c>
      <c r="S87" s="32">
        <f t="shared" si="32"/>
        <v>-7915.489999999998</v>
      </c>
      <c r="T87" s="32">
        <f t="shared" si="32"/>
        <v>0</v>
      </c>
      <c r="U87" s="32">
        <f t="shared" si="32"/>
        <v>0</v>
      </c>
      <c r="V87" s="32">
        <f t="shared" si="32"/>
        <v>0</v>
      </c>
      <c r="AA87" s="8"/>
    </row>
    <row r="88" spans="1:27" ht="15.75" hidden="1" outlineLevel="1" thickBot="1" x14ac:dyDescent="0.3">
      <c r="A88" s="9"/>
      <c r="B88" s="16" t="s">
        <v>39</v>
      </c>
      <c r="C88" s="36">
        <f>+C22-C55</f>
        <v>343657.26999999955</v>
      </c>
      <c r="D88" s="37">
        <f t="shared" si="32"/>
        <v>31594.219999999885</v>
      </c>
      <c r="E88" s="37">
        <f t="shared" si="32"/>
        <v>-5177.6499999999905</v>
      </c>
      <c r="F88" s="37">
        <f t="shared" si="32"/>
        <v>0</v>
      </c>
      <c r="G88" s="37">
        <f t="shared" si="32"/>
        <v>24407.189999999799</v>
      </c>
      <c r="H88" s="37">
        <f t="shared" si="32"/>
        <v>-17342.64999999982</v>
      </c>
      <c r="I88" s="37">
        <f t="shared" si="32"/>
        <v>54290.629999999961</v>
      </c>
      <c r="J88" s="37">
        <f t="shared" si="32"/>
        <v>37165.909999999705</v>
      </c>
      <c r="K88" s="37">
        <f t="shared" si="32"/>
        <v>28188.209999999774</v>
      </c>
      <c r="L88" s="37">
        <f t="shared" si="32"/>
        <v>9665.2000000001426</v>
      </c>
      <c r="M88" s="37">
        <f t="shared" si="32"/>
        <v>56760.830000000133</v>
      </c>
      <c r="N88" s="37">
        <f t="shared" si="32"/>
        <v>4988.0899999999092</v>
      </c>
      <c r="O88" s="37">
        <f t="shared" si="32"/>
        <v>38614.070000000123</v>
      </c>
      <c r="P88" s="37">
        <f t="shared" si="32"/>
        <v>-56312.489999999816</v>
      </c>
      <c r="Q88" s="37">
        <f t="shared" si="32"/>
        <v>141785.96999999983</v>
      </c>
      <c r="R88" s="37">
        <f t="shared" si="32"/>
        <v>3374.3500000001077</v>
      </c>
      <c r="S88" s="37">
        <f t="shared" si="32"/>
        <v>-8344.6100000000079</v>
      </c>
      <c r="T88" s="36">
        <f t="shared" si="32"/>
        <v>0</v>
      </c>
      <c r="U88" s="36">
        <f t="shared" si="32"/>
        <v>0</v>
      </c>
      <c r="V88" s="36">
        <f t="shared" si="32"/>
        <v>0</v>
      </c>
      <c r="AA88" s="8"/>
    </row>
    <row r="89" spans="1:27" ht="15.75" hidden="1" outlineLevel="1" thickBot="1" x14ac:dyDescent="0.3">
      <c r="A89" s="9"/>
      <c r="B89" s="27" t="s">
        <v>40</v>
      </c>
      <c r="C89" s="28">
        <f>+C23-C56</f>
        <v>646150.10000000056</v>
      </c>
      <c r="D89" s="38">
        <f t="shared" si="32"/>
        <v>-43724.540000000037</v>
      </c>
      <c r="E89" s="38">
        <f t="shared" si="32"/>
        <v>-7428.6499999999833</v>
      </c>
      <c r="F89" s="38">
        <f t="shared" si="32"/>
        <v>0</v>
      </c>
      <c r="G89" s="38">
        <f t="shared" si="32"/>
        <v>1547.9299999997602</v>
      </c>
      <c r="H89" s="38">
        <f t="shared" si="32"/>
        <v>-61118.510000000009</v>
      </c>
      <c r="I89" s="38">
        <f t="shared" si="32"/>
        <v>15859.260000000882</v>
      </c>
      <c r="J89" s="38">
        <f t="shared" si="32"/>
        <v>116097.28999999986</v>
      </c>
      <c r="K89" s="38">
        <f t="shared" si="32"/>
        <v>101589.5799999997</v>
      </c>
      <c r="L89" s="38">
        <f t="shared" si="32"/>
        <v>53881.660000000324</v>
      </c>
      <c r="M89" s="38">
        <f t="shared" si="32"/>
        <v>113382.84000000014</v>
      </c>
      <c r="N89" s="38">
        <f t="shared" si="32"/>
        <v>48602.549999999901</v>
      </c>
      <c r="O89" s="38">
        <f t="shared" si="32"/>
        <v>-107790.50999999908</v>
      </c>
      <c r="P89" s="38">
        <f t="shared" si="32"/>
        <v>27478.999999999767</v>
      </c>
      <c r="Q89" s="38">
        <f t="shared" si="32"/>
        <v>240693.68999999901</v>
      </c>
      <c r="R89" s="38">
        <f t="shared" si="32"/>
        <v>161680.85000000018</v>
      </c>
      <c r="S89" s="38">
        <f t="shared" si="32"/>
        <v>-14602.340000000026</v>
      </c>
      <c r="T89" s="28"/>
      <c r="U89" s="28"/>
      <c r="V89" s="28"/>
      <c r="AA89" s="8"/>
    </row>
    <row r="90" spans="1:27" ht="15.75" hidden="1" outlineLevel="1" collapsed="1" thickBot="1" x14ac:dyDescent="0.3">
      <c r="A90" s="9"/>
      <c r="B90" s="39" t="s">
        <v>41</v>
      </c>
      <c r="C90" s="40">
        <f>+C24-C57</f>
        <v>66.558814211861772</v>
      </c>
      <c r="D90" s="41">
        <f t="shared" si="32"/>
        <v>-114.38630952381027</v>
      </c>
      <c r="E90" s="41">
        <f t="shared" si="32"/>
        <v>2.4253192047278069E-12</v>
      </c>
      <c r="F90" s="41">
        <f t="shared" si="32"/>
        <v>0</v>
      </c>
      <c r="G90" s="41">
        <f t="shared" si="32"/>
        <v>-215.56564039408636</v>
      </c>
      <c r="H90" s="41">
        <f t="shared" si="32"/>
        <v>388.78646062270946</v>
      </c>
      <c r="I90" s="41">
        <f t="shared" si="32"/>
        <v>140.88440212730438</v>
      </c>
      <c r="J90" s="41">
        <f t="shared" si="32"/>
        <v>1484.434009146345</v>
      </c>
      <c r="K90" s="41">
        <f t="shared" si="32"/>
        <v>500.72875000000613</v>
      </c>
      <c r="L90" s="41">
        <f t="shared" si="32"/>
        <v>-103.61314165496924</v>
      </c>
      <c r="M90" s="41">
        <f t="shared" si="32"/>
        <v>-20.146224768137472</v>
      </c>
      <c r="N90" s="41">
        <f t="shared" si="32"/>
        <v>904.23095238095402</v>
      </c>
      <c r="O90" s="41">
        <f t="shared" si="32"/>
        <v>-1646.3231880278117</v>
      </c>
      <c r="P90" s="41">
        <f t="shared" si="32"/>
        <v>331.1836309249793</v>
      </c>
      <c r="Q90" s="41">
        <f t="shared" si="32"/>
        <v>45.154799043046751</v>
      </c>
      <c r="R90" s="41">
        <f t="shared" si="32"/>
        <v>4295.6027039627024</v>
      </c>
      <c r="S90" s="42">
        <f t="shared" si="32"/>
        <v>38.97286666666605</v>
      </c>
      <c r="T90" s="29">
        <f t="shared" si="32"/>
        <v>0</v>
      </c>
      <c r="U90" s="38">
        <f t="shared" si="32"/>
        <v>0</v>
      </c>
      <c r="V90" s="38">
        <f t="shared" si="32"/>
        <v>0</v>
      </c>
      <c r="AA90" s="8"/>
    </row>
    <row r="91" spans="1:27" ht="15.75" hidden="1" outlineLevel="1" thickBot="1" x14ac:dyDescent="0.3">
      <c r="A91" s="9"/>
      <c r="B91" s="43" t="s">
        <v>42</v>
      </c>
      <c r="C91" s="31">
        <f>+C25-C58</f>
        <v>1154.59393939394</v>
      </c>
      <c r="D91" s="44">
        <f t="shared" si="32"/>
        <v>1321.5900000000056</v>
      </c>
      <c r="E91" s="44">
        <f t="shared" si="32"/>
        <v>0</v>
      </c>
      <c r="F91" s="44">
        <f t="shared" si="32"/>
        <v>0</v>
      </c>
      <c r="G91" s="44">
        <f t="shared" si="32"/>
        <v>-879.25</v>
      </c>
      <c r="H91" s="44">
        <f t="shared" si="32"/>
        <v>0</v>
      </c>
      <c r="I91" s="44">
        <f t="shared" si="32"/>
        <v>-496.16499999999996</v>
      </c>
      <c r="J91" s="44">
        <f t="shared" si="32"/>
        <v>347.85000000000741</v>
      </c>
      <c r="K91" s="44">
        <f t="shared" si="32"/>
        <v>-745.150000000001</v>
      </c>
      <c r="L91" s="44">
        <f t="shared" si="32"/>
        <v>117.94166666666331</v>
      </c>
      <c r="M91" s="44">
        <f t="shared" si="32"/>
        <v>1305.795714285699</v>
      </c>
      <c r="N91" s="44">
        <f t="shared" si="32"/>
        <v>-12964.17</v>
      </c>
      <c r="O91" s="44">
        <f t="shared" si="32"/>
        <v>0</v>
      </c>
      <c r="P91" s="44">
        <f t="shared" si="32"/>
        <v>3420.5716666666813</v>
      </c>
      <c r="Q91" s="44">
        <f t="shared" si="32"/>
        <v>4756.199999999998</v>
      </c>
      <c r="R91" s="44">
        <f t="shared" si="32"/>
        <v>525.1239999999998</v>
      </c>
      <c r="S91" s="45">
        <f t="shared" si="32"/>
        <v>0</v>
      </c>
      <c r="T91" s="32">
        <f t="shared" si="32"/>
        <v>0</v>
      </c>
      <c r="U91" s="44">
        <f t="shared" si="32"/>
        <v>0</v>
      </c>
      <c r="V91" s="44">
        <f t="shared" si="32"/>
        <v>0</v>
      </c>
      <c r="AA91" s="8"/>
    </row>
    <row r="92" spans="1:27" ht="15.75" hidden="1" outlineLevel="1" thickBot="1" x14ac:dyDescent="0.3">
      <c r="A92" s="9"/>
      <c r="B92" s="43" t="s">
        <v>43</v>
      </c>
      <c r="C92" s="31">
        <f t="shared" ref="C92:V94" si="33">+C26-C59</f>
        <v>129.69854955501114</v>
      </c>
      <c r="D92" s="44">
        <f t="shared" si="33"/>
        <v>-10.61245058400732</v>
      </c>
      <c r="E92" s="44">
        <f t="shared" si="33"/>
        <v>-750.33333333333337</v>
      </c>
      <c r="F92" s="44">
        <f t="shared" si="33"/>
        <v>0</v>
      </c>
      <c r="G92" s="44">
        <f t="shared" si="33"/>
        <v>-239.36185960591479</v>
      </c>
      <c r="H92" s="44">
        <f t="shared" si="33"/>
        <v>147.05776556776357</v>
      </c>
      <c r="I92" s="44">
        <f t="shared" si="33"/>
        <v>91.272202779207419</v>
      </c>
      <c r="J92" s="44">
        <f t="shared" si="33"/>
        <v>-69.694115853658559</v>
      </c>
      <c r="K92" s="44">
        <f t="shared" si="33"/>
        <v>-599.66509259259283</v>
      </c>
      <c r="L92" s="44">
        <f t="shared" si="33"/>
        <v>417.52259467040653</v>
      </c>
      <c r="M92" s="44">
        <f t="shared" si="33"/>
        <v>224.07543371522092</v>
      </c>
      <c r="N92" s="44">
        <f t="shared" si="33"/>
        <v>452.70761904761889</v>
      </c>
      <c r="O92" s="44">
        <f t="shared" si="33"/>
        <v>105.42825384997536</v>
      </c>
      <c r="P92" s="44">
        <f t="shared" si="33"/>
        <v>-90.042609295904185</v>
      </c>
      <c r="Q92" s="44">
        <f t="shared" si="33"/>
        <v>209.58485645933035</v>
      </c>
      <c r="R92" s="44">
        <f t="shared" si="33"/>
        <v>-115.23948717947951</v>
      </c>
      <c r="S92" s="45">
        <f t="shared" si="33"/>
        <v>615.9695999999999</v>
      </c>
      <c r="T92" s="35">
        <f t="shared" si="33"/>
        <v>0</v>
      </c>
      <c r="U92" s="46">
        <f t="shared" si="33"/>
        <v>0</v>
      </c>
      <c r="V92" s="46">
        <f t="shared" si="33"/>
        <v>0</v>
      </c>
      <c r="AA92" s="8"/>
    </row>
    <row r="93" spans="1:27" ht="15.75" hidden="1" outlineLevel="1" thickBot="1" x14ac:dyDescent="0.3">
      <c r="A93" s="9"/>
      <c r="B93" s="47" t="s">
        <v>44</v>
      </c>
      <c r="C93" s="48">
        <f t="shared" si="33"/>
        <v>196.25736376687291</v>
      </c>
      <c r="D93" s="49">
        <f t="shared" si="33"/>
        <v>-124.99876010781736</v>
      </c>
      <c r="E93" s="49">
        <f t="shared" si="33"/>
        <v>-750.33333333333098</v>
      </c>
      <c r="F93" s="49">
        <f t="shared" si="33"/>
        <v>0</v>
      </c>
      <c r="G93" s="49">
        <f t="shared" si="33"/>
        <v>-454.92750000000115</v>
      </c>
      <c r="H93" s="49">
        <f t="shared" si="33"/>
        <v>535.84422619047291</v>
      </c>
      <c r="I93" s="49">
        <f t="shared" si="33"/>
        <v>232.1566049065118</v>
      </c>
      <c r="J93" s="49">
        <f t="shared" si="33"/>
        <v>1414.7398932926862</v>
      </c>
      <c r="K93" s="49">
        <f t="shared" si="33"/>
        <v>-98.936342592585788</v>
      </c>
      <c r="L93" s="49">
        <f t="shared" si="33"/>
        <v>313.90945301543707</v>
      </c>
      <c r="M93" s="49">
        <f t="shared" si="33"/>
        <v>203.92920894708323</v>
      </c>
      <c r="N93" s="49">
        <f t="shared" si="33"/>
        <v>1356.9385714285727</v>
      </c>
      <c r="O93" s="49">
        <f t="shared" si="33"/>
        <v>-1540.8949341778361</v>
      </c>
      <c r="P93" s="49">
        <f t="shared" si="33"/>
        <v>241.14102162907511</v>
      </c>
      <c r="Q93" s="49">
        <f t="shared" si="33"/>
        <v>254.73965550237699</v>
      </c>
      <c r="R93" s="49">
        <f t="shared" si="33"/>
        <v>4180.363216783222</v>
      </c>
      <c r="S93" s="50">
        <f t="shared" si="33"/>
        <v>654.94246666666641</v>
      </c>
      <c r="T93" s="51">
        <f t="shared" si="33"/>
        <v>0</v>
      </c>
      <c r="U93" s="37">
        <f t="shared" si="33"/>
        <v>0</v>
      </c>
      <c r="V93" s="37">
        <f t="shared" si="33"/>
        <v>0</v>
      </c>
      <c r="AA93" s="8"/>
    </row>
    <row r="94" spans="1:27" collapsed="1" x14ac:dyDescent="0.25">
      <c r="A94" s="9"/>
      <c r="B94" s="52" t="s">
        <v>45</v>
      </c>
      <c r="C94" s="53">
        <f>+C28-C61</f>
        <v>212.85533719022396</v>
      </c>
      <c r="D94" s="54">
        <f t="shared" si="33"/>
        <v>-63.422914065751229</v>
      </c>
      <c r="E94" s="54">
        <f t="shared" si="33"/>
        <v>-750.33333333333087</v>
      </c>
      <c r="F94" s="54">
        <f t="shared" si="33"/>
        <v>0</v>
      </c>
      <c r="G94" s="54">
        <f t="shared" si="33"/>
        <v>-243.50551724138177</v>
      </c>
      <c r="H94" s="54">
        <f t="shared" si="33"/>
        <v>551.24298076922696</v>
      </c>
      <c r="I94" s="54">
        <f t="shared" si="33"/>
        <v>271.38316370224993</v>
      </c>
      <c r="J94" s="54">
        <f t="shared" si="33"/>
        <v>1062.013457066193</v>
      </c>
      <c r="K94" s="54">
        <f t="shared" si="33"/>
        <v>11.516714285718535</v>
      </c>
      <c r="L94" s="54">
        <f t="shared" si="33"/>
        <v>470.32890442891312</v>
      </c>
      <c r="M94" s="54">
        <f t="shared" si="33"/>
        <v>-5.524805555554849</v>
      </c>
      <c r="N94" s="54">
        <f t="shared" si="33"/>
        <v>573.43409523809714</v>
      </c>
      <c r="O94" s="54">
        <f t="shared" si="33"/>
        <v>-1542.888981619466</v>
      </c>
      <c r="P94" s="54">
        <f t="shared" si="33"/>
        <v>665.25884180790445</v>
      </c>
      <c r="Q94" s="54">
        <f t="shared" si="33"/>
        <v>352.26690018313639</v>
      </c>
      <c r="R94" s="54">
        <f t="shared" si="33"/>
        <v>3194.3576023391888</v>
      </c>
      <c r="S94" s="55">
        <f t="shared" si="33"/>
        <v>654.94246666666641</v>
      </c>
      <c r="T94" s="56">
        <f t="shared" si="33"/>
        <v>0</v>
      </c>
      <c r="U94" s="36">
        <f t="shared" si="33"/>
        <v>0</v>
      </c>
      <c r="V94" s="36">
        <f t="shared" si="33"/>
        <v>0</v>
      </c>
      <c r="AA94" s="8"/>
    </row>
    <row r="95" spans="1:27" hidden="1" outlineLevel="1" x14ac:dyDescent="0.25">
      <c r="A95" s="9"/>
      <c r="B95" s="43" t="s">
        <v>46</v>
      </c>
      <c r="C95" s="31">
        <f t="shared" ref="C95:V101" si="34">+C29-C62</f>
        <v>808.73169209629918</v>
      </c>
      <c r="D95" s="44">
        <f t="shared" si="34"/>
        <v>847.43541606886356</v>
      </c>
      <c r="E95" s="44">
        <f t="shared" si="34"/>
        <v>-623.0766666666633</v>
      </c>
      <c r="F95" s="44">
        <f t="shared" si="34"/>
        <v>0</v>
      </c>
      <c r="G95" s="44">
        <f t="shared" si="34"/>
        <v>1058.8216368286407</v>
      </c>
      <c r="H95" s="44">
        <f t="shared" si="34"/>
        <v>-334.80138586955991</v>
      </c>
      <c r="I95" s="44">
        <f t="shared" si="34"/>
        <v>-291.91730370370374</v>
      </c>
      <c r="J95" s="44">
        <f t="shared" si="34"/>
        <v>2235.4997727272716</v>
      </c>
      <c r="K95" s="44">
        <f t="shared" si="34"/>
        <v>1103.347619047611</v>
      </c>
      <c r="L95" s="44">
        <f t="shared" si="34"/>
        <v>-25.784699999995382</v>
      </c>
      <c r="M95" s="44">
        <f t="shared" si="34"/>
        <v>508.20359848484827</v>
      </c>
      <c r="N95" s="44">
        <f t="shared" si="34"/>
        <v>16.096842105261658</v>
      </c>
      <c r="O95" s="44">
        <f t="shared" si="34"/>
        <v>1091.5838562091571</v>
      </c>
      <c r="P95" s="44">
        <f t="shared" si="34"/>
        <v>724.3856244616768</v>
      </c>
      <c r="Q95" s="44">
        <f t="shared" si="34"/>
        <v>2980.6745238095182</v>
      </c>
      <c r="R95" s="44">
        <f t="shared" si="34"/>
        <v>1519.3873076923164</v>
      </c>
      <c r="S95" s="45">
        <f t="shared" si="34"/>
        <v>175.14367132867051</v>
      </c>
      <c r="T95" s="32">
        <f t="shared" si="34"/>
        <v>0</v>
      </c>
      <c r="U95" s="44">
        <f t="shared" si="34"/>
        <v>0</v>
      </c>
      <c r="V95" s="44">
        <f t="shared" si="34"/>
        <v>0</v>
      </c>
      <c r="AA95" s="8"/>
    </row>
    <row r="96" spans="1:27" hidden="1" outlineLevel="1" x14ac:dyDescent="0.25">
      <c r="A96" s="9"/>
      <c r="B96" s="43" t="s">
        <v>47</v>
      </c>
      <c r="C96" s="31">
        <f t="shared" si="34"/>
        <v>0</v>
      </c>
      <c r="D96" s="44">
        <f t="shared" si="34"/>
        <v>0</v>
      </c>
      <c r="E96" s="44">
        <f t="shared" si="34"/>
        <v>0</v>
      </c>
      <c r="F96" s="44">
        <f t="shared" si="34"/>
        <v>0</v>
      </c>
      <c r="G96" s="44">
        <f t="shared" si="34"/>
        <v>0</v>
      </c>
      <c r="H96" s="44">
        <f t="shared" si="34"/>
        <v>0</v>
      </c>
      <c r="I96" s="44">
        <f t="shared" si="34"/>
        <v>0</v>
      </c>
      <c r="J96" s="44">
        <f t="shared" si="34"/>
        <v>0</v>
      </c>
      <c r="K96" s="44">
        <f t="shared" si="34"/>
        <v>0</v>
      </c>
      <c r="L96" s="44">
        <f t="shared" si="34"/>
        <v>0</v>
      </c>
      <c r="M96" s="44">
        <f t="shared" si="34"/>
        <v>0</v>
      </c>
      <c r="N96" s="44">
        <f t="shared" si="34"/>
        <v>0</v>
      </c>
      <c r="O96" s="44">
        <f t="shared" si="34"/>
        <v>0</v>
      </c>
      <c r="P96" s="44">
        <f t="shared" si="34"/>
        <v>0</v>
      </c>
      <c r="Q96" s="44">
        <f t="shared" si="34"/>
        <v>0</v>
      </c>
      <c r="R96" s="44">
        <f t="shared" si="34"/>
        <v>0</v>
      </c>
      <c r="S96" s="45">
        <f t="shared" si="34"/>
        <v>0</v>
      </c>
      <c r="T96" s="32">
        <f t="shared" si="34"/>
        <v>0</v>
      </c>
      <c r="U96" s="44">
        <f t="shared" si="34"/>
        <v>0</v>
      </c>
      <c r="V96" s="44">
        <f t="shared" si="34"/>
        <v>0</v>
      </c>
      <c r="AA96" s="8"/>
    </row>
    <row r="97" spans="1:27" hidden="1" outlineLevel="1" x14ac:dyDescent="0.25">
      <c r="A97" s="9"/>
      <c r="B97" s="43" t="s">
        <v>48</v>
      </c>
      <c r="C97" s="31">
        <f t="shared" si="34"/>
        <v>307.13475367101825</v>
      </c>
      <c r="D97" s="44">
        <f t="shared" si="34"/>
        <v>449.20884545454544</v>
      </c>
      <c r="E97" s="44">
        <f t="shared" si="34"/>
        <v>-182</v>
      </c>
      <c r="F97" s="44">
        <f t="shared" si="34"/>
        <v>0</v>
      </c>
      <c r="G97" s="44">
        <f t="shared" si="34"/>
        <v>-216.06252747252813</v>
      </c>
      <c r="H97" s="44">
        <f t="shared" si="34"/>
        <v>291.04886287625493</v>
      </c>
      <c r="I97" s="44">
        <f t="shared" si="34"/>
        <v>626.30836190476111</v>
      </c>
      <c r="J97" s="44">
        <f t="shared" si="34"/>
        <v>456.37335365853079</v>
      </c>
      <c r="K97" s="44">
        <f t="shared" si="34"/>
        <v>658.02949760764989</v>
      </c>
      <c r="L97" s="44">
        <f t="shared" si="34"/>
        <v>306.10075000000063</v>
      </c>
      <c r="M97" s="44">
        <f t="shared" si="34"/>
        <v>969.72797058823608</v>
      </c>
      <c r="N97" s="44">
        <f t="shared" si="34"/>
        <v>225.63364705882537</v>
      </c>
      <c r="O97" s="44">
        <f t="shared" si="34"/>
        <v>-145.75069599711719</v>
      </c>
      <c r="P97" s="44">
        <f t="shared" si="34"/>
        <v>-883.58370370370449</v>
      </c>
      <c r="Q97" s="44">
        <f t="shared" si="34"/>
        <v>427.34250000000031</v>
      </c>
      <c r="R97" s="44">
        <f t="shared" si="34"/>
        <v>1724.5973333333332</v>
      </c>
      <c r="S97" s="45">
        <f t="shared" si="34"/>
        <v>-298.89000000000112</v>
      </c>
      <c r="T97" s="32">
        <f t="shared" si="34"/>
        <v>0</v>
      </c>
      <c r="U97" s="44">
        <f t="shared" si="34"/>
        <v>0</v>
      </c>
      <c r="V97" s="44">
        <f t="shared" si="34"/>
        <v>0</v>
      </c>
      <c r="AA97" s="8"/>
    </row>
    <row r="98" spans="1:27" hidden="1" outlineLevel="1" x14ac:dyDescent="0.25">
      <c r="A98" s="9"/>
      <c r="B98" s="43" t="s">
        <v>49</v>
      </c>
      <c r="C98" s="31">
        <f t="shared" si="34"/>
        <v>-51.591682363381551</v>
      </c>
      <c r="D98" s="44">
        <f t="shared" si="34"/>
        <v>-85.798321377331376</v>
      </c>
      <c r="E98" s="44">
        <f t="shared" si="34"/>
        <v>-678.14</v>
      </c>
      <c r="F98" s="44">
        <f t="shared" si="34"/>
        <v>0</v>
      </c>
      <c r="G98" s="44">
        <f t="shared" si="34"/>
        <v>-604.08693094629598</v>
      </c>
      <c r="H98" s="44">
        <f t="shared" si="34"/>
        <v>324.04372282608699</v>
      </c>
      <c r="I98" s="44">
        <f t="shared" si="34"/>
        <v>988.61654814814847</v>
      </c>
      <c r="J98" s="44">
        <f t="shared" si="34"/>
        <v>-868.71416666666619</v>
      </c>
      <c r="K98" s="44">
        <f t="shared" si="34"/>
        <v>-845.94309523809522</v>
      </c>
      <c r="L98" s="44">
        <f t="shared" si="34"/>
        <v>153.20454999999993</v>
      </c>
      <c r="M98" s="44">
        <f t="shared" si="34"/>
        <v>317.90389204545772</v>
      </c>
      <c r="N98" s="44">
        <f t="shared" si="34"/>
        <v>112.48684210525801</v>
      </c>
      <c r="O98" s="44">
        <f t="shared" si="34"/>
        <v>-125.91009803921747</v>
      </c>
      <c r="P98" s="44">
        <f t="shared" si="34"/>
        <v>20.360378983634973</v>
      </c>
      <c r="Q98" s="44">
        <f t="shared" si="34"/>
        <v>103.5955238095238</v>
      </c>
      <c r="R98" s="44">
        <f t="shared" si="34"/>
        <v>-643.68769230769226</v>
      </c>
      <c r="S98" s="45">
        <f t="shared" si="34"/>
        <v>-102.637937062937</v>
      </c>
      <c r="T98" s="32">
        <f t="shared" si="34"/>
        <v>0</v>
      </c>
      <c r="U98" s="44">
        <f t="shared" si="34"/>
        <v>0</v>
      </c>
      <c r="V98" s="44">
        <f t="shared" si="34"/>
        <v>0</v>
      </c>
      <c r="AA98" s="8"/>
    </row>
    <row r="99" spans="1:27" hidden="1" outlineLevel="1" x14ac:dyDescent="0.25">
      <c r="A99" s="9"/>
      <c r="B99" s="57" t="s">
        <v>50</v>
      </c>
      <c r="C99" s="34">
        <f t="shared" si="34"/>
        <v>757.14000973291786</v>
      </c>
      <c r="D99" s="46">
        <f t="shared" si="34"/>
        <v>761.63709469153218</v>
      </c>
      <c r="E99" s="46">
        <f t="shared" si="34"/>
        <v>-1301.2166666666633</v>
      </c>
      <c r="F99" s="46">
        <f t="shared" si="34"/>
        <v>0</v>
      </c>
      <c r="G99" s="46">
        <f t="shared" si="34"/>
        <v>454.73470588234522</v>
      </c>
      <c r="H99" s="46">
        <f t="shared" si="34"/>
        <v>-10.757663043472803</v>
      </c>
      <c r="I99" s="46">
        <f t="shared" si="34"/>
        <v>696.69924444444473</v>
      </c>
      <c r="J99" s="46">
        <f t="shared" si="34"/>
        <v>1366.7856060606052</v>
      </c>
      <c r="K99" s="46">
        <f t="shared" si="34"/>
        <v>257.40452380951592</v>
      </c>
      <c r="L99" s="46">
        <f t="shared" si="34"/>
        <v>127.41985000000477</v>
      </c>
      <c r="M99" s="46">
        <f t="shared" si="34"/>
        <v>826.10749053030622</v>
      </c>
      <c r="N99" s="46">
        <f t="shared" si="34"/>
        <v>128.58368421051955</v>
      </c>
      <c r="O99" s="46">
        <f t="shared" si="34"/>
        <v>965.6737581699399</v>
      </c>
      <c r="P99" s="46">
        <f t="shared" si="34"/>
        <v>744.74600344531154</v>
      </c>
      <c r="Q99" s="46">
        <f t="shared" si="34"/>
        <v>3084.2700476190425</v>
      </c>
      <c r="R99" s="46">
        <f t="shared" si="34"/>
        <v>875.69961538462439</v>
      </c>
      <c r="S99" s="58">
        <f t="shared" si="34"/>
        <v>72.505734265733736</v>
      </c>
      <c r="T99" s="51">
        <f t="shared" si="34"/>
        <v>0</v>
      </c>
      <c r="U99" s="37">
        <f t="shared" si="34"/>
        <v>0</v>
      </c>
      <c r="V99" s="36">
        <f t="shared" si="34"/>
        <v>0</v>
      </c>
      <c r="AA99" s="8"/>
    </row>
    <row r="100" spans="1:27" collapsed="1" x14ac:dyDescent="0.25">
      <c r="A100" s="9"/>
      <c r="B100" s="59" t="s">
        <v>51</v>
      </c>
      <c r="C100" s="36">
        <f t="shared" si="34"/>
        <v>468.71142897690152</v>
      </c>
      <c r="D100" s="37">
        <f t="shared" si="34"/>
        <v>394.38580252100701</v>
      </c>
      <c r="E100" s="37">
        <f t="shared" si="34"/>
        <v>-517.76499999999908</v>
      </c>
      <c r="F100" s="37">
        <f t="shared" si="34"/>
        <v>0</v>
      </c>
      <c r="G100" s="37">
        <f t="shared" si="34"/>
        <v>378.19560035841778</v>
      </c>
      <c r="H100" s="37">
        <f t="shared" si="34"/>
        <v>-430.09699516907835</v>
      </c>
      <c r="I100" s="37">
        <f t="shared" si="34"/>
        <v>605.37639271176533</v>
      </c>
      <c r="J100" s="37">
        <f t="shared" si="34"/>
        <v>725.73082431148725</v>
      </c>
      <c r="K100" s="37">
        <f t="shared" si="34"/>
        <v>713.02572398189363</v>
      </c>
      <c r="L100" s="37">
        <f t="shared" si="34"/>
        <v>-50.453580076095477</v>
      </c>
      <c r="M100" s="37">
        <f t="shared" si="34"/>
        <v>987.69808219178276</v>
      </c>
      <c r="N100" s="37">
        <f t="shared" si="34"/>
        <v>221.46246732025884</v>
      </c>
      <c r="O100" s="37">
        <f t="shared" si="34"/>
        <v>548.1711773177326</v>
      </c>
      <c r="P100" s="37">
        <f t="shared" si="34"/>
        <v>-301.89597222221914</v>
      </c>
      <c r="Q100" s="37">
        <f t="shared" si="34"/>
        <v>1854.4312816901383</v>
      </c>
      <c r="R100" s="37">
        <f t="shared" si="34"/>
        <v>1114.9646825396862</v>
      </c>
      <c r="S100" s="60">
        <f t="shared" si="34"/>
        <v>-621.02431302269997</v>
      </c>
      <c r="T100" s="56">
        <f t="shared" si="34"/>
        <v>0</v>
      </c>
      <c r="U100" s="36">
        <f t="shared" si="34"/>
        <v>0</v>
      </c>
      <c r="V100" s="36">
        <f t="shared" si="34"/>
        <v>0</v>
      </c>
      <c r="AA100" s="8"/>
    </row>
    <row r="101" spans="1:27" ht="15.75" thickBot="1" x14ac:dyDescent="0.3">
      <c r="A101" s="9"/>
      <c r="B101" s="61" t="s">
        <v>52</v>
      </c>
      <c r="C101" s="62">
        <f t="shared" si="34"/>
        <v>386.49717404445346</v>
      </c>
      <c r="D101" s="62">
        <f t="shared" si="34"/>
        <v>62.599352481355709</v>
      </c>
      <c r="E101" s="62">
        <f t="shared" si="34"/>
        <v>-571.43461538461406</v>
      </c>
      <c r="F101" s="62">
        <f t="shared" si="34"/>
        <v>0</v>
      </c>
      <c r="G101" s="62">
        <f t="shared" si="34"/>
        <v>91.853857634898759</v>
      </c>
      <c r="H101" s="62">
        <f t="shared" si="34"/>
        <v>27.708409851745273</v>
      </c>
      <c r="I101" s="62">
        <f t="shared" si="34"/>
        <v>234.36250950066847</v>
      </c>
      <c r="J101" s="62">
        <f t="shared" si="34"/>
        <v>1071.3764385166794</v>
      </c>
      <c r="K101" s="62">
        <f t="shared" si="34"/>
        <v>1016.2454749103908</v>
      </c>
      <c r="L101" s="62">
        <f t="shared" si="34"/>
        <v>170.45312608696076</v>
      </c>
      <c r="M101" s="62">
        <f t="shared" si="34"/>
        <v>815.53577876106328</v>
      </c>
      <c r="N101" s="62">
        <f t="shared" si="34"/>
        <v>705.88555080213746</v>
      </c>
      <c r="O101" s="62">
        <f t="shared" si="34"/>
        <v>-479.33010174633318</v>
      </c>
      <c r="P101" s="62">
        <f t="shared" si="34"/>
        <v>426.12793289085357</v>
      </c>
      <c r="Q101" s="62">
        <f t="shared" si="34"/>
        <v>1203.5120702468303</v>
      </c>
      <c r="R101" s="62">
        <f t="shared" si="34"/>
        <v>2576.6966226708118</v>
      </c>
      <c r="S101" s="63">
        <f t="shared" si="34"/>
        <v>-195.15113095238166</v>
      </c>
      <c r="T101" s="7"/>
      <c r="U101" s="7"/>
      <c r="V101" s="7"/>
      <c r="AA101" s="8"/>
    </row>
    <row r="102" spans="1:27" ht="5.0999999999999996" customHeight="1" x14ac:dyDescent="0.25"/>
    <row r="103" spans="1:27" ht="15.75" x14ac:dyDescent="0.25">
      <c r="B103" s="88" t="s">
        <v>54</v>
      </c>
      <c r="C103" s="65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</row>
    <row r="104" spans="1:27" x14ac:dyDescent="0.25">
      <c r="B104" s="70" t="s">
        <v>55</v>
      </c>
      <c r="C104" s="37">
        <f>SUM(D104:S104)</f>
        <v>189.71726296101608</v>
      </c>
      <c r="D104" s="37">
        <f t="shared" ref="D104:S104" si="35">(D73)*(D61)/1000</f>
        <v>-69.674120648148048</v>
      </c>
      <c r="E104" s="37">
        <f t="shared" si="35"/>
        <v>-2.2509999999999928</v>
      </c>
      <c r="F104" s="37">
        <f t="shared" si="35"/>
        <v>0</v>
      </c>
      <c r="G104" s="37">
        <f t="shared" si="35"/>
        <v>-15.797599999999962</v>
      </c>
      <c r="H104" s="37">
        <f t="shared" si="35"/>
        <v>-74.645466923076953</v>
      </c>
      <c r="I104" s="37">
        <f t="shared" si="35"/>
        <v>-57.156808295454333</v>
      </c>
      <c r="J104" s="37">
        <f t="shared" si="35"/>
        <v>23.706680232558128</v>
      </c>
      <c r="K104" s="37">
        <f t="shared" si="35"/>
        <v>73.0789019999998</v>
      </c>
      <c r="L104" s="37">
        <f t="shared" si="35"/>
        <v>28.695606153846072</v>
      </c>
      <c r="M104" s="37">
        <f t="shared" si="35"/>
        <v>56.920349499999958</v>
      </c>
      <c r="N104" s="37">
        <f t="shared" si="35"/>
        <v>31.572343999999955</v>
      </c>
      <c r="O104" s="37">
        <f t="shared" si="35"/>
        <v>57.256765573770394</v>
      </c>
      <c r="P104" s="37">
        <f t="shared" si="35"/>
        <v>44.541218333333283</v>
      </c>
      <c r="Q104" s="37">
        <f t="shared" si="35"/>
        <v>79.180773589743538</v>
      </c>
      <c r="R104" s="37">
        <f t="shared" si="35"/>
        <v>36.920911111110925</v>
      </c>
      <c r="S104" s="37">
        <f t="shared" si="35"/>
        <v>-22.631291666666666</v>
      </c>
    </row>
    <row r="105" spans="1:27" hidden="1" outlineLevel="1" x14ac:dyDescent="0.25">
      <c r="B105" s="71" t="s">
        <v>41</v>
      </c>
      <c r="C105" s="89">
        <f t="shared" ref="C105:C111" si="36">SUM(D105:S105)</f>
        <v>88.410671636253753</v>
      </c>
      <c r="D105" s="89">
        <f t="shared" ref="D105:S106" si="37">(D71)*D57/1000</f>
        <v>-52.846969999999885</v>
      </c>
      <c r="E105" s="89">
        <f t="shared" si="37"/>
        <v>7.2759576141834213E-15</v>
      </c>
      <c r="F105" s="89">
        <f t="shared" si="37"/>
        <v>0</v>
      </c>
      <c r="G105" s="89">
        <f t="shared" si="37"/>
        <v>0.95876357142856505</v>
      </c>
      <c r="H105" s="89">
        <f t="shared" si="37"/>
        <v>-53.664791794871817</v>
      </c>
      <c r="I105" s="89">
        <f t="shared" si="37"/>
        <v>-41.938114942528514</v>
      </c>
      <c r="J105" s="89">
        <f t="shared" si="37"/>
        <v>7.737977560975601</v>
      </c>
      <c r="K105" s="89">
        <f t="shared" si="37"/>
        <v>43.794263749999729</v>
      </c>
      <c r="L105" s="89">
        <f t="shared" si="37"/>
        <v>25.267697391304242</v>
      </c>
      <c r="M105" s="89">
        <f t="shared" si="37"/>
        <v>26.829702564102544</v>
      </c>
      <c r="N105" s="89">
        <f t="shared" si="37"/>
        <v>19.247969999999953</v>
      </c>
      <c r="O105" s="89">
        <f t="shared" si="37"/>
        <v>45.193600819672035</v>
      </c>
      <c r="P105" s="89">
        <f t="shared" si="37"/>
        <v>33.542537560975589</v>
      </c>
      <c r="Q105" s="89">
        <f t="shared" si="37"/>
        <v>62.139326052631539</v>
      </c>
      <c r="R105" s="89">
        <f t="shared" si="37"/>
        <v>-13.179769230769184</v>
      </c>
      <c r="S105" s="89">
        <f t="shared" si="37"/>
        <v>-14.671521666666667</v>
      </c>
    </row>
    <row r="106" spans="1:27" hidden="1" outlineLevel="1" x14ac:dyDescent="0.25">
      <c r="B106" s="71" t="s">
        <v>42</v>
      </c>
      <c r="C106" s="90">
        <f t="shared" si="36"/>
        <v>-5.4419733333333404</v>
      </c>
      <c r="D106" s="89">
        <f t="shared" si="37"/>
        <v>7.522919999999985</v>
      </c>
      <c r="E106" s="90">
        <f t="shared" si="37"/>
        <v>0</v>
      </c>
      <c r="F106" s="90">
        <f t="shared" si="37"/>
        <v>0</v>
      </c>
      <c r="G106" s="90">
        <f t="shared" si="37"/>
        <v>-7.0339999999999998</v>
      </c>
      <c r="H106" s="90">
        <f t="shared" si="37"/>
        <v>0</v>
      </c>
      <c r="I106" s="89">
        <f t="shared" si="37"/>
        <v>1.40208</v>
      </c>
      <c r="J106" s="90">
        <f t="shared" si="37"/>
        <v>1.9422899999999899</v>
      </c>
      <c r="K106" s="89">
        <f t="shared" si="37"/>
        <v>0</v>
      </c>
      <c r="L106" s="90">
        <f t="shared" si="37"/>
        <v>-3.21833333333367E-2</v>
      </c>
      <c r="M106" s="90">
        <f t="shared" si="37"/>
        <v>5.7204000000000059</v>
      </c>
      <c r="N106" s="90">
        <f t="shared" si="37"/>
        <v>-12.964169999999999</v>
      </c>
      <c r="O106" s="89">
        <f t="shared" si="37"/>
        <v>0</v>
      </c>
      <c r="P106" s="90">
        <f t="shared" si="37"/>
        <v>-1.9993099999999857</v>
      </c>
      <c r="Q106" s="90">
        <f t="shared" si="37"/>
        <v>0</v>
      </c>
      <c r="R106" s="90">
        <f t="shared" si="37"/>
        <v>0</v>
      </c>
      <c r="S106" s="90">
        <f t="shared" si="37"/>
        <v>0</v>
      </c>
    </row>
    <row r="107" spans="1:27" hidden="1" outlineLevel="1" x14ac:dyDescent="0.25">
      <c r="B107" s="71" t="s">
        <v>43</v>
      </c>
      <c r="C107" s="89">
        <f t="shared" si="36"/>
        <v>82.060801317349828</v>
      </c>
      <c r="D107" s="89">
        <f t="shared" ref="D107:S107" si="38">(D71)*D59/1000</f>
        <v>-24.546504150943399</v>
      </c>
      <c r="E107" s="89">
        <f t="shared" si="38"/>
        <v>-2.2509999999999999</v>
      </c>
      <c r="F107" s="89">
        <f t="shared" si="38"/>
        <v>0</v>
      </c>
      <c r="G107" s="89">
        <f t="shared" si="38"/>
        <v>1.3670239285714285</v>
      </c>
      <c r="H107" s="89">
        <f t="shared" si="38"/>
        <v>-19.512304871794875</v>
      </c>
      <c r="I107" s="89">
        <f t="shared" si="38"/>
        <v>-17.604227586206896</v>
      </c>
      <c r="J107" s="89">
        <f t="shared" si="38"/>
        <v>8.9018675609756102</v>
      </c>
      <c r="K107" s="89">
        <f t="shared" si="38"/>
        <v>36.018537500000001</v>
      </c>
      <c r="L107" s="89">
        <f t="shared" si="38"/>
        <v>9.5128695652173914</v>
      </c>
      <c r="M107" s="89">
        <f t="shared" si="38"/>
        <v>5.7300246153846155</v>
      </c>
      <c r="N107" s="89">
        <f t="shared" si="38"/>
        <v>10.924899999999999</v>
      </c>
      <c r="O107" s="89">
        <f t="shared" si="38"/>
        <v>12.098570491803278</v>
      </c>
      <c r="P107" s="89">
        <f t="shared" si="38"/>
        <v>19.178988292682927</v>
      </c>
      <c r="Q107" s="89">
        <f t="shared" si="38"/>
        <v>17.404702894736843</v>
      </c>
      <c r="R107" s="89">
        <f t="shared" si="38"/>
        <v>32.797123076922922</v>
      </c>
      <c r="S107" s="89">
        <f t="shared" si="38"/>
        <v>-7.9597700000000007</v>
      </c>
    </row>
    <row r="108" spans="1:27" collapsed="1" x14ac:dyDescent="0.25">
      <c r="B108" s="91" t="s">
        <v>56</v>
      </c>
      <c r="C108" s="89">
        <f t="shared" si="36"/>
        <v>112.77556703898472</v>
      </c>
      <c r="D108" s="89">
        <f t="shared" ref="D108:S108" si="39">D94*D7/1000</f>
        <v>-5.6446393518518594</v>
      </c>
      <c r="E108" s="89">
        <f t="shared" si="39"/>
        <v>0</v>
      </c>
      <c r="F108" s="89">
        <f t="shared" si="39"/>
        <v>0</v>
      </c>
      <c r="G108" s="89">
        <f t="shared" si="39"/>
        <v>-7.0616600000000709</v>
      </c>
      <c r="H108" s="89">
        <f t="shared" si="39"/>
        <v>30.869606923076709</v>
      </c>
      <c r="I108" s="89">
        <f t="shared" si="39"/>
        <v>18.725438295455245</v>
      </c>
      <c r="J108" s="89">
        <f t="shared" si="39"/>
        <v>55.22469976744204</v>
      </c>
      <c r="K108" s="89">
        <f t="shared" si="39"/>
        <v>0.32246800000011899</v>
      </c>
      <c r="L108" s="89">
        <f t="shared" si="39"/>
        <v>15.520853846154132</v>
      </c>
      <c r="M108" s="89">
        <f t="shared" si="39"/>
        <v>-0.29833949999996184</v>
      </c>
      <c r="N108" s="89">
        <f t="shared" si="39"/>
        <v>12.042116000000039</v>
      </c>
      <c r="O108" s="89">
        <f t="shared" si="39"/>
        <v>-203.66134557376949</v>
      </c>
      <c r="P108" s="89">
        <f t="shared" si="39"/>
        <v>39.250271666666364</v>
      </c>
      <c r="Q108" s="89">
        <f t="shared" si="39"/>
        <v>19.726946410255639</v>
      </c>
      <c r="R108" s="89">
        <f t="shared" si="39"/>
        <v>121.38558888888917</v>
      </c>
      <c r="S108" s="89">
        <f t="shared" si="39"/>
        <v>16.37356166666666</v>
      </c>
    </row>
    <row r="109" spans="1:27" hidden="1" outlineLevel="1" x14ac:dyDescent="0.25">
      <c r="B109" s="71" t="s">
        <v>41</v>
      </c>
      <c r="C109" s="89">
        <f t="shared" si="36"/>
        <v>60.404718363746966</v>
      </c>
      <c r="D109" s="89">
        <f t="shared" ref="D109:S110" si="40">D90*(D5)/1000</f>
        <v>-9.6084500000000634</v>
      </c>
      <c r="E109" s="89">
        <f t="shared" si="40"/>
        <v>0</v>
      </c>
      <c r="F109" s="89">
        <f t="shared" si="40"/>
        <v>0</v>
      </c>
      <c r="G109" s="89">
        <f t="shared" si="40"/>
        <v>-6.2514035714285043</v>
      </c>
      <c r="H109" s="89">
        <f t="shared" si="40"/>
        <v>21.772041794871729</v>
      </c>
      <c r="I109" s="89">
        <f t="shared" si="40"/>
        <v>9.439254942529395</v>
      </c>
      <c r="J109" s="89">
        <f t="shared" si="40"/>
        <v>71.252832439024559</v>
      </c>
      <c r="K109" s="89">
        <f t="shared" si="40"/>
        <v>13.519676250000167</v>
      </c>
      <c r="L109" s="89">
        <f t="shared" si="40"/>
        <v>-3.2120073913040463</v>
      </c>
      <c r="M109" s="89">
        <f t="shared" si="40"/>
        <v>-0.94687256410246123</v>
      </c>
      <c r="N109" s="89">
        <f t="shared" si="40"/>
        <v>18.988850000000035</v>
      </c>
      <c r="O109" s="89">
        <f t="shared" si="40"/>
        <v>-217.31466081967113</v>
      </c>
      <c r="P109" s="89">
        <f t="shared" si="40"/>
        <v>17.552732439023902</v>
      </c>
      <c r="Q109" s="89">
        <f t="shared" si="40"/>
        <v>2.4835139473675714</v>
      </c>
      <c r="R109" s="89">
        <f t="shared" si="40"/>
        <v>141.75488923076918</v>
      </c>
      <c r="S109" s="89">
        <f t="shared" si="40"/>
        <v>0.97432166666665121</v>
      </c>
    </row>
    <row r="110" spans="1:27" hidden="1" outlineLevel="1" x14ac:dyDescent="0.25">
      <c r="B110" s="71" t="s">
        <v>42</v>
      </c>
      <c r="C110" s="89">
        <f t="shared" si="36"/>
        <v>43.543573333333363</v>
      </c>
      <c r="D110" s="89">
        <f t="shared" si="40"/>
        <v>6.6079500000000282</v>
      </c>
      <c r="E110" s="89">
        <f t="shared" si="40"/>
        <v>0</v>
      </c>
      <c r="F110" s="89">
        <f t="shared" si="40"/>
        <v>0</v>
      </c>
      <c r="G110" s="89">
        <f t="shared" si="40"/>
        <v>0</v>
      </c>
      <c r="H110" s="89">
        <f t="shared" si="40"/>
        <v>0</v>
      </c>
      <c r="I110" s="89">
        <f t="shared" si="40"/>
        <v>-0.99232999999999993</v>
      </c>
      <c r="J110" s="89">
        <f t="shared" si="40"/>
        <v>1.3914000000000297</v>
      </c>
      <c r="K110" s="89">
        <f t="shared" si="40"/>
        <v>-0.74515000000000098</v>
      </c>
      <c r="L110" s="89">
        <f t="shared" si="40"/>
        <v>0.23588333333332662</v>
      </c>
      <c r="M110" s="89">
        <f t="shared" si="40"/>
        <v>9.1405699999998919</v>
      </c>
      <c r="N110" s="89">
        <f t="shared" si="40"/>
        <v>0</v>
      </c>
      <c r="O110" s="89">
        <f t="shared" si="40"/>
        <v>0</v>
      </c>
      <c r="P110" s="89">
        <f t="shared" si="40"/>
        <v>20.523430000000086</v>
      </c>
      <c r="Q110" s="89">
        <f t="shared" si="40"/>
        <v>4.756199999999998</v>
      </c>
      <c r="R110" s="89">
        <f t="shared" si="40"/>
        <v>2.6256199999999992</v>
      </c>
      <c r="S110" s="89">
        <f t="shared" si="40"/>
        <v>0</v>
      </c>
    </row>
    <row r="111" spans="1:27" hidden="1" outlineLevel="1" x14ac:dyDescent="0.25">
      <c r="B111" s="71" t="s">
        <v>43</v>
      </c>
      <c r="C111" s="89">
        <f t="shared" si="36"/>
        <v>52.230638682650046</v>
      </c>
      <c r="D111" s="89">
        <f t="shared" ref="D111:S111" si="41">D92*(D5)/1000</f>
        <v>-0.89144584905661484</v>
      </c>
      <c r="E111" s="89">
        <f t="shared" si="41"/>
        <v>0</v>
      </c>
      <c r="F111" s="89">
        <f t="shared" si="41"/>
        <v>0</v>
      </c>
      <c r="G111" s="89">
        <f t="shared" si="41"/>
        <v>-6.9414939285715294</v>
      </c>
      <c r="H111" s="89">
        <f t="shared" si="41"/>
        <v>8.235234871794761</v>
      </c>
      <c r="I111" s="89">
        <f t="shared" si="41"/>
        <v>6.1152375862068968</v>
      </c>
      <c r="J111" s="89">
        <f t="shared" si="41"/>
        <v>-3.3453175609756109</v>
      </c>
      <c r="K111" s="89">
        <f t="shared" si="41"/>
        <v>-16.190957500000007</v>
      </c>
      <c r="L111" s="89">
        <f t="shared" si="41"/>
        <v>12.943200434782602</v>
      </c>
      <c r="M111" s="89">
        <f t="shared" si="41"/>
        <v>10.531545384615383</v>
      </c>
      <c r="N111" s="89">
        <f t="shared" si="41"/>
        <v>9.5068599999999961</v>
      </c>
      <c r="O111" s="89">
        <f t="shared" si="41"/>
        <v>13.916529508196749</v>
      </c>
      <c r="P111" s="89">
        <f t="shared" si="41"/>
        <v>-4.7722582926829222</v>
      </c>
      <c r="Q111" s="89">
        <f t="shared" si="41"/>
        <v>11.527167105263169</v>
      </c>
      <c r="R111" s="89">
        <f t="shared" si="41"/>
        <v>-3.8029030769228238</v>
      </c>
      <c r="S111" s="89">
        <f t="shared" si="41"/>
        <v>15.399239999999997</v>
      </c>
    </row>
    <row r="112" spans="1:27" collapsed="1" x14ac:dyDescent="0.25">
      <c r="B112" s="78" t="s">
        <v>57</v>
      </c>
      <c r="C112" s="79">
        <f>SUM(C104,C108)</f>
        <v>302.49283000000082</v>
      </c>
      <c r="D112" s="79">
        <f>SUM(D104,D108)</f>
        <v>-75.318759999999912</v>
      </c>
      <c r="E112" s="79">
        <f t="shared" ref="E112:S112" si="42">SUM(E104,E108)</f>
        <v>-2.2509999999999928</v>
      </c>
      <c r="F112" s="79">
        <f t="shared" si="42"/>
        <v>0</v>
      </c>
      <c r="G112" s="79">
        <f t="shared" si="42"/>
        <v>-22.859260000000035</v>
      </c>
      <c r="H112" s="79">
        <f t="shared" si="42"/>
        <v>-43.775860000000243</v>
      </c>
      <c r="I112" s="79">
        <f t="shared" si="42"/>
        <v>-38.431369999999092</v>
      </c>
      <c r="J112" s="79">
        <f t="shared" si="42"/>
        <v>78.931380000000161</v>
      </c>
      <c r="K112" s="79">
        <f t="shared" si="42"/>
        <v>73.401369999999915</v>
      </c>
      <c r="L112" s="79">
        <f t="shared" si="42"/>
        <v>44.216460000000204</v>
      </c>
      <c r="M112" s="79">
        <f t="shared" si="42"/>
        <v>56.622009999999996</v>
      </c>
      <c r="N112" s="79">
        <f t="shared" si="42"/>
        <v>43.614459999999994</v>
      </c>
      <c r="O112" s="79">
        <f t="shared" si="42"/>
        <v>-146.4045799999991</v>
      </c>
      <c r="P112" s="79">
        <f t="shared" si="42"/>
        <v>83.791489999999641</v>
      </c>
      <c r="Q112" s="79">
        <f t="shared" si="42"/>
        <v>98.907719999999173</v>
      </c>
      <c r="R112" s="79">
        <f>SUM(R104,R108)</f>
        <v>158.30650000000009</v>
      </c>
      <c r="S112" s="36">
        <f t="shared" si="42"/>
        <v>-6.2577300000000058</v>
      </c>
    </row>
    <row r="113" spans="2:19" ht="4.3499999999999996" customHeight="1" x14ac:dyDescent="0.25"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</row>
    <row r="114" spans="2:19" ht="15.75" x14ac:dyDescent="0.25">
      <c r="B114" s="92" t="s">
        <v>58</v>
      </c>
      <c r="C114" s="65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</row>
    <row r="115" spans="2:19" x14ac:dyDescent="0.25">
      <c r="B115" s="70" t="s">
        <v>55</v>
      </c>
      <c r="C115" s="37">
        <f>SUM(D115:S115)</f>
        <v>-42.617251761485775</v>
      </c>
      <c r="D115" s="37">
        <f t="shared" ref="D115:S115" si="43">(D74+D76)*D67/1000</f>
        <v>-1.5341874117647072</v>
      </c>
      <c r="E115" s="37">
        <f t="shared" si="43"/>
        <v>-5.177649999999991</v>
      </c>
      <c r="F115" s="37">
        <f t="shared" si="43"/>
        <v>0</v>
      </c>
      <c r="G115" s="37">
        <f t="shared" si="43"/>
        <v>10.792148387096757</v>
      </c>
      <c r="H115" s="37">
        <f t="shared" si="43"/>
        <v>2.4418117777777733</v>
      </c>
      <c r="I115" s="37">
        <f t="shared" si="43"/>
        <v>7.6766477611940207</v>
      </c>
      <c r="J115" s="37">
        <f t="shared" si="43"/>
        <v>-10.006593580246975</v>
      </c>
      <c r="K115" s="37">
        <f t="shared" si="43"/>
        <v>3.945335384615388</v>
      </c>
      <c r="L115" s="37">
        <f t="shared" si="43"/>
        <v>12.641961224489778</v>
      </c>
      <c r="M115" s="37">
        <f t="shared" si="43"/>
        <v>-8.4272434246575205</v>
      </c>
      <c r="N115" s="37">
        <f t="shared" si="43"/>
        <v>-2.5416338888888883</v>
      </c>
      <c r="O115" s="37">
        <f t="shared" si="43"/>
        <v>-16.751218909090877</v>
      </c>
      <c r="P115" s="37">
        <f t="shared" si="43"/>
        <v>-40.010107499999975</v>
      </c>
      <c r="Q115" s="37">
        <f t="shared" si="43"/>
        <v>10.121348999999993</v>
      </c>
      <c r="R115" s="37">
        <f t="shared" si="43"/>
        <v>-16.695014285714244</v>
      </c>
      <c r="S115" s="37">
        <f t="shared" si="43"/>
        <v>10.907143703703689</v>
      </c>
    </row>
    <row r="116" spans="2:19" hidden="1" outlineLevel="1" x14ac:dyDescent="0.25">
      <c r="B116" s="71" t="s">
        <v>46</v>
      </c>
      <c r="C116" s="37">
        <f t="shared" ref="C116:C122" si="44">SUM(D116:S116)</f>
        <v>-51.489144088418485</v>
      </c>
      <c r="D116" s="37">
        <f t="shared" ref="D116:S116" si="45">(D74)*D62/1000</f>
        <v>-10.367454146341483</v>
      </c>
      <c r="E116" s="37">
        <f t="shared" si="45"/>
        <v>-1.86922999999999</v>
      </c>
      <c r="F116" s="37">
        <f t="shared" si="45"/>
        <v>0</v>
      </c>
      <c r="G116" s="37">
        <f t="shared" si="45"/>
        <v>7.094022352941173</v>
      </c>
      <c r="H116" s="37">
        <f t="shared" si="45"/>
        <v>-20.669878124999943</v>
      </c>
      <c r="I116" s="37">
        <f t="shared" si="45"/>
        <v>1.6969872000000001</v>
      </c>
      <c r="J116" s="37">
        <f t="shared" si="45"/>
        <v>4.1196054545454475</v>
      </c>
      <c r="K116" s="37">
        <f t="shared" si="45"/>
        <v>2.0734285714285643</v>
      </c>
      <c r="L116" s="37">
        <f t="shared" si="45"/>
        <v>-1.3185871999999959</v>
      </c>
      <c r="M116" s="37">
        <f t="shared" si="45"/>
        <v>-1.5462851515151517</v>
      </c>
      <c r="N116" s="37">
        <f t="shared" si="45"/>
        <v>0</v>
      </c>
      <c r="O116" s="37">
        <f t="shared" si="45"/>
        <v>2.9804017647058578</v>
      </c>
      <c r="P116" s="37">
        <f t="shared" si="45"/>
        <v>-24.913041860465086</v>
      </c>
      <c r="Q116" s="37">
        <f t="shared" si="45"/>
        <v>5.8019016666666579</v>
      </c>
      <c r="R116" s="37">
        <f t="shared" si="45"/>
        <v>-8.9787438461537867</v>
      </c>
      <c r="S116" s="37">
        <f t="shared" si="45"/>
        <v>-5.5922707692307538</v>
      </c>
    </row>
    <row r="117" spans="2:19" hidden="1" outlineLevel="1" x14ac:dyDescent="0.25">
      <c r="B117" s="71" t="s">
        <v>59</v>
      </c>
      <c r="C117" s="37">
        <f t="shared" si="44"/>
        <v>-9.7991650483627382</v>
      </c>
      <c r="D117" s="37">
        <f t="shared" ref="D117:S117" si="46">(D76)*D64/1000</f>
        <v>2.4433677272727272</v>
      </c>
      <c r="E117" s="37">
        <f t="shared" si="46"/>
        <v>-1.274</v>
      </c>
      <c r="F117" s="37">
        <f t="shared" si="46"/>
        <v>0</v>
      </c>
      <c r="G117" s="37">
        <f t="shared" si="46"/>
        <v>-1.1544271428571358</v>
      </c>
      <c r="H117" s="37">
        <f t="shared" si="46"/>
        <v>5.2099461538461478</v>
      </c>
      <c r="I117" s="37">
        <f t="shared" si="46"/>
        <v>8.560190476191086E-2</v>
      </c>
      <c r="J117" s="37">
        <f t="shared" si="46"/>
        <v>0.61178249999995926</v>
      </c>
      <c r="K117" s="37">
        <f t="shared" si="46"/>
        <v>-0.4154289473684179</v>
      </c>
      <c r="L117" s="37">
        <f t="shared" si="46"/>
        <v>-1.4978562499999908</v>
      </c>
      <c r="M117" s="37">
        <f t="shared" si="46"/>
        <v>2.2299000000004801E-2</v>
      </c>
      <c r="N117" s="37">
        <f t="shared" si="46"/>
        <v>-0.83950470588234938</v>
      </c>
      <c r="O117" s="37">
        <f t="shared" si="46"/>
        <v>-14.524637288135594</v>
      </c>
      <c r="P117" s="37">
        <f t="shared" si="46"/>
        <v>-1.5894200000000001</v>
      </c>
      <c r="Q117" s="37">
        <f t="shared" si="46"/>
        <v>0.65706999999999882</v>
      </c>
      <c r="R117" s="37">
        <f t="shared" si="46"/>
        <v>-1.5339579999999999</v>
      </c>
      <c r="S117" s="37">
        <f t="shared" si="46"/>
        <v>4</v>
      </c>
    </row>
    <row r="118" spans="2:19" hidden="1" outlineLevel="1" x14ac:dyDescent="0.25">
      <c r="B118" s="71" t="s">
        <v>49</v>
      </c>
      <c r="C118" s="37">
        <f t="shared" si="44"/>
        <v>-45.454404191546466</v>
      </c>
      <c r="D118" s="37">
        <f t="shared" ref="D118:S118" si="47">(D74)*D65/1000</f>
        <v>-8.8377970731707318</v>
      </c>
      <c r="E118" s="37">
        <f t="shared" si="47"/>
        <v>-2.0344199999999999</v>
      </c>
      <c r="F118" s="37">
        <f t="shared" si="47"/>
        <v>0</v>
      </c>
      <c r="G118" s="37">
        <f t="shared" si="47"/>
        <v>10.817509411764705</v>
      </c>
      <c r="H118" s="37">
        <f t="shared" si="47"/>
        <v>-8.3294156249999993</v>
      </c>
      <c r="I118" s="37">
        <f t="shared" si="47"/>
        <v>2.3817431999999918</v>
      </c>
      <c r="J118" s="37">
        <f t="shared" si="47"/>
        <v>-19.079639999999994</v>
      </c>
      <c r="K118" s="37">
        <f t="shared" si="47"/>
        <v>8.9647071428571437</v>
      </c>
      <c r="L118" s="37">
        <f t="shared" si="47"/>
        <v>-1.2899592</v>
      </c>
      <c r="M118" s="37">
        <f t="shared" si="47"/>
        <v>-1.1213745454545423</v>
      </c>
      <c r="N118" s="37">
        <f t="shared" si="47"/>
        <v>0</v>
      </c>
      <c r="O118" s="37">
        <f t="shared" si="47"/>
        <v>4.862205294117647</v>
      </c>
      <c r="P118" s="37">
        <f t="shared" si="47"/>
        <v>-26.061410232558138</v>
      </c>
      <c r="Q118" s="37">
        <f t="shared" si="47"/>
        <v>11.993216666666667</v>
      </c>
      <c r="R118" s="37">
        <f t="shared" si="47"/>
        <v>-12.062313846153845</v>
      </c>
      <c r="S118" s="37">
        <f t="shared" si="47"/>
        <v>-5.6574553846153846</v>
      </c>
    </row>
    <row r="119" spans="2:19" collapsed="1" x14ac:dyDescent="0.25">
      <c r="B119" s="72" t="s">
        <v>56</v>
      </c>
      <c r="C119" s="37">
        <f>SUM(D119:S119)</f>
        <v>386.27452176148552</v>
      </c>
      <c r="D119" s="37">
        <f t="shared" ref="D119:S119" si="48">(D8+D10)*D100/1000</f>
        <v>33.128407411764584</v>
      </c>
      <c r="E119" s="37">
        <f t="shared" si="48"/>
        <v>0</v>
      </c>
      <c r="F119" s="37">
        <f t="shared" si="48"/>
        <v>0</v>
      </c>
      <c r="G119" s="37">
        <f t="shared" si="48"/>
        <v>13.61504161290304</v>
      </c>
      <c r="H119" s="37">
        <f t="shared" si="48"/>
        <v>-19.784461777777604</v>
      </c>
      <c r="I119" s="37">
        <f t="shared" si="48"/>
        <v>46.613982238805932</v>
      </c>
      <c r="J119" s="37">
        <f t="shared" si="48"/>
        <v>47.172503580246676</v>
      </c>
      <c r="K119" s="37">
        <f t="shared" si="48"/>
        <v>24.242874615384384</v>
      </c>
      <c r="L119" s="37">
        <f t="shared" si="48"/>
        <v>-2.9767612244896333</v>
      </c>
      <c r="M119" s="37">
        <f t="shared" si="48"/>
        <v>65.188073424657659</v>
      </c>
      <c r="N119" s="37">
        <f t="shared" si="48"/>
        <v>7.5297238888888005</v>
      </c>
      <c r="O119" s="37">
        <f t="shared" si="48"/>
        <v>55.365288909090992</v>
      </c>
      <c r="P119" s="37">
        <f t="shared" si="48"/>
        <v>-16.302382499999833</v>
      </c>
      <c r="Q119" s="37">
        <f t="shared" si="48"/>
        <v>131.66462099999981</v>
      </c>
      <c r="R119" s="37">
        <f t="shared" si="48"/>
        <v>20.069364285714354</v>
      </c>
      <c r="S119" s="37">
        <f t="shared" si="48"/>
        <v>-19.251753703703699</v>
      </c>
    </row>
    <row r="120" spans="2:19" hidden="1" outlineLevel="1" x14ac:dyDescent="0.25">
      <c r="B120" s="73" t="s">
        <v>46</v>
      </c>
      <c r="C120" s="74">
        <f t="shared" si="44"/>
        <v>316.22222408841878</v>
      </c>
      <c r="D120" s="74">
        <f t="shared" ref="D120:S120" si="49">D95*D8/1000</f>
        <v>28.81280414634136</v>
      </c>
      <c r="E120" s="74">
        <f t="shared" si="49"/>
        <v>0</v>
      </c>
      <c r="F120" s="74">
        <f t="shared" si="49"/>
        <v>0</v>
      </c>
      <c r="G120" s="74">
        <f t="shared" si="49"/>
        <v>24.352897647058736</v>
      </c>
      <c r="H120" s="74">
        <f t="shared" si="49"/>
        <v>-7.7004318749998779</v>
      </c>
      <c r="I120" s="74">
        <f t="shared" si="49"/>
        <v>-7.8817672000000014</v>
      </c>
      <c r="J120" s="74">
        <f t="shared" si="49"/>
        <v>53.651994545454521</v>
      </c>
      <c r="K120" s="74">
        <f t="shared" si="49"/>
        <v>13.240171428571331</v>
      </c>
      <c r="L120" s="74">
        <f t="shared" si="49"/>
        <v>-0.61883279999988916</v>
      </c>
      <c r="M120" s="74">
        <f t="shared" si="49"/>
        <v>16.262515151515146</v>
      </c>
      <c r="N120" s="74">
        <f t="shared" si="49"/>
        <v>0.30583999999997152</v>
      </c>
      <c r="O120" s="74">
        <f t="shared" si="49"/>
        <v>58.945528235294482</v>
      </c>
      <c r="P120" s="74">
        <f t="shared" si="49"/>
        <v>19.558411860465274</v>
      </c>
      <c r="Q120" s="74">
        <f t="shared" si="49"/>
        <v>104.32360833333313</v>
      </c>
      <c r="R120" s="74">
        <f t="shared" si="49"/>
        <v>9.1163238461538985</v>
      </c>
      <c r="S120" s="37">
        <f t="shared" si="49"/>
        <v>3.853160769230751</v>
      </c>
    </row>
    <row r="121" spans="2:19" hidden="1" outlineLevel="1" x14ac:dyDescent="0.25">
      <c r="B121" s="73" t="s">
        <v>59</v>
      </c>
      <c r="C121" s="74">
        <f t="shared" si="44"/>
        <v>140.60035504836233</v>
      </c>
      <c r="D121" s="74">
        <f t="shared" ref="D121:S121" si="50">D97*D10/1000</f>
        <v>22.460442272727271</v>
      </c>
      <c r="E121" s="74">
        <f t="shared" si="50"/>
        <v>0</v>
      </c>
      <c r="F121" s="74">
        <f t="shared" si="50"/>
        <v>0</v>
      </c>
      <c r="G121" s="74">
        <f t="shared" si="50"/>
        <v>-2.8088128571428657</v>
      </c>
      <c r="H121" s="74">
        <f t="shared" si="50"/>
        <v>6.6941238461538637</v>
      </c>
      <c r="I121" s="74">
        <f t="shared" si="50"/>
        <v>31.315418095238055</v>
      </c>
      <c r="J121" s="74">
        <f t="shared" si="50"/>
        <v>18.711307499999762</v>
      </c>
      <c r="K121" s="74">
        <f t="shared" si="50"/>
        <v>14.476648947368298</v>
      </c>
      <c r="L121" s="74">
        <f t="shared" si="50"/>
        <v>10.713526250000022</v>
      </c>
      <c r="M121" s="74">
        <f t="shared" si="50"/>
        <v>32.970751000000028</v>
      </c>
      <c r="N121" s="74">
        <f t="shared" si="50"/>
        <v>3.3845047058823807</v>
      </c>
      <c r="O121" s="74">
        <f t="shared" si="50"/>
        <v>-6.8502827118645078</v>
      </c>
      <c r="P121" s="74">
        <f t="shared" si="50"/>
        <v>-23.856760000000019</v>
      </c>
      <c r="Q121" s="74">
        <f t="shared" si="50"/>
        <v>15.384330000000011</v>
      </c>
      <c r="R121" s="74">
        <f t="shared" si="50"/>
        <v>20.695167999999999</v>
      </c>
      <c r="S121" s="46">
        <f t="shared" si="50"/>
        <v>-2.6900100000000102</v>
      </c>
    </row>
    <row r="122" spans="2:19" hidden="1" outlineLevel="1" x14ac:dyDescent="0.25">
      <c r="B122" s="73" t="s">
        <v>49</v>
      </c>
      <c r="C122" s="74">
        <f t="shared" si="44"/>
        <v>-6.4225958084536821</v>
      </c>
      <c r="D122" s="74">
        <f t="shared" ref="D122:S122" si="51">D98*D8/1000</f>
        <v>-2.9171429268292668</v>
      </c>
      <c r="E122" s="74">
        <f t="shared" si="51"/>
        <v>0</v>
      </c>
      <c r="F122" s="74">
        <f t="shared" si="51"/>
        <v>0</v>
      </c>
      <c r="G122" s="74">
        <f t="shared" si="51"/>
        <v>-13.893999411764808</v>
      </c>
      <c r="H122" s="74">
        <f t="shared" si="51"/>
        <v>7.4530056250000003</v>
      </c>
      <c r="I122" s="74">
        <f t="shared" si="51"/>
        <v>26.692646800000009</v>
      </c>
      <c r="J122" s="74">
        <f t="shared" si="51"/>
        <v>-20.849139999999988</v>
      </c>
      <c r="K122" s="74">
        <f t="shared" si="51"/>
        <v>-10.151317142857142</v>
      </c>
      <c r="L122" s="74">
        <f t="shared" si="51"/>
        <v>3.6769091999999981</v>
      </c>
      <c r="M122" s="74">
        <f t="shared" si="51"/>
        <v>10.172924545454647</v>
      </c>
      <c r="N122" s="74">
        <f t="shared" si="51"/>
        <v>2.1372499999999022</v>
      </c>
      <c r="O122" s="74">
        <f t="shared" si="51"/>
        <v>-6.7991452941177428</v>
      </c>
      <c r="P122" s="74">
        <f t="shared" si="51"/>
        <v>0.54973023255814424</v>
      </c>
      <c r="Q122" s="74">
        <f t="shared" si="51"/>
        <v>3.6258433333333326</v>
      </c>
      <c r="R122" s="74">
        <f t="shared" si="51"/>
        <v>-3.8621261538461535</v>
      </c>
      <c r="S122" s="46">
        <f t="shared" si="51"/>
        <v>-2.2580346153846138</v>
      </c>
    </row>
    <row r="123" spans="2:19" collapsed="1" x14ac:dyDescent="0.25">
      <c r="B123" s="78" t="s">
        <v>57</v>
      </c>
      <c r="C123" s="79">
        <f>SUM(C115,C119)</f>
        <v>343.65726999999976</v>
      </c>
      <c r="D123" s="79">
        <f t="shared" ref="D123:S123" si="52">SUM(D115,D119)</f>
        <v>31.594219999999876</v>
      </c>
      <c r="E123" s="79">
        <f t="shared" si="52"/>
        <v>-5.177649999999991</v>
      </c>
      <c r="F123" s="79">
        <f t="shared" si="52"/>
        <v>0</v>
      </c>
      <c r="G123" s="79">
        <f t="shared" si="52"/>
        <v>24.407189999999797</v>
      </c>
      <c r="H123" s="79">
        <f t="shared" si="52"/>
        <v>-17.342649999999832</v>
      </c>
      <c r="I123" s="79">
        <f t="shared" si="52"/>
        <v>54.29062999999995</v>
      </c>
      <c r="J123" s="79">
        <f t="shared" si="52"/>
        <v>37.165909999999698</v>
      </c>
      <c r="K123" s="79">
        <f t="shared" si="52"/>
        <v>28.188209999999771</v>
      </c>
      <c r="L123" s="79">
        <f t="shared" si="52"/>
        <v>9.6652000000001443</v>
      </c>
      <c r="M123" s="79">
        <f t="shared" si="52"/>
        <v>56.760830000000141</v>
      </c>
      <c r="N123" s="79">
        <f t="shared" si="52"/>
        <v>4.9880899999999126</v>
      </c>
      <c r="O123" s="79">
        <f t="shared" si="52"/>
        <v>38.614070000000112</v>
      </c>
      <c r="P123" s="79">
        <f t="shared" si="52"/>
        <v>-56.312489999999812</v>
      </c>
      <c r="Q123" s="79">
        <f t="shared" si="52"/>
        <v>141.78596999999979</v>
      </c>
      <c r="R123" s="79">
        <f t="shared" si="52"/>
        <v>3.3743500000001099</v>
      </c>
      <c r="S123" s="36">
        <f t="shared" si="52"/>
        <v>-8.3446100000000101</v>
      </c>
    </row>
  </sheetData>
  <conditionalFormatting sqref="B28">
    <cfRule type="colorScale" priority="9">
      <colorScale>
        <cfvo type="min"/>
        <cfvo type="max"/>
        <color rgb="FFFCFCFF"/>
        <color rgb="FF63BE7B"/>
      </colorScale>
    </cfRule>
  </conditionalFormatting>
  <conditionalFormatting sqref="B61">
    <cfRule type="colorScale" priority="8">
      <colorScale>
        <cfvo type="min"/>
        <cfvo type="max"/>
        <color rgb="FFFCFCFF"/>
        <color rgb="FF63BE7B"/>
      </colorScale>
    </cfRule>
  </conditionalFormatting>
  <conditionalFormatting sqref="B94">
    <cfRule type="colorScale" priority="6">
      <colorScale>
        <cfvo type="min"/>
        <cfvo type="max"/>
        <color rgb="FFFCFCFF"/>
        <color rgb="FF63BE7B"/>
      </colorScale>
    </cfRule>
  </conditionalFormatting>
  <conditionalFormatting sqref="C35:S3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8:S68 C123:S123 C112:S11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1:S101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4:S111">
    <cfRule type="cellIs" dxfId="11" priority="3" operator="greaterThanOrEqual">
      <formula>0</formula>
    </cfRule>
    <cfRule type="cellIs" dxfId="10" priority="4" operator="lessThan">
      <formula>0</formula>
    </cfRule>
  </conditionalFormatting>
  <conditionalFormatting sqref="C115:S122">
    <cfRule type="cellIs" dxfId="9" priority="1" operator="greaterThanOrEqual">
      <formula>0</formula>
    </cfRule>
    <cfRule type="cellIs" dxfId="8" priority="2" operator="lessThan">
      <formula>0</formula>
    </cfRule>
  </conditionalFormatting>
  <conditionalFormatting sqref="C123:S123 C112:S11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1" right="0" top="0" bottom="0" header="0" footer="0"/>
  <pageSetup paperSize="3" scale="86" orientation="landscape" r:id="rId1"/>
  <headerFooter>
    <oddFooter>&amp;R&amp;F
&amp;D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524DA-9AC3-46E0-814E-0FDD2D7BFD26}">
  <sheetPr>
    <tabColor theme="7" tint="0.39997558519241921"/>
    <pageSetUpPr fitToPage="1"/>
  </sheetPr>
  <dimension ref="A1:AA123"/>
  <sheetViews>
    <sheetView workbookViewId="0">
      <selection activeCell="N143" sqref="N143"/>
    </sheetView>
  </sheetViews>
  <sheetFormatPr baseColWidth="10" defaultColWidth="11.42578125" defaultRowHeight="15" outlineLevelRow="1" x14ac:dyDescent="0.25"/>
  <cols>
    <col min="1" max="1" width="1.5703125" customWidth="1"/>
    <col min="2" max="2" width="29.5703125" customWidth="1"/>
    <col min="3" max="3" width="13.5703125" customWidth="1"/>
    <col min="4" max="5" width="12" customWidth="1"/>
    <col min="6" max="6" width="12" hidden="1" customWidth="1"/>
    <col min="7" max="19" width="12" customWidth="1"/>
    <col min="20" max="20" width="12" hidden="1" customWidth="1"/>
    <col min="21" max="21" width="13.5703125" hidden="1" customWidth="1"/>
    <col min="22" max="22" width="12" hidden="1" customWidth="1"/>
    <col min="26" max="26" width="35.42578125" bestFit="1" customWidth="1"/>
    <col min="27" max="27" width="12.42578125" bestFit="1" customWidth="1"/>
    <col min="29" max="29" width="35.42578125" bestFit="1" customWidth="1"/>
  </cols>
  <sheetData>
    <row r="1" spans="1:27" ht="9.75" customHeight="1" x14ac:dyDescent="0.25">
      <c r="D1" s="1"/>
      <c r="G1" s="1"/>
    </row>
    <row r="2" spans="1:27" ht="18.75" x14ac:dyDescent="0.3">
      <c r="B2" s="2" t="s">
        <v>64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7" x14ac:dyDescent="0.25">
      <c r="B3" s="4"/>
      <c r="C3" s="5" t="s">
        <v>0</v>
      </c>
      <c r="D3" s="5" t="s">
        <v>1</v>
      </c>
      <c r="E3" s="5" t="s">
        <v>2</v>
      </c>
      <c r="F3" s="5" t="s">
        <v>3</v>
      </c>
      <c r="G3" s="5" t="s">
        <v>4</v>
      </c>
      <c r="H3" s="5" t="s">
        <v>5</v>
      </c>
      <c r="I3" s="5" t="s">
        <v>6</v>
      </c>
      <c r="J3" s="5" t="s">
        <v>7</v>
      </c>
      <c r="K3" s="5" t="s">
        <v>8</v>
      </c>
      <c r="L3" s="5" t="s">
        <v>9</v>
      </c>
      <c r="M3" s="5" t="s">
        <v>10</v>
      </c>
      <c r="N3" s="5" t="s">
        <v>11</v>
      </c>
      <c r="O3" s="5" t="s">
        <v>12</v>
      </c>
      <c r="P3" s="5" t="s">
        <v>13</v>
      </c>
      <c r="Q3" s="5" t="s">
        <v>14</v>
      </c>
      <c r="R3" s="5" t="s">
        <v>15</v>
      </c>
      <c r="S3" s="5" t="s">
        <v>16</v>
      </c>
      <c r="T3" s="6"/>
      <c r="U3" s="6"/>
      <c r="V3" s="6"/>
      <c r="AA3" s="7"/>
    </row>
    <row r="4" spans="1:27" x14ac:dyDescent="0.25">
      <c r="B4" s="5" t="s">
        <v>17</v>
      </c>
      <c r="T4" s="5" t="s">
        <v>18</v>
      </c>
      <c r="U4" s="5" t="s">
        <v>19</v>
      </c>
      <c r="V4" s="5" t="s">
        <v>20</v>
      </c>
      <c r="AA4" s="8"/>
    </row>
    <row r="5" spans="1:27" hidden="1" outlineLevel="1" x14ac:dyDescent="0.25">
      <c r="A5" s="9" t="str">
        <f>B5</f>
        <v>NB New</v>
      </c>
      <c r="B5" s="10" t="s">
        <v>21</v>
      </c>
      <c r="C5" s="11">
        <f>+SUM(D5:V5)</f>
        <v>5556</v>
      </c>
      <c r="D5" s="12">
        <v>686</v>
      </c>
      <c r="E5" s="12">
        <v>24</v>
      </c>
      <c r="F5" s="12">
        <v>0</v>
      </c>
      <c r="G5" s="12">
        <v>242</v>
      </c>
      <c r="H5" s="12">
        <v>488</v>
      </c>
      <c r="I5" s="12">
        <v>447</v>
      </c>
      <c r="J5" s="12">
        <v>380</v>
      </c>
      <c r="K5" s="12">
        <v>170</v>
      </c>
      <c r="L5" s="12">
        <v>307</v>
      </c>
      <c r="M5" s="12">
        <v>359</v>
      </c>
      <c r="N5" s="12">
        <v>182</v>
      </c>
      <c r="O5" s="12">
        <v>1096</v>
      </c>
      <c r="P5" s="12">
        <v>378</v>
      </c>
      <c r="Q5" s="12">
        <v>362</v>
      </c>
      <c r="R5" s="12">
        <v>252</v>
      </c>
      <c r="S5" s="12">
        <v>183</v>
      </c>
      <c r="T5" s="12"/>
      <c r="U5" s="12"/>
      <c r="V5" s="12"/>
      <c r="AA5" s="8"/>
    </row>
    <row r="6" spans="1:27" hidden="1" outlineLevel="1" x14ac:dyDescent="0.25">
      <c r="A6" s="9" t="str">
        <f t="shared" ref="A6:A21" si="0">B6</f>
        <v>NB Fleet</v>
      </c>
      <c r="B6" s="13" t="s">
        <v>22</v>
      </c>
      <c r="C6" s="14">
        <f>+SUM(D6:V6)</f>
        <v>350</v>
      </c>
      <c r="D6" s="15">
        <v>43</v>
      </c>
      <c r="E6" s="15">
        <v>0</v>
      </c>
      <c r="F6" s="15">
        <v>0</v>
      </c>
      <c r="G6" s="15">
        <v>7</v>
      </c>
      <c r="H6" s="15">
        <v>30</v>
      </c>
      <c r="I6" s="15">
        <v>14</v>
      </c>
      <c r="J6" s="15">
        <v>32</v>
      </c>
      <c r="K6" s="15">
        <v>16</v>
      </c>
      <c r="L6" s="15">
        <v>23</v>
      </c>
      <c r="M6" s="15">
        <v>25</v>
      </c>
      <c r="N6" s="15">
        <v>1</v>
      </c>
      <c r="O6" s="15">
        <v>0</v>
      </c>
      <c r="P6" s="15">
        <v>103</v>
      </c>
      <c r="Q6" s="15">
        <v>14</v>
      </c>
      <c r="R6" s="15">
        <v>41</v>
      </c>
      <c r="S6" s="15">
        <v>1</v>
      </c>
      <c r="T6" s="15"/>
      <c r="U6" s="15"/>
      <c r="V6" s="15"/>
      <c r="AA6" s="8"/>
    </row>
    <row r="7" spans="1:27" collapsed="1" x14ac:dyDescent="0.25">
      <c r="A7" s="9"/>
      <c r="B7" s="16" t="s">
        <v>23</v>
      </c>
      <c r="C7" s="17">
        <f>SUM(C5:C6)</f>
        <v>5906</v>
      </c>
      <c r="D7" s="18">
        <f t="shared" ref="D7:V7" si="1">SUM(D5:D6)</f>
        <v>729</v>
      </c>
      <c r="E7" s="18">
        <f t="shared" si="1"/>
        <v>24</v>
      </c>
      <c r="F7" s="18">
        <f t="shared" si="1"/>
        <v>0</v>
      </c>
      <c r="G7" s="18">
        <f t="shared" si="1"/>
        <v>249</v>
      </c>
      <c r="H7" s="18">
        <f t="shared" si="1"/>
        <v>518</v>
      </c>
      <c r="I7" s="18">
        <f t="shared" si="1"/>
        <v>461</v>
      </c>
      <c r="J7" s="18">
        <f t="shared" si="1"/>
        <v>412</v>
      </c>
      <c r="K7" s="18">
        <f t="shared" si="1"/>
        <v>186</v>
      </c>
      <c r="L7" s="18">
        <f t="shared" si="1"/>
        <v>330</v>
      </c>
      <c r="M7" s="18">
        <f t="shared" si="1"/>
        <v>384</v>
      </c>
      <c r="N7" s="18">
        <f t="shared" si="1"/>
        <v>183</v>
      </c>
      <c r="O7" s="18">
        <f t="shared" si="1"/>
        <v>1096</v>
      </c>
      <c r="P7" s="18">
        <f t="shared" si="1"/>
        <v>481</v>
      </c>
      <c r="Q7" s="18">
        <f t="shared" si="1"/>
        <v>376</v>
      </c>
      <c r="R7" s="18">
        <f t="shared" si="1"/>
        <v>293</v>
      </c>
      <c r="S7" s="18">
        <f t="shared" si="1"/>
        <v>184</v>
      </c>
      <c r="T7" s="19">
        <f t="shared" si="1"/>
        <v>0</v>
      </c>
      <c r="U7" s="19">
        <f t="shared" si="1"/>
        <v>0</v>
      </c>
      <c r="V7" s="19">
        <f t="shared" si="1"/>
        <v>0</v>
      </c>
      <c r="AA7" s="8"/>
    </row>
    <row r="8" spans="1:27" ht="14.25" hidden="1" customHeight="1" outlineLevel="1" x14ac:dyDescent="0.25">
      <c r="A8" s="9" t="str">
        <f t="shared" si="0"/>
        <v>NB Used</v>
      </c>
      <c r="B8" s="10" t="s">
        <v>24</v>
      </c>
      <c r="C8" s="11">
        <f>+SUM(D8:V8)</f>
        <v>2930</v>
      </c>
      <c r="D8" s="12">
        <v>322</v>
      </c>
      <c r="E8" s="12">
        <v>6</v>
      </c>
      <c r="F8" s="12">
        <v>0</v>
      </c>
      <c r="G8" s="12">
        <v>167</v>
      </c>
      <c r="H8" s="12">
        <v>196</v>
      </c>
      <c r="I8" s="12">
        <v>216</v>
      </c>
      <c r="J8" s="12">
        <v>206</v>
      </c>
      <c r="K8" s="12">
        <v>74</v>
      </c>
      <c r="L8" s="12">
        <v>209</v>
      </c>
      <c r="M8" s="12">
        <v>246</v>
      </c>
      <c r="N8" s="12">
        <v>140</v>
      </c>
      <c r="O8" s="12">
        <v>423</v>
      </c>
      <c r="P8" s="12">
        <v>235</v>
      </c>
      <c r="Q8" s="12">
        <v>213</v>
      </c>
      <c r="R8" s="12">
        <v>40</v>
      </c>
      <c r="S8" s="12">
        <v>237</v>
      </c>
      <c r="T8" s="20"/>
      <c r="U8" s="20"/>
      <c r="V8" s="20"/>
      <c r="AA8" s="8"/>
    </row>
    <row r="9" spans="1:27" hidden="1" outlineLevel="1" x14ac:dyDescent="0.25">
      <c r="A9" s="9" t="str">
        <f t="shared" si="0"/>
        <v>NB US</v>
      </c>
      <c r="B9" s="13" t="s">
        <v>25</v>
      </c>
      <c r="C9" s="14">
        <f>+SUM(D9:V9)</f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21"/>
      <c r="U9" s="21"/>
      <c r="V9" s="21"/>
      <c r="AA9" s="8"/>
    </row>
    <row r="10" spans="1:27" hidden="1" outlineLevel="1" x14ac:dyDescent="0.25">
      <c r="A10" s="9" t="str">
        <f t="shared" si="0"/>
        <v>NB Wholesale</v>
      </c>
      <c r="B10" s="13" t="s">
        <v>26</v>
      </c>
      <c r="C10" s="22">
        <f>+SUM(D10:V10)</f>
        <v>2850</v>
      </c>
      <c r="D10" s="23">
        <v>385</v>
      </c>
      <c r="E10" s="23">
        <v>21</v>
      </c>
      <c r="F10" s="23">
        <v>0</v>
      </c>
      <c r="G10" s="23">
        <v>97</v>
      </c>
      <c r="H10" s="23">
        <v>168</v>
      </c>
      <c r="I10" s="23">
        <v>229</v>
      </c>
      <c r="J10" s="23">
        <v>234</v>
      </c>
      <c r="K10" s="23">
        <v>107</v>
      </c>
      <c r="L10" s="23">
        <v>220</v>
      </c>
      <c r="M10" s="23">
        <v>192</v>
      </c>
      <c r="N10" s="23">
        <v>138</v>
      </c>
      <c r="O10" s="23">
        <v>340</v>
      </c>
      <c r="P10" s="23">
        <v>217</v>
      </c>
      <c r="Q10" s="23">
        <v>243</v>
      </c>
      <c r="R10" s="23">
        <v>188</v>
      </c>
      <c r="S10" s="23">
        <v>71</v>
      </c>
      <c r="T10" s="24"/>
      <c r="U10" s="24"/>
      <c r="V10" s="24"/>
      <c r="AA10" s="8"/>
    </row>
    <row r="11" spans="1:27" collapsed="1" x14ac:dyDescent="0.25">
      <c r="A11" s="9"/>
      <c r="B11" s="16" t="s">
        <v>27</v>
      </c>
      <c r="C11" s="17">
        <f>SUM(C8:C10)</f>
        <v>5780</v>
      </c>
      <c r="D11" s="18">
        <f t="shared" ref="D11:V11" si="2">SUM(D8:D10)</f>
        <v>707</v>
      </c>
      <c r="E11" s="18">
        <f t="shared" si="2"/>
        <v>27</v>
      </c>
      <c r="F11" s="18">
        <f t="shared" si="2"/>
        <v>0</v>
      </c>
      <c r="G11" s="18">
        <f t="shared" si="2"/>
        <v>264</v>
      </c>
      <c r="H11" s="18">
        <f t="shared" si="2"/>
        <v>364</v>
      </c>
      <c r="I11" s="18">
        <f t="shared" si="2"/>
        <v>445</v>
      </c>
      <c r="J11" s="18">
        <f t="shared" si="2"/>
        <v>440</v>
      </c>
      <c r="K11" s="18">
        <f t="shared" si="2"/>
        <v>181</v>
      </c>
      <c r="L11" s="18">
        <f t="shared" si="2"/>
        <v>429</v>
      </c>
      <c r="M11" s="18">
        <f t="shared" si="2"/>
        <v>438</v>
      </c>
      <c r="N11" s="18">
        <f t="shared" si="2"/>
        <v>278</v>
      </c>
      <c r="O11" s="18">
        <f t="shared" si="2"/>
        <v>763</v>
      </c>
      <c r="P11" s="18">
        <f t="shared" si="2"/>
        <v>452</v>
      </c>
      <c r="Q11" s="18">
        <f t="shared" si="2"/>
        <v>456</v>
      </c>
      <c r="R11" s="18">
        <f t="shared" si="2"/>
        <v>228</v>
      </c>
      <c r="S11" s="18">
        <f t="shared" si="2"/>
        <v>308</v>
      </c>
      <c r="T11" s="19">
        <f t="shared" si="2"/>
        <v>0</v>
      </c>
      <c r="U11" s="19">
        <f t="shared" si="2"/>
        <v>0</v>
      </c>
      <c r="V11" s="19">
        <f t="shared" si="2"/>
        <v>0</v>
      </c>
      <c r="AA11" s="8"/>
    </row>
    <row r="12" spans="1:27" ht="15.75" thickBot="1" x14ac:dyDescent="0.3">
      <c r="A12" s="9"/>
      <c r="B12" s="25" t="s">
        <v>28</v>
      </c>
      <c r="C12" s="11">
        <f>+C7+C11</f>
        <v>11686</v>
      </c>
      <c r="D12" s="11">
        <f t="shared" ref="D12:S12" si="3">+D7+D11</f>
        <v>1436</v>
      </c>
      <c r="E12" s="11">
        <f t="shared" si="3"/>
        <v>51</v>
      </c>
      <c r="F12" s="11">
        <f t="shared" si="3"/>
        <v>0</v>
      </c>
      <c r="G12" s="11">
        <f t="shared" si="3"/>
        <v>513</v>
      </c>
      <c r="H12" s="11">
        <f t="shared" si="3"/>
        <v>882</v>
      </c>
      <c r="I12" s="11">
        <f t="shared" si="3"/>
        <v>906</v>
      </c>
      <c r="J12" s="11">
        <f t="shared" si="3"/>
        <v>852</v>
      </c>
      <c r="K12" s="11">
        <f t="shared" si="3"/>
        <v>367</v>
      </c>
      <c r="L12" s="11">
        <f t="shared" si="3"/>
        <v>759</v>
      </c>
      <c r="M12" s="11">
        <f t="shared" si="3"/>
        <v>822</v>
      </c>
      <c r="N12" s="11">
        <f t="shared" si="3"/>
        <v>461</v>
      </c>
      <c r="O12" s="11">
        <f t="shared" si="3"/>
        <v>1859</v>
      </c>
      <c r="P12" s="11">
        <f t="shared" si="3"/>
        <v>933</v>
      </c>
      <c r="Q12" s="11">
        <f t="shared" si="3"/>
        <v>832</v>
      </c>
      <c r="R12" s="11">
        <f t="shared" si="3"/>
        <v>521</v>
      </c>
      <c r="S12" s="11">
        <f t="shared" si="3"/>
        <v>492</v>
      </c>
      <c r="T12" s="26"/>
      <c r="U12" s="26"/>
      <c r="V12" s="26"/>
      <c r="AA12" s="8"/>
    </row>
    <row r="13" spans="1:27" hidden="1" outlineLevel="1" x14ac:dyDescent="0.25">
      <c r="A13" s="9" t="str">
        <f t="shared" si="0"/>
        <v>Profit Front new</v>
      </c>
      <c r="B13" s="27" t="s">
        <v>30</v>
      </c>
      <c r="C13" s="28">
        <f>+SUM(D13:V13)</f>
        <v>15421472.099999983</v>
      </c>
      <c r="D13" s="29">
        <v>1766817.9599999962</v>
      </c>
      <c r="E13" s="29">
        <v>-34417.479999999763</v>
      </c>
      <c r="F13" s="29">
        <v>0</v>
      </c>
      <c r="G13" s="29">
        <v>205909.70999999935</v>
      </c>
      <c r="H13" s="29">
        <v>1253929.3799999952</v>
      </c>
      <c r="I13" s="29">
        <v>980415.36999999883</v>
      </c>
      <c r="J13" s="29">
        <v>1244714.6899999981</v>
      </c>
      <c r="K13" s="29">
        <v>373425.21999999922</v>
      </c>
      <c r="L13" s="29">
        <v>940778.52999999898</v>
      </c>
      <c r="M13" s="29">
        <v>1029342.9700000001</v>
      </c>
      <c r="N13" s="29">
        <v>754025.46999999881</v>
      </c>
      <c r="O13" s="29">
        <v>3320153.9900000021</v>
      </c>
      <c r="P13" s="29">
        <v>964322.88999999932</v>
      </c>
      <c r="Q13" s="29">
        <v>1240127.5299999972</v>
      </c>
      <c r="R13" s="29">
        <v>843839.11999999965</v>
      </c>
      <c r="S13" s="29">
        <v>538086.74999999977</v>
      </c>
      <c r="T13" s="29"/>
      <c r="U13" s="29"/>
      <c r="V13" s="29"/>
      <c r="AA13" s="8"/>
    </row>
    <row r="14" spans="1:27" hidden="1" outlineLevel="1" x14ac:dyDescent="0.25">
      <c r="A14" s="9"/>
      <c r="B14" s="30" t="s">
        <v>31</v>
      </c>
      <c r="C14" s="31">
        <f>+SUM(D14:V14)</f>
        <v>526973.24999999942</v>
      </c>
      <c r="D14" s="32">
        <v>168192.08</v>
      </c>
      <c r="E14" s="32">
        <v>1234.08</v>
      </c>
      <c r="F14" s="32">
        <v>0</v>
      </c>
      <c r="G14" s="32">
        <v>37493.01</v>
      </c>
      <c r="H14" s="32">
        <v>40732.26</v>
      </c>
      <c r="I14" s="32">
        <v>70581.139999999912</v>
      </c>
      <c r="J14" s="32">
        <v>76004.189999999857</v>
      </c>
      <c r="K14" s="32">
        <v>32457.68</v>
      </c>
      <c r="L14" s="32">
        <v>42071.369999999952</v>
      </c>
      <c r="M14" s="32">
        <v>18960.75999999986</v>
      </c>
      <c r="N14" s="32">
        <v>22015.969999999987</v>
      </c>
      <c r="O14" s="32">
        <v>-730.57000000000698</v>
      </c>
      <c r="P14" s="32">
        <v>-2668.89</v>
      </c>
      <c r="Q14" s="32">
        <v>18042.75000000004</v>
      </c>
      <c r="R14" s="32">
        <v>3566.9500000000089</v>
      </c>
      <c r="S14" s="32">
        <v>-979.52999999999793</v>
      </c>
      <c r="T14" s="32"/>
      <c r="U14" s="32"/>
      <c r="V14" s="32"/>
      <c r="AA14" s="8"/>
    </row>
    <row r="15" spans="1:27" hidden="1" outlineLevel="1" x14ac:dyDescent="0.25">
      <c r="A15" s="9" t="str">
        <f t="shared" si="0"/>
        <v>Profit Fleet</v>
      </c>
      <c r="B15" s="30" t="s">
        <v>32</v>
      </c>
      <c r="C15" s="31">
        <f>+SUM(D15:V15)</f>
        <v>1009503.7599999984</v>
      </c>
      <c r="D15" s="32">
        <v>68664.229999999821</v>
      </c>
      <c r="E15" s="32">
        <v>0</v>
      </c>
      <c r="F15" s="32">
        <v>0</v>
      </c>
      <c r="G15" s="32">
        <v>2958.8900000000099</v>
      </c>
      <c r="H15" s="32">
        <v>50343.929999999869</v>
      </c>
      <c r="I15" s="32">
        <v>31370.460000000021</v>
      </c>
      <c r="J15" s="32">
        <v>23582.47999999997</v>
      </c>
      <c r="K15" s="32">
        <v>-5603.0900000000383</v>
      </c>
      <c r="L15" s="32">
        <v>-8862.2800000000061</v>
      </c>
      <c r="M15" s="32">
        <v>68519.729999999792</v>
      </c>
      <c r="N15" s="32">
        <v>2881.0099999999902</v>
      </c>
      <c r="O15" s="32">
        <v>0</v>
      </c>
      <c r="P15" s="32">
        <v>590293.24999999942</v>
      </c>
      <c r="Q15" s="32">
        <v>57154.709999999875</v>
      </c>
      <c r="R15" s="32">
        <v>128200.5799999997</v>
      </c>
      <c r="S15" s="32">
        <v>-0.139999999999986</v>
      </c>
      <c r="T15" s="32"/>
      <c r="U15" s="32"/>
      <c r="V15" s="32"/>
      <c r="AA15" s="8"/>
    </row>
    <row r="16" spans="1:27" hidden="1" outlineLevel="1" x14ac:dyDescent="0.25">
      <c r="A16" s="9" t="str">
        <f t="shared" si="0"/>
        <v>Profit F&amp;I new</v>
      </c>
      <c r="B16" s="33" t="s">
        <v>33</v>
      </c>
      <c r="C16" s="34">
        <f>+SUM(D16:V16)</f>
        <v>7371611.6199999973</v>
      </c>
      <c r="D16" s="35">
        <v>838509.54999999912</v>
      </c>
      <c r="E16" s="35">
        <v>22637.78</v>
      </c>
      <c r="F16" s="35">
        <v>0</v>
      </c>
      <c r="G16" s="35">
        <v>270497.27999999962</v>
      </c>
      <c r="H16" s="35">
        <v>473949.88999999966</v>
      </c>
      <c r="I16" s="35">
        <v>436730.9699999998</v>
      </c>
      <c r="J16" s="35">
        <v>500166.64000000007</v>
      </c>
      <c r="K16" s="35">
        <v>235071.44999999981</v>
      </c>
      <c r="L16" s="35">
        <v>383680.79000000004</v>
      </c>
      <c r="M16" s="35">
        <v>346028.67999999964</v>
      </c>
      <c r="N16" s="35">
        <v>375496.84</v>
      </c>
      <c r="O16" s="35">
        <v>1578265.85</v>
      </c>
      <c r="P16" s="35">
        <v>617164.32999999984</v>
      </c>
      <c r="Q16" s="35">
        <v>429538.73000000004</v>
      </c>
      <c r="R16" s="35">
        <v>379931.79999999964</v>
      </c>
      <c r="S16" s="35">
        <v>483941.03999999992</v>
      </c>
      <c r="T16" s="35"/>
      <c r="U16" s="35"/>
      <c r="V16" s="35"/>
      <c r="AA16" s="8"/>
    </row>
    <row r="17" spans="1:27" hidden="1" outlineLevel="1" x14ac:dyDescent="0.25">
      <c r="A17" s="9"/>
      <c r="B17" s="16" t="s">
        <v>34</v>
      </c>
      <c r="C17" s="36">
        <f>+SUM(C13:C16)</f>
        <v>24329560.729999978</v>
      </c>
      <c r="D17" s="37">
        <f t="shared" ref="D17:V17" si="4">+SUM(D13:D16)</f>
        <v>2842183.8199999952</v>
      </c>
      <c r="E17" s="37">
        <f t="shared" si="4"/>
        <v>-10545.619999999763</v>
      </c>
      <c r="F17" s="37">
        <f t="shared" si="4"/>
        <v>0</v>
      </c>
      <c r="G17" s="37">
        <f t="shared" si="4"/>
        <v>516858.88999999897</v>
      </c>
      <c r="H17" s="37">
        <f t="shared" si="4"/>
        <v>1818955.4599999948</v>
      </c>
      <c r="I17" s="37">
        <f t="shared" si="4"/>
        <v>1519097.9399999985</v>
      </c>
      <c r="J17" s="37">
        <f t="shared" si="4"/>
        <v>1844467.9999999981</v>
      </c>
      <c r="K17" s="37">
        <f t="shared" si="4"/>
        <v>635351.25999999896</v>
      </c>
      <c r="L17" s="37">
        <f t="shared" si="4"/>
        <v>1357668.409999999</v>
      </c>
      <c r="M17" s="37">
        <f t="shared" si="4"/>
        <v>1462852.1399999994</v>
      </c>
      <c r="N17" s="37">
        <f t="shared" si="4"/>
        <v>1154419.2899999989</v>
      </c>
      <c r="O17" s="37">
        <f t="shared" si="4"/>
        <v>4897689.2700000023</v>
      </c>
      <c r="P17" s="37">
        <f t="shared" si="4"/>
        <v>2169111.5799999982</v>
      </c>
      <c r="Q17" s="37">
        <f t="shared" si="4"/>
        <v>1744863.7199999972</v>
      </c>
      <c r="R17" s="37">
        <f t="shared" si="4"/>
        <v>1355538.449999999</v>
      </c>
      <c r="S17" s="37">
        <f t="shared" si="4"/>
        <v>1021048.1199999996</v>
      </c>
      <c r="T17" s="36">
        <f t="shared" si="4"/>
        <v>0</v>
      </c>
      <c r="U17" s="36">
        <f t="shared" si="4"/>
        <v>0</v>
      </c>
      <c r="V17" s="36">
        <f t="shared" si="4"/>
        <v>0</v>
      </c>
      <c r="AA17" s="8"/>
    </row>
    <row r="18" spans="1:27" hidden="1" outlineLevel="1" x14ac:dyDescent="0.25">
      <c r="A18" s="9" t="str">
        <f t="shared" si="0"/>
        <v>Profit Front used</v>
      </c>
      <c r="B18" s="30" t="s">
        <v>35</v>
      </c>
      <c r="C18" s="31">
        <f>+SUM(D18:V18)</f>
        <v>5829080.9099999927</v>
      </c>
      <c r="D18" s="32">
        <v>638259.07999999879</v>
      </c>
      <c r="E18" s="32">
        <v>14768.560000000001</v>
      </c>
      <c r="F18" s="32">
        <v>0</v>
      </c>
      <c r="G18" s="32">
        <v>342047.3999999995</v>
      </c>
      <c r="H18" s="32">
        <v>539945.70999999926</v>
      </c>
      <c r="I18" s="32">
        <v>274467.2799999995</v>
      </c>
      <c r="J18" s="32">
        <v>412643.00999999966</v>
      </c>
      <c r="K18" s="32">
        <v>114384.07999999967</v>
      </c>
      <c r="L18" s="32">
        <v>454635.929999999</v>
      </c>
      <c r="M18" s="32">
        <v>398748.96999999933</v>
      </c>
      <c r="N18" s="32">
        <v>248730.43999999965</v>
      </c>
      <c r="O18" s="32">
        <v>780616.6</v>
      </c>
      <c r="P18" s="32">
        <v>483794.41999999923</v>
      </c>
      <c r="Q18" s="32">
        <v>667383.20999999961</v>
      </c>
      <c r="R18" s="32">
        <v>136552.83999999965</v>
      </c>
      <c r="S18" s="32">
        <v>322103.3799999996</v>
      </c>
      <c r="T18" s="32"/>
      <c r="U18" s="32"/>
      <c r="V18" s="32"/>
      <c r="AA18" s="8"/>
    </row>
    <row r="19" spans="1:27" hidden="1" outlineLevel="1" x14ac:dyDescent="0.25">
      <c r="A19" s="9" t="str">
        <f t="shared" si="0"/>
        <v>Profit US</v>
      </c>
      <c r="B19" s="30" t="s">
        <v>36</v>
      </c>
      <c r="C19" s="31">
        <f>+SUM(D19:V19)</f>
        <v>0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/>
      <c r="U19" s="32"/>
      <c r="V19" s="32"/>
      <c r="AA19" s="8"/>
    </row>
    <row r="20" spans="1:27" hidden="1" outlineLevel="1" x14ac:dyDescent="0.25">
      <c r="A20" s="9" t="str">
        <f t="shared" si="0"/>
        <v>Profit Wholesale</v>
      </c>
      <c r="B20" s="30" t="s">
        <v>37</v>
      </c>
      <c r="C20" s="31">
        <f>+SUM(D20:V20)</f>
        <v>2226246.9399999958</v>
      </c>
      <c r="D20" s="32">
        <v>327652.02999999968</v>
      </c>
      <c r="E20" s="32">
        <v>-15294.97999999999</v>
      </c>
      <c r="F20" s="32">
        <v>0</v>
      </c>
      <c r="G20" s="32">
        <v>88998.439999999799</v>
      </c>
      <c r="H20" s="32">
        <v>214592.55999999956</v>
      </c>
      <c r="I20" s="32">
        <v>181460.5299999998</v>
      </c>
      <c r="J20" s="32">
        <v>106751.32999999954</v>
      </c>
      <c r="K20" s="32">
        <v>60845.149999999732</v>
      </c>
      <c r="L20" s="32">
        <v>79813.699999999691</v>
      </c>
      <c r="M20" s="32">
        <v>137898.60999999969</v>
      </c>
      <c r="N20" s="32">
        <v>54218.189999999857</v>
      </c>
      <c r="O20" s="32">
        <v>405600.00999999949</v>
      </c>
      <c r="P20" s="32">
        <v>158325.06999999986</v>
      </c>
      <c r="Q20" s="32">
        <v>193896.56999999969</v>
      </c>
      <c r="R20" s="32">
        <v>185152.11999999938</v>
      </c>
      <c r="S20" s="32">
        <v>46337.609999999891</v>
      </c>
      <c r="T20" s="32"/>
      <c r="U20" s="32"/>
      <c r="V20" s="32"/>
      <c r="AA20" s="8"/>
    </row>
    <row r="21" spans="1:27" hidden="1" outlineLevel="1" x14ac:dyDescent="0.25">
      <c r="A21" s="9" t="str">
        <f t="shared" si="0"/>
        <v>Profit F&amp;I used</v>
      </c>
      <c r="B21" s="30" t="s">
        <v>38</v>
      </c>
      <c r="C21" s="31">
        <f>+SUM(D21:V21)</f>
        <v>4217715.4299999978</v>
      </c>
      <c r="D21" s="32">
        <v>337948.18999999989</v>
      </c>
      <c r="E21" s="32">
        <v>14587.77</v>
      </c>
      <c r="F21" s="32">
        <v>0</v>
      </c>
      <c r="G21" s="32">
        <v>252875.99999999991</v>
      </c>
      <c r="H21" s="32">
        <v>229009.17999999988</v>
      </c>
      <c r="I21" s="32">
        <v>432920.05999999982</v>
      </c>
      <c r="J21" s="32">
        <v>350855.38999999966</v>
      </c>
      <c r="K21" s="32">
        <v>90865.19</v>
      </c>
      <c r="L21" s="32">
        <v>330763.49</v>
      </c>
      <c r="M21" s="32">
        <v>293424.54999999981</v>
      </c>
      <c r="N21" s="32">
        <v>237583.04999999978</v>
      </c>
      <c r="O21" s="32">
        <v>665604.80999999889</v>
      </c>
      <c r="P21" s="32">
        <v>363416.84999999963</v>
      </c>
      <c r="Q21" s="32">
        <v>244053.35</v>
      </c>
      <c r="R21" s="32">
        <v>70600.379999999786</v>
      </c>
      <c r="S21" s="32">
        <v>303207.16999999993</v>
      </c>
      <c r="T21" s="32"/>
      <c r="U21" s="32"/>
      <c r="V21" s="32"/>
      <c r="AA21" s="8"/>
    </row>
    <row r="22" spans="1:27" hidden="1" outlineLevel="1" x14ac:dyDescent="0.25">
      <c r="A22" s="9"/>
      <c r="B22" s="16" t="s">
        <v>39</v>
      </c>
      <c r="C22" s="36">
        <f>+SUM(C18:C21)</f>
        <v>12273043.279999986</v>
      </c>
      <c r="D22" s="37">
        <f>+SUM(D18:D21)</f>
        <v>1303859.2999999984</v>
      </c>
      <c r="E22" s="37">
        <f t="shared" ref="E22:V22" si="5">+SUM(E18:E21)</f>
        <v>14061.350000000011</v>
      </c>
      <c r="F22" s="37">
        <f t="shared" si="5"/>
        <v>0</v>
      </c>
      <c r="G22" s="37">
        <f t="shared" si="5"/>
        <v>683921.83999999915</v>
      </c>
      <c r="H22" s="37">
        <f t="shared" si="5"/>
        <v>983547.44999999879</v>
      </c>
      <c r="I22" s="37">
        <f t="shared" si="5"/>
        <v>888847.86999999918</v>
      </c>
      <c r="J22" s="37">
        <f t="shared" si="5"/>
        <v>870249.72999999882</v>
      </c>
      <c r="K22" s="37">
        <f t="shared" si="5"/>
        <v>266094.4199999994</v>
      </c>
      <c r="L22" s="37">
        <f t="shared" si="5"/>
        <v>865213.11999999871</v>
      </c>
      <c r="M22" s="37">
        <f t="shared" si="5"/>
        <v>830072.12999999884</v>
      </c>
      <c r="N22" s="37">
        <f t="shared" si="5"/>
        <v>540531.67999999935</v>
      </c>
      <c r="O22" s="37">
        <f t="shared" si="5"/>
        <v>1851821.4199999983</v>
      </c>
      <c r="P22" s="37">
        <f t="shared" si="5"/>
        <v>1005536.3399999987</v>
      </c>
      <c r="Q22" s="37">
        <f t="shared" si="5"/>
        <v>1105333.1299999994</v>
      </c>
      <c r="R22" s="37">
        <f t="shared" si="5"/>
        <v>392305.3399999988</v>
      </c>
      <c r="S22" s="37">
        <f t="shared" si="5"/>
        <v>671648.15999999945</v>
      </c>
      <c r="T22" s="36">
        <f t="shared" si="5"/>
        <v>0</v>
      </c>
      <c r="U22" s="36">
        <f t="shared" si="5"/>
        <v>0</v>
      </c>
      <c r="V22" s="36">
        <f t="shared" si="5"/>
        <v>0</v>
      </c>
      <c r="AA22" s="8"/>
    </row>
    <row r="23" spans="1:27" ht="15.75" hidden="1" outlineLevel="1" thickBot="1" x14ac:dyDescent="0.3">
      <c r="A23" s="9"/>
      <c r="B23" s="27" t="s">
        <v>40</v>
      </c>
      <c r="C23" s="28">
        <f>+C22+C17</f>
        <v>36602604.009999961</v>
      </c>
      <c r="D23" s="38">
        <f t="shared" ref="D23:S23" si="6">+D22+D17</f>
        <v>4146043.1199999936</v>
      </c>
      <c r="E23" s="38">
        <f t="shared" si="6"/>
        <v>3515.7300000002488</v>
      </c>
      <c r="F23" s="38">
        <f t="shared" si="6"/>
        <v>0</v>
      </c>
      <c r="G23" s="38">
        <f t="shared" si="6"/>
        <v>1200780.7299999981</v>
      </c>
      <c r="H23" s="38">
        <f t="shared" si="6"/>
        <v>2802502.9099999936</v>
      </c>
      <c r="I23" s="38">
        <f t="shared" si="6"/>
        <v>2407945.8099999977</v>
      </c>
      <c r="J23" s="38">
        <f t="shared" si="6"/>
        <v>2714717.7299999967</v>
      </c>
      <c r="K23" s="38">
        <f t="shared" si="6"/>
        <v>901445.6799999983</v>
      </c>
      <c r="L23" s="38">
        <f t="shared" si="6"/>
        <v>2222881.5299999975</v>
      </c>
      <c r="M23" s="38">
        <f t="shared" si="6"/>
        <v>2292924.2699999982</v>
      </c>
      <c r="N23" s="38">
        <f t="shared" si="6"/>
        <v>1694950.9699999983</v>
      </c>
      <c r="O23" s="38">
        <f t="shared" si="6"/>
        <v>6749510.6900000004</v>
      </c>
      <c r="P23" s="38">
        <f t="shared" si="6"/>
        <v>3174647.9199999971</v>
      </c>
      <c r="Q23" s="38">
        <f t="shared" si="6"/>
        <v>2850196.8499999968</v>
      </c>
      <c r="R23" s="38">
        <f t="shared" si="6"/>
        <v>1747843.7899999977</v>
      </c>
      <c r="S23" s="38">
        <f t="shared" si="6"/>
        <v>1692696.2799999991</v>
      </c>
      <c r="T23" s="28"/>
      <c r="U23" s="28"/>
      <c r="V23" s="28"/>
      <c r="AA23" s="8"/>
    </row>
    <row r="24" spans="1:27" hidden="1" outlineLevel="1" collapsed="1" x14ac:dyDescent="0.25">
      <c r="A24" s="9"/>
      <c r="B24" s="39" t="s">
        <v>41</v>
      </c>
      <c r="C24" s="40">
        <f>IFERROR(C13/C5,0)</f>
        <v>2775.6429265658717</v>
      </c>
      <c r="D24" s="41">
        <f t="shared" ref="D24:S24" si="7">IFERROR(D13/D5,0)</f>
        <v>2575.5363848396446</v>
      </c>
      <c r="E24" s="41">
        <f t="shared" si="7"/>
        <v>-1434.0616666666567</v>
      </c>
      <c r="F24" s="41">
        <f t="shared" si="7"/>
        <v>0</v>
      </c>
      <c r="G24" s="41">
        <f t="shared" si="7"/>
        <v>850.86657024793124</v>
      </c>
      <c r="H24" s="41">
        <f t="shared" si="7"/>
        <v>2569.5274180327769</v>
      </c>
      <c r="I24" s="41">
        <f t="shared" si="7"/>
        <v>2193.3229753914961</v>
      </c>
      <c r="J24" s="41">
        <f t="shared" si="7"/>
        <v>3275.5649736842056</v>
      </c>
      <c r="K24" s="41">
        <f t="shared" si="7"/>
        <v>2196.6189411764658</v>
      </c>
      <c r="L24" s="41">
        <f t="shared" si="7"/>
        <v>3064.425179153091</v>
      </c>
      <c r="M24" s="41">
        <f t="shared" si="7"/>
        <v>2867.2506128133709</v>
      </c>
      <c r="N24" s="41">
        <f t="shared" si="7"/>
        <v>4142.997087912081</v>
      </c>
      <c r="O24" s="41">
        <f t="shared" si="7"/>
        <v>3029.3375821167901</v>
      </c>
      <c r="P24" s="41">
        <f t="shared" si="7"/>
        <v>2551.1187566137546</v>
      </c>
      <c r="Q24" s="41">
        <f t="shared" si="7"/>
        <v>3425.766657458556</v>
      </c>
      <c r="R24" s="41">
        <f t="shared" si="7"/>
        <v>3348.567936507935</v>
      </c>
      <c r="S24" s="42">
        <f t="shared" si="7"/>
        <v>2940.3647540983593</v>
      </c>
      <c r="T24" s="29">
        <f>IFERROR(T13/T5,0)</f>
        <v>0</v>
      </c>
      <c r="U24" s="38">
        <f>IFERROR(U13/U5,0)</f>
        <v>0</v>
      </c>
      <c r="V24" s="38">
        <f>IFERROR(V13/V5,0)</f>
        <v>0</v>
      </c>
      <c r="AA24" s="8"/>
    </row>
    <row r="25" spans="1:27" hidden="1" outlineLevel="1" x14ac:dyDescent="0.25">
      <c r="A25" s="9"/>
      <c r="B25" s="43" t="s">
        <v>42</v>
      </c>
      <c r="C25" s="31">
        <f>IFERROR(C15/C6,0)</f>
        <v>2884.2964571428524</v>
      </c>
      <c r="D25" s="44">
        <f t="shared" ref="D25:S25" si="8">IFERROR(D15/D6,0)</f>
        <v>1596.8425581395306</v>
      </c>
      <c r="E25" s="44">
        <f t="shared" si="8"/>
        <v>0</v>
      </c>
      <c r="F25" s="44">
        <f t="shared" si="8"/>
        <v>0</v>
      </c>
      <c r="G25" s="44">
        <f t="shared" si="8"/>
        <v>422.69857142857285</v>
      </c>
      <c r="H25" s="44">
        <f t="shared" si="8"/>
        <v>1678.1309999999955</v>
      </c>
      <c r="I25" s="44">
        <f t="shared" si="8"/>
        <v>2240.7471428571444</v>
      </c>
      <c r="J25" s="44">
        <f t="shared" si="8"/>
        <v>736.95249999999908</v>
      </c>
      <c r="K25" s="44">
        <f t="shared" si="8"/>
        <v>-350.1931250000024</v>
      </c>
      <c r="L25" s="44">
        <f t="shared" si="8"/>
        <v>-385.31652173913068</v>
      </c>
      <c r="M25" s="44">
        <f t="shared" si="8"/>
        <v>2740.7891999999915</v>
      </c>
      <c r="N25" s="44">
        <f t="shared" si="8"/>
        <v>2881.0099999999902</v>
      </c>
      <c r="O25" s="44">
        <f t="shared" si="8"/>
        <v>0</v>
      </c>
      <c r="P25" s="44">
        <f t="shared" si="8"/>
        <v>5731.0024271844604</v>
      </c>
      <c r="Q25" s="44">
        <f t="shared" si="8"/>
        <v>4082.479285714277</v>
      </c>
      <c r="R25" s="44">
        <f t="shared" si="8"/>
        <v>3126.8434146341388</v>
      </c>
      <c r="S25" s="45">
        <f t="shared" si="8"/>
        <v>-0.139999999999986</v>
      </c>
      <c r="T25" s="32">
        <f>IFERROR(T15/T6,0)</f>
        <v>0</v>
      </c>
      <c r="U25" s="44">
        <f>IFERROR(U15/U6,0)</f>
        <v>0</v>
      </c>
      <c r="V25" s="44">
        <f>IFERROR(V15/V6,0)</f>
        <v>0</v>
      </c>
      <c r="AA25" s="8"/>
    </row>
    <row r="26" spans="1:27" hidden="1" outlineLevel="1" x14ac:dyDescent="0.25">
      <c r="A26" s="9"/>
      <c r="B26" s="43" t="s">
        <v>43</v>
      </c>
      <c r="C26" s="31">
        <f>IFERROR(C16/C5,0)</f>
        <v>1326.7839488840889</v>
      </c>
      <c r="D26" s="44">
        <f t="shared" ref="D26:S26" si="9">IFERROR(D16/D5,0)</f>
        <v>1222.3171282798821</v>
      </c>
      <c r="E26" s="44">
        <f t="shared" si="9"/>
        <v>943.24083333333328</v>
      </c>
      <c r="F26" s="44">
        <f t="shared" si="9"/>
        <v>0</v>
      </c>
      <c r="G26" s="44">
        <f t="shared" si="9"/>
        <v>1117.7573553718992</v>
      </c>
      <c r="H26" s="44">
        <f t="shared" si="9"/>
        <v>971.20879098360592</v>
      </c>
      <c r="I26" s="44">
        <f t="shared" si="9"/>
        <v>977.0267785234895</v>
      </c>
      <c r="J26" s="44">
        <f t="shared" si="9"/>
        <v>1316.2280000000003</v>
      </c>
      <c r="K26" s="44">
        <f t="shared" si="9"/>
        <v>1382.7732352941166</v>
      </c>
      <c r="L26" s="44">
        <f t="shared" si="9"/>
        <v>1249.7745602605864</v>
      </c>
      <c r="M26" s="44">
        <f t="shared" si="9"/>
        <v>963.86818941504077</v>
      </c>
      <c r="N26" s="44">
        <f t="shared" si="9"/>
        <v>2063.1694505494506</v>
      </c>
      <c r="O26" s="44">
        <f t="shared" si="9"/>
        <v>1440.0235857664234</v>
      </c>
      <c r="P26" s="44">
        <f t="shared" si="9"/>
        <v>1632.7098677248673</v>
      </c>
      <c r="Q26" s="44">
        <f t="shared" si="9"/>
        <v>1186.5710773480664</v>
      </c>
      <c r="R26" s="44">
        <f t="shared" si="9"/>
        <v>1507.6658730158715</v>
      </c>
      <c r="S26" s="45">
        <f t="shared" si="9"/>
        <v>2644.4865573770489</v>
      </c>
      <c r="T26" s="35">
        <f>IFERROR(T16/T5,0)</f>
        <v>0</v>
      </c>
      <c r="U26" s="46">
        <f>IFERROR(U16/U5,0)</f>
        <v>0</v>
      </c>
      <c r="V26" s="46">
        <f>IFERROR(V16/V5,0)</f>
        <v>0</v>
      </c>
      <c r="AA26" s="8"/>
    </row>
    <row r="27" spans="1:27" ht="15.75" hidden="1" outlineLevel="1" thickBot="1" x14ac:dyDescent="0.3">
      <c r="A27" s="9"/>
      <c r="B27" s="47" t="s">
        <v>44</v>
      </c>
      <c r="C27" s="48">
        <f>SUM(C24,C26)</f>
        <v>4102.4268754499608</v>
      </c>
      <c r="D27" s="49">
        <f t="shared" ref="D27:V27" si="10">SUM(D24,D26)</f>
        <v>3797.8535131195267</v>
      </c>
      <c r="E27" s="49">
        <f t="shared" si="10"/>
        <v>-490.82083333332343</v>
      </c>
      <c r="F27" s="49">
        <f t="shared" si="10"/>
        <v>0</v>
      </c>
      <c r="G27" s="49">
        <f t="shared" si="10"/>
        <v>1968.6239256198305</v>
      </c>
      <c r="H27" s="49">
        <f t="shared" si="10"/>
        <v>3540.7362090163829</v>
      </c>
      <c r="I27" s="49">
        <f t="shared" si="10"/>
        <v>3170.3497539149857</v>
      </c>
      <c r="J27" s="49">
        <f t="shared" si="10"/>
        <v>4591.7929736842061</v>
      </c>
      <c r="K27" s="49">
        <f t="shared" si="10"/>
        <v>3579.3921764705824</v>
      </c>
      <c r="L27" s="49">
        <f t="shared" si="10"/>
        <v>4314.1997394136779</v>
      </c>
      <c r="M27" s="49">
        <f t="shared" si="10"/>
        <v>3831.1188022284118</v>
      </c>
      <c r="N27" s="49">
        <f t="shared" si="10"/>
        <v>6206.1665384615317</v>
      </c>
      <c r="O27" s="49">
        <f t="shared" si="10"/>
        <v>4469.3611678832131</v>
      </c>
      <c r="P27" s="49">
        <f t="shared" si="10"/>
        <v>4183.8286243386219</v>
      </c>
      <c r="Q27" s="49">
        <f t="shared" si="10"/>
        <v>4612.3377348066224</v>
      </c>
      <c r="R27" s="49">
        <f t="shared" si="10"/>
        <v>4856.2338095238065</v>
      </c>
      <c r="S27" s="50">
        <f t="shared" si="10"/>
        <v>5584.8513114754078</v>
      </c>
      <c r="T27" s="51">
        <f t="shared" si="10"/>
        <v>0</v>
      </c>
      <c r="U27" s="37">
        <f t="shared" si="10"/>
        <v>0</v>
      </c>
      <c r="V27" s="37">
        <f t="shared" si="10"/>
        <v>0</v>
      </c>
      <c r="AA27" s="8"/>
    </row>
    <row r="28" spans="1:27" collapsed="1" x14ac:dyDescent="0.25">
      <c r="A28" s="9"/>
      <c r="B28" s="52" t="s">
        <v>45</v>
      </c>
      <c r="C28" s="53">
        <f>IFERROR(C17/C7,0)</f>
        <v>4119.4650745005047</v>
      </c>
      <c r="D28" s="54">
        <f t="shared" ref="D28:S31" si="11">IFERROR(D17/D7,0)</f>
        <v>3898.7432373113788</v>
      </c>
      <c r="E28" s="54">
        <f t="shared" si="11"/>
        <v>-439.40083333332342</v>
      </c>
      <c r="F28" s="54">
        <f t="shared" si="11"/>
        <v>0</v>
      </c>
      <c r="G28" s="54">
        <f t="shared" si="11"/>
        <v>2075.7385140562205</v>
      </c>
      <c r="H28" s="54">
        <f t="shared" si="11"/>
        <v>3511.4970270270169</v>
      </c>
      <c r="I28" s="54">
        <f t="shared" si="11"/>
        <v>3295.2232971800404</v>
      </c>
      <c r="J28" s="54">
        <f t="shared" si="11"/>
        <v>4476.8640776698985</v>
      </c>
      <c r="K28" s="54">
        <f t="shared" si="11"/>
        <v>3415.8669892473063</v>
      </c>
      <c r="L28" s="54">
        <f t="shared" si="11"/>
        <v>4114.1466969696939</v>
      </c>
      <c r="M28" s="54">
        <f t="shared" si="11"/>
        <v>3809.5107812499987</v>
      </c>
      <c r="N28" s="54">
        <f t="shared" si="11"/>
        <v>6308.302131147535</v>
      </c>
      <c r="O28" s="54">
        <f t="shared" si="11"/>
        <v>4468.6945894160608</v>
      </c>
      <c r="P28" s="54">
        <f t="shared" si="11"/>
        <v>4509.5874844074806</v>
      </c>
      <c r="Q28" s="54">
        <f t="shared" si="11"/>
        <v>4640.5949999999921</v>
      </c>
      <c r="R28" s="54">
        <f t="shared" si="11"/>
        <v>4626.411092150167</v>
      </c>
      <c r="S28" s="55">
        <f t="shared" si="11"/>
        <v>5549.1745652173895</v>
      </c>
      <c r="T28" s="56">
        <f>IFERROR(T17/T7,0)</f>
        <v>0</v>
      </c>
      <c r="U28" s="36">
        <f>IFERROR(U17/U7,0)</f>
        <v>0</v>
      </c>
      <c r="V28" s="36">
        <f>IFERROR(V17/V7,0)</f>
        <v>0</v>
      </c>
      <c r="AA28" s="8"/>
    </row>
    <row r="29" spans="1:27" hidden="1" outlineLevel="1" x14ac:dyDescent="0.25">
      <c r="A29" s="9"/>
      <c r="B29" s="43" t="s">
        <v>46</v>
      </c>
      <c r="C29" s="31">
        <f>IFERROR(C18/C8,0)</f>
        <v>1989.4474095563114</v>
      </c>
      <c r="D29" s="44">
        <f t="shared" si="11"/>
        <v>1982.1710559006174</v>
      </c>
      <c r="E29" s="44">
        <f t="shared" si="11"/>
        <v>2461.4266666666667</v>
      </c>
      <c r="F29" s="44">
        <f t="shared" si="11"/>
        <v>0</v>
      </c>
      <c r="G29" s="44">
        <f t="shared" si="11"/>
        <v>2048.1880239520929</v>
      </c>
      <c r="H29" s="44">
        <f t="shared" si="11"/>
        <v>2754.8250510204043</v>
      </c>
      <c r="I29" s="44">
        <f t="shared" si="11"/>
        <v>1270.6818518518496</v>
      </c>
      <c r="J29" s="44">
        <f t="shared" si="11"/>
        <v>2003.1214077669886</v>
      </c>
      <c r="K29" s="44">
        <f t="shared" si="11"/>
        <v>1545.7308108108064</v>
      </c>
      <c r="L29" s="44">
        <f t="shared" si="11"/>
        <v>2175.2915311004735</v>
      </c>
      <c r="M29" s="44">
        <f t="shared" si="11"/>
        <v>1620.9307723577208</v>
      </c>
      <c r="N29" s="44">
        <f t="shared" si="11"/>
        <v>1776.6459999999975</v>
      </c>
      <c r="O29" s="44">
        <f t="shared" si="11"/>
        <v>1845.4293144208036</v>
      </c>
      <c r="P29" s="44">
        <f t="shared" si="11"/>
        <v>2058.6996595744649</v>
      </c>
      <c r="Q29" s="44">
        <f t="shared" si="11"/>
        <v>3133.2545070422516</v>
      </c>
      <c r="R29" s="44">
        <f t="shared" si="11"/>
        <v>3413.8209999999913</v>
      </c>
      <c r="S29" s="45">
        <f t="shared" si="11"/>
        <v>1359.0859915611798</v>
      </c>
      <c r="T29" s="32">
        <f>IFERROR(T18/T5,0)</f>
        <v>0</v>
      </c>
      <c r="U29" s="44">
        <f>IFERROR(U18/U5,0)</f>
        <v>0</v>
      </c>
      <c r="V29" s="44">
        <f>IFERROR(V18/V5,0)</f>
        <v>0</v>
      </c>
      <c r="AA29" s="8"/>
    </row>
    <row r="30" spans="1:27" hidden="1" outlineLevel="1" x14ac:dyDescent="0.25">
      <c r="A30" s="9"/>
      <c r="B30" s="43" t="s">
        <v>47</v>
      </c>
      <c r="C30" s="31">
        <f>IFERROR(C19/C9,0)</f>
        <v>0</v>
      </c>
      <c r="D30" s="44">
        <f t="shared" si="11"/>
        <v>0</v>
      </c>
      <c r="E30" s="44">
        <f t="shared" si="11"/>
        <v>0</v>
      </c>
      <c r="F30" s="44">
        <f t="shared" si="11"/>
        <v>0</v>
      </c>
      <c r="G30" s="44">
        <f t="shared" si="11"/>
        <v>0</v>
      </c>
      <c r="H30" s="44">
        <f t="shared" si="11"/>
        <v>0</v>
      </c>
      <c r="I30" s="44">
        <f t="shared" si="11"/>
        <v>0</v>
      </c>
      <c r="J30" s="44">
        <f t="shared" si="11"/>
        <v>0</v>
      </c>
      <c r="K30" s="44">
        <f t="shared" si="11"/>
        <v>0</v>
      </c>
      <c r="L30" s="44">
        <f t="shared" si="11"/>
        <v>0</v>
      </c>
      <c r="M30" s="44">
        <f t="shared" si="11"/>
        <v>0</v>
      </c>
      <c r="N30" s="44">
        <f t="shared" si="11"/>
        <v>0</v>
      </c>
      <c r="O30" s="44">
        <f t="shared" si="11"/>
        <v>0</v>
      </c>
      <c r="P30" s="44">
        <f t="shared" si="11"/>
        <v>0</v>
      </c>
      <c r="Q30" s="44">
        <f t="shared" si="11"/>
        <v>0</v>
      </c>
      <c r="R30" s="44">
        <f t="shared" si="11"/>
        <v>0</v>
      </c>
      <c r="S30" s="45">
        <f t="shared" si="11"/>
        <v>0</v>
      </c>
      <c r="T30" s="32">
        <f t="shared" ref="T30:V31" si="12">IFERROR(T19/T9,0)</f>
        <v>0</v>
      </c>
      <c r="U30" s="44">
        <f t="shared" si="12"/>
        <v>0</v>
      </c>
      <c r="V30" s="44">
        <f t="shared" si="12"/>
        <v>0</v>
      </c>
      <c r="AA30" s="8"/>
    </row>
    <row r="31" spans="1:27" hidden="1" outlineLevel="1" x14ac:dyDescent="0.25">
      <c r="A31" s="9"/>
      <c r="B31" s="43" t="s">
        <v>48</v>
      </c>
      <c r="C31" s="31">
        <f>IFERROR(C20/C10,0)</f>
        <v>781.13927719298101</v>
      </c>
      <c r="D31" s="44">
        <f t="shared" si="11"/>
        <v>851.04423376623288</v>
      </c>
      <c r="E31" s="44">
        <f t="shared" si="11"/>
        <v>-728.3323809523805</v>
      </c>
      <c r="F31" s="44">
        <f t="shared" si="11"/>
        <v>0</v>
      </c>
      <c r="G31" s="44">
        <f t="shared" si="11"/>
        <v>917.50969072164742</v>
      </c>
      <c r="H31" s="44">
        <f t="shared" si="11"/>
        <v>1277.3366666666641</v>
      </c>
      <c r="I31" s="44">
        <f t="shared" si="11"/>
        <v>792.40406113537028</v>
      </c>
      <c r="J31" s="44">
        <f t="shared" si="11"/>
        <v>456.20226495726297</v>
      </c>
      <c r="K31" s="44">
        <f t="shared" si="11"/>
        <v>568.64626168224049</v>
      </c>
      <c r="L31" s="44">
        <f t="shared" si="11"/>
        <v>362.78954545454405</v>
      </c>
      <c r="M31" s="44">
        <f t="shared" si="11"/>
        <v>718.22192708333171</v>
      </c>
      <c r="N31" s="44">
        <f t="shared" si="11"/>
        <v>392.88543478260766</v>
      </c>
      <c r="O31" s="44">
        <f t="shared" si="11"/>
        <v>1192.9412058823514</v>
      </c>
      <c r="P31" s="44">
        <f t="shared" si="11"/>
        <v>729.60861751152015</v>
      </c>
      <c r="Q31" s="44">
        <f t="shared" si="11"/>
        <v>797.92827160493698</v>
      </c>
      <c r="R31" s="44">
        <f t="shared" si="11"/>
        <v>984.85170212765627</v>
      </c>
      <c r="S31" s="45">
        <f t="shared" si="11"/>
        <v>652.64239436619562</v>
      </c>
      <c r="T31" s="32">
        <f t="shared" si="12"/>
        <v>0</v>
      </c>
      <c r="U31" s="44">
        <f t="shared" si="12"/>
        <v>0</v>
      </c>
      <c r="V31" s="44">
        <f t="shared" si="12"/>
        <v>0</v>
      </c>
      <c r="AA31" s="8"/>
    </row>
    <row r="32" spans="1:27" hidden="1" outlineLevel="1" x14ac:dyDescent="0.25">
      <c r="A32" s="9"/>
      <c r="B32" s="43" t="s">
        <v>49</v>
      </c>
      <c r="C32" s="31">
        <f>IFERROR(C21/C8,0)</f>
        <v>1439.4933208191119</v>
      </c>
      <c r="D32" s="44">
        <f t="shared" ref="D32:S32" si="13">IFERROR(D21/D8,0)</f>
        <v>1049.5285403726705</v>
      </c>
      <c r="E32" s="44">
        <f t="shared" si="13"/>
        <v>2431.2950000000001</v>
      </c>
      <c r="F32" s="44">
        <f t="shared" si="13"/>
        <v>0</v>
      </c>
      <c r="G32" s="44">
        <f t="shared" si="13"/>
        <v>1514.2275449101792</v>
      </c>
      <c r="H32" s="44">
        <f t="shared" si="13"/>
        <v>1168.4141836734689</v>
      </c>
      <c r="I32" s="44">
        <f t="shared" si="13"/>
        <v>2004.2595370370361</v>
      </c>
      <c r="J32" s="44">
        <f t="shared" si="13"/>
        <v>1703.1815048543674</v>
      </c>
      <c r="K32" s="44">
        <f t="shared" si="13"/>
        <v>1227.9079729729731</v>
      </c>
      <c r="L32" s="44">
        <f t="shared" si="13"/>
        <v>1582.6004306220095</v>
      </c>
      <c r="M32" s="44">
        <f t="shared" si="13"/>
        <v>1192.7827235772349</v>
      </c>
      <c r="N32" s="44">
        <f t="shared" si="13"/>
        <v>1697.0217857142841</v>
      </c>
      <c r="O32" s="44">
        <f t="shared" si="13"/>
        <v>1573.5338297872315</v>
      </c>
      <c r="P32" s="44">
        <f t="shared" si="13"/>
        <v>1546.4546808510622</v>
      </c>
      <c r="Q32" s="44">
        <f t="shared" si="13"/>
        <v>1145.7903755868545</v>
      </c>
      <c r="R32" s="44">
        <f t="shared" si="13"/>
        <v>1765.0094999999947</v>
      </c>
      <c r="S32" s="45">
        <f t="shared" si="13"/>
        <v>1279.3551476793245</v>
      </c>
      <c r="T32" s="32">
        <f>IFERROR(T21/T8,0)</f>
        <v>0</v>
      </c>
      <c r="U32" s="44">
        <f>IFERROR(U21/U8,0)</f>
        <v>0</v>
      </c>
      <c r="V32" s="44">
        <f>IFERROR(V21/V8,0)</f>
        <v>0</v>
      </c>
      <c r="AA32" s="8"/>
    </row>
    <row r="33" spans="1:27" hidden="1" outlineLevel="1" x14ac:dyDescent="0.25">
      <c r="A33" s="9"/>
      <c r="B33" s="57" t="s">
        <v>50</v>
      </c>
      <c r="C33" s="34">
        <f>SUM(C29,C32)</f>
        <v>3428.9407303754233</v>
      </c>
      <c r="D33" s="46">
        <f t="shared" ref="D33:V33" si="14">SUM(D29,D32)</f>
        <v>3031.6995962732881</v>
      </c>
      <c r="E33" s="46">
        <f t="shared" si="14"/>
        <v>4892.7216666666664</v>
      </c>
      <c r="F33" s="46">
        <f t="shared" si="14"/>
        <v>0</v>
      </c>
      <c r="G33" s="46">
        <f t="shared" si="14"/>
        <v>3562.4155688622723</v>
      </c>
      <c r="H33" s="46">
        <f t="shared" si="14"/>
        <v>3923.2392346938732</v>
      </c>
      <c r="I33" s="46">
        <f t="shared" si="14"/>
        <v>3274.9413888888857</v>
      </c>
      <c r="J33" s="46">
        <f t="shared" si="14"/>
        <v>3706.302912621356</v>
      </c>
      <c r="K33" s="46">
        <f t="shared" si="14"/>
        <v>2773.6387837837792</v>
      </c>
      <c r="L33" s="46">
        <f t="shared" si="14"/>
        <v>3757.8919617224828</v>
      </c>
      <c r="M33" s="46">
        <f t="shared" si="14"/>
        <v>2813.713495934956</v>
      </c>
      <c r="N33" s="46">
        <f t="shared" si="14"/>
        <v>3473.6677857142813</v>
      </c>
      <c r="O33" s="46">
        <f t="shared" si="14"/>
        <v>3418.9631442080354</v>
      </c>
      <c r="P33" s="46">
        <f t="shared" si="14"/>
        <v>3605.1543404255272</v>
      </c>
      <c r="Q33" s="46">
        <f t="shared" si="14"/>
        <v>4279.0448826291058</v>
      </c>
      <c r="R33" s="46">
        <f t="shared" si="14"/>
        <v>5178.8304999999855</v>
      </c>
      <c r="S33" s="58">
        <f t="shared" si="14"/>
        <v>2638.4411392405045</v>
      </c>
      <c r="T33" s="51">
        <f t="shared" si="14"/>
        <v>0</v>
      </c>
      <c r="U33" s="37">
        <f t="shared" si="14"/>
        <v>0</v>
      </c>
      <c r="V33" s="36">
        <f t="shared" si="14"/>
        <v>0</v>
      </c>
      <c r="AA33" s="8"/>
    </row>
    <row r="34" spans="1:27" collapsed="1" x14ac:dyDescent="0.25">
      <c r="A34" s="9"/>
      <c r="B34" s="59" t="s">
        <v>51</v>
      </c>
      <c r="C34" s="36">
        <f>IFERROR(C22/C11,0)</f>
        <v>2123.3638892733538</v>
      </c>
      <c r="D34" s="37">
        <f t="shared" ref="D34:S35" si="15">IFERROR(D22/D11,0)</f>
        <v>1844.214002828852</v>
      </c>
      <c r="E34" s="37">
        <f t="shared" si="15"/>
        <v>520.79074074074117</v>
      </c>
      <c r="F34" s="37">
        <f t="shared" si="15"/>
        <v>0</v>
      </c>
      <c r="G34" s="37">
        <f t="shared" si="15"/>
        <v>2590.6130303030272</v>
      </c>
      <c r="H34" s="37">
        <f t="shared" si="15"/>
        <v>2702.0534340659306</v>
      </c>
      <c r="I34" s="37">
        <f t="shared" si="15"/>
        <v>1997.4109438202229</v>
      </c>
      <c r="J34" s="37">
        <f t="shared" si="15"/>
        <v>1977.8402954545427</v>
      </c>
      <c r="K34" s="37">
        <f t="shared" si="15"/>
        <v>1470.1349171270685</v>
      </c>
      <c r="L34" s="37">
        <f t="shared" si="15"/>
        <v>2016.8137995337966</v>
      </c>
      <c r="M34" s="37">
        <f t="shared" si="15"/>
        <v>1895.1418493150659</v>
      </c>
      <c r="N34" s="37">
        <f t="shared" si="15"/>
        <v>1944.3585611510769</v>
      </c>
      <c r="O34" s="37">
        <f t="shared" si="15"/>
        <v>2427.0267627785038</v>
      </c>
      <c r="P34" s="37">
        <f t="shared" si="15"/>
        <v>2224.6379203539796</v>
      </c>
      <c r="Q34" s="37">
        <f t="shared" si="15"/>
        <v>2423.9761622807005</v>
      </c>
      <c r="R34" s="37">
        <f t="shared" si="15"/>
        <v>1720.6374561403456</v>
      </c>
      <c r="S34" s="60">
        <f t="shared" si="15"/>
        <v>2180.6758441558422</v>
      </c>
      <c r="T34" s="56">
        <f>IFERROR(T22/T11,0)</f>
        <v>0</v>
      </c>
      <c r="U34" s="36">
        <f>IFERROR(U22/U11,0)</f>
        <v>0</v>
      </c>
      <c r="V34" s="36">
        <f>IFERROR(V22/V11,0)</f>
        <v>0</v>
      </c>
      <c r="AA34" s="8"/>
    </row>
    <row r="35" spans="1:27" ht="15.75" thickBot="1" x14ac:dyDescent="0.3">
      <c r="A35" s="9"/>
      <c r="B35" s="61" t="s">
        <v>52</v>
      </c>
      <c r="C35" s="62">
        <f>IFERROR(C23/C12,0)</f>
        <v>3132.1755955844565</v>
      </c>
      <c r="D35" s="62">
        <f t="shared" si="15"/>
        <v>2887.2166573816112</v>
      </c>
      <c r="E35" s="62">
        <f t="shared" si="15"/>
        <v>68.935882352946052</v>
      </c>
      <c r="F35" s="62">
        <f t="shared" si="15"/>
        <v>0</v>
      </c>
      <c r="G35" s="62">
        <f t="shared" si="15"/>
        <v>2340.7031773879107</v>
      </c>
      <c r="H35" s="62">
        <f t="shared" si="15"/>
        <v>3177.4409410430767</v>
      </c>
      <c r="I35" s="62">
        <f t="shared" si="15"/>
        <v>2657.7768322295778</v>
      </c>
      <c r="J35" s="62">
        <f t="shared" si="15"/>
        <v>3186.2884154929538</v>
      </c>
      <c r="K35" s="62">
        <f t="shared" si="15"/>
        <v>2456.2552588555814</v>
      </c>
      <c r="L35" s="62">
        <f t="shared" si="15"/>
        <v>2928.6976679841864</v>
      </c>
      <c r="M35" s="62">
        <f t="shared" si="15"/>
        <v>2789.4455839416037</v>
      </c>
      <c r="N35" s="62">
        <f t="shared" si="15"/>
        <v>3676.6832321041179</v>
      </c>
      <c r="O35" s="62">
        <f t="shared" si="15"/>
        <v>3630.7211888111892</v>
      </c>
      <c r="P35" s="62">
        <f t="shared" si="15"/>
        <v>3402.6237084673066</v>
      </c>
      <c r="Q35" s="62">
        <f t="shared" si="15"/>
        <v>3425.7173677884575</v>
      </c>
      <c r="R35" s="62">
        <f t="shared" si="15"/>
        <v>3354.7865451055618</v>
      </c>
      <c r="S35" s="63">
        <f t="shared" si="15"/>
        <v>3440.439593495933</v>
      </c>
      <c r="T35" s="7"/>
      <c r="U35" s="7"/>
      <c r="V35" s="7"/>
      <c r="AA35" s="8"/>
    </row>
    <row r="36" spans="1:27" ht="5.25" customHeight="1" x14ac:dyDescent="0.25"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</row>
    <row r="37" spans="1:27" x14ac:dyDescent="0.25">
      <c r="B37" s="5" t="s">
        <v>61</v>
      </c>
      <c r="C37" s="65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7" t="s">
        <v>18</v>
      </c>
      <c r="U37" s="5" t="s">
        <v>19</v>
      </c>
      <c r="V37" s="5" t="s">
        <v>20</v>
      </c>
    </row>
    <row r="38" spans="1:27" hidden="1" outlineLevel="1" x14ac:dyDescent="0.25">
      <c r="A38" s="9"/>
      <c r="B38" s="10" t="s">
        <v>21</v>
      </c>
      <c r="C38" s="11">
        <f>+SUM(D38:V38)</f>
        <v>5848</v>
      </c>
      <c r="D38" s="12">
        <v>801</v>
      </c>
      <c r="E38" s="12">
        <v>62</v>
      </c>
      <c r="F38" s="12">
        <v>0</v>
      </c>
      <c r="G38" s="12">
        <v>255</v>
      </c>
      <c r="H38" s="12">
        <v>544</v>
      </c>
      <c r="I38" s="12">
        <v>522</v>
      </c>
      <c r="J38" s="12">
        <v>398</v>
      </c>
      <c r="K38" s="12">
        <v>174</v>
      </c>
      <c r="L38" s="12">
        <v>288</v>
      </c>
      <c r="M38" s="12">
        <v>332</v>
      </c>
      <c r="N38" s="12">
        <v>183</v>
      </c>
      <c r="O38" s="12">
        <v>1064</v>
      </c>
      <c r="P38" s="12">
        <v>405</v>
      </c>
      <c r="Q38" s="12">
        <v>397</v>
      </c>
      <c r="R38" s="12">
        <v>200</v>
      </c>
      <c r="S38" s="12">
        <v>223</v>
      </c>
      <c r="T38" s="12"/>
      <c r="U38" s="12"/>
      <c r="V38" s="12"/>
      <c r="AA38" s="8"/>
    </row>
    <row r="39" spans="1:27" hidden="1" outlineLevel="1" x14ac:dyDescent="0.25">
      <c r="A39" s="9"/>
      <c r="B39" s="13" t="s">
        <v>22</v>
      </c>
      <c r="C39" s="14">
        <f>+SUM(D39:V39)</f>
        <v>374</v>
      </c>
      <c r="D39" s="15">
        <v>34</v>
      </c>
      <c r="E39" s="15">
        <v>4</v>
      </c>
      <c r="F39" s="15">
        <v>0</v>
      </c>
      <c r="G39" s="15">
        <v>26</v>
      </c>
      <c r="H39" s="15">
        <v>14</v>
      </c>
      <c r="I39" s="15">
        <v>13</v>
      </c>
      <c r="J39" s="15">
        <v>42</v>
      </c>
      <c r="K39" s="15">
        <v>6</v>
      </c>
      <c r="L39" s="15">
        <v>16</v>
      </c>
      <c r="M39" s="15">
        <v>17</v>
      </c>
      <c r="N39" s="15">
        <v>2</v>
      </c>
      <c r="O39" s="15">
        <v>0</v>
      </c>
      <c r="P39" s="15">
        <v>108</v>
      </c>
      <c r="Q39" s="15">
        <v>8</v>
      </c>
      <c r="R39" s="15">
        <v>84</v>
      </c>
      <c r="S39" s="15">
        <v>0</v>
      </c>
      <c r="T39" s="15"/>
      <c r="U39" s="15"/>
      <c r="V39" s="15"/>
      <c r="AA39" s="8"/>
    </row>
    <row r="40" spans="1:27" collapsed="1" x14ac:dyDescent="0.25">
      <c r="A40" s="9"/>
      <c r="B40" s="16" t="s">
        <v>23</v>
      </c>
      <c r="C40" s="17">
        <f>SUM(C38:C39)</f>
        <v>6222</v>
      </c>
      <c r="D40" s="18">
        <f t="shared" ref="D40:S40" si="16">SUM(D38:D39)</f>
        <v>835</v>
      </c>
      <c r="E40" s="18">
        <f t="shared" si="16"/>
        <v>66</v>
      </c>
      <c r="F40" s="18">
        <f t="shared" si="16"/>
        <v>0</v>
      </c>
      <c r="G40" s="18">
        <f t="shared" si="16"/>
        <v>281</v>
      </c>
      <c r="H40" s="18">
        <f t="shared" si="16"/>
        <v>558</v>
      </c>
      <c r="I40" s="18">
        <f t="shared" si="16"/>
        <v>535</v>
      </c>
      <c r="J40" s="18">
        <f t="shared" si="16"/>
        <v>440</v>
      </c>
      <c r="K40" s="18">
        <f t="shared" si="16"/>
        <v>180</v>
      </c>
      <c r="L40" s="18">
        <f t="shared" si="16"/>
        <v>304</v>
      </c>
      <c r="M40" s="18">
        <f t="shared" si="16"/>
        <v>349</v>
      </c>
      <c r="N40" s="18">
        <f t="shared" si="16"/>
        <v>185</v>
      </c>
      <c r="O40" s="18">
        <f t="shared" si="16"/>
        <v>1064</v>
      </c>
      <c r="P40" s="18">
        <f t="shared" si="16"/>
        <v>513</v>
      </c>
      <c r="Q40" s="18">
        <f t="shared" si="16"/>
        <v>405</v>
      </c>
      <c r="R40" s="18">
        <f t="shared" si="16"/>
        <v>284</v>
      </c>
      <c r="S40" s="18">
        <f t="shared" si="16"/>
        <v>223</v>
      </c>
      <c r="T40" s="19">
        <f>SUM(T38:T39)</f>
        <v>0</v>
      </c>
      <c r="U40" s="19">
        <f>SUM(U38:U39)</f>
        <v>0</v>
      </c>
      <c r="V40" s="19">
        <f>SUM(V38:V39)</f>
        <v>0</v>
      </c>
      <c r="AA40" s="8"/>
    </row>
    <row r="41" spans="1:27" ht="14.25" hidden="1" customHeight="1" outlineLevel="1" x14ac:dyDescent="0.25">
      <c r="A41" s="9"/>
      <c r="B41" s="10" t="s">
        <v>24</v>
      </c>
      <c r="C41" s="11">
        <f>+SUM(D41:V41)</f>
        <v>3087.4681621251852</v>
      </c>
      <c r="D41" s="12">
        <v>327</v>
      </c>
      <c r="E41" s="12">
        <v>64</v>
      </c>
      <c r="F41" s="12">
        <v>0</v>
      </c>
      <c r="G41" s="12">
        <v>154</v>
      </c>
      <c r="H41" s="12">
        <v>268</v>
      </c>
      <c r="I41" s="12">
        <v>244</v>
      </c>
      <c r="J41" s="12">
        <v>203</v>
      </c>
      <c r="K41" s="12">
        <v>66</v>
      </c>
      <c r="L41" s="12">
        <v>167</v>
      </c>
      <c r="M41" s="12">
        <v>249</v>
      </c>
      <c r="N41" s="12">
        <v>159</v>
      </c>
      <c r="O41" s="12">
        <v>368</v>
      </c>
      <c r="P41" s="12">
        <v>321</v>
      </c>
      <c r="Q41" s="12">
        <v>182</v>
      </c>
      <c r="R41" s="12">
        <v>77.468162125185273</v>
      </c>
      <c r="S41" s="12">
        <v>238</v>
      </c>
      <c r="T41" s="20"/>
      <c r="U41" s="20"/>
      <c r="V41" s="20"/>
      <c r="AA41" s="8"/>
    </row>
    <row r="42" spans="1:27" hidden="1" outlineLevel="1" x14ac:dyDescent="0.25">
      <c r="A42" s="9"/>
      <c r="B42" s="13" t="s">
        <v>25</v>
      </c>
      <c r="C42" s="14">
        <f>+SUM(D42:V42)</f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21"/>
      <c r="U42" s="21"/>
      <c r="V42" s="21"/>
      <c r="AA42" s="8"/>
    </row>
    <row r="43" spans="1:27" hidden="1" outlineLevel="1" x14ac:dyDescent="0.25">
      <c r="A43" s="9"/>
      <c r="B43" s="13" t="s">
        <v>26</v>
      </c>
      <c r="C43" s="22">
        <f>+SUM(D43:V43)</f>
        <v>2860.025495621936</v>
      </c>
      <c r="D43" s="23">
        <v>358</v>
      </c>
      <c r="E43" s="23">
        <v>64</v>
      </c>
      <c r="F43" s="23">
        <v>0</v>
      </c>
      <c r="G43" s="23">
        <v>70</v>
      </c>
      <c r="H43" s="23">
        <v>195</v>
      </c>
      <c r="I43" s="23">
        <v>263</v>
      </c>
      <c r="J43" s="23">
        <v>199.9701</v>
      </c>
      <c r="K43" s="23">
        <v>98</v>
      </c>
      <c r="L43" s="23">
        <v>203</v>
      </c>
      <c r="M43" s="23">
        <v>183</v>
      </c>
      <c r="N43" s="23">
        <v>155</v>
      </c>
      <c r="O43" s="23">
        <v>397</v>
      </c>
      <c r="P43" s="23">
        <v>234</v>
      </c>
      <c r="Q43" s="23">
        <v>182</v>
      </c>
      <c r="R43" s="23">
        <v>198.05539562193593</v>
      </c>
      <c r="S43" s="23">
        <v>60</v>
      </c>
      <c r="T43" s="24"/>
      <c r="U43" s="24"/>
      <c r="V43" s="24"/>
      <c r="AA43" s="8"/>
    </row>
    <row r="44" spans="1:27" collapsed="1" x14ac:dyDescent="0.25">
      <c r="A44" s="9"/>
      <c r="B44" s="16" t="s">
        <v>27</v>
      </c>
      <c r="C44" s="17">
        <f>SUM(C41:C43)</f>
        <v>5947.4936577471217</v>
      </c>
      <c r="D44" s="18">
        <f t="shared" ref="D44:S44" si="17">SUM(D41:D43)</f>
        <v>685</v>
      </c>
      <c r="E44" s="18">
        <f t="shared" si="17"/>
        <v>128</v>
      </c>
      <c r="F44" s="18">
        <f t="shared" si="17"/>
        <v>0</v>
      </c>
      <c r="G44" s="18">
        <f t="shared" si="17"/>
        <v>224</v>
      </c>
      <c r="H44" s="18">
        <f t="shared" si="17"/>
        <v>463</v>
      </c>
      <c r="I44" s="18">
        <f t="shared" si="17"/>
        <v>507</v>
      </c>
      <c r="J44" s="18">
        <f t="shared" si="17"/>
        <v>402.9701</v>
      </c>
      <c r="K44" s="18">
        <f t="shared" si="17"/>
        <v>164</v>
      </c>
      <c r="L44" s="18">
        <f t="shared" si="17"/>
        <v>370</v>
      </c>
      <c r="M44" s="18">
        <f t="shared" si="17"/>
        <v>432</v>
      </c>
      <c r="N44" s="18">
        <f t="shared" si="17"/>
        <v>314</v>
      </c>
      <c r="O44" s="18">
        <f t="shared" si="17"/>
        <v>765</v>
      </c>
      <c r="P44" s="18">
        <f t="shared" si="17"/>
        <v>555</v>
      </c>
      <c r="Q44" s="18">
        <f t="shared" si="17"/>
        <v>364</v>
      </c>
      <c r="R44" s="18">
        <f t="shared" si="17"/>
        <v>275.52355774712123</v>
      </c>
      <c r="S44" s="18">
        <f t="shared" si="17"/>
        <v>298</v>
      </c>
      <c r="T44" s="19">
        <f>SUM(T41:T43)</f>
        <v>0</v>
      </c>
      <c r="U44" s="19">
        <f>SUM(U41:U43)</f>
        <v>0</v>
      </c>
      <c r="V44" s="19">
        <f>SUM(V41:V43)</f>
        <v>0</v>
      </c>
      <c r="AA44" s="8"/>
    </row>
    <row r="45" spans="1:27" ht="15.75" thickBot="1" x14ac:dyDescent="0.3">
      <c r="A45" s="9"/>
      <c r="B45" s="25" t="s">
        <v>28</v>
      </c>
      <c r="C45" s="11">
        <f>+C40+C44</f>
        <v>12169.493657747122</v>
      </c>
      <c r="D45" s="11">
        <f t="shared" ref="D45:S45" si="18">+D40+D44</f>
        <v>1520</v>
      </c>
      <c r="E45" s="11">
        <f t="shared" si="18"/>
        <v>194</v>
      </c>
      <c r="F45" s="11">
        <f t="shared" si="18"/>
        <v>0</v>
      </c>
      <c r="G45" s="11">
        <f t="shared" si="18"/>
        <v>505</v>
      </c>
      <c r="H45" s="11">
        <f t="shared" si="18"/>
        <v>1021</v>
      </c>
      <c r="I45" s="11">
        <f t="shared" si="18"/>
        <v>1042</v>
      </c>
      <c r="J45" s="11">
        <f t="shared" si="18"/>
        <v>842.9701</v>
      </c>
      <c r="K45" s="11">
        <f t="shared" si="18"/>
        <v>344</v>
      </c>
      <c r="L45" s="11">
        <f t="shared" si="18"/>
        <v>674</v>
      </c>
      <c r="M45" s="11">
        <f t="shared" si="18"/>
        <v>781</v>
      </c>
      <c r="N45" s="11">
        <f t="shared" si="18"/>
        <v>499</v>
      </c>
      <c r="O45" s="11">
        <f t="shared" si="18"/>
        <v>1829</v>
      </c>
      <c r="P45" s="11">
        <f t="shared" si="18"/>
        <v>1068</v>
      </c>
      <c r="Q45" s="11">
        <f t="shared" si="18"/>
        <v>769</v>
      </c>
      <c r="R45" s="11">
        <f t="shared" si="18"/>
        <v>559.52355774712123</v>
      </c>
      <c r="S45" s="11">
        <f t="shared" si="18"/>
        <v>521</v>
      </c>
      <c r="T45" s="26"/>
      <c r="U45" s="26"/>
      <c r="V45" s="26"/>
      <c r="AA45" s="8"/>
    </row>
    <row r="46" spans="1:27" hidden="1" outlineLevel="1" x14ac:dyDescent="0.25">
      <c r="A46" s="9"/>
      <c r="B46" s="27" t="s">
        <v>30</v>
      </c>
      <c r="C46" s="28">
        <f>+SUM(D46:V46)</f>
        <v>15277628.931740647</v>
      </c>
      <c r="D46" s="29">
        <v>1829797.2310810944</v>
      </c>
      <c r="E46" s="29">
        <v>88797.468354430646</v>
      </c>
      <c r="F46" s="29">
        <v>0</v>
      </c>
      <c r="G46" s="29">
        <v>231550.80213903741</v>
      </c>
      <c r="H46" s="29">
        <v>1308984</v>
      </c>
      <c r="I46" s="29">
        <v>1183490.0375797239</v>
      </c>
      <c r="J46" s="29">
        <v>996200</v>
      </c>
      <c r="K46" s="29">
        <v>396414</v>
      </c>
      <c r="L46" s="29">
        <v>697361.30013831262</v>
      </c>
      <c r="M46" s="29">
        <v>1041400</v>
      </c>
      <c r="N46" s="29">
        <v>671498.30971815798</v>
      </c>
      <c r="O46" s="29">
        <v>3475187.7669902919</v>
      </c>
      <c r="P46" s="29">
        <v>1013509.1177937862</v>
      </c>
      <c r="Q46" s="29">
        <v>1423565.1714784938</v>
      </c>
      <c r="R46" s="29">
        <v>264773.72646732128</v>
      </c>
      <c r="S46" s="29">
        <v>655100</v>
      </c>
      <c r="T46" s="29"/>
      <c r="U46" s="29"/>
      <c r="V46" s="29"/>
      <c r="AA46" s="8"/>
    </row>
    <row r="47" spans="1:27" hidden="1" outlineLevel="1" x14ac:dyDescent="0.25">
      <c r="A47" s="9"/>
      <c r="B47" s="30" t="s">
        <v>31</v>
      </c>
      <c r="C47" s="31">
        <f>+SUM(D47:V47)</f>
        <v>508260.00316510233</v>
      </c>
      <c r="D47" s="32">
        <v>130095.23809523811</v>
      </c>
      <c r="E47" s="32">
        <v>800</v>
      </c>
      <c r="F47" s="32">
        <v>0</v>
      </c>
      <c r="G47" s="32">
        <v>36837.893998753061</v>
      </c>
      <c r="H47" s="32">
        <v>34000</v>
      </c>
      <c r="I47" s="32">
        <v>55250</v>
      </c>
      <c r="J47" s="32">
        <v>86982.416500000007</v>
      </c>
      <c r="K47" s="32">
        <v>40000</v>
      </c>
      <c r="L47" s="32">
        <v>57942</v>
      </c>
      <c r="M47" s="32">
        <v>24750</v>
      </c>
      <c r="N47" s="32">
        <v>22040.745960001605</v>
      </c>
      <c r="O47" s="32">
        <v>0</v>
      </c>
      <c r="P47" s="32">
        <v>0</v>
      </c>
      <c r="Q47" s="32">
        <v>13211.999999947151</v>
      </c>
      <c r="R47" s="32">
        <v>6349.7086111624594</v>
      </c>
      <c r="S47" s="32">
        <v>0</v>
      </c>
      <c r="T47" s="32"/>
      <c r="U47" s="32"/>
      <c r="V47" s="32"/>
      <c r="AA47" s="8"/>
    </row>
    <row r="48" spans="1:27" hidden="1" outlineLevel="1" x14ac:dyDescent="0.25">
      <c r="A48" s="9"/>
      <c r="B48" s="30" t="s">
        <v>32</v>
      </c>
      <c r="C48" s="31">
        <f>+SUM(D48:V48)</f>
        <v>818715.07533981279</v>
      </c>
      <c r="D48" s="32">
        <v>78057.14285714287</v>
      </c>
      <c r="E48" s="32">
        <v>1200</v>
      </c>
      <c r="F48" s="32">
        <v>0</v>
      </c>
      <c r="G48" s="32">
        <v>13000</v>
      </c>
      <c r="H48" s="32">
        <v>0</v>
      </c>
      <c r="I48" s="32">
        <v>31120.077549792171</v>
      </c>
      <c r="J48" s="32">
        <v>10500</v>
      </c>
      <c r="K48" s="32">
        <v>0.21428571428571425</v>
      </c>
      <c r="L48" s="32">
        <v>0</v>
      </c>
      <c r="M48" s="32">
        <v>34850</v>
      </c>
      <c r="N48" s="32">
        <v>0</v>
      </c>
      <c r="O48" s="32">
        <v>0</v>
      </c>
      <c r="P48" s="32">
        <v>415983.196202719</v>
      </c>
      <c r="Q48" s="32">
        <v>24004.444444444442</v>
      </c>
      <c r="R48" s="32">
        <v>210000</v>
      </c>
      <c r="S48" s="32">
        <v>0</v>
      </c>
      <c r="T48" s="32"/>
      <c r="U48" s="32"/>
      <c r="V48" s="32"/>
      <c r="AA48" s="8"/>
    </row>
    <row r="49" spans="1:27" hidden="1" outlineLevel="1" x14ac:dyDescent="0.25">
      <c r="A49" s="9"/>
      <c r="B49" s="33" t="s">
        <v>33</v>
      </c>
      <c r="C49" s="34">
        <f>+SUM(D49:V49)</f>
        <v>7256818</v>
      </c>
      <c r="D49" s="35">
        <v>881100</v>
      </c>
      <c r="E49" s="35">
        <v>55800</v>
      </c>
      <c r="F49" s="35">
        <v>0</v>
      </c>
      <c r="G49" s="35">
        <v>312375</v>
      </c>
      <c r="H49" s="35">
        <v>544000</v>
      </c>
      <c r="I49" s="35">
        <v>522000</v>
      </c>
      <c r="J49" s="35">
        <v>519788</v>
      </c>
      <c r="K49" s="35">
        <v>208800</v>
      </c>
      <c r="L49" s="35">
        <v>374400</v>
      </c>
      <c r="M49" s="35">
        <v>332000</v>
      </c>
      <c r="N49" s="35">
        <v>302865</v>
      </c>
      <c r="O49" s="35">
        <v>1287440</v>
      </c>
      <c r="P49" s="35">
        <v>729000</v>
      </c>
      <c r="Q49" s="35">
        <v>476400</v>
      </c>
      <c r="R49" s="35">
        <v>276000</v>
      </c>
      <c r="S49" s="35">
        <v>434850</v>
      </c>
      <c r="T49" s="35"/>
      <c r="U49" s="35"/>
      <c r="V49" s="35"/>
      <c r="AA49" s="8"/>
    </row>
    <row r="50" spans="1:27" hidden="1" outlineLevel="1" x14ac:dyDescent="0.25">
      <c r="A50" s="9"/>
      <c r="B50" s="16" t="s">
        <v>34</v>
      </c>
      <c r="C50" s="36">
        <f>+SUM(C46:C49)</f>
        <v>23861422.010245562</v>
      </c>
      <c r="D50" s="37">
        <f t="shared" ref="D50:S50" si="19">+SUM(D46:D49)</f>
        <v>2919049.6120334752</v>
      </c>
      <c r="E50" s="37">
        <f t="shared" si="19"/>
        <v>146597.46835443063</v>
      </c>
      <c r="F50" s="37">
        <f t="shared" si="19"/>
        <v>0</v>
      </c>
      <c r="G50" s="37">
        <f t="shared" si="19"/>
        <v>593763.69613779045</v>
      </c>
      <c r="H50" s="37">
        <f t="shared" si="19"/>
        <v>1886984</v>
      </c>
      <c r="I50" s="37">
        <f t="shared" si="19"/>
        <v>1791860.115129516</v>
      </c>
      <c r="J50" s="37">
        <f t="shared" si="19"/>
        <v>1613470.4165000001</v>
      </c>
      <c r="K50" s="37">
        <f t="shared" si="19"/>
        <v>645214.21428571432</v>
      </c>
      <c r="L50" s="37">
        <f t="shared" si="19"/>
        <v>1129703.3001383126</v>
      </c>
      <c r="M50" s="37">
        <f t="shared" si="19"/>
        <v>1433000</v>
      </c>
      <c r="N50" s="37">
        <f t="shared" si="19"/>
        <v>996404.05567815958</v>
      </c>
      <c r="O50" s="37">
        <f t="shared" si="19"/>
        <v>4762627.7669902919</v>
      </c>
      <c r="P50" s="37">
        <f t="shared" si="19"/>
        <v>2158492.313996505</v>
      </c>
      <c r="Q50" s="37">
        <f t="shared" si="19"/>
        <v>1937181.6159228855</v>
      </c>
      <c r="R50" s="37">
        <f t="shared" si="19"/>
        <v>757123.43507848377</v>
      </c>
      <c r="S50" s="37">
        <f t="shared" si="19"/>
        <v>1089950</v>
      </c>
      <c r="T50" s="36">
        <f>+SUM(T46:T49)</f>
        <v>0</v>
      </c>
      <c r="U50" s="36">
        <f>+SUM(U46:U49)</f>
        <v>0</v>
      </c>
      <c r="V50" s="36">
        <f>+SUM(V46:V49)</f>
        <v>0</v>
      </c>
      <c r="AA50" s="8"/>
    </row>
    <row r="51" spans="1:27" hidden="1" outlineLevel="1" x14ac:dyDescent="0.25">
      <c r="A51" s="9"/>
      <c r="B51" s="30" t="s">
        <v>35</v>
      </c>
      <c r="C51" s="31">
        <f>+SUM(D51:V51)</f>
        <v>4865161.7458100561</v>
      </c>
      <c r="D51" s="32">
        <v>523664</v>
      </c>
      <c r="E51" s="32">
        <v>76800</v>
      </c>
      <c r="F51" s="32">
        <v>0</v>
      </c>
      <c r="G51" s="32">
        <v>231000</v>
      </c>
      <c r="H51" s="32">
        <v>427275</v>
      </c>
      <c r="I51" s="32">
        <v>353800</v>
      </c>
      <c r="J51" s="32">
        <v>324800</v>
      </c>
      <c r="K51" s="32">
        <v>107400</v>
      </c>
      <c r="L51" s="32">
        <v>258000</v>
      </c>
      <c r="M51" s="32">
        <v>358900</v>
      </c>
      <c r="N51" s="32">
        <v>286200</v>
      </c>
      <c r="O51" s="32">
        <v>625600</v>
      </c>
      <c r="P51" s="32">
        <v>576950</v>
      </c>
      <c r="Q51" s="32">
        <v>237100</v>
      </c>
      <c r="R51" s="32">
        <v>143672.74581005587</v>
      </c>
      <c r="S51" s="32">
        <v>334000</v>
      </c>
      <c r="T51" s="32"/>
      <c r="U51" s="32"/>
      <c r="V51" s="32"/>
      <c r="AA51" s="8"/>
    </row>
    <row r="52" spans="1:27" hidden="1" outlineLevel="1" x14ac:dyDescent="0.25">
      <c r="A52" s="9"/>
      <c r="B52" s="30" t="s">
        <v>36</v>
      </c>
      <c r="C52" s="31">
        <f>+SUM(D52:V52)</f>
        <v>0</v>
      </c>
      <c r="D52" s="32">
        <v>0</v>
      </c>
      <c r="E52" s="32">
        <v>0</v>
      </c>
      <c r="F52" s="32">
        <v>0</v>
      </c>
      <c r="G52" s="32">
        <v>0</v>
      </c>
      <c r="H52" s="32">
        <v>0</v>
      </c>
      <c r="I52" s="32">
        <v>0</v>
      </c>
      <c r="J52" s="32">
        <v>0</v>
      </c>
      <c r="K52" s="32">
        <v>0</v>
      </c>
      <c r="L52" s="32">
        <v>0</v>
      </c>
      <c r="M52" s="32">
        <v>0</v>
      </c>
      <c r="N52" s="32">
        <v>0</v>
      </c>
      <c r="O52" s="32">
        <v>0</v>
      </c>
      <c r="P52" s="32">
        <v>0</v>
      </c>
      <c r="Q52" s="32">
        <v>0</v>
      </c>
      <c r="R52" s="32">
        <v>0</v>
      </c>
      <c r="S52" s="32">
        <v>0</v>
      </c>
      <c r="T52" s="32"/>
      <c r="U52" s="32"/>
      <c r="V52" s="32"/>
      <c r="AA52" s="8"/>
    </row>
    <row r="53" spans="1:27" hidden="1" outlineLevel="1" x14ac:dyDescent="0.25">
      <c r="A53" s="9"/>
      <c r="B53" s="30" t="s">
        <v>37</v>
      </c>
      <c r="C53" s="31">
        <f>+SUM(D53:V53)</f>
        <v>1389461.4336671988</v>
      </c>
      <c r="D53" s="32">
        <v>143200</v>
      </c>
      <c r="E53" s="32">
        <v>19200</v>
      </c>
      <c r="F53" s="32">
        <v>0</v>
      </c>
      <c r="G53" s="32">
        <v>45500</v>
      </c>
      <c r="H53" s="32">
        <v>117000</v>
      </c>
      <c r="I53" s="32">
        <v>105200</v>
      </c>
      <c r="J53" s="32">
        <v>49800.553704000005</v>
      </c>
      <c r="K53" s="32">
        <v>39200</v>
      </c>
      <c r="L53" s="32">
        <v>60900</v>
      </c>
      <c r="M53" s="32">
        <v>18300</v>
      </c>
      <c r="N53" s="32">
        <v>54250</v>
      </c>
      <c r="O53" s="32">
        <v>397000</v>
      </c>
      <c r="P53" s="32">
        <v>198900</v>
      </c>
      <c r="Q53" s="32">
        <v>26080.412371134018</v>
      </c>
      <c r="R53" s="32">
        <v>108930.46759206476</v>
      </c>
      <c r="S53" s="32">
        <v>6000</v>
      </c>
      <c r="T53" s="32"/>
      <c r="U53" s="32"/>
      <c r="V53" s="32"/>
      <c r="AA53" s="8"/>
    </row>
    <row r="54" spans="1:27" hidden="1" outlineLevel="1" x14ac:dyDescent="0.25">
      <c r="A54" s="9"/>
      <c r="B54" s="30" t="s">
        <v>38</v>
      </c>
      <c r="C54" s="31">
        <f>+SUM(D54:V54)</f>
        <v>4747492.6918253331</v>
      </c>
      <c r="D54" s="32">
        <v>457800</v>
      </c>
      <c r="E54" s="32">
        <v>96000</v>
      </c>
      <c r="F54" s="32">
        <v>0</v>
      </c>
      <c r="G54" s="32">
        <v>296450</v>
      </c>
      <c r="H54" s="32">
        <v>428800</v>
      </c>
      <c r="I54" s="32">
        <v>463600</v>
      </c>
      <c r="J54" s="32">
        <v>345100.00000000006</v>
      </c>
      <c r="K54" s="32">
        <v>82500</v>
      </c>
      <c r="L54" s="32">
        <v>246325</v>
      </c>
      <c r="M54" s="32">
        <v>337925</v>
      </c>
      <c r="N54" s="32">
        <v>230550</v>
      </c>
      <c r="O54" s="32">
        <v>625600</v>
      </c>
      <c r="P54" s="32">
        <v>481500</v>
      </c>
      <c r="Q54" s="32">
        <v>218400</v>
      </c>
      <c r="R54" s="32">
        <v>139442.69182533349</v>
      </c>
      <c r="S54" s="32">
        <v>297500</v>
      </c>
      <c r="T54" s="32"/>
      <c r="U54" s="32"/>
      <c r="V54" s="32"/>
      <c r="AA54" s="8"/>
    </row>
    <row r="55" spans="1:27" hidden="1" outlineLevel="1" x14ac:dyDescent="0.25">
      <c r="A55" s="9"/>
      <c r="B55" s="16" t="s">
        <v>39</v>
      </c>
      <c r="C55" s="36">
        <f>+SUM(C51:C54)</f>
        <v>11002115.871302588</v>
      </c>
      <c r="D55" s="37">
        <f>+SUM(D51:D54)</f>
        <v>1124664</v>
      </c>
      <c r="E55" s="37">
        <f t="shared" ref="E55:S55" si="20">+SUM(E51:E54)</f>
        <v>192000</v>
      </c>
      <c r="F55" s="37">
        <f t="shared" si="20"/>
        <v>0</v>
      </c>
      <c r="G55" s="37">
        <f t="shared" si="20"/>
        <v>572950</v>
      </c>
      <c r="H55" s="37">
        <f t="shared" si="20"/>
        <v>973075</v>
      </c>
      <c r="I55" s="37">
        <f t="shared" si="20"/>
        <v>922600</v>
      </c>
      <c r="J55" s="37">
        <f t="shared" si="20"/>
        <v>719700.55370400008</v>
      </c>
      <c r="K55" s="37">
        <f t="shared" si="20"/>
        <v>229100</v>
      </c>
      <c r="L55" s="37">
        <f t="shared" si="20"/>
        <v>565225</v>
      </c>
      <c r="M55" s="37">
        <f t="shared" si="20"/>
        <v>715125</v>
      </c>
      <c r="N55" s="37">
        <f t="shared" si="20"/>
        <v>571000</v>
      </c>
      <c r="O55" s="37">
        <f t="shared" si="20"/>
        <v>1648200</v>
      </c>
      <c r="P55" s="37">
        <f t="shared" si="20"/>
        <v>1257350</v>
      </c>
      <c r="Q55" s="37">
        <f t="shared" si="20"/>
        <v>481580.41237113404</v>
      </c>
      <c r="R55" s="37">
        <f t="shared" si="20"/>
        <v>392045.90522745415</v>
      </c>
      <c r="S55" s="37">
        <f t="shared" si="20"/>
        <v>637500</v>
      </c>
      <c r="T55" s="36">
        <f>+SUM(T51:T54)</f>
        <v>0</v>
      </c>
      <c r="U55" s="36">
        <f>+SUM(U51:U54)</f>
        <v>0</v>
      </c>
      <c r="V55" s="36">
        <f>+SUM(V51:V54)</f>
        <v>0</v>
      </c>
      <c r="AA55" s="8"/>
    </row>
    <row r="56" spans="1:27" ht="15.75" hidden="1" outlineLevel="1" thickBot="1" x14ac:dyDescent="0.3">
      <c r="A56" s="9"/>
      <c r="B56" s="27" t="s">
        <v>40</v>
      </c>
      <c r="C56" s="28">
        <f>+C55+C50</f>
        <v>34863537.881548151</v>
      </c>
      <c r="D56" s="38">
        <f t="shared" ref="D56:S56" si="21">+D55+D50</f>
        <v>4043713.6120334752</v>
      </c>
      <c r="E56" s="38">
        <f t="shared" si="21"/>
        <v>338597.46835443063</v>
      </c>
      <c r="F56" s="38">
        <f t="shared" si="21"/>
        <v>0</v>
      </c>
      <c r="G56" s="38">
        <f t="shared" si="21"/>
        <v>1166713.6961377906</v>
      </c>
      <c r="H56" s="38">
        <f t="shared" si="21"/>
        <v>2860059</v>
      </c>
      <c r="I56" s="38">
        <f t="shared" si="21"/>
        <v>2714460.115129516</v>
      </c>
      <c r="J56" s="38">
        <f t="shared" si="21"/>
        <v>2333170.9702040004</v>
      </c>
      <c r="K56" s="38">
        <f t="shared" si="21"/>
        <v>874314.21428571432</v>
      </c>
      <c r="L56" s="38">
        <f t="shared" si="21"/>
        <v>1694928.3001383126</v>
      </c>
      <c r="M56" s="38">
        <f t="shared" si="21"/>
        <v>2148125</v>
      </c>
      <c r="N56" s="38">
        <f t="shared" si="21"/>
        <v>1567404.0556781595</v>
      </c>
      <c r="O56" s="38">
        <f t="shared" si="21"/>
        <v>6410827.7669902919</v>
      </c>
      <c r="P56" s="38">
        <f t="shared" si="21"/>
        <v>3415842.313996505</v>
      </c>
      <c r="Q56" s="38">
        <f t="shared" si="21"/>
        <v>2418762.0282940194</v>
      </c>
      <c r="R56" s="38">
        <f t="shared" si="21"/>
        <v>1149169.3403059379</v>
      </c>
      <c r="S56" s="38">
        <f t="shared" si="21"/>
        <v>1727450</v>
      </c>
      <c r="T56" s="28">
        <f>+T55+T50</f>
        <v>0</v>
      </c>
      <c r="U56" s="28">
        <f>+U55+U50</f>
        <v>0</v>
      </c>
      <c r="V56" s="28">
        <f>+V55+V50</f>
        <v>0</v>
      </c>
      <c r="AA56" s="8"/>
    </row>
    <row r="57" spans="1:27" hidden="1" outlineLevel="1" collapsed="1" x14ac:dyDescent="0.25">
      <c r="A57" s="9"/>
      <c r="B57" s="39" t="s">
        <v>41</v>
      </c>
      <c r="C57" s="40">
        <f>IFERROR(C46/C38,0)</f>
        <v>2612.453647698469</v>
      </c>
      <c r="D57" s="41">
        <f t="shared" ref="D57:S57" si="22">IFERROR(D46/D38,0)</f>
        <v>2284.3910500388192</v>
      </c>
      <c r="E57" s="41">
        <f t="shared" si="22"/>
        <v>1432.217231523075</v>
      </c>
      <c r="F57" s="41">
        <f t="shared" si="22"/>
        <v>0</v>
      </c>
      <c r="G57" s="41">
        <f t="shared" si="22"/>
        <v>908.0423613295585</v>
      </c>
      <c r="H57" s="41">
        <f t="shared" si="22"/>
        <v>2406.2205882352941</v>
      </c>
      <c r="I57" s="41">
        <f t="shared" si="22"/>
        <v>2267.2222942140302</v>
      </c>
      <c r="J57" s="41">
        <f t="shared" si="22"/>
        <v>2503.0150753768844</v>
      </c>
      <c r="K57" s="41">
        <f t="shared" si="22"/>
        <v>2278.2413793103447</v>
      </c>
      <c r="L57" s="41">
        <f t="shared" si="22"/>
        <v>2421.39340325803</v>
      </c>
      <c r="M57" s="41">
        <f t="shared" si="22"/>
        <v>3136.7469879518071</v>
      </c>
      <c r="N57" s="41">
        <f t="shared" si="22"/>
        <v>3669.3896705910274</v>
      </c>
      <c r="O57" s="41">
        <f t="shared" si="22"/>
        <v>3266.1539163442594</v>
      </c>
      <c r="P57" s="41">
        <f t="shared" si="22"/>
        <v>2502.4916488735462</v>
      </c>
      <c r="Q57" s="41">
        <f t="shared" si="22"/>
        <v>3585.806477275803</v>
      </c>
      <c r="R57" s="41">
        <f t="shared" si="22"/>
        <v>1323.8686323366064</v>
      </c>
      <c r="S57" s="42">
        <f t="shared" si="22"/>
        <v>2937.6681614349777</v>
      </c>
      <c r="T57" s="29">
        <f>IFERROR(T46/T38,0)</f>
        <v>0</v>
      </c>
      <c r="U57" s="38">
        <f>IFERROR(U46/U38,0)</f>
        <v>0</v>
      </c>
      <c r="V57" s="38">
        <f>IFERROR(V46/V38,0)</f>
        <v>0</v>
      </c>
      <c r="AA57" s="8"/>
    </row>
    <row r="58" spans="1:27" hidden="1" outlineLevel="1" x14ac:dyDescent="0.25">
      <c r="A58" s="9"/>
      <c r="B58" s="43" t="s">
        <v>42</v>
      </c>
      <c r="C58" s="31">
        <f>IFERROR(C48/C39,0)</f>
        <v>2189.0777415503017</v>
      </c>
      <c r="D58" s="44">
        <f t="shared" ref="D58:S58" si="23">IFERROR(D48/D39,0)</f>
        <v>2295.7983193277314</v>
      </c>
      <c r="E58" s="44">
        <f t="shared" si="23"/>
        <v>300</v>
      </c>
      <c r="F58" s="44">
        <f t="shared" si="23"/>
        <v>0</v>
      </c>
      <c r="G58" s="44">
        <f t="shared" si="23"/>
        <v>500</v>
      </c>
      <c r="H58" s="44">
        <f t="shared" si="23"/>
        <v>0</v>
      </c>
      <c r="I58" s="44">
        <f t="shared" si="23"/>
        <v>2393.8521192147823</v>
      </c>
      <c r="J58" s="44">
        <f t="shared" si="23"/>
        <v>250</v>
      </c>
      <c r="K58" s="44">
        <f t="shared" si="23"/>
        <v>3.5714285714285705E-2</v>
      </c>
      <c r="L58" s="44">
        <f t="shared" si="23"/>
        <v>0</v>
      </c>
      <c r="M58" s="44">
        <f t="shared" si="23"/>
        <v>2050</v>
      </c>
      <c r="N58" s="44">
        <f t="shared" si="23"/>
        <v>0</v>
      </c>
      <c r="O58" s="44">
        <f t="shared" si="23"/>
        <v>0</v>
      </c>
      <c r="P58" s="44">
        <f t="shared" si="23"/>
        <v>3851.6962611362869</v>
      </c>
      <c r="Q58" s="44">
        <f t="shared" si="23"/>
        <v>3000.5555555555552</v>
      </c>
      <c r="R58" s="44">
        <f t="shared" si="23"/>
        <v>2500</v>
      </c>
      <c r="S58" s="45">
        <f t="shared" si="23"/>
        <v>0</v>
      </c>
      <c r="T58" s="32">
        <f>IFERROR(T48/T39,0)</f>
        <v>0</v>
      </c>
      <c r="U58" s="44">
        <f>IFERROR(U48/U39,0)</f>
        <v>0</v>
      </c>
      <c r="V58" s="44">
        <f>IFERROR(V48/V39,0)</f>
        <v>0</v>
      </c>
      <c r="AA58" s="8"/>
    </row>
    <row r="59" spans="1:27" hidden="1" outlineLevel="1" x14ac:dyDescent="0.25">
      <c r="A59" s="9"/>
      <c r="B59" s="43" t="s">
        <v>43</v>
      </c>
      <c r="C59" s="31">
        <f>IFERROR(C49/C38,0)</f>
        <v>1240.9059507523939</v>
      </c>
      <c r="D59" s="44">
        <f t="shared" ref="D59:S59" si="24">IFERROR(D49/D38,0)</f>
        <v>1100</v>
      </c>
      <c r="E59" s="44">
        <f t="shared" si="24"/>
        <v>900</v>
      </c>
      <c r="F59" s="44">
        <f t="shared" si="24"/>
        <v>0</v>
      </c>
      <c r="G59" s="44">
        <f t="shared" si="24"/>
        <v>1225</v>
      </c>
      <c r="H59" s="44">
        <f t="shared" si="24"/>
        <v>1000</v>
      </c>
      <c r="I59" s="44">
        <f t="shared" si="24"/>
        <v>1000</v>
      </c>
      <c r="J59" s="44">
        <f t="shared" si="24"/>
        <v>1306</v>
      </c>
      <c r="K59" s="44">
        <f t="shared" si="24"/>
        <v>1200</v>
      </c>
      <c r="L59" s="44">
        <f t="shared" si="24"/>
        <v>1300</v>
      </c>
      <c r="M59" s="44">
        <f t="shared" si="24"/>
        <v>1000</v>
      </c>
      <c r="N59" s="44">
        <f t="shared" si="24"/>
        <v>1655</v>
      </c>
      <c r="O59" s="44">
        <f t="shared" si="24"/>
        <v>1210</v>
      </c>
      <c r="P59" s="44">
        <f t="shared" si="24"/>
        <v>1800</v>
      </c>
      <c r="Q59" s="44">
        <f t="shared" si="24"/>
        <v>1200</v>
      </c>
      <c r="R59" s="44">
        <f t="shared" si="24"/>
        <v>1380</v>
      </c>
      <c r="S59" s="45">
        <f t="shared" si="24"/>
        <v>1950</v>
      </c>
      <c r="T59" s="35">
        <f>IFERROR(T49/T38,0)</f>
        <v>0</v>
      </c>
      <c r="U59" s="46">
        <f>IFERROR(U49/U38,0)</f>
        <v>0</v>
      </c>
      <c r="V59" s="46">
        <f>IFERROR(V49/V38,0)</f>
        <v>0</v>
      </c>
      <c r="AA59" s="8"/>
    </row>
    <row r="60" spans="1:27" ht="15.75" hidden="1" outlineLevel="1" thickBot="1" x14ac:dyDescent="0.3">
      <c r="A60" s="9"/>
      <c r="B60" s="47" t="s">
        <v>44</v>
      </c>
      <c r="C60" s="48">
        <f>SUM(C57,C59)</f>
        <v>3853.3595984508629</v>
      </c>
      <c r="D60" s="49">
        <f t="shared" ref="D60:S60" si="25">SUM(D57,D59)</f>
        <v>3384.3910500388192</v>
      </c>
      <c r="E60" s="49">
        <f t="shared" si="25"/>
        <v>2332.217231523075</v>
      </c>
      <c r="F60" s="49">
        <f t="shared" si="25"/>
        <v>0</v>
      </c>
      <c r="G60" s="49">
        <f t="shared" si="25"/>
        <v>2133.0423613295584</v>
      </c>
      <c r="H60" s="49">
        <f t="shared" si="25"/>
        <v>3406.2205882352941</v>
      </c>
      <c r="I60" s="49">
        <f t="shared" si="25"/>
        <v>3267.2222942140302</v>
      </c>
      <c r="J60" s="49">
        <f t="shared" si="25"/>
        <v>3809.0150753768844</v>
      </c>
      <c r="K60" s="49">
        <f t="shared" si="25"/>
        <v>3478.2413793103447</v>
      </c>
      <c r="L60" s="49">
        <f t="shared" si="25"/>
        <v>3721.39340325803</v>
      </c>
      <c r="M60" s="49">
        <f t="shared" si="25"/>
        <v>4136.7469879518067</v>
      </c>
      <c r="N60" s="49">
        <f t="shared" si="25"/>
        <v>5324.3896705910274</v>
      </c>
      <c r="O60" s="49">
        <f t="shared" si="25"/>
        <v>4476.1539163442594</v>
      </c>
      <c r="P60" s="49">
        <f t="shared" si="25"/>
        <v>4302.4916488735462</v>
      </c>
      <c r="Q60" s="49">
        <f t="shared" si="25"/>
        <v>4785.8064772758025</v>
      </c>
      <c r="R60" s="49">
        <f t="shared" si="25"/>
        <v>2703.8686323366064</v>
      </c>
      <c r="S60" s="50">
        <f t="shared" si="25"/>
        <v>4887.6681614349782</v>
      </c>
      <c r="T60" s="51">
        <f>SUM(T57,T59)</f>
        <v>0</v>
      </c>
      <c r="U60" s="37">
        <f>SUM(U57,U59)</f>
        <v>0</v>
      </c>
      <c r="V60" s="37">
        <f>SUM(V57,V59)</f>
        <v>0</v>
      </c>
      <c r="AA60" s="8"/>
    </row>
    <row r="61" spans="1:27" collapsed="1" x14ac:dyDescent="0.25">
      <c r="A61" s="9"/>
      <c r="B61" s="52" t="s">
        <v>45</v>
      </c>
      <c r="C61" s="53">
        <f>IFERROR(C50/C40,0)</f>
        <v>3835.008359088004</v>
      </c>
      <c r="D61" s="54">
        <f t="shared" ref="D61:S64" si="26">IFERROR(D50/D40,0)</f>
        <v>3495.8677988424852</v>
      </c>
      <c r="E61" s="54">
        <f t="shared" si="26"/>
        <v>2221.1737629459185</v>
      </c>
      <c r="F61" s="54">
        <f t="shared" si="26"/>
        <v>0</v>
      </c>
      <c r="G61" s="54">
        <f t="shared" si="26"/>
        <v>2113.0380645472969</v>
      </c>
      <c r="H61" s="54">
        <f t="shared" si="26"/>
        <v>3381.6917562724016</v>
      </c>
      <c r="I61" s="54">
        <f t="shared" si="26"/>
        <v>3349.2712432327403</v>
      </c>
      <c r="J61" s="54">
        <f t="shared" si="26"/>
        <v>3666.9782193181818</v>
      </c>
      <c r="K61" s="54">
        <f t="shared" si="26"/>
        <v>3584.5234126984128</v>
      </c>
      <c r="L61" s="54">
        <f t="shared" si="26"/>
        <v>3716.129276770765</v>
      </c>
      <c r="M61" s="54">
        <f t="shared" si="26"/>
        <v>4106.0171919770773</v>
      </c>
      <c r="N61" s="54">
        <f t="shared" si="26"/>
        <v>5385.9678685305926</v>
      </c>
      <c r="O61" s="54">
        <f t="shared" si="26"/>
        <v>4476.1539163442594</v>
      </c>
      <c r="P61" s="54">
        <f t="shared" si="26"/>
        <v>4207.5873567183335</v>
      </c>
      <c r="Q61" s="54">
        <f t="shared" si="26"/>
        <v>4783.1644837602107</v>
      </c>
      <c r="R61" s="54">
        <f t="shared" si="26"/>
        <v>2665.9275883045202</v>
      </c>
      <c r="S61" s="55">
        <f t="shared" si="26"/>
        <v>4887.6681614349773</v>
      </c>
      <c r="T61" s="56">
        <f>IFERROR(T50/T40,0)</f>
        <v>0</v>
      </c>
      <c r="U61" s="36">
        <f>IFERROR(U50/U40,0)</f>
        <v>0</v>
      </c>
      <c r="V61" s="36">
        <f>IFERROR(V50/V40,0)</f>
        <v>0</v>
      </c>
      <c r="AA61" s="8"/>
    </row>
    <row r="62" spans="1:27" hidden="1" outlineLevel="1" x14ac:dyDescent="0.25">
      <c r="A62" s="9"/>
      <c r="B62" s="43" t="s">
        <v>46</v>
      </c>
      <c r="C62" s="31">
        <f>IFERROR(C51/C41,0)</f>
        <v>1575.7771385280416</v>
      </c>
      <c r="D62" s="44">
        <f t="shared" si="26"/>
        <v>1601.4189602446484</v>
      </c>
      <c r="E62" s="44">
        <f t="shared" si="26"/>
        <v>1200</v>
      </c>
      <c r="F62" s="44">
        <f t="shared" si="26"/>
        <v>0</v>
      </c>
      <c r="G62" s="44">
        <f t="shared" si="26"/>
        <v>1500</v>
      </c>
      <c r="H62" s="44">
        <f t="shared" si="26"/>
        <v>1594.3097014925372</v>
      </c>
      <c r="I62" s="44">
        <f t="shared" si="26"/>
        <v>1450</v>
      </c>
      <c r="J62" s="44">
        <f t="shared" si="26"/>
        <v>1600</v>
      </c>
      <c r="K62" s="44">
        <f t="shared" si="26"/>
        <v>1627.2727272727273</v>
      </c>
      <c r="L62" s="44">
        <f t="shared" si="26"/>
        <v>1544.9101796407185</v>
      </c>
      <c r="M62" s="44">
        <f t="shared" si="26"/>
        <v>1441.3654618473895</v>
      </c>
      <c r="N62" s="44">
        <f t="shared" si="26"/>
        <v>1800</v>
      </c>
      <c r="O62" s="44">
        <f t="shared" si="26"/>
        <v>1700</v>
      </c>
      <c r="P62" s="44">
        <f t="shared" si="26"/>
        <v>1797.3520249221183</v>
      </c>
      <c r="Q62" s="44">
        <f t="shared" si="26"/>
        <v>1302.7472527472528</v>
      </c>
      <c r="R62" s="44">
        <f t="shared" si="26"/>
        <v>1854.6037735849056</v>
      </c>
      <c r="S62" s="45">
        <f t="shared" si="26"/>
        <v>1403.3613445378151</v>
      </c>
      <c r="T62" s="32">
        <f>IFERROR(T51/T38,0)</f>
        <v>0</v>
      </c>
      <c r="U62" s="44">
        <f>IFERROR(U51/U38,0)</f>
        <v>0</v>
      </c>
      <c r="V62" s="44">
        <f>IFERROR(V51/V38,0)</f>
        <v>0</v>
      </c>
      <c r="AA62" s="8"/>
    </row>
    <row r="63" spans="1:27" hidden="1" outlineLevel="1" x14ac:dyDescent="0.25">
      <c r="A63" s="9"/>
      <c r="B63" s="43" t="s">
        <v>47</v>
      </c>
      <c r="C63" s="31">
        <f>IFERROR(C52/C42,0)</f>
        <v>0</v>
      </c>
      <c r="D63" s="44">
        <f t="shared" si="26"/>
        <v>0</v>
      </c>
      <c r="E63" s="44">
        <f t="shared" si="26"/>
        <v>0</v>
      </c>
      <c r="F63" s="44">
        <f t="shared" si="26"/>
        <v>0</v>
      </c>
      <c r="G63" s="44">
        <f t="shared" si="26"/>
        <v>0</v>
      </c>
      <c r="H63" s="44">
        <f t="shared" si="26"/>
        <v>0</v>
      </c>
      <c r="I63" s="44">
        <f t="shared" si="26"/>
        <v>0</v>
      </c>
      <c r="J63" s="44">
        <f t="shared" si="26"/>
        <v>0</v>
      </c>
      <c r="K63" s="44">
        <f t="shared" si="26"/>
        <v>0</v>
      </c>
      <c r="L63" s="44">
        <f t="shared" si="26"/>
        <v>0</v>
      </c>
      <c r="M63" s="44">
        <f t="shared" si="26"/>
        <v>0</v>
      </c>
      <c r="N63" s="44">
        <f t="shared" si="26"/>
        <v>0</v>
      </c>
      <c r="O63" s="44">
        <f t="shared" si="26"/>
        <v>0</v>
      </c>
      <c r="P63" s="44">
        <f t="shared" si="26"/>
        <v>0</v>
      </c>
      <c r="Q63" s="44">
        <f t="shared" si="26"/>
        <v>0</v>
      </c>
      <c r="R63" s="44">
        <f t="shared" si="26"/>
        <v>0</v>
      </c>
      <c r="S63" s="45">
        <f t="shared" si="26"/>
        <v>0</v>
      </c>
      <c r="T63" s="32">
        <f t="shared" ref="T63:V64" si="27">IFERROR(T52/T42,0)</f>
        <v>0</v>
      </c>
      <c r="U63" s="44">
        <f t="shared" si="27"/>
        <v>0</v>
      </c>
      <c r="V63" s="44">
        <f t="shared" si="27"/>
        <v>0</v>
      </c>
      <c r="AA63" s="8"/>
    </row>
    <row r="64" spans="1:27" hidden="1" outlineLevel="1" x14ac:dyDescent="0.25">
      <c r="A64" s="9"/>
      <c r="B64" s="43" t="s">
        <v>48</v>
      </c>
      <c r="C64" s="31">
        <f>IFERROR(C53/C43,0)</f>
        <v>485.82134522722112</v>
      </c>
      <c r="D64" s="44">
        <f t="shared" si="26"/>
        <v>400</v>
      </c>
      <c r="E64" s="44">
        <f t="shared" si="26"/>
        <v>300</v>
      </c>
      <c r="F64" s="44">
        <f t="shared" si="26"/>
        <v>0</v>
      </c>
      <c r="G64" s="44">
        <f t="shared" si="26"/>
        <v>650</v>
      </c>
      <c r="H64" s="44">
        <f t="shared" si="26"/>
        <v>600</v>
      </c>
      <c r="I64" s="44">
        <f t="shared" si="26"/>
        <v>400</v>
      </c>
      <c r="J64" s="44">
        <f t="shared" si="26"/>
        <v>249.04000000000002</v>
      </c>
      <c r="K64" s="44">
        <f t="shared" si="26"/>
        <v>400</v>
      </c>
      <c r="L64" s="44">
        <f t="shared" si="26"/>
        <v>300</v>
      </c>
      <c r="M64" s="44">
        <f t="shared" si="26"/>
        <v>100</v>
      </c>
      <c r="N64" s="44">
        <f t="shared" si="26"/>
        <v>350</v>
      </c>
      <c r="O64" s="44">
        <f t="shared" si="26"/>
        <v>1000</v>
      </c>
      <c r="P64" s="44">
        <f t="shared" si="26"/>
        <v>850</v>
      </c>
      <c r="Q64" s="44">
        <f t="shared" si="26"/>
        <v>143.29896907216494</v>
      </c>
      <c r="R64" s="44">
        <f t="shared" si="26"/>
        <v>550</v>
      </c>
      <c r="S64" s="45">
        <f t="shared" si="26"/>
        <v>100</v>
      </c>
      <c r="T64" s="32">
        <f t="shared" si="27"/>
        <v>0</v>
      </c>
      <c r="U64" s="44">
        <f t="shared" si="27"/>
        <v>0</v>
      </c>
      <c r="V64" s="44">
        <f t="shared" si="27"/>
        <v>0</v>
      </c>
      <c r="AA64" s="8"/>
    </row>
    <row r="65" spans="1:27" hidden="1" outlineLevel="1" x14ac:dyDescent="0.25">
      <c r="A65" s="9"/>
      <c r="B65" s="43" t="s">
        <v>49</v>
      </c>
      <c r="C65" s="31">
        <f>IFERROR(C54/C41,0)</f>
        <v>1537.6653110351458</v>
      </c>
      <c r="D65" s="44">
        <f t="shared" ref="D65:S65" si="28">IFERROR(D54/D41,0)</f>
        <v>1400</v>
      </c>
      <c r="E65" s="44">
        <f t="shared" si="28"/>
        <v>1500</v>
      </c>
      <c r="F65" s="44">
        <f t="shared" si="28"/>
        <v>0</v>
      </c>
      <c r="G65" s="44">
        <f t="shared" si="28"/>
        <v>1925</v>
      </c>
      <c r="H65" s="44">
        <f t="shared" si="28"/>
        <v>1600</v>
      </c>
      <c r="I65" s="44">
        <f t="shared" si="28"/>
        <v>1900</v>
      </c>
      <c r="J65" s="44">
        <f t="shared" si="28"/>
        <v>1700.0000000000002</v>
      </c>
      <c r="K65" s="44">
        <f t="shared" si="28"/>
        <v>1250</v>
      </c>
      <c r="L65" s="44">
        <f t="shared" si="28"/>
        <v>1475</v>
      </c>
      <c r="M65" s="44">
        <f t="shared" si="28"/>
        <v>1357.128514056225</v>
      </c>
      <c r="N65" s="44">
        <f t="shared" si="28"/>
        <v>1450</v>
      </c>
      <c r="O65" s="44">
        <f t="shared" si="28"/>
        <v>1700</v>
      </c>
      <c r="P65" s="44">
        <f t="shared" si="28"/>
        <v>1500</v>
      </c>
      <c r="Q65" s="44">
        <f t="shared" si="28"/>
        <v>1200</v>
      </c>
      <c r="R65" s="44">
        <f t="shared" si="28"/>
        <v>1800</v>
      </c>
      <c r="S65" s="45">
        <f t="shared" si="28"/>
        <v>1250</v>
      </c>
      <c r="T65" s="32">
        <f>IFERROR(T54/T41,0)</f>
        <v>0</v>
      </c>
      <c r="U65" s="44">
        <f>IFERROR(U54/U41,0)</f>
        <v>0</v>
      </c>
      <c r="V65" s="44">
        <f>IFERROR(V54/V41,0)</f>
        <v>0</v>
      </c>
      <c r="AA65" s="8"/>
    </row>
    <row r="66" spans="1:27" hidden="1" outlineLevel="1" x14ac:dyDescent="0.25">
      <c r="A66" s="9"/>
      <c r="B66" s="57" t="s">
        <v>50</v>
      </c>
      <c r="C66" s="34">
        <f>SUM(C62,C65)</f>
        <v>3113.4424495631874</v>
      </c>
      <c r="D66" s="46">
        <f t="shared" ref="D66:S66" si="29">SUM(D62,D65)</f>
        <v>3001.4189602446486</v>
      </c>
      <c r="E66" s="46">
        <f t="shared" si="29"/>
        <v>2700</v>
      </c>
      <c r="F66" s="46">
        <f t="shared" si="29"/>
        <v>0</v>
      </c>
      <c r="G66" s="46">
        <f t="shared" si="29"/>
        <v>3425</v>
      </c>
      <c r="H66" s="46">
        <f t="shared" si="29"/>
        <v>3194.309701492537</v>
      </c>
      <c r="I66" s="46">
        <f t="shared" si="29"/>
        <v>3350</v>
      </c>
      <c r="J66" s="46">
        <f t="shared" si="29"/>
        <v>3300</v>
      </c>
      <c r="K66" s="46">
        <f t="shared" si="29"/>
        <v>2877.272727272727</v>
      </c>
      <c r="L66" s="46">
        <f t="shared" si="29"/>
        <v>3019.9101796407185</v>
      </c>
      <c r="M66" s="46">
        <f t="shared" si="29"/>
        <v>2798.4939759036142</v>
      </c>
      <c r="N66" s="46">
        <f t="shared" si="29"/>
        <v>3250</v>
      </c>
      <c r="O66" s="46">
        <f t="shared" si="29"/>
        <v>3400</v>
      </c>
      <c r="P66" s="46">
        <f t="shared" si="29"/>
        <v>3297.3520249221183</v>
      </c>
      <c r="Q66" s="46">
        <f t="shared" si="29"/>
        <v>2502.7472527472528</v>
      </c>
      <c r="R66" s="46">
        <f t="shared" si="29"/>
        <v>3654.6037735849059</v>
      </c>
      <c r="S66" s="58">
        <f t="shared" si="29"/>
        <v>2653.3613445378151</v>
      </c>
      <c r="T66" s="51">
        <f>SUM(T62,T65)</f>
        <v>0</v>
      </c>
      <c r="U66" s="37">
        <f>SUM(U62,U65)</f>
        <v>0</v>
      </c>
      <c r="V66" s="36">
        <f>SUM(V62,V65)</f>
        <v>0</v>
      </c>
      <c r="AA66" s="8"/>
    </row>
    <row r="67" spans="1:27" collapsed="1" x14ac:dyDescent="0.25">
      <c r="A67" s="9"/>
      <c r="B67" s="59" t="s">
        <v>51</v>
      </c>
      <c r="C67" s="36">
        <f>IFERROR(C55/C44,0)</f>
        <v>1849.8743343713172</v>
      </c>
      <c r="D67" s="37">
        <f t="shared" ref="D67:S68" si="30">IFERROR(D55/D44,0)</f>
        <v>1641.8452554744526</v>
      </c>
      <c r="E67" s="37">
        <f t="shared" si="30"/>
        <v>1500</v>
      </c>
      <c r="F67" s="37">
        <f t="shared" si="30"/>
        <v>0</v>
      </c>
      <c r="G67" s="37">
        <f t="shared" si="30"/>
        <v>2557.8125</v>
      </c>
      <c r="H67" s="37">
        <f t="shared" si="30"/>
        <v>2101.6738660907126</v>
      </c>
      <c r="I67" s="37">
        <f t="shared" si="30"/>
        <v>1819.7238658777121</v>
      </c>
      <c r="J67" s="37">
        <f t="shared" si="30"/>
        <v>1785.9899622924879</v>
      </c>
      <c r="K67" s="37">
        <f t="shared" si="30"/>
        <v>1396.9512195121952</v>
      </c>
      <c r="L67" s="37">
        <f t="shared" si="30"/>
        <v>1527.6351351351352</v>
      </c>
      <c r="M67" s="37">
        <f t="shared" si="30"/>
        <v>1655.3819444444443</v>
      </c>
      <c r="N67" s="37">
        <f t="shared" si="30"/>
        <v>1818.4713375796177</v>
      </c>
      <c r="O67" s="37">
        <f t="shared" si="30"/>
        <v>2154.5098039215686</v>
      </c>
      <c r="P67" s="37">
        <f t="shared" si="30"/>
        <v>2265.4954954954956</v>
      </c>
      <c r="Q67" s="37">
        <f t="shared" si="30"/>
        <v>1323.023110909709</v>
      </c>
      <c r="R67" s="37">
        <f t="shared" si="30"/>
        <v>1422.9124668435013</v>
      </c>
      <c r="S67" s="60">
        <f t="shared" si="30"/>
        <v>2139.2617449664431</v>
      </c>
      <c r="T67" s="56">
        <f>IFERROR(T55/T44,0)</f>
        <v>0</v>
      </c>
      <c r="U67" s="36">
        <f>IFERROR(U55/U44,0)</f>
        <v>0</v>
      </c>
      <c r="V67" s="36">
        <f>IFERROR(V55/V44,0)</f>
        <v>0</v>
      </c>
      <c r="AA67" s="8"/>
    </row>
    <row r="68" spans="1:27" ht="15.75" thickBot="1" x14ac:dyDescent="0.3">
      <c r="A68" s="9"/>
      <c r="B68" s="61" t="s">
        <v>52</v>
      </c>
      <c r="C68" s="62">
        <f>IFERROR(C56/C45,0)</f>
        <v>2864.8306052860266</v>
      </c>
      <c r="D68" s="62">
        <f t="shared" si="30"/>
        <v>2660.3379026536022</v>
      </c>
      <c r="E68" s="62">
        <f t="shared" si="30"/>
        <v>1745.3477750228383</v>
      </c>
      <c r="F68" s="62">
        <f t="shared" si="30"/>
        <v>0</v>
      </c>
      <c r="G68" s="62">
        <f t="shared" si="30"/>
        <v>2310.3241507679022</v>
      </c>
      <c r="H68" s="62">
        <f t="shared" si="30"/>
        <v>2801.2331047992166</v>
      </c>
      <c r="I68" s="62">
        <f t="shared" si="30"/>
        <v>2605.0480951338927</v>
      </c>
      <c r="J68" s="62">
        <f t="shared" si="30"/>
        <v>2767.7980158537061</v>
      </c>
      <c r="K68" s="62">
        <f t="shared" si="30"/>
        <v>2541.6110880398674</v>
      </c>
      <c r="L68" s="62">
        <f t="shared" si="30"/>
        <v>2514.7304156354785</v>
      </c>
      <c r="M68" s="62">
        <f t="shared" si="30"/>
        <v>2750.4801536491677</v>
      </c>
      <c r="N68" s="62">
        <f t="shared" si="30"/>
        <v>3141.0902919401992</v>
      </c>
      <c r="O68" s="62">
        <f t="shared" si="30"/>
        <v>3505.0999272773602</v>
      </c>
      <c r="P68" s="62">
        <f t="shared" si="30"/>
        <v>3198.354226588488</v>
      </c>
      <c r="Q68" s="62">
        <f t="shared" si="30"/>
        <v>3145.3342370533414</v>
      </c>
      <c r="R68" s="62">
        <f t="shared" si="30"/>
        <v>2053.8354898460043</v>
      </c>
      <c r="S68" s="63">
        <f t="shared" si="30"/>
        <v>3315.6429942418426</v>
      </c>
      <c r="T68" s="7"/>
      <c r="U68" s="7"/>
      <c r="V68" s="7"/>
      <c r="AA68" s="8"/>
    </row>
    <row r="69" spans="1:27" ht="5.25" customHeight="1" x14ac:dyDescent="0.25"/>
    <row r="70" spans="1:27" x14ac:dyDescent="0.25">
      <c r="B70" s="68" t="s">
        <v>53</v>
      </c>
      <c r="C70" s="65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7" t="s">
        <v>18</v>
      </c>
      <c r="U70" s="5" t="s">
        <v>19</v>
      </c>
      <c r="V70" s="5" t="s">
        <v>20</v>
      </c>
    </row>
    <row r="71" spans="1:27" hidden="1" outlineLevel="1" x14ac:dyDescent="0.25">
      <c r="A71" s="9"/>
      <c r="B71" s="10" t="s">
        <v>21</v>
      </c>
      <c r="C71" s="12">
        <f t="shared" ref="C71:V83" si="31">+C5-C38</f>
        <v>-292</v>
      </c>
      <c r="D71" s="12">
        <f t="shared" si="31"/>
        <v>-115</v>
      </c>
      <c r="E71" s="12">
        <f t="shared" si="31"/>
        <v>-38</v>
      </c>
      <c r="F71" s="12">
        <f t="shared" si="31"/>
        <v>0</v>
      </c>
      <c r="G71" s="12">
        <f t="shared" si="31"/>
        <v>-13</v>
      </c>
      <c r="H71" s="12">
        <f t="shared" si="31"/>
        <v>-56</v>
      </c>
      <c r="I71" s="12">
        <f t="shared" si="31"/>
        <v>-75</v>
      </c>
      <c r="J71" s="12">
        <f t="shared" si="31"/>
        <v>-18</v>
      </c>
      <c r="K71" s="12">
        <f t="shared" si="31"/>
        <v>-4</v>
      </c>
      <c r="L71" s="12">
        <f t="shared" si="31"/>
        <v>19</v>
      </c>
      <c r="M71" s="12">
        <f t="shared" si="31"/>
        <v>27</v>
      </c>
      <c r="N71" s="12">
        <f t="shared" si="31"/>
        <v>-1</v>
      </c>
      <c r="O71" s="12">
        <f t="shared" si="31"/>
        <v>32</v>
      </c>
      <c r="P71" s="12">
        <f t="shared" si="31"/>
        <v>-27</v>
      </c>
      <c r="Q71" s="12">
        <f t="shared" si="31"/>
        <v>-35</v>
      </c>
      <c r="R71" s="12">
        <f t="shared" si="31"/>
        <v>52</v>
      </c>
      <c r="S71" s="12">
        <f t="shared" si="31"/>
        <v>-40</v>
      </c>
      <c r="T71" s="12">
        <f t="shared" si="31"/>
        <v>0</v>
      </c>
      <c r="U71" s="12">
        <f t="shared" si="31"/>
        <v>0</v>
      </c>
      <c r="V71" s="12">
        <f t="shared" si="31"/>
        <v>0</v>
      </c>
      <c r="AA71" s="8"/>
    </row>
    <row r="72" spans="1:27" hidden="1" outlineLevel="1" x14ac:dyDescent="0.25">
      <c r="A72" s="9"/>
      <c r="B72" s="13" t="s">
        <v>22</v>
      </c>
      <c r="C72" s="15">
        <f t="shared" si="31"/>
        <v>-24</v>
      </c>
      <c r="D72" s="15">
        <f t="shared" si="31"/>
        <v>9</v>
      </c>
      <c r="E72" s="15">
        <f t="shared" si="31"/>
        <v>-4</v>
      </c>
      <c r="F72" s="15">
        <f t="shared" si="31"/>
        <v>0</v>
      </c>
      <c r="G72" s="15">
        <f t="shared" si="31"/>
        <v>-19</v>
      </c>
      <c r="H72" s="15">
        <f t="shared" si="31"/>
        <v>16</v>
      </c>
      <c r="I72" s="15">
        <f t="shared" si="31"/>
        <v>1</v>
      </c>
      <c r="J72" s="15">
        <f t="shared" si="31"/>
        <v>-10</v>
      </c>
      <c r="K72" s="15">
        <f t="shared" si="31"/>
        <v>10</v>
      </c>
      <c r="L72" s="15">
        <f t="shared" si="31"/>
        <v>7</v>
      </c>
      <c r="M72" s="15">
        <f t="shared" si="31"/>
        <v>8</v>
      </c>
      <c r="N72" s="15">
        <f t="shared" si="31"/>
        <v>-1</v>
      </c>
      <c r="O72" s="15">
        <f t="shared" si="31"/>
        <v>0</v>
      </c>
      <c r="P72" s="15">
        <f t="shared" si="31"/>
        <v>-5</v>
      </c>
      <c r="Q72" s="15">
        <f t="shared" si="31"/>
        <v>6</v>
      </c>
      <c r="R72" s="15">
        <f t="shared" si="31"/>
        <v>-43</v>
      </c>
      <c r="S72" s="15">
        <f t="shared" si="31"/>
        <v>1</v>
      </c>
      <c r="T72" s="15">
        <f t="shared" si="31"/>
        <v>0</v>
      </c>
      <c r="U72" s="15">
        <f t="shared" si="31"/>
        <v>0</v>
      </c>
      <c r="V72" s="15">
        <f t="shared" si="31"/>
        <v>0</v>
      </c>
      <c r="AA72" s="8"/>
    </row>
    <row r="73" spans="1:27" collapsed="1" x14ac:dyDescent="0.25">
      <c r="A73" s="9"/>
      <c r="B73" s="16" t="s">
        <v>23</v>
      </c>
      <c r="C73" s="17">
        <f t="shared" si="31"/>
        <v>-316</v>
      </c>
      <c r="D73" s="18">
        <f t="shared" si="31"/>
        <v>-106</v>
      </c>
      <c r="E73" s="18">
        <f t="shared" si="31"/>
        <v>-42</v>
      </c>
      <c r="F73" s="18">
        <f t="shared" si="31"/>
        <v>0</v>
      </c>
      <c r="G73" s="18">
        <f t="shared" si="31"/>
        <v>-32</v>
      </c>
      <c r="H73" s="18">
        <f t="shared" si="31"/>
        <v>-40</v>
      </c>
      <c r="I73" s="18">
        <f t="shared" si="31"/>
        <v>-74</v>
      </c>
      <c r="J73" s="18">
        <f t="shared" si="31"/>
        <v>-28</v>
      </c>
      <c r="K73" s="18">
        <f t="shared" si="31"/>
        <v>6</v>
      </c>
      <c r="L73" s="18">
        <f t="shared" si="31"/>
        <v>26</v>
      </c>
      <c r="M73" s="18">
        <f t="shared" si="31"/>
        <v>35</v>
      </c>
      <c r="N73" s="18">
        <f t="shared" si="31"/>
        <v>-2</v>
      </c>
      <c r="O73" s="18">
        <f t="shared" si="31"/>
        <v>32</v>
      </c>
      <c r="P73" s="18">
        <f t="shared" si="31"/>
        <v>-32</v>
      </c>
      <c r="Q73" s="18">
        <f t="shared" si="31"/>
        <v>-29</v>
      </c>
      <c r="R73" s="18">
        <f t="shared" si="31"/>
        <v>9</v>
      </c>
      <c r="S73" s="18">
        <f t="shared" si="31"/>
        <v>-39</v>
      </c>
      <c r="T73" s="19">
        <f t="shared" si="31"/>
        <v>0</v>
      </c>
      <c r="U73" s="19">
        <f t="shared" si="31"/>
        <v>0</v>
      </c>
      <c r="V73" s="19">
        <f t="shared" si="31"/>
        <v>0</v>
      </c>
      <c r="AA73" s="8"/>
    </row>
    <row r="74" spans="1:27" ht="14.25" hidden="1" customHeight="1" outlineLevel="1" x14ac:dyDescent="0.25">
      <c r="A74" s="9"/>
      <c r="B74" s="10" t="s">
        <v>24</v>
      </c>
      <c r="C74" s="11">
        <f t="shared" si="31"/>
        <v>-157.46816212518524</v>
      </c>
      <c r="D74" s="12">
        <f t="shared" si="31"/>
        <v>-5</v>
      </c>
      <c r="E74" s="12">
        <f t="shared" si="31"/>
        <v>-58</v>
      </c>
      <c r="F74" s="12">
        <f t="shared" si="31"/>
        <v>0</v>
      </c>
      <c r="G74" s="12">
        <f t="shared" si="31"/>
        <v>13</v>
      </c>
      <c r="H74" s="12">
        <f t="shared" si="31"/>
        <v>-72</v>
      </c>
      <c r="I74" s="12">
        <f t="shared" si="31"/>
        <v>-28</v>
      </c>
      <c r="J74" s="12">
        <f t="shared" si="31"/>
        <v>3</v>
      </c>
      <c r="K74" s="12">
        <f t="shared" si="31"/>
        <v>8</v>
      </c>
      <c r="L74" s="12">
        <f t="shared" si="31"/>
        <v>42</v>
      </c>
      <c r="M74" s="12">
        <f t="shared" si="31"/>
        <v>-3</v>
      </c>
      <c r="N74" s="12">
        <f t="shared" si="31"/>
        <v>-19</v>
      </c>
      <c r="O74" s="12">
        <f t="shared" si="31"/>
        <v>55</v>
      </c>
      <c r="P74" s="12">
        <f t="shared" si="31"/>
        <v>-86</v>
      </c>
      <c r="Q74" s="12">
        <f t="shared" si="31"/>
        <v>31</v>
      </c>
      <c r="R74" s="12">
        <f t="shared" si="31"/>
        <v>-37.468162125185273</v>
      </c>
      <c r="S74" s="12">
        <f t="shared" si="31"/>
        <v>-1</v>
      </c>
      <c r="T74" s="20">
        <f t="shared" si="31"/>
        <v>0</v>
      </c>
      <c r="U74" s="20">
        <f t="shared" si="31"/>
        <v>0</v>
      </c>
      <c r="V74" s="20">
        <f t="shared" si="31"/>
        <v>0</v>
      </c>
      <c r="AA74" s="8"/>
    </row>
    <row r="75" spans="1:27" hidden="1" outlineLevel="1" x14ac:dyDescent="0.25">
      <c r="A75" s="9"/>
      <c r="B75" s="13" t="s">
        <v>25</v>
      </c>
      <c r="C75" s="14">
        <f t="shared" si="31"/>
        <v>0</v>
      </c>
      <c r="D75" s="15">
        <f t="shared" si="31"/>
        <v>0</v>
      </c>
      <c r="E75" s="15">
        <f t="shared" si="31"/>
        <v>0</v>
      </c>
      <c r="F75" s="15">
        <f t="shared" si="31"/>
        <v>0</v>
      </c>
      <c r="G75" s="15">
        <f t="shared" si="31"/>
        <v>0</v>
      </c>
      <c r="H75" s="15">
        <f t="shared" si="31"/>
        <v>0</v>
      </c>
      <c r="I75" s="15">
        <f t="shared" si="31"/>
        <v>0</v>
      </c>
      <c r="J75" s="15">
        <f t="shared" si="31"/>
        <v>0</v>
      </c>
      <c r="K75" s="15">
        <f t="shared" si="31"/>
        <v>0</v>
      </c>
      <c r="L75" s="15">
        <f t="shared" si="31"/>
        <v>0</v>
      </c>
      <c r="M75" s="15">
        <f t="shared" si="31"/>
        <v>0</v>
      </c>
      <c r="N75" s="15">
        <f t="shared" si="31"/>
        <v>0</v>
      </c>
      <c r="O75" s="15">
        <f t="shared" si="31"/>
        <v>0</v>
      </c>
      <c r="P75" s="15">
        <f t="shared" si="31"/>
        <v>0</v>
      </c>
      <c r="Q75" s="15">
        <f t="shared" si="31"/>
        <v>0</v>
      </c>
      <c r="R75" s="15">
        <f t="shared" si="31"/>
        <v>0</v>
      </c>
      <c r="S75" s="15">
        <f t="shared" si="31"/>
        <v>0</v>
      </c>
      <c r="T75" s="21">
        <f t="shared" si="31"/>
        <v>0</v>
      </c>
      <c r="U75" s="21">
        <f t="shared" si="31"/>
        <v>0</v>
      </c>
      <c r="V75" s="21">
        <f t="shared" si="31"/>
        <v>0</v>
      </c>
      <c r="AA75" s="8"/>
    </row>
    <row r="76" spans="1:27" hidden="1" outlineLevel="1" x14ac:dyDescent="0.25">
      <c r="A76" s="9"/>
      <c r="B76" s="13" t="s">
        <v>26</v>
      </c>
      <c r="C76" s="22">
        <f t="shared" si="31"/>
        <v>-10.025495621935988</v>
      </c>
      <c r="D76" s="23">
        <f t="shared" si="31"/>
        <v>27</v>
      </c>
      <c r="E76" s="23">
        <f t="shared" si="31"/>
        <v>-43</v>
      </c>
      <c r="F76" s="23">
        <f t="shared" si="31"/>
        <v>0</v>
      </c>
      <c r="G76" s="23">
        <f t="shared" si="31"/>
        <v>27</v>
      </c>
      <c r="H76" s="23">
        <f t="shared" si="31"/>
        <v>-27</v>
      </c>
      <c r="I76" s="23">
        <f t="shared" si="31"/>
        <v>-34</v>
      </c>
      <c r="J76" s="23">
        <f t="shared" si="31"/>
        <v>34.029899999999998</v>
      </c>
      <c r="K76" s="23">
        <f t="shared" si="31"/>
        <v>9</v>
      </c>
      <c r="L76" s="23">
        <f t="shared" si="31"/>
        <v>17</v>
      </c>
      <c r="M76" s="23">
        <f t="shared" si="31"/>
        <v>9</v>
      </c>
      <c r="N76" s="23">
        <f t="shared" si="31"/>
        <v>-17</v>
      </c>
      <c r="O76" s="23">
        <f t="shared" si="31"/>
        <v>-57</v>
      </c>
      <c r="P76" s="23">
        <f t="shared" si="31"/>
        <v>-17</v>
      </c>
      <c r="Q76" s="23">
        <f t="shared" si="31"/>
        <v>61</v>
      </c>
      <c r="R76" s="23">
        <f t="shared" si="31"/>
        <v>-10.055395621935929</v>
      </c>
      <c r="S76" s="23">
        <f t="shared" si="31"/>
        <v>11</v>
      </c>
      <c r="T76" s="24">
        <f t="shared" si="31"/>
        <v>0</v>
      </c>
      <c r="U76" s="24">
        <f t="shared" si="31"/>
        <v>0</v>
      </c>
      <c r="V76" s="24">
        <f t="shared" si="31"/>
        <v>0</v>
      </c>
      <c r="AA76" s="8"/>
    </row>
    <row r="77" spans="1:27" collapsed="1" x14ac:dyDescent="0.25">
      <c r="A77" s="9"/>
      <c r="B77" s="16" t="s">
        <v>27</v>
      </c>
      <c r="C77" s="17">
        <f t="shared" si="31"/>
        <v>-167.49365774712169</v>
      </c>
      <c r="D77" s="18">
        <f t="shared" si="31"/>
        <v>22</v>
      </c>
      <c r="E77" s="18">
        <f t="shared" si="31"/>
        <v>-101</v>
      </c>
      <c r="F77" s="18">
        <f t="shared" si="31"/>
        <v>0</v>
      </c>
      <c r="G77" s="18">
        <f t="shared" si="31"/>
        <v>40</v>
      </c>
      <c r="H77" s="18">
        <f t="shared" si="31"/>
        <v>-99</v>
      </c>
      <c r="I77" s="18">
        <f t="shared" si="31"/>
        <v>-62</v>
      </c>
      <c r="J77" s="18">
        <f t="shared" si="31"/>
        <v>37.029899999999998</v>
      </c>
      <c r="K77" s="18">
        <f t="shared" si="31"/>
        <v>17</v>
      </c>
      <c r="L77" s="18">
        <f t="shared" si="31"/>
        <v>59</v>
      </c>
      <c r="M77" s="18">
        <f t="shared" si="31"/>
        <v>6</v>
      </c>
      <c r="N77" s="18">
        <f t="shared" si="31"/>
        <v>-36</v>
      </c>
      <c r="O77" s="18">
        <f t="shared" si="31"/>
        <v>-2</v>
      </c>
      <c r="P77" s="18">
        <f t="shared" si="31"/>
        <v>-103</v>
      </c>
      <c r="Q77" s="18">
        <f t="shared" si="31"/>
        <v>92</v>
      </c>
      <c r="R77" s="18">
        <f t="shared" si="31"/>
        <v>-47.523557747121231</v>
      </c>
      <c r="S77" s="18">
        <f t="shared" si="31"/>
        <v>10</v>
      </c>
      <c r="T77" s="19">
        <f t="shared" si="31"/>
        <v>0</v>
      </c>
      <c r="U77" s="19">
        <f t="shared" si="31"/>
        <v>0</v>
      </c>
      <c r="V77" s="19">
        <f t="shared" si="31"/>
        <v>0</v>
      </c>
      <c r="AA77" s="8"/>
    </row>
    <row r="78" spans="1:27" ht="15.75" thickBot="1" x14ac:dyDescent="0.3">
      <c r="A78" s="9"/>
      <c r="B78" s="25" t="s">
        <v>28</v>
      </c>
      <c r="C78" s="11">
        <f t="shared" si="31"/>
        <v>-483.49365774712169</v>
      </c>
      <c r="D78" s="11">
        <f>+D12-D45</f>
        <v>-84</v>
      </c>
      <c r="E78" s="11">
        <f t="shared" si="31"/>
        <v>-143</v>
      </c>
      <c r="F78" s="11">
        <f t="shared" si="31"/>
        <v>0</v>
      </c>
      <c r="G78" s="11">
        <f t="shared" si="31"/>
        <v>8</v>
      </c>
      <c r="H78" s="11">
        <f t="shared" si="31"/>
        <v>-139</v>
      </c>
      <c r="I78" s="11">
        <f t="shared" si="31"/>
        <v>-136</v>
      </c>
      <c r="J78" s="11">
        <f t="shared" si="31"/>
        <v>9.0298999999999978</v>
      </c>
      <c r="K78" s="11">
        <f t="shared" si="31"/>
        <v>23</v>
      </c>
      <c r="L78" s="11">
        <f t="shared" si="31"/>
        <v>85</v>
      </c>
      <c r="M78" s="11">
        <f t="shared" si="31"/>
        <v>41</v>
      </c>
      <c r="N78" s="11">
        <f t="shared" si="31"/>
        <v>-38</v>
      </c>
      <c r="O78" s="11">
        <f t="shared" si="31"/>
        <v>30</v>
      </c>
      <c r="P78" s="11">
        <f t="shared" si="31"/>
        <v>-135</v>
      </c>
      <c r="Q78" s="11">
        <f t="shared" si="31"/>
        <v>63</v>
      </c>
      <c r="R78" s="11">
        <f t="shared" si="31"/>
        <v>-38.523557747121231</v>
      </c>
      <c r="S78" s="11">
        <f t="shared" si="31"/>
        <v>-29</v>
      </c>
      <c r="T78" s="26"/>
      <c r="U78" s="26"/>
      <c r="V78" s="26"/>
      <c r="AA78" s="8"/>
    </row>
    <row r="79" spans="1:27" ht="15.75" hidden="1" outlineLevel="1" thickBot="1" x14ac:dyDescent="0.3">
      <c r="A79" s="9"/>
      <c r="B79" s="27" t="s">
        <v>30</v>
      </c>
      <c r="C79" s="28">
        <f t="shared" si="31"/>
        <v>143843.16825933568</v>
      </c>
      <c r="D79" s="29">
        <f t="shared" si="31"/>
        <v>-62979.271081098123</v>
      </c>
      <c r="E79" s="29">
        <f t="shared" si="31"/>
        <v>-123214.94835443041</v>
      </c>
      <c r="F79" s="29">
        <f t="shared" si="31"/>
        <v>0</v>
      </c>
      <c r="G79" s="29">
        <f t="shared" si="31"/>
        <v>-25641.092139038054</v>
      </c>
      <c r="H79" s="29">
        <f t="shared" si="31"/>
        <v>-55054.620000004768</v>
      </c>
      <c r="I79" s="29">
        <f t="shared" si="31"/>
        <v>-203074.66757972504</v>
      </c>
      <c r="J79" s="29">
        <f t="shared" si="31"/>
        <v>248514.68999999808</v>
      </c>
      <c r="K79" s="29">
        <f t="shared" si="31"/>
        <v>-22988.780000000785</v>
      </c>
      <c r="L79" s="29">
        <f t="shared" si="31"/>
        <v>243417.22986168636</v>
      </c>
      <c r="M79" s="29">
        <f t="shared" si="31"/>
        <v>-12057.029999999912</v>
      </c>
      <c r="N79" s="29">
        <f t="shared" si="31"/>
        <v>82527.160281840828</v>
      </c>
      <c r="O79" s="29">
        <f t="shared" si="31"/>
        <v>-155033.7769902898</v>
      </c>
      <c r="P79" s="29">
        <f t="shared" si="31"/>
        <v>-49186.227793786908</v>
      </c>
      <c r="Q79" s="29">
        <f t="shared" si="31"/>
        <v>-183437.6414784966</v>
      </c>
      <c r="R79" s="29">
        <f t="shared" si="31"/>
        <v>579065.39353267837</v>
      </c>
      <c r="S79" s="29">
        <f t="shared" si="31"/>
        <v>-117013.25000000023</v>
      </c>
      <c r="T79" s="29">
        <f t="shared" si="31"/>
        <v>0</v>
      </c>
      <c r="U79" s="29">
        <f t="shared" si="31"/>
        <v>0</v>
      </c>
      <c r="V79" s="29">
        <f t="shared" si="31"/>
        <v>0</v>
      </c>
      <c r="AA79" s="8"/>
    </row>
    <row r="80" spans="1:27" ht="15.75" hidden="1" outlineLevel="1" thickBot="1" x14ac:dyDescent="0.3">
      <c r="A80" s="9"/>
      <c r="B80" s="30" t="s">
        <v>31</v>
      </c>
      <c r="C80" s="31">
        <f t="shared" si="31"/>
        <v>18713.246834897087</v>
      </c>
      <c r="D80" s="32">
        <f t="shared" si="31"/>
        <v>38096.841904761881</v>
      </c>
      <c r="E80" s="32">
        <f t="shared" si="31"/>
        <v>434.07999999999993</v>
      </c>
      <c r="F80" s="32">
        <f t="shared" si="31"/>
        <v>0</v>
      </c>
      <c r="G80" s="32">
        <f t="shared" si="31"/>
        <v>655.11600124694087</v>
      </c>
      <c r="H80" s="32">
        <f t="shared" si="31"/>
        <v>6732.260000000002</v>
      </c>
      <c r="I80" s="32">
        <f t="shared" si="31"/>
        <v>15331.139999999912</v>
      </c>
      <c r="J80" s="32">
        <f t="shared" si="31"/>
        <v>-10978.22650000015</v>
      </c>
      <c r="K80" s="32">
        <f t="shared" si="31"/>
        <v>-7542.32</v>
      </c>
      <c r="L80" s="32">
        <f t="shared" si="31"/>
        <v>-15870.630000000048</v>
      </c>
      <c r="M80" s="32">
        <f t="shared" si="31"/>
        <v>-5789.2400000001398</v>
      </c>
      <c r="N80" s="32">
        <f t="shared" si="31"/>
        <v>-24.775960001617932</v>
      </c>
      <c r="O80" s="32">
        <f t="shared" si="31"/>
        <v>-730.57000000000698</v>
      </c>
      <c r="P80" s="32">
        <f t="shared" si="31"/>
        <v>-2668.89</v>
      </c>
      <c r="Q80" s="32">
        <f t="shared" si="31"/>
        <v>4830.7500000528889</v>
      </c>
      <c r="R80" s="32">
        <f t="shared" si="31"/>
        <v>-2782.7586111624505</v>
      </c>
      <c r="S80" s="32">
        <f t="shared" si="31"/>
        <v>-979.52999999999793</v>
      </c>
      <c r="T80" s="32">
        <f t="shared" si="31"/>
        <v>0</v>
      </c>
      <c r="U80" s="32">
        <f t="shared" si="31"/>
        <v>0</v>
      </c>
      <c r="V80" s="32">
        <f t="shared" si="31"/>
        <v>0</v>
      </c>
      <c r="AA80" s="8"/>
    </row>
    <row r="81" spans="1:27" ht="15.75" hidden="1" outlineLevel="1" thickBot="1" x14ac:dyDescent="0.3">
      <c r="A81" s="9"/>
      <c r="B81" s="30" t="s">
        <v>32</v>
      </c>
      <c r="C81" s="31">
        <f t="shared" si="31"/>
        <v>190788.68466018559</v>
      </c>
      <c r="D81" s="32">
        <f t="shared" si="31"/>
        <v>-9392.9128571430483</v>
      </c>
      <c r="E81" s="32">
        <f t="shared" si="31"/>
        <v>-1200</v>
      </c>
      <c r="F81" s="32">
        <f t="shared" si="31"/>
        <v>0</v>
      </c>
      <c r="G81" s="32">
        <f t="shared" si="31"/>
        <v>-10041.10999999999</v>
      </c>
      <c r="H81" s="32">
        <f t="shared" si="31"/>
        <v>50343.929999999869</v>
      </c>
      <c r="I81" s="32">
        <f t="shared" si="31"/>
        <v>250.38245020784962</v>
      </c>
      <c r="J81" s="32">
        <f t="shared" si="31"/>
        <v>13082.47999999997</v>
      </c>
      <c r="K81" s="32">
        <f t="shared" si="31"/>
        <v>-5603.3042857143237</v>
      </c>
      <c r="L81" s="32">
        <f t="shared" si="31"/>
        <v>-8862.2800000000061</v>
      </c>
      <c r="M81" s="32">
        <f t="shared" si="31"/>
        <v>33669.729999999792</v>
      </c>
      <c r="N81" s="32">
        <f t="shared" si="31"/>
        <v>2881.0099999999902</v>
      </c>
      <c r="O81" s="32">
        <f t="shared" si="31"/>
        <v>0</v>
      </c>
      <c r="P81" s="32">
        <f t="shared" si="31"/>
        <v>174310.05379728042</v>
      </c>
      <c r="Q81" s="32">
        <f t="shared" si="31"/>
        <v>33150.265555555437</v>
      </c>
      <c r="R81" s="32">
        <f t="shared" si="31"/>
        <v>-81799.420000000304</v>
      </c>
      <c r="S81" s="32">
        <f t="shared" si="31"/>
        <v>-0.139999999999986</v>
      </c>
      <c r="T81" s="32">
        <f t="shared" si="31"/>
        <v>0</v>
      </c>
      <c r="U81" s="32">
        <f t="shared" si="31"/>
        <v>0</v>
      </c>
      <c r="V81" s="32">
        <f t="shared" si="31"/>
        <v>0</v>
      </c>
      <c r="AA81" s="8"/>
    </row>
    <row r="82" spans="1:27" ht="15.75" hidden="1" outlineLevel="1" thickBot="1" x14ac:dyDescent="0.3">
      <c r="A82" s="9"/>
      <c r="B82" s="33" t="s">
        <v>33</v>
      </c>
      <c r="C82" s="34">
        <f t="shared" si="31"/>
        <v>114793.61999999732</v>
      </c>
      <c r="D82" s="35">
        <f t="shared" si="31"/>
        <v>-42590.450000000885</v>
      </c>
      <c r="E82" s="35">
        <f t="shared" si="31"/>
        <v>-33162.22</v>
      </c>
      <c r="F82" s="35">
        <f t="shared" si="31"/>
        <v>0</v>
      </c>
      <c r="G82" s="35">
        <f t="shared" si="31"/>
        <v>-41877.72000000038</v>
      </c>
      <c r="H82" s="35">
        <f t="shared" si="31"/>
        <v>-70050.110000000335</v>
      </c>
      <c r="I82" s="35">
        <f t="shared" si="31"/>
        <v>-85269.030000000203</v>
      </c>
      <c r="J82" s="35">
        <f t="shared" si="31"/>
        <v>-19621.359999999928</v>
      </c>
      <c r="K82" s="35">
        <f t="shared" si="31"/>
        <v>26271.449999999808</v>
      </c>
      <c r="L82" s="35">
        <f t="shared" si="31"/>
        <v>9280.7900000000373</v>
      </c>
      <c r="M82" s="35">
        <f t="shared" si="31"/>
        <v>14028.679999999644</v>
      </c>
      <c r="N82" s="35">
        <f t="shared" si="31"/>
        <v>72631.840000000026</v>
      </c>
      <c r="O82" s="35">
        <f t="shared" si="31"/>
        <v>290825.85000000009</v>
      </c>
      <c r="P82" s="35">
        <f t="shared" si="31"/>
        <v>-111835.67000000016</v>
      </c>
      <c r="Q82" s="35">
        <f t="shared" si="31"/>
        <v>-46861.26999999996</v>
      </c>
      <c r="R82" s="35">
        <f t="shared" si="31"/>
        <v>103931.79999999964</v>
      </c>
      <c r="S82" s="35">
        <f t="shared" si="31"/>
        <v>49091.039999999921</v>
      </c>
      <c r="T82" s="35">
        <f t="shared" si="31"/>
        <v>0</v>
      </c>
      <c r="U82" s="35">
        <f t="shared" si="31"/>
        <v>0</v>
      </c>
      <c r="V82" s="35">
        <f t="shared" si="31"/>
        <v>0</v>
      </c>
      <c r="AA82" s="8"/>
    </row>
    <row r="83" spans="1:27" ht="15.75" hidden="1" outlineLevel="1" thickBot="1" x14ac:dyDescent="0.3">
      <c r="A83" s="9"/>
      <c r="B83" s="16" t="s">
        <v>34</v>
      </c>
      <c r="C83" s="36">
        <f t="shared" si="31"/>
        <v>468138.7197544165</v>
      </c>
      <c r="D83" s="37">
        <f t="shared" si="31"/>
        <v>-76865.792033480015</v>
      </c>
      <c r="E83" s="37">
        <f t="shared" si="31"/>
        <v>-157143.08835443039</v>
      </c>
      <c r="F83" s="37">
        <f t="shared" si="31"/>
        <v>0</v>
      </c>
      <c r="G83" s="37">
        <f t="shared" si="31"/>
        <v>-76904.806137791486</v>
      </c>
      <c r="H83" s="37">
        <f t="shared" si="31"/>
        <v>-68028.54000000516</v>
      </c>
      <c r="I83" s="37">
        <f t="shared" si="31"/>
        <v>-272762.17512951745</v>
      </c>
      <c r="J83" s="37">
        <f t="shared" si="31"/>
        <v>230997.58349999809</v>
      </c>
      <c r="K83" s="37">
        <f t="shared" si="31"/>
        <v>-9862.9542857153574</v>
      </c>
      <c r="L83" s="37">
        <f t="shared" si="31"/>
        <v>227965.10986168636</v>
      </c>
      <c r="M83" s="37">
        <f t="shared" si="31"/>
        <v>29852.139999999432</v>
      </c>
      <c r="N83" s="37">
        <f t="shared" si="31"/>
        <v>158015.23432183929</v>
      </c>
      <c r="O83" s="37">
        <f t="shared" si="31"/>
        <v>135061.50300971046</v>
      </c>
      <c r="P83" s="37">
        <f t="shared" si="31"/>
        <v>10619.26600349322</v>
      </c>
      <c r="Q83" s="37">
        <f t="shared" si="31"/>
        <v>-192317.8959228883</v>
      </c>
      <c r="R83" s="37">
        <f t="shared" si="31"/>
        <v>598415.01492151525</v>
      </c>
      <c r="S83" s="37">
        <f t="shared" si="31"/>
        <v>-68901.880000000354</v>
      </c>
      <c r="T83" s="36">
        <f t="shared" si="31"/>
        <v>0</v>
      </c>
      <c r="U83" s="36">
        <f t="shared" si="31"/>
        <v>0</v>
      </c>
      <c r="V83" s="36">
        <f t="shared" ref="V83:AH83" si="32">+V17-V50</f>
        <v>0</v>
      </c>
      <c r="AA83" s="8"/>
    </row>
    <row r="84" spans="1:27" ht="15.75" hidden="1" outlineLevel="1" thickBot="1" x14ac:dyDescent="0.3">
      <c r="A84" s="9"/>
      <c r="B84" s="30" t="s">
        <v>35</v>
      </c>
      <c r="C84" s="31">
        <f t="shared" ref="C84:V91" si="33">+C18-C51</f>
        <v>963919.16418993659</v>
      </c>
      <c r="D84" s="32">
        <f t="shared" si="33"/>
        <v>114595.07999999879</v>
      </c>
      <c r="E84" s="32">
        <f t="shared" si="33"/>
        <v>-62031.44</v>
      </c>
      <c r="F84" s="32">
        <f t="shared" si="33"/>
        <v>0</v>
      </c>
      <c r="G84" s="32">
        <f t="shared" si="33"/>
        <v>111047.3999999995</v>
      </c>
      <c r="H84" s="32">
        <f t="shared" si="33"/>
        <v>112670.70999999926</v>
      </c>
      <c r="I84" s="32">
        <f t="shared" si="33"/>
        <v>-79332.720000000496</v>
      </c>
      <c r="J84" s="32">
        <f t="shared" si="33"/>
        <v>87843.00999999966</v>
      </c>
      <c r="K84" s="32">
        <f t="shared" si="33"/>
        <v>6984.0799999996671</v>
      </c>
      <c r="L84" s="32">
        <f t="shared" si="33"/>
        <v>196635.929999999</v>
      </c>
      <c r="M84" s="32">
        <f t="shared" si="33"/>
        <v>39848.969999999332</v>
      </c>
      <c r="N84" s="32">
        <f t="shared" si="33"/>
        <v>-37469.560000000347</v>
      </c>
      <c r="O84" s="32">
        <f t="shared" si="33"/>
        <v>155016.59999999998</v>
      </c>
      <c r="P84" s="32">
        <f t="shared" si="33"/>
        <v>-93155.580000000773</v>
      </c>
      <c r="Q84" s="32">
        <f t="shared" si="33"/>
        <v>430283.20999999961</v>
      </c>
      <c r="R84" s="32">
        <f t="shared" si="33"/>
        <v>-7119.9058100562252</v>
      </c>
      <c r="S84" s="32">
        <f t="shared" si="33"/>
        <v>-11896.620000000403</v>
      </c>
      <c r="T84" s="32">
        <f t="shared" si="33"/>
        <v>0</v>
      </c>
      <c r="U84" s="32">
        <f t="shared" si="33"/>
        <v>0</v>
      </c>
      <c r="V84" s="32">
        <f t="shared" si="33"/>
        <v>0</v>
      </c>
      <c r="AA84" s="8"/>
    </row>
    <row r="85" spans="1:27" ht="15.75" hidden="1" outlineLevel="1" thickBot="1" x14ac:dyDescent="0.3">
      <c r="A85" s="9"/>
      <c r="B85" s="30" t="s">
        <v>36</v>
      </c>
      <c r="C85" s="31">
        <f t="shared" si="33"/>
        <v>0</v>
      </c>
      <c r="D85" s="32">
        <f t="shared" si="33"/>
        <v>0</v>
      </c>
      <c r="E85" s="32">
        <f t="shared" si="33"/>
        <v>0</v>
      </c>
      <c r="F85" s="32">
        <f t="shared" si="33"/>
        <v>0</v>
      </c>
      <c r="G85" s="32">
        <f t="shared" si="33"/>
        <v>0</v>
      </c>
      <c r="H85" s="32">
        <f t="shared" si="33"/>
        <v>0</v>
      </c>
      <c r="I85" s="32">
        <f t="shared" si="33"/>
        <v>0</v>
      </c>
      <c r="J85" s="32">
        <f t="shared" si="33"/>
        <v>0</v>
      </c>
      <c r="K85" s="32">
        <f t="shared" si="33"/>
        <v>0</v>
      </c>
      <c r="L85" s="32">
        <f t="shared" si="33"/>
        <v>0</v>
      </c>
      <c r="M85" s="32">
        <f t="shared" si="33"/>
        <v>0</v>
      </c>
      <c r="N85" s="32">
        <f t="shared" si="33"/>
        <v>0</v>
      </c>
      <c r="O85" s="32">
        <f t="shared" si="33"/>
        <v>0</v>
      </c>
      <c r="P85" s="32">
        <f t="shared" si="33"/>
        <v>0</v>
      </c>
      <c r="Q85" s="32">
        <f t="shared" si="33"/>
        <v>0</v>
      </c>
      <c r="R85" s="32">
        <f t="shared" si="33"/>
        <v>0</v>
      </c>
      <c r="S85" s="32">
        <f t="shared" si="33"/>
        <v>0</v>
      </c>
      <c r="T85" s="32">
        <f t="shared" si="33"/>
        <v>0</v>
      </c>
      <c r="U85" s="32">
        <f t="shared" si="33"/>
        <v>0</v>
      </c>
      <c r="V85" s="32">
        <f t="shared" si="33"/>
        <v>0</v>
      </c>
      <c r="AA85" s="8"/>
    </row>
    <row r="86" spans="1:27" ht="15.75" hidden="1" outlineLevel="1" thickBot="1" x14ac:dyDescent="0.3">
      <c r="A86" s="9"/>
      <c r="B86" s="30" t="s">
        <v>37</v>
      </c>
      <c r="C86" s="31">
        <f t="shared" si="33"/>
        <v>836785.506332797</v>
      </c>
      <c r="D86" s="32">
        <f t="shared" si="33"/>
        <v>184452.02999999968</v>
      </c>
      <c r="E86" s="32">
        <f t="shared" si="33"/>
        <v>-34494.979999999989</v>
      </c>
      <c r="F86" s="32">
        <f t="shared" si="33"/>
        <v>0</v>
      </c>
      <c r="G86" s="32">
        <f t="shared" si="33"/>
        <v>43498.439999999799</v>
      </c>
      <c r="H86" s="32">
        <f t="shared" si="33"/>
        <v>97592.559999999561</v>
      </c>
      <c r="I86" s="32">
        <f t="shared" si="33"/>
        <v>76260.529999999795</v>
      </c>
      <c r="J86" s="32">
        <f t="shared" si="33"/>
        <v>56950.776295999531</v>
      </c>
      <c r="K86" s="32">
        <f t="shared" si="33"/>
        <v>21645.149999999732</v>
      </c>
      <c r="L86" s="32">
        <f t="shared" si="33"/>
        <v>18913.699999999691</v>
      </c>
      <c r="M86" s="32">
        <f t="shared" si="33"/>
        <v>119598.60999999969</v>
      </c>
      <c r="N86" s="32">
        <f t="shared" si="33"/>
        <v>-31.810000000143191</v>
      </c>
      <c r="O86" s="32">
        <f t="shared" si="33"/>
        <v>8600.0099999994854</v>
      </c>
      <c r="P86" s="32">
        <f t="shared" si="33"/>
        <v>-40574.930000000139</v>
      </c>
      <c r="Q86" s="32">
        <f t="shared" si="33"/>
        <v>167816.15762886568</v>
      </c>
      <c r="R86" s="32">
        <f t="shared" si="33"/>
        <v>76221.652407934627</v>
      </c>
      <c r="S86" s="32">
        <f t="shared" si="33"/>
        <v>40337.609999999891</v>
      </c>
      <c r="T86" s="32">
        <f t="shared" si="33"/>
        <v>0</v>
      </c>
      <c r="U86" s="32">
        <f t="shared" si="33"/>
        <v>0</v>
      </c>
      <c r="V86" s="32">
        <f t="shared" si="33"/>
        <v>0</v>
      </c>
      <c r="AA86" s="8"/>
    </row>
    <row r="87" spans="1:27" ht="15.75" hidden="1" outlineLevel="1" thickBot="1" x14ac:dyDescent="0.3">
      <c r="A87" s="9"/>
      <c r="B87" s="30" t="s">
        <v>38</v>
      </c>
      <c r="C87" s="31">
        <f>+C21-C54</f>
        <v>-529777.26182533521</v>
      </c>
      <c r="D87" s="32">
        <f t="shared" si="33"/>
        <v>-119851.81000000011</v>
      </c>
      <c r="E87" s="32">
        <f t="shared" si="33"/>
        <v>-81412.23</v>
      </c>
      <c r="F87" s="32">
        <f t="shared" si="33"/>
        <v>0</v>
      </c>
      <c r="G87" s="32">
        <f t="shared" si="33"/>
        <v>-43574.000000000087</v>
      </c>
      <c r="H87" s="32">
        <f t="shared" si="33"/>
        <v>-199790.82000000012</v>
      </c>
      <c r="I87" s="32">
        <f t="shared" si="33"/>
        <v>-30679.940000000177</v>
      </c>
      <c r="J87" s="32">
        <f t="shared" si="33"/>
        <v>5755.3899999996065</v>
      </c>
      <c r="K87" s="32">
        <f t="shared" si="33"/>
        <v>8365.1900000000023</v>
      </c>
      <c r="L87" s="32">
        <f t="shared" si="33"/>
        <v>84438.489999999991</v>
      </c>
      <c r="M87" s="32">
        <f t="shared" si="33"/>
        <v>-44500.450000000186</v>
      </c>
      <c r="N87" s="32">
        <f t="shared" si="33"/>
        <v>7033.0499999997846</v>
      </c>
      <c r="O87" s="32">
        <f t="shared" si="33"/>
        <v>40004.809999998892</v>
      </c>
      <c r="P87" s="32">
        <f t="shared" si="33"/>
        <v>-118083.15000000037</v>
      </c>
      <c r="Q87" s="32">
        <f t="shared" si="33"/>
        <v>25653.350000000006</v>
      </c>
      <c r="R87" s="32">
        <f t="shared" si="33"/>
        <v>-68842.311825333702</v>
      </c>
      <c r="S87" s="32">
        <f t="shared" si="33"/>
        <v>5707.1699999999255</v>
      </c>
      <c r="T87" s="32">
        <f t="shared" si="33"/>
        <v>0</v>
      </c>
      <c r="U87" s="32">
        <f t="shared" si="33"/>
        <v>0</v>
      </c>
      <c r="V87" s="32">
        <f t="shared" si="33"/>
        <v>0</v>
      </c>
      <c r="AA87" s="8"/>
    </row>
    <row r="88" spans="1:27" ht="15.75" hidden="1" outlineLevel="1" thickBot="1" x14ac:dyDescent="0.3">
      <c r="A88" s="9"/>
      <c r="B88" s="16" t="s">
        <v>39</v>
      </c>
      <c r="C88" s="36">
        <f>+C22-C55</f>
        <v>1270927.4086973984</v>
      </c>
      <c r="D88" s="37">
        <f t="shared" si="33"/>
        <v>179195.29999999842</v>
      </c>
      <c r="E88" s="37">
        <f t="shared" si="33"/>
        <v>-177938.65</v>
      </c>
      <c r="F88" s="37">
        <f t="shared" si="33"/>
        <v>0</v>
      </c>
      <c r="G88" s="37">
        <f t="shared" si="33"/>
        <v>110971.83999999915</v>
      </c>
      <c r="H88" s="37">
        <f t="shared" si="33"/>
        <v>10472.449999998789</v>
      </c>
      <c r="I88" s="37">
        <f t="shared" si="33"/>
        <v>-33752.13000000082</v>
      </c>
      <c r="J88" s="37">
        <f t="shared" si="33"/>
        <v>150549.17629599874</v>
      </c>
      <c r="K88" s="37">
        <f t="shared" si="33"/>
        <v>36994.419999999402</v>
      </c>
      <c r="L88" s="37">
        <f t="shared" si="33"/>
        <v>299988.11999999871</v>
      </c>
      <c r="M88" s="37">
        <f t="shared" si="33"/>
        <v>114947.12999999884</v>
      </c>
      <c r="N88" s="37">
        <f t="shared" si="33"/>
        <v>-30468.320000000647</v>
      </c>
      <c r="O88" s="37">
        <f t="shared" si="33"/>
        <v>203621.4199999983</v>
      </c>
      <c r="P88" s="37">
        <f t="shared" si="33"/>
        <v>-251813.66000000131</v>
      </c>
      <c r="Q88" s="37">
        <f t="shared" si="33"/>
        <v>623752.71762886539</v>
      </c>
      <c r="R88" s="37">
        <f t="shared" si="33"/>
        <v>259.43477254465688</v>
      </c>
      <c r="S88" s="37">
        <f t="shared" si="33"/>
        <v>34148.159999999451</v>
      </c>
      <c r="T88" s="36">
        <f t="shared" si="33"/>
        <v>0</v>
      </c>
      <c r="U88" s="36">
        <f t="shared" si="33"/>
        <v>0</v>
      </c>
      <c r="V88" s="36">
        <f t="shared" si="33"/>
        <v>0</v>
      </c>
      <c r="AA88" s="8"/>
    </row>
    <row r="89" spans="1:27" ht="15.75" hidden="1" outlineLevel="1" thickBot="1" x14ac:dyDescent="0.3">
      <c r="A89" s="9"/>
      <c r="B89" s="27" t="s">
        <v>40</v>
      </c>
      <c r="C89" s="28">
        <f>+C23-C56</f>
        <v>1739066.1284518093</v>
      </c>
      <c r="D89" s="38">
        <f t="shared" si="33"/>
        <v>102329.5079665184</v>
      </c>
      <c r="E89" s="38">
        <f t="shared" si="33"/>
        <v>-335081.73835443036</v>
      </c>
      <c r="F89" s="38">
        <f t="shared" si="33"/>
        <v>0</v>
      </c>
      <c r="G89" s="38">
        <f t="shared" si="33"/>
        <v>34067.033862207551</v>
      </c>
      <c r="H89" s="38">
        <f t="shared" si="33"/>
        <v>-57556.09000000637</v>
      </c>
      <c r="I89" s="38">
        <f t="shared" si="33"/>
        <v>-306514.30512951827</v>
      </c>
      <c r="J89" s="38">
        <f t="shared" si="33"/>
        <v>381546.75979599636</v>
      </c>
      <c r="K89" s="38">
        <f t="shared" si="33"/>
        <v>27131.465714283986</v>
      </c>
      <c r="L89" s="38">
        <f t="shared" si="33"/>
        <v>527953.22986168484</v>
      </c>
      <c r="M89" s="38">
        <f t="shared" si="33"/>
        <v>144799.26999999816</v>
      </c>
      <c r="N89" s="38">
        <f t="shared" si="33"/>
        <v>127546.91432183888</v>
      </c>
      <c r="O89" s="38">
        <f t="shared" si="33"/>
        <v>338682.92300970852</v>
      </c>
      <c r="P89" s="38">
        <f t="shared" si="33"/>
        <v>-241194.39399650786</v>
      </c>
      <c r="Q89" s="38">
        <f t="shared" si="33"/>
        <v>431434.82170597743</v>
      </c>
      <c r="R89" s="38">
        <f t="shared" si="33"/>
        <v>598674.44969405979</v>
      </c>
      <c r="S89" s="38">
        <f t="shared" si="33"/>
        <v>-34753.720000000903</v>
      </c>
      <c r="T89" s="28"/>
      <c r="U89" s="28"/>
      <c r="V89" s="28"/>
      <c r="AA89" s="8"/>
    </row>
    <row r="90" spans="1:27" ht="15.75" hidden="1" outlineLevel="1" collapsed="1" thickBot="1" x14ac:dyDescent="0.3">
      <c r="A90" s="9"/>
      <c r="B90" s="39" t="s">
        <v>41</v>
      </c>
      <c r="C90" s="40">
        <f>+C24-C57</f>
        <v>163.18927886740266</v>
      </c>
      <c r="D90" s="41">
        <f t="shared" si="33"/>
        <v>291.14533480082537</v>
      </c>
      <c r="E90" s="41">
        <f t="shared" si="33"/>
        <v>-2866.278898189732</v>
      </c>
      <c r="F90" s="41">
        <f t="shared" si="33"/>
        <v>0</v>
      </c>
      <c r="G90" s="41">
        <f t="shared" si="33"/>
        <v>-57.175791081627267</v>
      </c>
      <c r="H90" s="41">
        <f t="shared" si="33"/>
        <v>163.30682979748281</v>
      </c>
      <c r="I90" s="41">
        <f t="shared" si="33"/>
        <v>-73.899318822534042</v>
      </c>
      <c r="J90" s="41">
        <f t="shared" si="33"/>
        <v>772.5498983073212</v>
      </c>
      <c r="K90" s="41">
        <f t="shared" si="33"/>
        <v>-81.622438133878859</v>
      </c>
      <c r="L90" s="41">
        <f t="shared" si="33"/>
        <v>643.03177589506095</v>
      </c>
      <c r="M90" s="41">
        <f t="shared" si="33"/>
        <v>-269.49637513843618</v>
      </c>
      <c r="N90" s="41">
        <f t="shared" si="33"/>
        <v>473.60741732105362</v>
      </c>
      <c r="O90" s="41">
        <f t="shared" si="33"/>
        <v>-236.81633422746927</v>
      </c>
      <c r="P90" s="41">
        <f t="shared" si="33"/>
        <v>48.62710774020843</v>
      </c>
      <c r="Q90" s="41">
        <f t="shared" si="33"/>
        <v>-160.03981981724701</v>
      </c>
      <c r="R90" s="41">
        <f t="shared" si="33"/>
        <v>2024.6993041713285</v>
      </c>
      <c r="S90" s="42">
        <f t="shared" si="33"/>
        <v>2.6965926633815798</v>
      </c>
      <c r="T90" s="29">
        <f t="shared" si="33"/>
        <v>0</v>
      </c>
      <c r="U90" s="38">
        <f t="shared" si="33"/>
        <v>0</v>
      </c>
      <c r="V90" s="38">
        <f t="shared" si="33"/>
        <v>0</v>
      </c>
      <c r="AA90" s="8"/>
    </row>
    <row r="91" spans="1:27" ht="15.75" hidden="1" outlineLevel="1" thickBot="1" x14ac:dyDescent="0.3">
      <c r="A91" s="9"/>
      <c r="B91" s="43" t="s">
        <v>42</v>
      </c>
      <c r="C91" s="31">
        <f>+C25-C58</f>
        <v>695.21871559255078</v>
      </c>
      <c r="D91" s="44">
        <f t="shared" si="33"/>
        <v>-698.95576118820077</v>
      </c>
      <c r="E91" s="44">
        <f t="shared" si="33"/>
        <v>-300</v>
      </c>
      <c r="F91" s="44">
        <f t="shared" si="33"/>
        <v>0</v>
      </c>
      <c r="G91" s="44">
        <f t="shared" si="33"/>
        <v>-77.301428571427152</v>
      </c>
      <c r="H91" s="44">
        <f t="shared" si="33"/>
        <v>1678.1309999999955</v>
      </c>
      <c r="I91" s="44">
        <f t="shared" si="33"/>
        <v>-153.10497635763795</v>
      </c>
      <c r="J91" s="44">
        <f t="shared" si="33"/>
        <v>486.95249999999908</v>
      </c>
      <c r="K91" s="44">
        <f t="shared" si="33"/>
        <v>-350.22883928571667</v>
      </c>
      <c r="L91" s="44">
        <f t="shared" si="33"/>
        <v>-385.31652173913068</v>
      </c>
      <c r="M91" s="44">
        <f t="shared" si="33"/>
        <v>690.78919999999152</v>
      </c>
      <c r="N91" s="44">
        <f t="shared" si="33"/>
        <v>2881.0099999999902</v>
      </c>
      <c r="O91" s="44">
        <f t="shared" si="33"/>
        <v>0</v>
      </c>
      <c r="P91" s="44">
        <f t="shared" si="33"/>
        <v>1879.3061660481735</v>
      </c>
      <c r="Q91" s="44">
        <f t="shared" si="33"/>
        <v>1081.9237301587218</v>
      </c>
      <c r="R91" s="44">
        <f t="shared" si="33"/>
        <v>626.84341463413875</v>
      </c>
      <c r="S91" s="45">
        <f t="shared" si="33"/>
        <v>-0.139999999999986</v>
      </c>
      <c r="T91" s="32">
        <f t="shared" si="33"/>
        <v>0</v>
      </c>
      <c r="U91" s="44">
        <f t="shared" si="33"/>
        <v>0</v>
      </c>
      <c r="V91" s="44">
        <f t="shared" si="33"/>
        <v>0</v>
      </c>
      <c r="AA91" s="8"/>
    </row>
    <row r="92" spans="1:27" ht="15.75" hidden="1" outlineLevel="1" thickBot="1" x14ac:dyDescent="0.3">
      <c r="A92" s="9"/>
      <c r="B92" s="43" t="s">
        <v>43</v>
      </c>
      <c r="C92" s="31">
        <f t="shared" ref="C92:V94" si="34">+C26-C59</f>
        <v>85.877998131694994</v>
      </c>
      <c r="D92" s="44">
        <f t="shared" si="34"/>
        <v>122.31712827988213</v>
      </c>
      <c r="E92" s="44">
        <f t="shared" si="34"/>
        <v>43.240833333333285</v>
      </c>
      <c r="F92" s="44">
        <f t="shared" si="34"/>
        <v>0</v>
      </c>
      <c r="G92" s="44">
        <f t="shared" si="34"/>
        <v>-107.24264462810083</v>
      </c>
      <c r="H92" s="44">
        <f t="shared" si="34"/>
        <v>-28.791209016394077</v>
      </c>
      <c r="I92" s="44">
        <f t="shared" si="34"/>
        <v>-22.973221476510503</v>
      </c>
      <c r="J92" s="44">
        <f t="shared" si="34"/>
        <v>10.228000000000293</v>
      </c>
      <c r="K92" s="44">
        <f t="shared" si="34"/>
        <v>182.7732352941166</v>
      </c>
      <c r="L92" s="44">
        <f t="shared" si="34"/>
        <v>-50.225439739413559</v>
      </c>
      <c r="M92" s="44">
        <f t="shared" si="34"/>
        <v>-36.131810584959226</v>
      </c>
      <c r="N92" s="44">
        <f t="shared" si="34"/>
        <v>408.16945054945063</v>
      </c>
      <c r="O92" s="44">
        <f t="shared" si="34"/>
        <v>230.02358576642337</v>
      </c>
      <c r="P92" s="44">
        <f t="shared" si="34"/>
        <v>-167.29013227513269</v>
      </c>
      <c r="Q92" s="44">
        <f t="shared" si="34"/>
        <v>-13.42892265193359</v>
      </c>
      <c r="R92" s="44">
        <f t="shared" si="34"/>
        <v>127.66587301587151</v>
      </c>
      <c r="S92" s="45">
        <f t="shared" si="34"/>
        <v>694.48655737704894</v>
      </c>
      <c r="T92" s="35">
        <f t="shared" si="34"/>
        <v>0</v>
      </c>
      <c r="U92" s="46">
        <f t="shared" si="34"/>
        <v>0</v>
      </c>
      <c r="V92" s="46">
        <f t="shared" si="34"/>
        <v>0</v>
      </c>
      <c r="AA92" s="8"/>
    </row>
    <row r="93" spans="1:27" ht="15.75" hidden="1" outlineLevel="1" thickBot="1" x14ac:dyDescent="0.3">
      <c r="A93" s="9"/>
      <c r="B93" s="47" t="s">
        <v>44</v>
      </c>
      <c r="C93" s="48">
        <f t="shared" si="34"/>
        <v>249.06727699909788</v>
      </c>
      <c r="D93" s="49">
        <f t="shared" si="34"/>
        <v>413.46246308070749</v>
      </c>
      <c r="E93" s="49">
        <f t="shared" si="34"/>
        <v>-2823.0380648563987</v>
      </c>
      <c r="F93" s="49">
        <f t="shared" si="34"/>
        <v>0</v>
      </c>
      <c r="G93" s="49">
        <f t="shared" si="34"/>
        <v>-164.41843570972787</v>
      </c>
      <c r="H93" s="49">
        <f t="shared" si="34"/>
        <v>134.51562078108873</v>
      </c>
      <c r="I93" s="49">
        <f t="shared" si="34"/>
        <v>-96.872540299044431</v>
      </c>
      <c r="J93" s="49">
        <f t="shared" si="34"/>
        <v>782.77789830732172</v>
      </c>
      <c r="K93" s="49">
        <f t="shared" si="34"/>
        <v>101.15079716023774</v>
      </c>
      <c r="L93" s="49">
        <f t="shared" si="34"/>
        <v>592.80633615564784</v>
      </c>
      <c r="M93" s="49">
        <f t="shared" si="34"/>
        <v>-305.62818572339484</v>
      </c>
      <c r="N93" s="49">
        <f t="shared" si="34"/>
        <v>881.77686787050425</v>
      </c>
      <c r="O93" s="49">
        <f t="shared" si="34"/>
        <v>-6.792748461046358</v>
      </c>
      <c r="P93" s="49">
        <f t="shared" si="34"/>
        <v>-118.66302453492426</v>
      </c>
      <c r="Q93" s="49">
        <f t="shared" si="34"/>
        <v>-173.46874246918014</v>
      </c>
      <c r="R93" s="49">
        <f t="shared" si="34"/>
        <v>2152.3651771872001</v>
      </c>
      <c r="S93" s="50">
        <f t="shared" si="34"/>
        <v>697.18315004042961</v>
      </c>
      <c r="T93" s="51">
        <f t="shared" si="34"/>
        <v>0</v>
      </c>
      <c r="U93" s="37">
        <f t="shared" si="34"/>
        <v>0</v>
      </c>
      <c r="V93" s="37">
        <f t="shared" si="34"/>
        <v>0</v>
      </c>
      <c r="AA93" s="8"/>
    </row>
    <row r="94" spans="1:27" collapsed="1" x14ac:dyDescent="0.25">
      <c r="A94" s="9"/>
      <c r="B94" s="52" t="s">
        <v>45</v>
      </c>
      <c r="C94" s="53">
        <f>+C28-C61</f>
        <v>284.45671541250067</v>
      </c>
      <c r="D94" s="54">
        <f t="shared" si="34"/>
        <v>402.87543846889366</v>
      </c>
      <c r="E94" s="54">
        <f t="shared" si="34"/>
        <v>-2660.5745962792421</v>
      </c>
      <c r="F94" s="54">
        <f t="shared" si="34"/>
        <v>0</v>
      </c>
      <c r="G94" s="54">
        <f t="shared" si="34"/>
        <v>-37.299550491076388</v>
      </c>
      <c r="H94" s="54">
        <f t="shared" si="34"/>
        <v>129.80527075461532</v>
      </c>
      <c r="I94" s="54">
        <f t="shared" si="34"/>
        <v>-54.047946052699899</v>
      </c>
      <c r="J94" s="54">
        <f t="shared" si="34"/>
        <v>809.88585835171671</v>
      </c>
      <c r="K94" s="54">
        <f t="shared" si="34"/>
        <v>-168.65642345110655</v>
      </c>
      <c r="L94" s="54">
        <f t="shared" si="34"/>
        <v>398.0174201989289</v>
      </c>
      <c r="M94" s="54">
        <f t="shared" si="34"/>
        <v>-296.50641072707867</v>
      </c>
      <c r="N94" s="54">
        <f t="shared" si="34"/>
        <v>922.3342626169424</v>
      </c>
      <c r="O94" s="54">
        <f t="shared" si="34"/>
        <v>-7.4593269281986068</v>
      </c>
      <c r="P94" s="54">
        <f t="shared" si="34"/>
        <v>302.00012768914712</v>
      </c>
      <c r="Q94" s="54">
        <f t="shared" si="34"/>
        <v>-142.56948376021865</v>
      </c>
      <c r="R94" s="54">
        <f t="shared" si="34"/>
        <v>1960.4835038456467</v>
      </c>
      <c r="S94" s="55">
        <f t="shared" si="34"/>
        <v>661.50640378241224</v>
      </c>
      <c r="T94" s="56">
        <f t="shared" si="34"/>
        <v>0</v>
      </c>
      <c r="U94" s="36">
        <f t="shared" si="34"/>
        <v>0</v>
      </c>
      <c r="V94" s="36">
        <f t="shared" si="34"/>
        <v>0</v>
      </c>
      <c r="AA94" s="8"/>
    </row>
    <row r="95" spans="1:27" hidden="1" outlineLevel="1" x14ac:dyDescent="0.25">
      <c r="A95" s="9"/>
      <c r="B95" s="43" t="s">
        <v>46</v>
      </c>
      <c r="C95" s="31">
        <f t="shared" ref="C95:V101" si="35">+C29-C62</f>
        <v>413.67027102826978</v>
      </c>
      <c r="D95" s="44">
        <f t="shared" si="35"/>
        <v>380.75209565596901</v>
      </c>
      <c r="E95" s="44">
        <f t="shared" si="35"/>
        <v>1261.4266666666667</v>
      </c>
      <c r="F95" s="44">
        <f t="shared" si="35"/>
        <v>0</v>
      </c>
      <c r="G95" s="44">
        <f t="shared" si="35"/>
        <v>548.18802395209286</v>
      </c>
      <c r="H95" s="44">
        <f t="shared" si="35"/>
        <v>1160.5153495278671</v>
      </c>
      <c r="I95" s="44">
        <f t="shared" si="35"/>
        <v>-179.31814814815039</v>
      </c>
      <c r="J95" s="44">
        <f t="shared" si="35"/>
        <v>403.12140776698857</v>
      </c>
      <c r="K95" s="44">
        <f t="shared" si="35"/>
        <v>-81.541916461920891</v>
      </c>
      <c r="L95" s="44">
        <f t="shared" si="35"/>
        <v>630.38135145975502</v>
      </c>
      <c r="M95" s="44">
        <f t="shared" si="35"/>
        <v>179.5653105103313</v>
      </c>
      <c r="N95" s="44">
        <f t="shared" si="35"/>
        <v>-23.354000000002543</v>
      </c>
      <c r="O95" s="44">
        <f t="shared" si="35"/>
        <v>145.42931442080362</v>
      </c>
      <c r="P95" s="44">
        <f t="shared" si="35"/>
        <v>261.34763465234664</v>
      </c>
      <c r="Q95" s="44">
        <f t="shared" si="35"/>
        <v>1830.5072542949988</v>
      </c>
      <c r="R95" s="44">
        <f t="shared" si="35"/>
        <v>1559.2172264150856</v>
      </c>
      <c r="S95" s="45">
        <f t="shared" si="35"/>
        <v>-44.275352976635304</v>
      </c>
      <c r="T95" s="32">
        <f t="shared" si="35"/>
        <v>0</v>
      </c>
      <c r="U95" s="44">
        <f t="shared" si="35"/>
        <v>0</v>
      </c>
      <c r="V95" s="44">
        <f t="shared" si="35"/>
        <v>0</v>
      </c>
      <c r="AA95" s="8"/>
    </row>
    <row r="96" spans="1:27" hidden="1" outlineLevel="1" x14ac:dyDescent="0.25">
      <c r="A96" s="9"/>
      <c r="B96" s="43" t="s">
        <v>47</v>
      </c>
      <c r="C96" s="31">
        <f t="shared" si="35"/>
        <v>0</v>
      </c>
      <c r="D96" s="44">
        <f t="shared" si="35"/>
        <v>0</v>
      </c>
      <c r="E96" s="44">
        <f t="shared" si="35"/>
        <v>0</v>
      </c>
      <c r="F96" s="44">
        <f t="shared" si="35"/>
        <v>0</v>
      </c>
      <c r="G96" s="44">
        <f t="shared" si="35"/>
        <v>0</v>
      </c>
      <c r="H96" s="44">
        <f t="shared" si="35"/>
        <v>0</v>
      </c>
      <c r="I96" s="44">
        <f t="shared" si="35"/>
        <v>0</v>
      </c>
      <c r="J96" s="44">
        <f t="shared" si="35"/>
        <v>0</v>
      </c>
      <c r="K96" s="44">
        <f t="shared" si="35"/>
        <v>0</v>
      </c>
      <c r="L96" s="44">
        <f t="shared" si="35"/>
        <v>0</v>
      </c>
      <c r="M96" s="44">
        <f t="shared" si="35"/>
        <v>0</v>
      </c>
      <c r="N96" s="44">
        <f t="shared" si="35"/>
        <v>0</v>
      </c>
      <c r="O96" s="44">
        <f t="shared" si="35"/>
        <v>0</v>
      </c>
      <c r="P96" s="44">
        <f t="shared" si="35"/>
        <v>0</v>
      </c>
      <c r="Q96" s="44">
        <f t="shared" si="35"/>
        <v>0</v>
      </c>
      <c r="R96" s="44">
        <f t="shared" si="35"/>
        <v>0</v>
      </c>
      <c r="S96" s="45">
        <f t="shared" si="35"/>
        <v>0</v>
      </c>
      <c r="T96" s="32">
        <f t="shared" si="35"/>
        <v>0</v>
      </c>
      <c r="U96" s="44">
        <f t="shared" si="35"/>
        <v>0</v>
      </c>
      <c r="V96" s="44">
        <f t="shared" si="35"/>
        <v>0</v>
      </c>
      <c r="AA96" s="8"/>
    </row>
    <row r="97" spans="1:27" hidden="1" outlineLevel="1" x14ac:dyDescent="0.25">
      <c r="A97" s="9"/>
      <c r="B97" s="43" t="s">
        <v>48</v>
      </c>
      <c r="C97" s="31">
        <f t="shared" si="35"/>
        <v>295.3179319657599</v>
      </c>
      <c r="D97" s="44">
        <f t="shared" si="35"/>
        <v>451.04423376623288</v>
      </c>
      <c r="E97" s="44">
        <f t="shared" si="35"/>
        <v>-1028.3323809523804</v>
      </c>
      <c r="F97" s="44">
        <f t="shared" si="35"/>
        <v>0</v>
      </c>
      <c r="G97" s="44">
        <f t="shared" si="35"/>
        <v>267.50969072164742</v>
      </c>
      <c r="H97" s="44">
        <f t="shared" si="35"/>
        <v>677.33666666666409</v>
      </c>
      <c r="I97" s="44">
        <f t="shared" si="35"/>
        <v>392.40406113537028</v>
      </c>
      <c r="J97" s="44">
        <f t="shared" si="35"/>
        <v>207.16226495726295</v>
      </c>
      <c r="K97" s="44">
        <f>+K31-K64</f>
        <v>168.64626168224049</v>
      </c>
      <c r="L97" s="44">
        <f t="shared" si="35"/>
        <v>62.789545454544054</v>
      </c>
      <c r="M97" s="44">
        <f t="shared" si="35"/>
        <v>618.22192708333171</v>
      </c>
      <c r="N97" s="44">
        <f t="shared" si="35"/>
        <v>42.885434782607661</v>
      </c>
      <c r="O97" s="44">
        <f t="shared" si="35"/>
        <v>192.94120588235137</v>
      </c>
      <c r="P97" s="44">
        <f t="shared" si="35"/>
        <v>-120.39138248847985</v>
      </c>
      <c r="Q97" s="44">
        <f t="shared" si="35"/>
        <v>654.62930253277204</v>
      </c>
      <c r="R97" s="44">
        <f t="shared" si="35"/>
        <v>434.85170212765627</v>
      </c>
      <c r="S97" s="45">
        <f t="shared" si="35"/>
        <v>552.64239436619562</v>
      </c>
      <c r="T97" s="32">
        <f t="shared" si="35"/>
        <v>0</v>
      </c>
      <c r="U97" s="44">
        <f t="shared" si="35"/>
        <v>0</v>
      </c>
      <c r="V97" s="44">
        <f t="shared" si="35"/>
        <v>0</v>
      </c>
      <c r="AA97" s="8"/>
    </row>
    <row r="98" spans="1:27" hidden="1" outlineLevel="1" x14ac:dyDescent="0.25">
      <c r="A98" s="9"/>
      <c r="B98" s="43" t="s">
        <v>49</v>
      </c>
      <c r="C98" s="31">
        <f t="shared" si="35"/>
        <v>-98.171990216033919</v>
      </c>
      <c r="D98" s="44">
        <f t="shared" si="35"/>
        <v>-350.47145962732952</v>
      </c>
      <c r="E98" s="44">
        <f t="shared" si="35"/>
        <v>931.29500000000007</v>
      </c>
      <c r="F98" s="44">
        <f t="shared" si="35"/>
        <v>0</v>
      </c>
      <c r="G98" s="44">
        <f t="shared" si="35"/>
        <v>-410.77245508982082</v>
      </c>
      <c r="H98" s="44">
        <f t="shared" si="35"/>
        <v>-431.58581632653113</v>
      </c>
      <c r="I98" s="44">
        <f t="shared" si="35"/>
        <v>104.25953703703613</v>
      </c>
      <c r="J98" s="44">
        <f t="shared" si="35"/>
        <v>3.1815048543671764</v>
      </c>
      <c r="K98" s="44">
        <f t="shared" si="35"/>
        <v>-22.092027027026916</v>
      </c>
      <c r="L98" s="44">
        <f t="shared" si="35"/>
        <v>107.60043062200953</v>
      </c>
      <c r="M98" s="44">
        <f t="shared" si="35"/>
        <v>-164.34579047899001</v>
      </c>
      <c r="N98" s="44">
        <f t="shared" si="35"/>
        <v>247.02178571428408</v>
      </c>
      <c r="O98" s="44">
        <f t="shared" si="35"/>
        <v>-126.46617021276847</v>
      </c>
      <c r="P98" s="44">
        <f t="shared" si="35"/>
        <v>46.454680851062221</v>
      </c>
      <c r="Q98" s="44">
        <f t="shared" si="35"/>
        <v>-54.209624413145548</v>
      </c>
      <c r="R98" s="44">
        <f t="shared" si="35"/>
        <v>-34.990500000005341</v>
      </c>
      <c r="S98" s="45">
        <f t="shared" si="35"/>
        <v>29.355147679324546</v>
      </c>
      <c r="T98" s="32">
        <f t="shared" si="35"/>
        <v>0</v>
      </c>
      <c r="U98" s="44">
        <f t="shared" si="35"/>
        <v>0</v>
      </c>
      <c r="V98" s="44">
        <f t="shared" si="35"/>
        <v>0</v>
      </c>
      <c r="AA98" s="8"/>
    </row>
    <row r="99" spans="1:27" hidden="1" outlineLevel="1" x14ac:dyDescent="0.25">
      <c r="A99" s="9"/>
      <c r="B99" s="57" t="s">
        <v>50</v>
      </c>
      <c r="C99" s="34">
        <f t="shared" si="35"/>
        <v>315.49828081223586</v>
      </c>
      <c r="D99" s="46">
        <f t="shared" si="35"/>
        <v>30.280636028639492</v>
      </c>
      <c r="E99" s="46">
        <f t="shared" si="35"/>
        <v>2192.7216666666664</v>
      </c>
      <c r="F99" s="46">
        <f t="shared" si="35"/>
        <v>0</v>
      </c>
      <c r="G99" s="46">
        <f t="shared" si="35"/>
        <v>137.41556886227227</v>
      </c>
      <c r="H99" s="46">
        <f t="shared" si="35"/>
        <v>728.9295332013362</v>
      </c>
      <c r="I99" s="46">
        <f t="shared" si="35"/>
        <v>-75.05861111111426</v>
      </c>
      <c r="J99" s="46">
        <f t="shared" si="35"/>
        <v>406.30291262135597</v>
      </c>
      <c r="K99" s="46">
        <f t="shared" si="35"/>
        <v>-103.63394348894781</v>
      </c>
      <c r="L99" s="46">
        <f t="shared" si="35"/>
        <v>737.98178208176432</v>
      </c>
      <c r="M99" s="46">
        <f t="shared" si="35"/>
        <v>15.219520031341744</v>
      </c>
      <c r="N99" s="46">
        <f t="shared" si="35"/>
        <v>223.66778571428131</v>
      </c>
      <c r="O99" s="46">
        <f t="shared" si="35"/>
        <v>18.963144208035374</v>
      </c>
      <c r="P99" s="46">
        <f t="shared" si="35"/>
        <v>307.80231550340886</v>
      </c>
      <c r="Q99" s="46">
        <f t="shared" si="35"/>
        <v>1776.297629881853</v>
      </c>
      <c r="R99" s="46">
        <f t="shared" si="35"/>
        <v>1524.2267264150796</v>
      </c>
      <c r="S99" s="58">
        <f t="shared" si="35"/>
        <v>-14.920205297310531</v>
      </c>
      <c r="T99" s="51">
        <f t="shared" si="35"/>
        <v>0</v>
      </c>
      <c r="U99" s="37">
        <f t="shared" si="35"/>
        <v>0</v>
      </c>
      <c r="V99" s="36">
        <f t="shared" si="35"/>
        <v>0</v>
      </c>
      <c r="AA99" s="8"/>
    </row>
    <row r="100" spans="1:27" collapsed="1" x14ac:dyDescent="0.25">
      <c r="A100" s="9"/>
      <c r="B100" s="59" t="s">
        <v>51</v>
      </c>
      <c r="C100" s="36">
        <f t="shared" si="35"/>
        <v>273.48955490203662</v>
      </c>
      <c r="D100" s="37">
        <f t="shared" si="35"/>
        <v>202.36874735439937</v>
      </c>
      <c r="E100" s="37">
        <f t="shared" si="35"/>
        <v>-979.20925925925883</v>
      </c>
      <c r="F100" s="37">
        <f t="shared" si="35"/>
        <v>0</v>
      </c>
      <c r="G100" s="37">
        <f t="shared" si="35"/>
        <v>32.800530303027244</v>
      </c>
      <c r="H100" s="37">
        <f t="shared" si="35"/>
        <v>600.37956797521792</v>
      </c>
      <c r="I100" s="37">
        <f t="shared" si="35"/>
        <v>177.68707794251077</v>
      </c>
      <c r="J100" s="37">
        <f t="shared" si="35"/>
        <v>191.85033316205477</v>
      </c>
      <c r="K100" s="37">
        <f t="shared" si="35"/>
        <v>73.183697614873381</v>
      </c>
      <c r="L100" s="37">
        <f t="shared" si="35"/>
        <v>489.17866439866134</v>
      </c>
      <c r="M100" s="37">
        <f t="shared" si="35"/>
        <v>239.75990487062154</v>
      </c>
      <c r="N100" s="37">
        <f t="shared" si="35"/>
        <v>125.88722357145912</v>
      </c>
      <c r="O100" s="37">
        <f t="shared" si="35"/>
        <v>272.51695885693516</v>
      </c>
      <c r="P100" s="37">
        <f t="shared" si="35"/>
        <v>-40.857575141516008</v>
      </c>
      <c r="Q100" s="37">
        <f t="shared" si="35"/>
        <v>1100.9530513709915</v>
      </c>
      <c r="R100" s="37">
        <f t="shared" si="35"/>
        <v>297.72498929684434</v>
      </c>
      <c r="S100" s="60">
        <f t="shared" si="35"/>
        <v>41.414099189399167</v>
      </c>
      <c r="T100" s="56">
        <f t="shared" si="35"/>
        <v>0</v>
      </c>
      <c r="U100" s="36">
        <f t="shared" si="35"/>
        <v>0</v>
      </c>
      <c r="V100" s="36">
        <f t="shared" si="35"/>
        <v>0</v>
      </c>
      <c r="AA100" s="8"/>
    </row>
    <row r="101" spans="1:27" ht="15.75" thickBot="1" x14ac:dyDescent="0.3">
      <c r="A101" s="9"/>
      <c r="B101" s="61" t="s">
        <v>52</v>
      </c>
      <c r="C101" s="62">
        <f t="shared" si="35"/>
        <v>267.34499029842982</v>
      </c>
      <c r="D101" s="62">
        <f t="shared" si="35"/>
        <v>226.87875472800897</v>
      </c>
      <c r="E101" s="62">
        <f t="shared" si="35"/>
        <v>-1676.4118926698923</v>
      </c>
      <c r="F101" s="62">
        <f t="shared" si="35"/>
        <v>0</v>
      </c>
      <c r="G101" s="62">
        <f t="shared" si="35"/>
        <v>30.379026620008517</v>
      </c>
      <c r="H101" s="62">
        <f t="shared" si="35"/>
        <v>376.20783624386013</v>
      </c>
      <c r="I101" s="62">
        <f t="shared" si="35"/>
        <v>52.728737095685119</v>
      </c>
      <c r="J101" s="62">
        <f t="shared" si="35"/>
        <v>418.4903996392477</v>
      </c>
      <c r="K101" s="62">
        <f t="shared" si="35"/>
        <v>-85.355829184285994</v>
      </c>
      <c r="L101" s="62">
        <f t="shared" si="35"/>
        <v>413.96725234870792</v>
      </c>
      <c r="M101" s="62">
        <f t="shared" si="35"/>
        <v>38.96543029243594</v>
      </c>
      <c r="N101" s="62">
        <f t="shared" si="35"/>
        <v>535.59294016391868</v>
      </c>
      <c r="O101" s="62">
        <f t="shared" si="35"/>
        <v>125.62126153382906</v>
      </c>
      <c r="P101" s="62">
        <f t="shared" si="35"/>
        <v>204.26948187881862</v>
      </c>
      <c r="Q101" s="62">
        <f t="shared" si="35"/>
        <v>280.38313073511608</v>
      </c>
      <c r="R101" s="62">
        <f t="shared" si="35"/>
        <v>1300.9510552595575</v>
      </c>
      <c r="S101" s="63">
        <f t="shared" si="35"/>
        <v>124.79659925409032</v>
      </c>
      <c r="T101" s="7"/>
      <c r="U101" s="7"/>
      <c r="V101" s="7"/>
      <c r="AA101" s="8"/>
    </row>
    <row r="102" spans="1:27" ht="5.85" customHeight="1" x14ac:dyDescent="0.25"/>
    <row r="103" spans="1:27" ht="15.75" x14ac:dyDescent="0.25">
      <c r="B103" s="69" t="s">
        <v>54</v>
      </c>
      <c r="C103" s="65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</row>
    <row r="104" spans="1:27" x14ac:dyDescent="0.25">
      <c r="B104" s="70" t="s">
        <v>55</v>
      </c>
      <c r="C104" s="37">
        <f>SUM(D104:S104)</f>
        <v>-1062.9358176454466</v>
      </c>
      <c r="D104" s="37">
        <f t="shared" ref="D104:S104" si="36">(D73)*(D61)/1000</f>
        <v>-370.56198667730342</v>
      </c>
      <c r="E104" s="37">
        <f t="shared" si="36"/>
        <v>-93.289298043728579</v>
      </c>
      <c r="F104" s="37">
        <f t="shared" si="36"/>
        <v>0</v>
      </c>
      <c r="G104" s="37">
        <f t="shared" si="36"/>
        <v>-67.617218065513498</v>
      </c>
      <c r="H104" s="37">
        <f t="shared" si="36"/>
        <v>-135.26767025089606</v>
      </c>
      <c r="I104" s="37">
        <f t="shared" si="36"/>
        <v>-247.84607199922277</v>
      </c>
      <c r="J104" s="37">
        <f t="shared" si="36"/>
        <v>-102.67539014090909</v>
      </c>
      <c r="K104" s="37">
        <f t="shared" si="36"/>
        <v>21.507140476190479</v>
      </c>
      <c r="L104" s="37">
        <f t="shared" si="36"/>
        <v>96.61936119603989</v>
      </c>
      <c r="M104" s="37">
        <f t="shared" si="36"/>
        <v>143.71060171919771</v>
      </c>
      <c r="N104" s="37">
        <f t="shared" si="36"/>
        <v>-10.771935737061185</v>
      </c>
      <c r="O104" s="37">
        <f t="shared" si="36"/>
        <v>143.23692532301629</v>
      </c>
      <c r="P104" s="37">
        <f t="shared" si="36"/>
        <v>-134.64279541498667</v>
      </c>
      <c r="Q104" s="37">
        <f t="shared" si="36"/>
        <v>-138.71177002904611</v>
      </c>
      <c r="R104" s="37">
        <f t="shared" si="36"/>
        <v>23.993348294740681</v>
      </c>
      <c r="S104" s="37">
        <f t="shared" si="36"/>
        <v>-190.61905829596412</v>
      </c>
    </row>
    <row r="105" spans="1:27" hidden="1" outlineLevel="1" x14ac:dyDescent="0.25">
      <c r="B105" s="71" t="s">
        <v>41</v>
      </c>
      <c r="C105" s="37">
        <f t="shared" ref="C105:C111" si="37">SUM(D105:S105)</f>
        <v>-698.08091794198708</v>
      </c>
      <c r="D105" s="37">
        <f t="shared" ref="D105:S106" si="38">(D71)*D57/1000</f>
        <v>-262.70497075446423</v>
      </c>
      <c r="E105" s="37">
        <f t="shared" si="38"/>
        <v>-54.424254797876848</v>
      </c>
      <c r="F105" s="37">
        <f t="shared" si="38"/>
        <v>0</v>
      </c>
      <c r="G105" s="37">
        <f t="shared" si="38"/>
        <v>-11.804550697284261</v>
      </c>
      <c r="H105" s="37">
        <f t="shared" si="38"/>
        <v>-134.74835294117648</v>
      </c>
      <c r="I105" s="37">
        <f t="shared" si="38"/>
        <v>-170.04167206605226</v>
      </c>
      <c r="J105" s="37">
        <f t="shared" si="38"/>
        <v>-45.054271356783914</v>
      </c>
      <c r="K105" s="37">
        <f t="shared" si="38"/>
        <v>-9.1129655172413795</v>
      </c>
      <c r="L105" s="37">
        <f t="shared" si="38"/>
        <v>46.006474661902566</v>
      </c>
      <c r="M105" s="37">
        <f t="shared" si="38"/>
        <v>84.692168674698792</v>
      </c>
      <c r="N105" s="37">
        <f t="shared" si="38"/>
        <v>-3.6693896705910274</v>
      </c>
      <c r="O105" s="37">
        <f t="shared" si="38"/>
        <v>104.5169253230163</v>
      </c>
      <c r="P105" s="37">
        <f t="shared" si="38"/>
        <v>-67.567274519585737</v>
      </c>
      <c r="Q105" s="37">
        <f t="shared" si="38"/>
        <v>-125.5032267046531</v>
      </c>
      <c r="R105" s="37">
        <f t="shared" si="38"/>
        <v>68.841168881503535</v>
      </c>
      <c r="S105" s="37">
        <f t="shared" si="38"/>
        <v>-117.50672645739911</v>
      </c>
    </row>
    <row r="106" spans="1:27" hidden="1" outlineLevel="1" x14ac:dyDescent="0.25">
      <c r="B106" s="71" t="s">
        <v>42</v>
      </c>
      <c r="C106" s="37">
        <f t="shared" si="37"/>
        <v>-82.498753836326586</v>
      </c>
      <c r="D106" s="37">
        <f t="shared" si="38"/>
        <v>20.662184873949585</v>
      </c>
      <c r="E106" s="37">
        <f t="shared" si="38"/>
        <v>-1.2</v>
      </c>
      <c r="F106" s="37">
        <f t="shared" si="38"/>
        <v>0</v>
      </c>
      <c r="G106" s="37">
        <f t="shared" si="38"/>
        <v>-9.5</v>
      </c>
      <c r="H106" s="37">
        <f t="shared" si="38"/>
        <v>0</v>
      </c>
      <c r="I106" s="37">
        <f t="shared" si="38"/>
        <v>2.3938521192147824</v>
      </c>
      <c r="J106" s="37">
        <f t="shared" si="38"/>
        <v>-2.5</v>
      </c>
      <c r="K106" s="37">
        <f t="shared" si="38"/>
        <v>3.5714285714285703E-4</v>
      </c>
      <c r="L106" s="37">
        <f t="shared" si="38"/>
        <v>0</v>
      </c>
      <c r="M106" s="37">
        <f t="shared" si="38"/>
        <v>16.399999999999999</v>
      </c>
      <c r="N106" s="37">
        <f t="shared" si="38"/>
        <v>0</v>
      </c>
      <c r="O106" s="37">
        <f t="shared" si="38"/>
        <v>0</v>
      </c>
      <c r="P106" s="37">
        <f t="shared" si="38"/>
        <v>-19.258481305681435</v>
      </c>
      <c r="Q106" s="37">
        <f t="shared" si="38"/>
        <v>18.003333333333334</v>
      </c>
      <c r="R106" s="37">
        <f t="shared" si="38"/>
        <v>-107.5</v>
      </c>
      <c r="S106" s="37">
        <f t="shared" si="38"/>
        <v>0</v>
      </c>
    </row>
    <row r="107" spans="1:27" hidden="1" outlineLevel="1" x14ac:dyDescent="0.25">
      <c r="B107" s="71" t="s">
        <v>43</v>
      </c>
      <c r="C107" s="37">
        <f t="shared" si="37"/>
        <v>-344.00799999999998</v>
      </c>
      <c r="D107" s="37">
        <f t="shared" ref="D107:S107" si="39">(D71)*D59/1000</f>
        <v>-126.5</v>
      </c>
      <c r="E107" s="37">
        <f t="shared" si="39"/>
        <v>-34.200000000000003</v>
      </c>
      <c r="F107" s="37">
        <f t="shared" si="39"/>
        <v>0</v>
      </c>
      <c r="G107" s="37">
        <f t="shared" si="39"/>
        <v>-15.925000000000001</v>
      </c>
      <c r="H107" s="37">
        <f t="shared" si="39"/>
        <v>-56</v>
      </c>
      <c r="I107" s="37">
        <f t="shared" si="39"/>
        <v>-75</v>
      </c>
      <c r="J107" s="37">
        <f t="shared" si="39"/>
        <v>-23.507999999999999</v>
      </c>
      <c r="K107" s="37">
        <f t="shared" si="39"/>
        <v>-4.8</v>
      </c>
      <c r="L107" s="37">
        <f t="shared" si="39"/>
        <v>24.7</v>
      </c>
      <c r="M107" s="37">
        <f t="shared" si="39"/>
        <v>27</v>
      </c>
      <c r="N107" s="37">
        <f t="shared" si="39"/>
        <v>-1.655</v>
      </c>
      <c r="O107" s="37">
        <f t="shared" si="39"/>
        <v>38.72</v>
      </c>
      <c r="P107" s="37">
        <f t="shared" si="39"/>
        <v>-48.6</v>
      </c>
      <c r="Q107" s="37">
        <f t="shared" si="39"/>
        <v>-42</v>
      </c>
      <c r="R107" s="37">
        <f t="shared" si="39"/>
        <v>71.760000000000005</v>
      </c>
      <c r="S107" s="37">
        <f t="shared" si="39"/>
        <v>-78</v>
      </c>
    </row>
    <row r="108" spans="1:27" collapsed="1" x14ac:dyDescent="0.25">
      <c r="B108" s="72" t="s">
        <v>56</v>
      </c>
      <c r="C108" s="37">
        <f t="shared" si="37"/>
        <v>1531.07453739986</v>
      </c>
      <c r="D108" s="37">
        <f t="shared" ref="D108:S108" si="40">D94*D7/1000</f>
        <v>293.6961946438235</v>
      </c>
      <c r="E108" s="37">
        <f t="shared" si="40"/>
        <v>-63.853790310701804</v>
      </c>
      <c r="F108" s="37">
        <f t="shared" si="40"/>
        <v>0</v>
      </c>
      <c r="G108" s="37">
        <f t="shared" si="40"/>
        <v>-9.2875880722780195</v>
      </c>
      <c r="H108" s="37">
        <f t="shared" si="40"/>
        <v>67.239130250890739</v>
      </c>
      <c r="I108" s="37">
        <f t="shared" si="40"/>
        <v>-24.916103130294655</v>
      </c>
      <c r="J108" s="37">
        <f t="shared" si="40"/>
        <v>333.67297364090729</v>
      </c>
      <c r="K108" s="37">
        <f t="shared" si="40"/>
        <v>-31.370094761905818</v>
      </c>
      <c r="L108" s="37">
        <f t="shared" si="40"/>
        <v>131.34574866564654</v>
      </c>
      <c r="M108" s="37">
        <f t="shared" si="40"/>
        <v>-113.85846171919822</v>
      </c>
      <c r="N108" s="37">
        <f t="shared" si="40"/>
        <v>168.78717005890047</v>
      </c>
      <c r="O108" s="37">
        <f t="shared" si="40"/>
        <v>-8.1754223133056723</v>
      </c>
      <c r="P108" s="37">
        <f t="shared" si="40"/>
        <v>145.26206141847976</v>
      </c>
      <c r="Q108" s="37">
        <f t="shared" si="40"/>
        <v>-53.606125893842211</v>
      </c>
      <c r="R108" s="37">
        <f t="shared" si="40"/>
        <v>574.42166662677448</v>
      </c>
      <c r="S108" s="37">
        <f t="shared" si="40"/>
        <v>121.71717829596385</v>
      </c>
    </row>
    <row r="109" spans="1:27" hidden="1" outlineLevel="1" x14ac:dyDescent="0.25">
      <c r="B109" s="73" t="s">
        <v>41</v>
      </c>
      <c r="C109" s="74">
        <f t="shared" si="37"/>
        <v>841.92408620131994</v>
      </c>
      <c r="D109" s="74">
        <f t="shared" ref="D109:S110" si="41">D90*(D5)/1000</f>
        <v>199.72569967336622</v>
      </c>
      <c r="E109" s="74">
        <f t="shared" si="41"/>
        <v>-68.790693556553563</v>
      </c>
      <c r="F109" s="74">
        <f t="shared" si="41"/>
        <v>0</v>
      </c>
      <c r="G109" s="74">
        <f t="shared" si="41"/>
        <v>-13.836541441753798</v>
      </c>
      <c r="H109" s="74">
        <f t="shared" si="41"/>
        <v>79.693732941171604</v>
      </c>
      <c r="I109" s="74">
        <f t="shared" si="41"/>
        <v>-33.032995513672716</v>
      </c>
      <c r="J109" s="74">
        <f t="shared" si="41"/>
        <v>293.56896135678204</v>
      </c>
      <c r="K109" s="74">
        <f t="shared" si="41"/>
        <v>-13.875814482759406</v>
      </c>
      <c r="L109" s="74">
        <f t="shared" si="41"/>
        <v>197.41075519978372</v>
      </c>
      <c r="M109" s="74">
        <f t="shared" si="41"/>
        <v>-96.74919867469859</v>
      </c>
      <c r="N109" s="74">
        <f t="shared" si="41"/>
        <v>86.196549952431752</v>
      </c>
      <c r="O109" s="74">
        <f t="shared" si="41"/>
        <v>-259.55070231330632</v>
      </c>
      <c r="P109" s="74">
        <f t="shared" si="41"/>
        <v>18.381046725798786</v>
      </c>
      <c r="Q109" s="74">
        <f t="shared" si="41"/>
        <v>-57.934414773843422</v>
      </c>
      <c r="R109" s="74">
        <f t="shared" si="41"/>
        <v>510.22422465117478</v>
      </c>
      <c r="S109" s="37">
        <f t="shared" si="41"/>
        <v>0.49347645739882912</v>
      </c>
    </row>
    <row r="110" spans="1:27" hidden="1" outlineLevel="1" x14ac:dyDescent="0.25">
      <c r="B110" s="73" t="s">
        <v>42</v>
      </c>
      <c r="C110" s="74">
        <f t="shared" si="37"/>
        <v>273.28743849651232</v>
      </c>
      <c r="D110" s="74">
        <f t="shared" si="41"/>
        <v>-30.055097731092633</v>
      </c>
      <c r="E110" s="74">
        <f t="shared" si="41"/>
        <v>0</v>
      </c>
      <c r="F110" s="74">
        <f t="shared" si="41"/>
        <v>0</v>
      </c>
      <c r="G110" s="74">
        <f t="shared" si="41"/>
        <v>-0.5411099999999901</v>
      </c>
      <c r="H110" s="74">
        <f t="shared" si="41"/>
        <v>50.343929999999872</v>
      </c>
      <c r="I110" s="74">
        <f t="shared" si="41"/>
        <v>-2.1434696690069313</v>
      </c>
      <c r="J110" s="74">
        <f t="shared" si="41"/>
        <v>15.58247999999997</v>
      </c>
      <c r="K110" s="74">
        <f t="shared" si="41"/>
        <v>-5.603661428571467</v>
      </c>
      <c r="L110" s="74">
        <f t="shared" si="41"/>
        <v>-8.8622800000000055</v>
      </c>
      <c r="M110" s="74">
        <f t="shared" si="41"/>
        <v>17.26972999999979</v>
      </c>
      <c r="N110" s="74">
        <f t="shared" si="41"/>
        <v>2.8810099999999901</v>
      </c>
      <c r="O110" s="74">
        <f t="shared" si="41"/>
        <v>0</v>
      </c>
      <c r="P110" s="74">
        <f t="shared" si="41"/>
        <v>193.56853510296187</v>
      </c>
      <c r="Q110" s="74">
        <f t="shared" si="41"/>
        <v>15.146932222222105</v>
      </c>
      <c r="R110" s="74">
        <f t="shared" si="41"/>
        <v>25.70057999999969</v>
      </c>
      <c r="S110" s="46">
        <f t="shared" si="41"/>
        <v>-1.39999999999986E-4</v>
      </c>
    </row>
    <row r="111" spans="1:27" hidden="1" outlineLevel="1" x14ac:dyDescent="0.25">
      <c r="B111" s="73" t="s">
        <v>43</v>
      </c>
      <c r="C111" s="74">
        <f t="shared" si="37"/>
        <v>458.80161999999734</v>
      </c>
      <c r="D111" s="74">
        <f t="shared" ref="D111:S111" si="42">D92*(D5)/1000</f>
        <v>83.909549999999143</v>
      </c>
      <c r="E111" s="74">
        <f t="shared" si="42"/>
        <v>1.0377799999999988</v>
      </c>
      <c r="F111" s="74">
        <f t="shared" si="42"/>
        <v>0</v>
      </c>
      <c r="G111" s="74">
        <f t="shared" si="42"/>
        <v>-25.952720000000401</v>
      </c>
      <c r="H111" s="74">
        <f t="shared" si="42"/>
        <v>-14.050110000000309</v>
      </c>
      <c r="I111" s="74">
        <f t="shared" si="42"/>
        <v>-10.269030000000196</v>
      </c>
      <c r="J111" s="74">
        <f t="shared" si="42"/>
        <v>3.8866400000001113</v>
      </c>
      <c r="K111" s="74">
        <f t="shared" si="42"/>
        <v>31.071449999999821</v>
      </c>
      <c r="L111" s="74">
        <f t="shared" si="42"/>
        <v>-15.419209999999962</v>
      </c>
      <c r="M111" s="74">
        <f t="shared" si="42"/>
        <v>-12.971320000000361</v>
      </c>
      <c r="N111" s="74">
        <f t="shared" si="42"/>
        <v>74.286840000000012</v>
      </c>
      <c r="O111" s="74">
        <f t="shared" si="42"/>
        <v>252.10585</v>
      </c>
      <c r="P111" s="74">
        <f t="shared" si="42"/>
        <v>-63.235670000000155</v>
      </c>
      <c r="Q111" s="74">
        <f t="shared" si="42"/>
        <v>-4.8612699999999593</v>
      </c>
      <c r="R111" s="74">
        <f t="shared" si="42"/>
        <v>32.171799999999621</v>
      </c>
      <c r="S111" s="46">
        <f t="shared" si="42"/>
        <v>127.09103999999995</v>
      </c>
    </row>
    <row r="112" spans="1:27" collapsed="1" x14ac:dyDescent="0.25">
      <c r="B112" s="78" t="s">
        <v>57</v>
      </c>
      <c r="C112" s="79">
        <f>SUM(C104,C108)</f>
        <v>468.13871975441339</v>
      </c>
      <c r="D112" s="79">
        <f>SUM(D104,D108)</f>
        <v>-76.86579203347992</v>
      </c>
      <c r="E112" s="79">
        <f t="shared" ref="E112:S112" si="43">SUM(E104,E108)</f>
        <v>-157.14308835443038</v>
      </c>
      <c r="F112" s="79">
        <f t="shared" si="43"/>
        <v>0</v>
      </c>
      <c r="G112" s="79">
        <f t="shared" si="43"/>
        <v>-76.904806137791525</v>
      </c>
      <c r="H112" s="79">
        <f t="shared" si="43"/>
        <v>-68.028540000005322</v>
      </c>
      <c r="I112" s="79">
        <f t="shared" si="43"/>
        <v>-272.7621751295174</v>
      </c>
      <c r="J112" s="79">
        <f t="shared" si="43"/>
        <v>230.9975834999982</v>
      </c>
      <c r="K112" s="79">
        <f t="shared" si="43"/>
        <v>-9.8629542857153396</v>
      </c>
      <c r="L112" s="79">
        <f t="shared" si="43"/>
        <v>227.96510986168641</v>
      </c>
      <c r="M112" s="79">
        <f t="shared" si="43"/>
        <v>29.852139999999494</v>
      </c>
      <c r="N112" s="79">
        <f t="shared" si="43"/>
        <v>158.01523432183927</v>
      </c>
      <c r="O112" s="79">
        <f t="shared" si="43"/>
        <v>135.06150300971063</v>
      </c>
      <c r="P112" s="79">
        <f t="shared" si="43"/>
        <v>10.619266003493095</v>
      </c>
      <c r="Q112" s="79">
        <f t="shared" si="43"/>
        <v>-192.31789592288831</v>
      </c>
      <c r="R112" s="79">
        <f>SUM(R104,R108)</f>
        <v>598.41501492151519</v>
      </c>
      <c r="S112" s="36">
        <f t="shared" si="43"/>
        <v>-68.901880000000276</v>
      </c>
    </row>
    <row r="113" spans="2:26" ht="5.0999999999999996" customHeight="1" x14ac:dyDescent="0.25"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Z113" s="93"/>
    </row>
    <row r="114" spans="2:26" ht="15.75" x14ac:dyDescent="0.25">
      <c r="B114" s="81" t="s">
        <v>58</v>
      </c>
      <c r="C114" s="65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</row>
    <row r="115" spans="2:26" x14ac:dyDescent="0.25">
      <c r="B115" s="82" t="s">
        <v>55</v>
      </c>
      <c r="C115" s="37">
        <f t="shared" ref="C115:C122" si="44">SUM(D115:S115)</f>
        <v>-371.64067466144269</v>
      </c>
      <c r="D115" s="37">
        <f t="shared" ref="D115:S115" si="45">(D74+D76)*D67/1000</f>
        <v>36.12059562043796</v>
      </c>
      <c r="E115" s="37">
        <f t="shared" si="45"/>
        <v>-151.5</v>
      </c>
      <c r="F115" s="37">
        <f t="shared" si="45"/>
        <v>0</v>
      </c>
      <c r="G115" s="37">
        <f t="shared" si="45"/>
        <v>102.3125</v>
      </c>
      <c r="H115" s="37">
        <f t="shared" si="45"/>
        <v>-208.06571274298054</v>
      </c>
      <c r="I115" s="37">
        <f t="shared" si="45"/>
        <v>-112.82287968441815</v>
      </c>
      <c r="J115" s="37">
        <f t="shared" si="45"/>
        <v>66.135029704694588</v>
      </c>
      <c r="K115" s="37">
        <f t="shared" si="45"/>
        <v>23.748170731707315</v>
      </c>
      <c r="L115" s="37">
        <f t="shared" si="45"/>
        <v>90.130472972972967</v>
      </c>
      <c r="M115" s="37">
        <f t="shared" si="45"/>
        <v>9.9322916666666661</v>
      </c>
      <c r="N115" s="37">
        <f t="shared" si="45"/>
        <v>-65.464968152866234</v>
      </c>
      <c r="O115" s="37">
        <f t="shared" si="45"/>
        <v>-4.3090196078431369</v>
      </c>
      <c r="P115" s="37">
        <f t="shared" si="45"/>
        <v>-233.34603603603603</v>
      </c>
      <c r="Q115" s="37">
        <f t="shared" si="45"/>
        <v>121.71812620369323</v>
      </c>
      <c r="R115" s="37">
        <f t="shared" si="45"/>
        <v>-67.621862787135825</v>
      </c>
      <c r="S115" s="37">
        <f t="shared" si="45"/>
        <v>21.392617449664431</v>
      </c>
    </row>
    <row r="116" spans="2:26" hidden="1" outlineLevel="1" x14ac:dyDescent="0.25">
      <c r="B116" s="83" t="s">
        <v>46</v>
      </c>
      <c r="C116" s="37">
        <f t="shared" si="44"/>
        <v>-260.89614585047087</v>
      </c>
      <c r="D116" s="37">
        <f t="shared" ref="D116:S116" si="46">(D74)*D62/1000</f>
        <v>-8.0070948012232428</v>
      </c>
      <c r="E116" s="37">
        <f t="shared" si="46"/>
        <v>-69.599999999999994</v>
      </c>
      <c r="F116" s="37">
        <f t="shared" si="46"/>
        <v>0</v>
      </c>
      <c r="G116" s="37">
        <f t="shared" si="46"/>
        <v>19.5</v>
      </c>
      <c r="H116" s="37">
        <f t="shared" si="46"/>
        <v>-114.79029850746268</v>
      </c>
      <c r="I116" s="37">
        <f t="shared" si="46"/>
        <v>-40.6</v>
      </c>
      <c r="J116" s="37">
        <f t="shared" si="46"/>
        <v>4.8</v>
      </c>
      <c r="K116" s="37">
        <f t="shared" si="46"/>
        <v>13.018181818181818</v>
      </c>
      <c r="L116" s="37">
        <f t="shared" si="46"/>
        <v>64.886227544910184</v>
      </c>
      <c r="M116" s="37">
        <f t="shared" si="46"/>
        <v>-4.3240963855421688</v>
      </c>
      <c r="N116" s="37">
        <f t="shared" si="46"/>
        <v>-34.200000000000003</v>
      </c>
      <c r="O116" s="37">
        <f t="shared" si="46"/>
        <v>93.5</v>
      </c>
      <c r="P116" s="37">
        <f t="shared" si="46"/>
        <v>-154.57227414330217</v>
      </c>
      <c r="Q116" s="37">
        <f t="shared" si="46"/>
        <v>40.385164835164829</v>
      </c>
      <c r="R116" s="37">
        <f t="shared" si="46"/>
        <v>-69.488594866659653</v>
      </c>
      <c r="S116" s="37">
        <f t="shared" si="46"/>
        <v>-1.403361344537815</v>
      </c>
    </row>
    <row r="117" spans="2:26" hidden="1" outlineLevel="1" x14ac:dyDescent="0.25">
      <c r="B117" s="83" t="s">
        <v>59</v>
      </c>
      <c r="C117" s="37">
        <f t="shared" si="44"/>
        <v>-69.364424182662702</v>
      </c>
      <c r="D117" s="37">
        <f t="shared" ref="D117:S117" si="47">(D76)*D64/1000</f>
        <v>10.8</v>
      </c>
      <c r="E117" s="37">
        <f t="shared" si="47"/>
        <v>-12.9</v>
      </c>
      <c r="F117" s="37">
        <f t="shared" si="47"/>
        <v>0</v>
      </c>
      <c r="G117" s="37">
        <f t="shared" si="47"/>
        <v>17.55</v>
      </c>
      <c r="H117" s="37">
        <f t="shared" si="47"/>
        <v>-16.2</v>
      </c>
      <c r="I117" s="37">
        <f t="shared" si="47"/>
        <v>-13.6</v>
      </c>
      <c r="J117" s="37">
        <f t="shared" si="47"/>
        <v>8.4748062960000006</v>
      </c>
      <c r="K117" s="37">
        <f t="shared" si="47"/>
        <v>3.6</v>
      </c>
      <c r="L117" s="37">
        <f t="shared" si="47"/>
        <v>5.0999999999999996</v>
      </c>
      <c r="M117" s="37">
        <f t="shared" si="47"/>
        <v>0.9</v>
      </c>
      <c r="N117" s="37">
        <f t="shared" si="47"/>
        <v>-5.95</v>
      </c>
      <c r="O117" s="37">
        <f t="shared" si="47"/>
        <v>-57</v>
      </c>
      <c r="P117" s="37">
        <f t="shared" si="47"/>
        <v>-14.45</v>
      </c>
      <c r="Q117" s="37">
        <f t="shared" si="47"/>
        <v>8.741237113402061</v>
      </c>
      <c r="R117" s="37">
        <f t="shared" si="47"/>
        <v>-5.5304675920647615</v>
      </c>
      <c r="S117" s="37">
        <f t="shared" si="47"/>
        <v>1.1000000000000001</v>
      </c>
    </row>
    <row r="118" spans="2:26" hidden="1" outlineLevel="1" x14ac:dyDescent="0.25">
      <c r="B118" s="83" t="s">
        <v>49</v>
      </c>
      <c r="C118" s="37">
        <f t="shared" si="44"/>
        <v>-258.93907736750219</v>
      </c>
      <c r="D118" s="37">
        <f t="shared" ref="D118:S118" si="48">(D74)*D65/1000</f>
        <v>-7</v>
      </c>
      <c r="E118" s="37">
        <f t="shared" si="48"/>
        <v>-87</v>
      </c>
      <c r="F118" s="37">
        <f t="shared" si="48"/>
        <v>0</v>
      </c>
      <c r="G118" s="37">
        <f t="shared" si="48"/>
        <v>25.024999999999999</v>
      </c>
      <c r="H118" s="37">
        <f t="shared" si="48"/>
        <v>-115.2</v>
      </c>
      <c r="I118" s="37">
        <f t="shared" si="48"/>
        <v>-53.2</v>
      </c>
      <c r="J118" s="37">
        <f t="shared" si="48"/>
        <v>5.1000000000000005</v>
      </c>
      <c r="K118" s="37">
        <f t="shared" si="48"/>
        <v>10</v>
      </c>
      <c r="L118" s="37">
        <f t="shared" si="48"/>
        <v>61.95</v>
      </c>
      <c r="M118" s="37">
        <f t="shared" si="48"/>
        <v>-4.0713855421686747</v>
      </c>
      <c r="N118" s="37">
        <f t="shared" si="48"/>
        <v>-27.55</v>
      </c>
      <c r="O118" s="37">
        <f t="shared" si="48"/>
        <v>93.5</v>
      </c>
      <c r="P118" s="37">
        <f t="shared" si="48"/>
        <v>-129</v>
      </c>
      <c r="Q118" s="37">
        <f t="shared" si="48"/>
        <v>37.200000000000003</v>
      </c>
      <c r="R118" s="37">
        <f t="shared" si="48"/>
        <v>-67.442691825333483</v>
      </c>
      <c r="S118" s="37">
        <f t="shared" si="48"/>
        <v>-1.25</v>
      </c>
    </row>
    <row r="119" spans="2:26" collapsed="1" x14ac:dyDescent="0.25">
      <c r="B119" s="82" t="s">
        <v>56</v>
      </c>
      <c r="C119" s="37">
        <f t="shared" si="44"/>
        <v>1642.5680833588397</v>
      </c>
      <c r="D119" s="37">
        <f t="shared" ref="D119:S119" si="49">(D8+D10)*D100/1000</f>
        <v>143.07470437956036</v>
      </c>
      <c r="E119" s="37">
        <f t="shared" si="49"/>
        <v>-26.438649999999988</v>
      </c>
      <c r="F119" s="37">
        <f t="shared" si="49"/>
        <v>0</v>
      </c>
      <c r="G119" s="37">
        <f t="shared" si="49"/>
        <v>8.659339999999192</v>
      </c>
      <c r="H119" s="37">
        <f t="shared" si="49"/>
        <v>218.53816274297932</v>
      </c>
      <c r="I119" s="37">
        <f t="shared" si="49"/>
        <v>79.070749684417279</v>
      </c>
      <c r="J119" s="37">
        <f t="shared" si="49"/>
        <v>84.414146591304103</v>
      </c>
      <c r="K119" s="37">
        <f t="shared" si="49"/>
        <v>13.246249268292082</v>
      </c>
      <c r="L119" s="37">
        <f t="shared" si="49"/>
        <v>209.85764702702573</v>
      </c>
      <c r="M119" s="37">
        <f t="shared" si="49"/>
        <v>105.01483833333224</v>
      </c>
      <c r="N119" s="37">
        <f t="shared" si="49"/>
        <v>34.996648152865639</v>
      </c>
      <c r="O119" s="37">
        <f t="shared" si="49"/>
        <v>207.93043960784152</v>
      </c>
      <c r="P119" s="37">
        <f t="shared" si="49"/>
        <v>-18.467623963965234</v>
      </c>
      <c r="Q119" s="37">
        <f t="shared" si="49"/>
        <v>502.0345914251721</v>
      </c>
      <c r="R119" s="37">
        <f t="shared" si="49"/>
        <v>67.881297559680505</v>
      </c>
      <c r="S119" s="37">
        <f t="shared" si="49"/>
        <v>12.755542550334944</v>
      </c>
    </row>
    <row r="120" spans="2:26" hidden="1" outlineLevel="1" x14ac:dyDescent="0.25">
      <c r="B120" s="73" t="s">
        <v>46</v>
      </c>
      <c r="C120" s="74">
        <f t="shared" si="44"/>
        <v>1224.8153100404074</v>
      </c>
      <c r="D120" s="84">
        <f t="shared" ref="D120:S120" si="50">D95*D8/1000</f>
        <v>122.60217480122202</v>
      </c>
      <c r="E120" s="84">
        <f t="shared" si="50"/>
        <v>7.5685600000000006</v>
      </c>
      <c r="F120" s="84">
        <f t="shared" si="50"/>
        <v>0</v>
      </c>
      <c r="G120" s="84">
        <f t="shared" si="50"/>
        <v>91.547399999999513</v>
      </c>
      <c r="H120" s="84">
        <f t="shared" si="50"/>
        <v>227.46100850746197</v>
      </c>
      <c r="I120" s="84">
        <f t="shared" si="50"/>
        <v>-38.732720000000484</v>
      </c>
      <c r="J120" s="84">
        <f t="shared" si="50"/>
        <v>83.04300999999964</v>
      </c>
      <c r="K120" s="84">
        <f t="shared" si="50"/>
        <v>-6.0341018181821457</v>
      </c>
      <c r="L120" s="84">
        <f t="shared" si="50"/>
        <v>131.74970245508879</v>
      </c>
      <c r="M120" s="84">
        <f t="shared" si="50"/>
        <v>44.173066385541496</v>
      </c>
      <c r="N120" s="84">
        <f t="shared" si="50"/>
        <v>-3.269560000000356</v>
      </c>
      <c r="O120" s="84">
        <f t="shared" si="50"/>
        <v>61.516599999999933</v>
      </c>
      <c r="P120" s="84">
        <f t="shared" si="50"/>
        <v>61.416694143301456</v>
      </c>
      <c r="Q120" s="84">
        <f t="shared" si="50"/>
        <v>389.89804516483474</v>
      </c>
      <c r="R120" s="84">
        <f t="shared" si="50"/>
        <v>62.368689056603429</v>
      </c>
      <c r="S120" s="37">
        <f t="shared" si="50"/>
        <v>-10.493258655462567</v>
      </c>
    </row>
    <row r="121" spans="2:26" hidden="1" outlineLevel="1" x14ac:dyDescent="0.25">
      <c r="B121" s="73" t="s">
        <v>59</v>
      </c>
      <c r="C121" s="74">
        <f t="shared" si="44"/>
        <v>906.14993051545957</v>
      </c>
      <c r="D121" s="84">
        <f t="shared" ref="D121:S121" si="51">D97*D10/1000</f>
        <v>173.65202999999966</v>
      </c>
      <c r="E121" s="84">
        <f t="shared" si="51"/>
        <v>-21.594979999999989</v>
      </c>
      <c r="F121" s="84">
        <f t="shared" si="51"/>
        <v>0</v>
      </c>
      <c r="G121" s="84">
        <f t="shared" si="51"/>
        <v>25.948439999999799</v>
      </c>
      <c r="H121" s="84">
        <f t="shared" si="51"/>
        <v>113.79255999999955</v>
      </c>
      <c r="I121" s="84">
        <f t="shared" si="51"/>
        <v>89.860529999999798</v>
      </c>
      <c r="J121" s="84">
        <f t="shared" si="51"/>
        <v>48.475969999999528</v>
      </c>
      <c r="K121" s="84">
        <f t="shared" si="51"/>
        <v>18.045149999999733</v>
      </c>
      <c r="L121" s="84">
        <f t="shared" si="51"/>
        <v>13.813699999999692</v>
      </c>
      <c r="M121" s="84">
        <f t="shared" si="51"/>
        <v>118.69860999999969</v>
      </c>
      <c r="N121" s="84">
        <f t="shared" si="51"/>
        <v>5.9181899999998571</v>
      </c>
      <c r="O121" s="84">
        <f t="shared" si="51"/>
        <v>65.600009999999472</v>
      </c>
      <c r="P121" s="84">
        <f t="shared" si="51"/>
        <v>-26.124930000000127</v>
      </c>
      <c r="Q121" s="84">
        <f t="shared" si="51"/>
        <v>159.07492051546359</v>
      </c>
      <c r="R121" s="84">
        <f t="shared" si="51"/>
        <v>81.75211999999938</v>
      </c>
      <c r="S121" s="37">
        <f t="shared" si="51"/>
        <v>39.23760999999989</v>
      </c>
    </row>
    <row r="122" spans="2:26" hidden="1" outlineLevel="1" x14ac:dyDescent="0.25">
      <c r="B122" s="73" t="s">
        <v>49</v>
      </c>
      <c r="C122" s="74">
        <f t="shared" si="44"/>
        <v>-270.83818445783436</v>
      </c>
      <c r="D122" s="84">
        <f t="shared" ref="D122:S122" si="52">D98*D8/1000</f>
        <v>-112.8518100000001</v>
      </c>
      <c r="E122" s="84">
        <f t="shared" si="52"/>
        <v>5.5877700000000008</v>
      </c>
      <c r="F122" s="84">
        <f t="shared" si="52"/>
        <v>0</v>
      </c>
      <c r="G122" s="84">
        <f t="shared" si="52"/>
        <v>-68.599000000000075</v>
      </c>
      <c r="H122" s="84">
        <f t="shared" si="52"/>
        <v>-84.590820000000093</v>
      </c>
      <c r="I122" s="84">
        <f t="shared" si="52"/>
        <v>22.520059999999802</v>
      </c>
      <c r="J122" s="84">
        <f t="shared" si="52"/>
        <v>0.65538999999963832</v>
      </c>
      <c r="K122" s="84">
        <f t="shared" si="52"/>
        <v>-1.6348099999999917</v>
      </c>
      <c r="L122" s="84">
        <f t="shared" si="52"/>
        <v>22.488489999999992</v>
      </c>
      <c r="M122" s="84">
        <f t="shared" si="52"/>
        <v>-40.429064457831544</v>
      </c>
      <c r="N122" s="84">
        <f t="shared" si="52"/>
        <v>34.583049999999773</v>
      </c>
      <c r="O122" s="84">
        <f t="shared" si="52"/>
        <v>-53.495190000001067</v>
      </c>
      <c r="P122" s="84">
        <f t="shared" si="52"/>
        <v>10.916849999999622</v>
      </c>
      <c r="Q122" s="84">
        <f t="shared" si="52"/>
        <v>-11.546650000000001</v>
      </c>
      <c r="R122" s="84">
        <f t="shared" si="52"/>
        <v>-1.3996200000002137</v>
      </c>
      <c r="S122" s="37">
        <f t="shared" si="52"/>
        <v>6.957169999999917</v>
      </c>
    </row>
    <row r="123" spans="2:26" collapsed="1" x14ac:dyDescent="0.25">
      <c r="B123" s="78" t="s">
        <v>57</v>
      </c>
      <c r="C123" s="79">
        <f>SUM(C115,C119)</f>
        <v>1270.9274086973969</v>
      </c>
      <c r="D123" s="85">
        <f t="shared" ref="D123:S123" si="53">SUM(D115,D119)</f>
        <v>179.19529999999833</v>
      </c>
      <c r="E123" s="85">
        <f t="shared" si="53"/>
        <v>-177.93865</v>
      </c>
      <c r="F123" s="85">
        <f t="shared" si="53"/>
        <v>0</v>
      </c>
      <c r="G123" s="85">
        <f t="shared" si="53"/>
        <v>110.97183999999919</v>
      </c>
      <c r="H123" s="85">
        <f t="shared" si="53"/>
        <v>10.472449999998787</v>
      </c>
      <c r="I123" s="85">
        <f t="shared" si="53"/>
        <v>-33.752130000000875</v>
      </c>
      <c r="J123" s="85">
        <f t="shared" si="53"/>
        <v>150.54917629599868</v>
      </c>
      <c r="K123" s="85">
        <f t="shared" si="53"/>
        <v>36.994419999999394</v>
      </c>
      <c r="L123" s="85">
        <f t="shared" si="53"/>
        <v>299.98811999999873</v>
      </c>
      <c r="M123" s="85">
        <f t="shared" si="53"/>
        <v>114.94712999999891</v>
      </c>
      <c r="N123" s="85">
        <f t="shared" si="53"/>
        <v>-30.468320000000595</v>
      </c>
      <c r="O123" s="85">
        <f t="shared" si="53"/>
        <v>203.62141999999838</v>
      </c>
      <c r="P123" s="85">
        <f t="shared" si="53"/>
        <v>-251.81366000000125</v>
      </c>
      <c r="Q123" s="85">
        <f t="shared" si="53"/>
        <v>623.7527176288653</v>
      </c>
      <c r="R123" s="85">
        <f t="shared" si="53"/>
        <v>0.2594347725446795</v>
      </c>
      <c r="S123" s="36">
        <f t="shared" si="53"/>
        <v>34.148159999999379</v>
      </c>
    </row>
  </sheetData>
  <conditionalFormatting sqref="B28">
    <cfRule type="colorScale" priority="10">
      <colorScale>
        <cfvo type="min"/>
        <cfvo type="max"/>
        <color rgb="FFFCFCFF"/>
        <color rgb="FF63BE7B"/>
      </colorScale>
    </cfRule>
  </conditionalFormatting>
  <conditionalFormatting sqref="B61">
    <cfRule type="colorScale" priority="9">
      <colorScale>
        <cfvo type="min"/>
        <cfvo type="max"/>
        <color rgb="FFFCFCFF"/>
        <color rgb="FF63BE7B"/>
      </colorScale>
    </cfRule>
  </conditionalFormatting>
  <conditionalFormatting sqref="B94">
    <cfRule type="colorScale" priority="8">
      <colorScale>
        <cfvo type="min"/>
        <cfvo type="max"/>
        <color rgb="FFFCFCFF"/>
        <color rgb="FF63BE7B"/>
      </colorScale>
    </cfRule>
  </conditionalFormatting>
  <conditionalFormatting sqref="C35:S35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8:S68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1:S101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4:S111">
    <cfRule type="cellIs" dxfId="7" priority="1" operator="greaterThanOrEqual">
      <formula>0</formula>
    </cfRule>
    <cfRule type="cellIs" dxfId="6" priority="2" operator="lessThan">
      <formula>0</formula>
    </cfRule>
  </conditionalFormatting>
  <conditionalFormatting sqref="C112:S11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15:S122">
    <cfRule type="cellIs" dxfId="5" priority="5" operator="greaterThanOrEqual">
      <formula>0</formula>
    </cfRule>
    <cfRule type="cellIs" dxfId="4" priority="6" operator="lessThan">
      <formula>0</formula>
    </cfRule>
  </conditionalFormatting>
  <conditionalFormatting sqref="C123:S12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1" right="0" top="0" bottom="0" header="0" footer="0"/>
  <pageSetup paperSize="3" scale="86" orientation="landscape" r:id="rId1"/>
  <headerFooter>
    <oddFooter>&amp;R&amp;F
&amp;D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506F4-58D5-49AC-A370-FAA2B9E96C21}">
  <sheetPr>
    <tabColor theme="7" tint="0.39997558519241921"/>
    <pageSetUpPr fitToPage="1"/>
  </sheetPr>
  <dimension ref="A1:AA136"/>
  <sheetViews>
    <sheetView workbookViewId="0">
      <selection activeCell="K144" sqref="K144"/>
    </sheetView>
  </sheetViews>
  <sheetFormatPr baseColWidth="10" defaultColWidth="11.42578125" defaultRowHeight="15" outlineLevelRow="1" x14ac:dyDescent="0.25"/>
  <cols>
    <col min="1" max="1" width="1.5703125" customWidth="1"/>
    <col min="2" max="2" width="29.5703125" customWidth="1"/>
    <col min="3" max="3" width="13.5703125" customWidth="1"/>
    <col min="4" max="5" width="12" customWidth="1"/>
    <col min="6" max="6" width="12" hidden="1" customWidth="1"/>
    <col min="7" max="19" width="12" customWidth="1"/>
    <col min="20" max="20" width="12" hidden="1" customWidth="1"/>
    <col min="21" max="21" width="13.5703125" hidden="1" customWidth="1"/>
    <col min="22" max="22" width="12" hidden="1" customWidth="1"/>
    <col min="26" max="26" width="35.42578125" bestFit="1" customWidth="1"/>
    <col min="27" max="27" width="12.42578125" bestFit="1" customWidth="1"/>
    <col min="29" max="29" width="35.42578125" bestFit="1" customWidth="1"/>
  </cols>
  <sheetData>
    <row r="1" spans="1:27" ht="9.75" customHeight="1" x14ac:dyDescent="0.25">
      <c r="D1" s="1"/>
      <c r="G1" s="1"/>
    </row>
    <row r="2" spans="1:27" ht="18.75" x14ac:dyDescent="0.3">
      <c r="B2" s="2" t="s">
        <v>65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7" x14ac:dyDescent="0.25">
      <c r="B3" s="4"/>
      <c r="C3" s="5" t="s">
        <v>0</v>
      </c>
      <c r="D3" s="5" t="s">
        <v>1</v>
      </c>
      <c r="E3" s="5" t="s">
        <v>2</v>
      </c>
      <c r="F3" s="5" t="s">
        <v>3</v>
      </c>
      <c r="G3" s="5" t="s">
        <v>4</v>
      </c>
      <c r="H3" s="5" t="s">
        <v>5</v>
      </c>
      <c r="I3" s="5" t="s">
        <v>6</v>
      </c>
      <c r="J3" s="5" t="s">
        <v>7</v>
      </c>
      <c r="K3" s="5" t="s">
        <v>8</v>
      </c>
      <c r="L3" s="5" t="s">
        <v>9</v>
      </c>
      <c r="M3" s="5" t="s">
        <v>10</v>
      </c>
      <c r="N3" s="5" t="s">
        <v>11</v>
      </c>
      <c r="O3" s="5" t="s">
        <v>12</v>
      </c>
      <c r="P3" s="5" t="s">
        <v>13</v>
      </c>
      <c r="Q3" s="5" t="s">
        <v>14</v>
      </c>
      <c r="R3" s="5" t="s">
        <v>15</v>
      </c>
      <c r="S3" s="5" t="s">
        <v>16</v>
      </c>
      <c r="T3" s="6"/>
      <c r="U3" s="6"/>
      <c r="V3" s="6"/>
      <c r="AA3" s="7"/>
    </row>
    <row r="4" spans="1:27" x14ac:dyDescent="0.25">
      <c r="B4" s="5" t="s">
        <v>17</v>
      </c>
      <c r="T4" s="5" t="s">
        <v>18</v>
      </c>
      <c r="U4" s="5" t="s">
        <v>19</v>
      </c>
      <c r="V4" s="5" t="s">
        <v>20</v>
      </c>
      <c r="AA4" s="8"/>
    </row>
    <row r="5" spans="1:27" hidden="1" outlineLevel="1" x14ac:dyDescent="0.25">
      <c r="A5" s="9" t="str">
        <f>B5</f>
        <v>NB New</v>
      </c>
      <c r="B5" s="10" t="s">
        <v>21</v>
      </c>
      <c r="C5" s="11">
        <f>+SUM(D5:V5)</f>
        <v>5556</v>
      </c>
      <c r="D5" s="12">
        <v>686</v>
      </c>
      <c r="E5" s="12">
        <v>24</v>
      </c>
      <c r="F5" s="12">
        <v>0</v>
      </c>
      <c r="G5" s="12">
        <v>242</v>
      </c>
      <c r="H5" s="12">
        <v>488</v>
      </c>
      <c r="I5" s="12">
        <v>447</v>
      </c>
      <c r="J5" s="12">
        <v>380</v>
      </c>
      <c r="K5" s="12">
        <v>170</v>
      </c>
      <c r="L5" s="12">
        <v>307</v>
      </c>
      <c r="M5" s="12">
        <v>359</v>
      </c>
      <c r="N5" s="12">
        <v>182</v>
      </c>
      <c r="O5" s="12">
        <v>1096</v>
      </c>
      <c r="P5" s="12">
        <v>378</v>
      </c>
      <c r="Q5" s="12">
        <v>362</v>
      </c>
      <c r="R5" s="12">
        <v>252</v>
      </c>
      <c r="S5" s="12">
        <v>183</v>
      </c>
      <c r="T5" s="12">
        <v>0</v>
      </c>
      <c r="U5" s="12">
        <v>0</v>
      </c>
      <c r="V5" s="12">
        <v>0</v>
      </c>
      <c r="AA5" s="8"/>
    </row>
    <row r="6" spans="1:27" hidden="1" outlineLevel="1" x14ac:dyDescent="0.25">
      <c r="A6" s="9" t="str">
        <f t="shared" ref="A6:A21" si="0">B6</f>
        <v>NB Fleet</v>
      </c>
      <c r="B6" s="13" t="s">
        <v>22</v>
      </c>
      <c r="C6" s="14">
        <f>+SUM(D6:V6)</f>
        <v>350</v>
      </c>
      <c r="D6" s="15">
        <v>43</v>
      </c>
      <c r="E6" s="15">
        <v>0</v>
      </c>
      <c r="F6" s="15">
        <v>0</v>
      </c>
      <c r="G6" s="15">
        <v>7</v>
      </c>
      <c r="H6" s="15">
        <v>30</v>
      </c>
      <c r="I6" s="15">
        <v>14</v>
      </c>
      <c r="J6" s="15">
        <v>32</v>
      </c>
      <c r="K6" s="15">
        <v>16</v>
      </c>
      <c r="L6" s="15">
        <v>23</v>
      </c>
      <c r="M6" s="15">
        <v>25</v>
      </c>
      <c r="N6" s="15">
        <v>1</v>
      </c>
      <c r="O6" s="15">
        <v>0</v>
      </c>
      <c r="P6" s="15">
        <v>103</v>
      </c>
      <c r="Q6" s="15">
        <v>14</v>
      </c>
      <c r="R6" s="15">
        <v>41</v>
      </c>
      <c r="S6" s="15">
        <v>1</v>
      </c>
      <c r="T6" s="15">
        <v>0</v>
      </c>
      <c r="U6" s="15">
        <v>0</v>
      </c>
      <c r="V6" s="15">
        <v>0</v>
      </c>
      <c r="AA6" s="8"/>
    </row>
    <row r="7" spans="1:27" collapsed="1" x14ac:dyDescent="0.25">
      <c r="A7" s="9"/>
      <c r="B7" s="16" t="s">
        <v>23</v>
      </c>
      <c r="C7" s="17">
        <f>SUM(C5:C6)</f>
        <v>5906</v>
      </c>
      <c r="D7" s="18">
        <f t="shared" ref="D7:V7" si="1">SUM(D5:D6)</f>
        <v>729</v>
      </c>
      <c r="E7" s="18">
        <f t="shared" si="1"/>
        <v>24</v>
      </c>
      <c r="F7" s="18">
        <f t="shared" si="1"/>
        <v>0</v>
      </c>
      <c r="G7" s="18">
        <f t="shared" si="1"/>
        <v>249</v>
      </c>
      <c r="H7" s="18">
        <f t="shared" si="1"/>
        <v>518</v>
      </c>
      <c r="I7" s="18">
        <f t="shared" si="1"/>
        <v>461</v>
      </c>
      <c r="J7" s="18">
        <f t="shared" si="1"/>
        <v>412</v>
      </c>
      <c r="K7" s="18">
        <f t="shared" si="1"/>
        <v>186</v>
      </c>
      <c r="L7" s="18">
        <f t="shared" si="1"/>
        <v>330</v>
      </c>
      <c r="M7" s="18">
        <f t="shared" si="1"/>
        <v>384</v>
      </c>
      <c r="N7" s="18">
        <f t="shared" si="1"/>
        <v>183</v>
      </c>
      <c r="O7" s="18">
        <f t="shared" si="1"/>
        <v>1096</v>
      </c>
      <c r="P7" s="18">
        <f t="shared" si="1"/>
        <v>481</v>
      </c>
      <c r="Q7" s="18">
        <f t="shared" si="1"/>
        <v>376</v>
      </c>
      <c r="R7" s="18">
        <f t="shared" si="1"/>
        <v>293</v>
      </c>
      <c r="S7" s="18">
        <f t="shared" si="1"/>
        <v>184</v>
      </c>
      <c r="T7" s="19">
        <f t="shared" si="1"/>
        <v>0</v>
      </c>
      <c r="U7" s="19">
        <f t="shared" si="1"/>
        <v>0</v>
      </c>
      <c r="V7" s="19">
        <f t="shared" si="1"/>
        <v>0</v>
      </c>
      <c r="AA7" s="8"/>
    </row>
    <row r="8" spans="1:27" ht="14.25" hidden="1" customHeight="1" outlineLevel="1" x14ac:dyDescent="0.25">
      <c r="A8" s="9" t="str">
        <f t="shared" si="0"/>
        <v>NB Used</v>
      </c>
      <c r="B8" s="10" t="s">
        <v>24</v>
      </c>
      <c r="C8" s="11">
        <f>+SUM(D8:V8)</f>
        <v>2930</v>
      </c>
      <c r="D8" s="12">
        <v>322</v>
      </c>
      <c r="E8" s="12">
        <v>6</v>
      </c>
      <c r="F8" s="12">
        <v>0</v>
      </c>
      <c r="G8" s="12">
        <v>167</v>
      </c>
      <c r="H8" s="12">
        <v>196</v>
      </c>
      <c r="I8" s="12">
        <v>216</v>
      </c>
      <c r="J8" s="12">
        <v>206</v>
      </c>
      <c r="K8" s="12">
        <v>74</v>
      </c>
      <c r="L8" s="12">
        <v>209</v>
      </c>
      <c r="M8" s="12">
        <v>246</v>
      </c>
      <c r="N8" s="12">
        <v>140</v>
      </c>
      <c r="O8" s="12">
        <v>423</v>
      </c>
      <c r="P8" s="12">
        <v>235</v>
      </c>
      <c r="Q8" s="12">
        <v>213</v>
      </c>
      <c r="R8" s="12">
        <v>40</v>
      </c>
      <c r="S8" s="12">
        <v>237</v>
      </c>
      <c r="T8" s="20">
        <v>0</v>
      </c>
      <c r="U8" s="20">
        <v>0</v>
      </c>
      <c r="V8" s="20">
        <v>0</v>
      </c>
      <c r="AA8" s="8"/>
    </row>
    <row r="9" spans="1:27" hidden="1" outlineLevel="1" x14ac:dyDescent="0.25">
      <c r="A9" s="9" t="str">
        <f t="shared" si="0"/>
        <v>NB US</v>
      </c>
      <c r="B9" s="13" t="s">
        <v>25</v>
      </c>
      <c r="C9" s="14">
        <f>+SUM(D9:V9)</f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21">
        <v>0</v>
      </c>
      <c r="U9" s="21">
        <v>0</v>
      </c>
      <c r="V9" s="21">
        <v>0</v>
      </c>
      <c r="AA9" s="8"/>
    </row>
    <row r="10" spans="1:27" hidden="1" outlineLevel="1" x14ac:dyDescent="0.25">
      <c r="A10" s="9" t="str">
        <f t="shared" si="0"/>
        <v>NB Wholesale</v>
      </c>
      <c r="B10" s="13" t="s">
        <v>26</v>
      </c>
      <c r="C10" s="22">
        <f>+SUM(D10:V10)</f>
        <v>2850</v>
      </c>
      <c r="D10" s="23">
        <v>385</v>
      </c>
      <c r="E10" s="23">
        <v>21</v>
      </c>
      <c r="F10" s="23">
        <v>0</v>
      </c>
      <c r="G10" s="23">
        <v>97</v>
      </c>
      <c r="H10" s="23">
        <v>168</v>
      </c>
      <c r="I10" s="23">
        <v>229</v>
      </c>
      <c r="J10" s="23">
        <v>234</v>
      </c>
      <c r="K10" s="23">
        <v>107</v>
      </c>
      <c r="L10" s="23">
        <v>220</v>
      </c>
      <c r="M10" s="23">
        <v>192</v>
      </c>
      <c r="N10" s="23">
        <v>138</v>
      </c>
      <c r="O10" s="23">
        <v>340</v>
      </c>
      <c r="P10" s="23">
        <v>217</v>
      </c>
      <c r="Q10" s="23">
        <v>243</v>
      </c>
      <c r="R10" s="23">
        <v>188</v>
      </c>
      <c r="S10" s="23">
        <v>71</v>
      </c>
      <c r="T10" s="24">
        <v>0</v>
      </c>
      <c r="U10" s="24">
        <v>0</v>
      </c>
      <c r="V10" s="24">
        <v>0</v>
      </c>
      <c r="AA10" s="8"/>
    </row>
    <row r="11" spans="1:27" collapsed="1" x14ac:dyDescent="0.25">
      <c r="A11" s="9"/>
      <c r="B11" s="16" t="s">
        <v>27</v>
      </c>
      <c r="C11" s="17">
        <f>SUM(C8:C10)</f>
        <v>5780</v>
      </c>
      <c r="D11" s="18">
        <f t="shared" ref="D11:V11" si="2">SUM(D8:D10)</f>
        <v>707</v>
      </c>
      <c r="E11" s="18">
        <f t="shared" si="2"/>
        <v>27</v>
      </c>
      <c r="F11" s="18">
        <f t="shared" si="2"/>
        <v>0</v>
      </c>
      <c r="G11" s="18">
        <f t="shared" si="2"/>
        <v>264</v>
      </c>
      <c r="H11" s="18">
        <f t="shared" si="2"/>
        <v>364</v>
      </c>
      <c r="I11" s="18">
        <f t="shared" si="2"/>
        <v>445</v>
      </c>
      <c r="J11" s="18">
        <f t="shared" si="2"/>
        <v>440</v>
      </c>
      <c r="K11" s="18">
        <f t="shared" si="2"/>
        <v>181</v>
      </c>
      <c r="L11" s="18">
        <f t="shared" si="2"/>
        <v>429</v>
      </c>
      <c r="M11" s="18">
        <f t="shared" si="2"/>
        <v>438</v>
      </c>
      <c r="N11" s="18">
        <f t="shared" si="2"/>
        <v>278</v>
      </c>
      <c r="O11" s="18">
        <f t="shared" si="2"/>
        <v>763</v>
      </c>
      <c r="P11" s="18">
        <f t="shared" si="2"/>
        <v>452</v>
      </c>
      <c r="Q11" s="18">
        <f t="shared" si="2"/>
        <v>456</v>
      </c>
      <c r="R11" s="18">
        <f t="shared" si="2"/>
        <v>228</v>
      </c>
      <c r="S11" s="18">
        <f t="shared" si="2"/>
        <v>308</v>
      </c>
      <c r="T11" s="19">
        <f t="shared" si="2"/>
        <v>0</v>
      </c>
      <c r="U11" s="19">
        <f t="shared" si="2"/>
        <v>0</v>
      </c>
      <c r="V11" s="19">
        <f t="shared" si="2"/>
        <v>0</v>
      </c>
      <c r="AA11" s="8"/>
    </row>
    <row r="12" spans="1:27" ht="15.75" thickBot="1" x14ac:dyDescent="0.3">
      <c r="A12" s="9"/>
      <c r="B12" s="25" t="s">
        <v>28</v>
      </c>
      <c r="C12" s="11">
        <f>+C7+C11</f>
        <v>11686</v>
      </c>
      <c r="D12" s="11">
        <f t="shared" ref="D12:S12" si="3">+D7+D11</f>
        <v>1436</v>
      </c>
      <c r="E12" s="11">
        <f t="shared" si="3"/>
        <v>51</v>
      </c>
      <c r="F12" s="11">
        <f t="shared" si="3"/>
        <v>0</v>
      </c>
      <c r="G12" s="11">
        <f t="shared" si="3"/>
        <v>513</v>
      </c>
      <c r="H12" s="11">
        <f t="shared" si="3"/>
        <v>882</v>
      </c>
      <c r="I12" s="11">
        <f t="shared" si="3"/>
        <v>906</v>
      </c>
      <c r="J12" s="11">
        <f t="shared" si="3"/>
        <v>852</v>
      </c>
      <c r="K12" s="11">
        <f t="shared" si="3"/>
        <v>367</v>
      </c>
      <c r="L12" s="11">
        <f t="shared" si="3"/>
        <v>759</v>
      </c>
      <c r="M12" s="11">
        <f t="shared" si="3"/>
        <v>822</v>
      </c>
      <c r="N12" s="11">
        <f t="shared" si="3"/>
        <v>461</v>
      </c>
      <c r="O12" s="11">
        <f t="shared" si="3"/>
        <v>1859</v>
      </c>
      <c r="P12" s="11">
        <f t="shared" si="3"/>
        <v>933</v>
      </c>
      <c r="Q12" s="11">
        <f t="shared" si="3"/>
        <v>832</v>
      </c>
      <c r="R12" s="11">
        <f t="shared" si="3"/>
        <v>521</v>
      </c>
      <c r="S12" s="11">
        <f t="shared" si="3"/>
        <v>492</v>
      </c>
      <c r="T12" s="26"/>
      <c r="U12" s="26"/>
      <c r="V12" s="26"/>
      <c r="AA12" s="8"/>
    </row>
    <row r="13" spans="1:27" ht="15.75" hidden="1" outlineLevel="1" thickBot="1" x14ac:dyDescent="0.3">
      <c r="A13" s="9" t="str">
        <f t="shared" si="0"/>
        <v>Profit Front new</v>
      </c>
      <c r="B13" s="27" t="s">
        <v>30</v>
      </c>
      <c r="C13" s="28">
        <f>+SUM(D13:V13)</f>
        <v>15421472.099999983</v>
      </c>
      <c r="D13" s="29">
        <v>1766817.9599999962</v>
      </c>
      <c r="E13" s="29">
        <v>-34417.479999999763</v>
      </c>
      <c r="F13" s="29">
        <v>0</v>
      </c>
      <c r="G13" s="29">
        <v>205909.70999999935</v>
      </c>
      <c r="H13" s="29">
        <v>1253929.3799999952</v>
      </c>
      <c r="I13" s="29">
        <v>980415.36999999883</v>
      </c>
      <c r="J13" s="29">
        <v>1244714.6899999981</v>
      </c>
      <c r="K13" s="29">
        <v>373425.21999999922</v>
      </c>
      <c r="L13" s="29">
        <v>940778.52999999898</v>
      </c>
      <c r="M13" s="29">
        <v>1029342.9700000001</v>
      </c>
      <c r="N13" s="29">
        <v>754025.46999999881</v>
      </c>
      <c r="O13" s="29">
        <v>3320153.9900000021</v>
      </c>
      <c r="P13" s="29">
        <v>964322.88999999932</v>
      </c>
      <c r="Q13" s="29">
        <v>1240127.5299999972</v>
      </c>
      <c r="R13" s="29">
        <v>843839.11999999965</v>
      </c>
      <c r="S13" s="29">
        <v>538086.74999999977</v>
      </c>
      <c r="T13" s="29">
        <v>0</v>
      </c>
      <c r="U13" s="29">
        <v>0</v>
      </c>
      <c r="V13" s="29">
        <v>0</v>
      </c>
      <c r="AA13" s="8"/>
    </row>
    <row r="14" spans="1:27" ht="15.75" hidden="1" outlineLevel="1" thickBot="1" x14ac:dyDescent="0.3">
      <c r="A14" s="9"/>
      <c r="B14" s="30" t="s">
        <v>31</v>
      </c>
      <c r="C14" s="31">
        <f>+SUM(D14:V14)</f>
        <v>526973.24999999942</v>
      </c>
      <c r="D14" s="32">
        <v>168192.08</v>
      </c>
      <c r="E14" s="32">
        <v>1234.08</v>
      </c>
      <c r="F14" s="32">
        <v>0</v>
      </c>
      <c r="G14" s="32">
        <v>37493.01</v>
      </c>
      <c r="H14" s="32">
        <v>40732.26</v>
      </c>
      <c r="I14" s="32">
        <v>70581.139999999912</v>
      </c>
      <c r="J14" s="32">
        <v>76004.189999999857</v>
      </c>
      <c r="K14" s="32">
        <v>32457.68</v>
      </c>
      <c r="L14" s="32">
        <v>42071.369999999952</v>
      </c>
      <c r="M14" s="32">
        <v>18960.75999999986</v>
      </c>
      <c r="N14" s="32">
        <v>22015.969999999987</v>
      </c>
      <c r="O14" s="32">
        <v>-730.57000000000698</v>
      </c>
      <c r="P14" s="32">
        <v>-2668.89</v>
      </c>
      <c r="Q14" s="32">
        <v>18042.75000000004</v>
      </c>
      <c r="R14" s="32">
        <v>3566.9500000000089</v>
      </c>
      <c r="S14" s="32">
        <v>-979.52999999999793</v>
      </c>
      <c r="T14" s="32">
        <v>0</v>
      </c>
      <c r="U14" s="32">
        <v>0</v>
      </c>
      <c r="V14" s="32">
        <v>0</v>
      </c>
      <c r="AA14" s="8"/>
    </row>
    <row r="15" spans="1:27" ht="15.75" hidden="1" outlineLevel="1" thickBot="1" x14ac:dyDescent="0.3">
      <c r="A15" s="9" t="str">
        <f t="shared" si="0"/>
        <v>Profit Fleet</v>
      </c>
      <c r="B15" s="30" t="s">
        <v>32</v>
      </c>
      <c r="C15" s="31">
        <f>+SUM(D15:V15)</f>
        <v>1009503.7599999984</v>
      </c>
      <c r="D15" s="32">
        <v>68664.229999999821</v>
      </c>
      <c r="E15" s="32">
        <v>0</v>
      </c>
      <c r="F15" s="32">
        <v>0</v>
      </c>
      <c r="G15" s="32">
        <v>2958.8900000000099</v>
      </c>
      <c r="H15" s="32">
        <v>50343.929999999869</v>
      </c>
      <c r="I15" s="32">
        <v>31370.460000000021</v>
      </c>
      <c r="J15" s="32">
        <v>23582.47999999997</v>
      </c>
      <c r="K15" s="32">
        <v>-5603.0900000000383</v>
      </c>
      <c r="L15" s="32">
        <v>-8862.2800000000061</v>
      </c>
      <c r="M15" s="32">
        <v>68519.729999999792</v>
      </c>
      <c r="N15" s="32">
        <v>2881.0099999999902</v>
      </c>
      <c r="O15" s="32">
        <v>0</v>
      </c>
      <c r="P15" s="32">
        <v>590293.24999999942</v>
      </c>
      <c r="Q15" s="32">
        <v>57154.709999999875</v>
      </c>
      <c r="R15" s="32">
        <v>128200.5799999997</v>
      </c>
      <c r="S15" s="32">
        <v>-0.139999999999986</v>
      </c>
      <c r="T15" s="32">
        <v>0</v>
      </c>
      <c r="U15" s="32">
        <v>0</v>
      </c>
      <c r="V15" s="32">
        <v>0</v>
      </c>
      <c r="AA15" s="8"/>
    </row>
    <row r="16" spans="1:27" ht="15.75" hidden="1" outlineLevel="1" thickBot="1" x14ac:dyDescent="0.3">
      <c r="A16" s="9" t="str">
        <f t="shared" si="0"/>
        <v>Profit F&amp;I new</v>
      </c>
      <c r="B16" s="33" t="s">
        <v>33</v>
      </c>
      <c r="C16" s="34">
        <f>+SUM(D16:V16)</f>
        <v>7371611.6199999973</v>
      </c>
      <c r="D16" s="35">
        <v>838509.54999999912</v>
      </c>
      <c r="E16" s="35">
        <v>22637.78</v>
      </c>
      <c r="F16" s="35">
        <v>0</v>
      </c>
      <c r="G16" s="35">
        <v>270497.27999999962</v>
      </c>
      <c r="H16" s="35">
        <v>473949.88999999966</v>
      </c>
      <c r="I16" s="35">
        <v>436730.9699999998</v>
      </c>
      <c r="J16" s="35">
        <v>500166.64000000007</v>
      </c>
      <c r="K16" s="35">
        <v>235071.44999999981</v>
      </c>
      <c r="L16" s="35">
        <v>383680.79000000004</v>
      </c>
      <c r="M16" s="35">
        <v>346028.67999999964</v>
      </c>
      <c r="N16" s="35">
        <v>375496.84</v>
      </c>
      <c r="O16" s="35">
        <v>1578265.85</v>
      </c>
      <c r="P16" s="35">
        <v>617164.32999999984</v>
      </c>
      <c r="Q16" s="35">
        <v>429538.73000000004</v>
      </c>
      <c r="R16" s="35">
        <v>379931.79999999964</v>
      </c>
      <c r="S16" s="35">
        <v>483941.03999999992</v>
      </c>
      <c r="T16" s="35">
        <v>0</v>
      </c>
      <c r="U16" s="35">
        <v>0</v>
      </c>
      <c r="V16" s="35">
        <v>0</v>
      </c>
      <c r="AA16" s="8"/>
    </row>
    <row r="17" spans="1:27" ht="15.75" hidden="1" outlineLevel="1" thickBot="1" x14ac:dyDescent="0.3">
      <c r="A17" s="9"/>
      <c r="B17" s="16" t="s">
        <v>34</v>
      </c>
      <c r="C17" s="36">
        <f>+SUM(C13:C16)</f>
        <v>24329560.729999978</v>
      </c>
      <c r="D17" s="37">
        <f t="shared" ref="D17:V17" si="4">+SUM(D13:D16)</f>
        <v>2842183.8199999952</v>
      </c>
      <c r="E17" s="37">
        <f t="shared" si="4"/>
        <v>-10545.619999999763</v>
      </c>
      <c r="F17" s="37">
        <f t="shared" si="4"/>
        <v>0</v>
      </c>
      <c r="G17" s="37">
        <f t="shared" si="4"/>
        <v>516858.88999999897</v>
      </c>
      <c r="H17" s="37">
        <f t="shared" si="4"/>
        <v>1818955.4599999948</v>
      </c>
      <c r="I17" s="37">
        <f t="shared" si="4"/>
        <v>1519097.9399999985</v>
      </c>
      <c r="J17" s="37">
        <f t="shared" si="4"/>
        <v>1844467.9999999981</v>
      </c>
      <c r="K17" s="37">
        <f t="shared" si="4"/>
        <v>635351.25999999896</v>
      </c>
      <c r="L17" s="37">
        <f t="shared" si="4"/>
        <v>1357668.409999999</v>
      </c>
      <c r="M17" s="37">
        <f t="shared" si="4"/>
        <v>1462852.1399999994</v>
      </c>
      <c r="N17" s="37">
        <f t="shared" si="4"/>
        <v>1154419.2899999989</v>
      </c>
      <c r="O17" s="37">
        <f t="shared" si="4"/>
        <v>4897689.2700000023</v>
      </c>
      <c r="P17" s="37">
        <f t="shared" si="4"/>
        <v>2169111.5799999982</v>
      </c>
      <c r="Q17" s="37">
        <f t="shared" si="4"/>
        <v>1744863.7199999972</v>
      </c>
      <c r="R17" s="37">
        <f t="shared" si="4"/>
        <v>1355538.449999999</v>
      </c>
      <c r="S17" s="37">
        <f t="shared" si="4"/>
        <v>1021048.1199999996</v>
      </c>
      <c r="T17" s="36">
        <f t="shared" si="4"/>
        <v>0</v>
      </c>
      <c r="U17" s="36">
        <f t="shared" si="4"/>
        <v>0</v>
      </c>
      <c r="V17" s="36">
        <f t="shared" si="4"/>
        <v>0</v>
      </c>
      <c r="AA17" s="8"/>
    </row>
    <row r="18" spans="1:27" ht="15.75" hidden="1" outlineLevel="1" thickBot="1" x14ac:dyDescent="0.3">
      <c r="A18" s="9" t="str">
        <f t="shared" si="0"/>
        <v>Profit Front used</v>
      </c>
      <c r="B18" s="30" t="s">
        <v>35</v>
      </c>
      <c r="C18" s="31">
        <f>+SUM(D18:V18)</f>
        <v>5829080.9099999927</v>
      </c>
      <c r="D18" s="32">
        <v>638259.07999999879</v>
      </c>
      <c r="E18" s="32">
        <v>14768.560000000001</v>
      </c>
      <c r="F18" s="32">
        <v>0</v>
      </c>
      <c r="G18" s="32">
        <v>342047.3999999995</v>
      </c>
      <c r="H18" s="32">
        <v>539945.70999999926</v>
      </c>
      <c r="I18" s="32">
        <v>274467.2799999995</v>
      </c>
      <c r="J18" s="32">
        <v>412643.00999999966</v>
      </c>
      <c r="K18" s="32">
        <v>114384.07999999967</v>
      </c>
      <c r="L18" s="32">
        <v>454635.929999999</v>
      </c>
      <c r="M18" s="32">
        <v>398748.96999999933</v>
      </c>
      <c r="N18" s="32">
        <v>248730.43999999965</v>
      </c>
      <c r="O18" s="32">
        <v>780616.6</v>
      </c>
      <c r="P18" s="32">
        <v>483794.41999999923</v>
      </c>
      <c r="Q18" s="32">
        <v>667383.20999999961</v>
      </c>
      <c r="R18" s="32">
        <v>136552.83999999965</v>
      </c>
      <c r="S18" s="32">
        <v>322103.3799999996</v>
      </c>
      <c r="T18" s="32">
        <v>0</v>
      </c>
      <c r="U18" s="32">
        <v>0</v>
      </c>
      <c r="V18" s="32">
        <v>0</v>
      </c>
      <c r="AA18" s="8"/>
    </row>
    <row r="19" spans="1:27" ht="15.75" hidden="1" outlineLevel="1" thickBot="1" x14ac:dyDescent="0.3">
      <c r="A19" s="9" t="str">
        <f t="shared" si="0"/>
        <v>Profit US</v>
      </c>
      <c r="B19" s="30" t="s">
        <v>36</v>
      </c>
      <c r="C19" s="31">
        <f>+SUM(D19:V19)</f>
        <v>0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AA19" s="8"/>
    </row>
    <row r="20" spans="1:27" ht="15.75" hidden="1" outlineLevel="1" thickBot="1" x14ac:dyDescent="0.3">
      <c r="A20" s="9" t="str">
        <f t="shared" si="0"/>
        <v>Profit Wholesale</v>
      </c>
      <c r="B20" s="30" t="s">
        <v>37</v>
      </c>
      <c r="C20" s="31">
        <f>+SUM(D20:V20)</f>
        <v>2226246.9399999958</v>
      </c>
      <c r="D20" s="32">
        <v>327652.02999999968</v>
      </c>
      <c r="E20" s="32">
        <v>-15294.97999999999</v>
      </c>
      <c r="F20" s="32">
        <v>0</v>
      </c>
      <c r="G20" s="32">
        <v>88998.439999999799</v>
      </c>
      <c r="H20" s="32">
        <v>214592.55999999956</v>
      </c>
      <c r="I20" s="32">
        <v>181460.5299999998</v>
      </c>
      <c r="J20" s="32">
        <v>106751.32999999954</v>
      </c>
      <c r="K20" s="32">
        <v>60845.149999999732</v>
      </c>
      <c r="L20" s="32">
        <v>79813.699999999691</v>
      </c>
      <c r="M20" s="32">
        <v>137898.60999999969</v>
      </c>
      <c r="N20" s="32">
        <v>54218.189999999857</v>
      </c>
      <c r="O20" s="32">
        <v>405600.00999999949</v>
      </c>
      <c r="P20" s="32">
        <v>158325.06999999986</v>
      </c>
      <c r="Q20" s="32">
        <v>193896.56999999969</v>
      </c>
      <c r="R20" s="32">
        <v>185152.11999999938</v>
      </c>
      <c r="S20" s="32">
        <v>46337.609999999891</v>
      </c>
      <c r="T20" s="32">
        <v>0</v>
      </c>
      <c r="U20" s="32">
        <v>0</v>
      </c>
      <c r="V20" s="32">
        <v>0</v>
      </c>
      <c r="AA20" s="8"/>
    </row>
    <row r="21" spans="1:27" ht="15.75" hidden="1" outlineLevel="1" thickBot="1" x14ac:dyDescent="0.3">
      <c r="A21" s="9" t="str">
        <f t="shared" si="0"/>
        <v>Profit F&amp;I used</v>
      </c>
      <c r="B21" s="30" t="s">
        <v>38</v>
      </c>
      <c r="C21" s="31">
        <f>+SUM(D21:V21)</f>
        <v>4217715.4299999978</v>
      </c>
      <c r="D21" s="32">
        <v>337948.18999999989</v>
      </c>
      <c r="E21" s="32">
        <v>14587.77</v>
      </c>
      <c r="F21" s="32">
        <v>0</v>
      </c>
      <c r="G21" s="32">
        <v>252875.99999999991</v>
      </c>
      <c r="H21" s="32">
        <v>229009.17999999988</v>
      </c>
      <c r="I21" s="32">
        <v>432920.05999999982</v>
      </c>
      <c r="J21" s="32">
        <v>350855.38999999966</v>
      </c>
      <c r="K21" s="32">
        <v>90865.19</v>
      </c>
      <c r="L21" s="32">
        <v>330763.49</v>
      </c>
      <c r="M21" s="32">
        <v>293424.54999999981</v>
      </c>
      <c r="N21" s="32">
        <v>237583.04999999978</v>
      </c>
      <c r="O21" s="32">
        <v>665604.80999999889</v>
      </c>
      <c r="P21" s="32">
        <v>363416.84999999963</v>
      </c>
      <c r="Q21" s="32">
        <v>244053.35</v>
      </c>
      <c r="R21" s="32">
        <v>70600.379999999786</v>
      </c>
      <c r="S21" s="32">
        <v>303207.16999999993</v>
      </c>
      <c r="T21" s="32">
        <v>0</v>
      </c>
      <c r="U21" s="32">
        <v>0</v>
      </c>
      <c r="V21" s="32">
        <v>0</v>
      </c>
      <c r="AA21" s="8"/>
    </row>
    <row r="22" spans="1:27" ht="15.75" hidden="1" outlineLevel="1" thickBot="1" x14ac:dyDescent="0.3">
      <c r="A22" s="9"/>
      <c r="B22" s="16" t="s">
        <v>39</v>
      </c>
      <c r="C22" s="36">
        <f>+SUM(C18:C21)</f>
        <v>12273043.279999986</v>
      </c>
      <c r="D22" s="37">
        <f>+SUM(D18:D21)</f>
        <v>1303859.2999999984</v>
      </c>
      <c r="E22" s="37">
        <f t="shared" ref="E22:V22" si="5">+SUM(E18:E21)</f>
        <v>14061.350000000011</v>
      </c>
      <c r="F22" s="37">
        <f t="shared" si="5"/>
        <v>0</v>
      </c>
      <c r="G22" s="37">
        <f t="shared" si="5"/>
        <v>683921.83999999915</v>
      </c>
      <c r="H22" s="37">
        <f t="shared" si="5"/>
        <v>983547.44999999879</v>
      </c>
      <c r="I22" s="37">
        <f t="shared" si="5"/>
        <v>888847.86999999918</v>
      </c>
      <c r="J22" s="37">
        <f t="shared" si="5"/>
        <v>870249.72999999882</v>
      </c>
      <c r="K22" s="37">
        <f t="shared" si="5"/>
        <v>266094.4199999994</v>
      </c>
      <c r="L22" s="37">
        <f t="shared" si="5"/>
        <v>865213.11999999871</v>
      </c>
      <c r="M22" s="37">
        <f t="shared" si="5"/>
        <v>830072.12999999884</v>
      </c>
      <c r="N22" s="37">
        <f t="shared" si="5"/>
        <v>540531.67999999935</v>
      </c>
      <c r="O22" s="37">
        <f t="shared" si="5"/>
        <v>1851821.4199999983</v>
      </c>
      <c r="P22" s="37">
        <f t="shared" si="5"/>
        <v>1005536.3399999987</v>
      </c>
      <c r="Q22" s="37">
        <f t="shared" si="5"/>
        <v>1105333.1299999994</v>
      </c>
      <c r="R22" s="37">
        <f t="shared" si="5"/>
        <v>392305.3399999988</v>
      </c>
      <c r="S22" s="37">
        <f t="shared" si="5"/>
        <v>671648.15999999945</v>
      </c>
      <c r="T22" s="36">
        <f t="shared" si="5"/>
        <v>0</v>
      </c>
      <c r="U22" s="36">
        <f t="shared" si="5"/>
        <v>0</v>
      </c>
      <c r="V22" s="36">
        <f t="shared" si="5"/>
        <v>0</v>
      </c>
      <c r="AA22" s="8"/>
    </row>
    <row r="23" spans="1:27" ht="15.75" hidden="1" outlineLevel="1" thickBot="1" x14ac:dyDescent="0.3">
      <c r="A23" s="9"/>
      <c r="B23" s="27" t="s">
        <v>40</v>
      </c>
      <c r="C23" s="28">
        <f>+C22+C17</f>
        <v>36602604.009999961</v>
      </c>
      <c r="D23" s="38">
        <f t="shared" ref="D23:S23" si="6">+D22+D17</f>
        <v>4146043.1199999936</v>
      </c>
      <c r="E23" s="38">
        <f t="shared" si="6"/>
        <v>3515.7300000002488</v>
      </c>
      <c r="F23" s="38">
        <f t="shared" si="6"/>
        <v>0</v>
      </c>
      <c r="G23" s="38">
        <f t="shared" si="6"/>
        <v>1200780.7299999981</v>
      </c>
      <c r="H23" s="38">
        <f t="shared" si="6"/>
        <v>2802502.9099999936</v>
      </c>
      <c r="I23" s="38">
        <f t="shared" si="6"/>
        <v>2407945.8099999977</v>
      </c>
      <c r="J23" s="38">
        <f t="shared" si="6"/>
        <v>2714717.7299999967</v>
      </c>
      <c r="K23" s="38">
        <f t="shared" si="6"/>
        <v>901445.6799999983</v>
      </c>
      <c r="L23" s="38">
        <f t="shared" si="6"/>
        <v>2222881.5299999975</v>
      </c>
      <c r="M23" s="38">
        <f t="shared" si="6"/>
        <v>2292924.2699999982</v>
      </c>
      <c r="N23" s="38">
        <f t="shared" si="6"/>
        <v>1694950.9699999983</v>
      </c>
      <c r="O23" s="38">
        <f t="shared" si="6"/>
        <v>6749510.6900000004</v>
      </c>
      <c r="P23" s="38">
        <f t="shared" si="6"/>
        <v>3174647.9199999971</v>
      </c>
      <c r="Q23" s="38">
        <f t="shared" si="6"/>
        <v>2850196.8499999968</v>
      </c>
      <c r="R23" s="38">
        <f t="shared" si="6"/>
        <v>1747843.7899999977</v>
      </c>
      <c r="S23" s="38">
        <f t="shared" si="6"/>
        <v>1692696.2799999991</v>
      </c>
      <c r="T23" s="28"/>
      <c r="U23" s="28"/>
      <c r="V23" s="28"/>
      <c r="AA23" s="8"/>
    </row>
    <row r="24" spans="1:27" ht="15.75" hidden="1" outlineLevel="1" collapsed="1" thickBot="1" x14ac:dyDescent="0.3">
      <c r="A24" s="9"/>
      <c r="B24" s="39" t="s">
        <v>41</v>
      </c>
      <c r="C24" s="40">
        <f>IFERROR(C13/C5,0)</f>
        <v>2775.6429265658717</v>
      </c>
      <c r="D24" s="41">
        <f t="shared" ref="D24:S24" si="7">IFERROR(D13/D5,0)</f>
        <v>2575.5363848396446</v>
      </c>
      <c r="E24" s="41">
        <f t="shared" si="7"/>
        <v>-1434.0616666666567</v>
      </c>
      <c r="F24" s="41">
        <f t="shared" si="7"/>
        <v>0</v>
      </c>
      <c r="G24" s="41">
        <f t="shared" si="7"/>
        <v>850.86657024793124</v>
      </c>
      <c r="H24" s="41">
        <f t="shared" si="7"/>
        <v>2569.5274180327769</v>
      </c>
      <c r="I24" s="41">
        <f t="shared" si="7"/>
        <v>2193.3229753914961</v>
      </c>
      <c r="J24" s="41">
        <f t="shared" si="7"/>
        <v>3275.5649736842056</v>
      </c>
      <c r="K24" s="41">
        <f t="shared" si="7"/>
        <v>2196.6189411764658</v>
      </c>
      <c r="L24" s="41">
        <f t="shared" si="7"/>
        <v>3064.425179153091</v>
      </c>
      <c r="M24" s="41">
        <f t="shared" si="7"/>
        <v>2867.2506128133709</v>
      </c>
      <c r="N24" s="41">
        <f t="shared" si="7"/>
        <v>4142.997087912081</v>
      </c>
      <c r="O24" s="41">
        <f t="shared" si="7"/>
        <v>3029.3375821167901</v>
      </c>
      <c r="P24" s="41">
        <f t="shared" si="7"/>
        <v>2551.1187566137546</v>
      </c>
      <c r="Q24" s="41">
        <f t="shared" si="7"/>
        <v>3425.766657458556</v>
      </c>
      <c r="R24" s="41">
        <f t="shared" si="7"/>
        <v>3348.567936507935</v>
      </c>
      <c r="S24" s="42">
        <f t="shared" si="7"/>
        <v>2940.3647540983593</v>
      </c>
      <c r="T24" s="29">
        <f>IFERROR(T13/T5,0)</f>
        <v>0</v>
      </c>
      <c r="U24" s="38">
        <f>IFERROR(U13/U5,0)</f>
        <v>0</v>
      </c>
      <c r="V24" s="38">
        <f>IFERROR(V13/V5,0)</f>
        <v>0</v>
      </c>
      <c r="AA24" s="8"/>
    </row>
    <row r="25" spans="1:27" ht="15.75" hidden="1" outlineLevel="1" thickBot="1" x14ac:dyDescent="0.3">
      <c r="A25" s="9"/>
      <c r="B25" s="43" t="s">
        <v>42</v>
      </c>
      <c r="C25" s="31">
        <f>IFERROR(C15/C6,0)</f>
        <v>2884.2964571428524</v>
      </c>
      <c r="D25" s="44">
        <f t="shared" ref="D25:S25" si="8">IFERROR(D15/D6,0)</f>
        <v>1596.8425581395306</v>
      </c>
      <c r="E25" s="44">
        <f t="shared" si="8"/>
        <v>0</v>
      </c>
      <c r="F25" s="44">
        <f t="shared" si="8"/>
        <v>0</v>
      </c>
      <c r="G25" s="44">
        <f t="shared" si="8"/>
        <v>422.69857142857285</v>
      </c>
      <c r="H25" s="44">
        <f t="shared" si="8"/>
        <v>1678.1309999999955</v>
      </c>
      <c r="I25" s="44">
        <f t="shared" si="8"/>
        <v>2240.7471428571444</v>
      </c>
      <c r="J25" s="44">
        <f t="shared" si="8"/>
        <v>736.95249999999908</v>
      </c>
      <c r="K25" s="44">
        <f t="shared" si="8"/>
        <v>-350.1931250000024</v>
      </c>
      <c r="L25" s="44">
        <f t="shared" si="8"/>
        <v>-385.31652173913068</v>
      </c>
      <c r="M25" s="44">
        <f t="shared" si="8"/>
        <v>2740.7891999999915</v>
      </c>
      <c r="N25" s="44">
        <f t="shared" si="8"/>
        <v>2881.0099999999902</v>
      </c>
      <c r="O25" s="44">
        <f t="shared" si="8"/>
        <v>0</v>
      </c>
      <c r="P25" s="44">
        <f t="shared" si="8"/>
        <v>5731.0024271844604</v>
      </c>
      <c r="Q25" s="44">
        <f t="shared" si="8"/>
        <v>4082.479285714277</v>
      </c>
      <c r="R25" s="44">
        <f t="shared" si="8"/>
        <v>3126.8434146341388</v>
      </c>
      <c r="S25" s="45">
        <f t="shared" si="8"/>
        <v>-0.139999999999986</v>
      </c>
      <c r="T25" s="32">
        <f>IFERROR(T15/T6,0)</f>
        <v>0</v>
      </c>
      <c r="U25" s="44">
        <f>IFERROR(U15/U6,0)</f>
        <v>0</v>
      </c>
      <c r="V25" s="44">
        <f>IFERROR(V15/V6,0)</f>
        <v>0</v>
      </c>
      <c r="AA25" s="8"/>
    </row>
    <row r="26" spans="1:27" ht="15.75" hidden="1" outlineLevel="1" thickBot="1" x14ac:dyDescent="0.3">
      <c r="A26" s="9"/>
      <c r="B26" s="43" t="s">
        <v>43</v>
      </c>
      <c r="C26" s="31">
        <f>IFERROR(C16/C5,0)</f>
        <v>1326.7839488840889</v>
      </c>
      <c r="D26" s="44">
        <f t="shared" ref="D26:S26" si="9">IFERROR(D16/D5,0)</f>
        <v>1222.3171282798821</v>
      </c>
      <c r="E26" s="44">
        <f t="shared" si="9"/>
        <v>943.24083333333328</v>
      </c>
      <c r="F26" s="44">
        <f t="shared" si="9"/>
        <v>0</v>
      </c>
      <c r="G26" s="44">
        <f t="shared" si="9"/>
        <v>1117.7573553718992</v>
      </c>
      <c r="H26" s="44">
        <f t="shared" si="9"/>
        <v>971.20879098360592</v>
      </c>
      <c r="I26" s="44">
        <f t="shared" si="9"/>
        <v>977.0267785234895</v>
      </c>
      <c r="J26" s="44">
        <f t="shared" si="9"/>
        <v>1316.2280000000003</v>
      </c>
      <c r="K26" s="44">
        <f t="shared" si="9"/>
        <v>1382.7732352941166</v>
      </c>
      <c r="L26" s="44">
        <f t="shared" si="9"/>
        <v>1249.7745602605864</v>
      </c>
      <c r="M26" s="44">
        <f t="shared" si="9"/>
        <v>963.86818941504077</v>
      </c>
      <c r="N26" s="44">
        <f t="shared" si="9"/>
        <v>2063.1694505494506</v>
      </c>
      <c r="O26" s="44">
        <f t="shared" si="9"/>
        <v>1440.0235857664234</v>
      </c>
      <c r="P26" s="44">
        <f t="shared" si="9"/>
        <v>1632.7098677248673</v>
      </c>
      <c r="Q26" s="44">
        <f t="shared" si="9"/>
        <v>1186.5710773480664</v>
      </c>
      <c r="R26" s="44">
        <f t="shared" si="9"/>
        <v>1507.6658730158715</v>
      </c>
      <c r="S26" s="45">
        <f t="shared" si="9"/>
        <v>2644.4865573770489</v>
      </c>
      <c r="T26" s="35">
        <f>IFERROR(T16/T5,0)</f>
        <v>0</v>
      </c>
      <c r="U26" s="46">
        <f>IFERROR(U16/U5,0)</f>
        <v>0</v>
      </c>
      <c r="V26" s="46">
        <f>IFERROR(V16/V5,0)</f>
        <v>0</v>
      </c>
      <c r="AA26" s="8"/>
    </row>
    <row r="27" spans="1:27" ht="15.75" hidden="1" outlineLevel="1" thickBot="1" x14ac:dyDescent="0.3">
      <c r="A27" s="9"/>
      <c r="B27" s="47" t="s">
        <v>44</v>
      </c>
      <c r="C27" s="48">
        <f>SUM(C24,C26)</f>
        <v>4102.4268754499608</v>
      </c>
      <c r="D27" s="49">
        <f t="shared" ref="D27:V27" si="10">SUM(D24,D26)</f>
        <v>3797.8535131195267</v>
      </c>
      <c r="E27" s="49">
        <f t="shared" si="10"/>
        <v>-490.82083333332343</v>
      </c>
      <c r="F27" s="49">
        <f t="shared" si="10"/>
        <v>0</v>
      </c>
      <c r="G27" s="49">
        <f t="shared" si="10"/>
        <v>1968.6239256198305</v>
      </c>
      <c r="H27" s="49">
        <f t="shared" si="10"/>
        <v>3540.7362090163829</v>
      </c>
      <c r="I27" s="49">
        <f t="shared" si="10"/>
        <v>3170.3497539149857</v>
      </c>
      <c r="J27" s="49">
        <f t="shared" si="10"/>
        <v>4591.7929736842061</v>
      </c>
      <c r="K27" s="49">
        <f t="shared" si="10"/>
        <v>3579.3921764705824</v>
      </c>
      <c r="L27" s="49">
        <f t="shared" si="10"/>
        <v>4314.1997394136779</v>
      </c>
      <c r="M27" s="49">
        <f t="shared" si="10"/>
        <v>3831.1188022284118</v>
      </c>
      <c r="N27" s="49">
        <f t="shared" si="10"/>
        <v>6206.1665384615317</v>
      </c>
      <c r="O27" s="49">
        <f t="shared" si="10"/>
        <v>4469.3611678832131</v>
      </c>
      <c r="P27" s="49">
        <f t="shared" si="10"/>
        <v>4183.8286243386219</v>
      </c>
      <c r="Q27" s="49">
        <f t="shared" si="10"/>
        <v>4612.3377348066224</v>
      </c>
      <c r="R27" s="49">
        <f t="shared" si="10"/>
        <v>4856.2338095238065</v>
      </c>
      <c r="S27" s="50">
        <f t="shared" si="10"/>
        <v>5584.8513114754078</v>
      </c>
      <c r="T27" s="51">
        <f t="shared" si="10"/>
        <v>0</v>
      </c>
      <c r="U27" s="37">
        <f t="shared" si="10"/>
        <v>0</v>
      </c>
      <c r="V27" s="37">
        <f t="shared" si="10"/>
        <v>0</v>
      </c>
      <c r="AA27" s="8"/>
    </row>
    <row r="28" spans="1:27" collapsed="1" x14ac:dyDescent="0.25">
      <c r="A28" s="9"/>
      <c r="B28" s="52" t="s">
        <v>45</v>
      </c>
      <c r="C28" s="53">
        <f>IFERROR(C17/C7,0)</f>
        <v>4119.4650745005047</v>
      </c>
      <c r="D28" s="54">
        <f t="shared" ref="D28:S31" si="11">IFERROR(D17/D7,0)</f>
        <v>3898.7432373113788</v>
      </c>
      <c r="E28" s="54">
        <f t="shared" si="11"/>
        <v>-439.40083333332342</v>
      </c>
      <c r="F28" s="54">
        <f t="shared" si="11"/>
        <v>0</v>
      </c>
      <c r="G28" s="54">
        <f t="shared" si="11"/>
        <v>2075.7385140562205</v>
      </c>
      <c r="H28" s="54">
        <f t="shared" si="11"/>
        <v>3511.4970270270169</v>
      </c>
      <c r="I28" s="54">
        <f t="shared" si="11"/>
        <v>3295.2232971800404</v>
      </c>
      <c r="J28" s="54">
        <f t="shared" si="11"/>
        <v>4476.8640776698985</v>
      </c>
      <c r="K28" s="54">
        <f t="shared" si="11"/>
        <v>3415.8669892473063</v>
      </c>
      <c r="L28" s="54">
        <f t="shared" si="11"/>
        <v>4114.1466969696939</v>
      </c>
      <c r="M28" s="54">
        <f t="shared" si="11"/>
        <v>3809.5107812499987</v>
      </c>
      <c r="N28" s="54">
        <f t="shared" si="11"/>
        <v>6308.302131147535</v>
      </c>
      <c r="O28" s="54">
        <f t="shared" si="11"/>
        <v>4468.6945894160608</v>
      </c>
      <c r="P28" s="54">
        <f t="shared" si="11"/>
        <v>4509.5874844074806</v>
      </c>
      <c r="Q28" s="54">
        <f t="shared" si="11"/>
        <v>4640.5949999999921</v>
      </c>
      <c r="R28" s="54">
        <f t="shared" si="11"/>
        <v>4626.411092150167</v>
      </c>
      <c r="S28" s="55">
        <f t="shared" si="11"/>
        <v>5549.1745652173895</v>
      </c>
      <c r="T28" s="56">
        <f>IFERROR(T17/T7,0)</f>
        <v>0</v>
      </c>
      <c r="U28" s="36">
        <f>IFERROR(U17/U7,0)</f>
        <v>0</v>
      </c>
      <c r="V28" s="36">
        <f>IFERROR(V17/V7,0)</f>
        <v>0</v>
      </c>
      <c r="AA28" s="8"/>
    </row>
    <row r="29" spans="1:27" hidden="1" outlineLevel="1" x14ac:dyDescent="0.25">
      <c r="A29" s="9"/>
      <c r="B29" s="43" t="s">
        <v>46</v>
      </c>
      <c r="C29" s="31">
        <f>IFERROR(C18/C8,0)</f>
        <v>1989.4474095563114</v>
      </c>
      <c r="D29" s="44">
        <f t="shared" si="11"/>
        <v>1982.1710559006174</v>
      </c>
      <c r="E29" s="44">
        <f t="shared" si="11"/>
        <v>2461.4266666666667</v>
      </c>
      <c r="F29" s="44">
        <f t="shared" si="11"/>
        <v>0</v>
      </c>
      <c r="G29" s="44">
        <f t="shared" si="11"/>
        <v>2048.1880239520929</v>
      </c>
      <c r="H29" s="44">
        <f t="shared" si="11"/>
        <v>2754.8250510204043</v>
      </c>
      <c r="I29" s="44">
        <f t="shared" si="11"/>
        <v>1270.6818518518496</v>
      </c>
      <c r="J29" s="44">
        <f t="shared" si="11"/>
        <v>2003.1214077669886</v>
      </c>
      <c r="K29" s="44">
        <f t="shared" si="11"/>
        <v>1545.7308108108064</v>
      </c>
      <c r="L29" s="44">
        <f t="shared" si="11"/>
        <v>2175.2915311004735</v>
      </c>
      <c r="M29" s="44">
        <f t="shared" si="11"/>
        <v>1620.9307723577208</v>
      </c>
      <c r="N29" s="44">
        <f t="shared" si="11"/>
        <v>1776.6459999999975</v>
      </c>
      <c r="O29" s="44">
        <f t="shared" si="11"/>
        <v>1845.4293144208036</v>
      </c>
      <c r="P29" s="44">
        <f t="shared" si="11"/>
        <v>2058.6996595744649</v>
      </c>
      <c r="Q29" s="44">
        <f t="shared" si="11"/>
        <v>3133.2545070422516</v>
      </c>
      <c r="R29" s="44">
        <f t="shared" si="11"/>
        <v>3413.8209999999913</v>
      </c>
      <c r="S29" s="45">
        <f t="shared" si="11"/>
        <v>1359.0859915611798</v>
      </c>
      <c r="T29" s="32">
        <f>IFERROR(T18/T5,0)</f>
        <v>0</v>
      </c>
      <c r="U29" s="44">
        <f>IFERROR(U18/U5,0)</f>
        <v>0</v>
      </c>
      <c r="V29" s="44">
        <f>IFERROR(V18/V5,0)</f>
        <v>0</v>
      </c>
      <c r="AA29" s="8"/>
    </row>
    <row r="30" spans="1:27" hidden="1" outlineLevel="1" x14ac:dyDescent="0.25">
      <c r="A30" s="9"/>
      <c r="B30" s="43" t="s">
        <v>47</v>
      </c>
      <c r="C30" s="31">
        <f>IFERROR(C19/C9,0)</f>
        <v>0</v>
      </c>
      <c r="D30" s="44">
        <f t="shared" si="11"/>
        <v>0</v>
      </c>
      <c r="E30" s="44">
        <f t="shared" si="11"/>
        <v>0</v>
      </c>
      <c r="F30" s="44">
        <f t="shared" si="11"/>
        <v>0</v>
      </c>
      <c r="G30" s="44">
        <f t="shared" si="11"/>
        <v>0</v>
      </c>
      <c r="H30" s="44">
        <f t="shared" si="11"/>
        <v>0</v>
      </c>
      <c r="I30" s="44">
        <f t="shared" si="11"/>
        <v>0</v>
      </c>
      <c r="J30" s="44">
        <f t="shared" si="11"/>
        <v>0</v>
      </c>
      <c r="K30" s="44">
        <f t="shared" si="11"/>
        <v>0</v>
      </c>
      <c r="L30" s="44">
        <f t="shared" si="11"/>
        <v>0</v>
      </c>
      <c r="M30" s="44">
        <f t="shared" si="11"/>
        <v>0</v>
      </c>
      <c r="N30" s="44">
        <f t="shared" si="11"/>
        <v>0</v>
      </c>
      <c r="O30" s="44">
        <f t="shared" si="11"/>
        <v>0</v>
      </c>
      <c r="P30" s="44">
        <f t="shared" si="11"/>
        <v>0</v>
      </c>
      <c r="Q30" s="44">
        <f t="shared" si="11"/>
        <v>0</v>
      </c>
      <c r="R30" s="44">
        <f t="shared" si="11"/>
        <v>0</v>
      </c>
      <c r="S30" s="45">
        <f t="shared" si="11"/>
        <v>0</v>
      </c>
      <c r="T30" s="32">
        <f t="shared" ref="T30:V31" si="12">IFERROR(T19/T9,0)</f>
        <v>0</v>
      </c>
      <c r="U30" s="44">
        <f t="shared" si="12"/>
        <v>0</v>
      </c>
      <c r="V30" s="44">
        <f t="shared" si="12"/>
        <v>0</v>
      </c>
      <c r="AA30" s="8"/>
    </row>
    <row r="31" spans="1:27" hidden="1" outlineLevel="1" x14ac:dyDescent="0.25">
      <c r="A31" s="9"/>
      <c r="B31" s="43" t="s">
        <v>48</v>
      </c>
      <c r="C31" s="31">
        <f>IFERROR(C20/C10,0)</f>
        <v>781.13927719298101</v>
      </c>
      <c r="D31" s="44">
        <f t="shared" si="11"/>
        <v>851.04423376623288</v>
      </c>
      <c r="E31" s="44">
        <f t="shared" si="11"/>
        <v>-728.3323809523805</v>
      </c>
      <c r="F31" s="44">
        <f t="shared" si="11"/>
        <v>0</v>
      </c>
      <c r="G31" s="44">
        <f t="shared" si="11"/>
        <v>917.50969072164742</v>
      </c>
      <c r="H31" s="44">
        <f t="shared" si="11"/>
        <v>1277.3366666666641</v>
      </c>
      <c r="I31" s="44">
        <f t="shared" si="11"/>
        <v>792.40406113537028</v>
      </c>
      <c r="J31" s="44">
        <f t="shared" si="11"/>
        <v>456.20226495726297</v>
      </c>
      <c r="K31" s="44">
        <f t="shared" si="11"/>
        <v>568.64626168224049</v>
      </c>
      <c r="L31" s="44">
        <f t="shared" si="11"/>
        <v>362.78954545454405</v>
      </c>
      <c r="M31" s="44">
        <f t="shared" si="11"/>
        <v>718.22192708333171</v>
      </c>
      <c r="N31" s="44">
        <f t="shared" si="11"/>
        <v>392.88543478260766</v>
      </c>
      <c r="O31" s="44">
        <f t="shared" si="11"/>
        <v>1192.9412058823514</v>
      </c>
      <c r="P31" s="44">
        <f t="shared" si="11"/>
        <v>729.60861751152015</v>
      </c>
      <c r="Q31" s="44">
        <f t="shared" si="11"/>
        <v>797.92827160493698</v>
      </c>
      <c r="R31" s="44">
        <f t="shared" si="11"/>
        <v>984.85170212765627</v>
      </c>
      <c r="S31" s="45">
        <f t="shared" si="11"/>
        <v>652.64239436619562</v>
      </c>
      <c r="T31" s="32">
        <f t="shared" si="12"/>
        <v>0</v>
      </c>
      <c r="U31" s="44">
        <f t="shared" si="12"/>
        <v>0</v>
      </c>
      <c r="V31" s="44">
        <f t="shared" si="12"/>
        <v>0</v>
      </c>
      <c r="AA31" s="8"/>
    </row>
    <row r="32" spans="1:27" hidden="1" outlineLevel="1" x14ac:dyDescent="0.25">
      <c r="A32" s="9"/>
      <c r="B32" s="43" t="s">
        <v>49</v>
      </c>
      <c r="C32" s="31">
        <f>IFERROR(C21/C8,0)</f>
        <v>1439.4933208191119</v>
      </c>
      <c r="D32" s="44">
        <f t="shared" ref="D32:S32" si="13">IFERROR(D21/D8,0)</f>
        <v>1049.5285403726705</v>
      </c>
      <c r="E32" s="44">
        <f t="shared" si="13"/>
        <v>2431.2950000000001</v>
      </c>
      <c r="F32" s="44">
        <f t="shared" si="13"/>
        <v>0</v>
      </c>
      <c r="G32" s="44">
        <f t="shared" si="13"/>
        <v>1514.2275449101792</v>
      </c>
      <c r="H32" s="44">
        <f t="shared" si="13"/>
        <v>1168.4141836734689</v>
      </c>
      <c r="I32" s="44">
        <f t="shared" si="13"/>
        <v>2004.2595370370361</v>
      </c>
      <c r="J32" s="44">
        <f t="shared" si="13"/>
        <v>1703.1815048543674</v>
      </c>
      <c r="K32" s="44">
        <f t="shared" si="13"/>
        <v>1227.9079729729731</v>
      </c>
      <c r="L32" s="44">
        <f t="shared" si="13"/>
        <v>1582.6004306220095</v>
      </c>
      <c r="M32" s="44">
        <f t="shared" si="13"/>
        <v>1192.7827235772349</v>
      </c>
      <c r="N32" s="44">
        <f t="shared" si="13"/>
        <v>1697.0217857142841</v>
      </c>
      <c r="O32" s="44">
        <f t="shared" si="13"/>
        <v>1573.5338297872315</v>
      </c>
      <c r="P32" s="44">
        <f t="shared" si="13"/>
        <v>1546.4546808510622</v>
      </c>
      <c r="Q32" s="44">
        <f t="shared" si="13"/>
        <v>1145.7903755868545</v>
      </c>
      <c r="R32" s="44">
        <f t="shared" si="13"/>
        <v>1765.0094999999947</v>
      </c>
      <c r="S32" s="45">
        <f t="shared" si="13"/>
        <v>1279.3551476793245</v>
      </c>
      <c r="T32" s="32">
        <f>IFERROR(T21/T8,0)</f>
        <v>0</v>
      </c>
      <c r="U32" s="44">
        <f>IFERROR(U21/U8,0)</f>
        <v>0</v>
      </c>
      <c r="V32" s="44">
        <f>IFERROR(V21/V8,0)</f>
        <v>0</v>
      </c>
      <c r="AA32" s="8"/>
    </row>
    <row r="33" spans="1:27" hidden="1" outlineLevel="1" x14ac:dyDescent="0.25">
      <c r="A33" s="9"/>
      <c r="B33" s="57" t="s">
        <v>50</v>
      </c>
      <c r="C33" s="34">
        <f>SUM(C29,C32)</f>
        <v>3428.9407303754233</v>
      </c>
      <c r="D33" s="46">
        <f t="shared" ref="D33:V33" si="14">SUM(D29,D32)</f>
        <v>3031.6995962732881</v>
      </c>
      <c r="E33" s="46">
        <f t="shared" si="14"/>
        <v>4892.7216666666664</v>
      </c>
      <c r="F33" s="46">
        <f t="shared" si="14"/>
        <v>0</v>
      </c>
      <c r="G33" s="46">
        <f t="shared" si="14"/>
        <v>3562.4155688622723</v>
      </c>
      <c r="H33" s="46">
        <f t="shared" si="14"/>
        <v>3923.2392346938732</v>
      </c>
      <c r="I33" s="46">
        <f t="shared" si="14"/>
        <v>3274.9413888888857</v>
      </c>
      <c r="J33" s="46">
        <f t="shared" si="14"/>
        <v>3706.302912621356</v>
      </c>
      <c r="K33" s="46">
        <f t="shared" si="14"/>
        <v>2773.6387837837792</v>
      </c>
      <c r="L33" s="46">
        <f t="shared" si="14"/>
        <v>3757.8919617224828</v>
      </c>
      <c r="M33" s="46">
        <f t="shared" si="14"/>
        <v>2813.713495934956</v>
      </c>
      <c r="N33" s="46">
        <f t="shared" si="14"/>
        <v>3473.6677857142813</v>
      </c>
      <c r="O33" s="46">
        <f t="shared" si="14"/>
        <v>3418.9631442080354</v>
      </c>
      <c r="P33" s="46">
        <f t="shared" si="14"/>
        <v>3605.1543404255272</v>
      </c>
      <c r="Q33" s="46">
        <f t="shared" si="14"/>
        <v>4279.0448826291058</v>
      </c>
      <c r="R33" s="46">
        <f t="shared" si="14"/>
        <v>5178.8304999999855</v>
      </c>
      <c r="S33" s="58">
        <f t="shared" si="14"/>
        <v>2638.4411392405045</v>
      </c>
      <c r="T33" s="51">
        <f t="shared" si="14"/>
        <v>0</v>
      </c>
      <c r="U33" s="37">
        <f t="shared" si="14"/>
        <v>0</v>
      </c>
      <c r="V33" s="36">
        <f t="shared" si="14"/>
        <v>0</v>
      </c>
      <c r="AA33" s="8"/>
    </row>
    <row r="34" spans="1:27" collapsed="1" x14ac:dyDescent="0.25">
      <c r="A34" s="9"/>
      <c r="B34" s="59" t="s">
        <v>51</v>
      </c>
      <c r="C34" s="36">
        <f>IFERROR(C22/C11,0)</f>
        <v>2123.3638892733538</v>
      </c>
      <c r="D34" s="37">
        <f t="shared" ref="D34:S35" si="15">IFERROR(D22/D11,0)</f>
        <v>1844.214002828852</v>
      </c>
      <c r="E34" s="37">
        <f t="shared" si="15"/>
        <v>520.79074074074117</v>
      </c>
      <c r="F34" s="37">
        <f t="shared" si="15"/>
        <v>0</v>
      </c>
      <c r="G34" s="37">
        <f t="shared" si="15"/>
        <v>2590.6130303030272</v>
      </c>
      <c r="H34" s="37">
        <f t="shared" si="15"/>
        <v>2702.0534340659306</v>
      </c>
      <c r="I34" s="37">
        <f t="shared" si="15"/>
        <v>1997.4109438202229</v>
      </c>
      <c r="J34" s="37">
        <f t="shared" si="15"/>
        <v>1977.8402954545427</v>
      </c>
      <c r="K34" s="37">
        <f t="shared" si="15"/>
        <v>1470.1349171270685</v>
      </c>
      <c r="L34" s="37">
        <f t="shared" si="15"/>
        <v>2016.8137995337966</v>
      </c>
      <c r="M34" s="37">
        <f t="shared" si="15"/>
        <v>1895.1418493150659</v>
      </c>
      <c r="N34" s="37">
        <f t="shared" si="15"/>
        <v>1944.3585611510769</v>
      </c>
      <c r="O34" s="37">
        <f t="shared" si="15"/>
        <v>2427.0267627785038</v>
      </c>
      <c r="P34" s="37">
        <f t="shared" si="15"/>
        <v>2224.6379203539796</v>
      </c>
      <c r="Q34" s="37">
        <f t="shared" si="15"/>
        <v>2423.9761622807005</v>
      </c>
      <c r="R34" s="37">
        <f t="shared" si="15"/>
        <v>1720.6374561403456</v>
      </c>
      <c r="S34" s="60">
        <f t="shared" si="15"/>
        <v>2180.6758441558422</v>
      </c>
      <c r="T34" s="56">
        <f>IFERROR(T22/T11,0)</f>
        <v>0</v>
      </c>
      <c r="U34" s="36">
        <f>IFERROR(U22/U11,0)</f>
        <v>0</v>
      </c>
      <c r="V34" s="36">
        <f>IFERROR(V22/V11,0)</f>
        <v>0</v>
      </c>
      <c r="AA34" s="8"/>
    </row>
    <row r="35" spans="1:27" ht="15.75" thickBot="1" x14ac:dyDescent="0.3">
      <c r="A35" s="9"/>
      <c r="B35" s="61" t="s">
        <v>52</v>
      </c>
      <c r="C35" s="62">
        <f>IFERROR(C23/C12,0)</f>
        <v>3132.1755955844565</v>
      </c>
      <c r="D35" s="62">
        <f t="shared" si="15"/>
        <v>2887.2166573816112</v>
      </c>
      <c r="E35" s="62">
        <f t="shared" si="15"/>
        <v>68.935882352946052</v>
      </c>
      <c r="F35" s="62">
        <f t="shared" si="15"/>
        <v>0</v>
      </c>
      <c r="G35" s="62">
        <f t="shared" si="15"/>
        <v>2340.7031773879107</v>
      </c>
      <c r="H35" s="62">
        <f t="shared" si="15"/>
        <v>3177.4409410430767</v>
      </c>
      <c r="I35" s="62">
        <f t="shared" si="15"/>
        <v>2657.7768322295778</v>
      </c>
      <c r="J35" s="62">
        <f t="shared" si="15"/>
        <v>3186.2884154929538</v>
      </c>
      <c r="K35" s="62">
        <f t="shared" si="15"/>
        <v>2456.2552588555814</v>
      </c>
      <c r="L35" s="62">
        <f t="shared" si="15"/>
        <v>2928.6976679841864</v>
      </c>
      <c r="M35" s="62">
        <f t="shared" si="15"/>
        <v>2789.4455839416037</v>
      </c>
      <c r="N35" s="62">
        <f t="shared" si="15"/>
        <v>3676.6832321041179</v>
      </c>
      <c r="O35" s="62">
        <f t="shared" si="15"/>
        <v>3630.7211888111892</v>
      </c>
      <c r="P35" s="62">
        <f t="shared" si="15"/>
        <v>3402.6237084673066</v>
      </c>
      <c r="Q35" s="62">
        <f t="shared" si="15"/>
        <v>3425.7173677884575</v>
      </c>
      <c r="R35" s="62">
        <f t="shared" si="15"/>
        <v>3354.7865451055618</v>
      </c>
      <c r="S35" s="63">
        <f t="shared" si="15"/>
        <v>3440.439593495933</v>
      </c>
      <c r="T35" s="7"/>
      <c r="U35" s="7"/>
      <c r="V35" s="7"/>
      <c r="AA35" s="8"/>
    </row>
    <row r="36" spans="1:27" ht="5.25" customHeight="1" x14ac:dyDescent="0.25"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</row>
    <row r="37" spans="1:27" x14ac:dyDescent="0.25">
      <c r="B37" s="5">
        <v>2024</v>
      </c>
      <c r="C37" s="65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7" t="s">
        <v>18</v>
      </c>
      <c r="U37" s="5" t="s">
        <v>19</v>
      </c>
      <c r="V37" s="5" t="s">
        <v>20</v>
      </c>
    </row>
    <row r="38" spans="1:27" hidden="1" outlineLevel="1" x14ac:dyDescent="0.25">
      <c r="A38" s="9"/>
      <c r="B38" s="10" t="s">
        <v>21</v>
      </c>
      <c r="C38" s="11">
        <f>+SUM(D38:V38)</f>
        <v>5470</v>
      </c>
      <c r="D38" s="12">
        <v>751</v>
      </c>
      <c r="E38" s="12">
        <v>49</v>
      </c>
      <c r="F38" s="12">
        <v>0</v>
      </c>
      <c r="G38" s="12">
        <v>195</v>
      </c>
      <c r="H38" s="12">
        <v>563</v>
      </c>
      <c r="I38" s="12">
        <v>547</v>
      </c>
      <c r="J38" s="12">
        <v>380</v>
      </c>
      <c r="K38" s="12">
        <v>133</v>
      </c>
      <c r="L38" s="12">
        <v>257</v>
      </c>
      <c r="M38" s="12">
        <v>320</v>
      </c>
      <c r="N38" s="12">
        <v>153</v>
      </c>
      <c r="O38" s="12">
        <v>1060</v>
      </c>
      <c r="P38" s="12">
        <v>389</v>
      </c>
      <c r="Q38" s="12">
        <v>340</v>
      </c>
      <c r="R38" s="12">
        <v>147</v>
      </c>
      <c r="S38" s="12">
        <v>186</v>
      </c>
      <c r="T38" s="12"/>
      <c r="U38" s="12"/>
      <c r="V38" s="12"/>
      <c r="AA38" s="8"/>
    </row>
    <row r="39" spans="1:27" hidden="1" outlineLevel="1" x14ac:dyDescent="0.25">
      <c r="A39" s="9"/>
      <c r="B39" s="13" t="s">
        <v>22</v>
      </c>
      <c r="C39" s="14">
        <f>+SUM(D39:V39)</f>
        <v>340</v>
      </c>
      <c r="D39" s="15">
        <v>28</v>
      </c>
      <c r="E39" s="15">
        <v>7</v>
      </c>
      <c r="F39" s="15">
        <v>0</v>
      </c>
      <c r="G39" s="15">
        <v>15</v>
      </c>
      <c r="H39" s="15">
        <v>17</v>
      </c>
      <c r="I39" s="15">
        <v>8</v>
      </c>
      <c r="J39" s="15">
        <v>24</v>
      </c>
      <c r="K39" s="15">
        <v>9</v>
      </c>
      <c r="L39" s="15">
        <v>13</v>
      </c>
      <c r="M39" s="15">
        <v>15</v>
      </c>
      <c r="N39" s="15">
        <v>2</v>
      </c>
      <c r="O39" s="15">
        <v>0</v>
      </c>
      <c r="P39" s="15">
        <v>108</v>
      </c>
      <c r="Q39" s="15">
        <v>7</v>
      </c>
      <c r="R39" s="15">
        <v>83</v>
      </c>
      <c r="S39" s="15">
        <v>4</v>
      </c>
      <c r="T39" s="15"/>
      <c r="U39" s="15"/>
      <c r="V39" s="15"/>
      <c r="AA39" s="8"/>
    </row>
    <row r="40" spans="1:27" collapsed="1" x14ac:dyDescent="0.25">
      <c r="A40" s="9"/>
      <c r="B40" s="16" t="s">
        <v>23</v>
      </c>
      <c r="C40" s="17">
        <f>SUM(C38:C39)</f>
        <v>5810</v>
      </c>
      <c r="D40" s="18">
        <f t="shared" ref="D40:S40" si="16">SUM(D38:D39)</f>
        <v>779</v>
      </c>
      <c r="E40" s="18">
        <f t="shared" si="16"/>
        <v>56</v>
      </c>
      <c r="F40" s="18">
        <f t="shared" si="16"/>
        <v>0</v>
      </c>
      <c r="G40" s="18">
        <f t="shared" si="16"/>
        <v>210</v>
      </c>
      <c r="H40" s="18">
        <f t="shared" si="16"/>
        <v>580</v>
      </c>
      <c r="I40" s="18">
        <f t="shared" si="16"/>
        <v>555</v>
      </c>
      <c r="J40" s="18">
        <f t="shared" si="16"/>
        <v>404</v>
      </c>
      <c r="K40" s="18">
        <f t="shared" si="16"/>
        <v>142</v>
      </c>
      <c r="L40" s="18">
        <f t="shared" si="16"/>
        <v>270</v>
      </c>
      <c r="M40" s="18">
        <f t="shared" si="16"/>
        <v>335</v>
      </c>
      <c r="N40" s="18">
        <f t="shared" si="16"/>
        <v>155</v>
      </c>
      <c r="O40" s="18">
        <f t="shared" si="16"/>
        <v>1060</v>
      </c>
      <c r="P40" s="18">
        <f t="shared" si="16"/>
        <v>497</v>
      </c>
      <c r="Q40" s="18">
        <f t="shared" si="16"/>
        <v>347</v>
      </c>
      <c r="R40" s="18">
        <f t="shared" si="16"/>
        <v>230</v>
      </c>
      <c r="S40" s="18">
        <f t="shared" si="16"/>
        <v>190</v>
      </c>
      <c r="T40" s="19">
        <f>SUM(T38:T39)</f>
        <v>0</v>
      </c>
      <c r="U40" s="19">
        <f>SUM(U38:U39)</f>
        <v>0</v>
      </c>
      <c r="V40" s="19">
        <f>SUM(V38:V39)</f>
        <v>0</v>
      </c>
      <c r="AA40" s="8"/>
    </row>
    <row r="41" spans="1:27" ht="14.25" hidden="1" customHeight="1" outlineLevel="1" x14ac:dyDescent="0.25">
      <c r="A41" s="9"/>
      <c r="B41" s="10" t="s">
        <v>24</v>
      </c>
      <c r="C41" s="11">
        <f>+SUM(D41:V41)</f>
        <v>2817</v>
      </c>
      <c r="D41" s="12">
        <v>328</v>
      </c>
      <c r="E41" s="12">
        <v>47</v>
      </c>
      <c r="F41" s="12">
        <v>0</v>
      </c>
      <c r="G41" s="12">
        <v>126</v>
      </c>
      <c r="H41" s="12">
        <v>222</v>
      </c>
      <c r="I41" s="12">
        <v>212</v>
      </c>
      <c r="J41" s="12">
        <v>181</v>
      </c>
      <c r="K41" s="12">
        <v>78</v>
      </c>
      <c r="L41" s="12">
        <v>150</v>
      </c>
      <c r="M41" s="12">
        <v>232</v>
      </c>
      <c r="N41" s="12">
        <v>147</v>
      </c>
      <c r="O41" s="12">
        <v>383</v>
      </c>
      <c r="P41" s="12">
        <v>262</v>
      </c>
      <c r="Q41" s="12">
        <v>154</v>
      </c>
      <c r="R41" s="12">
        <v>66</v>
      </c>
      <c r="S41" s="12">
        <v>229</v>
      </c>
      <c r="T41" s="20"/>
      <c r="U41" s="20"/>
      <c r="V41" s="20"/>
      <c r="AA41" s="8"/>
    </row>
    <row r="42" spans="1:27" hidden="1" outlineLevel="1" x14ac:dyDescent="0.25">
      <c r="A42" s="9"/>
      <c r="B42" s="13" t="s">
        <v>25</v>
      </c>
      <c r="C42" s="14">
        <f>+SUM(D42:V42)</f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21"/>
      <c r="U42" s="21"/>
      <c r="V42" s="21"/>
      <c r="AA42" s="8"/>
    </row>
    <row r="43" spans="1:27" hidden="1" outlineLevel="1" x14ac:dyDescent="0.25">
      <c r="A43" s="9"/>
      <c r="B43" s="13" t="s">
        <v>26</v>
      </c>
      <c r="C43" s="22">
        <f>+SUM(D43:V43)</f>
        <v>3116</v>
      </c>
      <c r="D43" s="23">
        <v>453</v>
      </c>
      <c r="E43" s="23">
        <v>61</v>
      </c>
      <c r="F43" s="23">
        <v>0</v>
      </c>
      <c r="G43" s="23">
        <v>93</v>
      </c>
      <c r="H43" s="23">
        <v>178</v>
      </c>
      <c r="I43" s="23">
        <v>298</v>
      </c>
      <c r="J43" s="23">
        <v>264</v>
      </c>
      <c r="K43" s="23">
        <v>93</v>
      </c>
      <c r="L43" s="23">
        <v>192</v>
      </c>
      <c r="M43" s="23">
        <v>201</v>
      </c>
      <c r="N43" s="23">
        <v>138</v>
      </c>
      <c r="O43" s="23">
        <v>429</v>
      </c>
      <c r="P43" s="23">
        <v>227</v>
      </c>
      <c r="Q43" s="23">
        <v>230</v>
      </c>
      <c r="R43" s="23">
        <v>196</v>
      </c>
      <c r="S43" s="23">
        <v>63</v>
      </c>
      <c r="T43" s="24"/>
      <c r="U43" s="24"/>
      <c r="V43" s="24"/>
      <c r="AA43" s="8"/>
    </row>
    <row r="44" spans="1:27" collapsed="1" x14ac:dyDescent="0.25">
      <c r="A44" s="9"/>
      <c r="B44" s="16" t="s">
        <v>27</v>
      </c>
      <c r="C44" s="17">
        <f>SUM(C41:C43)</f>
        <v>5933</v>
      </c>
      <c r="D44" s="18">
        <f>SUM(D41:D43)</f>
        <v>781</v>
      </c>
      <c r="E44" s="18">
        <f t="shared" ref="E44:S44" si="17">SUM(E41:E43)</f>
        <v>108</v>
      </c>
      <c r="F44" s="18">
        <f t="shared" si="17"/>
        <v>0</v>
      </c>
      <c r="G44" s="18">
        <f t="shared" si="17"/>
        <v>219</v>
      </c>
      <c r="H44" s="18">
        <f t="shared" si="17"/>
        <v>400</v>
      </c>
      <c r="I44" s="18">
        <f t="shared" si="17"/>
        <v>510</v>
      </c>
      <c r="J44" s="18">
        <f t="shared" si="17"/>
        <v>445</v>
      </c>
      <c r="K44" s="18">
        <f t="shared" si="17"/>
        <v>171</v>
      </c>
      <c r="L44" s="18">
        <f t="shared" si="17"/>
        <v>342</v>
      </c>
      <c r="M44" s="18">
        <f t="shared" si="17"/>
        <v>433</v>
      </c>
      <c r="N44" s="18">
        <f t="shared" si="17"/>
        <v>285</v>
      </c>
      <c r="O44" s="18">
        <f t="shared" si="17"/>
        <v>812</v>
      </c>
      <c r="P44" s="18">
        <f t="shared" si="17"/>
        <v>489</v>
      </c>
      <c r="Q44" s="18">
        <f t="shared" si="17"/>
        <v>384</v>
      </c>
      <c r="R44" s="18">
        <f t="shared" si="17"/>
        <v>262</v>
      </c>
      <c r="S44" s="18">
        <f t="shared" si="17"/>
        <v>292</v>
      </c>
      <c r="T44" s="19">
        <f>SUM(T41:T43)</f>
        <v>0</v>
      </c>
      <c r="U44" s="19">
        <f>SUM(U41:U43)</f>
        <v>0</v>
      </c>
      <c r="V44" s="19">
        <f>SUM(V41:V43)</f>
        <v>0</v>
      </c>
      <c r="AA44" s="8"/>
    </row>
    <row r="45" spans="1:27" ht="15.75" thickBot="1" x14ac:dyDescent="0.3">
      <c r="A45" s="9"/>
      <c r="B45" s="25" t="s">
        <v>28</v>
      </c>
      <c r="C45" s="11">
        <f>+C40+C44</f>
        <v>11743</v>
      </c>
      <c r="D45" s="11">
        <f t="shared" ref="D45:S45" si="18">+D40+D44</f>
        <v>1560</v>
      </c>
      <c r="E45" s="11">
        <f t="shared" si="18"/>
        <v>164</v>
      </c>
      <c r="F45" s="11">
        <f t="shared" si="18"/>
        <v>0</v>
      </c>
      <c r="G45" s="11">
        <f t="shared" si="18"/>
        <v>429</v>
      </c>
      <c r="H45" s="11">
        <f t="shared" si="18"/>
        <v>980</v>
      </c>
      <c r="I45" s="11">
        <f t="shared" si="18"/>
        <v>1065</v>
      </c>
      <c r="J45" s="11">
        <f t="shared" si="18"/>
        <v>849</v>
      </c>
      <c r="K45" s="11">
        <f t="shared" si="18"/>
        <v>313</v>
      </c>
      <c r="L45" s="11">
        <f t="shared" si="18"/>
        <v>612</v>
      </c>
      <c r="M45" s="11">
        <f t="shared" si="18"/>
        <v>768</v>
      </c>
      <c r="N45" s="11">
        <f t="shared" si="18"/>
        <v>440</v>
      </c>
      <c r="O45" s="11">
        <f t="shared" si="18"/>
        <v>1872</v>
      </c>
      <c r="P45" s="11">
        <f t="shared" si="18"/>
        <v>986</v>
      </c>
      <c r="Q45" s="11">
        <f t="shared" si="18"/>
        <v>731</v>
      </c>
      <c r="R45" s="11">
        <f t="shared" si="18"/>
        <v>492</v>
      </c>
      <c r="S45" s="11">
        <f t="shared" si="18"/>
        <v>482</v>
      </c>
      <c r="T45" s="26"/>
      <c r="U45" s="26"/>
      <c r="V45" s="26"/>
      <c r="AA45" s="8"/>
    </row>
    <row r="46" spans="1:27" hidden="1" outlineLevel="1" x14ac:dyDescent="0.25">
      <c r="A46" s="9"/>
      <c r="B46" s="27" t="s">
        <v>30</v>
      </c>
      <c r="C46" s="28">
        <f>+SUM(D46:V46)</f>
        <v>15804898.369999964</v>
      </c>
      <c r="D46" s="29">
        <v>1945654.3899999927</v>
      </c>
      <c r="E46" s="29">
        <v>48517.889999999803</v>
      </c>
      <c r="F46" s="29">
        <v>0</v>
      </c>
      <c r="G46" s="29">
        <v>310235.56999999925</v>
      </c>
      <c r="H46" s="29">
        <v>1346289.6099999966</v>
      </c>
      <c r="I46" s="29">
        <v>1273766.8899999962</v>
      </c>
      <c r="J46" s="29">
        <v>1123246.6399999966</v>
      </c>
      <c r="K46" s="29">
        <v>413860.66999999911</v>
      </c>
      <c r="L46" s="29">
        <v>717152.37999999779</v>
      </c>
      <c r="M46" s="29">
        <v>1060573.3599999971</v>
      </c>
      <c r="N46" s="29">
        <v>663756.52999999933</v>
      </c>
      <c r="O46" s="29">
        <v>3632912.1499999943</v>
      </c>
      <c r="P46" s="29">
        <v>923270.77999999723</v>
      </c>
      <c r="Q46" s="29">
        <v>1249547.6999999983</v>
      </c>
      <c r="R46" s="29">
        <v>445042.02999999997</v>
      </c>
      <c r="S46" s="29">
        <v>651071.77999999851</v>
      </c>
      <c r="T46" s="29"/>
      <c r="U46" s="29"/>
      <c r="V46" s="29"/>
      <c r="AA46" s="8"/>
    </row>
    <row r="47" spans="1:27" hidden="1" outlineLevel="1" x14ac:dyDescent="0.25">
      <c r="A47" s="9"/>
      <c r="B47" s="30" t="s">
        <v>31</v>
      </c>
      <c r="C47" s="31">
        <f>+SUM(D47:V47)</f>
        <v>553737.06999999948</v>
      </c>
      <c r="D47" s="32">
        <v>140732.05999999979</v>
      </c>
      <c r="E47" s="32">
        <v>1300</v>
      </c>
      <c r="F47" s="32">
        <v>0</v>
      </c>
      <c r="G47" s="32">
        <v>48184.94</v>
      </c>
      <c r="H47" s="32">
        <v>46030.61</v>
      </c>
      <c r="I47" s="32">
        <v>52875.369999999988</v>
      </c>
      <c r="J47" s="32">
        <v>83165.279999999868</v>
      </c>
      <c r="K47" s="32">
        <v>37048.679999999993</v>
      </c>
      <c r="L47" s="32">
        <v>47760.299999999981</v>
      </c>
      <c r="M47" s="32">
        <v>27778.89</v>
      </c>
      <c r="N47" s="32">
        <v>37498.16999999994</v>
      </c>
      <c r="O47" s="32">
        <v>445.11999999993071</v>
      </c>
      <c r="P47" s="32">
        <v>393.72</v>
      </c>
      <c r="Q47" s="32">
        <v>17663.799999999981</v>
      </c>
      <c r="R47" s="32">
        <v>11260.130000000054</v>
      </c>
      <c r="S47" s="32">
        <v>1600</v>
      </c>
      <c r="T47" s="32"/>
      <c r="U47" s="32"/>
      <c r="V47" s="32"/>
      <c r="AA47" s="8"/>
    </row>
    <row r="48" spans="1:27" hidden="1" outlineLevel="1" x14ac:dyDescent="0.25">
      <c r="A48" s="9"/>
      <c r="B48" s="30" t="s">
        <v>32</v>
      </c>
      <c r="C48" s="31">
        <f>+SUM(D48:V48)</f>
        <v>827126.98999999848</v>
      </c>
      <c r="D48" s="32">
        <v>26007.529999999882</v>
      </c>
      <c r="E48" s="32">
        <v>0</v>
      </c>
      <c r="F48" s="32">
        <v>0</v>
      </c>
      <c r="G48" s="32">
        <v>10247.399999999991</v>
      </c>
      <c r="H48" s="32">
        <v>60753.049999999792</v>
      </c>
      <c r="I48" s="32">
        <v>17651.21999999999</v>
      </c>
      <c r="J48" s="32">
        <v>10543.820000000098</v>
      </c>
      <c r="K48" s="32">
        <v>-2641.879999999981</v>
      </c>
      <c r="L48" s="32">
        <v>4716.9500000000226</v>
      </c>
      <c r="M48" s="32">
        <v>12908.349999999986</v>
      </c>
      <c r="N48" s="32">
        <v>12964.17</v>
      </c>
      <c r="O48" s="32">
        <v>0</v>
      </c>
      <c r="P48" s="32">
        <v>405937.77999999915</v>
      </c>
      <c r="Q48" s="32">
        <v>18009.099999999991</v>
      </c>
      <c r="R48" s="32">
        <v>250029.41999999961</v>
      </c>
      <c r="S48" s="32">
        <v>7.9999999999472049E-2</v>
      </c>
      <c r="T48" s="32"/>
      <c r="U48" s="32"/>
      <c r="V48" s="32"/>
      <c r="AA48" s="8"/>
    </row>
    <row r="49" spans="1:27" hidden="1" outlineLevel="1" x14ac:dyDescent="0.25">
      <c r="A49" s="9"/>
      <c r="B49" s="33" t="s">
        <v>33</v>
      </c>
      <c r="C49" s="34">
        <f>+SUM(D49:V49)</f>
        <v>6597333.0899999952</v>
      </c>
      <c r="D49" s="35">
        <v>722515.7699999999</v>
      </c>
      <c r="E49" s="35">
        <v>37729.67</v>
      </c>
      <c r="F49" s="35">
        <v>0</v>
      </c>
      <c r="G49" s="35">
        <v>241043.42999999976</v>
      </c>
      <c r="H49" s="35">
        <v>527174.65999999875</v>
      </c>
      <c r="I49" s="35">
        <v>472036.46</v>
      </c>
      <c r="J49" s="35">
        <v>506806.33999999991</v>
      </c>
      <c r="K49" s="35">
        <v>163351.22999999981</v>
      </c>
      <c r="L49" s="35">
        <v>315766.49</v>
      </c>
      <c r="M49" s="35">
        <v>298479.99999999988</v>
      </c>
      <c r="N49" s="35">
        <v>253006.7999999997</v>
      </c>
      <c r="O49" s="35">
        <v>1342593.9499999981</v>
      </c>
      <c r="P49" s="35">
        <v>698828.55999999994</v>
      </c>
      <c r="Q49" s="35">
        <v>408720.40999999992</v>
      </c>
      <c r="R49" s="35">
        <v>209001.30999999988</v>
      </c>
      <c r="S49" s="35">
        <v>400278.00999999978</v>
      </c>
      <c r="T49" s="35"/>
      <c r="U49" s="35"/>
      <c r="V49" s="35"/>
      <c r="AA49" s="8"/>
    </row>
    <row r="50" spans="1:27" hidden="1" outlineLevel="1" x14ac:dyDescent="0.25">
      <c r="A50" s="9"/>
      <c r="B50" s="16" t="s">
        <v>34</v>
      </c>
      <c r="C50" s="36">
        <f>+SUM(C46:C49)</f>
        <v>23783095.519999959</v>
      </c>
      <c r="D50" s="37">
        <f t="shared" ref="D50:S50" si="19">+SUM(D46:D49)</f>
        <v>2834909.7499999925</v>
      </c>
      <c r="E50" s="37">
        <f t="shared" si="19"/>
        <v>87547.559999999794</v>
      </c>
      <c r="F50" s="37">
        <f t="shared" si="19"/>
        <v>0</v>
      </c>
      <c r="G50" s="37">
        <f t="shared" si="19"/>
        <v>609711.33999999892</v>
      </c>
      <c r="H50" s="37">
        <f t="shared" si="19"/>
        <v>1980247.9299999953</v>
      </c>
      <c r="I50" s="37">
        <f t="shared" si="19"/>
        <v>1816329.939999996</v>
      </c>
      <c r="J50" s="37">
        <f t="shared" si="19"/>
        <v>1723762.0799999963</v>
      </c>
      <c r="K50" s="37">
        <f t="shared" si="19"/>
        <v>611618.69999999891</v>
      </c>
      <c r="L50" s="37">
        <f t="shared" si="19"/>
        <v>1085396.1199999978</v>
      </c>
      <c r="M50" s="37">
        <f t="shared" si="19"/>
        <v>1399740.5999999968</v>
      </c>
      <c r="N50" s="37">
        <f t="shared" si="19"/>
        <v>967225.66999999899</v>
      </c>
      <c r="O50" s="37">
        <f t="shared" si="19"/>
        <v>4975951.2199999923</v>
      </c>
      <c r="P50" s="37">
        <f t="shared" si="19"/>
        <v>2028430.8399999961</v>
      </c>
      <c r="Q50" s="37">
        <f t="shared" si="19"/>
        <v>1693941.0099999984</v>
      </c>
      <c r="R50" s="37">
        <f t="shared" si="19"/>
        <v>915332.88999999943</v>
      </c>
      <c r="S50" s="37">
        <f t="shared" si="19"/>
        <v>1052949.8699999982</v>
      </c>
      <c r="T50" s="36">
        <f>+SUM(T46:T49)</f>
        <v>0</v>
      </c>
      <c r="U50" s="36">
        <f>+SUM(U46:U49)</f>
        <v>0</v>
      </c>
      <c r="V50" s="36">
        <f>+SUM(V46:V49)</f>
        <v>0</v>
      </c>
      <c r="AA50" s="8"/>
    </row>
    <row r="51" spans="1:27" hidden="1" outlineLevel="1" x14ac:dyDescent="0.25">
      <c r="A51" s="9"/>
      <c r="B51" s="30" t="s">
        <v>35</v>
      </c>
      <c r="C51" s="31">
        <f>+SUM(D51:V51)</f>
        <v>3658218.5399999931</v>
      </c>
      <c r="D51" s="32">
        <v>412937.94000000018</v>
      </c>
      <c r="E51" s="32">
        <v>17837.289999999943</v>
      </c>
      <c r="F51" s="32">
        <v>0</v>
      </c>
      <c r="G51" s="32">
        <v>140435.68999999986</v>
      </c>
      <c r="H51" s="32">
        <v>326590.05999999953</v>
      </c>
      <c r="I51" s="32">
        <v>152278.0699999998</v>
      </c>
      <c r="J51" s="32">
        <v>151221.68999999968</v>
      </c>
      <c r="K51" s="32">
        <v>5243.8099999999858</v>
      </c>
      <c r="L51" s="32">
        <v>215241.45999999953</v>
      </c>
      <c r="M51" s="32">
        <v>292405.56999999983</v>
      </c>
      <c r="N51" s="32">
        <v>260976.29999999941</v>
      </c>
      <c r="O51" s="32">
        <v>659994.25999999745</v>
      </c>
      <c r="P51" s="32">
        <v>447290.03999999911</v>
      </c>
      <c r="Q51" s="32">
        <v>162112.75999999969</v>
      </c>
      <c r="R51" s="32">
        <v>118828.23999999964</v>
      </c>
      <c r="S51" s="32">
        <v>294825.3599999994</v>
      </c>
      <c r="T51" s="32"/>
      <c r="U51" s="32"/>
      <c r="V51" s="32"/>
      <c r="AA51" s="8"/>
    </row>
    <row r="52" spans="1:27" hidden="1" outlineLevel="1" x14ac:dyDescent="0.25">
      <c r="A52" s="9"/>
      <c r="B52" s="30" t="s">
        <v>36</v>
      </c>
      <c r="C52" s="31">
        <f>+SUM(D52:V52)</f>
        <v>0</v>
      </c>
      <c r="D52" s="32">
        <v>0</v>
      </c>
      <c r="E52" s="32">
        <v>0</v>
      </c>
      <c r="F52" s="32">
        <v>0</v>
      </c>
      <c r="G52" s="32">
        <v>0</v>
      </c>
      <c r="H52" s="32">
        <v>0</v>
      </c>
      <c r="I52" s="32">
        <v>0</v>
      </c>
      <c r="J52" s="32">
        <v>0</v>
      </c>
      <c r="K52" s="32">
        <v>0</v>
      </c>
      <c r="L52" s="32">
        <v>0</v>
      </c>
      <c r="M52" s="32">
        <v>0</v>
      </c>
      <c r="N52" s="32">
        <v>0</v>
      </c>
      <c r="O52" s="32">
        <v>0</v>
      </c>
      <c r="P52" s="32">
        <v>0</v>
      </c>
      <c r="Q52" s="32">
        <v>0</v>
      </c>
      <c r="R52" s="32">
        <v>0</v>
      </c>
      <c r="S52" s="32">
        <v>0</v>
      </c>
      <c r="T52" s="32"/>
      <c r="U52" s="32"/>
      <c r="V52" s="32"/>
      <c r="AA52" s="8"/>
    </row>
    <row r="53" spans="1:27" hidden="1" outlineLevel="1" x14ac:dyDescent="0.25">
      <c r="A53" s="9"/>
      <c r="B53" s="30" t="s">
        <v>37</v>
      </c>
      <c r="C53" s="31">
        <f>+SUM(D53:V53)</f>
        <v>1081103.7699999986</v>
      </c>
      <c r="D53" s="32">
        <v>167402.75999999998</v>
      </c>
      <c r="E53" s="32">
        <v>-17090.450000000099</v>
      </c>
      <c r="F53" s="32">
        <v>0</v>
      </c>
      <c r="G53" s="32">
        <v>65605.469999999783</v>
      </c>
      <c r="H53" s="32">
        <v>106614.8299999998</v>
      </c>
      <c r="I53" s="32">
        <v>-27268.439999999988</v>
      </c>
      <c r="J53" s="32">
        <v>30800.160000000178</v>
      </c>
      <c r="K53" s="32">
        <v>-33881.889999999992</v>
      </c>
      <c r="L53" s="32">
        <v>10271.380000000012</v>
      </c>
      <c r="M53" s="32">
        <v>-8093.8700000000454</v>
      </c>
      <c r="N53" s="32">
        <v>32370.469999999958</v>
      </c>
      <c r="O53" s="32">
        <v>451125.84999999969</v>
      </c>
      <c r="P53" s="32">
        <v>190590.06999999951</v>
      </c>
      <c r="Q53" s="32">
        <v>44321.020000000113</v>
      </c>
      <c r="R53" s="32">
        <v>46897.419999999831</v>
      </c>
      <c r="S53" s="32">
        <v>21438.990000000013</v>
      </c>
      <c r="T53" s="32"/>
      <c r="U53" s="32"/>
      <c r="V53" s="32"/>
      <c r="AA53" s="8"/>
    </row>
    <row r="54" spans="1:27" hidden="1" outlineLevel="1" x14ac:dyDescent="0.25">
      <c r="A54" s="9"/>
      <c r="B54" s="30" t="s">
        <v>38</v>
      </c>
      <c r="C54" s="31">
        <f>+SUM(D54:V54)</f>
        <v>3949534.1999999993</v>
      </c>
      <c r="D54" s="32">
        <v>369583.04999999987</v>
      </c>
      <c r="E54" s="32">
        <v>74581.979999999981</v>
      </c>
      <c r="F54" s="32">
        <v>0</v>
      </c>
      <c r="G54" s="32">
        <v>234724.90999999997</v>
      </c>
      <c r="H54" s="32">
        <v>324375.10999999981</v>
      </c>
      <c r="I54" s="32">
        <v>331474.97999999963</v>
      </c>
      <c r="J54" s="32">
        <v>310965.31999999983</v>
      </c>
      <c r="K54" s="32">
        <v>75046.11</v>
      </c>
      <c r="L54" s="32">
        <v>204665.41</v>
      </c>
      <c r="M54" s="32">
        <v>263268.41999999981</v>
      </c>
      <c r="N54" s="32">
        <v>194067.40999999997</v>
      </c>
      <c r="O54" s="32">
        <v>639138.67999999993</v>
      </c>
      <c r="P54" s="32">
        <v>371918.1999999999</v>
      </c>
      <c r="Q54" s="32">
        <v>152869.20000000001</v>
      </c>
      <c r="R54" s="32">
        <v>118950.18000000001</v>
      </c>
      <c r="S54" s="32">
        <v>283905.24000000005</v>
      </c>
      <c r="T54" s="32"/>
      <c r="U54" s="32"/>
      <c r="V54" s="32"/>
      <c r="AA54" s="8"/>
    </row>
    <row r="55" spans="1:27" hidden="1" outlineLevel="1" x14ac:dyDescent="0.25">
      <c r="A55" s="9"/>
      <c r="B55" s="16" t="s">
        <v>39</v>
      </c>
      <c r="C55" s="36">
        <f>+SUM(C51:C54)</f>
        <v>8688856.5099999905</v>
      </c>
      <c r="D55" s="37">
        <f>+SUM(D51:D54)</f>
        <v>949923.75</v>
      </c>
      <c r="E55" s="37">
        <f t="shared" ref="E55:S55" si="20">+SUM(E51:E54)</f>
        <v>75328.819999999832</v>
      </c>
      <c r="F55" s="37">
        <f t="shared" si="20"/>
        <v>0</v>
      </c>
      <c r="G55" s="37">
        <f t="shared" si="20"/>
        <v>440766.0699999996</v>
      </c>
      <c r="H55" s="37">
        <f t="shared" si="20"/>
        <v>757579.99999999907</v>
      </c>
      <c r="I55" s="37">
        <f t="shared" si="20"/>
        <v>456484.60999999946</v>
      </c>
      <c r="J55" s="37">
        <f t="shared" si="20"/>
        <v>492987.16999999969</v>
      </c>
      <c r="K55" s="37">
        <f t="shared" si="20"/>
        <v>46408.03</v>
      </c>
      <c r="L55" s="37">
        <f t="shared" si="20"/>
        <v>430178.24999999953</v>
      </c>
      <c r="M55" s="37">
        <f t="shared" si="20"/>
        <v>547580.11999999965</v>
      </c>
      <c r="N55" s="37">
        <f t="shared" si="20"/>
        <v>487414.17999999935</v>
      </c>
      <c r="O55" s="37">
        <f t="shared" si="20"/>
        <v>1750258.789999997</v>
      </c>
      <c r="P55" s="37">
        <f t="shared" si="20"/>
        <v>1009798.3099999984</v>
      </c>
      <c r="Q55" s="37">
        <f t="shared" si="20"/>
        <v>359302.97999999981</v>
      </c>
      <c r="R55" s="37">
        <f t="shared" si="20"/>
        <v>284675.8399999995</v>
      </c>
      <c r="S55" s="37">
        <f t="shared" si="20"/>
        <v>600169.58999999939</v>
      </c>
      <c r="T55" s="36">
        <f>+SUM(T51:T54)</f>
        <v>0</v>
      </c>
      <c r="U55" s="36">
        <f>+SUM(U51:U54)</f>
        <v>0</v>
      </c>
      <c r="V55" s="36">
        <f>+SUM(V51:V54)</f>
        <v>0</v>
      </c>
      <c r="AA55" s="8"/>
    </row>
    <row r="56" spans="1:27" ht="15.75" hidden="1" outlineLevel="1" thickBot="1" x14ac:dyDescent="0.3">
      <c r="A56" s="9"/>
      <c r="B56" s="27" t="s">
        <v>40</v>
      </c>
      <c r="C56" s="28">
        <f>+C55+C50</f>
        <v>32471952.029999949</v>
      </c>
      <c r="D56" s="38">
        <f t="shared" ref="D56:S56" si="21">+D55+D50</f>
        <v>3784833.4999999925</v>
      </c>
      <c r="E56" s="38">
        <f t="shared" si="21"/>
        <v>162876.37999999963</v>
      </c>
      <c r="F56" s="38">
        <f t="shared" si="21"/>
        <v>0</v>
      </c>
      <c r="G56" s="38">
        <f t="shared" si="21"/>
        <v>1050477.4099999985</v>
      </c>
      <c r="H56" s="38">
        <f t="shared" si="21"/>
        <v>2737827.9299999941</v>
      </c>
      <c r="I56" s="38">
        <f t="shared" si="21"/>
        <v>2272814.5499999956</v>
      </c>
      <c r="J56" s="38">
        <f t="shared" si="21"/>
        <v>2216749.2499999963</v>
      </c>
      <c r="K56" s="38">
        <f t="shared" si="21"/>
        <v>658026.72999999893</v>
      </c>
      <c r="L56" s="38">
        <f t="shared" si="21"/>
        <v>1515574.3699999973</v>
      </c>
      <c r="M56" s="38">
        <f t="shared" si="21"/>
        <v>1947320.7199999965</v>
      </c>
      <c r="N56" s="38">
        <f t="shared" si="21"/>
        <v>1454639.8499999982</v>
      </c>
      <c r="O56" s="38">
        <f t="shared" si="21"/>
        <v>6726210.0099999895</v>
      </c>
      <c r="P56" s="38">
        <f t="shared" si="21"/>
        <v>3038229.1499999948</v>
      </c>
      <c r="Q56" s="38">
        <f t="shared" si="21"/>
        <v>2053243.9899999981</v>
      </c>
      <c r="R56" s="38">
        <f t="shared" si="21"/>
        <v>1200008.7299999991</v>
      </c>
      <c r="S56" s="38">
        <f t="shared" si="21"/>
        <v>1653119.4599999976</v>
      </c>
      <c r="T56" s="28">
        <f>+T55+T50</f>
        <v>0</v>
      </c>
      <c r="U56" s="28">
        <f>+U55+U50</f>
        <v>0</v>
      </c>
      <c r="V56" s="28">
        <f>+V55+V50</f>
        <v>0</v>
      </c>
      <c r="AA56" s="8"/>
    </row>
    <row r="57" spans="1:27" hidden="1" outlineLevel="1" collapsed="1" x14ac:dyDescent="0.25">
      <c r="A57" s="9"/>
      <c r="B57" s="39" t="s">
        <v>41</v>
      </c>
      <c r="C57" s="40">
        <f>IFERROR(C46/C38,0)</f>
        <v>2889.3781297988967</v>
      </c>
      <c r="D57" s="41">
        <f t="shared" ref="D57:S57" si="22">IFERROR(D46/D38,0)</f>
        <v>2590.7515179760221</v>
      </c>
      <c r="E57" s="41">
        <f t="shared" si="22"/>
        <v>990.16102040815929</v>
      </c>
      <c r="F57" s="41">
        <f t="shared" si="22"/>
        <v>0</v>
      </c>
      <c r="G57" s="41">
        <f t="shared" si="22"/>
        <v>1590.9516410256372</v>
      </c>
      <c r="H57" s="41">
        <f t="shared" si="22"/>
        <v>2391.2781705150915</v>
      </c>
      <c r="I57" s="41">
        <f t="shared" si="22"/>
        <v>2328.6414808043805</v>
      </c>
      <c r="J57" s="41">
        <f t="shared" si="22"/>
        <v>2955.9122105263068</v>
      </c>
      <c r="K57" s="41">
        <f t="shared" si="22"/>
        <v>3111.7343609022491</v>
      </c>
      <c r="L57" s="41">
        <f t="shared" si="22"/>
        <v>2790.4761867704196</v>
      </c>
      <c r="M57" s="41">
        <f t="shared" si="22"/>
        <v>3314.2917499999908</v>
      </c>
      <c r="N57" s="41">
        <f t="shared" si="22"/>
        <v>4338.2779738562049</v>
      </c>
      <c r="O57" s="41">
        <f t="shared" si="22"/>
        <v>3427.2756132075419</v>
      </c>
      <c r="P57" s="41">
        <f t="shared" si="22"/>
        <v>2373.446735218502</v>
      </c>
      <c r="Q57" s="41">
        <f t="shared" si="22"/>
        <v>3675.140294117642</v>
      </c>
      <c r="R57" s="41">
        <f t="shared" si="22"/>
        <v>3027.4968027210884</v>
      </c>
      <c r="S57" s="42">
        <f t="shared" si="22"/>
        <v>3500.3859139784868</v>
      </c>
      <c r="T57" s="29">
        <f>IFERROR(T46/T38,0)</f>
        <v>0</v>
      </c>
      <c r="U57" s="38">
        <f>IFERROR(U46/U38,0)</f>
        <v>0</v>
      </c>
      <c r="V57" s="38">
        <f>IFERROR(V46/V38,0)</f>
        <v>0</v>
      </c>
      <c r="AA57" s="8"/>
    </row>
    <row r="58" spans="1:27" hidden="1" outlineLevel="1" x14ac:dyDescent="0.25">
      <c r="A58" s="9"/>
      <c r="B58" s="43" t="s">
        <v>42</v>
      </c>
      <c r="C58" s="31">
        <f>IFERROR(C48/C39,0)</f>
        <v>2432.7264411764663</v>
      </c>
      <c r="D58" s="44">
        <f t="shared" ref="D58:S58" si="23">IFERROR(D48/D39,0)</f>
        <v>928.84035714285289</v>
      </c>
      <c r="E58" s="44">
        <f t="shared" si="23"/>
        <v>0</v>
      </c>
      <c r="F58" s="44">
        <f t="shared" si="23"/>
        <v>0</v>
      </c>
      <c r="G58" s="44">
        <f t="shared" si="23"/>
        <v>683.1599999999994</v>
      </c>
      <c r="H58" s="44">
        <f t="shared" si="23"/>
        <v>3573.7088235293995</v>
      </c>
      <c r="I58" s="44">
        <f t="shared" si="23"/>
        <v>2206.4024999999988</v>
      </c>
      <c r="J58" s="44">
        <f t="shared" si="23"/>
        <v>439.32583333333741</v>
      </c>
      <c r="K58" s="44">
        <f t="shared" si="23"/>
        <v>-293.54222222222012</v>
      </c>
      <c r="L58" s="44">
        <f t="shared" si="23"/>
        <v>362.84230769230942</v>
      </c>
      <c r="M58" s="44">
        <f t="shared" si="23"/>
        <v>860.55666666666571</v>
      </c>
      <c r="N58" s="44">
        <f t="shared" si="23"/>
        <v>6482.085</v>
      </c>
      <c r="O58" s="44">
        <f t="shared" si="23"/>
        <v>0</v>
      </c>
      <c r="P58" s="44">
        <f t="shared" si="23"/>
        <v>3758.6831481481404</v>
      </c>
      <c r="Q58" s="44">
        <f t="shared" si="23"/>
        <v>2572.7285714285704</v>
      </c>
      <c r="R58" s="44">
        <f t="shared" si="23"/>
        <v>3012.4026506024047</v>
      </c>
      <c r="S58" s="45">
        <f t="shared" si="23"/>
        <v>1.9999999999868012E-2</v>
      </c>
      <c r="T58" s="32">
        <f>IFERROR(T48/T39,0)</f>
        <v>0</v>
      </c>
      <c r="U58" s="44">
        <f>IFERROR(U48/U39,0)</f>
        <v>0</v>
      </c>
      <c r="V58" s="44">
        <f>IFERROR(V48/V39,0)</f>
        <v>0</v>
      </c>
      <c r="AA58" s="8"/>
    </row>
    <row r="59" spans="1:27" hidden="1" outlineLevel="1" x14ac:dyDescent="0.25">
      <c r="A59" s="9"/>
      <c r="B59" s="43" t="s">
        <v>43</v>
      </c>
      <c r="C59" s="31">
        <f>IFERROR(C49/C38,0)</f>
        <v>1206.0938007312604</v>
      </c>
      <c r="D59" s="44">
        <f t="shared" ref="D59:S59" si="24">IFERROR(D49/D38,0)</f>
        <v>962.07159786950717</v>
      </c>
      <c r="E59" s="44">
        <f t="shared" si="24"/>
        <v>769.99326530612245</v>
      </c>
      <c r="F59" s="44">
        <f t="shared" si="24"/>
        <v>0</v>
      </c>
      <c r="G59" s="44">
        <f t="shared" si="24"/>
        <v>1236.1201538461526</v>
      </c>
      <c r="H59" s="44">
        <f t="shared" si="24"/>
        <v>936.36706927175624</v>
      </c>
      <c r="I59" s="44">
        <f t="shared" si="24"/>
        <v>862.95513711151739</v>
      </c>
      <c r="J59" s="44">
        <f t="shared" si="24"/>
        <v>1333.700894736842</v>
      </c>
      <c r="K59" s="44">
        <f t="shared" si="24"/>
        <v>1228.2047368421038</v>
      </c>
      <c r="L59" s="44">
        <f t="shared" si="24"/>
        <v>1228.6633852140078</v>
      </c>
      <c r="M59" s="44">
        <f t="shared" si="24"/>
        <v>932.74999999999966</v>
      </c>
      <c r="N59" s="44">
        <f t="shared" si="24"/>
        <v>1653.6392156862726</v>
      </c>
      <c r="O59" s="44">
        <f t="shared" si="24"/>
        <v>1266.598066037734</v>
      </c>
      <c r="P59" s="44">
        <f t="shared" si="24"/>
        <v>1796.4744473007711</v>
      </c>
      <c r="Q59" s="44">
        <f t="shared" si="24"/>
        <v>1202.1188529411763</v>
      </c>
      <c r="R59" s="44">
        <f t="shared" si="24"/>
        <v>1421.7776190476181</v>
      </c>
      <c r="S59" s="45">
        <f t="shared" si="24"/>
        <v>2152.0323118279557</v>
      </c>
      <c r="T59" s="35">
        <f>IFERROR(T49/T38,0)</f>
        <v>0</v>
      </c>
      <c r="U59" s="46">
        <f>IFERROR(U49/U38,0)</f>
        <v>0</v>
      </c>
      <c r="V59" s="46">
        <f>IFERROR(V49/V38,0)</f>
        <v>0</v>
      </c>
      <c r="AA59" s="8"/>
    </row>
    <row r="60" spans="1:27" ht="15.75" hidden="1" outlineLevel="1" thickBot="1" x14ac:dyDescent="0.3">
      <c r="A60" s="9"/>
      <c r="B60" s="47" t="s">
        <v>44</v>
      </c>
      <c r="C60" s="48">
        <f>SUM(C57,C59)</f>
        <v>4095.4719305301569</v>
      </c>
      <c r="D60" s="49">
        <f t="shared" ref="D60:S60" si="25">SUM(D57,D59)</f>
        <v>3552.8231158455292</v>
      </c>
      <c r="E60" s="49">
        <f t="shared" si="25"/>
        <v>1760.1542857142817</v>
      </c>
      <c r="F60" s="49">
        <f t="shared" si="25"/>
        <v>0</v>
      </c>
      <c r="G60" s="49">
        <f t="shared" si="25"/>
        <v>2827.0717948717897</v>
      </c>
      <c r="H60" s="49">
        <f t="shared" si="25"/>
        <v>3327.6452397868479</v>
      </c>
      <c r="I60" s="49">
        <f t="shared" si="25"/>
        <v>3191.5966179158977</v>
      </c>
      <c r="J60" s="49">
        <f t="shared" si="25"/>
        <v>4289.613105263149</v>
      </c>
      <c r="K60" s="49">
        <f t="shared" si="25"/>
        <v>4339.9390977443527</v>
      </c>
      <c r="L60" s="49">
        <f t="shared" si="25"/>
        <v>4019.1395719844277</v>
      </c>
      <c r="M60" s="49">
        <f t="shared" si="25"/>
        <v>4247.0417499999903</v>
      </c>
      <c r="N60" s="49">
        <f t="shared" si="25"/>
        <v>5991.917189542477</v>
      </c>
      <c r="O60" s="49">
        <f t="shared" si="25"/>
        <v>4693.8736792452764</v>
      </c>
      <c r="P60" s="49">
        <f t="shared" si="25"/>
        <v>4169.9211825192733</v>
      </c>
      <c r="Q60" s="49">
        <f t="shared" si="25"/>
        <v>4877.2591470588186</v>
      </c>
      <c r="R60" s="49">
        <f t="shared" si="25"/>
        <v>4449.2744217687068</v>
      </c>
      <c r="S60" s="50">
        <f t="shared" si="25"/>
        <v>5652.4182258064429</v>
      </c>
      <c r="T60" s="51">
        <f>SUM(T57,T59)</f>
        <v>0</v>
      </c>
      <c r="U60" s="37">
        <f>SUM(U57,U59)</f>
        <v>0</v>
      </c>
      <c r="V60" s="37">
        <f>SUM(V57,V59)</f>
        <v>0</v>
      </c>
      <c r="AA60" s="8"/>
    </row>
    <row r="61" spans="1:27" collapsed="1" x14ac:dyDescent="0.25">
      <c r="A61" s="9"/>
      <c r="B61" s="52" t="s">
        <v>45</v>
      </c>
      <c r="C61" s="53">
        <f>IFERROR(C50/C40,0)</f>
        <v>4093.4759931153112</v>
      </c>
      <c r="D61" s="54">
        <f t="shared" ref="D61:S64" si="26">IFERROR(D50/D40,0)</f>
        <v>3639.1652759948556</v>
      </c>
      <c r="E61" s="54">
        <f t="shared" si="26"/>
        <v>1563.3492857142821</v>
      </c>
      <c r="F61" s="54">
        <f t="shared" si="26"/>
        <v>0</v>
      </c>
      <c r="G61" s="54">
        <f t="shared" si="26"/>
        <v>2903.3873333333281</v>
      </c>
      <c r="H61" s="54">
        <f t="shared" si="26"/>
        <v>3414.2205689655093</v>
      </c>
      <c r="I61" s="54">
        <f t="shared" si="26"/>
        <v>3272.6665585585515</v>
      </c>
      <c r="J61" s="54">
        <f t="shared" si="26"/>
        <v>4266.7378217821688</v>
      </c>
      <c r="K61" s="54">
        <f t="shared" si="26"/>
        <v>4307.1739436619637</v>
      </c>
      <c r="L61" s="54">
        <f t="shared" si="26"/>
        <v>4019.9856296296216</v>
      </c>
      <c r="M61" s="54">
        <f t="shared" si="26"/>
        <v>4178.3301492537221</v>
      </c>
      <c r="N61" s="54">
        <f t="shared" si="26"/>
        <v>6240.165612903219</v>
      </c>
      <c r="O61" s="54">
        <f t="shared" si="26"/>
        <v>4694.2936037735781</v>
      </c>
      <c r="P61" s="54">
        <f t="shared" si="26"/>
        <v>4081.3497786720245</v>
      </c>
      <c r="Q61" s="54">
        <f t="shared" si="26"/>
        <v>4881.6743804034531</v>
      </c>
      <c r="R61" s="54">
        <f t="shared" si="26"/>
        <v>3979.7082173913018</v>
      </c>
      <c r="S61" s="55">
        <f t="shared" si="26"/>
        <v>5541.8414210526225</v>
      </c>
      <c r="T61" s="56">
        <f>IFERROR(T50/T40,0)</f>
        <v>0</v>
      </c>
      <c r="U61" s="36">
        <f>IFERROR(U50/U40,0)</f>
        <v>0</v>
      </c>
      <c r="V61" s="36">
        <f>IFERROR(V50/V40,0)</f>
        <v>0</v>
      </c>
      <c r="AA61" s="8"/>
    </row>
    <row r="62" spans="1:27" hidden="1" outlineLevel="1" x14ac:dyDescent="0.25">
      <c r="A62" s="9"/>
      <c r="B62" s="43" t="s">
        <v>46</v>
      </c>
      <c r="C62" s="31">
        <f>IFERROR(C51/C41,0)</f>
        <v>1298.6221299254501</v>
      </c>
      <c r="D62" s="44">
        <f t="shared" si="26"/>
        <v>1258.957134146342</v>
      </c>
      <c r="E62" s="44">
        <f t="shared" si="26"/>
        <v>379.51680851063708</v>
      </c>
      <c r="F62" s="44">
        <f t="shared" si="26"/>
        <v>0</v>
      </c>
      <c r="G62" s="44">
        <f t="shared" si="26"/>
        <v>1114.5689682539671</v>
      </c>
      <c r="H62" s="44">
        <f t="shared" si="26"/>
        <v>1471.1263963963943</v>
      </c>
      <c r="I62" s="44">
        <f t="shared" si="26"/>
        <v>718.292783018867</v>
      </c>
      <c r="J62" s="44">
        <f t="shared" si="26"/>
        <v>835.47895027624133</v>
      </c>
      <c r="K62" s="44">
        <f t="shared" si="26"/>
        <v>67.228333333333154</v>
      </c>
      <c r="L62" s="44">
        <f t="shared" si="26"/>
        <v>1434.9430666666635</v>
      </c>
      <c r="M62" s="44">
        <f t="shared" si="26"/>
        <v>1260.3688362068958</v>
      </c>
      <c r="N62" s="44">
        <f t="shared" si="26"/>
        <v>1775.3489795918326</v>
      </c>
      <c r="O62" s="44">
        <f t="shared" si="26"/>
        <v>1723.2226109660508</v>
      </c>
      <c r="P62" s="44">
        <f t="shared" si="26"/>
        <v>1707.2138931297675</v>
      </c>
      <c r="Q62" s="44">
        <f t="shared" si="26"/>
        <v>1052.6802597402577</v>
      </c>
      <c r="R62" s="44">
        <f t="shared" si="26"/>
        <v>1800.4278787878734</v>
      </c>
      <c r="S62" s="45">
        <f t="shared" si="26"/>
        <v>1287.4469868995607</v>
      </c>
      <c r="T62" s="32">
        <f>IFERROR(T51/T38,0)</f>
        <v>0</v>
      </c>
      <c r="U62" s="44">
        <f>IFERROR(U51/U38,0)</f>
        <v>0</v>
      </c>
      <c r="V62" s="44">
        <f>IFERROR(V51/V38,0)</f>
        <v>0</v>
      </c>
      <c r="AA62" s="8"/>
    </row>
    <row r="63" spans="1:27" hidden="1" outlineLevel="1" x14ac:dyDescent="0.25">
      <c r="A63" s="9"/>
      <c r="B63" s="43" t="s">
        <v>47</v>
      </c>
      <c r="C63" s="31">
        <f>IFERROR(C52/C42,0)</f>
        <v>0</v>
      </c>
      <c r="D63" s="44">
        <f t="shared" si="26"/>
        <v>0</v>
      </c>
      <c r="E63" s="44">
        <f t="shared" si="26"/>
        <v>0</v>
      </c>
      <c r="F63" s="44">
        <f t="shared" si="26"/>
        <v>0</v>
      </c>
      <c r="G63" s="44">
        <f t="shared" si="26"/>
        <v>0</v>
      </c>
      <c r="H63" s="44">
        <f t="shared" si="26"/>
        <v>0</v>
      </c>
      <c r="I63" s="44">
        <f t="shared" si="26"/>
        <v>0</v>
      </c>
      <c r="J63" s="44">
        <f t="shared" si="26"/>
        <v>0</v>
      </c>
      <c r="K63" s="44">
        <f t="shared" si="26"/>
        <v>0</v>
      </c>
      <c r="L63" s="44">
        <f t="shared" si="26"/>
        <v>0</v>
      </c>
      <c r="M63" s="44">
        <f t="shared" si="26"/>
        <v>0</v>
      </c>
      <c r="N63" s="44">
        <f t="shared" si="26"/>
        <v>0</v>
      </c>
      <c r="O63" s="44">
        <f t="shared" si="26"/>
        <v>0</v>
      </c>
      <c r="P63" s="44">
        <f t="shared" si="26"/>
        <v>0</v>
      </c>
      <c r="Q63" s="44">
        <f t="shared" si="26"/>
        <v>0</v>
      </c>
      <c r="R63" s="44">
        <f t="shared" si="26"/>
        <v>0</v>
      </c>
      <c r="S63" s="45">
        <f t="shared" si="26"/>
        <v>0</v>
      </c>
      <c r="T63" s="32">
        <f t="shared" ref="T63:V64" si="27">IFERROR(T52/T42,0)</f>
        <v>0</v>
      </c>
      <c r="U63" s="44">
        <f t="shared" si="27"/>
        <v>0</v>
      </c>
      <c r="V63" s="44">
        <f t="shared" si="27"/>
        <v>0</v>
      </c>
      <c r="AA63" s="8"/>
    </row>
    <row r="64" spans="1:27" hidden="1" outlineLevel="1" x14ac:dyDescent="0.25">
      <c r="A64" s="9"/>
      <c r="B64" s="43" t="s">
        <v>48</v>
      </c>
      <c r="C64" s="31">
        <f>IFERROR(C53/C43,0)</f>
        <v>346.95242939666196</v>
      </c>
      <c r="D64" s="44">
        <f t="shared" si="26"/>
        <v>369.54251655629133</v>
      </c>
      <c r="E64" s="44">
        <f t="shared" si="26"/>
        <v>-280.17131147541147</v>
      </c>
      <c r="F64" s="44">
        <f t="shared" si="26"/>
        <v>0</v>
      </c>
      <c r="G64" s="44">
        <f t="shared" si="26"/>
        <v>705.43516129032025</v>
      </c>
      <c r="H64" s="44">
        <f t="shared" si="26"/>
        <v>598.95971910112246</v>
      </c>
      <c r="I64" s="44">
        <f t="shared" si="26"/>
        <v>-91.504832214765059</v>
      </c>
      <c r="J64" s="44">
        <f t="shared" si="26"/>
        <v>116.6672727272734</v>
      </c>
      <c r="K64" s="44">
        <f t="shared" si="26"/>
        <v>-364.3213978494623</v>
      </c>
      <c r="L64" s="44">
        <f t="shared" si="26"/>
        <v>53.496770833333393</v>
      </c>
      <c r="M64" s="44">
        <f t="shared" si="26"/>
        <v>-40.268009950248981</v>
      </c>
      <c r="N64" s="44">
        <f t="shared" si="26"/>
        <v>234.5686231884055</v>
      </c>
      <c r="O64" s="44">
        <f t="shared" si="26"/>
        <v>1051.5754079254073</v>
      </c>
      <c r="P64" s="44">
        <f t="shared" si="26"/>
        <v>839.6038325991168</v>
      </c>
      <c r="Q64" s="44">
        <f t="shared" si="26"/>
        <v>192.70008695652223</v>
      </c>
      <c r="R64" s="44">
        <f t="shared" si="26"/>
        <v>239.27255102040729</v>
      </c>
      <c r="S64" s="45">
        <f t="shared" si="26"/>
        <v>340.30142857142874</v>
      </c>
      <c r="T64" s="32">
        <f t="shared" si="27"/>
        <v>0</v>
      </c>
      <c r="U64" s="44">
        <f t="shared" si="27"/>
        <v>0</v>
      </c>
      <c r="V64" s="44">
        <f t="shared" si="27"/>
        <v>0</v>
      </c>
      <c r="AA64" s="8"/>
    </row>
    <row r="65" spans="1:27" hidden="1" outlineLevel="1" x14ac:dyDescent="0.25">
      <c r="A65" s="9"/>
      <c r="B65" s="43" t="s">
        <v>49</v>
      </c>
      <c r="C65" s="31">
        <f>IFERROR(C54/C41,0)</f>
        <v>1402.0355697550583</v>
      </c>
      <c r="D65" s="44">
        <f t="shared" ref="D65:S65" si="28">IFERROR(D54/D41,0)</f>
        <v>1126.7775914634142</v>
      </c>
      <c r="E65" s="44">
        <f t="shared" si="28"/>
        <v>1586.8506382978719</v>
      </c>
      <c r="F65" s="44">
        <f t="shared" si="28"/>
        <v>0</v>
      </c>
      <c r="G65" s="44">
        <f t="shared" si="28"/>
        <v>1862.8961111111109</v>
      </c>
      <c r="H65" s="44">
        <f t="shared" si="28"/>
        <v>1461.1491441441433</v>
      </c>
      <c r="I65" s="44">
        <f t="shared" si="28"/>
        <v>1563.5612264150925</v>
      </c>
      <c r="J65" s="44">
        <f t="shared" si="28"/>
        <v>1718.0404419889494</v>
      </c>
      <c r="K65" s="44">
        <f t="shared" si="28"/>
        <v>962.12961538461536</v>
      </c>
      <c r="L65" s="44">
        <f t="shared" si="28"/>
        <v>1364.4360666666666</v>
      </c>
      <c r="M65" s="44">
        <f t="shared" si="28"/>
        <v>1134.7776724137923</v>
      </c>
      <c r="N65" s="44">
        <f t="shared" si="28"/>
        <v>1320.186462585034</v>
      </c>
      <c r="O65" s="44">
        <f t="shared" si="28"/>
        <v>1668.7693994778067</v>
      </c>
      <c r="P65" s="44">
        <f t="shared" si="28"/>
        <v>1419.5351145038164</v>
      </c>
      <c r="Q65" s="44">
        <f t="shared" si="28"/>
        <v>992.65714285714296</v>
      </c>
      <c r="R65" s="44">
        <f t="shared" si="28"/>
        <v>1802.2754545454547</v>
      </c>
      <c r="S65" s="45">
        <f t="shared" si="28"/>
        <v>1239.7608733624456</v>
      </c>
      <c r="T65" s="32">
        <f>IFERROR(T54/T41,0)</f>
        <v>0</v>
      </c>
      <c r="U65" s="44">
        <f>IFERROR(U54/U41,0)</f>
        <v>0</v>
      </c>
      <c r="V65" s="44">
        <f>IFERROR(V54/V41,0)</f>
        <v>0</v>
      </c>
      <c r="AA65" s="8"/>
    </row>
    <row r="66" spans="1:27" hidden="1" outlineLevel="1" x14ac:dyDescent="0.25">
      <c r="A66" s="9"/>
      <c r="B66" s="57" t="s">
        <v>50</v>
      </c>
      <c r="C66" s="34">
        <f>SUM(C62,C65)</f>
        <v>2700.6576996805084</v>
      </c>
      <c r="D66" s="46">
        <f t="shared" ref="D66:S66" si="29">SUM(D62,D65)</f>
        <v>2385.7347256097564</v>
      </c>
      <c r="E66" s="46">
        <f t="shared" si="29"/>
        <v>1966.3674468085089</v>
      </c>
      <c r="F66" s="46">
        <f t="shared" si="29"/>
        <v>0</v>
      </c>
      <c r="G66" s="46">
        <f t="shared" si="29"/>
        <v>2977.4650793650781</v>
      </c>
      <c r="H66" s="46">
        <f t="shared" si="29"/>
        <v>2932.2755405405378</v>
      </c>
      <c r="I66" s="46">
        <f t="shared" si="29"/>
        <v>2281.8540094339596</v>
      </c>
      <c r="J66" s="46">
        <f t="shared" si="29"/>
        <v>2553.5193922651906</v>
      </c>
      <c r="K66" s="46">
        <f t="shared" si="29"/>
        <v>1029.3579487179486</v>
      </c>
      <c r="L66" s="46">
        <f t="shared" si="29"/>
        <v>2799.3791333333302</v>
      </c>
      <c r="M66" s="46">
        <f t="shared" si="29"/>
        <v>2395.1465086206881</v>
      </c>
      <c r="N66" s="46">
        <f t="shared" si="29"/>
        <v>3095.5354421768666</v>
      </c>
      <c r="O66" s="46">
        <f t="shared" si="29"/>
        <v>3391.9920104438575</v>
      </c>
      <c r="P66" s="46">
        <f t="shared" si="29"/>
        <v>3126.7490076335839</v>
      </c>
      <c r="Q66" s="46">
        <f t="shared" si="29"/>
        <v>2045.3374025974008</v>
      </c>
      <c r="R66" s="46">
        <f t="shared" si="29"/>
        <v>3602.7033333333284</v>
      </c>
      <c r="S66" s="58">
        <f t="shared" si="29"/>
        <v>2527.2078602620063</v>
      </c>
      <c r="T66" s="51">
        <f>SUM(T62,T65)</f>
        <v>0</v>
      </c>
      <c r="U66" s="37">
        <f>SUM(U62,U65)</f>
        <v>0</v>
      </c>
      <c r="V66" s="36">
        <f>SUM(V62,V65)</f>
        <v>0</v>
      </c>
      <c r="AA66" s="8"/>
    </row>
    <row r="67" spans="1:27" collapsed="1" x14ac:dyDescent="0.25">
      <c r="A67" s="9"/>
      <c r="B67" s="59" t="s">
        <v>51</v>
      </c>
      <c r="C67" s="36">
        <f>IFERROR(C55/C44,0)</f>
        <v>1464.4962936119991</v>
      </c>
      <c r="D67" s="37">
        <f t="shared" ref="D67:S68" si="30">IFERROR(D55/D44,0)</f>
        <v>1216.2916133162612</v>
      </c>
      <c r="E67" s="37">
        <f t="shared" si="30"/>
        <v>697.48907407407251</v>
      </c>
      <c r="F67" s="37">
        <f t="shared" si="30"/>
        <v>0</v>
      </c>
      <c r="G67" s="37">
        <f t="shared" si="30"/>
        <v>2012.6304566210028</v>
      </c>
      <c r="H67" s="37">
        <f t="shared" si="30"/>
        <v>1893.9499999999978</v>
      </c>
      <c r="I67" s="37">
        <f t="shared" si="30"/>
        <v>895.06786274509693</v>
      </c>
      <c r="J67" s="37">
        <f t="shared" si="30"/>
        <v>1107.836337078651</v>
      </c>
      <c r="K67" s="37">
        <f t="shared" si="30"/>
        <v>271.39198830409356</v>
      </c>
      <c r="L67" s="37">
        <f t="shared" si="30"/>
        <v>1257.8311403508758</v>
      </c>
      <c r="M67" s="37">
        <f t="shared" si="30"/>
        <v>1264.6192147805996</v>
      </c>
      <c r="N67" s="37">
        <f t="shared" si="30"/>
        <v>1710.2251929824538</v>
      </c>
      <c r="O67" s="37">
        <f t="shared" si="30"/>
        <v>2155.4911206896513</v>
      </c>
      <c r="P67" s="37">
        <f t="shared" si="30"/>
        <v>2065.0272188139029</v>
      </c>
      <c r="Q67" s="37">
        <f t="shared" si="30"/>
        <v>935.68484374999946</v>
      </c>
      <c r="R67" s="37">
        <f t="shared" si="30"/>
        <v>1086.5490076335859</v>
      </c>
      <c r="S67" s="60">
        <f t="shared" si="30"/>
        <v>2055.3753082191761</v>
      </c>
      <c r="T67" s="56">
        <f>IFERROR(T55/T44,0)</f>
        <v>0</v>
      </c>
      <c r="U67" s="36">
        <f>IFERROR(U55/U44,0)</f>
        <v>0</v>
      </c>
      <c r="V67" s="36">
        <f>IFERROR(V55/V44,0)</f>
        <v>0</v>
      </c>
      <c r="AA67" s="8"/>
    </row>
    <row r="68" spans="1:27" ht="15.75" thickBot="1" x14ac:dyDescent="0.3">
      <c r="A68" s="9"/>
      <c r="B68" s="61" t="s">
        <v>52</v>
      </c>
      <c r="C68" s="62">
        <f>IFERROR(C56/C45,0)</f>
        <v>2765.2177492974492</v>
      </c>
      <c r="D68" s="62">
        <f t="shared" si="30"/>
        <v>2426.1753205128157</v>
      </c>
      <c r="E68" s="62">
        <f t="shared" si="30"/>
        <v>993.14865853658307</v>
      </c>
      <c r="F68" s="62">
        <f t="shared" si="30"/>
        <v>0</v>
      </c>
      <c r="G68" s="62">
        <f t="shared" si="30"/>
        <v>2448.6652913752878</v>
      </c>
      <c r="H68" s="62">
        <f t="shared" si="30"/>
        <v>2793.7019693877492</v>
      </c>
      <c r="I68" s="62">
        <f t="shared" si="30"/>
        <v>2134.0981690140802</v>
      </c>
      <c r="J68" s="62">
        <f t="shared" si="30"/>
        <v>2611.0120730270864</v>
      </c>
      <c r="K68" s="62">
        <f t="shared" si="30"/>
        <v>2102.3218210862588</v>
      </c>
      <c r="L68" s="62">
        <f t="shared" si="30"/>
        <v>2476.4287091503224</v>
      </c>
      <c r="M68" s="62">
        <f t="shared" si="30"/>
        <v>2535.5738541666619</v>
      </c>
      <c r="N68" s="62">
        <f t="shared" si="30"/>
        <v>3305.999659090905</v>
      </c>
      <c r="O68" s="62">
        <f t="shared" si="30"/>
        <v>3593.0609027777723</v>
      </c>
      <c r="P68" s="62">
        <f t="shared" si="30"/>
        <v>3081.3683062880273</v>
      </c>
      <c r="Q68" s="62">
        <f t="shared" si="30"/>
        <v>2808.8153077975348</v>
      </c>
      <c r="R68" s="62">
        <f t="shared" si="30"/>
        <v>2439.0421341463393</v>
      </c>
      <c r="S68" s="63">
        <f t="shared" si="30"/>
        <v>3429.7084232365096</v>
      </c>
      <c r="T68" s="7"/>
      <c r="U68" s="7"/>
      <c r="V68" s="7"/>
      <c r="AA68" s="8"/>
    </row>
    <row r="69" spans="1:27" ht="5.25" customHeight="1" x14ac:dyDescent="0.25"/>
    <row r="70" spans="1:27" x14ac:dyDescent="0.25">
      <c r="B70" s="68" t="s">
        <v>63</v>
      </c>
      <c r="C70" s="65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7" t="s">
        <v>18</v>
      </c>
      <c r="U70" s="5" t="s">
        <v>19</v>
      </c>
      <c r="V70" s="5" t="s">
        <v>20</v>
      </c>
    </row>
    <row r="71" spans="1:27" hidden="1" outlineLevel="1" x14ac:dyDescent="0.25">
      <c r="A71" s="9"/>
      <c r="B71" s="10" t="s">
        <v>21</v>
      </c>
      <c r="C71" s="12">
        <f t="shared" ref="C71:V83" si="31">+C5-C38</f>
        <v>86</v>
      </c>
      <c r="D71" s="12">
        <f t="shared" si="31"/>
        <v>-65</v>
      </c>
      <c r="E71" s="12">
        <f t="shared" si="31"/>
        <v>-25</v>
      </c>
      <c r="F71" s="12">
        <f t="shared" si="31"/>
        <v>0</v>
      </c>
      <c r="G71" s="12">
        <f t="shared" si="31"/>
        <v>47</v>
      </c>
      <c r="H71" s="12">
        <f t="shared" si="31"/>
        <v>-75</v>
      </c>
      <c r="I71" s="12">
        <f t="shared" si="31"/>
        <v>-100</v>
      </c>
      <c r="J71" s="12">
        <f t="shared" si="31"/>
        <v>0</v>
      </c>
      <c r="K71" s="12">
        <f t="shared" si="31"/>
        <v>37</v>
      </c>
      <c r="L71" s="12">
        <f t="shared" si="31"/>
        <v>50</v>
      </c>
      <c r="M71" s="12">
        <f t="shared" si="31"/>
        <v>39</v>
      </c>
      <c r="N71" s="12">
        <f t="shared" si="31"/>
        <v>29</v>
      </c>
      <c r="O71" s="12">
        <f t="shared" si="31"/>
        <v>36</v>
      </c>
      <c r="P71" s="12">
        <f t="shared" si="31"/>
        <v>-11</v>
      </c>
      <c r="Q71" s="12">
        <f t="shared" si="31"/>
        <v>22</v>
      </c>
      <c r="R71" s="12">
        <f t="shared" si="31"/>
        <v>105</v>
      </c>
      <c r="S71" s="12">
        <f t="shared" si="31"/>
        <v>-3</v>
      </c>
      <c r="T71" s="12">
        <f t="shared" si="31"/>
        <v>0</v>
      </c>
      <c r="U71" s="12">
        <f t="shared" si="31"/>
        <v>0</v>
      </c>
      <c r="V71" s="12">
        <f t="shared" si="31"/>
        <v>0</v>
      </c>
      <c r="AA71" s="8"/>
    </row>
    <row r="72" spans="1:27" hidden="1" outlineLevel="1" x14ac:dyDescent="0.25">
      <c r="A72" s="9"/>
      <c r="B72" s="13" t="s">
        <v>22</v>
      </c>
      <c r="C72" s="15">
        <f t="shared" si="31"/>
        <v>10</v>
      </c>
      <c r="D72" s="15">
        <f t="shared" si="31"/>
        <v>15</v>
      </c>
      <c r="E72" s="15">
        <f t="shared" si="31"/>
        <v>-7</v>
      </c>
      <c r="F72" s="15">
        <f t="shared" si="31"/>
        <v>0</v>
      </c>
      <c r="G72" s="15">
        <f t="shared" si="31"/>
        <v>-8</v>
      </c>
      <c r="H72" s="15">
        <f t="shared" si="31"/>
        <v>13</v>
      </c>
      <c r="I72" s="15">
        <f t="shared" si="31"/>
        <v>6</v>
      </c>
      <c r="J72" s="15">
        <f t="shared" si="31"/>
        <v>8</v>
      </c>
      <c r="K72" s="15">
        <f t="shared" si="31"/>
        <v>7</v>
      </c>
      <c r="L72" s="15">
        <f t="shared" si="31"/>
        <v>10</v>
      </c>
      <c r="M72" s="15">
        <f t="shared" si="31"/>
        <v>10</v>
      </c>
      <c r="N72" s="15">
        <f t="shared" si="31"/>
        <v>-1</v>
      </c>
      <c r="O72" s="15">
        <f t="shared" si="31"/>
        <v>0</v>
      </c>
      <c r="P72" s="15">
        <f t="shared" si="31"/>
        <v>-5</v>
      </c>
      <c r="Q72" s="15">
        <f t="shared" si="31"/>
        <v>7</v>
      </c>
      <c r="R72" s="15">
        <f t="shared" si="31"/>
        <v>-42</v>
      </c>
      <c r="S72" s="15">
        <f t="shared" si="31"/>
        <v>-3</v>
      </c>
      <c r="T72" s="15">
        <f t="shared" si="31"/>
        <v>0</v>
      </c>
      <c r="U72" s="15">
        <f t="shared" si="31"/>
        <v>0</v>
      </c>
      <c r="V72" s="15">
        <f t="shared" si="31"/>
        <v>0</v>
      </c>
      <c r="AA72" s="8"/>
    </row>
    <row r="73" spans="1:27" collapsed="1" x14ac:dyDescent="0.25">
      <c r="A73" s="9"/>
      <c r="B73" s="16" t="s">
        <v>23</v>
      </c>
      <c r="C73" s="17">
        <f t="shared" si="31"/>
        <v>96</v>
      </c>
      <c r="D73" s="18">
        <f t="shared" si="31"/>
        <v>-50</v>
      </c>
      <c r="E73" s="18">
        <f t="shared" si="31"/>
        <v>-32</v>
      </c>
      <c r="F73" s="18">
        <f t="shared" si="31"/>
        <v>0</v>
      </c>
      <c r="G73" s="18">
        <f t="shared" si="31"/>
        <v>39</v>
      </c>
      <c r="H73" s="18">
        <f t="shared" si="31"/>
        <v>-62</v>
      </c>
      <c r="I73" s="18">
        <f t="shared" si="31"/>
        <v>-94</v>
      </c>
      <c r="J73" s="18">
        <f t="shared" si="31"/>
        <v>8</v>
      </c>
      <c r="K73" s="18">
        <f t="shared" si="31"/>
        <v>44</v>
      </c>
      <c r="L73" s="18">
        <f t="shared" si="31"/>
        <v>60</v>
      </c>
      <c r="M73" s="18">
        <f t="shared" si="31"/>
        <v>49</v>
      </c>
      <c r="N73" s="18">
        <f t="shared" si="31"/>
        <v>28</v>
      </c>
      <c r="O73" s="18">
        <f t="shared" si="31"/>
        <v>36</v>
      </c>
      <c r="P73" s="18">
        <f t="shared" si="31"/>
        <v>-16</v>
      </c>
      <c r="Q73" s="18">
        <f t="shared" si="31"/>
        <v>29</v>
      </c>
      <c r="R73" s="18">
        <f t="shared" si="31"/>
        <v>63</v>
      </c>
      <c r="S73" s="18">
        <f t="shared" si="31"/>
        <v>-6</v>
      </c>
      <c r="T73" s="19">
        <f t="shared" si="31"/>
        <v>0</v>
      </c>
      <c r="U73" s="19">
        <f t="shared" si="31"/>
        <v>0</v>
      </c>
      <c r="V73" s="19">
        <f t="shared" si="31"/>
        <v>0</v>
      </c>
      <c r="AA73" s="8"/>
    </row>
    <row r="74" spans="1:27" ht="14.25" hidden="1" customHeight="1" outlineLevel="1" x14ac:dyDescent="0.25">
      <c r="A74" s="9"/>
      <c r="B74" s="10" t="s">
        <v>24</v>
      </c>
      <c r="C74" s="11">
        <f t="shared" si="31"/>
        <v>113</v>
      </c>
      <c r="D74" s="12">
        <f t="shared" si="31"/>
        <v>-6</v>
      </c>
      <c r="E74" s="12">
        <f t="shared" si="31"/>
        <v>-41</v>
      </c>
      <c r="F74" s="12">
        <f t="shared" si="31"/>
        <v>0</v>
      </c>
      <c r="G74" s="12">
        <f t="shared" si="31"/>
        <v>41</v>
      </c>
      <c r="H74" s="12">
        <f t="shared" si="31"/>
        <v>-26</v>
      </c>
      <c r="I74" s="12">
        <f t="shared" si="31"/>
        <v>4</v>
      </c>
      <c r="J74" s="12">
        <f t="shared" si="31"/>
        <v>25</v>
      </c>
      <c r="K74" s="12">
        <f t="shared" si="31"/>
        <v>-4</v>
      </c>
      <c r="L74" s="12">
        <f t="shared" si="31"/>
        <v>59</v>
      </c>
      <c r="M74" s="12">
        <f t="shared" si="31"/>
        <v>14</v>
      </c>
      <c r="N74" s="12">
        <f t="shared" si="31"/>
        <v>-7</v>
      </c>
      <c r="O74" s="12">
        <f t="shared" si="31"/>
        <v>40</v>
      </c>
      <c r="P74" s="12">
        <f t="shared" si="31"/>
        <v>-27</v>
      </c>
      <c r="Q74" s="12">
        <f t="shared" si="31"/>
        <v>59</v>
      </c>
      <c r="R74" s="12">
        <f t="shared" si="31"/>
        <v>-26</v>
      </c>
      <c r="S74" s="12">
        <f t="shared" si="31"/>
        <v>8</v>
      </c>
      <c r="T74" s="20">
        <f t="shared" si="31"/>
        <v>0</v>
      </c>
      <c r="U74" s="20">
        <f t="shared" si="31"/>
        <v>0</v>
      </c>
      <c r="V74" s="20">
        <f t="shared" si="31"/>
        <v>0</v>
      </c>
      <c r="AA74" s="8"/>
    </row>
    <row r="75" spans="1:27" hidden="1" outlineLevel="1" x14ac:dyDescent="0.25">
      <c r="A75" s="9"/>
      <c r="B75" s="13" t="s">
        <v>25</v>
      </c>
      <c r="C75" s="14">
        <f t="shared" si="31"/>
        <v>0</v>
      </c>
      <c r="D75" s="15">
        <f t="shared" si="31"/>
        <v>0</v>
      </c>
      <c r="E75" s="15">
        <f t="shared" si="31"/>
        <v>0</v>
      </c>
      <c r="F75" s="15">
        <f t="shared" si="31"/>
        <v>0</v>
      </c>
      <c r="G75" s="15">
        <f t="shared" si="31"/>
        <v>0</v>
      </c>
      <c r="H75" s="15">
        <f t="shared" si="31"/>
        <v>0</v>
      </c>
      <c r="I75" s="15">
        <f t="shared" si="31"/>
        <v>0</v>
      </c>
      <c r="J75" s="15">
        <f t="shared" si="31"/>
        <v>0</v>
      </c>
      <c r="K75" s="15">
        <f t="shared" si="31"/>
        <v>0</v>
      </c>
      <c r="L75" s="15">
        <f t="shared" si="31"/>
        <v>0</v>
      </c>
      <c r="M75" s="15">
        <f t="shared" si="31"/>
        <v>0</v>
      </c>
      <c r="N75" s="15">
        <f t="shared" si="31"/>
        <v>0</v>
      </c>
      <c r="O75" s="15">
        <f t="shared" si="31"/>
        <v>0</v>
      </c>
      <c r="P75" s="15">
        <f t="shared" si="31"/>
        <v>0</v>
      </c>
      <c r="Q75" s="15">
        <f t="shared" si="31"/>
        <v>0</v>
      </c>
      <c r="R75" s="15">
        <f t="shared" si="31"/>
        <v>0</v>
      </c>
      <c r="S75" s="15">
        <f t="shared" si="31"/>
        <v>0</v>
      </c>
      <c r="T75" s="21">
        <f t="shared" si="31"/>
        <v>0</v>
      </c>
      <c r="U75" s="21">
        <f t="shared" si="31"/>
        <v>0</v>
      </c>
      <c r="V75" s="21">
        <f t="shared" si="31"/>
        <v>0</v>
      </c>
      <c r="AA75" s="8"/>
    </row>
    <row r="76" spans="1:27" hidden="1" outlineLevel="1" x14ac:dyDescent="0.25">
      <c r="A76" s="9"/>
      <c r="B76" s="13" t="s">
        <v>26</v>
      </c>
      <c r="C76" s="22">
        <f t="shared" si="31"/>
        <v>-266</v>
      </c>
      <c r="D76" s="23">
        <f t="shared" si="31"/>
        <v>-68</v>
      </c>
      <c r="E76" s="23">
        <f t="shared" si="31"/>
        <v>-40</v>
      </c>
      <c r="F76" s="23">
        <f t="shared" si="31"/>
        <v>0</v>
      </c>
      <c r="G76" s="23">
        <f t="shared" si="31"/>
        <v>4</v>
      </c>
      <c r="H76" s="23">
        <f t="shared" si="31"/>
        <v>-10</v>
      </c>
      <c r="I76" s="23">
        <f t="shared" si="31"/>
        <v>-69</v>
      </c>
      <c r="J76" s="23">
        <f t="shared" si="31"/>
        <v>-30</v>
      </c>
      <c r="K76" s="23">
        <f t="shared" si="31"/>
        <v>14</v>
      </c>
      <c r="L76" s="23">
        <f t="shared" si="31"/>
        <v>28</v>
      </c>
      <c r="M76" s="23">
        <f t="shared" si="31"/>
        <v>-9</v>
      </c>
      <c r="N76" s="23">
        <f t="shared" si="31"/>
        <v>0</v>
      </c>
      <c r="O76" s="23">
        <f t="shared" si="31"/>
        <v>-89</v>
      </c>
      <c r="P76" s="23">
        <f t="shared" si="31"/>
        <v>-10</v>
      </c>
      <c r="Q76" s="23">
        <f t="shared" si="31"/>
        <v>13</v>
      </c>
      <c r="R76" s="23">
        <f t="shared" si="31"/>
        <v>-8</v>
      </c>
      <c r="S76" s="23">
        <f t="shared" si="31"/>
        <v>8</v>
      </c>
      <c r="T76" s="24">
        <f t="shared" si="31"/>
        <v>0</v>
      </c>
      <c r="U76" s="24">
        <f t="shared" si="31"/>
        <v>0</v>
      </c>
      <c r="V76" s="24">
        <f t="shared" si="31"/>
        <v>0</v>
      </c>
      <c r="AA76" s="8"/>
    </row>
    <row r="77" spans="1:27" collapsed="1" x14ac:dyDescent="0.25">
      <c r="A77" s="9"/>
      <c r="B77" s="16" t="s">
        <v>27</v>
      </c>
      <c r="C77" s="17">
        <f t="shared" si="31"/>
        <v>-153</v>
      </c>
      <c r="D77" s="18">
        <f t="shared" si="31"/>
        <v>-74</v>
      </c>
      <c r="E77" s="18">
        <f t="shared" si="31"/>
        <v>-81</v>
      </c>
      <c r="F77" s="18">
        <f t="shared" si="31"/>
        <v>0</v>
      </c>
      <c r="G77" s="18">
        <f t="shared" si="31"/>
        <v>45</v>
      </c>
      <c r="H77" s="18">
        <f t="shared" si="31"/>
        <v>-36</v>
      </c>
      <c r="I77" s="18">
        <f t="shared" si="31"/>
        <v>-65</v>
      </c>
      <c r="J77" s="18">
        <f t="shared" si="31"/>
        <v>-5</v>
      </c>
      <c r="K77" s="18">
        <f t="shared" si="31"/>
        <v>10</v>
      </c>
      <c r="L77" s="18">
        <f t="shared" si="31"/>
        <v>87</v>
      </c>
      <c r="M77" s="18">
        <f t="shared" si="31"/>
        <v>5</v>
      </c>
      <c r="N77" s="18">
        <f t="shared" si="31"/>
        <v>-7</v>
      </c>
      <c r="O77" s="18">
        <f t="shared" si="31"/>
        <v>-49</v>
      </c>
      <c r="P77" s="18">
        <f t="shared" si="31"/>
        <v>-37</v>
      </c>
      <c r="Q77" s="18">
        <f t="shared" si="31"/>
        <v>72</v>
      </c>
      <c r="R77" s="18">
        <f t="shared" si="31"/>
        <v>-34</v>
      </c>
      <c r="S77" s="18">
        <f t="shared" si="31"/>
        <v>16</v>
      </c>
      <c r="T77" s="19">
        <f t="shared" si="31"/>
        <v>0</v>
      </c>
      <c r="U77" s="19">
        <f t="shared" si="31"/>
        <v>0</v>
      </c>
      <c r="V77" s="19">
        <f t="shared" si="31"/>
        <v>0</v>
      </c>
      <c r="AA77" s="8"/>
    </row>
    <row r="78" spans="1:27" ht="15.75" thickBot="1" x14ac:dyDescent="0.3">
      <c r="A78" s="9"/>
      <c r="B78" s="25" t="s">
        <v>28</v>
      </c>
      <c r="C78" s="11">
        <f t="shared" si="31"/>
        <v>-57</v>
      </c>
      <c r="D78" s="11">
        <f>+D12-D45</f>
        <v>-124</v>
      </c>
      <c r="E78" s="11">
        <f t="shared" si="31"/>
        <v>-113</v>
      </c>
      <c r="F78" s="11">
        <f t="shared" si="31"/>
        <v>0</v>
      </c>
      <c r="G78" s="11">
        <f t="shared" si="31"/>
        <v>84</v>
      </c>
      <c r="H78" s="11">
        <f t="shared" si="31"/>
        <v>-98</v>
      </c>
      <c r="I78" s="11">
        <f t="shared" si="31"/>
        <v>-159</v>
      </c>
      <c r="J78" s="11">
        <f t="shared" si="31"/>
        <v>3</v>
      </c>
      <c r="K78" s="11">
        <f t="shared" si="31"/>
        <v>54</v>
      </c>
      <c r="L78" s="11">
        <f t="shared" si="31"/>
        <v>147</v>
      </c>
      <c r="M78" s="11">
        <f t="shared" si="31"/>
        <v>54</v>
      </c>
      <c r="N78" s="11">
        <f t="shared" si="31"/>
        <v>21</v>
      </c>
      <c r="O78" s="11">
        <f t="shared" si="31"/>
        <v>-13</v>
      </c>
      <c r="P78" s="11">
        <f t="shared" si="31"/>
        <v>-53</v>
      </c>
      <c r="Q78" s="11">
        <f t="shared" si="31"/>
        <v>101</v>
      </c>
      <c r="R78" s="11">
        <f t="shared" si="31"/>
        <v>29</v>
      </c>
      <c r="S78" s="11">
        <f t="shared" si="31"/>
        <v>10</v>
      </c>
      <c r="T78" s="26"/>
      <c r="U78" s="26"/>
      <c r="V78" s="26"/>
      <c r="AA78" s="8"/>
    </row>
    <row r="79" spans="1:27" ht="15.75" hidden="1" outlineLevel="1" thickBot="1" x14ac:dyDescent="0.3">
      <c r="A79" s="9"/>
      <c r="B79" s="27" t="s">
        <v>30</v>
      </c>
      <c r="C79" s="28">
        <f t="shared" si="31"/>
        <v>-383426.26999998093</v>
      </c>
      <c r="D79" s="29">
        <f t="shared" si="31"/>
        <v>-178836.42999999644</v>
      </c>
      <c r="E79" s="29">
        <f t="shared" si="31"/>
        <v>-82935.369999999559</v>
      </c>
      <c r="F79" s="29">
        <f t="shared" si="31"/>
        <v>0</v>
      </c>
      <c r="G79" s="29">
        <f t="shared" si="31"/>
        <v>-104325.8599999999</v>
      </c>
      <c r="H79" s="29">
        <f t="shared" si="31"/>
        <v>-92360.230000001378</v>
      </c>
      <c r="I79" s="29">
        <f t="shared" si="31"/>
        <v>-293351.51999999734</v>
      </c>
      <c r="J79" s="29">
        <f t="shared" si="31"/>
        <v>121468.05000000144</v>
      </c>
      <c r="K79" s="29">
        <f t="shared" si="31"/>
        <v>-40435.449999999895</v>
      </c>
      <c r="L79" s="29">
        <f t="shared" si="31"/>
        <v>223626.15000000119</v>
      </c>
      <c r="M79" s="29">
        <f t="shared" si="31"/>
        <v>-31230.389999996987</v>
      </c>
      <c r="N79" s="29">
        <f t="shared" si="31"/>
        <v>90268.939999999478</v>
      </c>
      <c r="O79" s="29">
        <f t="shared" si="31"/>
        <v>-312758.15999999223</v>
      </c>
      <c r="P79" s="29">
        <f t="shared" si="31"/>
        <v>41052.110000002082</v>
      </c>
      <c r="Q79" s="29">
        <f t="shared" si="31"/>
        <v>-9420.1700000010896</v>
      </c>
      <c r="R79" s="29">
        <f t="shared" si="31"/>
        <v>398797.08999999968</v>
      </c>
      <c r="S79" s="29">
        <f t="shared" si="31"/>
        <v>-112985.02999999875</v>
      </c>
      <c r="T79" s="29">
        <f t="shared" si="31"/>
        <v>0</v>
      </c>
      <c r="U79" s="29">
        <f t="shared" si="31"/>
        <v>0</v>
      </c>
      <c r="V79" s="29">
        <f t="shared" si="31"/>
        <v>0</v>
      </c>
      <c r="AA79" s="8"/>
    </row>
    <row r="80" spans="1:27" ht="15.75" hidden="1" outlineLevel="1" thickBot="1" x14ac:dyDescent="0.3">
      <c r="A80" s="9"/>
      <c r="B80" s="30" t="s">
        <v>31</v>
      </c>
      <c r="C80" s="31">
        <f t="shared" si="31"/>
        <v>-26763.820000000065</v>
      </c>
      <c r="D80" s="32">
        <f t="shared" si="31"/>
        <v>27460.020000000193</v>
      </c>
      <c r="E80" s="32">
        <f t="shared" si="31"/>
        <v>-65.920000000000073</v>
      </c>
      <c r="F80" s="32">
        <f t="shared" si="31"/>
        <v>0</v>
      </c>
      <c r="G80" s="32">
        <f t="shared" si="31"/>
        <v>-10691.93</v>
      </c>
      <c r="H80" s="32">
        <f t="shared" si="31"/>
        <v>-5298.3499999999985</v>
      </c>
      <c r="I80" s="32">
        <f t="shared" si="31"/>
        <v>17705.769999999924</v>
      </c>
      <c r="J80" s="32">
        <f t="shared" si="31"/>
        <v>-7161.0900000000111</v>
      </c>
      <c r="K80" s="32">
        <f t="shared" si="31"/>
        <v>-4590.9999999999927</v>
      </c>
      <c r="L80" s="32">
        <f t="shared" si="31"/>
        <v>-5688.9300000000294</v>
      </c>
      <c r="M80" s="32">
        <f t="shared" si="31"/>
        <v>-8818.1300000001393</v>
      </c>
      <c r="N80" s="32">
        <f t="shared" si="31"/>
        <v>-15482.199999999953</v>
      </c>
      <c r="O80" s="32">
        <f t="shared" si="31"/>
        <v>-1175.6899999999378</v>
      </c>
      <c r="P80" s="32">
        <f t="shared" si="31"/>
        <v>-3062.6099999999997</v>
      </c>
      <c r="Q80" s="32">
        <f t="shared" si="31"/>
        <v>378.95000000005894</v>
      </c>
      <c r="R80" s="32">
        <f t="shared" si="31"/>
        <v>-7693.1800000000449</v>
      </c>
      <c r="S80" s="32">
        <f t="shared" si="31"/>
        <v>-2579.5299999999979</v>
      </c>
      <c r="T80" s="32">
        <f t="shared" si="31"/>
        <v>0</v>
      </c>
      <c r="U80" s="32">
        <f t="shared" si="31"/>
        <v>0</v>
      </c>
      <c r="V80" s="32">
        <f t="shared" si="31"/>
        <v>0</v>
      </c>
      <c r="AA80" s="8"/>
    </row>
    <row r="81" spans="1:27" ht="15.75" hidden="1" outlineLevel="1" thickBot="1" x14ac:dyDescent="0.3">
      <c r="A81" s="9"/>
      <c r="B81" s="30" t="s">
        <v>32</v>
      </c>
      <c r="C81" s="31">
        <f t="shared" si="31"/>
        <v>182376.7699999999</v>
      </c>
      <c r="D81" s="32">
        <f t="shared" si="31"/>
        <v>42656.699999999939</v>
      </c>
      <c r="E81" s="32">
        <f t="shared" si="31"/>
        <v>0</v>
      </c>
      <c r="F81" s="32">
        <f t="shared" si="31"/>
        <v>0</v>
      </c>
      <c r="G81" s="32">
        <f t="shared" si="31"/>
        <v>-7288.5099999999802</v>
      </c>
      <c r="H81" s="32">
        <f t="shared" si="31"/>
        <v>-10409.119999999923</v>
      </c>
      <c r="I81" s="32">
        <f t="shared" si="31"/>
        <v>13719.240000000031</v>
      </c>
      <c r="J81" s="32">
        <f t="shared" si="31"/>
        <v>13038.659999999873</v>
      </c>
      <c r="K81" s="32">
        <f t="shared" si="31"/>
        <v>-2961.2100000000573</v>
      </c>
      <c r="L81" s="32">
        <f t="shared" si="31"/>
        <v>-13579.230000000029</v>
      </c>
      <c r="M81" s="32">
        <f t="shared" si="31"/>
        <v>55611.379999999808</v>
      </c>
      <c r="N81" s="32">
        <f t="shared" si="31"/>
        <v>-10083.160000000011</v>
      </c>
      <c r="O81" s="32">
        <f t="shared" si="31"/>
        <v>0</v>
      </c>
      <c r="P81" s="32">
        <f t="shared" si="31"/>
        <v>184355.47000000026</v>
      </c>
      <c r="Q81" s="32">
        <f t="shared" si="31"/>
        <v>39145.609999999884</v>
      </c>
      <c r="R81" s="32">
        <f t="shared" si="31"/>
        <v>-121828.83999999991</v>
      </c>
      <c r="S81" s="32">
        <f t="shared" si="31"/>
        <v>-0.21999999999945805</v>
      </c>
      <c r="T81" s="32">
        <f t="shared" si="31"/>
        <v>0</v>
      </c>
      <c r="U81" s="32">
        <f t="shared" si="31"/>
        <v>0</v>
      </c>
      <c r="V81" s="32">
        <f t="shared" si="31"/>
        <v>0</v>
      </c>
      <c r="AA81" s="8"/>
    </row>
    <row r="82" spans="1:27" ht="15.75" hidden="1" outlineLevel="1" thickBot="1" x14ac:dyDescent="0.3">
      <c r="A82" s="9"/>
      <c r="B82" s="33" t="s">
        <v>33</v>
      </c>
      <c r="C82" s="34">
        <f t="shared" si="31"/>
        <v>774278.53000000212</v>
      </c>
      <c r="D82" s="35">
        <f t="shared" si="31"/>
        <v>115993.77999999921</v>
      </c>
      <c r="E82" s="35">
        <f t="shared" si="31"/>
        <v>-15091.89</v>
      </c>
      <c r="F82" s="35">
        <f t="shared" si="31"/>
        <v>0</v>
      </c>
      <c r="G82" s="35">
        <f t="shared" si="31"/>
        <v>29453.84999999986</v>
      </c>
      <c r="H82" s="35">
        <f t="shared" si="31"/>
        <v>-53224.769999999087</v>
      </c>
      <c r="I82" s="35">
        <f t="shared" si="31"/>
        <v>-35305.490000000224</v>
      </c>
      <c r="J82" s="35">
        <f t="shared" si="31"/>
        <v>-6639.699999999837</v>
      </c>
      <c r="K82" s="35">
        <f t="shared" si="31"/>
        <v>71720.22</v>
      </c>
      <c r="L82" s="35">
        <f t="shared" si="31"/>
        <v>67914.300000000047</v>
      </c>
      <c r="M82" s="35">
        <f t="shared" si="31"/>
        <v>47548.67999999976</v>
      </c>
      <c r="N82" s="35">
        <f t="shared" si="31"/>
        <v>122490.04000000033</v>
      </c>
      <c r="O82" s="35">
        <f t="shared" si="31"/>
        <v>235671.900000002</v>
      </c>
      <c r="P82" s="35">
        <f t="shared" si="31"/>
        <v>-81664.230000000098</v>
      </c>
      <c r="Q82" s="35">
        <f t="shared" si="31"/>
        <v>20818.320000000123</v>
      </c>
      <c r="R82" s="35">
        <f t="shared" si="31"/>
        <v>170930.48999999976</v>
      </c>
      <c r="S82" s="35">
        <f t="shared" si="31"/>
        <v>83663.030000000144</v>
      </c>
      <c r="T82" s="35">
        <f t="shared" si="31"/>
        <v>0</v>
      </c>
      <c r="U82" s="35">
        <f t="shared" si="31"/>
        <v>0</v>
      </c>
      <c r="V82" s="35">
        <f t="shared" si="31"/>
        <v>0</v>
      </c>
      <c r="AA82" s="8"/>
    </row>
    <row r="83" spans="1:27" ht="15.75" hidden="1" outlineLevel="1" thickBot="1" x14ac:dyDescent="0.3">
      <c r="A83" s="9"/>
      <c r="B83" s="16" t="s">
        <v>34</v>
      </c>
      <c r="C83" s="36">
        <f t="shared" si="31"/>
        <v>546465.21000001952</v>
      </c>
      <c r="D83" s="37">
        <f t="shared" si="31"/>
        <v>7274.0700000026263</v>
      </c>
      <c r="E83" s="37">
        <f t="shared" si="31"/>
        <v>-98093.179999999556</v>
      </c>
      <c r="F83" s="37">
        <f t="shared" si="31"/>
        <v>0</v>
      </c>
      <c r="G83" s="37">
        <f t="shared" si="31"/>
        <v>-92852.449999999953</v>
      </c>
      <c r="H83" s="37">
        <f t="shared" si="31"/>
        <v>-161292.47000000044</v>
      </c>
      <c r="I83" s="37">
        <f t="shared" si="31"/>
        <v>-297231.99999999744</v>
      </c>
      <c r="J83" s="37">
        <f t="shared" si="31"/>
        <v>120705.92000000179</v>
      </c>
      <c r="K83" s="37">
        <f t="shared" si="31"/>
        <v>23732.560000000056</v>
      </c>
      <c r="L83" s="37">
        <f t="shared" si="31"/>
        <v>272272.2900000012</v>
      </c>
      <c r="M83" s="37">
        <f t="shared" si="31"/>
        <v>63111.540000002598</v>
      </c>
      <c r="N83" s="37">
        <f t="shared" si="31"/>
        <v>187193.61999999988</v>
      </c>
      <c r="O83" s="37">
        <f t="shared" si="31"/>
        <v>-78261.949999989942</v>
      </c>
      <c r="P83" s="37">
        <f t="shared" si="31"/>
        <v>140680.74000000209</v>
      </c>
      <c r="Q83" s="37">
        <f t="shared" si="31"/>
        <v>50922.709999998799</v>
      </c>
      <c r="R83" s="37">
        <f t="shared" si="31"/>
        <v>440205.55999999959</v>
      </c>
      <c r="S83" s="37">
        <f t="shared" si="31"/>
        <v>-31901.749999998603</v>
      </c>
      <c r="T83" s="36">
        <f t="shared" si="31"/>
        <v>0</v>
      </c>
      <c r="U83" s="36">
        <f t="shared" si="31"/>
        <v>0</v>
      </c>
      <c r="V83" s="36">
        <f t="shared" ref="V83:AH83" si="32">+V17-V50</f>
        <v>0</v>
      </c>
      <c r="AA83" s="8"/>
    </row>
    <row r="84" spans="1:27" ht="15.75" hidden="1" outlineLevel="1" thickBot="1" x14ac:dyDescent="0.3">
      <c r="A84" s="9"/>
      <c r="B84" s="30" t="s">
        <v>35</v>
      </c>
      <c r="C84" s="31">
        <f t="shared" ref="C84:V91" si="33">+C18-C51</f>
        <v>2170862.3699999996</v>
      </c>
      <c r="D84" s="32">
        <f t="shared" si="33"/>
        <v>225321.13999999862</v>
      </c>
      <c r="E84" s="32">
        <f t="shared" si="33"/>
        <v>-3068.7299999999414</v>
      </c>
      <c r="F84" s="32">
        <f t="shared" si="33"/>
        <v>0</v>
      </c>
      <c r="G84" s="32">
        <f t="shared" si="33"/>
        <v>201611.70999999964</v>
      </c>
      <c r="H84" s="32">
        <f t="shared" si="33"/>
        <v>213355.64999999973</v>
      </c>
      <c r="I84" s="32">
        <f t="shared" si="33"/>
        <v>122189.2099999997</v>
      </c>
      <c r="J84" s="32">
        <f t="shared" si="33"/>
        <v>261421.31999999998</v>
      </c>
      <c r="K84" s="32">
        <f t="shared" si="33"/>
        <v>109140.26999999968</v>
      </c>
      <c r="L84" s="32">
        <f t="shared" si="33"/>
        <v>239394.46999999948</v>
      </c>
      <c r="M84" s="32">
        <f t="shared" si="33"/>
        <v>106343.3999999995</v>
      </c>
      <c r="N84" s="32">
        <f t="shared" si="33"/>
        <v>-12245.859999999753</v>
      </c>
      <c r="O84" s="32">
        <f t="shared" si="33"/>
        <v>120622.34000000253</v>
      </c>
      <c r="P84" s="32">
        <f t="shared" si="33"/>
        <v>36504.380000000121</v>
      </c>
      <c r="Q84" s="32">
        <f t="shared" si="33"/>
        <v>505270.44999999995</v>
      </c>
      <c r="R84" s="32">
        <f t="shared" si="33"/>
        <v>17724.600000000006</v>
      </c>
      <c r="S84" s="32">
        <f t="shared" si="33"/>
        <v>27278.020000000193</v>
      </c>
      <c r="T84" s="32">
        <f t="shared" si="33"/>
        <v>0</v>
      </c>
      <c r="U84" s="32">
        <f t="shared" si="33"/>
        <v>0</v>
      </c>
      <c r="V84" s="32">
        <f t="shared" si="33"/>
        <v>0</v>
      </c>
      <c r="AA84" s="8"/>
    </row>
    <row r="85" spans="1:27" ht="15.75" hidden="1" outlineLevel="1" thickBot="1" x14ac:dyDescent="0.3">
      <c r="A85" s="9"/>
      <c r="B85" s="30" t="s">
        <v>36</v>
      </c>
      <c r="C85" s="31">
        <f t="shared" si="33"/>
        <v>0</v>
      </c>
      <c r="D85" s="32">
        <f t="shared" si="33"/>
        <v>0</v>
      </c>
      <c r="E85" s="32">
        <f t="shared" si="33"/>
        <v>0</v>
      </c>
      <c r="F85" s="32">
        <f t="shared" si="33"/>
        <v>0</v>
      </c>
      <c r="G85" s="32">
        <f t="shared" si="33"/>
        <v>0</v>
      </c>
      <c r="H85" s="32">
        <f t="shared" si="33"/>
        <v>0</v>
      </c>
      <c r="I85" s="32">
        <f t="shared" si="33"/>
        <v>0</v>
      </c>
      <c r="J85" s="32">
        <f t="shared" si="33"/>
        <v>0</v>
      </c>
      <c r="K85" s="32">
        <f t="shared" si="33"/>
        <v>0</v>
      </c>
      <c r="L85" s="32">
        <f t="shared" si="33"/>
        <v>0</v>
      </c>
      <c r="M85" s="32">
        <f t="shared" si="33"/>
        <v>0</v>
      </c>
      <c r="N85" s="32">
        <f t="shared" si="33"/>
        <v>0</v>
      </c>
      <c r="O85" s="32">
        <f t="shared" si="33"/>
        <v>0</v>
      </c>
      <c r="P85" s="32">
        <f t="shared" si="33"/>
        <v>0</v>
      </c>
      <c r="Q85" s="32">
        <f t="shared" si="33"/>
        <v>0</v>
      </c>
      <c r="R85" s="32">
        <f t="shared" si="33"/>
        <v>0</v>
      </c>
      <c r="S85" s="32">
        <f t="shared" si="33"/>
        <v>0</v>
      </c>
      <c r="T85" s="32">
        <f t="shared" si="33"/>
        <v>0</v>
      </c>
      <c r="U85" s="32">
        <f t="shared" si="33"/>
        <v>0</v>
      </c>
      <c r="V85" s="32">
        <f t="shared" si="33"/>
        <v>0</v>
      </c>
      <c r="AA85" s="8"/>
    </row>
    <row r="86" spans="1:27" ht="15.75" hidden="1" outlineLevel="1" thickBot="1" x14ac:dyDescent="0.3">
      <c r="A86" s="9"/>
      <c r="B86" s="30" t="s">
        <v>37</v>
      </c>
      <c r="C86" s="31">
        <f t="shared" si="33"/>
        <v>1145143.1699999971</v>
      </c>
      <c r="D86" s="32">
        <f t="shared" si="33"/>
        <v>160249.2699999997</v>
      </c>
      <c r="E86" s="32">
        <f t="shared" si="33"/>
        <v>1795.4700000001085</v>
      </c>
      <c r="F86" s="32">
        <f t="shared" si="33"/>
        <v>0</v>
      </c>
      <c r="G86" s="32">
        <f t="shared" si="33"/>
        <v>23392.970000000016</v>
      </c>
      <c r="H86" s="32">
        <f t="shared" si="33"/>
        <v>107977.72999999976</v>
      </c>
      <c r="I86" s="32">
        <f t="shared" si="33"/>
        <v>208728.9699999998</v>
      </c>
      <c r="J86" s="32">
        <f t="shared" si="33"/>
        <v>75951.169999999358</v>
      </c>
      <c r="K86" s="32">
        <f t="shared" si="33"/>
        <v>94727.039999999717</v>
      </c>
      <c r="L86" s="32">
        <f t="shared" si="33"/>
        <v>69542.319999999687</v>
      </c>
      <c r="M86" s="32">
        <f t="shared" si="33"/>
        <v>145992.47999999975</v>
      </c>
      <c r="N86" s="32">
        <f t="shared" si="33"/>
        <v>21847.719999999899</v>
      </c>
      <c r="O86" s="32">
        <f t="shared" si="33"/>
        <v>-45525.8400000002</v>
      </c>
      <c r="P86" s="32">
        <f t="shared" si="33"/>
        <v>-32264.999999999651</v>
      </c>
      <c r="Q86" s="32">
        <f t="shared" si="33"/>
        <v>149575.54999999958</v>
      </c>
      <c r="R86" s="32">
        <f t="shared" si="33"/>
        <v>138254.69999999955</v>
      </c>
      <c r="S86" s="32">
        <f t="shared" si="33"/>
        <v>24898.619999999879</v>
      </c>
      <c r="T86" s="32">
        <f t="shared" si="33"/>
        <v>0</v>
      </c>
      <c r="U86" s="32">
        <f t="shared" si="33"/>
        <v>0</v>
      </c>
      <c r="V86" s="32">
        <f t="shared" si="33"/>
        <v>0</v>
      </c>
      <c r="AA86" s="8"/>
    </row>
    <row r="87" spans="1:27" ht="15.75" hidden="1" outlineLevel="1" thickBot="1" x14ac:dyDescent="0.3">
      <c r="A87" s="9"/>
      <c r="B87" s="30" t="s">
        <v>38</v>
      </c>
      <c r="C87" s="31">
        <f>+C21-C54</f>
        <v>268181.22999999858</v>
      </c>
      <c r="D87" s="32">
        <f t="shared" si="33"/>
        <v>-31634.859999999986</v>
      </c>
      <c r="E87" s="32">
        <f t="shared" si="33"/>
        <v>-59994.209999999977</v>
      </c>
      <c r="F87" s="32">
        <f t="shared" si="33"/>
        <v>0</v>
      </c>
      <c r="G87" s="32">
        <f t="shared" si="33"/>
        <v>18151.089999999938</v>
      </c>
      <c r="H87" s="32">
        <f t="shared" si="33"/>
        <v>-95365.929999999935</v>
      </c>
      <c r="I87" s="32">
        <f t="shared" si="33"/>
        <v>101445.08000000019</v>
      </c>
      <c r="J87" s="32">
        <f t="shared" si="33"/>
        <v>39890.069999999832</v>
      </c>
      <c r="K87" s="32">
        <f t="shared" si="33"/>
        <v>15819.080000000002</v>
      </c>
      <c r="L87" s="32">
        <f t="shared" si="33"/>
        <v>126098.07999999999</v>
      </c>
      <c r="M87" s="32">
        <f t="shared" si="33"/>
        <v>30156.130000000005</v>
      </c>
      <c r="N87" s="32">
        <f t="shared" si="33"/>
        <v>43515.63999999981</v>
      </c>
      <c r="O87" s="32">
        <f t="shared" si="33"/>
        <v>26466.129999998957</v>
      </c>
      <c r="P87" s="32">
        <f t="shared" si="33"/>
        <v>-8501.3500000002678</v>
      </c>
      <c r="Q87" s="32">
        <f t="shared" si="33"/>
        <v>91184.15</v>
      </c>
      <c r="R87" s="32">
        <f t="shared" si="33"/>
        <v>-48349.800000000221</v>
      </c>
      <c r="S87" s="32">
        <f t="shared" si="33"/>
        <v>19301.929999999877</v>
      </c>
      <c r="T87" s="32">
        <f t="shared" si="33"/>
        <v>0</v>
      </c>
      <c r="U87" s="32">
        <f t="shared" si="33"/>
        <v>0</v>
      </c>
      <c r="V87" s="32">
        <f t="shared" si="33"/>
        <v>0</v>
      </c>
      <c r="AA87" s="8"/>
    </row>
    <row r="88" spans="1:27" ht="15.75" hidden="1" outlineLevel="1" thickBot="1" x14ac:dyDescent="0.3">
      <c r="A88" s="9"/>
      <c r="B88" s="16" t="s">
        <v>39</v>
      </c>
      <c r="C88" s="36">
        <f>+C22-C55</f>
        <v>3584186.7699999958</v>
      </c>
      <c r="D88" s="37">
        <f t="shared" si="33"/>
        <v>353935.54999999842</v>
      </c>
      <c r="E88" s="37">
        <f t="shared" si="33"/>
        <v>-61267.469999999819</v>
      </c>
      <c r="F88" s="37">
        <f t="shared" si="33"/>
        <v>0</v>
      </c>
      <c r="G88" s="37">
        <f t="shared" si="33"/>
        <v>243155.76999999955</v>
      </c>
      <c r="H88" s="37">
        <f t="shared" si="33"/>
        <v>225967.44999999972</v>
      </c>
      <c r="I88" s="37">
        <f t="shared" si="33"/>
        <v>432363.25999999972</v>
      </c>
      <c r="J88" s="37">
        <f t="shared" si="33"/>
        <v>377262.55999999912</v>
      </c>
      <c r="K88" s="37">
        <f t="shared" si="33"/>
        <v>219686.3899999994</v>
      </c>
      <c r="L88" s="37">
        <f t="shared" si="33"/>
        <v>435034.86999999918</v>
      </c>
      <c r="M88" s="37">
        <f t="shared" si="33"/>
        <v>282492.00999999919</v>
      </c>
      <c r="N88" s="37">
        <f t="shared" si="33"/>
        <v>53117.5</v>
      </c>
      <c r="O88" s="37">
        <f t="shared" si="33"/>
        <v>101562.63000000129</v>
      </c>
      <c r="P88" s="37">
        <f t="shared" si="33"/>
        <v>-4261.9699999997392</v>
      </c>
      <c r="Q88" s="37">
        <f t="shared" si="33"/>
        <v>746030.14999999967</v>
      </c>
      <c r="R88" s="37">
        <f t="shared" si="33"/>
        <v>107629.4999999993</v>
      </c>
      <c r="S88" s="37">
        <f t="shared" si="33"/>
        <v>71478.570000000065</v>
      </c>
      <c r="T88" s="36">
        <f t="shared" si="33"/>
        <v>0</v>
      </c>
      <c r="U88" s="36">
        <f t="shared" si="33"/>
        <v>0</v>
      </c>
      <c r="V88" s="36">
        <f t="shared" si="33"/>
        <v>0</v>
      </c>
      <c r="AA88" s="8"/>
    </row>
    <row r="89" spans="1:27" ht="15.75" hidden="1" outlineLevel="1" thickBot="1" x14ac:dyDescent="0.3">
      <c r="A89" s="9"/>
      <c r="B89" s="27" t="s">
        <v>40</v>
      </c>
      <c r="C89" s="28">
        <f>+C23-C56</f>
        <v>4130651.9800000116</v>
      </c>
      <c r="D89" s="38">
        <f t="shared" si="33"/>
        <v>361209.62000000104</v>
      </c>
      <c r="E89" s="38">
        <f t="shared" si="33"/>
        <v>-159360.64999999938</v>
      </c>
      <c r="F89" s="38">
        <f t="shared" si="33"/>
        <v>0</v>
      </c>
      <c r="G89" s="38">
        <f t="shared" si="33"/>
        <v>150303.3199999996</v>
      </c>
      <c r="H89" s="38">
        <f t="shared" si="33"/>
        <v>64674.979999999516</v>
      </c>
      <c r="I89" s="38">
        <f t="shared" si="33"/>
        <v>135131.2600000021</v>
      </c>
      <c r="J89" s="38">
        <f t="shared" si="33"/>
        <v>497968.48000000045</v>
      </c>
      <c r="K89" s="38">
        <f t="shared" si="33"/>
        <v>243418.94999999937</v>
      </c>
      <c r="L89" s="38">
        <f t="shared" si="33"/>
        <v>707307.16000000015</v>
      </c>
      <c r="M89" s="38">
        <f t="shared" si="33"/>
        <v>345603.55000000168</v>
      </c>
      <c r="N89" s="38">
        <f t="shared" si="33"/>
        <v>240311.12000000011</v>
      </c>
      <c r="O89" s="38">
        <f t="shared" si="33"/>
        <v>23300.680000010878</v>
      </c>
      <c r="P89" s="38">
        <f t="shared" si="33"/>
        <v>136418.77000000235</v>
      </c>
      <c r="Q89" s="38">
        <f t="shared" si="33"/>
        <v>796952.85999999871</v>
      </c>
      <c r="R89" s="38">
        <f t="shared" si="33"/>
        <v>547835.05999999866</v>
      </c>
      <c r="S89" s="38">
        <f t="shared" si="33"/>
        <v>39576.820000001462</v>
      </c>
      <c r="T89" s="28"/>
      <c r="U89" s="28"/>
      <c r="V89" s="28"/>
      <c r="AA89" s="8"/>
    </row>
    <row r="90" spans="1:27" ht="15.75" hidden="1" outlineLevel="1" collapsed="1" thickBot="1" x14ac:dyDescent="0.3">
      <c r="A90" s="9"/>
      <c r="B90" s="39" t="s">
        <v>41</v>
      </c>
      <c r="C90" s="40">
        <f>+C24-C57</f>
        <v>-113.735203233025</v>
      </c>
      <c r="D90" s="41">
        <f t="shared" si="33"/>
        <v>-15.215133136377517</v>
      </c>
      <c r="E90" s="41">
        <f t="shared" si="33"/>
        <v>-2424.2226870748159</v>
      </c>
      <c r="F90" s="41">
        <f t="shared" si="33"/>
        <v>0</v>
      </c>
      <c r="G90" s="41">
        <f t="shared" si="33"/>
        <v>-740.08507077770594</v>
      </c>
      <c r="H90" s="41">
        <f t="shared" si="33"/>
        <v>178.24924751768549</v>
      </c>
      <c r="I90" s="41">
        <f t="shared" si="33"/>
        <v>-135.31850541288441</v>
      </c>
      <c r="J90" s="41">
        <f t="shared" si="33"/>
        <v>319.65276315789879</v>
      </c>
      <c r="K90" s="41">
        <f t="shared" si="33"/>
        <v>-915.11541972578334</v>
      </c>
      <c r="L90" s="41">
        <f t="shared" si="33"/>
        <v>273.94899238267135</v>
      </c>
      <c r="M90" s="41">
        <f t="shared" si="33"/>
        <v>-447.04113718661984</v>
      </c>
      <c r="N90" s="41">
        <f t="shared" si="33"/>
        <v>-195.28088594412384</v>
      </c>
      <c r="O90" s="41">
        <f t="shared" si="33"/>
        <v>-397.93803109075179</v>
      </c>
      <c r="P90" s="41">
        <f t="shared" si="33"/>
        <v>177.67202139525261</v>
      </c>
      <c r="Q90" s="41">
        <f t="shared" si="33"/>
        <v>-249.37363665908606</v>
      </c>
      <c r="R90" s="41">
        <f t="shared" si="33"/>
        <v>321.07113378684653</v>
      </c>
      <c r="S90" s="42">
        <f t="shared" si="33"/>
        <v>-560.02115988012747</v>
      </c>
      <c r="T90" s="29">
        <f t="shared" si="33"/>
        <v>0</v>
      </c>
      <c r="U90" s="38">
        <f t="shared" si="33"/>
        <v>0</v>
      </c>
      <c r="V90" s="38">
        <f t="shared" si="33"/>
        <v>0</v>
      </c>
      <c r="AA90" s="8"/>
    </row>
    <row r="91" spans="1:27" ht="15.75" hidden="1" outlineLevel="1" thickBot="1" x14ac:dyDescent="0.3">
      <c r="A91" s="9"/>
      <c r="B91" s="43" t="s">
        <v>42</v>
      </c>
      <c r="C91" s="31">
        <f>+C25-C58</f>
        <v>451.57001596638611</v>
      </c>
      <c r="D91" s="44">
        <f t="shared" si="33"/>
        <v>668.00220099667774</v>
      </c>
      <c r="E91" s="44">
        <f t="shared" si="33"/>
        <v>0</v>
      </c>
      <c r="F91" s="44">
        <f t="shared" si="33"/>
        <v>0</v>
      </c>
      <c r="G91" s="44">
        <f t="shared" si="33"/>
        <v>-260.46142857142655</v>
      </c>
      <c r="H91" s="44">
        <f t="shared" si="33"/>
        <v>-1895.577823529404</v>
      </c>
      <c r="I91" s="44">
        <f t="shared" si="33"/>
        <v>34.344642857145573</v>
      </c>
      <c r="J91" s="44">
        <f t="shared" si="33"/>
        <v>297.62666666666166</v>
      </c>
      <c r="K91" s="44">
        <f t="shared" si="33"/>
        <v>-56.650902777782278</v>
      </c>
      <c r="L91" s="44">
        <f t="shared" si="33"/>
        <v>-748.15882943144015</v>
      </c>
      <c r="M91" s="44">
        <f t="shared" si="33"/>
        <v>1880.2325333333258</v>
      </c>
      <c r="N91" s="44">
        <f t="shared" si="33"/>
        <v>-3601.0750000000098</v>
      </c>
      <c r="O91" s="44">
        <f t="shared" si="33"/>
        <v>0</v>
      </c>
      <c r="P91" s="44">
        <f t="shared" si="33"/>
        <v>1972.31927903632</v>
      </c>
      <c r="Q91" s="44">
        <f t="shared" si="33"/>
        <v>1509.7507142857066</v>
      </c>
      <c r="R91" s="44">
        <f t="shared" si="33"/>
        <v>114.44076403173403</v>
      </c>
      <c r="S91" s="45">
        <f t="shared" si="33"/>
        <v>-0.15999999999985401</v>
      </c>
      <c r="T91" s="32">
        <f t="shared" si="33"/>
        <v>0</v>
      </c>
      <c r="U91" s="44">
        <f t="shared" si="33"/>
        <v>0</v>
      </c>
      <c r="V91" s="44">
        <f t="shared" si="33"/>
        <v>0</v>
      </c>
      <c r="AA91" s="8"/>
    </row>
    <row r="92" spans="1:27" ht="15.75" hidden="1" outlineLevel="1" thickBot="1" x14ac:dyDescent="0.3">
      <c r="A92" s="9"/>
      <c r="B92" s="43" t="s">
        <v>43</v>
      </c>
      <c r="C92" s="31">
        <f t="shared" ref="C92:V94" si="34">+C26-C59</f>
        <v>120.69014815282844</v>
      </c>
      <c r="D92" s="44">
        <f t="shared" si="34"/>
        <v>260.24553041037495</v>
      </c>
      <c r="E92" s="44">
        <f t="shared" si="34"/>
        <v>173.24756802721083</v>
      </c>
      <c r="F92" s="44">
        <f t="shared" si="34"/>
        <v>0</v>
      </c>
      <c r="G92" s="44">
        <f t="shared" si="34"/>
        <v>-118.3627984742534</v>
      </c>
      <c r="H92" s="44">
        <f t="shared" si="34"/>
        <v>34.841721711849686</v>
      </c>
      <c r="I92" s="44">
        <f t="shared" si="34"/>
        <v>114.07164141197211</v>
      </c>
      <c r="J92" s="44">
        <f t="shared" si="34"/>
        <v>-17.472894736841681</v>
      </c>
      <c r="K92" s="44">
        <f t="shared" si="34"/>
        <v>154.56849845201282</v>
      </c>
      <c r="L92" s="44">
        <f t="shared" si="34"/>
        <v>21.111175046578637</v>
      </c>
      <c r="M92" s="44">
        <f t="shared" si="34"/>
        <v>31.118189415041115</v>
      </c>
      <c r="N92" s="44">
        <f t="shared" si="34"/>
        <v>409.53023486317807</v>
      </c>
      <c r="O92" s="44">
        <f t="shared" si="34"/>
        <v>173.42551972868932</v>
      </c>
      <c r="P92" s="44">
        <f t="shared" si="34"/>
        <v>-163.76457957590378</v>
      </c>
      <c r="Q92" s="44">
        <f t="shared" si="34"/>
        <v>-15.547775593109918</v>
      </c>
      <c r="R92" s="44">
        <f t="shared" si="34"/>
        <v>85.888253968253366</v>
      </c>
      <c r="S92" s="45">
        <f t="shared" si="34"/>
        <v>492.45424554909323</v>
      </c>
      <c r="T92" s="35">
        <f t="shared" si="34"/>
        <v>0</v>
      </c>
      <c r="U92" s="46">
        <f t="shared" si="34"/>
        <v>0</v>
      </c>
      <c r="V92" s="46">
        <f t="shared" si="34"/>
        <v>0</v>
      </c>
      <c r="AA92" s="8"/>
    </row>
    <row r="93" spans="1:27" ht="15.75" hidden="1" outlineLevel="1" thickBot="1" x14ac:dyDescent="0.3">
      <c r="A93" s="9"/>
      <c r="B93" s="47" t="s">
        <v>44</v>
      </c>
      <c r="C93" s="48">
        <f t="shared" si="34"/>
        <v>6.9549449198038928</v>
      </c>
      <c r="D93" s="49">
        <f t="shared" si="34"/>
        <v>245.03039727399755</v>
      </c>
      <c r="E93" s="49">
        <f t="shared" si="34"/>
        <v>-2250.9751190476054</v>
      </c>
      <c r="F93" s="49">
        <f t="shared" si="34"/>
        <v>0</v>
      </c>
      <c r="G93" s="49">
        <f t="shared" si="34"/>
        <v>-858.44786925195922</v>
      </c>
      <c r="H93" s="49">
        <f t="shared" si="34"/>
        <v>213.09096922953495</v>
      </c>
      <c r="I93" s="49">
        <f t="shared" si="34"/>
        <v>-21.246864000911955</v>
      </c>
      <c r="J93" s="49">
        <f t="shared" si="34"/>
        <v>302.17986842105711</v>
      </c>
      <c r="K93" s="49">
        <f t="shared" si="34"/>
        <v>-760.54692127377029</v>
      </c>
      <c r="L93" s="49">
        <f t="shared" si="34"/>
        <v>295.06016742925021</v>
      </c>
      <c r="M93" s="49">
        <f t="shared" si="34"/>
        <v>-415.92294777157849</v>
      </c>
      <c r="N93" s="49">
        <f t="shared" si="34"/>
        <v>214.24934891905468</v>
      </c>
      <c r="O93" s="49">
        <f t="shared" si="34"/>
        <v>-224.51251136206338</v>
      </c>
      <c r="P93" s="49">
        <f t="shared" si="34"/>
        <v>13.907441819348605</v>
      </c>
      <c r="Q93" s="49">
        <f t="shared" si="34"/>
        <v>-264.92141225219621</v>
      </c>
      <c r="R93" s="49">
        <f t="shared" si="34"/>
        <v>406.95938775509967</v>
      </c>
      <c r="S93" s="50">
        <f t="shared" si="34"/>
        <v>-67.56691433103515</v>
      </c>
      <c r="T93" s="51">
        <f t="shared" si="34"/>
        <v>0</v>
      </c>
      <c r="U93" s="37">
        <f t="shared" si="34"/>
        <v>0</v>
      </c>
      <c r="V93" s="37">
        <f t="shared" si="34"/>
        <v>0</v>
      </c>
      <c r="AA93" s="8"/>
    </row>
    <row r="94" spans="1:27" collapsed="1" x14ac:dyDescent="0.25">
      <c r="A94" s="9"/>
      <c r="B94" s="52" t="s">
        <v>45</v>
      </c>
      <c r="C94" s="53">
        <f>+C28-C61</f>
        <v>25.989081385193458</v>
      </c>
      <c r="D94" s="54">
        <f t="shared" si="34"/>
        <v>259.57796131652321</v>
      </c>
      <c r="E94" s="54">
        <f t="shared" si="34"/>
        <v>-2002.7501190476055</v>
      </c>
      <c r="F94" s="54">
        <f t="shared" si="34"/>
        <v>0</v>
      </c>
      <c r="G94" s="54">
        <f t="shared" si="34"/>
        <v>-827.64881927710758</v>
      </c>
      <c r="H94" s="54">
        <f t="shared" si="34"/>
        <v>97.276458061507583</v>
      </c>
      <c r="I94" s="54">
        <f t="shared" si="34"/>
        <v>22.556738621488876</v>
      </c>
      <c r="J94" s="54">
        <f t="shared" si="34"/>
        <v>210.12625588772971</v>
      </c>
      <c r="K94" s="54">
        <f t="shared" si="34"/>
        <v>-891.30695441465741</v>
      </c>
      <c r="L94" s="54">
        <f t="shared" si="34"/>
        <v>94.16106734007235</v>
      </c>
      <c r="M94" s="54">
        <f t="shared" si="34"/>
        <v>-368.81936800372341</v>
      </c>
      <c r="N94" s="54">
        <f t="shared" si="34"/>
        <v>68.136518244315994</v>
      </c>
      <c r="O94" s="54">
        <f t="shared" si="34"/>
        <v>-225.59901435751726</v>
      </c>
      <c r="P94" s="54">
        <f t="shared" si="34"/>
        <v>428.23770573545607</v>
      </c>
      <c r="Q94" s="54">
        <f t="shared" si="34"/>
        <v>-241.07938040346107</v>
      </c>
      <c r="R94" s="54">
        <f t="shared" si="34"/>
        <v>646.70287475886516</v>
      </c>
      <c r="S94" s="55">
        <f t="shared" si="34"/>
        <v>7.3331441647669635</v>
      </c>
      <c r="T94" s="56">
        <f t="shared" si="34"/>
        <v>0</v>
      </c>
      <c r="U94" s="36">
        <f t="shared" si="34"/>
        <v>0</v>
      </c>
      <c r="V94" s="36">
        <f t="shared" si="34"/>
        <v>0</v>
      </c>
      <c r="AA94" s="8"/>
    </row>
    <row r="95" spans="1:27" hidden="1" outlineLevel="1" x14ac:dyDescent="0.25">
      <c r="A95" s="9"/>
      <c r="B95" s="43" t="s">
        <v>46</v>
      </c>
      <c r="C95" s="31">
        <f t="shared" ref="C95:V101" si="35">+C29-C62</f>
        <v>690.82527963086136</v>
      </c>
      <c r="D95" s="44">
        <f t="shared" si="35"/>
        <v>723.21392175427536</v>
      </c>
      <c r="E95" s="44">
        <f t="shared" si="35"/>
        <v>2081.9098581560297</v>
      </c>
      <c r="F95" s="44">
        <f t="shared" si="35"/>
        <v>0</v>
      </c>
      <c r="G95" s="44">
        <f t="shared" si="35"/>
        <v>933.61905569812575</v>
      </c>
      <c r="H95" s="44">
        <f t="shared" si="35"/>
        <v>1283.69865462401</v>
      </c>
      <c r="I95" s="44">
        <f t="shared" si="35"/>
        <v>552.38906883298262</v>
      </c>
      <c r="J95" s="44">
        <f t="shared" si="35"/>
        <v>1167.6424574907473</v>
      </c>
      <c r="K95" s="44">
        <f t="shared" si="35"/>
        <v>1478.5024774774731</v>
      </c>
      <c r="L95" s="44">
        <f t="shared" si="35"/>
        <v>740.34846443381002</v>
      </c>
      <c r="M95" s="44">
        <f t="shared" si="35"/>
        <v>360.56193615082498</v>
      </c>
      <c r="N95" s="44">
        <f t="shared" si="35"/>
        <v>1.2970204081648262</v>
      </c>
      <c r="O95" s="44">
        <f t="shared" si="35"/>
        <v>122.20670345475287</v>
      </c>
      <c r="P95" s="44">
        <f t="shared" si="35"/>
        <v>351.48576644469745</v>
      </c>
      <c r="Q95" s="44">
        <f t="shared" si="35"/>
        <v>2080.5742473019936</v>
      </c>
      <c r="R95" s="44">
        <f t="shared" si="35"/>
        <v>1613.3931212121179</v>
      </c>
      <c r="S95" s="45">
        <f t="shared" si="35"/>
        <v>71.639004661619083</v>
      </c>
      <c r="T95" s="32">
        <f t="shared" si="35"/>
        <v>0</v>
      </c>
      <c r="U95" s="44">
        <f t="shared" si="35"/>
        <v>0</v>
      </c>
      <c r="V95" s="44">
        <f t="shared" si="35"/>
        <v>0</v>
      </c>
      <c r="AA95" s="8"/>
    </row>
    <row r="96" spans="1:27" hidden="1" outlineLevel="1" x14ac:dyDescent="0.25">
      <c r="A96" s="9"/>
      <c r="B96" s="43" t="s">
        <v>47</v>
      </c>
      <c r="C96" s="31">
        <f t="shared" si="35"/>
        <v>0</v>
      </c>
      <c r="D96" s="44">
        <f t="shared" si="35"/>
        <v>0</v>
      </c>
      <c r="E96" s="44">
        <f t="shared" si="35"/>
        <v>0</v>
      </c>
      <c r="F96" s="44">
        <f t="shared" si="35"/>
        <v>0</v>
      </c>
      <c r="G96" s="44">
        <f t="shared" si="35"/>
        <v>0</v>
      </c>
      <c r="H96" s="44">
        <f t="shared" si="35"/>
        <v>0</v>
      </c>
      <c r="I96" s="44">
        <f t="shared" si="35"/>
        <v>0</v>
      </c>
      <c r="J96" s="44">
        <f t="shared" si="35"/>
        <v>0</v>
      </c>
      <c r="K96" s="44">
        <f t="shared" si="35"/>
        <v>0</v>
      </c>
      <c r="L96" s="44">
        <f t="shared" si="35"/>
        <v>0</v>
      </c>
      <c r="M96" s="44">
        <f t="shared" si="35"/>
        <v>0</v>
      </c>
      <c r="N96" s="44">
        <f t="shared" si="35"/>
        <v>0</v>
      </c>
      <c r="O96" s="44">
        <f t="shared" si="35"/>
        <v>0</v>
      </c>
      <c r="P96" s="44">
        <f t="shared" si="35"/>
        <v>0</v>
      </c>
      <c r="Q96" s="44">
        <f t="shared" si="35"/>
        <v>0</v>
      </c>
      <c r="R96" s="44">
        <f t="shared" si="35"/>
        <v>0</v>
      </c>
      <c r="S96" s="45">
        <f t="shared" si="35"/>
        <v>0</v>
      </c>
      <c r="T96" s="32">
        <f t="shared" si="35"/>
        <v>0</v>
      </c>
      <c r="U96" s="44">
        <f t="shared" si="35"/>
        <v>0</v>
      </c>
      <c r="V96" s="44">
        <f t="shared" si="35"/>
        <v>0</v>
      </c>
      <c r="AA96" s="8"/>
    </row>
    <row r="97" spans="1:27" hidden="1" outlineLevel="1" x14ac:dyDescent="0.25">
      <c r="A97" s="9"/>
      <c r="B97" s="43" t="s">
        <v>48</v>
      </c>
      <c r="C97" s="31">
        <f t="shared" si="35"/>
        <v>434.18684779631906</v>
      </c>
      <c r="D97" s="44">
        <f t="shared" si="35"/>
        <v>481.50171720994155</v>
      </c>
      <c r="E97" s="44">
        <f t="shared" si="35"/>
        <v>-448.16106947696903</v>
      </c>
      <c r="F97" s="44">
        <f t="shared" si="35"/>
        <v>0</v>
      </c>
      <c r="G97" s="44">
        <f t="shared" si="35"/>
        <v>212.07452943132716</v>
      </c>
      <c r="H97" s="44">
        <f t="shared" si="35"/>
        <v>678.37694756554163</v>
      </c>
      <c r="I97" s="44">
        <f t="shared" si="35"/>
        <v>883.90889335013537</v>
      </c>
      <c r="J97" s="44">
        <f t="shared" si="35"/>
        <v>339.5349922299896</v>
      </c>
      <c r="K97" s="44">
        <f t="shared" si="35"/>
        <v>932.96765953170279</v>
      </c>
      <c r="L97" s="44">
        <f t="shared" si="35"/>
        <v>309.29277462121064</v>
      </c>
      <c r="M97" s="44">
        <f t="shared" si="35"/>
        <v>758.48993703358065</v>
      </c>
      <c r="N97" s="44">
        <f t="shared" si="35"/>
        <v>158.31681159420216</v>
      </c>
      <c r="O97" s="44">
        <f t="shared" si="35"/>
        <v>141.36579795694411</v>
      </c>
      <c r="P97" s="44">
        <f t="shared" si="35"/>
        <v>-109.99521508759665</v>
      </c>
      <c r="Q97" s="44">
        <f t="shared" si="35"/>
        <v>605.22818464841475</v>
      </c>
      <c r="R97" s="44">
        <f t="shared" si="35"/>
        <v>745.579151107249</v>
      </c>
      <c r="S97" s="45">
        <f t="shared" si="35"/>
        <v>312.34096579476687</v>
      </c>
      <c r="T97" s="32">
        <f t="shared" si="35"/>
        <v>0</v>
      </c>
      <c r="U97" s="44">
        <f t="shared" si="35"/>
        <v>0</v>
      </c>
      <c r="V97" s="44">
        <f t="shared" si="35"/>
        <v>0</v>
      </c>
      <c r="AA97" s="8"/>
    </row>
    <row r="98" spans="1:27" hidden="1" outlineLevel="1" x14ac:dyDescent="0.25">
      <c r="A98" s="9"/>
      <c r="B98" s="43" t="s">
        <v>49</v>
      </c>
      <c r="C98" s="31">
        <f t="shared" si="35"/>
        <v>37.457751064053582</v>
      </c>
      <c r="D98" s="44">
        <f t="shared" si="35"/>
        <v>-77.249051090743706</v>
      </c>
      <c r="E98" s="44">
        <f t="shared" si="35"/>
        <v>844.44436170212816</v>
      </c>
      <c r="F98" s="44">
        <f t="shared" si="35"/>
        <v>0</v>
      </c>
      <c r="G98" s="44">
        <f t="shared" si="35"/>
        <v>-348.66856620093176</v>
      </c>
      <c r="H98" s="44">
        <f t="shared" si="35"/>
        <v>-292.73496047067442</v>
      </c>
      <c r="I98" s="44">
        <f t="shared" si="35"/>
        <v>440.69831062194362</v>
      </c>
      <c r="J98" s="44">
        <f t="shared" si="35"/>
        <v>-14.858937134581993</v>
      </c>
      <c r="K98" s="44">
        <f t="shared" si="35"/>
        <v>265.77835758835772</v>
      </c>
      <c r="L98" s="44">
        <f t="shared" si="35"/>
        <v>218.16436395534288</v>
      </c>
      <c r="M98" s="44">
        <f t="shared" si="35"/>
        <v>58.005051163442658</v>
      </c>
      <c r="N98" s="44">
        <f t="shared" si="35"/>
        <v>376.83532312925013</v>
      </c>
      <c r="O98" s="44">
        <f t="shared" si="35"/>
        <v>-95.235569690575176</v>
      </c>
      <c r="P98" s="44">
        <f t="shared" si="35"/>
        <v>126.91956634724579</v>
      </c>
      <c r="Q98" s="44">
        <f t="shared" si="35"/>
        <v>153.13323272971149</v>
      </c>
      <c r="R98" s="44">
        <f t="shared" si="35"/>
        <v>-37.26595454546009</v>
      </c>
      <c r="S98" s="45">
        <f t="shared" si="35"/>
        <v>39.594274316878909</v>
      </c>
      <c r="T98" s="32">
        <f t="shared" si="35"/>
        <v>0</v>
      </c>
      <c r="U98" s="44">
        <f t="shared" si="35"/>
        <v>0</v>
      </c>
      <c r="V98" s="44">
        <f t="shared" si="35"/>
        <v>0</v>
      </c>
      <c r="AA98" s="8"/>
    </row>
    <row r="99" spans="1:27" hidden="1" outlineLevel="1" x14ac:dyDescent="0.25">
      <c r="A99" s="9"/>
      <c r="B99" s="57" t="s">
        <v>50</v>
      </c>
      <c r="C99" s="34">
        <f t="shared" si="35"/>
        <v>728.28303069491494</v>
      </c>
      <c r="D99" s="46">
        <f t="shared" si="35"/>
        <v>645.96487066353166</v>
      </c>
      <c r="E99" s="46">
        <f t="shared" si="35"/>
        <v>2926.3542198581572</v>
      </c>
      <c r="F99" s="46">
        <f t="shared" si="35"/>
        <v>0</v>
      </c>
      <c r="G99" s="46">
        <f t="shared" si="35"/>
        <v>584.95048949719421</v>
      </c>
      <c r="H99" s="46">
        <f t="shared" si="35"/>
        <v>990.96369415333538</v>
      </c>
      <c r="I99" s="46">
        <f t="shared" si="35"/>
        <v>993.08737945492612</v>
      </c>
      <c r="J99" s="46">
        <f t="shared" si="35"/>
        <v>1152.7835203561654</v>
      </c>
      <c r="K99" s="46">
        <f t="shared" si="35"/>
        <v>1744.2808350658306</v>
      </c>
      <c r="L99" s="46">
        <f t="shared" si="35"/>
        <v>958.51282838915267</v>
      </c>
      <c r="M99" s="46">
        <f t="shared" si="35"/>
        <v>418.56698731426786</v>
      </c>
      <c r="N99" s="46">
        <f t="shared" si="35"/>
        <v>378.13234353741473</v>
      </c>
      <c r="O99" s="46">
        <f t="shared" si="35"/>
        <v>26.971133764177921</v>
      </c>
      <c r="P99" s="46">
        <f t="shared" si="35"/>
        <v>478.40533279194324</v>
      </c>
      <c r="Q99" s="46">
        <f t="shared" si="35"/>
        <v>2233.707480031705</v>
      </c>
      <c r="R99" s="46">
        <f t="shared" si="35"/>
        <v>1576.1271666666571</v>
      </c>
      <c r="S99" s="58">
        <f t="shared" si="35"/>
        <v>111.23327897849822</v>
      </c>
      <c r="T99" s="51">
        <f t="shared" si="35"/>
        <v>0</v>
      </c>
      <c r="U99" s="37">
        <f t="shared" si="35"/>
        <v>0</v>
      </c>
      <c r="V99" s="36">
        <f t="shared" si="35"/>
        <v>0</v>
      </c>
      <c r="AA99" s="8"/>
    </row>
    <row r="100" spans="1:27" collapsed="1" x14ac:dyDescent="0.25">
      <c r="A100" s="9"/>
      <c r="B100" s="59" t="s">
        <v>51</v>
      </c>
      <c r="C100" s="36">
        <f t="shared" si="35"/>
        <v>658.8675956613547</v>
      </c>
      <c r="D100" s="37">
        <f t="shared" si="35"/>
        <v>627.92238951259083</v>
      </c>
      <c r="E100" s="37">
        <f t="shared" si="35"/>
        <v>-176.69833333333133</v>
      </c>
      <c r="F100" s="37">
        <f t="shared" si="35"/>
        <v>0</v>
      </c>
      <c r="G100" s="37">
        <f t="shared" si="35"/>
        <v>577.98257368202439</v>
      </c>
      <c r="H100" s="37">
        <f t="shared" si="35"/>
        <v>808.10343406593279</v>
      </c>
      <c r="I100" s="37">
        <f t="shared" si="35"/>
        <v>1102.3430810751261</v>
      </c>
      <c r="J100" s="37">
        <f t="shared" si="35"/>
        <v>870.00395837589167</v>
      </c>
      <c r="K100" s="37">
        <f t="shared" si="35"/>
        <v>1198.742928822975</v>
      </c>
      <c r="L100" s="37">
        <f t="shared" si="35"/>
        <v>758.98265918292077</v>
      </c>
      <c r="M100" s="37">
        <f t="shared" si="35"/>
        <v>630.52263453446631</v>
      </c>
      <c r="N100" s="37">
        <f t="shared" si="35"/>
        <v>234.13336816862306</v>
      </c>
      <c r="O100" s="37">
        <f t="shared" si="35"/>
        <v>271.53564208885246</v>
      </c>
      <c r="P100" s="37">
        <f t="shared" si="35"/>
        <v>159.61070154007666</v>
      </c>
      <c r="Q100" s="37">
        <f t="shared" si="35"/>
        <v>1488.2913185307011</v>
      </c>
      <c r="R100" s="37">
        <f t="shared" si="35"/>
        <v>634.08844850675973</v>
      </c>
      <c r="S100" s="60">
        <f t="shared" si="35"/>
        <v>125.30053593666617</v>
      </c>
      <c r="T100" s="56">
        <f t="shared" si="35"/>
        <v>0</v>
      </c>
      <c r="U100" s="36">
        <f t="shared" si="35"/>
        <v>0</v>
      </c>
      <c r="V100" s="36">
        <f t="shared" si="35"/>
        <v>0</v>
      </c>
      <c r="AA100" s="8"/>
    </row>
    <row r="101" spans="1:27" ht="15.75" thickBot="1" x14ac:dyDescent="0.3">
      <c r="A101" s="9"/>
      <c r="B101" s="61" t="s">
        <v>52</v>
      </c>
      <c r="C101" s="62">
        <f t="shared" si="35"/>
        <v>366.95784628700721</v>
      </c>
      <c r="D101" s="62">
        <f t="shared" si="35"/>
        <v>461.0413368687955</v>
      </c>
      <c r="E101" s="62">
        <f t="shared" si="35"/>
        <v>-924.21277618363706</v>
      </c>
      <c r="F101" s="62">
        <f t="shared" si="35"/>
        <v>0</v>
      </c>
      <c r="G101" s="62">
        <f t="shared" si="35"/>
        <v>-107.96211398737705</v>
      </c>
      <c r="H101" s="62">
        <f t="shared" si="35"/>
        <v>383.73897165532753</v>
      </c>
      <c r="I101" s="62">
        <f t="shared" si="35"/>
        <v>523.67866321549764</v>
      </c>
      <c r="J101" s="62">
        <f t="shared" si="35"/>
        <v>575.2763424658674</v>
      </c>
      <c r="K101" s="62">
        <f t="shared" si="35"/>
        <v>353.93343776932261</v>
      </c>
      <c r="L101" s="62">
        <f t="shared" si="35"/>
        <v>452.26895883386396</v>
      </c>
      <c r="M101" s="62">
        <f t="shared" si="35"/>
        <v>253.87172977494174</v>
      </c>
      <c r="N101" s="62">
        <f t="shared" si="35"/>
        <v>370.68357301321294</v>
      </c>
      <c r="O101" s="62">
        <f t="shared" si="35"/>
        <v>37.660286033416924</v>
      </c>
      <c r="P101" s="62">
        <f t="shared" si="35"/>
        <v>321.25540217927937</v>
      </c>
      <c r="Q101" s="62">
        <f t="shared" si="35"/>
        <v>616.90205999092268</v>
      </c>
      <c r="R101" s="62">
        <f t="shared" si="35"/>
        <v>915.74441095922248</v>
      </c>
      <c r="S101" s="63">
        <f t="shared" si="35"/>
        <v>10.731170259423379</v>
      </c>
      <c r="T101" s="7"/>
      <c r="U101" s="7"/>
      <c r="V101" s="7"/>
      <c r="AA101" s="8"/>
    </row>
    <row r="102" spans="1:27" ht="5.85" customHeight="1" x14ac:dyDescent="0.25"/>
    <row r="103" spans="1:27" ht="15.75" x14ac:dyDescent="0.25">
      <c r="B103" s="69" t="s">
        <v>54</v>
      </c>
      <c r="C103" s="65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</row>
    <row r="104" spans="1:27" x14ac:dyDescent="0.25">
      <c r="B104" s="70" t="s">
        <v>55</v>
      </c>
      <c r="C104" s="37">
        <f>SUM(D104:S104)</f>
        <v>668.97794110305108</v>
      </c>
      <c r="D104" s="37">
        <f t="shared" ref="D104:S104" si="36">(D73)*(D61)/1000</f>
        <v>-181.95826379974281</v>
      </c>
      <c r="E104" s="37">
        <f t="shared" si="36"/>
        <v>-50.027177142857028</v>
      </c>
      <c r="F104" s="37">
        <f t="shared" si="36"/>
        <v>0</v>
      </c>
      <c r="G104" s="37">
        <f t="shared" si="36"/>
        <v>113.2321059999998</v>
      </c>
      <c r="H104" s="37">
        <f t="shared" si="36"/>
        <v>-211.68167527586158</v>
      </c>
      <c r="I104" s="37">
        <f t="shared" si="36"/>
        <v>-307.63065650450386</v>
      </c>
      <c r="J104" s="37">
        <f t="shared" si="36"/>
        <v>34.133902574257348</v>
      </c>
      <c r="K104" s="37">
        <f t="shared" si="36"/>
        <v>189.51565352112641</v>
      </c>
      <c r="L104" s="37">
        <f t="shared" si="36"/>
        <v>241.19913777777731</v>
      </c>
      <c r="M104" s="37">
        <f t="shared" si="36"/>
        <v>204.7381773134324</v>
      </c>
      <c r="N104" s="37">
        <f t="shared" si="36"/>
        <v>174.72463716129013</v>
      </c>
      <c r="O104" s="37">
        <f t="shared" si="36"/>
        <v>168.99456973584881</v>
      </c>
      <c r="P104" s="37">
        <f t="shared" si="36"/>
        <v>-65.301596458752385</v>
      </c>
      <c r="Q104" s="37">
        <f t="shared" si="36"/>
        <v>141.56855703170015</v>
      </c>
      <c r="R104" s="37">
        <f t="shared" si="36"/>
        <v>250.72161769565201</v>
      </c>
      <c r="S104" s="37">
        <f t="shared" si="36"/>
        <v>-33.251048526315735</v>
      </c>
    </row>
    <row r="105" spans="1:27" hidden="1" outlineLevel="1" x14ac:dyDescent="0.25">
      <c r="B105" s="71" t="s">
        <v>41</v>
      </c>
      <c r="C105" s="37">
        <f t="shared" ref="C105:C111" si="37">SUM(D105:S105)</f>
        <v>464.65036326665825</v>
      </c>
      <c r="D105" s="37">
        <f t="shared" ref="D105:S106" si="38">(D71)*D57/1000</f>
        <v>-168.39884866844145</v>
      </c>
      <c r="E105" s="37">
        <f t="shared" si="38"/>
        <v>-24.754025510203981</v>
      </c>
      <c r="F105" s="37">
        <f t="shared" si="38"/>
        <v>0</v>
      </c>
      <c r="G105" s="37">
        <f t="shared" si="38"/>
        <v>74.774727128204944</v>
      </c>
      <c r="H105" s="37">
        <f t="shared" si="38"/>
        <v>-179.34586278863188</v>
      </c>
      <c r="I105" s="37">
        <f t="shared" si="38"/>
        <v>-232.86414808043804</v>
      </c>
      <c r="J105" s="37">
        <f t="shared" si="38"/>
        <v>0</v>
      </c>
      <c r="K105" s="37">
        <f t="shared" si="38"/>
        <v>115.13417135338322</v>
      </c>
      <c r="L105" s="37">
        <f t="shared" si="38"/>
        <v>139.52380933852098</v>
      </c>
      <c r="M105" s="37">
        <f t="shared" si="38"/>
        <v>129.25737824999965</v>
      </c>
      <c r="N105" s="37">
        <f t="shared" si="38"/>
        <v>125.81006124182994</v>
      </c>
      <c r="O105" s="37">
        <f t="shared" si="38"/>
        <v>123.38192207547151</v>
      </c>
      <c r="P105" s="37">
        <f t="shared" si="38"/>
        <v>-26.107914087403522</v>
      </c>
      <c r="Q105" s="37">
        <f t="shared" si="38"/>
        <v>80.853086470588124</v>
      </c>
      <c r="R105" s="37">
        <f t="shared" si="38"/>
        <v>317.88716428571428</v>
      </c>
      <c r="S105" s="37">
        <f t="shared" si="38"/>
        <v>-10.50115774193546</v>
      </c>
    </row>
    <row r="106" spans="1:27" hidden="1" outlineLevel="1" x14ac:dyDescent="0.25">
      <c r="B106" s="71" t="s">
        <v>42</v>
      </c>
      <c r="C106" s="37">
        <f t="shared" si="37"/>
        <v>-51.929616148315809</v>
      </c>
      <c r="D106" s="37">
        <f t="shared" si="38"/>
        <v>13.932605357142792</v>
      </c>
      <c r="E106" s="37">
        <f t="shared" si="38"/>
        <v>0</v>
      </c>
      <c r="F106" s="37">
        <f t="shared" si="38"/>
        <v>0</v>
      </c>
      <c r="G106" s="37">
        <f t="shared" si="38"/>
        <v>-5.4652799999999955</v>
      </c>
      <c r="H106" s="37">
        <f t="shared" si="38"/>
        <v>46.458214705882192</v>
      </c>
      <c r="I106" s="37">
        <f t="shared" si="38"/>
        <v>13.238414999999993</v>
      </c>
      <c r="J106" s="37">
        <f t="shared" si="38"/>
        <v>3.5146066666666993</v>
      </c>
      <c r="K106" s="37">
        <f t="shared" si="38"/>
        <v>-2.0547955555555411</v>
      </c>
      <c r="L106" s="37">
        <f t="shared" si="38"/>
        <v>3.6284230769230943</v>
      </c>
      <c r="M106" s="37">
        <f t="shared" si="38"/>
        <v>8.6055666666666575</v>
      </c>
      <c r="N106" s="37">
        <f t="shared" si="38"/>
        <v>-6.4820849999999997</v>
      </c>
      <c r="O106" s="37">
        <f t="shared" si="38"/>
        <v>0</v>
      </c>
      <c r="P106" s="37">
        <f t="shared" si="38"/>
        <v>-18.793415740740702</v>
      </c>
      <c r="Q106" s="37">
        <f t="shared" si="38"/>
        <v>18.009099999999993</v>
      </c>
      <c r="R106" s="37">
        <f t="shared" si="38"/>
        <v>-126.520911325301</v>
      </c>
      <c r="S106" s="37">
        <f t="shared" si="38"/>
        <v>-5.9999999999604037E-5</v>
      </c>
    </row>
    <row r="107" spans="1:27" hidden="1" outlineLevel="1" x14ac:dyDescent="0.25">
      <c r="B107" s="71" t="s">
        <v>43</v>
      </c>
      <c r="C107" s="37">
        <f t="shared" si="37"/>
        <v>206.11312889509665</v>
      </c>
      <c r="D107" s="37">
        <f t="shared" ref="D107:S107" si="39">(D71)*D59/1000</f>
        <v>-62.534653861517967</v>
      </c>
      <c r="E107" s="37">
        <f t="shared" si="39"/>
        <v>-19.249831632653063</v>
      </c>
      <c r="F107" s="37">
        <f t="shared" si="39"/>
        <v>0</v>
      </c>
      <c r="G107" s="37">
        <f t="shared" si="39"/>
        <v>58.097647230769169</v>
      </c>
      <c r="H107" s="37">
        <f t="shared" si="39"/>
        <v>-70.227530195381718</v>
      </c>
      <c r="I107" s="37">
        <f t="shared" si="39"/>
        <v>-86.295513711151742</v>
      </c>
      <c r="J107" s="37">
        <f t="shared" si="39"/>
        <v>0</v>
      </c>
      <c r="K107" s="37">
        <f t="shared" si="39"/>
        <v>45.443575263157847</v>
      </c>
      <c r="L107" s="37">
        <f t="shared" si="39"/>
        <v>61.433169260700396</v>
      </c>
      <c r="M107" s="37">
        <f t="shared" si="39"/>
        <v>36.377249999999982</v>
      </c>
      <c r="N107" s="37">
        <f t="shared" si="39"/>
        <v>47.955537254901898</v>
      </c>
      <c r="O107" s="37">
        <f t="shared" si="39"/>
        <v>45.597530377358424</v>
      </c>
      <c r="P107" s="37">
        <f t="shared" si="39"/>
        <v>-19.761218920308483</v>
      </c>
      <c r="Q107" s="37">
        <f t="shared" si="39"/>
        <v>26.446614764705878</v>
      </c>
      <c r="R107" s="37">
        <f t="shared" si="39"/>
        <v>149.2866499999999</v>
      </c>
      <c r="S107" s="37">
        <f t="shared" si="39"/>
        <v>-6.4560969354838669</v>
      </c>
    </row>
    <row r="108" spans="1:27" collapsed="1" x14ac:dyDescent="0.25">
      <c r="B108" s="72" t="s">
        <v>56</v>
      </c>
      <c r="C108" s="37">
        <f t="shared" si="37"/>
        <v>-122.51273110302863</v>
      </c>
      <c r="D108" s="37">
        <f t="shared" ref="D108:S108" si="40">D94*D7/1000</f>
        <v>189.23233379974542</v>
      </c>
      <c r="E108" s="37">
        <f t="shared" si="40"/>
        <v>-48.066002857142536</v>
      </c>
      <c r="F108" s="37">
        <f t="shared" si="40"/>
        <v>0</v>
      </c>
      <c r="G108" s="37">
        <f t="shared" si="40"/>
        <v>-206.08455599999976</v>
      </c>
      <c r="H108" s="37">
        <f t="shared" si="40"/>
        <v>50.389205275860931</v>
      </c>
      <c r="I108" s="37">
        <f t="shared" si="40"/>
        <v>10.398656504506373</v>
      </c>
      <c r="J108" s="37">
        <f t="shared" si="40"/>
        <v>86.572017425744647</v>
      </c>
      <c r="K108" s="37">
        <f t="shared" si="40"/>
        <v>-165.78309352112629</v>
      </c>
      <c r="L108" s="37">
        <f t="shared" si="40"/>
        <v>31.073152222223875</v>
      </c>
      <c r="M108" s="37">
        <f t="shared" si="40"/>
        <v>-141.6266373134298</v>
      </c>
      <c r="N108" s="37">
        <f t="shared" si="40"/>
        <v>12.468982838709827</v>
      </c>
      <c r="O108" s="37">
        <f t="shared" si="40"/>
        <v>-247.25651973583894</v>
      </c>
      <c r="P108" s="37">
        <f t="shared" si="40"/>
        <v>205.98233645875439</v>
      </c>
      <c r="Q108" s="37">
        <f t="shared" si="40"/>
        <v>-90.645847031701351</v>
      </c>
      <c r="R108" s="37">
        <f t="shared" si="40"/>
        <v>189.48394230434749</v>
      </c>
      <c r="S108" s="37">
        <f t="shared" si="40"/>
        <v>1.3492985263171213</v>
      </c>
    </row>
    <row r="109" spans="1:27" hidden="1" outlineLevel="1" x14ac:dyDescent="0.25">
      <c r="B109" s="73" t="s">
        <v>41</v>
      </c>
      <c r="C109" s="74">
        <f t="shared" si="37"/>
        <v>-848.07663326663828</v>
      </c>
      <c r="D109" s="74">
        <f t="shared" ref="D109:S110" si="41">D90*(D5)/1000</f>
        <v>-10.437581331554977</v>
      </c>
      <c r="E109" s="74">
        <f t="shared" si="41"/>
        <v>-58.181344489795578</v>
      </c>
      <c r="F109" s="74">
        <f t="shared" si="41"/>
        <v>0</v>
      </c>
      <c r="G109" s="74">
        <f t="shared" si="41"/>
        <v>-179.10058712820484</v>
      </c>
      <c r="H109" s="74">
        <f t="shared" si="41"/>
        <v>86.985632788630525</v>
      </c>
      <c r="I109" s="74">
        <f t="shared" si="41"/>
        <v>-60.48737191955933</v>
      </c>
      <c r="J109" s="74">
        <f t="shared" si="41"/>
        <v>121.46805000000154</v>
      </c>
      <c r="K109" s="74">
        <f t="shared" si="41"/>
        <v>-155.56962135338318</v>
      </c>
      <c r="L109" s="74">
        <f t="shared" si="41"/>
        <v>84.102340661480099</v>
      </c>
      <c r="M109" s="74">
        <f t="shared" si="41"/>
        <v>-160.48776824999652</v>
      </c>
      <c r="N109" s="74">
        <f t="shared" si="41"/>
        <v>-35.541121241830538</v>
      </c>
      <c r="O109" s="74">
        <f t="shared" si="41"/>
        <v>-436.14008207546397</v>
      </c>
      <c r="P109" s="74">
        <f t="shared" si="41"/>
        <v>67.160024087405489</v>
      </c>
      <c r="Q109" s="74">
        <f t="shared" si="41"/>
        <v>-90.27325647058916</v>
      </c>
      <c r="R109" s="74">
        <f t="shared" si="41"/>
        <v>80.909925714285336</v>
      </c>
      <c r="S109" s="37">
        <f t="shared" si="41"/>
        <v>-102.48387225806333</v>
      </c>
    </row>
    <row r="110" spans="1:27" hidden="1" outlineLevel="1" x14ac:dyDescent="0.25">
      <c r="B110" s="73" t="s">
        <v>42</v>
      </c>
      <c r="C110" s="74">
        <f t="shared" si="37"/>
        <v>234.30638614831571</v>
      </c>
      <c r="D110" s="74">
        <f t="shared" si="41"/>
        <v>28.724094642857143</v>
      </c>
      <c r="E110" s="74">
        <f t="shared" si="41"/>
        <v>0</v>
      </c>
      <c r="F110" s="74">
        <f t="shared" si="41"/>
        <v>0</v>
      </c>
      <c r="G110" s="74">
        <f t="shared" si="41"/>
        <v>-1.8232299999999859</v>
      </c>
      <c r="H110" s="74">
        <f t="shared" si="41"/>
        <v>-56.867334705882115</v>
      </c>
      <c r="I110" s="74">
        <f t="shared" si="41"/>
        <v>0.48082500000003803</v>
      </c>
      <c r="J110" s="74">
        <f t="shared" si="41"/>
        <v>9.5240533333331729</v>
      </c>
      <c r="K110" s="74">
        <f t="shared" si="41"/>
        <v>-0.90641444444451647</v>
      </c>
      <c r="L110" s="74">
        <f t="shared" si="41"/>
        <v>-17.207653076923126</v>
      </c>
      <c r="M110" s="74">
        <f t="shared" si="41"/>
        <v>47.005813333333144</v>
      </c>
      <c r="N110" s="74">
        <f t="shared" si="41"/>
        <v>-3.60107500000001</v>
      </c>
      <c r="O110" s="74">
        <f t="shared" si="41"/>
        <v>0</v>
      </c>
      <c r="P110" s="74">
        <f t="shared" si="41"/>
        <v>203.14888574074095</v>
      </c>
      <c r="Q110" s="74">
        <f t="shared" si="41"/>
        <v>21.136509999999895</v>
      </c>
      <c r="R110" s="74">
        <f t="shared" si="41"/>
        <v>4.6920713253010957</v>
      </c>
      <c r="S110" s="46">
        <f t="shared" si="41"/>
        <v>-1.59999999999854E-4</v>
      </c>
    </row>
    <row r="111" spans="1:27" hidden="1" outlineLevel="1" x14ac:dyDescent="0.25">
      <c r="B111" s="73" t="s">
        <v>43</v>
      </c>
      <c r="C111" s="74">
        <f t="shared" si="37"/>
        <v>568.1654011049053</v>
      </c>
      <c r="D111" s="74">
        <f t="shared" ref="D111:S111" si="42">D92*(D5)/1000</f>
        <v>178.52843386151724</v>
      </c>
      <c r="E111" s="74">
        <f t="shared" si="42"/>
        <v>4.1579416326530598</v>
      </c>
      <c r="F111" s="74">
        <f t="shared" si="42"/>
        <v>0</v>
      </c>
      <c r="G111" s="74">
        <f t="shared" si="42"/>
        <v>-28.643797230769319</v>
      </c>
      <c r="H111" s="74">
        <f t="shared" si="42"/>
        <v>17.002760195382645</v>
      </c>
      <c r="I111" s="74">
        <f t="shared" si="42"/>
        <v>50.99002371115153</v>
      </c>
      <c r="J111" s="74">
        <f t="shared" si="42"/>
        <v>-6.6396999999998387</v>
      </c>
      <c r="K111" s="74">
        <f t="shared" si="42"/>
        <v>26.276644736842179</v>
      </c>
      <c r="L111" s="74">
        <f t="shared" si="42"/>
        <v>6.4811307392996413</v>
      </c>
      <c r="M111" s="74">
        <f t="shared" si="42"/>
        <v>11.171429999999761</v>
      </c>
      <c r="N111" s="74">
        <f t="shared" si="42"/>
        <v>74.534502745098408</v>
      </c>
      <c r="O111" s="74">
        <f t="shared" si="42"/>
        <v>190.0743696226435</v>
      </c>
      <c r="P111" s="74">
        <f t="shared" si="42"/>
        <v>-61.90301107969163</v>
      </c>
      <c r="Q111" s="74">
        <f t="shared" si="42"/>
        <v>-5.6282947647057897</v>
      </c>
      <c r="R111" s="74">
        <f t="shared" si="42"/>
        <v>21.643839999999848</v>
      </c>
      <c r="S111" s="46">
        <f t="shared" si="42"/>
        <v>90.119126935484061</v>
      </c>
    </row>
    <row r="112" spans="1:27" collapsed="1" x14ac:dyDescent="0.25">
      <c r="B112" s="78" t="s">
        <v>57</v>
      </c>
      <c r="C112" s="79">
        <f>SUM(C104,C108)</f>
        <v>546.46521000002247</v>
      </c>
      <c r="D112" s="79">
        <f>SUM(D104,D108)</f>
        <v>7.2740700000026095</v>
      </c>
      <c r="E112" s="79">
        <f t="shared" ref="E112:S112" si="43">SUM(E104,E108)</f>
        <v>-98.093179999999563</v>
      </c>
      <c r="F112" s="79">
        <f t="shared" si="43"/>
        <v>0</v>
      </c>
      <c r="G112" s="79">
        <f t="shared" si="43"/>
        <v>-92.852449999999962</v>
      </c>
      <c r="H112" s="79">
        <f t="shared" si="43"/>
        <v>-161.29247000000066</v>
      </c>
      <c r="I112" s="79">
        <f t="shared" si="43"/>
        <v>-297.23199999999747</v>
      </c>
      <c r="J112" s="79">
        <f t="shared" si="43"/>
        <v>120.705920000002</v>
      </c>
      <c r="K112" s="79">
        <f t="shared" si="43"/>
        <v>23.73256000000012</v>
      </c>
      <c r="L112" s="79">
        <f t="shared" si="43"/>
        <v>272.27229000000119</v>
      </c>
      <c r="M112" s="79">
        <f t="shared" si="43"/>
        <v>63.111540000002606</v>
      </c>
      <c r="N112" s="79">
        <f t="shared" si="43"/>
        <v>187.19361999999995</v>
      </c>
      <c r="O112" s="79">
        <f t="shared" si="43"/>
        <v>-78.261949999990122</v>
      </c>
      <c r="P112" s="79">
        <f t="shared" si="43"/>
        <v>140.680740000002</v>
      </c>
      <c r="Q112" s="79">
        <f t="shared" si="43"/>
        <v>50.922709999998801</v>
      </c>
      <c r="R112" s="79">
        <f>SUM(R104,R108)</f>
        <v>440.20555999999954</v>
      </c>
      <c r="S112" s="36">
        <f t="shared" si="43"/>
        <v>-31.901749999998614</v>
      </c>
    </row>
    <row r="113" spans="2:26" ht="5.85" customHeight="1" x14ac:dyDescent="0.25"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Z113" s="93"/>
    </row>
    <row r="114" spans="2:26" ht="15.75" x14ac:dyDescent="0.25">
      <c r="B114" s="81" t="s">
        <v>58</v>
      </c>
      <c r="C114" s="65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</row>
    <row r="115" spans="2:26" x14ac:dyDescent="0.25">
      <c r="B115" s="70" t="s">
        <v>55</v>
      </c>
      <c r="C115" s="37">
        <f t="shared" ref="C115:C122" si="44">SUM(D115:S115)</f>
        <v>-200.05029237263204</v>
      </c>
      <c r="D115" s="37">
        <f t="shared" ref="D115:S115" si="45">(D74+D76)*D67/1000</f>
        <v>-90.005579385403323</v>
      </c>
      <c r="E115" s="37">
        <f t="shared" si="45"/>
        <v>-56.496614999999878</v>
      </c>
      <c r="F115" s="37">
        <f t="shared" si="45"/>
        <v>0</v>
      </c>
      <c r="G115" s="37">
        <f t="shared" si="45"/>
        <v>90.568370547945136</v>
      </c>
      <c r="H115" s="37">
        <f t="shared" si="45"/>
        <v>-68.182199999999924</v>
      </c>
      <c r="I115" s="37">
        <f t="shared" si="45"/>
        <v>-58.179411078431301</v>
      </c>
      <c r="J115" s="37">
        <f t="shared" si="45"/>
        <v>-5.5391816853932552</v>
      </c>
      <c r="K115" s="37">
        <f t="shared" si="45"/>
        <v>2.7139198830409357</v>
      </c>
      <c r="L115" s="37">
        <f t="shared" si="45"/>
        <v>109.43130921052619</v>
      </c>
      <c r="M115" s="37">
        <f t="shared" si="45"/>
        <v>6.323096073902998</v>
      </c>
      <c r="N115" s="37">
        <f t="shared" si="45"/>
        <v>-11.971576350877177</v>
      </c>
      <c r="O115" s="37">
        <f t="shared" si="45"/>
        <v>-105.61906491379291</v>
      </c>
      <c r="P115" s="37">
        <f t="shared" si="45"/>
        <v>-76.406007096114408</v>
      </c>
      <c r="Q115" s="37">
        <f t="shared" si="45"/>
        <v>67.369308749999973</v>
      </c>
      <c r="R115" s="37">
        <f t="shared" si="45"/>
        <v>-36.942666259541916</v>
      </c>
      <c r="S115" s="37">
        <f t="shared" si="45"/>
        <v>32.886004931506818</v>
      </c>
    </row>
    <row r="116" spans="2:26" hidden="1" outlineLevel="1" x14ac:dyDescent="0.25">
      <c r="B116" s="71" t="s">
        <v>46</v>
      </c>
      <c r="C116" s="37">
        <f t="shared" si="44"/>
        <v>146.13541847255249</v>
      </c>
      <c r="D116" s="37">
        <f t="shared" ref="D116:S116" si="46">(D74)*D62/1000</f>
        <v>-7.5537428048780519</v>
      </c>
      <c r="E116" s="37">
        <f t="shared" si="46"/>
        <v>-15.56018914893612</v>
      </c>
      <c r="F116" s="37">
        <f t="shared" si="46"/>
        <v>0</v>
      </c>
      <c r="G116" s="37">
        <f t="shared" si="46"/>
        <v>45.69732769841265</v>
      </c>
      <c r="H116" s="37">
        <f t="shared" si="46"/>
        <v>-38.249286306306253</v>
      </c>
      <c r="I116" s="37">
        <f t="shared" si="46"/>
        <v>2.873171132075468</v>
      </c>
      <c r="J116" s="37">
        <f t="shared" si="46"/>
        <v>20.886973756906034</v>
      </c>
      <c r="K116" s="37">
        <f t="shared" si="46"/>
        <v>-0.26891333333333262</v>
      </c>
      <c r="L116" s="37">
        <f t="shared" si="46"/>
        <v>84.66164093333316</v>
      </c>
      <c r="M116" s="37">
        <f t="shared" si="46"/>
        <v>17.645163706896543</v>
      </c>
      <c r="N116" s="37">
        <f t="shared" si="46"/>
        <v>-12.427442857142829</v>
      </c>
      <c r="O116" s="37">
        <f t="shared" si="46"/>
        <v>68.928904438642022</v>
      </c>
      <c r="P116" s="37">
        <f t="shared" si="46"/>
        <v>-46.094775114503726</v>
      </c>
      <c r="Q116" s="37">
        <f t="shared" si="46"/>
        <v>62.108135324675203</v>
      </c>
      <c r="R116" s="37">
        <f t="shared" si="46"/>
        <v>-46.81112484848471</v>
      </c>
      <c r="S116" s="37">
        <f t="shared" si="46"/>
        <v>10.299575895196485</v>
      </c>
    </row>
    <row r="117" spans="2:26" hidden="1" outlineLevel="1" x14ac:dyDescent="0.25">
      <c r="B117" s="71" t="s">
        <v>59</v>
      </c>
      <c r="C117" s="37">
        <f t="shared" si="44"/>
        <v>-116.18917534917703</v>
      </c>
      <c r="D117" s="37">
        <f t="shared" ref="D117:S117" si="47">(D76)*D64/1000</f>
        <v>-25.12889112582781</v>
      </c>
      <c r="E117" s="37">
        <f t="shared" si="47"/>
        <v>11.20685245901646</v>
      </c>
      <c r="F117" s="37">
        <f t="shared" si="47"/>
        <v>0</v>
      </c>
      <c r="G117" s="37">
        <f t="shared" si="47"/>
        <v>2.821740645161281</v>
      </c>
      <c r="H117" s="37">
        <f t="shared" si="47"/>
        <v>-5.9895971910112245</v>
      </c>
      <c r="I117" s="37">
        <f t="shared" si="47"/>
        <v>6.3138334228187887</v>
      </c>
      <c r="J117" s="37">
        <f t="shared" si="47"/>
        <v>-3.5000181818182017</v>
      </c>
      <c r="K117" s="37">
        <f t="shared" si="47"/>
        <v>-5.100499569892472</v>
      </c>
      <c r="L117" s="37">
        <f t="shared" si="47"/>
        <v>1.4979095833333349</v>
      </c>
      <c r="M117" s="37">
        <f t="shared" si="47"/>
        <v>0.36241208955224086</v>
      </c>
      <c r="N117" s="37">
        <f t="shared" si="47"/>
        <v>0</v>
      </c>
      <c r="O117" s="37">
        <f t="shared" si="47"/>
        <v>-93.590211305361237</v>
      </c>
      <c r="P117" s="37">
        <f t="shared" si="47"/>
        <v>-8.3960383259911691</v>
      </c>
      <c r="Q117" s="37">
        <f t="shared" si="47"/>
        <v>2.505101130434789</v>
      </c>
      <c r="R117" s="37">
        <f t="shared" si="47"/>
        <v>-1.9141804081632583</v>
      </c>
      <c r="S117" s="37">
        <f t="shared" si="47"/>
        <v>2.72241142857143</v>
      </c>
    </row>
    <row r="118" spans="2:26" hidden="1" outlineLevel="1" x14ac:dyDescent="0.25">
      <c r="B118" s="71" t="s">
        <v>49</v>
      </c>
      <c r="C118" s="37">
        <f t="shared" si="44"/>
        <v>149.12039317648978</v>
      </c>
      <c r="D118" s="37">
        <f t="shared" ref="D118:S118" si="48">(D74)*D65/1000</f>
        <v>-6.7606655487804854</v>
      </c>
      <c r="E118" s="37">
        <f t="shared" si="48"/>
        <v>-65.060876170212751</v>
      </c>
      <c r="F118" s="37">
        <f t="shared" si="48"/>
        <v>0</v>
      </c>
      <c r="G118" s="37">
        <f t="shared" si="48"/>
        <v>76.378740555555538</v>
      </c>
      <c r="H118" s="37">
        <f t="shared" si="48"/>
        <v>-37.989877747747727</v>
      </c>
      <c r="I118" s="37">
        <f t="shared" si="48"/>
        <v>6.2542449056603697</v>
      </c>
      <c r="J118" s="37">
        <f t="shared" si="48"/>
        <v>42.951011049723732</v>
      </c>
      <c r="K118" s="37">
        <f t="shared" si="48"/>
        <v>-3.8485184615384616</v>
      </c>
      <c r="L118" s="37">
        <f t="shared" si="48"/>
        <v>80.501727933333328</v>
      </c>
      <c r="M118" s="37">
        <f t="shared" si="48"/>
        <v>15.886887413793092</v>
      </c>
      <c r="N118" s="37">
        <f t="shared" si="48"/>
        <v>-9.2413052380952383</v>
      </c>
      <c r="O118" s="37">
        <f t="shared" si="48"/>
        <v>66.750775979112262</v>
      </c>
      <c r="P118" s="37">
        <f t="shared" si="48"/>
        <v>-38.327448091603046</v>
      </c>
      <c r="Q118" s="37">
        <f t="shared" si="48"/>
        <v>58.566771428571435</v>
      </c>
      <c r="R118" s="37">
        <f t="shared" si="48"/>
        <v>-46.859161818181825</v>
      </c>
      <c r="S118" s="37">
        <f t="shared" si="48"/>
        <v>9.9180869868995654</v>
      </c>
    </row>
    <row r="119" spans="2:26" collapsed="1" x14ac:dyDescent="0.25">
      <c r="B119" s="72" t="s">
        <v>56</v>
      </c>
      <c r="C119" s="37">
        <f t="shared" si="44"/>
        <v>3784.237062372627</v>
      </c>
      <c r="D119" s="37">
        <f t="shared" ref="D119:S119" si="49">(D8+D10)*D100/1000</f>
        <v>443.94112938540172</v>
      </c>
      <c r="E119" s="37">
        <f t="shared" si="49"/>
        <v>-4.7708549999999459</v>
      </c>
      <c r="F119" s="37">
        <f t="shared" si="49"/>
        <v>0</v>
      </c>
      <c r="G119" s="37">
        <f t="shared" si="49"/>
        <v>152.58739945205443</v>
      </c>
      <c r="H119" s="37">
        <f t="shared" si="49"/>
        <v>294.14964999999955</v>
      </c>
      <c r="I119" s="37">
        <f t="shared" si="49"/>
        <v>490.54267107843106</v>
      </c>
      <c r="J119" s="37">
        <f t="shared" si="49"/>
        <v>382.80174168539236</v>
      </c>
      <c r="K119" s="37">
        <f t="shared" si="49"/>
        <v>216.97247011695848</v>
      </c>
      <c r="L119" s="37">
        <f t="shared" si="49"/>
        <v>325.60356078947302</v>
      </c>
      <c r="M119" s="37">
        <f t="shared" si="49"/>
        <v>276.16891392609625</v>
      </c>
      <c r="N119" s="37">
        <f t="shared" si="49"/>
        <v>65.089076350877221</v>
      </c>
      <c r="O119" s="37">
        <f t="shared" si="49"/>
        <v>207.18169491379444</v>
      </c>
      <c r="P119" s="37">
        <f t="shared" si="49"/>
        <v>72.144037096114658</v>
      </c>
      <c r="Q119" s="37">
        <f t="shared" si="49"/>
        <v>678.66084124999975</v>
      </c>
      <c r="R119" s="37">
        <f t="shared" si="49"/>
        <v>144.57216625954121</v>
      </c>
      <c r="S119" s="37">
        <f t="shared" si="49"/>
        <v>38.592565068493172</v>
      </c>
    </row>
    <row r="120" spans="2:26" hidden="1" outlineLevel="1" x14ac:dyDescent="0.25">
      <c r="B120" s="73" t="s">
        <v>46</v>
      </c>
      <c r="C120" s="74">
        <f t="shared" si="44"/>
        <v>2024.7269515274465</v>
      </c>
      <c r="D120" s="74">
        <f t="shared" ref="D120:S120" si="50">D95*D8/1000</f>
        <v>232.87488280487665</v>
      </c>
      <c r="E120" s="74">
        <f t="shared" si="50"/>
        <v>12.491459148936178</v>
      </c>
      <c r="F120" s="74">
        <f t="shared" si="50"/>
        <v>0</v>
      </c>
      <c r="G120" s="74">
        <f t="shared" si="50"/>
        <v>155.91438230158701</v>
      </c>
      <c r="H120" s="74">
        <f t="shared" si="50"/>
        <v>251.60493630630594</v>
      </c>
      <c r="I120" s="74">
        <f t="shared" si="50"/>
        <v>119.31603886792425</v>
      </c>
      <c r="J120" s="74">
        <f t="shared" si="50"/>
        <v>240.53434624309395</v>
      </c>
      <c r="K120" s="74">
        <f t="shared" si="50"/>
        <v>109.40918333333302</v>
      </c>
      <c r="L120" s="74">
        <f t="shared" si="50"/>
        <v>154.73282906666631</v>
      </c>
      <c r="M120" s="74">
        <f t="shared" si="50"/>
        <v>88.698236293102951</v>
      </c>
      <c r="N120" s="74">
        <f t="shared" si="50"/>
        <v>0.18158285714307568</v>
      </c>
      <c r="O120" s="74">
        <f t="shared" si="50"/>
        <v>51.693435561360467</v>
      </c>
      <c r="P120" s="74">
        <f t="shared" si="50"/>
        <v>82.599155114503901</v>
      </c>
      <c r="Q120" s="74">
        <f t="shared" si="50"/>
        <v>443.16231467532464</v>
      </c>
      <c r="R120" s="74">
        <f t="shared" si="50"/>
        <v>64.535724848484719</v>
      </c>
      <c r="S120" s="37">
        <f t="shared" si="50"/>
        <v>16.978444104803721</v>
      </c>
    </row>
    <row r="121" spans="2:26" hidden="1" outlineLevel="1" x14ac:dyDescent="0.25">
      <c r="B121" s="73" t="s">
        <v>59</v>
      </c>
      <c r="C121" s="74">
        <f t="shared" si="44"/>
        <v>1261.3323453491739</v>
      </c>
      <c r="D121" s="74">
        <f t="shared" ref="D121:S121" si="51">D97*D10/1000</f>
        <v>185.37816112582749</v>
      </c>
      <c r="E121" s="74">
        <f t="shared" si="51"/>
        <v>-9.41138245901635</v>
      </c>
      <c r="F121" s="74">
        <f t="shared" si="51"/>
        <v>0</v>
      </c>
      <c r="G121" s="74">
        <f t="shared" si="51"/>
        <v>20.571229354838735</v>
      </c>
      <c r="H121" s="74">
        <f t="shared" si="51"/>
        <v>113.96732719101099</v>
      </c>
      <c r="I121" s="74">
        <f t="shared" si="51"/>
        <v>202.41513657718099</v>
      </c>
      <c r="J121" s="74">
        <f t="shared" si="51"/>
        <v>79.451188181817557</v>
      </c>
      <c r="K121" s="74">
        <f t="shared" si="51"/>
        <v>99.827539569892195</v>
      </c>
      <c r="L121" s="74">
        <f t="shared" si="51"/>
        <v>68.044410416666352</v>
      </c>
      <c r="M121" s="74">
        <f t="shared" si="51"/>
        <v>145.63006791044748</v>
      </c>
      <c r="N121" s="74">
        <f t="shared" si="51"/>
        <v>21.847719999999899</v>
      </c>
      <c r="O121" s="74">
        <f t="shared" si="51"/>
        <v>48.064371305361</v>
      </c>
      <c r="P121" s="74">
        <f t="shared" si="51"/>
        <v>-23.868961674008471</v>
      </c>
      <c r="Q121" s="74">
        <f t="shared" si="51"/>
        <v>147.07044886956479</v>
      </c>
      <c r="R121" s="74">
        <f t="shared" si="51"/>
        <v>140.16888040816281</v>
      </c>
      <c r="S121" s="46">
        <f t="shared" si="51"/>
        <v>22.176208571428447</v>
      </c>
    </row>
    <row r="122" spans="2:26" hidden="1" outlineLevel="1" x14ac:dyDescent="0.25">
      <c r="B122" s="73" t="s">
        <v>49</v>
      </c>
      <c r="C122" s="74">
        <f t="shared" si="44"/>
        <v>119.0608368235084</v>
      </c>
      <c r="D122" s="74">
        <f t="shared" ref="D122:S122" si="52">D98*D8/1000</f>
        <v>-24.874194451219473</v>
      </c>
      <c r="E122" s="74">
        <f t="shared" si="52"/>
        <v>5.0666661702127698</v>
      </c>
      <c r="F122" s="74">
        <f t="shared" si="52"/>
        <v>0</v>
      </c>
      <c r="G122" s="74">
        <f t="shared" si="52"/>
        <v>-58.227650555555606</v>
      </c>
      <c r="H122" s="74">
        <f t="shared" si="52"/>
        <v>-57.376052252252187</v>
      </c>
      <c r="I122" s="74">
        <f t="shared" si="52"/>
        <v>95.190835094339832</v>
      </c>
      <c r="J122" s="74">
        <f t="shared" si="52"/>
        <v>-3.0609410497238905</v>
      </c>
      <c r="K122" s="74">
        <f t="shared" si="52"/>
        <v>19.667598461538475</v>
      </c>
      <c r="L122" s="74">
        <f t="shared" si="52"/>
        <v>45.596352066666661</v>
      </c>
      <c r="M122" s="74">
        <f t="shared" si="52"/>
        <v>14.269242586206895</v>
      </c>
      <c r="N122" s="74">
        <f t="shared" si="52"/>
        <v>52.756945238095014</v>
      </c>
      <c r="O122" s="74">
        <f t="shared" si="52"/>
        <v>-40.2846459791133</v>
      </c>
      <c r="P122" s="74">
        <f t="shared" si="52"/>
        <v>29.826098091602763</v>
      </c>
      <c r="Q122" s="74">
        <f t="shared" si="52"/>
        <v>32.617378571428546</v>
      </c>
      <c r="R122" s="74">
        <f t="shared" si="52"/>
        <v>-1.4906381818184036</v>
      </c>
      <c r="S122" s="46">
        <f t="shared" si="52"/>
        <v>9.3838430131003001</v>
      </c>
    </row>
    <row r="123" spans="2:26" collapsed="1" x14ac:dyDescent="0.25">
      <c r="B123" s="78" t="s">
        <v>57</v>
      </c>
      <c r="C123" s="79">
        <f>SUM(C115,C119)</f>
        <v>3584.1867699999948</v>
      </c>
      <c r="D123" s="79">
        <f t="shared" ref="D123:S123" si="53">SUM(D115,D119)</f>
        <v>353.93554999999839</v>
      </c>
      <c r="E123" s="79">
        <f t="shared" si="53"/>
        <v>-61.267469999999825</v>
      </c>
      <c r="F123" s="79">
        <f t="shared" si="53"/>
        <v>0</v>
      </c>
      <c r="G123" s="79">
        <f t="shared" si="53"/>
        <v>243.15576999999956</v>
      </c>
      <c r="H123" s="79">
        <f t="shared" si="53"/>
        <v>225.96744999999964</v>
      </c>
      <c r="I123" s="79">
        <f t="shared" si="53"/>
        <v>432.36325999999974</v>
      </c>
      <c r="J123" s="79">
        <f t="shared" si="53"/>
        <v>377.2625599999991</v>
      </c>
      <c r="K123" s="79">
        <f t="shared" si="53"/>
        <v>219.68638999999942</v>
      </c>
      <c r="L123" s="79">
        <f t="shared" si="53"/>
        <v>435.03486999999922</v>
      </c>
      <c r="M123" s="79">
        <f t="shared" si="53"/>
        <v>282.49200999999925</v>
      </c>
      <c r="N123" s="79">
        <f t="shared" si="53"/>
        <v>53.117500000000042</v>
      </c>
      <c r="O123" s="79">
        <f t="shared" si="53"/>
        <v>101.56263000000153</v>
      </c>
      <c r="P123" s="79">
        <f t="shared" si="53"/>
        <v>-4.2619699999997493</v>
      </c>
      <c r="Q123" s="79">
        <f t="shared" si="53"/>
        <v>746.03014999999971</v>
      </c>
      <c r="R123" s="79">
        <f t="shared" si="53"/>
        <v>107.6294999999993</v>
      </c>
      <c r="S123" s="36">
        <f t="shared" si="53"/>
        <v>71.478569999999991</v>
      </c>
    </row>
    <row r="136" spans="3:3" x14ac:dyDescent="0.25">
      <c r="C136" s="94"/>
    </row>
  </sheetData>
  <conditionalFormatting sqref="B28">
    <cfRule type="colorScale" priority="12">
      <colorScale>
        <cfvo type="min"/>
        <cfvo type="max"/>
        <color rgb="FFFCFCFF"/>
        <color rgb="FF63BE7B"/>
      </colorScale>
    </cfRule>
  </conditionalFormatting>
  <conditionalFormatting sqref="B61">
    <cfRule type="colorScale" priority="11">
      <colorScale>
        <cfvo type="min"/>
        <cfvo type="max"/>
        <color rgb="FFFCFCFF"/>
        <color rgb="FF63BE7B"/>
      </colorScale>
    </cfRule>
  </conditionalFormatting>
  <conditionalFormatting sqref="B94">
    <cfRule type="colorScale" priority="9">
      <colorScale>
        <cfvo type="min"/>
        <cfvo type="max"/>
        <color rgb="FFFCFCFF"/>
        <color rgb="FF63BE7B"/>
      </colorScale>
    </cfRule>
  </conditionalFormatting>
  <conditionalFormatting sqref="C35:S35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8:S68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1:S101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4:S111">
    <cfRule type="cellIs" dxfId="3" priority="5" operator="greaterThanOrEqual">
      <formula>0</formula>
    </cfRule>
    <cfRule type="cellIs" dxfId="2" priority="6" operator="lessThan">
      <formula>0</formula>
    </cfRule>
  </conditionalFormatting>
  <conditionalFormatting sqref="C112:S11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15:S122">
    <cfRule type="cellIs" dxfId="1" priority="1" operator="greaterThanOrEqual">
      <formula>0</formula>
    </cfRule>
    <cfRule type="cellIs" dxfId="0" priority="2" operator="lessThan">
      <formula>0</formula>
    </cfRule>
  </conditionalFormatting>
  <conditionalFormatting sqref="C123:S12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1" right="0" top="0" bottom="0" header="0" footer="0"/>
  <pageSetup paperSize="3" scale="86" orientation="landscape" r:id="rId1"/>
  <headerFooter>
    <oddFooter>&amp;R&amp;F
&amp;D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4</vt:i4>
      </vt:variant>
    </vt:vector>
  </HeadingPairs>
  <TitlesOfParts>
    <vt:vector size="8" baseType="lpstr">
      <vt:lpstr>AC Gross per Unit vs Budget</vt:lpstr>
      <vt:lpstr>AC Gross per Unit vs Last Year</vt:lpstr>
      <vt:lpstr>AC YTD Gross per Unit vs Budget</vt:lpstr>
      <vt:lpstr>AC YTD Gross per Unit vs Last Y</vt:lpstr>
      <vt:lpstr>'AC Gross per Unit vs Budget'!Zone_d_impression</vt:lpstr>
      <vt:lpstr>'AC Gross per Unit vs Last Year'!Zone_d_impression</vt:lpstr>
      <vt:lpstr>'AC YTD Gross per Unit vs Budget'!Zone_d_impression</vt:lpstr>
      <vt:lpstr>'AC YTD Gross per Unit vs Last Y'!Zone_d_impression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Henderson</dc:creator>
  <cp:lastModifiedBy>Dean Henderson</cp:lastModifiedBy>
  <dcterms:created xsi:type="dcterms:W3CDTF">2025-09-16T18:23:00Z</dcterms:created>
  <dcterms:modified xsi:type="dcterms:W3CDTF">2025-09-16T18:40:03Z</dcterms:modified>
</cp:coreProperties>
</file>