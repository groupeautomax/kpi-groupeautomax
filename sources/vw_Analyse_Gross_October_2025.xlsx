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2- QG FP&amp;A\2.1- Analyses récurrentes\2.1.1 Forecast &amp; réalisés\2025\10-Octobre\Analyse fin de mois\"/>
    </mc:Choice>
  </mc:AlternateContent>
  <xr:revisionPtr revIDLastSave="0" documentId="13_ncr:1_{05EAD636-1930-4E5C-981B-16113A43C5D3}" xr6:coauthVersionLast="47" xr6:coauthVersionMax="47" xr10:uidLastSave="{00000000-0000-0000-0000-000000000000}"/>
  <bookViews>
    <workbookView xWindow="-120" yWindow="-120" windowWidth="38640" windowHeight="21120" xr2:uid="{EAF59AF4-CAC6-4556-9422-1292421B7FE3}"/>
  </bookViews>
  <sheets>
    <sheet name="AC Gross per Unit vs Budget" sheetId="1" r:id="rId1"/>
    <sheet name="AC Gross per Unit vs Last Year" sheetId="2" r:id="rId2"/>
    <sheet name="AC YTD Gross per Unit vs Budget" sheetId="3" r:id="rId3"/>
    <sheet name="AC YTD Gross per Unit vs Last Y" sheetId="4" r:id="rId4"/>
  </sheets>
  <definedNames>
    <definedName name="NamedRange1">#REF!</definedName>
    <definedName name="oui">#REF!</definedName>
    <definedName name="_xlnm.Print_Area" localSheetId="0">'AC Gross per Unit vs Budget'!$A$1:$W$141</definedName>
    <definedName name="_xlnm.Print_Area" localSheetId="1">'AC Gross per Unit vs Last Year'!$A$1:$W$140</definedName>
    <definedName name="_xlnm.Print_Area" localSheetId="2">'AC YTD Gross per Unit vs Budget'!$A$1:$W$140</definedName>
    <definedName name="_xlnm.Print_Area" localSheetId="3">'AC YTD Gross per Unit vs Last Y'!$A$1:$W$140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7" i="4" l="1"/>
  <c r="U66" i="4"/>
  <c r="V65" i="4"/>
  <c r="U65" i="4"/>
  <c r="T65" i="4"/>
  <c r="V64" i="4"/>
  <c r="U64" i="4"/>
  <c r="T64" i="4"/>
  <c r="M64" i="4"/>
  <c r="V63" i="4"/>
  <c r="U63" i="4"/>
  <c r="T63" i="4"/>
  <c r="S63" i="4"/>
  <c r="V62" i="4"/>
  <c r="V66" i="4" s="1"/>
  <c r="U62" i="4"/>
  <c r="T62" i="4"/>
  <c r="T66" i="4" s="1"/>
  <c r="V59" i="4"/>
  <c r="U59" i="4"/>
  <c r="T59" i="4"/>
  <c r="V58" i="4"/>
  <c r="U58" i="4"/>
  <c r="T58" i="4"/>
  <c r="V57" i="4"/>
  <c r="V60" i="4" s="1"/>
  <c r="U57" i="4"/>
  <c r="U60" i="4" s="1"/>
  <c r="T57" i="4"/>
  <c r="T60" i="4" s="1"/>
  <c r="Q57" i="4"/>
  <c r="E57" i="4"/>
  <c r="V55" i="4"/>
  <c r="V67" i="4" s="1"/>
  <c r="U55" i="4"/>
  <c r="U56" i="4" s="1"/>
  <c r="T55" i="4"/>
  <c r="I55" i="4"/>
  <c r="S65" i="4"/>
  <c r="P65" i="4"/>
  <c r="N65" i="4"/>
  <c r="M65" i="4"/>
  <c r="G65" i="4"/>
  <c r="D65" i="4"/>
  <c r="S64" i="4"/>
  <c r="R64" i="4"/>
  <c r="Q64" i="4"/>
  <c r="P64" i="4"/>
  <c r="O64" i="4"/>
  <c r="I64" i="4"/>
  <c r="F64" i="4"/>
  <c r="E64" i="4"/>
  <c r="R63" i="4"/>
  <c r="N63" i="4"/>
  <c r="M63" i="4"/>
  <c r="K63" i="4"/>
  <c r="I63" i="4"/>
  <c r="H63" i="4"/>
  <c r="G63" i="4"/>
  <c r="R55" i="4"/>
  <c r="P55" i="4"/>
  <c r="O55" i="4"/>
  <c r="N55" i="4"/>
  <c r="M55" i="4"/>
  <c r="M67" i="4" s="1"/>
  <c r="L62" i="4"/>
  <c r="K62" i="4"/>
  <c r="H55" i="4"/>
  <c r="F55" i="4"/>
  <c r="V50" i="4"/>
  <c r="V56" i="4" s="1"/>
  <c r="U50" i="4"/>
  <c r="T50" i="4"/>
  <c r="T61" i="4" s="1"/>
  <c r="O50" i="4"/>
  <c r="O61" i="4" s="1"/>
  <c r="H50" i="4"/>
  <c r="H61" i="4" s="1"/>
  <c r="R59" i="4"/>
  <c r="M59" i="4"/>
  <c r="I59" i="4"/>
  <c r="H59" i="4"/>
  <c r="Q58" i="4"/>
  <c r="O58" i="4"/>
  <c r="M58" i="4"/>
  <c r="H58" i="4"/>
  <c r="E58" i="4"/>
  <c r="S50" i="4"/>
  <c r="Q50" i="4"/>
  <c r="O57" i="4"/>
  <c r="N57" i="4"/>
  <c r="M57" i="4"/>
  <c r="L50" i="4"/>
  <c r="J50" i="4"/>
  <c r="H57" i="4"/>
  <c r="H60" i="4" s="1"/>
  <c r="G50" i="4"/>
  <c r="E50" i="4"/>
  <c r="V44" i="4"/>
  <c r="U44" i="4"/>
  <c r="T44" i="4"/>
  <c r="S44" i="4"/>
  <c r="R44" i="4"/>
  <c r="N44" i="4"/>
  <c r="E63" i="4"/>
  <c r="Q44" i="4"/>
  <c r="M44" i="4"/>
  <c r="J44" i="4"/>
  <c r="I44" i="4"/>
  <c r="H44" i="4"/>
  <c r="F44" i="4"/>
  <c r="V40" i="4"/>
  <c r="U40" i="4"/>
  <c r="U61" i="4" s="1"/>
  <c r="T40" i="4"/>
  <c r="Q40" i="4"/>
  <c r="P40" i="4"/>
  <c r="M40" i="4"/>
  <c r="M45" i="4" s="1"/>
  <c r="K40" i="4"/>
  <c r="H40" i="4"/>
  <c r="E40" i="4"/>
  <c r="R40" i="4"/>
  <c r="R45" i="4" s="1"/>
  <c r="N40" i="4"/>
  <c r="N45" i="4" s="1"/>
  <c r="I58" i="4"/>
  <c r="S40" i="4"/>
  <c r="S45" i="4" s="1"/>
  <c r="O40" i="4"/>
  <c r="L40" i="4"/>
  <c r="J40" i="4"/>
  <c r="J45" i="4" s="1"/>
  <c r="I40" i="4"/>
  <c r="I45" i="4" s="1"/>
  <c r="G40" i="4"/>
  <c r="F40" i="4"/>
  <c r="F45" i="4" s="1"/>
  <c r="I30" i="4"/>
  <c r="I96" i="4" s="1"/>
  <c r="V22" i="4"/>
  <c r="V87" i="4"/>
  <c r="U87" i="4"/>
  <c r="T87" i="4"/>
  <c r="F87" i="4"/>
  <c r="A21" i="4"/>
  <c r="T86" i="4"/>
  <c r="F86" i="4"/>
  <c r="A20" i="4"/>
  <c r="V30" i="4"/>
  <c r="V96" i="4" s="1"/>
  <c r="U85" i="4"/>
  <c r="T85" i="4"/>
  <c r="S85" i="4"/>
  <c r="Q85" i="4"/>
  <c r="O85" i="4"/>
  <c r="N85" i="4"/>
  <c r="J85" i="4"/>
  <c r="I85" i="4"/>
  <c r="E85" i="4"/>
  <c r="A19" i="4"/>
  <c r="V84" i="4"/>
  <c r="U84" i="4"/>
  <c r="T84" i="4"/>
  <c r="F84" i="4"/>
  <c r="A18" i="4"/>
  <c r="V17" i="4"/>
  <c r="V82" i="4"/>
  <c r="U82" i="4"/>
  <c r="T82" i="4"/>
  <c r="A16" i="4"/>
  <c r="U81" i="4"/>
  <c r="T81" i="4"/>
  <c r="F81" i="4"/>
  <c r="A15" i="4"/>
  <c r="V80" i="4"/>
  <c r="U80" i="4"/>
  <c r="T80" i="4"/>
  <c r="F80" i="4"/>
  <c r="V79" i="4"/>
  <c r="U79" i="4"/>
  <c r="F17" i="4"/>
  <c r="A13" i="4"/>
  <c r="V11" i="4"/>
  <c r="V77" i="4" s="1"/>
  <c r="V76" i="4"/>
  <c r="U76" i="4"/>
  <c r="T76" i="4"/>
  <c r="F76" i="4"/>
  <c r="F117" i="4" s="1"/>
  <c r="A10" i="4"/>
  <c r="V75" i="4"/>
  <c r="U75" i="4"/>
  <c r="T75" i="4"/>
  <c r="S75" i="4"/>
  <c r="R75" i="4"/>
  <c r="Q75" i="4"/>
  <c r="P75" i="4"/>
  <c r="O75" i="4"/>
  <c r="N75" i="4"/>
  <c r="M75" i="4"/>
  <c r="K75" i="4"/>
  <c r="J75" i="4"/>
  <c r="I75" i="4"/>
  <c r="H75" i="4"/>
  <c r="G75" i="4"/>
  <c r="F75" i="4"/>
  <c r="E75" i="4"/>
  <c r="D75" i="4"/>
  <c r="C9" i="4"/>
  <c r="A9" i="4"/>
  <c r="V74" i="4"/>
  <c r="U74" i="4"/>
  <c r="T74" i="4"/>
  <c r="A8" i="4"/>
  <c r="V7" i="4"/>
  <c r="V73" i="4" s="1"/>
  <c r="U7" i="4"/>
  <c r="U73" i="4" s="1"/>
  <c r="V72" i="4"/>
  <c r="U72" i="4"/>
  <c r="T72" i="4"/>
  <c r="O72" i="4"/>
  <c r="O106" i="4" s="1"/>
  <c r="F72" i="4"/>
  <c r="A6" i="4"/>
  <c r="V71" i="4"/>
  <c r="U71" i="4"/>
  <c r="T71" i="4"/>
  <c r="A5" i="4"/>
  <c r="V87" i="3"/>
  <c r="U87" i="3"/>
  <c r="T87" i="3"/>
  <c r="V86" i="3"/>
  <c r="U86" i="3"/>
  <c r="T86" i="3"/>
  <c r="V85" i="3"/>
  <c r="U85" i="3"/>
  <c r="T85" i="3"/>
  <c r="V84" i="3"/>
  <c r="U84" i="3"/>
  <c r="T84" i="3"/>
  <c r="V82" i="3"/>
  <c r="U82" i="3"/>
  <c r="T82" i="3"/>
  <c r="V81" i="3"/>
  <c r="U81" i="3"/>
  <c r="T81" i="3"/>
  <c r="V80" i="3"/>
  <c r="U80" i="3"/>
  <c r="T80" i="3"/>
  <c r="V79" i="3"/>
  <c r="U79" i="3"/>
  <c r="T79" i="3"/>
  <c r="V76" i="3"/>
  <c r="U76" i="3"/>
  <c r="T76" i="3"/>
  <c r="V75" i="3"/>
  <c r="U75" i="3"/>
  <c r="T75" i="3"/>
  <c r="V74" i="3"/>
  <c r="U74" i="3"/>
  <c r="T74" i="3"/>
  <c r="V72" i="3"/>
  <c r="U72" i="3"/>
  <c r="T72" i="3"/>
  <c r="V71" i="3"/>
  <c r="U71" i="3"/>
  <c r="T71" i="3"/>
  <c r="T66" i="3"/>
  <c r="V65" i="3"/>
  <c r="U65" i="3"/>
  <c r="T65" i="3"/>
  <c r="V64" i="3"/>
  <c r="U64" i="3"/>
  <c r="T64" i="3"/>
  <c r="Q64" i="3"/>
  <c r="E64" i="3"/>
  <c r="V63" i="3"/>
  <c r="U63" i="3"/>
  <c r="T63" i="3"/>
  <c r="V62" i="3"/>
  <c r="V66" i="3" s="1"/>
  <c r="U62" i="3"/>
  <c r="U66" i="3" s="1"/>
  <c r="T62" i="3"/>
  <c r="V59" i="3"/>
  <c r="U59" i="3"/>
  <c r="T59" i="3"/>
  <c r="V58" i="3"/>
  <c r="U58" i="3"/>
  <c r="T58" i="3"/>
  <c r="V57" i="3"/>
  <c r="V60" i="3" s="1"/>
  <c r="U57" i="3"/>
  <c r="U60" i="3" s="1"/>
  <c r="T57" i="3"/>
  <c r="T60" i="3" s="1"/>
  <c r="V55" i="3"/>
  <c r="U55" i="3"/>
  <c r="T55" i="3"/>
  <c r="Q55" i="3"/>
  <c r="E55" i="3"/>
  <c r="S65" i="3"/>
  <c r="O65" i="3"/>
  <c r="G65" i="3"/>
  <c r="L64" i="3"/>
  <c r="I64" i="3"/>
  <c r="H64" i="3"/>
  <c r="C53" i="3"/>
  <c r="Q63" i="3"/>
  <c r="N63" i="3"/>
  <c r="J63" i="3"/>
  <c r="E63" i="3"/>
  <c r="S62" i="3"/>
  <c r="S66" i="3" s="1"/>
  <c r="R62" i="3"/>
  <c r="Q62" i="3"/>
  <c r="N55" i="3"/>
  <c r="L55" i="3"/>
  <c r="K55" i="3"/>
  <c r="I55" i="3"/>
  <c r="G62" i="3"/>
  <c r="G66" i="3" s="1"/>
  <c r="F62" i="3"/>
  <c r="E62" i="3"/>
  <c r="V50" i="3"/>
  <c r="U50" i="3"/>
  <c r="T50" i="3"/>
  <c r="S58" i="3"/>
  <c r="R58" i="3"/>
  <c r="P58" i="3"/>
  <c r="G58" i="3"/>
  <c r="F58" i="3"/>
  <c r="L50" i="3"/>
  <c r="C47" i="3"/>
  <c r="P50" i="3"/>
  <c r="O50" i="3"/>
  <c r="V44" i="3"/>
  <c r="U44" i="3"/>
  <c r="T44" i="3"/>
  <c r="O44" i="3"/>
  <c r="N44" i="3"/>
  <c r="J44" i="3"/>
  <c r="E44" i="3"/>
  <c r="C43" i="3"/>
  <c r="S44" i="3"/>
  <c r="M63" i="3"/>
  <c r="K44" i="3"/>
  <c r="G44" i="3"/>
  <c r="C42" i="3"/>
  <c r="R44" i="3"/>
  <c r="Q44" i="3"/>
  <c r="Q67" i="3" s="1"/>
  <c r="P44" i="3"/>
  <c r="M44" i="3"/>
  <c r="L44" i="3"/>
  <c r="I44" i="3"/>
  <c r="H44" i="3"/>
  <c r="F44" i="3"/>
  <c r="V40" i="3"/>
  <c r="U40" i="3"/>
  <c r="T40" i="3"/>
  <c r="S40" i="3"/>
  <c r="I40" i="3"/>
  <c r="H40" i="3"/>
  <c r="G40" i="3"/>
  <c r="G45" i="3" s="1"/>
  <c r="Q58" i="3"/>
  <c r="M40" i="3"/>
  <c r="J40" i="3"/>
  <c r="J45" i="3" s="1"/>
  <c r="E58" i="3"/>
  <c r="C39" i="3"/>
  <c r="R40" i="3"/>
  <c r="R45" i="3" s="1"/>
  <c r="Q40" i="3"/>
  <c r="Q45" i="3" s="1"/>
  <c r="P40" i="3"/>
  <c r="P45" i="3" s="1"/>
  <c r="O40" i="3"/>
  <c r="O45" i="3" s="1"/>
  <c r="N40" i="3"/>
  <c r="N45" i="3" s="1"/>
  <c r="M57" i="3"/>
  <c r="L40" i="3"/>
  <c r="L45" i="3" s="1"/>
  <c r="I59" i="3"/>
  <c r="F40" i="3"/>
  <c r="F45" i="3" s="1"/>
  <c r="E40" i="3"/>
  <c r="E45" i="3" s="1"/>
  <c r="D40" i="3"/>
  <c r="T34" i="3"/>
  <c r="V32" i="3"/>
  <c r="V98" i="3" s="1"/>
  <c r="U32" i="3"/>
  <c r="U98" i="3" s="1"/>
  <c r="T32" i="3"/>
  <c r="T98" i="3" s="1"/>
  <c r="V31" i="3"/>
  <c r="V97" i="3" s="1"/>
  <c r="U31" i="3"/>
  <c r="U97" i="3" s="1"/>
  <c r="T31" i="3"/>
  <c r="T97" i="3" s="1"/>
  <c r="V30" i="3"/>
  <c r="V96" i="3" s="1"/>
  <c r="U30" i="3"/>
  <c r="U96" i="3" s="1"/>
  <c r="T30" i="3"/>
  <c r="T96" i="3" s="1"/>
  <c r="V29" i="3"/>
  <c r="V33" i="3" s="1"/>
  <c r="V99" i="3" s="1"/>
  <c r="U29" i="3"/>
  <c r="U95" i="3" s="1"/>
  <c r="T29" i="3"/>
  <c r="T95" i="3" s="1"/>
  <c r="V26" i="3"/>
  <c r="V92" i="3" s="1"/>
  <c r="U26" i="3"/>
  <c r="U92" i="3" s="1"/>
  <c r="T26" i="3"/>
  <c r="T92" i="3" s="1"/>
  <c r="V25" i="3"/>
  <c r="V91" i="3" s="1"/>
  <c r="U25" i="3"/>
  <c r="U91" i="3" s="1"/>
  <c r="T25" i="3"/>
  <c r="T91" i="3" s="1"/>
  <c r="V24" i="3"/>
  <c r="V90" i="3" s="1"/>
  <c r="U24" i="3"/>
  <c r="U90" i="3" s="1"/>
  <c r="T24" i="3"/>
  <c r="T90" i="3" s="1"/>
  <c r="V22" i="3"/>
  <c r="V88" i="3" s="1"/>
  <c r="U22" i="3"/>
  <c r="U88" i="3" s="1"/>
  <c r="T22" i="3"/>
  <c r="T88" i="3" s="1"/>
  <c r="F87" i="3"/>
  <c r="A21" i="3"/>
  <c r="F86" i="3"/>
  <c r="A20" i="3"/>
  <c r="S85" i="3"/>
  <c r="R85" i="3"/>
  <c r="Q85" i="3"/>
  <c r="P85" i="3"/>
  <c r="O85" i="3"/>
  <c r="N85" i="3"/>
  <c r="K85" i="3"/>
  <c r="J85" i="3"/>
  <c r="I85" i="3"/>
  <c r="F85" i="3"/>
  <c r="E85" i="3"/>
  <c r="D85" i="3"/>
  <c r="A19" i="3"/>
  <c r="F84" i="3"/>
  <c r="A18" i="3"/>
  <c r="V17" i="3"/>
  <c r="V83" i="3" s="1"/>
  <c r="U17" i="3"/>
  <c r="U83" i="3" s="1"/>
  <c r="T17" i="3"/>
  <c r="T83" i="3" s="1"/>
  <c r="A16" i="3"/>
  <c r="F81" i="3"/>
  <c r="A15" i="3"/>
  <c r="F80" i="3"/>
  <c r="F79" i="3"/>
  <c r="A13" i="3"/>
  <c r="V11" i="3"/>
  <c r="V77" i="3" s="1"/>
  <c r="U11" i="3"/>
  <c r="T11" i="3"/>
  <c r="T77" i="3" s="1"/>
  <c r="A10" i="3"/>
  <c r="S75" i="3"/>
  <c r="R75" i="3"/>
  <c r="Q75" i="3"/>
  <c r="P75" i="3"/>
  <c r="N75" i="3"/>
  <c r="M75" i="3"/>
  <c r="L75" i="3"/>
  <c r="K75" i="3"/>
  <c r="I75" i="3"/>
  <c r="H75" i="3"/>
  <c r="G75" i="3"/>
  <c r="F75" i="3"/>
  <c r="E75" i="3"/>
  <c r="D75" i="3"/>
  <c r="A9" i="3"/>
  <c r="A8" i="3"/>
  <c r="V7" i="3"/>
  <c r="V73" i="3" s="1"/>
  <c r="U7" i="3"/>
  <c r="U73" i="3" s="1"/>
  <c r="T7" i="3"/>
  <c r="T73" i="3" s="1"/>
  <c r="O72" i="3"/>
  <c r="F72" i="3"/>
  <c r="F106" i="3" s="1"/>
  <c r="A6" i="3"/>
  <c r="F71" i="3"/>
  <c r="A5" i="3"/>
  <c r="V65" i="2"/>
  <c r="U65" i="2"/>
  <c r="T65" i="2"/>
  <c r="L65" i="2"/>
  <c r="V64" i="2"/>
  <c r="U64" i="2"/>
  <c r="T64" i="2"/>
  <c r="M64" i="2"/>
  <c r="V63" i="2"/>
  <c r="U63" i="2"/>
  <c r="T63" i="2"/>
  <c r="I63" i="2"/>
  <c r="V62" i="2"/>
  <c r="V66" i="2" s="1"/>
  <c r="U62" i="2"/>
  <c r="U66" i="2" s="1"/>
  <c r="T62" i="2"/>
  <c r="T66" i="2" s="1"/>
  <c r="K62" i="2"/>
  <c r="V59" i="2"/>
  <c r="U59" i="2"/>
  <c r="T59" i="2"/>
  <c r="Q59" i="2"/>
  <c r="E59" i="2"/>
  <c r="V58" i="2"/>
  <c r="U58" i="2"/>
  <c r="T58" i="2"/>
  <c r="V57" i="2"/>
  <c r="V60" i="2" s="1"/>
  <c r="U57" i="2"/>
  <c r="U60" i="2" s="1"/>
  <c r="T57" i="2"/>
  <c r="T60" i="2" s="1"/>
  <c r="L57" i="2"/>
  <c r="G57" i="2"/>
  <c r="V55" i="2"/>
  <c r="U55" i="2"/>
  <c r="T55" i="2"/>
  <c r="K55" i="2"/>
  <c r="Q65" i="2"/>
  <c r="P65" i="2"/>
  <c r="N65" i="2"/>
  <c r="M65" i="2"/>
  <c r="K65" i="2"/>
  <c r="I65" i="2"/>
  <c r="E65" i="2"/>
  <c r="N64" i="2"/>
  <c r="I64" i="2"/>
  <c r="H64" i="2"/>
  <c r="G64" i="2"/>
  <c r="D64" i="2"/>
  <c r="S63" i="2"/>
  <c r="R63" i="2"/>
  <c r="N63" i="2"/>
  <c r="G63" i="2"/>
  <c r="E63" i="2"/>
  <c r="D63" i="2"/>
  <c r="Q62" i="2"/>
  <c r="Q66" i="2" s="1"/>
  <c r="O55" i="2"/>
  <c r="M55" i="2"/>
  <c r="J55" i="2"/>
  <c r="H55" i="2"/>
  <c r="E55" i="2"/>
  <c r="C51" i="2"/>
  <c r="V50" i="2"/>
  <c r="U50" i="2"/>
  <c r="T50" i="2"/>
  <c r="O50" i="2"/>
  <c r="H50" i="2"/>
  <c r="M59" i="2"/>
  <c r="L59" i="2"/>
  <c r="K59" i="2"/>
  <c r="S58" i="2"/>
  <c r="R58" i="2"/>
  <c r="M58" i="2"/>
  <c r="J50" i="2"/>
  <c r="H58" i="2"/>
  <c r="G58" i="2"/>
  <c r="F58" i="2"/>
  <c r="S50" i="2"/>
  <c r="Q50" i="2"/>
  <c r="O57" i="2"/>
  <c r="N50" i="2"/>
  <c r="M50" i="2"/>
  <c r="L50" i="2"/>
  <c r="J57" i="2"/>
  <c r="H57" i="2"/>
  <c r="G50" i="2"/>
  <c r="E50" i="2"/>
  <c r="V44" i="2"/>
  <c r="U44" i="2"/>
  <c r="T44" i="2"/>
  <c r="S44" i="2"/>
  <c r="R44" i="2"/>
  <c r="L44" i="2"/>
  <c r="G44" i="2"/>
  <c r="F44" i="2"/>
  <c r="E44" i="2"/>
  <c r="S64" i="2"/>
  <c r="Q44" i="2"/>
  <c r="Q63" i="2"/>
  <c r="P63" i="2"/>
  <c r="N44" i="2"/>
  <c r="C42" i="2"/>
  <c r="P44" i="2"/>
  <c r="O44" i="2"/>
  <c r="M44" i="2"/>
  <c r="K44" i="2"/>
  <c r="I44" i="2"/>
  <c r="H44" i="2"/>
  <c r="D44" i="2"/>
  <c r="C41" i="2"/>
  <c r="V40" i="2"/>
  <c r="U40" i="2"/>
  <c r="T40" i="2"/>
  <c r="S40" i="2"/>
  <c r="S45" i="2" s="1"/>
  <c r="R40" i="2"/>
  <c r="Q40" i="2"/>
  <c r="P40" i="2"/>
  <c r="K40" i="2"/>
  <c r="K45" i="2" s="1"/>
  <c r="H40" i="2"/>
  <c r="H45" i="2" s="1"/>
  <c r="G40" i="2"/>
  <c r="G45" i="2" s="1"/>
  <c r="F40" i="2"/>
  <c r="F45" i="2" s="1"/>
  <c r="E40" i="2"/>
  <c r="D40" i="2"/>
  <c r="D45" i="2" s="1"/>
  <c r="L40" i="2"/>
  <c r="L45" i="2" s="1"/>
  <c r="I58" i="2"/>
  <c r="O40" i="2"/>
  <c r="N40" i="2"/>
  <c r="N45" i="2" s="1"/>
  <c r="M40" i="2"/>
  <c r="M45" i="2" s="1"/>
  <c r="J40" i="2"/>
  <c r="C38" i="2"/>
  <c r="T32" i="2"/>
  <c r="T98" i="2" s="1"/>
  <c r="T22" i="2"/>
  <c r="V87" i="2"/>
  <c r="T87" i="2"/>
  <c r="F87" i="2"/>
  <c r="A21" i="2"/>
  <c r="V86" i="2"/>
  <c r="U86" i="2"/>
  <c r="T86" i="2"/>
  <c r="A20" i="2"/>
  <c r="U85" i="2"/>
  <c r="T85" i="2"/>
  <c r="R85" i="2"/>
  <c r="Q85" i="2"/>
  <c r="P85" i="2"/>
  <c r="K85" i="2"/>
  <c r="I85" i="2"/>
  <c r="F85" i="2"/>
  <c r="E85" i="2"/>
  <c r="A19" i="2"/>
  <c r="V84" i="2"/>
  <c r="U84" i="2"/>
  <c r="T84" i="2"/>
  <c r="F84" i="2"/>
  <c r="A18" i="2"/>
  <c r="V17" i="2"/>
  <c r="V82" i="2"/>
  <c r="T82" i="2"/>
  <c r="A16" i="2"/>
  <c r="V81" i="2"/>
  <c r="T81" i="2"/>
  <c r="A15" i="2"/>
  <c r="V80" i="2"/>
  <c r="U80" i="2"/>
  <c r="T80" i="2"/>
  <c r="F80" i="2"/>
  <c r="V79" i="2"/>
  <c r="F79" i="2"/>
  <c r="A13" i="2"/>
  <c r="V76" i="2"/>
  <c r="U76" i="2"/>
  <c r="F76" i="2"/>
  <c r="A10" i="2"/>
  <c r="V75" i="2"/>
  <c r="U75" i="2"/>
  <c r="T75" i="2"/>
  <c r="S75" i="2"/>
  <c r="R75" i="2"/>
  <c r="Q75" i="2"/>
  <c r="P75" i="2"/>
  <c r="O75" i="2"/>
  <c r="M75" i="2"/>
  <c r="L75" i="2"/>
  <c r="K75" i="2"/>
  <c r="J75" i="2"/>
  <c r="I75" i="2"/>
  <c r="H75" i="2"/>
  <c r="G75" i="2"/>
  <c r="F75" i="2"/>
  <c r="E75" i="2"/>
  <c r="D75" i="2"/>
  <c r="A9" i="2"/>
  <c r="V74" i="2"/>
  <c r="U74" i="2"/>
  <c r="T74" i="2"/>
  <c r="A8" i="2"/>
  <c r="V7" i="2"/>
  <c r="V72" i="2"/>
  <c r="U72" i="2"/>
  <c r="O72" i="2"/>
  <c r="F72" i="2"/>
  <c r="F106" i="2" s="1"/>
  <c r="A6" i="2"/>
  <c r="V71" i="2"/>
  <c r="T26" i="2"/>
  <c r="T92" i="2" s="1"/>
  <c r="A5" i="2"/>
  <c r="N65" i="1"/>
  <c r="V64" i="1"/>
  <c r="J64" i="1"/>
  <c r="R63" i="1"/>
  <c r="F63" i="1"/>
  <c r="T62" i="1"/>
  <c r="T59" i="1"/>
  <c r="N59" i="1"/>
  <c r="V58" i="1"/>
  <c r="T58" i="1"/>
  <c r="J58" i="1"/>
  <c r="T57" i="1"/>
  <c r="T60" i="1" s="1"/>
  <c r="V55" i="1"/>
  <c r="T55" i="1"/>
  <c r="J55" i="1"/>
  <c r="U65" i="1"/>
  <c r="S65" i="1"/>
  <c r="R65" i="1"/>
  <c r="Q65" i="1"/>
  <c r="P65" i="1"/>
  <c r="M65" i="1"/>
  <c r="L65" i="1"/>
  <c r="K65" i="1"/>
  <c r="I65" i="1"/>
  <c r="G65" i="1"/>
  <c r="F65" i="1"/>
  <c r="E65" i="1"/>
  <c r="U64" i="1"/>
  <c r="S64" i="1"/>
  <c r="R64" i="1"/>
  <c r="Q64" i="1"/>
  <c r="O64" i="1"/>
  <c r="N64" i="1"/>
  <c r="L64" i="1"/>
  <c r="K64" i="1"/>
  <c r="I64" i="1"/>
  <c r="H64" i="1"/>
  <c r="G64" i="1"/>
  <c r="F64" i="1"/>
  <c r="E64" i="1"/>
  <c r="V63" i="1"/>
  <c r="Q63" i="1"/>
  <c r="P63" i="1"/>
  <c r="O63" i="1"/>
  <c r="N63" i="1"/>
  <c r="M63" i="1"/>
  <c r="K63" i="1"/>
  <c r="J63" i="1"/>
  <c r="H63" i="1"/>
  <c r="E63" i="1"/>
  <c r="D63" i="1"/>
  <c r="V62" i="1"/>
  <c r="U55" i="1"/>
  <c r="R55" i="1"/>
  <c r="P55" i="1"/>
  <c r="O55" i="1"/>
  <c r="N55" i="1"/>
  <c r="N67" i="1" s="1"/>
  <c r="M62" i="1"/>
  <c r="M66" i="1" s="1"/>
  <c r="L62" i="1"/>
  <c r="L66" i="1" s="1"/>
  <c r="K62" i="1"/>
  <c r="K66" i="1" s="1"/>
  <c r="I55" i="1"/>
  <c r="H55" i="1"/>
  <c r="F55" i="1"/>
  <c r="D55" i="1"/>
  <c r="V50" i="1"/>
  <c r="V61" i="1" s="1"/>
  <c r="T50" i="1"/>
  <c r="T61" i="1" s="1"/>
  <c r="O50" i="1"/>
  <c r="O61" i="1" s="1"/>
  <c r="J50" i="1"/>
  <c r="J61" i="1" s="1"/>
  <c r="V59" i="1"/>
  <c r="S59" i="1"/>
  <c r="Q59" i="1"/>
  <c r="L59" i="1"/>
  <c r="K59" i="1"/>
  <c r="J59" i="1"/>
  <c r="I59" i="1"/>
  <c r="G59" i="1"/>
  <c r="S58" i="1"/>
  <c r="R58" i="1"/>
  <c r="Q58" i="1"/>
  <c r="P58" i="1"/>
  <c r="O58" i="1"/>
  <c r="N58" i="1"/>
  <c r="L58" i="1"/>
  <c r="I58" i="1"/>
  <c r="G58" i="1"/>
  <c r="F58" i="1"/>
  <c r="E58" i="1"/>
  <c r="D58" i="1"/>
  <c r="M50" i="1"/>
  <c r="L50" i="1"/>
  <c r="V57" i="1"/>
  <c r="U50" i="1"/>
  <c r="R50" i="1"/>
  <c r="Q57" i="1"/>
  <c r="Q60" i="1" s="1"/>
  <c r="O57" i="1"/>
  <c r="L57" i="1"/>
  <c r="K57" i="1"/>
  <c r="J57" i="1"/>
  <c r="I50" i="1"/>
  <c r="H50" i="1"/>
  <c r="F50" i="1"/>
  <c r="E57" i="1"/>
  <c r="E44" i="1"/>
  <c r="T64" i="1"/>
  <c r="T63" i="1"/>
  <c r="V44" i="1"/>
  <c r="U44" i="1"/>
  <c r="T65" i="1"/>
  <c r="T66" i="1" s="1"/>
  <c r="R44" i="1"/>
  <c r="Q44" i="1"/>
  <c r="P44" i="1"/>
  <c r="O44" i="1"/>
  <c r="N44" i="1"/>
  <c r="M44" i="1"/>
  <c r="L44" i="1"/>
  <c r="J44" i="1"/>
  <c r="J67" i="1" s="1"/>
  <c r="I44" i="1"/>
  <c r="H44" i="1"/>
  <c r="F44" i="1"/>
  <c r="D44" i="1"/>
  <c r="T40" i="1"/>
  <c r="R40" i="1"/>
  <c r="R45" i="1" s="1"/>
  <c r="P40" i="1"/>
  <c r="P45" i="1" s="1"/>
  <c r="N40" i="1"/>
  <c r="K40" i="1"/>
  <c r="M40" i="1"/>
  <c r="M45" i="1" s="1"/>
  <c r="L40" i="1"/>
  <c r="L45" i="1" s="1"/>
  <c r="I40" i="1"/>
  <c r="I45" i="1" s="1"/>
  <c r="V40" i="1"/>
  <c r="U40" i="1"/>
  <c r="S40" i="1"/>
  <c r="R57" i="1"/>
  <c r="Q40" i="1"/>
  <c r="O40" i="1"/>
  <c r="J40" i="1"/>
  <c r="H40" i="1"/>
  <c r="G40" i="1"/>
  <c r="F40" i="1"/>
  <c r="F45" i="1" s="1"/>
  <c r="E40" i="1"/>
  <c r="E45" i="1" s="1"/>
  <c r="D40" i="1"/>
  <c r="D45" i="1" s="1"/>
  <c r="F31" i="1"/>
  <c r="F97" i="1" s="1"/>
  <c r="F122" i="1" s="1"/>
  <c r="K30" i="1"/>
  <c r="V29" i="1"/>
  <c r="V25" i="1"/>
  <c r="V91" i="1" s="1"/>
  <c r="V87" i="1"/>
  <c r="U87" i="1"/>
  <c r="F87" i="1"/>
  <c r="A21" i="1"/>
  <c r="V86" i="1"/>
  <c r="T86" i="1"/>
  <c r="F86" i="1"/>
  <c r="A20" i="1"/>
  <c r="V30" i="1"/>
  <c r="V96" i="1" s="1"/>
  <c r="R85" i="1"/>
  <c r="P85" i="1"/>
  <c r="O85" i="1"/>
  <c r="N85" i="1"/>
  <c r="K85" i="1"/>
  <c r="F85" i="1"/>
  <c r="D30" i="1"/>
  <c r="D96" i="1" s="1"/>
  <c r="A19" i="1"/>
  <c r="V84" i="1"/>
  <c r="U84" i="1"/>
  <c r="T84" i="1"/>
  <c r="F22" i="1"/>
  <c r="A18" i="1"/>
  <c r="V82" i="1"/>
  <c r="U82" i="1"/>
  <c r="A16" i="1"/>
  <c r="V81" i="1"/>
  <c r="T81" i="1"/>
  <c r="F81" i="1"/>
  <c r="A15" i="1"/>
  <c r="V80" i="1"/>
  <c r="U80" i="1"/>
  <c r="T80" i="1"/>
  <c r="F80" i="1"/>
  <c r="F112" i="1" s="1"/>
  <c r="T17" i="1"/>
  <c r="F24" i="1"/>
  <c r="V11" i="1"/>
  <c r="V77" i="1" s="1"/>
  <c r="U11" i="1"/>
  <c r="U77" i="1" s="1"/>
  <c r="V76" i="1"/>
  <c r="U76" i="1"/>
  <c r="T76" i="1"/>
  <c r="F76" i="1"/>
  <c r="F118" i="1" s="1"/>
  <c r="A10" i="1"/>
  <c r="V75" i="1"/>
  <c r="U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A9" i="1"/>
  <c r="U74" i="1"/>
  <c r="T74" i="1"/>
  <c r="A8" i="1"/>
  <c r="V7" i="1"/>
  <c r="V73" i="1" s="1"/>
  <c r="U7" i="1"/>
  <c r="U73" i="1" s="1"/>
  <c r="V72" i="1"/>
  <c r="U72" i="1"/>
  <c r="T72" i="1"/>
  <c r="O72" i="1"/>
  <c r="O106" i="1" s="1"/>
  <c r="F72" i="1"/>
  <c r="F106" i="1" s="1"/>
  <c r="A6" i="1"/>
  <c r="V71" i="1"/>
  <c r="U71" i="1"/>
  <c r="T71" i="1"/>
  <c r="F71" i="1"/>
  <c r="A5" i="1"/>
  <c r="R45" i="2" l="1"/>
  <c r="O45" i="2"/>
  <c r="E61" i="2"/>
  <c r="V61" i="2"/>
  <c r="H56" i="2"/>
  <c r="U61" i="2"/>
  <c r="G61" i="2"/>
  <c r="T67" i="2"/>
  <c r="U67" i="2"/>
  <c r="V67" i="2"/>
  <c r="T56" i="2"/>
  <c r="P45" i="2"/>
  <c r="Q61" i="2"/>
  <c r="H61" i="2"/>
  <c r="S61" i="2"/>
  <c r="V73" i="2"/>
  <c r="T61" i="2"/>
  <c r="T83" i="1"/>
  <c r="F88" i="1"/>
  <c r="S45" i="1"/>
  <c r="F27" i="1"/>
  <c r="E30" i="1"/>
  <c r="E96" i="1" s="1"/>
  <c r="E85" i="1"/>
  <c r="T75" i="1"/>
  <c r="T11" i="1"/>
  <c r="T85" i="1"/>
  <c r="T30" i="1"/>
  <c r="T96" i="1" s="1"/>
  <c r="H45" i="1"/>
  <c r="N45" i="1"/>
  <c r="K44" i="1"/>
  <c r="C42" i="1"/>
  <c r="D57" i="1"/>
  <c r="D50" i="1"/>
  <c r="D61" i="1" s="1"/>
  <c r="C46" i="1"/>
  <c r="P57" i="1"/>
  <c r="P60" i="1" s="1"/>
  <c r="U81" i="1"/>
  <c r="U25" i="1"/>
  <c r="U85" i="1"/>
  <c r="U30" i="1"/>
  <c r="U29" i="1"/>
  <c r="G63" i="1"/>
  <c r="S63" i="1"/>
  <c r="M64" i="1"/>
  <c r="U79" i="1"/>
  <c r="U24" i="1"/>
  <c r="U17" i="1"/>
  <c r="F25" i="1"/>
  <c r="F91" i="1" s="1"/>
  <c r="F110" i="1" s="1"/>
  <c r="V95" i="1"/>
  <c r="J45" i="1"/>
  <c r="C39" i="1"/>
  <c r="F61" i="1"/>
  <c r="R61" i="1"/>
  <c r="L61" i="1"/>
  <c r="U63" i="1"/>
  <c r="H65" i="1"/>
  <c r="S85" i="1"/>
  <c r="S30" i="1"/>
  <c r="S96" i="1" s="1"/>
  <c r="R30" i="1"/>
  <c r="R96" i="1" s="1"/>
  <c r="T82" i="1"/>
  <c r="T26" i="1"/>
  <c r="T92" i="1" s="1"/>
  <c r="I85" i="1"/>
  <c r="I30" i="1"/>
  <c r="U31" i="1"/>
  <c r="U97" i="1" s="1"/>
  <c r="U86" i="1"/>
  <c r="T87" i="1"/>
  <c r="T32" i="1"/>
  <c r="T98" i="1" s="1"/>
  <c r="G50" i="1"/>
  <c r="G61" i="1" s="1"/>
  <c r="G57" i="1"/>
  <c r="G60" i="1" s="1"/>
  <c r="S50" i="1"/>
  <c r="S61" i="1" s="1"/>
  <c r="M61" i="1"/>
  <c r="M59" i="1"/>
  <c r="O67" i="1"/>
  <c r="O56" i="1"/>
  <c r="I63" i="1"/>
  <c r="V65" i="1"/>
  <c r="F11" i="1"/>
  <c r="F77" i="1" s="1"/>
  <c r="F74" i="1"/>
  <c r="F107" i="1"/>
  <c r="F105" i="1"/>
  <c r="F104" i="1" s="1"/>
  <c r="J30" i="1"/>
  <c r="J96" i="1" s="1"/>
  <c r="C41" i="1"/>
  <c r="C44" i="1" s="1"/>
  <c r="H61" i="1"/>
  <c r="U61" i="1"/>
  <c r="H58" i="1"/>
  <c r="U58" i="1"/>
  <c r="D67" i="1"/>
  <c r="P67" i="1"/>
  <c r="D64" i="1"/>
  <c r="P64" i="1"/>
  <c r="J65" i="1"/>
  <c r="J56" i="1"/>
  <c r="J68" i="1" s="1"/>
  <c r="F30" i="1"/>
  <c r="F96" i="1" s="1"/>
  <c r="U32" i="1"/>
  <c r="U98" i="1" s="1"/>
  <c r="I61" i="1"/>
  <c r="V60" i="1"/>
  <c r="O59" i="1"/>
  <c r="E55" i="1"/>
  <c r="Q55" i="1"/>
  <c r="O60" i="1"/>
  <c r="T79" i="1"/>
  <c r="T24" i="1"/>
  <c r="V24" i="1"/>
  <c r="V79" i="1"/>
  <c r="V74" i="1"/>
  <c r="F26" i="1"/>
  <c r="F82" i="1"/>
  <c r="V17" i="1"/>
  <c r="F7" i="1"/>
  <c r="K96" i="1"/>
  <c r="V32" i="1"/>
  <c r="V98" i="1" s="1"/>
  <c r="J60" i="1"/>
  <c r="C47" i="1"/>
  <c r="D59" i="1"/>
  <c r="P59" i="1"/>
  <c r="F67" i="1"/>
  <c r="F56" i="1"/>
  <c r="F68" i="1" s="1"/>
  <c r="R67" i="1"/>
  <c r="R56" i="1"/>
  <c r="R68" i="1" s="1"/>
  <c r="L63" i="1"/>
  <c r="V56" i="1"/>
  <c r="V67" i="1"/>
  <c r="F79" i="1"/>
  <c r="F17" i="1"/>
  <c r="T7" i="1"/>
  <c r="T73" i="1" s="1"/>
  <c r="C9" i="1"/>
  <c r="C75" i="1" s="1"/>
  <c r="U26" i="1"/>
  <c r="C38" i="1"/>
  <c r="C40" i="1" s="1"/>
  <c r="O45" i="1"/>
  <c r="C43" i="1"/>
  <c r="T44" i="1"/>
  <c r="T67" i="1" s="1"/>
  <c r="K60" i="1"/>
  <c r="K58" i="1"/>
  <c r="C49" i="1"/>
  <c r="C59" i="1" s="1"/>
  <c r="E59" i="1"/>
  <c r="E60" i="1" s="1"/>
  <c r="G55" i="1"/>
  <c r="S55" i="1"/>
  <c r="N56" i="1"/>
  <c r="N68" i="1" s="1"/>
  <c r="V26" i="1"/>
  <c r="V92" i="1" s="1"/>
  <c r="N30" i="1"/>
  <c r="N96" i="1" s="1"/>
  <c r="G44" i="1"/>
  <c r="G45" i="1" s="1"/>
  <c r="S44" i="1"/>
  <c r="L60" i="1"/>
  <c r="F59" i="1"/>
  <c r="R59" i="1"/>
  <c r="R60" i="1" s="1"/>
  <c r="H67" i="1"/>
  <c r="H56" i="1"/>
  <c r="H68" i="1" s="1"/>
  <c r="U67" i="1"/>
  <c r="U56" i="1"/>
  <c r="F57" i="1"/>
  <c r="F60" i="1" s="1"/>
  <c r="N62" i="1"/>
  <c r="N66" i="1" s="1"/>
  <c r="Q85" i="1"/>
  <c r="Q30" i="1"/>
  <c r="Q96" i="1" s="1"/>
  <c r="O30" i="1"/>
  <c r="O96" i="1" s="1"/>
  <c r="T31" i="1"/>
  <c r="T97" i="1" s="1"/>
  <c r="Q45" i="1"/>
  <c r="M57" i="1"/>
  <c r="M60" i="1" s="1"/>
  <c r="M58" i="1"/>
  <c r="I67" i="1"/>
  <c r="I56" i="1"/>
  <c r="I68" i="1" s="1"/>
  <c r="V66" i="1"/>
  <c r="O65" i="1"/>
  <c r="F29" i="1"/>
  <c r="F84" i="1"/>
  <c r="D85" i="1"/>
  <c r="T25" i="1"/>
  <c r="T91" i="1" s="1"/>
  <c r="P30" i="1"/>
  <c r="P96" i="1" s="1"/>
  <c r="V31" i="1"/>
  <c r="V97" i="1" s="1"/>
  <c r="K45" i="1"/>
  <c r="N57" i="1"/>
  <c r="N60" i="1" s="1"/>
  <c r="N50" i="1"/>
  <c r="N61" i="1" s="1"/>
  <c r="H59" i="1"/>
  <c r="U59" i="1"/>
  <c r="J62" i="1"/>
  <c r="C54" i="1"/>
  <c r="C65" i="1" s="1"/>
  <c r="T29" i="1"/>
  <c r="K50" i="1"/>
  <c r="K61" i="1" s="1"/>
  <c r="C51" i="1"/>
  <c r="K55" i="1"/>
  <c r="S57" i="1"/>
  <c r="S60" i="1" s="1"/>
  <c r="O62" i="1"/>
  <c r="L55" i="1"/>
  <c r="H57" i="1"/>
  <c r="D62" i="1"/>
  <c r="D66" i="1" s="1"/>
  <c r="P62" i="1"/>
  <c r="P66" i="1" s="1"/>
  <c r="D65" i="1"/>
  <c r="C48" i="1"/>
  <c r="C58" i="1" s="1"/>
  <c r="C53" i="1"/>
  <c r="C64" i="1" s="1"/>
  <c r="M55" i="1"/>
  <c r="I57" i="1"/>
  <c r="I60" i="1" s="1"/>
  <c r="U57" i="1"/>
  <c r="E62" i="1"/>
  <c r="E66" i="1" s="1"/>
  <c r="Q62" i="1"/>
  <c r="Q66" i="1" s="1"/>
  <c r="F62" i="1"/>
  <c r="F66" i="1" s="1"/>
  <c r="R62" i="1"/>
  <c r="R66" i="1" s="1"/>
  <c r="G62" i="1"/>
  <c r="G66" i="1" s="1"/>
  <c r="S62" i="1"/>
  <c r="S66" i="1" s="1"/>
  <c r="J85" i="1"/>
  <c r="P50" i="1"/>
  <c r="P61" i="1" s="1"/>
  <c r="T56" i="1"/>
  <c r="H62" i="1"/>
  <c r="E50" i="1"/>
  <c r="E61" i="1" s="1"/>
  <c r="Q50" i="1"/>
  <c r="Q61" i="1" s="1"/>
  <c r="I62" i="1"/>
  <c r="I66" i="1" s="1"/>
  <c r="U62" i="1"/>
  <c r="U66" i="1" s="1"/>
  <c r="T22" i="1"/>
  <c r="C52" i="1"/>
  <c r="C63" i="1" s="1"/>
  <c r="U22" i="1"/>
  <c r="V22" i="1"/>
  <c r="V85" i="1"/>
  <c r="F32" i="1"/>
  <c r="F98" i="1" s="1"/>
  <c r="F123" i="1" s="1"/>
  <c r="D85" i="2"/>
  <c r="D30" i="2"/>
  <c r="D96" i="2" s="1"/>
  <c r="C43" i="2"/>
  <c r="C44" i="2" s="1"/>
  <c r="L61" i="2"/>
  <c r="N55" i="2"/>
  <c r="U71" i="2"/>
  <c r="U29" i="2"/>
  <c r="U81" i="2"/>
  <c r="U25" i="2"/>
  <c r="U91" i="2" s="1"/>
  <c r="U82" i="2"/>
  <c r="U26" i="2"/>
  <c r="U92" i="2" s="1"/>
  <c r="E45" i="2"/>
  <c r="M61" i="2"/>
  <c r="O67" i="2"/>
  <c r="H68" i="2"/>
  <c r="F7" i="2"/>
  <c r="F71" i="2"/>
  <c r="T76" i="2"/>
  <c r="T11" i="2"/>
  <c r="T77" i="2" s="1"/>
  <c r="T79" i="2"/>
  <c r="T24" i="2"/>
  <c r="T17" i="2"/>
  <c r="V85" i="2"/>
  <c r="V30" i="2"/>
  <c r="V96" i="2" s="1"/>
  <c r="N61" i="2"/>
  <c r="N59" i="2"/>
  <c r="C62" i="2"/>
  <c r="D65" i="2"/>
  <c r="C54" i="2"/>
  <c r="C65" i="2" s="1"/>
  <c r="O56" i="2"/>
  <c r="O68" i="2" s="1"/>
  <c r="F11" i="2"/>
  <c r="F77" i="2" s="1"/>
  <c r="F74" i="2"/>
  <c r="U11" i="2"/>
  <c r="U77" i="2" s="1"/>
  <c r="U79" i="2"/>
  <c r="U24" i="2"/>
  <c r="E67" i="2"/>
  <c r="E56" i="2"/>
  <c r="V11" i="2"/>
  <c r="V77" i="2" s="1"/>
  <c r="J85" i="2"/>
  <c r="J30" i="2"/>
  <c r="F86" i="2"/>
  <c r="F31" i="2"/>
  <c r="U87" i="2"/>
  <c r="U32" i="2"/>
  <c r="U98" i="2" s="1"/>
  <c r="D50" i="2"/>
  <c r="D61" i="2" s="1"/>
  <c r="D57" i="2"/>
  <c r="C46" i="2"/>
  <c r="P50" i="2"/>
  <c r="P61" i="2" s="1"/>
  <c r="P57" i="2"/>
  <c r="J64" i="2"/>
  <c r="N75" i="2"/>
  <c r="N30" i="2"/>
  <c r="N96" i="2" s="1"/>
  <c r="F82" i="2"/>
  <c r="F26" i="2"/>
  <c r="G62" i="2"/>
  <c r="G55" i="2"/>
  <c r="S62" i="2"/>
  <c r="S55" i="2"/>
  <c r="O63" i="2"/>
  <c r="L60" i="2"/>
  <c r="T72" i="2"/>
  <c r="T25" i="2"/>
  <c r="T91" i="2" s="1"/>
  <c r="C9" i="2"/>
  <c r="C75" i="2" s="1"/>
  <c r="F81" i="2"/>
  <c r="F25" i="2"/>
  <c r="F91" i="2" s="1"/>
  <c r="F110" i="2" s="1"/>
  <c r="F50" i="2"/>
  <c r="F61" i="2" s="1"/>
  <c r="R50" i="2"/>
  <c r="R61" i="2" s="1"/>
  <c r="J61" i="2"/>
  <c r="H67" i="2"/>
  <c r="D55" i="2"/>
  <c r="T71" i="2"/>
  <c r="O85" i="2"/>
  <c r="O30" i="2"/>
  <c r="T29" i="2"/>
  <c r="Q45" i="2"/>
  <c r="I55" i="2"/>
  <c r="K67" i="2"/>
  <c r="T88" i="2"/>
  <c r="C39" i="2"/>
  <c r="C40" i="2" s="1"/>
  <c r="J44" i="2"/>
  <c r="J67" i="2" s="1"/>
  <c r="H59" i="2"/>
  <c r="H60" i="2" s="1"/>
  <c r="C49" i="2"/>
  <c r="C59" i="2" s="1"/>
  <c r="J56" i="2"/>
  <c r="C52" i="2"/>
  <c r="C63" i="2" s="1"/>
  <c r="P55" i="2"/>
  <c r="T7" i="2"/>
  <c r="T73" i="2" s="1"/>
  <c r="U17" i="2"/>
  <c r="I40" i="2"/>
  <c r="I45" i="2" s="1"/>
  <c r="I57" i="2"/>
  <c r="U7" i="2"/>
  <c r="U73" i="2" s="1"/>
  <c r="V83" i="2"/>
  <c r="V28" i="2"/>
  <c r="V94" i="2" s="1"/>
  <c r="S30" i="2"/>
  <c r="S96" i="2" s="1"/>
  <c r="C47" i="2"/>
  <c r="O61" i="2"/>
  <c r="L55" i="2"/>
  <c r="L62" i="2"/>
  <c r="L66" i="2" s="1"/>
  <c r="K66" i="2"/>
  <c r="K50" i="2"/>
  <c r="K61" i="2" s="1"/>
  <c r="K57" i="2"/>
  <c r="K60" i="2" s="1"/>
  <c r="M56" i="2"/>
  <c r="M68" i="2" s="1"/>
  <c r="M67" i="2"/>
  <c r="N85" i="2"/>
  <c r="K30" i="2"/>
  <c r="E58" i="2"/>
  <c r="Q58" i="2"/>
  <c r="H65" i="2"/>
  <c r="E62" i="2"/>
  <c r="E66" i="2" s="1"/>
  <c r="F63" i="2"/>
  <c r="I50" i="2"/>
  <c r="H63" i="2"/>
  <c r="C53" i="2"/>
  <c r="C64" i="2" s="1"/>
  <c r="O64" i="2"/>
  <c r="J65" i="2"/>
  <c r="Q55" i="2"/>
  <c r="U56" i="2"/>
  <c r="M57" i="2"/>
  <c r="M60" i="2" s="1"/>
  <c r="J58" i="2"/>
  <c r="V26" i="2"/>
  <c r="V92" i="2" s="1"/>
  <c r="V29" i="2"/>
  <c r="V32" i="2"/>
  <c r="V98" i="2" s="1"/>
  <c r="O59" i="2"/>
  <c r="O60" i="2" s="1"/>
  <c r="P64" i="2"/>
  <c r="F55" i="2"/>
  <c r="R55" i="2"/>
  <c r="V56" i="2"/>
  <c r="N57" i="2"/>
  <c r="N60" i="2" s="1"/>
  <c r="M62" i="2"/>
  <c r="M66" i="2" s="1"/>
  <c r="S57" i="2"/>
  <c r="D59" i="2"/>
  <c r="P59" i="2"/>
  <c r="O62" i="2"/>
  <c r="J63" i="2"/>
  <c r="E64" i="2"/>
  <c r="Q64" i="2"/>
  <c r="N62" i="2"/>
  <c r="N66" i="2" s="1"/>
  <c r="S85" i="2"/>
  <c r="P30" i="2"/>
  <c r="P96" i="2" s="1"/>
  <c r="T31" i="2"/>
  <c r="T97" i="2" s="1"/>
  <c r="D62" i="2"/>
  <c r="D66" i="2" s="1"/>
  <c r="P62" i="2"/>
  <c r="P66" i="2" s="1"/>
  <c r="K63" i="2"/>
  <c r="F64" i="2"/>
  <c r="F117" i="2" s="1"/>
  <c r="R64" i="2"/>
  <c r="J75" i="3"/>
  <c r="C9" i="3"/>
  <c r="C75" i="3" s="1"/>
  <c r="F22" i="2"/>
  <c r="E30" i="2"/>
  <c r="E96" i="2" s="1"/>
  <c r="Q30" i="2"/>
  <c r="Q96" i="2" s="1"/>
  <c r="U31" i="2"/>
  <c r="U97" i="2" s="1"/>
  <c r="K58" i="2"/>
  <c r="F59" i="2"/>
  <c r="R59" i="2"/>
  <c r="L63" i="2"/>
  <c r="E57" i="2"/>
  <c r="E60" i="2" s="1"/>
  <c r="Q57" i="2"/>
  <c r="Q60" i="2" s="1"/>
  <c r="F24" i="2"/>
  <c r="V25" i="2"/>
  <c r="V91" i="2" s="1"/>
  <c r="F30" i="2"/>
  <c r="F96" i="2" s="1"/>
  <c r="R30" i="2"/>
  <c r="R96" i="2" s="1"/>
  <c r="V31" i="2"/>
  <c r="V97" i="2" s="1"/>
  <c r="L58" i="2"/>
  <c r="G59" i="2"/>
  <c r="G60" i="2" s="1"/>
  <c r="S59" i="2"/>
  <c r="F62" i="2"/>
  <c r="R62" i="2"/>
  <c r="M63" i="2"/>
  <c r="O65" i="2"/>
  <c r="F57" i="2"/>
  <c r="R57" i="2"/>
  <c r="R60" i="2" s="1"/>
  <c r="U22" i="2"/>
  <c r="T30" i="2"/>
  <c r="T96" i="2" s="1"/>
  <c r="N58" i="2"/>
  <c r="I59" i="2"/>
  <c r="H62" i="2"/>
  <c r="H66" i="2" s="1"/>
  <c r="F17" i="2"/>
  <c r="V22" i="2"/>
  <c r="I30" i="2"/>
  <c r="I96" i="2" s="1"/>
  <c r="U30" i="2"/>
  <c r="U96" i="2" s="1"/>
  <c r="C48" i="2"/>
  <c r="O58" i="2"/>
  <c r="O106" i="2" s="1"/>
  <c r="J59" i="2"/>
  <c r="J60" i="2" s="1"/>
  <c r="I62" i="2"/>
  <c r="I66" i="2" s="1"/>
  <c r="K64" i="2"/>
  <c r="F65" i="2"/>
  <c r="R65" i="2"/>
  <c r="V24" i="2"/>
  <c r="F29" i="2"/>
  <c r="F32" i="2"/>
  <c r="D58" i="2"/>
  <c r="P58" i="2"/>
  <c r="J62" i="2"/>
  <c r="L64" i="2"/>
  <c r="G65" i="2"/>
  <c r="S65" i="2"/>
  <c r="F76" i="3"/>
  <c r="F31" i="3"/>
  <c r="F82" i="3"/>
  <c r="F26" i="3"/>
  <c r="F92" i="3" s="1"/>
  <c r="F111" i="3" s="1"/>
  <c r="I45" i="3"/>
  <c r="L61" i="3"/>
  <c r="F7" i="3"/>
  <c r="O75" i="3"/>
  <c r="O30" i="3"/>
  <c r="O96" i="3" s="1"/>
  <c r="U77" i="3"/>
  <c r="U34" i="3"/>
  <c r="S45" i="3"/>
  <c r="F105" i="3"/>
  <c r="M45" i="3"/>
  <c r="F74" i="3"/>
  <c r="F11" i="3"/>
  <c r="F77" i="3" s="1"/>
  <c r="O61" i="3"/>
  <c r="N59" i="3"/>
  <c r="E66" i="3"/>
  <c r="D65" i="3"/>
  <c r="P65" i="3"/>
  <c r="C38" i="3"/>
  <c r="C40" i="3" s="1"/>
  <c r="C46" i="3"/>
  <c r="P61" i="3"/>
  <c r="O59" i="3"/>
  <c r="E65" i="3"/>
  <c r="Q65" i="3"/>
  <c r="Q66" i="3" s="1"/>
  <c r="F25" i="3"/>
  <c r="F91" i="3" s="1"/>
  <c r="F110" i="3" s="1"/>
  <c r="N30" i="3"/>
  <c r="N96" i="3" s="1"/>
  <c r="E50" i="3"/>
  <c r="E61" i="3" s="1"/>
  <c r="E57" i="3"/>
  <c r="Q50" i="3"/>
  <c r="Q61" i="3" s="1"/>
  <c r="Q57" i="3"/>
  <c r="Q60" i="3" s="1"/>
  <c r="H58" i="3"/>
  <c r="D59" i="3"/>
  <c r="P59" i="3"/>
  <c r="O63" i="3"/>
  <c r="J64" i="3"/>
  <c r="F65" i="3"/>
  <c r="F66" i="3" s="1"/>
  <c r="R65" i="3"/>
  <c r="R66" i="3" s="1"/>
  <c r="H45" i="3"/>
  <c r="F50" i="3"/>
  <c r="F61" i="3" s="1"/>
  <c r="F57" i="3"/>
  <c r="R50" i="3"/>
  <c r="R61" i="3" s="1"/>
  <c r="R57" i="3"/>
  <c r="R60" i="3" s="1"/>
  <c r="I58" i="3"/>
  <c r="E59" i="3"/>
  <c r="Q59" i="3"/>
  <c r="H55" i="3"/>
  <c r="D63" i="3"/>
  <c r="P63" i="3"/>
  <c r="K64" i="3"/>
  <c r="I62" i="3"/>
  <c r="T28" i="3"/>
  <c r="D30" i="3"/>
  <c r="D96" i="3" s="1"/>
  <c r="P30" i="3"/>
  <c r="T100" i="3"/>
  <c r="D44" i="3"/>
  <c r="D45" i="3" s="1"/>
  <c r="C41" i="3"/>
  <c r="C44" i="3" s="1"/>
  <c r="G50" i="3"/>
  <c r="G61" i="3" s="1"/>
  <c r="G57" i="3"/>
  <c r="S50" i="3"/>
  <c r="S61" i="3" s="1"/>
  <c r="S57" i="3"/>
  <c r="S60" i="3" s="1"/>
  <c r="J58" i="3"/>
  <c r="F59" i="3"/>
  <c r="F107" i="3" s="1"/>
  <c r="R59" i="3"/>
  <c r="I67" i="3"/>
  <c r="H65" i="3"/>
  <c r="E56" i="3"/>
  <c r="E68" i="3" s="1"/>
  <c r="I65" i="3"/>
  <c r="F22" i="3"/>
  <c r="U28" i="3"/>
  <c r="E30" i="3"/>
  <c r="E96" i="3" s="1"/>
  <c r="Q30" i="3"/>
  <c r="Q96" i="3" s="1"/>
  <c r="H57" i="3"/>
  <c r="H60" i="3" s="1"/>
  <c r="H50" i="3"/>
  <c r="H61" i="3" s="1"/>
  <c r="K58" i="3"/>
  <c r="G59" i="3"/>
  <c r="S59" i="3"/>
  <c r="J55" i="3"/>
  <c r="F63" i="3"/>
  <c r="R63" i="3"/>
  <c r="M64" i="3"/>
  <c r="Q56" i="3"/>
  <c r="Q68" i="3" s="1"/>
  <c r="F24" i="3"/>
  <c r="V28" i="3"/>
  <c r="F30" i="3"/>
  <c r="R30" i="3"/>
  <c r="V34" i="3"/>
  <c r="V100" i="3" s="1"/>
  <c r="I57" i="3"/>
  <c r="I60" i="3" s="1"/>
  <c r="L58" i="3"/>
  <c r="H59" i="3"/>
  <c r="I50" i="3"/>
  <c r="I61" i="3" s="1"/>
  <c r="K67" i="3"/>
  <c r="K56" i="3"/>
  <c r="K68" i="3" s="1"/>
  <c r="G63" i="3"/>
  <c r="S63" i="3"/>
  <c r="N64" i="3"/>
  <c r="J65" i="3"/>
  <c r="T67" i="3"/>
  <c r="S30" i="3"/>
  <c r="S96" i="3" s="1"/>
  <c r="J57" i="3"/>
  <c r="J50" i="3"/>
  <c r="J61" i="3" s="1"/>
  <c r="M58" i="3"/>
  <c r="L67" i="3"/>
  <c r="L56" i="3"/>
  <c r="L68" i="3" s="1"/>
  <c r="H63" i="3"/>
  <c r="C52" i="3"/>
  <c r="C63" i="3" s="1"/>
  <c r="C64" i="3"/>
  <c r="O64" i="3"/>
  <c r="K65" i="3"/>
  <c r="U67" i="3"/>
  <c r="V95" i="3"/>
  <c r="T27" i="3"/>
  <c r="T93" i="3" s="1"/>
  <c r="T33" i="3"/>
  <c r="T99" i="3" s="1"/>
  <c r="K57" i="3"/>
  <c r="K60" i="3" s="1"/>
  <c r="N58" i="3"/>
  <c r="J59" i="3"/>
  <c r="T61" i="3"/>
  <c r="M55" i="3"/>
  <c r="M62" i="3"/>
  <c r="I63" i="3"/>
  <c r="D64" i="3"/>
  <c r="P64" i="3"/>
  <c r="L65" i="3"/>
  <c r="V67" i="3"/>
  <c r="F17" i="3"/>
  <c r="U27" i="3"/>
  <c r="U93" i="3" s="1"/>
  <c r="I30" i="3"/>
  <c r="I96" i="3" s="1"/>
  <c r="U33" i="3"/>
  <c r="U99" i="3" s="1"/>
  <c r="K40" i="3"/>
  <c r="K45" i="3" s="1"/>
  <c r="L57" i="3"/>
  <c r="O58" i="3"/>
  <c r="O106" i="3" s="1"/>
  <c r="K59" i="3"/>
  <c r="U61" i="3"/>
  <c r="N67" i="3"/>
  <c r="M65" i="3"/>
  <c r="I56" i="3"/>
  <c r="I68" i="3" s="1"/>
  <c r="V27" i="3"/>
  <c r="V93" i="3" s="1"/>
  <c r="F29" i="3"/>
  <c r="J30" i="3"/>
  <c r="J96" i="3" s="1"/>
  <c r="F32" i="3"/>
  <c r="M50" i="3"/>
  <c r="M61" i="3" s="1"/>
  <c r="C48" i="3"/>
  <c r="C58" i="3" s="1"/>
  <c r="L59" i="3"/>
  <c r="V61" i="3"/>
  <c r="O55" i="3"/>
  <c r="K63" i="3"/>
  <c r="F64" i="3"/>
  <c r="R64" i="3"/>
  <c r="N65" i="3"/>
  <c r="U56" i="3"/>
  <c r="E67" i="3"/>
  <c r="K30" i="3"/>
  <c r="N50" i="3"/>
  <c r="N61" i="3" s="1"/>
  <c r="N57" i="3"/>
  <c r="N60" i="3" s="1"/>
  <c r="M59" i="3"/>
  <c r="M60" i="3" s="1"/>
  <c r="D62" i="3"/>
  <c r="D66" i="3" s="1"/>
  <c r="P62" i="3"/>
  <c r="P66" i="3" s="1"/>
  <c r="L63" i="3"/>
  <c r="G64" i="3"/>
  <c r="S64" i="3"/>
  <c r="D85" i="4"/>
  <c r="D30" i="4"/>
  <c r="D96" i="4" s="1"/>
  <c r="D55" i="3"/>
  <c r="P55" i="3"/>
  <c r="T56" i="3"/>
  <c r="D58" i="3"/>
  <c r="H62" i="3"/>
  <c r="H66" i="3" s="1"/>
  <c r="C38" i="4"/>
  <c r="C40" i="4" s="1"/>
  <c r="C49" i="3"/>
  <c r="C59" i="3" s="1"/>
  <c r="F55" i="3"/>
  <c r="R55" i="3"/>
  <c r="V56" i="3"/>
  <c r="J62" i="3"/>
  <c r="K50" i="3"/>
  <c r="C51" i="3"/>
  <c r="G55" i="3"/>
  <c r="S55" i="3"/>
  <c r="O57" i="3"/>
  <c r="O60" i="3" s="1"/>
  <c r="K62" i="3"/>
  <c r="G45" i="4"/>
  <c r="D57" i="3"/>
  <c r="D60" i="3" s="1"/>
  <c r="P57" i="3"/>
  <c r="P60" i="3" s="1"/>
  <c r="L62" i="3"/>
  <c r="L66" i="3" s="1"/>
  <c r="C43" i="4"/>
  <c r="G44" i="4"/>
  <c r="I50" i="4"/>
  <c r="I61" i="4" s="1"/>
  <c r="I57" i="4"/>
  <c r="I60" i="4" s="1"/>
  <c r="M50" i="4"/>
  <c r="M61" i="4" s="1"/>
  <c r="K66" i="4"/>
  <c r="V83" i="4"/>
  <c r="V28" i="4"/>
  <c r="V88" i="4"/>
  <c r="V34" i="4"/>
  <c r="V100" i="4" s="1"/>
  <c r="L44" i="4"/>
  <c r="L45" i="4" s="1"/>
  <c r="C42" i="4"/>
  <c r="C54" i="3"/>
  <c r="N62" i="3"/>
  <c r="N66" i="3" s="1"/>
  <c r="C41" i="4"/>
  <c r="E44" i="4"/>
  <c r="E45" i="4" s="1"/>
  <c r="O62" i="3"/>
  <c r="O66" i="3" s="1"/>
  <c r="T79" i="4"/>
  <c r="T17" i="4"/>
  <c r="T24" i="4"/>
  <c r="D50" i="3"/>
  <c r="D61" i="3" s="1"/>
  <c r="U86" i="4"/>
  <c r="U31" i="4"/>
  <c r="U97" i="4" s="1"/>
  <c r="P85" i="4"/>
  <c r="P30" i="4"/>
  <c r="K45" i="4"/>
  <c r="C75" i="4"/>
  <c r="F82" i="4"/>
  <c r="F26" i="4"/>
  <c r="F106" i="4"/>
  <c r="V86" i="4"/>
  <c r="V31" i="4"/>
  <c r="V97" i="4" s="1"/>
  <c r="J30" i="4"/>
  <c r="J96" i="4" s="1"/>
  <c r="J61" i="4"/>
  <c r="N58" i="4"/>
  <c r="J59" i="4"/>
  <c r="C53" i="4"/>
  <c r="C64" i="4" s="1"/>
  <c r="M56" i="4"/>
  <c r="M68" i="4" s="1"/>
  <c r="F85" i="4"/>
  <c r="F30" i="4"/>
  <c r="R85" i="4"/>
  <c r="R30" i="4"/>
  <c r="R96" i="4" s="1"/>
  <c r="T26" i="4"/>
  <c r="T92" i="4" s="1"/>
  <c r="F31" i="4"/>
  <c r="F97" i="4" s="1"/>
  <c r="F121" i="4" s="1"/>
  <c r="T31" i="4"/>
  <c r="T97" i="4" s="1"/>
  <c r="C39" i="4"/>
  <c r="K50" i="4"/>
  <c r="K61" i="4" s="1"/>
  <c r="K57" i="4"/>
  <c r="K60" i="4" s="1"/>
  <c r="K59" i="4"/>
  <c r="U26" i="4"/>
  <c r="U92" i="4" s="1"/>
  <c r="L61" i="4"/>
  <c r="D58" i="4"/>
  <c r="P58" i="4"/>
  <c r="L59" i="4"/>
  <c r="N67" i="4"/>
  <c r="N56" i="4"/>
  <c r="N68" i="4" s="1"/>
  <c r="F71" i="4"/>
  <c r="V26" i="4"/>
  <c r="V92" i="4" s="1"/>
  <c r="T29" i="4"/>
  <c r="N30" i="4"/>
  <c r="N96" i="4" s="1"/>
  <c r="Q45" i="4"/>
  <c r="M60" i="4"/>
  <c r="O67" i="4"/>
  <c r="O56" i="4"/>
  <c r="G64" i="4"/>
  <c r="O65" i="4"/>
  <c r="F29" i="4"/>
  <c r="U29" i="4"/>
  <c r="O30" i="4"/>
  <c r="F58" i="4"/>
  <c r="C48" i="4"/>
  <c r="C58" i="4" s="1"/>
  <c r="R58" i="4"/>
  <c r="N59" i="4"/>
  <c r="N60" i="4" s="1"/>
  <c r="C51" i="4"/>
  <c r="L63" i="4"/>
  <c r="V85" i="4"/>
  <c r="F74" i="4"/>
  <c r="U24" i="4"/>
  <c r="V29" i="4"/>
  <c r="T32" i="4"/>
  <c r="T98" i="4" s="1"/>
  <c r="D40" i="4"/>
  <c r="D45" i="4" s="1"/>
  <c r="K44" i="4"/>
  <c r="G58" i="4"/>
  <c r="S58" i="4"/>
  <c r="O59" i="4"/>
  <c r="O60" i="4" s="1"/>
  <c r="E55" i="4"/>
  <c r="E62" i="4"/>
  <c r="Q55" i="4"/>
  <c r="Q62" i="4"/>
  <c r="E65" i="4"/>
  <c r="Q65" i="4"/>
  <c r="V81" i="4"/>
  <c r="V25" i="4"/>
  <c r="V91" i="4" s="1"/>
  <c r="K85" i="4"/>
  <c r="K30" i="4"/>
  <c r="K96" i="4" s="1"/>
  <c r="V24" i="4"/>
  <c r="Q30" i="4"/>
  <c r="F32" i="4"/>
  <c r="F98" i="4" s="1"/>
  <c r="F122" i="4" s="1"/>
  <c r="U32" i="4"/>
  <c r="U98" i="4" s="1"/>
  <c r="D57" i="4"/>
  <c r="C46" i="4"/>
  <c r="D50" i="4"/>
  <c r="P57" i="4"/>
  <c r="P60" i="4" s="1"/>
  <c r="P50" i="4"/>
  <c r="P61" i="4" s="1"/>
  <c r="D59" i="4"/>
  <c r="P59" i="4"/>
  <c r="F56" i="4"/>
  <c r="F68" i="4" s="1"/>
  <c r="F67" i="4"/>
  <c r="R67" i="4"/>
  <c r="J64" i="4"/>
  <c r="M62" i="4"/>
  <c r="M66" i="4" s="1"/>
  <c r="F11" i="4"/>
  <c r="F77" i="4" s="1"/>
  <c r="S30" i="4"/>
  <c r="S96" i="4" s="1"/>
  <c r="V32" i="4"/>
  <c r="V98" i="4" s="1"/>
  <c r="E61" i="4"/>
  <c r="Q61" i="4"/>
  <c r="C49" i="4"/>
  <c r="C59" i="4" s="1"/>
  <c r="Q59" i="4"/>
  <c r="Q60" i="4" s="1"/>
  <c r="G55" i="4"/>
  <c r="S55" i="4"/>
  <c r="O63" i="4"/>
  <c r="K64" i="4"/>
  <c r="H65" i="4"/>
  <c r="F7" i="4"/>
  <c r="L75" i="4"/>
  <c r="E30" i="4"/>
  <c r="E96" i="4" s="1"/>
  <c r="T30" i="4"/>
  <c r="T96" i="4" s="1"/>
  <c r="O45" i="4"/>
  <c r="F50" i="4"/>
  <c r="F61" i="4" s="1"/>
  <c r="R50" i="4"/>
  <c r="R61" i="4" s="1"/>
  <c r="J58" i="4"/>
  <c r="F59" i="4"/>
  <c r="H67" i="4"/>
  <c r="H56" i="4"/>
  <c r="D63" i="4"/>
  <c r="L64" i="4"/>
  <c r="I56" i="4"/>
  <c r="I68" i="4" s="1"/>
  <c r="I67" i="4"/>
  <c r="T11" i="4"/>
  <c r="T77" i="4" s="1"/>
  <c r="F79" i="4"/>
  <c r="F24" i="4"/>
  <c r="T22" i="4"/>
  <c r="F25" i="4"/>
  <c r="F91" i="4" s="1"/>
  <c r="F110" i="4" s="1"/>
  <c r="T25" i="4"/>
  <c r="T91" i="4" s="1"/>
  <c r="U30" i="4"/>
  <c r="U96" i="4" s="1"/>
  <c r="H45" i="4"/>
  <c r="O44" i="4"/>
  <c r="G61" i="4"/>
  <c r="S61" i="4"/>
  <c r="K58" i="4"/>
  <c r="G59" i="4"/>
  <c r="S59" i="4"/>
  <c r="I62" i="4"/>
  <c r="Q63" i="4"/>
  <c r="I65" i="4"/>
  <c r="T56" i="4"/>
  <c r="T7" i="4"/>
  <c r="T73" i="4" s="1"/>
  <c r="U11" i="4"/>
  <c r="U77" i="4" s="1"/>
  <c r="U17" i="4"/>
  <c r="F22" i="4"/>
  <c r="U22" i="4"/>
  <c r="U25" i="4"/>
  <c r="U91" i="4" s="1"/>
  <c r="D44" i="4"/>
  <c r="P44" i="4"/>
  <c r="P67" i="4" s="1"/>
  <c r="C47" i="4"/>
  <c r="L58" i="4"/>
  <c r="J62" i="4"/>
  <c r="J66" i="4" s="1"/>
  <c r="F63" i="4"/>
  <c r="J65" i="4"/>
  <c r="N50" i="4"/>
  <c r="N61" i="4" s="1"/>
  <c r="H64" i="4"/>
  <c r="C54" i="4"/>
  <c r="C65" i="4" s="1"/>
  <c r="J55" i="4"/>
  <c r="F57" i="4"/>
  <c r="F60" i="4" s="1"/>
  <c r="R57" i="4"/>
  <c r="R60" i="4" s="1"/>
  <c r="V61" i="4"/>
  <c r="N62" i="4"/>
  <c r="N66" i="4" s="1"/>
  <c r="K55" i="4"/>
  <c r="G57" i="4"/>
  <c r="G60" i="4" s="1"/>
  <c r="S57" i="4"/>
  <c r="S60" i="4" s="1"/>
  <c r="O62" i="4"/>
  <c r="C52" i="4"/>
  <c r="L55" i="4"/>
  <c r="D62" i="4"/>
  <c r="D66" i="4" s="1"/>
  <c r="P62" i="4"/>
  <c r="P66" i="4" s="1"/>
  <c r="P63" i="4"/>
  <c r="F65" i="4"/>
  <c r="R65" i="4"/>
  <c r="E59" i="4"/>
  <c r="E60" i="4" s="1"/>
  <c r="J57" i="4"/>
  <c r="J60" i="4" s="1"/>
  <c r="F62" i="4"/>
  <c r="F66" i="4" s="1"/>
  <c r="R62" i="4"/>
  <c r="R66" i="4" s="1"/>
  <c r="D64" i="4"/>
  <c r="G62" i="4"/>
  <c r="G66" i="4" s="1"/>
  <c r="S62" i="4"/>
  <c r="S66" i="4" s="1"/>
  <c r="N64" i="4"/>
  <c r="D55" i="4"/>
  <c r="L57" i="4"/>
  <c r="H62" i="4"/>
  <c r="H66" i="4" s="1"/>
  <c r="K65" i="4"/>
  <c r="J63" i="4"/>
  <c r="L65" i="4"/>
  <c r="L66" i="4" s="1"/>
  <c r="T67" i="4"/>
  <c r="O96" i="2" l="1"/>
  <c r="E68" i="2"/>
  <c r="D60" i="2"/>
  <c r="K96" i="2"/>
  <c r="C45" i="2"/>
  <c r="F97" i="2"/>
  <c r="F121" i="2" s="1"/>
  <c r="I61" i="2"/>
  <c r="J96" i="2"/>
  <c r="C58" i="2"/>
  <c r="P60" i="2"/>
  <c r="F98" i="2"/>
  <c r="F122" i="2" s="1"/>
  <c r="J45" i="2"/>
  <c r="G67" i="4"/>
  <c r="G56" i="4"/>
  <c r="G68" i="4" s="1"/>
  <c r="Q96" i="4"/>
  <c r="F95" i="4"/>
  <c r="F120" i="4" s="1"/>
  <c r="F33" i="4"/>
  <c r="F99" i="4" s="1"/>
  <c r="T90" i="4"/>
  <c r="T27" i="4"/>
  <c r="T93" i="4" s="1"/>
  <c r="F56" i="3"/>
  <c r="F68" i="3" s="1"/>
  <c r="F67" i="3"/>
  <c r="V90" i="2"/>
  <c r="V27" i="2"/>
  <c r="V93" i="2" s="1"/>
  <c r="Q67" i="2"/>
  <c r="Q56" i="2"/>
  <c r="Q68" i="2" s="1"/>
  <c r="T95" i="2"/>
  <c r="T33" i="2"/>
  <c r="T99" i="2" s="1"/>
  <c r="V88" i="1"/>
  <c r="V34" i="1"/>
  <c r="V100" i="1" s="1"/>
  <c r="T90" i="1"/>
  <c r="T27" i="1"/>
  <c r="T93" i="1" s="1"/>
  <c r="U28" i="1"/>
  <c r="U94" i="1" s="1"/>
  <c r="U83" i="1"/>
  <c r="K56" i="4"/>
  <c r="K68" i="4" s="1"/>
  <c r="K67" i="4"/>
  <c r="T88" i="4"/>
  <c r="T34" i="4"/>
  <c r="T100" i="4" s="1"/>
  <c r="V90" i="4"/>
  <c r="V27" i="4"/>
  <c r="V93" i="4" s="1"/>
  <c r="T83" i="4"/>
  <c r="T28" i="4"/>
  <c r="T94" i="4" s="1"/>
  <c r="C50" i="3"/>
  <c r="C61" i="3" s="1"/>
  <c r="C57" i="3"/>
  <c r="C60" i="3" s="1"/>
  <c r="U88" i="1"/>
  <c r="U34" i="1"/>
  <c r="U100" i="1" s="1"/>
  <c r="S67" i="1"/>
  <c r="S56" i="1"/>
  <c r="S68" i="1" s="1"/>
  <c r="U90" i="1"/>
  <c r="U27" i="1"/>
  <c r="C57" i="1"/>
  <c r="C60" i="1" s="1"/>
  <c r="C50" i="1"/>
  <c r="C61" i="1" s="1"/>
  <c r="I66" i="4"/>
  <c r="F90" i="4"/>
  <c r="F109" i="4" s="1"/>
  <c r="F27" i="4"/>
  <c r="F93" i="4" s="1"/>
  <c r="P56" i="4"/>
  <c r="P68" i="4" s="1"/>
  <c r="V94" i="4"/>
  <c r="P45" i="4"/>
  <c r="F83" i="3"/>
  <c r="F28" i="3"/>
  <c r="F94" i="3" s="1"/>
  <c r="F108" i="3" s="1"/>
  <c r="J67" i="3"/>
  <c r="J56" i="3"/>
  <c r="J68" i="3" s="1"/>
  <c r="P96" i="3"/>
  <c r="C45" i="3"/>
  <c r="F97" i="3"/>
  <c r="F121" i="3" s="1"/>
  <c r="R67" i="2"/>
  <c r="R56" i="2"/>
  <c r="R68" i="2" s="1"/>
  <c r="H60" i="1"/>
  <c r="G67" i="1"/>
  <c r="G56" i="1"/>
  <c r="G68" i="1" s="1"/>
  <c r="F83" i="1"/>
  <c r="F28" i="1"/>
  <c r="F94" i="1" s="1"/>
  <c r="F93" i="1"/>
  <c r="O68" i="4"/>
  <c r="F96" i="4"/>
  <c r="F92" i="4"/>
  <c r="F111" i="4" s="1"/>
  <c r="K66" i="3"/>
  <c r="N56" i="3"/>
  <c r="N68" i="3" s="1"/>
  <c r="F60" i="3"/>
  <c r="E60" i="3"/>
  <c r="F117" i="3"/>
  <c r="F67" i="2"/>
  <c r="F115" i="2" s="1"/>
  <c r="F56" i="2"/>
  <c r="F68" i="2" s="1"/>
  <c r="F105" i="2"/>
  <c r="F107" i="2"/>
  <c r="U95" i="2"/>
  <c r="U33" i="2"/>
  <c r="U99" i="2" s="1"/>
  <c r="T88" i="1"/>
  <c r="T34" i="1"/>
  <c r="T100" i="1" s="1"/>
  <c r="L56" i="1"/>
  <c r="L68" i="1" s="1"/>
  <c r="L67" i="1"/>
  <c r="P56" i="1"/>
  <c r="P68" i="1" s="1"/>
  <c r="F116" i="1"/>
  <c r="F119" i="1"/>
  <c r="F117" i="1"/>
  <c r="D60" i="1"/>
  <c r="F90" i="1"/>
  <c r="F109" i="1" s="1"/>
  <c r="C55" i="4"/>
  <c r="C62" i="4"/>
  <c r="C66" i="4" s="1"/>
  <c r="F83" i="4"/>
  <c r="O67" i="3"/>
  <c r="O56" i="3"/>
  <c r="O68" i="3" s="1"/>
  <c r="J60" i="3"/>
  <c r="T94" i="3"/>
  <c r="U100" i="3"/>
  <c r="U88" i="2"/>
  <c r="U34" i="2"/>
  <c r="U100" i="2" s="1"/>
  <c r="F88" i="2"/>
  <c r="F34" i="2"/>
  <c r="F23" i="2"/>
  <c r="D67" i="2"/>
  <c r="D56" i="2"/>
  <c r="D68" i="2" s="1"/>
  <c r="S67" i="2"/>
  <c r="S56" i="2"/>
  <c r="S68" i="2" s="1"/>
  <c r="C57" i="2"/>
  <c r="C60" i="2" s="1"/>
  <c r="C50" i="2"/>
  <c r="C61" i="2" s="1"/>
  <c r="C55" i="2"/>
  <c r="F73" i="2"/>
  <c r="F104" i="2" s="1"/>
  <c r="F12" i="2"/>
  <c r="F78" i="2" s="1"/>
  <c r="O66" i="1"/>
  <c r="Q67" i="1"/>
  <c r="Q56" i="1"/>
  <c r="Q68" i="1" s="1"/>
  <c r="L60" i="4"/>
  <c r="S56" i="3"/>
  <c r="S68" i="3" s="1"/>
  <c r="S67" i="3"/>
  <c r="I66" i="3"/>
  <c r="I60" i="2"/>
  <c r="S66" i="2"/>
  <c r="C66" i="2"/>
  <c r="N67" i="2"/>
  <c r="N56" i="2"/>
  <c r="N68" i="2" s="1"/>
  <c r="F73" i="1"/>
  <c r="F12" i="1"/>
  <c r="F78" i="1" s="1"/>
  <c r="E67" i="1"/>
  <c r="E56" i="1"/>
  <c r="E68" i="1" s="1"/>
  <c r="D56" i="1"/>
  <c r="D68" i="1" s="1"/>
  <c r="D56" i="4"/>
  <c r="D68" i="4" s="1"/>
  <c r="D67" i="4"/>
  <c r="J56" i="4"/>
  <c r="J68" i="4" s="1"/>
  <c r="J67" i="4"/>
  <c r="U88" i="4"/>
  <c r="U34" i="4"/>
  <c r="U100" i="4" s="1"/>
  <c r="D61" i="4"/>
  <c r="C44" i="4"/>
  <c r="C45" i="4" s="1"/>
  <c r="G56" i="3"/>
  <c r="G68" i="3" s="1"/>
  <c r="G67" i="3"/>
  <c r="R96" i="3"/>
  <c r="F60" i="2"/>
  <c r="F90" i="2"/>
  <c r="F109" i="2" s="1"/>
  <c r="F27" i="2"/>
  <c r="F93" i="2" s="1"/>
  <c r="T34" i="2"/>
  <c r="T100" i="2" s="1"/>
  <c r="G56" i="2"/>
  <c r="G68" i="2" s="1"/>
  <c r="G67" i="2"/>
  <c r="U60" i="1"/>
  <c r="K56" i="1"/>
  <c r="K68" i="1" s="1"/>
  <c r="K67" i="1"/>
  <c r="V83" i="1"/>
  <c r="V28" i="1"/>
  <c r="V94" i="1" s="1"/>
  <c r="F34" i="1"/>
  <c r="F100" i="1" s="1"/>
  <c r="F120" i="1" s="1"/>
  <c r="F88" i="4"/>
  <c r="F34" i="4"/>
  <c r="F100" i="4" s="1"/>
  <c r="F119" i="4" s="1"/>
  <c r="F23" i="4"/>
  <c r="F73" i="4"/>
  <c r="F104" i="4" s="1"/>
  <c r="F112" i="4" s="1"/>
  <c r="F12" i="4"/>
  <c r="F78" i="4" s="1"/>
  <c r="F28" i="4"/>
  <c r="F94" i="4" s="1"/>
  <c r="F108" i="4" s="1"/>
  <c r="C57" i="4"/>
  <c r="C60" i="4" s="1"/>
  <c r="C50" i="4"/>
  <c r="C61" i="4" s="1"/>
  <c r="P96" i="4"/>
  <c r="C55" i="3"/>
  <c r="C62" i="3"/>
  <c r="P56" i="3"/>
  <c r="P68" i="3" s="1"/>
  <c r="P67" i="3"/>
  <c r="F96" i="3"/>
  <c r="J66" i="2"/>
  <c r="O66" i="2"/>
  <c r="V95" i="2"/>
  <c r="V33" i="2"/>
  <c r="V99" i="2" s="1"/>
  <c r="U83" i="2"/>
  <c r="U28" i="2"/>
  <c r="U94" i="2" s="1"/>
  <c r="G66" i="2"/>
  <c r="U90" i="2"/>
  <c r="U27" i="2"/>
  <c r="U93" i="2" s="1"/>
  <c r="C55" i="1"/>
  <c r="C62" i="1"/>
  <c r="C66" i="1" s="1"/>
  <c r="I96" i="1"/>
  <c r="U95" i="1"/>
  <c r="U33" i="1"/>
  <c r="U99" i="1" s="1"/>
  <c r="F23" i="1"/>
  <c r="L56" i="4"/>
  <c r="L68" i="4" s="1"/>
  <c r="L67" i="4"/>
  <c r="U83" i="4"/>
  <c r="U28" i="4"/>
  <c r="U94" i="4" s="1"/>
  <c r="D60" i="4"/>
  <c r="Q66" i="4"/>
  <c r="V95" i="4"/>
  <c r="V33" i="4"/>
  <c r="V99" i="4" s="1"/>
  <c r="T95" i="4"/>
  <c r="T33" i="4"/>
  <c r="T99" i="4" s="1"/>
  <c r="C65" i="3"/>
  <c r="K61" i="3"/>
  <c r="D56" i="3"/>
  <c r="D68" i="3" s="1"/>
  <c r="D67" i="3"/>
  <c r="K96" i="3"/>
  <c r="L60" i="3"/>
  <c r="M66" i="3"/>
  <c r="V94" i="3"/>
  <c r="F73" i="3"/>
  <c r="F104" i="3" s="1"/>
  <c r="F12" i="3"/>
  <c r="F78" i="3" s="1"/>
  <c r="L67" i="2"/>
  <c r="L56" i="2"/>
  <c r="L68" i="2" s="1"/>
  <c r="K56" i="2"/>
  <c r="K68" i="2" s="1"/>
  <c r="F92" i="2"/>
  <c r="F111" i="2" s="1"/>
  <c r="H66" i="1"/>
  <c r="M56" i="1"/>
  <c r="M68" i="1" s="1"/>
  <c r="M67" i="1"/>
  <c r="F92" i="1"/>
  <c r="F111" i="1" s="1"/>
  <c r="O68" i="1"/>
  <c r="U96" i="1"/>
  <c r="C63" i="4"/>
  <c r="H68" i="4"/>
  <c r="Q67" i="4"/>
  <c r="Q56" i="4"/>
  <c r="Q68" i="4" s="1"/>
  <c r="U90" i="4"/>
  <c r="U27" i="4"/>
  <c r="U93" i="4" s="1"/>
  <c r="J66" i="3"/>
  <c r="F98" i="3"/>
  <c r="F122" i="3" s="1"/>
  <c r="M67" i="3"/>
  <c r="M56" i="3"/>
  <c r="M68" i="3" s="1"/>
  <c r="F90" i="3"/>
  <c r="F109" i="3" s="1"/>
  <c r="F27" i="3"/>
  <c r="F93" i="3" s="1"/>
  <c r="G60" i="3"/>
  <c r="H67" i="3"/>
  <c r="H56" i="3"/>
  <c r="H68" i="3" s="1"/>
  <c r="R66" i="2"/>
  <c r="P67" i="2"/>
  <c r="P56" i="2"/>
  <c r="P68" i="2" s="1"/>
  <c r="T95" i="1"/>
  <c r="T33" i="1"/>
  <c r="T99" i="1" s="1"/>
  <c r="V33" i="1"/>
  <c r="V99" i="1" s="1"/>
  <c r="T28" i="1"/>
  <c r="T94" i="1" s="1"/>
  <c r="O66" i="4"/>
  <c r="R56" i="4"/>
  <c r="R68" i="4" s="1"/>
  <c r="E66" i="4"/>
  <c r="O96" i="4"/>
  <c r="F107" i="4"/>
  <c r="F105" i="4"/>
  <c r="U94" i="3"/>
  <c r="F116" i="3"/>
  <c r="F118" i="3"/>
  <c r="F115" i="3"/>
  <c r="F123" i="3" s="1"/>
  <c r="V88" i="2"/>
  <c r="V34" i="2"/>
  <c r="V100" i="2" s="1"/>
  <c r="F66" i="2"/>
  <c r="S60" i="2"/>
  <c r="I67" i="2"/>
  <c r="I56" i="2"/>
  <c r="I68" i="2" s="1"/>
  <c r="F116" i="2"/>
  <c r="F118" i="2"/>
  <c r="T28" i="2"/>
  <c r="T94" i="2" s="1"/>
  <c r="T83" i="2"/>
  <c r="C45" i="1"/>
  <c r="U91" i="1"/>
  <c r="T77" i="1"/>
  <c r="S67" i="4"/>
  <c r="S56" i="4"/>
  <c r="S68" i="4" s="1"/>
  <c r="E67" i="4"/>
  <c r="E56" i="4"/>
  <c r="E68" i="4" s="1"/>
  <c r="F116" i="4"/>
  <c r="F118" i="4"/>
  <c r="F115" i="4"/>
  <c r="F123" i="4" s="1"/>
  <c r="U95" i="4"/>
  <c r="U33" i="4"/>
  <c r="U99" i="4" s="1"/>
  <c r="R56" i="3"/>
  <c r="R68" i="3" s="1"/>
  <c r="R67" i="3"/>
  <c r="F95" i="3"/>
  <c r="F120" i="3" s="1"/>
  <c r="F33" i="3"/>
  <c r="F99" i="3" s="1"/>
  <c r="F88" i="3"/>
  <c r="F34" i="3"/>
  <c r="F100" i="3" s="1"/>
  <c r="F119" i="3" s="1"/>
  <c r="F23" i="3"/>
  <c r="F95" i="2"/>
  <c r="F120" i="2" s="1"/>
  <c r="F33" i="2"/>
  <c r="F99" i="2" s="1"/>
  <c r="F83" i="2"/>
  <c r="F28" i="2"/>
  <c r="F94" i="2" s="1"/>
  <c r="F108" i="2" s="1"/>
  <c r="J68" i="2"/>
  <c r="T90" i="2"/>
  <c r="T27" i="2"/>
  <c r="T93" i="2" s="1"/>
  <c r="J66" i="1"/>
  <c r="F95" i="1"/>
  <c r="F121" i="1" s="1"/>
  <c r="F33" i="1"/>
  <c r="F99" i="1" s="1"/>
  <c r="U92" i="1"/>
  <c r="V90" i="1"/>
  <c r="V27" i="1"/>
  <c r="V93" i="1" s="1"/>
  <c r="F112" i="2" l="1"/>
  <c r="C67" i="2"/>
  <c r="C56" i="2"/>
  <c r="C68" i="2" s="1"/>
  <c r="F124" i="1"/>
  <c r="F89" i="1"/>
  <c r="F35" i="1"/>
  <c r="F101" i="1" s="1"/>
  <c r="F89" i="4"/>
  <c r="F35" i="4"/>
  <c r="F101" i="4" s="1"/>
  <c r="F89" i="3"/>
  <c r="F35" i="3"/>
  <c r="F101" i="3" s="1"/>
  <c r="C66" i="3"/>
  <c r="F89" i="2"/>
  <c r="F35" i="2"/>
  <c r="F101" i="2" s="1"/>
  <c r="C56" i="4"/>
  <c r="C68" i="4" s="1"/>
  <c r="C67" i="4"/>
  <c r="C67" i="1"/>
  <c r="C56" i="1"/>
  <c r="C68" i="1" s="1"/>
  <c r="C67" i="3"/>
  <c r="C56" i="3"/>
  <c r="C68" i="3" s="1"/>
  <c r="F100" i="2"/>
  <c r="F119" i="2" s="1"/>
  <c r="F123" i="2" s="1"/>
  <c r="F108" i="1"/>
  <c r="F113" i="1" s="1"/>
  <c r="U93" i="1"/>
  <c r="F112" i="3"/>
  <c r="H72" i="2" l="1"/>
  <c r="H106" i="2" s="1"/>
  <c r="H72" i="1"/>
  <c r="H106" i="1" s="1"/>
  <c r="L72" i="2"/>
  <c r="L106" i="2" s="1"/>
  <c r="L72" i="1"/>
  <c r="L106" i="1" s="1"/>
  <c r="P72" i="2"/>
  <c r="P106" i="2" s="1"/>
  <c r="P72" i="1"/>
  <c r="P106" i="1" s="1"/>
  <c r="P76" i="2"/>
  <c r="P117" i="2" s="1"/>
  <c r="P76" i="1"/>
  <c r="P118" i="1" s="1"/>
  <c r="Q76" i="2"/>
  <c r="Q117" i="2" s="1"/>
  <c r="Q76" i="1"/>
  <c r="Q118" i="1" s="1"/>
  <c r="R76" i="2"/>
  <c r="R117" i="2" s="1"/>
  <c r="R76" i="1"/>
  <c r="R118" i="1" s="1"/>
  <c r="I76" i="2"/>
  <c r="I117" i="2" s="1"/>
  <c r="I76" i="1"/>
  <c r="I118" i="1" s="1"/>
  <c r="Q72" i="2"/>
  <c r="Q106" i="2" s="1"/>
  <c r="Q72" i="1"/>
  <c r="Q106" i="1" s="1"/>
  <c r="S76" i="2"/>
  <c r="S117" i="2" s="1"/>
  <c r="S76" i="1"/>
  <c r="S118" i="1" s="1"/>
  <c r="J72" i="2"/>
  <c r="J106" i="2" s="1"/>
  <c r="J72" i="1"/>
  <c r="J106" i="1" s="1"/>
  <c r="O76" i="2"/>
  <c r="O117" i="2" s="1"/>
  <c r="O76" i="1"/>
  <c r="O118" i="1" s="1"/>
  <c r="R72" i="2"/>
  <c r="R106" i="2" s="1"/>
  <c r="R72" i="1"/>
  <c r="R106" i="1" s="1"/>
  <c r="S72" i="2"/>
  <c r="S106" i="2" s="1"/>
  <c r="S72" i="1"/>
  <c r="S106" i="1" s="1"/>
  <c r="J76" i="2"/>
  <c r="J117" i="2" s="1"/>
  <c r="J76" i="1"/>
  <c r="J118" i="1" s="1"/>
  <c r="G76" i="2"/>
  <c r="G117" i="2" s="1"/>
  <c r="G76" i="1"/>
  <c r="G118" i="1" s="1"/>
  <c r="E76" i="2"/>
  <c r="E117" i="2" s="1"/>
  <c r="E76" i="1"/>
  <c r="E118" i="1" s="1"/>
  <c r="N76" i="2"/>
  <c r="N117" i="2" s="1"/>
  <c r="N76" i="1"/>
  <c r="N118" i="1" s="1"/>
  <c r="E72" i="2"/>
  <c r="E106" i="2" s="1"/>
  <c r="E72" i="1"/>
  <c r="E106" i="1" s="1"/>
  <c r="H76" i="2"/>
  <c r="H117" i="2" s="1"/>
  <c r="H76" i="1"/>
  <c r="H118" i="1" s="1"/>
  <c r="K76" i="2"/>
  <c r="K117" i="2" s="1"/>
  <c r="K76" i="1"/>
  <c r="K118" i="1" s="1"/>
  <c r="L76" i="2"/>
  <c r="L117" i="2" s="1"/>
  <c r="L76" i="1"/>
  <c r="L118" i="1" s="1"/>
  <c r="M76" i="2"/>
  <c r="M117" i="2" s="1"/>
  <c r="M76" i="1"/>
  <c r="M118" i="1" s="1"/>
  <c r="E72" i="4" l="1"/>
  <c r="E106" i="4" s="1"/>
  <c r="E72" i="3"/>
  <c r="E106" i="3" s="1"/>
  <c r="M72" i="2"/>
  <c r="M106" i="2" s="1"/>
  <c r="M72" i="1"/>
  <c r="M106" i="1" s="1"/>
  <c r="R72" i="4"/>
  <c r="R106" i="4" s="1"/>
  <c r="R72" i="3"/>
  <c r="R106" i="3" s="1"/>
  <c r="N80" i="2"/>
  <c r="N80" i="1"/>
  <c r="N112" i="1" s="1"/>
  <c r="M82" i="1"/>
  <c r="J86" i="2"/>
  <c r="J31" i="2"/>
  <c r="J97" i="2" s="1"/>
  <c r="J121" i="2" s="1"/>
  <c r="R81" i="1"/>
  <c r="R25" i="1"/>
  <c r="R91" i="1" s="1"/>
  <c r="R110" i="1" s="1"/>
  <c r="E82" i="2"/>
  <c r="G82" i="1"/>
  <c r="Q81" i="1"/>
  <c r="Q25" i="1"/>
  <c r="Q91" i="1" s="1"/>
  <c r="Q110" i="1" s="1"/>
  <c r="N82" i="1"/>
  <c r="D86" i="2"/>
  <c r="C20" i="2"/>
  <c r="D31" i="2"/>
  <c r="D97" i="2" s="1"/>
  <c r="D121" i="2" s="1"/>
  <c r="O82" i="2"/>
  <c r="L81" i="2"/>
  <c r="L25" i="2"/>
  <c r="L91" i="2" s="1"/>
  <c r="L110" i="2" s="1"/>
  <c r="M86" i="1"/>
  <c r="M31" i="1"/>
  <c r="M97" i="1" s="1"/>
  <c r="M122" i="1" s="1"/>
  <c r="Q80" i="2"/>
  <c r="Q80" i="1"/>
  <c r="Q112" i="1" s="1"/>
  <c r="H76" i="4"/>
  <c r="H117" i="4" s="1"/>
  <c r="H76" i="3"/>
  <c r="H117" i="3" s="1"/>
  <c r="E76" i="4"/>
  <c r="E117" i="4" s="1"/>
  <c r="E76" i="3"/>
  <c r="E117" i="3" s="1"/>
  <c r="P26" i="2"/>
  <c r="P92" i="2" s="1"/>
  <c r="P111" i="2" s="1"/>
  <c r="P26" i="1"/>
  <c r="P92" i="1" s="1"/>
  <c r="P111" i="1" s="1"/>
  <c r="I80" i="2"/>
  <c r="I80" i="1"/>
  <c r="I112" i="1" s="1"/>
  <c r="J72" i="4"/>
  <c r="J106" i="4" s="1"/>
  <c r="J72" i="3"/>
  <c r="J106" i="3" s="1"/>
  <c r="R76" i="4"/>
  <c r="R117" i="4" s="1"/>
  <c r="R76" i="3"/>
  <c r="R117" i="3" s="1"/>
  <c r="M82" i="2"/>
  <c r="R81" i="2"/>
  <c r="R25" i="2"/>
  <c r="R91" i="2" s="1"/>
  <c r="R110" i="2" s="1"/>
  <c r="G82" i="2"/>
  <c r="Q81" i="2"/>
  <c r="Q25" i="2"/>
  <c r="Q91" i="2" s="1"/>
  <c r="Q110" i="2" s="1"/>
  <c r="N82" i="2"/>
  <c r="D76" i="1"/>
  <c r="D118" i="1" s="1"/>
  <c r="C118" i="1" s="1"/>
  <c r="C10" i="1"/>
  <c r="C76" i="1" s="1"/>
  <c r="M85" i="1"/>
  <c r="M30" i="1"/>
  <c r="M96" i="1" s="1"/>
  <c r="M86" i="2"/>
  <c r="M31" i="2"/>
  <c r="M97" i="2" s="1"/>
  <c r="M121" i="2" s="1"/>
  <c r="L76" i="4"/>
  <c r="L117" i="4" s="1"/>
  <c r="L76" i="3"/>
  <c r="L117" i="3" s="1"/>
  <c r="H72" i="4"/>
  <c r="H106" i="4" s="1"/>
  <c r="H72" i="3"/>
  <c r="H106" i="3" s="1"/>
  <c r="G31" i="1"/>
  <c r="G97" i="1" s="1"/>
  <c r="G122" i="1" s="1"/>
  <c r="G86" i="1"/>
  <c r="I87" i="1"/>
  <c r="R87" i="1"/>
  <c r="P82" i="1"/>
  <c r="L87" i="1"/>
  <c r="D76" i="2"/>
  <c r="D117" i="2" s="1"/>
  <c r="C117" i="2" s="1"/>
  <c r="C10" i="2"/>
  <c r="C76" i="2" s="1"/>
  <c r="M85" i="2"/>
  <c r="M30" i="2"/>
  <c r="M96" i="2" s="1"/>
  <c r="L31" i="1"/>
  <c r="L97" i="1" s="1"/>
  <c r="L122" i="1" s="1"/>
  <c r="L86" i="1"/>
  <c r="E81" i="1"/>
  <c r="E25" i="1"/>
  <c r="E91" i="1" s="1"/>
  <c r="E110" i="1" s="1"/>
  <c r="O80" i="2"/>
  <c r="O80" i="1"/>
  <c r="O112" i="1" s="1"/>
  <c r="R26" i="1"/>
  <c r="R92" i="1" s="1"/>
  <c r="R111" i="1" s="1"/>
  <c r="R82" i="1"/>
  <c r="G86" i="2"/>
  <c r="G31" i="2"/>
  <c r="G97" i="2" s="1"/>
  <c r="G121" i="2" s="1"/>
  <c r="J82" i="1"/>
  <c r="I87" i="2"/>
  <c r="L82" i="1"/>
  <c r="R87" i="2"/>
  <c r="P82" i="2"/>
  <c r="L87" i="2"/>
  <c r="R86" i="1"/>
  <c r="R31" i="1"/>
  <c r="R97" i="1" s="1"/>
  <c r="R122" i="1" s="1"/>
  <c r="L85" i="1"/>
  <c r="L30" i="1"/>
  <c r="L96" i="1" s="1"/>
  <c r="L86" i="2"/>
  <c r="L31" i="2"/>
  <c r="L97" i="2" s="1"/>
  <c r="L121" i="2" s="1"/>
  <c r="E81" i="2"/>
  <c r="E25" i="2"/>
  <c r="E91" i="2" s="1"/>
  <c r="E110" i="2" s="1"/>
  <c r="J80" i="2"/>
  <c r="J80" i="1"/>
  <c r="J112" i="1" s="1"/>
  <c r="S76" i="4"/>
  <c r="S117" i="4" s="1"/>
  <c r="S76" i="3"/>
  <c r="S117" i="3" s="1"/>
  <c r="I72" i="2"/>
  <c r="I106" i="2" s="1"/>
  <c r="I72" i="1"/>
  <c r="I106" i="1" s="1"/>
  <c r="P76" i="4"/>
  <c r="P117" i="4" s="1"/>
  <c r="P76" i="3"/>
  <c r="P117" i="3" s="1"/>
  <c r="R82" i="2"/>
  <c r="R26" i="2"/>
  <c r="R92" i="2" s="1"/>
  <c r="R111" i="2" s="1"/>
  <c r="J82" i="2"/>
  <c r="H87" i="1"/>
  <c r="L82" i="2"/>
  <c r="P87" i="1"/>
  <c r="S86" i="1"/>
  <c r="S31" i="1"/>
  <c r="S97" i="1" s="1"/>
  <c r="S122" i="1" s="1"/>
  <c r="K82" i="1"/>
  <c r="R86" i="2"/>
  <c r="R31" i="2"/>
  <c r="R97" i="2" s="1"/>
  <c r="R121" i="2" s="1"/>
  <c r="S87" i="1"/>
  <c r="L85" i="2"/>
  <c r="L30" i="2"/>
  <c r="L96" i="2" s="1"/>
  <c r="N76" i="4"/>
  <c r="N117" i="4" s="1"/>
  <c r="N76" i="3"/>
  <c r="N117" i="3" s="1"/>
  <c r="K80" i="2"/>
  <c r="K80" i="1"/>
  <c r="K112" i="1" s="1"/>
  <c r="J76" i="4"/>
  <c r="J117" i="4" s="1"/>
  <c r="J76" i="3"/>
  <c r="J117" i="3" s="1"/>
  <c r="P80" i="2"/>
  <c r="P80" i="1"/>
  <c r="P112" i="1" s="1"/>
  <c r="R32" i="1"/>
  <c r="R98" i="1" s="1"/>
  <c r="R123" i="1" s="1"/>
  <c r="G80" i="2"/>
  <c r="G80" i="1"/>
  <c r="G112" i="1" s="1"/>
  <c r="H87" i="2"/>
  <c r="J87" i="1"/>
  <c r="P87" i="2"/>
  <c r="S86" i="2"/>
  <c r="S31" i="2"/>
  <c r="S97" i="2" s="1"/>
  <c r="S121" i="2" s="1"/>
  <c r="K82" i="2"/>
  <c r="Q86" i="1"/>
  <c r="Q31" i="1"/>
  <c r="Q97" i="1" s="1"/>
  <c r="Q122" i="1" s="1"/>
  <c r="E87" i="1"/>
  <c r="S87" i="2"/>
  <c r="N86" i="1"/>
  <c r="N31" i="1"/>
  <c r="N97" i="1" s="1"/>
  <c r="N122" i="1" s="1"/>
  <c r="K76" i="4"/>
  <c r="K117" i="4" s="1"/>
  <c r="K76" i="3"/>
  <c r="K117" i="3" s="1"/>
  <c r="I32" i="2"/>
  <c r="I98" i="2" s="1"/>
  <c r="I122" i="2" s="1"/>
  <c r="Q87" i="1"/>
  <c r="J87" i="2"/>
  <c r="O86" i="1"/>
  <c r="O31" i="1"/>
  <c r="O97" i="1" s="1"/>
  <c r="O122" i="1" s="1"/>
  <c r="S82" i="1"/>
  <c r="I31" i="1"/>
  <c r="I97" i="1" s="1"/>
  <c r="I122" i="1" s="1"/>
  <c r="I86" i="1"/>
  <c r="I81" i="1"/>
  <c r="Q86" i="2"/>
  <c r="Q31" i="2"/>
  <c r="Q97" i="2" s="1"/>
  <c r="Q121" i="2" s="1"/>
  <c r="E87" i="2"/>
  <c r="K86" i="1"/>
  <c r="K31" i="1"/>
  <c r="K97" i="1" s="1"/>
  <c r="K122" i="1" s="1"/>
  <c r="N86" i="2"/>
  <c r="N31" i="2"/>
  <c r="N97" i="2" s="1"/>
  <c r="N121" i="2" s="1"/>
  <c r="R80" i="2"/>
  <c r="R80" i="1"/>
  <c r="R112" i="1" s="1"/>
  <c r="N32" i="1"/>
  <c r="N98" i="1" s="1"/>
  <c r="N123" i="1" s="1"/>
  <c r="O32" i="2"/>
  <c r="O98" i="2" s="1"/>
  <c r="O122" i="2" s="1"/>
  <c r="O32" i="1"/>
  <c r="O98" i="1" s="1"/>
  <c r="O123" i="1" s="1"/>
  <c r="L80" i="2"/>
  <c r="L80" i="1"/>
  <c r="L112" i="1" s="1"/>
  <c r="S80" i="2"/>
  <c r="S80" i="1"/>
  <c r="S112" i="1" s="1"/>
  <c r="C19" i="1"/>
  <c r="Q87" i="2"/>
  <c r="I82" i="1"/>
  <c r="O86" i="2"/>
  <c r="O31" i="2"/>
  <c r="O97" i="2" s="1"/>
  <c r="O121" i="2" s="1"/>
  <c r="S82" i="2"/>
  <c r="I86" i="2"/>
  <c r="I31" i="2"/>
  <c r="I97" i="2" s="1"/>
  <c r="I121" i="2" s="1"/>
  <c r="I81" i="2"/>
  <c r="I25" i="2"/>
  <c r="I91" i="2" s="1"/>
  <c r="I110" i="2" s="1"/>
  <c r="K86" i="2"/>
  <c r="K31" i="2"/>
  <c r="K97" i="2" s="1"/>
  <c r="K121" i="2" s="1"/>
  <c r="G76" i="4"/>
  <c r="G117" i="4" s="1"/>
  <c r="G76" i="3"/>
  <c r="G117" i="3" s="1"/>
  <c r="S26" i="2"/>
  <c r="S92" i="2" s="1"/>
  <c r="S111" i="2" s="1"/>
  <c r="E80" i="2"/>
  <c r="E80" i="1"/>
  <c r="E112" i="1" s="1"/>
  <c r="S72" i="4"/>
  <c r="S106" i="4" s="1"/>
  <c r="S72" i="3"/>
  <c r="S106" i="3" s="1"/>
  <c r="E32" i="2"/>
  <c r="E98" i="2" s="1"/>
  <c r="E122" i="2" s="1"/>
  <c r="Q72" i="4"/>
  <c r="Q106" i="4" s="1"/>
  <c r="Q72" i="3"/>
  <c r="Q106" i="3" s="1"/>
  <c r="O87" i="1"/>
  <c r="I82" i="2"/>
  <c r="M87" i="1"/>
  <c r="D82" i="1"/>
  <c r="C16" i="1"/>
  <c r="Q82" i="1"/>
  <c r="H86" i="1"/>
  <c r="H31" i="1"/>
  <c r="H97" i="1" s="1"/>
  <c r="H122" i="1" s="1"/>
  <c r="G85" i="1"/>
  <c r="G30" i="1"/>
  <c r="G96" i="1" s="1"/>
  <c r="M76" i="4"/>
  <c r="M117" i="4" s="1"/>
  <c r="M76" i="3"/>
  <c r="M117" i="3" s="1"/>
  <c r="J26" i="1"/>
  <c r="J92" i="1" s="1"/>
  <c r="J111" i="1" s="1"/>
  <c r="O76" i="4"/>
  <c r="O117" i="4" s="1"/>
  <c r="O76" i="3"/>
  <c r="O117" i="3" s="1"/>
  <c r="O87" i="2"/>
  <c r="K87" i="1"/>
  <c r="G87" i="1"/>
  <c r="M87" i="2"/>
  <c r="C16" i="2"/>
  <c r="D82" i="2"/>
  <c r="D87" i="1"/>
  <c r="C21" i="1"/>
  <c r="P86" i="1"/>
  <c r="P31" i="1"/>
  <c r="P97" i="1" s="1"/>
  <c r="P122" i="1" s="1"/>
  <c r="N87" i="1"/>
  <c r="Q82" i="2"/>
  <c r="H86" i="2"/>
  <c r="H31" i="2"/>
  <c r="H97" i="2" s="1"/>
  <c r="H121" i="2" s="1"/>
  <c r="G85" i="2"/>
  <c r="G30" i="2"/>
  <c r="G96" i="2" s="1"/>
  <c r="C19" i="2"/>
  <c r="H80" i="2"/>
  <c r="H80" i="1"/>
  <c r="H112" i="1" s="1"/>
  <c r="M80" i="2"/>
  <c r="M80" i="1"/>
  <c r="M112" i="1" s="1"/>
  <c r="I76" i="4"/>
  <c r="I117" i="4" s="1"/>
  <c r="I76" i="3"/>
  <c r="I117" i="3" s="1"/>
  <c r="K72" i="2"/>
  <c r="K106" i="2" s="1"/>
  <c r="K72" i="1"/>
  <c r="K106" i="1" s="1"/>
  <c r="L72" i="4"/>
  <c r="L106" i="4" s="1"/>
  <c r="L72" i="3"/>
  <c r="L106" i="3" s="1"/>
  <c r="K87" i="2"/>
  <c r="S81" i="1"/>
  <c r="S25" i="1"/>
  <c r="S91" i="1" s="1"/>
  <c r="S110" i="1" s="1"/>
  <c r="G87" i="2"/>
  <c r="D87" i="2"/>
  <c r="C21" i="2"/>
  <c r="P86" i="2"/>
  <c r="P31" i="2"/>
  <c r="P97" i="2" s="1"/>
  <c r="P121" i="2" s="1"/>
  <c r="N87" i="2"/>
  <c r="H82" i="1"/>
  <c r="E86" i="1"/>
  <c r="E31" i="1"/>
  <c r="E97" i="1" s="1"/>
  <c r="E122" i="1" s="1"/>
  <c r="L32" i="1"/>
  <c r="L98" i="1" s="1"/>
  <c r="L123" i="1" s="1"/>
  <c r="G72" i="2"/>
  <c r="G106" i="2" s="1"/>
  <c r="G72" i="1"/>
  <c r="G106" i="1" s="1"/>
  <c r="S32" i="2"/>
  <c r="S98" i="2" s="1"/>
  <c r="S122" i="2" s="1"/>
  <c r="S32" i="1"/>
  <c r="S98" i="1" s="1"/>
  <c r="S123" i="1" s="1"/>
  <c r="Q76" i="4"/>
  <c r="Q117" i="4" s="1"/>
  <c r="Q76" i="3"/>
  <c r="Q117" i="3" s="1"/>
  <c r="P72" i="4"/>
  <c r="P106" i="4" s="1"/>
  <c r="P72" i="3"/>
  <c r="P106" i="3" s="1"/>
  <c r="N72" i="2"/>
  <c r="N106" i="2" s="1"/>
  <c r="N72" i="1"/>
  <c r="N106" i="1" s="1"/>
  <c r="J86" i="1"/>
  <c r="J31" i="1"/>
  <c r="J97" i="1" s="1"/>
  <c r="J122" i="1" s="1"/>
  <c r="S81" i="2"/>
  <c r="S25" i="2"/>
  <c r="S91" i="2" s="1"/>
  <c r="S110" i="2" s="1"/>
  <c r="E82" i="1"/>
  <c r="D86" i="1"/>
  <c r="C20" i="1"/>
  <c r="D31" i="1"/>
  <c r="D97" i="1" s="1"/>
  <c r="D122" i="1" s="1"/>
  <c r="O26" i="1"/>
  <c r="O92" i="1" s="1"/>
  <c r="O111" i="1" s="1"/>
  <c r="O82" i="1"/>
  <c r="L81" i="1"/>
  <c r="L25" i="1"/>
  <c r="L91" i="1" s="1"/>
  <c r="L110" i="1" s="1"/>
  <c r="H82" i="2"/>
  <c r="E86" i="2"/>
  <c r="E31" i="2"/>
  <c r="E97" i="2" s="1"/>
  <c r="E121" i="2" s="1"/>
  <c r="I25" i="1" l="1"/>
  <c r="I91" i="1" s="1"/>
  <c r="I110" i="1" s="1"/>
  <c r="I26" i="3"/>
  <c r="I92" i="3" s="1"/>
  <c r="I111" i="3" s="1"/>
  <c r="O80" i="4"/>
  <c r="O80" i="3"/>
  <c r="H80" i="4"/>
  <c r="H80" i="3"/>
  <c r="I72" i="4"/>
  <c r="I106" i="4" s="1"/>
  <c r="I72" i="3"/>
  <c r="I106" i="3" s="1"/>
  <c r="L80" i="4"/>
  <c r="L80" i="3"/>
  <c r="L74" i="2"/>
  <c r="L11" i="2"/>
  <c r="L77" i="2" s="1"/>
  <c r="D71" i="1"/>
  <c r="D7" i="1"/>
  <c r="D81" i="1"/>
  <c r="D25" i="1"/>
  <c r="D91" i="1" s="1"/>
  <c r="D110" i="1" s="1"/>
  <c r="C15" i="1"/>
  <c r="H85" i="2"/>
  <c r="H30" i="2"/>
  <c r="H96" i="2" s="1"/>
  <c r="K82" i="4"/>
  <c r="N74" i="2"/>
  <c r="N11" i="2"/>
  <c r="N77" i="2" s="1"/>
  <c r="D86" i="3"/>
  <c r="C20" i="3"/>
  <c r="D31" i="3"/>
  <c r="D97" i="3" s="1"/>
  <c r="D121" i="3" s="1"/>
  <c r="M86" i="3"/>
  <c r="M31" i="3"/>
  <c r="M97" i="3" s="1"/>
  <c r="M121" i="3" s="1"/>
  <c r="D72" i="2"/>
  <c r="D106" i="2" s="1"/>
  <c r="C106" i="2" s="1"/>
  <c r="C6" i="2"/>
  <c r="C72" i="2" s="1"/>
  <c r="O87" i="4"/>
  <c r="Q82" i="3"/>
  <c r="M82" i="4"/>
  <c r="L85" i="3"/>
  <c r="L30" i="3"/>
  <c r="L96" i="3" s="1"/>
  <c r="P79" i="1"/>
  <c r="P17" i="1"/>
  <c r="P24" i="1"/>
  <c r="I86" i="3"/>
  <c r="I31" i="3"/>
  <c r="I97" i="3" s="1"/>
  <c r="I121" i="3" s="1"/>
  <c r="S81" i="3"/>
  <c r="S25" i="3"/>
  <c r="S91" i="3" s="1"/>
  <c r="S110" i="3" s="1"/>
  <c r="C13" i="2"/>
  <c r="O79" i="1"/>
  <c r="O24" i="1"/>
  <c r="O17" i="1"/>
  <c r="C87" i="2"/>
  <c r="D71" i="2"/>
  <c r="D7" i="2"/>
  <c r="C87" i="1"/>
  <c r="Q7" i="1"/>
  <c r="Q71" i="1"/>
  <c r="L86" i="3"/>
  <c r="L31" i="3"/>
  <c r="L97" i="3" s="1"/>
  <c r="L121" i="3" s="1"/>
  <c r="D81" i="2"/>
  <c r="C15" i="2"/>
  <c r="D25" i="2"/>
  <c r="D91" i="2" s="1"/>
  <c r="D110" i="2" s="1"/>
  <c r="L81" i="3"/>
  <c r="L25" i="3"/>
  <c r="L91" i="3" s="1"/>
  <c r="L110" i="3" s="1"/>
  <c r="E79" i="1"/>
  <c r="E17" i="1"/>
  <c r="D86" i="4"/>
  <c r="C20" i="4"/>
  <c r="D31" i="4"/>
  <c r="D97" i="4" s="1"/>
  <c r="D121" i="4" s="1"/>
  <c r="M86" i="4"/>
  <c r="M31" i="4"/>
  <c r="M97" i="4" s="1"/>
  <c r="M121" i="4" s="1"/>
  <c r="N79" i="1"/>
  <c r="N17" i="1"/>
  <c r="Q82" i="4"/>
  <c r="S17" i="1"/>
  <c r="S79" i="1"/>
  <c r="S24" i="1"/>
  <c r="L85" i="4"/>
  <c r="L30" i="4"/>
  <c r="L96" i="4" s="1"/>
  <c r="P79" i="2"/>
  <c r="P24" i="2"/>
  <c r="P17" i="2"/>
  <c r="I86" i="4"/>
  <c r="I31" i="4"/>
  <c r="I97" i="4" s="1"/>
  <c r="I121" i="4" s="1"/>
  <c r="C121" i="2"/>
  <c r="S81" i="4"/>
  <c r="S25" i="4"/>
  <c r="S91" i="4" s="1"/>
  <c r="S110" i="4" s="1"/>
  <c r="M80" i="4"/>
  <c r="M80" i="3"/>
  <c r="N80" i="4"/>
  <c r="N80" i="3"/>
  <c r="G72" i="4"/>
  <c r="G106" i="4" s="1"/>
  <c r="G72" i="3"/>
  <c r="G106" i="3" s="1"/>
  <c r="S87" i="3"/>
  <c r="P87" i="3"/>
  <c r="O79" i="2"/>
  <c r="O17" i="2"/>
  <c r="O24" i="2"/>
  <c r="C85" i="2"/>
  <c r="C30" i="2"/>
  <c r="C96" i="2" s="1"/>
  <c r="Q71" i="2"/>
  <c r="Q7" i="2"/>
  <c r="L86" i="4"/>
  <c r="L31" i="4"/>
  <c r="L97" i="4" s="1"/>
  <c r="L121" i="4" s="1"/>
  <c r="L81" i="4"/>
  <c r="L25" i="4"/>
  <c r="L91" i="4" s="1"/>
  <c r="L110" i="4" s="1"/>
  <c r="E79" i="2"/>
  <c r="E17" i="2"/>
  <c r="D87" i="3"/>
  <c r="C21" i="3"/>
  <c r="N79" i="2"/>
  <c r="N17" i="2"/>
  <c r="M85" i="3"/>
  <c r="M30" i="3"/>
  <c r="M96" i="3" s="1"/>
  <c r="S79" i="2"/>
  <c r="S17" i="2"/>
  <c r="S24" i="2"/>
  <c r="O86" i="3"/>
  <c r="O31" i="3"/>
  <c r="O97" i="3" s="1"/>
  <c r="O121" i="3" s="1"/>
  <c r="C86" i="2"/>
  <c r="C31" i="2"/>
  <c r="C97" i="2" s="1"/>
  <c r="D79" i="1"/>
  <c r="D17" i="1"/>
  <c r="D24" i="1"/>
  <c r="Q84" i="1"/>
  <c r="Q22" i="1"/>
  <c r="M72" i="4"/>
  <c r="M106" i="4" s="1"/>
  <c r="M72" i="3"/>
  <c r="M106" i="3" s="1"/>
  <c r="E24" i="1"/>
  <c r="N72" i="4"/>
  <c r="N106" i="4" s="1"/>
  <c r="N72" i="3"/>
  <c r="N106" i="3" s="1"/>
  <c r="I80" i="4"/>
  <c r="I80" i="3"/>
  <c r="S87" i="4"/>
  <c r="P87" i="4"/>
  <c r="E81" i="3"/>
  <c r="E25" i="3"/>
  <c r="E91" i="3" s="1"/>
  <c r="E110" i="3" s="1"/>
  <c r="R17" i="1"/>
  <c r="R79" i="1"/>
  <c r="R24" i="1"/>
  <c r="Q26" i="1"/>
  <c r="Q92" i="1" s="1"/>
  <c r="Q111" i="1" s="1"/>
  <c r="D76" i="3"/>
  <c r="D117" i="3" s="1"/>
  <c r="C117" i="3" s="1"/>
  <c r="C10" i="3"/>
  <c r="C76" i="3" s="1"/>
  <c r="N87" i="3"/>
  <c r="S86" i="3"/>
  <c r="S31" i="3"/>
  <c r="S97" i="3" s="1"/>
  <c r="S121" i="3" s="1"/>
  <c r="G86" i="3"/>
  <c r="G31" i="3"/>
  <c r="G97" i="3" s="1"/>
  <c r="G121" i="3" s="1"/>
  <c r="D87" i="4"/>
  <c r="C21" i="4"/>
  <c r="J81" i="1"/>
  <c r="J25" i="1"/>
  <c r="J91" i="1" s="1"/>
  <c r="J110" i="1" s="1"/>
  <c r="G82" i="3"/>
  <c r="R82" i="3"/>
  <c r="M85" i="4"/>
  <c r="M30" i="4"/>
  <c r="M96" i="4" s="1"/>
  <c r="Q81" i="3"/>
  <c r="Q25" i="3"/>
  <c r="Q91" i="3" s="1"/>
  <c r="Q110" i="3" s="1"/>
  <c r="G85" i="3"/>
  <c r="G30" i="3"/>
  <c r="G96" i="3" s="1"/>
  <c r="O86" i="4"/>
  <c r="O31" i="4"/>
  <c r="O97" i="4" s="1"/>
  <c r="O121" i="4" s="1"/>
  <c r="D79" i="2"/>
  <c r="D24" i="2"/>
  <c r="D17" i="2"/>
  <c r="Q84" i="2"/>
  <c r="Q22" i="2"/>
  <c r="R32" i="4"/>
  <c r="R98" i="4" s="1"/>
  <c r="R122" i="4" s="1"/>
  <c r="J22" i="1"/>
  <c r="J84" i="1"/>
  <c r="E81" i="4"/>
  <c r="E25" i="4"/>
  <c r="E91" i="4" s="1"/>
  <c r="E110" i="4" s="1"/>
  <c r="R79" i="2"/>
  <c r="R17" i="2"/>
  <c r="R24" i="2"/>
  <c r="D26" i="1"/>
  <c r="D92" i="1" s="1"/>
  <c r="D111" i="1" s="1"/>
  <c r="D76" i="4"/>
  <c r="D117" i="4" s="1"/>
  <c r="C117" i="4" s="1"/>
  <c r="C10" i="4"/>
  <c r="C76" i="4" s="1"/>
  <c r="S71" i="1"/>
  <c r="S7" i="1"/>
  <c r="N87" i="4"/>
  <c r="S86" i="4"/>
  <c r="S31" i="4"/>
  <c r="S97" i="4" s="1"/>
  <c r="S121" i="4" s="1"/>
  <c r="G86" i="4"/>
  <c r="G31" i="4"/>
  <c r="G97" i="4" s="1"/>
  <c r="G121" i="4" s="1"/>
  <c r="I74" i="1"/>
  <c r="I11" i="1"/>
  <c r="I77" i="1" s="1"/>
  <c r="R11" i="1"/>
  <c r="R77" i="1" s="1"/>
  <c r="R74" i="1"/>
  <c r="J81" i="2"/>
  <c r="J25" i="2"/>
  <c r="J91" i="2" s="1"/>
  <c r="J110" i="2" s="1"/>
  <c r="G82" i="4"/>
  <c r="R82" i="4"/>
  <c r="P84" i="1"/>
  <c r="P29" i="1"/>
  <c r="P22" i="1"/>
  <c r="I32" i="1"/>
  <c r="I98" i="1" s="1"/>
  <c r="I123" i="1" s="1"/>
  <c r="Q25" i="4"/>
  <c r="Q91" i="4" s="1"/>
  <c r="Q110" i="4" s="1"/>
  <c r="Q81" i="4"/>
  <c r="G85" i="4"/>
  <c r="G30" i="4"/>
  <c r="G96" i="4" s="1"/>
  <c r="J82" i="3"/>
  <c r="R26" i="3"/>
  <c r="R92" i="3" s="1"/>
  <c r="R111" i="3" s="1"/>
  <c r="P80" i="4"/>
  <c r="P80" i="3"/>
  <c r="J84" i="2"/>
  <c r="J22" i="2"/>
  <c r="E82" i="3"/>
  <c r="D26" i="2"/>
  <c r="D92" i="2" s="1"/>
  <c r="D111" i="2" s="1"/>
  <c r="L84" i="1"/>
  <c r="L29" i="1"/>
  <c r="L22" i="1"/>
  <c r="S82" i="3"/>
  <c r="C82" i="1"/>
  <c r="S71" i="2"/>
  <c r="S7" i="2"/>
  <c r="K25" i="1"/>
  <c r="K91" i="1" s="1"/>
  <c r="K110" i="1" s="1"/>
  <c r="K81" i="1"/>
  <c r="G87" i="3"/>
  <c r="I74" i="2"/>
  <c r="I11" i="2"/>
  <c r="I77" i="2" s="1"/>
  <c r="M87" i="3"/>
  <c r="R11" i="2"/>
  <c r="R77" i="2" s="1"/>
  <c r="R74" i="2"/>
  <c r="L82" i="3"/>
  <c r="P84" i="2"/>
  <c r="P29" i="2"/>
  <c r="P22" i="2"/>
  <c r="J82" i="4"/>
  <c r="R80" i="4"/>
  <c r="R80" i="3"/>
  <c r="J29" i="1"/>
  <c r="P82" i="3"/>
  <c r="E82" i="4"/>
  <c r="C82" i="2"/>
  <c r="L29" i="2"/>
  <c r="L84" i="2"/>
  <c r="L22" i="2"/>
  <c r="S82" i="4"/>
  <c r="S84" i="1"/>
  <c r="S22" i="1"/>
  <c r="S29" i="1"/>
  <c r="K81" i="2"/>
  <c r="K25" i="2"/>
  <c r="K91" i="2" s="1"/>
  <c r="K110" i="2" s="1"/>
  <c r="G87" i="4"/>
  <c r="P81" i="1"/>
  <c r="P25" i="1"/>
  <c r="P91" i="1" s="1"/>
  <c r="P110" i="1" s="1"/>
  <c r="M87" i="4"/>
  <c r="Q86" i="3"/>
  <c r="Q31" i="3"/>
  <c r="Q97" i="3" s="1"/>
  <c r="Q121" i="3" s="1"/>
  <c r="L82" i="4"/>
  <c r="L32" i="2"/>
  <c r="L98" i="2" s="1"/>
  <c r="L122" i="2" s="1"/>
  <c r="I87" i="3"/>
  <c r="N25" i="1"/>
  <c r="N91" i="1" s="1"/>
  <c r="N110" i="1" s="1"/>
  <c r="N81" i="1"/>
  <c r="R71" i="1"/>
  <c r="R7" i="1"/>
  <c r="K22" i="1"/>
  <c r="K84" i="1"/>
  <c r="K80" i="4"/>
  <c r="K80" i="3"/>
  <c r="K72" i="4"/>
  <c r="K106" i="4" s="1"/>
  <c r="K72" i="3"/>
  <c r="K106" i="3" s="1"/>
  <c r="P82" i="4"/>
  <c r="P26" i="4"/>
  <c r="P92" i="4" s="1"/>
  <c r="P111" i="4" s="1"/>
  <c r="Q26" i="2"/>
  <c r="Q92" i="2" s="1"/>
  <c r="Q111" i="2" s="1"/>
  <c r="H81" i="1"/>
  <c r="H25" i="1"/>
  <c r="H91" i="1" s="1"/>
  <c r="H110" i="1" s="1"/>
  <c r="J71" i="1"/>
  <c r="J7" i="1"/>
  <c r="S84" i="2"/>
  <c r="S22" i="2"/>
  <c r="S29" i="2"/>
  <c r="O11" i="1"/>
  <c r="O77" i="1" s="1"/>
  <c r="O74" i="1"/>
  <c r="P81" i="2"/>
  <c r="P25" i="2"/>
  <c r="P91" i="2" s="1"/>
  <c r="P110" i="2" s="1"/>
  <c r="G81" i="1"/>
  <c r="G25" i="1"/>
  <c r="G91" i="1" s="1"/>
  <c r="G110" i="1" s="1"/>
  <c r="Q86" i="4"/>
  <c r="Q31" i="4"/>
  <c r="Q97" i="4" s="1"/>
  <c r="Q121" i="4" s="1"/>
  <c r="O82" i="3"/>
  <c r="D80" i="1"/>
  <c r="D112" i="1" s="1"/>
  <c r="C112" i="1" s="1"/>
  <c r="C14" i="1"/>
  <c r="C80" i="1" s="1"/>
  <c r="Q87" i="3"/>
  <c r="I87" i="4"/>
  <c r="N81" i="2"/>
  <c r="N25" i="2"/>
  <c r="N91" i="2" s="1"/>
  <c r="N110" i="2" s="1"/>
  <c r="R71" i="2"/>
  <c r="R7" i="2"/>
  <c r="K84" i="2"/>
  <c r="K22" i="2"/>
  <c r="Q80" i="4"/>
  <c r="Q80" i="3"/>
  <c r="S32" i="4"/>
  <c r="S98" i="4" s="1"/>
  <c r="S122" i="4" s="1"/>
  <c r="S32" i="3"/>
  <c r="S98" i="3" s="1"/>
  <c r="S122" i="3" s="1"/>
  <c r="O84" i="1"/>
  <c r="O29" i="1"/>
  <c r="O22" i="1"/>
  <c r="H81" i="2"/>
  <c r="H25" i="2"/>
  <c r="H91" i="2" s="1"/>
  <c r="H110" i="2" s="1"/>
  <c r="J71" i="2"/>
  <c r="J7" i="2"/>
  <c r="E74" i="1"/>
  <c r="E11" i="1"/>
  <c r="E77" i="1" s="1"/>
  <c r="O74" i="2"/>
  <c r="O11" i="2"/>
  <c r="O77" i="2" s="1"/>
  <c r="S26" i="1"/>
  <c r="S92" i="1" s="1"/>
  <c r="S111" i="1" s="1"/>
  <c r="E87" i="3"/>
  <c r="E32" i="3"/>
  <c r="E98" i="3" s="1"/>
  <c r="E122" i="3" s="1"/>
  <c r="G81" i="2"/>
  <c r="G25" i="2"/>
  <c r="G91" i="2" s="1"/>
  <c r="G110" i="2" s="1"/>
  <c r="E32" i="1"/>
  <c r="E98" i="1" s="1"/>
  <c r="E123" i="1" s="1"/>
  <c r="I81" i="3"/>
  <c r="I25" i="3"/>
  <c r="I91" i="3" s="1"/>
  <c r="I110" i="3" s="1"/>
  <c r="O82" i="4"/>
  <c r="D80" i="2"/>
  <c r="C14" i="2"/>
  <c r="C80" i="2" s="1"/>
  <c r="J87" i="3"/>
  <c r="Q87" i="4"/>
  <c r="M25" i="1"/>
  <c r="M91" i="1" s="1"/>
  <c r="M110" i="1" s="1"/>
  <c r="M81" i="1"/>
  <c r="I82" i="3"/>
  <c r="G80" i="4"/>
  <c r="G80" i="3"/>
  <c r="S80" i="4"/>
  <c r="S80" i="3"/>
  <c r="Q29" i="1"/>
  <c r="K29" i="1"/>
  <c r="C122" i="1"/>
  <c r="S74" i="1"/>
  <c r="S11" i="1"/>
  <c r="S77" i="1" s="1"/>
  <c r="O84" i="2"/>
  <c r="O22" i="2"/>
  <c r="O29" i="2"/>
  <c r="N32" i="2"/>
  <c r="N98" i="2" s="1"/>
  <c r="N122" i="2" s="1"/>
  <c r="R86" i="3"/>
  <c r="R31" i="3"/>
  <c r="R97" i="3" s="1"/>
  <c r="R121" i="3" s="1"/>
  <c r="C85" i="1"/>
  <c r="C30" i="1"/>
  <c r="C96" i="1" s="1"/>
  <c r="E74" i="2"/>
  <c r="E11" i="2"/>
  <c r="E77" i="2" s="1"/>
  <c r="H82" i="3"/>
  <c r="N82" i="3"/>
  <c r="J86" i="3"/>
  <c r="J31" i="3"/>
  <c r="J97" i="3" s="1"/>
  <c r="J121" i="3" s="1"/>
  <c r="E87" i="4"/>
  <c r="E32" i="4"/>
  <c r="E98" i="4" s="1"/>
  <c r="E122" i="4" s="1"/>
  <c r="I81" i="4"/>
  <c r="I25" i="4"/>
  <c r="I91" i="4" s="1"/>
  <c r="I110" i="4" s="1"/>
  <c r="O71" i="1"/>
  <c r="O7" i="1"/>
  <c r="J26" i="2"/>
  <c r="J92" i="2" s="1"/>
  <c r="J111" i="2" s="1"/>
  <c r="K87" i="3"/>
  <c r="J87" i="4"/>
  <c r="M81" i="2"/>
  <c r="M25" i="2"/>
  <c r="M91" i="2" s="1"/>
  <c r="M110" i="2" s="1"/>
  <c r="I82" i="4"/>
  <c r="I26" i="4"/>
  <c r="I92" i="4" s="1"/>
  <c r="I111" i="4" s="1"/>
  <c r="J80" i="4"/>
  <c r="J80" i="3"/>
  <c r="M26" i="4"/>
  <c r="M92" i="4" s="1"/>
  <c r="M111" i="4" s="1"/>
  <c r="C86" i="1"/>
  <c r="C31" i="1"/>
  <c r="C97" i="1" s="1"/>
  <c r="O81" i="1"/>
  <c r="O25" i="1"/>
  <c r="O91" i="1" s="1"/>
  <c r="O110" i="1" s="1"/>
  <c r="S11" i="2"/>
  <c r="S77" i="2" s="1"/>
  <c r="S74" i="2"/>
  <c r="E86" i="3"/>
  <c r="E31" i="3"/>
  <c r="E97" i="3" s="1"/>
  <c r="E121" i="3" s="1"/>
  <c r="R86" i="4"/>
  <c r="R31" i="4"/>
  <c r="R97" i="4" s="1"/>
  <c r="R121" i="4" s="1"/>
  <c r="R87" i="3"/>
  <c r="R32" i="3"/>
  <c r="R98" i="3" s="1"/>
  <c r="R122" i="3" s="1"/>
  <c r="H87" i="3"/>
  <c r="H82" i="4"/>
  <c r="N82" i="4"/>
  <c r="J86" i="4"/>
  <c r="J31" i="4"/>
  <c r="J97" i="4" s="1"/>
  <c r="J121" i="4" s="1"/>
  <c r="P86" i="3"/>
  <c r="P31" i="3"/>
  <c r="P97" i="3" s="1"/>
  <c r="P121" i="3" s="1"/>
  <c r="K86" i="3"/>
  <c r="K31" i="3"/>
  <c r="K97" i="3" s="1"/>
  <c r="K121" i="3" s="1"/>
  <c r="D82" i="3"/>
  <c r="D26" i="3"/>
  <c r="D92" i="3" s="1"/>
  <c r="D111" i="3" s="1"/>
  <c r="C16" i="3"/>
  <c r="O71" i="2"/>
  <c r="O7" i="2"/>
  <c r="K87" i="4"/>
  <c r="R32" i="2"/>
  <c r="R98" i="2" s="1"/>
  <c r="R122" i="2" s="1"/>
  <c r="N86" i="3"/>
  <c r="N31" i="3"/>
  <c r="N97" i="3" s="1"/>
  <c r="N121" i="3" s="1"/>
  <c r="H86" i="3"/>
  <c r="H31" i="3"/>
  <c r="H97" i="3" s="1"/>
  <c r="H121" i="3" s="1"/>
  <c r="L87" i="3"/>
  <c r="L32" i="3"/>
  <c r="L98" i="3" s="1"/>
  <c r="L122" i="3" s="1"/>
  <c r="P71" i="1"/>
  <c r="P7" i="1"/>
  <c r="R81" i="3"/>
  <c r="R25" i="3"/>
  <c r="R91" i="3" s="1"/>
  <c r="R110" i="3" s="1"/>
  <c r="H24" i="1"/>
  <c r="H79" i="1"/>
  <c r="H17" i="1"/>
  <c r="E80" i="4"/>
  <c r="E80" i="3"/>
  <c r="O26" i="3"/>
  <c r="O92" i="3" s="1"/>
  <c r="O111" i="3" s="1"/>
  <c r="O81" i="2"/>
  <c r="O25" i="2"/>
  <c r="O91" i="2" s="1"/>
  <c r="O110" i="2" s="1"/>
  <c r="L74" i="1"/>
  <c r="L11" i="1"/>
  <c r="L77" i="1" s="1"/>
  <c r="E86" i="4"/>
  <c r="E31" i="4"/>
  <c r="E97" i="4" s="1"/>
  <c r="E121" i="4" s="1"/>
  <c r="R87" i="4"/>
  <c r="H87" i="4"/>
  <c r="H30" i="1"/>
  <c r="H96" i="1" s="1"/>
  <c r="H85" i="1"/>
  <c r="K82" i="3"/>
  <c r="N74" i="1"/>
  <c r="N11" i="1"/>
  <c r="N77" i="1" s="1"/>
  <c r="P86" i="4"/>
  <c r="P31" i="4"/>
  <c r="P97" i="4" s="1"/>
  <c r="P121" i="4" s="1"/>
  <c r="K86" i="4"/>
  <c r="K31" i="4"/>
  <c r="K97" i="4" s="1"/>
  <c r="K121" i="4" s="1"/>
  <c r="D82" i="4"/>
  <c r="C16" i="4"/>
  <c r="D26" i="4"/>
  <c r="D92" i="4" s="1"/>
  <c r="D111" i="4" s="1"/>
  <c r="D72" i="1"/>
  <c r="D106" i="1" s="1"/>
  <c r="C106" i="1" s="1"/>
  <c r="C6" i="1"/>
  <c r="C72" i="1" s="1"/>
  <c r="O87" i="3"/>
  <c r="N86" i="4"/>
  <c r="N31" i="4"/>
  <c r="N97" i="4" s="1"/>
  <c r="N121" i="4" s="1"/>
  <c r="M82" i="3"/>
  <c r="M26" i="3"/>
  <c r="M92" i="3" s="1"/>
  <c r="M111" i="3" s="1"/>
  <c r="H86" i="4"/>
  <c r="H31" i="4"/>
  <c r="H97" i="4" s="1"/>
  <c r="H121" i="4" s="1"/>
  <c r="L87" i="4"/>
  <c r="L32" i="4"/>
  <c r="L98" i="4" s="1"/>
  <c r="L122" i="4" s="1"/>
  <c r="P71" i="2"/>
  <c r="P7" i="2"/>
  <c r="O26" i="2"/>
  <c r="O92" i="2" s="1"/>
  <c r="O111" i="2" s="1"/>
  <c r="R81" i="4"/>
  <c r="R25" i="4"/>
  <c r="R91" i="4" s="1"/>
  <c r="R110" i="4" s="1"/>
  <c r="H79" i="2"/>
  <c r="H24" i="2"/>
  <c r="H17" i="2"/>
  <c r="C5" i="2" l="1"/>
  <c r="C24" i="2" s="1"/>
  <c r="E24" i="2"/>
  <c r="E90" i="1"/>
  <c r="E109" i="1" s="1"/>
  <c r="J95" i="1"/>
  <c r="J121" i="1" s="1"/>
  <c r="K95" i="1"/>
  <c r="K121" i="1" s="1"/>
  <c r="Q95" i="1"/>
  <c r="Q121" i="1" s="1"/>
  <c r="C82" i="4"/>
  <c r="O71" i="3"/>
  <c r="O7" i="3"/>
  <c r="I71" i="2"/>
  <c r="I7" i="2"/>
  <c r="I26" i="2"/>
  <c r="I92" i="2" s="1"/>
  <c r="I111" i="2" s="1"/>
  <c r="N71" i="1"/>
  <c r="N7" i="1"/>
  <c r="N26" i="1"/>
  <c r="N92" i="1" s="1"/>
  <c r="N111" i="1" s="1"/>
  <c r="O73" i="1"/>
  <c r="O12" i="1"/>
  <c r="O78" i="1" s="1"/>
  <c r="S119" i="1"/>
  <c r="S117" i="1"/>
  <c r="S116" i="1"/>
  <c r="D80" i="4"/>
  <c r="C14" i="4"/>
  <c r="C80" i="4" s="1"/>
  <c r="K88" i="2"/>
  <c r="S88" i="2"/>
  <c r="S34" i="2"/>
  <c r="S100" i="2" s="1"/>
  <c r="S119" i="2" s="1"/>
  <c r="S23" i="2"/>
  <c r="G74" i="1"/>
  <c r="G11" i="1"/>
  <c r="G77" i="1" s="1"/>
  <c r="G32" i="1"/>
  <c r="G98" i="1" s="1"/>
  <c r="G123" i="1" s="1"/>
  <c r="R79" i="3"/>
  <c r="R17" i="3"/>
  <c r="R24" i="3"/>
  <c r="L84" i="4"/>
  <c r="L22" i="4"/>
  <c r="L29" i="4"/>
  <c r="S105" i="2"/>
  <c r="S107" i="2"/>
  <c r="J88" i="2"/>
  <c r="D83" i="2"/>
  <c r="D28" i="2"/>
  <c r="D94" i="2" s="1"/>
  <c r="D108" i="2" s="1"/>
  <c r="C87" i="3"/>
  <c r="P84" i="3"/>
  <c r="P22" i="3"/>
  <c r="C121" i="4"/>
  <c r="M81" i="3"/>
  <c r="M25" i="3"/>
  <c r="M91" i="3" s="1"/>
  <c r="M110" i="3" s="1"/>
  <c r="C121" i="3"/>
  <c r="O71" i="4"/>
  <c r="O7" i="4"/>
  <c r="H81" i="3"/>
  <c r="H25" i="3"/>
  <c r="H91" i="3" s="1"/>
  <c r="H110" i="3" s="1"/>
  <c r="N71" i="2"/>
  <c r="N7" i="2"/>
  <c r="N26" i="2"/>
  <c r="N92" i="2" s="1"/>
  <c r="N111" i="2" s="1"/>
  <c r="O105" i="1"/>
  <c r="O104" i="1" s="1"/>
  <c r="O107" i="1"/>
  <c r="E118" i="2"/>
  <c r="E115" i="2"/>
  <c r="E116" i="2"/>
  <c r="S71" i="3"/>
  <c r="S7" i="3"/>
  <c r="O88" i="1"/>
  <c r="O23" i="1"/>
  <c r="O34" i="1"/>
  <c r="O100" i="1" s="1"/>
  <c r="O120" i="1" s="1"/>
  <c r="G11" i="2"/>
  <c r="G77" i="2" s="1"/>
  <c r="G74" i="2"/>
  <c r="G32" i="2"/>
  <c r="G98" i="2" s="1"/>
  <c r="G122" i="2" s="1"/>
  <c r="R79" i="4"/>
  <c r="R24" i="4"/>
  <c r="R17" i="4"/>
  <c r="M71" i="1"/>
  <c r="M7" i="1"/>
  <c r="M26" i="1"/>
  <c r="M92" i="1" s="1"/>
  <c r="M111" i="1" s="1"/>
  <c r="P7" i="3"/>
  <c r="P71" i="3"/>
  <c r="C79" i="2"/>
  <c r="C17" i="2"/>
  <c r="J81" i="3"/>
  <c r="J25" i="3"/>
  <c r="J91" i="3" s="1"/>
  <c r="J110" i="3" s="1"/>
  <c r="O27" i="2"/>
  <c r="O93" i="2" s="1"/>
  <c r="O90" i="2"/>
  <c r="O109" i="2" s="1"/>
  <c r="P22" i="4"/>
  <c r="P84" i="4"/>
  <c r="C86" i="4"/>
  <c r="C31" i="4"/>
  <c r="C97" i="4" s="1"/>
  <c r="Q107" i="1"/>
  <c r="Q105" i="1"/>
  <c r="L71" i="1"/>
  <c r="L7" i="1"/>
  <c r="L26" i="1"/>
  <c r="L92" i="1" s="1"/>
  <c r="L111" i="1" s="1"/>
  <c r="M81" i="4"/>
  <c r="M25" i="4"/>
  <c r="M91" i="4" s="1"/>
  <c r="M110" i="4" s="1"/>
  <c r="C86" i="3"/>
  <c r="C31" i="3"/>
  <c r="C97" i="3" s="1"/>
  <c r="C5" i="1"/>
  <c r="J24" i="1"/>
  <c r="J79" i="1"/>
  <c r="J17" i="1"/>
  <c r="Q79" i="1"/>
  <c r="Q24" i="1"/>
  <c r="Q17" i="1"/>
  <c r="Q23" i="1" s="1"/>
  <c r="J29" i="4"/>
  <c r="H83" i="1"/>
  <c r="H81" i="4"/>
  <c r="H25" i="4"/>
  <c r="H91" i="4" s="1"/>
  <c r="H110" i="4" s="1"/>
  <c r="I84" i="1"/>
  <c r="I22" i="1"/>
  <c r="I29" i="1"/>
  <c r="S7" i="4"/>
  <c r="S71" i="4"/>
  <c r="O95" i="1"/>
  <c r="O121" i="1" s="1"/>
  <c r="O33" i="1"/>
  <c r="O99" i="1" s="1"/>
  <c r="R73" i="2"/>
  <c r="R104" i="2" s="1"/>
  <c r="R12" i="2"/>
  <c r="R78" i="2" s="1"/>
  <c r="J73" i="1"/>
  <c r="P79" i="3"/>
  <c r="P17" i="3"/>
  <c r="P24" i="3"/>
  <c r="S95" i="1"/>
  <c r="S121" i="1" s="1"/>
  <c r="S33" i="1"/>
  <c r="S99" i="1" s="1"/>
  <c r="P26" i="3"/>
  <c r="P92" i="3" s="1"/>
  <c r="P111" i="3" s="1"/>
  <c r="M71" i="2"/>
  <c r="M7" i="2"/>
  <c r="M26" i="2"/>
  <c r="M92" i="2" s="1"/>
  <c r="M111" i="2" s="1"/>
  <c r="N81" i="3"/>
  <c r="N25" i="3"/>
  <c r="N91" i="3" s="1"/>
  <c r="N110" i="3" s="1"/>
  <c r="R116" i="1"/>
  <c r="R117" i="1"/>
  <c r="R119" i="1"/>
  <c r="S73" i="1"/>
  <c r="S12" i="1"/>
  <c r="S78" i="1" s="1"/>
  <c r="J88" i="1"/>
  <c r="J23" i="1"/>
  <c r="P71" i="4"/>
  <c r="P7" i="4"/>
  <c r="D90" i="2"/>
  <c r="D109" i="2" s="1"/>
  <c r="D27" i="2"/>
  <c r="D93" i="2" s="1"/>
  <c r="J81" i="4"/>
  <c r="J25" i="4"/>
  <c r="J91" i="4" s="1"/>
  <c r="J110" i="4" s="1"/>
  <c r="K79" i="1"/>
  <c r="K17" i="1"/>
  <c r="K24" i="1"/>
  <c r="Q88" i="1"/>
  <c r="E90" i="2"/>
  <c r="E109" i="2" s="1"/>
  <c r="O83" i="2"/>
  <c r="O28" i="2"/>
  <c r="O94" i="2" s="1"/>
  <c r="O108" i="2" s="1"/>
  <c r="G84" i="1"/>
  <c r="G22" i="1"/>
  <c r="G29" i="1"/>
  <c r="S90" i="1"/>
  <c r="S109" i="1" s="1"/>
  <c r="S108" i="1" s="1"/>
  <c r="S27" i="1"/>
  <c r="S93" i="1" s="1"/>
  <c r="Q73" i="1"/>
  <c r="L71" i="2"/>
  <c r="L7" i="2"/>
  <c r="L26" i="2"/>
  <c r="L92" i="2" s="1"/>
  <c r="L111" i="2" s="1"/>
  <c r="D73" i="1"/>
  <c r="J79" i="2"/>
  <c r="J24" i="2"/>
  <c r="J17" i="2"/>
  <c r="J23" i="2" s="1"/>
  <c r="Q79" i="2"/>
  <c r="Q17" i="2"/>
  <c r="Q24" i="2"/>
  <c r="H83" i="2"/>
  <c r="O81" i="3"/>
  <c r="O25" i="3"/>
  <c r="O91" i="3" s="1"/>
  <c r="O110" i="3" s="1"/>
  <c r="I84" i="2"/>
  <c r="I22" i="2"/>
  <c r="I29" i="2"/>
  <c r="Q71" i="3"/>
  <c r="Q7" i="3"/>
  <c r="L74" i="3"/>
  <c r="L11" i="3"/>
  <c r="L77" i="3" s="1"/>
  <c r="R105" i="2"/>
  <c r="R107" i="2"/>
  <c r="J107" i="1"/>
  <c r="J105" i="1"/>
  <c r="J104" i="1" s="1"/>
  <c r="P79" i="4"/>
  <c r="P17" i="4"/>
  <c r="P24" i="4"/>
  <c r="S88" i="1"/>
  <c r="S34" i="1"/>
  <c r="S100" i="1" s="1"/>
  <c r="S120" i="1" s="1"/>
  <c r="S23" i="1"/>
  <c r="D74" i="1"/>
  <c r="D11" i="1"/>
  <c r="D77" i="1" s="1"/>
  <c r="C8" i="1"/>
  <c r="D32" i="1"/>
  <c r="D98" i="1" s="1"/>
  <c r="D123" i="1" s="1"/>
  <c r="S26" i="3"/>
  <c r="S92" i="3" s="1"/>
  <c r="S111" i="3" s="1"/>
  <c r="N81" i="4"/>
  <c r="N25" i="4"/>
  <c r="N91" i="4" s="1"/>
  <c r="N110" i="4" s="1"/>
  <c r="S105" i="1"/>
  <c r="S107" i="1"/>
  <c r="K22" i="3"/>
  <c r="K84" i="3"/>
  <c r="K79" i="2"/>
  <c r="K24" i="2"/>
  <c r="K17" i="2"/>
  <c r="K23" i="2" s="1"/>
  <c r="S90" i="2"/>
  <c r="S109" i="2" s="1"/>
  <c r="S27" i="2"/>
  <c r="S93" i="2" s="1"/>
  <c r="E83" i="2"/>
  <c r="G84" i="2"/>
  <c r="G22" i="2"/>
  <c r="G29" i="2"/>
  <c r="E83" i="1"/>
  <c r="I79" i="1"/>
  <c r="I24" i="1"/>
  <c r="I17" i="1"/>
  <c r="D107" i="1"/>
  <c r="D105" i="1"/>
  <c r="K25" i="3"/>
  <c r="K91" i="3" s="1"/>
  <c r="K110" i="3" s="1"/>
  <c r="K81" i="3"/>
  <c r="H90" i="2"/>
  <c r="H109" i="2" s="1"/>
  <c r="D29" i="1"/>
  <c r="D84" i="1"/>
  <c r="D22" i="1"/>
  <c r="C18" i="1"/>
  <c r="H90" i="1"/>
  <c r="H109" i="1" s="1"/>
  <c r="O81" i="4"/>
  <c r="O25" i="4"/>
  <c r="O91" i="4" s="1"/>
  <c r="O110" i="4" s="1"/>
  <c r="Q71" i="4"/>
  <c r="Q7" i="4"/>
  <c r="K71" i="1"/>
  <c r="K7" i="1"/>
  <c r="K26" i="1"/>
  <c r="K92" i="1" s="1"/>
  <c r="K111" i="1" s="1"/>
  <c r="L74" i="4"/>
  <c r="L11" i="4"/>
  <c r="L77" i="4" s="1"/>
  <c r="J74" i="1"/>
  <c r="J11" i="1"/>
  <c r="J77" i="1" s="1"/>
  <c r="J32" i="1"/>
  <c r="J98" i="1" s="1"/>
  <c r="J123" i="1" s="1"/>
  <c r="D74" i="2"/>
  <c r="D11" i="2"/>
  <c r="D77" i="2" s="1"/>
  <c r="C8" i="2"/>
  <c r="D32" i="2"/>
  <c r="D98" i="2" s="1"/>
  <c r="D122" i="2" s="1"/>
  <c r="R71" i="3"/>
  <c r="R7" i="3"/>
  <c r="O84" i="3"/>
  <c r="O22" i="3"/>
  <c r="K84" i="4"/>
  <c r="K22" i="4"/>
  <c r="S83" i="2"/>
  <c r="S28" i="2"/>
  <c r="S94" i="2" s="1"/>
  <c r="S108" i="2" s="1"/>
  <c r="S83" i="1"/>
  <c r="S28" i="1"/>
  <c r="S94" i="1" s="1"/>
  <c r="I79" i="2"/>
  <c r="I24" i="2"/>
  <c r="I17" i="2"/>
  <c r="Q26" i="3"/>
  <c r="Q92" i="3" s="1"/>
  <c r="Q111" i="3" s="1"/>
  <c r="H84" i="1"/>
  <c r="H22" i="1"/>
  <c r="H29" i="1"/>
  <c r="K81" i="4"/>
  <c r="K25" i="4"/>
  <c r="K91" i="4" s="1"/>
  <c r="K110" i="4" s="1"/>
  <c r="K29" i="4"/>
  <c r="D84" i="2"/>
  <c r="D29" i="2"/>
  <c r="D22" i="2"/>
  <c r="C18" i="2"/>
  <c r="S115" i="2"/>
  <c r="S116" i="2"/>
  <c r="S118" i="2"/>
  <c r="H85" i="3"/>
  <c r="H30" i="3"/>
  <c r="H96" i="3" s="1"/>
  <c r="O26" i="4"/>
  <c r="O92" i="4" s="1"/>
  <c r="O111" i="4" s="1"/>
  <c r="O116" i="2"/>
  <c r="O118" i="2"/>
  <c r="O115" i="2"/>
  <c r="K71" i="2"/>
  <c r="K7" i="2"/>
  <c r="K26" i="2"/>
  <c r="K92" i="2" s="1"/>
  <c r="K111" i="2" s="1"/>
  <c r="J84" i="3"/>
  <c r="J22" i="3"/>
  <c r="J29" i="3"/>
  <c r="S26" i="4"/>
  <c r="S92" i="4" s="1"/>
  <c r="S111" i="4" s="1"/>
  <c r="J74" i="2"/>
  <c r="J11" i="2"/>
  <c r="J77" i="2" s="1"/>
  <c r="J32" i="2"/>
  <c r="J98" i="2" s="1"/>
  <c r="J122" i="2" s="1"/>
  <c r="I116" i="2"/>
  <c r="I118" i="2"/>
  <c r="I115" i="2"/>
  <c r="L88" i="1"/>
  <c r="L34" i="1"/>
  <c r="L100" i="1" s="1"/>
  <c r="L120" i="1" s="1"/>
  <c r="D72" i="3"/>
  <c r="D106" i="3" s="1"/>
  <c r="C106" i="3" s="1"/>
  <c r="C6" i="3"/>
  <c r="C72" i="3" s="1"/>
  <c r="R71" i="4"/>
  <c r="R7" i="4"/>
  <c r="P88" i="1"/>
  <c r="P23" i="1"/>
  <c r="M79" i="1"/>
  <c r="M24" i="1"/>
  <c r="M17" i="1"/>
  <c r="P74" i="1"/>
  <c r="P11" i="1"/>
  <c r="P77" i="1" s="1"/>
  <c r="P32" i="1"/>
  <c r="P98" i="1" s="1"/>
  <c r="P123" i="1" s="1"/>
  <c r="O84" i="4"/>
  <c r="O22" i="4"/>
  <c r="C13" i="1"/>
  <c r="R29" i="1"/>
  <c r="R84" i="1"/>
  <c r="R22" i="1"/>
  <c r="Q26" i="4"/>
  <c r="Q92" i="4" s="1"/>
  <c r="Q111" i="4" s="1"/>
  <c r="D73" i="2"/>
  <c r="D104" i="2" s="1"/>
  <c r="D12" i="2"/>
  <c r="D78" i="2" s="1"/>
  <c r="P81" i="3"/>
  <c r="P25" i="3"/>
  <c r="P91" i="3" s="1"/>
  <c r="P110" i="3" s="1"/>
  <c r="N118" i="2"/>
  <c r="N115" i="2"/>
  <c r="N116" i="2"/>
  <c r="L116" i="2"/>
  <c r="L118" i="2"/>
  <c r="L115" i="2"/>
  <c r="H84" i="2"/>
  <c r="H22" i="2"/>
  <c r="H29" i="2"/>
  <c r="I74" i="3"/>
  <c r="I11" i="3"/>
  <c r="I77" i="3" s="1"/>
  <c r="O73" i="2"/>
  <c r="O104" i="2" s="1"/>
  <c r="O12" i="2"/>
  <c r="O78" i="2" s="1"/>
  <c r="H85" i="4"/>
  <c r="H30" i="4"/>
  <c r="H96" i="4" s="1"/>
  <c r="K74" i="1"/>
  <c r="K11" i="1"/>
  <c r="K77" i="1" s="1"/>
  <c r="K32" i="1"/>
  <c r="K98" i="1" s="1"/>
  <c r="K123" i="1" s="1"/>
  <c r="J84" i="4"/>
  <c r="J22" i="4"/>
  <c r="K88" i="1"/>
  <c r="K23" i="1"/>
  <c r="P88" i="2"/>
  <c r="P23" i="2"/>
  <c r="L95" i="1"/>
  <c r="L121" i="1" s="1"/>
  <c r="L33" i="1"/>
  <c r="L99" i="1" s="1"/>
  <c r="D72" i="4"/>
  <c r="D106" i="4" s="1"/>
  <c r="C106" i="4" s="1"/>
  <c r="C6" i="4"/>
  <c r="C72" i="4" s="1"/>
  <c r="L79" i="1"/>
  <c r="L24" i="1"/>
  <c r="L17" i="1"/>
  <c r="L23" i="1" s="1"/>
  <c r="P95" i="1"/>
  <c r="P121" i="1" s="1"/>
  <c r="I119" i="1"/>
  <c r="I117" i="1"/>
  <c r="I116" i="1"/>
  <c r="M79" i="2"/>
  <c r="M24" i="2"/>
  <c r="M17" i="2"/>
  <c r="P74" i="2"/>
  <c r="P11" i="2"/>
  <c r="P77" i="2" s="1"/>
  <c r="P32" i="2"/>
  <c r="P98" i="2" s="1"/>
  <c r="P122" i="2" s="1"/>
  <c r="C19" i="3"/>
  <c r="Q84" i="3"/>
  <c r="Q22" i="3"/>
  <c r="D90" i="1"/>
  <c r="D109" i="1" s="1"/>
  <c r="D27" i="1"/>
  <c r="D93" i="1" s="1"/>
  <c r="R84" i="2"/>
  <c r="R29" i="2"/>
  <c r="R22" i="2"/>
  <c r="P81" i="4"/>
  <c r="P25" i="4"/>
  <c r="P91" i="4" s="1"/>
  <c r="P110" i="4" s="1"/>
  <c r="N117" i="1"/>
  <c r="N116" i="1"/>
  <c r="N119" i="1"/>
  <c r="I74" i="4"/>
  <c r="I11" i="4"/>
  <c r="I77" i="4" s="1"/>
  <c r="P73" i="1"/>
  <c r="O105" i="2"/>
  <c r="O107" i="2"/>
  <c r="D81" i="3"/>
  <c r="C15" i="3"/>
  <c r="D25" i="3"/>
  <c r="D91" i="3" s="1"/>
  <c r="D110" i="3" s="1"/>
  <c r="S79" i="3"/>
  <c r="S17" i="3"/>
  <c r="S24" i="3"/>
  <c r="K74" i="2"/>
  <c r="K11" i="2"/>
  <c r="K77" i="2" s="1"/>
  <c r="K32" i="2"/>
  <c r="K98" i="2" s="1"/>
  <c r="K122" i="2" s="1"/>
  <c r="E117" i="1"/>
  <c r="E116" i="1"/>
  <c r="E119" i="1"/>
  <c r="S74" i="3"/>
  <c r="S11" i="3"/>
  <c r="S77" i="3" s="1"/>
  <c r="I32" i="4"/>
  <c r="I98" i="4" s="1"/>
  <c r="I122" i="4" s="1"/>
  <c r="R73" i="1"/>
  <c r="R12" i="1"/>
  <c r="R78" i="1" s="1"/>
  <c r="L88" i="2"/>
  <c r="L34" i="2"/>
  <c r="L100" i="2" s="1"/>
  <c r="L119" i="2" s="1"/>
  <c r="P95" i="2"/>
  <c r="P120" i="2" s="1"/>
  <c r="L79" i="2"/>
  <c r="L17" i="2"/>
  <c r="L23" i="2" s="1"/>
  <c r="L24" i="2"/>
  <c r="R90" i="2"/>
  <c r="R109" i="2" s="1"/>
  <c r="R27" i="2"/>
  <c r="R93" i="2" s="1"/>
  <c r="R74" i="3"/>
  <c r="R11" i="3"/>
  <c r="R77" i="3" s="1"/>
  <c r="R90" i="1"/>
  <c r="R109" i="1" s="1"/>
  <c r="R108" i="1" s="1"/>
  <c r="R27" i="1"/>
  <c r="R93" i="1" s="1"/>
  <c r="Q84" i="4"/>
  <c r="Q22" i="4"/>
  <c r="G81" i="3"/>
  <c r="G25" i="3"/>
  <c r="G91" i="3" s="1"/>
  <c r="G110" i="3" s="1"/>
  <c r="D83" i="1"/>
  <c r="D28" i="1"/>
  <c r="D94" i="1" s="1"/>
  <c r="N28" i="1"/>
  <c r="N94" i="1" s="1"/>
  <c r="N83" i="1"/>
  <c r="D107" i="2"/>
  <c r="D105" i="2"/>
  <c r="Q29" i="3"/>
  <c r="L119" i="1"/>
  <c r="L117" i="1"/>
  <c r="L116" i="1"/>
  <c r="P105" i="1"/>
  <c r="P107" i="1"/>
  <c r="C82" i="3"/>
  <c r="D81" i="4"/>
  <c r="D25" i="4"/>
  <c r="D91" i="4" s="1"/>
  <c r="D110" i="4" s="1"/>
  <c r="C15" i="4"/>
  <c r="S79" i="4"/>
  <c r="S17" i="4"/>
  <c r="S24" i="4"/>
  <c r="O95" i="2"/>
  <c r="O120" i="2" s="1"/>
  <c r="O33" i="2"/>
  <c r="O99" i="2" s="1"/>
  <c r="S74" i="4"/>
  <c r="S11" i="4"/>
  <c r="S77" i="4" s="1"/>
  <c r="D7" i="3"/>
  <c r="D71" i="3"/>
  <c r="O119" i="1"/>
  <c r="O117" i="1"/>
  <c r="O116" i="1"/>
  <c r="O124" i="1" s="1"/>
  <c r="H74" i="1"/>
  <c r="H11" i="1"/>
  <c r="H77" i="1" s="1"/>
  <c r="H32" i="1"/>
  <c r="H98" i="1" s="1"/>
  <c r="H123" i="1" s="1"/>
  <c r="R107" i="1"/>
  <c r="R105" i="1"/>
  <c r="R26" i="4"/>
  <c r="R92" i="4" s="1"/>
  <c r="R111" i="4" s="1"/>
  <c r="R83" i="2"/>
  <c r="R28" i="2"/>
  <c r="R94" i="2" s="1"/>
  <c r="R108" i="2" s="1"/>
  <c r="R74" i="4"/>
  <c r="R11" i="4"/>
  <c r="R77" i="4" s="1"/>
  <c r="C87" i="4"/>
  <c r="G81" i="4"/>
  <c r="G25" i="4"/>
  <c r="G91" i="4" s="1"/>
  <c r="G110" i="4" s="1"/>
  <c r="N24" i="2"/>
  <c r="M74" i="1"/>
  <c r="M11" i="1"/>
  <c r="M77" i="1" s="1"/>
  <c r="M32" i="1"/>
  <c r="M98" i="1" s="1"/>
  <c r="M123" i="1" s="1"/>
  <c r="N24" i="1"/>
  <c r="C110" i="2"/>
  <c r="G17" i="1"/>
  <c r="G24" i="1"/>
  <c r="G79" i="1"/>
  <c r="P29" i="4"/>
  <c r="P29" i="3"/>
  <c r="P73" i="2"/>
  <c r="P104" i="2" s="1"/>
  <c r="P12" i="2"/>
  <c r="P78" i="2" s="1"/>
  <c r="M71" i="3"/>
  <c r="M7" i="3"/>
  <c r="O88" i="2"/>
  <c r="O23" i="2"/>
  <c r="O34" i="2"/>
  <c r="O100" i="2" s="1"/>
  <c r="O119" i="2" s="1"/>
  <c r="Q74" i="1"/>
  <c r="Q11" i="1"/>
  <c r="Q77" i="1" s="1"/>
  <c r="Q32" i="1"/>
  <c r="Q98" i="1" s="1"/>
  <c r="Q123" i="1" s="1"/>
  <c r="J73" i="2"/>
  <c r="J104" i="2" s="1"/>
  <c r="J12" i="2"/>
  <c r="J78" i="2" s="1"/>
  <c r="D71" i="4"/>
  <c r="D7" i="4"/>
  <c r="H71" i="1"/>
  <c r="H7" i="1"/>
  <c r="H28" i="1" s="1"/>
  <c r="H94" i="1" s="1"/>
  <c r="H26" i="1"/>
  <c r="H92" i="1" s="1"/>
  <c r="H111" i="1" s="1"/>
  <c r="H74" i="2"/>
  <c r="H11" i="2"/>
  <c r="H77" i="2" s="1"/>
  <c r="H32" i="2"/>
  <c r="H98" i="2" s="1"/>
  <c r="H122" i="2" s="1"/>
  <c r="L95" i="2"/>
  <c r="L120" i="2" s="1"/>
  <c r="L33" i="2"/>
  <c r="L99" i="2" s="1"/>
  <c r="E74" i="3"/>
  <c r="E11" i="3"/>
  <c r="E77" i="3" s="1"/>
  <c r="Q88" i="2"/>
  <c r="Q23" i="2"/>
  <c r="R83" i="1"/>
  <c r="R28" i="1"/>
  <c r="R94" i="1" s="1"/>
  <c r="M84" i="1"/>
  <c r="M29" i="1"/>
  <c r="M22" i="1"/>
  <c r="E7" i="1"/>
  <c r="E28" i="1" s="1"/>
  <c r="E94" i="1" s="1"/>
  <c r="E71" i="1"/>
  <c r="E26" i="1"/>
  <c r="E92" i="1" s="1"/>
  <c r="E111" i="1" s="1"/>
  <c r="N83" i="2"/>
  <c r="Q73" i="2"/>
  <c r="Q104" i="2" s="1"/>
  <c r="M74" i="2"/>
  <c r="M11" i="2"/>
  <c r="M77" i="2" s="1"/>
  <c r="M32" i="2"/>
  <c r="M98" i="2" s="1"/>
  <c r="M122" i="2" s="1"/>
  <c r="G71" i="1"/>
  <c r="G7" i="1"/>
  <c r="G26" i="1"/>
  <c r="G92" i="1" s="1"/>
  <c r="G111" i="1" s="1"/>
  <c r="P83" i="2"/>
  <c r="P28" i="2"/>
  <c r="P94" i="2" s="1"/>
  <c r="P108" i="2" s="1"/>
  <c r="C81" i="2"/>
  <c r="C25" i="2"/>
  <c r="C91" i="2" s="1"/>
  <c r="P90" i="1"/>
  <c r="P109" i="1" s="1"/>
  <c r="P108" i="1" s="1"/>
  <c r="P27" i="1"/>
  <c r="P93" i="1" s="1"/>
  <c r="G79" i="2"/>
  <c r="G17" i="2"/>
  <c r="G24" i="2"/>
  <c r="O29" i="3"/>
  <c r="P105" i="2"/>
  <c r="P107" i="2"/>
  <c r="M71" i="4"/>
  <c r="M7" i="4"/>
  <c r="E84" i="1"/>
  <c r="E29" i="1"/>
  <c r="E22" i="1"/>
  <c r="Q74" i="2"/>
  <c r="Q11" i="2"/>
  <c r="Q77" i="2" s="1"/>
  <c r="Q32" i="2"/>
  <c r="Q98" i="2" s="1"/>
  <c r="Q122" i="2" s="1"/>
  <c r="J105" i="2"/>
  <c r="J107" i="2"/>
  <c r="H71" i="2"/>
  <c r="H7" i="2"/>
  <c r="H28" i="2" s="1"/>
  <c r="H94" i="2" s="1"/>
  <c r="H108" i="2" s="1"/>
  <c r="H26" i="2"/>
  <c r="H92" i="2" s="1"/>
  <c r="H111" i="2" s="1"/>
  <c r="E74" i="4"/>
  <c r="E11" i="4"/>
  <c r="E77" i="4" s="1"/>
  <c r="Q29" i="2"/>
  <c r="M84" i="2"/>
  <c r="M29" i="2"/>
  <c r="M22" i="2"/>
  <c r="N84" i="1"/>
  <c r="N29" i="1"/>
  <c r="N22" i="1"/>
  <c r="E7" i="2"/>
  <c r="E28" i="2" s="1"/>
  <c r="E94" i="2" s="1"/>
  <c r="E108" i="2" s="1"/>
  <c r="E71" i="2"/>
  <c r="E26" i="2"/>
  <c r="E92" i="2" s="1"/>
  <c r="E111" i="2" s="1"/>
  <c r="Q107" i="2"/>
  <c r="Q105" i="2"/>
  <c r="G71" i="2"/>
  <c r="G7" i="2"/>
  <c r="G26" i="2"/>
  <c r="G92" i="2" s="1"/>
  <c r="G111" i="2" s="1"/>
  <c r="P90" i="2"/>
  <c r="P109" i="2" s="1"/>
  <c r="P27" i="2"/>
  <c r="P93" i="2" s="1"/>
  <c r="O83" i="1"/>
  <c r="O28" i="1"/>
  <c r="O94" i="1" s="1"/>
  <c r="P83" i="1"/>
  <c r="P28" i="1"/>
  <c r="P94" i="1" s="1"/>
  <c r="C81" i="1"/>
  <c r="C25" i="1"/>
  <c r="C91" i="1" s="1"/>
  <c r="I71" i="3"/>
  <c r="I7" i="3"/>
  <c r="I71" i="1"/>
  <c r="I7" i="1"/>
  <c r="I26" i="1"/>
  <c r="I92" i="1" s="1"/>
  <c r="I111" i="1" s="1"/>
  <c r="E84" i="2"/>
  <c r="E29" i="2"/>
  <c r="E22" i="2"/>
  <c r="D80" i="3"/>
  <c r="C14" i="3"/>
  <c r="C80" i="3" s="1"/>
  <c r="K29" i="2"/>
  <c r="S95" i="2"/>
  <c r="S120" i="2" s="1"/>
  <c r="S33" i="2"/>
  <c r="S99" i="2" s="1"/>
  <c r="I32" i="3"/>
  <c r="I98" i="3" s="1"/>
  <c r="I122" i="3" s="1"/>
  <c r="L84" i="3"/>
  <c r="L22" i="3"/>
  <c r="L29" i="3"/>
  <c r="R115" i="2"/>
  <c r="R116" i="2"/>
  <c r="R118" i="2"/>
  <c r="S12" i="2"/>
  <c r="S78" i="2" s="1"/>
  <c r="S73" i="2"/>
  <c r="S104" i="2" s="1"/>
  <c r="J29" i="2"/>
  <c r="C19" i="4"/>
  <c r="N84" i="2"/>
  <c r="N29" i="2"/>
  <c r="N22" i="2"/>
  <c r="O90" i="1"/>
  <c r="O109" i="1" s="1"/>
  <c r="O108" i="1" s="1"/>
  <c r="O27" i="1"/>
  <c r="O93" i="1" s="1"/>
  <c r="C110" i="1"/>
  <c r="I71" i="4"/>
  <c r="I7" i="4"/>
  <c r="C26" i="2" l="1"/>
  <c r="C92" i="2" s="1"/>
  <c r="P34" i="2"/>
  <c r="P100" i="2" s="1"/>
  <c r="P119" i="2" s="1"/>
  <c r="O112" i="2"/>
  <c r="C7" i="2"/>
  <c r="C71" i="2"/>
  <c r="P33" i="2"/>
  <c r="P99" i="2" s="1"/>
  <c r="P12" i="1"/>
  <c r="P78" i="1" s="1"/>
  <c r="C111" i="1"/>
  <c r="C111" i="2"/>
  <c r="L124" i="1"/>
  <c r="P34" i="1"/>
  <c r="P100" i="1" s="1"/>
  <c r="P120" i="1" s="1"/>
  <c r="S112" i="2"/>
  <c r="P104" i="1"/>
  <c r="P113" i="1" s="1"/>
  <c r="C122" i="2"/>
  <c r="L123" i="2"/>
  <c r="D12" i="1"/>
  <c r="D78" i="1" s="1"/>
  <c r="P112" i="2"/>
  <c r="Q104" i="1"/>
  <c r="S104" i="1"/>
  <c r="S113" i="1" s="1"/>
  <c r="E27" i="1"/>
  <c r="E93" i="1" s="1"/>
  <c r="C110" i="4"/>
  <c r="P95" i="3"/>
  <c r="P120" i="3" s="1"/>
  <c r="O95" i="3"/>
  <c r="O120" i="3" s="1"/>
  <c r="K89" i="2"/>
  <c r="J89" i="2"/>
  <c r="J35" i="2"/>
  <c r="J101" i="2" s="1"/>
  <c r="Q95" i="3"/>
  <c r="Q120" i="3" s="1"/>
  <c r="K95" i="4"/>
  <c r="K120" i="4" s="1"/>
  <c r="L89" i="1"/>
  <c r="N71" i="3"/>
  <c r="N7" i="3"/>
  <c r="N26" i="3"/>
  <c r="N92" i="3" s="1"/>
  <c r="N111" i="3" s="1"/>
  <c r="M95" i="2"/>
  <c r="M120" i="2" s="1"/>
  <c r="M33" i="2"/>
  <c r="M99" i="2" s="1"/>
  <c r="E79" i="4"/>
  <c r="E17" i="4"/>
  <c r="E24" i="4"/>
  <c r="G83" i="2"/>
  <c r="G28" i="2"/>
  <c r="G94" i="2" s="1"/>
  <c r="G108" i="2" s="1"/>
  <c r="C81" i="4"/>
  <c r="C25" i="4"/>
  <c r="C91" i="4" s="1"/>
  <c r="N74" i="3"/>
  <c r="N11" i="3"/>
  <c r="N77" i="3" s="1"/>
  <c r="N32" i="3"/>
  <c r="N98" i="3" s="1"/>
  <c r="N122" i="3" s="1"/>
  <c r="Q88" i="3"/>
  <c r="I84" i="4"/>
  <c r="I29" i="4"/>
  <c r="I22" i="4"/>
  <c r="R107" i="4"/>
  <c r="R105" i="4"/>
  <c r="Q79" i="4"/>
  <c r="Q17" i="4"/>
  <c r="Q24" i="4"/>
  <c r="D95" i="1"/>
  <c r="D121" i="1" s="1"/>
  <c r="D33" i="1"/>
  <c r="D99" i="1" s="1"/>
  <c r="L79" i="4"/>
  <c r="L24" i="4"/>
  <c r="L17" i="4"/>
  <c r="P90" i="4"/>
  <c r="P109" i="4" s="1"/>
  <c r="P27" i="4"/>
  <c r="P93" i="4" s="1"/>
  <c r="I33" i="2"/>
  <c r="I99" i="2" s="1"/>
  <c r="I95" i="2"/>
  <c r="I120" i="2" s="1"/>
  <c r="C71" i="1"/>
  <c r="C7" i="1"/>
  <c r="C26" i="1"/>
  <c r="C92" i="1" s="1"/>
  <c r="P95" i="4"/>
  <c r="P120" i="4" s="1"/>
  <c r="N73" i="2"/>
  <c r="N104" i="2" s="1"/>
  <c r="N12" i="2"/>
  <c r="N78" i="2" s="1"/>
  <c r="J71" i="3"/>
  <c r="J7" i="3"/>
  <c r="J26" i="3"/>
  <c r="J92" i="3" s="1"/>
  <c r="J111" i="3" s="1"/>
  <c r="N71" i="4"/>
  <c r="N7" i="4"/>
  <c r="N26" i="4"/>
  <c r="N92" i="4" s="1"/>
  <c r="N111" i="4" s="1"/>
  <c r="G12" i="2"/>
  <c r="G78" i="2" s="1"/>
  <c r="G73" i="2"/>
  <c r="G104" i="2" s="1"/>
  <c r="Q118" i="2"/>
  <c r="Q115" i="2"/>
  <c r="Q116" i="2"/>
  <c r="H115" i="2"/>
  <c r="H118" i="2"/>
  <c r="H116" i="2"/>
  <c r="Q117" i="1"/>
  <c r="Q116" i="1"/>
  <c r="Q119" i="1"/>
  <c r="G79" i="3"/>
  <c r="G17" i="3"/>
  <c r="G24" i="3"/>
  <c r="L71" i="3"/>
  <c r="L7" i="3"/>
  <c r="L26" i="3"/>
  <c r="L92" i="3" s="1"/>
  <c r="L111" i="3" s="1"/>
  <c r="M117" i="1"/>
  <c r="M119" i="1"/>
  <c r="M116" i="1"/>
  <c r="H79" i="3"/>
  <c r="H17" i="3"/>
  <c r="H24" i="3"/>
  <c r="D105" i="3"/>
  <c r="D107" i="3"/>
  <c r="N74" i="4"/>
  <c r="N11" i="4"/>
  <c r="N77" i="4" s="1"/>
  <c r="N32" i="4"/>
  <c r="N98" i="4" s="1"/>
  <c r="N122" i="4" s="1"/>
  <c r="L89" i="2"/>
  <c r="P89" i="2"/>
  <c r="P35" i="2"/>
  <c r="P101" i="2" s="1"/>
  <c r="K71" i="3"/>
  <c r="K7" i="3"/>
  <c r="K26" i="3"/>
  <c r="K92" i="3" s="1"/>
  <c r="K111" i="3" s="1"/>
  <c r="C74" i="2"/>
  <c r="C11" i="2"/>
  <c r="C77" i="2" s="1"/>
  <c r="C32" i="2"/>
  <c r="C98" i="2" s="1"/>
  <c r="K73" i="1"/>
  <c r="K12" i="1"/>
  <c r="K78" i="1" s="1"/>
  <c r="H27" i="2"/>
  <c r="H93" i="2" s="1"/>
  <c r="P83" i="4"/>
  <c r="P28" i="4"/>
  <c r="P94" i="4" s="1"/>
  <c r="P108" i="4" s="1"/>
  <c r="I88" i="2"/>
  <c r="I34" i="2"/>
  <c r="I100" i="2" s="1"/>
  <c r="I119" i="2" s="1"/>
  <c r="I123" i="2" s="1"/>
  <c r="I23" i="2"/>
  <c r="J12" i="1"/>
  <c r="J78" i="1" s="1"/>
  <c r="P105" i="3"/>
  <c r="P107" i="3"/>
  <c r="N107" i="2"/>
  <c r="N105" i="2"/>
  <c r="P88" i="3"/>
  <c r="P23" i="3"/>
  <c r="L95" i="4"/>
  <c r="L120" i="4" s="1"/>
  <c r="L33" i="4"/>
  <c r="L99" i="4" s="1"/>
  <c r="N73" i="1"/>
  <c r="N12" i="1"/>
  <c r="N78" i="1" s="1"/>
  <c r="J71" i="4"/>
  <c r="J7" i="4"/>
  <c r="J26" i="4"/>
  <c r="J92" i="4" s="1"/>
  <c r="J111" i="4" s="1"/>
  <c r="E108" i="1"/>
  <c r="I73" i="4"/>
  <c r="I104" i="4" s="1"/>
  <c r="I12" i="4"/>
  <c r="I78" i="4" s="1"/>
  <c r="E88" i="2"/>
  <c r="E34" i="2"/>
  <c r="E100" i="2" s="1"/>
  <c r="E119" i="2" s="1"/>
  <c r="E23" i="2"/>
  <c r="I73" i="3"/>
  <c r="I104" i="3" s="1"/>
  <c r="I12" i="3"/>
  <c r="I78" i="3" s="1"/>
  <c r="G105" i="2"/>
  <c r="G107" i="2"/>
  <c r="Q95" i="2"/>
  <c r="Q120" i="2" s="1"/>
  <c r="Q33" i="2"/>
  <c r="Q99" i="2" s="1"/>
  <c r="M116" i="2"/>
  <c r="M118" i="2"/>
  <c r="M115" i="2"/>
  <c r="G79" i="4"/>
  <c r="G17" i="4"/>
  <c r="G24" i="4"/>
  <c r="L71" i="4"/>
  <c r="L7" i="4"/>
  <c r="L26" i="4"/>
  <c r="L92" i="4" s="1"/>
  <c r="L111" i="4" s="1"/>
  <c r="N90" i="2"/>
  <c r="N109" i="2" s="1"/>
  <c r="N27" i="2"/>
  <c r="N93" i="2" s="1"/>
  <c r="H79" i="4"/>
  <c r="H17" i="4"/>
  <c r="H24" i="4"/>
  <c r="C5" i="3"/>
  <c r="H71" i="3"/>
  <c r="H7" i="3"/>
  <c r="H26" i="3"/>
  <c r="H92" i="3" s="1"/>
  <c r="H111" i="3" s="1"/>
  <c r="J95" i="3"/>
  <c r="J120" i="3" s="1"/>
  <c r="K71" i="4"/>
  <c r="K7" i="4"/>
  <c r="K26" i="4"/>
  <c r="K92" i="4" s="1"/>
  <c r="K111" i="4" s="1"/>
  <c r="K107" i="1"/>
  <c r="K105" i="1"/>
  <c r="J74" i="3"/>
  <c r="J11" i="3"/>
  <c r="J77" i="3" s="1"/>
  <c r="J32" i="3"/>
  <c r="J98" i="3" s="1"/>
  <c r="J122" i="3" s="1"/>
  <c r="P88" i="4"/>
  <c r="P23" i="4"/>
  <c r="P73" i="3"/>
  <c r="P104" i="3" s="1"/>
  <c r="O89" i="1"/>
  <c r="O35" i="1"/>
  <c r="O101" i="1" s="1"/>
  <c r="L88" i="4"/>
  <c r="L34" i="4"/>
  <c r="L100" i="4" s="1"/>
  <c r="L119" i="4" s="1"/>
  <c r="L23" i="4"/>
  <c r="K34" i="2"/>
  <c r="K100" i="2" s="1"/>
  <c r="K119" i="2" s="1"/>
  <c r="N105" i="1"/>
  <c r="N104" i="1" s="1"/>
  <c r="N107" i="1"/>
  <c r="I105" i="4"/>
  <c r="I107" i="4"/>
  <c r="E95" i="2"/>
  <c r="E120" i="2" s="1"/>
  <c r="E33" i="2"/>
  <c r="E99" i="2" s="1"/>
  <c r="I105" i="3"/>
  <c r="I107" i="3"/>
  <c r="E88" i="1"/>
  <c r="E23" i="1"/>
  <c r="E34" i="1"/>
  <c r="E100" i="1" s="1"/>
  <c r="E120" i="1" s="1"/>
  <c r="Q12" i="2"/>
  <c r="Q78" i="2" s="1"/>
  <c r="Q89" i="2"/>
  <c r="M84" i="3"/>
  <c r="M29" i="3"/>
  <c r="M22" i="3"/>
  <c r="D73" i="3"/>
  <c r="D104" i="3" s="1"/>
  <c r="H71" i="4"/>
  <c r="H7" i="4"/>
  <c r="H26" i="4"/>
  <c r="H92" i="4" s="1"/>
  <c r="H111" i="4" s="1"/>
  <c r="K118" i="2"/>
  <c r="K115" i="2"/>
  <c r="K116" i="2"/>
  <c r="G74" i="3"/>
  <c r="G11" i="3"/>
  <c r="G77" i="3" s="1"/>
  <c r="G32" i="3"/>
  <c r="G98" i="3" s="1"/>
  <c r="G122" i="3" s="1"/>
  <c r="C85" i="3"/>
  <c r="C30" i="3"/>
  <c r="C96" i="3" s="1"/>
  <c r="P33" i="1"/>
  <c r="P99" i="1" s="1"/>
  <c r="K89" i="1"/>
  <c r="P117" i="1"/>
  <c r="P116" i="1"/>
  <c r="P124" i="1" s="1"/>
  <c r="P119" i="1"/>
  <c r="J88" i="3"/>
  <c r="D74" i="3"/>
  <c r="D11" i="3"/>
  <c r="D77" i="3" s="1"/>
  <c r="C8" i="3"/>
  <c r="D32" i="3"/>
  <c r="D98" i="3" s="1"/>
  <c r="D122" i="3" s="1"/>
  <c r="Q73" i="4"/>
  <c r="Q104" i="4" s="1"/>
  <c r="D104" i="1"/>
  <c r="E27" i="2"/>
  <c r="E93" i="2" s="1"/>
  <c r="P73" i="4"/>
  <c r="P104" i="4" s="1"/>
  <c r="R112" i="2"/>
  <c r="D84" i="3"/>
  <c r="D29" i="3"/>
  <c r="D22" i="3"/>
  <c r="C18" i="3"/>
  <c r="J74" i="4"/>
  <c r="J11" i="4"/>
  <c r="J77" i="4" s="1"/>
  <c r="J32" i="4"/>
  <c r="J98" i="4" s="1"/>
  <c r="J122" i="4" s="1"/>
  <c r="Q33" i="1"/>
  <c r="Q99" i="1" s="1"/>
  <c r="E95" i="1"/>
  <c r="E121" i="1" s="1"/>
  <c r="E33" i="1"/>
  <c r="E99" i="1" s="1"/>
  <c r="Q34" i="2"/>
  <c r="Q100" i="2" s="1"/>
  <c r="Q119" i="2" s="1"/>
  <c r="H73" i="1"/>
  <c r="H12" i="1"/>
  <c r="H78" i="1" s="1"/>
  <c r="O89" i="2"/>
  <c r="O35" i="2"/>
  <c r="O101" i="2" s="1"/>
  <c r="P74" i="3"/>
  <c r="P11" i="3"/>
  <c r="P77" i="3" s="1"/>
  <c r="P32" i="3"/>
  <c r="P98" i="3" s="1"/>
  <c r="P122" i="3" s="1"/>
  <c r="M84" i="4"/>
  <c r="M29" i="4"/>
  <c r="M22" i="4"/>
  <c r="R104" i="1"/>
  <c r="R113" i="1" s="1"/>
  <c r="R116" i="3"/>
  <c r="R118" i="3"/>
  <c r="R115" i="3"/>
  <c r="I115" i="4"/>
  <c r="I118" i="4"/>
  <c r="I116" i="4"/>
  <c r="G74" i="4"/>
  <c r="G11" i="4"/>
  <c r="G77" i="4" s="1"/>
  <c r="G32" i="4"/>
  <c r="G98" i="4" s="1"/>
  <c r="G122" i="4" s="1"/>
  <c r="K34" i="1"/>
  <c r="K100" i="1" s="1"/>
  <c r="K120" i="1" s="1"/>
  <c r="H95" i="2"/>
  <c r="H120" i="2" s="1"/>
  <c r="H33" i="2"/>
  <c r="H99" i="2" s="1"/>
  <c r="D112" i="2"/>
  <c r="S123" i="2"/>
  <c r="D74" i="4"/>
  <c r="D11" i="4"/>
  <c r="D77" i="4" s="1"/>
  <c r="C8" i="4"/>
  <c r="D32" i="4"/>
  <c r="D98" i="4" s="1"/>
  <c r="D122" i="4" s="1"/>
  <c r="K88" i="4"/>
  <c r="D115" i="2"/>
  <c r="D116" i="2"/>
  <c r="D118" i="2"/>
  <c r="Q107" i="4"/>
  <c r="Q105" i="4"/>
  <c r="D79" i="3"/>
  <c r="C13" i="3"/>
  <c r="D17" i="3"/>
  <c r="D24" i="3"/>
  <c r="C123" i="1"/>
  <c r="L73" i="2"/>
  <c r="L104" i="2" s="1"/>
  <c r="L12" i="2"/>
  <c r="L78" i="2" s="1"/>
  <c r="P107" i="4"/>
  <c r="P105" i="4"/>
  <c r="M12" i="2"/>
  <c r="M78" i="2" s="1"/>
  <c r="M73" i="2"/>
  <c r="M104" i="2" s="1"/>
  <c r="D84" i="4"/>
  <c r="D22" i="4"/>
  <c r="D29" i="4"/>
  <c r="C18" i="4"/>
  <c r="M73" i="1"/>
  <c r="M12" i="1"/>
  <c r="M78" i="1" s="1"/>
  <c r="S73" i="3"/>
  <c r="S104" i="3" s="1"/>
  <c r="S12" i="3"/>
  <c r="S78" i="3" s="1"/>
  <c r="O73" i="4"/>
  <c r="O104" i="4" s="1"/>
  <c r="R90" i="3"/>
  <c r="R109" i="3" s="1"/>
  <c r="R27" i="3"/>
  <c r="R93" i="3" s="1"/>
  <c r="I73" i="2"/>
  <c r="I104" i="2" s="1"/>
  <c r="I12" i="2"/>
  <c r="I78" i="2" s="1"/>
  <c r="L95" i="3"/>
  <c r="L120" i="3" s="1"/>
  <c r="L33" i="3"/>
  <c r="L99" i="3" s="1"/>
  <c r="E116" i="4"/>
  <c r="E118" i="4"/>
  <c r="E115" i="4"/>
  <c r="J79" i="3"/>
  <c r="J24" i="3"/>
  <c r="J17" i="3"/>
  <c r="J23" i="3" s="1"/>
  <c r="N28" i="2"/>
  <c r="N94" i="2" s="1"/>
  <c r="N108" i="2" s="1"/>
  <c r="H107" i="1"/>
  <c r="H105" i="1"/>
  <c r="P74" i="4"/>
  <c r="P11" i="4"/>
  <c r="P77" i="4" s="1"/>
  <c r="P32" i="4"/>
  <c r="P98" i="4" s="1"/>
  <c r="P122" i="4" s="1"/>
  <c r="S90" i="3"/>
  <c r="S109" i="3" s="1"/>
  <c r="S27" i="3"/>
  <c r="S93" i="3" s="1"/>
  <c r="L28" i="1"/>
  <c r="L94" i="1" s="1"/>
  <c r="L83" i="1"/>
  <c r="H88" i="2"/>
  <c r="H34" i="2"/>
  <c r="H100" i="2" s="1"/>
  <c r="H119" i="2" s="1"/>
  <c r="H23" i="2"/>
  <c r="M83" i="1"/>
  <c r="M28" i="1"/>
  <c r="M94" i="1" s="1"/>
  <c r="C84" i="2"/>
  <c r="C22" i="2"/>
  <c r="C29" i="2"/>
  <c r="H95" i="1"/>
  <c r="H121" i="1" s="1"/>
  <c r="H33" i="1"/>
  <c r="H99" i="1" s="1"/>
  <c r="D79" i="4"/>
  <c r="C13" i="4"/>
  <c r="D17" i="4"/>
  <c r="D24" i="4"/>
  <c r="I28" i="1"/>
  <c r="I94" i="1" s="1"/>
  <c r="I83" i="1"/>
  <c r="K83" i="2"/>
  <c r="K28" i="2"/>
  <c r="K94" i="2" s="1"/>
  <c r="K108" i="2" s="1"/>
  <c r="C74" i="1"/>
  <c r="C11" i="1"/>
  <c r="C77" i="1" s="1"/>
  <c r="C32" i="1"/>
  <c r="C98" i="1" s="1"/>
  <c r="N79" i="3"/>
  <c r="N17" i="3"/>
  <c r="N24" i="3"/>
  <c r="L105" i="2"/>
  <c r="L107" i="2"/>
  <c r="Q34" i="1"/>
  <c r="Q100" i="1" s="1"/>
  <c r="Q120" i="1" s="1"/>
  <c r="J34" i="1"/>
  <c r="J100" i="1" s="1"/>
  <c r="J120" i="1" s="1"/>
  <c r="M105" i="2"/>
  <c r="M107" i="2"/>
  <c r="M105" i="1"/>
  <c r="M107" i="1"/>
  <c r="S105" i="3"/>
  <c r="S107" i="3"/>
  <c r="O105" i="4"/>
  <c r="O107" i="4"/>
  <c r="R83" i="3"/>
  <c r="R28" i="3"/>
  <c r="R94" i="3" s="1"/>
  <c r="R108" i="3" s="1"/>
  <c r="I105" i="2"/>
  <c r="I107" i="2"/>
  <c r="K33" i="1"/>
  <c r="K99" i="1" s="1"/>
  <c r="L88" i="3"/>
  <c r="L34" i="3"/>
  <c r="L100" i="3" s="1"/>
  <c r="L119" i="3" s="1"/>
  <c r="I73" i="1"/>
  <c r="I12" i="1"/>
  <c r="I78" i="1" s="1"/>
  <c r="E105" i="2"/>
  <c r="E107" i="2"/>
  <c r="M73" i="4"/>
  <c r="M104" i="4" s="1"/>
  <c r="J79" i="4"/>
  <c r="J24" i="4"/>
  <c r="J17" i="4"/>
  <c r="C5" i="4"/>
  <c r="M73" i="3"/>
  <c r="M104" i="3" s="1"/>
  <c r="G90" i="1"/>
  <c r="G109" i="1" s="1"/>
  <c r="G108" i="1" s="1"/>
  <c r="G27" i="1"/>
  <c r="G93" i="1" s="1"/>
  <c r="S118" i="4"/>
  <c r="S115" i="4"/>
  <c r="S116" i="4"/>
  <c r="Q74" i="3"/>
  <c r="Q11" i="3"/>
  <c r="Q77" i="3" s="1"/>
  <c r="Q32" i="3"/>
  <c r="Q98" i="3" s="1"/>
  <c r="Q122" i="3" s="1"/>
  <c r="S83" i="3"/>
  <c r="S28" i="3"/>
  <c r="S94" i="3" s="1"/>
  <c r="S108" i="3" s="1"/>
  <c r="L90" i="1"/>
  <c r="L109" i="1" s="1"/>
  <c r="L108" i="1" s="1"/>
  <c r="L27" i="1"/>
  <c r="L93" i="1" s="1"/>
  <c r="J88" i="4"/>
  <c r="I118" i="3"/>
  <c r="I115" i="3"/>
  <c r="I116" i="3"/>
  <c r="R88" i="1"/>
  <c r="R34" i="1"/>
  <c r="R100" i="1" s="1"/>
  <c r="R120" i="1" s="1"/>
  <c r="R124" i="1" s="1"/>
  <c r="R23" i="1"/>
  <c r="M90" i="1"/>
  <c r="M109" i="1" s="1"/>
  <c r="M108" i="1" s="1"/>
  <c r="M27" i="1"/>
  <c r="M93" i="1" s="1"/>
  <c r="K73" i="2"/>
  <c r="K104" i="2" s="1"/>
  <c r="K112" i="2" s="1"/>
  <c r="K12" i="2"/>
  <c r="K78" i="2" s="1"/>
  <c r="D88" i="2"/>
  <c r="D23" i="2"/>
  <c r="D34" i="2"/>
  <c r="D100" i="2" s="1"/>
  <c r="D119" i="2" s="1"/>
  <c r="H88" i="1"/>
  <c r="H23" i="1"/>
  <c r="H34" i="1"/>
  <c r="H100" i="1" s="1"/>
  <c r="H120" i="1" s="1"/>
  <c r="G84" i="3"/>
  <c r="G29" i="3"/>
  <c r="G22" i="3"/>
  <c r="I90" i="1"/>
  <c r="I109" i="1" s="1"/>
  <c r="I108" i="1" s="1"/>
  <c r="I27" i="1"/>
  <c r="I93" i="1" s="1"/>
  <c r="K90" i="2"/>
  <c r="K109" i="2" s="1"/>
  <c r="K27" i="2"/>
  <c r="K93" i="2" s="1"/>
  <c r="G71" i="3"/>
  <c r="G7" i="3"/>
  <c r="G26" i="3"/>
  <c r="G92" i="3" s="1"/>
  <c r="G111" i="3" s="1"/>
  <c r="N79" i="4"/>
  <c r="N17" i="4"/>
  <c r="N24" i="4"/>
  <c r="Q12" i="1"/>
  <c r="Q78" i="1" s="1"/>
  <c r="Q89" i="1"/>
  <c r="J89" i="1"/>
  <c r="J35" i="1"/>
  <c r="J101" i="1" s="1"/>
  <c r="S107" i="4"/>
  <c r="S105" i="4"/>
  <c r="Q83" i="1"/>
  <c r="Q28" i="1"/>
  <c r="Q94" i="1" s="1"/>
  <c r="L73" i="1"/>
  <c r="L12" i="1"/>
  <c r="L78" i="1" s="1"/>
  <c r="R83" i="4"/>
  <c r="R28" i="4"/>
  <c r="R94" i="4" s="1"/>
  <c r="R108" i="4" s="1"/>
  <c r="O73" i="3"/>
  <c r="O104" i="3" s="1"/>
  <c r="N88" i="2"/>
  <c r="N34" i="2"/>
  <c r="N100" i="2" s="1"/>
  <c r="N119" i="2" s="1"/>
  <c r="N123" i="2" s="1"/>
  <c r="N23" i="2"/>
  <c r="I107" i="1"/>
  <c r="I105" i="1"/>
  <c r="E73" i="2"/>
  <c r="E104" i="2" s="1"/>
  <c r="E112" i="2" s="1"/>
  <c r="E12" i="2"/>
  <c r="E78" i="2" s="1"/>
  <c r="H73" i="2"/>
  <c r="H104" i="2" s="1"/>
  <c r="H112" i="2" s="1"/>
  <c r="H12" i="2"/>
  <c r="H78" i="2" s="1"/>
  <c r="M105" i="4"/>
  <c r="M107" i="4"/>
  <c r="H74" i="3"/>
  <c r="H11" i="3"/>
  <c r="H77" i="3" s="1"/>
  <c r="H32" i="3"/>
  <c r="H98" i="3" s="1"/>
  <c r="H122" i="3" s="1"/>
  <c r="E116" i="3"/>
  <c r="E118" i="3"/>
  <c r="E115" i="3"/>
  <c r="D73" i="4"/>
  <c r="D104" i="4" s="1"/>
  <c r="D12" i="4"/>
  <c r="D78" i="4" s="1"/>
  <c r="M105" i="3"/>
  <c r="M107" i="3"/>
  <c r="G83" i="1"/>
  <c r="G28" i="1"/>
  <c r="G94" i="1" s="1"/>
  <c r="Q74" i="4"/>
  <c r="Q11" i="4"/>
  <c r="Q77" i="4" s="1"/>
  <c r="Q32" i="4"/>
  <c r="Q98" i="4" s="1"/>
  <c r="Q122" i="4" s="1"/>
  <c r="R88" i="2"/>
  <c r="R34" i="2"/>
  <c r="R100" i="2" s="1"/>
  <c r="R119" i="2" s="1"/>
  <c r="R123" i="2" s="1"/>
  <c r="R23" i="2"/>
  <c r="P118" i="2"/>
  <c r="P115" i="2"/>
  <c r="P116" i="2"/>
  <c r="J95" i="4"/>
  <c r="J120" i="4" s="1"/>
  <c r="J33" i="4"/>
  <c r="J99" i="4" s="1"/>
  <c r="K107" i="2"/>
  <c r="K105" i="2"/>
  <c r="D95" i="2"/>
  <c r="D120" i="2" s="1"/>
  <c r="D33" i="2"/>
  <c r="D99" i="2" s="1"/>
  <c r="O88" i="3"/>
  <c r="J116" i="1"/>
  <c r="J119" i="1"/>
  <c r="J117" i="1"/>
  <c r="H27" i="1"/>
  <c r="H93" i="1" s="1"/>
  <c r="G84" i="4"/>
  <c r="G29" i="4"/>
  <c r="G22" i="4"/>
  <c r="D117" i="1"/>
  <c r="D116" i="1"/>
  <c r="D119" i="1"/>
  <c r="G71" i="4"/>
  <c r="G7" i="4"/>
  <c r="G26" i="4"/>
  <c r="G92" i="4" s="1"/>
  <c r="G111" i="4" s="1"/>
  <c r="Q90" i="2"/>
  <c r="Q109" i="2" s="1"/>
  <c r="Q27" i="2"/>
  <c r="Q93" i="2" s="1"/>
  <c r="S73" i="4"/>
  <c r="S104" i="4" s="1"/>
  <c r="S12" i="4"/>
  <c r="S78" i="4" s="1"/>
  <c r="Q90" i="1"/>
  <c r="Q109" i="1" s="1"/>
  <c r="Q108" i="1" s="1"/>
  <c r="Q113" i="1" s="1"/>
  <c r="Q27" i="1"/>
  <c r="Q93" i="1" s="1"/>
  <c r="L105" i="1"/>
  <c r="L107" i="1"/>
  <c r="R90" i="4"/>
  <c r="R109" i="4" s="1"/>
  <c r="R27" i="4"/>
  <c r="R93" i="4" s="1"/>
  <c r="E123" i="2"/>
  <c r="N84" i="3"/>
  <c r="N29" i="3"/>
  <c r="N22" i="3"/>
  <c r="S124" i="1"/>
  <c r="O105" i="3"/>
  <c r="O107" i="3"/>
  <c r="J33" i="1"/>
  <c r="J99" i="1" s="1"/>
  <c r="N95" i="2"/>
  <c r="N120" i="2" s="1"/>
  <c r="N33" i="2"/>
  <c r="N99" i="2" s="1"/>
  <c r="N34" i="1"/>
  <c r="N100" i="1" s="1"/>
  <c r="N120" i="1" s="1"/>
  <c r="N124" i="1" s="1"/>
  <c r="N23" i="1"/>
  <c r="N88" i="1"/>
  <c r="H107" i="2"/>
  <c r="H105" i="2"/>
  <c r="H74" i="4"/>
  <c r="H11" i="4"/>
  <c r="H77" i="4" s="1"/>
  <c r="H32" i="4"/>
  <c r="H98" i="4" s="1"/>
  <c r="H122" i="4" s="1"/>
  <c r="E107" i="1"/>
  <c r="E105" i="1"/>
  <c r="D107" i="4"/>
  <c r="D105" i="4"/>
  <c r="E84" i="3"/>
  <c r="E29" i="3"/>
  <c r="E22" i="3"/>
  <c r="H119" i="1"/>
  <c r="H117" i="1"/>
  <c r="H116" i="1"/>
  <c r="L90" i="2"/>
  <c r="L109" i="2" s="1"/>
  <c r="L27" i="2"/>
  <c r="L93" i="2" s="1"/>
  <c r="S116" i="3"/>
  <c r="S118" i="3"/>
  <c r="S115" i="3"/>
  <c r="C110" i="3"/>
  <c r="R95" i="2"/>
  <c r="R120" i="2" s="1"/>
  <c r="R33" i="2"/>
  <c r="R99" i="2" s="1"/>
  <c r="M83" i="2"/>
  <c r="M28" i="2"/>
  <c r="M94" i="2" s="1"/>
  <c r="M108" i="2" s="1"/>
  <c r="R95" i="1"/>
  <c r="R121" i="1" s="1"/>
  <c r="R33" i="1"/>
  <c r="R99" i="1" s="1"/>
  <c r="P89" i="1"/>
  <c r="P35" i="1"/>
  <c r="P101" i="1" s="1"/>
  <c r="O123" i="2"/>
  <c r="H108" i="1"/>
  <c r="H84" i="3"/>
  <c r="H22" i="3"/>
  <c r="H29" i="3"/>
  <c r="L115" i="3"/>
  <c r="L123" i="3" s="1"/>
  <c r="L116" i="3"/>
  <c r="L118" i="3"/>
  <c r="Q83" i="2"/>
  <c r="Q28" i="2"/>
  <c r="Q94" i="2" s="1"/>
  <c r="Q108" i="2" s="1"/>
  <c r="Q112" i="2" s="1"/>
  <c r="K90" i="1"/>
  <c r="K109" i="1" s="1"/>
  <c r="K108" i="1" s="1"/>
  <c r="K27" i="1"/>
  <c r="K93" i="1" s="1"/>
  <c r="I95" i="1"/>
  <c r="I121" i="1" s="1"/>
  <c r="I33" i="1"/>
  <c r="I99" i="1" s="1"/>
  <c r="N84" i="4"/>
  <c r="N29" i="4"/>
  <c r="N22" i="4"/>
  <c r="R84" i="3"/>
  <c r="R29" i="3"/>
  <c r="R22" i="3"/>
  <c r="N95" i="1"/>
  <c r="N121" i="1" s="1"/>
  <c r="N33" i="1"/>
  <c r="N99" i="1" s="1"/>
  <c r="O74" i="3"/>
  <c r="O11" i="3"/>
  <c r="O77" i="3" s="1"/>
  <c r="O32" i="3"/>
  <c r="O98" i="3" s="1"/>
  <c r="O122" i="3" s="1"/>
  <c r="G73" i="1"/>
  <c r="G12" i="1"/>
  <c r="G78" i="1" s="1"/>
  <c r="E73" i="1"/>
  <c r="E12" i="1"/>
  <c r="E78" i="1" s="1"/>
  <c r="O17" i="3"/>
  <c r="O79" i="3"/>
  <c r="O24" i="3"/>
  <c r="E84" i="4"/>
  <c r="E22" i="4"/>
  <c r="E29" i="4"/>
  <c r="N90" i="1"/>
  <c r="N109" i="1" s="1"/>
  <c r="N108" i="1" s="1"/>
  <c r="N27" i="1"/>
  <c r="N93" i="1" s="1"/>
  <c r="R116" i="4"/>
  <c r="R118" i="4"/>
  <c r="R115" i="4"/>
  <c r="S90" i="4"/>
  <c r="S109" i="4" s="1"/>
  <c r="S27" i="4"/>
  <c r="S93" i="4" s="1"/>
  <c r="L83" i="2"/>
  <c r="L28" i="2"/>
  <c r="L94" i="2" s="1"/>
  <c r="L108" i="2" s="1"/>
  <c r="C81" i="3"/>
  <c r="C25" i="3"/>
  <c r="C91" i="3" s="1"/>
  <c r="K79" i="3"/>
  <c r="K24" i="3"/>
  <c r="K17" i="3"/>
  <c r="M90" i="2"/>
  <c r="M109" i="2" s="1"/>
  <c r="M27" i="2"/>
  <c r="M93" i="2" s="1"/>
  <c r="C79" i="1"/>
  <c r="C17" i="1"/>
  <c r="C24" i="1"/>
  <c r="K74" i="3"/>
  <c r="K11" i="3"/>
  <c r="K77" i="3" s="1"/>
  <c r="K32" i="3"/>
  <c r="K98" i="3" s="1"/>
  <c r="K122" i="3" s="1"/>
  <c r="S84" i="3"/>
  <c r="S29" i="3"/>
  <c r="S22" i="3"/>
  <c r="I83" i="2"/>
  <c r="I28" i="2"/>
  <c r="I94" i="2" s="1"/>
  <c r="I108" i="2" s="1"/>
  <c r="C84" i="1"/>
  <c r="C29" i="1"/>
  <c r="C22" i="1"/>
  <c r="H84" i="4"/>
  <c r="H29" i="4"/>
  <c r="H22" i="4"/>
  <c r="K29" i="3"/>
  <c r="S89" i="1"/>
  <c r="S35" i="1"/>
  <c r="S101" i="1" s="1"/>
  <c r="K83" i="1"/>
  <c r="K28" i="1"/>
  <c r="K94" i="1" s="1"/>
  <c r="P90" i="3"/>
  <c r="P109" i="3" s="1"/>
  <c r="P27" i="3"/>
  <c r="P93" i="3" s="1"/>
  <c r="I88" i="1"/>
  <c r="I34" i="1"/>
  <c r="I100" i="1" s="1"/>
  <c r="I120" i="1" s="1"/>
  <c r="I124" i="1" s="1"/>
  <c r="I23" i="1"/>
  <c r="J83" i="1"/>
  <c r="J28" i="1"/>
  <c r="J94" i="1" s="1"/>
  <c r="J34" i="2"/>
  <c r="J100" i="2" s="1"/>
  <c r="J119" i="2" s="1"/>
  <c r="G119" i="1"/>
  <c r="G116" i="1"/>
  <c r="G117" i="1"/>
  <c r="M74" i="3"/>
  <c r="M11" i="3"/>
  <c r="M77" i="3" s="1"/>
  <c r="M32" i="3"/>
  <c r="M98" i="3" s="1"/>
  <c r="M122" i="3" s="1"/>
  <c r="C85" i="4"/>
  <c r="C30" i="4"/>
  <c r="C96" i="4" s="1"/>
  <c r="R84" i="4"/>
  <c r="R22" i="4"/>
  <c r="R29" i="4"/>
  <c r="I79" i="3"/>
  <c r="I24" i="3"/>
  <c r="I17" i="3"/>
  <c r="O74" i="4"/>
  <c r="O11" i="4"/>
  <c r="O77" i="4" s="1"/>
  <c r="O32" i="4"/>
  <c r="O98" i="4" s="1"/>
  <c r="O122" i="4" s="1"/>
  <c r="G105" i="1"/>
  <c r="G107" i="1"/>
  <c r="M88" i="1"/>
  <c r="M34" i="1"/>
  <c r="M100" i="1" s="1"/>
  <c r="M120" i="1" s="1"/>
  <c r="M23" i="1"/>
  <c r="O79" i="4"/>
  <c r="O17" i="4"/>
  <c r="O23" i="4" s="1"/>
  <c r="O24" i="4"/>
  <c r="S83" i="4"/>
  <c r="S28" i="4"/>
  <c r="S94" i="4" s="1"/>
  <c r="S108" i="4" s="1"/>
  <c r="Q29" i="4"/>
  <c r="K79" i="4"/>
  <c r="K24" i="4"/>
  <c r="K17" i="4"/>
  <c r="O29" i="4"/>
  <c r="K74" i="4"/>
  <c r="K11" i="4"/>
  <c r="K77" i="4" s="1"/>
  <c r="K32" i="4"/>
  <c r="K98" i="4" s="1"/>
  <c r="K122" i="4" s="1"/>
  <c r="S84" i="4"/>
  <c r="S29" i="4"/>
  <c r="S22" i="4"/>
  <c r="I90" i="2"/>
  <c r="I109" i="2" s="1"/>
  <c r="I27" i="2"/>
  <c r="I93" i="2" s="1"/>
  <c r="R73" i="3"/>
  <c r="R104" i="3" s="1"/>
  <c r="R12" i="3"/>
  <c r="R78" i="3" s="1"/>
  <c r="L115" i="4"/>
  <c r="L123" i="4" s="1"/>
  <c r="L116" i="4"/>
  <c r="L118" i="4"/>
  <c r="D88" i="1"/>
  <c r="D34" i="1"/>
  <c r="D100" i="1" s="1"/>
  <c r="D120" i="1" s="1"/>
  <c r="D23" i="1"/>
  <c r="G95" i="2"/>
  <c r="G120" i="2" s="1"/>
  <c r="G33" i="2"/>
  <c r="G99" i="2" s="1"/>
  <c r="K88" i="3"/>
  <c r="K34" i="3"/>
  <c r="K100" i="3" s="1"/>
  <c r="K119" i="3" s="1"/>
  <c r="K23" i="3"/>
  <c r="Q73" i="3"/>
  <c r="Q104" i="3" s="1"/>
  <c r="Q12" i="3"/>
  <c r="Q78" i="3" s="1"/>
  <c r="E71" i="3"/>
  <c r="E7" i="3"/>
  <c r="E26" i="3"/>
  <c r="E92" i="3" s="1"/>
  <c r="E111" i="3" s="1"/>
  <c r="J83" i="2"/>
  <c r="J28" i="2"/>
  <c r="J94" i="2" s="1"/>
  <c r="J108" i="2" s="1"/>
  <c r="J112" i="2" s="1"/>
  <c r="G95" i="1"/>
  <c r="G121" i="1" s="1"/>
  <c r="G33" i="1"/>
  <c r="G99" i="1" s="1"/>
  <c r="P83" i="3"/>
  <c r="P28" i="3"/>
  <c r="P94" i="3" s="1"/>
  <c r="P108" i="3" s="1"/>
  <c r="C27" i="2"/>
  <c r="C93" i="2" s="1"/>
  <c r="C90" i="2"/>
  <c r="G116" i="2"/>
  <c r="G118" i="2"/>
  <c r="G115" i="2"/>
  <c r="O113" i="1"/>
  <c r="M79" i="3"/>
  <c r="M24" i="3"/>
  <c r="M17" i="3"/>
  <c r="M74" i="4"/>
  <c r="M11" i="4"/>
  <c r="M77" i="4" s="1"/>
  <c r="M32" i="4"/>
  <c r="M98" i="4" s="1"/>
  <c r="M122" i="4" s="1"/>
  <c r="C73" i="2"/>
  <c r="J95" i="2"/>
  <c r="J120" i="2" s="1"/>
  <c r="J33" i="2"/>
  <c r="J99" i="2" s="1"/>
  <c r="K95" i="2"/>
  <c r="K120" i="2" s="1"/>
  <c r="K33" i="2"/>
  <c r="K99" i="2" s="1"/>
  <c r="I79" i="4"/>
  <c r="I17" i="4"/>
  <c r="I24" i="4"/>
  <c r="M88" i="2"/>
  <c r="M34" i="2"/>
  <c r="M100" i="2" s="1"/>
  <c r="M119" i="2" s="1"/>
  <c r="M23" i="2"/>
  <c r="E79" i="3"/>
  <c r="E17" i="3"/>
  <c r="E24" i="3"/>
  <c r="G90" i="2"/>
  <c r="G109" i="2" s="1"/>
  <c r="G27" i="2"/>
  <c r="G93" i="2" s="1"/>
  <c r="M95" i="1"/>
  <c r="M121" i="1" s="1"/>
  <c r="M33" i="1"/>
  <c r="M99" i="1" s="1"/>
  <c r="Q88" i="4"/>
  <c r="Q34" i="4"/>
  <c r="Q100" i="4" s="1"/>
  <c r="Q119" i="4" s="1"/>
  <c r="Q23" i="4"/>
  <c r="E124" i="1"/>
  <c r="D108" i="1"/>
  <c r="K119" i="1"/>
  <c r="K117" i="1"/>
  <c r="K116" i="1"/>
  <c r="K124" i="1" s="1"/>
  <c r="I84" i="3"/>
  <c r="I22" i="3"/>
  <c r="I29" i="3"/>
  <c r="O88" i="4"/>
  <c r="O34" i="4"/>
  <c r="O100" i="4" s="1"/>
  <c r="O119" i="4" s="1"/>
  <c r="R73" i="4"/>
  <c r="R104" i="4" s="1"/>
  <c r="R12" i="4"/>
  <c r="R78" i="4" s="1"/>
  <c r="J116" i="2"/>
  <c r="J118" i="2"/>
  <c r="J115" i="2"/>
  <c r="J123" i="2" s="1"/>
  <c r="Q79" i="3"/>
  <c r="Q17" i="3"/>
  <c r="Q24" i="3"/>
  <c r="R107" i="3"/>
  <c r="R105" i="3"/>
  <c r="L79" i="3"/>
  <c r="L17" i="3"/>
  <c r="L24" i="3"/>
  <c r="G88" i="2"/>
  <c r="G34" i="2"/>
  <c r="G100" i="2" s="1"/>
  <c r="G119" i="2" s="1"/>
  <c r="G23" i="2"/>
  <c r="Q107" i="3"/>
  <c r="Q105" i="3"/>
  <c r="E71" i="4"/>
  <c r="E7" i="4"/>
  <c r="E26" i="4"/>
  <c r="E92" i="4" s="1"/>
  <c r="E111" i="4" s="1"/>
  <c r="C111" i="4" s="1"/>
  <c r="J90" i="2"/>
  <c r="J109" i="2" s="1"/>
  <c r="J27" i="2"/>
  <c r="J93" i="2" s="1"/>
  <c r="G88" i="1"/>
  <c r="G34" i="1"/>
  <c r="G100" i="1" s="1"/>
  <c r="G120" i="1" s="1"/>
  <c r="G23" i="1"/>
  <c r="J90" i="1"/>
  <c r="J109" i="1" s="1"/>
  <c r="J108" i="1" s="1"/>
  <c r="J113" i="1" s="1"/>
  <c r="J27" i="1"/>
  <c r="J93" i="1" s="1"/>
  <c r="C83" i="2"/>
  <c r="C28" i="2"/>
  <c r="C94" i="2" s="1"/>
  <c r="S89" i="2"/>
  <c r="S35" i="2"/>
  <c r="S101" i="2" s="1"/>
  <c r="M79" i="4"/>
  <c r="M24" i="4"/>
  <c r="M17" i="4"/>
  <c r="P123" i="2" l="1"/>
  <c r="C12" i="2"/>
  <c r="C78" i="2" s="1"/>
  <c r="G104" i="1"/>
  <c r="G113" i="1" s="1"/>
  <c r="R112" i="3"/>
  <c r="H124" i="1"/>
  <c r="R112" i="4"/>
  <c r="P112" i="4"/>
  <c r="D12" i="3"/>
  <c r="D78" i="3" s="1"/>
  <c r="K35" i="1"/>
  <c r="K101" i="1" s="1"/>
  <c r="C108" i="2"/>
  <c r="C120" i="1"/>
  <c r="C111" i="3"/>
  <c r="H104" i="1"/>
  <c r="H113" i="1" s="1"/>
  <c r="C109" i="2"/>
  <c r="C107" i="2"/>
  <c r="C107" i="1"/>
  <c r="I104" i="1"/>
  <c r="I113" i="1" s="1"/>
  <c r="C105" i="2"/>
  <c r="Q35" i="2"/>
  <c r="Q101" i="2" s="1"/>
  <c r="J89" i="3"/>
  <c r="G89" i="1"/>
  <c r="G35" i="1"/>
  <c r="G101" i="1" s="1"/>
  <c r="C109" i="1"/>
  <c r="O95" i="4"/>
  <c r="O120" i="4" s="1"/>
  <c r="O33" i="4"/>
  <c r="O99" i="4" s="1"/>
  <c r="R88" i="4"/>
  <c r="R34" i="4"/>
  <c r="R100" i="4" s="1"/>
  <c r="R119" i="4" s="1"/>
  <c r="R23" i="4"/>
  <c r="E88" i="3"/>
  <c r="E34" i="3"/>
  <c r="E100" i="3" s="1"/>
  <c r="E119" i="3" s="1"/>
  <c r="E23" i="3"/>
  <c r="L104" i="1"/>
  <c r="L113" i="1" s="1"/>
  <c r="C117" i="1"/>
  <c r="C120" i="2"/>
  <c r="N90" i="4"/>
  <c r="N109" i="4" s="1"/>
  <c r="N27" i="4"/>
  <c r="N93" i="4" s="1"/>
  <c r="R89" i="1"/>
  <c r="R35" i="1"/>
  <c r="R101" i="1" s="1"/>
  <c r="C71" i="4"/>
  <c r="C7" i="4"/>
  <c r="C26" i="4"/>
  <c r="C92" i="4" s="1"/>
  <c r="D88" i="4"/>
  <c r="D23" i="4"/>
  <c r="D34" i="4"/>
  <c r="D100" i="4" s="1"/>
  <c r="D119" i="4" s="1"/>
  <c r="C17" i="3"/>
  <c r="C79" i="3"/>
  <c r="C24" i="3"/>
  <c r="H105" i="4"/>
  <c r="H107" i="4"/>
  <c r="N113" i="1"/>
  <c r="L105" i="4"/>
  <c r="L107" i="4"/>
  <c r="J107" i="4"/>
  <c r="J105" i="4"/>
  <c r="C73" i="1"/>
  <c r="C12" i="1"/>
  <c r="C78" i="1" s="1"/>
  <c r="Q90" i="4"/>
  <c r="Q109" i="4" s="1"/>
  <c r="Q27" i="4"/>
  <c r="Q93" i="4" s="1"/>
  <c r="K33" i="4"/>
  <c r="K99" i="4" s="1"/>
  <c r="L90" i="3"/>
  <c r="L109" i="3" s="1"/>
  <c r="L27" i="3"/>
  <c r="L93" i="3" s="1"/>
  <c r="C108" i="1"/>
  <c r="M89" i="2"/>
  <c r="M35" i="2"/>
  <c r="M101" i="2" s="1"/>
  <c r="K83" i="4"/>
  <c r="K28" i="4"/>
  <c r="K94" i="4" s="1"/>
  <c r="K108" i="4" s="1"/>
  <c r="S88" i="3"/>
  <c r="S34" i="3"/>
  <c r="S100" i="3" s="1"/>
  <c r="S119" i="3" s="1"/>
  <c r="S123" i="3" s="1"/>
  <c r="S23" i="3"/>
  <c r="K83" i="3"/>
  <c r="K28" i="3"/>
  <c r="K94" i="3" s="1"/>
  <c r="K108" i="3" s="1"/>
  <c r="N88" i="4"/>
  <c r="N34" i="4"/>
  <c r="N100" i="4" s="1"/>
  <c r="N119" i="4" s="1"/>
  <c r="N23" i="4"/>
  <c r="E95" i="3"/>
  <c r="E120" i="3" s="1"/>
  <c r="E33" i="3"/>
  <c r="E99" i="3" s="1"/>
  <c r="G88" i="4"/>
  <c r="G34" i="4"/>
  <c r="G100" i="4" s="1"/>
  <c r="G119" i="4" s="1"/>
  <c r="G23" i="4"/>
  <c r="N89" i="2"/>
  <c r="N35" i="2"/>
  <c r="N101" i="2" s="1"/>
  <c r="N83" i="4"/>
  <c r="N28" i="4"/>
  <c r="N94" i="4" s="1"/>
  <c r="N108" i="4" s="1"/>
  <c r="J83" i="4"/>
  <c r="J28" i="4"/>
  <c r="J94" i="4" s="1"/>
  <c r="J108" i="4" s="1"/>
  <c r="I112" i="2"/>
  <c r="D116" i="4"/>
  <c r="D118" i="4"/>
  <c r="D115" i="4"/>
  <c r="P116" i="3"/>
  <c r="P118" i="3"/>
  <c r="P115" i="3"/>
  <c r="D116" i="3"/>
  <c r="D118" i="3"/>
  <c r="D115" i="3"/>
  <c r="G90" i="4"/>
  <c r="G109" i="4" s="1"/>
  <c r="G27" i="4"/>
  <c r="G93" i="4" s="1"/>
  <c r="E89" i="2"/>
  <c r="E35" i="2"/>
  <c r="E101" i="2" s="1"/>
  <c r="I89" i="2"/>
  <c r="I35" i="2"/>
  <c r="I101" i="2" s="1"/>
  <c r="K73" i="3"/>
  <c r="K104" i="3" s="1"/>
  <c r="K12" i="3"/>
  <c r="K78" i="3" s="1"/>
  <c r="H90" i="3"/>
  <c r="H109" i="3" s="1"/>
  <c r="H27" i="3"/>
  <c r="H93" i="3" s="1"/>
  <c r="N73" i="4"/>
  <c r="N104" i="4" s="1"/>
  <c r="N12" i="4"/>
  <c r="N78" i="4" s="1"/>
  <c r="Q83" i="4"/>
  <c r="Q28" i="4"/>
  <c r="Q94" i="4" s="1"/>
  <c r="Q108" i="4" s="1"/>
  <c r="Q112" i="4" s="1"/>
  <c r="L83" i="3"/>
  <c r="L28" i="3"/>
  <c r="L94" i="3" s="1"/>
  <c r="L108" i="3" s="1"/>
  <c r="O89" i="4"/>
  <c r="K89" i="3"/>
  <c r="K35" i="3"/>
  <c r="K101" i="3" s="1"/>
  <c r="K27" i="4"/>
  <c r="K93" i="4" s="1"/>
  <c r="K90" i="4"/>
  <c r="K109" i="4" s="1"/>
  <c r="G124" i="1"/>
  <c r="S95" i="3"/>
  <c r="S120" i="3" s="1"/>
  <c r="S33" i="3"/>
  <c r="S99" i="3" s="1"/>
  <c r="K90" i="3"/>
  <c r="K109" i="3" s="1"/>
  <c r="K27" i="3"/>
  <c r="K93" i="3" s="1"/>
  <c r="N95" i="4"/>
  <c r="N120" i="4" s="1"/>
  <c r="N33" i="4"/>
  <c r="N99" i="4" s="1"/>
  <c r="H95" i="3"/>
  <c r="H120" i="3" s="1"/>
  <c r="H33" i="3"/>
  <c r="H99" i="3" s="1"/>
  <c r="N89" i="1"/>
  <c r="N35" i="1"/>
  <c r="N101" i="1" s="1"/>
  <c r="G95" i="4"/>
  <c r="G120" i="4" s="1"/>
  <c r="G33" i="4"/>
  <c r="G99" i="4" s="1"/>
  <c r="H89" i="1"/>
  <c r="H35" i="1"/>
  <c r="H101" i="1" s="1"/>
  <c r="J90" i="4"/>
  <c r="J109" i="4" s="1"/>
  <c r="J27" i="4"/>
  <c r="J93" i="4" s="1"/>
  <c r="C95" i="2"/>
  <c r="C33" i="2"/>
  <c r="C99" i="2" s="1"/>
  <c r="M112" i="2"/>
  <c r="P12" i="4"/>
  <c r="P78" i="4" s="1"/>
  <c r="L89" i="4"/>
  <c r="J115" i="3"/>
  <c r="J116" i="3"/>
  <c r="J118" i="3"/>
  <c r="H73" i="3"/>
  <c r="H104" i="3" s="1"/>
  <c r="H12" i="3"/>
  <c r="H78" i="3" s="1"/>
  <c r="G83" i="4"/>
  <c r="G28" i="4"/>
  <c r="G94" i="4" s="1"/>
  <c r="G108" i="4" s="1"/>
  <c r="K105" i="3"/>
  <c r="K107" i="3"/>
  <c r="H83" i="3"/>
  <c r="H28" i="3"/>
  <c r="H94" i="3" s="1"/>
  <c r="H108" i="3" s="1"/>
  <c r="Q124" i="1"/>
  <c r="N105" i="4"/>
  <c r="N107" i="4"/>
  <c r="N116" i="3"/>
  <c r="N118" i="3"/>
  <c r="N115" i="3"/>
  <c r="N73" i="3"/>
  <c r="N104" i="3" s="1"/>
  <c r="N12" i="3"/>
  <c r="N78" i="3" s="1"/>
  <c r="Q33" i="3"/>
  <c r="Q99" i="3" s="1"/>
  <c r="M83" i="4"/>
  <c r="M28" i="4"/>
  <c r="M94" i="4" s="1"/>
  <c r="M108" i="4" s="1"/>
  <c r="M112" i="4" s="1"/>
  <c r="Q89" i="4"/>
  <c r="E95" i="4"/>
  <c r="E120" i="4" s="1"/>
  <c r="E33" i="4"/>
  <c r="E99" i="4" s="1"/>
  <c r="O116" i="3"/>
  <c r="O118" i="3"/>
  <c r="O115" i="3"/>
  <c r="H88" i="3"/>
  <c r="H34" i="3"/>
  <c r="H100" i="3" s="1"/>
  <c r="H119" i="3" s="1"/>
  <c r="H23" i="3"/>
  <c r="Q116" i="4"/>
  <c r="Q118" i="4"/>
  <c r="Q115" i="4"/>
  <c r="Q123" i="4" s="1"/>
  <c r="H118" i="3"/>
  <c r="H115" i="3"/>
  <c r="H116" i="3"/>
  <c r="Q116" i="3"/>
  <c r="Q118" i="3"/>
  <c r="Q115" i="3"/>
  <c r="M104" i="1"/>
  <c r="M113" i="1" s="1"/>
  <c r="C88" i="2"/>
  <c r="C23" i="2"/>
  <c r="C34" i="2"/>
  <c r="C100" i="2" s="1"/>
  <c r="M88" i="3"/>
  <c r="M34" i="3"/>
  <c r="M100" i="3" s="1"/>
  <c r="M119" i="3" s="1"/>
  <c r="M23" i="3"/>
  <c r="H107" i="3"/>
  <c r="H105" i="3"/>
  <c r="N105" i="3"/>
  <c r="N107" i="3"/>
  <c r="M90" i="4"/>
  <c r="M109" i="4" s="1"/>
  <c r="M27" i="4"/>
  <c r="M93" i="4" s="1"/>
  <c r="I90" i="4"/>
  <c r="I109" i="4" s="1"/>
  <c r="I27" i="4"/>
  <c r="I93" i="4" s="1"/>
  <c r="M118" i="4"/>
  <c r="M115" i="4"/>
  <c r="M116" i="4"/>
  <c r="Q95" i="4"/>
  <c r="Q120" i="4" s="1"/>
  <c r="Q33" i="4"/>
  <c r="Q99" i="4" s="1"/>
  <c r="K95" i="3"/>
  <c r="K120" i="3" s="1"/>
  <c r="K33" i="3"/>
  <c r="K99" i="3" s="1"/>
  <c r="E88" i="4"/>
  <c r="E34" i="4"/>
  <c r="E100" i="4" s="1"/>
  <c r="E119" i="4" s="1"/>
  <c r="E123" i="4" s="1"/>
  <c r="E23" i="4"/>
  <c r="S112" i="4"/>
  <c r="G73" i="3"/>
  <c r="G104" i="3" s="1"/>
  <c r="G12" i="3"/>
  <c r="G78" i="3" s="1"/>
  <c r="C119" i="2"/>
  <c r="M12" i="4"/>
  <c r="M78" i="4" s="1"/>
  <c r="P116" i="4"/>
  <c r="P118" i="4"/>
  <c r="P115" i="4"/>
  <c r="O12" i="4"/>
  <c r="O78" i="4" s="1"/>
  <c r="C118" i="2"/>
  <c r="J34" i="3"/>
  <c r="J100" i="3" s="1"/>
  <c r="J119" i="3" s="1"/>
  <c r="G116" i="3"/>
  <c r="G118" i="3"/>
  <c r="G115" i="3"/>
  <c r="M95" i="3"/>
  <c r="M120" i="3" s="1"/>
  <c r="M33" i="3"/>
  <c r="M99" i="3" s="1"/>
  <c r="C71" i="3"/>
  <c r="C7" i="3"/>
  <c r="C26" i="3"/>
  <c r="C92" i="3" s="1"/>
  <c r="M123" i="2"/>
  <c r="M124" i="1"/>
  <c r="I83" i="4"/>
  <c r="I28" i="4"/>
  <c r="I94" i="4" s="1"/>
  <c r="I108" i="4" s="1"/>
  <c r="I112" i="4" s="1"/>
  <c r="S88" i="4"/>
  <c r="S34" i="4"/>
  <c r="S100" i="4" s="1"/>
  <c r="S119" i="4" s="1"/>
  <c r="S23" i="4"/>
  <c r="H88" i="4"/>
  <c r="H34" i="4"/>
  <c r="H100" i="4" s="1"/>
  <c r="H119" i="4" s="1"/>
  <c r="H23" i="4"/>
  <c r="E104" i="1"/>
  <c r="E113" i="1" s="1"/>
  <c r="N88" i="3"/>
  <c r="N34" i="3"/>
  <c r="N100" i="3" s="1"/>
  <c r="N119" i="3" s="1"/>
  <c r="N23" i="3"/>
  <c r="G105" i="3"/>
  <c r="G107" i="3"/>
  <c r="D89" i="2"/>
  <c r="D35" i="2"/>
  <c r="D101" i="2" s="1"/>
  <c r="C116" i="2"/>
  <c r="C104" i="2"/>
  <c r="C112" i="2" s="1"/>
  <c r="K104" i="1"/>
  <c r="K113" i="1" s="1"/>
  <c r="H90" i="4"/>
  <c r="H109" i="4" s="1"/>
  <c r="H27" i="4"/>
  <c r="H93" i="4" s="1"/>
  <c r="P34" i="3"/>
  <c r="P100" i="3" s="1"/>
  <c r="P119" i="3" s="1"/>
  <c r="L35" i="2"/>
  <c r="L101" i="2" s="1"/>
  <c r="J73" i="3"/>
  <c r="J104" i="3" s="1"/>
  <c r="J12" i="3"/>
  <c r="J78" i="3" s="1"/>
  <c r="I88" i="4"/>
  <c r="I34" i="4"/>
  <c r="I100" i="4" s="1"/>
  <c r="I119" i="4" s="1"/>
  <c r="I123" i="4" s="1"/>
  <c r="I23" i="4"/>
  <c r="E73" i="4"/>
  <c r="E104" i="4" s="1"/>
  <c r="E12" i="4"/>
  <c r="E78" i="4" s="1"/>
  <c r="Q90" i="3"/>
  <c r="Q109" i="3" s="1"/>
  <c r="Q27" i="3"/>
  <c r="Q93" i="3" s="1"/>
  <c r="I95" i="3"/>
  <c r="I120" i="3" s="1"/>
  <c r="I33" i="3"/>
  <c r="I99" i="3" s="1"/>
  <c r="M83" i="3"/>
  <c r="M28" i="3"/>
  <c r="M94" i="3" s="1"/>
  <c r="M108" i="3" s="1"/>
  <c r="M112" i="3" s="1"/>
  <c r="S95" i="4"/>
  <c r="S120" i="4" s="1"/>
  <c r="S33" i="4"/>
  <c r="S99" i="4" s="1"/>
  <c r="O116" i="4"/>
  <c r="O118" i="4"/>
  <c r="O115" i="4"/>
  <c r="O123" i="4" s="1"/>
  <c r="H95" i="4"/>
  <c r="H120" i="4" s="1"/>
  <c r="H33" i="4"/>
  <c r="H99" i="4" s="1"/>
  <c r="K115" i="3"/>
  <c r="K123" i="3" s="1"/>
  <c r="K116" i="3"/>
  <c r="K118" i="3"/>
  <c r="O90" i="3"/>
  <c r="O109" i="3" s="1"/>
  <c r="O27" i="3"/>
  <c r="O93" i="3" s="1"/>
  <c r="N95" i="3"/>
  <c r="N120" i="3" s="1"/>
  <c r="N33" i="3"/>
  <c r="N99" i="3" s="1"/>
  <c r="J23" i="4"/>
  <c r="S123" i="4"/>
  <c r="D123" i="2"/>
  <c r="C115" i="2"/>
  <c r="D113" i="1"/>
  <c r="H83" i="4"/>
  <c r="H28" i="4"/>
  <c r="H94" i="4" s="1"/>
  <c r="H108" i="4" s="1"/>
  <c r="P89" i="3"/>
  <c r="H123" i="2"/>
  <c r="J105" i="3"/>
  <c r="J107" i="3"/>
  <c r="I95" i="4"/>
  <c r="I120" i="4" s="1"/>
  <c r="I33" i="4"/>
  <c r="I99" i="4" s="1"/>
  <c r="K35" i="2"/>
  <c r="K101" i="2" s="1"/>
  <c r="E107" i="4"/>
  <c r="E105" i="4"/>
  <c r="Q83" i="3"/>
  <c r="Q28" i="3"/>
  <c r="Q94" i="3" s="1"/>
  <c r="Q108" i="3" s="1"/>
  <c r="Q112" i="3" s="1"/>
  <c r="I88" i="3"/>
  <c r="I34" i="3"/>
  <c r="I100" i="3" s="1"/>
  <c r="I119" i="3" s="1"/>
  <c r="I123" i="3" s="1"/>
  <c r="I23" i="3"/>
  <c r="M90" i="3"/>
  <c r="M109" i="3" s="1"/>
  <c r="M27" i="3"/>
  <c r="M93" i="3" s="1"/>
  <c r="D89" i="1"/>
  <c r="D35" i="1"/>
  <c r="D101" i="1" s="1"/>
  <c r="O90" i="4"/>
  <c r="O109" i="4" s="1"/>
  <c r="O27" i="4"/>
  <c r="O93" i="4" s="1"/>
  <c r="I89" i="1"/>
  <c r="I35" i="1"/>
  <c r="I101" i="1" s="1"/>
  <c r="R88" i="3"/>
  <c r="R34" i="3"/>
  <c r="R100" i="3" s="1"/>
  <c r="R119" i="3" s="1"/>
  <c r="R123" i="3" s="1"/>
  <c r="R23" i="3"/>
  <c r="J124" i="1"/>
  <c r="J34" i="4"/>
  <c r="J100" i="4" s="1"/>
  <c r="J119" i="4" s="1"/>
  <c r="H89" i="2"/>
  <c r="H35" i="2"/>
  <c r="H101" i="2" s="1"/>
  <c r="S112" i="3"/>
  <c r="L112" i="2"/>
  <c r="K34" i="4"/>
  <c r="K100" i="4" s="1"/>
  <c r="K119" i="4" s="1"/>
  <c r="J115" i="4"/>
  <c r="J118" i="4"/>
  <c r="J116" i="4"/>
  <c r="C105" i="1"/>
  <c r="K123" i="2"/>
  <c r="P12" i="3"/>
  <c r="P78" i="3" s="1"/>
  <c r="L83" i="4"/>
  <c r="L28" i="4"/>
  <c r="L94" i="4" s="1"/>
  <c r="L108" i="4" s="1"/>
  <c r="O83" i="4"/>
  <c r="O28" i="4"/>
  <c r="O94" i="4" s="1"/>
  <c r="O108" i="4" s="1"/>
  <c r="O112" i="4" s="1"/>
  <c r="I83" i="3"/>
  <c r="I28" i="3"/>
  <c r="I94" i="3" s="1"/>
  <c r="I108" i="3" s="1"/>
  <c r="I112" i="3" s="1"/>
  <c r="C88" i="1"/>
  <c r="C23" i="1"/>
  <c r="C34" i="1"/>
  <c r="C100" i="1" s="1"/>
  <c r="C90" i="1"/>
  <c r="C27" i="1"/>
  <c r="C93" i="1" s="1"/>
  <c r="O83" i="3"/>
  <c r="O28" i="3"/>
  <c r="O94" i="3" s="1"/>
  <c r="O108" i="3" s="1"/>
  <c r="R95" i="3"/>
  <c r="R120" i="3" s="1"/>
  <c r="R33" i="3"/>
  <c r="R99" i="3" s="1"/>
  <c r="G73" i="4"/>
  <c r="G104" i="4" s="1"/>
  <c r="G112" i="4" s="1"/>
  <c r="G12" i="4"/>
  <c r="G78" i="4" s="1"/>
  <c r="R89" i="2"/>
  <c r="R35" i="2"/>
  <c r="R101" i="2" s="1"/>
  <c r="O12" i="3"/>
  <c r="O78" i="3" s="1"/>
  <c r="D90" i="4"/>
  <c r="D109" i="4" s="1"/>
  <c r="D27" i="4"/>
  <c r="D93" i="4" s="1"/>
  <c r="K23" i="4"/>
  <c r="M88" i="4"/>
  <c r="M34" i="4"/>
  <c r="M100" i="4" s="1"/>
  <c r="M119" i="4" s="1"/>
  <c r="M23" i="4"/>
  <c r="Q12" i="4"/>
  <c r="Q78" i="4" s="1"/>
  <c r="P112" i="3"/>
  <c r="K73" i="4"/>
  <c r="K104" i="4" s="1"/>
  <c r="K112" i="4" s="1"/>
  <c r="K12" i="4"/>
  <c r="K78" i="4" s="1"/>
  <c r="L12" i="3"/>
  <c r="L78" i="3" s="1"/>
  <c r="L73" i="3"/>
  <c r="L104" i="3" s="1"/>
  <c r="L112" i="3" s="1"/>
  <c r="Q123" i="2"/>
  <c r="N112" i="2"/>
  <c r="L90" i="4"/>
  <c r="L109" i="4" s="1"/>
  <c r="L27" i="4"/>
  <c r="L93" i="4" s="1"/>
  <c r="E90" i="4"/>
  <c r="E109" i="4" s="1"/>
  <c r="E27" i="4"/>
  <c r="E93" i="4" s="1"/>
  <c r="O33" i="3"/>
  <c r="O99" i="3" s="1"/>
  <c r="I90" i="3"/>
  <c r="I109" i="3" s="1"/>
  <c r="I27" i="3"/>
  <c r="I93" i="3" s="1"/>
  <c r="C95" i="1"/>
  <c r="C33" i="1"/>
  <c r="C99" i="1" s="1"/>
  <c r="C83" i="1"/>
  <c r="C28" i="1"/>
  <c r="C94" i="1" s="1"/>
  <c r="H118" i="4"/>
  <c r="H115" i="4"/>
  <c r="H116" i="4"/>
  <c r="G107" i="4"/>
  <c r="G105" i="4"/>
  <c r="O23" i="3"/>
  <c r="O112" i="3"/>
  <c r="Q35" i="1"/>
  <c r="Q101" i="1" s="1"/>
  <c r="D28" i="4"/>
  <c r="D94" i="4" s="1"/>
  <c r="D108" i="4" s="1"/>
  <c r="D112" i="4" s="1"/>
  <c r="D83" i="4"/>
  <c r="J83" i="3"/>
  <c r="J28" i="3"/>
  <c r="J94" i="3" s="1"/>
  <c r="J108" i="3" s="1"/>
  <c r="M95" i="4"/>
  <c r="M120" i="4" s="1"/>
  <c r="M33" i="4"/>
  <c r="M99" i="4" s="1"/>
  <c r="C84" i="3"/>
  <c r="C29" i="3"/>
  <c r="C22" i="3"/>
  <c r="P34" i="4"/>
  <c r="P100" i="4" s="1"/>
  <c r="P119" i="4" s="1"/>
  <c r="K105" i="4"/>
  <c r="K107" i="4"/>
  <c r="N116" i="4"/>
  <c r="N118" i="4"/>
  <c r="N115" i="4"/>
  <c r="N123" i="4" s="1"/>
  <c r="L105" i="3"/>
  <c r="L107" i="3"/>
  <c r="P33" i="4"/>
  <c r="P99" i="4" s="1"/>
  <c r="Q23" i="3"/>
  <c r="E83" i="4"/>
  <c r="E28" i="4"/>
  <c r="E94" i="4" s="1"/>
  <c r="E108" i="4" s="1"/>
  <c r="G89" i="2"/>
  <c r="G35" i="2"/>
  <c r="G101" i="2" s="1"/>
  <c r="E90" i="3"/>
  <c r="E109" i="3" s="1"/>
  <c r="E27" i="3"/>
  <c r="E93" i="3" s="1"/>
  <c r="G123" i="2"/>
  <c r="E73" i="3"/>
  <c r="E104" i="3" s="1"/>
  <c r="E12" i="3"/>
  <c r="E78" i="3" s="1"/>
  <c r="K115" i="4"/>
  <c r="K123" i="4" s="1"/>
  <c r="K116" i="4"/>
  <c r="K118" i="4"/>
  <c r="R123" i="4"/>
  <c r="C119" i="1"/>
  <c r="O34" i="3"/>
  <c r="O100" i="3" s="1"/>
  <c r="O119" i="3" s="1"/>
  <c r="E123" i="3"/>
  <c r="G88" i="3"/>
  <c r="G34" i="3"/>
  <c r="G100" i="3" s="1"/>
  <c r="G119" i="3" s="1"/>
  <c r="G23" i="3"/>
  <c r="M12" i="3"/>
  <c r="M78" i="3" s="1"/>
  <c r="L23" i="3"/>
  <c r="N90" i="3"/>
  <c r="N109" i="3" s="1"/>
  <c r="N27" i="3"/>
  <c r="N93" i="3" s="1"/>
  <c r="C79" i="4"/>
  <c r="C17" i="4"/>
  <c r="C24" i="4"/>
  <c r="J90" i="3"/>
  <c r="J109" i="3" s="1"/>
  <c r="J27" i="3"/>
  <c r="J93" i="3" s="1"/>
  <c r="C84" i="4"/>
  <c r="C22" i="4"/>
  <c r="C29" i="4"/>
  <c r="D90" i="3"/>
  <c r="D109" i="3" s="1"/>
  <c r="D27" i="3"/>
  <c r="D93" i="3" s="1"/>
  <c r="C122" i="4"/>
  <c r="D88" i="3"/>
  <c r="D23" i="3"/>
  <c r="D34" i="3"/>
  <c r="D100" i="3" s="1"/>
  <c r="D119" i="3" s="1"/>
  <c r="C122" i="3"/>
  <c r="E89" i="1"/>
  <c r="E35" i="1"/>
  <c r="E101" i="1" s="1"/>
  <c r="P89" i="4"/>
  <c r="P35" i="4"/>
  <c r="P101" i="4" s="1"/>
  <c r="G90" i="3"/>
  <c r="G109" i="3" s="1"/>
  <c r="G27" i="3"/>
  <c r="G93" i="3" s="1"/>
  <c r="G112" i="2"/>
  <c r="Q34" i="3"/>
  <c r="Q100" i="3" s="1"/>
  <c r="Q119" i="3" s="1"/>
  <c r="L35" i="1"/>
  <c r="L101" i="1" s="1"/>
  <c r="P33" i="3"/>
  <c r="P99" i="3" s="1"/>
  <c r="E83" i="3"/>
  <c r="E28" i="3"/>
  <c r="E94" i="3" s="1"/>
  <c r="E108" i="3" s="1"/>
  <c r="E107" i="3"/>
  <c r="E105" i="3"/>
  <c r="M89" i="1"/>
  <c r="M35" i="1"/>
  <c r="M101" i="1" s="1"/>
  <c r="R95" i="4"/>
  <c r="R120" i="4" s="1"/>
  <c r="R33" i="4"/>
  <c r="R99" i="4" s="1"/>
  <c r="M116" i="3"/>
  <c r="M118" i="3"/>
  <c r="M115" i="3"/>
  <c r="M123" i="3" s="1"/>
  <c r="D124" i="1"/>
  <c r="C116" i="1"/>
  <c r="C124" i="1" s="1"/>
  <c r="G95" i="3"/>
  <c r="G120" i="3" s="1"/>
  <c r="G33" i="3"/>
  <c r="G99" i="3" s="1"/>
  <c r="N83" i="3"/>
  <c r="N28" i="3"/>
  <c r="N94" i="3" s="1"/>
  <c r="N108" i="3" s="1"/>
  <c r="D95" i="4"/>
  <c r="D120" i="4" s="1"/>
  <c r="D33" i="4"/>
  <c r="D99" i="4" s="1"/>
  <c r="D83" i="3"/>
  <c r="D28" i="3"/>
  <c r="D94" i="3" s="1"/>
  <c r="D108" i="3" s="1"/>
  <c r="C74" i="4"/>
  <c r="C11" i="4"/>
  <c r="C77" i="4" s="1"/>
  <c r="C32" i="4"/>
  <c r="C98" i="4" s="1"/>
  <c r="G118" i="4"/>
  <c r="G115" i="4"/>
  <c r="G123" i="4" s="1"/>
  <c r="G116" i="4"/>
  <c r="D95" i="3"/>
  <c r="D120" i="3" s="1"/>
  <c r="D33" i="3"/>
  <c r="D99" i="3" s="1"/>
  <c r="C74" i="3"/>
  <c r="C11" i="3"/>
  <c r="C77" i="3" s="1"/>
  <c r="C32" i="3"/>
  <c r="C98" i="3" s="1"/>
  <c r="H73" i="4"/>
  <c r="H104" i="4" s="1"/>
  <c r="H112" i="4" s="1"/>
  <c r="H12" i="4"/>
  <c r="H78" i="4" s="1"/>
  <c r="J33" i="3"/>
  <c r="J99" i="3" s="1"/>
  <c r="L73" i="4"/>
  <c r="L104" i="4" s="1"/>
  <c r="L112" i="4" s="1"/>
  <c r="L12" i="4"/>
  <c r="L78" i="4" s="1"/>
  <c r="J73" i="4"/>
  <c r="J104" i="4" s="1"/>
  <c r="J112" i="4" s="1"/>
  <c r="J12" i="4"/>
  <c r="J78" i="4" s="1"/>
  <c r="G83" i="3"/>
  <c r="G28" i="3"/>
  <c r="G94" i="3" s="1"/>
  <c r="G108" i="3" s="1"/>
  <c r="C121" i="1"/>
  <c r="C105" i="4" l="1"/>
  <c r="Q35" i="4"/>
  <c r="Q101" i="4" s="1"/>
  <c r="P123" i="3"/>
  <c r="C107" i="3"/>
  <c r="C108" i="3"/>
  <c r="J123" i="4"/>
  <c r="C107" i="4"/>
  <c r="E112" i="3"/>
  <c r="C105" i="3"/>
  <c r="H123" i="4"/>
  <c r="R89" i="4"/>
  <c r="R35" i="4"/>
  <c r="R101" i="4" s="1"/>
  <c r="C108" i="4"/>
  <c r="C109" i="4"/>
  <c r="R89" i="3"/>
  <c r="R35" i="3"/>
  <c r="R101" i="3" s="1"/>
  <c r="E112" i="4"/>
  <c r="L35" i="4"/>
  <c r="L101" i="4" s="1"/>
  <c r="D123" i="3"/>
  <c r="C115" i="3"/>
  <c r="C123" i="3" s="1"/>
  <c r="C90" i="4"/>
  <c r="C27" i="4"/>
  <c r="C93" i="4" s="1"/>
  <c r="C89" i="1"/>
  <c r="C35" i="1"/>
  <c r="C101" i="1" s="1"/>
  <c r="N112" i="4"/>
  <c r="C118" i="3"/>
  <c r="C119" i="3"/>
  <c r="C83" i="4"/>
  <c r="C28" i="4"/>
  <c r="C94" i="4" s="1"/>
  <c r="J89" i="4"/>
  <c r="J35" i="4"/>
  <c r="J101" i="4" s="1"/>
  <c r="E89" i="4"/>
  <c r="E35" i="4"/>
  <c r="E101" i="4" s="1"/>
  <c r="C89" i="2"/>
  <c r="C35" i="2"/>
  <c r="C101" i="2" s="1"/>
  <c r="C104" i="3"/>
  <c r="C112" i="3" s="1"/>
  <c r="C116" i="3"/>
  <c r="S35" i="3"/>
  <c r="S101" i="3" s="1"/>
  <c r="S89" i="3"/>
  <c r="D89" i="3"/>
  <c r="D35" i="3"/>
  <c r="D101" i="3" s="1"/>
  <c r="C104" i="4"/>
  <c r="H89" i="4"/>
  <c r="H35" i="4"/>
  <c r="H101" i="4" s="1"/>
  <c r="P123" i="4"/>
  <c r="H89" i="3"/>
  <c r="H35" i="3"/>
  <c r="H101" i="3" s="1"/>
  <c r="D112" i="3"/>
  <c r="C90" i="3"/>
  <c r="C27" i="3"/>
  <c r="C93" i="3" s="1"/>
  <c r="C34" i="3"/>
  <c r="C100" i="3" s="1"/>
  <c r="C23" i="3"/>
  <c r="C88" i="3"/>
  <c r="P35" i="3"/>
  <c r="P101" i="3" s="1"/>
  <c r="I89" i="4"/>
  <c r="I35" i="4"/>
  <c r="I101" i="4" s="1"/>
  <c r="C73" i="3"/>
  <c r="C12" i="3"/>
  <c r="C78" i="3" s="1"/>
  <c r="G89" i="4"/>
  <c r="G35" i="4"/>
  <c r="G101" i="4" s="1"/>
  <c r="C120" i="4"/>
  <c r="Q89" i="3"/>
  <c r="Q35" i="3"/>
  <c r="Q101" i="3" s="1"/>
  <c r="C95" i="3"/>
  <c r="C33" i="3"/>
  <c r="C99" i="3" s="1"/>
  <c r="O89" i="3"/>
  <c r="O35" i="3"/>
  <c r="O101" i="3" s="1"/>
  <c r="Q123" i="3"/>
  <c r="O35" i="4"/>
  <c r="O101" i="4" s="1"/>
  <c r="K112" i="3"/>
  <c r="C83" i="3"/>
  <c r="C28" i="3"/>
  <c r="C94" i="3" s="1"/>
  <c r="L89" i="3"/>
  <c r="L35" i="3"/>
  <c r="L101" i="3" s="1"/>
  <c r="S89" i="4"/>
  <c r="S35" i="4"/>
  <c r="S101" i="4" s="1"/>
  <c r="O123" i="3"/>
  <c r="N112" i="3"/>
  <c r="D123" i="4"/>
  <c r="C115" i="4"/>
  <c r="C123" i="4" s="1"/>
  <c r="C119" i="4"/>
  <c r="I89" i="3"/>
  <c r="I35" i="3"/>
  <c r="I101" i="3" s="1"/>
  <c r="N89" i="3"/>
  <c r="N35" i="3"/>
  <c r="N101" i="3" s="1"/>
  <c r="J123" i="3"/>
  <c r="C120" i="3"/>
  <c r="C109" i="3"/>
  <c r="M89" i="4"/>
  <c r="M35" i="4"/>
  <c r="M101" i="4" s="1"/>
  <c r="N123" i="3"/>
  <c r="C118" i="4"/>
  <c r="D89" i="4"/>
  <c r="D35" i="4"/>
  <c r="D101" i="4" s="1"/>
  <c r="C95" i="4"/>
  <c r="C33" i="4"/>
  <c r="C99" i="4" s="1"/>
  <c r="G35" i="3"/>
  <c r="G101" i="3" s="1"/>
  <c r="G89" i="3"/>
  <c r="J112" i="3"/>
  <c r="G123" i="3"/>
  <c r="H112" i="3"/>
  <c r="C116" i="4"/>
  <c r="E89" i="3"/>
  <c r="E35" i="3"/>
  <c r="E101" i="3" s="1"/>
  <c r="C73" i="4"/>
  <c r="C12" i="4"/>
  <c r="C78" i="4" s="1"/>
  <c r="C88" i="4"/>
  <c r="C34" i="4"/>
  <c r="C100" i="4" s="1"/>
  <c r="C23" i="4"/>
  <c r="C104" i="1"/>
  <c r="C113" i="1" s="1"/>
  <c r="M89" i="3"/>
  <c r="M35" i="3"/>
  <c r="M101" i="3" s="1"/>
  <c r="H123" i="3"/>
  <c r="N89" i="4"/>
  <c r="N35" i="4"/>
  <c r="N101" i="4" s="1"/>
  <c r="J35" i="3"/>
  <c r="J101" i="3" s="1"/>
  <c r="K89" i="4"/>
  <c r="K35" i="4"/>
  <c r="K101" i="4" s="1"/>
  <c r="C123" i="2"/>
  <c r="G112" i="3"/>
  <c r="M123" i="4"/>
  <c r="C112" i="4" l="1"/>
  <c r="C89" i="4"/>
  <c r="C35" i="4"/>
  <c r="C101" i="4" s="1"/>
  <c r="C89" i="3"/>
  <c r="C35" i="3"/>
  <c r="C101" i="3" s="1"/>
</calcChain>
</file>

<file path=xl/sharedStrings.xml><?xml version="1.0" encoding="utf-8"?>
<sst xmlns="http://schemas.openxmlformats.org/spreadsheetml/2006/main" count="572" uniqueCount="66">
  <si>
    <t>CONSO</t>
  </si>
  <si>
    <t>AUDI</t>
  </si>
  <si>
    <t>INFINITI</t>
  </si>
  <si>
    <t>MCPA</t>
  </si>
  <si>
    <t>HONDA</t>
  </si>
  <si>
    <t>TOYOTA</t>
  </si>
  <si>
    <t>VOLKS</t>
  </si>
  <si>
    <t>BMW PA</t>
  </si>
  <si>
    <t>MINI</t>
  </si>
  <si>
    <t>BMW STJ</t>
  </si>
  <si>
    <t>LEXUS</t>
  </si>
  <si>
    <t>BMW SHER</t>
  </si>
  <si>
    <t>SSMB</t>
  </si>
  <si>
    <t>MBQ</t>
  </si>
  <si>
    <t>VOLVO</t>
  </si>
  <si>
    <t>JLR</t>
  </si>
  <si>
    <t>LHD</t>
  </si>
  <si>
    <t>Actual</t>
  </si>
  <si>
    <t>AJUST.</t>
  </si>
  <si>
    <t>COMPLEXE</t>
  </si>
  <si>
    <t>GPA</t>
  </si>
  <si>
    <t>NB New</t>
  </si>
  <si>
    <t>NB Fleet</t>
  </si>
  <si>
    <t>Total New Unité</t>
  </si>
  <si>
    <t>NB Used</t>
  </si>
  <si>
    <t>NB US</t>
  </si>
  <si>
    <t>NB Wholesale</t>
  </si>
  <si>
    <t>Total Used Unité</t>
  </si>
  <si>
    <t>Grand Total Unité</t>
  </si>
  <si>
    <t>#</t>
  </si>
  <si>
    <t>Profit Front new</t>
  </si>
  <si>
    <t>Profit Rachat de bail</t>
  </si>
  <si>
    <t>Profit Fleet</t>
  </si>
  <si>
    <t>Profit F&amp;I new</t>
  </si>
  <si>
    <t>Gross New</t>
  </si>
  <si>
    <t>Profit Front used</t>
  </si>
  <si>
    <t>Profit US</t>
  </si>
  <si>
    <t>Profit Wholesale</t>
  </si>
  <si>
    <t>Profit F&amp;I used</t>
  </si>
  <si>
    <t>Gross Used</t>
  </si>
  <si>
    <t>Gross Total</t>
  </si>
  <si>
    <t>Profit Front new / Unité</t>
  </si>
  <si>
    <t>Profit Fleet / Unité</t>
  </si>
  <si>
    <t>Profit F&amp;I new / Unité</t>
  </si>
  <si>
    <t>Profit Front &amp; Back New / Unité</t>
  </si>
  <si>
    <t>Gross New / Unité</t>
  </si>
  <si>
    <t>Profit Front used / Unité</t>
  </si>
  <si>
    <t>Profit US / Unité</t>
  </si>
  <si>
    <t>Profit Wholesale / Unité</t>
  </si>
  <si>
    <t>Profit F&amp;I used / Unité</t>
  </si>
  <si>
    <t>Profit Front &amp; Back Used / Unité</t>
  </si>
  <si>
    <t>Gross Used / Unité</t>
  </si>
  <si>
    <t>Gross Total / Unité</t>
  </si>
  <si>
    <t>▲ Budget</t>
  </si>
  <si>
    <t>▲ new</t>
  </si>
  <si>
    <t>écart volume</t>
  </si>
  <si>
    <t>écart rendement</t>
  </si>
  <si>
    <t>Écart total</t>
  </si>
  <si>
    <t>▲ used</t>
  </si>
  <si>
    <t>Profit wholesale / Unité</t>
  </si>
  <si>
    <t>October Actual Gross / Unité vs Budget</t>
  </si>
  <si>
    <t>Budget 2025</t>
  </si>
  <si>
    <t>October Actual Gross / Unité vs Last Year</t>
  </si>
  <si>
    <t>▲ 2024</t>
  </si>
  <si>
    <t>October Actual YTD Gross / Unité vs Budget</t>
  </si>
  <si>
    <t>October Actual YTD Gross / Unité vs Last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</si>
</sst>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&quot;$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FF3300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B9ED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5">
    <xf numFmtId="0" fontId="0" fillId="0" borderId="0" xfId="0"/>
    <xf numFmtId="164" fontId="0" fillId="0" borderId="0" xfId="2" applyFont="1"/>
    <xf numFmtId="0" fontId="5" fillId="0" borderId="0" xfId="0" applyFont="1"/>
    <xf numFmtId="43" fontId="6" fillId="0" borderId="0" xfId="1" quotePrefix="1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7" fillId="0" borderId="0" xfId="0" applyFont="1"/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/>
    <xf numFmtId="0" fontId="0" fillId="0" borderId="2" xfId="0" applyBorder="1"/>
    <xf numFmtId="3" fontId="3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3" xfId="0" applyBorder="1"/>
    <xf numFmtId="3" fontId="3" fillId="0" borderId="4" xfId="0" applyNumberFormat="1" applyFon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5" xfId="0" applyBorder="1"/>
    <xf numFmtId="3" fontId="3" fillId="0" borderId="5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1" xfId="0" applyFont="1" applyBorder="1"/>
    <xf numFmtId="1" fontId="3" fillId="0" borderId="7" xfId="0" applyNumberFormat="1" applyFont="1" applyBorder="1" applyAlignment="1">
      <alignment horizontal="center"/>
    </xf>
    <xf numFmtId="0" fontId="0" fillId="0" borderId="1" xfId="0" applyBorder="1"/>
    <xf numFmtId="165" fontId="3" fillId="0" borderId="1" xfId="0" applyNumberFormat="1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4" xfId="0" applyBorder="1"/>
    <xf numFmtId="165" fontId="3" fillId="0" borderId="4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6" xfId="0" applyBorder="1"/>
    <xf numFmtId="165" fontId="3" fillId="0" borderId="6" xfId="0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0" xfId="0" applyBorder="1"/>
    <xf numFmtId="165" fontId="3" fillId="0" borderId="11" xfId="0" applyNumberFormat="1" applyFon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13" xfId="0" applyBorder="1"/>
    <xf numFmtId="165" fontId="0" fillId="0" borderId="4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15" xfId="0" applyBorder="1"/>
    <xf numFmtId="165" fontId="3" fillId="0" borderId="16" xfId="0" applyNumberFormat="1" applyFon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0" fontId="0" fillId="0" borderId="19" xfId="0" applyBorder="1"/>
    <xf numFmtId="165" fontId="3" fillId="0" borderId="20" xfId="0" applyNumberFormat="1" applyFon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0" fontId="0" fillId="0" borderId="22" xfId="0" applyBorder="1"/>
    <xf numFmtId="165" fontId="0" fillId="0" borderId="23" xfId="0" applyNumberFormat="1" applyBorder="1" applyAlignment="1">
      <alignment horizontal="center"/>
    </xf>
    <xf numFmtId="0" fontId="0" fillId="0" borderId="24" xfId="0" applyBorder="1"/>
    <xf numFmtId="165" fontId="0" fillId="0" borderId="25" xfId="0" applyNumberFormat="1" applyBorder="1" applyAlignment="1">
      <alignment horizontal="center"/>
    </xf>
    <xf numFmtId="0" fontId="3" fillId="3" borderId="26" xfId="0" applyFont="1" applyFill="1" applyBorder="1"/>
    <xf numFmtId="165" fontId="3" fillId="0" borderId="27" xfId="0" applyNumberFormat="1" applyFont="1" applyBorder="1" applyAlignment="1">
      <alignment horizontal="center"/>
    </xf>
    <xf numFmtId="165" fontId="3" fillId="0" borderId="28" xfId="0" applyNumberFormat="1" applyFont="1" applyBorder="1" applyAlignment="1">
      <alignment horizontal="center"/>
    </xf>
    <xf numFmtId="165" fontId="0" fillId="0" borderId="0" xfId="0" applyNumberFormat="1"/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65" fontId="3" fillId="0" borderId="2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9" fillId="2" borderId="33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165" fontId="3" fillId="0" borderId="34" xfId="0" applyNumberFormat="1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5" borderId="5" xfId="0" applyNumberFormat="1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0" fillId="4" borderId="0" xfId="0" applyFill="1"/>
    <xf numFmtId="3" fontId="0" fillId="0" borderId="0" xfId="0" applyNumberFormat="1"/>
  </cellXfs>
  <cellStyles count="3">
    <cellStyle name="Milliers" xfId="1" builtinId="3"/>
    <cellStyle name="Monétaire" xfId="2" builtinId="4"/>
    <cellStyle name="Normal" xfId="0" builtinId="0"/>
  </cellStyles>
  <dxfs count="16"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 Gross per Unit vs Budget'!$B$2</c:f>
          <c:strCache>
            <c:ptCount val="1"/>
            <c:pt idx="0">
              <c:v>October Actual Gross / Unité vs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155995590401841E-2"/>
          <c:y val="0.17005948278062852"/>
          <c:w val="0.90159319342734179"/>
          <c:h val="0.72383164860830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 Gross per Unit vs Budget'!$B$4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CB953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Gross per Unit vs Budget'!$C$35:$S$35</c:f>
              <c:numCache>
                <c:formatCode>"$"#,##0</c:formatCode>
                <c:ptCount val="16"/>
                <c:pt idx="0">
                  <c:v>2937.2346325690737</c:v>
                </c:pt>
                <c:pt idx="1">
                  <c:v>2497.470103806224</c:v>
                </c:pt>
                <c:pt idx="2">
                  <c:v>0</c:v>
                </c:pt>
                <c:pt idx="3">
                  <c:v>2138.7643103448268</c:v>
                </c:pt>
                <c:pt idx="4">
                  <c:v>3127.3332283464533</c:v>
                </c:pt>
                <c:pt idx="5">
                  <c:v>2122.6744628099132</c:v>
                </c:pt>
                <c:pt idx="6">
                  <c:v>2790.3139490445783</c:v>
                </c:pt>
                <c:pt idx="7">
                  <c:v>1717.5524999999986</c:v>
                </c:pt>
                <c:pt idx="8">
                  <c:v>2612.4608333333367</c:v>
                </c:pt>
                <c:pt idx="9">
                  <c:v>2608.3896938775479</c:v>
                </c:pt>
                <c:pt idx="10">
                  <c:v>3072.5274603174585</c:v>
                </c:pt>
                <c:pt idx="11">
                  <c:v>3527.1438554216898</c:v>
                </c:pt>
                <c:pt idx="12">
                  <c:v>4424.4737234042477</c:v>
                </c:pt>
                <c:pt idx="13">
                  <c:v>3720.3149056603697</c:v>
                </c:pt>
                <c:pt idx="14">
                  <c:v>2955.5274545454499</c:v>
                </c:pt>
                <c:pt idx="15">
                  <c:v>2924.9189361702111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F-423D-A911-4EFCF3F10FDD}"/>
            </c:ext>
          </c:extLst>
        </c:ser>
        <c:ser>
          <c:idx val="1"/>
          <c:order val="1"/>
          <c:tx>
            <c:strRef>
              <c:f>'AC Gross per Unit vs Budget'!$B$37</c:f>
              <c:strCache>
                <c:ptCount val="1"/>
                <c:pt idx="0">
                  <c:v>Budget 2025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Gross per Unit vs Budget'!$C$68:$S$68</c:f>
              <c:numCache>
                <c:formatCode>"$"#,##0</c:formatCode>
                <c:ptCount val="16"/>
                <c:pt idx="0">
                  <c:v>2837.0108841471579</c:v>
                </c:pt>
                <c:pt idx="1">
                  <c:v>2543.0252858877866</c:v>
                </c:pt>
                <c:pt idx="2">
                  <c:v>1788.5654008438833</c:v>
                </c:pt>
                <c:pt idx="3">
                  <c:v>2345.5202749399673</c:v>
                </c:pt>
                <c:pt idx="4">
                  <c:v>2895</c:v>
                </c:pt>
                <c:pt idx="5">
                  <c:v>2525.8169487422238</c:v>
                </c:pt>
                <c:pt idx="6">
                  <c:v>2839.4534845415888</c:v>
                </c:pt>
                <c:pt idx="7">
                  <c:v>2565.2137002341919</c:v>
                </c:pt>
                <c:pt idx="8">
                  <c:v>2645.8388447433686</c:v>
                </c:pt>
                <c:pt idx="9">
                  <c:v>2732.908163265306</c:v>
                </c:pt>
                <c:pt idx="10">
                  <c:v>3300.8520533596497</c:v>
                </c:pt>
                <c:pt idx="11">
                  <c:v>3576.4034266133635</c:v>
                </c:pt>
                <c:pt idx="12">
                  <c:v>3237.9279074432743</c:v>
                </c:pt>
                <c:pt idx="13">
                  <c:v>2925.9974609536234</c:v>
                </c:pt>
                <c:pt idx="14">
                  <c:v>2099.2529991801075</c:v>
                </c:pt>
                <c:pt idx="15">
                  <c:v>2871.0526315789475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2F-423D-A911-4EFCF3F10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9504336"/>
        <c:axId val="1689501840"/>
      </c:barChart>
      <c:lineChart>
        <c:grouping val="standard"/>
        <c:varyColors val="0"/>
        <c:ser>
          <c:idx val="2"/>
          <c:order val="2"/>
          <c:tx>
            <c:v>Unités Actual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'AC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('AC Gross per Unit vs Budget'!$A$12,'AC Gross per Unit vs Budget'!$D$12:$S$12)</c:f>
              <c:numCache>
                <c:formatCode>#,##0</c:formatCode>
                <c:ptCount val="16"/>
                <c:pt idx="1">
                  <c:v>289</c:v>
                </c:pt>
                <c:pt idx="2">
                  <c:v>0</c:v>
                </c:pt>
                <c:pt idx="3">
                  <c:v>58</c:v>
                </c:pt>
                <c:pt idx="4">
                  <c:v>127</c:v>
                </c:pt>
                <c:pt idx="5">
                  <c:v>121</c:v>
                </c:pt>
                <c:pt idx="6">
                  <c:v>157</c:v>
                </c:pt>
                <c:pt idx="7">
                  <c:v>64</c:v>
                </c:pt>
                <c:pt idx="8">
                  <c:v>120</c:v>
                </c:pt>
                <c:pt idx="9">
                  <c:v>98</c:v>
                </c:pt>
                <c:pt idx="10">
                  <c:v>63</c:v>
                </c:pt>
                <c:pt idx="11">
                  <c:v>249</c:v>
                </c:pt>
                <c:pt idx="12">
                  <c:v>94</c:v>
                </c:pt>
                <c:pt idx="13">
                  <c:v>159</c:v>
                </c:pt>
                <c:pt idx="14">
                  <c:v>55</c:v>
                </c:pt>
                <c:pt idx="15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2F-423D-A911-4EFCF3F10FDD}"/>
            </c:ext>
          </c:extLst>
        </c:ser>
        <c:ser>
          <c:idx val="3"/>
          <c:order val="3"/>
          <c:tx>
            <c:v>Unités Budget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'AC Gross per Unit vs Budget'!$C$37:$S$37</c:f>
              <c:numCache>
                <c:formatCode>General</c:formatCode>
                <c:ptCount val="16"/>
              </c:numCache>
            </c:numRef>
          </c:cat>
          <c:val>
            <c:numRef>
              <c:f>('AC Gross per Unit vs Budget'!$A$45,'AC Gross per Unit vs Budget'!$D$45:$S$45)</c:f>
              <c:numCache>
                <c:formatCode>#,##0</c:formatCode>
                <c:ptCount val="16"/>
                <c:pt idx="1">
                  <c:v>267</c:v>
                </c:pt>
                <c:pt idx="2">
                  <c:v>30</c:v>
                </c:pt>
                <c:pt idx="3">
                  <c:v>56</c:v>
                </c:pt>
                <c:pt idx="4">
                  <c:v>131</c:v>
                </c:pt>
                <c:pt idx="5">
                  <c:v>161</c:v>
                </c:pt>
                <c:pt idx="6">
                  <c:v>124.3142</c:v>
                </c:pt>
                <c:pt idx="7">
                  <c:v>61</c:v>
                </c:pt>
                <c:pt idx="8">
                  <c:v>102</c:v>
                </c:pt>
                <c:pt idx="9">
                  <c:v>98</c:v>
                </c:pt>
                <c:pt idx="10">
                  <c:v>61</c:v>
                </c:pt>
                <c:pt idx="11">
                  <c:v>255</c:v>
                </c:pt>
                <c:pt idx="12">
                  <c:v>115</c:v>
                </c:pt>
                <c:pt idx="13">
                  <c:v>111</c:v>
                </c:pt>
                <c:pt idx="14">
                  <c:v>65.281210808345691</c:v>
                </c:pt>
                <c:pt idx="15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2F-423D-A911-4EFCF3F10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748047"/>
        <c:axId val="280416095"/>
      </c:lineChart>
      <c:catAx>
        <c:axId val="168950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1840"/>
        <c:crosses val="autoZero"/>
        <c:auto val="1"/>
        <c:lblAlgn val="ctr"/>
        <c:lblOffset val="100"/>
        <c:noMultiLvlLbl val="0"/>
      </c:catAx>
      <c:valAx>
        <c:axId val="1689501840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ysClr val="windowText" lastClr="000000"/>
                    </a:solidFill>
                  </a:rPr>
                  <a:t>Gross Tota</a:t>
                </a:r>
                <a:r>
                  <a:rPr lang="en-US" sz="1000" b="1" baseline="0">
                    <a:solidFill>
                      <a:sysClr val="windowText" lastClr="000000"/>
                    </a:solidFill>
                  </a:rPr>
                  <a:t>l</a:t>
                </a:r>
                <a:r>
                  <a:rPr lang="en-US" sz="1000" b="1">
                    <a:solidFill>
                      <a:sysClr val="windowText" lastClr="000000"/>
                    </a:solidFill>
                  </a:rPr>
                  <a:t> / unité</a:t>
                </a:r>
              </a:p>
            </c:rich>
          </c:tx>
          <c:layout>
            <c:manualLayout>
              <c:xMode val="edge"/>
              <c:yMode val="edge"/>
              <c:x val="8.4991538154313949E-3"/>
              <c:y val="0.31319190217252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4336"/>
        <c:crosses val="autoZero"/>
        <c:crossBetween val="between"/>
      </c:valAx>
      <c:valAx>
        <c:axId val="2804160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ysClr val="windowText" lastClr="000000"/>
                    </a:solidFill>
                  </a:rPr>
                  <a:t>Nb unités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748047"/>
        <c:crosses val="max"/>
        <c:crossBetween val="between"/>
      </c:valAx>
      <c:catAx>
        <c:axId val="299748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0416095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6586427274692653E-2"/>
          <c:y val="3.8866508386306196E-2"/>
          <c:w val="0.3513820993464104"/>
          <c:h val="0.10110469007856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 Gross per Unit vs Last Year'!$B$2</c:f>
          <c:strCache>
            <c:ptCount val="1"/>
            <c:pt idx="0">
              <c:v>October Actual Gross / Unité vs Last Year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6623048132679807E-2"/>
          <c:y val="0.17438250002518316"/>
          <c:w val="0.90462588209587469"/>
          <c:h val="0.72383164860830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 Gross per Unit vs Last Year'!$B$4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CB953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Gross per Unit vs Last Year'!$C$3:$S$3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Gross per Unit vs Last Year'!$C$35:$S$35</c:f>
              <c:numCache>
                <c:formatCode>"$"#,##0</c:formatCode>
                <c:ptCount val="16"/>
                <c:pt idx="0">
                  <c:v>2937.2346325690737</c:v>
                </c:pt>
                <c:pt idx="1">
                  <c:v>2497.470103806224</c:v>
                </c:pt>
                <c:pt idx="2">
                  <c:v>0</c:v>
                </c:pt>
                <c:pt idx="3">
                  <c:v>2138.7643103448268</c:v>
                </c:pt>
                <c:pt idx="4">
                  <c:v>3127.3332283464533</c:v>
                </c:pt>
                <c:pt idx="5">
                  <c:v>2122.6744628099132</c:v>
                </c:pt>
                <c:pt idx="6">
                  <c:v>2790.3139490445783</c:v>
                </c:pt>
                <c:pt idx="7">
                  <c:v>1717.5524999999986</c:v>
                </c:pt>
                <c:pt idx="8">
                  <c:v>2612.4608333333367</c:v>
                </c:pt>
                <c:pt idx="9">
                  <c:v>2608.3896938775479</c:v>
                </c:pt>
                <c:pt idx="10">
                  <c:v>3072.5274603174585</c:v>
                </c:pt>
                <c:pt idx="11">
                  <c:v>3527.1438554216898</c:v>
                </c:pt>
                <c:pt idx="12">
                  <c:v>4424.4737234042477</c:v>
                </c:pt>
                <c:pt idx="13">
                  <c:v>3720.3149056603697</c:v>
                </c:pt>
                <c:pt idx="14">
                  <c:v>2955.5274545454499</c:v>
                </c:pt>
                <c:pt idx="15">
                  <c:v>2924.9189361702111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8-42CE-81DB-BBB40DDB5B76}"/>
            </c:ext>
          </c:extLst>
        </c:ser>
        <c:ser>
          <c:idx val="1"/>
          <c:order val="1"/>
          <c:tx>
            <c:strRef>
              <c:f>'AC Gross per Unit vs Last Year'!$B$37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Gross per Unit vs Last Year'!$C$3:$S$3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Gross per Unit vs Last Year'!$C$68:$S$68</c:f>
              <c:numCache>
                <c:formatCode>"$"#,##0</c:formatCode>
                <c:ptCount val="16"/>
                <c:pt idx="0">
                  <c:v>2987.3926918075372</c:v>
                </c:pt>
                <c:pt idx="1">
                  <c:v>2924.6537096774105</c:v>
                </c:pt>
                <c:pt idx="2">
                  <c:v>1280.8709999999999</c:v>
                </c:pt>
                <c:pt idx="3">
                  <c:v>2695.0681481481461</c:v>
                </c:pt>
                <c:pt idx="4">
                  <c:v>3244.6238655462103</c:v>
                </c:pt>
                <c:pt idx="5">
                  <c:v>2209.5272881355941</c:v>
                </c:pt>
                <c:pt idx="6">
                  <c:v>2471.887075471695</c:v>
                </c:pt>
                <c:pt idx="7">
                  <c:v>1773.9285964912081</c:v>
                </c:pt>
                <c:pt idx="8">
                  <c:v>2322.451923076921</c:v>
                </c:pt>
                <c:pt idx="9">
                  <c:v>2521.6504444444404</c:v>
                </c:pt>
                <c:pt idx="10">
                  <c:v>3702.9917241379294</c:v>
                </c:pt>
                <c:pt idx="11">
                  <c:v>4216.7910499999989</c:v>
                </c:pt>
                <c:pt idx="12">
                  <c:v>4564.3078448275783</c:v>
                </c:pt>
                <c:pt idx="13">
                  <c:v>2904.9897744360819</c:v>
                </c:pt>
                <c:pt idx="14">
                  <c:v>1767.3014666666704</c:v>
                </c:pt>
                <c:pt idx="15">
                  <c:v>2829.7522499999977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B8-42CE-81DB-BBB40DDB5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9504336"/>
        <c:axId val="1689501840"/>
      </c:barChart>
      <c:lineChart>
        <c:grouping val="standard"/>
        <c:varyColors val="0"/>
        <c:ser>
          <c:idx val="2"/>
          <c:order val="2"/>
          <c:tx>
            <c:v>Unités Actual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'AC Gross per Unit vs Last Year'!$C$4:$S$4</c:f>
              <c:numCache>
                <c:formatCode>General</c:formatCode>
                <c:ptCount val="16"/>
              </c:numCache>
            </c:numRef>
          </c:cat>
          <c:val>
            <c:numRef>
              <c:f>('AC Gross per Unit vs Last Year'!$A$12,'AC Gross per Unit vs Last Year'!$D$12:$S$12)</c:f>
              <c:numCache>
                <c:formatCode>#,##0</c:formatCode>
                <c:ptCount val="16"/>
                <c:pt idx="1">
                  <c:v>289</c:v>
                </c:pt>
                <c:pt idx="2">
                  <c:v>0</c:v>
                </c:pt>
                <c:pt idx="3">
                  <c:v>58</c:v>
                </c:pt>
                <c:pt idx="4">
                  <c:v>127</c:v>
                </c:pt>
                <c:pt idx="5">
                  <c:v>121</c:v>
                </c:pt>
                <c:pt idx="6">
                  <c:v>157</c:v>
                </c:pt>
                <c:pt idx="7">
                  <c:v>64</c:v>
                </c:pt>
                <c:pt idx="8">
                  <c:v>120</c:v>
                </c:pt>
                <c:pt idx="9">
                  <c:v>98</c:v>
                </c:pt>
                <c:pt idx="10">
                  <c:v>63</c:v>
                </c:pt>
                <c:pt idx="11">
                  <c:v>249</c:v>
                </c:pt>
                <c:pt idx="12">
                  <c:v>94</c:v>
                </c:pt>
                <c:pt idx="13">
                  <c:v>159</c:v>
                </c:pt>
                <c:pt idx="14">
                  <c:v>55</c:v>
                </c:pt>
                <c:pt idx="15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B8-42CE-81DB-BBB40DDB5B76}"/>
            </c:ext>
          </c:extLst>
        </c:ser>
        <c:ser>
          <c:idx val="3"/>
          <c:order val="3"/>
          <c:tx>
            <c:v>Unités Budget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'AC Gross per Unit vs Last Year'!$C$37:$S$37</c:f>
              <c:numCache>
                <c:formatCode>General</c:formatCode>
                <c:ptCount val="16"/>
              </c:numCache>
            </c:numRef>
          </c:cat>
          <c:val>
            <c:numRef>
              <c:f>('AC Gross per Unit vs Last Year'!$A$45,'AC Gross per Unit vs Last Year'!$D$45:$S$45)</c:f>
              <c:numCache>
                <c:formatCode>#,##0</c:formatCode>
                <c:ptCount val="16"/>
                <c:pt idx="1">
                  <c:v>248</c:v>
                </c:pt>
                <c:pt idx="2">
                  <c:v>20</c:v>
                </c:pt>
                <c:pt idx="3">
                  <c:v>54</c:v>
                </c:pt>
                <c:pt idx="4">
                  <c:v>119</c:v>
                </c:pt>
                <c:pt idx="5">
                  <c:v>118</c:v>
                </c:pt>
                <c:pt idx="6">
                  <c:v>106</c:v>
                </c:pt>
                <c:pt idx="7">
                  <c:v>57</c:v>
                </c:pt>
                <c:pt idx="8">
                  <c:v>104</c:v>
                </c:pt>
                <c:pt idx="9">
                  <c:v>90</c:v>
                </c:pt>
                <c:pt idx="10">
                  <c:v>58</c:v>
                </c:pt>
                <c:pt idx="11">
                  <c:v>200</c:v>
                </c:pt>
                <c:pt idx="12">
                  <c:v>116</c:v>
                </c:pt>
                <c:pt idx="13">
                  <c:v>133</c:v>
                </c:pt>
                <c:pt idx="14">
                  <c:v>75</c:v>
                </c:pt>
                <c:pt idx="1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B8-42CE-81DB-BBB40DDB5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08159"/>
        <c:axId val="280434815"/>
      </c:lineChart>
      <c:catAx>
        <c:axId val="16895043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1840"/>
        <c:crosses val="autoZero"/>
        <c:auto val="1"/>
        <c:lblAlgn val="ctr"/>
        <c:lblOffset val="100"/>
        <c:noMultiLvlLbl val="0"/>
      </c:catAx>
      <c:valAx>
        <c:axId val="1689501840"/>
        <c:scaling>
          <c:orientation val="minMax"/>
          <c:max val="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Gross Total / unité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4336"/>
        <c:crosses val="autoZero"/>
        <c:crossBetween val="between"/>
      </c:valAx>
      <c:valAx>
        <c:axId val="2804348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Nb unités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508159"/>
        <c:crosses val="max"/>
        <c:crossBetween val="between"/>
      </c:valAx>
      <c:catAx>
        <c:axId val="211508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0434815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0325479233789353E-2"/>
          <c:y val="3.8866486482543545E-2"/>
          <c:w val="0.3460155711014285"/>
          <c:h val="0.10110469007856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 YTD Gross per Unit vs Budget'!$B$2</c:f>
          <c:strCache>
            <c:ptCount val="1"/>
            <c:pt idx="0">
              <c:v>October Actual YTD Gross / Unité vs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233813011053645E-2"/>
          <c:y val="0.17438250002518316"/>
          <c:w val="0.90676243072586282"/>
          <c:h val="0.72383164860830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 YTD Gross per Unit vs Budget'!$B$4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CB953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YTD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YTD Gross per Unit vs Budget'!$C$35:$S$35</c:f>
              <c:numCache>
                <c:formatCode>"$"#,##0</c:formatCode>
                <c:ptCount val="16"/>
                <c:pt idx="0">
                  <c:v>3097.4895112401232</c:v>
                </c:pt>
                <c:pt idx="1">
                  <c:v>2789.1737376879169</c:v>
                </c:pt>
                <c:pt idx="2">
                  <c:v>68.935882352946052</c:v>
                </c:pt>
                <c:pt idx="3">
                  <c:v>2325.6923501577253</c:v>
                </c:pt>
                <c:pt idx="4">
                  <c:v>3149.4110148731343</c:v>
                </c:pt>
                <c:pt idx="5">
                  <c:v>2612.3279792746089</c:v>
                </c:pt>
                <c:pt idx="6">
                  <c:v>3089.4183923705682</c:v>
                </c:pt>
                <c:pt idx="7">
                  <c:v>2260.4128659793778</c:v>
                </c:pt>
                <c:pt idx="8">
                  <c:v>2890.2331903765676</c:v>
                </c:pt>
                <c:pt idx="9">
                  <c:v>2769.5226760563355</c:v>
                </c:pt>
                <c:pt idx="10">
                  <c:v>3580.2509464285672</c:v>
                </c:pt>
                <c:pt idx="11">
                  <c:v>3617.8714604810993</c:v>
                </c:pt>
                <c:pt idx="12">
                  <c:v>3531.7050440917069</c:v>
                </c:pt>
                <c:pt idx="13">
                  <c:v>3426.414191242176</c:v>
                </c:pt>
                <c:pt idx="14">
                  <c:v>3321.5419474497639</c:v>
                </c:pt>
                <c:pt idx="15">
                  <c:v>3433.321306620207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A-40BE-BD03-F1DFED53B46A}"/>
            </c:ext>
          </c:extLst>
        </c:ser>
        <c:ser>
          <c:idx val="1"/>
          <c:order val="1"/>
          <c:tx>
            <c:strRef>
              <c:f>'AC YTD Gross per Unit vs Budget'!$B$37</c:f>
              <c:strCache>
                <c:ptCount val="1"/>
                <c:pt idx="0">
                  <c:v>Budget 2025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YTD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YTD Gross per Unit vs Budget'!$C$68:$S$68</c:f>
              <c:numCache>
                <c:formatCode>"$"#,##0</c:formatCode>
                <c:ptCount val="16"/>
                <c:pt idx="0">
                  <c:v>2858.7423739837905</c:v>
                </c:pt>
                <c:pt idx="1">
                  <c:v>2648.9752552636887</c:v>
                </c:pt>
                <c:pt idx="2">
                  <c:v>1745.0592885375509</c:v>
                </c:pt>
                <c:pt idx="3">
                  <c:v>2307.2259213892739</c:v>
                </c:pt>
                <c:pt idx="4">
                  <c:v>2812.6653786707884</c:v>
                </c:pt>
                <c:pt idx="5">
                  <c:v>2600.3387392371442</c:v>
                </c:pt>
                <c:pt idx="6">
                  <c:v>2763.1523202034446</c:v>
                </c:pt>
                <c:pt idx="7">
                  <c:v>2543.121044546851</c:v>
                </c:pt>
                <c:pt idx="8">
                  <c:v>2525.6788051204535</c:v>
                </c:pt>
                <c:pt idx="9">
                  <c:v>2753.3859470468433</c:v>
                </c:pt>
                <c:pt idx="10">
                  <c:v>3161.4911957650434</c:v>
                </c:pt>
                <c:pt idx="11">
                  <c:v>3505.5097713479536</c:v>
                </c:pt>
                <c:pt idx="12">
                  <c:v>3209.05205042542</c:v>
                </c:pt>
                <c:pt idx="13">
                  <c:v>3102.3822347152136</c:v>
                </c:pt>
                <c:pt idx="14">
                  <c:v>2053.4897521235412</c:v>
                </c:pt>
                <c:pt idx="15">
                  <c:v>3293.0743801652893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2A-40BE-BD03-F1DFED53B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9504336"/>
        <c:axId val="1689501840"/>
      </c:barChart>
      <c:lineChart>
        <c:grouping val="standard"/>
        <c:varyColors val="0"/>
        <c:ser>
          <c:idx val="2"/>
          <c:order val="2"/>
          <c:tx>
            <c:v>Unités Actual</c:v>
          </c:tx>
          <c:spPr>
            <a:ln w="25400" cap="rnd">
              <a:solidFill>
                <a:schemeClr val="accent6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 YTD Gross per Unit vs Budget'!$C$3:$S$3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('AC YTD Gross per Unit vs Budget'!$A$12,'AC YTD Gross per Unit vs Budget'!$D$12:$S$12)</c:f>
              <c:numCache>
                <c:formatCode>#,##0</c:formatCode>
                <c:ptCount val="16"/>
                <c:pt idx="1">
                  <c:v>1929</c:v>
                </c:pt>
                <c:pt idx="2">
                  <c:v>51</c:v>
                </c:pt>
                <c:pt idx="3">
                  <c:v>634</c:v>
                </c:pt>
                <c:pt idx="4">
                  <c:v>1143</c:v>
                </c:pt>
                <c:pt idx="5">
                  <c:v>1158</c:v>
                </c:pt>
                <c:pt idx="6">
                  <c:v>1101</c:v>
                </c:pt>
                <c:pt idx="7">
                  <c:v>485</c:v>
                </c:pt>
                <c:pt idx="8">
                  <c:v>956</c:v>
                </c:pt>
                <c:pt idx="9">
                  <c:v>994</c:v>
                </c:pt>
                <c:pt idx="10">
                  <c:v>560</c:v>
                </c:pt>
                <c:pt idx="11">
                  <c:v>2328</c:v>
                </c:pt>
                <c:pt idx="12">
                  <c:v>1134</c:v>
                </c:pt>
                <c:pt idx="13">
                  <c:v>1119</c:v>
                </c:pt>
                <c:pt idx="14">
                  <c:v>647</c:v>
                </c:pt>
                <c:pt idx="15">
                  <c:v>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2A-40BE-BD03-F1DFED53B46A}"/>
            </c:ext>
          </c:extLst>
        </c:ser>
        <c:ser>
          <c:idx val="3"/>
          <c:order val="3"/>
          <c:tx>
            <c:v>Unités Budget</c:v>
          </c:tx>
          <c:spPr>
            <a:ln w="25400" cap="rnd">
              <a:solidFill>
                <a:schemeClr val="accent5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'AC YTD Gross per Unit vs Budget'!$C$37:$S$37</c:f>
              <c:numCache>
                <c:formatCode>General</c:formatCode>
                <c:ptCount val="16"/>
              </c:numCache>
            </c:numRef>
          </c:cat>
          <c:val>
            <c:numRef>
              <c:f>('AC YTD Gross per Unit vs Budget'!$A$45,'AC YTD Gross per Unit vs Budget'!$D$45:$S$45)</c:f>
              <c:numCache>
                <c:formatCode>#,##0</c:formatCode>
                <c:ptCount val="16"/>
                <c:pt idx="1">
                  <c:v>2048</c:v>
                </c:pt>
                <c:pt idx="2">
                  <c:v>253</c:v>
                </c:pt>
                <c:pt idx="3">
                  <c:v>631</c:v>
                </c:pt>
                <c:pt idx="4">
                  <c:v>1294</c:v>
                </c:pt>
                <c:pt idx="5">
                  <c:v>1319</c:v>
                </c:pt>
                <c:pt idx="6">
                  <c:v>1088.9252000000001</c:v>
                </c:pt>
                <c:pt idx="7">
                  <c:v>465</c:v>
                </c:pt>
                <c:pt idx="8">
                  <c:v>862</c:v>
                </c:pt>
                <c:pt idx="9">
                  <c:v>982</c:v>
                </c:pt>
                <c:pt idx="10">
                  <c:v>623</c:v>
                </c:pt>
                <c:pt idx="11">
                  <c:v>2326</c:v>
                </c:pt>
                <c:pt idx="12">
                  <c:v>1314</c:v>
                </c:pt>
                <c:pt idx="13">
                  <c:v>979</c:v>
                </c:pt>
                <c:pt idx="14">
                  <c:v>687.17535058716226</c:v>
                </c:pt>
                <c:pt idx="15">
                  <c:v>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2A-40BE-BD03-F1DFED53B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707552"/>
        <c:axId val="524706304"/>
      </c:lineChart>
      <c:catAx>
        <c:axId val="168950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1840"/>
        <c:crosses val="autoZero"/>
        <c:auto val="1"/>
        <c:lblAlgn val="ctr"/>
        <c:lblOffset val="100"/>
        <c:noMultiLvlLbl val="0"/>
      </c:catAx>
      <c:valAx>
        <c:axId val="1689501840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strRef>
              <c:f>'AC YTD Gross per Unit vs Budget'!$B$101</c:f>
              <c:strCache>
                <c:ptCount val="1"/>
                <c:pt idx="0">
                  <c:v>Gross Total / Unité</c:v>
                </c:pt>
              </c:strCache>
            </c:strRef>
          </c:tx>
          <c:layout>
            <c:manualLayout>
              <c:xMode val="edge"/>
              <c:yMode val="edge"/>
              <c:x val="7.0962056626015079E-3"/>
              <c:y val="0.35017039452820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4336"/>
        <c:crosses val="autoZero"/>
        <c:crossBetween val="between"/>
      </c:valAx>
      <c:valAx>
        <c:axId val="524706304"/>
        <c:scaling>
          <c:orientation val="minMax"/>
          <c:max val="26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Nb unités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4707552"/>
        <c:crosses val="max"/>
        <c:crossBetween val="between"/>
        <c:majorUnit val="200"/>
        <c:minorUnit val="100"/>
      </c:valAx>
      <c:catAx>
        <c:axId val="524707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4706304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213608620354824E-2"/>
          <c:y val="3.8866486482543545E-2"/>
          <c:w val="0.35583240653441073"/>
          <c:h val="0.10110469007856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 YTD Gross per Unit vs Last Y'!$B$2</c:f>
          <c:strCache>
            <c:ptCount val="1"/>
            <c:pt idx="0">
              <c:v>October Actual YTD Gross / Unité vs Last Year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1394866614367117E-2"/>
          <c:y val="0.17438240875477606"/>
          <c:w val="0.89622293260563368"/>
          <c:h val="0.72383164860830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 YTD Gross per Unit vs Last Y'!$B$4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CB953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YTD Gross per Unit vs Last Y'!$C$3:$S$3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YTD Gross per Unit vs Last Y'!$C$35:$S$35</c:f>
              <c:numCache>
                <c:formatCode>"$"#,##0</c:formatCode>
                <c:ptCount val="16"/>
                <c:pt idx="0">
                  <c:v>3097.4895112401232</c:v>
                </c:pt>
                <c:pt idx="1">
                  <c:v>2789.1737376879169</c:v>
                </c:pt>
                <c:pt idx="2">
                  <c:v>68.935882352946052</c:v>
                </c:pt>
                <c:pt idx="3">
                  <c:v>2325.6923501577253</c:v>
                </c:pt>
                <c:pt idx="4">
                  <c:v>3149.4110148731343</c:v>
                </c:pt>
                <c:pt idx="5">
                  <c:v>2612.3279792746089</c:v>
                </c:pt>
                <c:pt idx="6">
                  <c:v>3089.4183923705682</c:v>
                </c:pt>
                <c:pt idx="7">
                  <c:v>2260.4128659793778</c:v>
                </c:pt>
                <c:pt idx="8">
                  <c:v>2890.2331903765676</c:v>
                </c:pt>
                <c:pt idx="9">
                  <c:v>2769.5226760563355</c:v>
                </c:pt>
                <c:pt idx="10">
                  <c:v>3580.2509464285672</c:v>
                </c:pt>
                <c:pt idx="11">
                  <c:v>3617.8714604810993</c:v>
                </c:pt>
                <c:pt idx="12">
                  <c:v>3531.7050440917069</c:v>
                </c:pt>
                <c:pt idx="13">
                  <c:v>3426.414191242176</c:v>
                </c:pt>
                <c:pt idx="14">
                  <c:v>3321.5419474497639</c:v>
                </c:pt>
                <c:pt idx="15">
                  <c:v>3433.321306620207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C-4203-9CE8-54EEDAE7E084}"/>
            </c:ext>
          </c:extLst>
        </c:ser>
        <c:ser>
          <c:idx val="1"/>
          <c:order val="1"/>
          <c:tx>
            <c:strRef>
              <c:f>'AC YTD Gross per Unit vs Last Y'!$B$37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 YTD Gross per Unit vs Last Y'!$C$3:$S$3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'AC YTD Gross per Unit vs Last Y'!$C$68:$S$68</c:f>
              <c:numCache>
                <c:formatCode>"$"#,##0</c:formatCode>
                <c:ptCount val="16"/>
                <c:pt idx="0">
                  <c:v>2775.5994896785064</c:v>
                </c:pt>
                <c:pt idx="1">
                  <c:v>2316.8888514851437</c:v>
                </c:pt>
                <c:pt idx="2">
                  <c:v>1043.3138725490178</c:v>
                </c:pt>
                <c:pt idx="3">
                  <c:v>2403.5193153153123</c:v>
                </c:pt>
                <c:pt idx="4">
                  <c:v>2847.2775599999941</c:v>
                </c:pt>
                <c:pt idx="5">
                  <c:v>2164.3975736434072</c:v>
                </c:pt>
                <c:pt idx="6">
                  <c:v>2624.6293439550095</c:v>
                </c:pt>
                <c:pt idx="7">
                  <c:v>2116.8695121951164</c:v>
                </c:pt>
                <c:pt idx="8">
                  <c:v>2476.9131925465795</c:v>
                </c:pt>
                <c:pt idx="9">
                  <c:v>2516.7860249739815</c:v>
                </c:pt>
                <c:pt idx="10">
                  <c:v>3330.3430715532245</c:v>
                </c:pt>
                <c:pt idx="11">
                  <c:v>3716.4722516556244</c:v>
                </c:pt>
                <c:pt idx="12">
                  <c:v>3249.6728762541748</c:v>
                </c:pt>
                <c:pt idx="13">
                  <c:v>2820.4048258196685</c:v>
                </c:pt>
                <c:pt idx="14">
                  <c:v>2268.0815679999987</c:v>
                </c:pt>
                <c:pt idx="15">
                  <c:v>3403.9694290657399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C-4203-9CE8-54EEDAE7E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9504336"/>
        <c:axId val="1689501840"/>
      </c:barChart>
      <c:lineChart>
        <c:grouping val="standard"/>
        <c:varyColors val="0"/>
        <c:ser>
          <c:idx val="2"/>
          <c:order val="2"/>
          <c:tx>
            <c:v>Unités Actual</c:v>
          </c:tx>
          <c:spPr>
            <a:ln w="25400" cap="rnd">
              <a:solidFill>
                <a:schemeClr val="accent6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 YTD Gross per Unit vs Last Y'!$C$3:$S$3</c:f>
              <c:strCache>
                <c:ptCount val="16"/>
                <c:pt idx="0">
                  <c:v>CONSO</c:v>
                </c:pt>
                <c:pt idx="1">
                  <c:v>AUDI</c:v>
                </c:pt>
                <c:pt idx="2">
                  <c:v>INFINITI</c:v>
                </c:pt>
                <c:pt idx="3">
                  <c:v>HONDA</c:v>
                </c:pt>
                <c:pt idx="4">
                  <c:v>TOYOTA</c:v>
                </c:pt>
                <c:pt idx="5">
                  <c:v>VOLKS</c:v>
                </c:pt>
                <c:pt idx="6">
                  <c:v>BMW PA</c:v>
                </c:pt>
                <c:pt idx="7">
                  <c:v>MINI</c:v>
                </c:pt>
                <c:pt idx="8">
                  <c:v>BMW STJ</c:v>
                </c:pt>
                <c:pt idx="9">
                  <c:v>LEXUS</c:v>
                </c:pt>
                <c:pt idx="10">
                  <c:v>BMW SHER</c:v>
                </c:pt>
                <c:pt idx="11">
                  <c:v>SSMB</c:v>
                </c:pt>
                <c:pt idx="12">
                  <c:v>MBQ</c:v>
                </c:pt>
                <c:pt idx="13">
                  <c:v>VOLVO</c:v>
                </c:pt>
                <c:pt idx="14">
                  <c:v>JLR</c:v>
                </c:pt>
                <c:pt idx="15">
                  <c:v>LHD</c:v>
                </c:pt>
              </c:strCache>
            </c:strRef>
          </c:cat>
          <c:val>
            <c:numRef>
              <c:f>('AC YTD Gross per Unit vs Last Y'!$A$12,'AC YTD Gross per Unit vs Last Y'!$D$12:$S$12)</c:f>
              <c:numCache>
                <c:formatCode>#,##0</c:formatCode>
                <c:ptCount val="16"/>
                <c:pt idx="1">
                  <c:v>1929</c:v>
                </c:pt>
                <c:pt idx="2">
                  <c:v>51</c:v>
                </c:pt>
                <c:pt idx="3">
                  <c:v>634</c:v>
                </c:pt>
                <c:pt idx="4">
                  <c:v>1143</c:v>
                </c:pt>
                <c:pt idx="5">
                  <c:v>1158</c:v>
                </c:pt>
                <c:pt idx="6">
                  <c:v>1101</c:v>
                </c:pt>
                <c:pt idx="7">
                  <c:v>485</c:v>
                </c:pt>
                <c:pt idx="8">
                  <c:v>956</c:v>
                </c:pt>
                <c:pt idx="9">
                  <c:v>994</c:v>
                </c:pt>
                <c:pt idx="10">
                  <c:v>560</c:v>
                </c:pt>
                <c:pt idx="11">
                  <c:v>2328</c:v>
                </c:pt>
                <c:pt idx="12">
                  <c:v>1134</c:v>
                </c:pt>
                <c:pt idx="13">
                  <c:v>1119</c:v>
                </c:pt>
                <c:pt idx="14">
                  <c:v>647</c:v>
                </c:pt>
                <c:pt idx="15">
                  <c:v>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2C-4203-9CE8-54EEDAE7E084}"/>
            </c:ext>
          </c:extLst>
        </c:ser>
        <c:ser>
          <c:idx val="3"/>
          <c:order val="3"/>
          <c:tx>
            <c:v>Unités Budget</c:v>
          </c:tx>
          <c:spPr>
            <a:ln w="25400" cap="rnd">
              <a:solidFill>
                <a:schemeClr val="accent5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'AC YTD Gross per Unit vs Last Y'!$C$37:$S$37</c:f>
              <c:numCache>
                <c:formatCode>General</c:formatCode>
                <c:ptCount val="16"/>
              </c:numCache>
            </c:numRef>
          </c:cat>
          <c:val>
            <c:numRef>
              <c:f>('AC YTD Gross per Unit vs Last Y'!$A$45,'AC YTD Gross per Unit vs Last Y'!$D$45:$S$45)</c:f>
              <c:numCache>
                <c:formatCode>#,##0</c:formatCode>
                <c:ptCount val="16"/>
                <c:pt idx="1">
                  <c:v>2020</c:v>
                </c:pt>
                <c:pt idx="2">
                  <c:v>204</c:v>
                </c:pt>
                <c:pt idx="3">
                  <c:v>555</c:v>
                </c:pt>
                <c:pt idx="4">
                  <c:v>1250</c:v>
                </c:pt>
                <c:pt idx="5">
                  <c:v>1290</c:v>
                </c:pt>
                <c:pt idx="6">
                  <c:v>1067</c:v>
                </c:pt>
                <c:pt idx="7">
                  <c:v>410</c:v>
                </c:pt>
                <c:pt idx="8">
                  <c:v>805</c:v>
                </c:pt>
                <c:pt idx="9">
                  <c:v>961</c:v>
                </c:pt>
                <c:pt idx="10">
                  <c:v>573</c:v>
                </c:pt>
                <c:pt idx="11">
                  <c:v>2265</c:v>
                </c:pt>
                <c:pt idx="12">
                  <c:v>1196</c:v>
                </c:pt>
                <c:pt idx="13">
                  <c:v>976</c:v>
                </c:pt>
                <c:pt idx="14">
                  <c:v>625</c:v>
                </c:pt>
                <c:pt idx="15">
                  <c:v>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2C-4203-9CE8-54EEDAE7E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707552"/>
        <c:axId val="524706304"/>
      </c:lineChart>
      <c:catAx>
        <c:axId val="168950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1840"/>
        <c:crosses val="autoZero"/>
        <c:auto val="1"/>
        <c:lblAlgn val="ctr"/>
        <c:lblOffset val="100"/>
        <c:noMultiLvlLbl val="0"/>
      </c:catAx>
      <c:valAx>
        <c:axId val="1689501840"/>
        <c:scaling>
          <c:orientation val="minMax"/>
          <c:max val="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strRef>
              <c:f>'AC YTD Gross per Unit vs Last Y'!$B$101</c:f>
              <c:strCache>
                <c:ptCount val="1"/>
                <c:pt idx="0">
                  <c:v>Gross Total / Unité</c:v>
                </c:pt>
              </c:strCache>
            </c:strRef>
          </c:tx>
          <c:layout>
            <c:manualLayout>
              <c:xMode val="edge"/>
              <c:yMode val="edge"/>
              <c:x val="7.3860706956672094E-3"/>
              <c:y val="0.31046782685234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504336"/>
        <c:crosses val="autoZero"/>
        <c:crossBetween val="between"/>
      </c:valAx>
      <c:valAx>
        <c:axId val="524706304"/>
        <c:scaling>
          <c:orientation val="minMax"/>
          <c:max val="26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Nb unités</a:t>
                </a:r>
              </a:p>
            </c:rich>
          </c:tx>
          <c:layout>
            <c:manualLayout>
              <c:xMode val="edge"/>
              <c:yMode val="edge"/>
              <c:x val="0.97420687543698081"/>
              <c:y val="0.43701967448062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4707552"/>
        <c:crosses val="max"/>
        <c:crossBetween val="between"/>
        <c:majorUnit val="200"/>
        <c:minorUnit val="100"/>
      </c:valAx>
      <c:catAx>
        <c:axId val="524707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4706304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0325479233789353E-2"/>
          <c:y val="3.8866486482543545E-2"/>
          <c:w val="0.3460155711014285"/>
          <c:h val="0.10110469007856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15940</xdr:colOff>
      <xdr:row>124</xdr:row>
      <xdr:rowOff>183689</xdr:rowOff>
    </xdr:from>
    <xdr:to>
      <xdr:col>18</xdr:col>
      <xdr:colOff>284512</xdr:colOff>
      <xdr:row>140</xdr:row>
      <xdr:rowOff>96162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40B22AD-8E28-4903-9AEA-9A6EFD827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126399</xdr:colOff>
      <xdr:row>124</xdr:row>
      <xdr:rowOff>808</xdr:rowOff>
    </xdr:from>
    <xdr:to>
      <xdr:col>18</xdr:col>
      <xdr:colOff>243946</xdr:colOff>
      <xdr:row>139</xdr:row>
      <xdr:rowOff>91612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77EA18-4813-46F2-A9F8-A6F6F7001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2964</xdr:colOff>
      <xdr:row>123</xdr:row>
      <xdr:rowOff>177128</xdr:rowOff>
    </xdr:from>
    <xdr:to>
      <xdr:col>18</xdr:col>
      <xdr:colOff>302266</xdr:colOff>
      <xdr:row>139</xdr:row>
      <xdr:rowOff>74890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007EA8-A841-46BA-A3B8-C8DA3D490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124785</xdr:colOff>
      <xdr:row>123</xdr:row>
      <xdr:rowOff>183189</xdr:rowOff>
    </xdr:from>
    <xdr:to>
      <xdr:col>18</xdr:col>
      <xdr:colOff>263333</xdr:colOff>
      <xdr:row>139</xdr:row>
      <xdr:rowOff>70474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1858155-8E81-4D81-8213-7665DAE83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3201-87CE-4BBE-B98C-51724C3FFF26}">
  <sheetPr>
    <tabColor rgb="FF00B050"/>
    <pageSetUpPr fitToPage="1"/>
  </sheetPr>
  <dimension ref="A1:AA124"/>
  <sheetViews>
    <sheetView tabSelected="1" workbookViewId="0">
      <selection activeCell="X68" sqref="X68"/>
    </sheetView>
  </sheetViews>
  <sheetFormatPr baseColWidth="10" defaultColWidth="11.42578125" defaultRowHeight="15" outlineLevelRow="1" x14ac:dyDescent="0.25"/>
  <cols>
    <col min="1" max="1" width="1.5703125" customWidth="1"/>
    <col min="2" max="2" width="29.5703125" customWidth="1"/>
    <col min="3" max="3" width="13.5703125" customWidth="1"/>
    <col min="4" max="5" width="12" customWidth="1"/>
    <col min="6" max="6" width="12" hidden="1" customWidth="1"/>
    <col min="7" max="19" width="12" customWidth="1"/>
    <col min="20" max="20" width="12" hidden="1" customWidth="1"/>
    <col min="21" max="21" width="13.5703125" hidden="1" customWidth="1"/>
    <col min="22" max="22" width="12" hidden="1" customWidth="1"/>
    <col min="26" max="26" width="35.42578125" bestFit="1" customWidth="1"/>
    <col min="27" max="27" width="12.42578125" bestFit="1" customWidth="1"/>
    <col min="29" max="29" width="35.42578125" bestFit="1" customWidth="1"/>
  </cols>
  <sheetData>
    <row r="1" spans="1:27" ht="9.75" customHeight="1" x14ac:dyDescent="0.25">
      <c r="D1" s="1"/>
      <c r="G1" s="1"/>
    </row>
    <row r="2" spans="1:27" ht="18.75" x14ac:dyDescent="0.3">
      <c r="B2" s="2" t="s">
        <v>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7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6"/>
      <c r="U3" s="6"/>
      <c r="V3" s="6"/>
      <c r="AA3" s="7"/>
    </row>
    <row r="4" spans="1:27" x14ac:dyDescent="0.25">
      <c r="B4" s="5" t="s">
        <v>17</v>
      </c>
      <c r="T4" s="5" t="s">
        <v>18</v>
      </c>
      <c r="U4" s="5" t="s">
        <v>19</v>
      </c>
      <c r="V4" s="5" t="s">
        <v>20</v>
      </c>
      <c r="AA4" s="8"/>
    </row>
    <row r="5" spans="1:27" hidden="1" outlineLevel="1" x14ac:dyDescent="0.25">
      <c r="A5" s="9" t="str">
        <f>B5</f>
        <v>NB New</v>
      </c>
      <c r="B5" s="10" t="s">
        <v>21</v>
      </c>
      <c r="C5" s="11">
        <f>+SUM(D5:V5)</f>
        <v>920</v>
      </c>
      <c r="D5" s="12">
        <v>166</v>
      </c>
      <c r="E5" s="12">
        <v>0</v>
      </c>
      <c r="F5" s="12">
        <v>0</v>
      </c>
      <c r="G5" s="12">
        <v>33</v>
      </c>
      <c r="H5" s="12">
        <v>81</v>
      </c>
      <c r="I5" s="12">
        <v>51</v>
      </c>
      <c r="J5" s="12">
        <v>92</v>
      </c>
      <c r="K5" s="12">
        <v>40</v>
      </c>
      <c r="L5" s="12">
        <v>59</v>
      </c>
      <c r="M5" s="12">
        <v>44</v>
      </c>
      <c r="N5" s="12">
        <v>29</v>
      </c>
      <c r="O5" s="12">
        <v>153</v>
      </c>
      <c r="P5" s="12">
        <v>52</v>
      </c>
      <c r="Q5" s="12">
        <v>77</v>
      </c>
      <c r="R5" s="12">
        <v>24</v>
      </c>
      <c r="S5" s="12">
        <v>19</v>
      </c>
      <c r="T5" s="12">
        <v>0</v>
      </c>
      <c r="U5" s="12">
        <v>0</v>
      </c>
      <c r="V5" s="12">
        <v>0</v>
      </c>
      <c r="AA5" s="8"/>
    </row>
    <row r="6" spans="1:27" hidden="1" outlineLevel="1" x14ac:dyDescent="0.25">
      <c r="A6" s="9" t="str">
        <f t="shared" ref="A6:A21" si="0">B6</f>
        <v>NB Fleet</v>
      </c>
      <c r="B6" s="13" t="s">
        <v>22</v>
      </c>
      <c r="C6" s="14">
        <f>+SUM(D6:V6)</f>
        <v>29</v>
      </c>
      <c r="D6" s="15">
        <v>5</v>
      </c>
      <c r="E6" s="15">
        <v>0</v>
      </c>
      <c r="F6" s="15">
        <v>0</v>
      </c>
      <c r="G6" s="15">
        <v>0</v>
      </c>
      <c r="H6" s="15">
        <v>1</v>
      </c>
      <c r="I6" s="15">
        <v>3</v>
      </c>
      <c r="J6" s="15">
        <v>2</v>
      </c>
      <c r="K6" s="15">
        <v>2</v>
      </c>
      <c r="L6" s="15">
        <v>4</v>
      </c>
      <c r="M6" s="15">
        <v>2</v>
      </c>
      <c r="N6" s="15">
        <v>0</v>
      </c>
      <c r="O6" s="15">
        <v>0</v>
      </c>
      <c r="P6" s="15">
        <v>6</v>
      </c>
      <c r="Q6" s="15">
        <v>1</v>
      </c>
      <c r="R6" s="15">
        <v>3</v>
      </c>
      <c r="S6" s="15">
        <v>0</v>
      </c>
      <c r="T6" s="15">
        <v>0</v>
      </c>
      <c r="U6" s="15">
        <v>0</v>
      </c>
      <c r="V6" s="15">
        <v>0</v>
      </c>
      <c r="AA6" s="8"/>
    </row>
    <row r="7" spans="1:27" collapsed="1" x14ac:dyDescent="0.25">
      <c r="A7" s="9"/>
      <c r="B7" s="16" t="s">
        <v>23</v>
      </c>
      <c r="C7" s="17">
        <f>SUM(C5:C6)</f>
        <v>949</v>
      </c>
      <c r="D7" s="18">
        <f t="shared" ref="D7:V7" si="1">SUM(D5:D6)</f>
        <v>171</v>
      </c>
      <c r="E7" s="18">
        <f t="shared" si="1"/>
        <v>0</v>
      </c>
      <c r="F7" s="18">
        <f t="shared" si="1"/>
        <v>0</v>
      </c>
      <c r="G7" s="18">
        <f t="shared" si="1"/>
        <v>33</v>
      </c>
      <c r="H7" s="18">
        <f t="shared" si="1"/>
        <v>82</v>
      </c>
      <c r="I7" s="18">
        <f t="shared" si="1"/>
        <v>54</v>
      </c>
      <c r="J7" s="18">
        <f t="shared" si="1"/>
        <v>94</v>
      </c>
      <c r="K7" s="18">
        <f t="shared" si="1"/>
        <v>42</v>
      </c>
      <c r="L7" s="18">
        <f t="shared" si="1"/>
        <v>63</v>
      </c>
      <c r="M7" s="18">
        <f t="shared" si="1"/>
        <v>46</v>
      </c>
      <c r="N7" s="18">
        <f t="shared" si="1"/>
        <v>29</v>
      </c>
      <c r="O7" s="18">
        <f t="shared" si="1"/>
        <v>153</v>
      </c>
      <c r="P7" s="18">
        <f t="shared" si="1"/>
        <v>58</v>
      </c>
      <c r="Q7" s="18">
        <f t="shared" si="1"/>
        <v>78</v>
      </c>
      <c r="R7" s="18">
        <f t="shared" si="1"/>
        <v>27</v>
      </c>
      <c r="S7" s="18">
        <f t="shared" si="1"/>
        <v>19</v>
      </c>
      <c r="T7" s="19">
        <f t="shared" si="1"/>
        <v>0</v>
      </c>
      <c r="U7" s="19">
        <f t="shared" si="1"/>
        <v>0</v>
      </c>
      <c r="V7" s="19">
        <f t="shared" si="1"/>
        <v>0</v>
      </c>
      <c r="AA7" s="8"/>
    </row>
    <row r="8" spans="1:27" ht="14.25" hidden="1" customHeight="1" outlineLevel="1" x14ac:dyDescent="0.25">
      <c r="A8" s="9" t="str">
        <f t="shared" si="0"/>
        <v>NB Used</v>
      </c>
      <c r="B8" s="10" t="s">
        <v>24</v>
      </c>
      <c r="C8" s="11">
        <f>+SUM(D8:V8)</f>
        <v>356</v>
      </c>
      <c r="D8" s="12">
        <v>48</v>
      </c>
      <c r="E8" s="12">
        <v>0</v>
      </c>
      <c r="F8" s="12">
        <v>0</v>
      </c>
      <c r="G8" s="12">
        <v>18</v>
      </c>
      <c r="H8" s="12">
        <v>18</v>
      </c>
      <c r="I8" s="12">
        <v>15</v>
      </c>
      <c r="J8" s="12">
        <v>34</v>
      </c>
      <c r="K8" s="12">
        <v>10</v>
      </c>
      <c r="L8" s="12">
        <v>31</v>
      </c>
      <c r="M8" s="12">
        <v>29</v>
      </c>
      <c r="N8" s="12">
        <v>14</v>
      </c>
      <c r="O8" s="12">
        <v>49</v>
      </c>
      <c r="P8" s="12">
        <v>23</v>
      </c>
      <c r="Q8" s="12">
        <v>41</v>
      </c>
      <c r="R8" s="12">
        <v>5</v>
      </c>
      <c r="S8" s="12">
        <v>21</v>
      </c>
      <c r="T8" s="20">
        <v>0</v>
      </c>
      <c r="U8" s="20">
        <v>0</v>
      </c>
      <c r="V8" s="20">
        <v>0</v>
      </c>
      <c r="AA8" s="8"/>
    </row>
    <row r="9" spans="1:27" hidden="1" outlineLevel="1" x14ac:dyDescent="0.25">
      <c r="A9" s="9" t="str">
        <f t="shared" si="0"/>
        <v>NB US</v>
      </c>
      <c r="B9" s="13" t="s">
        <v>25</v>
      </c>
      <c r="C9" s="14">
        <f>+SUM(D9:V9)</f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21">
        <v>0</v>
      </c>
      <c r="U9" s="21">
        <v>0</v>
      </c>
      <c r="V9" s="21">
        <v>0</v>
      </c>
      <c r="AA9" s="8"/>
    </row>
    <row r="10" spans="1:27" hidden="1" outlineLevel="1" x14ac:dyDescent="0.25">
      <c r="A10" s="9" t="str">
        <f t="shared" si="0"/>
        <v>NB Wholesale</v>
      </c>
      <c r="B10" s="13" t="s">
        <v>26</v>
      </c>
      <c r="C10" s="22">
        <f>+SUM(D10:V10)</f>
        <v>396</v>
      </c>
      <c r="D10" s="23">
        <v>70</v>
      </c>
      <c r="E10" s="23">
        <v>0</v>
      </c>
      <c r="F10" s="23">
        <v>0</v>
      </c>
      <c r="G10" s="23">
        <v>7</v>
      </c>
      <c r="H10" s="23">
        <v>27</v>
      </c>
      <c r="I10" s="23">
        <v>52</v>
      </c>
      <c r="J10" s="23">
        <v>29</v>
      </c>
      <c r="K10" s="23">
        <v>12</v>
      </c>
      <c r="L10" s="23">
        <v>26</v>
      </c>
      <c r="M10" s="23">
        <v>23</v>
      </c>
      <c r="N10" s="23">
        <v>20</v>
      </c>
      <c r="O10" s="23">
        <v>47</v>
      </c>
      <c r="P10" s="23">
        <v>13</v>
      </c>
      <c r="Q10" s="23">
        <v>40</v>
      </c>
      <c r="R10" s="23">
        <v>23</v>
      </c>
      <c r="S10" s="23">
        <v>7</v>
      </c>
      <c r="T10" s="24">
        <v>0</v>
      </c>
      <c r="U10" s="24">
        <v>0</v>
      </c>
      <c r="V10" s="24">
        <v>0</v>
      </c>
      <c r="AA10" s="8"/>
    </row>
    <row r="11" spans="1:27" collapsed="1" x14ac:dyDescent="0.25">
      <c r="A11" s="9"/>
      <c r="B11" s="16" t="s">
        <v>27</v>
      </c>
      <c r="C11" s="17">
        <f t="shared" ref="C11:V11" si="2">SUM(C8:C10)</f>
        <v>752</v>
      </c>
      <c r="D11" s="18">
        <f t="shared" si="2"/>
        <v>118</v>
      </c>
      <c r="E11" s="18">
        <f t="shared" si="2"/>
        <v>0</v>
      </c>
      <c r="F11" s="18">
        <f t="shared" si="2"/>
        <v>0</v>
      </c>
      <c r="G11" s="18">
        <f t="shared" si="2"/>
        <v>25</v>
      </c>
      <c r="H11" s="18">
        <f t="shared" si="2"/>
        <v>45</v>
      </c>
      <c r="I11" s="18">
        <f t="shared" si="2"/>
        <v>67</v>
      </c>
      <c r="J11" s="18">
        <f t="shared" si="2"/>
        <v>63</v>
      </c>
      <c r="K11" s="18">
        <f t="shared" si="2"/>
        <v>22</v>
      </c>
      <c r="L11" s="18">
        <f t="shared" si="2"/>
        <v>57</v>
      </c>
      <c r="M11" s="18">
        <f t="shared" si="2"/>
        <v>52</v>
      </c>
      <c r="N11" s="18">
        <f t="shared" si="2"/>
        <v>34</v>
      </c>
      <c r="O11" s="18">
        <f t="shared" si="2"/>
        <v>96</v>
      </c>
      <c r="P11" s="18">
        <f t="shared" si="2"/>
        <v>36</v>
      </c>
      <c r="Q11" s="18">
        <f t="shared" si="2"/>
        <v>81</v>
      </c>
      <c r="R11" s="18">
        <f t="shared" si="2"/>
        <v>28</v>
      </c>
      <c r="S11" s="18">
        <f t="shared" si="2"/>
        <v>28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AA11" s="8"/>
    </row>
    <row r="12" spans="1:27" ht="15.75" thickBot="1" x14ac:dyDescent="0.3">
      <c r="A12" s="9"/>
      <c r="B12" s="25" t="s">
        <v>28</v>
      </c>
      <c r="C12" s="11">
        <f t="shared" ref="C12:S12" si="3">+C7+C11</f>
        <v>1701</v>
      </c>
      <c r="D12" s="11">
        <f t="shared" si="3"/>
        <v>289</v>
      </c>
      <c r="E12" s="11">
        <f t="shared" si="3"/>
        <v>0</v>
      </c>
      <c r="F12" s="11">
        <f t="shared" si="3"/>
        <v>0</v>
      </c>
      <c r="G12" s="11">
        <f t="shared" si="3"/>
        <v>58</v>
      </c>
      <c r="H12" s="11">
        <f t="shared" si="3"/>
        <v>127</v>
      </c>
      <c r="I12" s="11">
        <f t="shared" si="3"/>
        <v>121</v>
      </c>
      <c r="J12" s="11">
        <f t="shared" si="3"/>
        <v>157</v>
      </c>
      <c r="K12" s="11">
        <f t="shared" si="3"/>
        <v>64</v>
      </c>
      <c r="L12" s="11">
        <f t="shared" si="3"/>
        <v>120</v>
      </c>
      <c r="M12" s="11">
        <f t="shared" si="3"/>
        <v>98</v>
      </c>
      <c r="N12" s="11">
        <f t="shared" si="3"/>
        <v>63</v>
      </c>
      <c r="O12" s="11">
        <f t="shared" si="3"/>
        <v>249</v>
      </c>
      <c r="P12" s="11">
        <f t="shared" si="3"/>
        <v>94</v>
      </c>
      <c r="Q12" s="11">
        <f t="shared" si="3"/>
        <v>159</v>
      </c>
      <c r="R12" s="11">
        <f t="shared" si="3"/>
        <v>55</v>
      </c>
      <c r="S12" s="11">
        <f t="shared" si="3"/>
        <v>47</v>
      </c>
      <c r="T12" s="26"/>
      <c r="U12" s="26"/>
      <c r="V12" s="26"/>
      <c r="AA12" s="8"/>
    </row>
    <row r="13" spans="1:27" ht="15.75" hidden="1" outlineLevel="1" thickBot="1" x14ac:dyDescent="0.3">
      <c r="A13" s="9" t="s">
        <v>29</v>
      </c>
      <c r="B13" s="27" t="s">
        <v>30</v>
      </c>
      <c r="C13" s="28">
        <f>+SUM(D13:V13)</f>
        <v>2236680.6099999975</v>
      </c>
      <c r="D13" s="29">
        <v>306885.8299999992</v>
      </c>
      <c r="E13" s="29">
        <v>0</v>
      </c>
      <c r="F13" s="29">
        <v>0</v>
      </c>
      <c r="G13" s="29">
        <v>19881.12000000009</v>
      </c>
      <c r="H13" s="29">
        <v>218793.9499999999</v>
      </c>
      <c r="I13" s="29">
        <v>108714.46999999968</v>
      </c>
      <c r="J13" s="29">
        <v>225887.5099999996</v>
      </c>
      <c r="K13" s="29">
        <v>71936.820000000022</v>
      </c>
      <c r="L13" s="29">
        <v>109420.14000000039</v>
      </c>
      <c r="M13" s="29">
        <v>97996.029999999824</v>
      </c>
      <c r="N13" s="29">
        <v>92621.109999999899</v>
      </c>
      <c r="O13" s="29">
        <v>456640.42000000092</v>
      </c>
      <c r="P13" s="29">
        <v>125448.90999999931</v>
      </c>
      <c r="Q13" s="29">
        <v>295360.34999999899</v>
      </c>
      <c r="R13" s="29">
        <v>61985.699999999953</v>
      </c>
      <c r="S13" s="29">
        <v>45108.25</v>
      </c>
      <c r="T13" s="29">
        <v>0</v>
      </c>
      <c r="U13" s="29">
        <v>0</v>
      </c>
      <c r="V13" s="29">
        <v>0</v>
      </c>
      <c r="AA13" s="8"/>
    </row>
    <row r="14" spans="1:27" ht="15.75" hidden="1" outlineLevel="1" thickBot="1" x14ac:dyDescent="0.3">
      <c r="A14" s="9"/>
      <c r="B14" s="30" t="s">
        <v>31</v>
      </c>
      <c r="C14" s="31">
        <f>+SUM(D14:V14)</f>
        <v>58558.859999999855</v>
      </c>
      <c r="D14" s="32">
        <v>18362.4399999999</v>
      </c>
      <c r="E14" s="32">
        <v>0</v>
      </c>
      <c r="F14" s="32">
        <v>0</v>
      </c>
      <c r="G14" s="32">
        <v>4951</v>
      </c>
      <c r="H14" s="32">
        <v>2213.04</v>
      </c>
      <c r="I14" s="32">
        <v>9560</v>
      </c>
      <c r="J14" s="32">
        <v>8991.2399999999907</v>
      </c>
      <c r="K14" s="32">
        <v>0</v>
      </c>
      <c r="L14" s="32">
        <v>6990</v>
      </c>
      <c r="M14" s="32">
        <v>1393.3299999999799</v>
      </c>
      <c r="N14" s="32">
        <v>1998</v>
      </c>
      <c r="O14" s="32">
        <v>0</v>
      </c>
      <c r="P14" s="32">
        <v>76.64</v>
      </c>
      <c r="Q14" s="32">
        <v>3573.1699999999801</v>
      </c>
      <c r="R14" s="32">
        <v>650</v>
      </c>
      <c r="S14" s="32">
        <v>-200</v>
      </c>
      <c r="T14" s="32">
        <v>0</v>
      </c>
      <c r="U14" s="32">
        <v>0</v>
      </c>
      <c r="V14" s="32">
        <v>0</v>
      </c>
      <c r="AA14" s="8"/>
    </row>
    <row r="15" spans="1:27" ht="15.75" hidden="1" outlineLevel="1" thickBot="1" x14ac:dyDescent="0.3">
      <c r="A15" s="9" t="str">
        <f t="shared" si="0"/>
        <v>Profit Fleet</v>
      </c>
      <c r="B15" s="30" t="s">
        <v>32</v>
      </c>
      <c r="C15" s="31">
        <f>+SUM(D15:V15)</f>
        <v>129411.31000000007</v>
      </c>
      <c r="D15" s="32">
        <v>3837.1400000000099</v>
      </c>
      <c r="E15" s="32">
        <v>0</v>
      </c>
      <c r="F15" s="32">
        <v>0</v>
      </c>
      <c r="G15" s="32">
        <v>0</v>
      </c>
      <c r="H15" s="32">
        <v>8990.19</v>
      </c>
      <c r="I15" s="32">
        <v>6318.5499999999802</v>
      </c>
      <c r="J15" s="32">
        <v>6205.5299999999897</v>
      </c>
      <c r="K15" s="32">
        <v>-2010.05</v>
      </c>
      <c r="L15" s="32">
        <v>-345.890000000013</v>
      </c>
      <c r="M15" s="32">
        <v>6255.54</v>
      </c>
      <c r="N15" s="32">
        <v>0</v>
      </c>
      <c r="O15" s="32">
        <v>0</v>
      </c>
      <c r="P15" s="32">
        <v>87594.000000000102</v>
      </c>
      <c r="Q15" s="32">
        <v>4249.55</v>
      </c>
      <c r="R15" s="32">
        <v>8316.75</v>
      </c>
      <c r="S15" s="32">
        <v>0</v>
      </c>
      <c r="T15" s="32">
        <v>0</v>
      </c>
      <c r="U15" s="32">
        <v>0</v>
      </c>
      <c r="V15" s="32">
        <v>0</v>
      </c>
      <c r="AA15" s="8"/>
    </row>
    <row r="16" spans="1:27" ht="15.75" hidden="1" outlineLevel="1" thickBot="1" x14ac:dyDescent="0.3">
      <c r="A16" s="9" t="str">
        <f t="shared" si="0"/>
        <v>Profit F&amp;I new</v>
      </c>
      <c r="B16" s="33" t="s">
        <v>33</v>
      </c>
      <c r="C16" s="34">
        <f>+SUM(D16:V16)</f>
        <v>1143367.7299999988</v>
      </c>
      <c r="D16" s="35">
        <v>191330.46</v>
      </c>
      <c r="E16" s="35">
        <v>0</v>
      </c>
      <c r="F16" s="35">
        <v>0</v>
      </c>
      <c r="G16" s="35">
        <v>37777.369999999901</v>
      </c>
      <c r="H16" s="35">
        <v>77190.039999999906</v>
      </c>
      <c r="I16" s="35">
        <v>51324.99</v>
      </c>
      <c r="J16" s="35">
        <v>104957.209999999</v>
      </c>
      <c r="K16" s="35">
        <v>29535.879999999899</v>
      </c>
      <c r="L16" s="35">
        <v>91314.17</v>
      </c>
      <c r="M16" s="35">
        <v>54475.39</v>
      </c>
      <c r="N16" s="35">
        <v>37623.81</v>
      </c>
      <c r="O16" s="35">
        <v>213422.95</v>
      </c>
      <c r="P16" s="35">
        <v>81485.16</v>
      </c>
      <c r="Q16" s="35">
        <v>89222.47</v>
      </c>
      <c r="R16" s="35">
        <v>40129.35</v>
      </c>
      <c r="S16" s="35">
        <v>43578.48</v>
      </c>
      <c r="T16" s="35">
        <v>0</v>
      </c>
      <c r="U16" s="35">
        <v>0</v>
      </c>
      <c r="V16" s="35">
        <v>0</v>
      </c>
      <c r="AA16" s="8"/>
    </row>
    <row r="17" spans="1:27" ht="15.75" hidden="1" outlineLevel="1" thickBot="1" x14ac:dyDescent="0.3">
      <c r="A17" s="9"/>
      <c r="B17" s="16" t="s">
        <v>34</v>
      </c>
      <c r="C17" s="36">
        <f>+SUM(C13:C16)</f>
        <v>3568018.5099999961</v>
      </c>
      <c r="D17" s="37">
        <f t="shared" ref="D17:V17" si="4">+SUM(D13:D16)</f>
        <v>520415.86999999906</v>
      </c>
      <c r="E17" s="37">
        <f t="shared" si="4"/>
        <v>0</v>
      </c>
      <c r="F17" s="37">
        <f t="shared" si="4"/>
        <v>0</v>
      </c>
      <c r="G17" s="37">
        <f t="shared" si="4"/>
        <v>62609.489999999991</v>
      </c>
      <c r="H17" s="37">
        <f t="shared" si="4"/>
        <v>307187.2199999998</v>
      </c>
      <c r="I17" s="37">
        <f t="shared" si="4"/>
        <v>175918.00999999966</v>
      </c>
      <c r="J17" s="37">
        <f t="shared" si="4"/>
        <v>346041.48999999859</v>
      </c>
      <c r="K17" s="37">
        <f t="shared" si="4"/>
        <v>99462.649999999921</v>
      </c>
      <c r="L17" s="37">
        <f t="shared" si="4"/>
        <v>207378.42000000039</v>
      </c>
      <c r="M17" s="37">
        <f t="shared" si="4"/>
        <v>160120.2899999998</v>
      </c>
      <c r="N17" s="37">
        <f t="shared" si="4"/>
        <v>132242.9199999999</v>
      </c>
      <c r="O17" s="37">
        <f t="shared" si="4"/>
        <v>670063.37000000093</v>
      </c>
      <c r="P17" s="37">
        <f t="shared" si="4"/>
        <v>294604.70999999938</v>
      </c>
      <c r="Q17" s="37">
        <f t="shared" si="4"/>
        <v>392405.53999999899</v>
      </c>
      <c r="R17" s="37">
        <f t="shared" si="4"/>
        <v>111081.79999999996</v>
      </c>
      <c r="S17" s="37">
        <f t="shared" si="4"/>
        <v>88486.73000000001</v>
      </c>
      <c r="T17" s="36">
        <f t="shared" si="4"/>
        <v>0</v>
      </c>
      <c r="U17" s="36">
        <f t="shared" si="4"/>
        <v>0</v>
      </c>
      <c r="V17" s="36">
        <f t="shared" si="4"/>
        <v>0</v>
      </c>
      <c r="AA17" s="8"/>
    </row>
    <row r="18" spans="1:27" ht="15.75" hidden="1" outlineLevel="1" thickBot="1" x14ac:dyDescent="0.3">
      <c r="A18" s="9" t="str">
        <f t="shared" si="0"/>
        <v>Profit Front used</v>
      </c>
      <c r="B18" s="30" t="s">
        <v>35</v>
      </c>
      <c r="C18" s="31">
        <f>+SUM(D18:V18)</f>
        <v>688298.12999999977</v>
      </c>
      <c r="D18" s="32">
        <v>96225.669999999896</v>
      </c>
      <c r="E18" s="32">
        <v>0</v>
      </c>
      <c r="F18" s="32">
        <v>0</v>
      </c>
      <c r="G18" s="32">
        <v>32238.429999999982</v>
      </c>
      <c r="H18" s="32">
        <v>40435.299999999996</v>
      </c>
      <c r="I18" s="32">
        <v>40413.339999999997</v>
      </c>
      <c r="J18" s="32">
        <v>32720.740000000129</v>
      </c>
      <c r="K18" s="32">
        <v>772.47999999999797</v>
      </c>
      <c r="L18" s="32">
        <v>56404.330000000104</v>
      </c>
      <c r="M18" s="32">
        <v>43708.809999999983</v>
      </c>
      <c r="N18" s="32">
        <v>25162.12999999999</v>
      </c>
      <c r="O18" s="32">
        <v>82350.419999999896</v>
      </c>
      <c r="P18" s="32">
        <v>69292.41</v>
      </c>
      <c r="Q18" s="32">
        <v>122357.71999999988</v>
      </c>
      <c r="R18" s="32">
        <v>20783.819999999891</v>
      </c>
      <c r="S18" s="32">
        <v>25432.529999999901</v>
      </c>
      <c r="T18" s="32">
        <v>0</v>
      </c>
      <c r="U18" s="32">
        <v>0</v>
      </c>
      <c r="V18" s="32">
        <v>0</v>
      </c>
      <c r="AA18" s="8"/>
    </row>
    <row r="19" spans="1:27" ht="15.75" hidden="1" outlineLevel="1" thickBot="1" x14ac:dyDescent="0.3">
      <c r="A19" s="9" t="str">
        <f t="shared" si="0"/>
        <v>Profit US</v>
      </c>
      <c r="B19" s="30" t="s">
        <v>36</v>
      </c>
      <c r="C19" s="31">
        <f>+SUM(D19:V19)</f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AA19" s="8"/>
    </row>
    <row r="20" spans="1:27" ht="15.75" hidden="1" outlineLevel="1" thickBot="1" x14ac:dyDescent="0.3">
      <c r="A20" s="9" t="str">
        <f t="shared" si="0"/>
        <v>Profit Wholesale</v>
      </c>
      <c r="B20" s="30" t="s">
        <v>37</v>
      </c>
      <c r="C20" s="31">
        <f>+SUM(D20:V20)</f>
        <v>263022.76999999961</v>
      </c>
      <c r="D20" s="32">
        <v>50711.699999999903</v>
      </c>
      <c r="E20" s="32">
        <v>0</v>
      </c>
      <c r="F20" s="32">
        <v>0</v>
      </c>
      <c r="G20" s="32">
        <v>9714.4199999999892</v>
      </c>
      <c r="H20" s="32">
        <v>22101.1699999999</v>
      </c>
      <c r="I20" s="32">
        <v>9475.1999999999498</v>
      </c>
      <c r="J20" s="32">
        <v>-2833.0499999999802</v>
      </c>
      <c r="K20" s="32">
        <v>-591.5</v>
      </c>
      <c r="L20" s="32">
        <v>6925.5899999999301</v>
      </c>
      <c r="M20" s="32">
        <v>16429.4899999999</v>
      </c>
      <c r="N20" s="32">
        <v>11542.51</v>
      </c>
      <c r="O20" s="32">
        <v>79128.25</v>
      </c>
      <c r="P20" s="32">
        <v>20161.919999999998</v>
      </c>
      <c r="Q20" s="32">
        <v>22862.05</v>
      </c>
      <c r="R20" s="32">
        <v>17395.02</v>
      </c>
      <c r="S20" s="32">
        <v>0</v>
      </c>
      <c r="T20" s="32">
        <v>0</v>
      </c>
      <c r="U20" s="32">
        <v>0</v>
      </c>
      <c r="V20" s="32">
        <v>0</v>
      </c>
      <c r="AA20" s="8"/>
    </row>
    <row r="21" spans="1:27" ht="15.75" hidden="1" outlineLevel="1" thickBot="1" x14ac:dyDescent="0.3">
      <c r="A21" s="9" t="str">
        <f t="shared" si="0"/>
        <v>Profit F&amp;I used</v>
      </c>
      <c r="B21" s="30" t="s">
        <v>38</v>
      </c>
      <c r="C21" s="31">
        <f>+SUM(D21:V21)</f>
        <v>476896.69999999931</v>
      </c>
      <c r="D21" s="32">
        <v>54415.619999999901</v>
      </c>
      <c r="E21" s="32">
        <v>0</v>
      </c>
      <c r="F21" s="32">
        <v>0</v>
      </c>
      <c r="G21" s="32">
        <v>19485.990000000002</v>
      </c>
      <c r="H21" s="32">
        <v>27447.629999999899</v>
      </c>
      <c r="I21" s="32">
        <v>31037.059999999899</v>
      </c>
      <c r="J21" s="32">
        <v>62150.11</v>
      </c>
      <c r="K21" s="32">
        <v>10279.73</v>
      </c>
      <c r="L21" s="32">
        <v>42786.96</v>
      </c>
      <c r="M21" s="32">
        <v>35363.599999999999</v>
      </c>
      <c r="N21" s="32">
        <v>24621.67</v>
      </c>
      <c r="O21" s="32">
        <v>46716.78</v>
      </c>
      <c r="P21" s="32">
        <v>31841.4899999999</v>
      </c>
      <c r="Q21" s="32">
        <v>53904.7599999999</v>
      </c>
      <c r="R21" s="32">
        <v>13293.369999999901</v>
      </c>
      <c r="S21" s="32">
        <v>23551.93</v>
      </c>
      <c r="T21" s="32">
        <v>0</v>
      </c>
      <c r="U21" s="32">
        <v>0</v>
      </c>
      <c r="V21" s="32">
        <v>0</v>
      </c>
      <c r="AA21" s="8"/>
    </row>
    <row r="22" spans="1:27" ht="15.75" hidden="1" outlineLevel="1" thickBot="1" x14ac:dyDescent="0.3">
      <c r="A22" s="9"/>
      <c r="B22" s="16" t="s">
        <v>39</v>
      </c>
      <c r="C22" s="36">
        <f>+SUM(C18:C21)</f>
        <v>1428217.5999999987</v>
      </c>
      <c r="D22" s="37">
        <f>+SUM(D18:D21)</f>
        <v>201352.9899999997</v>
      </c>
      <c r="E22" s="37">
        <f t="shared" ref="E22:V22" si="5">+SUM(E18:E21)</f>
        <v>0</v>
      </c>
      <c r="F22" s="37">
        <f t="shared" si="5"/>
        <v>0</v>
      </c>
      <c r="G22" s="37">
        <f t="shared" si="5"/>
        <v>61438.839999999967</v>
      </c>
      <c r="H22" s="37">
        <f t="shared" si="5"/>
        <v>89984.099999999802</v>
      </c>
      <c r="I22" s="37">
        <f t="shared" si="5"/>
        <v>80925.599999999846</v>
      </c>
      <c r="J22" s="37">
        <f t="shared" si="5"/>
        <v>92037.800000000148</v>
      </c>
      <c r="K22" s="37">
        <f t="shared" si="5"/>
        <v>10460.709999999997</v>
      </c>
      <c r="L22" s="37">
        <f t="shared" si="5"/>
        <v>106116.88000000003</v>
      </c>
      <c r="M22" s="37">
        <f t="shared" si="5"/>
        <v>95501.899999999878</v>
      </c>
      <c r="N22" s="37">
        <f t="shared" si="5"/>
        <v>61326.30999999999</v>
      </c>
      <c r="O22" s="37">
        <f t="shared" si="5"/>
        <v>208195.4499999999</v>
      </c>
      <c r="P22" s="37">
        <f t="shared" si="5"/>
        <v>121295.81999999991</v>
      </c>
      <c r="Q22" s="37">
        <f t="shared" si="5"/>
        <v>199124.52999999977</v>
      </c>
      <c r="R22" s="37">
        <f t="shared" si="5"/>
        <v>51472.209999999795</v>
      </c>
      <c r="S22" s="37">
        <f t="shared" si="5"/>
        <v>48984.459999999905</v>
      </c>
      <c r="T22" s="36">
        <f t="shared" si="5"/>
        <v>0</v>
      </c>
      <c r="U22" s="36">
        <f t="shared" si="5"/>
        <v>0</v>
      </c>
      <c r="V22" s="36">
        <f t="shared" si="5"/>
        <v>0</v>
      </c>
      <c r="AA22" s="8"/>
    </row>
    <row r="23" spans="1:27" ht="15.75" hidden="1" outlineLevel="1" thickBot="1" x14ac:dyDescent="0.3">
      <c r="A23" s="9"/>
      <c r="B23" s="27" t="s">
        <v>40</v>
      </c>
      <c r="C23" s="28">
        <f>+C22+C17</f>
        <v>4996236.1099999947</v>
      </c>
      <c r="D23" s="38">
        <f t="shared" ref="D23:S23" si="6">+D22+D17</f>
        <v>721768.85999999871</v>
      </c>
      <c r="E23" s="38">
        <f t="shared" si="6"/>
        <v>0</v>
      </c>
      <c r="F23" s="38">
        <f t="shared" si="6"/>
        <v>0</v>
      </c>
      <c r="G23" s="38">
        <f t="shared" si="6"/>
        <v>124048.32999999996</v>
      </c>
      <c r="H23" s="38">
        <f t="shared" si="6"/>
        <v>397171.3199999996</v>
      </c>
      <c r="I23" s="38">
        <f t="shared" si="6"/>
        <v>256843.60999999952</v>
      </c>
      <c r="J23" s="38">
        <f t="shared" si="6"/>
        <v>438079.28999999876</v>
      </c>
      <c r="K23" s="38">
        <f t="shared" si="6"/>
        <v>109923.35999999991</v>
      </c>
      <c r="L23" s="38">
        <f t="shared" si="6"/>
        <v>313495.3000000004</v>
      </c>
      <c r="M23" s="38">
        <f t="shared" si="6"/>
        <v>255622.18999999968</v>
      </c>
      <c r="N23" s="38">
        <f t="shared" si="6"/>
        <v>193569.22999999989</v>
      </c>
      <c r="O23" s="38">
        <f t="shared" si="6"/>
        <v>878258.82000000076</v>
      </c>
      <c r="P23" s="38">
        <f t="shared" si="6"/>
        <v>415900.52999999927</v>
      </c>
      <c r="Q23" s="38">
        <f t="shared" si="6"/>
        <v>591530.06999999878</v>
      </c>
      <c r="R23" s="38">
        <f t="shared" si="6"/>
        <v>162554.00999999975</v>
      </c>
      <c r="S23" s="38">
        <f t="shared" si="6"/>
        <v>137471.18999999992</v>
      </c>
      <c r="T23" s="28"/>
      <c r="U23" s="28"/>
      <c r="V23" s="28"/>
      <c r="AA23" s="8"/>
    </row>
    <row r="24" spans="1:27" ht="15.75" hidden="1" outlineLevel="1" collapsed="1" thickBot="1" x14ac:dyDescent="0.3">
      <c r="A24" s="9"/>
      <c r="B24" s="39" t="s">
        <v>41</v>
      </c>
      <c r="C24" s="40">
        <f t="shared" ref="C24:V24" si="7">IFERROR(C13/C5,0)</f>
        <v>2431.1745760869539</v>
      </c>
      <c r="D24" s="41">
        <f t="shared" si="7"/>
        <v>1848.7098192771036</v>
      </c>
      <c r="E24" s="41">
        <f t="shared" si="7"/>
        <v>0</v>
      </c>
      <c r="F24" s="41">
        <f t="shared" si="7"/>
        <v>0</v>
      </c>
      <c r="G24" s="41">
        <f t="shared" si="7"/>
        <v>602.45818181818458</v>
      </c>
      <c r="H24" s="41">
        <f t="shared" si="7"/>
        <v>2701.1598765432086</v>
      </c>
      <c r="I24" s="41">
        <f t="shared" si="7"/>
        <v>2131.6562745097976</v>
      </c>
      <c r="J24" s="41">
        <f t="shared" si="7"/>
        <v>2455.2990217391261</v>
      </c>
      <c r="K24" s="41">
        <f t="shared" si="7"/>
        <v>1798.4205000000006</v>
      </c>
      <c r="L24" s="41">
        <f t="shared" si="7"/>
        <v>1854.5786440678032</v>
      </c>
      <c r="M24" s="41">
        <f t="shared" si="7"/>
        <v>2227.1824999999958</v>
      </c>
      <c r="N24" s="41">
        <f t="shared" si="7"/>
        <v>3193.8313793103412</v>
      </c>
      <c r="O24" s="41">
        <f t="shared" si="7"/>
        <v>2984.577908496738</v>
      </c>
      <c r="P24" s="41">
        <f t="shared" si="7"/>
        <v>2412.4790384615253</v>
      </c>
      <c r="Q24" s="41">
        <f t="shared" si="7"/>
        <v>3835.848701298688</v>
      </c>
      <c r="R24" s="41">
        <f t="shared" si="7"/>
        <v>2582.7374999999979</v>
      </c>
      <c r="S24" s="42">
        <f t="shared" si="7"/>
        <v>2374.1184210526317</v>
      </c>
      <c r="T24" s="29">
        <f t="shared" si="7"/>
        <v>0</v>
      </c>
      <c r="U24" s="38">
        <f t="shared" si="7"/>
        <v>0</v>
      </c>
      <c r="V24" s="38">
        <f t="shared" si="7"/>
        <v>0</v>
      </c>
      <c r="AA24" s="8"/>
    </row>
    <row r="25" spans="1:27" ht="15.75" hidden="1" outlineLevel="1" thickBot="1" x14ac:dyDescent="0.3">
      <c r="A25" s="9"/>
      <c r="B25" s="43" t="s">
        <v>42</v>
      </c>
      <c r="C25" s="31">
        <f t="shared" ref="C25:V25" si="8">IFERROR(C15/C6,0)</f>
        <v>4462.458965517244</v>
      </c>
      <c r="D25" s="44">
        <f t="shared" si="8"/>
        <v>767.42800000000193</v>
      </c>
      <c r="E25" s="44">
        <f t="shared" si="8"/>
        <v>0</v>
      </c>
      <c r="F25" s="44">
        <f t="shared" si="8"/>
        <v>0</v>
      </c>
      <c r="G25" s="44">
        <f t="shared" si="8"/>
        <v>0</v>
      </c>
      <c r="H25" s="44">
        <f t="shared" si="8"/>
        <v>8990.19</v>
      </c>
      <c r="I25" s="44">
        <f t="shared" si="8"/>
        <v>2106.1833333333266</v>
      </c>
      <c r="J25" s="44">
        <f t="shared" si="8"/>
        <v>3102.7649999999949</v>
      </c>
      <c r="K25" s="44">
        <f t="shared" si="8"/>
        <v>-1005.025</v>
      </c>
      <c r="L25" s="44">
        <f t="shared" si="8"/>
        <v>-86.472500000003251</v>
      </c>
      <c r="M25" s="44">
        <f t="shared" si="8"/>
        <v>3127.77</v>
      </c>
      <c r="N25" s="44">
        <f t="shared" si="8"/>
        <v>0</v>
      </c>
      <c r="O25" s="44">
        <f t="shared" si="8"/>
        <v>0</v>
      </c>
      <c r="P25" s="44">
        <f t="shared" si="8"/>
        <v>14599.000000000016</v>
      </c>
      <c r="Q25" s="44">
        <f t="shared" si="8"/>
        <v>4249.55</v>
      </c>
      <c r="R25" s="44">
        <f t="shared" si="8"/>
        <v>2772.25</v>
      </c>
      <c r="S25" s="45">
        <f t="shared" si="8"/>
        <v>0</v>
      </c>
      <c r="T25" s="32">
        <f t="shared" si="8"/>
        <v>0</v>
      </c>
      <c r="U25" s="44">
        <f t="shared" si="8"/>
        <v>0</v>
      </c>
      <c r="V25" s="44">
        <f t="shared" si="8"/>
        <v>0</v>
      </c>
      <c r="AA25" s="8"/>
    </row>
    <row r="26" spans="1:27" ht="15.75" hidden="1" outlineLevel="1" thickBot="1" x14ac:dyDescent="0.3">
      <c r="A26" s="9"/>
      <c r="B26" s="43" t="s">
        <v>43</v>
      </c>
      <c r="C26" s="31">
        <f t="shared" ref="C26:V26" si="9">IFERROR(C16/C5,0)</f>
        <v>1242.7910108695639</v>
      </c>
      <c r="D26" s="44">
        <f t="shared" si="9"/>
        <v>1152.5931325301203</v>
      </c>
      <c r="E26" s="44">
        <f t="shared" si="9"/>
        <v>0</v>
      </c>
      <c r="F26" s="44">
        <f t="shared" si="9"/>
        <v>0</v>
      </c>
      <c r="G26" s="44">
        <f t="shared" si="9"/>
        <v>1144.7687878787849</v>
      </c>
      <c r="H26" s="44">
        <f t="shared" si="9"/>
        <v>952.96345679012234</v>
      </c>
      <c r="I26" s="44">
        <f t="shared" si="9"/>
        <v>1006.3723529411765</v>
      </c>
      <c r="J26" s="44">
        <f t="shared" si="9"/>
        <v>1140.8392391304239</v>
      </c>
      <c r="K26" s="44">
        <f t="shared" si="9"/>
        <v>738.39699999999743</v>
      </c>
      <c r="L26" s="44">
        <f t="shared" si="9"/>
        <v>1547.6977966101695</v>
      </c>
      <c r="M26" s="44">
        <f t="shared" si="9"/>
        <v>1238.0770454545454</v>
      </c>
      <c r="N26" s="44">
        <f t="shared" si="9"/>
        <v>1297.3727586206896</v>
      </c>
      <c r="O26" s="44">
        <f t="shared" si="9"/>
        <v>1394.9212418300654</v>
      </c>
      <c r="P26" s="44">
        <f t="shared" si="9"/>
        <v>1567.0223076923078</v>
      </c>
      <c r="Q26" s="44">
        <f t="shared" si="9"/>
        <v>1158.7333766233767</v>
      </c>
      <c r="R26" s="44">
        <f t="shared" si="9"/>
        <v>1672.0562499999999</v>
      </c>
      <c r="S26" s="45">
        <f t="shared" si="9"/>
        <v>2293.6042105263159</v>
      </c>
      <c r="T26" s="35">
        <f t="shared" si="9"/>
        <v>0</v>
      </c>
      <c r="U26" s="46">
        <f t="shared" si="9"/>
        <v>0</v>
      </c>
      <c r="V26" s="46">
        <f t="shared" si="9"/>
        <v>0</v>
      </c>
      <c r="AA26" s="8"/>
    </row>
    <row r="27" spans="1:27" ht="15.75" hidden="1" outlineLevel="1" thickBot="1" x14ac:dyDescent="0.3">
      <c r="A27" s="9"/>
      <c r="B27" s="47" t="s">
        <v>44</v>
      </c>
      <c r="C27" s="48">
        <f>SUM(C24,C26)</f>
        <v>3673.9655869565177</v>
      </c>
      <c r="D27" s="49">
        <f t="shared" ref="D27:V27" si="10">SUM(D24,D26)</f>
        <v>3001.302951807224</v>
      </c>
      <c r="E27" s="49">
        <f t="shared" si="10"/>
        <v>0</v>
      </c>
      <c r="F27" s="49">
        <f t="shared" si="10"/>
        <v>0</v>
      </c>
      <c r="G27" s="49">
        <f t="shared" si="10"/>
        <v>1747.2269696969695</v>
      </c>
      <c r="H27" s="49">
        <f t="shared" si="10"/>
        <v>3654.1233333333312</v>
      </c>
      <c r="I27" s="49">
        <f t="shared" si="10"/>
        <v>3138.028627450974</v>
      </c>
      <c r="J27" s="49">
        <f t="shared" si="10"/>
        <v>3596.1382608695503</v>
      </c>
      <c r="K27" s="49">
        <f t="shared" si="10"/>
        <v>2536.8174999999983</v>
      </c>
      <c r="L27" s="49">
        <f t="shared" si="10"/>
        <v>3402.2764406779725</v>
      </c>
      <c r="M27" s="49">
        <f t="shared" si="10"/>
        <v>3465.2595454545412</v>
      </c>
      <c r="N27" s="49">
        <f t="shared" si="10"/>
        <v>4491.2041379310303</v>
      </c>
      <c r="O27" s="49">
        <f t="shared" si="10"/>
        <v>4379.4991503268029</v>
      </c>
      <c r="P27" s="49">
        <f t="shared" si="10"/>
        <v>3979.5013461538329</v>
      </c>
      <c r="Q27" s="49">
        <f t="shared" si="10"/>
        <v>4994.5820779220649</v>
      </c>
      <c r="R27" s="49">
        <f t="shared" si="10"/>
        <v>4254.793749999998</v>
      </c>
      <c r="S27" s="50">
        <f t="shared" si="10"/>
        <v>4667.7226315789476</v>
      </c>
      <c r="T27" s="51">
        <f t="shared" si="10"/>
        <v>0</v>
      </c>
      <c r="U27" s="37">
        <f t="shared" si="10"/>
        <v>0</v>
      </c>
      <c r="V27" s="37">
        <f t="shared" si="10"/>
        <v>0</v>
      </c>
      <c r="AA27" s="8"/>
    </row>
    <row r="28" spans="1:27" collapsed="1" x14ac:dyDescent="0.25">
      <c r="A28" s="9"/>
      <c r="B28" s="52" t="s">
        <v>45</v>
      </c>
      <c r="C28" s="53">
        <f t="shared" ref="C28:V31" si="11">IFERROR(C17/C7,0)</f>
        <v>3759.7666069546849</v>
      </c>
      <c r="D28" s="54">
        <f t="shared" si="11"/>
        <v>3043.3676608187079</v>
      </c>
      <c r="E28" s="54">
        <f t="shared" si="11"/>
        <v>0</v>
      </c>
      <c r="F28" s="54">
        <f t="shared" si="11"/>
        <v>0</v>
      </c>
      <c r="G28" s="54">
        <f t="shared" si="11"/>
        <v>1897.2572727272725</v>
      </c>
      <c r="H28" s="54">
        <f t="shared" si="11"/>
        <v>3746.1856097560949</v>
      </c>
      <c r="I28" s="54">
        <f t="shared" si="11"/>
        <v>3257.7409259259198</v>
      </c>
      <c r="J28" s="54">
        <f t="shared" si="11"/>
        <v>3681.2924468084957</v>
      </c>
      <c r="K28" s="54">
        <f t="shared" si="11"/>
        <v>2368.1583333333315</v>
      </c>
      <c r="L28" s="54">
        <f t="shared" si="11"/>
        <v>3291.7209523809588</v>
      </c>
      <c r="M28" s="54">
        <f t="shared" si="11"/>
        <v>3480.8758695652132</v>
      </c>
      <c r="N28" s="54">
        <f t="shared" si="11"/>
        <v>4560.1006896551689</v>
      </c>
      <c r="O28" s="54">
        <f t="shared" si="11"/>
        <v>4379.4991503268038</v>
      </c>
      <c r="P28" s="54">
        <f t="shared" si="11"/>
        <v>5079.3915517241276</v>
      </c>
      <c r="Q28" s="54">
        <f t="shared" si="11"/>
        <v>5030.8402564102435</v>
      </c>
      <c r="R28" s="54">
        <f t="shared" si="11"/>
        <v>4114.1407407407396</v>
      </c>
      <c r="S28" s="55">
        <f t="shared" si="11"/>
        <v>4657.1963157894743</v>
      </c>
      <c r="T28" s="56">
        <f t="shared" si="11"/>
        <v>0</v>
      </c>
      <c r="U28" s="36">
        <f t="shared" si="11"/>
        <v>0</v>
      </c>
      <c r="V28" s="36">
        <f t="shared" si="11"/>
        <v>0</v>
      </c>
      <c r="AA28" s="8"/>
    </row>
    <row r="29" spans="1:27" hidden="1" outlineLevel="1" x14ac:dyDescent="0.25">
      <c r="A29" s="9"/>
      <c r="B29" s="43" t="s">
        <v>46</v>
      </c>
      <c r="C29" s="31">
        <f t="shared" si="11"/>
        <v>1933.4217134831454</v>
      </c>
      <c r="D29" s="44">
        <f t="shared" si="11"/>
        <v>2004.7014583333312</v>
      </c>
      <c r="E29" s="44">
        <f t="shared" si="11"/>
        <v>0</v>
      </c>
      <c r="F29" s="44">
        <f t="shared" si="11"/>
        <v>0</v>
      </c>
      <c r="G29" s="44">
        <f t="shared" si="11"/>
        <v>1791.023888888888</v>
      </c>
      <c r="H29" s="44">
        <f t="shared" si="11"/>
        <v>2246.4055555555551</v>
      </c>
      <c r="I29" s="44">
        <f t="shared" si="11"/>
        <v>2694.2226666666666</v>
      </c>
      <c r="J29" s="44">
        <f t="shared" si="11"/>
        <v>962.37470588235669</v>
      </c>
      <c r="K29" s="44">
        <f t="shared" si="11"/>
        <v>77.247999999999791</v>
      </c>
      <c r="L29" s="44">
        <f t="shared" si="11"/>
        <v>1819.4945161290357</v>
      </c>
      <c r="M29" s="44">
        <f t="shared" si="11"/>
        <v>1507.2003448275857</v>
      </c>
      <c r="N29" s="44">
        <f t="shared" si="11"/>
        <v>1797.2949999999994</v>
      </c>
      <c r="O29" s="44">
        <f t="shared" si="11"/>
        <v>1680.6208163265285</v>
      </c>
      <c r="P29" s="44">
        <f t="shared" si="11"/>
        <v>3012.7134782608696</v>
      </c>
      <c r="Q29" s="44">
        <f t="shared" si="11"/>
        <v>2984.3346341463384</v>
      </c>
      <c r="R29" s="44">
        <f t="shared" si="11"/>
        <v>4156.7639999999783</v>
      </c>
      <c r="S29" s="45">
        <f t="shared" si="11"/>
        <v>1211.0728571428524</v>
      </c>
      <c r="T29" s="32">
        <f>IFERROR(T18/T5,0)</f>
        <v>0</v>
      </c>
      <c r="U29" s="44">
        <f>IFERROR(U18/U5,0)</f>
        <v>0</v>
      </c>
      <c r="V29" s="44">
        <f>IFERROR(V18/V5,0)</f>
        <v>0</v>
      </c>
      <c r="AA29" s="8"/>
    </row>
    <row r="30" spans="1:27" hidden="1" outlineLevel="1" x14ac:dyDescent="0.25">
      <c r="A30" s="9"/>
      <c r="B30" s="43" t="s">
        <v>47</v>
      </c>
      <c r="C30" s="31">
        <f t="shared" si="11"/>
        <v>0</v>
      </c>
      <c r="D30" s="44">
        <f t="shared" si="11"/>
        <v>0</v>
      </c>
      <c r="E30" s="44">
        <f t="shared" si="11"/>
        <v>0</v>
      </c>
      <c r="F30" s="44">
        <f t="shared" si="11"/>
        <v>0</v>
      </c>
      <c r="G30" s="44">
        <f t="shared" si="11"/>
        <v>0</v>
      </c>
      <c r="H30" s="44">
        <f t="shared" si="11"/>
        <v>0</v>
      </c>
      <c r="I30" s="44">
        <f t="shared" si="11"/>
        <v>0</v>
      </c>
      <c r="J30" s="44">
        <f t="shared" si="11"/>
        <v>0</v>
      </c>
      <c r="K30" s="44">
        <f t="shared" si="11"/>
        <v>0</v>
      </c>
      <c r="L30" s="44">
        <f t="shared" si="11"/>
        <v>0</v>
      </c>
      <c r="M30" s="44">
        <f t="shared" si="11"/>
        <v>0</v>
      </c>
      <c r="N30" s="44">
        <f t="shared" si="11"/>
        <v>0</v>
      </c>
      <c r="O30" s="44">
        <f t="shared" si="11"/>
        <v>0</v>
      </c>
      <c r="P30" s="44">
        <f t="shared" si="11"/>
        <v>0</v>
      </c>
      <c r="Q30" s="44">
        <f t="shared" si="11"/>
        <v>0</v>
      </c>
      <c r="R30" s="44">
        <f t="shared" si="11"/>
        <v>0</v>
      </c>
      <c r="S30" s="45">
        <f t="shared" si="11"/>
        <v>0</v>
      </c>
      <c r="T30" s="32">
        <f t="shared" si="11"/>
        <v>0</v>
      </c>
      <c r="U30" s="44">
        <f t="shared" si="11"/>
        <v>0</v>
      </c>
      <c r="V30" s="44">
        <f t="shared" si="11"/>
        <v>0</v>
      </c>
      <c r="AA30" s="8"/>
    </row>
    <row r="31" spans="1:27" hidden="1" outlineLevel="1" x14ac:dyDescent="0.25">
      <c r="A31" s="9"/>
      <c r="B31" s="43" t="s">
        <v>48</v>
      </c>
      <c r="C31" s="31">
        <f t="shared" si="11"/>
        <v>664.19891414141318</v>
      </c>
      <c r="D31" s="44">
        <f t="shared" si="11"/>
        <v>724.45285714285581</v>
      </c>
      <c r="E31" s="44">
        <f t="shared" si="11"/>
        <v>0</v>
      </c>
      <c r="F31" s="44">
        <f t="shared" si="11"/>
        <v>0</v>
      </c>
      <c r="G31" s="44">
        <f t="shared" si="11"/>
        <v>1387.7742857142841</v>
      </c>
      <c r="H31" s="44">
        <f t="shared" si="11"/>
        <v>818.56185185184813</v>
      </c>
      <c r="I31" s="44">
        <f t="shared" si="11"/>
        <v>182.21538461538364</v>
      </c>
      <c r="J31" s="44">
        <f t="shared" si="11"/>
        <v>-97.691379310344146</v>
      </c>
      <c r="K31" s="44">
        <f t="shared" si="11"/>
        <v>-49.291666666666664</v>
      </c>
      <c r="L31" s="44">
        <f t="shared" si="11"/>
        <v>266.36884615384349</v>
      </c>
      <c r="M31" s="44">
        <f t="shared" si="11"/>
        <v>714.32565217390868</v>
      </c>
      <c r="N31" s="44">
        <f t="shared" si="11"/>
        <v>577.12549999999999</v>
      </c>
      <c r="O31" s="44">
        <f t="shared" si="11"/>
        <v>1683.5797872340424</v>
      </c>
      <c r="P31" s="44">
        <f t="shared" si="11"/>
        <v>1550.916923076923</v>
      </c>
      <c r="Q31" s="44">
        <f t="shared" si="11"/>
        <v>571.55124999999998</v>
      </c>
      <c r="R31" s="44">
        <f t="shared" si="11"/>
        <v>756.30521739130438</v>
      </c>
      <c r="S31" s="45">
        <f t="shared" si="11"/>
        <v>0</v>
      </c>
      <c r="T31" s="32">
        <f t="shared" si="11"/>
        <v>0</v>
      </c>
      <c r="U31" s="44">
        <f t="shared" si="11"/>
        <v>0</v>
      </c>
      <c r="V31" s="44">
        <f t="shared" si="11"/>
        <v>0</v>
      </c>
      <c r="AA31" s="8"/>
    </row>
    <row r="32" spans="1:27" hidden="1" outlineLevel="1" x14ac:dyDescent="0.25">
      <c r="A32" s="9"/>
      <c r="B32" s="43" t="s">
        <v>49</v>
      </c>
      <c r="C32" s="31">
        <f t="shared" ref="C32:V32" si="12">IFERROR(C21/C8,0)</f>
        <v>1339.5974719101105</v>
      </c>
      <c r="D32" s="44">
        <f t="shared" si="12"/>
        <v>1133.658749999998</v>
      </c>
      <c r="E32" s="44">
        <f t="shared" si="12"/>
        <v>0</v>
      </c>
      <c r="F32" s="44">
        <f t="shared" si="12"/>
        <v>0</v>
      </c>
      <c r="G32" s="44">
        <f t="shared" si="12"/>
        <v>1082.5550000000001</v>
      </c>
      <c r="H32" s="44">
        <f t="shared" si="12"/>
        <v>1524.8683333333277</v>
      </c>
      <c r="I32" s="44">
        <f t="shared" si="12"/>
        <v>2069.1373333333268</v>
      </c>
      <c r="J32" s="44">
        <f t="shared" si="12"/>
        <v>1827.9444117647058</v>
      </c>
      <c r="K32" s="44">
        <f t="shared" si="12"/>
        <v>1027.973</v>
      </c>
      <c r="L32" s="44">
        <f t="shared" si="12"/>
        <v>1380.2245161290323</v>
      </c>
      <c r="M32" s="44">
        <f t="shared" si="12"/>
        <v>1219.4344827586206</v>
      </c>
      <c r="N32" s="44">
        <f t="shared" si="12"/>
        <v>1758.6907142857142</v>
      </c>
      <c r="O32" s="44">
        <f t="shared" si="12"/>
        <v>953.40367346938774</v>
      </c>
      <c r="P32" s="44">
        <f t="shared" si="12"/>
        <v>1384.4126086956478</v>
      </c>
      <c r="Q32" s="44">
        <f t="shared" si="12"/>
        <v>1314.7502439024365</v>
      </c>
      <c r="R32" s="44">
        <f t="shared" si="12"/>
        <v>2658.67399999998</v>
      </c>
      <c r="S32" s="45">
        <f t="shared" si="12"/>
        <v>1121.5204761904763</v>
      </c>
      <c r="T32" s="32">
        <f t="shared" si="12"/>
        <v>0</v>
      </c>
      <c r="U32" s="44">
        <f t="shared" si="12"/>
        <v>0</v>
      </c>
      <c r="V32" s="44">
        <f t="shared" si="12"/>
        <v>0</v>
      </c>
      <c r="AA32" s="8"/>
    </row>
    <row r="33" spans="1:27" hidden="1" outlineLevel="1" x14ac:dyDescent="0.25">
      <c r="A33" s="9"/>
      <c r="B33" s="57" t="s">
        <v>50</v>
      </c>
      <c r="C33" s="34">
        <f>SUM(C29,C32)</f>
        <v>3273.0191853932556</v>
      </c>
      <c r="D33" s="46">
        <f t="shared" ref="D33:V33" si="13">SUM(D29,D32)</f>
        <v>3138.360208333329</v>
      </c>
      <c r="E33" s="46">
        <f t="shared" si="13"/>
        <v>0</v>
      </c>
      <c r="F33" s="46">
        <f t="shared" si="13"/>
        <v>0</v>
      </c>
      <c r="G33" s="46">
        <f t="shared" si="13"/>
        <v>2873.5788888888883</v>
      </c>
      <c r="H33" s="46">
        <f t="shared" si="13"/>
        <v>3771.2738888888825</v>
      </c>
      <c r="I33" s="46">
        <f t="shared" si="13"/>
        <v>4763.3599999999933</v>
      </c>
      <c r="J33" s="46">
        <f t="shared" si="13"/>
        <v>2790.3191176470627</v>
      </c>
      <c r="K33" s="46">
        <f t="shared" si="13"/>
        <v>1105.2209999999998</v>
      </c>
      <c r="L33" s="46">
        <f t="shared" si="13"/>
        <v>3199.7190322580682</v>
      </c>
      <c r="M33" s="46">
        <f t="shared" si="13"/>
        <v>2726.6348275862065</v>
      </c>
      <c r="N33" s="46">
        <f t="shared" si="13"/>
        <v>3555.9857142857136</v>
      </c>
      <c r="O33" s="46">
        <f t="shared" si="13"/>
        <v>2634.0244897959165</v>
      </c>
      <c r="P33" s="46">
        <f t="shared" si="13"/>
        <v>4397.1260869565176</v>
      </c>
      <c r="Q33" s="46">
        <f t="shared" si="13"/>
        <v>4299.084878048775</v>
      </c>
      <c r="R33" s="46">
        <f t="shared" si="13"/>
        <v>6815.4379999999583</v>
      </c>
      <c r="S33" s="58">
        <f t="shared" si="13"/>
        <v>2332.5933333333287</v>
      </c>
      <c r="T33" s="51">
        <f t="shared" si="13"/>
        <v>0</v>
      </c>
      <c r="U33" s="37">
        <f t="shared" si="13"/>
        <v>0</v>
      </c>
      <c r="V33" s="36">
        <f t="shared" si="13"/>
        <v>0</v>
      </c>
      <c r="AA33" s="8"/>
    </row>
    <row r="34" spans="1:27" collapsed="1" x14ac:dyDescent="0.25">
      <c r="A34" s="9"/>
      <c r="B34" s="59" t="s">
        <v>51</v>
      </c>
      <c r="C34" s="36">
        <f t="shared" ref="C34:V35" si="14">IFERROR(C22/C11,0)</f>
        <v>1899.2255319148919</v>
      </c>
      <c r="D34" s="37">
        <f t="shared" si="14"/>
        <v>1706.3812711864382</v>
      </c>
      <c r="E34" s="37">
        <f t="shared" si="14"/>
        <v>0</v>
      </c>
      <c r="F34" s="37">
        <f t="shared" si="14"/>
        <v>0</v>
      </c>
      <c r="G34" s="37">
        <f t="shared" si="14"/>
        <v>2457.5535999999988</v>
      </c>
      <c r="H34" s="37">
        <f t="shared" si="14"/>
        <v>1999.6466666666622</v>
      </c>
      <c r="I34" s="37">
        <f t="shared" si="14"/>
        <v>1207.8447761194006</v>
      </c>
      <c r="J34" s="37">
        <f t="shared" si="14"/>
        <v>1460.9174603174627</v>
      </c>
      <c r="K34" s="37">
        <f t="shared" si="14"/>
        <v>475.48681818181808</v>
      </c>
      <c r="L34" s="37">
        <f t="shared" si="14"/>
        <v>1861.6996491228076</v>
      </c>
      <c r="M34" s="37">
        <f t="shared" si="14"/>
        <v>1836.5749999999975</v>
      </c>
      <c r="N34" s="37">
        <f t="shared" si="14"/>
        <v>1803.7149999999997</v>
      </c>
      <c r="O34" s="37">
        <f t="shared" si="14"/>
        <v>2168.7026041666654</v>
      </c>
      <c r="P34" s="37">
        <f t="shared" si="14"/>
        <v>3369.3283333333306</v>
      </c>
      <c r="Q34" s="37">
        <f t="shared" si="14"/>
        <v>2458.3275308641946</v>
      </c>
      <c r="R34" s="37">
        <f t="shared" si="14"/>
        <v>1838.2932142857069</v>
      </c>
      <c r="S34" s="60">
        <f t="shared" si="14"/>
        <v>1749.4449999999965</v>
      </c>
      <c r="T34" s="56">
        <f t="shared" si="14"/>
        <v>0</v>
      </c>
      <c r="U34" s="36">
        <f t="shared" si="14"/>
        <v>0</v>
      </c>
      <c r="V34" s="36">
        <f t="shared" si="14"/>
        <v>0</v>
      </c>
      <c r="AA34" s="8"/>
    </row>
    <row r="35" spans="1:27" ht="15.75" thickBot="1" x14ac:dyDescent="0.3">
      <c r="A35" s="9"/>
      <c r="B35" s="61" t="s">
        <v>52</v>
      </c>
      <c r="C35" s="62">
        <f t="shared" si="14"/>
        <v>2937.2346325690737</v>
      </c>
      <c r="D35" s="62">
        <f t="shared" si="14"/>
        <v>2497.470103806224</v>
      </c>
      <c r="E35" s="62">
        <f t="shared" si="14"/>
        <v>0</v>
      </c>
      <c r="F35" s="62">
        <f t="shared" si="14"/>
        <v>0</v>
      </c>
      <c r="G35" s="62">
        <f t="shared" si="14"/>
        <v>2138.7643103448268</v>
      </c>
      <c r="H35" s="62">
        <f t="shared" si="14"/>
        <v>3127.3332283464533</v>
      </c>
      <c r="I35" s="62">
        <f t="shared" si="14"/>
        <v>2122.6744628099132</v>
      </c>
      <c r="J35" s="62">
        <f t="shared" si="14"/>
        <v>2790.3139490445783</v>
      </c>
      <c r="K35" s="62">
        <f t="shared" si="14"/>
        <v>1717.5524999999986</v>
      </c>
      <c r="L35" s="62">
        <f t="shared" si="14"/>
        <v>2612.4608333333367</v>
      </c>
      <c r="M35" s="62">
        <f t="shared" si="14"/>
        <v>2608.3896938775479</v>
      </c>
      <c r="N35" s="62">
        <f t="shared" si="14"/>
        <v>3072.5274603174585</v>
      </c>
      <c r="O35" s="62">
        <f t="shared" si="14"/>
        <v>3527.1438554216898</v>
      </c>
      <c r="P35" s="62">
        <f t="shared" si="14"/>
        <v>4424.4737234042477</v>
      </c>
      <c r="Q35" s="62">
        <f t="shared" si="14"/>
        <v>3720.3149056603697</v>
      </c>
      <c r="R35" s="62">
        <f t="shared" si="14"/>
        <v>2955.5274545454499</v>
      </c>
      <c r="S35" s="63">
        <f t="shared" si="14"/>
        <v>2924.9189361702111</v>
      </c>
      <c r="T35" s="7"/>
      <c r="U35" s="7"/>
      <c r="V35" s="7"/>
      <c r="AA35" s="8"/>
    </row>
    <row r="36" spans="1:27" ht="5.25" customHeight="1" x14ac:dyDescent="0.25"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7" x14ac:dyDescent="0.25">
      <c r="B37" s="5" t="s">
        <v>61</v>
      </c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 t="s">
        <v>18</v>
      </c>
      <c r="U37" s="5" t="s">
        <v>19</v>
      </c>
      <c r="V37" s="5" t="s">
        <v>20</v>
      </c>
    </row>
    <row r="38" spans="1:27" hidden="1" outlineLevel="1" x14ac:dyDescent="0.25">
      <c r="A38" s="9"/>
      <c r="B38" s="10" t="s">
        <v>21</v>
      </c>
      <c r="C38" s="11">
        <f>+SUM(D38:V38)</f>
        <v>829</v>
      </c>
      <c r="D38" s="12">
        <v>138</v>
      </c>
      <c r="E38" s="12">
        <v>10</v>
      </c>
      <c r="F38" s="12">
        <v>0</v>
      </c>
      <c r="G38" s="12">
        <v>29</v>
      </c>
      <c r="H38" s="12">
        <v>75</v>
      </c>
      <c r="I38" s="12">
        <v>72</v>
      </c>
      <c r="J38" s="12">
        <v>65</v>
      </c>
      <c r="K38" s="12">
        <v>33</v>
      </c>
      <c r="L38" s="12">
        <v>51</v>
      </c>
      <c r="M38" s="12">
        <v>41</v>
      </c>
      <c r="N38" s="12">
        <v>25</v>
      </c>
      <c r="O38" s="12">
        <v>153</v>
      </c>
      <c r="P38" s="12">
        <v>45</v>
      </c>
      <c r="Q38" s="12">
        <v>54</v>
      </c>
      <c r="R38" s="12">
        <v>25</v>
      </c>
      <c r="S38" s="12">
        <v>13</v>
      </c>
      <c r="T38" s="12"/>
      <c r="U38" s="12">
        <v>0</v>
      </c>
      <c r="V38" s="12">
        <v>0</v>
      </c>
      <c r="AA38" s="8"/>
    </row>
    <row r="39" spans="1:27" hidden="1" outlineLevel="1" x14ac:dyDescent="0.25">
      <c r="A39" s="9"/>
      <c r="B39" s="13" t="s">
        <v>22</v>
      </c>
      <c r="C39" s="14">
        <f>+SUM(D39:V39)</f>
        <v>47</v>
      </c>
      <c r="D39" s="15">
        <v>5</v>
      </c>
      <c r="E39" s="15">
        <v>0</v>
      </c>
      <c r="F39" s="15">
        <v>0</v>
      </c>
      <c r="G39" s="15">
        <v>3</v>
      </c>
      <c r="H39" s="15">
        <v>2</v>
      </c>
      <c r="I39" s="15">
        <v>2</v>
      </c>
      <c r="J39" s="15">
        <v>6</v>
      </c>
      <c r="K39" s="15">
        <v>1</v>
      </c>
      <c r="L39" s="15">
        <v>2</v>
      </c>
      <c r="M39" s="15">
        <v>3</v>
      </c>
      <c r="N39" s="15">
        <v>0</v>
      </c>
      <c r="O39" s="15">
        <v>0</v>
      </c>
      <c r="P39" s="15">
        <v>12</v>
      </c>
      <c r="Q39" s="15">
        <v>1</v>
      </c>
      <c r="R39" s="15">
        <v>10</v>
      </c>
      <c r="S39" s="15">
        <v>0</v>
      </c>
      <c r="T39" s="15"/>
      <c r="U39" s="15">
        <v>0</v>
      </c>
      <c r="V39" s="15">
        <v>0</v>
      </c>
      <c r="AA39" s="8"/>
    </row>
    <row r="40" spans="1:27" collapsed="1" x14ac:dyDescent="0.25">
      <c r="A40" s="9"/>
      <c r="B40" s="16" t="s">
        <v>23</v>
      </c>
      <c r="C40" s="17">
        <f>SUM(C38:C39)</f>
        <v>876</v>
      </c>
      <c r="D40" s="18">
        <f t="shared" ref="D40:V40" si="15">SUM(D38:D39)</f>
        <v>143</v>
      </c>
      <c r="E40" s="18">
        <f t="shared" si="15"/>
        <v>10</v>
      </c>
      <c r="F40" s="18">
        <f t="shared" si="15"/>
        <v>0</v>
      </c>
      <c r="G40" s="18">
        <f t="shared" si="15"/>
        <v>32</v>
      </c>
      <c r="H40" s="18">
        <f t="shared" si="15"/>
        <v>77</v>
      </c>
      <c r="I40" s="18">
        <f t="shared" si="15"/>
        <v>74</v>
      </c>
      <c r="J40" s="18">
        <f t="shared" si="15"/>
        <v>71</v>
      </c>
      <c r="K40" s="18">
        <f t="shared" si="15"/>
        <v>34</v>
      </c>
      <c r="L40" s="18">
        <f t="shared" si="15"/>
        <v>53</v>
      </c>
      <c r="M40" s="18">
        <f t="shared" si="15"/>
        <v>44</v>
      </c>
      <c r="N40" s="18">
        <f t="shared" si="15"/>
        <v>25</v>
      </c>
      <c r="O40" s="18">
        <f t="shared" si="15"/>
        <v>153</v>
      </c>
      <c r="P40" s="18">
        <f t="shared" si="15"/>
        <v>57</v>
      </c>
      <c r="Q40" s="18">
        <f t="shared" si="15"/>
        <v>55</v>
      </c>
      <c r="R40" s="18">
        <f t="shared" si="15"/>
        <v>35</v>
      </c>
      <c r="S40" s="18">
        <f t="shared" si="15"/>
        <v>13</v>
      </c>
      <c r="T40" s="19">
        <f t="shared" si="15"/>
        <v>0</v>
      </c>
      <c r="U40" s="19">
        <f t="shared" si="15"/>
        <v>0</v>
      </c>
      <c r="V40" s="19">
        <f t="shared" si="15"/>
        <v>0</v>
      </c>
      <c r="AA40" s="8"/>
    </row>
    <row r="41" spans="1:27" ht="14.25" hidden="1" customHeight="1" outlineLevel="1" x14ac:dyDescent="0.25">
      <c r="A41" s="9"/>
      <c r="B41" s="10" t="s">
        <v>24</v>
      </c>
      <c r="C41" s="11">
        <f>+SUM(D41:V41)</f>
        <v>401.51408049253223</v>
      </c>
      <c r="D41" s="12">
        <v>54</v>
      </c>
      <c r="E41" s="12">
        <v>10</v>
      </c>
      <c r="F41" s="12">
        <v>0</v>
      </c>
      <c r="G41" s="12">
        <v>17</v>
      </c>
      <c r="H41" s="12">
        <v>34</v>
      </c>
      <c r="I41" s="12">
        <v>42</v>
      </c>
      <c r="J41" s="12">
        <v>27</v>
      </c>
      <c r="K41" s="12">
        <v>12</v>
      </c>
      <c r="L41" s="12">
        <v>22</v>
      </c>
      <c r="M41" s="12">
        <v>31</v>
      </c>
      <c r="N41" s="12">
        <v>18</v>
      </c>
      <c r="O41" s="12">
        <v>49</v>
      </c>
      <c r="P41" s="12">
        <v>33</v>
      </c>
      <c r="Q41" s="12">
        <v>24</v>
      </c>
      <c r="R41" s="12">
        <v>8.5140804925322087</v>
      </c>
      <c r="S41" s="12">
        <v>20</v>
      </c>
      <c r="T41" s="20">
        <v>0</v>
      </c>
      <c r="U41" s="20">
        <v>0</v>
      </c>
      <c r="V41" s="20">
        <v>0</v>
      </c>
      <c r="AA41" s="8"/>
    </row>
    <row r="42" spans="1:27" hidden="1" outlineLevel="1" x14ac:dyDescent="0.25">
      <c r="A42" s="9"/>
      <c r="B42" s="13" t="s">
        <v>25</v>
      </c>
      <c r="C42" s="14">
        <f>+SUM(D42:V42)</f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21">
        <v>0</v>
      </c>
      <c r="U42" s="21">
        <v>0</v>
      </c>
      <c r="V42" s="21">
        <v>0</v>
      </c>
      <c r="AA42" s="8"/>
    </row>
    <row r="43" spans="1:27" hidden="1" outlineLevel="1" x14ac:dyDescent="0.25">
      <c r="A43" s="9"/>
      <c r="B43" s="13" t="s">
        <v>26</v>
      </c>
      <c r="C43" s="22">
        <f>+SUM(D43:V43)</f>
        <v>398.08133031581349</v>
      </c>
      <c r="D43" s="23">
        <v>70</v>
      </c>
      <c r="E43" s="23">
        <v>10</v>
      </c>
      <c r="F43" s="23">
        <v>0</v>
      </c>
      <c r="G43" s="23">
        <v>7</v>
      </c>
      <c r="H43" s="23">
        <v>20</v>
      </c>
      <c r="I43" s="23">
        <v>45</v>
      </c>
      <c r="J43" s="23">
        <v>26.3142</v>
      </c>
      <c r="K43" s="23">
        <v>15</v>
      </c>
      <c r="L43" s="23">
        <v>27</v>
      </c>
      <c r="M43" s="23">
        <v>23</v>
      </c>
      <c r="N43" s="23">
        <v>18</v>
      </c>
      <c r="O43" s="23">
        <v>53</v>
      </c>
      <c r="P43" s="23">
        <v>25</v>
      </c>
      <c r="Q43" s="23">
        <v>32</v>
      </c>
      <c r="R43" s="23">
        <v>21.767130315813478</v>
      </c>
      <c r="S43" s="23">
        <v>5</v>
      </c>
      <c r="T43" s="24">
        <v>0</v>
      </c>
      <c r="U43" s="24">
        <v>0</v>
      </c>
      <c r="V43" s="24">
        <v>0</v>
      </c>
      <c r="AA43" s="8"/>
    </row>
    <row r="44" spans="1:27" collapsed="1" x14ac:dyDescent="0.25">
      <c r="A44" s="9"/>
      <c r="B44" s="16" t="s">
        <v>27</v>
      </c>
      <c r="C44" s="17">
        <f>SUM(C41:C43)</f>
        <v>799.59541080834572</v>
      </c>
      <c r="D44" s="18">
        <f t="shared" ref="D44:V44" si="16">SUM(D41:D43)</f>
        <v>124</v>
      </c>
      <c r="E44" s="18">
        <f t="shared" si="16"/>
        <v>20</v>
      </c>
      <c r="F44" s="18">
        <f t="shared" si="16"/>
        <v>0</v>
      </c>
      <c r="G44" s="18">
        <f t="shared" si="16"/>
        <v>24</v>
      </c>
      <c r="H44" s="18">
        <f t="shared" si="16"/>
        <v>54</v>
      </c>
      <c r="I44" s="18">
        <f t="shared" si="16"/>
        <v>87</v>
      </c>
      <c r="J44" s="18">
        <f t="shared" si="16"/>
        <v>53.3142</v>
      </c>
      <c r="K44" s="18">
        <f t="shared" si="16"/>
        <v>27</v>
      </c>
      <c r="L44" s="18">
        <f t="shared" si="16"/>
        <v>49</v>
      </c>
      <c r="M44" s="18">
        <f t="shared" si="16"/>
        <v>54</v>
      </c>
      <c r="N44" s="18">
        <f t="shared" si="16"/>
        <v>36</v>
      </c>
      <c r="O44" s="18">
        <f t="shared" si="16"/>
        <v>102</v>
      </c>
      <c r="P44" s="18">
        <f t="shared" si="16"/>
        <v>58</v>
      </c>
      <c r="Q44" s="18">
        <f t="shared" si="16"/>
        <v>56</v>
      </c>
      <c r="R44" s="18">
        <f t="shared" si="16"/>
        <v>30.281210808345687</v>
      </c>
      <c r="S44" s="18">
        <f t="shared" si="16"/>
        <v>25</v>
      </c>
      <c r="T44" s="19">
        <f t="shared" si="16"/>
        <v>0</v>
      </c>
      <c r="U44" s="19">
        <f t="shared" si="16"/>
        <v>0</v>
      </c>
      <c r="V44" s="19">
        <f t="shared" si="16"/>
        <v>0</v>
      </c>
      <c r="AA44" s="8"/>
    </row>
    <row r="45" spans="1:27" ht="15.75" thickBot="1" x14ac:dyDescent="0.3">
      <c r="A45" s="9"/>
      <c r="B45" s="25" t="s">
        <v>28</v>
      </c>
      <c r="C45" s="11">
        <f>+C40+C44</f>
        <v>1675.5954108083456</v>
      </c>
      <c r="D45" s="11">
        <f t="shared" ref="D45:S45" si="17">+D40+D44</f>
        <v>267</v>
      </c>
      <c r="E45" s="11">
        <f t="shared" si="17"/>
        <v>30</v>
      </c>
      <c r="F45" s="11">
        <f t="shared" si="17"/>
        <v>0</v>
      </c>
      <c r="G45" s="11">
        <f t="shared" si="17"/>
        <v>56</v>
      </c>
      <c r="H45" s="11">
        <f t="shared" si="17"/>
        <v>131</v>
      </c>
      <c r="I45" s="11">
        <f t="shared" si="17"/>
        <v>161</v>
      </c>
      <c r="J45" s="11">
        <f t="shared" si="17"/>
        <v>124.3142</v>
      </c>
      <c r="K45" s="11">
        <f t="shared" si="17"/>
        <v>61</v>
      </c>
      <c r="L45" s="11">
        <f t="shared" si="17"/>
        <v>102</v>
      </c>
      <c r="M45" s="11">
        <f t="shared" si="17"/>
        <v>98</v>
      </c>
      <c r="N45" s="11">
        <f t="shared" si="17"/>
        <v>61</v>
      </c>
      <c r="O45" s="11">
        <f t="shared" si="17"/>
        <v>255</v>
      </c>
      <c r="P45" s="11">
        <f t="shared" si="17"/>
        <v>115</v>
      </c>
      <c r="Q45" s="11">
        <f t="shared" si="17"/>
        <v>111</v>
      </c>
      <c r="R45" s="11">
        <f t="shared" si="17"/>
        <v>65.281210808345691</v>
      </c>
      <c r="S45" s="11">
        <f t="shared" si="17"/>
        <v>38</v>
      </c>
      <c r="T45" s="26"/>
      <c r="U45" s="26"/>
      <c r="V45" s="26"/>
      <c r="AA45" s="8"/>
    </row>
    <row r="46" spans="1:27" ht="15.75" hidden="1" outlineLevel="1" thickBot="1" x14ac:dyDescent="0.3">
      <c r="A46" s="9"/>
      <c r="B46" s="27" t="s">
        <v>30</v>
      </c>
      <c r="C46" s="28">
        <f>+SUM(D46:V46)</f>
        <v>2141429.416531974</v>
      </c>
      <c r="D46" s="29">
        <v>302733.65609394381</v>
      </c>
      <c r="E46" s="29">
        <v>14556.962025316499</v>
      </c>
      <c r="F46" s="29">
        <v>0</v>
      </c>
      <c r="G46" s="29">
        <v>26765.597147950088</v>
      </c>
      <c r="H46" s="29">
        <v>180155</v>
      </c>
      <c r="I46" s="29">
        <v>163518.82450906845</v>
      </c>
      <c r="J46" s="29">
        <v>157590</v>
      </c>
      <c r="K46" s="29">
        <v>72878</v>
      </c>
      <c r="L46" s="29">
        <v>122032.56216382358</v>
      </c>
      <c r="M46" s="29">
        <v>129250</v>
      </c>
      <c r="N46" s="29">
        <v>92705.798552287073</v>
      </c>
      <c r="O46" s="29">
        <v>507252.87378640776</v>
      </c>
      <c r="P46" s="29">
        <v>115041.35422234109</v>
      </c>
      <c r="Q46" s="29">
        <v>190948.09559999395</v>
      </c>
      <c r="R46" s="29">
        <v>33500.692430841809</v>
      </c>
      <c r="S46" s="29">
        <v>32500</v>
      </c>
      <c r="T46" s="29"/>
      <c r="U46" s="29">
        <v>0</v>
      </c>
      <c r="V46" s="29">
        <v>0</v>
      </c>
      <c r="AA46" s="8"/>
    </row>
    <row r="47" spans="1:27" ht="15.75" hidden="1" outlineLevel="1" thickBot="1" x14ac:dyDescent="0.3">
      <c r="A47" s="9"/>
      <c r="B47" s="30" t="s">
        <v>31</v>
      </c>
      <c r="C47" s="31">
        <f>+SUM(D47:V47)</f>
        <v>71227.697253518039</v>
      </c>
      <c r="D47" s="32">
        <v>21523.809523809523</v>
      </c>
      <c r="E47" s="32">
        <v>100</v>
      </c>
      <c r="F47" s="32">
        <v>0</v>
      </c>
      <c r="G47" s="32">
        <v>4783.5382486880726</v>
      </c>
      <c r="H47" s="32">
        <v>3000</v>
      </c>
      <c r="I47" s="32">
        <v>7650</v>
      </c>
      <c r="J47" s="32">
        <v>13351.1</v>
      </c>
      <c r="K47" s="32">
        <v>5000</v>
      </c>
      <c r="L47" s="32">
        <v>6993</v>
      </c>
      <c r="M47" s="32">
        <v>3750</v>
      </c>
      <c r="N47" s="32">
        <v>2471.1767026515581</v>
      </c>
      <c r="O47" s="32">
        <v>0</v>
      </c>
      <c r="P47" s="32">
        <v>0</v>
      </c>
      <c r="Q47" s="32">
        <v>1651.4999999933943</v>
      </c>
      <c r="R47" s="32">
        <v>953.57277837548588</v>
      </c>
      <c r="S47" s="32">
        <v>0</v>
      </c>
      <c r="T47" s="32"/>
      <c r="U47" s="32">
        <v>0</v>
      </c>
      <c r="V47" s="32">
        <v>0</v>
      </c>
      <c r="AA47" s="8"/>
    </row>
    <row r="48" spans="1:27" ht="15.75" hidden="1" outlineLevel="1" thickBot="1" x14ac:dyDescent="0.3">
      <c r="A48" s="9"/>
      <c r="B48" s="30" t="s">
        <v>32</v>
      </c>
      <c r="C48" s="31">
        <f>+SUM(D48:V48)</f>
        <v>101072.936356192</v>
      </c>
      <c r="D48" s="32">
        <v>12914.285714285714</v>
      </c>
      <c r="E48" s="32">
        <v>0</v>
      </c>
      <c r="F48" s="32">
        <v>0</v>
      </c>
      <c r="G48" s="32">
        <v>1500</v>
      </c>
      <c r="H48" s="32">
        <v>0</v>
      </c>
      <c r="I48" s="32">
        <v>4787.7042384295655</v>
      </c>
      <c r="J48" s="32">
        <v>1500</v>
      </c>
      <c r="K48" s="32">
        <v>3.5714285714285712E-2</v>
      </c>
      <c r="L48" s="32">
        <v>0</v>
      </c>
      <c r="M48" s="32">
        <v>6150</v>
      </c>
      <c r="N48" s="32">
        <v>0</v>
      </c>
      <c r="O48" s="32">
        <v>0</v>
      </c>
      <c r="P48" s="32">
        <v>46220.355133635443</v>
      </c>
      <c r="Q48" s="32">
        <v>3000.5555555555557</v>
      </c>
      <c r="R48" s="32">
        <v>25000</v>
      </c>
      <c r="S48" s="32">
        <v>0</v>
      </c>
      <c r="T48" s="32"/>
      <c r="U48" s="32">
        <v>0</v>
      </c>
      <c r="V48" s="32">
        <v>0</v>
      </c>
      <c r="AA48" s="8"/>
    </row>
    <row r="49" spans="1:27" ht="15.75" hidden="1" outlineLevel="1" thickBot="1" x14ac:dyDescent="0.3">
      <c r="A49" s="9"/>
      <c r="B49" s="33" t="s">
        <v>33</v>
      </c>
      <c r="C49" s="34">
        <f>+SUM(D49:V49)</f>
        <v>1007270</v>
      </c>
      <c r="D49" s="35">
        <v>151800</v>
      </c>
      <c r="E49" s="35">
        <v>9000</v>
      </c>
      <c r="F49" s="35">
        <v>0</v>
      </c>
      <c r="G49" s="35">
        <v>35525</v>
      </c>
      <c r="H49" s="35">
        <v>75000</v>
      </c>
      <c r="I49" s="35">
        <v>72000</v>
      </c>
      <c r="J49" s="35">
        <v>84889.999999999985</v>
      </c>
      <c r="K49" s="35">
        <v>39600</v>
      </c>
      <c r="L49" s="35">
        <v>66300</v>
      </c>
      <c r="M49" s="35">
        <v>41000</v>
      </c>
      <c r="N49" s="35">
        <v>41375</v>
      </c>
      <c r="O49" s="35">
        <v>185130</v>
      </c>
      <c r="P49" s="35">
        <v>81000</v>
      </c>
      <c r="Q49" s="35">
        <v>64800</v>
      </c>
      <c r="R49" s="35">
        <v>34500</v>
      </c>
      <c r="S49" s="35">
        <v>25350</v>
      </c>
      <c r="T49" s="35"/>
      <c r="U49" s="35">
        <v>0</v>
      </c>
      <c r="V49" s="35">
        <v>0</v>
      </c>
      <c r="AA49" s="8"/>
    </row>
    <row r="50" spans="1:27" ht="15.75" hidden="1" outlineLevel="1" thickBot="1" x14ac:dyDescent="0.3">
      <c r="A50" s="9"/>
      <c r="B50" s="16" t="s">
        <v>34</v>
      </c>
      <c r="C50" s="36">
        <f>+SUM(C46:C49)</f>
        <v>3321000.0501416842</v>
      </c>
      <c r="D50" s="37">
        <f t="shared" ref="D50:V50" si="18">+SUM(D46:D49)</f>
        <v>488971.75133203907</v>
      </c>
      <c r="E50" s="37">
        <f t="shared" si="18"/>
        <v>23656.962025316498</v>
      </c>
      <c r="F50" s="37">
        <f t="shared" si="18"/>
        <v>0</v>
      </c>
      <c r="G50" s="37">
        <f t="shared" si="18"/>
        <v>68574.135396638158</v>
      </c>
      <c r="H50" s="37">
        <f t="shared" si="18"/>
        <v>258155</v>
      </c>
      <c r="I50" s="37">
        <f t="shared" si="18"/>
        <v>247956.52874749803</v>
      </c>
      <c r="J50" s="37">
        <f t="shared" si="18"/>
        <v>257331.09999999998</v>
      </c>
      <c r="K50" s="37">
        <f t="shared" si="18"/>
        <v>117478.03571428571</v>
      </c>
      <c r="L50" s="37">
        <f t="shared" si="18"/>
        <v>195325.56216382358</v>
      </c>
      <c r="M50" s="37">
        <f t="shared" si="18"/>
        <v>180150</v>
      </c>
      <c r="N50" s="37">
        <f t="shared" si="18"/>
        <v>136551.97525493865</v>
      </c>
      <c r="O50" s="37">
        <f t="shared" si="18"/>
        <v>692382.87378640776</v>
      </c>
      <c r="P50" s="37">
        <f t="shared" si="18"/>
        <v>242261.70935597655</v>
      </c>
      <c r="Q50" s="37">
        <f t="shared" si="18"/>
        <v>260400.1511555429</v>
      </c>
      <c r="R50" s="37">
        <f t="shared" si="18"/>
        <v>93954.265209217294</v>
      </c>
      <c r="S50" s="37">
        <f t="shared" si="18"/>
        <v>57850</v>
      </c>
      <c r="T50" s="36">
        <f t="shared" si="18"/>
        <v>0</v>
      </c>
      <c r="U50" s="36">
        <f t="shared" si="18"/>
        <v>0</v>
      </c>
      <c r="V50" s="36">
        <f t="shared" si="18"/>
        <v>0</v>
      </c>
      <c r="AA50" s="8"/>
    </row>
    <row r="51" spans="1:27" ht="15.75" hidden="1" outlineLevel="1" thickBot="1" x14ac:dyDescent="0.3">
      <c r="A51" s="9"/>
      <c r="B51" s="30" t="s">
        <v>35</v>
      </c>
      <c r="C51" s="31">
        <f>+SUM(D51:V51)</f>
        <v>625596.24581005587</v>
      </c>
      <c r="D51" s="32">
        <v>86416</v>
      </c>
      <c r="E51" s="32">
        <v>12000</v>
      </c>
      <c r="F51" s="32">
        <v>0</v>
      </c>
      <c r="G51" s="32">
        <v>25500</v>
      </c>
      <c r="H51" s="32">
        <v>54690</v>
      </c>
      <c r="I51" s="32">
        <v>60900</v>
      </c>
      <c r="J51" s="32">
        <v>43200</v>
      </c>
      <c r="K51" s="32">
        <v>18000</v>
      </c>
      <c r="L51" s="32">
        <v>34000</v>
      </c>
      <c r="M51" s="32">
        <v>43300</v>
      </c>
      <c r="N51" s="32">
        <v>32400</v>
      </c>
      <c r="O51" s="32">
        <v>83300</v>
      </c>
      <c r="P51" s="32">
        <v>59350</v>
      </c>
      <c r="Q51" s="32">
        <v>31000</v>
      </c>
      <c r="R51" s="32">
        <v>15790.245810055867</v>
      </c>
      <c r="S51" s="32">
        <v>25750</v>
      </c>
      <c r="T51" s="32"/>
      <c r="U51" s="32">
        <v>0</v>
      </c>
      <c r="V51" s="32">
        <v>0</v>
      </c>
      <c r="AA51" s="8"/>
    </row>
    <row r="52" spans="1:27" ht="15.75" hidden="1" outlineLevel="1" thickBot="1" x14ac:dyDescent="0.3">
      <c r="A52" s="9"/>
      <c r="B52" s="30" t="s">
        <v>36</v>
      </c>
      <c r="C52" s="31">
        <f>+SUM(D52:V52)</f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/>
      <c r="U52" s="32">
        <v>0</v>
      </c>
      <c r="V52" s="32">
        <v>0</v>
      </c>
      <c r="AA52" s="8"/>
    </row>
    <row r="53" spans="1:27" ht="15.75" hidden="1" outlineLevel="1" thickBot="1" x14ac:dyDescent="0.3">
      <c r="A53" s="9"/>
      <c r="B53" s="30" t="s">
        <v>37</v>
      </c>
      <c r="C53" s="31">
        <f>+SUM(D53:V53)</f>
        <v>186110.77705200671</v>
      </c>
      <c r="D53" s="32">
        <v>28000</v>
      </c>
      <c r="E53" s="32">
        <v>3000</v>
      </c>
      <c r="F53" s="32">
        <v>0</v>
      </c>
      <c r="G53" s="32">
        <v>4550</v>
      </c>
      <c r="H53" s="32">
        <v>12000</v>
      </c>
      <c r="I53" s="32">
        <v>18000</v>
      </c>
      <c r="J53" s="32">
        <v>6553.2883680000004</v>
      </c>
      <c r="K53" s="32">
        <v>6000</v>
      </c>
      <c r="L53" s="32">
        <v>8100</v>
      </c>
      <c r="M53" s="32">
        <v>2300</v>
      </c>
      <c r="N53" s="32">
        <v>6300</v>
      </c>
      <c r="O53" s="32">
        <v>53000</v>
      </c>
      <c r="P53" s="32">
        <v>21250</v>
      </c>
      <c r="Q53" s="32">
        <v>4585.567010309278</v>
      </c>
      <c r="R53" s="32">
        <v>11971.921673697412</v>
      </c>
      <c r="S53" s="32">
        <v>500</v>
      </c>
      <c r="T53" s="32"/>
      <c r="U53" s="32">
        <v>0</v>
      </c>
      <c r="V53" s="32">
        <v>0</v>
      </c>
      <c r="AA53" s="8"/>
    </row>
    <row r="54" spans="1:27" ht="15.75" hidden="1" outlineLevel="1" thickBot="1" x14ac:dyDescent="0.3">
      <c r="A54" s="9"/>
      <c r="B54" s="30" t="s">
        <v>38</v>
      </c>
      <c r="C54" s="31">
        <f>+SUM(D54:V54)</f>
        <v>620975.34488655801</v>
      </c>
      <c r="D54" s="32">
        <v>75600</v>
      </c>
      <c r="E54" s="32">
        <v>15000.000000000002</v>
      </c>
      <c r="F54" s="32">
        <v>0</v>
      </c>
      <c r="G54" s="32">
        <v>32725</v>
      </c>
      <c r="H54" s="32">
        <v>54400</v>
      </c>
      <c r="I54" s="32">
        <v>79800</v>
      </c>
      <c r="J54" s="32">
        <v>45900.000000000007</v>
      </c>
      <c r="K54" s="32">
        <v>15000</v>
      </c>
      <c r="L54" s="32">
        <v>32450</v>
      </c>
      <c r="M54" s="32">
        <v>42075</v>
      </c>
      <c r="N54" s="32">
        <v>26100</v>
      </c>
      <c r="O54" s="32">
        <v>83300</v>
      </c>
      <c r="P54" s="32">
        <v>49500</v>
      </c>
      <c r="Q54" s="32">
        <v>28799.999999999996</v>
      </c>
      <c r="R54" s="32">
        <v>15325.344886557976</v>
      </c>
      <c r="S54" s="32">
        <v>25000</v>
      </c>
      <c r="T54" s="32"/>
      <c r="U54" s="32">
        <v>0</v>
      </c>
      <c r="V54" s="32">
        <v>0</v>
      </c>
      <c r="AA54" s="8"/>
    </row>
    <row r="55" spans="1:27" ht="15.75" hidden="1" outlineLevel="1" thickBot="1" x14ac:dyDescent="0.3">
      <c r="A55" s="9"/>
      <c r="B55" s="16" t="s">
        <v>39</v>
      </c>
      <c r="C55" s="36">
        <f>+SUM(C51:C54)</f>
        <v>1432682.3677486205</v>
      </c>
      <c r="D55" s="37">
        <f>+SUM(D51:D54)</f>
        <v>190016</v>
      </c>
      <c r="E55" s="37">
        <f t="shared" ref="E55:V55" si="19">+SUM(E51:E54)</f>
        <v>30000</v>
      </c>
      <c r="F55" s="37">
        <f t="shared" si="19"/>
        <v>0</v>
      </c>
      <c r="G55" s="37">
        <f t="shared" si="19"/>
        <v>62775</v>
      </c>
      <c r="H55" s="37">
        <f t="shared" si="19"/>
        <v>121090</v>
      </c>
      <c r="I55" s="37">
        <f t="shared" si="19"/>
        <v>158700</v>
      </c>
      <c r="J55" s="37">
        <f t="shared" si="19"/>
        <v>95653.288368000009</v>
      </c>
      <c r="K55" s="37">
        <f t="shared" si="19"/>
        <v>39000</v>
      </c>
      <c r="L55" s="37">
        <f t="shared" si="19"/>
        <v>74550</v>
      </c>
      <c r="M55" s="37">
        <f t="shared" si="19"/>
        <v>87675</v>
      </c>
      <c r="N55" s="37">
        <f t="shared" si="19"/>
        <v>64800</v>
      </c>
      <c r="O55" s="37">
        <f t="shared" si="19"/>
        <v>219600</v>
      </c>
      <c r="P55" s="37">
        <f t="shared" si="19"/>
        <v>130100</v>
      </c>
      <c r="Q55" s="37">
        <f t="shared" si="19"/>
        <v>64385.567010309271</v>
      </c>
      <c r="R55" s="37">
        <f t="shared" si="19"/>
        <v>43087.512370311255</v>
      </c>
      <c r="S55" s="37">
        <f t="shared" si="19"/>
        <v>51250</v>
      </c>
      <c r="T55" s="36">
        <f t="shared" si="19"/>
        <v>0</v>
      </c>
      <c r="U55" s="36">
        <f t="shared" si="19"/>
        <v>0</v>
      </c>
      <c r="V55" s="36">
        <f t="shared" si="19"/>
        <v>0</v>
      </c>
      <c r="AA55" s="8"/>
    </row>
    <row r="56" spans="1:27" ht="15.75" hidden="1" outlineLevel="1" thickBot="1" x14ac:dyDescent="0.3">
      <c r="A56" s="9"/>
      <c r="B56" s="27" t="s">
        <v>40</v>
      </c>
      <c r="C56" s="28">
        <f>+C55+C50</f>
        <v>4753682.4178903047</v>
      </c>
      <c r="D56" s="38">
        <f t="shared" ref="D56:V56" si="20">+D55+D50</f>
        <v>678987.75133203901</v>
      </c>
      <c r="E56" s="38">
        <f t="shared" si="20"/>
        <v>53656.962025316498</v>
      </c>
      <c r="F56" s="38">
        <f t="shared" si="20"/>
        <v>0</v>
      </c>
      <c r="G56" s="38">
        <f t="shared" si="20"/>
        <v>131349.13539663816</v>
      </c>
      <c r="H56" s="38">
        <f t="shared" si="20"/>
        <v>379245</v>
      </c>
      <c r="I56" s="38">
        <f t="shared" si="20"/>
        <v>406656.52874749806</v>
      </c>
      <c r="J56" s="38">
        <f t="shared" si="20"/>
        <v>352984.38836799999</v>
      </c>
      <c r="K56" s="38">
        <f t="shared" si="20"/>
        <v>156478.03571428571</v>
      </c>
      <c r="L56" s="38">
        <f t="shared" si="20"/>
        <v>269875.56216382358</v>
      </c>
      <c r="M56" s="38">
        <f t="shared" si="20"/>
        <v>267825</v>
      </c>
      <c r="N56" s="38">
        <f t="shared" si="20"/>
        <v>201351.97525493865</v>
      </c>
      <c r="O56" s="38">
        <f t="shared" si="20"/>
        <v>911982.87378640776</v>
      </c>
      <c r="P56" s="38">
        <f t="shared" si="20"/>
        <v>372361.70935597655</v>
      </c>
      <c r="Q56" s="38">
        <f t="shared" si="20"/>
        <v>324785.71816585219</v>
      </c>
      <c r="R56" s="38">
        <f t="shared" si="20"/>
        <v>137041.77757952854</v>
      </c>
      <c r="S56" s="38">
        <f t="shared" si="20"/>
        <v>109100</v>
      </c>
      <c r="T56" s="28">
        <f t="shared" si="20"/>
        <v>0</v>
      </c>
      <c r="U56" s="28">
        <f t="shared" si="20"/>
        <v>0</v>
      </c>
      <c r="V56" s="28">
        <f t="shared" si="20"/>
        <v>0</v>
      </c>
      <c r="AA56" s="8"/>
    </row>
    <row r="57" spans="1:27" ht="15.75" hidden="1" outlineLevel="1" collapsed="1" thickBot="1" x14ac:dyDescent="0.3">
      <c r="A57" s="9"/>
      <c r="B57" s="39" t="s">
        <v>41</v>
      </c>
      <c r="C57" s="40">
        <f>IFERROR(C46/C38,0)</f>
        <v>2583.1476677104633</v>
      </c>
      <c r="D57" s="41">
        <f t="shared" ref="D57:S57" si="21">IFERROR(D46/D38,0)</f>
        <v>2193.7221456082884</v>
      </c>
      <c r="E57" s="41">
        <f t="shared" si="21"/>
        <v>1455.69620253165</v>
      </c>
      <c r="F57" s="41">
        <f t="shared" si="21"/>
        <v>0</v>
      </c>
      <c r="G57" s="41">
        <f t="shared" si="21"/>
        <v>922.9516257913823</v>
      </c>
      <c r="H57" s="41">
        <f t="shared" si="21"/>
        <v>2402.0666666666666</v>
      </c>
      <c r="I57" s="41">
        <f t="shared" si="21"/>
        <v>2271.0947848481728</v>
      </c>
      <c r="J57" s="41">
        <f t="shared" si="21"/>
        <v>2424.4615384615386</v>
      </c>
      <c r="K57" s="41">
        <f t="shared" si="21"/>
        <v>2208.4242424242425</v>
      </c>
      <c r="L57" s="41">
        <f t="shared" si="21"/>
        <v>2392.7953365455601</v>
      </c>
      <c r="M57" s="41">
        <f t="shared" si="21"/>
        <v>3152.439024390244</v>
      </c>
      <c r="N57" s="41">
        <f t="shared" si="21"/>
        <v>3708.2319420914828</v>
      </c>
      <c r="O57" s="41">
        <f t="shared" si="21"/>
        <v>3315.3782600418808</v>
      </c>
      <c r="P57" s="41">
        <f t="shared" si="21"/>
        <v>2556.4745382742467</v>
      </c>
      <c r="Q57" s="41">
        <f t="shared" si="21"/>
        <v>3536.0758444443322</v>
      </c>
      <c r="R57" s="41">
        <f t="shared" si="21"/>
        <v>1340.0276972336724</v>
      </c>
      <c r="S57" s="42">
        <f t="shared" si="21"/>
        <v>2500</v>
      </c>
      <c r="T57" s="29">
        <f>IFERROR(T46/T38,0)</f>
        <v>0</v>
      </c>
      <c r="U57" s="38">
        <f>IFERROR(U46/U38,0)</f>
        <v>0</v>
      </c>
      <c r="V57" s="38">
        <f>IFERROR(V46/V38,0)</f>
        <v>0</v>
      </c>
      <c r="AA57" s="8"/>
    </row>
    <row r="58" spans="1:27" ht="15.75" hidden="1" outlineLevel="1" thickBot="1" x14ac:dyDescent="0.3">
      <c r="A58" s="9"/>
      <c r="B58" s="43" t="s">
        <v>42</v>
      </c>
      <c r="C58" s="31">
        <f>IFERROR(C48/C39,0)</f>
        <v>2150.4880075785532</v>
      </c>
      <c r="D58" s="44">
        <f t="shared" ref="D58:S58" si="22">IFERROR(D48/D39,0)</f>
        <v>2582.8571428571427</v>
      </c>
      <c r="E58" s="44">
        <f t="shared" si="22"/>
        <v>0</v>
      </c>
      <c r="F58" s="44">
        <f t="shared" si="22"/>
        <v>0</v>
      </c>
      <c r="G58" s="44">
        <f t="shared" si="22"/>
        <v>500</v>
      </c>
      <c r="H58" s="44">
        <f t="shared" si="22"/>
        <v>0</v>
      </c>
      <c r="I58" s="44">
        <f t="shared" si="22"/>
        <v>2393.8521192147828</v>
      </c>
      <c r="J58" s="44">
        <f t="shared" si="22"/>
        <v>250</v>
      </c>
      <c r="K58" s="44">
        <f t="shared" si="22"/>
        <v>3.5714285714285712E-2</v>
      </c>
      <c r="L58" s="44">
        <f t="shared" si="22"/>
        <v>0</v>
      </c>
      <c r="M58" s="44">
        <f t="shared" si="22"/>
        <v>2050</v>
      </c>
      <c r="N58" s="44">
        <f t="shared" si="22"/>
        <v>0</v>
      </c>
      <c r="O58" s="44">
        <f>IFERROR(O48/O39,0)</f>
        <v>0</v>
      </c>
      <c r="P58" s="44">
        <f t="shared" si="22"/>
        <v>3851.6962611362869</v>
      </c>
      <c r="Q58" s="44">
        <f t="shared" si="22"/>
        <v>3000.5555555555557</v>
      </c>
      <c r="R58" s="44">
        <f t="shared" si="22"/>
        <v>2500</v>
      </c>
      <c r="S58" s="45">
        <f t="shared" si="22"/>
        <v>0</v>
      </c>
      <c r="T58" s="32">
        <f>IFERROR(T48/T39,0)</f>
        <v>0</v>
      </c>
      <c r="U58" s="44">
        <f>IFERROR(U48/U39,0)</f>
        <v>0</v>
      </c>
      <c r="V58" s="44">
        <f>IFERROR(V48/V39,0)</f>
        <v>0</v>
      </c>
      <c r="AA58" s="8"/>
    </row>
    <row r="59" spans="1:27" ht="15.75" hidden="1" outlineLevel="1" thickBot="1" x14ac:dyDescent="0.3">
      <c r="A59" s="9"/>
      <c r="B59" s="43" t="s">
        <v>43</v>
      </c>
      <c r="C59" s="31">
        <f>IFERROR(C49/C38,0)</f>
        <v>1215.0422195416163</v>
      </c>
      <c r="D59" s="44">
        <f t="shared" ref="D59:S59" si="23">IFERROR(D49/D38,0)</f>
        <v>1100</v>
      </c>
      <c r="E59" s="44">
        <f t="shared" si="23"/>
        <v>900</v>
      </c>
      <c r="F59" s="44">
        <f t="shared" si="23"/>
        <v>0</v>
      </c>
      <c r="G59" s="44">
        <f t="shared" si="23"/>
        <v>1225</v>
      </c>
      <c r="H59" s="44">
        <f t="shared" si="23"/>
        <v>1000</v>
      </c>
      <c r="I59" s="44">
        <f t="shared" si="23"/>
        <v>1000</v>
      </c>
      <c r="J59" s="44">
        <f t="shared" si="23"/>
        <v>1305.9999999999998</v>
      </c>
      <c r="K59" s="44">
        <f t="shared" si="23"/>
        <v>1200</v>
      </c>
      <c r="L59" s="44">
        <f t="shared" si="23"/>
        <v>1300</v>
      </c>
      <c r="M59" s="44">
        <f t="shared" si="23"/>
        <v>1000</v>
      </c>
      <c r="N59" s="44">
        <f t="shared" si="23"/>
        <v>1655</v>
      </c>
      <c r="O59" s="44">
        <f t="shared" si="23"/>
        <v>1210</v>
      </c>
      <c r="P59" s="44">
        <f>IFERROR(P49/P38,0)</f>
        <v>1800</v>
      </c>
      <c r="Q59" s="44">
        <f t="shared" si="23"/>
        <v>1200</v>
      </c>
      <c r="R59" s="44">
        <f t="shared" si="23"/>
        <v>1380</v>
      </c>
      <c r="S59" s="45">
        <f t="shared" si="23"/>
        <v>1950</v>
      </c>
      <c r="T59" s="35">
        <f>IFERROR(T49/T38,0)</f>
        <v>0</v>
      </c>
      <c r="U59" s="46">
        <f>IFERROR(U49/U38,0)</f>
        <v>0</v>
      </c>
      <c r="V59" s="46">
        <f>IFERROR(V49/V38,0)</f>
        <v>0</v>
      </c>
      <c r="AA59" s="8"/>
    </row>
    <row r="60" spans="1:27" ht="15.75" hidden="1" outlineLevel="1" thickBot="1" x14ac:dyDescent="0.3">
      <c r="A60" s="9"/>
      <c r="B60" s="47" t="s">
        <v>44</v>
      </c>
      <c r="C60" s="48">
        <f>SUM(C57,C59)</f>
        <v>3798.1898872520796</v>
      </c>
      <c r="D60" s="49">
        <f t="shared" ref="D60:V60" si="24">SUM(D57,D59)</f>
        <v>3293.7221456082884</v>
      </c>
      <c r="E60" s="49">
        <f t="shared" si="24"/>
        <v>2355.6962025316498</v>
      </c>
      <c r="F60" s="49">
        <f t="shared" si="24"/>
        <v>0</v>
      </c>
      <c r="G60" s="49">
        <f t="shared" si="24"/>
        <v>2147.9516257913824</v>
      </c>
      <c r="H60" s="49">
        <f t="shared" si="24"/>
        <v>3402.0666666666666</v>
      </c>
      <c r="I60" s="49">
        <f t="shared" si="24"/>
        <v>3271.0947848481728</v>
      </c>
      <c r="J60" s="49">
        <f t="shared" si="24"/>
        <v>3730.4615384615381</v>
      </c>
      <c r="K60" s="49">
        <f t="shared" si="24"/>
        <v>3408.4242424242425</v>
      </c>
      <c r="L60" s="49">
        <f t="shared" si="24"/>
        <v>3692.7953365455601</v>
      </c>
      <c r="M60" s="49">
        <f t="shared" si="24"/>
        <v>4152.4390243902435</v>
      </c>
      <c r="N60" s="49">
        <f t="shared" si="24"/>
        <v>5363.2319420914828</v>
      </c>
      <c r="O60" s="49">
        <f t="shared" si="24"/>
        <v>4525.3782600418808</v>
      </c>
      <c r="P60" s="49">
        <f t="shared" si="24"/>
        <v>4356.4745382742467</v>
      </c>
      <c r="Q60" s="49">
        <f t="shared" si="24"/>
        <v>4736.0758444443327</v>
      </c>
      <c r="R60" s="49">
        <f t="shared" si="24"/>
        <v>2720.0276972336724</v>
      </c>
      <c r="S60" s="50">
        <f t="shared" si="24"/>
        <v>4450</v>
      </c>
      <c r="T60" s="51">
        <f t="shared" si="24"/>
        <v>0</v>
      </c>
      <c r="U60" s="37">
        <f t="shared" si="24"/>
        <v>0</v>
      </c>
      <c r="V60" s="37">
        <f t="shared" si="24"/>
        <v>0</v>
      </c>
      <c r="AA60" s="8"/>
    </row>
    <row r="61" spans="1:27" collapsed="1" x14ac:dyDescent="0.25">
      <c r="A61" s="9"/>
      <c r="B61" s="52" t="s">
        <v>45</v>
      </c>
      <c r="C61" s="53">
        <f>IFERROR(C50/C40,0)</f>
        <v>3791.0959476503244</v>
      </c>
      <c r="D61" s="54">
        <f t="shared" ref="D61:S64" si="25">IFERROR(D50/D40,0)</f>
        <v>3419.3828764478258</v>
      </c>
      <c r="E61" s="54">
        <f t="shared" si="25"/>
        <v>2365.6962025316498</v>
      </c>
      <c r="F61" s="54">
        <f t="shared" si="25"/>
        <v>0</v>
      </c>
      <c r="G61" s="54">
        <f t="shared" si="25"/>
        <v>2142.9417311449424</v>
      </c>
      <c r="H61" s="54">
        <f t="shared" si="25"/>
        <v>3352.6623376623374</v>
      </c>
      <c r="I61" s="54">
        <f t="shared" si="25"/>
        <v>3350.7639019932167</v>
      </c>
      <c r="J61" s="54">
        <f t="shared" si="25"/>
        <v>3624.381690140845</v>
      </c>
      <c r="K61" s="54">
        <f t="shared" si="25"/>
        <v>3455.2363445378151</v>
      </c>
      <c r="L61" s="54">
        <f t="shared" si="25"/>
        <v>3685.3879653551617</v>
      </c>
      <c r="M61" s="54">
        <f t="shared" si="25"/>
        <v>4094.318181818182</v>
      </c>
      <c r="N61" s="54">
        <f t="shared" si="25"/>
        <v>5462.0790101975463</v>
      </c>
      <c r="O61" s="54">
        <f t="shared" si="25"/>
        <v>4525.3782600418808</v>
      </c>
      <c r="P61" s="54">
        <f t="shared" si="25"/>
        <v>4250.2054272978339</v>
      </c>
      <c r="Q61" s="54">
        <f t="shared" si="25"/>
        <v>4734.548202828053</v>
      </c>
      <c r="R61" s="54">
        <f t="shared" si="25"/>
        <v>2684.4075774062085</v>
      </c>
      <c r="S61" s="55">
        <f t="shared" si="25"/>
        <v>4450</v>
      </c>
      <c r="T61" s="56">
        <f>IFERROR(T50/T40,0)</f>
        <v>0</v>
      </c>
      <c r="U61" s="36">
        <f>IFERROR(U50/U40,0)</f>
        <v>0</v>
      </c>
      <c r="V61" s="36">
        <f>IFERROR(V50/V40,0)</f>
        <v>0</v>
      </c>
      <c r="AA61" s="8"/>
    </row>
    <row r="62" spans="1:27" hidden="1" outlineLevel="1" x14ac:dyDescent="0.25">
      <c r="A62" s="9"/>
      <c r="B62" s="43" t="s">
        <v>46</v>
      </c>
      <c r="C62" s="31">
        <f>IFERROR(C51/C41,0)</f>
        <v>1558.0929192885212</v>
      </c>
      <c r="D62" s="44">
        <f t="shared" si="25"/>
        <v>1600.2962962962963</v>
      </c>
      <c r="E62" s="44">
        <f t="shared" si="25"/>
        <v>1200</v>
      </c>
      <c r="F62" s="44">
        <f t="shared" si="25"/>
        <v>0</v>
      </c>
      <c r="G62" s="44">
        <f t="shared" si="25"/>
        <v>1500</v>
      </c>
      <c r="H62" s="44">
        <f t="shared" si="25"/>
        <v>1608.5294117647059</v>
      </c>
      <c r="I62" s="44">
        <f t="shared" si="25"/>
        <v>1450</v>
      </c>
      <c r="J62" s="44">
        <f t="shared" si="25"/>
        <v>1600</v>
      </c>
      <c r="K62" s="44">
        <f t="shared" si="25"/>
        <v>1500</v>
      </c>
      <c r="L62" s="44">
        <f t="shared" si="25"/>
        <v>1545.4545454545455</v>
      </c>
      <c r="M62" s="44">
        <f t="shared" si="25"/>
        <v>1396.7741935483871</v>
      </c>
      <c r="N62" s="44">
        <f t="shared" si="25"/>
        <v>1800</v>
      </c>
      <c r="O62" s="44">
        <f t="shared" si="25"/>
        <v>1700</v>
      </c>
      <c r="P62" s="44">
        <f t="shared" si="25"/>
        <v>1798.4848484848485</v>
      </c>
      <c r="Q62" s="44">
        <f t="shared" si="25"/>
        <v>1291.6666666666667</v>
      </c>
      <c r="R62" s="44">
        <f t="shared" si="25"/>
        <v>1854.6037735849056</v>
      </c>
      <c r="S62" s="45">
        <f t="shared" si="25"/>
        <v>1287.5</v>
      </c>
      <c r="T62" s="32">
        <f>IFERROR(T51/T38,0)</f>
        <v>0</v>
      </c>
      <c r="U62" s="44">
        <f>IFERROR(U51/U38,0)</f>
        <v>0</v>
      </c>
      <c r="V62" s="44">
        <f>IFERROR(V51/V38,0)</f>
        <v>0</v>
      </c>
      <c r="AA62" s="8"/>
    </row>
    <row r="63" spans="1:27" hidden="1" outlineLevel="1" x14ac:dyDescent="0.25">
      <c r="A63" s="9"/>
      <c r="B63" s="43" t="s">
        <v>47</v>
      </c>
      <c r="C63" s="31">
        <f>IFERROR(C52/C42,0)</f>
        <v>0</v>
      </c>
      <c r="D63" s="44">
        <f t="shared" si="25"/>
        <v>0</v>
      </c>
      <c r="E63" s="44">
        <f t="shared" si="25"/>
        <v>0</v>
      </c>
      <c r="F63" s="44">
        <f t="shared" si="25"/>
        <v>0</v>
      </c>
      <c r="G63" s="44">
        <f t="shared" si="25"/>
        <v>0</v>
      </c>
      <c r="H63" s="44">
        <f t="shared" si="25"/>
        <v>0</v>
      </c>
      <c r="I63" s="44">
        <f t="shared" si="25"/>
        <v>0</v>
      </c>
      <c r="J63" s="44">
        <f t="shared" si="25"/>
        <v>0</v>
      </c>
      <c r="K63" s="44">
        <f t="shared" si="25"/>
        <v>0</v>
      </c>
      <c r="L63" s="44">
        <f t="shared" si="25"/>
        <v>0</v>
      </c>
      <c r="M63" s="44">
        <f t="shared" si="25"/>
        <v>0</v>
      </c>
      <c r="N63" s="44">
        <f t="shared" si="25"/>
        <v>0</v>
      </c>
      <c r="O63" s="44">
        <f t="shared" si="25"/>
        <v>0</v>
      </c>
      <c r="P63" s="44">
        <f t="shared" si="25"/>
        <v>0</v>
      </c>
      <c r="Q63" s="44">
        <f t="shared" si="25"/>
        <v>0</v>
      </c>
      <c r="R63" s="44">
        <f t="shared" si="25"/>
        <v>0</v>
      </c>
      <c r="S63" s="45">
        <f t="shared" si="25"/>
        <v>0</v>
      </c>
      <c r="T63" s="32">
        <f t="shared" ref="T63:V64" si="26">IFERROR(T52/T42,0)</f>
        <v>0</v>
      </c>
      <c r="U63" s="44">
        <f t="shared" si="26"/>
        <v>0</v>
      </c>
      <c r="V63" s="44">
        <f t="shared" si="26"/>
        <v>0</v>
      </c>
      <c r="AA63" s="8"/>
    </row>
    <row r="64" spans="1:27" hidden="1" outlineLevel="1" x14ac:dyDescent="0.25">
      <c r="A64" s="9"/>
      <c r="B64" s="43" t="s">
        <v>48</v>
      </c>
      <c r="C64" s="31">
        <f>IFERROR(C53/C43,0)</f>
        <v>467.51948126870894</v>
      </c>
      <c r="D64" s="44">
        <f t="shared" si="25"/>
        <v>400</v>
      </c>
      <c r="E64" s="44">
        <f t="shared" si="25"/>
        <v>300</v>
      </c>
      <c r="F64" s="44">
        <f t="shared" si="25"/>
        <v>0</v>
      </c>
      <c r="G64" s="44">
        <f t="shared" si="25"/>
        <v>650</v>
      </c>
      <c r="H64" s="44">
        <f t="shared" si="25"/>
        <v>600</v>
      </c>
      <c r="I64" s="44">
        <f t="shared" si="25"/>
        <v>400</v>
      </c>
      <c r="J64" s="44">
        <f t="shared" si="25"/>
        <v>249.04000000000002</v>
      </c>
      <c r="K64" s="44">
        <f t="shared" si="25"/>
        <v>400</v>
      </c>
      <c r="L64" s="44">
        <f t="shared" si="25"/>
        <v>300</v>
      </c>
      <c r="M64" s="44">
        <f t="shared" si="25"/>
        <v>100</v>
      </c>
      <c r="N64" s="44">
        <f t="shared" si="25"/>
        <v>350</v>
      </c>
      <c r="O64" s="44">
        <f t="shared" si="25"/>
        <v>1000</v>
      </c>
      <c r="P64" s="44">
        <f t="shared" si="25"/>
        <v>850</v>
      </c>
      <c r="Q64" s="44">
        <f t="shared" si="25"/>
        <v>143.29896907216494</v>
      </c>
      <c r="R64" s="44">
        <f t="shared" si="25"/>
        <v>550</v>
      </c>
      <c r="S64" s="45">
        <f t="shared" si="25"/>
        <v>100</v>
      </c>
      <c r="T64" s="32">
        <f t="shared" si="26"/>
        <v>0</v>
      </c>
      <c r="U64" s="44">
        <f t="shared" si="26"/>
        <v>0</v>
      </c>
      <c r="V64" s="44">
        <f t="shared" si="26"/>
        <v>0</v>
      </c>
      <c r="AA64" s="8"/>
    </row>
    <row r="65" spans="1:27" hidden="1" outlineLevel="1" x14ac:dyDescent="0.25">
      <c r="A65" s="9"/>
      <c r="B65" s="43" t="s">
        <v>49</v>
      </c>
      <c r="C65" s="31">
        <f>IFERROR(C54/C41,0)</f>
        <v>1546.5842296858318</v>
      </c>
      <c r="D65" s="44">
        <f t="shared" ref="D65:S65" si="27">IFERROR(D54/D41,0)</f>
        <v>1400</v>
      </c>
      <c r="E65" s="44">
        <f t="shared" si="27"/>
        <v>1500.0000000000002</v>
      </c>
      <c r="F65" s="44">
        <f t="shared" si="27"/>
        <v>0</v>
      </c>
      <c r="G65" s="44">
        <f t="shared" si="27"/>
        <v>1925</v>
      </c>
      <c r="H65" s="44">
        <f t="shared" si="27"/>
        <v>1600</v>
      </c>
      <c r="I65" s="44">
        <f t="shared" si="27"/>
        <v>1900</v>
      </c>
      <c r="J65" s="44">
        <f t="shared" si="27"/>
        <v>1700.0000000000002</v>
      </c>
      <c r="K65" s="44">
        <f t="shared" si="27"/>
        <v>1250</v>
      </c>
      <c r="L65" s="44">
        <f t="shared" si="27"/>
        <v>1475</v>
      </c>
      <c r="M65" s="44">
        <f t="shared" si="27"/>
        <v>1357.258064516129</v>
      </c>
      <c r="N65" s="44">
        <f t="shared" si="27"/>
        <v>1450</v>
      </c>
      <c r="O65" s="44">
        <f t="shared" si="27"/>
        <v>1700</v>
      </c>
      <c r="P65" s="44">
        <f t="shared" si="27"/>
        <v>1500</v>
      </c>
      <c r="Q65" s="44">
        <f t="shared" si="27"/>
        <v>1199.9999999999998</v>
      </c>
      <c r="R65" s="44">
        <f t="shared" si="27"/>
        <v>1800</v>
      </c>
      <c r="S65" s="45">
        <f t="shared" si="27"/>
        <v>1250</v>
      </c>
      <c r="T65" s="32">
        <f>IFERROR(T54/T41,0)</f>
        <v>0</v>
      </c>
      <c r="U65" s="44">
        <f>IFERROR(U54/U41,0)</f>
        <v>0</v>
      </c>
      <c r="V65" s="44">
        <f>IFERROR(V54/V41,0)</f>
        <v>0</v>
      </c>
      <c r="AA65" s="8"/>
    </row>
    <row r="66" spans="1:27" hidden="1" outlineLevel="1" x14ac:dyDescent="0.25">
      <c r="A66" s="9"/>
      <c r="B66" s="57" t="s">
        <v>50</v>
      </c>
      <c r="C66" s="34">
        <f>SUM(C62,C65)</f>
        <v>3104.6771489743533</v>
      </c>
      <c r="D66" s="46">
        <f t="shared" ref="D66:V66" si="28">SUM(D62,D65)</f>
        <v>3000.2962962962965</v>
      </c>
      <c r="E66" s="46">
        <f t="shared" si="28"/>
        <v>2700</v>
      </c>
      <c r="F66" s="46">
        <f t="shared" si="28"/>
        <v>0</v>
      </c>
      <c r="G66" s="46">
        <f t="shared" si="28"/>
        <v>3425</v>
      </c>
      <c r="H66" s="46">
        <f t="shared" si="28"/>
        <v>3208.5294117647059</v>
      </c>
      <c r="I66" s="46">
        <f t="shared" si="28"/>
        <v>3350</v>
      </c>
      <c r="J66" s="46">
        <f t="shared" si="28"/>
        <v>3300</v>
      </c>
      <c r="K66" s="46">
        <f t="shared" si="28"/>
        <v>2750</v>
      </c>
      <c r="L66" s="46">
        <f t="shared" si="28"/>
        <v>3020.4545454545455</v>
      </c>
      <c r="M66" s="46">
        <f t="shared" si="28"/>
        <v>2754.0322580645161</v>
      </c>
      <c r="N66" s="46">
        <f t="shared" si="28"/>
        <v>3250</v>
      </c>
      <c r="O66" s="46">
        <f t="shared" si="28"/>
        <v>3400</v>
      </c>
      <c r="P66" s="46">
        <f t="shared" si="28"/>
        <v>3298.4848484848485</v>
      </c>
      <c r="Q66" s="46">
        <f t="shared" si="28"/>
        <v>2491.6666666666665</v>
      </c>
      <c r="R66" s="46">
        <f t="shared" si="28"/>
        <v>3654.6037735849059</v>
      </c>
      <c r="S66" s="58">
        <f t="shared" si="28"/>
        <v>2537.5</v>
      </c>
      <c r="T66" s="51">
        <f t="shared" si="28"/>
        <v>0</v>
      </c>
      <c r="U66" s="37">
        <f t="shared" si="28"/>
        <v>0</v>
      </c>
      <c r="V66" s="36">
        <f t="shared" si="28"/>
        <v>0</v>
      </c>
      <c r="AA66" s="8"/>
    </row>
    <row r="67" spans="1:27" collapsed="1" x14ac:dyDescent="0.25">
      <c r="A67" s="9"/>
      <c r="B67" s="59" t="s">
        <v>51</v>
      </c>
      <c r="C67" s="36">
        <f>IFERROR(C55/C44,0)</f>
        <v>1791.7591176520882</v>
      </c>
      <c r="D67" s="37">
        <f t="shared" ref="D67:S68" si="29">IFERROR(D55/D44,0)</f>
        <v>1532.3870967741937</v>
      </c>
      <c r="E67" s="37">
        <f t="shared" si="29"/>
        <v>1500</v>
      </c>
      <c r="F67" s="37">
        <f t="shared" si="29"/>
        <v>0</v>
      </c>
      <c r="G67" s="37">
        <f t="shared" si="29"/>
        <v>2615.625</v>
      </c>
      <c r="H67" s="37">
        <f t="shared" si="29"/>
        <v>2242.4074074074074</v>
      </c>
      <c r="I67" s="37">
        <f t="shared" si="29"/>
        <v>1824.1379310344828</v>
      </c>
      <c r="J67" s="37">
        <f t="shared" si="29"/>
        <v>1794.1428056315206</v>
      </c>
      <c r="K67" s="37">
        <f t="shared" si="29"/>
        <v>1444.4444444444443</v>
      </c>
      <c r="L67" s="37">
        <f t="shared" si="29"/>
        <v>1521.4285714285713</v>
      </c>
      <c r="M67" s="37">
        <f t="shared" si="29"/>
        <v>1623.6111111111111</v>
      </c>
      <c r="N67" s="37">
        <f>IFERROR(N55/N44,0)</f>
        <v>1800</v>
      </c>
      <c r="O67" s="37">
        <f t="shared" si="29"/>
        <v>2152.9411764705883</v>
      </c>
      <c r="P67" s="37">
        <f t="shared" si="29"/>
        <v>2243.1034482758619</v>
      </c>
      <c r="Q67" s="37">
        <f t="shared" si="29"/>
        <v>1149.7422680412369</v>
      </c>
      <c r="R67" s="37">
        <f t="shared" si="29"/>
        <v>1422.9124668435013</v>
      </c>
      <c r="S67" s="60">
        <f t="shared" si="29"/>
        <v>2050</v>
      </c>
      <c r="T67" s="56">
        <f>IFERROR(T55/T44,0)</f>
        <v>0</v>
      </c>
      <c r="U67" s="36">
        <f>IFERROR(U55/U44,0)</f>
        <v>0</v>
      </c>
      <c r="V67" s="36">
        <f>IFERROR(V55/V44,0)</f>
        <v>0</v>
      </c>
      <c r="AA67" s="8"/>
    </row>
    <row r="68" spans="1:27" ht="15.75" thickBot="1" x14ac:dyDescent="0.3">
      <c r="A68" s="9"/>
      <c r="B68" s="61" t="s">
        <v>52</v>
      </c>
      <c r="C68" s="62">
        <f>IFERROR(C56/C45,0)</f>
        <v>2837.0108841471579</v>
      </c>
      <c r="D68" s="62">
        <f t="shared" si="29"/>
        <v>2543.0252858877866</v>
      </c>
      <c r="E68" s="62">
        <f t="shared" si="29"/>
        <v>1788.5654008438833</v>
      </c>
      <c r="F68" s="62">
        <f t="shared" si="29"/>
        <v>0</v>
      </c>
      <c r="G68" s="62">
        <f t="shared" si="29"/>
        <v>2345.5202749399673</v>
      </c>
      <c r="H68" s="62">
        <f t="shared" si="29"/>
        <v>2895</v>
      </c>
      <c r="I68" s="62">
        <f t="shared" si="29"/>
        <v>2525.8169487422238</v>
      </c>
      <c r="J68" s="62">
        <f t="shared" si="29"/>
        <v>2839.4534845415888</v>
      </c>
      <c r="K68" s="62">
        <f t="shared" si="29"/>
        <v>2565.2137002341919</v>
      </c>
      <c r="L68" s="62">
        <f t="shared" si="29"/>
        <v>2645.8388447433686</v>
      </c>
      <c r="M68" s="62">
        <f t="shared" si="29"/>
        <v>2732.908163265306</v>
      </c>
      <c r="N68" s="62">
        <f t="shared" si="29"/>
        <v>3300.8520533596497</v>
      </c>
      <c r="O68" s="62">
        <f t="shared" si="29"/>
        <v>3576.4034266133635</v>
      </c>
      <c r="P68" s="62">
        <f t="shared" si="29"/>
        <v>3237.9279074432743</v>
      </c>
      <c r="Q68" s="62">
        <f t="shared" si="29"/>
        <v>2925.9974609536234</v>
      </c>
      <c r="R68" s="62">
        <f t="shared" si="29"/>
        <v>2099.2529991801075</v>
      </c>
      <c r="S68" s="63">
        <f t="shared" si="29"/>
        <v>2871.0526315789475</v>
      </c>
      <c r="T68" s="7"/>
      <c r="U68" s="7"/>
      <c r="V68" s="7"/>
      <c r="AA68" s="8"/>
    </row>
    <row r="69" spans="1:27" ht="5.25" customHeight="1" x14ac:dyDescent="0.25"/>
    <row r="70" spans="1:27" x14ac:dyDescent="0.25">
      <c r="B70" s="68" t="s">
        <v>53</v>
      </c>
      <c r="C70" s="65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7" t="s">
        <v>18</v>
      </c>
      <c r="U70" s="5" t="s">
        <v>19</v>
      </c>
      <c r="V70" s="5" t="s">
        <v>20</v>
      </c>
    </row>
    <row r="71" spans="1:27" hidden="1" outlineLevel="1" x14ac:dyDescent="0.25">
      <c r="A71" s="9"/>
      <c r="B71" s="10" t="s">
        <v>21</v>
      </c>
      <c r="C71" s="12">
        <f t="shared" ref="C71:V83" si="30">+C5-C38</f>
        <v>91</v>
      </c>
      <c r="D71" s="12">
        <f t="shared" si="30"/>
        <v>28</v>
      </c>
      <c r="E71" s="12">
        <f t="shared" si="30"/>
        <v>-10</v>
      </c>
      <c r="F71" s="12">
        <f t="shared" si="30"/>
        <v>0</v>
      </c>
      <c r="G71" s="12">
        <f t="shared" si="30"/>
        <v>4</v>
      </c>
      <c r="H71" s="12">
        <f t="shared" si="30"/>
        <v>6</v>
      </c>
      <c r="I71" s="12">
        <f t="shared" si="30"/>
        <v>-21</v>
      </c>
      <c r="J71" s="12">
        <f t="shared" si="30"/>
        <v>27</v>
      </c>
      <c r="K71" s="12">
        <f t="shared" si="30"/>
        <v>7</v>
      </c>
      <c r="L71" s="12">
        <f t="shared" si="30"/>
        <v>8</v>
      </c>
      <c r="M71" s="12">
        <f t="shared" si="30"/>
        <v>3</v>
      </c>
      <c r="N71" s="12">
        <f t="shared" si="30"/>
        <v>4</v>
      </c>
      <c r="O71" s="12">
        <f t="shared" si="30"/>
        <v>0</v>
      </c>
      <c r="P71" s="12">
        <f t="shared" si="30"/>
        <v>7</v>
      </c>
      <c r="Q71" s="12">
        <f t="shared" si="30"/>
        <v>23</v>
      </c>
      <c r="R71" s="12">
        <f t="shared" si="30"/>
        <v>-1</v>
      </c>
      <c r="S71" s="12">
        <f t="shared" si="30"/>
        <v>6</v>
      </c>
      <c r="T71" s="12">
        <f t="shared" si="30"/>
        <v>0</v>
      </c>
      <c r="U71" s="12">
        <f t="shared" si="30"/>
        <v>0</v>
      </c>
      <c r="V71" s="12">
        <f t="shared" si="30"/>
        <v>0</v>
      </c>
      <c r="AA71" s="8"/>
    </row>
    <row r="72" spans="1:27" hidden="1" outlineLevel="1" x14ac:dyDescent="0.25">
      <c r="A72" s="9"/>
      <c r="B72" s="13" t="s">
        <v>22</v>
      </c>
      <c r="C72" s="15">
        <f t="shared" si="30"/>
        <v>-18</v>
      </c>
      <c r="D72" s="15">
        <f t="shared" si="30"/>
        <v>0</v>
      </c>
      <c r="E72" s="15">
        <f t="shared" si="30"/>
        <v>0</v>
      </c>
      <c r="F72" s="15">
        <f t="shared" si="30"/>
        <v>0</v>
      </c>
      <c r="G72" s="15">
        <f t="shared" si="30"/>
        <v>-3</v>
      </c>
      <c r="H72" s="15">
        <f t="shared" si="30"/>
        <v>-1</v>
      </c>
      <c r="I72" s="15">
        <f t="shared" si="30"/>
        <v>1</v>
      </c>
      <c r="J72" s="15">
        <f t="shared" si="30"/>
        <v>-4</v>
      </c>
      <c r="K72" s="15">
        <f t="shared" si="30"/>
        <v>1</v>
      </c>
      <c r="L72" s="15">
        <f t="shared" si="30"/>
        <v>2</v>
      </c>
      <c r="M72" s="15">
        <f t="shared" si="30"/>
        <v>-1</v>
      </c>
      <c r="N72" s="15">
        <f t="shared" si="30"/>
        <v>0</v>
      </c>
      <c r="O72" s="15">
        <f t="shared" si="30"/>
        <v>0</v>
      </c>
      <c r="P72" s="15">
        <f t="shared" si="30"/>
        <v>-6</v>
      </c>
      <c r="Q72" s="15">
        <f t="shared" si="30"/>
        <v>0</v>
      </c>
      <c r="R72" s="15">
        <f t="shared" si="30"/>
        <v>-7</v>
      </c>
      <c r="S72" s="15">
        <f t="shared" si="30"/>
        <v>0</v>
      </c>
      <c r="T72" s="15">
        <f t="shared" si="30"/>
        <v>0</v>
      </c>
      <c r="U72" s="15">
        <f t="shared" si="30"/>
        <v>0</v>
      </c>
      <c r="V72" s="15">
        <f t="shared" si="30"/>
        <v>0</v>
      </c>
      <c r="AA72" s="8"/>
    </row>
    <row r="73" spans="1:27" collapsed="1" x14ac:dyDescent="0.25">
      <c r="A73" s="9"/>
      <c r="B73" s="16" t="s">
        <v>23</v>
      </c>
      <c r="C73" s="17">
        <f t="shared" si="30"/>
        <v>73</v>
      </c>
      <c r="D73" s="18">
        <f t="shared" si="30"/>
        <v>28</v>
      </c>
      <c r="E73" s="18">
        <f t="shared" si="30"/>
        <v>-10</v>
      </c>
      <c r="F73" s="18">
        <f t="shared" si="30"/>
        <v>0</v>
      </c>
      <c r="G73" s="18">
        <f t="shared" si="30"/>
        <v>1</v>
      </c>
      <c r="H73" s="18">
        <f t="shared" si="30"/>
        <v>5</v>
      </c>
      <c r="I73" s="18">
        <f t="shared" si="30"/>
        <v>-20</v>
      </c>
      <c r="J73" s="18">
        <f t="shared" si="30"/>
        <v>23</v>
      </c>
      <c r="K73" s="18">
        <f t="shared" si="30"/>
        <v>8</v>
      </c>
      <c r="L73" s="18">
        <f t="shared" si="30"/>
        <v>10</v>
      </c>
      <c r="M73" s="18">
        <f t="shared" si="30"/>
        <v>2</v>
      </c>
      <c r="N73" s="18">
        <f t="shared" si="30"/>
        <v>4</v>
      </c>
      <c r="O73" s="18">
        <f t="shared" si="30"/>
        <v>0</v>
      </c>
      <c r="P73" s="18">
        <f t="shared" si="30"/>
        <v>1</v>
      </c>
      <c r="Q73" s="18">
        <f t="shared" si="30"/>
        <v>23</v>
      </c>
      <c r="R73" s="18">
        <f t="shared" si="30"/>
        <v>-8</v>
      </c>
      <c r="S73" s="18">
        <f t="shared" si="30"/>
        <v>6</v>
      </c>
      <c r="T73" s="19">
        <f t="shared" si="30"/>
        <v>0</v>
      </c>
      <c r="U73" s="19">
        <f t="shared" si="30"/>
        <v>0</v>
      </c>
      <c r="V73" s="19">
        <f t="shared" si="30"/>
        <v>0</v>
      </c>
      <c r="AA73" s="8"/>
    </row>
    <row r="74" spans="1:27" ht="14.25" hidden="1" customHeight="1" outlineLevel="1" x14ac:dyDescent="0.25">
      <c r="A74" s="9"/>
      <c r="B74" s="10" t="s">
        <v>24</v>
      </c>
      <c r="C74" s="11">
        <f t="shared" si="30"/>
        <v>-45.51408049253223</v>
      </c>
      <c r="D74" s="12">
        <f t="shared" si="30"/>
        <v>-6</v>
      </c>
      <c r="E74" s="12">
        <f t="shared" si="30"/>
        <v>-10</v>
      </c>
      <c r="F74" s="12">
        <f t="shared" si="30"/>
        <v>0</v>
      </c>
      <c r="G74" s="12">
        <f t="shared" si="30"/>
        <v>1</v>
      </c>
      <c r="H74" s="12">
        <f t="shared" si="30"/>
        <v>-16</v>
      </c>
      <c r="I74" s="12">
        <f t="shared" si="30"/>
        <v>-27</v>
      </c>
      <c r="J74" s="12">
        <f t="shared" si="30"/>
        <v>7</v>
      </c>
      <c r="K74" s="12">
        <f t="shared" si="30"/>
        <v>-2</v>
      </c>
      <c r="L74" s="12">
        <f t="shared" si="30"/>
        <v>9</v>
      </c>
      <c r="M74" s="12">
        <f t="shared" si="30"/>
        <v>-2</v>
      </c>
      <c r="N74" s="12">
        <f t="shared" si="30"/>
        <v>-4</v>
      </c>
      <c r="O74" s="12">
        <f t="shared" si="30"/>
        <v>0</v>
      </c>
      <c r="P74" s="12">
        <f t="shared" si="30"/>
        <v>-10</v>
      </c>
      <c r="Q74" s="12">
        <f t="shared" si="30"/>
        <v>17</v>
      </c>
      <c r="R74" s="12">
        <f t="shared" si="30"/>
        <v>-3.5140804925322087</v>
      </c>
      <c r="S74" s="12">
        <f t="shared" si="30"/>
        <v>1</v>
      </c>
      <c r="T74" s="20">
        <f t="shared" si="30"/>
        <v>0</v>
      </c>
      <c r="U74" s="20">
        <f t="shared" si="30"/>
        <v>0</v>
      </c>
      <c r="V74" s="20">
        <f t="shared" si="30"/>
        <v>0</v>
      </c>
      <c r="AA74" s="8"/>
    </row>
    <row r="75" spans="1:27" hidden="1" outlineLevel="1" x14ac:dyDescent="0.25">
      <c r="A75" s="9"/>
      <c r="B75" s="13" t="s">
        <v>25</v>
      </c>
      <c r="C75" s="14">
        <f t="shared" si="30"/>
        <v>0</v>
      </c>
      <c r="D75" s="15">
        <f t="shared" si="30"/>
        <v>0</v>
      </c>
      <c r="E75" s="15">
        <f t="shared" si="30"/>
        <v>0</v>
      </c>
      <c r="F75" s="15">
        <f t="shared" si="30"/>
        <v>0</v>
      </c>
      <c r="G75" s="15">
        <f t="shared" si="30"/>
        <v>0</v>
      </c>
      <c r="H75" s="15">
        <f t="shared" si="30"/>
        <v>0</v>
      </c>
      <c r="I75" s="15">
        <f t="shared" si="30"/>
        <v>0</v>
      </c>
      <c r="J75" s="15">
        <f t="shared" si="30"/>
        <v>0</v>
      </c>
      <c r="K75" s="15">
        <f t="shared" si="30"/>
        <v>0</v>
      </c>
      <c r="L75" s="15">
        <f t="shared" si="30"/>
        <v>0</v>
      </c>
      <c r="M75" s="15">
        <f t="shared" si="30"/>
        <v>0</v>
      </c>
      <c r="N75" s="15">
        <f t="shared" si="30"/>
        <v>0</v>
      </c>
      <c r="O75" s="15">
        <f t="shared" si="30"/>
        <v>0</v>
      </c>
      <c r="P75" s="15">
        <f t="shared" si="30"/>
        <v>0</v>
      </c>
      <c r="Q75" s="15">
        <f t="shared" si="30"/>
        <v>0</v>
      </c>
      <c r="R75" s="15">
        <f t="shared" si="30"/>
        <v>0</v>
      </c>
      <c r="S75" s="15">
        <f t="shared" si="30"/>
        <v>0</v>
      </c>
      <c r="T75" s="21">
        <f t="shared" si="30"/>
        <v>0</v>
      </c>
      <c r="U75" s="21">
        <f t="shared" si="30"/>
        <v>0</v>
      </c>
      <c r="V75" s="21">
        <f t="shared" si="30"/>
        <v>0</v>
      </c>
      <c r="AA75" s="8"/>
    </row>
    <row r="76" spans="1:27" hidden="1" outlineLevel="1" x14ac:dyDescent="0.25">
      <c r="A76" s="9"/>
      <c r="B76" s="13" t="s">
        <v>26</v>
      </c>
      <c r="C76" s="22">
        <f t="shared" si="30"/>
        <v>-2.0813303158134886</v>
      </c>
      <c r="D76" s="23">
        <f t="shared" si="30"/>
        <v>0</v>
      </c>
      <c r="E76" s="23">
        <f t="shared" si="30"/>
        <v>-10</v>
      </c>
      <c r="F76" s="23">
        <f t="shared" si="30"/>
        <v>0</v>
      </c>
      <c r="G76" s="23">
        <f t="shared" si="30"/>
        <v>0</v>
      </c>
      <c r="H76" s="23">
        <f t="shared" si="30"/>
        <v>7</v>
      </c>
      <c r="I76" s="23">
        <f t="shared" si="30"/>
        <v>7</v>
      </c>
      <c r="J76" s="23">
        <f t="shared" si="30"/>
        <v>2.6858000000000004</v>
      </c>
      <c r="K76" s="23">
        <f t="shared" si="30"/>
        <v>-3</v>
      </c>
      <c r="L76" s="23">
        <f t="shared" si="30"/>
        <v>-1</v>
      </c>
      <c r="M76" s="23">
        <f t="shared" si="30"/>
        <v>0</v>
      </c>
      <c r="N76" s="23">
        <f t="shared" si="30"/>
        <v>2</v>
      </c>
      <c r="O76" s="23">
        <f t="shared" si="30"/>
        <v>-6</v>
      </c>
      <c r="P76" s="23">
        <f t="shared" si="30"/>
        <v>-12</v>
      </c>
      <c r="Q76" s="23">
        <f t="shared" si="30"/>
        <v>8</v>
      </c>
      <c r="R76" s="23">
        <f t="shared" si="30"/>
        <v>1.2328696841865217</v>
      </c>
      <c r="S76" s="23">
        <f t="shared" si="30"/>
        <v>2</v>
      </c>
      <c r="T76" s="24">
        <f t="shared" si="30"/>
        <v>0</v>
      </c>
      <c r="U76" s="24">
        <f t="shared" si="30"/>
        <v>0</v>
      </c>
      <c r="V76" s="24">
        <f t="shared" si="30"/>
        <v>0</v>
      </c>
      <c r="AA76" s="8"/>
    </row>
    <row r="77" spans="1:27" collapsed="1" x14ac:dyDescent="0.25">
      <c r="A77" s="9"/>
      <c r="B77" s="16" t="s">
        <v>27</v>
      </c>
      <c r="C77" s="17">
        <f t="shared" si="30"/>
        <v>-47.595410808345719</v>
      </c>
      <c r="D77" s="18">
        <f t="shared" si="30"/>
        <v>-6</v>
      </c>
      <c r="E77" s="18">
        <f t="shared" si="30"/>
        <v>-20</v>
      </c>
      <c r="F77" s="18">
        <f t="shared" si="30"/>
        <v>0</v>
      </c>
      <c r="G77" s="18">
        <f t="shared" si="30"/>
        <v>1</v>
      </c>
      <c r="H77" s="18">
        <f t="shared" si="30"/>
        <v>-9</v>
      </c>
      <c r="I77" s="18">
        <f t="shared" si="30"/>
        <v>-20</v>
      </c>
      <c r="J77" s="18">
        <f t="shared" si="30"/>
        <v>9.6858000000000004</v>
      </c>
      <c r="K77" s="18">
        <f t="shared" si="30"/>
        <v>-5</v>
      </c>
      <c r="L77" s="18">
        <f t="shared" si="30"/>
        <v>8</v>
      </c>
      <c r="M77" s="18">
        <f t="shared" si="30"/>
        <v>-2</v>
      </c>
      <c r="N77" s="18">
        <f t="shared" si="30"/>
        <v>-2</v>
      </c>
      <c r="O77" s="18">
        <f t="shared" si="30"/>
        <v>-6</v>
      </c>
      <c r="P77" s="18">
        <f t="shared" si="30"/>
        <v>-22</v>
      </c>
      <c r="Q77" s="18">
        <f t="shared" si="30"/>
        <v>25</v>
      </c>
      <c r="R77" s="18">
        <f t="shared" si="30"/>
        <v>-2.281210808345687</v>
      </c>
      <c r="S77" s="18">
        <f t="shared" si="30"/>
        <v>3</v>
      </c>
      <c r="T77" s="19">
        <f t="shared" si="30"/>
        <v>0</v>
      </c>
      <c r="U77" s="19">
        <f t="shared" si="30"/>
        <v>0</v>
      </c>
      <c r="V77" s="19">
        <f t="shared" si="30"/>
        <v>0</v>
      </c>
      <c r="AA77" s="8"/>
    </row>
    <row r="78" spans="1:27" ht="15.75" thickBot="1" x14ac:dyDescent="0.3">
      <c r="A78" s="9"/>
      <c r="B78" s="25" t="s">
        <v>28</v>
      </c>
      <c r="C78" s="11">
        <f t="shared" si="30"/>
        <v>25.404589191654395</v>
      </c>
      <c r="D78" s="11">
        <f t="shared" si="30"/>
        <v>22</v>
      </c>
      <c r="E78" s="11">
        <f t="shared" si="30"/>
        <v>-30</v>
      </c>
      <c r="F78" s="11">
        <f t="shared" si="30"/>
        <v>0</v>
      </c>
      <c r="G78" s="11">
        <f t="shared" si="30"/>
        <v>2</v>
      </c>
      <c r="H78" s="11">
        <f t="shared" si="30"/>
        <v>-4</v>
      </c>
      <c r="I78" s="11">
        <f t="shared" si="30"/>
        <v>-40</v>
      </c>
      <c r="J78" s="11">
        <f t="shared" si="30"/>
        <v>32.6858</v>
      </c>
      <c r="K78" s="11">
        <f t="shared" si="30"/>
        <v>3</v>
      </c>
      <c r="L78" s="11">
        <f t="shared" si="30"/>
        <v>18</v>
      </c>
      <c r="M78" s="11">
        <f t="shared" si="30"/>
        <v>0</v>
      </c>
      <c r="N78" s="11">
        <f t="shared" si="30"/>
        <v>2</v>
      </c>
      <c r="O78" s="11">
        <f t="shared" si="30"/>
        <v>-6</v>
      </c>
      <c r="P78" s="11">
        <f t="shared" si="30"/>
        <v>-21</v>
      </c>
      <c r="Q78" s="11">
        <f t="shared" si="30"/>
        <v>48</v>
      </c>
      <c r="R78" s="11">
        <f t="shared" si="30"/>
        <v>-10.281210808345691</v>
      </c>
      <c r="S78" s="11">
        <f t="shared" si="30"/>
        <v>9</v>
      </c>
      <c r="T78" s="26"/>
      <c r="U78" s="26"/>
      <c r="V78" s="26"/>
      <c r="AA78" s="8"/>
    </row>
    <row r="79" spans="1:27" ht="15.75" hidden="1" outlineLevel="1" thickBot="1" x14ac:dyDescent="0.3">
      <c r="A79" s="9"/>
      <c r="B79" s="27" t="s">
        <v>30</v>
      </c>
      <c r="C79" s="28">
        <f t="shared" si="30"/>
        <v>95251.193468023557</v>
      </c>
      <c r="D79" s="29">
        <f t="shared" si="30"/>
        <v>4152.1739060553955</v>
      </c>
      <c r="E79" s="29">
        <f t="shared" si="30"/>
        <v>-14556.962025316499</v>
      </c>
      <c r="F79" s="29">
        <f t="shared" si="30"/>
        <v>0</v>
      </c>
      <c r="G79" s="29">
        <f t="shared" si="30"/>
        <v>-6884.4771479499977</v>
      </c>
      <c r="H79" s="29">
        <f t="shared" si="30"/>
        <v>38638.949999999895</v>
      </c>
      <c r="I79" s="29">
        <f t="shared" si="30"/>
        <v>-54804.354509068769</v>
      </c>
      <c r="J79" s="29">
        <f t="shared" si="30"/>
        <v>68297.509999999602</v>
      </c>
      <c r="K79" s="29">
        <f t="shared" si="30"/>
        <v>-941.17999999997846</v>
      </c>
      <c r="L79" s="29">
        <f t="shared" si="30"/>
        <v>-12612.422163823183</v>
      </c>
      <c r="M79" s="29">
        <f t="shared" si="30"/>
        <v>-31253.970000000176</v>
      </c>
      <c r="N79" s="29">
        <f t="shared" si="30"/>
        <v>-84.688552287174389</v>
      </c>
      <c r="O79" s="29">
        <f t="shared" si="30"/>
        <v>-50612.453786406841</v>
      </c>
      <c r="P79" s="29">
        <f t="shared" si="30"/>
        <v>10407.555777658214</v>
      </c>
      <c r="Q79" s="29">
        <f t="shared" si="30"/>
        <v>104412.25440000504</v>
      </c>
      <c r="R79" s="29">
        <f t="shared" si="30"/>
        <v>28485.007569158144</v>
      </c>
      <c r="S79" s="29">
        <f t="shared" si="30"/>
        <v>12608.25</v>
      </c>
      <c r="T79" s="29">
        <f t="shared" si="30"/>
        <v>0</v>
      </c>
      <c r="U79" s="29">
        <f t="shared" si="30"/>
        <v>0</v>
      </c>
      <c r="V79" s="29">
        <f t="shared" si="30"/>
        <v>0</v>
      </c>
      <c r="AA79" s="8"/>
    </row>
    <row r="80" spans="1:27" ht="15.75" hidden="1" outlineLevel="1" thickBot="1" x14ac:dyDescent="0.3">
      <c r="A80" s="9"/>
      <c r="B80" s="30" t="s">
        <v>31</v>
      </c>
      <c r="C80" s="31">
        <f>+C14-C47</f>
        <v>-12668.837253518184</v>
      </c>
      <c r="D80" s="32">
        <f t="shared" si="30"/>
        <v>-3161.3695238096225</v>
      </c>
      <c r="E80" s="32">
        <f t="shared" si="30"/>
        <v>-100</v>
      </c>
      <c r="F80" s="32">
        <f t="shared" si="30"/>
        <v>0</v>
      </c>
      <c r="G80" s="32">
        <f t="shared" si="30"/>
        <v>167.4617513119274</v>
      </c>
      <c r="H80" s="32">
        <f t="shared" si="30"/>
        <v>-786.96</v>
      </c>
      <c r="I80" s="32">
        <f t="shared" si="30"/>
        <v>1910</v>
      </c>
      <c r="J80" s="32">
        <f t="shared" si="30"/>
        <v>-4359.8600000000097</v>
      </c>
      <c r="K80" s="32">
        <f t="shared" si="30"/>
        <v>-5000</v>
      </c>
      <c r="L80" s="32">
        <f t="shared" si="30"/>
        <v>-3</v>
      </c>
      <c r="M80" s="32">
        <f t="shared" si="30"/>
        <v>-2356.6700000000201</v>
      </c>
      <c r="N80" s="32">
        <f t="shared" si="30"/>
        <v>-473.17670265155812</v>
      </c>
      <c r="O80" s="32">
        <f t="shared" si="30"/>
        <v>0</v>
      </c>
      <c r="P80" s="32">
        <f t="shared" si="30"/>
        <v>76.64</v>
      </c>
      <c r="Q80" s="32">
        <f t="shared" si="30"/>
        <v>1921.6700000065857</v>
      </c>
      <c r="R80" s="32">
        <f t="shared" si="30"/>
        <v>-303.57277837548588</v>
      </c>
      <c r="S80" s="32">
        <f t="shared" si="30"/>
        <v>-200</v>
      </c>
      <c r="T80" s="32">
        <f t="shared" si="30"/>
        <v>0</v>
      </c>
      <c r="U80" s="32">
        <f t="shared" si="30"/>
        <v>0</v>
      </c>
      <c r="V80" s="32">
        <f t="shared" si="30"/>
        <v>0</v>
      </c>
      <c r="AA80" s="8"/>
    </row>
    <row r="81" spans="1:27" ht="15.75" hidden="1" outlineLevel="1" thickBot="1" x14ac:dyDescent="0.3">
      <c r="A81" s="9"/>
      <c r="B81" s="30" t="s">
        <v>32</v>
      </c>
      <c r="C81" s="31">
        <f t="shared" si="30"/>
        <v>28338.373643808067</v>
      </c>
      <c r="D81" s="32">
        <f t="shared" si="30"/>
        <v>-9077.1457142857034</v>
      </c>
      <c r="E81" s="32">
        <f t="shared" si="30"/>
        <v>0</v>
      </c>
      <c r="F81" s="32">
        <f t="shared" si="30"/>
        <v>0</v>
      </c>
      <c r="G81" s="32">
        <f t="shared" si="30"/>
        <v>-1500</v>
      </c>
      <c r="H81" s="32">
        <f t="shared" si="30"/>
        <v>8990.19</v>
      </c>
      <c r="I81" s="32">
        <f t="shared" si="30"/>
        <v>1530.8457615704147</v>
      </c>
      <c r="J81" s="32">
        <f t="shared" si="30"/>
        <v>4705.5299999999897</v>
      </c>
      <c r="K81" s="32">
        <f t="shared" si="30"/>
        <v>-2010.0857142857142</v>
      </c>
      <c r="L81" s="32">
        <f t="shared" si="30"/>
        <v>-345.890000000013</v>
      </c>
      <c r="M81" s="32">
        <f t="shared" si="30"/>
        <v>105.53999999999996</v>
      </c>
      <c r="N81" s="32">
        <f t="shared" si="30"/>
        <v>0</v>
      </c>
      <c r="O81" s="32">
        <f t="shared" si="30"/>
        <v>0</v>
      </c>
      <c r="P81" s="32">
        <f t="shared" si="30"/>
        <v>41373.644866364659</v>
      </c>
      <c r="Q81" s="32">
        <f t="shared" si="30"/>
        <v>1248.9944444444445</v>
      </c>
      <c r="R81" s="32">
        <f t="shared" si="30"/>
        <v>-16683.25</v>
      </c>
      <c r="S81" s="32">
        <f t="shared" si="30"/>
        <v>0</v>
      </c>
      <c r="T81" s="32">
        <f t="shared" si="30"/>
        <v>0</v>
      </c>
      <c r="U81" s="32">
        <f t="shared" si="30"/>
        <v>0</v>
      </c>
      <c r="V81" s="32">
        <f t="shared" si="30"/>
        <v>0</v>
      </c>
      <c r="AA81" s="8"/>
    </row>
    <row r="82" spans="1:27" ht="15.75" hidden="1" outlineLevel="1" thickBot="1" x14ac:dyDescent="0.3">
      <c r="A82" s="9"/>
      <c r="B82" s="33" t="s">
        <v>33</v>
      </c>
      <c r="C82" s="34">
        <f t="shared" si="30"/>
        <v>136097.72999999882</v>
      </c>
      <c r="D82" s="35">
        <f>+D16-D49</f>
        <v>39530.459999999992</v>
      </c>
      <c r="E82" s="35">
        <f t="shared" si="30"/>
        <v>-9000</v>
      </c>
      <c r="F82" s="35">
        <f t="shared" si="30"/>
        <v>0</v>
      </c>
      <c r="G82" s="35">
        <f t="shared" si="30"/>
        <v>2252.3699999999008</v>
      </c>
      <c r="H82" s="35">
        <f t="shared" si="30"/>
        <v>2190.0399999999063</v>
      </c>
      <c r="I82" s="35">
        <f t="shared" si="30"/>
        <v>-20675.010000000002</v>
      </c>
      <c r="J82" s="35">
        <f t="shared" si="30"/>
        <v>20067.209999999017</v>
      </c>
      <c r="K82" s="35">
        <f t="shared" si="30"/>
        <v>-10064.120000000101</v>
      </c>
      <c r="L82" s="35">
        <f t="shared" si="30"/>
        <v>25014.17</v>
      </c>
      <c r="M82" s="35">
        <f t="shared" si="30"/>
        <v>13475.39</v>
      </c>
      <c r="N82" s="35">
        <f t="shared" si="30"/>
        <v>-3751.1900000000023</v>
      </c>
      <c r="O82" s="35">
        <f t="shared" si="30"/>
        <v>28292.950000000012</v>
      </c>
      <c r="P82" s="35">
        <f t="shared" si="30"/>
        <v>485.16000000000349</v>
      </c>
      <c r="Q82" s="35">
        <f t="shared" si="30"/>
        <v>24422.47</v>
      </c>
      <c r="R82" s="35">
        <f t="shared" si="30"/>
        <v>5629.3499999999985</v>
      </c>
      <c r="S82" s="35">
        <f t="shared" si="30"/>
        <v>18228.480000000003</v>
      </c>
      <c r="T82" s="35">
        <f t="shared" si="30"/>
        <v>0</v>
      </c>
      <c r="U82" s="35">
        <f t="shared" si="30"/>
        <v>0</v>
      </c>
      <c r="V82" s="35">
        <f t="shared" si="30"/>
        <v>0</v>
      </c>
      <c r="AA82" s="8"/>
    </row>
    <row r="83" spans="1:27" ht="15.75" hidden="1" outlineLevel="1" thickBot="1" x14ac:dyDescent="0.3">
      <c r="A83" s="9"/>
      <c r="B83" s="16" t="s">
        <v>34</v>
      </c>
      <c r="C83" s="36">
        <f t="shared" si="30"/>
        <v>247018.45985831181</v>
      </c>
      <c r="D83" s="37">
        <f t="shared" si="30"/>
        <v>31444.118667959992</v>
      </c>
      <c r="E83" s="37">
        <f t="shared" si="30"/>
        <v>-23656.962025316498</v>
      </c>
      <c r="F83" s="37">
        <f t="shared" si="30"/>
        <v>0</v>
      </c>
      <c r="G83" s="37">
        <f t="shared" si="30"/>
        <v>-5964.6453966381669</v>
      </c>
      <c r="H83" s="37">
        <f t="shared" si="30"/>
        <v>49032.219999999797</v>
      </c>
      <c r="I83" s="37">
        <f t="shared" si="30"/>
        <v>-72038.518747498369</v>
      </c>
      <c r="J83" s="37">
        <f t="shared" si="30"/>
        <v>88710.389999998617</v>
      </c>
      <c r="K83" s="37">
        <f t="shared" si="30"/>
        <v>-18015.385714285789</v>
      </c>
      <c r="L83" s="37">
        <f t="shared" si="30"/>
        <v>12052.857836176816</v>
      </c>
      <c r="M83" s="37">
        <f t="shared" si="30"/>
        <v>-20029.710000000196</v>
      </c>
      <c r="N83" s="37">
        <f t="shared" si="30"/>
        <v>-4309.0552549387503</v>
      </c>
      <c r="O83" s="37">
        <f t="shared" si="30"/>
        <v>-22319.503786406829</v>
      </c>
      <c r="P83" s="37">
        <f t="shared" si="30"/>
        <v>52343.000644022832</v>
      </c>
      <c r="Q83" s="37">
        <f t="shared" si="30"/>
        <v>132005.38884445609</v>
      </c>
      <c r="R83" s="37">
        <f t="shared" si="30"/>
        <v>17127.534790782665</v>
      </c>
      <c r="S83" s="37">
        <f t="shared" si="30"/>
        <v>30636.73000000001</v>
      </c>
      <c r="T83" s="36">
        <f t="shared" si="30"/>
        <v>0</v>
      </c>
      <c r="U83" s="36">
        <f t="shared" si="30"/>
        <v>0</v>
      </c>
      <c r="V83" s="36">
        <f t="shared" si="30"/>
        <v>0</v>
      </c>
      <c r="AA83" s="8"/>
    </row>
    <row r="84" spans="1:27" ht="15.75" hidden="1" outlineLevel="1" thickBot="1" x14ac:dyDescent="0.3">
      <c r="A84" s="9"/>
      <c r="B84" s="30" t="s">
        <v>35</v>
      </c>
      <c r="C84" s="31">
        <f t="shared" ref="C84:V91" si="31">+C18-C51</f>
        <v>62701.884189943899</v>
      </c>
      <c r="D84" s="32">
        <f t="shared" si="31"/>
        <v>9809.6699999998964</v>
      </c>
      <c r="E84" s="32">
        <f t="shared" si="31"/>
        <v>-12000</v>
      </c>
      <c r="F84" s="32">
        <f t="shared" si="31"/>
        <v>0</v>
      </c>
      <c r="G84" s="32">
        <f t="shared" si="31"/>
        <v>6738.4299999999821</v>
      </c>
      <c r="H84" s="32">
        <f t="shared" si="31"/>
        <v>-14254.700000000004</v>
      </c>
      <c r="I84" s="32">
        <f t="shared" si="31"/>
        <v>-20486.660000000003</v>
      </c>
      <c r="J84" s="32">
        <f t="shared" si="31"/>
        <v>-10479.259999999871</v>
      </c>
      <c r="K84" s="32">
        <f t="shared" si="31"/>
        <v>-17227.52</v>
      </c>
      <c r="L84" s="32">
        <f t="shared" si="31"/>
        <v>22404.330000000104</v>
      </c>
      <c r="M84" s="32">
        <f t="shared" si="31"/>
        <v>408.80999999998312</v>
      </c>
      <c r="N84" s="32">
        <f t="shared" si="31"/>
        <v>-7237.8700000000099</v>
      </c>
      <c r="O84" s="32">
        <f t="shared" si="31"/>
        <v>-949.58000000010361</v>
      </c>
      <c r="P84" s="32">
        <f t="shared" si="31"/>
        <v>9942.4100000000035</v>
      </c>
      <c r="Q84" s="32">
        <f t="shared" si="31"/>
        <v>91357.719999999885</v>
      </c>
      <c r="R84" s="32">
        <f t="shared" si="31"/>
        <v>4993.5741899440236</v>
      </c>
      <c r="S84" s="32">
        <f t="shared" si="31"/>
        <v>-317.47000000009939</v>
      </c>
      <c r="T84" s="32">
        <f t="shared" si="31"/>
        <v>0</v>
      </c>
      <c r="U84" s="32">
        <f t="shared" si="31"/>
        <v>0</v>
      </c>
      <c r="V84" s="32">
        <f t="shared" si="31"/>
        <v>0</v>
      </c>
      <c r="AA84" s="8"/>
    </row>
    <row r="85" spans="1:27" ht="15.75" hidden="1" outlineLevel="1" thickBot="1" x14ac:dyDescent="0.3">
      <c r="A85" s="9"/>
      <c r="B85" s="30" t="s">
        <v>36</v>
      </c>
      <c r="C85" s="31">
        <f t="shared" si="31"/>
        <v>0</v>
      </c>
      <c r="D85" s="32">
        <f t="shared" si="31"/>
        <v>0</v>
      </c>
      <c r="E85" s="32">
        <f t="shared" si="31"/>
        <v>0</v>
      </c>
      <c r="F85" s="32">
        <f t="shared" si="31"/>
        <v>0</v>
      </c>
      <c r="G85" s="32">
        <f t="shared" si="31"/>
        <v>0</v>
      </c>
      <c r="H85" s="32">
        <f t="shared" si="31"/>
        <v>0</v>
      </c>
      <c r="I85" s="32">
        <f t="shared" si="31"/>
        <v>0</v>
      </c>
      <c r="J85" s="32">
        <f t="shared" si="31"/>
        <v>0</v>
      </c>
      <c r="K85" s="32">
        <f t="shared" si="31"/>
        <v>0</v>
      </c>
      <c r="L85" s="32">
        <f t="shared" si="31"/>
        <v>0</v>
      </c>
      <c r="M85" s="32">
        <f t="shared" si="31"/>
        <v>0</v>
      </c>
      <c r="N85" s="32">
        <f t="shared" si="31"/>
        <v>0</v>
      </c>
      <c r="O85" s="32">
        <f t="shared" si="31"/>
        <v>0</v>
      </c>
      <c r="P85" s="32">
        <f t="shared" si="31"/>
        <v>0</v>
      </c>
      <c r="Q85" s="32">
        <f t="shared" si="31"/>
        <v>0</v>
      </c>
      <c r="R85" s="32">
        <f t="shared" si="31"/>
        <v>0</v>
      </c>
      <c r="S85" s="32">
        <f t="shared" si="31"/>
        <v>0</v>
      </c>
      <c r="T85" s="32">
        <f t="shared" si="31"/>
        <v>0</v>
      </c>
      <c r="U85" s="32">
        <f t="shared" si="31"/>
        <v>0</v>
      </c>
      <c r="V85" s="32">
        <f t="shared" si="31"/>
        <v>0</v>
      </c>
      <c r="AA85" s="8"/>
    </row>
    <row r="86" spans="1:27" ht="15.75" hidden="1" outlineLevel="1" thickBot="1" x14ac:dyDescent="0.3">
      <c r="A86" s="9"/>
      <c r="B86" s="30" t="s">
        <v>37</v>
      </c>
      <c r="C86" s="31">
        <f t="shared" si="31"/>
        <v>76911.992947992898</v>
      </c>
      <c r="D86" s="32">
        <f t="shared" si="31"/>
        <v>22711.699999999903</v>
      </c>
      <c r="E86" s="32">
        <f t="shared" si="31"/>
        <v>-3000</v>
      </c>
      <c r="F86" s="32">
        <f t="shared" si="31"/>
        <v>0</v>
      </c>
      <c r="G86" s="32">
        <f t="shared" si="31"/>
        <v>5164.4199999999892</v>
      </c>
      <c r="H86" s="32">
        <f t="shared" si="31"/>
        <v>10101.1699999999</v>
      </c>
      <c r="I86" s="32">
        <f t="shared" si="31"/>
        <v>-8524.8000000000502</v>
      </c>
      <c r="J86" s="32">
        <f t="shared" si="31"/>
        <v>-9386.3383679999806</v>
      </c>
      <c r="K86" s="32">
        <f t="shared" si="31"/>
        <v>-6591.5</v>
      </c>
      <c r="L86" s="32">
        <f t="shared" si="31"/>
        <v>-1174.4100000000699</v>
      </c>
      <c r="M86" s="32">
        <f t="shared" si="31"/>
        <v>14129.4899999999</v>
      </c>
      <c r="N86" s="32">
        <f t="shared" si="31"/>
        <v>5242.51</v>
      </c>
      <c r="O86" s="32">
        <f t="shared" si="31"/>
        <v>26128.25</v>
      </c>
      <c r="P86" s="32">
        <f t="shared" si="31"/>
        <v>-1088.0800000000017</v>
      </c>
      <c r="Q86" s="32">
        <f t="shared" si="31"/>
        <v>18276.482989690721</v>
      </c>
      <c r="R86" s="32">
        <f t="shared" si="31"/>
        <v>5423.0983263025882</v>
      </c>
      <c r="S86" s="32">
        <f t="shared" si="31"/>
        <v>-500</v>
      </c>
      <c r="T86" s="32">
        <f t="shared" si="31"/>
        <v>0</v>
      </c>
      <c r="U86" s="32">
        <f t="shared" si="31"/>
        <v>0</v>
      </c>
      <c r="V86" s="32">
        <f t="shared" si="31"/>
        <v>0</v>
      </c>
      <c r="AA86" s="8"/>
    </row>
    <row r="87" spans="1:27" ht="15.75" hidden="1" outlineLevel="1" thickBot="1" x14ac:dyDescent="0.3">
      <c r="A87" s="9"/>
      <c r="B87" s="30" t="s">
        <v>38</v>
      </c>
      <c r="C87" s="31">
        <f>+C21-C54</f>
        <v>-144078.6448865587</v>
      </c>
      <c r="D87" s="32">
        <f t="shared" si="31"/>
        <v>-21184.380000000099</v>
      </c>
      <c r="E87" s="32">
        <f t="shared" si="31"/>
        <v>-15000.000000000002</v>
      </c>
      <c r="F87" s="32">
        <f t="shared" si="31"/>
        <v>0</v>
      </c>
      <c r="G87" s="32">
        <f t="shared" si="31"/>
        <v>-13239.009999999998</v>
      </c>
      <c r="H87" s="32">
        <f t="shared" si="31"/>
        <v>-26952.370000000101</v>
      </c>
      <c r="I87" s="32">
        <f t="shared" si="31"/>
        <v>-48762.940000000104</v>
      </c>
      <c r="J87" s="32">
        <f t="shared" si="31"/>
        <v>16250.109999999993</v>
      </c>
      <c r="K87" s="32">
        <f t="shared" si="31"/>
        <v>-4720.2700000000004</v>
      </c>
      <c r="L87" s="32">
        <f t="shared" si="31"/>
        <v>10336.959999999999</v>
      </c>
      <c r="M87" s="32">
        <f t="shared" si="31"/>
        <v>-6711.4000000000015</v>
      </c>
      <c r="N87" s="32">
        <f t="shared" si="31"/>
        <v>-1478.3300000000017</v>
      </c>
      <c r="O87" s="32">
        <f t="shared" si="31"/>
        <v>-36583.22</v>
      </c>
      <c r="P87" s="32">
        <f t="shared" si="31"/>
        <v>-17658.5100000001</v>
      </c>
      <c r="Q87" s="32">
        <f t="shared" si="31"/>
        <v>25104.759999999904</v>
      </c>
      <c r="R87" s="32">
        <f t="shared" si="31"/>
        <v>-2031.974886558075</v>
      </c>
      <c r="S87" s="32">
        <f t="shared" si="31"/>
        <v>-1448.0699999999997</v>
      </c>
      <c r="T87" s="32">
        <f t="shared" si="31"/>
        <v>0</v>
      </c>
      <c r="U87" s="32">
        <f t="shared" si="31"/>
        <v>0</v>
      </c>
      <c r="V87" s="32">
        <f t="shared" si="31"/>
        <v>0</v>
      </c>
      <c r="AA87" s="8"/>
    </row>
    <row r="88" spans="1:27" ht="15.75" hidden="1" outlineLevel="1" thickBot="1" x14ac:dyDescent="0.3">
      <c r="A88" s="9"/>
      <c r="B88" s="16" t="s">
        <v>39</v>
      </c>
      <c r="C88" s="36">
        <f>+C22-C55</f>
        <v>-4464.7677486217581</v>
      </c>
      <c r="D88" s="37">
        <f t="shared" si="31"/>
        <v>11336.9899999997</v>
      </c>
      <c r="E88" s="37">
        <f t="shared" si="31"/>
        <v>-30000</v>
      </c>
      <c r="F88" s="37">
        <f t="shared" si="31"/>
        <v>0</v>
      </c>
      <c r="G88" s="37">
        <f t="shared" si="31"/>
        <v>-1336.1600000000326</v>
      </c>
      <c r="H88" s="37">
        <f t="shared" si="31"/>
        <v>-31105.900000000198</v>
      </c>
      <c r="I88" s="37">
        <f t="shared" si="31"/>
        <v>-77774.400000000154</v>
      </c>
      <c r="J88" s="37">
        <f t="shared" si="31"/>
        <v>-3615.4883679998602</v>
      </c>
      <c r="K88" s="37">
        <f t="shared" si="31"/>
        <v>-28539.29</v>
      </c>
      <c r="L88" s="37">
        <f t="shared" si="31"/>
        <v>31566.880000000034</v>
      </c>
      <c r="M88" s="37">
        <f t="shared" si="31"/>
        <v>7826.8999999998778</v>
      </c>
      <c r="N88" s="37">
        <f t="shared" si="31"/>
        <v>-3473.6900000000096</v>
      </c>
      <c r="O88" s="37">
        <f t="shared" si="31"/>
        <v>-11404.550000000105</v>
      </c>
      <c r="P88" s="37">
        <f t="shared" si="31"/>
        <v>-8804.1800000000949</v>
      </c>
      <c r="Q88" s="37">
        <f t="shared" si="31"/>
        <v>134738.96298969048</v>
      </c>
      <c r="R88" s="37">
        <f t="shared" si="31"/>
        <v>8384.6976296885405</v>
      </c>
      <c r="S88" s="37">
        <f t="shared" si="31"/>
        <v>-2265.5400000000955</v>
      </c>
      <c r="T88" s="36">
        <f t="shared" si="31"/>
        <v>0</v>
      </c>
      <c r="U88" s="36">
        <f t="shared" si="31"/>
        <v>0</v>
      </c>
      <c r="V88" s="36">
        <f t="shared" si="31"/>
        <v>0</v>
      </c>
      <c r="AA88" s="8"/>
    </row>
    <row r="89" spans="1:27" ht="15.75" hidden="1" outlineLevel="1" thickBot="1" x14ac:dyDescent="0.3">
      <c r="A89" s="9"/>
      <c r="B89" s="27" t="s">
        <v>40</v>
      </c>
      <c r="C89" s="28">
        <f>+C23-C56</f>
        <v>242553.69210969005</v>
      </c>
      <c r="D89" s="38">
        <f t="shared" si="31"/>
        <v>42781.108667959692</v>
      </c>
      <c r="E89" s="38">
        <f t="shared" si="31"/>
        <v>-53656.962025316498</v>
      </c>
      <c r="F89" s="38">
        <f t="shared" si="31"/>
        <v>0</v>
      </c>
      <c r="G89" s="38">
        <f t="shared" si="31"/>
        <v>-7300.8053966381995</v>
      </c>
      <c r="H89" s="38">
        <f t="shared" si="31"/>
        <v>17926.3199999996</v>
      </c>
      <c r="I89" s="38">
        <f t="shared" si="31"/>
        <v>-149812.91874749854</v>
      </c>
      <c r="J89" s="38">
        <f t="shared" si="31"/>
        <v>85094.901631998771</v>
      </c>
      <c r="K89" s="38">
        <f t="shared" si="31"/>
        <v>-46554.675714285797</v>
      </c>
      <c r="L89" s="38">
        <f t="shared" si="31"/>
        <v>43619.737836176821</v>
      </c>
      <c r="M89" s="38">
        <f t="shared" si="31"/>
        <v>-12202.810000000318</v>
      </c>
      <c r="N89" s="38">
        <f t="shared" si="31"/>
        <v>-7782.7452549387526</v>
      </c>
      <c r="O89" s="38">
        <f t="shared" si="31"/>
        <v>-33724.053786406992</v>
      </c>
      <c r="P89" s="38">
        <f t="shared" si="31"/>
        <v>43538.820644022722</v>
      </c>
      <c r="Q89" s="38">
        <f t="shared" si="31"/>
        <v>266744.3518341466</v>
      </c>
      <c r="R89" s="38">
        <f t="shared" si="31"/>
        <v>25512.232420471206</v>
      </c>
      <c r="S89" s="38">
        <f t="shared" si="31"/>
        <v>28371.189999999915</v>
      </c>
      <c r="T89" s="28"/>
      <c r="U89" s="28"/>
      <c r="V89" s="28"/>
      <c r="AA89" s="8"/>
    </row>
    <row r="90" spans="1:27" ht="15.75" hidden="1" outlineLevel="1" collapsed="1" thickBot="1" x14ac:dyDescent="0.3">
      <c r="A90" s="9"/>
      <c r="B90" s="39" t="s">
        <v>41</v>
      </c>
      <c r="C90" s="40">
        <f>+C24-C57</f>
        <v>-151.97309162350939</v>
      </c>
      <c r="D90" s="41">
        <f t="shared" si="31"/>
        <v>-345.01232633118479</v>
      </c>
      <c r="E90" s="41">
        <f t="shared" si="31"/>
        <v>-1455.69620253165</v>
      </c>
      <c r="F90" s="41">
        <f t="shared" si="31"/>
        <v>0</v>
      </c>
      <c r="G90" s="41">
        <f t="shared" si="31"/>
        <v>-320.49344397319771</v>
      </c>
      <c r="H90" s="41">
        <f t="shared" si="31"/>
        <v>299.09320987654201</v>
      </c>
      <c r="I90" s="41">
        <f t="shared" si="31"/>
        <v>-139.43851033837518</v>
      </c>
      <c r="J90" s="41">
        <f t="shared" si="31"/>
        <v>30.83748327758758</v>
      </c>
      <c r="K90" s="41">
        <f t="shared" si="31"/>
        <v>-410.00374242424186</v>
      </c>
      <c r="L90" s="41">
        <f t="shared" si="31"/>
        <v>-538.21669247775685</v>
      </c>
      <c r="M90" s="41">
        <f t="shared" si="31"/>
        <v>-925.25652439024816</v>
      </c>
      <c r="N90" s="41">
        <f t="shared" si="31"/>
        <v>-514.40056278114162</v>
      </c>
      <c r="O90" s="41">
        <f t="shared" si="31"/>
        <v>-330.8003515451428</v>
      </c>
      <c r="P90" s="41">
        <f t="shared" si="31"/>
        <v>-143.99549981272139</v>
      </c>
      <c r="Q90" s="41">
        <f t="shared" si="31"/>
        <v>299.77285685435572</v>
      </c>
      <c r="R90" s="41">
        <f t="shared" si="31"/>
        <v>1242.7098027663255</v>
      </c>
      <c r="S90" s="42">
        <f t="shared" si="31"/>
        <v>-125.88157894736833</v>
      </c>
      <c r="T90" s="29">
        <f t="shared" si="31"/>
        <v>0</v>
      </c>
      <c r="U90" s="38">
        <f t="shared" si="31"/>
        <v>0</v>
      </c>
      <c r="V90" s="38">
        <f t="shared" si="31"/>
        <v>0</v>
      </c>
      <c r="AA90" s="8"/>
    </row>
    <row r="91" spans="1:27" ht="15.75" hidden="1" outlineLevel="1" thickBot="1" x14ac:dyDescent="0.3">
      <c r="A91" s="9"/>
      <c r="B91" s="43" t="s">
        <v>42</v>
      </c>
      <c r="C91" s="31">
        <f>+C25-C58</f>
        <v>2311.9709579386908</v>
      </c>
      <c r="D91" s="44">
        <f t="shared" si="31"/>
        <v>-1815.4291428571407</v>
      </c>
      <c r="E91" s="44">
        <f t="shared" si="31"/>
        <v>0</v>
      </c>
      <c r="F91" s="44">
        <f t="shared" si="31"/>
        <v>0</v>
      </c>
      <c r="G91" s="44">
        <f t="shared" si="31"/>
        <v>-500</v>
      </c>
      <c r="H91" s="44">
        <f t="shared" si="31"/>
        <v>8990.19</v>
      </c>
      <c r="I91" s="44">
        <f t="shared" si="31"/>
        <v>-287.66878588145619</v>
      </c>
      <c r="J91" s="44">
        <f t="shared" si="31"/>
        <v>2852.7649999999949</v>
      </c>
      <c r="K91" s="44">
        <f t="shared" si="31"/>
        <v>-1005.0607142857143</v>
      </c>
      <c r="L91" s="44">
        <f t="shared" si="31"/>
        <v>-86.472500000003251</v>
      </c>
      <c r="M91" s="44">
        <f t="shared" si="31"/>
        <v>1077.77</v>
      </c>
      <c r="N91" s="44">
        <f t="shared" si="31"/>
        <v>0</v>
      </c>
      <c r="O91" s="44">
        <f t="shared" si="31"/>
        <v>0</v>
      </c>
      <c r="P91" s="44">
        <f t="shared" si="31"/>
        <v>10747.303738863729</v>
      </c>
      <c r="Q91" s="44">
        <f t="shared" si="31"/>
        <v>1248.9944444444445</v>
      </c>
      <c r="R91" s="44">
        <f t="shared" si="31"/>
        <v>272.25</v>
      </c>
      <c r="S91" s="45">
        <f t="shared" si="31"/>
        <v>0</v>
      </c>
      <c r="T91" s="32">
        <f t="shared" si="31"/>
        <v>0</v>
      </c>
      <c r="U91" s="44">
        <f t="shared" si="31"/>
        <v>0</v>
      </c>
      <c r="V91" s="44">
        <f t="shared" si="31"/>
        <v>0</v>
      </c>
      <c r="AA91" s="8"/>
    </row>
    <row r="92" spans="1:27" ht="15.75" hidden="1" outlineLevel="1" thickBot="1" x14ac:dyDescent="0.3">
      <c r="A92" s="9"/>
      <c r="B92" s="43" t="s">
        <v>43</v>
      </c>
      <c r="C92" s="31">
        <f t="shared" ref="C92:V94" si="32">+C26-C59</f>
        <v>27.748791327947629</v>
      </c>
      <c r="D92" s="44">
        <f t="shared" si="32"/>
        <v>52.593132530120329</v>
      </c>
      <c r="E92" s="44">
        <f t="shared" si="32"/>
        <v>-900</v>
      </c>
      <c r="F92" s="44">
        <f t="shared" si="32"/>
        <v>0</v>
      </c>
      <c r="G92" s="44">
        <f t="shared" si="32"/>
        <v>-80.231212121215094</v>
      </c>
      <c r="H92" s="44">
        <f t="shared" si="32"/>
        <v>-47.036543209877664</v>
      </c>
      <c r="I92" s="44">
        <f t="shared" si="32"/>
        <v>6.372352941176473</v>
      </c>
      <c r="J92" s="44">
        <f t="shared" si="32"/>
        <v>-165.16076086957582</v>
      </c>
      <c r="K92" s="44">
        <f t="shared" si="32"/>
        <v>-461.60300000000257</v>
      </c>
      <c r="L92" s="44">
        <f t="shared" si="32"/>
        <v>247.69779661016946</v>
      </c>
      <c r="M92" s="44">
        <f t="shared" si="32"/>
        <v>238.07704545454544</v>
      </c>
      <c r="N92" s="44">
        <f t="shared" si="32"/>
        <v>-357.62724137931036</v>
      </c>
      <c r="O92" s="44">
        <f t="shared" si="32"/>
        <v>184.92124183006536</v>
      </c>
      <c r="P92" s="44">
        <f t="shared" si="32"/>
        <v>-232.97769230769222</v>
      </c>
      <c r="Q92" s="44">
        <f t="shared" si="32"/>
        <v>-41.266623376623329</v>
      </c>
      <c r="R92" s="44">
        <f t="shared" si="32"/>
        <v>292.05624999999986</v>
      </c>
      <c r="S92" s="45">
        <f t="shared" si="32"/>
        <v>343.60421052631591</v>
      </c>
      <c r="T92" s="35">
        <f t="shared" si="32"/>
        <v>0</v>
      </c>
      <c r="U92" s="46">
        <f t="shared" si="32"/>
        <v>0</v>
      </c>
      <c r="V92" s="46">
        <f t="shared" si="32"/>
        <v>0</v>
      </c>
      <c r="AA92" s="8"/>
    </row>
    <row r="93" spans="1:27" ht="15.75" hidden="1" outlineLevel="1" thickBot="1" x14ac:dyDescent="0.3">
      <c r="A93" s="9"/>
      <c r="B93" s="47" t="s">
        <v>44</v>
      </c>
      <c r="C93" s="48">
        <f t="shared" si="32"/>
        <v>-124.22430029556199</v>
      </c>
      <c r="D93" s="49">
        <f t="shared" si="32"/>
        <v>-292.41919380106447</v>
      </c>
      <c r="E93" s="49">
        <f t="shared" si="32"/>
        <v>-2355.6962025316498</v>
      </c>
      <c r="F93" s="49">
        <f t="shared" si="32"/>
        <v>0</v>
      </c>
      <c r="G93" s="49">
        <f t="shared" si="32"/>
        <v>-400.72465609441292</v>
      </c>
      <c r="H93" s="49">
        <f t="shared" si="32"/>
        <v>252.05666666666457</v>
      </c>
      <c r="I93" s="49">
        <f t="shared" si="32"/>
        <v>-133.06615739719882</v>
      </c>
      <c r="J93" s="49">
        <f t="shared" si="32"/>
        <v>-134.32327759198779</v>
      </c>
      <c r="K93" s="49">
        <f t="shared" si="32"/>
        <v>-871.6067424242442</v>
      </c>
      <c r="L93" s="49">
        <f t="shared" si="32"/>
        <v>-290.51889586758762</v>
      </c>
      <c r="M93" s="49">
        <f t="shared" si="32"/>
        <v>-687.17947893570226</v>
      </c>
      <c r="N93" s="49">
        <f t="shared" si="32"/>
        <v>-872.02780416045243</v>
      </c>
      <c r="O93" s="49">
        <f t="shared" si="32"/>
        <v>-145.8791097150779</v>
      </c>
      <c r="P93" s="49">
        <f t="shared" si="32"/>
        <v>-376.97319212041384</v>
      </c>
      <c r="Q93" s="49">
        <f t="shared" si="32"/>
        <v>258.50623347773217</v>
      </c>
      <c r="R93" s="49">
        <f t="shared" si="32"/>
        <v>1534.7660527663256</v>
      </c>
      <c r="S93" s="50">
        <f t="shared" si="32"/>
        <v>217.72263157894758</v>
      </c>
      <c r="T93" s="51">
        <f t="shared" si="32"/>
        <v>0</v>
      </c>
      <c r="U93" s="37">
        <f t="shared" si="32"/>
        <v>0</v>
      </c>
      <c r="V93" s="37">
        <f t="shared" si="32"/>
        <v>0</v>
      </c>
      <c r="AA93" s="8"/>
    </row>
    <row r="94" spans="1:27" collapsed="1" x14ac:dyDescent="0.25">
      <c r="A94" s="9"/>
      <c r="B94" s="52" t="s">
        <v>45</v>
      </c>
      <c r="C94" s="53">
        <f>+C28-C61</f>
        <v>-31.32934069563953</v>
      </c>
      <c r="D94" s="54">
        <f t="shared" si="32"/>
        <v>-376.01521562911785</v>
      </c>
      <c r="E94" s="54">
        <f t="shared" si="32"/>
        <v>-2365.6962025316498</v>
      </c>
      <c r="F94" s="54">
        <f t="shared" si="32"/>
        <v>0</v>
      </c>
      <c r="G94" s="54">
        <f t="shared" si="32"/>
        <v>-245.68445841766993</v>
      </c>
      <c r="H94" s="54">
        <f t="shared" si="32"/>
        <v>393.52327209375744</v>
      </c>
      <c r="I94" s="54">
        <f t="shared" si="32"/>
        <v>-93.022976067296895</v>
      </c>
      <c r="J94" s="54">
        <f t="shared" si="32"/>
        <v>56.91075666765073</v>
      </c>
      <c r="K94" s="54">
        <f t="shared" si="32"/>
        <v>-1087.0780112044836</v>
      </c>
      <c r="L94" s="54">
        <f t="shared" si="32"/>
        <v>-393.66701297420286</v>
      </c>
      <c r="M94" s="54">
        <f t="shared" si="32"/>
        <v>-613.4423122529688</v>
      </c>
      <c r="N94" s="54">
        <f t="shared" si="32"/>
        <v>-901.97832054237733</v>
      </c>
      <c r="O94" s="54">
        <f t="shared" si="32"/>
        <v>-145.87910971507699</v>
      </c>
      <c r="P94" s="54">
        <f t="shared" si="32"/>
        <v>829.18612442629365</v>
      </c>
      <c r="Q94" s="54">
        <f t="shared" si="32"/>
        <v>296.29205358219042</v>
      </c>
      <c r="R94" s="54">
        <f t="shared" si="32"/>
        <v>1429.7331633345311</v>
      </c>
      <c r="S94" s="55">
        <f t="shared" si="32"/>
        <v>207.19631578947428</v>
      </c>
      <c r="T94" s="56">
        <f t="shared" si="32"/>
        <v>0</v>
      </c>
      <c r="U94" s="36">
        <f t="shared" si="32"/>
        <v>0</v>
      </c>
      <c r="V94" s="36">
        <f t="shared" si="32"/>
        <v>0</v>
      </c>
      <c r="AA94" s="8"/>
    </row>
    <row r="95" spans="1:27" hidden="1" outlineLevel="1" x14ac:dyDescent="0.25">
      <c r="A95" s="9"/>
      <c r="B95" s="43" t="s">
        <v>46</v>
      </c>
      <c r="C95" s="31">
        <f t="shared" ref="C95:V101" si="33">+C29-C62</f>
        <v>375.32879419462415</v>
      </c>
      <c r="D95" s="44">
        <f t="shared" si="33"/>
        <v>404.40516203703487</v>
      </c>
      <c r="E95" s="44">
        <f t="shared" si="33"/>
        <v>-1200</v>
      </c>
      <c r="F95" s="44">
        <f t="shared" si="33"/>
        <v>0</v>
      </c>
      <c r="G95" s="44">
        <f t="shared" si="33"/>
        <v>291.023888888888</v>
      </c>
      <c r="H95" s="44">
        <f t="shared" si="33"/>
        <v>637.87614379084926</v>
      </c>
      <c r="I95" s="44">
        <f t="shared" si="33"/>
        <v>1244.2226666666666</v>
      </c>
      <c r="J95" s="44">
        <f t="shared" si="33"/>
        <v>-637.62529411764331</v>
      </c>
      <c r="K95" s="44">
        <f t="shared" si="33"/>
        <v>-1422.7520000000002</v>
      </c>
      <c r="L95" s="44">
        <f t="shared" si="33"/>
        <v>274.03997067449018</v>
      </c>
      <c r="M95" s="44">
        <f t="shared" si="33"/>
        <v>110.42615127919862</v>
      </c>
      <c r="N95" s="44">
        <f t="shared" si="33"/>
        <v>-2.7050000000006094</v>
      </c>
      <c r="O95" s="44">
        <f t="shared" si="33"/>
        <v>-19.379183673471516</v>
      </c>
      <c r="P95" s="44">
        <f t="shared" si="33"/>
        <v>1214.2286297760211</v>
      </c>
      <c r="Q95" s="44">
        <f t="shared" si="33"/>
        <v>1692.6679674796717</v>
      </c>
      <c r="R95" s="44">
        <f t="shared" si="33"/>
        <v>2302.1602264150724</v>
      </c>
      <c r="S95" s="45">
        <f t="shared" si="33"/>
        <v>-76.427142857147601</v>
      </c>
      <c r="T95" s="32">
        <f t="shared" si="33"/>
        <v>0</v>
      </c>
      <c r="U95" s="44">
        <f t="shared" si="33"/>
        <v>0</v>
      </c>
      <c r="V95" s="44">
        <f t="shared" si="33"/>
        <v>0</v>
      </c>
      <c r="AA95" s="8"/>
    </row>
    <row r="96" spans="1:27" hidden="1" outlineLevel="1" x14ac:dyDescent="0.25">
      <c r="A96" s="9"/>
      <c r="B96" s="43" t="s">
        <v>47</v>
      </c>
      <c r="C96" s="31">
        <f t="shared" si="33"/>
        <v>0</v>
      </c>
      <c r="D96" s="44">
        <f t="shared" si="33"/>
        <v>0</v>
      </c>
      <c r="E96" s="44">
        <f t="shared" si="33"/>
        <v>0</v>
      </c>
      <c r="F96" s="44">
        <f t="shared" si="33"/>
        <v>0</v>
      </c>
      <c r="G96" s="44">
        <f t="shared" si="33"/>
        <v>0</v>
      </c>
      <c r="H96" s="44">
        <f t="shared" si="33"/>
        <v>0</v>
      </c>
      <c r="I96" s="44">
        <f t="shared" si="33"/>
        <v>0</v>
      </c>
      <c r="J96" s="44">
        <f t="shared" si="33"/>
        <v>0</v>
      </c>
      <c r="K96" s="44">
        <f t="shared" si="33"/>
        <v>0</v>
      </c>
      <c r="L96" s="44">
        <f t="shared" si="33"/>
        <v>0</v>
      </c>
      <c r="M96" s="44">
        <f t="shared" si="33"/>
        <v>0</v>
      </c>
      <c r="N96" s="44">
        <f t="shared" si="33"/>
        <v>0</v>
      </c>
      <c r="O96" s="44">
        <f t="shared" si="33"/>
        <v>0</v>
      </c>
      <c r="P96" s="44">
        <f t="shared" si="33"/>
        <v>0</v>
      </c>
      <c r="Q96" s="44">
        <f t="shared" si="33"/>
        <v>0</v>
      </c>
      <c r="R96" s="44">
        <f t="shared" si="33"/>
        <v>0</v>
      </c>
      <c r="S96" s="45">
        <f t="shared" si="33"/>
        <v>0</v>
      </c>
      <c r="T96" s="32">
        <f t="shared" si="33"/>
        <v>0</v>
      </c>
      <c r="U96" s="44">
        <f t="shared" si="33"/>
        <v>0</v>
      </c>
      <c r="V96" s="44">
        <f t="shared" si="33"/>
        <v>0</v>
      </c>
      <c r="AA96" s="8"/>
    </row>
    <row r="97" spans="1:27" hidden="1" outlineLevel="1" x14ac:dyDescent="0.25">
      <c r="A97" s="9"/>
      <c r="B97" s="43" t="s">
        <v>48</v>
      </c>
      <c r="C97" s="31">
        <f t="shared" si="33"/>
        <v>196.67943287270424</v>
      </c>
      <c r="D97" s="44">
        <f t="shared" si="33"/>
        <v>324.45285714285581</v>
      </c>
      <c r="E97" s="44">
        <f t="shared" si="33"/>
        <v>-300</v>
      </c>
      <c r="F97" s="44">
        <f t="shared" si="33"/>
        <v>0</v>
      </c>
      <c r="G97" s="44">
        <f t="shared" si="33"/>
        <v>737.77428571428413</v>
      </c>
      <c r="H97" s="44">
        <f t="shared" si="33"/>
        <v>218.56185185184813</v>
      </c>
      <c r="I97" s="44">
        <f t="shared" si="33"/>
        <v>-217.78461538461636</v>
      </c>
      <c r="J97" s="44">
        <f t="shared" si="33"/>
        <v>-346.73137931034415</v>
      </c>
      <c r="K97" s="44">
        <f t="shared" si="33"/>
        <v>-449.29166666666669</v>
      </c>
      <c r="L97" s="44">
        <f t="shared" si="33"/>
        <v>-33.631153846156508</v>
      </c>
      <c r="M97" s="44">
        <f t="shared" si="33"/>
        <v>614.32565217390868</v>
      </c>
      <c r="N97" s="44">
        <f t="shared" si="33"/>
        <v>227.12549999999999</v>
      </c>
      <c r="O97" s="44">
        <f t="shared" si="33"/>
        <v>683.57978723404244</v>
      </c>
      <c r="P97" s="44">
        <f t="shared" si="33"/>
        <v>700.91692307692301</v>
      </c>
      <c r="Q97" s="44">
        <f t="shared" si="33"/>
        <v>428.25228092783505</v>
      </c>
      <c r="R97" s="44">
        <f t="shared" si="33"/>
        <v>206.30521739130438</v>
      </c>
      <c r="S97" s="45">
        <f t="shared" si="33"/>
        <v>-100</v>
      </c>
      <c r="T97" s="32">
        <f t="shared" si="33"/>
        <v>0</v>
      </c>
      <c r="U97" s="44">
        <f t="shared" si="33"/>
        <v>0</v>
      </c>
      <c r="V97" s="44">
        <f t="shared" si="33"/>
        <v>0</v>
      </c>
      <c r="AA97" s="8"/>
    </row>
    <row r="98" spans="1:27" hidden="1" outlineLevel="1" x14ac:dyDescent="0.25">
      <c r="A98" s="9"/>
      <c r="B98" s="43" t="s">
        <v>49</v>
      </c>
      <c r="C98" s="31">
        <f t="shared" si="33"/>
        <v>-206.98675777572134</v>
      </c>
      <c r="D98" s="44">
        <f t="shared" si="33"/>
        <v>-266.34125000000199</v>
      </c>
      <c r="E98" s="44">
        <f t="shared" si="33"/>
        <v>-1500.0000000000002</v>
      </c>
      <c r="F98" s="44">
        <f t="shared" si="33"/>
        <v>0</v>
      </c>
      <c r="G98" s="44">
        <f t="shared" si="33"/>
        <v>-842.44499999999994</v>
      </c>
      <c r="H98" s="44">
        <f t="shared" si="33"/>
        <v>-75.131666666672345</v>
      </c>
      <c r="I98" s="44">
        <f t="shared" si="33"/>
        <v>169.13733333332675</v>
      </c>
      <c r="J98" s="44">
        <f t="shared" si="33"/>
        <v>127.94441176470559</v>
      </c>
      <c r="K98" s="44">
        <f t="shared" si="33"/>
        <v>-222.02700000000004</v>
      </c>
      <c r="L98" s="44">
        <f t="shared" si="33"/>
        <v>-94.775483870967719</v>
      </c>
      <c r="M98" s="44">
        <f t="shared" si="33"/>
        <v>-137.82358175750846</v>
      </c>
      <c r="N98" s="44">
        <f t="shared" si="33"/>
        <v>308.69071428571419</v>
      </c>
      <c r="O98" s="44">
        <f t="shared" si="33"/>
        <v>-746.59632653061226</v>
      </c>
      <c r="P98" s="44">
        <f t="shared" si="33"/>
        <v>-115.5873913043522</v>
      </c>
      <c r="Q98" s="44">
        <f t="shared" si="33"/>
        <v>114.75024390243675</v>
      </c>
      <c r="R98" s="44">
        <f t="shared" si="33"/>
        <v>858.67399999997997</v>
      </c>
      <c r="S98" s="45">
        <f t="shared" si="33"/>
        <v>-128.4795238095237</v>
      </c>
      <c r="T98" s="32">
        <f t="shared" si="33"/>
        <v>0</v>
      </c>
      <c r="U98" s="44">
        <f t="shared" si="33"/>
        <v>0</v>
      </c>
      <c r="V98" s="44">
        <f t="shared" si="33"/>
        <v>0</v>
      </c>
      <c r="AA98" s="8"/>
    </row>
    <row r="99" spans="1:27" hidden="1" outlineLevel="1" x14ac:dyDescent="0.25">
      <c r="A99" s="9"/>
      <c r="B99" s="57" t="s">
        <v>50</v>
      </c>
      <c r="C99" s="34">
        <f t="shared" si="33"/>
        <v>168.34203641890235</v>
      </c>
      <c r="D99" s="46">
        <f t="shared" si="33"/>
        <v>138.06391203703242</v>
      </c>
      <c r="E99" s="46">
        <f t="shared" si="33"/>
        <v>-2700</v>
      </c>
      <c r="F99" s="46">
        <f t="shared" si="33"/>
        <v>0</v>
      </c>
      <c r="G99" s="46">
        <f t="shared" si="33"/>
        <v>-551.42111111111171</v>
      </c>
      <c r="H99" s="46">
        <f t="shared" si="33"/>
        <v>562.74447712417668</v>
      </c>
      <c r="I99" s="46">
        <f t="shared" si="33"/>
        <v>1413.3599999999933</v>
      </c>
      <c r="J99" s="46">
        <f t="shared" si="33"/>
        <v>-509.68088235293726</v>
      </c>
      <c r="K99" s="46">
        <f t="shared" si="33"/>
        <v>-1644.7790000000002</v>
      </c>
      <c r="L99" s="46">
        <f t="shared" si="33"/>
        <v>179.26448680352269</v>
      </c>
      <c r="M99" s="46">
        <f>+M33-M66</f>
        <v>-27.397430478309616</v>
      </c>
      <c r="N99" s="46">
        <f t="shared" si="33"/>
        <v>305.98571428571358</v>
      </c>
      <c r="O99" s="46">
        <f t="shared" si="33"/>
        <v>-765.97551020408355</v>
      </c>
      <c r="P99" s="46">
        <f t="shared" si="33"/>
        <v>1098.6412384716691</v>
      </c>
      <c r="Q99" s="46">
        <f t="shared" si="33"/>
        <v>1807.4182113821084</v>
      </c>
      <c r="R99" s="46">
        <f t="shared" si="33"/>
        <v>3160.8342264150524</v>
      </c>
      <c r="S99" s="58">
        <f t="shared" si="33"/>
        <v>-204.9066666666713</v>
      </c>
      <c r="T99" s="51">
        <f t="shared" si="33"/>
        <v>0</v>
      </c>
      <c r="U99" s="37">
        <f t="shared" si="33"/>
        <v>0</v>
      </c>
      <c r="V99" s="36">
        <f t="shared" si="33"/>
        <v>0</v>
      </c>
      <c r="AA99" s="8"/>
    </row>
    <row r="100" spans="1:27" collapsed="1" x14ac:dyDescent="0.25">
      <c r="A100" s="9"/>
      <c r="B100" s="59" t="s">
        <v>51</v>
      </c>
      <c r="C100" s="36">
        <f t="shared" si="33"/>
        <v>107.46641426280371</v>
      </c>
      <c r="D100" s="37">
        <f t="shared" si="33"/>
        <v>173.99417441224455</v>
      </c>
      <c r="E100" s="37">
        <f t="shared" si="33"/>
        <v>-1500</v>
      </c>
      <c r="F100" s="37">
        <f t="shared" si="33"/>
        <v>0</v>
      </c>
      <c r="G100" s="37">
        <f t="shared" si="33"/>
        <v>-158.07140000000118</v>
      </c>
      <c r="H100" s="37">
        <f t="shared" si="33"/>
        <v>-242.76074074074518</v>
      </c>
      <c r="I100" s="37">
        <f t="shared" si="33"/>
        <v>-616.29315491508214</v>
      </c>
      <c r="J100" s="37">
        <f t="shared" si="33"/>
        <v>-333.2253453140579</v>
      </c>
      <c r="K100" s="37">
        <f t="shared" si="33"/>
        <v>-968.95762626262626</v>
      </c>
      <c r="L100" s="37">
        <f t="shared" si="33"/>
        <v>340.27107769423628</v>
      </c>
      <c r="M100" s="37">
        <f>+M34-M67</f>
        <v>212.96388888888646</v>
      </c>
      <c r="N100" s="37">
        <f t="shared" si="33"/>
        <v>3.7149999999996908</v>
      </c>
      <c r="O100" s="37">
        <f t="shared" si="33"/>
        <v>15.761427696077135</v>
      </c>
      <c r="P100" s="37">
        <f t="shared" si="33"/>
        <v>1126.2248850574688</v>
      </c>
      <c r="Q100" s="37">
        <f t="shared" si="33"/>
        <v>1308.5852628229577</v>
      </c>
      <c r="R100" s="37">
        <f t="shared" si="33"/>
        <v>415.38074744220557</v>
      </c>
      <c r="S100" s="60">
        <f t="shared" si="33"/>
        <v>-300.55500000000347</v>
      </c>
      <c r="T100" s="56">
        <f t="shared" si="33"/>
        <v>0</v>
      </c>
      <c r="U100" s="36">
        <f t="shared" si="33"/>
        <v>0</v>
      </c>
      <c r="V100" s="36">
        <f t="shared" si="33"/>
        <v>0</v>
      </c>
      <c r="AA100" s="8"/>
    </row>
    <row r="101" spans="1:27" ht="15.75" thickBot="1" x14ac:dyDescent="0.3">
      <c r="A101" s="9"/>
      <c r="B101" s="61" t="s">
        <v>52</v>
      </c>
      <c r="C101" s="62">
        <f>+C35-C68</f>
        <v>100.22374842191584</v>
      </c>
      <c r="D101" s="62">
        <f t="shared" si="33"/>
        <v>-45.555182081562634</v>
      </c>
      <c r="E101" s="62">
        <f t="shared" si="33"/>
        <v>-1788.5654008438833</v>
      </c>
      <c r="F101" s="62">
        <f t="shared" si="33"/>
        <v>0</v>
      </c>
      <c r="G101" s="62">
        <f t="shared" si="33"/>
        <v>-206.75596459514054</v>
      </c>
      <c r="H101" s="62">
        <f t="shared" si="33"/>
        <v>232.33322834645332</v>
      </c>
      <c r="I101" s="62">
        <f t="shared" si="33"/>
        <v>-403.14248593231059</v>
      </c>
      <c r="J101" s="62">
        <f t="shared" si="33"/>
        <v>-49.139535497010456</v>
      </c>
      <c r="K101" s="62">
        <f t="shared" si="33"/>
        <v>-847.6612002341933</v>
      </c>
      <c r="L101" s="62">
        <f t="shared" si="33"/>
        <v>-33.378011410031831</v>
      </c>
      <c r="M101" s="62">
        <f t="shared" si="33"/>
        <v>-124.51846938775816</v>
      </c>
      <c r="N101" s="62">
        <f t="shared" si="33"/>
        <v>-228.32459304219128</v>
      </c>
      <c r="O101" s="62">
        <f t="shared" si="33"/>
        <v>-49.259571191673786</v>
      </c>
      <c r="P101" s="62">
        <f t="shared" si="33"/>
        <v>1186.5458159609734</v>
      </c>
      <c r="Q101" s="62">
        <f t="shared" si="33"/>
        <v>794.3174447067463</v>
      </c>
      <c r="R101" s="62">
        <f t="shared" si="33"/>
        <v>856.27445536534242</v>
      </c>
      <c r="S101" s="63">
        <f t="shared" si="33"/>
        <v>53.866304591263543</v>
      </c>
      <c r="T101" s="7"/>
      <c r="U101" s="7"/>
      <c r="V101" s="7"/>
      <c r="AA101" s="8"/>
    </row>
    <row r="102" spans="1:27" ht="6.6" customHeight="1" x14ac:dyDescent="0.25">
      <c r="A102" s="9"/>
      <c r="B102" s="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AA102" s="8"/>
    </row>
    <row r="103" spans="1:27" ht="15.75" x14ac:dyDescent="0.25">
      <c r="A103" s="9"/>
      <c r="B103" s="69" t="s">
        <v>54</v>
      </c>
      <c r="C103" s="65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7"/>
      <c r="U103" s="7"/>
      <c r="V103" s="7"/>
      <c r="AA103" s="8"/>
    </row>
    <row r="104" spans="1:27" x14ac:dyDescent="0.25">
      <c r="B104" s="70" t="s">
        <v>55</v>
      </c>
      <c r="C104" s="37">
        <f>SUM(D104:S104)</f>
        <v>337.65126160199031</v>
      </c>
      <c r="D104" s="37">
        <f>SUM(D105:D107)</f>
        <v>92.224220077032072</v>
      </c>
      <c r="E104" s="37">
        <f>SUM(E105:E107)</f>
        <v>-23.556962025316501</v>
      </c>
      <c r="F104" s="37">
        <f t="shared" ref="F104:S104" si="34">SUM(F105:F107)</f>
        <v>0</v>
      </c>
      <c r="G104" s="37">
        <f t="shared" si="34"/>
        <v>7.0918065031655297</v>
      </c>
      <c r="H104" s="37">
        <f t="shared" si="34"/>
        <v>20.412399999999998</v>
      </c>
      <c r="I104" s="37">
        <f t="shared" si="34"/>
        <v>-66.299138362596835</v>
      </c>
      <c r="J104" s="37">
        <f t="shared" si="34"/>
        <v>99.722461538461545</v>
      </c>
      <c r="K104" s="37">
        <f t="shared" si="34"/>
        <v>23.85900541125541</v>
      </c>
      <c r="L104" s="37">
        <f t="shared" si="34"/>
        <v>29.542362692364478</v>
      </c>
      <c r="M104" s="37">
        <f t="shared" si="34"/>
        <v>10.407317073170731</v>
      </c>
      <c r="N104" s="37">
        <f t="shared" si="34"/>
        <v>21.452927768365932</v>
      </c>
      <c r="O104" s="37">
        <f t="shared" si="34"/>
        <v>0</v>
      </c>
      <c r="P104" s="37">
        <f t="shared" si="34"/>
        <v>7.385144201102003</v>
      </c>
      <c r="Q104" s="37">
        <f t="shared" si="34"/>
        <v>108.92974442221964</v>
      </c>
      <c r="R104" s="37">
        <f t="shared" si="34"/>
        <v>-20.220027697233672</v>
      </c>
      <c r="S104" s="37">
        <f t="shared" si="34"/>
        <v>26.7</v>
      </c>
    </row>
    <row r="105" spans="1:27" hidden="1" outlineLevel="1" x14ac:dyDescent="0.25">
      <c r="B105" s="71" t="s">
        <v>41</v>
      </c>
      <c r="C105" s="37">
        <f t="shared" ref="C105:C112" si="35">SUM(D105:S105)</f>
        <v>254.51555133530752</v>
      </c>
      <c r="D105" s="37">
        <f t="shared" ref="D105:S106" si="36">(D71)*D57/1000</f>
        <v>61.424220077032075</v>
      </c>
      <c r="E105" s="37">
        <f t="shared" si="36"/>
        <v>-14.5569620253165</v>
      </c>
      <c r="F105" s="37">
        <f t="shared" si="36"/>
        <v>0</v>
      </c>
      <c r="G105" s="37">
        <f t="shared" si="36"/>
        <v>3.6918065031655294</v>
      </c>
      <c r="H105" s="37">
        <f t="shared" si="36"/>
        <v>14.4124</v>
      </c>
      <c r="I105" s="37">
        <f t="shared" si="36"/>
        <v>-47.692990481811627</v>
      </c>
      <c r="J105" s="37">
        <f t="shared" si="36"/>
        <v>65.460461538461544</v>
      </c>
      <c r="K105" s="37">
        <f t="shared" si="36"/>
        <v>15.458969696969698</v>
      </c>
      <c r="L105" s="37">
        <f t="shared" si="36"/>
        <v>19.142362692364479</v>
      </c>
      <c r="M105" s="37">
        <f t="shared" si="36"/>
        <v>9.4573170731707314</v>
      </c>
      <c r="N105" s="37">
        <f t="shared" si="36"/>
        <v>14.832927768365931</v>
      </c>
      <c r="O105" s="37">
        <f t="shared" si="36"/>
        <v>0</v>
      </c>
      <c r="P105" s="37">
        <f t="shared" si="36"/>
        <v>17.895321767919725</v>
      </c>
      <c r="Q105" s="37">
        <f t="shared" si="36"/>
        <v>81.329744422219633</v>
      </c>
      <c r="R105" s="37">
        <f t="shared" si="36"/>
        <v>-1.3400276972336724</v>
      </c>
      <c r="S105" s="37">
        <f t="shared" si="36"/>
        <v>15</v>
      </c>
    </row>
    <row r="106" spans="1:27" hidden="1" outlineLevel="1" x14ac:dyDescent="0.25">
      <c r="B106" s="71" t="s">
        <v>42</v>
      </c>
      <c r="C106" s="37">
        <f t="shared" si="35"/>
        <v>-42.766289733317222</v>
      </c>
      <c r="D106" s="37">
        <f t="shared" si="36"/>
        <v>0</v>
      </c>
      <c r="E106" s="37">
        <f t="shared" si="36"/>
        <v>0</v>
      </c>
      <c r="F106" s="37">
        <f t="shared" si="36"/>
        <v>0</v>
      </c>
      <c r="G106" s="37">
        <f t="shared" si="36"/>
        <v>-1.5</v>
      </c>
      <c r="H106" s="37">
        <f t="shared" si="36"/>
        <v>0</v>
      </c>
      <c r="I106" s="37">
        <f t="shared" si="36"/>
        <v>2.3938521192147828</v>
      </c>
      <c r="J106" s="37">
        <f t="shared" si="36"/>
        <v>-1</v>
      </c>
      <c r="K106" s="37">
        <f t="shared" si="36"/>
        <v>3.571428571428571E-5</v>
      </c>
      <c r="L106" s="37">
        <f t="shared" si="36"/>
        <v>0</v>
      </c>
      <c r="M106" s="37">
        <f t="shared" si="36"/>
        <v>-2.0499999999999998</v>
      </c>
      <c r="N106" s="37">
        <f t="shared" si="36"/>
        <v>0</v>
      </c>
      <c r="O106" s="37">
        <f t="shared" si="36"/>
        <v>0</v>
      </c>
      <c r="P106" s="37">
        <f t="shared" si="36"/>
        <v>-23.110177566817722</v>
      </c>
      <c r="Q106" s="37">
        <f t="shared" si="36"/>
        <v>0</v>
      </c>
      <c r="R106" s="37">
        <f t="shared" si="36"/>
        <v>-17.5</v>
      </c>
      <c r="S106" s="37">
        <f t="shared" si="36"/>
        <v>0</v>
      </c>
    </row>
    <row r="107" spans="1:27" hidden="1" outlineLevel="1" x14ac:dyDescent="0.25">
      <c r="B107" s="71" t="s">
        <v>43</v>
      </c>
      <c r="C107" s="37">
        <f t="shared" si="35"/>
        <v>125.902</v>
      </c>
      <c r="D107" s="37">
        <f t="shared" ref="D107:S107" si="37">(D71)*D59/1000</f>
        <v>30.8</v>
      </c>
      <c r="E107" s="37">
        <f t="shared" si="37"/>
        <v>-9</v>
      </c>
      <c r="F107" s="37">
        <f t="shared" si="37"/>
        <v>0</v>
      </c>
      <c r="G107" s="37">
        <f t="shared" si="37"/>
        <v>4.9000000000000004</v>
      </c>
      <c r="H107" s="37">
        <f t="shared" si="37"/>
        <v>6</v>
      </c>
      <c r="I107" s="37">
        <f t="shared" si="37"/>
        <v>-21</v>
      </c>
      <c r="J107" s="37">
        <f t="shared" si="37"/>
        <v>35.261999999999993</v>
      </c>
      <c r="K107" s="37">
        <f t="shared" si="37"/>
        <v>8.4</v>
      </c>
      <c r="L107" s="37">
        <f t="shared" si="37"/>
        <v>10.4</v>
      </c>
      <c r="M107" s="37">
        <f t="shared" si="37"/>
        <v>3</v>
      </c>
      <c r="N107" s="37">
        <f t="shared" si="37"/>
        <v>6.62</v>
      </c>
      <c r="O107" s="37">
        <f t="shared" si="37"/>
        <v>0</v>
      </c>
      <c r="P107" s="37">
        <f t="shared" si="37"/>
        <v>12.6</v>
      </c>
      <c r="Q107" s="37">
        <f t="shared" si="37"/>
        <v>27.6</v>
      </c>
      <c r="R107" s="37">
        <f t="shared" si="37"/>
        <v>-1.38</v>
      </c>
      <c r="S107" s="37">
        <f t="shared" si="37"/>
        <v>11.7</v>
      </c>
    </row>
    <row r="108" spans="1:27" collapsed="1" x14ac:dyDescent="0.25">
      <c r="B108" s="72" t="s">
        <v>56</v>
      </c>
      <c r="C108" s="37">
        <f t="shared" si="35"/>
        <v>-77.963964490159881</v>
      </c>
      <c r="D108" s="37">
        <f>SUM(D109:D111)</f>
        <v>-57.618731885262399</v>
      </c>
      <c r="E108" s="37">
        <f t="shared" ref="E108:S108" si="38">SUM(E109:E111)</f>
        <v>0</v>
      </c>
      <c r="F108" s="37">
        <f t="shared" si="38"/>
        <v>0</v>
      </c>
      <c r="G108" s="37">
        <f t="shared" si="38"/>
        <v>-13.223913651115623</v>
      </c>
      <c r="H108" s="37">
        <f t="shared" si="38"/>
        <v>29.406779999999813</v>
      </c>
      <c r="I108" s="37">
        <f t="shared" si="38"/>
        <v>-7.6493803849015016</v>
      </c>
      <c r="J108" s="37">
        <f t="shared" si="38"/>
        <v>-6.6522115384629288</v>
      </c>
      <c r="K108" s="37">
        <f t="shared" si="38"/>
        <v>-36.874391125541209</v>
      </c>
      <c r="L108" s="37">
        <f t="shared" si="38"/>
        <v>-17.486504856187668</v>
      </c>
      <c r="M108" s="37">
        <f t="shared" si="38"/>
        <v>-28.080357073170923</v>
      </c>
      <c r="N108" s="37">
        <f t="shared" si="38"/>
        <v>-25.288806320653109</v>
      </c>
      <c r="O108" s="37">
        <f t="shared" si="38"/>
        <v>-22.319503786406845</v>
      </c>
      <c r="P108" s="37">
        <f t="shared" si="38"/>
        <v>44.881216442920859</v>
      </c>
      <c r="Q108" s="37">
        <f t="shared" si="38"/>
        <v>21.153974422229837</v>
      </c>
      <c r="R108" s="37">
        <f t="shared" si="38"/>
        <v>37.651135266391805</v>
      </c>
      <c r="S108" s="37">
        <f t="shared" si="38"/>
        <v>4.1367300000000045</v>
      </c>
    </row>
    <row r="109" spans="1:27" hidden="1" outlineLevel="1" x14ac:dyDescent="0.25">
      <c r="B109" s="73" t="s">
        <v>41</v>
      </c>
      <c r="C109" s="74">
        <f t="shared" si="35"/>
        <v>-159.26435786728391</v>
      </c>
      <c r="D109" s="74">
        <f t="shared" ref="D109:S110" si="39">D90*(D5)/1000</f>
        <v>-57.272046170976672</v>
      </c>
      <c r="E109" s="74">
        <f t="shared" si="39"/>
        <v>0</v>
      </c>
      <c r="F109" s="74">
        <f t="shared" si="39"/>
        <v>0</v>
      </c>
      <c r="G109" s="74">
        <f t="shared" si="39"/>
        <v>-10.576283651115524</v>
      </c>
      <c r="H109" s="74">
        <f t="shared" si="39"/>
        <v>24.2265499999999</v>
      </c>
      <c r="I109" s="74">
        <f t="shared" si="39"/>
        <v>-7.1113640272571335</v>
      </c>
      <c r="J109" s="74">
        <f t="shared" si="39"/>
        <v>2.8370484615380573</v>
      </c>
      <c r="K109" s="74">
        <f t="shared" si="39"/>
        <v>-16.400149696969674</v>
      </c>
      <c r="L109" s="74">
        <f t="shared" si="39"/>
        <v>-31.754784856187651</v>
      </c>
      <c r="M109" s="74">
        <f t="shared" si="39"/>
        <v>-40.711287073170922</v>
      </c>
      <c r="N109" s="74">
        <f t="shared" si="39"/>
        <v>-14.917616320653106</v>
      </c>
      <c r="O109" s="74">
        <f t="shared" si="39"/>
        <v>-50.612453786406846</v>
      </c>
      <c r="P109" s="74">
        <f t="shared" si="39"/>
        <v>-7.4877659902615123</v>
      </c>
      <c r="Q109" s="74">
        <f t="shared" si="39"/>
        <v>23.082509977785389</v>
      </c>
      <c r="R109" s="74">
        <f t="shared" si="39"/>
        <v>29.825035266391811</v>
      </c>
      <c r="S109" s="37">
        <f t="shared" si="39"/>
        <v>-2.3917499999999983</v>
      </c>
    </row>
    <row r="110" spans="1:27" hidden="1" outlineLevel="1" x14ac:dyDescent="0.25">
      <c r="B110" s="73" t="s">
        <v>42</v>
      </c>
      <c r="C110" s="74">
        <f t="shared" si="35"/>
        <v>71.104663377125291</v>
      </c>
      <c r="D110" s="74">
        <f t="shared" si="39"/>
        <v>-9.0771457142857042</v>
      </c>
      <c r="E110" s="74">
        <f t="shared" si="39"/>
        <v>0</v>
      </c>
      <c r="F110" s="74">
        <f t="shared" si="39"/>
        <v>0</v>
      </c>
      <c r="G110" s="74">
        <f t="shared" si="39"/>
        <v>0</v>
      </c>
      <c r="H110" s="74">
        <f t="shared" si="39"/>
        <v>8.9901900000000001</v>
      </c>
      <c r="I110" s="74">
        <f t="shared" si="39"/>
        <v>-0.86300635764436862</v>
      </c>
      <c r="J110" s="74">
        <f t="shared" si="39"/>
        <v>5.7055299999999898</v>
      </c>
      <c r="K110" s="74">
        <f t="shared" si="39"/>
        <v>-2.0101214285714288</v>
      </c>
      <c r="L110" s="74">
        <f t="shared" si="39"/>
        <v>-0.34589000000001302</v>
      </c>
      <c r="M110" s="74">
        <f t="shared" si="39"/>
        <v>2.1555399999999998</v>
      </c>
      <c r="N110" s="74">
        <f t="shared" si="39"/>
        <v>0</v>
      </c>
      <c r="O110" s="74">
        <f t="shared" si="39"/>
        <v>0</v>
      </c>
      <c r="P110" s="74">
        <f t="shared" si="39"/>
        <v>64.483822433182368</v>
      </c>
      <c r="Q110" s="74">
        <f t="shared" si="39"/>
        <v>1.2489944444444445</v>
      </c>
      <c r="R110" s="74">
        <f t="shared" si="39"/>
        <v>0.81674999999999998</v>
      </c>
      <c r="S110" s="46">
        <f t="shared" si="39"/>
        <v>0</v>
      </c>
    </row>
    <row r="111" spans="1:27" ht="15.75" hidden="1" outlineLevel="1" thickBot="1" x14ac:dyDescent="0.3">
      <c r="B111" s="73" t="s">
        <v>43</v>
      </c>
      <c r="C111" s="75">
        <f t="shared" si="35"/>
        <v>10.19572999999871</v>
      </c>
      <c r="D111" s="75">
        <f t="shared" ref="D111:S111" si="40">D92*(D5)/1000</f>
        <v>8.7304599999999741</v>
      </c>
      <c r="E111" s="75">
        <f t="shared" si="40"/>
        <v>0</v>
      </c>
      <c r="F111" s="75">
        <f t="shared" si="40"/>
        <v>0</v>
      </c>
      <c r="G111" s="75">
        <f t="shared" si="40"/>
        <v>-2.6476300000000985</v>
      </c>
      <c r="H111" s="75">
        <f t="shared" si="40"/>
        <v>-3.8099600000000908</v>
      </c>
      <c r="I111" s="75">
        <f t="shared" si="40"/>
        <v>0.32499000000000011</v>
      </c>
      <c r="J111" s="75">
        <f t="shared" si="40"/>
        <v>-15.194790000000976</v>
      </c>
      <c r="K111" s="75">
        <f t="shared" si="40"/>
        <v>-18.464120000000104</v>
      </c>
      <c r="L111" s="75">
        <f t="shared" si="40"/>
        <v>14.614169999999998</v>
      </c>
      <c r="M111" s="75">
        <f t="shared" si="40"/>
        <v>10.475389999999999</v>
      </c>
      <c r="N111" s="75">
        <f t="shared" si="40"/>
        <v>-10.37119</v>
      </c>
      <c r="O111" s="75">
        <f t="shared" si="40"/>
        <v>28.292950000000001</v>
      </c>
      <c r="P111" s="75">
        <f t="shared" si="40"/>
        <v>-12.114839999999997</v>
      </c>
      <c r="Q111" s="75">
        <f t="shared" si="40"/>
        <v>-3.177529999999996</v>
      </c>
      <c r="R111" s="75">
        <f t="shared" si="40"/>
        <v>7.0093499999999969</v>
      </c>
      <c r="S111" s="76">
        <f t="shared" si="40"/>
        <v>6.5284800000000027</v>
      </c>
    </row>
    <row r="112" spans="1:27" hidden="1" outlineLevel="1" x14ac:dyDescent="0.25">
      <c r="B112" s="77" t="s">
        <v>31</v>
      </c>
      <c r="C112" s="74">
        <f t="shared" si="35"/>
        <v>-12.668837253518186</v>
      </c>
      <c r="D112" s="74">
        <f>D80/1000</f>
        <v>-3.1613695238096224</v>
      </c>
      <c r="E112" s="74">
        <f t="shared" ref="E112:S112" si="41">E80/1000</f>
        <v>-0.1</v>
      </c>
      <c r="F112" s="74">
        <f t="shared" si="41"/>
        <v>0</v>
      </c>
      <c r="G112" s="74">
        <f t="shared" si="41"/>
        <v>0.16746175131192739</v>
      </c>
      <c r="H112" s="74">
        <f t="shared" si="41"/>
        <v>-0.78695999999999999</v>
      </c>
      <c r="I112" s="74">
        <f t="shared" si="41"/>
        <v>1.91</v>
      </c>
      <c r="J112" s="74">
        <f t="shared" si="41"/>
        <v>-4.3598600000000101</v>
      </c>
      <c r="K112" s="74">
        <f t="shared" si="41"/>
        <v>-5</v>
      </c>
      <c r="L112" s="74">
        <f t="shared" si="41"/>
        <v>-3.0000000000000001E-3</v>
      </c>
      <c r="M112" s="74">
        <f t="shared" si="41"/>
        <v>-2.3566700000000202</v>
      </c>
      <c r="N112" s="74">
        <f t="shared" si="41"/>
        <v>-0.47317670265155809</v>
      </c>
      <c r="O112" s="74">
        <f t="shared" si="41"/>
        <v>0</v>
      </c>
      <c r="P112" s="74">
        <f t="shared" si="41"/>
        <v>7.664E-2</v>
      </c>
      <c r="Q112" s="74">
        <f t="shared" si="41"/>
        <v>1.9216700000065858</v>
      </c>
      <c r="R112" s="74">
        <f t="shared" si="41"/>
        <v>-0.30357277837548591</v>
      </c>
      <c r="S112" s="46">
        <f t="shared" si="41"/>
        <v>-0.2</v>
      </c>
    </row>
    <row r="113" spans="2:19" collapsed="1" x14ac:dyDescent="0.25">
      <c r="B113" s="78" t="s">
        <v>57</v>
      </c>
      <c r="C113" s="79">
        <f>SUM(C104,C108,C112)</f>
        <v>247.01845985831227</v>
      </c>
      <c r="D113" s="79">
        <f>SUM(D104,D108,D112)</f>
        <v>31.444118667960051</v>
      </c>
      <c r="E113" s="79">
        <f t="shared" ref="E113:S113" si="42">SUM(E104,E108,E112)</f>
        <v>-23.656962025316503</v>
      </c>
      <c r="F113" s="79">
        <f t="shared" si="42"/>
        <v>0</v>
      </c>
      <c r="G113" s="79">
        <f t="shared" si="42"/>
        <v>-5.9646453966381658</v>
      </c>
      <c r="H113" s="79">
        <f t="shared" si="42"/>
        <v>49.032219999999811</v>
      </c>
      <c r="I113" s="79">
        <f t="shared" si="42"/>
        <v>-72.038518747498344</v>
      </c>
      <c r="J113" s="79">
        <f t="shared" si="42"/>
        <v>88.710389999998611</v>
      </c>
      <c r="K113" s="79">
        <f t="shared" si="42"/>
        <v>-18.015385714285799</v>
      </c>
      <c r="L113" s="79">
        <f t="shared" si="42"/>
        <v>12.052857836176809</v>
      </c>
      <c r="M113" s="79">
        <f t="shared" si="42"/>
        <v>-20.029710000000211</v>
      </c>
      <c r="N113" s="79">
        <f t="shared" si="42"/>
        <v>-4.3090552549387349</v>
      </c>
      <c r="O113" s="79">
        <f t="shared" si="42"/>
        <v>-22.319503786406845</v>
      </c>
      <c r="P113" s="79">
        <f t="shared" si="42"/>
        <v>52.343000644022858</v>
      </c>
      <c r="Q113" s="79">
        <f t="shared" si="42"/>
        <v>132.00538884445609</v>
      </c>
      <c r="R113" s="79">
        <f t="shared" si="42"/>
        <v>17.127534790782647</v>
      </c>
      <c r="S113" s="36">
        <f t="shared" si="42"/>
        <v>30.636730000000004</v>
      </c>
    </row>
    <row r="114" spans="2:19" ht="6" customHeight="1" x14ac:dyDescent="0.25"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</row>
    <row r="115" spans="2:19" ht="15.75" x14ac:dyDescent="0.25">
      <c r="B115" s="81" t="s">
        <v>58</v>
      </c>
      <c r="C115" s="65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</row>
    <row r="116" spans="2:19" x14ac:dyDescent="0.25">
      <c r="B116" s="82" t="s">
        <v>55</v>
      </c>
      <c r="C116" s="37">
        <f>SUM(D116:S116)</f>
        <v>-108.38175987278632</v>
      </c>
      <c r="D116" s="37">
        <f t="shared" ref="D116:S116" si="43">(D74+D76)*D67/1000</f>
        <v>-9.1943225806451636</v>
      </c>
      <c r="E116" s="37">
        <f t="shared" si="43"/>
        <v>-30</v>
      </c>
      <c r="F116" s="37">
        <f t="shared" si="43"/>
        <v>0</v>
      </c>
      <c r="G116" s="37">
        <f t="shared" si="43"/>
        <v>2.6156250000000001</v>
      </c>
      <c r="H116" s="37">
        <f t="shared" si="43"/>
        <v>-20.181666666666668</v>
      </c>
      <c r="I116" s="37">
        <f t="shared" si="43"/>
        <v>-36.482758620689651</v>
      </c>
      <c r="J116" s="37">
        <f t="shared" si="43"/>
        <v>17.377708386785784</v>
      </c>
      <c r="K116" s="37">
        <f t="shared" si="43"/>
        <v>-7.2222222222222214</v>
      </c>
      <c r="L116" s="37">
        <f t="shared" si="43"/>
        <v>12.171428571428571</v>
      </c>
      <c r="M116" s="37">
        <f t="shared" si="43"/>
        <v>-3.2472222222222222</v>
      </c>
      <c r="N116" s="37">
        <f t="shared" si="43"/>
        <v>-3.6</v>
      </c>
      <c r="O116" s="37">
        <f t="shared" si="43"/>
        <v>-12.91764705882353</v>
      </c>
      <c r="P116" s="37">
        <f t="shared" si="43"/>
        <v>-49.348275862068967</v>
      </c>
      <c r="Q116" s="37">
        <f t="shared" si="43"/>
        <v>28.743556701030926</v>
      </c>
      <c r="R116" s="37">
        <f t="shared" si="43"/>
        <v>-3.2459632986932192</v>
      </c>
      <c r="S116" s="37">
        <f t="shared" si="43"/>
        <v>6.15</v>
      </c>
    </row>
    <row r="117" spans="2:19" hidden="1" outlineLevel="1" x14ac:dyDescent="0.25">
      <c r="B117" s="83" t="s">
        <v>46</v>
      </c>
      <c r="C117" s="37">
        <f t="shared" ref="C117:C123" si="44">SUM(D117:S117)</f>
        <v>-74.12894793766543</v>
      </c>
      <c r="D117" s="37">
        <f t="shared" ref="D117:S117" si="45">(D74)*D62/1000</f>
        <v>-9.6017777777777766</v>
      </c>
      <c r="E117" s="37">
        <f t="shared" si="45"/>
        <v>-12</v>
      </c>
      <c r="F117" s="37">
        <f t="shared" si="45"/>
        <v>0</v>
      </c>
      <c r="G117" s="37">
        <f t="shared" si="45"/>
        <v>1.5</v>
      </c>
      <c r="H117" s="37">
        <f t="shared" si="45"/>
        <v>-25.736470588235292</v>
      </c>
      <c r="I117" s="37">
        <f t="shared" si="45"/>
        <v>-39.15</v>
      </c>
      <c r="J117" s="37">
        <f t="shared" si="45"/>
        <v>11.2</v>
      </c>
      <c r="K117" s="37">
        <f t="shared" si="45"/>
        <v>-3</v>
      </c>
      <c r="L117" s="37">
        <f t="shared" si="45"/>
        <v>13.90909090909091</v>
      </c>
      <c r="M117" s="37">
        <f t="shared" si="45"/>
        <v>-2.7935483870967741</v>
      </c>
      <c r="N117" s="37">
        <f t="shared" si="45"/>
        <v>-7.2</v>
      </c>
      <c r="O117" s="37">
        <f t="shared" si="45"/>
        <v>0</v>
      </c>
      <c r="P117" s="37">
        <f t="shared" si="45"/>
        <v>-17.984848484848484</v>
      </c>
      <c r="Q117" s="37">
        <f t="shared" si="45"/>
        <v>21.958333333333336</v>
      </c>
      <c r="R117" s="37">
        <f t="shared" si="45"/>
        <v>-6.5172269421313374</v>
      </c>
      <c r="S117" s="37">
        <f t="shared" si="45"/>
        <v>1.2875000000000001</v>
      </c>
    </row>
    <row r="118" spans="2:19" hidden="1" outlineLevel="1" x14ac:dyDescent="0.25">
      <c r="B118" s="83" t="s">
        <v>59</v>
      </c>
      <c r="C118" s="37">
        <f t="shared" si="44"/>
        <v>-10.306658289120094</v>
      </c>
      <c r="D118" s="37">
        <f t="shared" ref="D118:S118" si="46">(D76)*D64/1000</f>
        <v>0</v>
      </c>
      <c r="E118" s="37">
        <f t="shared" si="46"/>
        <v>-3</v>
      </c>
      <c r="F118" s="37">
        <f t="shared" si="46"/>
        <v>0</v>
      </c>
      <c r="G118" s="37">
        <f t="shared" si="46"/>
        <v>0</v>
      </c>
      <c r="H118" s="37">
        <f t="shared" si="46"/>
        <v>4.2</v>
      </c>
      <c r="I118" s="37">
        <f t="shared" si="46"/>
        <v>2.8</v>
      </c>
      <c r="J118" s="37">
        <f t="shared" si="46"/>
        <v>0.66887163200000022</v>
      </c>
      <c r="K118" s="37">
        <f t="shared" si="46"/>
        <v>-1.2</v>
      </c>
      <c r="L118" s="37">
        <f t="shared" si="46"/>
        <v>-0.3</v>
      </c>
      <c r="M118" s="37">
        <f t="shared" si="46"/>
        <v>0</v>
      </c>
      <c r="N118" s="37">
        <f t="shared" si="46"/>
        <v>0.7</v>
      </c>
      <c r="O118" s="37">
        <f t="shared" si="46"/>
        <v>-6</v>
      </c>
      <c r="P118" s="37">
        <f t="shared" si="46"/>
        <v>-10.199999999999999</v>
      </c>
      <c r="Q118" s="37">
        <f t="shared" si="46"/>
        <v>1.1463917525773195</v>
      </c>
      <c r="R118" s="37">
        <f t="shared" si="46"/>
        <v>0.67807832630258691</v>
      </c>
      <c r="S118" s="37">
        <f t="shared" si="46"/>
        <v>0.2</v>
      </c>
    </row>
    <row r="119" spans="2:19" hidden="1" outlineLevel="1" x14ac:dyDescent="0.25">
      <c r="B119" s="83" t="s">
        <v>49</v>
      </c>
      <c r="C119" s="37">
        <f t="shared" si="44"/>
        <v>-83.889861015590228</v>
      </c>
      <c r="D119" s="37">
        <f t="shared" ref="D119:S119" si="47">(D74)*D65/1000</f>
        <v>-8.4</v>
      </c>
      <c r="E119" s="37">
        <f t="shared" si="47"/>
        <v>-15.000000000000002</v>
      </c>
      <c r="F119" s="37">
        <f t="shared" si="47"/>
        <v>0</v>
      </c>
      <c r="G119" s="37">
        <f t="shared" si="47"/>
        <v>1.925</v>
      </c>
      <c r="H119" s="37">
        <f t="shared" si="47"/>
        <v>-25.6</v>
      </c>
      <c r="I119" s="37">
        <f t="shared" si="47"/>
        <v>-51.3</v>
      </c>
      <c r="J119" s="37">
        <f t="shared" si="47"/>
        <v>11.900000000000002</v>
      </c>
      <c r="K119" s="37">
        <f t="shared" si="47"/>
        <v>-2.5</v>
      </c>
      <c r="L119" s="37">
        <f t="shared" si="47"/>
        <v>13.275</v>
      </c>
      <c r="M119" s="37">
        <f t="shared" si="47"/>
        <v>-2.7145161290322579</v>
      </c>
      <c r="N119" s="37">
        <f t="shared" si="47"/>
        <v>-5.8</v>
      </c>
      <c r="O119" s="37">
        <f t="shared" si="47"/>
        <v>0</v>
      </c>
      <c r="P119" s="37">
        <f t="shared" si="47"/>
        <v>-15</v>
      </c>
      <c r="Q119" s="37">
        <f t="shared" si="47"/>
        <v>20.399999999999995</v>
      </c>
      <c r="R119" s="37">
        <f t="shared" si="47"/>
        <v>-6.3253448865579758</v>
      </c>
      <c r="S119" s="37">
        <f t="shared" si="47"/>
        <v>1.25</v>
      </c>
    </row>
    <row r="120" spans="2:19" collapsed="1" x14ac:dyDescent="0.25">
      <c r="B120" s="82" t="s">
        <v>56</v>
      </c>
      <c r="C120" s="37">
        <f>SUM(D120:S120)</f>
        <v>103.91699212416445</v>
      </c>
      <c r="D120" s="37">
        <f t="shared" ref="D120:S120" si="48">(D8+D10)*D100/1000</f>
        <v>20.531312580644855</v>
      </c>
      <c r="E120" s="37">
        <f t="shared" si="48"/>
        <v>0</v>
      </c>
      <c r="F120" s="37">
        <f t="shared" si="48"/>
        <v>0</v>
      </c>
      <c r="G120" s="37">
        <f t="shared" si="48"/>
        <v>-3.9517850000000294</v>
      </c>
      <c r="H120" s="37">
        <f t="shared" si="48"/>
        <v>-10.924233333333534</v>
      </c>
      <c r="I120" s="37">
        <f t="shared" si="48"/>
        <v>-41.291641379310505</v>
      </c>
      <c r="J120" s="37">
        <f t="shared" si="48"/>
        <v>-20.993196754785647</v>
      </c>
      <c r="K120" s="37">
        <f t="shared" si="48"/>
        <v>-21.31706777777778</v>
      </c>
      <c r="L120" s="37">
        <f t="shared" si="48"/>
        <v>19.395451428571469</v>
      </c>
      <c r="M120" s="37">
        <f t="shared" si="48"/>
        <v>11.074122222222098</v>
      </c>
      <c r="N120" s="37">
        <f t="shared" si="48"/>
        <v>0.12630999999998949</v>
      </c>
      <c r="O120" s="37">
        <f t="shared" si="48"/>
        <v>1.513097058823405</v>
      </c>
      <c r="P120" s="37">
        <f t="shared" si="48"/>
        <v>40.544095862068879</v>
      </c>
      <c r="Q120" s="37">
        <f t="shared" si="48"/>
        <v>105.99540628865958</v>
      </c>
      <c r="R120" s="37">
        <f t="shared" si="48"/>
        <v>11.630660928381756</v>
      </c>
      <c r="S120" s="37">
        <f t="shared" si="48"/>
        <v>-8.4155400000000977</v>
      </c>
    </row>
    <row r="121" spans="2:19" hidden="1" outlineLevel="1" x14ac:dyDescent="0.25">
      <c r="B121" s="73" t="s">
        <v>46</v>
      </c>
      <c r="C121" s="74">
        <f t="shared" si="44"/>
        <v>136.8308321276092</v>
      </c>
      <c r="D121" s="84">
        <f t="shared" ref="D121:S121" si="49">D95*D8/1000</f>
        <v>19.411447777777674</v>
      </c>
      <c r="E121" s="84">
        <f t="shared" si="49"/>
        <v>0</v>
      </c>
      <c r="F121" s="84">
        <f t="shared" si="49"/>
        <v>0</v>
      </c>
      <c r="G121" s="84">
        <f t="shared" si="49"/>
        <v>5.2384299999999842</v>
      </c>
      <c r="H121" s="84">
        <f t="shared" si="49"/>
        <v>11.481770588235285</v>
      </c>
      <c r="I121" s="84">
        <f t="shared" si="49"/>
        <v>18.663339999999998</v>
      </c>
      <c r="J121" s="84">
        <f t="shared" si="49"/>
        <v>-21.679259999999871</v>
      </c>
      <c r="K121" s="84">
        <f t="shared" si="49"/>
        <v>-14.227520000000002</v>
      </c>
      <c r="L121" s="84">
        <f t="shared" si="49"/>
        <v>8.4952390909091964</v>
      </c>
      <c r="M121" s="84">
        <f t="shared" si="49"/>
        <v>3.2023583870967598</v>
      </c>
      <c r="N121" s="84">
        <f t="shared" si="49"/>
        <v>-3.7870000000008529E-2</v>
      </c>
      <c r="O121" s="84">
        <f t="shared" si="49"/>
        <v>-0.94958000000010434</v>
      </c>
      <c r="P121" s="84">
        <f t="shared" si="49"/>
        <v>27.927258484848483</v>
      </c>
      <c r="Q121" s="84">
        <f t="shared" si="49"/>
        <v>69.399386666666544</v>
      </c>
      <c r="R121" s="84">
        <f t="shared" si="49"/>
        <v>11.510801132075361</v>
      </c>
      <c r="S121" s="37">
        <f t="shared" si="49"/>
        <v>-1.6049700000000997</v>
      </c>
    </row>
    <row r="122" spans="2:19" hidden="1" outlineLevel="1" x14ac:dyDescent="0.25">
      <c r="B122" s="73" t="s">
        <v>59</v>
      </c>
      <c r="C122" s="74">
        <f t="shared" si="44"/>
        <v>87.218651237112979</v>
      </c>
      <c r="D122" s="84">
        <f t="shared" ref="D122:S122" si="50">D97*D10/1000</f>
        <v>22.711699999999905</v>
      </c>
      <c r="E122" s="84">
        <f t="shared" si="50"/>
        <v>0</v>
      </c>
      <c r="F122" s="84">
        <f t="shared" si="50"/>
        <v>0</v>
      </c>
      <c r="G122" s="84">
        <f t="shared" si="50"/>
        <v>5.1644199999999891</v>
      </c>
      <c r="H122" s="84">
        <f t="shared" si="50"/>
        <v>5.9011699999999001</v>
      </c>
      <c r="I122" s="84">
        <f t="shared" si="50"/>
        <v>-11.324800000000049</v>
      </c>
      <c r="J122" s="84">
        <f t="shared" si="50"/>
        <v>-10.055209999999981</v>
      </c>
      <c r="K122" s="84">
        <f t="shared" si="50"/>
        <v>-5.3914999999999997</v>
      </c>
      <c r="L122" s="84">
        <f t="shared" si="50"/>
        <v>-0.87441000000006919</v>
      </c>
      <c r="M122" s="84">
        <f t="shared" si="50"/>
        <v>14.129489999999899</v>
      </c>
      <c r="N122" s="84">
        <f t="shared" si="50"/>
        <v>4.54251</v>
      </c>
      <c r="O122" s="84">
        <f t="shared" si="50"/>
        <v>32.128249999999994</v>
      </c>
      <c r="P122" s="84">
        <f t="shared" si="50"/>
        <v>9.1119199999999978</v>
      </c>
      <c r="Q122" s="84">
        <f t="shared" si="50"/>
        <v>17.130091237113405</v>
      </c>
      <c r="R122" s="84">
        <f t="shared" si="50"/>
        <v>4.7450200000000002</v>
      </c>
      <c r="S122" s="37">
        <f t="shared" si="50"/>
        <v>-0.7</v>
      </c>
    </row>
    <row r="123" spans="2:19" hidden="1" outlineLevel="1" x14ac:dyDescent="0.25">
      <c r="B123" s="73" t="s">
        <v>49</v>
      </c>
      <c r="C123" s="74">
        <f t="shared" si="44"/>
        <v>-60.188783870968365</v>
      </c>
      <c r="D123" s="84">
        <f t="shared" ref="D123:S123" si="51">D98*D8/1000</f>
        <v>-12.784380000000096</v>
      </c>
      <c r="E123" s="84">
        <f t="shared" si="51"/>
        <v>0</v>
      </c>
      <c r="F123" s="84">
        <f t="shared" si="51"/>
        <v>0</v>
      </c>
      <c r="G123" s="84">
        <f t="shared" si="51"/>
        <v>-15.164009999999998</v>
      </c>
      <c r="H123" s="84">
        <f t="shared" si="51"/>
        <v>-1.3523700000001022</v>
      </c>
      <c r="I123" s="84">
        <f t="shared" si="51"/>
        <v>2.5370599999999013</v>
      </c>
      <c r="J123" s="84">
        <f t="shared" si="51"/>
        <v>4.3501099999999893</v>
      </c>
      <c r="K123" s="84">
        <f t="shared" si="51"/>
        <v>-2.2202700000000006</v>
      </c>
      <c r="L123" s="84">
        <f t="shared" si="51"/>
        <v>-2.9380399999999991</v>
      </c>
      <c r="M123" s="84">
        <f t="shared" si="51"/>
        <v>-3.9968838709677459</v>
      </c>
      <c r="N123" s="84">
        <f t="shared" si="51"/>
        <v>4.3216699999999983</v>
      </c>
      <c r="O123" s="84">
        <f t="shared" si="51"/>
        <v>-36.583220000000004</v>
      </c>
      <c r="P123" s="84">
        <f t="shared" si="51"/>
        <v>-2.6585100000001001</v>
      </c>
      <c r="Q123" s="84">
        <f t="shared" si="51"/>
        <v>4.7047599999999061</v>
      </c>
      <c r="R123" s="84">
        <f t="shared" si="51"/>
        <v>4.2933699999999</v>
      </c>
      <c r="S123" s="37">
        <f t="shared" si="51"/>
        <v>-2.6980699999999977</v>
      </c>
    </row>
    <row r="124" spans="2:19" collapsed="1" x14ac:dyDescent="0.25">
      <c r="B124" s="78" t="s">
        <v>57</v>
      </c>
      <c r="C124" s="79">
        <f>SUM(C116,C120)</f>
        <v>-4.4647677486218669</v>
      </c>
      <c r="D124" s="85">
        <f t="shared" ref="D124:S124" si="52">SUM(D116,D120)</f>
        <v>11.336989999999691</v>
      </c>
      <c r="E124" s="85">
        <f t="shared" si="52"/>
        <v>-30</v>
      </c>
      <c r="F124" s="85">
        <f t="shared" si="52"/>
        <v>0</v>
      </c>
      <c r="G124" s="85">
        <f t="shared" si="52"/>
        <v>-1.3361600000000293</v>
      </c>
      <c r="H124" s="85">
        <f>SUM(H116,H120)</f>
        <v>-31.105900000000204</v>
      </c>
      <c r="I124" s="85">
        <f t="shared" si="52"/>
        <v>-77.774400000000156</v>
      </c>
      <c r="J124" s="85">
        <f t="shared" si="52"/>
        <v>-3.6154883679998626</v>
      </c>
      <c r="K124" s="85">
        <f t="shared" si="52"/>
        <v>-28.539290000000001</v>
      </c>
      <c r="L124" s="85">
        <f t="shared" si="52"/>
        <v>31.56688000000004</v>
      </c>
      <c r="M124" s="85">
        <f t="shared" si="52"/>
        <v>7.8268999999998758</v>
      </c>
      <c r="N124" s="85">
        <f t="shared" si="52"/>
        <v>-3.4736900000000106</v>
      </c>
      <c r="O124" s="85">
        <f t="shared" si="52"/>
        <v>-11.404550000000125</v>
      </c>
      <c r="P124" s="85">
        <f t="shared" si="52"/>
        <v>-8.8041800000000876</v>
      </c>
      <c r="Q124" s="85">
        <f t="shared" si="52"/>
        <v>134.73896298969049</v>
      </c>
      <c r="R124" s="85">
        <f t="shared" si="52"/>
        <v>8.3846976296885369</v>
      </c>
      <c r="S124" s="36">
        <f t="shared" si="52"/>
        <v>-2.2655400000000974</v>
      </c>
    </row>
  </sheetData>
  <conditionalFormatting sqref="B28">
    <cfRule type="colorScale" priority="9">
      <colorScale>
        <cfvo type="min"/>
        <cfvo type="max"/>
        <color rgb="FFFCFCFF"/>
        <color rgb="FF63BE7B"/>
      </colorScale>
    </cfRule>
  </conditionalFormatting>
  <conditionalFormatting sqref="B61">
    <cfRule type="colorScale" priority="8">
      <colorScale>
        <cfvo type="min"/>
        <cfvo type="max"/>
        <color rgb="FFFCFCFF"/>
        <color rgb="FF63BE7B"/>
      </colorScale>
    </cfRule>
  </conditionalFormatting>
  <conditionalFormatting sqref="B94">
    <cfRule type="colorScale" priority="7">
      <colorScale>
        <cfvo type="min"/>
        <cfvo type="max"/>
        <color rgb="FFFCFCFF"/>
        <color rgb="FF63BE7B"/>
      </colorScale>
    </cfRule>
  </conditionalFormatting>
  <conditionalFormatting sqref="C35:S35 C124:S12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S6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1:S10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:S112">
    <cfRule type="cellIs" dxfId="15" priority="1" operator="greaterThanOrEqual">
      <formula>0</formula>
    </cfRule>
    <cfRule type="cellIs" dxfId="14" priority="2" operator="lessThan">
      <formula>0</formula>
    </cfRule>
  </conditionalFormatting>
  <conditionalFormatting sqref="C113:S1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6:S123">
    <cfRule type="cellIs" dxfId="13" priority="5" operator="greaterThanOrEqual">
      <formula>0</formula>
    </cfRule>
    <cfRule type="cellIs" dxfId="12" priority="6" operator="lessThan">
      <formula>0</formula>
    </cfRule>
  </conditionalFormatting>
  <printOptions horizontalCentered="1"/>
  <pageMargins left="1" right="0" top="0" bottom="0" header="0" footer="0"/>
  <pageSetup paperSize="3" scale="86" orientation="landscape" r:id="rId1"/>
  <headerFooter>
    <oddFooter>&amp;R&amp;F
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6796-6B0D-4265-BC17-D7C39A647600}">
  <sheetPr>
    <tabColor rgb="FF00B050"/>
    <pageSetUpPr fitToPage="1"/>
  </sheetPr>
  <dimension ref="A1:AA123"/>
  <sheetViews>
    <sheetView workbookViewId="0"/>
  </sheetViews>
  <sheetFormatPr baseColWidth="10" defaultColWidth="11.42578125" defaultRowHeight="15" outlineLevelRow="1" x14ac:dyDescent="0.25"/>
  <cols>
    <col min="1" max="1" width="1.5703125" customWidth="1"/>
    <col min="2" max="2" width="29.5703125" customWidth="1"/>
    <col min="3" max="3" width="13.5703125" customWidth="1"/>
    <col min="4" max="5" width="12" customWidth="1"/>
    <col min="6" max="6" width="12" hidden="1" customWidth="1"/>
    <col min="7" max="19" width="12" customWidth="1"/>
    <col min="20" max="20" width="12" hidden="1" customWidth="1"/>
    <col min="21" max="21" width="13.5703125" hidden="1" customWidth="1"/>
    <col min="22" max="22" width="12" hidden="1" customWidth="1"/>
    <col min="26" max="26" width="35.42578125" bestFit="1" customWidth="1"/>
    <col min="27" max="27" width="12.42578125" bestFit="1" customWidth="1"/>
    <col min="29" max="29" width="35.42578125" bestFit="1" customWidth="1"/>
  </cols>
  <sheetData>
    <row r="1" spans="1:27" ht="9.75" customHeight="1" x14ac:dyDescent="0.25">
      <c r="D1" s="1"/>
      <c r="G1" s="1"/>
    </row>
    <row r="2" spans="1:27" ht="18.75" x14ac:dyDescent="0.3">
      <c r="B2" s="2" t="s">
        <v>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7" ht="15.75" customHeight="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6"/>
      <c r="U3" s="6"/>
      <c r="V3" s="6"/>
      <c r="AA3" s="7"/>
    </row>
    <row r="4" spans="1:27" x14ac:dyDescent="0.25">
      <c r="B4" s="68" t="s">
        <v>17</v>
      </c>
      <c r="C4" s="86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67" t="s">
        <v>18</v>
      </c>
      <c r="U4" s="5" t="s">
        <v>19</v>
      </c>
      <c r="V4" s="5" t="s">
        <v>20</v>
      </c>
      <c r="AA4" s="8"/>
    </row>
    <row r="5" spans="1:27" hidden="1" outlineLevel="1" x14ac:dyDescent="0.25">
      <c r="A5" s="9" t="str">
        <f>B5</f>
        <v>NB New</v>
      </c>
      <c r="B5" s="10" t="s">
        <v>21</v>
      </c>
      <c r="C5" s="11">
        <f>+SUM(D5:V5)</f>
        <v>920</v>
      </c>
      <c r="D5" s="12">
        <v>166</v>
      </c>
      <c r="E5" s="12">
        <v>0</v>
      </c>
      <c r="F5" s="12">
        <v>0</v>
      </c>
      <c r="G5" s="12">
        <v>33</v>
      </c>
      <c r="H5" s="12">
        <v>81</v>
      </c>
      <c r="I5" s="12">
        <v>51</v>
      </c>
      <c r="J5" s="12">
        <v>92</v>
      </c>
      <c r="K5" s="12">
        <v>40</v>
      </c>
      <c r="L5" s="12">
        <v>59</v>
      </c>
      <c r="M5" s="12">
        <v>44</v>
      </c>
      <c r="N5" s="12">
        <v>29</v>
      </c>
      <c r="O5" s="12">
        <v>153</v>
      </c>
      <c r="P5" s="12">
        <v>52</v>
      </c>
      <c r="Q5" s="12">
        <v>77</v>
      </c>
      <c r="R5" s="12">
        <v>24</v>
      </c>
      <c r="S5" s="12">
        <v>19</v>
      </c>
      <c r="T5" s="12">
        <v>0</v>
      </c>
      <c r="U5" s="12">
        <v>0</v>
      </c>
      <c r="V5" s="12">
        <v>0</v>
      </c>
      <c r="AA5" s="8"/>
    </row>
    <row r="6" spans="1:27" hidden="1" outlineLevel="1" x14ac:dyDescent="0.25">
      <c r="A6" s="9" t="str">
        <f t="shared" ref="A6:A21" si="0">B6</f>
        <v>NB Fleet</v>
      </c>
      <c r="B6" s="13" t="s">
        <v>22</v>
      </c>
      <c r="C6" s="14">
        <f>+SUM(D6:V6)</f>
        <v>29</v>
      </c>
      <c r="D6" s="15">
        <v>5</v>
      </c>
      <c r="E6" s="15">
        <v>0</v>
      </c>
      <c r="F6" s="15">
        <v>0</v>
      </c>
      <c r="G6" s="15">
        <v>0</v>
      </c>
      <c r="H6" s="15">
        <v>1</v>
      </c>
      <c r="I6" s="15">
        <v>3</v>
      </c>
      <c r="J6" s="15">
        <v>2</v>
      </c>
      <c r="K6" s="15">
        <v>2</v>
      </c>
      <c r="L6" s="15">
        <v>4</v>
      </c>
      <c r="M6" s="15">
        <v>2</v>
      </c>
      <c r="N6" s="15">
        <v>0</v>
      </c>
      <c r="O6" s="15">
        <v>0</v>
      </c>
      <c r="P6" s="15">
        <v>6</v>
      </c>
      <c r="Q6" s="15">
        <v>1</v>
      </c>
      <c r="R6" s="15">
        <v>3</v>
      </c>
      <c r="S6" s="15">
        <v>0</v>
      </c>
      <c r="T6" s="15">
        <v>0</v>
      </c>
      <c r="U6" s="15">
        <v>0</v>
      </c>
      <c r="V6" s="15">
        <v>0</v>
      </c>
      <c r="AA6" s="8"/>
    </row>
    <row r="7" spans="1:27" collapsed="1" x14ac:dyDescent="0.25">
      <c r="A7" s="9"/>
      <c r="B7" s="16" t="s">
        <v>23</v>
      </c>
      <c r="C7" s="17">
        <f>SUM(C5:C6)</f>
        <v>949</v>
      </c>
      <c r="D7" s="18">
        <f t="shared" ref="D7:V7" si="1">SUM(D5:D6)</f>
        <v>171</v>
      </c>
      <c r="E7" s="18">
        <f t="shared" si="1"/>
        <v>0</v>
      </c>
      <c r="F7" s="18">
        <f t="shared" si="1"/>
        <v>0</v>
      </c>
      <c r="G7" s="18">
        <f t="shared" si="1"/>
        <v>33</v>
      </c>
      <c r="H7" s="18">
        <f t="shared" si="1"/>
        <v>82</v>
      </c>
      <c r="I7" s="18">
        <f t="shared" si="1"/>
        <v>54</v>
      </c>
      <c r="J7" s="18">
        <f t="shared" si="1"/>
        <v>94</v>
      </c>
      <c r="K7" s="18">
        <f t="shared" si="1"/>
        <v>42</v>
      </c>
      <c r="L7" s="18">
        <f t="shared" si="1"/>
        <v>63</v>
      </c>
      <c r="M7" s="18">
        <f t="shared" si="1"/>
        <v>46</v>
      </c>
      <c r="N7" s="18">
        <f t="shared" si="1"/>
        <v>29</v>
      </c>
      <c r="O7" s="18">
        <f t="shared" si="1"/>
        <v>153</v>
      </c>
      <c r="P7" s="18">
        <f t="shared" si="1"/>
        <v>58</v>
      </c>
      <c r="Q7" s="18">
        <f t="shared" si="1"/>
        <v>78</v>
      </c>
      <c r="R7" s="18">
        <f t="shared" si="1"/>
        <v>27</v>
      </c>
      <c r="S7" s="18">
        <f t="shared" si="1"/>
        <v>19</v>
      </c>
      <c r="T7" s="19">
        <f t="shared" si="1"/>
        <v>0</v>
      </c>
      <c r="U7" s="19">
        <f t="shared" si="1"/>
        <v>0</v>
      </c>
      <c r="V7" s="19">
        <f t="shared" si="1"/>
        <v>0</v>
      </c>
      <c r="AA7" s="8"/>
    </row>
    <row r="8" spans="1:27" ht="14.25" hidden="1" customHeight="1" outlineLevel="1" x14ac:dyDescent="0.25">
      <c r="A8" s="9" t="str">
        <f t="shared" si="0"/>
        <v>NB Used</v>
      </c>
      <c r="B8" s="10" t="s">
        <v>24</v>
      </c>
      <c r="C8" s="11">
        <f>+SUM(D8:V8)</f>
        <v>356</v>
      </c>
      <c r="D8" s="12">
        <v>48</v>
      </c>
      <c r="E8" s="12">
        <v>0</v>
      </c>
      <c r="F8" s="12">
        <v>0</v>
      </c>
      <c r="G8" s="12">
        <v>18</v>
      </c>
      <c r="H8" s="12">
        <v>18</v>
      </c>
      <c r="I8" s="12">
        <v>15</v>
      </c>
      <c r="J8" s="12">
        <v>34</v>
      </c>
      <c r="K8" s="12">
        <v>10</v>
      </c>
      <c r="L8" s="12">
        <v>31</v>
      </c>
      <c r="M8" s="12">
        <v>29</v>
      </c>
      <c r="N8" s="12">
        <v>14</v>
      </c>
      <c r="O8" s="12">
        <v>49</v>
      </c>
      <c r="P8" s="12">
        <v>23</v>
      </c>
      <c r="Q8" s="12">
        <v>41</v>
      </c>
      <c r="R8" s="12">
        <v>5</v>
      </c>
      <c r="S8" s="12">
        <v>21</v>
      </c>
      <c r="T8" s="20">
        <v>0</v>
      </c>
      <c r="U8" s="20">
        <v>0</v>
      </c>
      <c r="V8" s="20">
        <v>0</v>
      </c>
      <c r="AA8" s="8"/>
    </row>
    <row r="9" spans="1:27" hidden="1" outlineLevel="1" x14ac:dyDescent="0.25">
      <c r="A9" s="9" t="str">
        <f t="shared" si="0"/>
        <v>NB US</v>
      </c>
      <c r="B9" s="13" t="s">
        <v>25</v>
      </c>
      <c r="C9" s="14">
        <f>+SUM(D9:V9)</f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21">
        <v>0</v>
      </c>
      <c r="U9" s="21">
        <v>0</v>
      </c>
      <c r="V9" s="21">
        <v>0</v>
      </c>
      <c r="AA9" s="8"/>
    </row>
    <row r="10" spans="1:27" hidden="1" outlineLevel="1" x14ac:dyDescent="0.25">
      <c r="A10" s="9" t="str">
        <f t="shared" si="0"/>
        <v>NB Wholesale</v>
      </c>
      <c r="B10" s="13" t="s">
        <v>26</v>
      </c>
      <c r="C10" s="22">
        <f>+SUM(D10:V10)</f>
        <v>396</v>
      </c>
      <c r="D10" s="23">
        <v>70</v>
      </c>
      <c r="E10" s="23">
        <v>0</v>
      </c>
      <c r="F10" s="23">
        <v>0</v>
      </c>
      <c r="G10" s="23">
        <v>7</v>
      </c>
      <c r="H10" s="23">
        <v>27</v>
      </c>
      <c r="I10" s="23">
        <v>52</v>
      </c>
      <c r="J10" s="23">
        <v>29</v>
      </c>
      <c r="K10" s="23">
        <v>12</v>
      </c>
      <c r="L10" s="23">
        <v>26</v>
      </c>
      <c r="M10" s="23">
        <v>23</v>
      </c>
      <c r="N10" s="23">
        <v>20</v>
      </c>
      <c r="O10" s="23">
        <v>47</v>
      </c>
      <c r="P10" s="23">
        <v>13</v>
      </c>
      <c r="Q10" s="23">
        <v>40</v>
      </c>
      <c r="R10" s="23">
        <v>23</v>
      </c>
      <c r="S10" s="23">
        <v>7</v>
      </c>
      <c r="T10" s="24">
        <v>0</v>
      </c>
      <c r="U10" s="24">
        <v>0</v>
      </c>
      <c r="V10" s="24">
        <v>0</v>
      </c>
      <c r="AA10" s="8"/>
    </row>
    <row r="11" spans="1:27" collapsed="1" x14ac:dyDescent="0.25">
      <c r="A11" s="9"/>
      <c r="B11" s="16" t="s">
        <v>27</v>
      </c>
      <c r="C11" s="17">
        <f t="shared" ref="C11:V11" si="2">SUM(C8:C10)</f>
        <v>752</v>
      </c>
      <c r="D11" s="18">
        <f t="shared" si="2"/>
        <v>118</v>
      </c>
      <c r="E11" s="18">
        <f t="shared" si="2"/>
        <v>0</v>
      </c>
      <c r="F11" s="18">
        <f t="shared" si="2"/>
        <v>0</v>
      </c>
      <c r="G11" s="18">
        <f t="shared" si="2"/>
        <v>25</v>
      </c>
      <c r="H11" s="18">
        <f t="shared" si="2"/>
        <v>45</v>
      </c>
      <c r="I11" s="18">
        <f t="shared" si="2"/>
        <v>67</v>
      </c>
      <c r="J11" s="18">
        <f t="shared" si="2"/>
        <v>63</v>
      </c>
      <c r="K11" s="18">
        <f t="shared" si="2"/>
        <v>22</v>
      </c>
      <c r="L11" s="18">
        <f t="shared" si="2"/>
        <v>57</v>
      </c>
      <c r="M11" s="18">
        <f t="shared" si="2"/>
        <v>52</v>
      </c>
      <c r="N11" s="18">
        <f t="shared" si="2"/>
        <v>34</v>
      </c>
      <c r="O11" s="18">
        <f t="shared" si="2"/>
        <v>96</v>
      </c>
      <c r="P11" s="18">
        <f t="shared" si="2"/>
        <v>36</v>
      </c>
      <c r="Q11" s="18">
        <f t="shared" si="2"/>
        <v>81</v>
      </c>
      <c r="R11" s="18">
        <f t="shared" si="2"/>
        <v>28</v>
      </c>
      <c r="S11" s="18">
        <f t="shared" si="2"/>
        <v>28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AA11" s="8"/>
    </row>
    <row r="12" spans="1:27" ht="15.75" thickBot="1" x14ac:dyDescent="0.3">
      <c r="A12" s="9"/>
      <c r="B12" s="25" t="s">
        <v>28</v>
      </c>
      <c r="C12" s="11">
        <f t="shared" ref="C12:S12" si="3">+C7+C11</f>
        <v>1701</v>
      </c>
      <c r="D12" s="11">
        <f t="shared" si="3"/>
        <v>289</v>
      </c>
      <c r="E12" s="11">
        <f t="shared" si="3"/>
        <v>0</v>
      </c>
      <c r="F12" s="11">
        <f t="shared" si="3"/>
        <v>0</v>
      </c>
      <c r="G12" s="11">
        <f t="shared" si="3"/>
        <v>58</v>
      </c>
      <c r="H12" s="11">
        <f t="shared" si="3"/>
        <v>127</v>
      </c>
      <c r="I12" s="11">
        <f t="shared" si="3"/>
        <v>121</v>
      </c>
      <c r="J12" s="11">
        <f t="shared" si="3"/>
        <v>157</v>
      </c>
      <c r="K12" s="11">
        <f t="shared" si="3"/>
        <v>64</v>
      </c>
      <c r="L12" s="11">
        <f t="shared" si="3"/>
        <v>120</v>
      </c>
      <c r="M12" s="11">
        <f t="shared" si="3"/>
        <v>98</v>
      </c>
      <c r="N12" s="11">
        <f t="shared" si="3"/>
        <v>63</v>
      </c>
      <c r="O12" s="11">
        <f t="shared" si="3"/>
        <v>249</v>
      </c>
      <c r="P12" s="11">
        <f t="shared" si="3"/>
        <v>94</v>
      </c>
      <c r="Q12" s="11">
        <f t="shared" si="3"/>
        <v>159</v>
      </c>
      <c r="R12" s="11">
        <f t="shared" si="3"/>
        <v>55</v>
      </c>
      <c r="S12" s="11">
        <f t="shared" si="3"/>
        <v>47</v>
      </c>
      <c r="T12" s="26"/>
      <c r="U12" s="26"/>
      <c r="V12" s="26"/>
      <c r="AA12" s="8"/>
    </row>
    <row r="13" spans="1:27" hidden="1" outlineLevel="1" x14ac:dyDescent="0.25">
      <c r="A13" s="9" t="str">
        <f t="shared" si="0"/>
        <v>Profit Front new</v>
      </c>
      <c r="B13" s="27" t="s">
        <v>30</v>
      </c>
      <c r="C13" s="28">
        <f>+SUM(D13:V13)</f>
        <v>2236680.6099999975</v>
      </c>
      <c r="D13" s="29">
        <v>306885.8299999992</v>
      </c>
      <c r="E13" s="29">
        <v>0</v>
      </c>
      <c r="F13" s="29">
        <v>0</v>
      </c>
      <c r="G13" s="29">
        <v>19881.12000000009</v>
      </c>
      <c r="H13" s="29">
        <v>218793.9499999999</v>
      </c>
      <c r="I13" s="29">
        <v>108714.46999999968</v>
      </c>
      <c r="J13" s="29">
        <v>225887.5099999996</v>
      </c>
      <c r="K13" s="29">
        <v>71936.820000000022</v>
      </c>
      <c r="L13" s="29">
        <v>109420.14000000039</v>
      </c>
      <c r="M13" s="29">
        <v>97996.029999999824</v>
      </c>
      <c r="N13" s="29">
        <v>92621.109999999899</v>
      </c>
      <c r="O13" s="29">
        <v>456640.42000000092</v>
      </c>
      <c r="P13" s="29">
        <v>125448.90999999931</v>
      </c>
      <c r="Q13" s="29">
        <v>295360.34999999899</v>
      </c>
      <c r="R13" s="29">
        <v>61985.699999999953</v>
      </c>
      <c r="S13" s="29">
        <v>45108.25</v>
      </c>
      <c r="T13" s="29">
        <v>0</v>
      </c>
      <c r="U13" s="29">
        <v>0</v>
      </c>
      <c r="V13" s="29">
        <v>0</v>
      </c>
      <c r="AA13" s="8"/>
    </row>
    <row r="14" spans="1:27" hidden="1" outlineLevel="1" x14ac:dyDescent="0.25">
      <c r="A14" s="9"/>
      <c r="B14" s="30" t="s">
        <v>31</v>
      </c>
      <c r="C14" s="31">
        <f>+SUM(D14:V14)</f>
        <v>58558.859999999855</v>
      </c>
      <c r="D14" s="32">
        <v>18362.4399999999</v>
      </c>
      <c r="E14" s="32">
        <v>0</v>
      </c>
      <c r="F14" s="32">
        <v>0</v>
      </c>
      <c r="G14" s="32">
        <v>4951</v>
      </c>
      <c r="H14" s="32">
        <v>2213.04</v>
      </c>
      <c r="I14" s="32">
        <v>9560</v>
      </c>
      <c r="J14" s="32">
        <v>8991.2399999999907</v>
      </c>
      <c r="K14" s="32">
        <v>0</v>
      </c>
      <c r="L14" s="32">
        <v>6990</v>
      </c>
      <c r="M14" s="32">
        <v>1393.3299999999799</v>
      </c>
      <c r="N14" s="32">
        <v>1998</v>
      </c>
      <c r="O14" s="32">
        <v>0</v>
      </c>
      <c r="P14" s="32">
        <v>76.64</v>
      </c>
      <c r="Q14" s="32">
        <v>3573.1699999999801</v>
      </c>
      <c r="R14" s="32">
        <v>650</v>
      </c>
      <c r="S14" s="32">
        <v>-200</v>
      </c>
      <c r="T14" s="32">
        <v>0</v>
      </c>
      <c r="U14" s="32">
        <v>0</v>
      </c>
      <c r="V14" s="32">
        <v>0</v>
      </c>
      <c r="AA14" s="8"/>
    </row>
    <row r="15" spans="1:27" hidden="1" outlineLevel="1" x14ac:dyDescent="0.25">
      <c r="A15" s="9" t="str">
        <f t="shared" si="0"/>
        <v>Profit Fleet</v>
      </c>
      <c r="B15" s="30" t="s">
        <v>32</v>
      </c>
      <c r="C15" s="31">
        <f>+SUM(D15:V15)</f>
        <v>129411.31000000007</v>
      </c>
      <c r="D15" s="32">
        <v>3837.1400000000099</v>
      </c>
      <c r="E15" s="32">
        <v>0</v>
      </c>
      <c r="F15" s="32">
        <v>0</v>
      </c>
      <c r="G15" s="32">
        <v>0</v>
      </c>
      <c r="H15" s="32">
        <v>8990.19</v>
      </c>
      <c r="I15" s="32">
        <v>6318.5499999999802</v>
      </c>
      <c r="J15" s="32">
        <v>6205.5299999999897</v>
      </c>
      <c r="K15" s="32">
        <v>-2010.05</v>
      </c>
      <c r="L15" s="32">
        <v>-345.890000000013</v>
      </c>
      <c r="M15" s="32">
        <v>6255.54</v>
      </c>
      <c r="N15" s="32">
        <v>0</v>
      </c>
      <c r="O15" s="32">
        <v>0</v>
      </c>
      <c r="P15" s="32">
        <v>87594.000000000102</v>
      </c>
      <c r="Q15" s="32">
        <v>4249.55</v>
      </c>
      <c r="R15" s="32">
        <v>8316.75</v>
      </c>
      <c r="S15" s="32">
        <v>0</v>
      </c>
      <c r="T15" s="32">
        <v>0</v>
      </c>
      <c r="U15" s="32">
        <v>0</v>
      </c>
      <c r="V15" s="32">
        <v>0</v>
      </c>
      <c r="AA15" s="8"/>
    </row>
    <row r="16" spans="1:27" hidden="1" outlineLevel="1" x14ac:dyDescent="0.25">
      <c r="A16" s="9" t="str">
        <f t="shared" si="0"/>
        <v>Profit F&amp;I new</v>
      </c>
      <c r="B16" s="33" t="s">
        <v>33</v>
      </c>
      <c r="C16" s="34">
        <f>+SUM(D16:V16)</f>
        <v>1143367.7299999988</v>
      </c>
      <c r="D16" s="35">
        <v>191330.46</v>
      </c>
      <c r="E16" s="35">
        <v>0</v>
      </c>
      <c r="F16" s="35">
        <v>0</v>
      </c>
      <c r="G16" s="35">
        <v>37777.369999999901</v>
      </c>
      <c r="H16" s="35">
        <v>77190.039999999906</v>
      </c>
      <c r="I16" s="35">
        <v>51324.99</v>
      </c>
      <c r="J16" s="35">
        <v>104957.209999999</v>
      </c>
      <c r="K16" s="35">
        <v>29535.879999999899</v>
      </c>
      <c r="L16" s="35">
        <v>91314.17</v>
      </c>
      <c r="M16" s="35">
        <v>54475.39</v>
      </c>
      <c r="N16" s="35">
        <v>37623.81</v>
      </c>
      <c r="O16" s="35">
        <v>213422.95</v>
      </c>
      <c r="P16" s="35">
        <v>81485.16</v>
      </c>
      <c r="Q16" s="35">
        <v>89222.47</v>
      </c>
      <c r="R16" s="35">
        <v>40129.35</v>
      </c>
      <c r="S16" s="35">
        <v>43578.48</v>
      </c>
      <c r="T16" s="35">
        <v>0</v>
      </c>
      <c r="U16" s="35">
        <v>0</v>
      </c>
      <c r="V16" s="35">
        <v>0</v>
      </c>
      <c r="AA16" s="8"/>
    </row>
    <row r="17" spans="1:27" hidden="1" outlineLevel="1" x14ac:dyDescent="0.25">
      <c r="A17" s="9"/>
      <c r="B17" s="16" t="s">
        <v>34</v>
      </c>
      <c r="C17" s="36">
        <f>+SUM(C13:C16)</f>
        <v>3568018.5099999961</v>
      </c>
      <c r="D17" s="37">
        <f t="shared" ref="D17:V17" si="4">+SUM(D13:D16)</f>
        <v>520415.86999999906</v>
      </c>
      <c r="E17" s="37">
        <f t="shared" si="4"/>
        <v>0</v>
      </c>
      <c r="F17" s="37">
        <f t="shared" si="4"/>
        <v>0</v>
      </c>
      <c r="G17" s="37">
        <f t="shared" si="4"/>
        <v>62609.489999999991</v>
      </c>
      <c r="H17" s="37">
        <f t="shared" si="4"/>
        <v>307187.2199999998</v>
      </c>
      <c r="I17" s="37">
        <f t="shared" si="4"/>
        <v>175918.00999999966</v>
      </c>
      <c r="J17" s="37">
        <f t="shared" si="4"/>
        <v>346041.48999999859</v>
      </c>
      <c r="K17" s="37">
        <f t="shared" si="4"/>
        <v>99462.649999999921</v>
      </c>
      <c r="L17" s="37">
        <f t="shared" si="4"/>
        <v>207378.42000000039</v>
      </c>
      <c r="M17" s="37">
        <f t="shared" si="4"/>
        <v>160120.2899999998</v>
      </c>
      <c r="N17" s="37">
        <f t="shared" si="4"/>
        <v>132242.9199999999</v>
      </c>
      <c r="O17" s="37">
        <f t="shared" si="4"/>
        <v>670063.37000000093</v>
      </c>
      <c r="P17" s="37">
        <f t="shared" si="4"/>
        <v>294604.70999999938</v>
      </c>
      <c r="Q17" s="37">
        <f t="shared" si="4"/>
        <v>392405.53999999899</v>
      </c>
      <c r="R17" s="37">
        <f t="shared" si="4"/>
        <v>111081.79999999996</v>
      </c>
      <c r="S17" s="37">
        <f t="shared" si="4"/>
        <v>88486.73000000001</v>
      </c>
      <c r="T17" s="36">
        <f t="shared" si="4"/>
        <v>0</v>
      </c>
      <c r="U17" s="36">
        <f t="shared" si="4"/>
        <v>0</v>
      </c>
      <c r="V17" s="36">
        <f t="shared" si="4"/>
        <v>0</v>
      </c>
      <c r="AA17" s="8"/>
    </row>
    <row r="18" spans="1:27" hidden="1" outlineLevel="1" x14ac:dyDescent="0.25">
      <c r="A18" s="9" t="str">
        <f t="shared" si="0"/>
        <v>Profit Front used</v>
      </c>
      <c r="B18" s="30" t="s">
        <v>35</v>
      </c>
      <c r="C18" s="31">
        <f>+SUM(D18:V18)</f>
        <v>688298.12999999977</v>
      </c>
      <c r="D18" s="32">
        <v>96225.669999999896</v>
      </c>
      <c r="E18" s="32">
        <v>0</v>
      </c>
      <c r="F18" s="32">
        <v>0</v>
      </c>
      <c r="G18" s="32">
        <v>32238.429999999982</v>
      </c>
      <c r="H18" s="32">
        <v>40435.299999999996</v>
      </c>
      <c r="I18" s="32">
        <v>40413.339999999997</v>
      </c>
      <c r="J18" s="32">
        <v>32720.740000000129</v>
      </c>
      <c r="K18" s="32">
        <v>772.47999999999797</v>
      </c>
      <c r="L18" s="32">
        <v>56404.330000000104</v>
      </c>
      <c r="M18" s="32">
        <v>43708.809999999983</v>
      </c>
      <c r="N18" s="32">
        <v>25162.12999999999</v>
      </c>
      <c r="O18" s="32">
        <v>82350.419999999896</v>
      </c>
      <c r="P18" s="32">
        <v>69292.41</v>
      </c>
      <c r="Q18" s="32">
        <v>122357.71999999988</v>
      </c>
      <c r="R18" s="32">
        <v>20783.819999999891</v>
      </c>
      <c r="S18" s="32">
        <v>25432.529999999901</v>
      </c>
      <c r="T18" s="32">
        <v>0</v>
      </c>
      <c r="U18" s="32">
        <v>0</v>
      </c>
      <c r="V18" s="32">
        <v>0</v>
      </c>
      <c r="AA18" s="8"/>
    </row>
    <row r="19" spans="1:27" hidden="1" outlineLevel="1" x14ac:dyDescent="0.25">
      <c r="A19" s="9" t="str">
        <f t="shared" si="0"/>
        <v>Profit US</v>
      </c>
      <c r="B19" s="30" t="s">
        <v>36</v>
      </c>
      <c r="C19" s="31">
        <f>+SUM(D19:V19)</f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AA19" s="8"/>
    </row>
    <row r="20" spans="1:27" hidden="1" outlineLevel="1" x14ac:dyDescent="0.25">
      <c r="A20" s="9" t="str">
        <f t="shared" si="0"/>
        <v>Profit Wholesale</v>
      </c>
      <c r="B20" s="30" t="s">
        <v>37</v>
      </c>
      <c r="C20" s="31">
        <f>+SUM(D20:V20)</f>
        <v>263022.76999999961</v>
      </c>
      <c r="D20" s="32">
        <v>50711.699999999903</v>
      </c>
      <c r="E20" s="32">
        <v>0</v>
      </c>
      <c r="F20" s="32">
        <v>0</v>
      </c>
      <c r="G20" s="32">
        <v>9714.4199999999892</v>
      </c>
      <c r="H20" s="32">
        <v>22101.1699999999</v>
      </c>
      <c r="I20" s="32">
        <v>9475.1999999999498</v>
      </c>
      <c r="J20" s="32">
        <v>-2833.0499999999802</v>
      </c>
      <c r="K20" s="32">
        <v>-591.5</v>
      </c>
      <c r="L20" s="32">
        <v>6925.5899999999301</v>
      </c>
      <c r="M20" s="32">
        <v>16429.4899999999</v>
      </c>
      <c r="N20" s="32">
        <v>11542.51</v>
      </c>
      <c r="O20" s="32">
        <v>79128.25</v>
      </c>
      <c r="P20" s="32">
        <v>20161.919999999998</v>
      </c>
      <c r="Q20" s="32">
        <v>22862.05</v>
      </c>
      <c r="R20" s="32">
        <v>17395.02</v>
      </c>
      <c r="S20" s="32">
        <v>0</v>
      </c>
      <c r="T20" s="32">
        <v>0</v>
      </c>
      <c r="U20" s="32">
        <v>0</v>
      </c>
      <c r="V20" s="32">
        <v>0</v>
      </c>
      <c r="AA20" s="8"/>
    </row>
    <row r="21" spans="1:27" hidden="1" outlineLevel="1" x14ac:dyDescent="0.25">
      <c r="A21" s="9" t="str">
        <f t="shared" si="0"/>
        <v>Profit F&amp;I used</v>
      </c>
      <c r="B21" s="30" t="s">
        <v>38</v>
      </c>
      <c r="C21" s="31">
        <f>+SUM(D21:V21)</f>
        <v>476896.69999999931</v>
      </c>
      <c r="D21" s="32">
        <v>54415.619999999901</v>
      </c>
      <c r="E21" s="32">
        <v>0</v>
      </c>
      <c r="F21" s="32">
        <v>0</v>
      </c>
      <c r="G21" s="32">
        <v>19485.990000000002</v>
      </c>
      <c r="H21" s="32">
        <v>27447.629999999899</v>
      </c>
      <c r="I21" s="32">
        <v>31037.059999999899</v>
      </c>
      <c r="J21" s="32">
        <v>62150.11</v>
      </c>
      <c r="K21" s="32">
        <v>10279.73</v>
      </c>
      <c r="L21" s="32">
        <v>42786.96</v>
      </c>
      <c r="M21" s="32">
        <v>35363.599999999999</v>
      </c>
      <c r="N21" s="32">
        <v>24621.67</v>
      </c>
      <c r="O21" s="32">
        <v>46716.78</v>
      </c>
      <c r="P21" s="32">
        <v>31841.4899999999</v>
      </c>
      <c r="Q21" s="32">
        <v>53904.7599999999</v>
      </c>
      <c r="R21" s="32">
        <v>13293.369999999901</v>
      </c>
      <c r="S21" s="32">
        <v>23551.93</v>
      </c>
      <c r="T21" s="32">
        <v>0</v>
      </c>
      <c r="U21" s="32">
        <v>0</v>
      </c>
      <c r="V21" s="32">
        <v>0</v>
      </c>
      <c r="AA21" s="8"/>
    </row>
    <row r="22" spans="1:27" hidden="1" outlineLevel="1" x14ac:dyDescent="0.25">
      <c r="A22" s="9"/>
      <c r="B22" s="16" t="s">
        <v>39</v>
      </c>
      <c r="C22" s="36">
        <f>+SUM(C18:C21)</f>
        <v>1428217.5999999987</v>
      </c>
      <c r="D22" s="37">
        <f>+SUM(D18:D21)</f>
        <v>201352.9899999997</v>
      </c>
      <c r="E22" s="37">
        <f t="shared" ref="E22:V22" si="5">+SUM(E18:E21)</f>
        <v>0</v>
      </c>
      <c r="F22" s="37">
        <f t="shared" si="5"/>
        <v>0</v>
      </c>
      <c r="G22" s="37">
        <f t="shared" si="5"/>
        <v>61438.839999999967</v>
      </c>
      <c r="H22" s="37">
        <f t="shared" si="5"/>
        <v>89984.099999999802</v>
      </c>
      <c r="I22" s="37">
        <f t="shared" si="5"/>
        <v>80925.599999999846</v>
      </c>
      <c r="J22" s="37">
        <f t="shared" si="5"/>
        <v>92037.800000000148</v>
      </c>
      <c r="K22" s="37">
        <f t="shared" si="5"/>
        <v>10460.709999999997</v>
      </c>
      <c r="L22" s="37">
        <f t="shared" si="5"/>
        <v>106116.88000000003</v>
      </c>
      <c r="M22" s="37">
        <f t="shared" si="5"/>
        <v>95501.899999999878</v>
      </c>
      <c r="N22" s="37">
        <f t="shared" si="5"/>
        <v>61326.30999999999</v>
      </c>
      <c r="O22" s="37">
        <f t="shared" si="5"/>
        <v>208195.4499999999</v>
      </c>
      <c r="P22" s="37">
        <f t="shared" si="5"/>
        <v>121295.81999999991</v>
      </c>
      <c r="Q22" s="37">
        <f t="shared" si="5"/>
        <v>199124.52999999977</v>
      </c>
      <c r="R22" s="37">
        <f t="shared" si="5"/>
        <v>51472.209999999795</v>
      </c>
      <c r="S22" s="37">
        <f t="shared" si="5"/>
        <v>48984.459999999905</v>
      </c>
      <c r="T22" s="36">
        <f t="shared" si="5"/>
        <v>0</v>
      </c>
      <c r="U22" s="36">
        <f t="shared" si="5"/>
        <v>0</v>
      </c>
      <c r="V22" s="36">
        <f t="shared" si="5"/>
        <v>0</v>
      </c>
      <c r="AA22" s="8"/>
    </row>
    <row r="23" spans="1:27" ht="15.75" hidden="1" outlineLevel="1" thickBot="1" x14ac:dyDescent="0.3">
      <c r="A23" s="9"/>
      <c r="B23" s="27" t="s">
        <v>40</v>
      </c>
      <c r="C23" s="28">
        <f>+C22+C17</f>
        <v>4996236.1099999947</v>
      </c>
      <c r="D23" s="38">
        <f t="shared" ref="D23:S23" si="6">+D22+D17</f>
        <v>721768.85999999871</v>
      </c>
      <c r="E23" s="38">
        <f t="shared" si="6"/>
        <v>0</v>
      </c>
      <c r="F23" s="38">
        <f t="shared" si="6"/>
        <v>0</v>
      </c>
      <c r="G23" s="38">
        <f t="shared" si="6"/>
        <v>124048.32999999996</v>
      </c>
      <c r="H23" s="38">
        <f t="shared" si="6"/>
        <v>397171.3199999996</v>
      </c>
      <c r="I23" s="38">
        <f t="shared" si="6"/>
        <v>256843.60999999952</v>
      </c>
      <c r="J23" s="38">
        <f t="shared" si="6"/>
        <v>438079.28999999876</v>
      </c>
      <c r="K23" s="38">
        <f t="shared" si="6"/>
        <v>109923.35999999991</v>
      </c>
      <c r="L23" s="38">
        <f t="shared" si="6"/>
        <v>313495.3000000004</v>
      </c>
      <c r="M23" s="38">
        <f t="shared" si="6"/>
        <v>255622.18999999968</v>
      </c>
      <c r="N23" s="38">
        <f t="shared" si="6"/>
        <v>193569.22999999989</v>
      </c>
      <c r="O23" s="38">
        <f t="shared" si="6"/>
        <v>878258.82000000076</v>
      </c>
      <c r="P23" s="38">
        <f t="shared" si="6"/>
        <v>415900.52999999927</v>
      </c>
      <c r="Q23" s="38">
        <f t="shared" si="6"/>
        <v>591530.06999999878</v>
      </c>
      <c r="R23" s="38">
        <f t="shared" si="6"/>
        <v>162554.00999999975</v>
      </c>
      <c r="S23" s="38">
        <f t="shared" si="6"/>
        <v>137471.18999999992</v>
      </c>
      <c r="T23" s="28"/>
      <c r="U23" s="28"/>
      <c r="V23" s="28"/>
      <c r="AA23" s="8"/>
    </row>
    <row r="24" spans="1:27" hidden="1" outlineLevel="1" collapsed="1" x14ac:dyDescent="0.25">
      <c r="A24" s="9"/>
      <c r="B24" s="39" t="s">
        <v>41</v>
      </c>
      <c r="C24" s="40">
        <f t="shared" ref="C24:V24" si="7">IFERROR(C13/C5,0)</f>
        <v>2431.1745760869539</v>
      </c>
      <c r="D24" s="41">
        <f t="shared" si="7"/>
        <v>1848.7098192771036</v>
      </c>
      <c r="E24" s="41">
        <f t="shared" si="7"/>
        <v>0</v>
      </c>
      <c r="F24" s="41">
        <f t="shared" si="7"/>
        <v>0</v>
      </c>
      <c r="G24" s="41">
        <f t="shared" si="7"/>
        <v>602.45818181818458</v>
      </c>
      <c r="H24" s="41">
        <f t="shared" si="7"/>
        <v>2701.1598765432086</v>
      </c>
      <c r="I24" s="41">
        <f t="shared" si="7"/>
        <v>2131.6562745097976</v>
      </c>
      <c r="J24" s="41">
        <f t="shared" si="7"/>
        <v>2455.2990217391261</v>
      </c>
      <c r="K24" s="41">
        <f t="shared" si="7"/>
        <v>1798.4205000000006</v>
      </c>
      <c r="L24" s="41">
        <f t="shared" si="7"/>
        <v>1854.5786440678032</v>
      </c>
      <c r="M24" s="41">
        <f t="shared" si="7"/>
        <v>2227.1824999999958</v>
      </c>
      <c r="N24" s="41">
        <f t="shared" si="7"/>
        <v>3193.8313793103412</v>
      </c>
      <c r="O24" s="41">
        <f t="shared" si="7"/>
        <v>2984.577908496738</v>
      </c>
      <c r="P24" s="41">
        <f t="shared" si="7"/>
        <v>2412.4790384615253</v>
      </c>
      <c r="Q24" s="41">
        <f t="shared" si="7"/>
        <v>3835.848701298688</v>
      </c>
      <c r="R24" s="41">
        <f t="shared" si="7"/>
        <v>2582.7374999999979</v>
      </c>
      <c r="S24" s="42">
        <f t="shared" si="7"/>
        <v>2374.1184210526317</v>
      </c>
      <c r="T24" s="29">
        <f t="shared" si="7"/>
        <v>0</v>
      </c>
      <c r="U24" s="38">
        <f t="shared" si="7"/>
        <v>0</v>
      </c>
      <c r="V24" s="38">
        <f t="shared" si="7"/>
        <v>0</v>
      </c>
      <c r="AA24" s="8"/>
    </row>
    <row r="25" spans="1:27" hidden="1" outlineLevel="1" x14ac:dyDescent="0.25">
      <c r="A25" s="9"/>
      <c r="B25" s="43" t="s">
        <v>42</v>
      </c>
      <c r="C25" s="31">
        <f t="shared" ref="C25:V25" si="8">IFERROR(C15/C6,0)</f>
        <v>4462.458965517244</v>
      </c>
      <c r="D25" s="44">
        <f t="shared" si="8"/>
        <v>767.42800000000193</v>
      </c>
      <c r="E25" s="44">
        <f t="shared" si="8"/>
        <v>0</v>
      </c>
      <c r="F25" s="44">
        <f t="shared" si="8"/>
        <v>0</v>
      </c>
      <c r="G25" s="44">
        <f t="shared" si="8"/>
        <v>0</v>
      </c>
      <c r="H25" s="44">
        <f t="shared" si="8"/>
        <v>8990.19</v>
      </c>
      <c r="I25" s="44">
        <f t="shared" si="8"/>
        <v>2106.1833333333266</v>
      </c>
      <c r="J25" s="44">
        <f t="shared" si="8"/>
        <v>3102.7649999999949</v>
      </c>
      <c r="K25" s="44">
        <f t="shared" si="8"/>
        <v>-1005.025</v>
      </c>
      <c r="L25" s="44">
        <f t="shared" si="8"/>
        <v>-86.472500000003251</v>
      </c>
      <c r="M25" s="44">
        <f t="shared" si="8"/>
        <v>3127.77</v>
      </c>
      <c r="N25" s="44">
        <f t="shared" si="8"/>
        <v>0</v>
      </c>
      <c r="O25" s="44">
        <f t="shared" si="8"/>
        <v>0</v>
      </c>
      <c r="P25" s="44">
        <f t="shared" si="8"/>
        <v>14599.000000000016</v>
      </c>
      <c r="Q25" s="44">
        <f t="shared" si="8"/>
        <v>4249.55</v>
      </c>
      <c r="R25" s="44">
        <f t="shared" si="8"/>
        <v>2772.25</v>
      </c>
      <c r="S25" s="45">
        <f t="shared" si="8"/>
        <v>0</v>
      </c>
      <c r="T25" s="32">
        <f t="shared" si="8"/>
        <v>0</v>
      </c>
      <c r="U25" s="44">
        <f t="shared" si="8"/>
        <v>0</v>
      </c>
      <c r="V25" s="44">
        <f t="shared" si="8"/>
        <v>0</v>
      </c>
      <c r="AA25" s="8"/>
    </row>
    <row r="26" spans="1:27" hidden="1" outlineLevel="1" x14ac:dyDescent="0.25">
      <c r="A26" s="9"/>
      <c r="B26" s="43" t="s">
        <v>43</v>
      </c>
      <c r="C26" s="31">
        <f t="shared" ref="C26:V26" si="9">IFERROR(C16/C5,0)</f>
        <v>1242.7910108695639</v>
      </c>
      <c r="D26" s="44">
        <f t="shared" si="9"/>
        <v>1152.5931325301203</v>
      </c>
      <c r="E26" s="44">
        <f t="shared" si="9"/>
        <v>0</v>
      </c>
      <c r="F26" s="44">
        <f t="shared" si="9"/>
        <v>0</v>
      </c>
      <c r="G26" s="44">
        <f t="shared" si="9"/>
        <v>1144.7687878787849</v>
      </c>
      <c r="H26" s="44">
        <f t="shared" si="9"/>
        <v>952.96345679012234</v>
      </c>
      <c r="I26" s="44">
        <f t="shared" si="9"/>
        <v>1006.3723529411765</v>
      </c>
      <c r="J26" s="44">
        <f t="shared" si="9"/>
        <v>1140.8392391304239</v>
      </c>
      <c r="K26" s="44">
        <f t="shared" si="9"/>
        <v>738.39699999999743</v>
      </c>
      <c r="L26" s="44">
        <f t="shared" si="9"/>
        <v>1547.6977966101695</v>
      </c>
      <c r="M26" s="44">
        <f t="shared" si="9"/>
        <v>1238.0770454545454</v>
      </c>
      <c r="N26" s="44">
        <f t="shared" si="9"/>
        <v>1297.3727586206896</v>
      </c>
      <c r="O26" s="44">
        <f t="shared" si="9"/>
        <v>1394.9212418300654</v>
      </c>
      <c r="P26" s="44">
        <f t="shared" si="9"/>
        <v>1567.0223076923078</v>
      </c>
      <c r="Q26" s="44">
        <f t="shared" si="9"/>
        <v>1158.7333766233767</v>
      </c>
      <c r="R26" s="44">
        <f t="shared" si="9"/>
        <v>1672.0562499999999</v>
      </c>
      <c r="S26" s="45">
        <f t="shared" si="9"/>
        <v>2293.6042105263159</v>
      </c>
      <c r="T26" s="35">
        <f t="shared" si="9"/>
        <v>0</v>
      </c>
      <c r="U26" s="46">
        <f t="shared" si="9"/>
        <v>0</v>
      </c>
      <c r="V26" s="46">
        <f t="shared" si="9"/>
        <v>0</v>
      </c>
      <c r="AA26" s="8"/>
    </row>
    <row r="27" spans="1:27" ht="15.75" hidden="1" outlineLevel="1" thickBot="1" x14ac:dyDescent="0.3">
      <c r="A27" s="9"/>
      <c r="B27" s="47" t="s">
        <v>44</v>
      </c>
      <c r="C27" s="48">
        <f>SUM(C24,C26)</f>
        <v>3673.9655869565177</v>
      </c>
      <c r="D27" s="49">
        <f t="shared" ref="D27:V27" si="10">SUM(D24,D26)</f>
        <v>3001.302951807224</v>
      </c>
      <c r="E27" s="49">
        <f t="shared" si="10"/>
        <v>0</v>
      </c>
      <c r="F27" s="49">
        <f t="shared" si="10"/>
        <v>0</v>
      </c>
      <c r="G27" s="49">
        <f t="shared" si="10"/>
        <v>1747.2269696969695</v>
      </c>
      <c r="H27" s="49">
        <f t="shared" si="10"/>
        <v>3654.1233333333312</v>
      </c>
      <c r="I27" s="49">
        <f t="shared" si="10"/>
        <v>3138.028627450974</v>
      </c>
      <c r="J27" s="49">
        <f t="shared" si="10"/>
        <v>3596.1382608695503</v>
      </c>
      <c r="K27" s="49">
        <f t="shared" si="10"/>
        <v>2536.8174999999983</v>
      </c>
      <c r="L27" s="49">
        <f t="shared" si="10"/>
        <v>3402.2764406779725</v>
      </c>
      <c r="M27" s="49">
        <f t="shared" si="10"/>
        <v>3465.2595454545412</v>
      </c>
      <c r="N27" s="49">
        <f t="shared" si="10"/>
        <v>4491.2041379310303</v>
      </c>
      <c r="O27" s="49">
        <f t="shared" si="10"/>
        <v>4379.4991503268029</v>
      </c>
      <c r="P27" s="49">
        <f t="shared" si="10"/>
        <v>3979.5013461538329</v>
      </c>
      <c r="Q27" s="49">
        <f t="shared" si="10"/>
        <v>4994.5820779220649</v>
      </c>
      <c r="R27" s="49">
        <f t="shared" si="10"/>
        <v>4254.793749999998</v>
      </c>
      <c r="S27" s="50">
        <f t="shared" si="10"/>
        <v>4667.7226315789476</v>
      </c>
      <c r="T27" s="51">
        <f t="shared" si="10"/>
        <v>0</v>
      </c>
      <c r="U27" s="37">
        <f t="shared" si="10"/>
        <v>0</v>
      </c>
      <c r="V27" s="37">
        <f t="shared" si="10"/>
        <v>0</v>
      </c>
      <c r="AA27" s="8"/>
    </row>
    <row r="28" spans="1:27" collapsed="1" x14ac:dyDescent="0.25">
      <c r="A28" s="9"/>
      <c r="B28" s="52" t="s">
        <v>45</v>
      </c>
      <c r="C28" s="53">
        <f t="shared" ref="C28:V31" si="11">IFERROR(C17/C7,0)</f>
        <v>3759.7666069546849</v>
      </c>
      <c r="D28" s="54">
        <f t="shared" si="11"/>
        <v>3043.3676608187079</v>
      </c>
      <c r="E28" s="54">
        <f t="shared" si="11"/>
        <v>0</v>
      </c>
      <c r="F28" s="54">
        <f t="shared" si="11"/>
        <v>0</v>
      </c>
      <c r="G28" s="54">
        <f t="shared" si="11"/>
        <v>1897.2572727272725</v>
      </c>
      <c r="H28" s="54">
        <f t="shared" si="11"/>
        <v>3746.1856097560949</v>
      </c>
      <c r="I28" s="54">
        <f t="shared" si="11"/>
        <v>3257.7409259259198</v>
      </c>
      <c r="J28" s="54">
        <f t="shared" si="11"/>
        <v>3681.2924468084957</v>
      </c>
      <c r="K28" s="54">
        <f t="shared" si="11"/>
        <v>2368.1583333333315</v>
      </c>
      <c r="L28" s="54">
        <f t="shared" si="11"/>
        <v>3291.7209523809588</v>
      </c>
      <c r="M28" s="54">
        <f t="shared" si="11"/>
        <v>3480.8758695652132</v>
      </c>
      <c r="N28" s="54">
        <f t="shared" si="11"/>
        <v>4560.1006896551689</v>
      </c>
      <c r="O28" s="54">
        <f t="shared" si="11"/>
        <v>4379.4991503268038</v>
      </c>
      <c r="P28" s="54">
        <f t="shared" si="11"/>
        <v>5079.3915517241276</v>
      </c>
      <c r="Q28" s="54">
        <f t="shared" si="11"/>
        <v>5030.8402564102435</v>
      </c>
      <c r="R28" s="54">
        <f t="shared" si="11"/>
        <v>4114.1407407407396</v>
      </c>
      <c r="S28" s="55">
        <f t="shared" si="11"/>
        <v>4657.1963157894743</v>
      </c>
      <c r="T28" s="56">
        <f t="shared" si="11"/>
        <v>0</v>
      </c>
      <c r="U28" s="36">
        <f t="shared" si="11"/>
        <v>0</v>
      </c>
      <c r="V28" s="36">
        <f t="shared" si="11"/>
        <v>0</v>
      </c>
      <c r="AA28" s="8"/>
    </row>
    <row r="29" spans="1:27" hidden="1" outlineLevel="1" x14ac:dyDescent="0.25">
      <c r="A29" s="9"/>
      <c r="B29" s="43" t="s">
        <v>46</v>
      </c>
      <c r="C29" s="31">
        <f t="shared" si="11"/>
        <v>1933.4217134831454</v>
      </c>
      <c r="D29" s="44">
        <f t="shared" si="11"/>
        <v>2004.7014583333312</v>
      </c>
      <c r="E29" s="44">
        <f t="shared" si="11"/>
        <v>0</v>
      </c>
      <c r="F29" s="44">
        <f t="shared" si="11"/>
        <v>0</v>
      </c>
      <c r="G29" s="44">
        <f t="shared" si="11"/>
        <v>1791.023888888888</v>
      </c>
      <c r="H29" s="44">
        <f t="shared" si="11"/>
        <v>2246.4055555555551</v>
      </c>
      <c r="I29" s="44">
        <f t="shared" si="11"/>
        <v>2694.2226666666666</v>
      </c>
      <c r="J29" s="44">
        <f t="shared" si="11"/>
        <v>962.37470588235669</v>
      </c>
      <c r="K29" s="44">
        <f t="shared" si="11"/>
        <v>77.247999999999791</v>
      </c>
      <c r="L29" s="44">
        <f t="shared" si="11"/>
        <v>1819.4945161290357</v>
      </c>
      <c r="M29" s="44">
        <f t="shared" si="11"/>
        <v>1507.2003448275857</v>
      </c>
      <c r="N29" s="44">
        <f t="shared" si="11"/>
        <v>1797.2949999999994</v>
      </c>
      <c r="O29" s="44">
        <f t="shared" si="11"/>
        <v>1680.6208163265285</v>
      </c>
      <c r="P29" s="44">
        <f t="shared" si="11"/>
        <v>3012.7134782608696</v>
      </c>
      <c r="Q29" s="44">
        <f t="shared" si="11"/>
        <v>2984.3346341463384</v>
      </c>
      <c r="R29" s="44">
        <f t="shared" si="11"/>
        <v>4156.7639999999783</v>
      </c>
      <c r="S29" s="45">
        <f t="shared" si="11"/>
        <v>1211.0728571428524</v>
      </c>
      <c r="T29" s="32">
        <f>IFERROR(T18/T5,0)</f>
        <v>0</v>
      </c>
      <c r="U29" s="44">
        <f>IFERROR(U18/U5,0)</f>
        <v>0</v>
      </c>
      <c r="V29" s="44">
        <f>IFERROR(V18/V5,0)</f>
        <v>0</v>
      </c>
      <c r="AA29" s="8"/>
    </row>
    <row r="30" spans="1:27" hidden="1" outlineLevel="1" x14ac:dyDescent="0.25">
      <c r="A30" s="9"/>
      <c r="B30" s="43" t="s">
        <v>47</v>
      </c>
      <c r="C30" s="31">
        <f>IFERROR(C19/C9,0)</f>
        <v>0</v>
      </c>
      <c r="D30" s="44">
        <f t="shared" si="11"/>
        <v>0</v>
      </c>
      <c r="E30" s="44">
        <f t="shared" si="11"/>
        <v>0</v>
      </c>
      <c r="F30" s="44">
        <f t="shared" si="11"/>
        <v>0</v>
      </c>
      <c r="G30" s="44">
        <f t="shared" si="11"/>
        <v>0</v>
      </c>
      <c r="H30" s="44">
        <f t="shared" si="11"/>
        <v>0</v>
      </c>
      <c r="I30" s="44">
        <f t="shared" si="11"/>
        <v>0</v>
      </c>
      <c r="J30" s="44">
        <f t="shared" si="11"/>
        <v>0</v>
      </c>
      <c r="K30" s="44">
        <f t="shared" si="11"/>
        <v>0</v>
      </c>
      <c r="L30" s="44">
        <f t="shared" si="11"/>
        <v>0</v>
      </c>
      <c r="M30" s="44">
        <f t="shared" si="11"/>
        <v>0</v>
      </c>
      <c r="N30" s="44">
        <f t="shared" si="11"/>
        <v>0</v>
      </c>
      <c r="O30" s="44">
        <f t="shared" si="11"/>
        <v>0</v>
      </c>
      <c r="P30" s="44">
        <f t="shared" si="11"/>
        <v>0</v>
      </c>
      <c r="Q30" s="44">
        <f t="shared" si="11"/>
        <v>0</v>
      </c>
      <c r="R30" s="44">
        <f t="shared" si="11"/>
        <v>0</v>
      </c>
      <c r="S30" s="45">
        <f t="shared" si="11"/>
        <v>0</v>
      </c>
      <c r="T30" s="32">
        <f t="shared" si="11"/>
        <v>0</v>
      </c>
      <c r="U30" s="44">
        <f t="shared" si="11"/>
        <v>0</v>
      </c>
      <c r="V30" s="44">
        <f t="shared" si="11"/>
        <v>0</v>
      </c>
      <c r="AA30" s="8"/>
    </row>
    <row r="31" spans="1:27" hidden="1" outlineLevel="1" x14ac:dyDescent="0.25">
      <c r="A31" s="9"/>
      <c r="B31" s="43" t="s">
        <v>48</v>
      </c>
      <c r="C31" s="31">
        <f>IFERROR(C20/C10,0)</f>
        <v>664.19891414141318</v>
      </c>
      <c r="D31" s="44">
        <f t="shared" si="11"/>
        <v>724.45285714285581</v>
      </c>
      <c r="E31" s="44">
        <f t="shared" si="11"/>
        <v>0</v>
      </c>
      <c r="F31" s="44">
        <f t="shared" si="11"/>
        <v>0</v>
      </c>
      <c r="G31" s="44">
        <f t="shared" si="11"/>
        <v>1387.7742857142841</v>
      </c>
      <c r="H31" s="44">
        <f t="shared" si="11"/>
        <v>818.56185185184813</v>
      </c>
      <c r="I31" s="44">
        <f t="shared" si="11"/>
        <v>182.21538461538364</v>
      </c>
      <c r="J31" s="44">
        <f t="shared" si="11"/>
        <v>-97.691379310344146</v>
      </c>
      <c r="K31" s="44">
        <f t="shared" si="11"/>
        <v>-49.291666666666664</v>
      </c>
      <c r="L31" s="44">
        <f t="shared" si="11"/>
        <v>266.36884615384349</v>
      </c>
      <c r="M31" s="44">
        <f t="shared" si="11"/>
        <v>714.32565217390868</v>
      </c>
      <c r="N31" s="44">
        <f t="shared" si="11"/>
        <v>577.12549999999999</v>
      </c>
      <c r="O31" s="44">
        <f t="shared" si="11"/>
        <v>1683.5797872340424</v>
      </c>
      <c r="P31" s="44">
        <f t="shared" si="11"/>
        <v>1550.916923076923</v>
      </c>
      <c r="Q31" s="44">
        <f t="shared" si="11"/>
        <v>571.55124999999998</v>
      </c>
      <c r="R31" s="44">
        <f t="shared" si="11"/>
        <v>756.30521739130438</v>
      </c>
      <c r="S31" s="45">
        <f t="shared" si="11"/>
        <v>0</v>
      </c>
      <c r="T31" s="32">
        <f t="shared" si="11"/>
        <v>0</v>
      </c>
      <c r="U31" s="44">
        <f t="shared" si="11"/>
        <v>0</v>
      </c>
      <c r="V31" s="44">
        <f t="shared" si="11"/>
        <v>0</v>
      </c>
      <c r="AA31" s="8"/>
    </row>
    <row r="32" spans="1:27" hidden="1" outlineLevel="1" x14ac:dyDescent="0.25">
      <c r="A32" s="9"/>
      <c r="B32" s="43" t="s">
        <v>49</v>
      </c>
      <c r="C32" s="31">
        <f t="shared" ref="C32:V32" si="12">IFERROR(C21/C8,0)</f>
        <v>1339.5974719101105</v>
      </c>
      <c r="D32" s="44">
        <f t="shared" si="12"/>
        <v>1133.658749999998</v>
      </c>
      <c r="E32" s="44">
        <f t="shared" si="12"/>
        <v>0</v>
      </c>
      <c r="F32" s="44">
        <f t="shared" si="12"/>
        <v>0</v>
      </c>
      <c r="G32" s="44">
        <f t="shared" si="12"/>
        <v>1082.5550000000001</v>
      </c>
      <c r="H32" s="44">
        <f t="shared" si="12"/>
        <v>1524.8683333333277</v>
      </c>
      <c r="I32" s="44">
        <f t="shared" si="12"/>
        <v>2069.1373333333268</v>
      </c>
      <c r="J32" s="44">
        <f t="shared" si="12"/>
        <v>1827.9444117647058</v>
      </c>
      <c r="K32" s="44">
        <f t="shared" si="12"/>
        <v>1027.973</v>
      </c>
      <c r="L32" s="44">
        <f t="shared" si="12"/>
        <v>1380.2245161290323</v>
      </c>
      <c r="M32" s="44">
        <f t="shared" si="12"/>
        <v>1219.4344827586206</v>
      </c>
      <c r="N32" s="44">
        <f t="shared" si="12"/>
        <v>1758.6907142857142</v>
      </c>
      <c r="O32" s="44">
        <f t="shared" si="12"/>
        <v>953.40367346938774</v>
      </c>
      <c r="P32" s="44">
        <f t="shared" si="12"/>
        <v>1384.4126086956478</v>
      </c>
      <c r="Q32" s="44">
        <f t="shared" si="12"/>
        <v>1314.7502439024365</v>
      </c>
      <c r="R32" s="44">
        <f t="shared" si="12"/>
        <v>2658.67399999998</v>
      </c>
      <c r="S32" s="45">
        <f t="shared" si="12"/>
        <v>1121.5204761904763</v>
      </c>
      <c r="T32" s="32">
        <f t="shared" si="12"/>
        <v>0</v>
      </c>
      <c r="U32" s="44">
        <f t="shared" si="12"/>
        <v>0</v>
      </c>
      <c r="V32" s="44">
        <f t="shared" si="12"/>
        <v>0</v>
      </c>
      <c r="AA32" s="8"/>
    </row>
    <row r="33" spans="1:27" hidden="1" outlineLevel="1" x14ac:dyDescent="0.25">
      <c r="A33" s="9"/>
      <c r="B33" s="57" t="s">
        <v>50</v>
      </c>
      <c r="C33" s="34">
        <f>SUM(C29,C32)</f>
        <v>3273.0191853932556</v>
      </c>
      <c r="D33" s="46">
        <f t="shared" ref="D33:V33" si="13">SUM(D29,D32)</f>
        <v>3138.360208333329</v>
      </c>
      <c r="E33" s="46">
        <f t="shared" si="13"/>
        <v>0</v>
      </c>
      <c r="F33" s="46">
        <f t="shared" si="13"/>
        <v>0</v>
      </c>
      <c r="G33" s="46">
        <f t="shared" si="13"/>
        <v>2873.5788888888883</v>
      </c>
      <c r="H33" s="46">
        <f t="shared" si="13"/>
        <v>3771.2738888888825</v>
      </c>
      <c r="I33" s="46">
        <f t="shared" si="13"/>
        <v>4763.3599999999933</v>
      </c>
      <c r="J33" s="46">
        <f t="shared" si="13"/>
        <v>2790.3191176470627</v>
      </c>
      <c r="K33" s="46">
        <f t="shared" si="13"/>
        <v>1105.2209999999998</v>
      </c>
      <c r="L33" s="46">
        <f t="shared" si="13"/>
        <v>3199.7190322580682</v>
      </c>
      <c r="M33" s="46">
        <f t="shared" si="13"/>
        <v>2726.6348275862065</v>
      </c>
      <c r="N33" s="46">
        <f t="shared" si="13"/>
        <v>3555.9857142857136</v>
      </c>
      <c r="O33" s="46">
        <f t="shared" si="13"/>
        <v>2634.0244897959165</v>
      </c>
      <c r="P33" s="46">
        <f t="shared" si="13"/>
        <v>4397.1260869565176</v>
      </c>
      <c r="Q33" s="46">
        <f t="shared" si="13"/>
        <v>4299.084878048775</v>
      </c>
      <c r="R33" s="46">
        <f t="shared" si="13"/>
        <v>6815.4379999999583</v>
      </c>
      <c r="S33" s="58">
        <f t="shared" si="13"/>
        <v>2332.5933333333287</v>
      </c>
      <c r="T33" s="51">
        <f t="shared" si="13"/>
        <v>0</v>
      </c>
      <c r="U33" s="37">
        <f t="shared" si="13"/>
        <v>0</v>
      </c>
      <c r="V33" s="36">
        <f t="shared" si="13"/>
        <v>0</v>
      </c>
      <c r="AA33" s="8"/>
    </row>
    <row r="34" spans="1:27" collapsed="1" x14ac:dyDescent="0.25">
      <c r="A34" s="9"/>
      <c r="B34" s="59" t="s">
        <v>51</v>
      </c>
      <c r="C34" s="36">
        <f>IFERROR(C22/C11,0)</f>
        <v>1899.2255319148919</v>
      </c>
      <c r="D34" s="37">
        <f t="shared" ref="D34:S35" si="14">IFERROR(D22/D11,0)</f>
        <v>1706.3812711864382</v>
      </c>
      <c r="E34" s="37">
        <f t="shared" si="14"/>
        <v>0</v>
      </c>
      <c r="F34" s="37">
        <f t="shared" si="14"/>
        <v>0</v>
      </c>
      <c r="G34" s="37">
        <f t="shared" si="14"/>
        <v>2457.5535999999988</v>
      </c>
      <c r="H34" s="37">
        <f t="shared" si="14"/>
        <v>1999.6466666666622</v>
      </c>
      <c r="I34" s="37">
        <f t="shared" si="14"/>
        <v>1207.8447761194006</v>
      </c>
      <c r="J34" s="37">
        <f t="shared" si="14"/>
        <v>1460.9174603174627</v>
      </c>
      <c r="K34" s="37">
        <f t="shared" si="14"/>
        <v>475.48681818181808</v>
      </c>
      <c r="L34" s="37">
        <f t="shared" si="14"/>
        <v>1861.6996491228076</v>
      </c>
      <c r="M34" s="37">
        <f t="shared" si="14"/>
        <v>1836.5749999999975</v>
      </c>
      <c r="N34" s="37">
        <f t="shared" si="14"/>
        <v>1803.7149999999997</v>
      </c>
      <c r="O34" s="37">
        <f t="shared" si="14"/>
        <v>2168.7026041666654</v>
      </c>
      <c r="P34" s="37">
        <f t="shared" si="14"/>
        <v>3369.3283333333306</v>
      </c>
      <c r="Q34" s="37">
        <f t="shared" si="14"/>
        <v>2458.3275308641946</v>
      </c>
      <c r="R34" s="37">
        <f t="shared" si="14"/>
        <v>1838.2932142857069</v>
      </c>
      <c r="S34" s="60">
        <f t="shared" si="14"/>
        <v>1749.4449999999965</v>
      </c>
      <c r="T34" s="56">
        <f>IFERROR(T22/T11,0)</f>
        <v>0</v>
      </c>
      <c r="U34" s="36">
        <f>IFERROR(U22/U11,0)</f>
        <v>0</v>
      </c>
      <c r="V34" s="36">
        <f>IFERROR(V22/V11,0)</f>
        <v>0</v>
      </c>
      <c r="AA34" s="8"/>
    </row>
    <row r="35" spans="1:27" ht="15.75" thickBot="1" x14ac:dyDescent="0.3">
      <c r="A35" s="9"/>
      <c r="B35" s="61" t="s">
        <v>52</v>
      </c>
      <c r="C35" s="62">
        <f>IFERROR(C23/C12,0)</f>
        <v>2937.2346325690737</v>
      </c>
      <c r="D35" s="62">
        <f t="shared" si="14"/>
        <v>2497.470103806224</v>
      </c>
      <c r="E35" s="62">
        <f t="shared" si="14"/>
        <v>0</v>
      </c>
      <c r="F35" s="62">
        <f t="shared" si="14"/>
        <v>0</v>
      </c>
      <c r="G35" s="62">
        <f t="shared" si="14"/>
        <v>2138.7643103448268</v>
      </c>
      <c r="H35" s="62">
        <f t="shared" si="14"/>
        <v>3127.3332283464533</v>
      </c>
      <c r="I35" s="62">
        <f t="shared" si="14"/>
        <v>2122.6744628099132</v>
      </c>
      <c r="J35" s="62">
        <f t="shared" si="14"/>
        <v>2790.3139490445783</v>
      </c>
      <c r="K35" s="62">
        <f t="shared" si="14"/>
        <v>1717.5524999999986</v>
      </c>
      <c r="L35" s="62">
        <f t="shared" si="14"/>
        <v>2612.4608333333367</v>
      </c>
      <c r="M35" s="62">
        <f t="shared" si="14"/>
        <v>2608.3896938775479</v>
      </c>
      <c r="N35" s="62">
        <f t="shared" si="14"/>
        <v>3072.5274603174585</v>
      </c>
      <c r="O35" s="62">
        <f t="shared" si="14"/>
        <v>3527.1438554216898</v>
      </c>
      <c r="P35" s="62">
        <f t="shared" si="14"/>
        <v>4424.4737234042477</v>
      </c>
      <c r="Q35" s="62">
        <f t="shared" si="14"/>
        <v>3720.3149056603697</v>
      </c>
      <c r="R35" s="62">
        <f t="shared" si="14"/>
        <v>2955.5274545454499</v>
      </c>
      <c r="S35" s="63">
        <f t="shared" si="14"/>
        <v>2924.9189361702111</v>
      </c>
      <c r="T35" s="7"/>
      <c r="U35" s="7"/>
      <c r="V35" s="7"/>
      <c r="AA35" s="8"/>
    </row>
    <row r="36" spans="1:27" ht="5.25" customHeight="1" x14ac:dyDescent="0.25"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7" x14ac:dyDescent="0.25">
      <c r="B37" s="68">
        <v>2024</v>
      </c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 t="s">
        <v>18</v>
      </c>
      <c r="U37" s="5" t="s">
        <v>19</v>
      </c>
      <c r="V37" s="5" t="s">
        <v>20</v>
      </c>
    </row>
    <row r="38" spans="1:27" hidden="1" outlineLevel="1" x14ac:dyDescent="0.25">
      <c r="A38" s="9"/>
      <c r="B38" s="13" t="s">
        <v>21</v>
      </c>
      <c r="C38" s="11">
        <f>+SUM(D38:V38)</f>
        <v>772</v>
      </c>
      <c r="D38" s="12">
        <v>141</v>
      </c>
      <c r="E38" s="12">
        <v>7</v>
      </c>
      <c r="F38" s="12">
        <v>0</v>
      </c>
      <c r="G38" s="12">
        <v>30</v>
      </c>
      <c r="H38" s="12">
        <v>71</v>
      </c>
      <c r="I38" s="12">
        <v>50</v>
      </c>
      <c r="J38" s="12">
        <v>48</v>
      </c>
      <c r="K38" s="12">
        <v>29</v>
      </c>
      <c r="L38" s="12">
        <v>40</v>
      </c>
      <c r="M38" s="12">
        <v>35</v>
      </c>
      <c r="N38" s="12">
        <v>23</v>
      </c>
      <c r="O38" s="12">
        <v>126</v>
      </c>
      <c r="P38" s="12">
        <v>60</v>
      </c>
      <c r="Q38" s="12">
        <v>74</v>
      </c>
      <c r="R38" s="12">
        <v>23</v>
      </c>
      <c r="S38" s="12">
        <v>15</v>
      </c>
      <c r="T38" s="12"/>
      <c r="U38" s="12"/>
      <c r="V38" s="12"/>
      <c r="AA38" s="8"/>
    </row>
    <row r="39" spans="1:27" hidden="1" outlineLevel="1" x14ac:dyDescent="0.25">
      <c r="A39" s="9"/>
      <c r="B39" s="13" t="s">
        <v>22</v>
      </c>
      <c r="C39" s="14">
        <f>+SUM(D39:V39)</f>
        <v>44</v>
      </c>
      <c r="D39" s="15">
        <v>3</v>
      </c>
      <c r="E39" s="15">
        <v>0</v>
      </c>
      <c r="F39" s="15">
        <v>0</v>
      </c>
      <c r="G39" s="15">
        <v>0</v>
      </c>
      <c r="H39" s="15">
        <v>0</v>
      </c>
      <c r="I39" s="15">
        <v>2</v>
      </c>
      <c r="J39" s="15">
        <v>10</v>
      </c>
      <c r="K39" s="15">
        <v>4</v>
      </c>
      <c r="L39" s="15">
        <v>4</v>
      </c>
      <c r="M39" s="15">
        <v>0</v>
      </c>
      <c r="N39" s="15">
        <v>1</v>
      </c>
      <c r="O39" s="15">
        <v>0</v>
      </c>
      <c r="P39" s="15">
        <v>13</v>
      </c>
      <c r="Q39" s="15">
        <v>0</v>
      </c>
      <c r="R39" s="15">
        <v>6</v>
      </c>
      <c r="S39" s="15">
        <v>1</v>
      </c>
      <c r="T39" s="15"/>
      <c r="U39" s="15"/>
      <c r="V39" s="15"/>
      <c r="AA39" s="8"/>
    </row>
    <row r="40" spans="1:27" collapsed="1" x14ac:dyDescent="0.25">
      <c r="A40" s="9"/>
      <c r="B40" s="16" t="s">
        <v>23</v>
      </c>
      <c r="C40" s="17">
        <f>SUM(C38:C39)</f>
        <v>816</v>
      </c>
      <c r="D40" s="18">
        <f t="shared" ref="D40:S40" si="15">SUM(D38:D39)</f>
        <v>144</v>
      </c>
      <c r="E40" s="18">
        <f t="shared" si="15"/>
        <v>7</v>
      </c>
      <c r="F40" s="18">
        <f t="shared" si="15"/>
        <v>0</v>
      </c>
      <c r="G40" s="18">
        <f t="shared" si="15"/>
        <v>30</v>
      </c>
      <c r="H40" s="18">
        <f t="shared" si="15"/>
        <v>71</v>
      </c>
      <c r="I40" s="18">
        <f t="shared" si="15"/>
        <v>52</v>
      </c>
      <c r="J40" s="18">
        <f t="shared" si="15"/>
        <v>58</v>
      </c>
      <c r="K40" s="18">
        <f t="shared" si="15"/>
        <v>33</v>
      </c>
      <c r="L40" s="18">
        <f t="shared" si="15"/>
        <v>44</v>
      </c>
      <c r="M40" s="18">
        <f t="shared" si="15"/>
        <v>35</v>
      </c>
      <c r="N40" s="18">
        <f t="shared" si="15"/>
        <v>24</v>
      </c>
      <c r="O40" s="18">
        <f t="shared" si="15"/>
        <v>126</v>
      </c>
      <c r="P40" s="18">
        <f t="shared" si="15"/>
        <v>73</v>
      </c>
      <c r="Q40" s="18">
        <f t="shared" si="15"/>
        <v>74</v>
      </c>
      <c r="R40" s="18">
        <f t="shared" si="15"/>
        <v>29</v>
      </c>
      <c r="S40" s="18">
        <f t="shared" si="15"/>
        <v>16</v>
      </c>
      <c r="T40" s="19">
        <f>SUM(T38:T39)</f>
        <v>0</v>
      </c>
      <c r="U40" s="19">
        <f>SUM(U38:U39)</f>
        <v>0</v>
      </c>
      <c r="V40" s="19">
        <f>SUM(V38:V39)</f>
        <v>0</v>
      </c>
      <c r="AA40" s="8"/>
    </row>
    <row r="41" spans="1:27" ht="14.25" hidden="1" customHeight="1" outlineLevel="1" x14ac:dyDescent="0.25">
      <c r="A41" s="9"/>
      <c r="B41" s="10" t="s">
        <v>24</v>
      </c>
      <c r="C41" s="11">
        <f>+SUM(D41:V41)</f>
        <v>353</v>
      </c>
      <c r="D41" s="12">
        <v>44</v>
      </c>
      <c r="E41" s="12">
        <v>7</v>
      </c>
      <c r="F41" s="12">
        <v>0</v>
      </c>
      <c r="G41" s="12">
        <v>15</v>
      </c>
      <c r="H41" s="12">
        <v>26</v>
      </c>
      <c r="I41" s="12">
        <v>43</v>
      </c>
      <c r="J41" s="12">
        <v>20</v>
      </c>
      <c r="K41" s="12">
        <v>6</v>
      </c>
      <c r="L41" s="12">
        <v>29</v>
      </c>
      <c r="M41" s="12">
        <v>32</v>
      </c>
      <c r="N41" s="12">
        <v>14</v>
      </c>
      <c r="O41" s="12">
        <v>36</v>
      </c>
      <c r="P41" s="12">
        <v>26</v>
      </c>
      <c r="Q41" s="12">
        <v>24</v>
      </c>
      <c r="R41" s="12">
        <v>8</v>
      </c>
      <c r="S41" s="12">
        <v>23</v>
      </c>
      <c r="T41" s="20"/>
      <c r="U41" s="20"/>
      <c r="V41" s="20"/>
      <c r="AA41" s="8"/>
    </row>
    <row r="42" spans="1:27" hidden="1" outlineLevel="1" x14ac:dyDescent="0.25">
      <c r="A42" s="9"/>
      <c r="B42" s="13" t="s">
        <v>25</v>
      </c>
      <c r="C42" s="14">
        <f>+SUM(D42:V42)</f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21"/>
      <c r="U42" s="21"/>
      <c r="V42" s="21"/>
      <c r="AA42" s="8"/>
    </row>
    <row r="43" spans="1:27" hidden="1" outlineLevel="1" x14ac:dyDescent="0.25">
      <c r="A43" s="9"/>
      <c r="B43" s="13" t="s">
        <v>26</v>
      </c>
      <c r="C43" s="22">
        <f>+SUM(D43:V43)</f>
        <v>369</v>
      </c>
      <c r="D43" s="23">
        <v>60</v>
      </c>
      <c r="E43" s="23">
        <v>6</v>
      </c>
      <c r="F43" s="23">
        <v>0</v>
      </c>
      <c r="G43" s="23">
        <v>9</v>
      </c>
      <c r="H43" s="23">
        <v>22</v>
      </c>
      <c r="I43" s="23">
        <v>23</v>
      </c>
      <c r="J43" s="23">
        <v>28</v>
      </c>
      <c r="K43" s="23">
        <v>18</v>
      </c>
      <c r="L43" s="23">
        <v>31</v>
      </c>
      <c r="M43" s="23">
        <v>23</v>
      </c>
      <c r="N43" s="23">
        <v>20</v>
      </c>
      <c r="O43" s="23">
        <v>38</v>
      </c>
      <c r="P43" s="23">
        <v>17</v>
      </c>
      <c r="Q43" s="23">
        <v>35</v>
      </c>
      <c r="R43" s="23">
        <v>38</v>
      </c>
      <c r="S43" s="23">
        <v>1</v>
      </c>
      <c r="T43" s="24"/>
      <c r="U43" s="24"/>
      <c r="V43" s="24"/>
      <c r="AA43" s="8"/>
    </row>
    <row r="44" spans="1:27" collapsed="1" x14ac:dyDescent="0.25">
      <c r="A44" s="9"/>
      <c r="B44" s="16" t="s">
        <v>27</v>
      </c>
      <c r="C44" s="17">
        <f t="shared" ref="C44:S44" si="16">SUM(C41:C43)</f>
        <v>722</v>
      </c>
      <c r="D44" s="18">
        <f t="shared" si="16"/>
        <v>104</v>
      </c>
      <c r="E44" s="18">
        <f t="shared" si="16"/>
        <v>13</v>
      </c>
      <c r="F44" s="18">
        <f t="shared" si="16"/>
        <v>0</v>
      </c>
      <c r="G44" s="18">
        <f t="shared" si="16"/>
        <v>24</v>
      </c>
      <c r="H44" s="18">
        <f t="shared" si="16"/>
        <v>48</v>
      </c>
      <c r="I44" s="18">
        <f t="shared" si="16"/>
        <v>66</v>
      </c>
      <c r="J44" s="18">
        <f t="shared" si="16"/>
        <v>48</v>
      </c>
      <c r="K44" s="18">
        <f t="shared" si="16"/>
        <v>24</v>
      </c>
      <c r="L44" s="18">
        <f t="shared" si="16"/>
        <v>60</v>
      </c>
      <c r="M44" s="18">
        <f t="shared" si="16"/>
        <v>55</v>
      </c>
      <c r="N44" s="18">
        <f t="shared" si="16"/>
        <v>34</v>
      </c>
      <c r="O44" s="18">
        <f t="shared" si="16"/>
        <v>74</v>
      </c>
      <c r="P44" s="18">
        <f t="shared" si="16"/>
        <v>43</v>
      </c>
      <c r="Q44" s="18">
        <f t="shared" si="16"/>
        <v>59</v>
      </c>
      <c r="R44" s="18">
        <f t="shared" si="16"/>
        <v>46</v>
      </c>
      <c r="S44" s="18">
        <f t="shared" si="16"/>
        <v>24</v>
      </c>
      <c r="T44" s="19">
        <f>SUM(T41:T43)</f>
        <v>0</v>
      </c>
      <c r="U44" s="19">
        <f>SUM(U41:U43)</f>
        <v>0</v>
      </c>
      <c r="V44" s="19">
        <f>SUM(V41:V43)</f>
        <v>0</v>
      </c>
      <c r="AA44" s="8"/>
    </row>
    <row r="45" spans="1:27" ht="15.75" thickBot="1" x14ac:dyDescent="0.3">
      <c r="A45" s="9"/>
      <c r="B45" s="25" t="s">
        <v>28</v>
      </c>
      <c r="C45" s="11">
        <f t="shared" ref="C45:S45" si="17">+C40+C44</f>
        <v>1538</v>
      </c>
      <c r="D45" s="11">
        <f t="shared" si="17"/>
        <v>248</v>
      </c>
      <c r="E45" s="11">
        <f t="shared" si="17"/>
        <v>20</v>
      </c>
      <c r="F45" s="11">
        <f t="shared" si="17"/>
        <v>0</v>
      </c>
      <c r="G45" s="11">
        <f t="shared" si="17"/>
        <v>54</v>
      </c>
      <c r="H45" s="11">
        <f t="shared" si="17"/>
        <v>119</v>
      </c>
      <c r="I45" s="11">
        <f t="shared" si="17"/>
        <v>118</v>
      </c>
      <c r="J45" s="11">
        <f t="shared" si="17"/>
        <v>106</v>
      </c>
      <c r="K45" s="11">
        <f t="shared" si="17"/>
        <v>57</v>
      </c>
      <c r="L45" s="11">
        <f t="shared" si="17"/>
        <v>104</v>
      </c>
      <c r="M45" s="11">
        <f t="shared" si="17"/>
        <v>90</v>
      </c>
      <c r="N45" s="11">
        <f t="shared" si="17"/>
        <v>58</v>
      </c>
      <c r="O45" s="11">
        <f t="shared" si="17"/>
        <v>200</v>
      </c>
      <c r="P45" s="11">
        <f t="shared" si="17"/>
        <v>116</v>
      </c>
      <c r="Q45" s="11">
        <f t="shared" si="17"/>
        <v>133</v>
      </c>
      <c r="R45" s="11">
        <f t="shared" si="17"/>
        <v>75</v>
      </c>
      <c r="S45" s="11">
        <f t="shared" si="17"/>
        <v>40</v>
      </c>
      <c r="T45" s="26"/>
      <c r="U45" s="26"/>
      <c r="V45" s="26"/>
      <c r="AA45" s="8"/>
    </row>
    <row r="46" spans="1:27" hidden="1" outlineLevel="1" x14ac:dyDescent="0.25">
      <c r="A46" s="9"/>
      <c r="B46" s="27" t="s">
        <v>30</v>
      </c>
      <c r="C46" s="28">
        <f>+SUM(D46:V46)</f>
        <v>1984967.6099999961</v>
      </c>
      <c r="D46" s="29">
        <v>301617.05999999773</v>
      </c>
      <c r="E46" s="29">
        <v>3.9999999993938218E-2</v>
      </c>
      <c r="F46" s="29">
        <v>0</v>
      </c>
      <c r="G46" s="29">
        <v>34997.8299999999</v>
      </c>
      <c r="H46" s="29">
        <v>163175.81999999919</v>
      </c>
      <c r="I46" s="29">
        <v>76133.640000000174</v>
      </c>
      <c r="J46" s="29">
        <v>138850.50999999969</v>
      </c>
      <c r="K46" s="29">
        <v>44491.239999999882</v>
      </c>
      <c r="L46" s="29">
        <v>99089.259999999893</v>
      </c>
      <c r="M46" s="29">
        <v>100868.67999999989</v>
      </c>
      <c r="N46" s="29">
        <v>112203.21000000011</v>
      </c>
      <c r="O46" s="29">
        <v>478309.81000000006</v>
      </c>
      <c r="P46" s="29">
        <v>163283.7000000003</v>
      </c>
      <c r="Q46" s="29">
        <v>198349.61999999901</v>
      </c>
      <c r="R46" s="29">
        <v>33030.170000000297</v>
      </c>
      <c r="S46" s="29">
        <v>40567.019999999902</v>
      </c>
      <c r="T46" s="29"/>
      <c r="U46" s="29"/>
      <c r="V46" s="29"/>
      <c r="AA46" s="8"/>
    </row>
    <row r="47" spans="1:27" hidden="1" outlineLevel="1" x14ac:dyDescent="0.25">
      <c r="A47" s="9"/>
      <c r="B47" s="30" t="s">
        <v>31</v>
      </c>
      <c r="C47" s="31">
        <f>+SUM(D47:V47)</f>
        <v>76327.739999999816</v>
      </c>
      <c r="D47" s="32">
        <v>29661.409999999902</v>
      </c>
      <c r="E47" s="32">
        <v>600</v>
      </c>
      <c r="F47" s="32">
        <v>0</v>
      </c>
      <c r="G47" s="32">
        <v>6484.54</v>
      </c>
      <c r="H47" s="32">
        <v>-373.05</v>
      </c>
      <c r="I47" s="32">
        <v>10100</v>
      </c>
      <c r="J47" s="32">
        <v>7367.0199999999804</v>
      </c>
      <c r="K47" s="32">
        <v>8999</v>
      </c>
      <c r="L47" s="32">
        <v>4495</v>
      </c>
      <c r="M47" s="32">
        <v>3502.4699999999698</v>
      </c>
      <c r="N47" s="32">
        <v>3371.01</v>
      </c>
      <c r="O47" s="32">
        <v>9.9999999976716894E-2</v>
      </c>
      <c r="P47" s="32">
        <v>-17.07</v>
      </c>
      <c r="Q47" s="32">
        <v>340.369999999995</v>
      </c>
      <c r="R47" s="32">
        <v>1796.94</v>
      </c>
      <c r="S47" s="32">
        <v>0</v>
      </c>
      <c r="T47" s="32"/>
      <c r="U47" s="32"/>
      <c r="V47" s="32"/>
      <c r="AA47" s="8"/>
    </row>
    <row r="48" spans="1:27" hidden="1" outlineLevel="1" x14ac:dyDescent="0.25">
      <c r="A48" s="9"/>
      <c r="B48" s="30" t="s">
        <v>32</v>
      </c>
      <c r="C48" s="31">
        <f>+SUM(D48:V48)</f>
        <v>120727.94999999908</v>
      </c>
      <c r="D48" s="32">
        <v>8503.2900000000009</v>
      </c>
      <c r="E48" s="32">
        <v>0</v>
      </c>
      <c r="F48" s="32">
        <v>0</v>
      </c>
      <c r="G48" s="32">
        <v>0</v>
      </c>
      <c r="H48" s="32">
        <v>0</v>
      </c>
      <c r="I48" s="32">
        <v>766.95999999999106</v>
      </c>
      <c r="J48" s="32">
        <v>-2435.1499999999</v>
      </c>
      <c r="K48" s="32">
        <v>-1257.9100000000001</v>
      </c>
      <c r="L48" s="32">
        <v>-5111.8500000000304</v>
      </c>
      <c r="M48" s="32">
        <v>0</v>
      </c>
      <c r="N48" s="32">
        <v>416.180000000007</v>
      </c>
      <c r="O48" s="32">
        <v>0</v>
      </c>
      <c r="P48" s="32">
        <v>112336.489999999</v>
      </c>
      <c r="Q48" s="32">
        <v>0</v>
      </c>
      <c r="R48" s="32">
        <v>7510.13</v>
      </c>
      <c r="S48" s="32">
        <v>-0.19000000000005399</v>
      </c>
      <c r="T48" s="32"/>
      <c r="U48" s="32"/>
      <c r="V48" s="32"/>
      <c r="AA48" s="8"/>
    </row>
    <row r="49" spans="1:27" hidden="1" outlineLevel="1" x14ac:dyDescent="0.25">
      <c r="A49" s="9"/>
      <c r="B49" s="33" t="s">
        <v>33</v>
      </c>
      <c r="C49" s="34">
        <f>+SUM(D49:V49)</f>
        <v>903180.12999999954</v>
      </c>
      <c r="D49" s="35">
        <v>158801.44</v>
      </c>
      <c r="E49" s="35">
        <v>8419.9699999999993</v>
      </c>
      <c r="F49" s="35">
        <v>0</v>
      </c>
      <c r="G49" s="35">
        <v>31873.23</v>
      </c>
      <c r="H49" s="35">
        <v>57060.779999999897</v>
      </c>
      <c r="I49" s="35">
        <v>42870.35</v>
      </c>
      <c r="J49" s="35">
        <v>58343.659999999902</v>
      </c>
      <c r="K49" s="35">
        <v>31385.439999999999</v>
      </c>
      <c r="L49" s="35">
        <v>42997.75</v>
      </c>
      <c r="M49" s="35">
        <v>26365.379999999899</v>
      </c>
      <c r="N49" s="35">
        <v>29223.2399999999</v>
      </c>
      <c r="O49" s="35">
        <v>193531.89</v>
      </c>
      <c r="P49" s="35">
        <v>95191.519999999902</v>
      </c>
      <c r="Q49" s="35">
        <v>70998.259999999995</v>
      </c>
      <c r="R49" s="35">
        <v>32127.200000000001</v>
      </c>
      <c r="S49" s="35">
        <v>23990.02</v>
      </c>
      <c r="T49" s="35"/>
      <c r="U49" s="35"/>
      <c r="V49" s="35"/>
      <c r="AA49" s="8"/>
    </row>
    <row r="50" spans="1:27" hidden="1" outlineLevel="1" x14ac:dyDescent="0.25">
      <c r="A50" s="9"/>
      <c r="B50" s="16" t="s">
        <v>34</v>
      </c>
      <c r="C50" s="36">
        <f>+SUM(C46:C49)</f>
        <v>3085203.4299999946</v>
      </c>
      <c r="D50" s="37">
        <f t="shared" ref="D50:S50" si="18">+SUM(D46:D49)</f>
        <v>498583.19999999763</v>
      </c>
      <c r="E50" s="37">
        <f t="shared" si="18"/>
        <v>9020.0099999999929</v>
      </c>
      <c r="F50" s="37">
        <f t="shared" si="18"/>
        <v>0</v>
      </c>
      <c r="G50" s="37">
        <f t="shared" si="18"/>
        <v>73355.599999999904</v>
      </c>
      <c r="H50" s="37">
        <f t="shared" si="18"/>
        <v>219863.54999999912</v>
      </c>
      <c r="I50" s="37">
        <f t="shared" si="18"/>
        <v>129870.95000000016</v>
      </c>
      <c r="J50" s="37">
        <f t="shared" si="18"/>
        <v>202126.03999999969</v>
      </c>
      <c r="K50" s="37">
        <f t="shared" si="18"/>
        <v>83617.769999999873</v>
      </c>
      <c r="L50" s="37">
        <f t="shared" si="18"/>
        <v>141470.15999999986</v>
      </c>
      <c r="M50" s="37">
        <f t="shared" si="18"/>
        <v>130736.52999999977</v>
      </c>
      <c r="N50" s="37">
        <f t="shared" si="18"/>
        <v>145213.64000000001</v>
      </c>
      <c r="O50" s="37">
        <f t="shared" si="18"/>
        <v>671841.8</v>
      </c>
      <c r="P50" s="37">
        <f t="shared" si="18"/>
        <v>370794.6399999992</v>
      </c>
      <c r="Q50" s="37">
        <f t="shared" si="18"/>
        <v>269688.24999999901</v>
      </c>
      <c r="R50" s="37">
        <f t="shared" si="18"/>
        <v>74464.440000000293</v>
      </c>
      <c r="S50" s="37">
        <f t="shared" si="18"/>
        <v>64556.849999999904</v>
      </c>
      <c r="T50" s="36">
        <f>+SUM(T46:T49)</f>
        <v>0</v>
      </c>
      <c r="U50" s="36">
        <f>+SUM(U46:U49)</f>
        <v>0</v>
      </c>
      <c r="V50" s="36">
        <f>+SUM(V46:V49)</f>
        <v>0</v>
      </c>
      <c r="AA50" s="8"/>
    </row>
    <row r="51" spans="1:27" hidden="1" outlineLevel="1" x14ac:dyDescent="0.25">
      <c r="A51" s="9"/>
      <c r="B51" s="30" t="s">
        <v>35</v>
      </c>
      <c r="C51" s="31">
        <f>+SUM(D51:V51)</f>
        <v>645107.53999999946</v>
      </c>
      <c r="D51" s="32">
        <v>99106.069999999992</v>
      </c>
      <c r="E51" s="32">
        <v>2401.510000000007</v>
      </c>
      <c r="F51" s="32">
        <v>0</v>
      </c>
      <c r="G51" s="32">
        <v>27538.249999999996</v>
      </c>
      <c r="H51" s="32">
        <v>86283.34</v>
      </c>
      <c r="I51" s="32">
        <v>41562.5</v>
      </c>
      <c r="J51" s="32">
        <v>23087.74000000002</v>
      </c>
      <c r="K51" s="32">
        <v>9697.869999999999</v>
      </c>
      <c r="L51" s="32">
        <v>45977.319999999912</v>
      </c>
      <c r="M51" s="32">
        <v>48638.169999999896</v>
      </c>
      <c r="N51" s="32">
        <v>37732.289999999994</v>
      </c>
      <c r="O51" s="32">
        <v>63906.529999999788</v>
      </c>
      <c r="P51" s="32">
        <v>85045.52</v>
      </c>
      <c r="Q51" s="32">
        <v>37459.319999999992</v>
      </c>
      <c r="R51" s="32">
        <v>5095.37</v>
      </c>
      <c r="S51" s="32">
        <v>31575.739999999998</v>
      </c>
      <c r="T51" s="32"/>
      <c r="U51" s="32"/>
      <c r="V51" s="32"/>
      <c r="AA51" s="8"/>
    </row>
    <row r="52" spans="1:27" hidden="1" outlineLevel="1" x14ac:dyDescent="0.25">
      <c r="A52" s="9"/>
      <c r="B52" s="30" t="s">
        <v>36</v>
      </c>
      <c r="C52" s="31">
        <f>+SUM(D52:V52)</f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/>
      <c r="U52" s="32"/>
      <c r="V52" s="32"/>
      <c r="AA52" s="8"/>
    </row>
    <row r="53" spans="1:27" hidden="1" outlineLevel="1" x14ac:dyDescent="0.25">
      <c r="A53" s="9"/>
      <c r="B53" s="30" t="s">
        <v>37</v>
      </c>
      <c r="C53" s="31">
        <f>+SUM(D53:V53)</f>
        <v>290712.41999999993</v>
      </c>
      <c r="D53" s="32">
        <v>56517.430000000102</v>
      </c>
      <c r="E53" s="32">
        <v>2644.5</v>
      </c>
      <c r="F53" s="32">
        <v>0</v>
      </c>
      <c r="G53" s="32">
        <v>8216.6299999999992</v>
      </c>
      <c r="H53" s="32">
        <v>37620.910000000003</v>
      </c>
      <c r="I53" s="32">
        <v>5789.2000000000098</v>
      </c>
      <c r="J53" s="32">
        <v>8398.7700000000696</v>
      </c>
      <c r="K53" s="32">
        <v>-2635.9000000000201</v>
      </c>
      <c r="L53" s="32">
        <v>9578.5300000000207</v>
      </c>
      <c r="M53" s="32">
        <v>9336.4799999999796</v>
      </c>
      <c r="N53" s="32">
        <v>12292.959999999901</v>
      </c>
      <c r="O53" s="32">
        <v>35337</v>
      </c>
      <c r="P53" s="32">
        <v>29080.92</v>
      </c>
      <c r="Q53" s="32">
        <v>40388.709999999897</v>
      </c>
      <c r="R53" s="32">
        <v>36446.28</v>
      </c>
      <c r="S53" s="32">
        <v>1700</v>
      </c>
      <c r="T53" s="32"/>
      <c r="U53" s="32"/>
      <c r="V53" s="32"/>
      <c r="AA53" s="8"/>
    </row>
    <row r="54" spans="1:27" hidden="1" outlineLevel="1" x14ac:dyDescent="0.25">
      <c r="A54" s="9"/>
      <c r="B54" s="30" t="s">
        <v>38</v>
      </c>
      <c r="C54" s="31">
        <f>+SUM(D54:V54)</f>
        <v>573586.56999999867</v>
      </c>
      <c r="D54" s="32">
        <v>71107.42</v>
      </c>
      <c r="E54" s="32">
        <v>11551.4</v>
      </c>
      <c r="F54" s="32">
        <v>0</v>
      </c>
      <c r="G54" s="32">
        <v>36423.199999999997</v>
      </c>
      <c r="H54" s="32">
        <v>42342.4399999999</v>
      </c>
      <c r="I54" s="32">
        <v>83501.569999999905</v>
      </c>
      <c r="J54" s="32">
        <v>28407.479999999901</v>
      </c>
      <c r="K54" s="32">
        <v>10434.189999999009</v>
      </c>
      <c r="L54" s="32">
        <v>44508.99</v>
      </c>
      <c r="M54" s="32">
        <v>38237.360000000001</v>
      </c>
      <c r="N54" s="32">
        <v>19534.63</v>
      </c>
      <c r="O54" s="32">
        <v>72272.88</v>
      </c>
      <c r="P54" s="32">
        <v>44538.629999999903</v>
      </c>
      <c r="Q54" s="32">
        <v>38827.360000000001</v>
      </c>
      <c r="R54" s="32">
        <v>16541.52</v>
      </c>
      <c r="S54" s="32">
        <v>15357.5</v>
      </c>
      <c r="T54" s="32"/>
      <c r="U54" s="32"/>
      <c r="V54" s="32"/>
      <c r="AA54" s="8"/>
    </row>
    <row r="55" spans="1:27" hidden="1" outlineLevel="1" x14ac:dyDescent="0.25">
      <c r="A55" s="9"/>
      <c r="B55" s="16" t="s">
        <v>39</v>
      </c>
      <c r="C55" s="36">
        <f>+SUM(C51:C54)</f>
        <v>1509406.5299999979</v>
      </c>
      <c r="D55" s="37">
        <f>+SUM(D51:D54)</f>
        <v>226730.9200000001</v>
      </c>
      <c r="E55" s="37">
        <f t="shared" ref="E55:S55" si="19">+SUM(E51:E54)</f>
        <v>16597.410000000007</v>
      </c>
      <c r="F55" s="37">
        <f t="shared" si="19"/>
        <v>0</v>
      </c>
      <c r="G55" s="37">
        <f t="shared" si="19"/>
        <v>72178.079999999987</v>
      </c>
      <c r="H55" s="37">
        <f t="shared" si="19"/>
        <v>166246.68999999989</v>
      </c>
      <c r="I55" s="37">
        <f t="shared" si="19"/>
        <v>130853.26999999992</v>
      </c>
      <c r="J55" s="37">
        <f t="shared" si="19"/>
        <v>59893.989999999991</v>
      </c>
      <c r="K55" s="37">
        <f t="shared" si="19"/>
        <v>17496.159999998988</v>
      </c>
      <c r="L55" s="37">
        <f t="shared" si="19"/>
        <v>100064.83999999994</v>
      </c>
      <c r="M55" s="37">
        <f t="shared" si="19"/>
        <v>96212.009999999878</v>
      </c>
      <c r="N55" s="37">
        <f t="shared" si="19"/>
        <v>69559.879999999903</v>
      </c>
      <c r="O55" s="37">
        <f t="shared" si="19"/>
        <v>171516.4099999998</v>
      </c>
      <c r="P55" s="37">
        <f t="shared" si="19"/>
        <v>158665.06999999989</v>
      </c>
      <c r="Q55" s="37">
        <f t="shared" si="19"/>
        <v>116675.38999999988</v>
      </c>
      <c r="R55" s="37">
        <f t="shared" si="19"/>
        <v>58083.17</v>
      </c>
      <c r="S55" s="37">
        <f t="shared" si="19"/>
        <v>48633.24</v>
      </c>
      <c r="T55" s="36">
        <f>+SUM(T51:T54)</f>
        <v>0</v>
      </c>
      <c r="U55" s="36">
        <f>+SUM(U51:U54)</f>
        <v>0</v>
      </c>
      <c r="V55" s="36">
        <f>+SUM(V51:V54)</f>
        <v>0</v>
      </c>
      <c r="AA55" s="8"/>
    </row>
    <row r="56" spans="1:27" ht="15.75" hidden="1" outlineLevel="1" thickBot="1" x14ac:dyDescent="0.3">
      <c r="A56" s="9"/>
      <c r="B56" s="27" t="s">
        <v>40</v>
      </c>
      <c r="C56" s="28">
        <f>+C55+C50</f>
        <v>4594609.9599999925</v>
      </c>
      <c r="D56" s="38">
        <f t="shared" ref="D56:S56" si="20">+D55+D50</f>
        <v>725314.11999999778</v>
      </c>
      <c r="E56" s="38">
        <f t="shared" si="20"/>
        <v>25617.42</v>
      </c>
      <c r="F56" s="38">
        <f t="shared" si="20"/>
        <v>0</v>
      </c>
      <c r="G56" s="38">
        <f t="shared" si="20"/>
        <v>145533.67999999988</v>
      </c>
      <c r="H56" s="38">
        <f t="shared" si="20"/>
        <v>386110.239999999</v>
      </c>
      <c r="I56" s="38">
        <f t="shared" si="20"/>
        <v>260724.22000000009</v>
      </c>
      <c r="J56" s="38">
        <f t="shared" si="20"/>
        <v>262020.02999999968</v>
      </c>
      <c r="K56" s="38">
        <f t="shared" si="20"/>
        <v>101113.92999999886</v>
      </c>
      <c r="L56" s="38">
        <f t="shared" si="20"/>
        <v>241534.9999999998</v>
      </c>
      <c r="M56" s="38">
        <f t="shared" si="20"/>
        <v>226948.53999999963</v>
      </c>
      <c r="N56" s="38">
        <f t="shared" si="20"/>
        <v>214773.5199999999</v>
      </c>
      <c r="O56" s="38">
        <f t="shared" si="20"/>
        <v>843358.20999999985</v>
      </c>
      <c r="P56" s="38">
        <f t="shared" si="20"/>
        <v>529459.70999999903</v>
      </c>
      <c r="Q56" s="38">
        <f t="shared" si="20"/>
        <v>386363.63999999891</v>
      </c>
      <c r="R56" s="38">
        <f t="shared" si="20"/>
        <v>132547.61000000028</v>
      </c>
      <c r="S56" s="38">
        <f t="shared" si="20"/>
        <v>113190.08999999991</v>
      </c>
      <c r="T56" s="28">
        <f>+T55+T50</f>
        <v>0</v>
      </c>
      <c r="U56" s="28">
        <f>+U55+U50</f>
        <v>0</v>
      </c>
      <c r="V56" s="28">
        <f>+V55+V50</f>
        <v>0</v>
      </c>
      <c r="AA56" s="8"/>
    </row>
    <row r="57" spans="1:27" hidden="1" outlineLevel="1" collapsed="1" x14ac:dyDescent="0.25">
      <c r="A57" s="9"/>
      <c r="B57" s="39" t="s">
        <v>41</v>
      </c>
      <c r="C57" s="40">
        <f>IFERROR(C46/C38,0)</f>
        <v>2571.2015673575079</v>
      </c>
      <c r="D57" s="41">
        <f t="shared" ref="D57:S57" si="21">IFERROR(D46/D38,0)</f>
        <v>2139.1280851063671</v>
      </c>
      <c r="E57" s="41">
        <f t="shared" si="21"/>
        <v>5.7142857134197455E-3</v>
      </c>
      <c r="F57" s="41">
        <f t="shared" si="21"/>
        <v>0</v>
      </c>
      <c r="G57" s="41">
        <f t="shared" si="21"/>
        <v>1166.59433333333</v>
      </c>
      <c r="H57" s="41">
        <f t="shared" si="21"/>
        <v>2298.2509859154816</v>
      </c>
      <c r="I57" s="41">
        <f t="shared" si="21"/>
        <v>1522.6728000000035</v>
      </c>
      <c r="J57" s="41">
        <f t="shared" si="21"/>
        <v>2892.718958333327</v>
      </c>
      <c r="K57" s="41">
        <f t="shared" si="21"/>
        <v>1534.1806896551684</v>
      </c>
      <c r="L57" s="41">
        <f t="shared" si="21"/>
        <v>2477.2314999999971</v>
      </c>
      <c r="M57" s="41">
        <f t="shared" si="21"/>
        <v>2881.9622857142826</v>
      </c>
      <c r="N57" s="41">
        <f t="shared" si="21"/>
        <v>4878.400434782613</v>
      </c>
      <c r="O57" s="41">
        <f t="shared" si="21"/>
        <v>3796.1096031746038</v>
      </c>
      <c r="P57" s="41">
        <f t="shared" si="21"/>
        <v>2721.395000000005</v>
      </c>
      <c r="Q57" s="41">
        <f t="shared" si="21"/>
        <v>2680.4002702702569</v>
      </c>
      <c r="R57" s="41">
        <f t="shared" si="21"/>
        <v>1436.0943478260999</v>
      </c>
      <c r="S57" s="42">
        <f t="shared" si="21"/>
        <v>2704.4679999999935</v>
      </c>
      <c r="T57" s="29">
        <f>IFERROR(T46/T38,0)</f>
        <v>0</v>
      </c>
      <c r="U57" s="38">
        <f>IFERROR(U46/U38,0)</f>
        <v>0</v>
      </c>
      <c r="V57" s="38">
        <f>IFERROR(V46/V38,0)</f>
        <v>0</v>
      </c>
      <c r="AA57" s="8"/>
    </row>
    <row r="58" spans="1:27" hidden="1" outlineLevel="1" x14ac:dyDescent="0.25">
      <c r="A58" s="9"/>
      <c r="B58" s="43" t="s">
        <v>42</v>
      </c>
      <c r="C58" s="31">
        <f>IFERROR(C48/C39,0)</f>
        <v>2743.8170454545248</v>
      </c>
      <c r="D58" s="44">
        <f t="shared" ref="D58:S58" si="22">IFERROR(D48/D39,0)</f>
        <v>2834.4300000000003</v>
      </c>
      <c r="E58" s="44">
        <f t="shared" si="22"/>
        <v>0</v>
      </c>
      <c r="F58" s="44">
        <f t="shared" si="22"/>
        <v>0</v>
      </c>
      <c r="G58" s="44">
        <f t="shared" si="22"/>
        <v>0</v>
      </c>
      <c r="H58" s="44">
        <f t="shared" si="22"/>
        <v>0</v>
      </c>
      <c r="I58" s="44">
        <f t="shared" si="22"/>
        <v>383.47999999999553</v>
      </c>
      <c r="J58" s="44">
        <f t="shared" si="22"/>
        <v>-243.51499999999001</v>
      </c>
      <c r="K58" s="44">
        <f t="shared" si="22"/>
        <v>-314.47750000000002</v>
      </c>
      <c r="L58" s="44">
        <f t="shared" si="22"/>
        <v>-1277.9625000000076</v>
      </c>
      <c r="M58" s="44">
        <f t="shared" si="22"/>
        <v>0</v>
      </c>
      <c r="N58" s="44">
        <f t="shared" si="22"/>
        <v>416.180000000007</v>
      </c>
      <c r="O58" s="44">
        <f t="shared" si="22"/>
        <v>0</v>
      </c>
      <c r="P58" s="44">
        <f t="shared" si="22"/>
        <v>8641.2684615383841</v>
      </c>
      <c r="Q58" s="44">
        <f t="shared" si="22"/>
        <v>0</v>
      </c>
      <c r="R58" s="44">
        <f t="shared" si="22"/>
        <v>1251.6883333333333</v>
      </c>
      <c r="S58" s="45">
        <f t="shared" si="22"/>
        <v>-0.19000000000005399</v>
      </c>
      <c r="T58" s="32">
        <f>IFERROR(T48/T39,0)</f>
        <v>0</v>
      </c>
      <c r="U58" s="44">
        <f>IFERROR(U48/U39,0)</f>
        <v>0</v>
      </c>
      <c r="V58" s="44">
        <f>IFERROR(V48/V39,0)</f>
        <v>0</v>
      </c>
      <c r="AA58" s="8"/>
    </row>
    <row r="59" spans="1:27" hidden="1" outlineLevel="1" x14ac:dyDescent="0.25">
      <c r="A59" s="9"/>
      <c r="B59" s="43" t="s">
        <v>43</v>
      </c>
      <c r="C59" s="31">
        <f>IFERROR(C49/C38,0)</f>
        <v>1169.9224481865278</v>
      </c>
      <c r="D59" s="44">
        <f t="shared" ref="D59:S59" si="23">IFERROR(D49/D38,0)</f>
        <v>1126.2513475177304</v>
      </c>
      <c r="E59" s="44">
        <f t="shared" si="23"/>
        <v>1202.8528571428571</v>
      </c>
      <c r="F59" s="44">
        <f t="shared" si="23"/>
        <v>0</v>
      </c>
      <c r="G59" s="44">
        <f t="shared" si="23"/>
        <v>1062.441</v>
      </c>
      <c r="H59" s="44">
        <f t="shared" si="23"/>
        <v>803.67295774647744</v>
      </c>
      <c r="I59" s="44">
        <f t="shared" si="23"/>
        <v>857.40699999999993</v>
      </c>
      <c r="J59" s="44">
        <f t="shared" si="23"/>
        <v>1215.4929166666645</v>
      </c>
      <c r="K59" s="44">
        <f t="shared" si="23"/>
        <v>1082.2565517241378</v>
      </c>
      <c r="L59" s="44">
        <f t="shared" si="23"/>
        <v>1074.9437499999999</v>
      </c>
      <c r="M59" s="44">
        <f t="shared" si="23"/>
        <v>753.29657142856854</v>
      </c>
      <c r="N59" s="44">
        <f t="shared" si="23"/>
        <v>1270.5756521739088</v>
      </c>
      <c r="O59" s="44">
        <f t="shared" si="23"/>
        <v>1535.9673809523811</v>
      </c>
      <c r="P59" s="44">
        <f t="shared" si="23"/>
        <v>1586.5253333333317</v>
      </c>
      <c r="Q59" s="44">
        <f t="shared" si="23"/>
        <v>959.43594594594583</v>
      </c>
      <c r="R59" s="44">
        <f t="shared" si="23"/>
        <v>1396.8347826086956</v>
      </c>
      <c r="S59" s="45">
        <f t="shared" si="23"/>
        <v>1599.3346666666666</v>
      </c>
      <c r="T59" s="35">
        <f>IFERROR(T49/T38,0)</f>
        <v>0</v>
      </c>
      <c r="U59" s="46">
        <f>IFERROR(U49/U38,0)</f>
        <v>0</v>
      </c>
      <c r="V59" s="46">
        <f>IFERROR(V49/V38,0)</f>
        <v>0</v>
      </c>
      <c r="AA59" s="8"/>
    </row>
    <row r="60" spans="1:27" ht="15.75" hidden="1" outlineLevel="1" thickBot="1" x14ac:dyDescent="0.3">
      <c r="A60" s="9"/>
      <c r="B60" s="47" t="s">
        <v>44</v>
      </c>
      <c r="C60" s="48">
        <f>SUM(C57,C59)</f>
        <v>3741.1240155440355</v>
      </c>
      <c r="D60" s="49">
        <f t="shared" ref="D60:S60" si="24">SUM(D57,D59)</f>
        <v>3265.3794326240977</v>
      </c>
      <c r="E60" s="49">
        <f t="shared" si="24"/>
        <v>1202.8585714285705</v>
      </c>
      <c r="F60" s="49">
        <f t="shared" si="24"/>
        <v>0</v>
      </c>
      <c r="G60" s="49">
        <f t="shared" si="24"/>
        <v>2229.0353333333301</v>
      </c>
      <c r="H60" s="49">
        <f t="shared" si="24"/>
        <v>3101.9239436619591</v>
      </c>
      <c r="I60" s="49">
        <f t="shared" si="24"/>
        <v>2380.0798000000032</v>
      </c>
      <c r="J60" s="49">
        <f t="shared" si="24"/>
        <v>4108.2118749999918</v>
      </c>
      <c r="K60" s="49">
        <f t="shared" si="24"/>
        <v>2616.4372413793062</v>
      </c>
      <c r="L60" s="49">
        <f t="shared" si="24"/>
        <v>3552.175249999997</v>
      </c>
      <c r="M60" s="49">
        <f t="shared" si="24"/>
        <v>3635.2588571428514</v>
      </c>
      <c r="N60" s="49">
        <f t="shared" si="24"/>
        <v>6148.9760869565216</v>
      </c>
      <c r="O60" s="49">
        <f t="shared" si="24"/>
        <v>5332.0769841269848</v>
      </c>
      <c r="P60" s="49">
        <f t="shared" si="24"/>
        <v>4307.9203333333371</v>
      </c>
      <c r="Q60" s="49">
        <f t="shared" si="24"/>
        <v>3639.836216216203</v>
      </c>
      <c r="R60" s="49">
        <f t="shared" si="24"/>
        <v>2832.9291304347953</v>
      </c>
      <c r="S60" s="50">
        <f t="shared" si="24"/>
        <v>4303.8026666666601</v>
      </c>
      <c r="T60" s="51">
        <f>SUM(T57,T59)</f>
        <v>0</v>
      </c>
      <c r="U60" s="37">
        <f>SUM(U57,U59)</f>
        <v>0</v>
      </c>
      <c r="V60" s="37">
        <f>SUM(V57,V59)</f>
        <v>0</v>
      </c>
      <c r="AA60" s="8"/>
    </row>
    <row r="61" spans="1:27" collapsed="1" x14ac:dyDescent="0.25">
      <c r="A61" s="9"/>
      <c r="B61" s="52" t="s">
        <v>45</v>
      </c>
      <c r="C61" s="53">
        <f>IFERROR(C50/C40,0)</f>
        <v>3780.8865563725426</v>
      </c>
      <c r="D61" s="54">
        <f t="shared" ref="D61:S61" si="25">IFERROR(D50/D40,0)</f>
        <v>3462.3833333333168</v>
      </c>
      <c r="E61" s="54">
        <f t="shared" si="25"/>
        <v>1288.572857142856</v>
      </c>
      <c r="F61" s="54">
        <f t="shared" si="25"/>
        <v>0</v>
      </c>
      <c r="G61" s="54">
        <f t="shared" si="25"/>
        <v>2445.1866666666633</v>
      </c>
      <c r="H61" s="54">
        <f t="shared" si="25"/>
        <v>3096.6697183098468</v>
      </c>
      <c r="I61" s="54">
        <f t="shared" si="25"/>
        <v>2497.5182692307721</v>
      </c>
      <c r="J61" s="54">
        <f t="shared" si="25"/>
        <v>3484.9317241379258</v>
      </c>
      <c r="K61" s="54">
        <f t="shared" si="25"/>
        <v>2533.8718181818144</v>
      </c>
      <c r="L61" s="54">
        <f t="shared" si="25"/>
        <v>3215.2309090909057</v>
      </c>
      <c r="M61" s="54">
        <f t="shared" si="25"/>
        <v>3735.3294285714219</v>
      </c>
      <c r="N61" s="54">
        <f t="shared" si="25"/>
        <v>6050.5683333333336</v>
      </c>
      <c r="O61" s="54">
        <f t="shared" si="25"/>
        <v>5332.0777777777785</v>
      </c>
      <c r="P61" s="54">
        <f t="shared" si="25"/>
        <v>5079.3786301369755</v>
      </c>
      <c r="Q61" s="54">
        <f t="shared" si="25"/>
        <v>3644.4358108107976</v>
      </c>
      <c r="R61" s="54">
        <f t="shared" si="25"/>
        <v>2567.7393103448376</v>
      </c>
      <c r="S61" s="55">
        <f t="shared" si="25"/>
        <v>4034.803124999994</v>
      </c>
      <c r="T61" s="56">
        <f>IFERROR(T50/T40,0)</f>
        <v>0</v>
      </c>
      <c r="U61" s="36">
        <f>IFERROR(U50/U40,0)</f>
        <v>0</v>
      </c>
      <c r="V61" s="36">
        <f>IFERROR(V50/V40,0)</f>
        <v>0</v>
      </c>
      <c r="AA61" s="8"/>
    </row>
    <row r="62" spans="1:27" hidden="1" outlineLevel="1" x14ac:dyDescent="0.25">
      <c r="A62" s="9"/>
      <c r="B62" s="43" t="s">
        <v>46</v>
      </c>
      <c r="C62" s="31">
        <f t="shared" ref="C62:S64" si="26">IFERROR(C51/C41,0)</f>
        <v>1827.500113314446</v>
      </c>
      <c r="D62" s="44">
        <f t="shared" si="26"/>
        <v>2252.4106818181817</v>
      </c>
      <c r="E62" s="44">
        <f t="shared" si="26"/>
        <v>343.07285714285814</v>
      </c>
      <c r="F62" s="44">
        <f t="shared" si="26"/>
        <v>0</v>
      </c>
      <c r="G62" s="44">
        <f t="shared" si="26"/>
        <v>1835.883333333333</v>
      </c>
      <c r="H62" s="44">
        <f t="shared" si="26"/>
        <v>3318.5899999999997</v>
      </c>
      <c r="I62" s="44">
        <f t="shared" si="26"/>
        <v>966.56976744186045</v>
      </c>
      <c r="J62" s="44">
        <f t="shared" si="26"/>
        <v>1154.3870000000011</v>
      </c>
      <c r="K62" s="44">
        <f t="shared" si="26"/>
        <v>1616.3116666666665</v>
      </c>
      <c r="L62" s="44">
        <f t="shared" si="26"/>
        <v>1585.4248275862039</v>
      </c>
      <c r="M62" s="44">
        <f t="shared" si="26"/>
        <v>1519.9428124999968</v>
      </c>
      <c r="N62" s="44">
        <f t="shared" si="26"/>
        <v>2695.1635714285708</v>
      </c>
      <c r="O62" s="44">
        <f t="shared" si="26"/>
        <v>1775.181388888883</v>
      </c>
      <c r="P62" s="44">
        <f t="shared" si="26"/>
        <v>3270.9815384615385</v>
      </c>
      <c r="Q62" s="44">
        <f t="shared" si="26"/>
        <v>1560.8049999999996</v>
      </c>
      <c r="R62" s="44">
        <f t="shared" si="26"/>
        <v>636.92124999999999</v>
      </c>
      <c r="S62" s="45">
        <f t="shared" si="26"/>
        <v>1372.8582608695651</v>
      </c>
      <c r="T62" s="32">
        <f>IFERROR(T51/T38,0)</f>
        <v>0</v>
      </c>
      <c r="U62" s="44">
        <f>IFERROR(U51/U38,0)</f>
        <v>0</v>
      </c>
      <c r="V62" s="44">
        <f>IFERROR(V51/V38,0)</f>
        <v>0</v>
      </c>
      <c r="AA62" s="8"/>
    </row>
    <row r="63" spans="1:27" hidden="1" outlineLevel="1" x14ac:dyDescent="0.25">
      <c r="A63" s="9"/>
      <c r="B63" s="43" t="s">
        <v>47</v>
      </c>
      <c r="C63" s="31">
        <f>IFERROR(C52/C42,0)</f>
        <v>0</v>
      </c>
      <c r="D63" s="44">
        <f t="shared" si="26"/>
        <v>0</v>
      </c>
      <c r="E63" s="44">
        <f t="shared" si="26"/>
        <v>0</v>
      </c>
      <c r="F63" s="44">
        <f t="shared" si="26"/>
        <v>0</v>
      </c>
      <c r="G63" s="44">
        <f t="shared" si="26"/>
        <v>0</v>
      </c>
      <c r="H63" s="44">
        <f t="shared" si="26"/>
        <v>0</v>
      </c>
      <c r="I63" s="44">
        <f t="shared" si="26"/>
        <v>0</v>
      </c>
      <c r="J63" s="44">
        <f t="shared" si="26"/>
        <v>0</v>
      </c>
      <c r="K63" s="44">
        <f t="shared" si="26"/>
        <v>0</v>
      </c>
      <c r="L63" s="44">
        <f t="shared" si="26"/>
        <v>0</v>
      </c>
      <c r="M63" s="44">
        <f t="shared" si="26"/>
        <v>0</v>
      </c>
      <c r="N63" s="44">
        <f t="shared" si="26"/>
        <v>0</v>
      </c>
      <c r="O63" s="44">
        <f t="shared" si="26"/>
        <v>0</v>
      </c>
      <c r="P63" s="44">
        <f t="shared" si="26"/>
        <v>0</v>
      </c>
      <c r="Q63" s="44">
        <f t="shared" si="26"/>
        <v>0</v>
      </c>
      <c r="R63" s="44">
        <f t="shared" si="26"/>
        <v>0</v>
      </c>
      <c r="S63" s="45">
        <f t="shared" si="26"/>
        <v>0</v>
      </c>
      <c r="T63" s="32">
        <f t="shared" ref="T63:V64" si="27">IFERROR(T52/T42,0)</f>
        <v>0</v>
      </c>
      <c r="U63" s="44">
        <f t="shared" si="27"/>
        <v>0</v>
      </c>
      <c r="V63" s="44">
        <f t="shared" si="27"/>
        <v>0</v>
      </c>
      <c r="AA63" s="8"/>
    </row>
    <row r="64" spans="1:27" hidden="1" outlineLevel="1" x14ac:dyDescent="0.25">
      <c r="A64" s="9"/>
      <c r="B64" s="43" t="s">
        <v>48</v>
      </c>
      <c r="C64" s="31">
        <f>IFERROR(C53/C43,0)</f>
        <v>787.83853658536566</v>
      </c>
      <c r="D64" s="44">
        <f t="shared" si="26"/>
        <v>941.9571666666684</v>
      </c>
      <c r="E64" s="44">
        <f t="shared" si="26"/>
        <v>440.75</v>
      </c>
      <c r="F64" s="44">
        <f t="shared" si="26"/>
        <v>0</v>
      </c>
      <c r="G64" s="44">
        <f t="shared" si="26"/>
        <v>912.95888888888885</v>
      </c>
      <c r="H64" s="44">
        <f t="shared" si="26"/>
        <v>1710.0413636363637</v>
      </c>
      <c r="I64" s="44">
        <f t="shared" si="26"/>
        <v>251.70434782608737</v>
      </c>
      <c r="J64" s="44">
        <f t="shared" si="26"/>
        <v>299.95607142857392</v>
      </c>
      <c r="K64" s="44">
        <f t="shared" si="26"/>
        <v>-146.43888888889001</v>
      </c>
      <c r="L64" s="44">
        <f t="shared" si="26"/>
        <v>308.98483870967806</v>
      </c>
      <c r="M64" s="44">
        <f t="shared" si="26"/>
        <v>405.93391304347739</v>
      </c>
      <c r="N64" s="44">
        <f t="shared" si="26"/>
        <v>614.64799999999502</v>
      </c>
      <c r="O64" s="44">
        <f t="shared" si="26"/>
        <v>929.92105263157896</v>
      </c>
      <c r="P64" s="44">
        <f t="shared" si="26"/>
        <v>1710.6423529411763</v>
      </c>
      <c r="Q64" s="44">
        <f t="shared" si="26"/>
        <v>1153.9631428571399</v>
      </c>
      <c r="R64" s="44">
        <f t="shared" si="26"/>
        <v>959.11263157894734</v>
      </c>
      <c r="S64" s="45">
        <f t="shared" si="26"/>
        <v>1700</v>
      </c>
      <c r="T64" s="32">
        <f t="shared" si="27"/>
        <v>0</v>
      </c>
      <c r="U64" s="44">
        <f t="shared" si="27"/>
        <v>0</v>
      </c>
      <c r="V64" s="44">
        <f t="shared" si="27"/>
        <v>0</v>
      </c>
      <c r="AA64" s="8"/>
    </row>
    <row r="65" spans="1:27" hidden="1" outlineLevel="1" x14ac:dyDescent="0.25">
      <c r="A65" s="9"/>
      <c r="B65" s="43" t="s">
        <v>49</v>
      </c>
      <c r="C65" s="31">
        <f t="shared" ref="C65:S65" si="28">IFERROR(C54/C41,0)</f>
        <v>1624.8911331444722</v>
      </c>
      <c r="D65" s="44">
        <f t="shared" si="28"/>
        <v>1616.0777272727273</v>
      </c>
      <c r="E65" s="44">
        <f t="shared" si="28"/>
        <v>1650.2</v>
      </c>
      <c r="F65" s="44">
        <f t="shared" si="28"/>
        <v>0</v>
      </c>
      <c r="G65" s="44">
        <f t="shared" si="28"/>
        <v>2428.2133333333331</v>
      </c>
      <c r="H65" s="44">
        <f t="shared" si="28"/>
        <v>1628.5553846153807</v>
      </c>
      <c r="I65" s="44">
        <f t="shared" si="28"/>
        <v>1941.8969767441838</v>
      </c>
      <c r="J65" s="44">
        <f t="shared" si="28"/>
        <v>1420.373999999995</v>
      </c>
      <c r="K65" s="44">
        <f t="shared" si="28"/>
        <v>1739.0316666665015</v>
      </c>
      <c r="L65" s="44">
        <f t="shared" si="28"/>
        <v>1534.7927586206895</v>
      </c>
      <c r="M65" s="44">
        <f t="shared" si="28"/>
        <v>1194.9175</v>
      </c>
      <c r="N65" s="44">
        <f t="shared" si="28"/>
        <v>1395.3307142857143</v>
      </c>
      <c r="O65" s="44">
        <f t="shared" si="28"/>
        <v>2007.5800000000002</v>
      </c>
      <c r="P65" s="44">
        <f t="shared" si="28"/>
        <v>1713.024230769227</v>
      </c>
      <c r="Q65" s="44">
        <f t="shared" si="28"/>
        <v>1617.8066666666666</v>
      </c>
      <c r="R65" s="44">
        <f t="shared" si="28"/>
        <v>2067.69</v>
      </c>
      <c r="S65" s="45">
        <f t="shared" si="28"/>
        <v>667.71739130434787</v>
      </c>
      <c r="T65" s="32">
        <f>IFERROR(T54/T41,0)</f>
        <v>0</v>
      </c>
      <c r="U65" s="44">
        <f>IFERROR(U54/U41,0)</f>
        <v>0</v>
      </c>
      <c r="V65" s="44">
        <f>IFERROR(V54/V41,0)</f>
        <v>0</v>
      </c>
      <c r="AA65" s="8"/>
    </row>
    <row r="66" spans="1:27" hidden="1" outlineLevel="1" x14ac:dyDescent="0.25">
      <c r="A66" s="9"/>
      <c r="B66" s="57" t="s">
        <v>50</v>
      </c>
      <c r="C66" s="34">
        <f>SUM(C62,C65)</f>
        <v>3452.3912464589184</v>
      </c>
      <c r="D66" s="46">
        <f t="shared" ref="D66:S66" si="29">SUM(D62,D65)</f>
        <v>3868.488409090909</v>
      </c>
      <c r="E66" s="46">
        <f t="shared" si="29"/>
        <v>1993.2728571428581</v>
      </c>
      <c r="F66" s="46">
        <f t="shared" si="29"/>
        <v>0</v>
      </c>
      <c r="G66" s="46">
        <f t="shared" si="29"/>
        <v>4264.0966666666664</v>
      </c>
      <c r="H66" s="46">
        <f t="shared" si="29"/>
        <v>4947.14538461538</v>
      </c>
      <c r="I66" s="46">
        <f t="shared" si="29"/>
        <v>2908.4667441860443</v>
      </c>
      <c r="J66" s="46">
        <f t="shared" si="29"/>
        <v>2574.7609999999959</v>
      </c>
      <c r="K66" s="46">
        <f t="shared" si="29"/>
        <v>3355.3433333331677</v>
      </c>
      <c r="L66" s="46">
        <f t="shared" si="29"/>
        <v>3120.2175862068934</v>
      </c>
      <c r="M66" s="46">
        <f t="shared" si="29"/>
        <v>2714.8603124999968</v>
      </c>
      <c r="N66" s="46">
        <f t="shared" si="29"/>
        <v>4090.4942857142851</v>
      </c>
      <c r="O66" s="46">
        <f t="shared" si="29"/>
        <v>3782.7613888888832</v>
      </c>
      <c r="P66" s="46">
        <f t="shared" si="29"/>
        <v>4984.0057692307655</v>
      </c>
      <c r="Q66" s="46">
        <f t="shared" si="29"/>
        <v>3178.6116666666662</v>
      </c>
      <c r="R66" s="46">
        <f t="shared" si="29"/>
        <v>2704.6112499999999</v>
      </c>
      <c r="S66" s="58">
        <f t="shared" si="29"/>
        <v>2040.5756521739131</v>
      </c>
      <c r="T66" s="51">
        <f>SUM(T62,T65)</f>
        <v>0</v>
      </c>
      <c r="U66" s="37">
        <f>SUM(U62,U65)</f>
        <v>0</v>
      </c>
      <c r="V66" s="36">
        <f>SUM(V62,V65)</f>
        <v>0</v>
      </c>
      <c r="AA66" s="8"/>
    </row>
    <row r="67" spans="1:27" collapsed="1" x14ac:dyDescent="0.25">
      <c r="A67" s="9"/>
      <c r="B67" s="59" t="s">
        <v>51</v>
      </c>
      <c r="C67" s="36">
        <f>IFERROR(C55/C44,0)</f>
        <v>2090.5907617728503</v>
      </c>
      <c r="D67" s="37">
        <f t="shared" ref="D67:S68" si="30">IFERROR(D55/D44,0)</f>
        <v>2180.1050000000009</v>
      </c>
      <c r="E67" s="37">
        <f t="shared" si="30"/>
        <v>1276.7238461538468</v>
      </c>
      <c r="F67" s="37">
        <f t="shared" si="30"/>
        <v>0</v>
      </c>
      <c r="G67" s="37">
        <f t="shared" si="30"/>
        <v>3007.4199999999996</v>
      </c>
      <c r="H67" s="37">
        <f t="shared" si="30"/>
        <v>3463.472708333331</v>
      </c>
      <c r="I67" s="37">
        <f t="shared" si="30"/>
        <v>1982.6253030303017</v>
      </c>
      <c r="J67" s="37">
        <f t="shared" si="30"/>
        <v>1247.7914583333331</v>
      </c>
      <c r="K67" s="37">
        <f t="shared" si="30"/>
        <v>729.00666666662448</v>
      </c>
      <c r="L67" s="37">
        <f t="shared" si="30"/>
        <v>1667.7473333333323</v>
      </c>
      <c r="M67" s="37">
        <f t="shared" si="30"/>
        <v>1749.3092727272706</v>
      </c>
      <c r="N67" s="37">
        <f t="shared" si="30"/>
        <v>2045.8788235294089</v>
      </c>
      <c r="O67" s="37">
        <f t="shared" si="30"/>
        <v>2317.7893243243216</v>
      </c>
      <c r="P67" s="37">
        <f t="shared" si="30"/>
        <v>3689.8853488372069</v>
      </c>
      <c r="Q67" s="37">
        <f t="shared" si="30"/>
        <v>1977.5489830508454</v>
      </c>
      <c r="R67" s="37">
        <f t="shared" si="30"/>
        <v>1262.6776086956522</v>
      </c>
      <c r="S67" s="60">
        <f t="shared" si="30"/>
        <v>2026.385</v>
      </c>
      <c r="T67" s="56">
        <f>IFERROR(T55/T44,0)</f>
        <v>0</v>
      </c>
      <c r="U67" s="36">
        <f>IFERROR(U55/U44,0)</f>
        <v>0</v>
      </c>
      <c r="V67" s="36">
        <f>IFERROR(V55/V44,0)</f>
        <v>0</v>
      </c>
      <c r="AA67" s="8"/>
    </row>
    <row r="68" spans="1:27" ht="15.75" thickBot="1" x14ac:dyDescent="0.3">
      <c r="A68" s="9"/>
      <c r="B68" s="61" t="s">
        <v>52</v>
      </c>
      <c r="C68" s="62">
        <f>IFERROR(C56/C45,0)</f>
        <v>2987.3926918075372</v>
      </c>
      <c r="D68" s="62">
        <f t="shared" si="30"/>
        <v>2924.6537096774105</v>
      </c>
      <c r="E68" s="62">
        <f t="shared" si="30"/>
        <v>1280.8709999999999</v>
      </c>
      <c r="F68" s="62">
        <f t="shared" si="30"/>
        <v>0</v>
      </c>
      <c r="G68" s="62">
        <f t="shared" si="30"/>
        <v>2695.0681481481461</v>
      </c>
      <c r="H68" s="62">
        <f t="shared" si="30"/>
        <v>3244.6238655462103</v>
      </c>
      <c r="I68" s="62">
        <f t="shared" si="30"/>
        <v>2209.5272881355941</v>
      </c>
      <c r="J68" s="62">
        <f t="shared" si="30"/>
        <v>2471.887075471695</v>
      </c>
      <c r="K68" s="62">
        <f t="shared" si="30"/>
        <v>1773.9285964912081</v>
      </c>
      <c r="L68" s="62">
        <f t="shared" si="30"/>
        <v>2322.451923076921</v>
      </c>
      <c r="M68" s="62">
        <f t="shared" si="30"/>
        <v>2521.6504444444404</v>
      </c>
      <c r="N68" s="62">
        <f t="shared" si="30"/>
        <v>3702.9917241379294</v>
      </c>
      <c r="O68" s="62">
        <f t="shared" si="30"/>
        <v>4216.7910499999989</v>
      </c>
      <c r="P68" s="62">
        <f t="shared" si="30"/>
        <v>4564.3078448275783</v>
      </c>
      <c r="Q68" s="62">
        <f t="shared" si="30"/>
        <v>2904.9897744360819</v>
      </c>
      <c r="R68" s="62">
        <f t="shared" si="30"/>
        <v>1767.3014666666704</v>
      </c>
      <c r="S68" s="63">
        <f t="shared" si="30"/>
        <v>2829.7522499999977</v>
      </c>
      <c r="T68" s="7"/>
      <c r="U68" s="7"/>
      <c r="V68" s="7"/>
      <c r="AA68" s="8"/>
    </row>
    <row r="69" spans="1:27" ht="5.25" customHeight="1" x14ac:dyDescent="0.25"/>
    <row r="70" spans="1:27" x14ac:dyDescent="0.25">
      <c r="B70" s="68" t="s">
        <v>63</v>
      </c>
      <c r="C70" s="65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7" t="s">
        <v>18</v>
      </c>
      <c r="U70" s="5" t="s">
        <v>19</v>
      </c>
      <c r="V70" s="5" t="s">
        <v>20</v>
      </c>
    </row>
    <row r="71" spans="1:27" hidden="1" outlineLevel="1" x14ac:dyDescent="0.25">
      <c r="A71" s="9"/>
      <c r="B71" s="13" t="s">
        <v>21</v>
      </c>
      <c r="C71" s="12">
        <f t="shared" ref="C71:V83" si="31">+C5-C38</f>
        <v>148</v>
      </c>
      <c r="D71" s="12">
        <f t="shared" si="31"/>
        <v>25</v>
      </c>
      <c r="E71" s="12">
        <f t="shared" si="31"/>
        <v>-7</v>
      </c>
      <c r="F71" s="12">
        <f t="shared" si="31"/>
        <v>0</v>
      </c>
      <c r="G71" s="12">
        <f t="shared" si="31"/>
        <v>3</v>
      </c>
      <c r="H71" s="12">
        <f t="shared" si="31"/>
        <v>10</v>
      </c>
      <c r="I71" s="12">
        <f t="shared" si="31"/>
        <v>1</v>
      </c>
      <c r="J71" s="12">
        <f t="shared" si="31"/>
        <v>44</v>
      </c>
      <c r="K71" s="12">
        <f t="shared" si="31"/>
        <v>11</v>
      </c>
      <c r="L71" s="12">
        <f t="shared" si="31"/>
        <v>19</v>
      </c>
      <c r="M71" s="12">
        <f t="shared" si="31"/>
        <v>9</v>
      </c>
      <c r="N71" s="12">
        <f t="shared" si="31"/>
        <v>6</v>
      </c>
      <c r="O71" s="12">
        <f t="shared" si="31"/>
        <v>27</v>
      </c>
      <c r="P71" s="12">
        <f t="shared" si="31"/>
        <v>-8</v>
      </c>
      <c r="Q71" s="12">
        <f t="shared" si="31"/>
        <v>3</v>
      </c>
      <c r="R71" s="12">
        <f t="shared" si="31"/>
        <v>1</v>
      </c>
      <c r="S71" s="12">
        <f t="shared" si="31"/>
        <v>4</v>
      </c>
      <c r="T71" s="12">
        <f t="shared" si="31"/>
        <v>0</v>
      </c>
      <c r="U71" s="12">
        <f t="shared" si="31"/>
        <v>0</v>
      </c>
      <c r="V71" s="12">
        <f t="shared" si="31"/>
        <v>0</v>
      </c>
      <c r="AA71" s="8"/>
    </row>
    <row r="72" spans="1:27" hidden="1" outlineLevel="1" x14ac:dyDescent="0.25">
      <c r="A72" s="9"/>
      <c r="B72" s="13" t="s">
        <v>22</v>
      </c>
      <c r="C72" s="15">
        <f t="shared" si="31"/>
        <v>-15</v>
      </c>
      <c r="D72" s="15">
        <f t="shared" si="31"/>
        <v>2</v>
      </c>
      <c r="E72" s="15">
        <f t="shared" si="31"/>
        <v>0</v>
      </c>
      <c r="F72" s="15">
        <f t="shared" si="31"/>
        <v>0</v>
      </c>
      <c r="G72" s="15">
        <f t="shared" si="31"/>
        <v>0</v>
      </c>
      <c r="H72" s="15">
        <f t="shared" si="31"/>
        <v>1</v>
      </c>
      <c r="I72" s="15">
        <f t="shared" si="31"/>
        <v>1</v>
      </c>
      <c r="J72" s="15">
        <f t="shared" si="31"/>
        <v>-8</v>
      </c>
      <c r="K72" s="15">
        <f t="shared" si="31"/>
        <v>-2</v>
      </c>
      <c r="L72" s="15">
        <f t="shared" si="31"/>
        <v>0</v>
      </c>
      <c r="M72" s="15">
        <f t="shared" si="31"/>
        <v>2</v>
      </c>
      <c r="N72" s="15">
        <f t="shared" si="31"/>
        <v>-1</v>
      </c>
      <c r="O72" s="15">
        <f t="shared" si="31"/>
        <v>0</v>
      </c>
      <c r="P72" s="15">
        <f t="shared" si="31"/>
        <v>-7</v>
      </c>
      <c r="Q72" s="15">
        <f t="shared" si="31"/>
        <v>1</v>
      </c>
      <c r="R72" s="15">
        <f t="shared" si="31"/>
        <v>-3</v>
      </c>
      <c r="S72" s="15">
        <f t="shared" si="31"/>
        <v>-1</v>
      </c>
      <c r="T72" s="15">
        <f t="shared" si="31"/>
        <v>0</v>
      </c>
      <c r="U72" s="15">
        <f t="shared" si="31"/>
        <v>0</v>
      </c>
      <c r="V72" s="15">
        <f t="shared" si="31"/>
        <v>0</v>
      </c>
      <c r="AA72" s="8"/>
    </row>
    <row r="73" spans="1:27" collapsed="1" x14ac:dyDescent="0.25">
      <c r="A73" s="9"/>
      <c r="B73" s="16" t="s">
        <v>23</v>
      </c>
      <c r="C73" s="17">
        <f t="shared" si="31"/>
        <v>133</v>
      </c>
      <c r="D73" s="18">
        <f t="shared" si="31"/>
        <v>27</v>
      </c>
      <c r="E73" s="18">
        <f t="shared" si="31"/>
        <v>-7</v>
      </c>
      <c r="F73" s="18">
        <f t="shared" si="31"/>
        <v>0</v>
      </c>
      <c r="G73" s="18">
        <f t="shared" si="31"/>
        <v>3</v>
      </c>
      <c r="H73" s="18">
        <f t="shared" si="31"/>
        <v>11</v>
      </c>
      <c r="I73" s="18">
        <f t="shared" si="31"/>
        <v>2</v>
      </c>
      <c r="J73" s="18">
        <f t="shared" si="31"/>
        <v>36</v>
      </c>
      <c r="K73" s="18">
        <f t="shared" si="31"/>
        <v>9</v>
      </c>
      <c r="L73" s="18">
        <f t="shared" si="31"/>
        <v>19</v>
      </c>
      <c r="M73" s="18">
        <f t="shared" si="31"/>
        <v>11</v>
      </c>
      <c r="N73" s="18">
        <f t="shared" si="31"/>
        <v>5</v>
      </c>
      <c r="O73" s="18">
        <f t="shared" si="31"/>
        <v>27</v>
      </c>
      <c r="P73" s="18">
        <f t="shared" si="31"/>
        <v>-15</v>
      </c>
      <c r="Q73" s="18">
        <f t="shared" si="31"/>
        <v>4</v>
      </c>
      <c r="R73" s="18">
        <f t="shared" si="31"/>
        <v>-2</v>
      </c>
      <c r="S73" s="18">
        <f t="shared" si="31"/>
        <v>3</v>
      </c>
      <c r="T73" s="19">
        <f t="shared" si="31"/>
        <v>0</v>
      </c>
      <c r="U73" s="19">
        <f t="shared" si="31"/>
        <v>0</v>
      </c>
      <c r="V73" s="19">
        <f t="shared" si="31"/>
        <v>0</v>
      </c>
      <c r="AA73" s="8"/>
    </row>
    <row r="74" spans="1:27" ht="14.25" hidden="1" customHeight="1" outlineLevel="1" x14ac:dyDescent="0.25">
      <c r="A74" s="9"/>
      <c r="B74" s="10" t="s">
        <v>24</v>
      </c>
      <c r="C74" s="11">
        <f t="shared" si="31"/>
        <v>3</v>
      </c>
      <c r="D74" s="12">
        <f t="shared" si="31"/>
        <v>4</v>
      </c>
      <c r="E74" s="12">
        <f t="shared" si="31"/>
        <v>-7</v>
      </c>
      <c r="F74" s="12">
        <f t="shared" si="31"/>
        <v>0</v>
      </c>
      <c r="G74" s="12">
        <f t="shared" si="31"/>
        <v>3</v>
      </c>
      <c r="H74" s="12">
        <f t="shared" si="31"/>
        <v>-8</v>
      </c>
      <c r="I74" s="12">
        <f t="shared" si="31"/>
        <v>-28</v>
      </c>
      <c r="J74" s="12">
        <f t="shared" si="31"/>
        <v>14</v>
      </c>
      <c r="K74" s="12">
        <f t="shared" si="31"/>
        <v>4</v>
      </c>
      <c r="L74" s="12">
        <f t="shared" si="31"/>
        <v>2</v>
      </c>
      <c r="M74" s="12">
        <f t="shared" si="31"/>
        <v>-3</v>
      </c>
      <c r="N74" s="12">
        <f t="shared" si="31"/>
        <v>0</v>
      </c>
      <c r="O74" s="12">
        <f t="shared" si="31"/>
        <v>13</v>
      </c>
      <c r="P74" s="12">
        <f t="shared" si="31"/>
        <v>-3</v>
      </c>
      <c r="Q74" s="12">
        <f t="shared" si="31"/>
        <v>17</v>
      </c>
      <c r="R74" s="12">
        <f t="shared" si="31"/>
        <v>-3</v>
      </c>
      <c r="S74" s="12">
        <f t="shared" si="31"/>
        <v>-2</v>
      </c>
      <c r="T74" s="20">
        <f t="shared" si="31"/>
        <v>0</v>
      </c>
      <c r="U74" s="20">
        <f t="shared" si="31"/>
        <v>0</v>
      </c>
      <c r="V74" s="20">
        <f t="shared" si="31"/>
        <v>0</v>
      </c>
      <c r="AA74" s="8"/>
    </row>
    <row r="75" spans="1:27" hidden="1" outlineLevel="1" x14ac:dyDescent="0.25">
      <c r="A75" s="9"/>
      <c r="B75" s="13" t="s">
        <v>25</v>
      </c>
      <c r="C75" s="14">
        <f t="shared" si="31"/>
        <v>0</v>
      </c>
      <c r="D75" s="15">
        <f t="shared" si="31"/>
        <v>0</v>
      </c>
      <c r="E75" s="15">
        <f t="shared" si="31"/>
        <v>0</v>
      </c>
      <c r="F75" s="15">
        <f t="shared" si="31"/>
        <v>0</v>
      </c>
      <c r="G75" s="15">
        <f t="shared" si="31"/>
        <v>0</v>
      </c>
      <c r="H75" s="15">
        <f t="shared" si="31"/>
        <v>0</v>
      </c>
      <c r="I75" s="15">
        <f t="shared" si="31"/>
        <v>0</v>
      </c>
      <c r="J75" s="15">
        <f t="shared" si="31"/>
        <v>0</v>
      </c>
      <c r="K75" s="15">
        <f t="shared" si="31"/>
        <v>0</v>
      </c>
      <c r="L75" s="15">
        <f t="shared" si="31"/>
        <v>0</v>
      </c>
      <c r="M75" s="15">
        <f t="shared" si="31"/>
        <v>0</v>
      </c>
      <c r="N75" s="15">
        <f t="shared" si="31"/>
        <v>0</v>
      </c>
      <c r="O75" s="15">
        <f t="shared" si="31"/>
        <v>0</v>
      </c>
      <c r="P75" s="15">
        <f t="shared" si="31"/>
        <v>0</v>
      </c>
      <c r="Q75" s="15">
        <f t="shared" si="31"/>
        <v>0</v>
      </c>
      <c r="R75" s="15">
        <f t="shared" si="31"/>
        <v>0</v>
      </c>
      <c r="S75" s="15">
        <f t="shared" si="31"/>
        <v>0</v>
      </c>
      <c r="T75" s="21">
        <f t="shared" si="31"/>
        <v>0</v>
      </c>
      <c r="U75" s="21">
        <f t="shared" si="31"/>
        <v>0</v>
      </c>
      <c r="V75" s="21">
        <f t="shared" si="31"/>
        <v>0</v>
      </c>
      <c r="AA75" s="8"/>
    </row>
    <row r="76" spans="1:27" hidden="1" outlineLevel="1" x14ac:dyDescent="0.25">
      <c r="A76" s="9"/>
      <c r="B76" s="13" t="s">
        <v>26</v>
      </c>
      <c r="C76" s="22">
        <f t="shared" si="31"/>
        <v>27</v>
      </c>
      <c r="D76" s="23">
        <f t="shared" si="31"/>
        <v>10</v>
      </c>
      <c r="E76" s="23">
        <f t="shared" si="31"/>
        <v>-6</v>
      </c>
      <c r="F76" s="23">
        <f t="shared" si="31"/>
        <v>0</v>
      </c>
      <c r="G76" s="23">
        <f t="shared" si="31"/>
        <v>-2</v>
      </c>
      <c r="H76" s="23">
        <f t="shared" si="31"/>
        <v>5</v>
      </c>
      <c r="I76" s="23">
        <f t="shared" si="31"/>
        <v>29</v>
      </c>
      <c r="J76" s="23">
        <f t="shared" si="31"/>
        <v>1</v>
      </c>
      <c r="K76" s="23">
        <f t="shared" si="31"/>
        <v>-6</v>
      </c>
      <c r="L76" s="23">
        <f t="shared" si="31"/>
        <v>-5</v>
      </c>
      <c r="M76" s="23">
        <f t="shared" si="31"/>
        <v>0</v>
      </c>
      <c r="N76" s="23">
        <f t="shared" si="31"/>
        <v>0</v>
      </c>
      <c r="O76" s="23">
        <f t="shared" si="31"/>
        <v>9</v>
      </c>
      <c r="P76" s="23">
        <f t="shared" si="31"/>
        <v>-4</v>
      </c>
      <c r="Q76" s="23">
        <f t="shared" si="31"/>
        <v>5</v>
      </c>
      <c r="R76" s="23">
        <f t="shared" si="31"/>
        <v>-15</v>
      </c>
      <c r="S76" s="23">
        <f t="shared" si="31"/>
        <v>6</v>
      </c>
      <c r="T76" s="24">
        <f t="shared" si="31"/>
        <v>0</v>
      </c>
      <c r="U76" s="24">
        <f t="shared" si="31"/>
        <v>0</v>
      </c>
      <c r="V76" s="24">
        <f t="shared" si="31"/>
        <v>0</v>
      </c>
      <c r="AA76" s="8"/>
    </row>
    <row r="77" spans="1:27" collapsed="1" x14ac:dyDescent="0.25">
      <c r="A77" s="9"/>
      <c r="B77" s="16" t="s">
        <v>27</v>
      </c>
      <c r="C77" s="17">
        <f t="shared" si="31"/>
        <v>30</v>
      </c>
      <c r="D77" s="18">
        <f t="shared" si="31"/>
        <v>14</v>
      </c>
      <c r="E77" s="18">
        <f t="shared" si="31"/>
        <v>-13</v>
      </c>
      <c r="F77" s="18">
        <f t="shared" si="31"/>
        <v>0</v>
      </c>
      <c r="G77" s="18">
        <f t="shared" si="31"/>
        <v>1</v>
      </c>
      <c r="H77" s="18">
        <f t="shared" si="31"/>
        <v>-3</v>
      </c>
      <c r="I77" s="18">
        <f t="shared" si="31"/>
        <v>1</v>
      </c>
      <c r="J77" s="18">
        <f t="shared" si="31"/>
        <v>15</v>
      </c>
      <c r="K77" s="18">
        <f t="shared" si="31"/>
        <v>-2</v>
      </c>
      <c r="L77" s="18">
        <f t="shared" si="31"/>
        <v>-3</v>
      </c>
      <c r="M77" s="18">
        <f t="shared" si="31"/>
        <v>-3</v>
      </c>
      <c r="N77" s="18">
        <f t="shared" si="31"/>
        <v>0</v>
      </c>
      <c r="O77" s="18">
        <f t="shared" si="31"/>
        <v>22</v>
      </c>
      <c r="P77" s="18">
        <f t="shared" si="31"/>
        <v>-7</v>
      </c>
      <c r="Q77" s="18">
        <f t="shared" si="31"/>
        <v>22</v>
      </c>
      <c r="R77" s="18">
        <f t="shared" si="31"/>
        <v>-18</v>
      </c>
      <c r="S77" s="18">
        <f t="shared" si="31"/>
        <v>4</v>
      </c>
      <c r="T77" s="19">
        <f t="shared" si="31"/>
        <v>0</v>
      </c>
      <c r="U77" s="19">
        <f t="shared" si="31"/>
        <v>0</v>
      </c>
      <c r="V77" s="19">
        <f t="shared" si="31"/>
        <v>0</v>
      </c>
      <c r="AA77" s="8"/>
    </row>
    <row r="78" spans="1:27" ht="15.75" thickBot="1" x14ac:dyDescent="0.3">
      <c r="A78" s="9"/>
      <c r="B78" s="25" t="s">
        <v>28</v>
      </c>
      <c r="C78" s="11">
        <f t="shared" si="31"/>
        <v>163</v>
      </c>
      <c r="D78" s="11">
        <f>+D12-D45</f>
        <v>41</v>
      </c>
      <c r="E78" s="11">
        <f t="shared" si="31"/>
        <v>-20</v>
      </c>
      <c r="F78" s="11">
        <f t="shared" si="31"/>
        <v>0</v>
      </c>
      <c r="G78" s="11">
        <f t="shared" si="31"/>
        <v>4</v>
      </c>
      <c r="H78" s="11">
        <f t="shared" si="31"/>
        <v>8</v>
      </c>
      <c r="I78" s="11">
        <f t="shared" si="31"/>
        <v>3</v>
      </c>
      <c r="J78" s="11">
        <f t="shared" si="31"/>
        <v>51</v>
      </c>
      <c r="K78" s="11">
        <f t="shared" si="31"/>
        <v>7</v>
      </c>
      <c r="L78" s="11">
        <f t="shared" si="31"/>
        <v>16</v>
      </c>
      <c r="M78" s="11">
        <f t="shared" si="31"/>
        <v>8</v>
      </c>
      <c r="N78" s="11">
        <f t="shared" si="31"/>
        <v>5</v>
      </c>
      <c r="O78" s="11">
        <f t="shared" si="31"/>
        <v>49</v>
      </c>
      <c r="P78" s="11">
        <f t="shared" si="31"/>
        <v>-22</v>
      </c>
      <c r="Q78" s="11">
        <f t="shared" si="31"/>
        <v>26</v>
      </c>
      <c r="R78" s="11">
        <f t="shared" si="31"/>
        <v>-20</v>
      </c>
      <c r="S78" s="11">
        <f t="shared" si="31"/>
        <v>7</v>
      </c>
      <c r="T78" s="26"/>
      <c r="U78" s="26"/>
      <c r="V78" s="26"/>
      <c r="AA78" s="8"/>
    </row>
    <row r="79" spans="1:27" hidden="1" outlineLevel="1" x14ac:dyDescent="0.25">
      <c r="A79" s="9"/>
      <c r="B79" s="27" t="s">
        <v>30</v>
      </c>
      <c r="C79" s="28">
        <f>+C13-C46</f>
        <v>251713.0000000014</v>
      </c>
      <c r="D79" s="29">
        <f t="shared" si="31"/>
        <v>5268.7700000014738</v>
      </c>
      <c r="E79" s="29">
        <f t="shared" si="31"/>
        <v>-3.9999999993938218E-2</v>
      </c>
      <c r="F79" s="29">
        <f t="shared" si="31"/>
        <v>0</v>
      </c>
      <c r="G79" s="29">
        <f t="shared" si="31"/>
        <v>-15116.70999999981</v>
      </c>
      <c r="H79" s="29">
        <f t="shared" si="31"/>
        <v>55618.130000000703</v>
      </c>
      <c r="I79" s="29">
        <f t="shared" si="31"/>
        <v>32580.829999999507</v>
      </c>
      <c r="J79" s="29">
        <f t="shared" si="31"/>
        <v>87036.999999999913</v>
      </c>
      <c r="K79" s="29">
        <f t="shared" si="31"/>
        <v>27445.58000000014</v>
      </c>
      <c r="L79" s="29">
        <f t="shared" si="31"/>
        <v>10330.880000000499</v>
      </c>
      <c r="M79" s="29">
        <f t="shared" si="31"/>
        <v>-2872.6500000000669</v>
      </c>
      <c r="N79" s="29">
        <f t="shared" si="31"/>
        <v>-19582.10000000021</v>
      </c>
      <c r="O79" s="29">
        <f t="shared" si="31"/>
        <v>-21669.389999999141</v>
      </c>
      <c r="P79" s="29">
        <f t="shared" si="31"/>
        <v>-37834.790000000998</v>
      </c>
      <c r="Q79" s="29">
        <f t="shared" si="31"/>
        <v>97010.729999999981</v>
      </c>
      <c r="R79" s="29">
        <f t="shared" si="31"/>
        <v>28955.529999999657</v>
      </c>
      <c r="S79" s="29">
        <f t="shared" si="31"/>
        <v>4541.2300000000978</v>
      </c>
      <c r="T79" s="29">
        <f t="shared" si="31"/>
        <v>0</v>
      </c>
      <c r="U79" s="29">
        <f t="shared" si="31"/>
        <v>0</v>
      </c>
      <c r="V79" s="29">
        <f t="shared" si="31"/>
        <v>0</v>
      </c>
      <c r="AA79" s="8"/>
    </row>
    <row r="80" spans="1:27" hidden="1" outlineLevel="1" x14ac:dyDescent="0.25">
      <c r="A80" s="9"/>
      <c r="B80" s="30" t="s">
        <v>31</v>
      </c>
      <c r="C80" s="31">
        <f t="shared" si="31"/>
        <v>-17768.879999999961</v>
      </c>
      <c r="D80" s="32">
        <f t="shared" si="31"/>
        <v>-11298.970000000001</v>
      </c>
      <c r="E80" s="32">
        <f t="shared" si="31"/>
        <v>-600</v>
      </c>
      <c r="F80" s="32">
        <f t="shared" si="31"/>
        <v>0</v>
      </c>
      <c r="G80" s="32">
        <f t="shared" si="31"/>
        <v>-1533.54</v>
      </c>
      <c r="H80" s="32">
        <f t="shared" si="31"/>
        <v>2586.09</v>
      </c>
      <c r="I80" s="32">
        <f t="shared" si="31"/>
        <v>-540</v>
      </c>
      <c r="J80" s="32">
        <f t="shared" si="31"/>
        <v>1624.2200000000103</v>
      </c>
      <c r="K80" s="32">
        <f t="shared" si="31"/>
        <v>-8999</v>
      </c>
      <c r="L80" s="32">
        <f t="shared" si="31"/>
        <v>2495</v>
      </c>
      <c r="M80" s="32">
        <f t="shared" si="31"/>
        <v>-2109.1399999999899</v>
      </c>
      <c r="N80" s="32">
        <f t="shared" si="31"/>
        <v>-1373.0100000000002</v>
      </c>
      <c r="O80" s="32">
        <f t="shared" si="31"/>
        <v>-9.9999999976716894E-2</v>
      </c>
      <c r="P80" s="32">
        <f t="shared" si="31"/>
        <v>93.710000000000008</v>
      </c>
      <c r="Q80" s="32">
        <f t="shared" si="31"/>
        <v>3232.7999999999852</v>
      </c>
      <c r="R80" s="32">
        <f t="shared" si="31"/>
        <v>-1146.94</v>
      </c>
      <c r="S80" s="32">
        <f t="shared" si="31"/>
        <v>-200</v>
      </c>
      <c r="T80" s="32">
        <f t="shared" si="31"/>
        <v>0</v>
      </c>
      <c r="U80" s="32">
        <f t="shared" si="31"/>
        <v>0</v>
      </c>
      <c r="V80" s="32">
        <f t="shared" si="31"/>
        <v>0</v>
      </c>
      <c r="AA80" s="8"/>
    </row>
    <row r="81" spans="1:27" hidden="1" outlineLevel="1" x14ac:dyDescent="0.25">
      <c r="A81" s="9"/>
      <c r="B81" s="30" t="s">
        <v>32</v>
      </c>
      <c r="C81" s="31">
        <f t="shared" si="31"/>
        <v>8683.3600000009901</v>
      </c>
      <c r="D81" s="32">
        <f t="shared" si="31"/>
        <v>-4666.1499999999905</v>
      </c>
      <c r="E81" s="32">
        <f t="shared" si="31"/>
        <v>0</v>
      </c>
      <c r="F81" s="32">
        <f t="shared" si="31"/>
        <v>0</v>
      </c>
      <c r="G81" s="32">
        <f t="shared" si="31"/>
        <v>0</v>
      </c>
      <c r="H81" s="32">
        <f t="shared" si="31"/>
        <v>8990.19</v>
      </c>
      <c r="I81" s="32">
        <f t="shared" si="31"/>
        <v>5551.5899999999892</v>
      </c>
      <c r="J81" s="32">
        <f t="shared" si="31"/>
        <v>8640.6799999998893</v>
      </c>
      <c r="K81" s="32">
        <f t="shared" si="31"/>
        <v>-752.13999999999987</v>
      </c>
      <c r="L81" s="32">
        <f t="shared" si="31"/>
        <v>4765.9600000000173</v>
      </c>
      <c r="M81" s="32">
        <f t="shared" si="31"/>
        <v>6255.54</v>
      </c>
      <c r="N81" s="32">
        <f t="shared" si="31"/>
        <v>-416.180000000007</v>
      </c>
      <c r="O81" s="32">
        <f t="shared" si="31"/>
        <v>0</v>
      </c>
      <c r="P81" s="32">
        <f t="shared" si="31"/>
        <v>-24742.489999998899</v>
      </c>
      <c r="Q81" s="32">
        <f t="shared" si="31"/>
        <v>4249.55</v>
      </c>
      <c r="R81" s="32">
        <f t="shared" si="31"/>
        <v>806.61999999999989</v>
      </c>
      <c r="S81" s="32">
        <f t="shared" si="31"/>
        <v>0.19000000000005399</v>
      </c>
      <c r="T81" s="32">
        <f t="shared" si="31"/>
        <v>0</v>
      </c>
      <c r="U81" s="32">
        <f t="shared" si="31"/>
        <v>0</v>
      </c>
      <c r="V81" s="32">
        <f t="shared" si="31"/>
        <v>0</v>
      </c>
      <c r="AA81" s="8"/>
    </row>
    <row r="82" spans="1:27" hidden="1" outlineLevel="1" x14ac:dyDescent="0.25">
      <c r="A82" s="9"/>
      <c r="B82" s="33" t="s">
        <v>33</v>
      </c>
      <c r="C82" s="34">
        <f t="shared" si="31"/>
        <v>240187.59999999928</v>
      </c>
      <c r="D82" s="35">
        <f t="shared" si="31"/>
        <v>32529.01999999999</v>
      </c>
      <c r="E82" s="35">
        <f t="shared" si="31"/>
        <v>-8419.9699999999993</v>
      </c>
      <c r="F82" s="35">
        <f t="shared" si="31"/>
        <v>0</v>
      </c>
      <c r="G82" s="35">
        <f t="shared" si="31"/>
        <v>5904.1399999999012</v>
      </c>
      <c r="H82" s="35">
        <f t="shared" si="31"/>
        <v>20129.260000000009</v>
      </c>
      <c r="I82" s="35">
        <f t="shared" si="31"/>
        <v>8454.64</v>
      </c>
      <c r="J82" s="35">
        <f t="shared" si="31"/>
        <v>46613.549999999101</v>
      </c>
      <c r="K82" s="35">
        <f t="shared" si="31"/>
        <v>-1849.5600000000995</v>
      </c>
      <c r="L82" s="35">
        <f t="shared" si="31"/>
        <v>48316.42</v>
      </c>
      <c r="M82" s="35">
        <f t="shared" si="31"/>
        <v>28110.0100000001</v>
      </c>
      <c r="N82" s="35">
        <f t="shared" si="31"/>
        <v>8400.5700000000979</v>
      </c>
      <c r="O82" s="35">
        <f t="shared" si="31"/>
        <v>19891.059999999998</v>
      </c>
      <c r="P82" s="35">
        <f t="shared" si="31"/>
        <v>-13706.359999999899</v>
      </c>
      <c r="Q82" s="35">
        <f t="shared" si="31"/>
        <v>18224.210000000006</v>
      </c>
      <c r="R82" s="35">
        <f t="shared" si="31"/>
        <v>8002.1499999999978</v>
      </c>
      <c r="S82" s="35">
        <f t="shared" si="31"/>
        <v>19588.460000000003</v>
      </c>
      <c r="T82" s="35">
        <f t="shared" si="31"/>
        <v>0</v>
      </c>
      <c r="U82" s="35">
        <f t="shared" si="31"/>
        <v>0</v>
      </c>
      <c r="V82" s="35">
        <f t="shared" si="31"/>
        <v>0</v>
      </c>
      <c r="AA82" s="8"/>
    </row>
    <row r="83" spans="1:27" hidden="1" outlineLevel="1" x14ac:dyDescent="0.25">
      <c r="A83" s="9"/>
      <c r="B83" s="16" t="s">
        <v>34</v>
      </c>
      <c r="C83" s="36">
        <f t="shared" si="31"/>
        <v>482815.08000000147</v>
      </c>
      <c r="D83" s="37">
        <f t="shared" si="31"/>
        <v>21832.670000001439</v>
      </c>
      <c r="E83" s="37">
        <f t="shared" si="31"/>
        <v>-9020.0099999999929</v>
      </c>
      <c r="F83" s="37">
        <f t="shared" si="31"/>
        <v>0</v>
      </c>
      <c r="G83" s="37">
        <f t="shared" si="31"/>
        <v>-10746.109999999913</v>
      </c>
      <c r="H83" s="37">
        <f t="shared" si="31"/>
        <v>87323.670000000682</v>
      </c>
      <c r="I83" s="37">
        <f t="shared" si="31"/>
        <v>46047.059999999503</v>
      </c>
      <c r="J83" s="37">
        <f t="shared" si="31"/>
        <v>143915.44999999891</v>
      </c>
      <c r="K83" s="37">
        <f t="shared" si="31"/>
        <v>15844.880000000048</v>
      </c>
      <c r="L83" s="37">
        <f t="shared" si="31"/>
        <v>65908.260000000533</v>
      </c>
      <c r="M83" s="37">
        <f t="shared" si="31"/>
        <v>29383.760000000038</v>
      </c>
      <c r="N83" s="37">
        <f t="shared" si="31"/>
        <v>-12970.720000000118</v>
      </c>
      <c r="O83" s="37">
        <f t="shared" si="31"/>
        <v>-1778.4299999991199</v>
      </c>
      <c r="P83" s="37">
        <f t="shared" si="31"/>
        <v>-76189.929999999818</v>
      </c>
      <c r="Q83" s="37">
        <f t="shared" si="31"/>
        <v>122717.28999999998</v>
      </c>
      <c r="R83" s="37">
        <f t="shared" si="31"/>
        <v>36617.359999999666</v>
      </c>
      <c r="S83" s="37">
        <f t="shared" si="31"/>
        <v>23929.880000000107</v>
      </c>
      <c r="T83" s="36">
        <f t="shared" si="31"/>
        <v>0</v>
      </c>
      <c r="U83" s="36">
        <f t="shared" si="31"/>
        <v>0</v>
      </c>
      <c r="V83" s="36">
        <f t="shared" si="31"/>
        <v>0</v>
      </c>
      <c r="AA83" s="8"/>
    </row>
    <row r="84" spans="1:27" hidden="1" outlineLevel="1" x14ac:dyDescent="0.25">
      <c r="A84" s="9"/>
      <c r="B84" s="30" t="s">
        <v>35</v>
      </c>
      <c r="C84" s="31">
        <f t="shared" ref="C84:V91" si="32">+C18-C51</f>
        <v>43190.590000000317</v>
      </c>
      <c r="D84" s="32">
        <f t="shared" si="32"/>
        <v>-2880.400000000096</v>
      </c>
      <c r="E84" s="32">
        <f t="shared" si="32"/>
        <v>-2401.510000000007</v>
      </c>
      <c r="F84" s="32">
        <f t="shared" si="32"/>
        <v>0</v>
      </c>
      <c r="G84" s="32">
        <f t="shared" si="32"/>
        <v>4700.1799999999857</v>
      </c>
      <c r="H84" s="32">
        <f t="shared" si="32"/>
        <v>-45848.04</v>
      </c>
      <c r="I84" s="32">
        <f t="shared" si="32"/>
        <v>-1149.1600000000035</v>
      </c>
      <c r="J84" s="32">
        <f t="shared" si="32"/>
        <v>9633.0000000001091</v>
      </c>
      <c r="K84" s="32">
        <f t="shared" si="32"/>
        <v>-8925.3900000000012</v>
      </c>
      <c r="L84" s="32">
        <f t="shared" si="32"/>
        <v>10427.010000000191</v>
      </c>
      <c r="M84" s="32">
        <f t="shared" si="32"/>
        <v>-4929.3599999999133</v>
      </c>
      <c r="N84" s="32">
        <f t="shared" si="32"/>
        <v>-12570.160000000003</v>
      </c>
      <c r="O84" s="32">
        <f t="shared" si="32"/>
        <v>18443.890000000109</v>
      </c>
      <c r="P84" s="32">
        <f t="shared" si="32"/>
        <v>-15753.11</v>
      </c>
      <c r="Q84" s="32">
        <f t="shared" si="32"/>
        <v>84898.399999999892</v>
      </c>
      <c r="R84" s="32">
        <f t="shared" si="32"/>
        <v>15688.449999999892</v>
      </c>
      <c r="S84" s="32">
        <f t="shared" si="32"/>
        <v>-6143.2100000000974</v>
      </c>
      <c r="T84" s="32">
        <f t="shared" si="32"/>
        <v>0</v>
      </c>
      <c r="U84" s="32">
        <f t="shared" si="32"/>
        <v>0</v>
      </c>
      <c r="V84" s="32">
        <f t="shared" si="32"/>
        <v>0</v>
      </c>
      <c r="AA84" s="8"/>
    </row>
    <row r="85" spans="1:27" hidden="1" outlineLevel="1" x14ac:dyDescent="0.25">
      <c r="A85" s="9"/>
      <c r="B85" s="30" t="s">
        <v>36</v>
      </c>
      <c r="C85" s="31">
        <f t="shared" si="32"/>
        <v>0</v>
      </c>
      <c r="D85" s="32">
        <f t="shared" si="32"/>
        <v>0</v>
      </c>
      <c r="E85" s="32">
        <f t="shared" si="32"/>
        <v>0</v>
      </c>
      <c r="F85" s="32">
        <f t="shared" si="32"/>
        <v>0</v>
      </c>
      <c r="G85" s="32">
        <f t="shared" si="32"/>
        <v>0</v>
      </c>
      <c r="H85" s="32">
        <f t="shared" si="32"/>
        <v>0</v>
      </c>
      <c r="I85" s="32">
        <f t="shared" si="32"/>
        <v>0</v>
      </c>
      <c r="J85" s="32">
        <f t="shared" si="32"/>
        <v>0</v>
      </c>
      <c r="K85" s="32">
        <f t="shared" si="32"/>
        <v>0</v>
      </c>
      <c r="L85" s="32">
        <f t="shared" si="32"/>
        <v>0</v>
      </c>
      <c r="M85" s="32">
        <f t="shared" si="32"/>
        <v>0</v>
      </c>
      <c r="N85" s="32">
        <f t="shared" si="32"/>
        <v>0</v>
      </c>
      <c r="O85" s="32">
        <f t="shared" si="32"/>
        <v>0</v>
      </c>
      <c r="P85" s="32">
        <f t="shared" si="32"/>
        <v>0</v>
      </c>
      <c r="Q85" s="32">
        <f t="shared" si="32"/>
        <v>0</v>
      </c>
      <c r="R85" s="32">
        <f t="shared" si="32"/>
        <v>0</v>
      </c>
      <c r="S85" s="32">
        <f t="shared" si="32"/>
        <v>0</v>
      </c>
      <c r="T85" s="32">
        <f t="shared" si="32"/>
        <v>0</v>
      </c>
      <c r="U85" s="32">
        <f t="shared" si="32"/>
        <v>0</v>
      </c>
      <c r="V85" s="32">
        <f t="shared" si="32"/>
        <v>0</v>
      </c>
      <c r="AA85" s="8"/>
    </row>
    <row r="86" spans="1:27" hidden="1" outlineLevel="1" x14ac:dyDescent="0.25">
      <c r="A86" s="9"/>
      <c r="B86" s="30" t="s">
        <v>37</v>
      </c>
      <c r="C86" s="31">
        <f t="shared" si="32"/>
        <v>-27689.650000000314</v>
      </c>
      <c r="D86" s="32">
        <f t="shared" si="32"/>
        <v>-5805.7300000001997</v>
      </c>
      <c r="E86" s="32">
        <f t="shared" si="32"/>
        <v>-2644.5</v>
      </c>
      <c r="F86" s="32">
        <f t="shared" si="32"/>
        <v>0</v>
      </c>
      <c r="G86" s="32">
        <f t="shared" si="32"/>
        <v>1497.78999999999</v>
      </c>
      <c r="H86" s="32">
        <f t="shared" si="32"/>
        <v>-15519.740000000103</v>
      </c>
      <c r="I86" s="32">
        <f t="shared" si="32"/>
        <v>3685.99999999994</v>
      </c>
      <c r="J86" s="32">
        <f t="shared" si="32"/>
        <v>-11231.820000000051</v>
      </c>
      <c r="K86" s="32">
        <f t="shared" si="32"/>
        <v>2044.4000000000201</v>
      </c>
      <c r="L86" s="32">
        <f t="shared" si="32"/>
        <v>-2652.9400000000905</v>
      </c>
      <c r="M86" s="32">
        <f t="shared" si="32"/>
        <v>7093.0099999999202</v>
      </c>
      <c r="N86" s="32">
        <f t="shared" si="32"/>
        <v>-750.44999999990068</v>
      </c>
      <c r="O86" s="32">
        <f t="shared" si="32"/>
        <v>43791.25</v>
      </c>
      <c r="P86" s="32">
        <f t="shared" si="32"/>
        <v>-8919</v>
      </c>
      <c r="Q86" s="32">
        <f t="shared" si="32"/>
        <v>-17526.659999999898</v>
      </c>
      <c r="R86" s="32">
        <f t="shared" si="32"/>
        <v>-19051.259999999998</v>
      </c>
      <c r="S86" s="32">
        <f t="shared" si="32"/>
        <v>-1700</v>
      </c>
      <c r="T86" s="32">
        <f t="shared" si="32"/>
        <v>0</v>
      </c>
      <c r="U86" s="32">
        <f t="shared" si="32"/>
        <v>0</v>
      </c>
      <c r="V86" s="32">
        <f t="shared" si="32"/>
        <v>0</v>
      </c>
      <c r="AA86" s="8"/>
    </row>
    <row r="87" spans="1:27" hidden="1" outlineLevel="1" x14ac:dyDescent="0.25">
      <c r="A87" s="9"/>
      <c r="B87" s="30" t="s">
        <v>38</v>
      </c>
      <c r="C87" s="31">
        <f>+C21-C54</f>
        <v>-96689.869999999355</v>
      </c>
      <c r="D87" s="32">
        <f t="shared" si="32"/>
        <v>-16691.800000000097</v>
      </c>
      <c r="E87" s="32">
        <f t="shared" si="32"/>
        <v>-11551.4</v>
      </c>
      <c r="F87" s="32">
        <f t="shared" si="32"/>
        <v>0</v>
      </c>
      <c r="G87" s="32">
        <f t="shared" si="32"/>
        <v>-16937.209999999995</v>
      </c>
      <c r="H87" s="32">
        <f t="shared" si="32"/>
        <v>-14894.810000000001</v>
      </c>
      <c r="I87" s="32">
        <f t="shared" si="32"/>
        <v>-52464.510000000009</v>
      </c>
      <c r="J87" s="32">
        <f t="shared" si="32"/>
        <v>33742.630000000099</v>
      </c>
      <c r="K87" s="32">
        <f t="shared" si="32"/>
        <v>-154.4599999990096</v>
      </c>
      <c r="L87" s="32">
        <f t="shared" si="32"/>
        <v>-1722.0299999999988</v>
      </c>
      <c r="M87" s="32">
        <f t="shared" si="32"/>
        <v>-2873.760000000002</v>
      </c>
      <c r="N87" s="32">
        <f t="shared" si="32"/>
        <v>5087.0399999999972</v>
      </c>
      <c r="O87" s="32">
        <f t="shared" si="32"/>
        <v>-25556.100000000006</v>
      </c>
      <c r="P87" s="32">
        <f t="shared" si="32"/>
        <v>-12697.140000000003</v>
      </c>
      <c r="Q87" s="32">
        <f t="shared" si="32"/>
        <v>15077.3999999999</v>
      </c>
      <c r="R87" s="32">
        <f t="shared" si="32"/>
        <v>-3248.1500000000997</v>
      </c>
      <c r="S87" s="32">
        <f t="shared" si="32"/>
        <v>8194.43</v>
      </c>
      <c r="T87" s="32">
        <f t="shared" si="32"/>
        <v>0</v>
      </c>
      <c r="U87" s="32">
        <f t="shared" si="32"/>
        <v>0</v>
      </c>
      <c r="V87" s="32">
        <f t="shared" si="32"/>
        <v>0</v>
      </c>
      <c r="AA87" s="8"/>
    </row>
    <row r="88" spans="1:27" hidden="1" outlineLevel="1" x14ac:dyDescent="0.25">
      <c r="A88" s="9"/>
      <c r="B88" s="16" t="s">
        <v>39</v>
      </c>
      <c r="C88" s="36">
        <f>+C22-C55</f>
        <v>-81188.929999999236</v>
      </c>
      <c r="D88" s="37">
        <f t="shared" si="32"/>
        <v>-25377.9300000004</v>
      </c>
      <c r="E88" s="37">
        <f t="shared" si="32"/>
        <v>-16597.410000000007</v>
      </c>
      <c r="F88" s="37">
        <f t="shared" si="32"/>
        <v>0</v>
      </c>
      <c r="G88" s="37">
        <f t="shared" si="32"/>
        <v>-10739.24000000002</v>
      </c>
      <c r="H88" s="37">
        <f t="shared" si="32"/>
        <v>-76262.590000000084</v>
      </c>
      <c r="I88" s="37">
        <f t="shared" si="32"/>
        <v>-49927.670000000071</v>
      </c>
      <c r="J88" s="37">
        <f t="shared" si="32"/>
        <v>32143.810000000158</v>
      </c>
      <c r="K88" s="37">
        <f t="shared" si="32"/>
        <v>-7035.4499999989912</v>
      </c>
      <c r="L88" s="37">
        <f t="shared" si="32"/>
        <v>6052.0400000000955</v>
      </c>
      <c r="M88" s="37">
        <f t="shared" si="32"/>
        <v>-710.11000000000058</v>
      </c>
      <c r="N88" s="37">
        <f t="shared" si="32"/>
        <v>-8233.5699999999124</v>
      </c>
      <c r="O88" s="37">
        <f t="shared" si="32"/>
        <v>36679.040000000095</v>
      </c>
      <c r="P88" s="37">
        <f t="shared" si="32"/>
        <v>-37369.249999999985</v>
      </c>
      <c r="Q88" s="37">
        <f t="shared" si="32"/>
        <v>82449.139999999883</v>
      </c>
      <c r="R88" s="37">
        <f t="shared" si="32"/>
        <v>-6610.9600000002029</v>
      </c>
      <c r="S88" s="37">
        <f t="shared" si="32"/>
        <v>351.21999999990658</v>
      </c>
      <c r="T88" s="36">
        <f t="shared" si="32"/>
        <v>0</v>
      </c>
      <c r="U88" s="36">
        <f t="shared" si="32"/>
        <v>0</v>
      </c>
      <c r="V88" s="36">
        <f t="shared" si="32"/>
        <v>0</v>
      </c>
      <c r="AA88" s="8"/>
    </row>
    <row r="89" spans="1:27" ht="15.75" hidden="1" outlineLevel="1" thickBot="1" x14ac:dyDescent="0.3">
      <c r="A89" s="9"/>
      <c r="B89" s="27" t="s">
        <v>40</v>
      </c>
      <c r="C89" s="28">
        <f>+C23-C56</f>
        <v>401626.15000000224</v>
      </c>
      <c r="D89" s="38">
        <f t="shared" si="32"/>
        <v>-3545.259999999078</v>
      </c>
      <c r="E89" s="38">
        <f t="shared" si="32"/>
        <v>-25617.42</v>
      </c>
      <c r="F89" s="38">
        <f t="shared" si="32"/>
        <v>0</v>
      </c>
      <c r="G89" s="38">
        <f t="shared" si="32"/>
        <v>-21485.349999999919</v>
      </c>
      <c r="H89" s="38">
        <f t="shared" si="32"/>
        <v>11061.080000000598</v>
      </c>
      <c r="I89" s="38">
        <f t="shared" si="32"/>
        <v>-3880.6100000005681</v>
      </c>
      <c r="J89" s="38">
        <f t="shared" si="32"/>
        <v>176059.25999999908</v>
      </c>
      <c r="K89" s="38">
        <f t="shared" si="32"/>
        <v>8809.4300000010553</v>
      </c>
      <c r="L89" s="38">
        <f t="shared" si="32"/>
        <v>71960.3000000006</v>
      </c>
      <c r="M89" s="38">
        <f t="shared" si="32"/>
        <v>28673.650000000052</v>
      </c>
      <c r="N89" s="38">
        <f t="shared" si="32"/>
        <v>-21204.290000000008</v>
      </c>
      <c r="O89" s="38">
        <f t="shared" si="32"/>
        <v>34900.610000000917</v>
      </c>
      <c r="P89" s="38">
        <f t="shared" si="32"/>
        <v>-113559.17999999976</v>
      </c>
      <c r="Q89" s="38">
        <f t="shared" si="32"/>
        <v>205166.42999999988</v>
      </c>
      <c r="R89" s="38">
        <f t="shared" si="32"/>
        <v>30006.39999999947</v>
      </c>
      <c r="S89" s="38">
        <f t="shared" si="32"/>
        <v>24281.100000000006</v>
      </c>
      <c r="T89" s="28"/>
      <c r="U89" s="28"/>
      <c r="V89" s="28"/>
      <c r="AA89" s="8"/>
    </row>
    <row r="90" spans="1:27" hidden="1" outlineLevel="1" collapsed="1" x14ac:dyDescent="0.25">
      <c r="A90" s="9"/>
      <c r="B90" s="39" t="s">
        <v>41</v>
      </c>
      <c r="C90" s="40">
        <f>+C24-C57</f>
        <v>-140.02699127055394</v>
      </c>
      <c r="D90" s="41">
        <f t="shared" si="32"/>
        <v>-290.41826582926342</v>
      </c>
      <c r="E90" s="41">
        <f t="shared" si="32"/>
        <v>-5.7142857134197455E-3</v>
      </c>
      <c r="F90" s="41">
        <f t="shared" si="32"/>
        <v>0</v>
      </c>
      <c r="G90" s="41">
        <f t="shared" si="32"/>
        <v>-564.13615151514546</v>
      </c>
      <c r="H90" s="41">
        <f t="shared" si="32"/>
        <v>402.90889062772703</v>
      </c>
      <c r="I90" s="41">
        <f t="shared" si="32"/>
        <v>608.98347450979418</v>
      </c>
      <c r="J90" s="41">
        <f t="shared" si="32"/>
        <v>-437.41993659420086</v>
      </c>
      <c r="K90" s="41">
        <f t="shared" si="32"/>
        <v>264.23981034483222</v>
      </c>
      <c r="L90" s="41">
        <f t="shared" si="32"/>
        <v>-622.65285593219392</v>
      </c>
      <c r="M90" s="41">
        <f t="shared" si="32"/>
        <v>-654.77978571428685</v>
      </c>
      <c r="N90" s="41">
        <f t="shared" si="32"/>
        <v>-1684.5690554722719</v>
      </c>
      <c r="O90" s="41">
        <f t="shared" si="32"/>
        <v>-811.53169467786574</v>
      </c>
      <c r="P90" s="41">
        <f t="shared" si="32"/>
        <v>-308.91596153847968</v>
      </c>
      <c r="Q90" s="41">
        <f t="shared" si="32"/>
        <v>1155.4484310284311</v>
      </c>
      <c r="R90" s="41">
        <f t="shared" si="32"/>
        <v>1146.643152173898</v>
      </c>
      <c r="S90" s="42">
        <f t="shared" si="32"/>
        <v>-330.34957894736181</v>
      </c>
      <c r="T90" s="29">
        <f t="shared" si="32"/>
        <v>0</v>
      </c>
      <c r="U90" s="38">
        <f t="shared" si="32"/>
        <v>0</v>
      </c>
      <c r="V90" s="38">
        <f t="shared" si="32"/>
        <v>0</v>
      </c>
      <c r="AA90" s="8"/>
    </row>
    <row r="91" spans="1:27" hidden="1" outlineLevel="1" x14ac:dyDescent="0.25">
      <c r="A91" s="9"/>
      <c r="B91" s="43" t="s">
        <v>42</v>
      </c>
      <c r="C91" s="31">
        <f>+C25-C58</f>
        <v>1718.6419200627192</v>
      </c>
      <c r="D91" s="44">
        <f t="shared" si="32"/>
        <v>-2067.0019999999986</v>
      </c>
      <c r="E91" s="44">
        <f t="shared" si="32"/>
        <v>0</v>
      </c>
      <c r="F91" s="44">
        <f t="shared" si="32"/>
        <v>0</v>
      </c>
      <c r="G91" s="44">
        <f t="shared" si="32"/>
        <v>0</v>
      </c>
      <c r="H91" s="44">
        <f t="shared" si="32"/>
        <v>8990.19</v>
      </c>
      <c r="I91" s="44">
        <f t="shared" si="32"/>
        <v>1722.7033333333311</v>
      </c>
      <c r="J91" s="44">
        <f t="shared" si="32"/>
        <v>3346.2799999999847</v>
      </c>
      <c r="K91" s="44">
        <f t="shared" si="32"/>
        <v>-690.5474999999999</v>
      </c>
      <c r="L91" s="44">
        <f t="shared" si="32"/>
        <v>1191.4900000000043</v>
      </c>
      <c r="M91" s="44">
        <f t="shared" si="32"/>
        <v>3127.77</v>
      </c>
      <c r="N91" s="44">
        <f t="shared" si="32"/>
        <v>-416.180000000007</v>
      </c>
      <c r="O91" s="44">
        <f t="shared" si="32"/>
        <v>0</v>
      </c>
      <c r="P91" s="44">
        <f t="shared" si="32"/>
        <v>5957.7315384616322</v>
      </c>
      <c r="Q91" s="44">
        <f t="shared" si="32"/>
        <v>4249.55</v>
      </c>
      <c r="R91" s="44">
        <f t="shared" si="32"/>
        <v>1520.5616666666667</v>
      </c>
      <c r="S91" s="45">
        <f t="shared" si="32"/>
        <v>0.19000000000005399</v>
      </c>
      <c r="T91" s="32">
        <f t="shared" si="32"/>
        <v>0</v>
      </c>
      <c r="U91" s="44">
        <f t="shared" si="32"/>
        <v>0</v>
      </c>
      <c r="V91" s="44">
        <f t="shared" si="32"/>
        <v>0</v>
      </c>
      <c r="AA91" s="8"/>
    </row>
    <row r="92" spans="1:27" hidden="1" outlineLevel="1" x14ac:dyDescent="0.25">
      <c r="A92" s="9"/>
      <c r="B92" s="43" t="s">
        <v>43</v>
      </c>
      <c r="C92" s="31">
        <f t="shared" ref="C92:V94" si="33">+C26-C59</f>
        <v>72.868562683036089</v>
      </c>
      <c r="D92" s="44">
        <f t="shared" si="33"/>
        <v>26.341785012389892</v>
      </c>
      <c r="E92" s="44">
        <f t="shared" si="33"/>
        <v>-1202.8528571428571</v>
      </c>
      <c r="F92" s="44">
        <f t="shared" si="33"/>
        <v>0</v>
      </c>
      <c r="G92" s="44">
        <f t="shared" si="33"/>
        <v>82.327787878784875</v>
      </c>
      <c r="H92" s="44">
        <f t="shared" si="33"/>
        <v>149.2904990436449</v>
      </c>
      <c r="I92" s="44">
        <f t="shared" si="33"/>
        <v>148.96535294117655</v>
      </c>
      <c r="J92" s="44">
        <f t="shared" si="33"/>
        <v>-74.653677536240593</v>
      </c>
      <c r="K92" s="44">
        <f t="shared" si="33"/>
        <v>-343.85955172414037</v>
      </c>
      <c r="L92" s="44">
        <f t="shared" si="33"/>
        <v>472.75404661016955</v>
      </c>
      <c r="M92" s="44">
        <f t="shared" si="33"/>
        <v>484.7804740259769</v>
      </c>
      <c r="N92" s="44">
        <f t="shared" si="33"/>
        <v>26.797106446780845</v>
      </c>
      <c r="O92" s="44">
        <f t="shared" si="33"/>
        <v>-141.04613912231571</v>
      </c>
      <c r="P92" s="44">
        <f t="shared" si="33"/>
        <v>-19.503025641023896</v>
      </c>
      <c r="Q92" s="44">
        <f t="shared" si="33"/>
        <v>199.29743067743084</v>
      </c>
      <c r="R92" s="44">
        <f t="shared" si="33"/>
        <v>275.22146739130426</v>
      </c>
      <c r="S92" s="45">
        <f t="shared" si="33"/>
        <v>694.26954385964927</v>
      </c>
      <c r="T92" s="35">
        <f t="shared" si="33"/>
        <v>0</v>
      </c>
      <c r="U92" s="46">
        <f t="shared" si="33"/>
        <v>0</v>
      </c>
      <c r="V92" s="46">
        <f t="shared" si="33"/>
        <v>0</v>
      </c>
      <c r="AA92" s="8"/>
    </row>
    <row r="93" spans="1:27" ht="15.75" hidden="1" outlineLevel="1" thickBot="1" x14ac:dyDescent="0.3">
      <c r="A93" s="9"/>
      <c r="B93" s="47" t="s">
        <v>44</v>
      </c>
      <c r="C93" s="48">
        <f t="shared" si="33"/>
        <v>-67.158428587517847</v>
      </c>
      <c r="D93" s="49">
        <f t="shared" si="33"/>
        <v>-264.07648081687375</v>
      </c>
      <c r="E93" s="49">
        <f t="shared" si="33"/>
        <v>-1202.8585714285705</v>
      </c>
      <c r="F93" s="49">
        <f t="shared" si="33"/>
        <v>0</v>
      </c>
      <c r="G93" s="49">
        <f t="shared" si="33"/>
        <v>-481.80836363636058</v>
      </c>
      <c r="H93" s="49">
        <f t="shared" si="33"/>
        <v>552.19938967137205</v>
      </c>
      <c r="I93" s="49">
        <f t="shared" si="33"/>
        <v>757.94882745097084</v>
      </c>
      <c r="J93" s="49">
        <f t="shared" si="33"/>
        <v>-512.07361413044146</v>
      </c>
      <c r="K93" s="49">
        <f t="shared" si="33"/>
        <v>-79.619741379307925</v>
      </c>
      <c r="L93" s="49">
        <f t="shared" si="33"/>
        <v>-149.89880932202459</v>
      </c>
      <c r="M93" s="49">
        <f t="shared" si="33"/>
        <v>-169.99931168831017</v>
      </c>
      <c r="N93" s="49">
        <f t="shared" si="33"/>
        <v>-1657.7719490254913</v>
      </c>
      <c r="O93" s="49">
        <f t="shared" si="33"/>
        <v>-952.57783380018191</v>
      </c>
      <c r="P93" s="49">
        <f t="shared" si="33"/>
        <v>-328.41898717950426</v>
      </c>
      <c r="Q93" s="49">
        <f t="shared" si="33"/>
        <v>1354.7458617058619</v>
      </c>
      <c r="R93" s="49">
        <f t="shared" si="33"/>
        <v>1421.8646195652027</v>
      </c>
      <c r="S93" s="50">
        <f t="shared" si="33"/>
        <v>363.91996491228747</v>
      </c>
      <c r="T93" s="51">
        <f t="shared" si="33"/>
        <v>0</v>
      </c>
      <c r="U93" s="37">
        <f t="shared" si="33"/>
        <v>0</v>
      </c>
      <c r="V93" s="37">
        <f t="shared" si="33"/>
        <v>0</v>
      </c>
      <c r="AA93" s="8"/>
    </row>
    <row r="94" spans="1:27" collapsed="1" x14ac:dyDescent="0.25">
      <c r="A94" s="9"/>
      <c r="B94" s="52" t="s">
        <v>45</v>
      </c>
      <c r="C94" s="53">
        <f>+C28-C61</f>
        <v>-21.119949417857697</v>
      </c>
      <c r="D94" s="54">
        <f t="shared" si="33"/>
        <v>-419.01567251460892</v>
      </c>
      <c r="E94" s="54">
        <f t="shared" si="33"/>
        <v>-1288.572857142856</v>
      </c>
      <c r="F94" s="54">
        <f t="shared" si="33"/>
        <v>0</v>
      </c>
      <c r="G94" s="54">
        <f t="shared" si="33"/>
        <v>-547.92939393939082</v>
      </c>
      <c r="H94" s="54">
        <f t="shared" si="33"/>
        <v>649.51589144624813</v>
      </c>
      <c r="I94" s="54">
        <f t="shared" si="33"/>
        <v>760.22265669514763</v>
      </c>
      <c r="J94" s="54">
        <f t="shared" si="33"/>
        <v>196.36072267056988</v>
      </c>
      <c r="K94" s="54">
        <f t="shared" si="33"/>
        <v>-165.71348484848295</v>
      </c>
      <c r="L94" s="54">
        <f t="shared" si="33"/>
        <v>76.490043290053109</v>
      </c>
      <c r="M94" s="54">
        <f t="shared" si="33"/>
        <v>-254.45355900620871</v>
      </c>
      <c r="N94" s="54">
        <f t="shared" si="33"/>
        <v>-1490.4676436781647</v>
      </c>
      <c r="O94" s="54">
        <f t="shared" si="33"/>
        <v>-952.57862745097464</v>
      </c>
      <c r="P94" s="54">
        <f t="shared" si="33"/>
        <v>1.2921587152050051E-2</v>
      </c>
      <c r="Q94" s="54">
        <f t="shared" si="33"/>
        <v>1386.4044455994458</v>
      </c>
      <c r="R94" s="54">
        <f t="shared" si="33"/>
        <v>1546.401430395902</v>
      </c>
      <c r="S94" s="55">
        <f t="shared" si="33"/>
        <v>622.39319078948029</v>
      </c>
      <c r="T94" s="56">
        <f t="shared" si="33"/>
        <v>0</v>
      </c>
      <c r="U94" s="36">
        <f t="shared" si="33"/>
        <v>0</v>
      </c>
      <c r="V94" s="36">
        <f t="shared" si="33"/>
        <v>0</v>
      </c>
      <c r="AA94" s="8"/>
    </row>
    <row r="95" spans="1:27" hidden="1" outlineLevel="1" x14ac:dyDescent="0.25">
      <c r="A95" s="9"/>
      <c r="B95" s="43" t="s">
        <v>46</v>
      </c>
      <c r="C95" s="31">
        <f t="shared" ref="C95:V101" si="34">+C29-C62</f>
        <v>105.92160016869934</v>
      </c>
      <c r="D95" s="44">
        <f t="shared" si="34"/>
        <v>-247.70922348485055</v>
      </c>
      <c r="E95" s="44">
        <f t="shared" si="34"/>
        <v>-343.07285714285814</v>
      </c>
      <c r="F95" s="44">
        <f t="shared" si="34"/>
        <v>0</v>
      </c>
      <c r="G95" s="44">
        <f t="shared" si="34"/>
        <v>-44.859444444444989</v>
      </c>
      <c r="H95" s="44">
        <f t="shared" si="34"/>
        <v>-1072.1844444444446</v>
      </c>
      <c r="I95" s="44">
        <f t="shared" si="34"/>
        <v>1727.6528992248061</v>
      </c>
      <c r="J95" s="44">
        <f t="shared" si="34"/>
        <v>-192.01229411764439</v>
      </c>
      <c r="K95" s="44">
        <f t="shared" si="34"/>
        <v>-1539.0636666666667</v>
      </c>
      <c r="L95" s="44">
        <f t="shared" si="34"/>
        <v>234.06968854283173</v>
      </c>
      <c r="M95" s="44">
        <f t="shared" si="34"/>
        <v>-12.742467672411067</v>
      </c>
      <c r="N95" s="44">
        <f t="shared" si="34"/>
        <v>-897.86857142857139</v>
      </c>
      <c r="O95" s="44">
        <f t="shared" si="34"/>
        <v>-94.560572562354537</v>
      </c>
      <c r="P95" s="44">
        <f t="shared" si="34"/>
        <v>-258.26806020066897</v>
      </c>
      <c r="Q95" s="44">
        <f t="shared" si="34"/>
        <v>1423.5296341463388</v>
      </c>
      <c r="R95" s="44">
        <f t="shared" si="34"/>
        <v>3519.8427499999784</v>
      </c>
      <c r="S95" s="45">
        <f t="shared" si="34"/>
        <v>-161.78540372671273</v>
      </c>
      <c r="T95" s="32">
        <f t="shared" si="34"/>
        <v>0</v>
      </c>
      <c r="U95" s="44">
        <f t="shared" si="34"/>
        <v>0</v>
      </c>
      <c r="V95" s="44">
        <f t="shared" si="34"/>
        <v>0</v>
      </c>
      <c r="AA95" s="8"/>
    </row>
    <row r="96" spans="1:27" hidden="1" outlineLevel="1" x14ac:dyDescent="0.25">
      <c r="A96" s="9"/>
      <c r="B96" s="43" t="s">
        <v>47</v>
      </c>
      <c r="C96" s="31">
        <f t="shared" si="34"/>
        <v>0</v>
      </c>
      <c r="D96" s="44">
        <f t="shared" si="34"/>
        <v>0</v>
      </c>
      <c r="E96" s="44">
        <f t="shared" si="34"/>
        <v>0</v>
      </c>
      <c r="F96" s="44">
        <f t="shared" si="34"/>
        <v>0</v>
      </c>
      <c r="G96" s="44">
        <f t="shared" si="34"/>
        <v>0</v>
      </c>
      <c r="H96" s="44">
        <f t="shared" si="34"/>
        <v>0</v>
      </c>
      <c r="I96" s="44">
        <f t="shared" si="34"/>
        <v>0</v>
      </c>
      <c r="J96" s="44">
        <f t="shared" si="34"/>
        <v>0</v>
      </c>
      <c r="K96" s="44">
        <f t="shared" si="34"/>
        <v>0</v>
      </c>
      <c r="L96" s="44">
        <f t="shared" si="34"/>
        <v>0</v>
      </c>
      <c r="M96" s="44">
        <f t="shared" si="34"/>
        <v>0</v>
      </c>
      <c r="N96" s="44">
        <f t="shared" si="34"/>
        <v>0</v>
      </c>
      <c r="O96" s="44">
        <f t="shared" si="34"/>
        <v>0</v>
      </c>
      <c r="P96" s="44">
        <f t="shared" si="34"/>
        <v>0</v>
      </c>
      <c r="Q96" s="44">
        <f t="shared" si="34"/>
        <v>0</v>
      </c>
      <c r="R96" s="44">
        <f t="shared" si="34"/>
        <v>0</v>
      </c>
      <c r="S96" s="45">
        <f t="shared" si="34"/>
        <v>0</v>
      </c>
      <c r="T96" s="32">
        <f t="shared" si="34"/>
        <v>0</v>
      </c>
      <c r="U96" s="44">
        <f t="shared" si="34"/>
        <v>0</v>
      </c>
      <c r="V96" s="44">
        <f t="shared" si="34"/>
        <v>0</v>
      </c>
      <c r="AA96" s="8"/>
    </row>
    <row r="97" spans="1:27" hidden="1" outlineLevel="1" x14ac:dyDescent="0.25">
      <c r="A97" s="9"/>
      <c r="B97" s="43" t="s">
        <v>48</v>
      </c>
      <c r="C97" s="31">
        <f t="shared" si="34"/>
        <v>-123.63962244395248</v>
      </c>
      <c r="D97" s="44">
        <f t="shared" si="34"/>
        <v>-217.50430952381259</v>
      </c>
      <c r="E97" s="44">
        <f t="shared" si="34"/>
        <v>-440.75</v>
      </c>
      <c r="F97" s="44">
        <f t="shared" si="34"/>
        <v>0</v>
      </c>
      <c r="G97" s="44">
        <f t="shared" si="34"/>
        <v>474.81539682539528</v>
      </c>
      <c r="H97" s="44">
        <f t="shared" si="34"/>
        <v>-891.47951178451558</v>
      </c>
      <c r="I97" s="44">
        <f t="shared" si="34"/>
        <v>-69.48896321070373</v>
      </c>
      <c r="J97" s="44">
        <f t="shared" si="34"/>
        <v>-397.64745073891805</v>
      </c>
      <c r="K97" s="44">
        <f t="shared" si="34"/>
        <v>97.147222222223348</v>
      </c>
      <c r="L97" s="44">
        <f t="shared" si="34"/>
        <v>-42.615992555834566</v>
      </c>
      <c r="M97" s="44">
        <f t="shared" si="34"/>
        <v>308.39173913043129</v>
      </c>
      <c r="N97" s="44">
        <f t="shared" si="34"/>
        <v>-37.522499999995034</v>
      </c>
      <c r="O97" s="44">
        <f t="shared" si="34"/>
        <v>753.65873460246348</v>
      </c>
      <c r="P97" s="44">
        <f t="shared" si="34"/>
        <v>-159.72542986425333</v>
      </c>
      <c r="Q97" s="44">
        <f t="shared" si="34"/>
        <v>-582.41189285713995</v>
      </c>
      <c r="R97" s="44">
        <f t="shared" si="34"/>
        <v>-202.80741418764296</v>
      </c>
      <c r="S97" s="45">
        <f t="shared" si="34"/>
        <v>-1700</v>
      </c>
      <c r="T97" s="32">
        <f t="shared" si="34"/>
        <v>0</v>
      </c>
      <c r="U97" s="44">
        <f t="shared" si="34"/>
        <v>0</v>
      </c>
      <c r="V97" s="44">
        <f t="shared" si="34"/>
        <v>0</v>
      </c>
      <c r="AA97" s="8"/>
    </row>
    <row r="98" spans="1:27" hidden="1" outlineLevel="1" x14ac:dyDescent="0.25">
      <c r="A98" s="9"/>
      <c r="B98" s="43" t="s">
        <v>49</v>
      </c>
      <c r="C98" s="31">
        <f t="shared" si="34"/>
        <v>-285.29366123436171</v>
      </c>
      <c r="D98" s="44">
        <f t="shared" si="34"/>
        <v>-482.41897727272931</v>
      </c>
      <c r="E98" s="44">
        <f t="shared" si="34"/>
        <v>-1650.2</v>
      </c>
      <c r="F98" s="44">
        <f t="shared" si="34"/>
        <v>0</v>
      </c>
      <c r="G98" s="44">
        <f t="shared" si="34"/>
        <v>-1345.6583333333331</v>
      </c>
      <c r="H98" s="44">
        <f t="shared" si="34"/>
        <v>-103.68705128205306</v>
      </c>
      <c r="I98" s="44">
        <f t="shared" si="34"/>
        <v>127.24035658914295</v>
      </c>
      <c r="J98" s="44">
        <f t="shared" si="34"/>
        <v>407.5704117647108</v>
      </c>
      <c r="K98" s="44">
        <f t="shared" si="34"/>
        <v>-711.05866666650149</v>
      </c>
      <c r="L98" s="44">
        <f t="shared" si="34"/>
        <v>-154.5682424916572</v>
      </c>
      <c r="M98" s="44">
        <f t="shared" si="34"/>
        <v>24.516982758620543</v>
      </c>
      <c r="N98" s="44">
        <f t="shared" si="34"/>
        <v>363.3599999999999</v>
      </c>
      <c r="O98" s="44">
        <f t="shared" si="34"/>
        <v>-1054.1763265306124</v>
      </c>
      <c r="P98" s="44">
        <f t="shared" si="34"/>
        <v>-328.61162207357916</v>
      </c>
      <c r="Q98" s="44">
        <f t="shared" si="34"/>
        <v>-303.05642276423009</v>
      </c>
      <c r="R98" s="44">
        <f t="shared" si="34"/>
        <v>590.98399999997991</v>
      </c>
      <c r="S98" s="45">
        <f t="shared" si="34"/>
        <v>453.80308488612843</v>
      </c>
      <c r="T98" s="32">
        <f t="shared" si="34"/>
        <v>0</v>
      </c>
      <c r="U98" s="44">
        <f t="shared" si="34"/>
        <v>0</v>
      </c>
      <c r="V98" s="44">
        <f t="shared" si="34"/>
        <v>0</v>
      </c>
      <c r="AA98" s="8"/>
    </row>
    <row r="99" spans="1:27" hidden="1" outlineLevel="1" x14ac:dyDescent="0.25">
      <c r="A99" s="9"/>
      <c r="B99" s="57" t="s">
        <v>50</v>
      </c>
      <c r="C99" s="34">
        <f t="shared" si="34"/>
        <v>-179.37206106566282</v>
      </c>
      <c r="D99" s="46">
        <f t="shared" si="34"/>
        <v>-730.12820075758009</v>
      </c>
      <c r="E99" s="46">
        <f t="shared" si="34"/>
        <v>-1993.2728571428581</v>
      </c>
      <c r="F99" s="46">
        <f t="shared" si="34"/>
        <v>0</v>
      </c>
      <c r="G99" s="46">
        <f t="shared" si="34"/>
        <v>-1390.5177777777781</v>
      </c>
      <c r="H99" s="46">
        <f t="shared" si="34"/>
        <v>-1175.8714957264974</v>
      </c>
      <c r="I99" s="46">
        <f t="shared" si="34"/>
        <v>1854.8932558139491</v>
      </c>
      <c r="J99" s="46">
        <f t="shared" si="34"/>
        <v>215.55811764706687</v>
      </c>
      <c r="K99" s="46">
        <f t="shared" si="34"/>
        <v>-2250.1223333331682</v>
      </c>
      <c r="L99" s="46">
        <f t="shared" si="34"/>
        <v>79.501446051174753</v>
      </c>
      <c r="M99" s="46">
        <f t="shared" si="34"/>
        <v>11.774515086209703</v>
      </c>
      <c r="N99" s="46">
        <f t="shared" si="34"/>
        <v>-534.50857142857149</v>
      </c>
      <c r="O99" s="46">
        <f t="shared" si="34"/>
        <v>-1148.7368990929667</v>
      </c>
      <c r="P99" s="46">
        <f t="shared" si="34"/>
        <v>-586.8796822742479</v>
      </c>
      <c r="Q99" s="46">
        <f t="shared" si="34"/>
        <v>1120.4732113821087</v>
      </c>
      <c r="R99" s="46">
        <f t="shared" si="34"/>
        <v>4110.8267499999583</v>
      </c>
      <c r="S99" s="58">
        <f t="shared" si="34"/>
        <v>292.01768115941559</v>
      </c>
      <c r="T99" s="51">
        <f t="shared" si="34"/>
        <v>0</v>
      </c>
      <c r="U99" s="37">
        <f t="shared" si="34"/>
        <v>0</v>
      </c>
      <c r="V99" s="36">
        <f t="shared" si="34"/>
        <v>0</v>
      </c>
      <c r="AA99" s="8"/>
    </row>
    <row r="100" spans="1:27" collapsed="1" x14ac:dyDescent="0.25">
      <c r="A100" s="9"/>
      <c r="B100" s="59" t="s">
        <v>51</v>
      </c>
      <c r="C100" s="36">
        <f t="shared" si="34"/>
        <v>-191.36522985795841</v>
      </c>
      <c r="D100" s="37">
        <f t="shared" si="34"/>
        <v>-473.72372881356273</v>
      </c>
      <c r="E100" s="37">
        <f t="shared" si="34"/>
        <v>-1276.7238461538468</v>
      </c>
      <c r="F100" s="37">
        <f t="shared" si="34"/>
        <v>0</v>
      </c>
      <c r="G100" s="37">
        <f t="shared" si="34"/>
        <v>-549.86640000000079</v>
      </c>
      <c r="H100" s="37">
        <f t="shared" si="34"/>
        <v>-1463.8260416666687</v>
      </c>
      <c r="I100" s="37">
        <f t="shared" si="34"/>
        <v>-774.78052691090102</v>
      </c>
      <c r="J100" s="37">
        <f t="shared" si="34"/>
        <v>213.12600198412952</v>
      </c>
      <c r="K100" s="37">
        <f t="shared" si="34"/>
        <v>-253.5198484848064</v>
      </c>
      <c r="L100" s="37">
        <f t="shared" si="34"/>
        <v>193.95231578947528</v>
      </c>
      <c r="M100" s="37">
        <f t="shared" si="34"/>
        <v>87.265727272726963</v>
      </c>
      <c r="N100" s="37">
        <f t="shared" si="34"/>
        <v>-242.16382352940923</v>
      </c>
      <c r="O100" s="37">
        <f t="shared" si="34"/>
        <v>-149.08672015765615</v>
      </c>
      <c r="P100" s="37">
        <f t="shared" si="34"/>
        <v>-320.5570155038763</v>
      </c>
      <c r="Q100" s="37">
        <f t="shared" si="34"/>
        <v>480.77854781334918</v>
      </c>
      <c r="R100" s="37">
        <f t="shared" si="34"/>
        <v>575.61560559005466</v>
      </c>
      <c r="S100" s="60">
        <f t="shared" si="34"/>
        <v>-276.94000000000347</v>
      </c>
      <c r="T100" s="56">
        <f t="shared" si="34"/>
        <v>0</v>
      </c>
      <c r="U100" s="36">
        <f t="shared" si="34"/>
        <v>0</v>
      </c>
      <c r="V100" s="36">
        <f t="shared" si="34"/>
        <v>0</v>
      </c>
      <c r="AA100" s="8"/>
    </row>
    <row r="101" spans="1:27" ht="15.75" thickBot="1" x14ac:dyDescent="0.3">
      <c r="A101" s="9"/>
      <c r="B101" s="61" t="s">
        <v>52</v>
      </c>
      <c r="C101" s="62">
        <f t="shared" si="34"/>
        <v>-50.158059238463466</v>
      </c>
      <c r="D101" s="62">
        <f t="shared" si="34"/>
        <v>-427.1836058711865</v>
      </c>
      <c r="E101" s="62">
        <f t="shared" si="34"/>
        <v>-1280.8709999999999</v>
      </c>
      <c r="F101" s="62">
        <f t="shared" si="34"/>
        <v>0</v>
      </c>
      <c r="G101" s="62">
        <f t="shared" si="34"/>
        <v>-556.30383780331931</v>
      </c>
      <c r="H101" s="62">
        <f t="shared" si="34"/>
        <v>-117.29063719975693</v>
      </c>
      <c r="I101" s="62">
        <f t="shared" si="34"/>
        <v>-86.852825325680897</v>
      </c>
      <c r="J101" s="62">
        <f t="shared" si="34"/>
        <v>318.42687357288332</v>
      </c>
      <c r="K101" s="62">
        <f t="shared" si="34"/>
        <v>-56.37609649120941</v>
      </c>
      <c r="L101" s="62">
        <f t="shared" si="34"/>
        <v>290.00891025641567</v>
      </c>
      <c r="M101" s="62">
        <f t="shared" si="34"/>
        <v>86.739249433107489</v>
      </c>
      <c r="N101" s="62">
        <f t="shared" si="34"/>
        <v>-630.46426382047093</v>
      </c>
      <c r="O101" s="62">
        <f t="shared" si="34"/>
        <v>-689.64719457830915</v>
      </c>
      <c r="P101" s="62">
        <f t="shared" si="34"/>
        <v>-139.83412142333054</v>
      </c>
      <c r="Q101" s="62">
        <f t="shared" si="34"/>
        <v>815.32513122428782</v>
      </c>
      <c r="R101" s="62">
        <f t="shared" si="34"/>
        <v>1188.2259878787795</v>
      </c>
      <c r="S101" s="63">
        <f t="shared" si="34"/>
        <v>95.166686170213325</v>
      </c>
      <c r="T101" s="7"/>
      <c r="U101" s="7"/>
      <c r="V101" s="7"/>
      <c r="AA101" s="8"/>
    </row>
    <row r="102" spans="1:27" ht="5.0999999999999996" customHeight="1" x14ac:dyDescent="0.25"/>
    <row r="103" spans="1:27" ht="15.75" x14ac:dyDescent="0.25">
      <c r="B103" s="88" t="s">
        <v>54</v>
      </c>
      <c r="C103" s="65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</row>
    <row r="104" spans="1:27" x14ac:dyDescent="0.25">
      <c r="B104" s="70" t="s">
        <v>55</v>
      </c>
      <c r="C104" s="37">
        <f>SUM(D104:S104)</f>
        <v>500.87363907164939</v>
      </c>
      <c r="D104" s="37">
        <f t="shared" ref="D104:S104" si="35">(D73)*(D61)/1000</f>
        <v>93.484349999999552</v>
      </c>
      <c r="E104" s="37">
        <f t="shared" si="35"/>
        <v>-9.0200099999999921</v>
      </c>
      <c r="F104" s="37">
        <f t="shared" si="35"/>
        <v>0</v>
      </c>
      <c r="G104" s="37">
        <f t="shared" si="35"/>
        <v>7.3355599999999903</v>
      </c>
      <c r="H104" s="37">
        <f t="shared" si="35"/>
        <v>34.063366901408315</v>
      </c>
      <c r="I104" s="37">
        <f t="shared" si="35"/>
        <v>4.9950365384615445</v>
      </c>
      <c r="J104" s="37">
        <f t="shared" si="35"/>
        <v>125.45754206896532</v>
      </c>
      <c r="K104" s="37">
        <f t="shared" si="35"/>
        <v>22.804846363636329</v>
      </c>
      <c r="L104" s="37">
        <f t="shared" si="35"/>
        <v>61.089387272727208</v>
      </c>
      <c r="M104" s="37">
        <f t="shared" si="35"/>
        <v>41.088623714285639</v>
      </c>
      <c r="N104" s="37">
        <f t="shared" si="35"/>
        <v>30.252841666666669</v>
      </c>
      <c r="O104" s="37">
        <f t="shared" si="35"/>
        <v>143.96610000000001</v>
      </c>
      <c r="P104" s="37">
        <f t="shared" si="35"/>
        <v>-76.190679452054638</v>
      </c>
      <c r="Q104" s="37">
        <f t="shared" si="35"/>
        <v>14.577743243243191</v>
      </c>
      <c r="R104" s="37">
        <f t="shared" si="35"/>
        <v>-5.1354786206896748</v>
      </c>
      <c r="S104" s="37">
        <f t="shared" si="35"/>
        <v>12.104409374999982</v>
      </c>
    </row>
    <row r="105" spans="1:27" hidden="1" outlineLevel="1" x14ac:dyDescent="0.25">
      <c r="B105" s="71" t="s">
        <v>41</v>
      </c>
      <c r="C105" s="89">
        <f t="shared" ref="C105:C111" si="36">SUM(D105:S105)</f>
        <v>428.93317766416249</v>
      </c>
      <c r="D105" s="89">
        <f t="shared" ref="D105:S106" si="37">(D71)*D57/1000</f>
        <v>53.478202127659173</v>
      </c>
      <c r="E105" s="89">
        <f t="shared" si="37"/>
        <v>-3.9999999993938215E-5</v>
      </c>
      <c r="F105" s="89">
        <f t="shared" si="37"/>
        <v>0</v>
      </c>
      <c r="G105" s="89">
        <f t="shared" si="37"/>
        <v>3.4997829999999905</v>
      </c>
      <c r="H105" s="89">
        <f t="shared" si="37"/>
        <v>22.982509859154817</v>
      </c>
      <c r="I105" s="89">
        <f t="shared" si="37"/>
        <v>1.5226728000000034</v>
      </c>
      <c r="J105" s="89">
        <f t="shared" si="37"/>
        <v>127.2796341666664</v>
      </c>
      <c r="K105" s="89">
        <f t="shared" si="37"/>
        <v>16.87598758620685</v>
      </c>
      <c r="L105" s="89">
        <f t="shared" si="37"/>
        <v>47.067398499999946</v>
      </c>
      <c r="M105" s="89">
        <f t="shared" si="37"/>
        <v>25.937660571428545</v>
      </c>
      <c r="N105" s="89">
        <f t="shared" si="37"/>
        <v>29.270402608695679</v>
      </c>
      <c r="O105" s="89">
        <f t="shared" si="37"/>
        <v>102.4949592857143</v>
      </c>
      <c r="P105" s="89">
        <f t="shared" si="37"/>
        <v>-21.771160000000041</v>
      </c>
      <c r="Q105" s="89">
        <f t="shared" si="37"/>
        <v>8.0412008108107713</v>
      </c>
      <c r="R105" s="89">
        <f t="shared" si="37"/>
        <v>1.4360943478260999</v>
      </c>
      <c r="S105" s="89">
        <f t="shared" si="37"/>
        <v>10.817871999999975</v>
      </c>
    </row>
    <row r="106" spans="1:27" hidden="1" outlineLevel="1" x14ac:dyDescent="0.25">
      <c r="B106" s="71" t="s">
        <v>42</v>
      </c>
      <c r="C106" s="90">
        <f t="shared" si="36"/>
        <v>-56.030519230768782</v>
      </c>
      <c r="D106" s="89">
        <f t="shared" si="37"/>
        <v>5.6688600000000005</v>
      </c>
      <c r="E106" s="90">
        <f t="shared" si="37"/>
        <v>0</v>
      </c>
      <c r="F106" s="90">
        <f t="shared" si="37"/>
        <v>0</v>
      </c>
      <c r="G106" s="90">
        <f t="shared" si="37"/>
        <v>0</v>
      </c>
      <c r="H106" s="90">
        <f t="shared" si="37"/>
        <v>0</v>
      </c>
      <c r="I106" s="89">
        <f t="shared" si="37"/>
        <v>0.38347999999999555</v>
      </c>
      <c r="J106" s="90">
        <f t="shared" si="37"/>
        <v>1.9481199999999201</v>
      </c>
      <c r="K106" s="89">
        <f t="shared" si="37"/>
        <v>0.62895500000000004</v>
      </c>
      <c r="L106" s="90">
        <f t="shared" si="37"/>
        <v>0</v>
      </c>
      <c r="M106" s="90">
        <f t="shared" si="37"/>
        <v>0</v>
      </c>
      <c r="N106" s="90">
        <f t="shared" si="37"/>
        <v>-0.41618000000000699</v>
      </c>
      <c r="O106" s="89">
        <f t="shared" si="37"/>
        <v>0</v>
      </c>
      <c r="P106" s="90">
        <f t="shared" si="37"/>
        <v>-60.488879230768688</v>
      </c>
      <c r="Q106" s="90">
        <f t="shared" si="37"/>
        <v>0</v>
      </c>
      <c r="R106" s="90">
        <f t="shared" si="37"/>
        <v>-3.7550649999999997</v>
      </c>
      <c r="S106" s="90">
        <f t="shared" si="37"/>
        <v>1.9000000000005398E-4</v>
      </c>
    </row>
    <row r="107" spans="1:27" hidden="1" outlineLevel="1" x14ac:dyDescent="0.25">
      <c r="B107" s="71" t="s">
        <v>43</v>
      </c>
      <c r="C107" s="89">
        <f t="shared" si="36"/>
        <v>171.48273587976817</v>
      </c>
      <c r="D107" s="89">
        <f t="shared" ref="D107:S107" si="38">(D71)*D59/1000</f>
        <v>28.156283687943262</v>
      </c>
      <c r="E107" s="89">
        <f t="shared" si="38"/>
        <v>-8.4199699999999993</v>
      </c>
      <c r="F107" s="89">
        <f t="shared" si="38"/>
        <v>0</v>
      </c>
      <c r="G107" s="89">
        <f t="shared" si="38"/>
        <v>3.1873230000000001</v>
      </c>
      <c r="H107" s="89">
        <f t="shared" si="38"/>
        <v>8.036729577464774</v>
      </c>
      <c r="I107" s="89">
        <f t="shared" si="38"/>
        <v>0.85740699999999992</v>
      </c>
      <c r="J107" s="89">
        <f t="shared" si="38"/>
        <v>53.481688333333238</v>
      </c>
      <c r="K107" s="89">
        <f t="shared" si="38"/>
        <v>11.904822068965515</v>
      </c>
      <c r="L107" s="89">
        <f t="shared" si="38"/>
        <v>20.423931249999999</v>
      </c>
      <c r="M107" s="89">
        <f t="shared" si="38"/>
        <v>6.7796691428571165</v>
      </c>
      <c r="N107" s="89">
        <f t="shared" si="38"/>
        <v>7.6234539130434529</v>
      </c>
      <c r="O107" s="89">
        <f t="shared" si="38"/>
        <v>41.471119285714288</v>
      </c>
      <c r="P107" s="89">
        <f t="shared" si="38"/>
        <v>-12.692202666666653</v>
      </c>
      <c r="Q107" s="89">
        <f t="shared" si="38"/>
        <v>2.8783078378378377</v>
      </c>
      <c r="R107" s="89">
        <f t="shared" si="38"/>
        <v>1.3968347826086955</v>
      </c>
      <c r="S107" s="89">
        <f t="shared" si="38"/>
        <v>6.3973386666666663</v>
      </c>
    </row>
    <row r="108" spans="1:27" collapsed="1" x14ac:dyDescent="0.25">
      <c r="B108" s="91" t="s">
        <v>56</v>
      </c>
      <c r="C108" s="89">
        <f t="shared" si="36"/>
        <v>-18.058559071647512</v>
      </c>
      <c r="D108" s="89">
        <f t="shared" ref="D108:S108" si="39">D94*D7/1000</f>
        <v>-71.651679999998137</v>
      </c>
      <c r="E108" s="89">
        <f t="shared" si="39"/>
        <v>0</v>
      </c>
      <c r="F108" s="89">
        <f t="shared" si="39"/>
        <v>0</v>
      </c>
      <c r="G108" s="89">
        <f t="shared" si="39"/>
        <v>-18.081669999999896</v>
      </c>
      <c r="H108" s="89">
        <f t="shared" si="39"/>
        <v>53.260303098592345</v>
      </c>
      <c r="I108" s="89">
        <f t="shared" si="39"/>
        <v>41.052023461537971</v>
      </c>
      <c r="J108" s="89">
        <f t="shared" si="39"/>
        <v>18.457907931033571</v>
      </c>
      <c r="K108" s="89">
        <f t="shared" si="39"/>
        <v>-6.9599663636362843</v>
      </c>
      <c r="L108" s="89">
        <f t="shared" si="39"/>
        <v>4.8188727272733463</v>
      </c>
      <c r="M108" s="89">
        <f t="shared" si="39"/>
        <v>-11.704863714285601</v>
      </c>
      <c r="N108" s="89">
        <f t="shared" si="39"/>
        <v>-43.223561666666775</v>
      </c>
      <c r="O108" s="89">
        <f t="shared" si="39"/>
        <v>-145.74452999999912</v>
      </c>
      <c r="P108" s="89">
        <f t="shared" si="39"/>
        <v>7.4945205481890295E-4</v>
      </c>
      <c r="Q108" s="89">
        <f t="shared" si="39"/>
        <v>108.13954675675677</v>
      </c>
      <c r="R108" s="89">
        <f t="shared" si="39"/>
        <v>41.752838620689353</v>
      </c>
      <c r="S108" s="89">
        <f t="shared" si="39"/>
        <v>11.825470625000126</v>
      </c>
    </row>
    <row r="109" spans="1:27" hidden="1" outlineLevel="1" x14ac:dyDescent="0.25">
      <c r="B109" s="71" t="s">
        <v>41</v>
      </c>
      <c r="C109" s="89">
        <f t="shared" si="36"/>
        <v>-177.22017766416084</v>
      </c>
      <c r="D109" s="89">
        <f t="shared" ref="D109:S110" si="40">D90*(D5)/1000</f>
        <v>-48.209432127657728</v>
      </c>
      <c r="E109" s="89">
        <f t="shared" si="40"/>
        <v>0</v>
      </c>
      <c r="F109" s="89">
        <f t="shared" si="40"/>
        <v>0</v>
      </c>
      <c r="G109" s="89">
        <f t="shared" si="40"/>
        <v>-18.616492999999799</v>
      </c>
      <c r="H109" s="89">
        <f t="shared" si="40"/>
        <v>32.635620140845894</v>
      </c>
      <c r="I109" s="89">
        <f t="shared" si="40"/>
        <v>31.058157199999503</v>
      </c>
      <c r="J109" s="89">
        <f t="shared" si="40"/>
        <v>-40.242634166666484</v>
      </c>
      <c r="K109" s="89">
        <f t="shared" si="40"/>
        <v>10.56959241379329</v>
      </c>
      <c r="L109" s="89">
        <f t="shared" si="40"/>
        <v>-36.736518499999441</v>
      </c>
      <c r="M109" s="89">
        <f t="shared" si="40"/>
        <v>-28.810310571428623</v>
      </c>
      <c r="N109" s="89">
        <f t="shared" si="40"/>
        <v>-48.852502608695879</v>
      </c>
      <c r="O109" s="89">
        <f t="shared" si="40"/>
        <v>-124.16434928571346</v>
      </c>
      <c r="P109" s="89">
        <f t="shared" si="40"/>
        <v>-16.063630000000945</v>
      </c>
      <c r="Q109" s="89">
        <f t="shared" si="40"/>
        <v>88.969529189189203</v>
      </c>
      <c r="R109" s="89">
        <f t="shared" si="40"/>
        <v>27.519435652173552</v>
      </c>
      <c r="S109" s="89">
        <f t="shared" si="40"/>
        <v>-6.2766419999998746</v>
      </c>
    </row>
    <row r="110" spans="1:27" hidden="1" outlineLevel="1" x14ac:dyDescent="0.25">
      <c r="B110" s="71" t="s">
        <v>42</v>
      </c>
      <c r="C110" s="89">
        <f t="shared" si="36"/>
        <v>64.713879230769791</v>
      </c>
      <c r="D110" s="89">
        <f t="shared" si="40"/>
        <v>-10.335009999999993</v>
      </c>
      <c r="E110" s="89">
        <f t="shared" si="40"/>
        <v>0</v>
      </c>
      <c r="F110" s="89">
        <f t="shared" si="40"/>
        <v>0</v>
      </c>
      <c r="G110" s="89">
        <f t="shared" si="40"/>
        <v>0</v>
      </c>
      <c r="H110" s="89">
        <f t="shared" si="40"/>
        <v>8.9901900000000001</v>
      </c>
      <c r="I110" s="89">
        <f t="shared" si="40"/>
        <v>5.1681099999999933</v>
      </c>
      <c r="J110" s="89">
        <f t="shared" si="40"/>
        <v>6.6925599999999692</v>
      </c>
      <c r="K110" s="89">
        <f t="shared" si="40"/>
        <v>-1.3810949999999997</v>
      </c>
      <c r="L110" s="89">
        <f t="shared" si="40"/>
        <v>4.7659600000000175</v>
      </c>
      <c r="M110" s="89">
        <f t="shared" si="40"/>
        <v>6.2555399999999999</v>
      </c>
      <c r="N110" s="89">
        <f t="shared" si="40"/>
        <v>0</v>
      </c>
      <c r="O110" s="89">
        <f t="shared" si="40"/>
        <v>0</v>
      </c>
      <c r="P110" s="89">
        <f t="shared" si="40"/>
        <v>35.7463892307698</v>
      </c>
      <c r="Q110" s="89">
        <f t="shared" si="40"/>
        <v>4.2495500000000002</v>
      </c>
      <c r="R110" s="89">
        <f t="shared" si="40"/>
        <v>4.5616850000000007</v>
      </c>
      <c r="S110" s="89">
        <f t="shared" si="40"/>
        <v>0</v>
      </c>
    </row>
    <row r="111" spans="1:27" hidden="1" outlineLevel="1" x14ac:dyDescent="0.25">
      <c r="B111" s="71" t="s">
        <v>43</v>
      </c>
      <c r="C111" s="89">
        <f t="shared" si="36"/>
        <v>68.704864120231008</v>
      </c>
      <c r="D111" s="89">
        <f t="shared" ref="D111:S111" si="41">D92*(D5)/1000</f>
        <v>4.3727363120567224</v>
      </c>
      <c r="E111" s="89">
        <f t="shared" si="41"/>
        <v>0</v>
      </c>
      <c r="F111" s="89">
        <f t="shared" si="41"/>
        <v>0</v>
      </c>
      <c r="G111" s="89">
        <f t="shared" si="41"/>
        <v>2.7168169999999008</v>
      </c>
      <c r="H111" s="89">
        <f t="shared" si="41"/>
        <v>12.092530422535237</v>
      </c>
      <c r="I111" s="89">
        <f t="shared" si="41"/>
        <v>7.5972330000000037</v>
      </c>
      <c r="J111" s="89">
        <f t="shared" si="41"/>
        <v>-6.8681383333341346</v>
      </c>
      <c r="K111" s="89">
        <f t="shared" si="41"/>
        <v>-13.754382068965615</v>
      </c>
      <c r="L111" s="89">
        <f t="shared" si="41"/>
        <v>27.892488750000005</v>
      </c>
      <c r="M111" s="89">
        <f t="shared" si="41"/>
        <v>21.330340857142982</v>
      </c>
      <c r="N111" s="89">
        <f t="shared" si="41"/>
        <v>0.77711608695664447</v>
      </c>
      <c r="O111" s="89">
        <f t="shared" si="41"/>
        <v>-21.580059285714302</v>
      </c>
      <c r="P111" s="89">
        <f t="shared" si="41"/>
        <v>-1.0141573333332425</v>
      </c>
      <c r="Q111" s="89">
        <f t="shared" si="41"/>
        <v>15.345902162162174</v>
      </c>
      <c r="R111" s="89">
        <f t="shared" si="41"/>
        <v>6.6053152173913023</v>
      </c>
      <c r="S111" s="89">
        <f t="shared" si="41"/>
        <v>13.191121333333337</v>
      </c>
    </row>
    <row r="112" spans="1:27" collapsed="1" x14ac:dyDescent="0.25">
      <c r="B112" s="78" t="s">
        <v>57</v>
      </c>
      <c r="C112" s="79">
        <f>SUM(C104,C108)</f>
        <v>482.8150800000019</v>
      </c>
      <c r="D112" s="79">
        <f>SUM(D104,D108)</f>
        <v>21.832670000001414</v>
      </c>
      <c r="E112" s="79">
        <f t="shared" ref="E112:S112" si="42">SUM(E104,E108)</f>
        <v>-9.0200099999999921</v>
      </c>
      <c r="F112" s="79">
        <f t="shared" si="42"/>
        <v>0</v>
      </c>
      <c r="G112" s="79">
        <f t="shared" si="42"/>
        <v>-10.746109999999906</v>
      </c>
      <c r="H112" s="79">
        <f t="shared" si="42"/>
        <v>87.323670000000661</v>
      </c>
      <c r="I112" s="79">
        <f t="shared" si="42"/>
        <v>46.047059999999519</v>
      </c>
      <c r="J112" s="79">
        <f t="shared" si="42"/>
        <v>143.91544999999888</v>
      </c>
      <c r="K112" s="79">
        <f t="shared" si="42"/>
        <v>15.844880000000046</v>
      </c>
      <c r="L112" s="79">
        <f t="shared" si="42"/>
        <v>65.908260000000553</v>
      </c>
      <c r="M112" s="79">
        <f t="shared" si="42"/>
        <v>29.383760000000038</v>
      </c>
      <c r="N112" s="79">
        <f t="shared" si="42"/>
        <v>-12.970720000000107</v>
      </c>
      <c r="O112" s="79">
        <f t="shared" si="42"/>
        <v>-1.7784299999991049</v>
      </c>
      <c r="P112" s="79">
        <f t="shared" si="42"/>
        <v>-76.189929999999819</v>
      </c>
      <c r="Q112" s="79">
        <f t="shared" si="42"/>
        <v>122.71728999999996</v>
      </c>
      <c r="R112" s="79">
        <f>SUM(R104,R108)</f>
        <v>36.617359999999678</v>
      </c>
      <c r="S112" s="36">
        <f t="shared" si="42"/>
        <v>23.929880000000107</v>
      </c>
    </row>
    <row r="113" spans="2:19" ht="4.3499999999999996" customHeight="1" x14ac:dyDescent="0.25"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</row>
    <row r="114" spans="2:19" ht="15.75" x14ac:dyDescent="0.25">
      <c r="B114" s="92" t="s">
        <v>58</v>
      </c>
      <c r="C114" s="65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</row>
    <row r="115" spans="2:19" x14ac:dyDescent="0.25">
      <c r="B115" s="70" t="s">
        <v>55</v>
      </c>
      <c r="C115" s="37">
        <f>SUM(D115:S115)</f>
        <v>69.576964265386749</v>
      </c>
      <c r="D115" s="37">
        <f t="shared" ref="D115:S115" si="43">(D74+D76)*D67/1000</f>
        <v>30.521470000000011</v>
      </c>
      <c r="E115" s="37">
        <f t="shared" si="43"/>
        <v>-16.597410000000007</v>
      </c>
      <c r="F115" s="37">
        <f t="shared" si="43"/>
        <v>0</v>
      </c>
      <c r="G115" s="37">
        <f t="shared" si="43"/>
        <v>3.0074199999999998</v>
      </c>
      <c r="H115" s="37">
        <f t="shared" si="43"/>
        <v>-10.390418124999993</v>
      </c>
      <c r="I115" s="37">
        <f t="shared" si="43"/>
        <v>1.9826253030303016</v>
      </c>
      <c r="J115" s="37">
        <f t="shared" si="43"/>
        <v>18.716871874999995</v>
      </c>
      <c r="K115" s="37">
        <f t="shared" si="43"/>
        <v>-1.458013333333249</v>
      </c>
      <c r="L115" s="37">
        <f t="shared" si="43"/>
        <v>-5.0032419999999966</v>
      </c>
      <c r="M115" s="37">
        <f t="shared" si="43"/>
        <v>-5.2479278181818119</v>
      </c>
      <c r="N115" s="37">
        <f t="shared" si="43"/>
        <v>0</v>
      </c>
      <c r="O115" s="37">
        <f t="shared" si="43"/>
        <v>50.991365135135069</v>
      </c>
      <c r="P115" s="37">
        <f t="shared" si="43"/>
        <v>-25.829197441860448</v>
      </c>
      <c r="Q115" s="37">
        <f t="shared" si="43"/>
        <v>43.5060776271186</v>
      </c>
      <c r="R115" s="37">
        <f t="shared" si="43"/>
        <v>-22.728196956521739</v>
      </c>
      <c r="S115" s="37">
        <f t="shared" si="43"/>
        <v>8.1055399999999995</v>
      </c>
    </row>
    <row r="116" spans="2:19" hidden="1" outlineLevel="1" x14ac:dyDescent="0.25">
      <c r="B116" s="71" t="s">
        <v>46</v>
      </c>
      <c r="C116" s="37">
        <f t="shared" ref="C116:C122" si="44">SUM(D116:S116)</f>
        <v>14.882413291671458</v>
      </c>
      <c r="D116" s="37">
        <f t="shared" ref="D116:S116" si="45">(D74)*D62/1000</f>
        <v>9.0096427272727269</v>
      </c>
      <c r="E116" s="37">
        <f t="shared" si="45"/>
        <v>-2.4015100000000071</v>
      </c>
      <c r="F116" s="37">
        <f t="shared" si="45"/>
        <v>0</v>
      </c>
      <c r="G116" s="37">
        <f t="shared" si="45"/>
        <v>5.507649999999999</v>
      </c>
      <c r="H116" s="37">
        <f t="shared" si="45"/>
        <v>-26.548719999999996</v>
      </c>
      <c r="I116" s="37">
        <f t="shared" si="45"/>
        <v>-27.063953488372093</v>
      </c>
      <c r="J116" s="37">
        <f t="shared" si="45"/>
        <v>16.161418000000015</v>
      </c>
      <c r="K116" s="37">
        <f t="shared" si="45"/>
        <v>6.4652466666666664</v>
      </c>
      <c r="L116" s="37">
        <f t="shared" si="45"/>
        <v>3.1708496551724079</v>
      </c>
      <c r="M116" s="37">
        <f t="shared" si="45"/>
        <v>-4.5598284374999905</v>
      </c>
      <c r="N116" s="37">
        <f t="shared" si="45"/>
        <v>0</v>
      </c>
      <c r="O116" s="37">
        <f t="shared" si="45"/>
        <v>23.077358055555479</v>
      </c>
      <c r="P116" s="37">
        <f t="shared" si="45"/>
        <v>-9.8129446153846143</v>
      </c>
      <c r="Q116" s="37">
        <f t="shared" si="45"/>
        <v>26.533684999999995</v>
      </c>
      <c r="R116" s="37">
        <f t="shared" si="45"/>
        <v>-1.9107637500000001</v>
      </c>
      <c r="S116" s="37">
        <f t="shared" si="45"/>
        <v>-2.7457165217391304</v>
      </c>
    </row>
    <row r="117" spans="2:19" hidden="1" outlineLevel="1" x14ac:dyDescent="0.25">
      <c r="B117" s="71" t="s">
        <v>59</v>
      </c>
      <c r="C117" s="37">
        <f t="shared" si="44"/>
        <v>23.542298307761776</v>
      </c>
      <c r="D117" s="37">
        <f t="shared" ref="D117:S117" si="46">(D76)*D64/1000</f>
        <v>9.4195716666666858</v>
      </c>
      <c r="E117" s="37">
        <f t="shared" si="46"/>
        <v>-2.6444999999999999</v>
      </c>
      <c r="F117" s="37">
        <f t="shared" si="46"/>
        <v>0</v>
      </c>
      <c r="G117" s="37">
        <f t="shared" si="46"/>
        <v>-1.8259177777777778</v>
      </c>
      <c r="H117" s="37">
        <f t="shared" si="46"/>
        <v>8.5502068181818185</v>
      </c>
      <c r="I117" s="37">
        <f t="shared" si="46"/>
        <v>7.2994260869565339</v>
      </c>
      <c r="J117" s="37">
        <f t="shared" si="46"/>
        <v>0.29995607142857394</v>
      </c>
      <c r="K117" s="37">
        <f t="shared" si="46"/>
        <v>0.87863333333334004</v>
      </c>
      <c r="L117" s="37">
        <f t="shared" si="46"/>
        <v>-1.5449241935483904</v>
      </c>
      <c r="M117" s="37">
        <f t="shared" si="46"/>
        <v>0</v>
      </c>
      <c r="N117" s="37">
        <f t="shared" si="46"/>
        <v>0</v>
      </c>
      <c r="O117" s="37">
        <f t="shared" si="46"/>
        <v>8.3692894736842103</v>
      </c>
      <c r="P117" s="37">
        <f t="shared" si="46"/>
        <v>-6.8425694117647051</v>
      </c>
      <c r="Q117" s="37">
        <f t="shared" si="46"/>
        <v>5.7698157142857003</v>
      </c>
      <c r="R117" s="37">
        <f t="shared" si="46"/>
        <v>-14.386689473684209</v>
      </c>
      <c r="S117" s="37">
        <f t="shared" si="46"/>
        <v>10.199999999999999</v>
      </c>
    </row>
    <row r="118" spans="2:19" hidden="1" outlineLevel="1" x14ac:dyDescent="0.25">
      <c r="B118" s="71" t="s">
        <v>49</v>
      </c>
      <c r="C118" s="37">
        <f t="shared" si="44"/>
        <v>2.0458640256549989</v>
      </c>
      <c r="D118" s="37">
        <f t="shared" ref="D118:S118" si="47">(D74)*D65/1000</f>
        <v>6.4643109090909094</v>
      </c>
      <c r="E118" s="37">
        <f t="shared" si="47"/>
        <v>-11.551399999999999</v>
      </c>
      <c r="F118" s="37">
        <f t="shared" si="47"/>
        <v>0</v>
      </c>
      <c r="G118" s="37">
        <f t="shared" si="47"/>
        <v>7.2846399999999996</v>
      </c>
      <c r="H118" s="37">
        <f t="shared" si="47"/>
        <v>-13.028443076923045</v>
      </c>
      <c r="I118" s="37">
        <f t="shared" si="47"/>
        <v>-54.373115348837146</v>
      </c>
      <c r="J118" s="37">
        <f t="shared" si="47"/>
        <v>19.885235999999932</v>
      </c>
      <c r="K118" s="37">
        <f t="shared" si="47"/>
        <v>6.9561266666660062</v>
      </c>
      <c r="L118" s="37">
        <f t="shared" si="47"/>
        <v>3.0695855172413791</v>
      </c>
      <c r="M118" s="37">
        <f t="shared" si="47"/>
        <v>-3.5847525</v>
      </c>
      <c r="N118" s="37">
        <f t="shared" si="47"/>
        <v>0</v>
      </c>
      <c r="O118" s="37">
        <f t="shared" si="47"/>
        <v>26.09854</v>
      </c>
      <c r="P118" s="37">
        <f t="shared" si="47"/>
        <v>-5.139072692307681</v>
      </c>
      <c r="Q118" s="37">
        <f t="shared" si="47"/>
        <v>27.502713333333332</v>
      </c>
      <c r="R118" s="37">
        <f t="shared" si="47"/>
        <v>-6.2030699999999994</v>
      </c>
      <c r="S118" s="37">
        <f t="shared" si="47"/>
        <v>-1.3354347826086956</v>
      </c>
    </row>
    <row r="119" spans="2:19" collapsed="1" x14ac:dyDescent="0.25">
      <c r="B119" s="72" t="s">
        <v>56</v>
      </c>
      <c r="C119" s="37">
        <f>SUM(D119:S119)</f>
        <v>-150.76589426538629</v>
      </c>
      <c r="D119" s="37">
        <f t="shared" ref="D119:S119" si="48">(D8+D10)*D100/1000</f>
        <v>-55.899400000000405</v>
      </c>
      <c r="E119" s="37">
        <f t="shared" si="48"/>
        <v>0</v>
      </c>
      <c r="F119" s="37">
        <f t="shared" si="48"/>
        <v>0</v>
      </c>
      <c r="G119" s="37">
        <f t="shared" si="48"/>
        <v>-13.74666000000002</v>
      </c>
      <c r="H119" s="37">
        <f t="shared" si="48"/>
        <v>-65.872171875000092</v>
      </c>
      <c r="I119" s="37">
        <f t="shared" si="48"/>
        <v>-51.910295303030367</v>
      </c>
      <c r="J119" s="37">
        <f t="shared" si="48"/>
        <v>13.426938125000159</v>
      </c>
      <c r="K119" s="37">
        <f t="shared" si="48"/>
        <v>-5.5774366666657409</v>
      </c>
      <c r="L119" s="37">
        <f t="shared" si="48"/>
        <v>11.055282000000091</v>
      </c>
      <c r="M119" s="37">
        <f t="shared" si="48"/>
        <v>4.5378178181818019</v>
      </c>
      <c r="N119" s="37">
        <f t="shared" si="48"/>
        <v>-8.233569999999915</v>
      </c>
      <c r="O119" s="37">
        <f t="shared" si="48"/>
        <v>-14.312325135134991</v>
      </c>
      <c r="P119" s="37">
        <f t="shared" si="48"/>
        <v>-11.540052558139546</v>
      </c>
      <c r="Q119" s="37">
        <f t="shared" si="48"/>
        <v>38.943062372881286</v>
      </c>
      <c r="R119" s="37">
        <f t="shared" si="48"/>
        <v>16.117236956521531</v>
      </c>
      <c r="S119" s="37">
        <f t="shared" si="48"/>
        <v>-7.7543200000000967</v>
      </c>
    </row>
    <row r="120" spans="2:19" hidden="1" outlineLevel="1" x14ac:dyDescent="0.25">
      <c r="B120" s="73" t="s">
        <v>46</v>
      </c>
      <c r="C120" s="74">
        <f t="shared" si="44"/>
        <v>28.308176708328602</v>
      </c>
      <c r="D120" s="74">
        <f t="shared" ref="D120:S120" si="49">D95*D8/1000</f>
        <v>-11.890042727272826</v>
      </c>
      <c r="E120" s="74">
        <f t="shared" si="49"/>
        <v>0</v>
      </c>
      <c r="F120" s="74">
        <f t="shared" si="49"/>
        <v>0</v>
      </c>
      <c r="G120" s="74">
        <f t="shared" si="49"/>
        <v>-0.80747000000000979</v>
      </c>
      <c r="H120" s="74">
        <f t="shared" si="49"/>
        <v>-19.299320000000002</v>
      </c>
      <c r="I120" s="74">
        <f t="shared" si="49"/>
        <v>25.914793488372091</v>
      </c>
      <c r="J120" s="74">
        <f t="shared" si="49"/>
        <v>-6.5284179999999088</v>
      </c>
      <c r="K120" s="74">
        <f t="shared" si="49"/>
        <v>-15.390636666666667</v>
      </c>
      <c r="L120" s="74">
        <f t="shared" si="49"/>
        <v>7.2561603448277836</v>
      </c>
      <c r="M120" s="74">
        <f t="shared" si="49"/>
        <v>-0.36953156249992092</v>
      </c>
      <c r="N120" s="74">
        <f t="shared" si="49"/>
        <v>-12.57016</v>
      </c>
      <c r="O120" s="74">
        <f t="shared" si="49"/>
        <v>-4.6334680555553724</v>
      </c>
      <c r="P120" s="74">
        <f t="shared" si="49"/>
        <v>-5.9401653846153861</v>
      </c>
      <c r="Q120" s="74">
        <f t="shared" si="49"/>
        <v>58.364714999999897</v>
      </c>
      <c r="R120" s="74">
        <f t="shared" si="49"/>
        <v>17.599213749999894</v>
      </c>
      <c r="S120" s="37">
        <f t="shared" si="49"/>
        <v>-3.3974934782609671</v>
      </c>
    </row>
    <row r="121" spans="2:19" hidden="1" outlineLevel="1" x14ac:dyDescent="0.25">
      <c r="B121" s="73" t="s">
        <v>59</v>
      </c>
      <c r="C121" s="74">
        <f t="shared" si="44"/>
        <v>-51.231948307762138</v>
      </c>
      <c r="D121" s="74">
        <f t="shared" ref="D121:S121" si="50">D97*D10/1000</f>
        <v>-15.225301666666882</v>
      </c>
      <c r="E121" s="74">
        <f t="shared" si="50"/>
        <v>0</v>
      </c>
      <c r="F121" s="74">
        <f t="shared" si="50"/>
        <v>0</v>
      </c>
      <c r="G121" s="74">
        <f t="shared" si="50"/>
        <v>3.3237077777777668</v>
      </c>
      <c r="H121" s="74">
        <f t="shared" si="50"/>
        <v>-24.069946818181922</v>
      </c>
      <c r="I121" s="74">
        <f t="shared" si="50"/>
        <v>-3.6134260869565944</v>
      </c>
      <c r="J121" s="74">
        <f t="shared" si="50"/>
        <v>-11.531776071428624</v>
      </c>
      <c r="K121" s="74">
        <f t="shared" si="50"/>
        <v>1.1657666666666802</v>
      </c>
      <c r="L121" s="74">
        <f t="shared" si="50"/>
        <v>-1.1080158064516985</v>
      </c>
      <c r="M121" s="74">
        <f t="shared" si="50"/>
        <v>7.0930099999999197</v>
      </c>
      <c r="N121" s="74">
        <f t="shared" si="50"/>
        <v>-0.7504499999999007</v>
      </c>
      <c r="O121" s="74">
        <f t="shared" si="50"/>
        <v>35.421960526315786</v>
      </c>
      <c r="P121" s="74">
        <f t="shared" si="50"/>
        <v>-2.0764305882352931</v>
      </c>
      <c r="Q121" s="74">
        <f t="shared" si="50"/>
        <v>-23.296475714285595</v>
      </c>
      <c r="R121" s="74">
        <f t="shared" si="50"/>
        <v>-4.6645705263157877</v>
      </c>
      <c r="S121" s="46">
        <f t="shared" si="50"/>
        <v>-11.9</v>
      </c>
    </row>
    <row r="122" spans="2:19" hidden="1" outlineLevel="1" x14ac:dyDescent="0.25">
      <c r="B122" s="73" t="s">
        <v>49</v>
      </c>
      <c r="C122" s="74">
        <f t="shared" si="44"/>
        <v>-98.73573402565421</v>
      </c>
      <c r="D122" s="74">
        <f t="shared" ref="D122:S122" si="51">D98*D8/1000</f>
        <v>-23.156110909091005</v>
      </c>
      <c r="E122" s="74">
        <f t="shared" si="51"/>
        <v>0</v>
      </c>
      <c r="F122" s="74">
        <f t="shared" si="51"/>
        <v>0</v>
      </c>
      <c r="G122" s="74">
        <f t="shared" si="51"/>
        <v>-24.221849999999996</v>
      </c>
      <c r="H122" s="74">
        <f t="shared" si="51"/>
        <v>-1.8663669230769551</v>
      </c>
      <c r="I122" s="74">
        <f t="shared" si="51"/>
        <v>1.9086053488371442</v>
      </c>
      <c r="J122" s="74">
        <f t="shared" si="51"/>
        <v>13.857394000000168</v>
      </c>
      <c r="K122" s="74">
        <f t="shared" si="51"/>
        <v>-7.1105866666650144</v>
      </c>
      <c r="L122" s="74">
        <f t="shared" si="51"/>
        <v>-4.7916155172413726</v>
      </c>
      <c r="M122" s="74">
        <f t="shared" si="51"/>
        <v>0.7109924999999957</v>
      </c>
      <c r="N122" s="74">
        <f t="shared" si="51"/>
        <v>5.0870399999999991</v>
      </c>
      <c r="O122" s="74">
        <f t="shared" si="51"/>
        <v>-51.654640000000008</v>
      </c>
      <c r="P122" s="74">
        <f t="shared" si="51"/>
        <v>-7.5580673076923199</v>
      </c>
      <c r="Q122" s="74">
        <f t="shared" si="51"/>
        <v>-12.425313333333433</v>
      </c>
      <c r="R122" s="74">
        <f t="shared" si="51"/>
        <v>2.9549199999998996</v>
      </c>
      <c r="S122" s="46">
        <f t="shared" si="51"/>
        <v>9.529864782608696</v>
      </c>
    </row>
    <row r="123" spans="2:19" collapsed="1" x14ac:dyDescent="0.25">
      <c r="B123" s="78" t="s">
        <v>57</v>
      </c>
      <c r="C123" s="79">
        <f>SUM(C115,C119)</f>
        <v>-81.188929999999544</v>
      </c>
      <c r="D123" s="79">
        <f t="shared" ref="D123:S123" si="52">SUM(D115,D119)</f>
        <v>-25.377930000000394</v>
      </c>
      <c r="E123" s="79">
        <f t="shared" si="52"/>
        <v>-16.597410000000007</v>
      </c>
      <c r="F123" s="79">
        <f t="shared" si="52"/>
        <v>0</v>
      </c>
      <c r="G123" s="79">
        <f t="shared" si="52"/>
        <v>-10.73924000000002</v>
      </c>
      <c r="H123" s="79">
        <f t="shared" si="52"/>
        <v>-76.262590000000088</v>
      </c>
      <c r="I123" s="79">
        <f t="shared" si="52"/>
        <v>-49.927670000000063</v>
      </c>
      <c r="J123" s="79">
        <f t="shared" si="52"/>
        <v>32.143810000000158</v>
      </c>
      <c r="K123" s="79">
        <f t="shared" si="52"/>
        <v>-7.0354499999989901</v>
      </c>
      <c r="L123" s="79">
        <f t="shared" si="52"/>
        <v>6.052040000000094</v>
      </c>
      <c r="M123" s="79">
        <f t="shared" si="52"/>
        <v>-0.71011000000001001</v>
      </c>
      <c r="N123" s="79">
        <f t="shared" si="52"/>
        <v>-8.233569999999915</v>
      </c>
      <c r="O123" s="79">
        <f t="shared" si="52"/>
        <v>36.679040000000079</v>
      </c>
      <c r="P123" s="79">
        <f t="shared" si="52"/>
        <v>-37.369249999999994</v>
      </c>
      <c r="Q123" s="79">
        <f t="shared" si="52"/>
        <v>82.449139999999886</v>
      </c>
      <c r="R123" s="79">
        <f t="shared" si="52"/>
        <v>-6.6109600000002082</v>
      </c>
      <c r="S123" s="36">
        <f t="shared" si="52"/>
        <v>0.35121999999990283</v>
      </c>
    </row>
  </sheetData>
  <conditionalFormatting sqref="B28">
    <cfRule type="colorScale" priority="9">
      <colorScale>
        <cfvo type="min"/>
        <cfvo type="max"/>
        <color rgb="FFFCFCFF"/>
        <color rgb="FF63BE7B"/>
      </colorScale>
    </cfRule>
  </conditionalFormatting>
  <conditionalFormatting sqref="B61">
    <cfRule type="colorScale" priority="8">
      <colorScale>
        <cfvo type="min"/>
        <cfvo type="max"/>
        <color rgb="FFFCFCFF"/>
        <color rgb="FF63BE7B"/>
      </colorScale>
    </cfRule>
  </conditionalFormatting>
  <conditionalFormatting sqref="B94">
    <cfRule type="colorScale" priority="6">
      <colorScale>
        <cfvo type="min"/>
        <cfvo type="max"/>
        <color rgb="FFFCFCFF"/>
        <color rgb="FF63BE7B"/>
      </colorScale>
    </cfRule>
  </conditionalFormatting>
  <conditionalFormatting sqref="C35:S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S68 C123:S123 C112:S1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1:S10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:S111">
    <cfRule type="cellIs" dxfId="11" priority="3" operator="greaterThanOrEqual">
      <formula>0</formula>
    </cfRule>
    <cfRule type="cellIs" dxfId="10" priority="4" operator="lessThan">
      <formula>0</formula>
    </cfRule>
  </conditionalFormatting>
  <conditionalFormatting sqref="C115:S122">
    <cfRule type="cellIs" dxfId="9" priority="1" operator="greaterThanOrEqual">
      <formula>0</formula>
    </cfRule>
    <cfRule type="cellIs" dxfId="8" priority="2" operator="lessThan">
      <formula>0</formula>
    </cfRule>
  </conditionalFormatting>
  <conditionalFormatting sqref="C123:S123 C112:S1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1" right="0" top="0" bottom="0" header="0" footer="0"/>
  <pageSetup paperSize="3" scale="86" orientation="landscape" r:id="rId1"/>
  <headerFooter>
    <oddFooter>&amp;R&amp;F
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8DFF-5264-4896-9381-E28C8F181429}">
  <sheetPr>
    <tabColor theme="7" tint="0.39997558519241921"/>
    <pageSetUpPr fitToPage="1"/>
  </sheetPr>
  <dimension ref="A1:AA123"/>
  <sheetViews>
    <sheetView workbookViewId="0"/>
  </sheetViews>
  <sheetFormatPr baseColWidth="10" defaultColWidth="11.42578125" defaultRowHeight="15" outlineLevelRow="1" x14ac:dyDescent="0.25"/>
  <cols>
    <col min="1" max="1" width="1.5703125" customWidth="1"/>
    <col min="2" max="2" width="29.5703125" customWidth="1"/>
    <col min="3" max="3" width="13.5703125" customWidth="1"/>
    <col min="4" max="5" width="12" customWidth="1"/>
    <col min="6" max="6" width="12" hidden="1" customWidth="1"/>
    <col min="7" max="19" width="12" customWidth="1"/>
    <col min="20" max="20" width="12" hidden="1" customWidth="1"/>
    <col min="21" max="21" width="13.5703125" hidden="1" customWidth="1"/>
    <col min="22" max="22" width="12" hidden="1" customWidth="1"/>
    <col min="26" max="26" width="35.42578125" bestFit="1" customWidth="1"/>
    <col min="27" max="27" width="12.42578125" bestFit="1" customWidth="1"/>
    <col min="29" max="29" width="35.42578125" bestFit="1" customWidth="1"/>
  </cols>
  <sheetData>
    <row r="1" spans="1:27" ht="9.75" customHeight="1" x14ac:dyDescent="0.25">
      <c r="D1" s="1"/>
      <c r="G1" s="1"/>
    </row>
    <row r="2" spans="1:27" ht="18.75" x14ac:dyDescent="0.3">
      <c r="B2" s="2" t="s">
        <v>64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7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6"/>
      <c r="U3" s="6"/>
      <c r="V3" s="6"/>
      <c r="AA3" s="7"/>
    </row>
    <row r="4" spans="1:27" x14ac:dyDescent="0.25">
      <c r="B4" s="5" t="s">
        <v>17</v>
      </c>
      <c r="T4" s="5" t="s">
        <v>18</v>
      </c>
      <c r="U4" s="5" t="s">
        <v>19</v>
      </c>
      <c r="V4" s="5" t="s">
        <v>20</v>
      </c>
      <c r="AA4" s="8"/>
    </row>
    <row r="5" spans="1:27" hidden="1" outlineLevel="1" x14ac:dyDescent="0.25">
      <c r="A5" s="9" t="str">
        <f>B5</f>
        <v>NB New</v>
      </c>
      <c r="B5" s="10" t="s">
        <v>21</v>
      </c>
      <c r="C5" s="11">
        <f>+SUM(D5:V5)</f>
        <v>7169</v>
      </c>
      <c r="D5" s="12">
        <v>964</v>
      </c>
      <c r="E5" s="12">
        <v>24</v>
      </c>
      <c r="F5" s="12">
        <v>0</v>
      </c>
      <c r="G5" s="12">
        <v>302</v>
      </c>
      <c r="H5" s="12">
        <v>652</v>
      </c>
      <c r="I5" s="12">
        <v>562</v>
      </c>
      <c r="J5" s="12">
        <v>500</v>
      </c>
      <c r="K5" s="12">
        <v>230</v>
      </c>
      <c r="L5" s="12">
        <v>402</v>
      </c>
      <c r="M5" s="12">
        <v>430</v>
      </c>
      <c r="N5" s="12">
        <v>227</v>
      </c>
      <c r="O5" s="12">
        <v>1368</v>
      </c>
      <c r="P5" s="12">
        <v>479</v>
      </c>
      <c r="Q5" s="12">
        <v>500</v>
      </c>
      <c r="R5" s="12">
        <v>314</v>
      </c>
      <c r="S5" s="12">
        <v>215</v>
      </c>
      <c r="T5" s="12"/>
      <c r="U5" s="12"/>
      <c r="V5" s="12"/>
      <c r="AA5" s="8"/>
    </row>
    <row r="6" spans="1:27" hidden="1" outlineLevel="1" x14ac:dyDescent="0.25">
      <c r="A6" s="9" t="str">
        <f t="shared" ref="A6:A21" si="0">B6</f>
        <v>NB Fleet</v>
      </c>
      <c r="B6" s="13" t="s">
        <v>22</v>
      </c>
      <c r="C6" s="14">
        <f>+SUM(D6:V6)</f>
        <v>413</v>
      </c>
      <c r="D6" s="15">
        <v>50</v>
      </c>
      <c r="E6" s="15">
        <v>0</v>
      </c>
      <c r="F6" s="15">
        <v>0</v>
      </c>
      <c r="G6" s="15">
        <v>7</v>
      </c>
      <c r="H6" s="15">
        <v>38</v>
      </c>
      <c r="I6" s="15">
        <v>20</v>
      </c>
      <c r="J6" s="15">
        <v>35</v>
      </c>
      <c r="K6" s="15">
        <v>22</v>
      </c>
      <c r="L6" s="15">
        <v>29</v>
      </c>
      <c r="M6" s="15">
        <v>27</v>
      </c>
      <c r="N6" s="15">
        <v>1</v>
      </c>
      <c r="O6" s="15">
        <v>0</v>
      </c>
      <c r="P6" s="15">
        <v>118</v>
      </c>
      <c r="Q6" s="15">
        <v>16</v>
      </c>
      <c r="R6" s="15">
        <v>49</v>
      </c>
      <c r="S6" s="15">
        <v>1</v>
      </c>
      <c r="T6" s="15"/>
      <c r="U6" s="15"/>
      <c r="V6" s="15"/>
      <c r="AA6" s="8"/>
    </row>
    <row r="7" spans="1:27" collapsed="1" x14ac:dyDescent="0.25">
      <c r="A7" s="9"/>
      <c r="B7" s="16" t="s">
        <v>23</v>
      </c>
      <c r="C7" s="17">
        <f>SUM(C5:C6)</f>
        <v>7582</v>
      </c>
      <c r="D7" s="18">
        <f t="shared" ref="D7:V7" si="1">SUM(D5:D6)</f>
        <v>1014</v>
      </c>
      <c r="E7" s="18">
        <f t="shared" si="1"/>
        <v>24</v>
      </c>
      <c r="F7" s="18">
        <f t="shared" si="1"/>
        <v>0</v>
      </c>
      <c r="G7" s="18">
        <f t="shared" si="1"/>
        <v>309</v>
      </c>
      <c r="H7" s="18">
        <f t="shared" si="1"/>
        <v>690</v>
      </c>
      <c r="I7" s="18">
        <f t="shared" si="1"/>
        <v>582</v>
      </c>
      <c r="J7" s="18">
        <f t="shared" si="1"/>
        <v>535</v>
      </c>
      <c r="K7" s="18">
        <f t="shared" si="1"/>
        <v>252</v>
      </c>
      <c r="L7" s="18">
        <f t="shared" si="1"/>
        <v>431</v>
      </c>
      <c r="M7" s="18">
        <f t="shared" si="1"/>
        <v>457</v>
      </c>
      <c r="N7" s="18">
        <f t="shared" si="1"/>
        <v>228</v>
      </c>
      <c r="O7" s="18">
        <f t="shared" si="1"/>
        <v>1368</v>
      </c>
      <c r="P7" s="18">
        <f t="shared" si="1"/>
        <v>597</v>
      </c>
      <c r="Q7" s="18">
        <f t="shared" si="1"/>
        <v>516</v>
      </c>
      <c r="R7" s="18">
        <f t="shared" si="1"/>
        <v>363</v>
      </c>
      <c r="S7" s="18">
        <f t="shared" si="1"/>
        <v>216</v>
      </c>
      <c r="T7" s="19">
        <f t="shared" si="1"/>
        <v>0</v>
      </c>
      <c r="U7" s="19">
        <f t="shared" si="1"/>
        <v>0</v>
      </c>
      <c r="V7" s="19">
        <f t="shared" si="1"/>
        <v>0</v>
      </c>
      <c r="AA7" s="8"/>
    </row>
    <row r="8" spans="1:27" ht="14.25" hidden="1" customHeight="1" outlineLevel="1" x14ac:dyDescent="0.25">
      <c r="A8" s="9" t="str">
        <f t="shared" si="0"/>
        <v>NB Used</v>
      </c>
      <c r="B8" s="10" t="s">
        <v>24</v>
      </c>
      <c r="C8" s="11">
        <f>+SUM(D8:V8)</f>
        <v>3611</v>
      </c>
      <c r="D8" s="12">
        <v>394</v>
      </c>
      <c r="E8" s="12">
        <v>6</v>
      </c>
      <c r="F8" s="12">
        <v>0</v>
      </c>
      <c r="G8" s="12">
        <v>207</v>
      </c>
      <c r="H8" s="12">
        <v>238</v>
      </c>
      <c r="I8" s="12">
        <v>257</v>
      </c>
      <c r="J8" s="12">
        <v>271</v>
      </c>
      <c r="K8" s="12">
        <v>93</v>
      </c>
      <c r="L8" s="12">
        <v>261</v>
      </c>
      <c r="M8" s="12">
        <v>304</v>
      </c>
      <c r="N8" s="12">
        <v>164</v>
      </c>
      <c r="O8" s="12">
        <v>536</v>
      </c>
      <c r="P8" s="12">
        <v>277</v>
      </c>
      <c r="Q8" s="12">
        <v>282</v>
      </c>
      <c r="R8" s="12">
        <v>46</v>
      </c>
      <c r="S8" s="12">
        <v>275</v>
      </c>
      <c r="T8" s="20"/>
      <c r="U8" s="20"/>
      <c r="V8" s="20"/>
      <c r="AA8" s="8"/>
    </row>
    <row r="9" spans="1:27" hidden="1" outlineLevel="1" x14ac:dyDescent="0.25">
      <c r="A9" s="9" t="str">
        <f t="shared" si="0"/>
        <v>NB US</v>
      </c>
      <c r="B9" s="13" t="s">
        <v>25</v>
      </c>
      <c r="C9" s="14">
        <f>+SUM(D9:V9)</f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21"/>
      <c r="U9" s="21"/>
      <c r="V9" s="21"/>
      <c r="AA9" s="8"/>
    </row>
    <row r="10" spans="1:27" hidden="1" outlineLevel="1" x14ac:dyDescent="0.25">
      <c r="A10" s="9" t="str">
        <f t="shared" si="0"/>
        <v>NB Wholesale</v>
      </c>
      <c r="B10" s="13" t="s">
        <v>26</v>
      </c>
      <c r="C10" s="22">
        <f>+SUM(D10:V10)</f>
        <v>3620</v>
      </c>
      <c r="D10" s="23">
        <v>521</v>
      </c>
      <c r="E10" s="23">
        <v>21</v>
      </c>
      <c r="F10" s="23">
        <v>0</v>
      </c>
      <c r="G10" s="23">
        <v>118</v>
      </c>
      <c r="H10" s="23">
        <v>215</v>
      </c>
      <c r="I10" s="23">
        <v>319</v>
      </c>
      <c r="J10" s="23">
        <v>295</v>
      </c>
      <c r="K10" s="23">
        <v>140</v>
      </c>
      <c r="L10" s="23">
        <v>264</v>
      </c>
      <c r="M10" s="23">
        <v>233</v>
      </c>
      <c r="N10" s="23">
        <v>168</v>
      </c>
      <c r="O10" s="23">
        <v>424</v>
      </c>
      <c r="P10" s="23">
        <v>260</v>
      </c>
      <c r="Q10" s="23">
        <v>321</v>
      </c>
      <c r="R10" s="23">
        <v>238</v>
      </c>
      <c r="S10" s="23">
        <v>83</v>
      </c>
      <c r="T10" s="24"/>
      <c r="U10" s="24"/>
      <c r="V10" s="24"/>
      <c r="AA10" s="8"/>
    </row>
    <row r="11" spans="1:27" collapsed="1" x14ac:dyDescent="0.25">
      <c r="A11" s="9"/>
      <c r="B11" s="16" t="s">
        <v>27</v>
      </c>
      <c r="C11" s="17">
        <f>SUM(C8:C10)</f>
        <v>7231</v>
      </c>
      <c r="D11" s="18">
        <f t="shared" ref="D11:V11" si="2">SUM(D8:D10)</f>
        <v>915</v>
      </c>
      <c r="E11" s="18">
        <f t="shared" si="2"/>
        <v>27</v>
      </c>
      <c r="F11" s="18">
        <f t="shared" si="2"/>
        <v>0</v>
      </c>
      <c r="G11" s="18">
        <f t="shared" si="2"/>
        <v>325</v>
      </c>
      <c r="H11" s="18">
        <f t="shared" si="2"/>
        <v>453</v>
      </c>
      <c r="I11" s="18">
        <f t="shared" si="2"/>
        <v>576</v>
      </c>
      <c r="J11" s="18">
        <f t="shared" si="2"/>
        <v>566</v>
      </c>
      <c r="K11" s="18">
        <f t="shared" si="2"/>
        <v>233</v>
      </c>
      <c r="L11" s="18">
        <f t="shared" si="2"/>
        <v>525</v>
      </c>
      <c r="M11" s="18">
        <f t="shared" si="2"/>
        <v>537</v>
      </c>
      <c r="N11" s="18">
        <f t="shared" si="2"/>
        <v>332</v>
      </c>
      <c r="O11" s="18">
        <f t="shared" si="2"/>
        <v>960</v>
      </c>
      <c r="P11" s="18">
        <f t="shared" si="2"/>
        <v>537</v>
      </c>
      <c r="Q11" s="18">
        <f t="shared" si="2"/>
        <v>603</v>
      </c>
      <c r="R11" s="18">
        <f t="shared" si="2"/>
        <v>284</v>
      </c>
      <c r="S11" s="18">
        <f t="shared" si="2"/>
        <v>358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AA11" s="8"/>
    </row>
    <row r="12" spans="1:27" ht="15.75" thickBot="1" x14ac:dyDescent="0.3">
      <c r="A12" s="9"/>
      <c r="B12" s="25" t="s">
        <v>28</v>
      </c>
      <c r="C12" s="11">
        <f>+C7+C11</f>
        <v>14813</v>
      </c>
      <c r="D12" s="11">
        <f t="shared" ref="D12:S12" si="3">+D7+D11</f>
        <v>1929</v>
      </c>
      <c r="E12" s="11">
        <f t="shared" si="3"/>
        <v>51</v>
      </c>
      <c r="F12" s="11">
        <f t="shared" si="3"/>
        <v>0</v>
      </c>
      <c r="G12" s="11">
        <f t="shared" si="3"/>
        <v>634</v>
      </c>
      <c r="H12" s="11">
        <f t="shared" si="3"/>
        <v>1143</v>
      </c>
      <c r="I12" s="11">
        <f t="shared" si="3"/>
        <v>1158</v>
      </c>
      <c r="J12" s="11">
        <f t="shared" si="3"/>
        <v>1101</v>
      </c>
      <c r="K12" s="11">
        <f t="shared" si="3"/>
        <v>485</v>
      </c>
      <c r="L12" s="11">
        <f t="shared" si="3"/>
        <v>956</v>
      </c>
      <c r="M12" s="11">
        <f t="shared" si="3"/>
        <v>994</v>
      </c>
      <c r="N12" s="11">
        <f t="shared" si="3"/>
        <v>560</v>
      </c>
      <c r="O12" s="11">
        <f t="shared" si="3"/>
        <v>2328</v>
      </c>
      <c r="P12" s="11">
        <f t="shared" si="3"/>
        <v>1134</v>
      </c>
      <c r="Q12" s="11">
        <f t="shared" si="3"/>
        <v>1119</v>
      </c>
      <c r="R12" s="11">
        <f t="shared" si="3"/>
        <v>647</v>
      </c>
      <c r="S12" s="11">
        <f t="shared" si="3"/>
        <v>574</v>
      </c>
      <c r="T12" s="26"/>
      <c r="U12" s="26"/>
      <c r="V12" s="26"/>
      <c r="AA12" s="8"/>
    </row>
    <row r="13" spans="1:27" ht="15.75" hidden="1" outlineLevel="1" thickBot="1" x14ac:dyDescent="0.3">
      <c r="A13" s="9" t="str">
        <f t="shared" si="0"/>
        <v>Profit Front new</v>
      </c>
      <c r="B13" s="27" t="s">
        <v>30</v>
      </c>
      <c r="C13" s="28">
        <f>+SUM(D13:V13)</f>
        <v>19516616.729999971</v>
      </c>
      <c r="D13" s="29">
        <v>2300127.2999999942</v>
      </c>
      <c r="E13" s="29">
        <v>-34417.479999999763</v>
      </c>
      <c r="F13" s="29">
        <v>0</v>
      </c>
      <c r="G13" s="29">
        <v>246980.96999999942</v>
      </c>
      <c r="H13" s="29">
        <v>1664080.859999995</v>
      </c>
      <c r="I13" s="29">
        <v>1242790.7999999984</v>
      </c>
      <c r="J13" s="29">
        <v>1584309.0099999974</v>
      </c>
      <c r="K13" s="29">
        <v>486195.74999999919</v>
      </c>
      <c r="L13" s="29">
        <v>1134247.5399999998</v>
      </c>
      <c r="M13" s="29">
        <v>1204966.1399999997</v>
      </c>
      <c r="N13" s="29">
        <v>898658.6199999986</v>
      </c>
      <c r="O13" s="29">
        <v>4168305.1400000006</v>
      </c>
      <c r="P13" s="29">
        <v>1233849.8899999985</v>
      </c>
      <c r="Q13" s="29">
        <v>1728201.9399999958</v>
      </c>
      <c r="R13" s="29">
        <v>1028191.1699999996</v>
      </c>
      <c r="S13" s="29">
        <v>630129.07999999973</v>
      </c>
      <c r="T13" s="29"/>
      <c r="U13" s="29"/>
      <c r="V13" s="29"/>
      <c r="AA13" s="8"/>
    </row>
    <row r="14" spans="1:27" ht="15.75" hidden="1" outlineLevel="1" thickBot="1" x14ac:dyDescent="0.3">
      <c r="A14" s="9"/>
      <c r="B14" s="30" t="s">
        <v>31</v>
      </c>
      <c r="C14" s="31">
        <f>+SUM(D14:V14)</f>
        <v>662439.59999999905</v>
      </c>
      <c r="D14" s="32">
        <v>212647.98999999976</v>
      </c>
      <c r="E14" s="32">
        <v>1234.08</v>
      </c>
      <c r="F14" s="32">
        <v>0</v>
      </c>
      <c r="G14" s="32">
        <v>46663.060000000005</v>
      </c>
      <c r="H14" s="32">
        <v>46865.73</v>
      </c>
      <c r="I14" s="32">
        <v>91778.559999999808</v>
      </c>
      <c r="J14" s="32">
        <v>98818.319999999847</v>
      </c>
      <c r="K14" s="32">
        <v>33600.199999999997</v>
      </c>
      <c r="L14" s="32">
        <v>56048.289999999935</v>
      </c>
      <c r="M14" s="32">
        <v>23652.639999999821</v>
      </c>
      <c r="N14" s="32">
        <v>25012.969999999987</v>
      </c>
      <c r="O14" s="32">
        <v>-730.57000000000698</v>
      </c>
      <c r="P14" s="32">
        <v>-3303.2999999999997</v>
      </c>
      <c r="Q14" s="32">
        <v>24772.800000000021</v>
      </c>
      <c r="R14" s="32">
        <v>6558.3600000000088</v>
      </c>
      <c r="S14" s="32">
        <v>-1179.5299999999979</v>
      </c>
      <c r="T14" s="32"/>
      <c r="U14" s="32"/>
      <c r="V14" s="32"/>
      <c r="AA14" s="8"/>
    </row>
    <row r="15" spans="1:27" ht="15.75" hidden="1" outlineLevel="1" thickBot="1" x14ac:dyDescent="0.3">
      <c r="A15" s="9" t="str">
        <f t="shared" si="0"/>
        <v>Profit Fleet</v>
      </c>
      <c r="B15" s="30" t="s">
        <v>32</v>
      </c>
      <c r="C15" s="31">
        <f>+SUM(D15:V15)</f>
        <v>1250407.1299999985</v>
      </c>
      <c r="D15" s="32">
        <v>73602.569999999847</v>
      </c>
      <c r="E15" s="32">
        <v>0</v>
      </c>
      <c r="F15" s="32">
        <v>0</v>
      </c>
      <c r="G15" s="32">
        <v>2958.8900000000099</v>
      </c>
      <c r="H15" s="32">
        <v>76818.119999999879</v>
      </c>
      <c r="I15" s="32">
        <v>39567.569999999992</v>
      </c>
      <c r="J15" s="32">
        <v>27212.999999999971</v>
      </c>
      <c r="K15" s="32">
        <v>-9921.8700000000481</v>
      </c>
      <c r="L15" s="32">
        <v>-10016.860000000021</v>
      </c>
      <c r="M15" s="32">
        <v>74775.269999999786</v>
      </c>
      <c r="N15" s="32">
        <v>2881.0099999999902</v>
      </c>
      <c r="O15" s="32">
        <v>0</v>
      </c>
      <c r="P15" s="32">
        <v>752989.56999999937</v>
      </c>
      <c r="Q15" s="32">
        <v>67519.34999999986</v>
      </c>
      <c r="R15" s="32">
        <v>152020.6499999997</v>
      </c>
      <c r="S15" s="32">
        <v>-0.139999999999986</v>
      </c>
      <c r="T15" s="32"/>
      <c r="U15" s="32"/>
      <c r="V15" s="32"/>
      <c r="AA15" s="8"/>
    </row>
    <row r="16" spans="1:27" ht="15.75" hidden="1" outlineLevel="1" thickBot="1" x14ac:dyDescent="0.3">
      <c r="A16" s="9" t="str">
        <f t="shared" si="0"/>
        <v>Profit F&amp;I new</v>
      </c>
      <c r="B16" s="33" t="s">
        <v>33</v>
      </c>
      <c r="C16" s="34">
        <f>+SUM(D16:V16)</f>
        <v>9375083.3999999948</v>
      </c>
      <c r="D16" s="35">
        <v>1158363.3999999992</v>
      </c>
      <c r="E16" s="35">
        <v>22637.78</v>
      </c>
      <c r="F16" s="35">
        <v>0</v>
      </c>
      <c r="G16" s="35">
        <v>334018.8399999995</v>
      </c>
      <c r="H16" s="35">
        <v>615016.51999999955</v>
      </c>
      <c r="I16" s="35">
        <v>549029.88999999978</v>
      </c>
      <c r="J16" s="35">
        <v>634668.16999999899</v>
      </c>
      <c r="K16" s="35">
        <v>287227.62999999971</v>
      </c>
      <c r="L16" s="35">
        <v>535271.99000000011</v>
      </c>
      <c r="M16" s="35">
        <v>428024.44999999966</v>
      </c>
      <c r="N16" s="35">
        <v>433987.51</v>
      </c>
      <c r="O16" s="35">
        <v>1976937.46</v>
      </c>
      <c r="P16" s="35">
        <v>769754.60999999987</v>
      </c>
      <c r="Q16" s="35">
        <v>587030.16</v>
      </c>
      <c r="R16" s="35">
        <v>477827.21999999951</v>
      </c>
      <c r="S16" s="35">
        <v>565287.7699999999</v>
      </c>
      <c r="T16" s="35"/>
      <c r="U16" s="35"/>
      <c r="V16" s="35"/>
      <c r="AA16" s="8"/>
    </row>
    <row r="17" spans="1:27" ht="15.75" hidden="1" outlineLevel="1" thickBot="1" x14ac:dyDescent="0.3">
      <c r="A17" s="9"/>
      <c r="B17" s="16" t="s">
        <v>34</v>
      </c>
      <c r="C17" s="36">
        <f>+SUM(C13:C16)</f>
        <v>30804546.859999962</v>
      </c>
      <c r="D17" s="37">
        <f t="shared" ref="D17:V17" si="4">+SUM(D13:D16)</f>
        <v>3744741.2599999933</v>
      </c>
      <c r="E17" s="37">
        <f t="shared" si="4"/>
        <v>-10545.619999999763</v>
      </c>
      <c r="F17" s="37">
        <f t="shared" si="4"/>
        <v>0</v>
      </c>
      <c r="G17" s="37">
        <f t="shared" si="4"/>
        <v>630621.75999999896</v>
      </c>
      <c r="H17" s="37">
        <f t="shared" si="4"/>
        <v>2402781.2299999944</v>
      </c>
      <c r="I17" s="37">
        <f t="shared" si="4"/>
        <v>1923166.819999998</v>
      </c>
      <c r="J17" s="37">
        <f t="shared" si="4"/>
        <v>2345008.4999999963</v>
      </c>
      <c r="K17" s="37">
        <f t="shared" si="4"/>
        <v>797101.7099999988</v>
      </c>
      <c r="L17" s="37">
        <f t="shared" si="4"/>
        <v>1715550.96</v>
      </c>
      <c r="M17" s="37">
        <f t="shared" si="4"/>
        <v>1731418.4999999991</v>
      </c>
      <c r="N17" s="37">
        <f t="shared" si="4"/>
        <v>1360540.1099999985</v>
      </c>
      <c r="O17" s="37">
        <f t="shared" si="4"/>
        <v>6144512.0300000012</v>
      </c>
      <c r="P17" s="37">
        <f t="shared" si="4"/>
        <v>2753290.7699999977</v>
      </c>
      <c r="Q17" s="37">
        <f t="shared" si="4"/>
        <v>2407524.2499999958</v>
      </c>
      <c r="R17" s="37">
        <f t="shared" si="4"/>
        <v>1664597.3999999987</v>
      </c>
      <c r="S17" s="37">
        <f t="shared" si="4"/>
        <v>1194237.1799999997</v>
      </c>
      <c r="T17" s="36">
        <f t="shared" si="4"/>
        <v>0</v>
      </c>
      <c r="U17" s="36">
        <f t="shared" si="4"/>
        <v>0</v>
      </c>
      <c r="V17" s="36">
        <f t="shared" si="4"/>
        <v>0</v>
      </c>
      <c r="AA17" s="8"/>
    </row>
    <row r="18" spans="1:27" ht="15.75" hidden="1" outlineLevel="1" thickBot="1" x14ac:dyDescent="0.3">
      <c r="A18" s="9" t="str">
        <f t="shared" si="0"/>
        <v>Profit Front used</v>
      </c>
      <c r="B18" s="30" t="s">
        <v>35</v>
      </c>
      <c r="C18" s="31">
        <f>+SUM(D18:V18)</f>
        <v>7134203.5699999919</v>
      </c>
      <c r="D18" s="32">
        <v>781004.80999999866</v>
      </c>
      <c r="E18" s="32">
        <v>14768.560000000001</v>
      </c>
      <c r="F18" s="32">
        <v>0</v>
      </c>
      <c r="G18" s="32">
        <v>422555.03999999922</v>
      </c>
      <c r="H18" s="32">
        <v>641378.25999999919</v>
      </c>
      <c r="I18" s="32">
        <v>369110.81999999954</v>
      </c>
      <c r="J18" s="32">
        <v>481827.97999999992</v>
      </c>
      <c r="K18" s="32">
        <v>127878.97999999966</v>
      </c>
      <c r="L18" s="32">
        <v>547403.61999999906</v>
      </c>
      <c r="M18" s="32">
        <v>487615.1199999993</v>
      </c>
      <c r="N18" s="32">
        <v>294090.88999999961</v>
      </c>
      <c r="O18" s="32">
        <v>965567.65000000014</v>
      </c>
      <c r="P18" s="32">
        <v>598022.93999999913</v>
      </c>
      <c r="Q18" s="32">
        <v>866017.01999999932</v>
      </c>
      <c r="R18" s="32">
        <v>164363.57999999955</v>
      </c>
      <c r="S18" s="32">
        <v>372598.29999999952</v>
      </c>
      <c r="T18" s="32"/>
      <c r="U18" s="32"/>
      <c r="V18" s="32"/>
      <c r="AA18" s="8"/>
    </row>
    <row r="19" spans="1:27" ht="15.75" hidden="1" outlineLevel="1" thickBot="1" x14ac:dyDescent="0.3">
      <c r="A19" s="9" t="str">
        <f t="shared" si="0"/>
        <v>Profit US</v>
      </c>
      <c r="B19" s="30" t="s">
        <v>36</v>
      </c>
      <c r="C19" s="31">
        <f>+SUM(D19:V19)</f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/>
      <c r="U19" s="32"/>
      <c r="V19" s="32"/>
      <c r="AA19" s="8"/>
    </row>
    <row r="20" spans="1:27" ht="15.75" hidden="1" outlineLevel="1" thickBot="1" x14ac:dyDescent="0.3">
      <c r="A20" s="9" t="str">
        <f t="shared" si="0"/>
        <v>Profit Wholesale</v>
      </c>
      <c r="B20" s="30" t="s">
        <v>37</v>
      </c>
      <c r="C20" s="31">
        <f>+SUM(D20:V20)</f>
        <v>2778097.5899999952</v>
      </c>
      <c r="D20" s="32">
        <v>439042.73999999958</v>
      </c>
      <c r="E20" s="32">
        <v>-15294.97999999999</v>
      </c>
      <c r="F20" s="32">
        <v>0</v>
      </c>
      <c r="G20" s="32">
        <v>116967.69999999968</v>
      </c>
      <c r="H20" s="32">
        <v>253952.66999999946</v>
      </c>
      <c r="I20" s="32">
        <v>204881.24999999974</v>
      </c>
      <c r="J20" s="32">
        <v>125176.37999999955</v>
      </c>
      <c r="K20" s="32">
        <v>60294.799999999697</v>
      </c>
      <c r="L20" s="32">
        <v>94130.059999999619</v>
      </c>
      <c r="M20" s="32">
        <v>160820.70999999958</v>
      </c>
      <c r="N20" s="32">
        <v>71425.919999999853</v>
      </c>
      <c r="O20" s="32">
        <v>518789.12999999936</v>
      </c>
      <c r="P20" s="32">
        <v>225250.16999999975</v>
      </c>
      <c r="Q20" s="32">
        <v>241131.54999999958</v>
      </c>
      <c r="R20" s="32">
        <v>232941.87999999928</v>
      </c>
      <c r="S20" s="32">
        <v>48587.609999999891</v>
      </c>
      <c r="T20" s="32"/>
      <c r="U20" s="32"/>
      <c r="V20" s="32"/>
      <c r="AA20" s="8"/>
    </row>
    <row r="21" spans="1:27" ht="15.75" hidden="1" outlineLevel="1" thickBot="1" x14ac:dyDescent="0.3">
      <c r="A21" s="9" t="str">
        <f t="shared" si="0"/>
        <v>Profit F&amp;I used</v>
      </c>
      <c r="B21" s="30" t="s">
        <v>38</v>
      </c>
      <c r="C21" s="31">
        <f>+SUM(D21:V21)</f>
        <v>5166264.1099999957</v>
      </c>
      <c r="D21" s="32">
        <v>415527.32999999967</v>
      </c>
      <c r="E21" s="32">
        <v>14587.77</v>
      </c>
      <c r="F21" s="32">
        <v>0</v>
      </c>
      <c r="G21" s="32">
        <v>304344.4499999999</v>
      </c>
      <c r="H21" s="32">
        <v>301664.62999999977</v>
      </c>
      <c r="I21" s="32">
        <v>527916.90999999968</v>
      </c>
      <c r="J21" s="32">
        <v>449436.78999999963</v>
      </c>
      <c r="K21" s="32">
        <v>111024.75</v>
      </c>
      <c r="L21" s="32">
        <v>405978.29000000004</v>
      </c>
      <c r="M21" s="32">
        <v>373051.20999999979</v>
      </c>
      <c r="N21" s="32">
        <v>278883.60999999975</v>
      </c>
      <c r="O21" s="32">
        <v>793535.94999999891</v>
      </c>
      <c r="P21" s="32">
        <v>428389.63999999943</v>
      </c>
      <c r="Q21" s="32">
        <v>319484.65999999992</v>
      </c>
      <c r="R21" s="32">
        <v>87134.779999999679</v>
      </c>
      <c r="S21" s="32">
        <v>355303.33999999979</v>
      </c>
      <c r="T21" s="32"/>
      <c r="U21" s="32"/>
      <c r="V21" s="32"/>
      <c r="AA21" s="8"/>
    </row>
    <row r="22" spans="1:27" ht="15.75" hidden="1" outlineLevel="1" thickBot="1" x14ac:dyDescent="0.3">
      <c r="A22" s="9"/>
      <c r="B22" s="16" t="s">
        <v>39</v>
      </c>
      <c r="C22" s="36">
        <f>+SUM(C18:C21)</f>
        <v>15078565.269999983</v>
      </c>
      <c r="D22" s="37">
        <f>+SUM(D18:D21)</f>
        <v>1635574.8799999978</v>
      </c>
      <c r="E22" s="37">
        <f t="shared" ref="E22:V22" si="5">+SUM(E18:E21)</f>
        <v>14061.350000000011</v>
      </c>
      <c r="F22" s="37">
        <f t="shared" si="5"/>
        <v>0</v>
      </c>
      <c r="G22" s="37">
        <f t="shared" si="5"/>
        <v>843867.18999999878</v>
      </c>
      <c r="H22" s="37">
        <f t="shared" si="5"/>
        <v>1196995.5599999984</v>
      </c>
      <c r="I22" s="37">
        <f t="shared" si="5"/>
        <v>1101908.9799999991</v>
      </c>
      <c r="J22" s="37">
        <f t="shared" si="5"/>
        <v>1056441.1499999992</v>
      </c>
      <c r="K22" s="37">
        <f t="shared" si="5"/>
        <v>299198.52999999933</v>
      </c>
      <c r="L22" s="37">
        <f t="shared" si="5"/>
        <v>1047511.9699999987</v>
      </c>
      <c r="M22" s="37">
        <f t="shared" si="5"/>
        <v>1021487.0399999986</v>
      </c>
      <c r="N22" s="37">
        <f t="shared" si="5"/>
        <v>644400.41999999923</v>
      </c>
      <c r="O22" s="37">
        <f t="shared" si="5"/>
        <v>2277892.7299999986</v>
      </c>
      <c r="P22" s="37">
        <f t="shared" si="5"/>
        <v>1251662.7499999984</v>
      </c>
      <c r="Q22" s="37">
        <f t="shared" si="5"/>
        <v>1426633.2299999988</v>
      </c>
      <c r="R22" s="37">
        <f t="shared" si="5"/>
        <v>484440.23999999848</v>
      </c>
      <c r="S22" s="37">
        <f t="shared" si="5"/>
        <v>776489.24999999919</v>
      </c>
      <c r="T22" s="36">
        <f t="shared" si="5"/>
        <v>0</v>
      </c>
      <c r="U22" s="36">
        <f t="shared" si="5"/>
        <v>0</v>
      </c>
      <c r="V22" s="36">
        <f t="shared" si="5"/>
        <v>0</v>
      </c>
      <c r="AA22" s="8"/>
    </row>
    <row r="23" spans="1:27" ht="15.75" hidden="1" outlineLevel="1" thickBot="1" x14ac:dyDescent="0.3">
      <c r="A23" s="9"/>
      <c r="B23" s="27" t="s">
        <v>40</v>
      </c>
      <c r="C23" s="28">
        <f>+C22+C17</f>
        <v>45883112.129999943</v>
      </c>
      <c r="D23" s="38">
        <f t="shared" ref="D23:S23" si="6">+D22+D17</f>
        <v>5380316.1399999913</v>
      </c>
      <c r="E23" s="38">
        <f t="shared" si="6"/>
        <v>3515.7300000002488</v>
      </c>
      <c r="F23" s="38">
        <f t="shared" si="6"/>
        <v>0</v>
      </c>
      <c r="G23" s="38">
        <f t="shared" si="6"/>
        <v>1474488.9499999979</v>
      </c>
      <c r="H23" s="38">
        <f t="shared" si="6"/>
        <v>3599776.7899999926</v>
      </c>
      <c r="I23" s="38">
        <f t="shared" si="6"/>
        <v>3025075.799999997</v>
      </c>
      <c r="J23" s="38">
        <f t="shared" si="6"/>
        <v>3401449.6499999957</v>
      </c>
      <c r="K23" s="38">
        <f t="shared" si="6"/>
        <v>1096300.2399999981</v>
      </c>
      <c r="L23" s="38">
        <f t="shared" si="6"/>
        <v>2763062.9299999988</v>
      </c>
      <c r="M23" s="38">
        <f t="shared" si="6"/>
        <v>2752905.5399999977</v>
      </c>
      <c r="N23" s="38">
        <f t="shared" si="6"/>
        <v>2004940.5299999977</v>
      </c>
      <c r="O23" s="38">
        <f t="shared" si="6"/>
        <v>8422404.7599999998</v>
      </c>
      <c r="P23" s="38">
        <f t="shared" si="6"/>
        <v>4004953.5199999958</v>
      </c>
      <c r="Q23" s="38">
        <f t="shared" si="6"/>
        <v>3834157.4799999949</v>
      </c>
      <c r="R23" s="38">
        <f t="shared" si="6"/>
        <v>2149037.6399999973</v>
      </c>
      <c r="S23" s="38">
        <f t="shared" si="6"/>
        <v>1970726.4299999988</v>
      </c>
      <c r="T23" s="28"/>
      <c r="U23" s="28"/>
      <c r="V23" s="28"/>
      <c r="AA23" s="8"/>
    </row>
    <row r="24" spans="1:27" ht="15.75" hidden="1" outlineLevel="1" collapsed="1" thickBot="1" x14ac:dyDescent="0.3">
      <c r="A24" s="9"/>
      <c r="B24" s="39" t="s">
        <v>41</v>
      </c>
      <c r="C24" s="40">
        <f>IFERROR(C13/C5,0)</f>
        <v>2722.3624954665884</v>
      </c>
      <c r="D24" s="41">
        <f t="shared" ref="D24:S24" si="7">IFERROR(D13/D5,0)</f>
        <v>2386.0241701244754</v>
      </c>
      <c r="E24" s="41">
        <f t="shared" si="7"/>
        <v>-1434.0616666666567</v>
      </c>
      <c r="F24" s="41">
        <f t="shared" si="7"/>
        <v>0</v>
      </c>
      <c r="G24" s="41">
        <f t="shared" si="7"/>
        <v>817.81778145695171</v>
      </c>
      <c r="H24" s="41">
        <f t="shared" si="7"/>
        <v>2552.271257668704</v>
      </c>
      <c r="I24" s="41">
        <f t="shared" si="7"/>
        <v>2211.3715302491073</v>
      </c>
      <c r="J24" s="41">
        <f t="shared" si="7"/>
        <v>3168.6180199999949</v>
      </c>
      <c r="K24" s="41">
        <f t="shared" si="7"/>
        <v>2113.8945652173879</v>
      </c>
      <c r="L24" s="41">
        <f t="shared" si="7"/>
        <v>2821.5112935323377</v>
      </c>
      <c r="M24" s="41">
        <f t="shared" si="7"/>
        <v>2802.2468372093017</v>
      </c>
      <c r="N24" s="41">
        <f t="shared" si="7"/>
        <v>3958.8485462555004</v>
      </c>
      <c r="O24" s="41">
        <f t="shared" si="7"/>
        <v>3047.0066812865502</v>
      </c>
      <c r="P24" s="41">
        <f t="shared" si="7"/>
        <v>2575.8870354906021</v>
      </c>
      <c r="Q24" s="41">
        <f t="shared" si="7"/>
        <v>3456.4038799999917</v>
      </c>
      <c r="R24" s="41">
        <f t="shared" si="7"/>
        <v>3274.4941719745211</v>
      </c>
      <c r="S24" s="42">
        <f t="shared" si="7"/>
        <v>2930.8329302325569</v>
      </c>
      <c r="T24" s="29">
        <f>IFERROR(T13/T5,0)</f>
        <v>0</v>
      </c>
      <c r="U24" s="38">
        <f>IFERROR(U13/U5,0)</f>
        <v>0</v>
      </c>
      <c r="V24" s="38">
        <f>IFERROR(V13/V5,0)</f>
        <v>0</v>
      </c>
      <c r="AA24" s="8"/>
    </row>
    <row r="25" spans="1:27" ht="15.75" hidden="1" outlineLevel="1" thickBot="1" x14ac:dyDescent="0.3">
      <c r="A25" s="9"/>
      <c r="B25" s="43" t="s">
        <v>42</v>
      </c>
      <c r="C25" s="31">
        <f>IFERROR(C15/C6,0)</f>
        <v>3027.6201694915217</v>
      </c>
      <c r="D25" s="44">
        <f t="shared" ref="D25:S25" si="8">IFERROR(D15/D6,0)</f>
        <v>1472.0513999999969</v>
      </c>
      <c r="E25" s="44">
        <f t="shared" si="8"/>
        <v>0</v>
      </c>
      <c r="F25" s="44">
        <f t="shared" si="8"/>
        <v>0</v>
      </c>
      <c r="G25" s="44">
        <f t="shared" si="8"/>
        <v>422.69857142857285</v>
      </c>
      <c r="H25" s="44">
        <f t="shared" si="8"/>
        <v>2021.5294736842072</v>
      </c>
      <c r="I25" s="44">
        <f t="shared" si="8"/>
        <v>1978.3784999999996</v>
      </c>
      <c r="J25" s="44">
        <f t="shared" si="8"/>
        <v>777.51428571428494</v>
      </c>
      <c r="K25" s="44">
        <f t="shared" si="8"/>
        <v>-450.99409090909307</v>
      </c>
      <c r="L25" s="44">
        <f t="shared" si="8"/>
        <v>-345.40896551724211</v>
      </c>
      <c r="M25" s="44">
        <f t="shared" si="8"/>
        <v>2769.4544444444364</v>
      </c>
      <c r="N25" s="44">
        <f t="shared" si="8"/>
        <v>2881.0099999999902</v>
      </c>
      <c r="O25" s="44">
        <f t="shared" si="8"/>
        <v>0</v>
      </c>
      <c r="P25" s="44">
        <f t="shared" si="8"/>
        <v>6381.2675423728761</v>
      </c>
      <c r="Q25" s="44">
        <f t="shared" si="8"/>
        <v>4219.9593749999913</v>
      </c>
      <c r="R25" s="44">
        <f t="shared" si="8"/>
        <v>3102.462244897953</v>
      </c>
      <c r="S25" s="45">
        <f t="shared" si="8"/>
        <v>-0.139999999999986</v>
      </c>
      <c r="T25" s="32">
        <f>IFERROR(T15/T6,0)</f>
        <v>0</v>
      </c>
      <c r="U25" s="44">
        <f>IFERROR(U15/U6,0)</f>
        <v>0</v>
      </c>
      <c r="V25" s="44">
        <f>IFERROR(V15/V6,0)</f>
        <v>0</v>
      </c>
      <c r="AA25" s="8"/>
    </row>
    <row r="26" spans="1:27" ht="15.75" hidden="1" outlineLevel="1" thickBot="1" x14ac:dyDescent="0.3">
      <c r="A26" s="9"/>
      <c r="B26" s="43" t="s">
        <v>43</v>
      </c>
      <c r="C26" s="31">
        <f>IFERROR(C16/C5,0)</f>
        <v>1307.7254010322213</v>
      </c>
      <c r="D26" s="44">
        <f t="shared" ref="D26:S26" si="9">IFERROR(D16/D5,0)</f>
        <v>1201.6217842323642</v>
      </c>
      <c r="E26" s="44">
        <f t="shared" si="9"/>
        <v>943.24083333333328</v>
      </c>
      <c r="F26" s="44">
        <f t="shared" si="9"/>
        <v>0</v>
      </c>
      <c r="G26" s="44">
        <f t="shared" si="9"/>
        <v>1106.0226490066209</v>
      </c>
      <c r="H26" s="44">
        <f t="shared" si="9"/>
        <v>943.27687116564346</v>
      </c>
      <c r="I26" s="44">
        <f t="shared" si="9"/>
        <v>976.92151245551565</v>
      </c>
      <c r="J26" s="44">
        <f t="shared" si="9"/>
        <v>1269.336339999998</v>
      </c>
      <c r="K26" s="44">
        <f t="shared" si="9"/>
        <v>1248.8157826086945</v>
      </c>
      <c r="L26" s="44">
        <f t="shared" si="9"/>
        <v>1331.5223631840799</v>
      </c>
      <c r="M26" s="44">
        <f t="shared" si="9"/>
        <v>995.40569767441787</v>
      </c>
      <c r="N26" s="44">
        <f t="shared" si="9"/>
        <v>1911.8392511013217</v>
      </c>
      <c r="O26" s="44">
        <f t="shared" si="9"/>
        <v>1445.1297222222222</v>
      </c>
      <c r="P26" s="44">
        <f t="shared" si="9"/>
        <v>1607.0033611691019</v>
      </c>
      <c r="Q26" s="44">
        <f t="shared" si="9"/>
        <v>1174.06032</v>
      </c>
      <c r="R26" s="44">
        <f t="shared" si="9"/>
        <v>1521.7427388535016</v>
      </c>
      <c r="S26" s="45">
        <f t="shared" si="9"/>
        <v>2629.2454418604648</v>
      </c>
      <c r="T26" s="35">
        <f>IFERROR(T16/T5,0)</f>
        <v>0</v>
      </c>
      <c r="U26" s="46">
        <f>IFERROR(U16/U5,0)</f>
        <v>0</v>
      </c>
      <c r="V26" s="46">
        <f>IFERROR(V16/V5,0)</f>
        <v>0</v>
      </c>
      <c r="AA26" s="8"/>
    </row>
    <row r="27" spans="1:27" ht="15.75" hidden="1" outlineLevel="1" thickBot="1" x14ac:dyDescent="0.3">
      <c r="A27" s="9"/>
      <c r="B27" s="47" t="s">
        <v>44</v>
      </c>
      <c r="C27" s="48">
        <f>SUM(C24,C26)</f>
        <v>4030.0878964988096</v>
      </c>
      <c r="D27" s="49">
        <f t="shared" ref="D27:V27" si="10">SUM(D24,D26)</f>
        <v>3587.6459543568399</v>
      </c>
      <c r="E27" s="49">
        <f t="shared" si="10"/>
        <v>-490.82083333332343</v>
      </c>
      <c r="F27" s="49">
        <f t="shared" si="10"/>
        <v>0</v>
      </c>
      <c r="G27" s="49">
        <f t="shared" si="10"/>
        <v>1923.8404304635726</v>
      </c>
      <c r="H27" s="49">
        <f t="shared" si="10"/>
        <v>3495.5481288343476</v>
      </c>
      <c r="I27" s="49">
        <f t="shared" si="10"/>
        <v>3188.2930427046231</v>
      </c>
      <c r="J27" s="49">
        <f t="shared" si="10"/>
        <v>4437.9543599999924</v>
      </c>
      <c r="K27" s="49">
        <f t="shared" si="10"/>
        <v>3362.7103478260824</v>
      </c>
      <c r="L27" s="49">
        <f t="shared" si="10"/>
        <v>4153.0336567164177</v>
      </c>
      <c r="M27" s="49">
        <f t="shared" si="10"/>
        <v>3797.6525348837195</v>
      </c>
      <c r="N27" s="49">
        <f t="shared" si="10"/>
        <v>5870.6877973568226</v>
      </c>
      <c r="O27" s="49">
        <f t="shared" si="10"/>
        <v>4492.1364035087727</v>
      </c>
      <c r="P27" s="49">
        <f t="shared" si="10"/>
        <v>4182.8903966597045</v>
      </c>
      <c r="Q27" s="49">
        <f t="shared" si="10"/>
        <v>4630.4641999999913</v>
      </c>
      <c r="R27" s="49">
        <f t="shared" si="10"/>
        <v>4796.2369108280227</v>
      </c>
      <c r="S27" s="50">
        <f t="shared" si="10"/>
        <v>5560.0783720930212</v>
      </c>
      <c r="T27" s="51">
        <f t="shared" si="10"/>
        <v>0</v>
      </c>
      <c r="U27" s="37">
        <f t="shared" si="10"/>
        <v>0</v>
      </c>
      <c r="V27" s="37">
        <f t="shared" si="10"/>
        <v>0</v>
      </c>
      <c r="AA27" s="8"/>
    </row>
    <row r="28" spans="1:27" collapsed="1" x14ac:dyDescent="0.25">
      <c r="A28" s="9"/>
      <c r="B28" s="52" t="s">
        <v>45</v>
      </c>
      <c r="C28" s="53">
        <f>IFERROR(C17/C7,0)</f>
        <v>4062.8523951463944</v>
      </c>
      <c r="D28" s="54">
        <f t="shared" ref="D28:S31" si="11">IFERROR(D17/D7,0)</f>
        <v>3693.0387179487111</v>
      </c>
      <c r="E28" s="54">
        <f t="shared" si="11"/>
        <v>-439.40083333332342</v>
      </c>
      <c r="F28" s="54">
        <f t="shared" si="11"/>
        <v>0</v>
      </c>
      <c r="G28" s="54">
        <f t="shared" si="11"/>
        <v>2040.847119741097</v>
      </c>
      <c r="H28" s="54">
        <f t="shared" si="11"/>
        <v>3482.2916376811513</v>
      </c>
      <c r="I28" s="54">
        <f t="shared" si="11"/>
        <v>3304.410343642608</v>
      </c>
      <c r="J28" s="54">
        <f t="shared" si="11"/>
        <v>4383.1934579439185</v>
      </c>
      <c r="K28" s="54">
        <f t="shared" si="11"/>
        <v>3163.1020238095189</v>
      </c>
      <c r="L28" s="54">
        <f t="shared" si="11"/>
        <v>3980.3966589327147</v>
      </c>
      <c r="M28" s="54">
        <f t="shared" si="11"/>
        <v>3788.6619256017484</v>
      </c>
      <c r="N28" s="54">
        <f t="shared" si="11"/>
        <v>5967.2811842105193</v>
      </c>
      <c r="O28" s="54">
        <f t="shared" si="11"/>
        <v>4491.6023611111123</v>
      </c>
      <c r="P28" s="54">
        <f t="shared" si="11"/>
        <v>4611.877336683413</v>
      </c>
      <c r="Q28" s="54">
        <f t="shared" si="11"/>
        <v>4665.7446705426273</v>
      </c>
      <c r="R28" s="54">
        <f t="shared" si="11"/>
        <v>4585.6677685950381</v>
      </c>
      <c r="S28" s="55">
        <f t="shared" si="11"/>
        <v>5528.8758333333317</v>
      </c>
      <c r="T28" s="56">
        <f>IFERROR(T17/T7,0)</f>
        <v>0</v>
      </c>
      <c r="U28" s="36">
        <f>IFERROR(U17/U7,0)</f>
        <v>0</v>
      </c>
      <c r="V28" s="36">
        <f>IFERROR(V17/V7,0)</f>
        <v>0</v>
      </c>
      <c r="AA28" s="8"/>
    </row>
    <row r="29" spans="1:27" hidden="1" outlineLevel="1" x14ac:dyDescent="0.25">
      <c r="A29" s="9"/>
      <c r="B29" s="43" t="s">
        <v>46</v>
      </c>
      <c r="C29" s="31">
        <f>IFERROR(C18/C8,0)</f>
        <v>1975.6863943505932</v>
      </c>
      <c r="D29" s="44">
        <f t="shared" si="11"/>
        <v>1982.2457106598952</v>
      </c>
      <c r="E29" s="44">
        <f t="shared" si="11"/>
        <v>2461.4266666666667</v>
      </c>
      <c r="F29" s="44">
        <f t="shared" si="11"/>
        <v>0</v>
      </c>
      <c r="G29" s="44">
        <f t="shared" si="11"/>
        <v>2041.3286956521702</v>
      </c>
      <c r="H29" s="44">
        <f t="shared" si="11"/>
        <v>2694.8666386554587</v>
      </c>
      <c r="I29" s="44">
        <f t="shared" si="11"/>
        <v>1436.2288715953289</v>
      </c>
      <c r="J29" s="44">
        <f t="shared" si="11"/>
        <v>1777.9630258302579</v>
      </c>
      <c r="K29" s="44">
        <f t="shared" si="11"/>
        <v>1375.0427956989211</v>
      </c>
      <c r="L29" s="44">
        <f t="shared" si="11"/>
        <v>2097.3318773946326</v>
      </c>
      <c r="M29" s="44">
        <f t="shared" si="11"/>
        <v>1603.9971052631556</v>
      </c>
      <c r="N29" s="44">
        <f t="shared" si="11"/>
        <v>1793.237134146339</v>
      </c>
      <c r="O29" s="44">
        <f t="shared" si="11"/>
        <v>1801.4321828358211</v>
      </c>
      <c r="P29" s="44">
        <f t="shared" si="11"/>
        <v>2158.9275812274336</v>
      </c>
      <c r="Q29" s="44">
        <f t="shared" si="11"/>
        <v>3070.9823404255294</v>
      </c>
      <c r="R29" s="44">
        <f t="shared" si="11"/>
        <v>3573.1213043478165</v>
      </c>
      <c r="S29" s="45">
        <f t="shared" si="11"/>
        <v>1354.9029090909073</v>
      </c>
      <c r="T29" s="32">
        <f>IFERROR(T18/T5,0)</f>
        <v>0</v>
      </c>
      <c r="U29" s="44">
        <f>IFERROR(U18/U5,0)</f>
        <v>0</v>
      </c>
      <c r="V29" s="44">
        <f>IFERROR(V18/V5,0)</f>
        <v>0</v>
      </c>
      <c r="AA29" s="8"/>
    </row>
    <row r="30" spans="1:27" hidden="1" outlineLevel="1" x14ac:dyDescent="0.25">
      <c r="A30" s="9"/>
      <c r="B30" s="43" t="s">
        <v>47</v>
      </c>
      <c r="C30" s="31">
        <f>IFERROR(C19/C9,0)</f>
        <v>0</v>
      </c>
      <c r="D30" s="44">
        <f t="shared" si="11"/>
        <v>0</v>
      </c>
      <c r="E30" s="44">
        <f t="shared" si="11"/>
        <v>0</v>
      </c>
      <c r="F30" s="44">
        <f t="shared" si="11"/>
        <v>0</v>
      </c>
      <c r="G30" s="44">
        <f t="shared" si="11"/>
        <v>0</v>
      </c>
      <c r="H30" s="44">
        <f t="shared" si="11"/>
        <v>0</v>
      </c>
      <c r="I30" s="44">
        <f t="shared" si="11"/>
        <v>0</v>
      </c>
      <c r="J30" s="44">
        <f t="shared" si="11"/>
        <v>0</v>
      </c>
      <c r="K30" s="44">
        <f t="shared" si="11"/>
        <v>0</v>
      </c>
      <c r="L30" s="44">
        <f t="shared" si="11"/>
        <v>0</v>
      </c>
      <c r="M30" s="44">
        <f t="shared" si="11"/>
        <v>0</v>
      </c>
      <c r="N30" s="44">
        <f t="shared" si="11"/>
        <v>0</v>
      </c>
      <c r="O30" s="44">
        <f t="shared" si="11"/>
        <v>0</v>
      </c>
      <c r="P30" s="44">
        <f t="shared" si="11"/>
        <v>0</v>
      </c>
      <c r="Q30" s="44">
        <f t="shared" si="11"/>
        <v>0</v>
      </c>
      <c r="R30" s="44">
        <f t="shared" si="11"/>
        <v>0</v>
      </c>
      <c r="S30" s="45">
        <f t="shared" si="11"/>
        <v>0</v>
      </c>
      <c r="T30" s="32">
        <f t="shared" ref="T30:V31" si="12">IFERROR(T19/T9,0)</f>
        <v>0</v>
      </c>
      <c r="U30" s="44">
        <f t="shared" si="12"/>
        <v>0</v>
      </c>
      <c r="V30" s="44">
        <f t="shared" si="12"/>
        <v>0</v>
      </c>
      <c r="AA30" s="8"/>
    </row>
    <row r="31" spans="1:27" hidden="1" outlineLevel="1" x14ac:dyDescent="0.25">
      <c r="A31" s="9"/>
      <c r="B31" s="43" t="s">
        <v>48</v>
      </c>
      <c r="C31" s="31">
        <f>IFERROR(C20/C10,0)</f>
        <v>767.43027348066164</v>
      </c>
      <c r="D31" s="44">
        <f t="shared" si="11"/>
        <v>842.69239923224484</v>
      </c>
      <c r="E31" s="44">
        <f t="shared" si="11"/>
        <v>-728.3323809523805</v>
      </c>
      <c r="F31" s="44">
        <f t="shared" si="11"/>
        <v>0</v>
      </c>
      <c r="G31" s="44">
        <f t="shared" si="11"/>
        <v>991.25169491525151</v>
      </c>
      <c r="H31" s="44">
        <f t="shared" si="11"/>
        <v>1181.1752093023231</v>
      </c>
      <c r="I31" s="44">
        <f t="shared" si="11"/>
        <v>642.26097178683301</v>
      </c>
      <c r="J31" s="44">
        <f t="shared" si="11"/>
        <v>424.32671186440524</v>
      </c>
      <c r="K31" s="44">
        <f t="shared" si="11"/>
        <v>430.67714285714072</v>
      </c>
      <c r="L31" s="44">
        <f t="shared" si="11"/>
        <v>356.55325757575611</v>
      </c>
      <c r="M31" s="44">
        <f t="shared" si="11"/>
        <v>690.21763948497676</v>
      </c>
      <c r="N31" s="44">
        <f t="shared" si="11"/>
        <v>425.15428571428481</v>
      </c>
      <c r="O31" s="44">
        <f t="shared" si="11"/>
        <v>1223.559268867923</v>
      </c>
      <c r="P31" s="44">
        <f t="shared" si="11"/>
        <v>866.3468076923067</v>
      </c>
      <c r="Q31" s="44">
        <f t="shared" si="11"/>
        <v>751.18862928348778</v>
      </c>
      <c r="R31" s="44">
        <f t="shared" si="11"/>
        <v>978.74739495798019</v>
      </c>
      <c r="S31" s="45">
        <f t="shared" si="11"/>
        <v>585.39289156626376</v>
      </c>
      <c r="T31" s="32">
        <f t="shared" si="12"/>
        <v>0</v>
      </c>
      <c r="U31" s="44">
        <f t="shared" si="12"/>
        <v>0</v>
      </c>
      <c r="V31" s="44">
        <f t="shared" si="12"/>
        <v>0</v>
      </c>
      <c r="AA31" s="8"/>
    </row>
    <row r="32" spans="1:27" hidden="1" outlineLevel="1" x14ac:dyDescent="0.25">
      <c r="A32" s="9"/>
      <c r="B32" s="43" t="s">
        <v>49</v>
      </c>
      <c r="C32" s="31">
        <f>IFERROR(C21/C8,0)</f>
        <v>1430.7017751315414</v>
      </c>
      <c r="D32" s="44">
        <f t="shared" ref="D32:S32" si="13">IFERROR(D21/D8,0)</f>
        <v>1054.6378934010145</v>
      </c>
      <c r="E32" s="44">
        <f t="shared" si="13"/>
        <v>2431.2950000000001</v>
      </c>
      <c r="F32" s="44">
        <f t="shared" si="13"/>
        <v>0</v>
      </c>
      <c r="G32" s="44">
        <f t="shared" si="13"/>
        <v>1470.2630434782604</v>
      </c>
      <c r="H32" s="44">
        <f t="shared" si="13"/>
        <v>1267.4984453781503</v>
      </c>
      <c r="I32" s="44">
        <f t="shared" si="13"/>
        <v>2054.1514007782089</v>
      </c>
      <c r="J32" s="44">
        <f t="shared" si="13"/>
        <v>1658.4383394833935</v>
      </c>
      <c r="K32" s="44">
        <f t="shared" si="13"/>
        <v>1193.8145161290322</v>
      </c>
      <c r="L32" s="44">
        <f t="shared" si="13"/>
        <v>1555.4723754789272</v>
      </c>
      <c r="M32" s="44">
        <f t="shared" si="13"/>
        <v>1227.1421381578941</v>
      </c>
      <c r="N32" s="44">
        <f t="shared" si="13"/>
        <v>1700.5098170731692</v>
      </c>
      <c r="O32" s="44">
        <f t="shared" si="13"/>
        <v>1480.4775186567144</v>
      </c>
      <c r="P32" s="44">
        <f t="shared" si="13"/>
        <v>1546.5329963898896</v>
      </c>
      <c r="Q32" s="44">
        <f t="shared" si="13"/>
        <v>1132.9243262411344</v>
      </c>
      <c r="R32" s="44">
        <f t="shared" si="13"/>
        <v>1894.23434782608</v>
      </c>
      <c r="S32" s="45">
        <f t="shared" si="13"/>
        <v>1292.0121454545447</v>
      </c>
      <c r="T32" s="32">
        <f>IFERROR(T21/T8,0)</f>
        <v>0</v>
      </c>
      <c r="U32" s="44">
        <f>IFERROR(U21/U8,0)</f>
        <v>0</v>
      </c>
      <c r="V32" s="44">
        <f>IFERROR(V21/V8,0)</f>
        <v>0</v>
      </c>
      <c r="AA32" s="8"/>
    </row>
    <row r="33" spans="1:27" hidden="1" outlineLevel="1" x14ac:dyDescent="0.25">
      <c r="A33" s="9"/>
      <c r="B33" s="57" t="s">
        <v>50</v>
      </c>
      <c r="C33" s="34">
        <f>SUM(C29,C32)</f>
        <v>3406.3881694821348</v>
      </c>
      <c r="D33" s="46">
        <f t="shared" ref="D33:V33" si="14">SUM(D29,D32)</f>
        <v>3036.8836040609094</v>
      </c>
      <c r="E33" s="46">
        <f t="shared" si="14"/>
        <v>4892.7216666666664</v>
      </c>
      <c r="F33" s="46">
        <f t="shared" si="14"/>
        <v>0</v>
      </c>
      <c r="G33" s="46">
        <f t="shared" si="14"/>
        <v>3511.5917391304306</v>
      </c>
      <c r="H33" s="46">
        <f t="shared" si="14"/>
        <v>3962.365084033609</v>
      </c>
      <c r="I33" s="46">
        <f t="shared" si="14"/>
        <v>3490.380272373538</v>
      </c>
      <c r="J33" s="46">
        <f t="shared" si="14"/>
        <v>3436.4013653136517</v>
      </c>
      <c r="K33" s="46">
        <f t="shared" si="14"/>
        <v>2568.8573118279533</v>
      </c>
      <c r="L33" s="46">
        <f t="shared" si="14"/>
        <v>3652.8042528735596</v>
      </c>
      <c r="M33" s="46">
        <f t="shared" si="14"/>
        <v>2831.1392434210497</v>
      </c>
      <c r="N33" s="46">
        <f t="shared" si="14"/>
        <v>3493.7469512195084</v>
      </c>
      <c r="O33" s="46">
        <f t="shared" si="14"/>
        <v>3281.9097014925355</v>
      </c>
      <c r="P33" s="46">
        <f t="shared" si="14"/>
        <v>3705.460577617323</v>
      </c>
      <c r="Q33" s="46">
        <f t="shared" si="14"/>
        <v>4203.906666666664</v>
      </c>
      <c r="R33" s="46">
        <f t="shared" si="14"/>
        <v>5467.3556521738965</v>
      </c>
      <c r="S33" s="58">
        <f t="shared" si="14"/>
        <v>2646.9150545454522</v>
      </c>
      <c r="T33" s="51">
        <f t="shared" si="14"/>
        <v>0</v>
      </c>
      <c r="U33" s="37">
        <f t="shared" si="14"/>
        <v>0</v>
      </c>
      <c r="V33" s="36">
        <f t="shared" si="14"/>
        <v>0</v>
      </c>
      <c r="AA33" s="8"/>
    </row>
    <row r="34" spans="1:27" collapsed="1" x14ac:dyDescent="0.25">
      <c r="A34" s="9"/>
      <c r="B34" s="59" t="s">
        <v>51</v>
      </c>
      <c r="C34" s="36">
        <f>IFERROR(C22/C11,0)</f>
        <v>2085.2669437145601</v>
      </c>
      <c r="D34" s="37">
        <f t="shared" ref="D34:S35" si="15">IFERROR(D22/D11,0)</f>
        <v>1787.5135300546424</v>
      </c>
      <c r="E34" s="37">
        <f t="shared" si="15"/>
        <v>520.79074074074117</v>
      </c>
      <c r="F34" s="37">
        <f t="shared" si="15"/>
        <v>0</v>
      </c>
      <c r="G34" s="37">
        <f t="shared" si="15"/>
        <v>2596.5144307692271</v>
      </c>
      <c r="H34" s="37">
        <f t="shared" si="15"/>
        <v>2642.3743046357581</v>
      </c>
      <c r="I34" s="37">
        <f t="shared" si="15"/>
        <v>1913.0364236111095</v>
      </c>
      <c r="J34" s="37">
        <f t="shared" si="15"/>
        <v>1866.5037985865711</v>
      </c>
      <c r="K34" s="37">
        <f t="shared" si="15"/>
        <v>1284.1138626609413</v>
      </c>
      <c r="L34" s="37">
        <f t="shared" si="15"/>
        <v>1995.2608952380926</v>
      </c>
      <c r="M34" s="37">
        <f t="shared" si="15"/>
        <v>1902.2105027932935</v>
      </c>
      <c r="N34" s="37">
        <f t="shared" si="15"/>
        <v>1940.9651204819254</v>
      </c>
      <c r="O34" s="37">
        <f t="shared" si="15"/>
        <v>2372.8049270833317</v>
      </c>
      <c r="P34" s="37">
        <f t="shared" si="15"/>
        <v>2330.8431098696433</v>
      </c>
      <c r="Q34" s="37">
        <f t="shared" si="15"/>
        <v>2365.8925870646744</v>
      </c>
      <c r="R34" s="37">
        <f t="shared" si="15"/>
        <v>1705.7754929577411</v>
      </c>
      <c r="S34" s="60">
        <f t="shared" si="15"/>
        <v>2168.9643854748579</v>
      </c>
      <c r="T34" s="56">
        <f>IFERROR(T22/T11,0)</f>
        <v>0</v>
      </c>
      <c r="U34" s="36">
        <f>IFERROR(U22/U11,0)</f>
        <v>0</v>
      </c>
      <c r="V34" s="36">
        <f>IFERROR(V22/V11,0)</f>
        <v>0</v>
      </c>
      <c r="AA34" s="8"/>
    </row>
    <row r="35" spans="1:27" ht="15.75" thickBot="1" x14ac:dyDescent="0.3">
      <c r="A35" s="9"/>
      <c r="B35" s="61" t="s">
        <v>52</v>
      </c>
      <c r="C35" s="62">
        <f>IFERROR(C23/C12,0)</f>
        <v>3097.4895112401232</v>
      </c>
      <c r="D35" s="62">
        <f t="shared" si="15"/>
        <v>2789.1737376879169</v>
      </c>
      <c r="E35" s="62">
        <f t="shared" si="15"/>
        <v>68.935882352946052</v>
      </c>
      <c r="F35" s="62">
        <f t="shared" si="15"/>
        <v>0</v>
      </c>
      <c r="G35" s="62">
        <f t="shared" si="15"/>
        <v>2325.6923501577253</v>
      </c>
      <c r="H35" s="62">
        <f t="shared" si="15"/>
        <v>3149.4110148731343</v>
      </c>
      <c r="I35" s="62">
        <f t="shared" si="15"/>
        <v>2612.3279792746089</v>
      </c>
      <c r="J35" s="62">
        <f t="shared" si="15"/>
        <v>3089.4183923705682</v>
      </c>
      <c r="K35" s="62">
        <f t="shared" si="15"/>
        <v>2260.4128659793778</v>
      </c>
      <c r="L35" s="62">
        <f t="shared" si="15"/>
        <v>2890.2331903765676</v>
      </c>
      <c r="M35" s="62">
        <f t="shared" si="15"/>
        <v>2769.5226760563355</v>
      </c>
      <c r="N35" s="62">
        <f t="shared" si="15"/>
        <v>3580.2509464285672</v>
      </c>
      <c r="O35" s="62">
        <f t="shared" si="15"/>
        <v>3617.8714604810993</v>
      </c>
      <c r="P35" s="62">
        <f t="shared" si="15"/>
        <v>3531.7050440917069</v>
      </c>
      <c r="Q35" s="62">
        <f t="shared" si="15"/>
        <v>3426.414191242176</v>
      </c>
      <c r="R35" s="62">
        <f t="shared" si="15"/>
        <v>3321.5419474497639</v>
      </c>
      <c r="S35" s="63">
        <f t="shared" si="15"/>
        <v>3433.321306620207</v>
      </c>
      <c r="T35" s="7"/>
      <c r="U35" s="7"/>
      <c r="V35" s="7"/>
      <c r="AA35" s="8"/>
    </row>
    <row r="36" spans="1:27" ht="5.25" customHeight="1" x14ac:dyDescent="0.25"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7" x14ac:dyDescent="0.25">
      <c r="B37" s="5" t="s">
        <v>61</v>
      </c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 t="s">
        <v>18</v>
      </c>
      <c r="U37" s="5" t="s">
        <v>19</v>
      </c>
      <c r="V37" s="5" t="s">
        <v>20</v>
      </c>
    </row>
    <row r="38" spans="1:27" hidden="1" outlineLevel="1" x14ac:dyDescent="0.25">
      <c r="A38" s="9"/>
      <c r="B38" s="10" t="s">
        <v>21</v>
      </c>
      <c r="C38" s="11">
        <f>+SUM(D38:V38)</f>
        <v>7484</v>
      </c>
      <c r="D38" s="12">
        <v>1082</v>
      </c>
      <c r="E38" s="12">
        <v>80</v>
      </c>
      <c r="F38" s="12">
        <v>0</v>
      </c>
      <c r="G38" s="12">
        <v>320</v>
      </c>
      <c r="H38" s="12">
        <v>699</v>
      </c>
      <c r="I38" s="12">
        <v>657</v>
      </c>
      <c r="J38" s="12">
        <v>525</v>
      </c>
      <c r="K38" s="12">
        <v>239</v>
      </c>
      <c r="L38" s="12">
        <v>374</v>
      </c>
      <c r="M38" s="12">
        <v>419</v>
      </c>
      <c r="N38" s="12">
        <v>233</v>
      </c>
      <c r="O38" s="12">
        <v>1351</v>
      </c>
      <c r="P38" s="12">
        <v>503</v>
      </c>
      <c r="Q38" s="12">
        <v>500</v>
      </c>
      <c r="R38" s="12">
        <v>245</v>
      </c>
      <c r="S38" s="12">
        <v>257</v>
      </c>
      <c r="T38" s="12"/>
      <c r="U38" s="12"/>
      <c r="V38" s="12"/>
      <c r="AA38" s="8"/>
    </row>
    <row r="39" spans="1:27" hidden="1" outlineLevel="1" x14ac:dyDescent="0.25">
      <c r="A39" s="9"/>
      <c r="B39" s="13" t="s">
        <v>22</v>
      </c>
      <c r="C39" s="14">
        <f>+SUM(D39:V39)</f>
        <v>471</v>
      </c>
      <c r="D39" s="15">
        <v>43</v>
      </c>
      <c r="E39" s="15">
        <v>5</v>
      </c>
      <c r="F39" s="15">
        <v>0</v>
      </c>
      <c r="G39" s="15">
        <v>33</v>
      </c>
      <c r="H39" s="15">
        <v>18</v>
      </c>
      <c r="I39" s="15">
        <v>17</v>
      </c>
      <c r="J39" s="15">
        <v>54</v>
      </c>
      <c r="K39" s="15">
        <v>8</v>
      </c>
      <c r="L39" s="15">
        <v>20</v>
      </c>
      <c r="M39" s="15">
        <v>23</v>
      </c>
      <c r="N39" s="15">
        <v>3</v>
      </c>
      <c r="O39" s="15">
        <v>0</v>
      </c>
      <c r="P39" s="15">
        <v>134</v>
      </c>
      <c r="Q39" s="15">
        <v>10</v>
      </c>
      <c r="R39" s="15">
        <v>103</v>
      </c>
      <c r="S39" s="15">
        <v>0</v>
      </c>
      <c r="T39" s="15"/>
      <c r="U39" s="15"/>
      <c r="V39" s="15"/>
      <c r="AA39" s="8"/>
    </row>
    <row r="40" spans="1:27" collapsed="1" x14ac:dyDescent="0.25">
      <c r="A40" s="9"/>
      <c r="B40" s="16" t="s">
        <v>23</v>
      </c>
      <c r="C40" s="17">
        <f>SUM(C38:C39)</f>
        <v>7955</v>
      </c>
      <c r="D40" s="18">
        <f t="shared" ref="D40:S40" si="16">SUM(D38:D39)</f>
        <v>1125</v>
      </c>
      <c r="E40" s="18">
        <f t="shared" si="16"/>
        <v>85</v>
      </c>
      <c r="F40" s="18">
        <f t="shared" si="16"/>
        <v>0</v>
      </c>
      <c r="G40" s="18">
        <f t="shared" si="16"/>
        <v>353</v>
      </c>
      <c r="H40" s="18">
        <f t="shared" si="16"/>
        <v>717</v>
      </c>
      <c r="I40" s="18">
        <f t="shared" si="16"/>
        <v>674</v>
      </c>
      <c r="J40" s="18">
        <f t="shared" si="16"/>
        <v>579</v>
      </c>
      <c r="K40" s="18">
        <f t="shared" si="16"/>
        <v>247</v>
      </c>
      <c r="L40" s="18">
        <f t="shared" si="16"/>
        <v>394</v>
      </c>
      <c r="M40" s="18">
        <f t="shared" si="16"/>
        <v>442</v>
      </c>
      <c r="N40" s="18">
        <f t="shared" si="16"/>
        <v>236</v>
      </c>
      <c r="O40" s="18">
        <f t="shared" si="16"/>
        <v>1351</v>
      </c>
      <c r="P40" s="18">
        <f t="shared" si="16"/>
        <v>637</v>
      </c>
      <c r="Q40" s="18">
        <f t="shared" si="16"/>
        <v>510</v>
      </c>
      <c r="R40" s="18">
        <f t="shared" si="16"/>
        <v>348</v>
      </c>
      <c r="S40" s="18">
        <f t="shared" si="16"/>
        <v>257</v>
      </c>
      <c r="T40" s="19">
        <f>SUM(T38:T39)</f>
        <v>0</v>
      </c>
      <c r="U40" s="19">
        <f>SUM(U38:U39)</f>
        <v>0</v>
      </c>
      <c r="V40" s="19">
        <f>SUM(V38:V39)</f>
        <v>0</v>
      </c>
      <c r="AA40" s="8"/>
    </row>
    <row r="41" spans="1:27" ht="14.25" hidden="1" customHeight="1" outlineLevel="1" x14ac:dyDescent="0.25">
      <c r="A41" s="9"/>
      <c r="B41" s="10" t="s">
        <v>24</v>
      </c>
      <c r="C41" s="11">
        <f>+SUM(D41:V41)</f>
        <v>3882.3649526849845</v>
      </c>
      <c r="D41" s="12">
        <v>432</v>
      </c>
      <c r="E41" s="12">
        <v>84</v>
      </c>
      <c r="F41" s="12">
        <v>0</v>
      </c>
      <c r="G41" s="12">
        <v>191</v>
      </c>
      <c r="H41" s="12">
        <v>337</v>
      </c>
      <c r="I41" s="12">
        <v>310</v>
      </c>
      <c r="J41" s="12">
        <v>257</v>
      </c>
      <c r="K41" s="12">
        <v>90</v>
      </c>
      <c r="L41" s="12">
        <v>211</v>
      </c>
      <c r="M41" s="12">
        <v>311</v>
      </c>
      <c r="N41" s="12">
        <v>195</v>
      </c>
      <c r="O41" s="12">
        <v>472</v>
      </c>
      <c r="P41" s="12">
        <v>391</v>
      </c>
      <c r="Q41" s="12">
        <v>228</v>
      </c>
      <c r="R41" s="12">
        <v>95.364952684984601</v>
      </c>
      <c r="S41" s="12">
        <v>278</v>
      </c>
      <c r="T41" s="20"/>
      <c r="U41" s="20"/>
      <c r="V41" s="20"/>
      <c r="AA41" s="8"/>
    </row>
    <row r="42" spans="1:27" hidden="1" outlineLevel="1" x14ac:dyDescent="0.25">
      <c r="A42" s="9"/>
      <c r="B42" s="13" t="s">
        <v>25</v>
      </c>
      <c r="C42" s="14">
        <f>+SUM(D42:V42)</f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21"/>
      <c r="U42" s="21"/>
      <c r="V42" s="21"/>
      <c r="AA42" s="8"/>
    </row>
    <row r="43" spans="1:27" hidden="1" outlineLevel="1" x14ac:dyDescent="0.25">
      <c r="A43" s="9"/>
      <c r="B43" s="13" t="s">
        <v>26</v>
      </c>
      <c r="C43" s="22">
        <f>+SUM(D43:V43)</f>
        <v>3639.7355979021772</v>
      </c>
      <c r="D43" s="23">
        <v>491</v>
      </c>
      <c r="E43" s="23">
        <v>84</v>
      </c>
      <c r="F43" s="23">
        <v>0</v>
      </c>
      <c r="G43" s="23">
        <v>87</v>
      </c>
      <c r="H43" s="23">
        <v>240</v>
      </c>
      <c r="I43" s="23">
        <v>335</v>
      </c>
      <c r="J43" s="23">
        <v>252.92519999999999</v>
      </c>
      <c r="K43" s="23">
        <v>128</v>
      </c>
      <c r="L43" s="23">
        <v>257</v>
      </c>
      <c r="M43" s="23">
        <v>229</v>
      </c>
      <c r="N43" s="23">
        <v>192</v>
      </c>
      <c r="O43" s="23">
        <v>503</v>
      </c>
      <c r="P43" s="23">
        <v>286</v>
      </c>
      <c r="Q43" s="23">
        <v>241</v>
      </c>
      <c r="R43" s="23">
        <v>243.81039790217764</v>
      </c>
      <c r="S43" s="23">
        <v>70</v>
      </c>
      <c r="T43" s="24"/>
      <c r="U43" s="24"/>
      <c r="V43" s="24"/>
      <c r="AA43" s="8"/>
    </row>
    <row r="44" spans="1:27" collapsed="1" x14ac:dyDescent="0.25">
      <c r="A44" s="9"/>
      <c r="B44" s="16" t="s">
        <v>27</v>
      </c>
      <c r="C44" s="17">
        <f>SUM(C41:C43)</f>
        <v>7522.1005505871617</v>
      </c>
      <c r="D44" s="18">
        <f t="shared" ref="D44:S44" si="17">SUM(D41:D43)</f>
        <v>923</v>
      </c>
      <c r="E44" s="18">
        <f t="shared" si="17"/>
        <v>168</v>
      </c>
      <c r="F44" s="18">
        <f t="shared" si="17"/>
        <v>0</v>
      </c>
      <c r="G44" s="18">
        <f t="shared" si="17"/>
        <v>278</v>
      </c>
      <c r="H44" s="18">
        <f t="shared" si="17"/>
        <v>577</v>
      </c>
      <c r="I44" s="18">
        <f t="shared" si="17"/>
        <v>645</v>
      </c>
      <c r="J44" s="18">
        <f t="shared" si="17"/>
        <v>509.92520000000002</v>
      </c>
      <c r="K44" s="18">
        <f t="shared" si="17"/>
        <v>218</v>
      </c>
      <c r="L44" s="18">
        <f t="shared" si="17"/>
        <v>468</v>
      </c>
      <c r="M44" s="18">
        <f t="shared" si="17"/>
        <v>540</v>
      </c>
      <c r="N44" s="18">
        <f t="shared" si="17"/>
        <v>387</v>
      </c>
      <c r="O44" s="18">
        <f t="shared" si="17"/>
        <v>975</v>
      </c>
      <c r="P44" s="18">
        <f t="shared" si="17"/>
        <v>677</v>
      </c>
      <c r="Q44" s="18">
        <f t="shared" si="17"/>
        <v>469</v>
      </c>
      <c r="R44" s="18">
        <f t="shared" si="17"/>
        <v>339.17535058716226</v>
      </c>
      <c r="S44" s="18">
        <f t="shared" si="17"/>
        <v>348</v>
      </c>
      <c r="T44" s="19">
        <f>SUM(T41:T43)</f>
        <v>0</v>
      </c>
      <c r="U44" s="19">
        <f>SUM(U41:U43)</f>
        <v>0</v>
      </c>
      <c r="V44" s="19">
        <f>SUM(V41:V43)</f>
        <v>0</v>
      </c>
      <c r="AA44" s="8"/>
    </row>
    <row r="45" spans="1:27" ht="15.75" thickBot="1" x14ac:dyDescent="0.3">
      <c r="A45" s="9"/>
      <c r="B45" s="25" t="s">
        <v>28</v>
      </c>
      <c r="C45" s="11">
        <f>+C40+C44</f>
        <v>15477.100550587162</v>
      </c>
      <c r="D45" s="11">
        <f t="shared" ref="D45:S45" si="18">+D40+D44</f>
        <v>2048</v>
      </c>
      <c r="E45" s="11">
        <f t="shared" si="18"/>
        <v>253</v>
      </c>
      <c r="F45" s="11">
        <f t="shared" si="18"/>
        <v>0</v>
      </c>
      <c r="G45" s="11">
        <f t="shared" si="18"/>
        <v>631</v>
      </c>
      <c r="H45" s="11">
        <f t="shared" si="18"/>
        <v>1294</v>
      </c>
      <c r="I45" s="11">
        <f t="shared" si="18"/>
        <v>1319</v>
      </c>
      <c r="J45" s="11">
        <f t="shared" si="18"/>
        <v>1088.9252000000001</v>
      </c>
      <c r="K45" s="11">
        <f t="shared" si="18"/>
        <v>465</v>
      </c>
      <c r="L45" s="11">
        <f t="shared" si="18"/>
        <v>862</v>
      </c>
      <c r="M45" s="11">
        <f t="shared" si="18"/>
        <v>982</v>
      </c>
      <c r="N45" s="11">
        <f t="shared" si="18"/>
        <v>623</v>
      </c>
      <c r="O45" s="11">
        <f t="shared" si="18"/>
        <v>2326</v>
      </c>
      <c r="P45" s="11">
        <f t="shared" si="18"/>
        <v>1314</v>
      </c>
      <c r="Q45" s="11">
        <f t="shared" si="18"/>
        <v>979</v>
      </c>
      <c r="R45" s="11">
        <f t="shared" si="18"/>
        <v>687.17535058716226</v>
      </c>
      <c r="S45" s="11">
        <f t="shared" si="18"/>
        <v>605</v>
      </c>
      <c r="T45" s="26"/>
      <c r="U45" s="26"/>
      <c r="V45" s="26"/>
      <c r="AA45" s="8"/>
    </row>
    <row r="46" spans="1:27" ht="15.75" hidden="1" outlineLevel="1" thickBot="1" x14ac:dyDescent="0.3">
      <c r="A46" s="9"/>
      <c r="B46" s="27" t="s">
        <v>30</v>
      </c>
      <c r="C46" s="28">
        <f>+SUM(D46:V46)</f>
        <v>19469787.435266253</v>
      </c>
      <c r="D46" s="29">
        <v>2462055.1323038442</v>
      </c>
      <c r="E46" s="29">
        <v>115000.00000000035</v>
      </c>
      <c r="F46" s="29">
        <v>0</v>
      </c>
      <c r="G46" s="29">
        <v>290683.60071301245</v>
      </c>
      <c r="H46" s="29">
        <v>1679669</v>
      </c>
      <c r="I46" s="29">
        <v>1490051.311027142</v>
      </c>
      <c r="J46" s="29">
        <v>1285130</v>
      </c>
      <c r="K46" s="29">
        <v>538651</v>
      </c>
      <c r="L46" s="29">
        <v>902684.13001383119</v>
      </c>
      <c r="M46" s="29">
        <v>1313750</v>
      </c>
      <c r="N46" s="29">
        <v>856909.90682273207</v>
      </c>
      <c r="O46" s="29">
        <v>4411305.7281553401</v>
      </c>
      <c r="P46" s="29">
        <v>1262767.0952667396</v>
      </c>
      <c r="Q46" s="29">
        <v>1785876.6006843131</v>
      </c>
      <c r="R46" s="29">
        <v>324653.93027929828</v>
      </c>
      <c r="S46" s="29">
        <v>750600</v>
      </c>
      <c r="T46" s="29"/>
      <c r="U46" s="29"/>
      <c r="V46" s="29"/>
      <c r="AA46" s="8"/>
    </row>
    <row r="47" spans="1:27" ht="15.75" hidden="1" outlineLevel="1" thickBot="1" x14ac:dyDescent="0.3">
      <c r="A47" s="9"/>
      <c r="B47" s="30" t="s">
        <v>31</v>
      </c>
      <c r="C47" s="31">
        <f>+SUM(D47:V47)</f>
        <v>652258.15923691494</v>
      </c>
      <c r="D47" s="32">
        <v>175047.61904761905</v>
      </c>
      <c r="E47" s="32">
        <v>1000</v>
      </c>
      <c r="F47" s="32">
        <v>0</v>
      </c>
      <c r="G47" s="32">
        <v>45950.955683619235</v>
      </c>
      <c r="H47" s="32">
        <v>40000</v>
      </c>
      <c r="I47" s="32">
        <v>69700</v>
      </c>
      <c r="J47" s="32">
        <v>113497.70110000001</v>
      </c>
      <c r="K47" s="32">
        <v>50000</v>
      </c>
      <c r="L47" s="32">
        <v>73926</v>
      </c>
      <c r="M47" s="32">
        <v>32250</v>
      </c>
      <c r="N47" s="32">
        <v>26134.108138889838</v>
      </c>
      <c r="O47" s="32">
        <v>0</v>
      </c>
      <c r="P47" s="32">
        <v>0</v>
      </c>
      <c r="Q47" s="32">
        <v>16514.999999933938</v>
      </c>
      <c r="R47" s="32">
        <v>8236.7752668526755</v>
      </c>
      <c r="S47" s="32">
        <v>0</v>
      </c>
      <c r="T47" s="32"/>
      <c r="U47" s="32"/>
      <c r="V47" s="32"/>
      <c r="AA47" s="8"/>
    </row>
    <row r="48" spans="1:27" ht="15.75" hidden="1" outlineLevel="1" thickBot="1" x14ac:dyDescent="0.3">
      <c r="A48" s="9"/>
      <c r="B48" s="30" t="s">
        <v>32</v>
      </c>
      <c r="C48" s="31">
        <f>+SUM(D48:V48)</f>
        <v>1028007.1977173265</v>
      </c>
      <c r="D48" s="32">
        <v>105028.57142857143</v>
      </c>
      <c r="E48" s="32">
        <v>1500</v>
      </c>
      <c r="F48" s="32">
        <v>0</v>
      </c>
      <c r="G48" s="32">
        <v>16500</v>
      </c>
      <c r="H48" s="32">
        <v>0</v>
      </c>
      <c r="I48" s="32">
        <v>40695.486026651299</v>
      </c>
      <c r="J48" s="32">
        <v>13500</v>
      </c>
      <c r="K48" s="32">
        <v>0.28571428571428564</v>
      </c>
      <c r="L48" s="32">
        <v>0</v>
      </c>
      <c r="M48" s="32">
        <v>47150</v>
      </c>
      <c r="N48" s="32">
        <v>0</v>
      </c>
      <c r="O48" s="32">
        <v>0</v>
      </c>
      <c r="P48" s="32">
        <v>516127.29899226245</v>
      </c>
      <c r="Q48" s="32">
        <v>30005.555555555551</v>
      </c>
      <c r="R48" s="32">
        <v>257500</v>
      </c>
      <c r="S48" s="32">
        <v>0</v>
      </c>
      <c r="T48" s="32"/>
      <c r="U48" s="32"/>
      <c r="V48" s="32"/>
      <c r="AA48" s="8"/>
    </row>
    <row r="49" spans="1:27" ht="15.75" hidden="1" outlineLevel="1" thickBot="1" x14ac:dyDescent="0.3">
      <c r="A49" s="9"/>
      <c r="B49" s="33" t="s">
        <v>33</v>
      </c>
      <c r="C49" s="34">
        <f>+SUM(D49:V49)</f>
        <v>9252825</v>
      </c>
      <c r="D49" s="35">
        <v>1190200</v>
      </c>
      <c r="E49" s="35">
        <v>72000</v>
      </c>
      <c r="F49" s="35">
        <v>0</v>
      </c>
      <c r="G49" s="35">
        <v>392000</v>
      </c>
      <c r="H49" s="35">
        <v>699000</v>
      </c>
      <c r="I49" s="35">
        <v>657000</v>
      </c>
      <c r="J49" s="35">
        <v>685650</v>
      </c>
      <c r="K49" s="35">
        <v>286800</v>
      </c>
      <c r="L49" s="35">
        <v>486200</v>
      </c>
      <c r="M49" s="35">
        <v>419000</v>
      </c>
      <c r="N49" s="35">
        <v>385615</v>
      </c>
      <c r="O49" s="35">
        <v>1634710</v>
      </c>
      <c r="P49" s="35">
        <v>905400</v>
      </c>
      <c r="Q49" s="35">
        <v>600000</v>
      </c>
      <c r="R49" s="35">
        <v>338100</v>
      </c>
      <c r="S49" s="35">
        <v>501150</v>
      </c>
      <c r="T49" s="35"/>
      <c r="U49" s="35"/>
      <c r="V49" s="35"/>
      <c r="AA49" s="8"/>
    </row>
    <row r="50" spans="1:27" ht="15.75" hidden="1" outlineLevel="1" thickBot="1" x14ac:dyDescent="0.3">
      <c r="A50" s="9"/>
      <c r="B50" s="16" t="s">
        <v>34</v>
      </c>
      <c r="C50" s="36">
        <f>+SUM(C46:C49)</f>
        <v>30402877.792220496</v>
      </c>
      <c r="D50" s="37">
        <f t="shared" ref="D50:S50" si="19">+SUM(D46:D49)</f>
        <v>3932331.3227800345</v>
      </c>
      <c r="E50" s="37">
        <f t="shared" si="19"/>
        <v>189500.00000000035</v>
      </c>
      <c r="F50" s="37">
        <f t="shared" si="19"/>
        <v>0</v>
      </c>
      <c r="G50" s="37">
        <f t="shared" si="19"/>
        <v>745134.55639663176</v>
      </c>
      <c r="H50" s="37">
        <f t="shared" si="19"/>
        <v>2418669</v>
      </c>
      <c r="I50" s="37">
        <f t="shared" si="19"/>
        <v>2257446.7970537934</v>
      </c>
      <c r="J50" s="37">
        <f t="shared" si="19"/>
        <v>2097777.7011000002</v>
      </c>
      <c r="K50" s="37">
        <f t="shared" si="19"/>
        <v>875451.28571428568</v>
      </c>
      <c r="L50" s="37">
        <f t="shared" si="19"/>
        <v>1462810.1300138312</v>
      </c>
      <c r="M50" s="37">
        <f t="shared" si="19"/>
        <v>1812150</v>
      </c>
      <c r="N50" s="37">
        <f t="shared" si="19"/>
        <v>1268659.014961622</v>
      </c>
      <c r="O50" s="37">
        <f t="shared" si="19"/>
        <v>6046015.7281553401</v>
      </c>
      <c r="P50" s="37">
        <f t="shared" si="19"/>
        <v>2684294.3942590021</v>
      </c>
      <c r="Q50" s="37">
        <f t="shared" si="19"/>
        <v>2432397.1562398025</v>
      </c>
      <c r="R50" s="37">
        <f t="shared" si="19"/>
        <v>928490.70554615092</v>
      </c>
      <c r="S50" s="37">
        <f t="shared" si="19"/>
        <v>1251750</v>
      </c>
      <c r="T50" s="36">
        <f>+SUM(T46:T49)</f>
        <v>0</v>
      </c>
      <c r="U50" s="36">
        <f>+SUM(U46:U49)</f>
        <v>0</v>
      </c>
      <c r="V50" s="36">
        <f>+SUM(V46:V49)</f>
        <v>0</v>
      </c>
      <c r="AA50" s="8"/>
    </row>
    <row r="51" spans="1:27" ht="15.75" hidden="1" outlineLevel="1" thickBot="1" x14ac:dyDescent="0.3">
      <c r="A51" s="9"/>
      <c r="B51" s="30" t="s">
        <v>35</v>
      </c>
      <c r="C51" s="31">
        <f>+SUM(D51:V51)</f>
        <v>6109114.2011173181</v>
      </c>
      <c r="D51" s="32">
        <v>691570</v>
      </c>
      <c r="E51" s="32">
        <v>100800</v>
      </c>
      <c r="F51" s="32">
        <v>0</v>
      </c>
      <c r="G51" s="32">
        <v>286500</v>
      </c>
      <c r="H51" s="32">
        <v>537720</v>
      </c>
      <c r="I51" s="32">
        <v>449400</v>
      </c>
      <c r="J51" s="32">
        <v>411200</v>
      </c>
      <c r="K51" s="32">
        <v>143400</v>
      </c>
      <c r="L51" s="32">
        <v>326000</v>
      </c>
      <c r="M51" s="32">
        <v>446700</v>
      </c>
      <c r="N51" s="32">
        <v>351000</v>
      </c>
      <c r="O51" s="32">
        <v>802400</v>
      </c>
      <c r="P51" s="32">
        <v>702800</v>
      </c>
      <c r="Q51" s="32">
        <v>296700</v>
      </c>
      <c r="R51" s="32">
        <v>176864.20111731844</v>
      </c>
      <c r="S51" s="32">
        <v>386060</v>
      </c>
      <c r="T51" s="32"/>
      <c r="U51" s="32"/>
      <c r="V51" s="32"/>
      <c r="AA51" s="8"/>
    </row>
    <row r="52" spans="1:27" ht="15.75" hidden="1" outlineLevel="1" thickBot="1" x14ac:dyDescent="0.3">
      <c r="A52" s="9"/>
      <c r="B52" s="30" t="s">
        <v>36</v>
      </c>
      <c r="C52" s="31">
        <f>+SUM(D52:V52)</f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/>
      <c r="U52" s="32"/>
      <c r="V52" s="32"/>
      <c r="AA52" s="8"/>
    </row>
    <row r="53" spans="1:27" ht="15.75" hidden="1" outlineLevel="1" thickBot="1" x14ac:dyDescent="0.3">
      <c r="A53" s="9"/>
      <c r="B53" s="30" t="s">
        <v>37</v>
      </c>
      <c r="C53" s="31">
        <f>+SUM(D53:V53)</f>
        <v>1759269.2622005895</v>
      </c>
      <c r="D53" s="32">
        <v>196400</v>
      </c>
      <c r="E53" s="32">
        <v>25200</v>
      </c>
      <c r="F53" s="32">
        <v>0</v>
      </c>
      <c r="G53" s="32">
        <v>56550</v>
      </c>
      <c r="H53" s="32">
        <v>144000</v>
      </c>
      <c r="I53" s="32">
        <v>134000</v>
      </c>
      <c r="J53" s="32">
        <v>62988.491808000006</v>
      </c>
      <c r="K53" s="32">
        <v>51200</v>
      </c>
      <c r="L53" s="32">
        <v>77100</v>
      </c>
      <c r="M53" s="32">
        <v>22900</v>
      </c>
      <c r="N53" s="32">
        <v>67200</v>
      </c>
      <c r="O53" s="32">
        <v>503000</v>
      </c>
      <c r="P53" s="32">
        <v>243100</v>
      </c>
      <c r="Q53" s="32">
        <v>34535.051546391747</v>
      </c>
      <c r="R53" s="32">
        <v>134095.71884619771</v>
      </c>
      <c r="S53" s="32">
        <v>7000</v>
      </c>
      <c r="T53" s="32"/>
      <c r="U53" s="32"/>
      <c r="V53" s="32"/>
      <c r="AA53" s="8"/>
    </row>
    <row r="54" spans="1:27" ht="15.75" hidden="1" outlineLevel="1" thickBot="1" x14ac:dyDescent="0.3">
      <c r="A54" s="9"/>
      <c r="B54" s="30" t="s">
        <v>38</v>
      </c>
      <c r="C54" s="31">
        <f>+SUM(D54:V54)</f>
        <v>5973781.914832972</v>
      </c>
      <c r="D54" s="32">
        <v>604800</v>
      </c>
      <c r="E54" s="32">
        <v>126000</v>
      </c>
      <c r="F54" s="32">
        <v>0</v>
      </c>
      <c r="G54" s="32">
        <v>367675</v>
      </c>
      <c r="H54" s="32">
        <v>539200</v>
      </c>
      <c r="I54" s="32">
        <v>589000</v>
      </c>
      <c r="J54" s="32">
        <v>436900.00000000006</v>
      </c>
      <c r="K54" s="32">
        <v>112500</v>
      </c>
      <c r="L54" s="32">
        <v>311225</v>
      </c>
      <c r="M54" s="32">
        <v>422075</v>
      </c>
      <c r="N54" s="32">
        <v>282750</v>
      </c>
      <c r="O54" s="32">
        <v>802400</v>
      </c>
      <c r="P54" s="32">
        <v>586500</v>
      </c>
      <c r="Q54" s="32">
        <v>273600</v>
      </c>
      <c r="R54" s="32">
        <v>171656.91483297231</v>
      </c>
      <c r="S54" s="32">
        <v>347500</v>
      </c>
      <c r="T54" s="32"/>
      <c r="U54" s="32"/>
      <c r="V54" s="32"/>
      <c r="AA54" s="8"/>
    </row>
    <row r="55" spans="1:27" ht="15.75" hidden="1" outlineLevel="1" thickBot="1" x14ac:dyDescent="0.3">
      <c r="A55" s="9"/>
      <c r="B55" s="16" t="s">
        <v>39</v>
      </c>
      <c r="C55" s="36">
        <f>+SUM(C51:C54)</f>
        <v>13842165.37815088</v>
      </c>
      <c r="D55" s="37">
        <f>+SUM(D51:D54)</f>
        <v>1492770</v>
      </c>
      <c r="E55" s="37">
        <f t="shared" ref="E55:S55" si="20">+SUM(E51:E54)</f>
        <v>252000</v>
      </c>
      <c r="F55" s="37">
        <f t="shared" si="20"/>
        <v>0</v>
      </c>
      <c r="G55" s="37">
        <f t="shared" si="20"/>
        <v>710725</v>
      </c>
      <c r="H55" s="37">
        <f t="shared" si="20"/>
        <v>1220920</v>
      </c>
      <c r="I55" s="37">
        <f t="shared" si="20"/>
        <v>1172400</v>
      </c>
      <c r="J55" s="37">
        <f t="shared" si="20"/>
        <v>911088.49180800002</v>
      </c>
      <c r="K55" s="37">
        <f t="shared" si="20"/>
        <v>307100</v>
      </c>
      <c r="L55" s="37">
        <f t="shared" si="20"/>
        <v>714325</v>
      </c>
      <c r="M55" s="37">
        <f t="shared" si="20"/>
        <v>891675</v>
      </c>
      <c r="N55" s="37">
        <f t="shared" si="20"/>
        <v>700950</v>
      </c>
      <c r="O55" s="37">
        <f t="shared" si="20"/>
        <v>2107800</v>
      </c>
      <c r="P55" s="37">
        <f t="shared" si="20"/>
        <v>1532400</v>
      </c>
      <c r="Q55" s="37">
        <f t="shared" si="20"/>
        <v>604835.0515463918</v>
      </c>
      <c r="R55" s="37">
        <f t="shared" si="20"/>
        <v>482616.83479648852</v>
      </c>
      <c r="S55" s="37">
        <f t="shared" si="20"/>
        <v>740560</v>
      </c>
      <c r="T55" s="36">
        <f>+SUM(T51:T54)</f>
        <v>0</v>
      </c>
      <c r="U55" s="36">
        <f>+SUM(U51:U54)</f>
        <v>0</v>
      </c>
      <c r="V55" s="36">
        <f>+SUM(V51:V54)</f>
        <v>0</v>
      </c>
      <c r="AA55" s="8"/>
    </row>
    <row r="56" spans="1:27" ht="15.75" hidden="1" outlineLevel="1" thickBot="1" x14ac:dyDescent="0.3">
      <c r="A56" s="9"/>
      <c r="B56" s="27" t="s">
        <v>40</v>
      </c>
      <c r="C56" s="28">
        <f>+C55+C50</f>
        <v>44245043.170371376</v>
      </c>
      <c r="D56" s="38">
        <f t="shared" ref="D56:S56" si="21">+D55+D50</f>
        <v>5425101.3227800345</v>
      </c>
      <c r="E56" s="38">
        <f t="shared" si="21"/>
        <v>441500.00000000035</v>
      </c>
      <c r="F56" s="38">
        <f t="shared" si="21"/>
        <v>0</v>
      </c>
      <c r="G56" s="38">
        <f t="shared" si="21"/>
        <v>1455859.5563966318</v>
      </c>
      <c r="H56" s="38">
        <f t="shared" si="21"/>
        <v>3639589</v>
      </c>
      <c r="I56" s="38">
        <f t="shared" si="21"/>
        <v>3429846.7970537934</v>
      </c>
      <c r="J56" s="38">
        <f t="shared" si="21"/>
        <v>3008866.1929080002</v>
      </c>
      <c r="K56" s="38">
        <f t="shared" si="21"/>
        <v>1182551.2857142857</v>
      </c>
      <c r="L56" s="38">
        <f t="shared" si="21"/>
        <v>2177135.130013831</v>
      </c>
      <c r="M56" s="38">
        <f t="shared" si="21"/>
        <v>2703825</v>
      </c>
      <c r="N56" s="38">
        <f t="shared" si="21"/>
        <v>1969609.014961622</v>
      </c>
      <c r="O56" s="38">
        <f t="shared" si="21"/>
        <v>8153815.7281553401</v>
      </c>
      <c r="P56" s="38">
        <f t="shared" si="21"/>
        <v>4216694.3942590021</v>
      </c>
      <c r="Q56" s="38">
        <f t="shared" si="21"/>
        <v>3037232.207786194</v>
      </c>
      <c r="R56" s="38">
        <f t="shared" si="21"/>
        <v>1411107.5403426394</v>
      </c>
      <c r="S56" s="38">
        <f t="shared" si="21"/>
        <v>1992310</v>
      </c>
      <c r="T56" s="28">
        <f>+T55+T50</f>
        <v>0</v>
      </c>
      <c r="U56" s="28">
        <f>+U55+U50</f>
        <v>0</v>
      </c>
      <c r="V56" s="28">
        <f>+V55+V50</f>
        <v>0</v>
      </c>
      <c r="AA56" s="8"/>
    </row>
    <row r="57" spans="1:27" ht="15.75" hidden="1" outlineLevel="1" collapsed="1" thickBot="1" x14ac:dyDescent="0.3">
      <c r="A57" s="9"/>
      <c r="B57" s="39" t="s">
        <v>41</v>
      </c>
      <c r="C57" s="40">
        <f>IFERROR(C46/C38,0)</f>
        <v>2601.5215707197026</v>
      </c>
      <c r="D57" s="41">
        <f t="shared" ref="D57:S57" si="22">IFERROR(D46/D38,0)</f>
        <v>2275.4668505580817</v>
      </c>
      <c r="E57" s="41">
        <f t="shared" si="22"/>
        <v>1437.5000000000043</v>
      </c>
      <c r="F57" s="41">
        <f t="shared" si="22"/>
        <v>0</v>
      </c>
      <c r="G57" s="41">
        <f t="shared" si="22"/>
        <v>908.38625222816393</v>
      </c>
      <c r="H57" s="41">
        <f t="shared" si="22"/>
        <v>2402.9599427753933</v>
      </c>
      <c r="I57" s="41">
        <f t="shared" si="22"/>
        <v>2267.9624216547063</v>
      </c>
      <c r="J57" s="41">
        <f t="shared" si="22"/>
        <v>2447.8666666666668</v>
      </c>
      <c r="K57" s="41">
        <f t="shared" si="22"/>
        <v>2253.7698744769873</v>
      </c>
      <c r="L57" s="41">
        <f t="shared" si="22"/>
        <v>2413.5939305182651</v>
      </c>
      <c r="M57" s="41">
        <f t="shared" si="22"/>
        <v>3135.4415274463008</v>
      </c>
      <c r="N57" s="41">
        <f t="shared" si="22"/>
        <v>3677.7249219859746</v>
      </c>
      <c r="O57" s="41">
        <f t="shared" si="22"/>
        <v>3265.2151947855959</v>
      </c>
      <c r="P57" s="41">
        <f t="shared" si="22"/>
        <v>2510.4713623593234</v>
      </c>
      <c r="Q57" s="41">
        <f t="shared" si="22"/>
        <v>3571.7532013686264</v>
      </c>
      <c r="R57" s="41">
        <f t="shared" si="22"/>
        <v>1325.1180827726459</v>
      </c>
      <c r="S57" s="42">
        <f t="shared" si="22"/>
        <v>2920.6225680933853</v>
      </c>
      <c r="T57" s="29">
        <f>IFERROR(T46/T38,0)</f>
        <v>0</v>
      </c>
      <c r="U57" s="38">
        <f>IFERROR(U46/U38,0)</f>
        <v>0</v>
      </c>
      <c r="V57" s="38">
        <f>IFERROR(V46/V38,0)</f>
        <v>0</v>
      </c>
      <c r="AA57" s="8"/>
    </row>
    <row r="58" spans="1:27" ht="15.75" hidden="1" outlineLevel="1" thickBot="1" x14ac:dyDescent="0.3">
      <c r="A58" s="9"/>
      <c r="B58" s="43" t="s">
        <v>42</v>
      </c>
      <c r="C58" s="31">
        <f>IFERROR(C48/C39,0)</f>
        <v>2182.6055153234106</v>
      </c>
      <c r="D58" s="44">
        <f t="shared" ref="D58:S58" si="23">IFERROR(D48/D39,0)</f>
        <v>2442.5249169435219</v>
      </c>
      <c r="E58" s="44">
        <f t="shared" si="23"/>
        <v>300</v>
      </c>
      <c r="F58" s="44">
        <f t="shared" si="23"/>
        <v>0</v>
      </c>
      <c r="G58" s="44">
        <f t="shared" si="23"/>
        <v>500</v>
      </c>
      <c r="H58" s="44">
        <f t="shared" si="23"/>
        <v>0</v>
      </c>
      <c r="I58" s="44">
        <f t="shared" si="23"/>
        <v>2393.8521192147823</v>
      </c>
      <c r="J58" s="44">
        <f t="shared" si="23"/>
        <v>250</v>
      </c>
      <c r="K58" s="44">
        <f t="shared" si="23"/>
        <v>3.5714285714285705E-2</v>
      </c>
      <c r="L58" s="44">
        <f t="shared" si="23"/>
        <v>0</v>
      </c>
      <c r="M58" s="44">
        <f t="shared" si="23"/>
        <v>2050</v>
      </c>
      <c r="N58" s="44">
        <f t="shared" si="23"/>
        <v>0</v>
      </c>
      <c r="O58" s="44">
        <f t="shared" si="23"/>
        <v>0</v>
      </c>
      <c r="P58" s="44">
        <f t="shared" si="23"/>
        <v>3851.6962611362869</v>
      </c>
      <c r="Q58" s="44">
        <f t="shared" si="23"/>
        <v>3000.5555555555552</v>
      </c>
      <c r="R58" s="44">
        <f t="shared" si="23"/>
        <v>2500</v>
      </c>
      <c r="S58" s="45">
        <f t="shared" si="23"/>
        <v>0</v>
      </c>
      <c r="T58" s="32">
        <f>IFERROR(T48/T39,0)</f>
        <v>0</v>
      </c>
      <c r="U58" s="44">
        <f>IFERROR(U48/U39,0)</f>
        <v>0</v>
      </c>
      <c r="V58" s="44">
        <f>IFERROR(V48/V39,0)</f>
        <v>0</v>
      </c>
      <c r="AA58" s="8"/>
    </row>
    <row r="59" spans="1:27" ht="15.75" hidden="1" outlineLevel="1" thickBot="1" x14ac:dyDescent="0.3">
      <c r="A59" s="9"/>
      <c r="B59" s="43" t="s">
        <v>43</v>
      </c>
      <c r="C59" s="31">
        <f>IFERROR(C49/C38,0)</f>
        <v>1236.3475414216996</v>
      </c>
      <c r="D59" s="44">
        <f t="shared" ref="D59:S59" si="24">IFERROR(D49/D38,0)</f>
        <v>1100</v>
      </c>
      <c r="E59" s="44">
        <f t="shared" si="24"/>
        <v>900</v>
      </c>
      <c r="F59" s="44">
        <f t="shared" si="24"/>
        <v>0</v>
      </c>
      <c r="G59" s="44">
        <f t="shared" si="24"/>
        <v>1225</v>
      </c>
      <c r="H59" s="44">
        <f t="shared" si="24"/>
        <v>1000</v>
      </c>
      <c r="I59" s="44">
        <f t="shared" si="24"/>
        <v>1000</v>
      </c>
      <c r="J59" s="44">
        <f t="shared" si="24"/>
        <v>1306</v>
      </c>
      <c r="K59" s="44">
        <f t="shared" si="24"/>
        <v>1200</v>
      </c>
      <c r="L59" s="44">
        <f t="shared" si="24"/>
        <v>1300</v>
      </c>
      <c r="M59" s="44">
        <f t="shared" si="24"/>
        <v>1000</v>
      </c>
      <c r="N59" s="44">
        <f t="shared" si="24"/>
        <v>1655</v>
      </c>
      <c r="O59" s="44">
        <f t="shared" si="24"/>
        <v>1210</v>
      </c>
      <c r="P59" s="44">
        <f t="shared" si="24"/>
        <v>1800</v>
      </c>
      <c r="Q59" s="44">
        <f t="shared" si="24"/>
        <v>1200</v>
      </c>
      <c r="R59" s="44">
        <f t="shared" si="24"/>
        <v>1380</v>
      </c>
      <c r="S59" s="45">
        <f t="shared" si="24"/>
        <v>1950</v>
      </c>
      <c r="T59" s="35">
        <f>IFERROR(T49/T38,0)</f>
        <v>0</v>
      </c>
      <c r="U59" s="46">
        <f>IFERROR(U49/U38,0)</f>
        <v>0</v>
      </c>
      <c r="V59" s="46">
        <f>IFERROR(V49/V38,0)</f>
        <v>0</v>
      </c>
      <c r="AA59" s="8"/>
    </row>
    <row r="60" spans="1:27" ht="15.75" hidden="1" outlineLevel="1" thickBot="1" x14ac:dyDescent="0.3">
      <c r="A60" s="9"/>
      <c r="B60" s="47" t="s">
        <v>44</v>
      </c>
      <c r="C60" s="48">
        <f>SUM(C57,C59)</f>
        <v>3837.8691121414022</v>
      </c>
      <c r="D60" s="49">
        <f t="shared" ref="D60:S60" si="25">SUM(D57,D59)</f>
        <v>3375.4668505580817</v>
      </c>
      <c r="E60" s="49">
        <f t="shared" si="25"/>
        <v>2337.5000000000045</v>
      </c>
      <c r="F60" s="49">
        <f t="shared" si="25"/>
        <v>0</v>
      </c>
      <c r="G60" s="49">
        <f t="shared" si="25"/>
        <v>2133.3862522281638</v>
      </c>
      <c r="H60" s="49">
        <f t="shared" si="25"/>
        <v>3402.9599427753933</v>
      </c>
      <c r="I60" s="49">
        <f t="shared" si="25"/>
        <v>3267.9624216547063</v>
      </c>
      <c r="J60" s="49">
        <f t="shared" si="25"/>
        <v>3753.8666666666668</v>
      </c>
      <c r="K60" s="49">
        <f t="shared" si="25"/>
        <v>3453.7698744769873</v>
      </c>
      <c r="L60" s="49">
        <f t="shared" si="25"/>
        <v>3713.5939305182651</v>
      </c>
      <c r="M60" s="49">
        <f t="shared" si="25"/>
        <v>4135.4415274463008</v>
      </c>
      <c r="N60" s="49">
        <f t="shared" si="25"/>
        <v>5332.724921985975</v>
      </c>
      <c r="O60" s="49">
        <f t="shared" si="25"/>
        <v>4475.2151947855964</v>
      </c>
      <c r="P60" s="49">
        <f t="shared" si="25"/>
        <v>4310.4713623593234</v>
      </c>
      <c r="Q60" s="49">
        <f t="shared" si="25"/>
        <v>4771.7532013686268</v>
      </c>
      <c r="R60" s="49">
        <f t="shared" si="25"/>
        <v>2705.1180827726457</v>
      </c>
      <c r="S60" s="50">
        <f t="shared" si="25"/>
        <v>4870.6225680933858</v>
      </c>
      <c r="T60" s="51">
        <f>SUM(T57,T59)</f>
        <v>0</v>
      </c>
      <c r="U60" s="37">
        <f>SUM(U57,U59)</f>
        <v>0</v>
      </c>
      <c r="V60" s="37">
        <f>SUM(V57,V59)</f>
        <v>0</v>
      </c>
      <c r="AA60" s="8"/>
    </row>
    <row r="61" spans="1:27" collapsed="1" x14ac:dyDescent="0.25">
      <c r="A61" s="9"/>
      <c r="B61" s="52" t="s">
        <v>45</v>
      </c>
      <c r="C61" s="53">
        <f>IFERROR(C50/C40,0)</f>
        <v>3821.8576734406656</v>
      </c>
      <c r="D61" s="54">
        <f t="shared" ref="D61:S64" si="26">IFERROR(D50/D40,0)</f>
        <v>3495.4056202489196</v>
      </c>
      <c r="E61" s="54">
        <f t="shared" si="26"/>
        <v>2229.4117647058865</v>
      </c>
      <c r="F61" s="54">
        <f t="shared" si="26"/>
        <v>0</v>
      </c>
      <c r="G61" s="54">
        <f t="shared" si="26"/>
        <v>2110.8627659961239</v>
      </c>
      <c r="H61" s="54">
        <f t="shared" si="26"/>
        <v>3373.317991631799</v>
      </c>
      <c r="I61" s="54">
        <f t="shared" si="26"/>
        <v>3349.327592067943</v>
      </c>
      <c r="J61" s="54">
        <f t="shared" si="26"/>
        <v>3623.1048378238347</v>
      </c>
      <c r="K61" s="54">
        <f t="shared" si="26"/>
        <v>3544.3371891266625</v>
      </c>
      <c r="L61" s="54">
        <f t="shared" si="26"/>
        <v>3712.7160660249524</v>
      </c>
      <c r="M61" s="54">
        <f t="shared" si="26"/>
        <v>4099.8868778280539</v>
      </c>
      <c r="N61" s="54">
        <f t="shared" si="26"/>
        <v>5375.6737922102629</v>
      </c>
      <c r="O61" s="54">
        <f t="shared" si="26"/>
        <v>4475.2151947855955</v>
      </c>
      <c r="P61" s="54">
        <f t="shared" si="26"/>
        <v>4213.9629423218239</v>
      </c>
      <c r="Q61" s="54">
        <f t="shared" si="26"/>
        <v>4769.406188705495</v>
      </c>
      <c r="R61" s="54">
        <f t="shared" si="26"/>
        <v>2668.0767400751465</v>
      </c>
      <c r="S61" s="55">
        <f t="shared" si="26"/>
        <v>4870.6225680933849</v>
      </c>
      <c r="T61" s="56">
        <f>IFERROR(T50/T40,0)</f>
        <v>0</v>
      </c>
      <c r="U61" s="36">
        <f>IFERROR(U50/U40,0)</f>
        <v>0</v>
      </c>
      <c r="V61" s="36">
        <f>IFERROR(V50/V40,0)</f>
        <v>0</v>
      </c>
      <c r="AA61" s="8"/>
    </row>
    <row r="62" spans="1:27" hidden="1" outlineLevel="1" x14ac:dyDescent="0.25">
      <c r="A62" s="9"/>
      <c r="B62" s="43" t="s">
        <v>46</v>
      </c>
      <c r="C62" s="31">
        <f>IFERROR(C51/C41,0)</f>
        <v>1573.55485009011</v>
      </c>
      <c r="D62" s="44">
        <f t="shared" si="26"/>
        <v>1600.8564814814815</v>
      </c>
      <c r="E62" s="44">
        <f t="shared" si="26"/>
        <v>1200</v>
      </c>
      <c r="F62" s="44">
        <f t="shared" si="26"/>
        <v>0</v>
      </c>
      <c r="G62" s="44">
        <f t="shared" si="26"/>
        <v>1500</v>
      </c>
      <c r="H62" s="44">
        <f t="shared" si="26"/>
        <v>1595.6083086053413</v>
      </c>
      <c r="I62" s="44">
        <f t="shared" si="26"/>
        <v>1449.6774193548388</v>
      </c>
      <c r="J62" s="44">
        <f t="shared" si="26"/>
        <v>1600</v>
      </c>
      <c r="K62" s="44">
        <f t="shared" si="26"/>
        <v>1593.3333333333333</v>
      </c>
      <c r="L62" s="44">
        <f t="shared" si="26"/>
        <v>1545.0236966824646</v>
      </c>
      <c r="M62" s="44">
        <f t="shared" si="26"/>
        <v>1436.3344051446945</v>
      </c>
      <c r="N62" s="44">
        <f t="shared" si="26"/>
        <v>1800</v>
      </c>
      <c r="O62" s="44">
        <f t="shared" si="26"/>
        <v>1700</v>
      </c>
      <c r="P62" s="44">
        <f t="shared" si="26"/>
        <v>1797.4424552429668</v>
      </c>
      <c r="Q62" s="44">
        <f t="shared" si="26"/>
        <v>1301.3157894736842</v>
      </c>
      <c r="R62" s="44">
        <f t="shared" si="26"/>
        <v>1854.6037735849059</v>
      </c>
      <c r="S62" s="45">
        <f t="shared" si="26"/>
        <v>1388.705035971223</v>
      </c>
      <c r="T62" s="32">
        <f>IFERROR(T51/T38,0)</f>
        <v>0</v>
      </c>
      <c r="U62" s="44">
        <f>IFERROR(U51/U38,0)</f>
        <v>0</v>
      </c>
      <c r="V62" s="44">
        <f>IFERROR(V51/V38,0)</f>
        <v>0</v>
      </c>
      <c r="AA62" s="8"/>
    </row>
    <row r="63" spans="1:27" hidden="1" outlineLevel="1" x14ac:dyDescent="0.25">
      <c r="A63" s="9"/>
      <c r="B63" s="43" t="s">
        <v>47</v>
      </c>
      <c r="C63" s="31">
        <f>IFERROR(C52/C42,0)</f>
        <v>0</v>
      </c>
      <c r="D63" s="44">
        <f t="shared" si="26"/>
        <v>0</v>
      </c>
      <c r="E63" s="44">
        <f t="shared" si="26"/>
        <v>0</v>
      </c>
      <c r="F63" s="44">
        <f t="shared" si="26"/>
        <v>0</v>
      </c>
      <c r="G63" s="44">
        <f t="shared" si="26"/>
        <v>0</v>
      </c>
      <c r="H63" s="44">
        <f t="shared" si="26"/>
        <v>0</v>
      </c>
      <c r="I63" s="44">
        <f t="shared" si="26"/>
        <v>0</v>
      </c>
      <c r="J63" s="44">
        <f t="shared" si="26"/>
        <v>0</v>
      </c>
      <c r="K63" s="44">
        <f t="shared" si="26"/>
        <v>0</v>
      </c>
      <c r="L63" s="44">
        <f t="shared" si="26"/>
        <v>0</v>
      </c>
      <c r="M63" s="44">
        <f t="shared" si="26"/>
        <v>0</v>
      </c>
      <c r="N63" s="44">
        <f t="shared" si="26"/>
        <v>0</v>
      </c>
      <c r="O63" s="44">
        <f t="shared" si="26"/>
        <v>0</v>
      </c>
      <c r="P63" s="44">
        <f t="shared" si="26"/>
        <v>0</v>
      </c>
      <c r="Q63" s="44">
        <f t="shared" si="26"/>
        <v>0</v>
      </c>
      <c r="R63" s="44">
        <f t="shared" si="26"/>
        <v>0</v>
      </c>
      <c r="S63" s="45">
        <f t="shared" si="26"/>
        <v>0</v>
      </c>
      <c r="T63" s="32">
        <f t="shared" ref="T63:V64" si="27">IFERROR(T52/T42,0)</f>
        <v>0</v>
      </c>
      <c r="U63" s="44">
        <f t="shared" si="27"/>
        <v>0</v>
      </c>
      <c r="V63" s="44">
        <f t="shared" si="27"/>
        <v>0</v>
      </c>
      <c r="AA63" s="8"/>
    </row>
    <row r="64" spans="1:27" hidden="1" outlineLevel="1" x14ac:dyDescent="0.25">
      <c r="A64" s="9"/>
      <c r="B64" s="43" t="s">
        <v>48</v>
      </c>
      <c r="C64" s="31">
        <f>IFERROR(C53/C43,0)</f>
        <v>483.35084098267299</v>
      </c>
      <c r="D64" s="44">
        <f t="shared" si="26"/>
        <v>400</v>
      </c>
      <c r="E64" s="44">
        <f t="shared" si="26"/>
        <v>300</v>
      </c>
      <c r="F64" s="44">
        <f t="shared" si="26"/>
        <v>0</v>
      </c>
      <c r="G64" s="44">
        <f t="shared" si="26"/>
        <v>650</v>
      </c>
      <c r="H64" s="44">
        <f t="shared" si="26"/>
        <v>600</v>
      </c>
      <c r="I64" s="44">
        <f t="shared" si="26"/>
        <v>400</v>
      </c>
      <c r="J64" s="44">
        <f t="shared" si="26"/>
        <v>249.04000000000002</v>
      </c>
      <c r="K64" s="44">
        <f t="shared" si="26"/>
        <v>400</v>
      </c>
      <c r="L64" s="44">
        <f t="shared" si="26"/>
        <v>300</v>
      </c>
      <c r="M64" s="44">
        <f t="shared" si="26"/>
        <v>100</v>
      </c>
      <c r="N64" s="44">
        <f t="shared" si="26"/>
        <v>350</v>
      </c>
      <c r="O64" s="44">
        <f t="shared" si="26"/>
        <v>1000</v>
      </c>
      <c r="P64" s="44">
        <f t="shared" si="26"/>
        <v>850</v>
      </c>
      <c r="Q64" s="44">
        <f t="shared" si="26"/>
        <v>143.29896907216494</v>
      </c>
      <c r="R64" s="44">
        <f t="shared" si="26"/>
        <v>550</v>
      </c>
      <c r="S64" s="45">
        <f t="shared" si="26"/>
        <v>100</v>
      </c>
      <c r="T64" s="32">
        <f t="shared" si="27"/>
        <v>0</v>
      </c>
      <c r="U64" s="44">
        <f t="shared" si="27"/>
        <v>0</v>
      </c>
      <c r="V64" s="44">
        <f t="shared" si="27"/>
        <v>0</v>
      </c>
      <c r="AA64" s="8"/>
    </row>
    <row r="65" spans="1:27" hidden="1" outlineLevel="1" x14ac:dyDescent="0.25">
      <c r="A65" s="9"/>
      <c r="B65" s="43" t="s">
        <v>49</v>
      </c>
      <c r="C65" s="31">
        <f>IFERROR(C54/C41,0)</f>
        <v>1538.696641772844</v>
      </c>
      <c r="D65" s="44">
        <f t="shared" ref="D65:S65" si="28">IFERROR(D54/D41,0)</f>
        <v>1400</v>
      </c>
      <c r="E65" s="44">
        <f t="shared" si="28"/>
        <v>1500</v>
      </c>
      <c r="F65" s="44">
        <f t="shared" si="28"/>
        <v>0</v>
      </c>
      <c r="G65" s="44">
        <f t="shared" si="28"/>
        <v>1925</v>
      </c>
      <c r="H65" s="44">
        <f t="shared" si="28"/>
        <v>1600</v>
      </c>
      <c r="I65" s="44">
        <f t="shared" si="28"/>
        <v>1900</v>
      </c>
      <c r="J65" s="44">
        <f t="shared" si="28"/>
        <v>1700.0000000000002</v>
      </c>
      <c r="K65" s="44">
        <f t="shared" si="28"/>
        <v>1250</v>
      </c>
      <c r="L65" s="44">
        <f t="shared" si="28"/>
        <v>1475</v>
      </c>
      <c r="M65" s="44">
        <f t="shared" si="28"/>
        <v>1357.1543408360128</v>
      </c>
      <c r="N65" s="44">
        <f t="shared" si="28"/>
        <v>1450</v>
      </c>
      <c r="O65" s="44">
        <f t="shared" si="28"/>
        <v>1700</v>
      </c>
      <c r="P65" s="44">
        <f t="shared" si="28"/>
        <v>1500</v>
      </c>
      <c r="Q65" s="44">
        <f t="shared" si="28"/>
        <v>1200</v>
      </c>
      <c r="R65" s="44">
        <f t="shared" si="28"/>
        <v>1800.0000000000002</v>
      </c>
      <c r="S65" s="45">
        <f t="shared" si="28"/>
        <v>1250</v>
      </c>
      <c r="T65" s="32">
        <f>IFERROR(T54/T41,0)</f>
        <v>0</v>
      </c>
      <c r="U65" s="44">
        <f>IFERROR(U54/U41,0)</f>
        <v>0</v>
      </c>
      <c r="V65" s="44">
        <f>IFERROR(V54/V41,0)</f>
        <v>0</v>
      </c>
      <c r="AA65" s="8"/>
    </row>
    <row r="66" spans="1:27" hidden="1" outlineLevel="1" x14ac:dyDescent="0.25">
      <c r="A66" s="9"/>
      <c r="B66" s="57" t="s">
        <v>50</v>
      </c>
      <c r="C66" s="34">
        <f>SUM(C62,C65)</f>
        <v>3112.251491862954</v>
      </c>
      <c r="D66" s="46">
        <f t="shared" ref="D66:S66" si="29">SUM(D62,D65)</f>
        <v>3000.8564814814818</v>
      </c>
      <c r="E66" s="46">
        <f t="shared" si="29"/>
        <v>2700</v>
      </c>
      <c r="F66" s="46">
        <f t="shared" si="29"/>
        <v>0</v>
      </c>
      <c r="G66" s="46">
        <f t="shared" si="29"/>
        <v>3425</v>
      </c>
      <c r="H66" s="46">
        <f t="shared" si="29"/>
        <v>3195.6083086053413</v>
      </c>
      <c r="I66" s="46">
        <f t="shared" si="29"/>
        <v>3349.677419354839</v>
      </c>
      <c r="J66" s="46">
        <f t="shared" si="29"/>
        <v>3300</v>
      </c>
      <c r="K66" s="46">
        <f t="shared" si="29"/>
        <v>2843.333333333333</v>
      </c>
      <c r="L66" s="46">
        <f t="shared" si="29"/>
        <v>3020.0236966824646</v>
      </c>
      <c r="M66" s="46">
        <f t="shared" si="29"/>
        <v>2793.4887459807073</v>
      </c>
      <c r="N66" s="46">
        <f t="shared" si="29"/>
        <v>3250</v>
      </c>
      <c r="O66" s="46">
        <f t="shared" si="29"/>
        <v>3400</v>
      </c>
      <c r="P66" s="46">
        <f t="shared" si="29"/>
        <v>3297.4424552429668</v>
      </c>
      <c r="Q66" s="46">
        <f t="shared" si="29"/>
        <v>2501.3157894736842</v>
      </c>
      <c r="R66" s="46">
        <f t="shared" si="29"/>
        <v>3654.6037735849059</v>
      </c>
      <c r="S66" s="58">
        <f t="shared" si="29"/>
        <v>2638.705035971223</v>
      </c>
      <c r="T66" s="51">
        <f>SUM(T62,T65)</f>
        <v>0</v>
      </c>
      <c r="U66" s="37">
        <f>SUM(U62,U65)</f>
        <v>0</v>
      </c>
      <c r="V66" s="36">
        <f>SUM(V62,V65)</f>
        <v>0</v>
      </c>
      <c r="AA66" s="8"/>
    </row>
    <row r="67" spans="1:27" collapsed="1" x14ac:dyDescent="0.25">
      <c r="A67" s="9"/>
      <c r="B67" s="59" t="s">
        <v>51</v>
      </c>
      <c r="C67" s="36">
        <f>IFERROR(C55/C44,0)</f>
        <v>1840.1994609165902</v>
      </c>
      <c r="D67" s="37">
        <f t="shared" ref="D67:S68" si="30">IFERROR(D55/D44,0)</f>
        <v>1617.3022751895992</v>
      </c>
      <c r="E67" s="37">
        <f t="shared" si="30"/>
        <v>1500</v>
      </c>
      <c r="F67" s="37">
        <f t="shared" si="30"/>
        <v>0</v>
      </c>
      <c r="G67" s="37">
        <f t="shared" si="30"/>
        <v>2556.5647482014388</v>
      </c>
      <c r="H67" s="37">
        <f t="shared" si="30"/>
        <v>2115.9792027729636</v>
      </c>
      <c r="I67" s="37">
        <f t="shared" si="30"/>
        <v>1817.6744186046512</v>
      </c>
      <c r="J67" s="37">
        <f t="shared" si="30"/>
        <v>1786.7100739637892</v>
      </c>
      <c r="K67" s="37">
        <f t="shared" si="30"/>
        <v>1408.7155963302753</v>
      </c>
      <c r="L67" s="37">
        <f t="shared" si="30"/>
        <v>1526.33547008547</v>
      </c>
      <c r="M67" s="37">
        <f t="shared" si="30"/>
        <v>1651.25</v>
      </c>
      <c r="N67" s="37">
        <f t="shared" si="30"/>
        <v>1811.2403100775193</v>
      </c>
      <c r="O67" s="37">
        <f t="shared" si="30"/>
        <v>2161.8461538461538</v>
      </c>
      <c r="P67" s="37">
        <f t="shared" si="30"/>
        <v>2263.5155096011817</v>
      </c>
      <c r="Q67" s="37">
        <f t="shared" si="30"/>
        <v>1289.6269755786604</v>
      </c>
      <c r="R67" s="37">
        <f t="shared" si="30"/>
        <v>1422.9124668435015</v>
      </c>
      <c r="S67" s="60">
        <f t="shared" si="30"/>
        <v>2128.0459770114944</v>
      </c>
      <c r="T67" s="56">
        <f>IFERROR(T55/T44,0)</f>
        <v>0</v>
      </c>
      <c r="U67" s="36">
        <f>IFERROR(U55/U44,0)</f>
        <v>0</v>
      </c>
      <c r="V67" s="36">
        <f>IFERROR(V55/V44,0)</f>
        <v>0</v>
      </c>
      <c r="AA67" s="8"/>
    </row>
    <row r="68" spans="1:27" ht="15.75" thickBot="1" x14ac:dyDescent="0.3">
      <c r="A68" s="9"/>
      <c r="B68" s="61" t="s">
        <v>52</v>
      </c>
      <c r="C68" s="62">
        <f>IFERROR(C56/C45,0)</f>
        <v>2858.7423739837905</v>
      </c>
      <c r="D68" s="62">
        <f t="shared" si="30"/>
        <v>2648.9752552636887</v>
      </c>
      <c r="E68" s="62">
        <f t="shared" si="30"/>
        <v>1745.0592885375509</v>
      </c>
      <c r="F68" s="62">
        <f t="shared" si="30"/>
        <v>0</v>
      </c>
      <c r="G68" s="62">
        <f t="shared" si="30"/>
        <v>2307.2259213892739</v>
      </c>
      <c r="H68" s="62">
        <f t="shared" si="30"/>
        <v>2812.6653786707884</v>
      </c>
      <c r="I68" s="62">
        <f t="shared" si="30"/>
        <v>2600.3387392371442</v>
      </c>
      <c r="J68" s="62">
        <f t="shared" si="30"/>
        <v>2763.1523202034446</v>
      </c>
      <c r="K68" s="62">
        <f t="shared" si="30"/>
        <v>2543.121044546851</v>
      </c>
      <c r="L68" s="62">
        <f t="shared" si="30"/>
        <v>2525.6788051204535</v>
      </c>
      <c r="M68" s="62">
        <f t="shared" si="30"/>
        <v>2753.3859470468433</v>
      </c>
      <c r="N68" s="62">
        <f t="shared" si="30"/>
        <v>3161.4911957650434</v>
      </c>
      <c r="O68" s="62">
        <f t="shared" si="30"/>
        <v>3505.5097713479536</v>
      </c>
      <c r="P68" s="62">
        <f t="shared" si="30"/>
        <v>3209.05205042542</v>
      </c>
      <c r="Q68" s="62">
        <f t="shared" si="30"/>
        <v>3102.3822347152136</v>
      </c>
      <c r="R68" s="62">
        <f t="shared" si="30"/>
        <v>2053.4897521235412</v>
      </c>
      <c r="S68" s="63">
        <f t="shared" si="30"/>
        <v>3293.0743801652893</v>
      </c>
      <c r="T68" s="7"/>
      <c r="U68" s="7"/>
      <c r="V68" s="7"/>
      <c r="AA68" s="8"/>
    </row>
    <row r="69" spans="1:27" ht="5.25" customHeight="1" x14ac:dyDescent="0.25"/>
    <row r="70" spans="1:27" x14ac:dyDescent="0.25">
      <c r="B70" s="68" t="s">
        <v>53</v>
      </c>
      <c r="C70" s="65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7" t="s">
        <v>18</v>
      </c>
      <c r="U70" s="5" t="s">
        <v>19</v>
      </c>
      <c r="V70" s="5" t="s">
        <v>20</v>
      </c>
    </row>
    <row r="71" spans="1:27" hidden="1" outlineLevel="1" x14ac:dyDescent="0.25">
      <c r="A71" s="9"/>
      <c r="B71" s="10" t="s">
        <v>21</v>
      </c>
      <c r="C71" s="12">
        <f t="shared" ref="C71:V83" si="31">+C5-C38</f>
        <v>-315</v>
      </c>
      <c r="D71" s="12">
        <f t="shared" si="31"/>
        <v>-118</v>
      </c>
      <c r="E71" s="12">
        <f t="shared" si="31"/>
        <v>-56</v>
      </c>
      <c r="F71" s="12">
        <f t="shared" si="31"/>
        <v>0</v>
      </c>
      <c r="G71" s="12">
        <f t="shared" si="31"/>
        <v>-18</v>
      </c>
      <c r="H71" s="12">
        <f t="shared" si="31"/>
        <v>-47</v>
      </c>
      <c r="I71" s="12">
        <f t="shared" si="31"/>
        <v>-95</v>
      </c>
      <c r="J71" s="12">
        <f t="shared" si="31"/>
        <v>-25</v>
      </c>
      <c r="K71" s="12">
        <f t="shared" si="31"/>
        <v>-9</v>
      </c>
      <c r="L71" s="12">
        <f t="shared" si="31"/>
        <v>28</v>
      </c>
      <c r="M71" s="12">
        <f t="shared" si="31"/>
        <v>11</v>
      </c>
      <c r="N71" s="12">
        <f t="shared" si="31"/>
        <v>-6</v>
      </c>
      <c r="O71" s="12">
        <f t="shared" si="31"/>
        <v>17</v>
      </c>
      <c r="P71" s="12">
        <f t="shared" si="31"/>
        <v>-24</v>
      </c>
      <c r="Q71" s="12">
        <f t="shared" si="31"/>
        <v>0</v>
      </c>
      <c r="R71" s="12">
        <f t="shared" si="31"/>
        <v>69</v>
      </c>
      <c r="S71" s="12">
        <f t="shared" si="31"/>
        <v>-42</v>
      </c>
      <c r="T71" s="12">
        <f t="shared" si="31"/>
        <v>0</v>
      </c>
      <c r="U71" s="12">
        <f t="shared" si="31"/>
        <v>0</v>
      </c>
      <c r="V71" s="12">
        <f t="shared" si="31"/>
        <v>0</v>
      </c>
      <c r="AA71" s="8"/>
    </row>
    <row r="72" spans="1:27" hidden="1" outlineLevel="1" x14ac:dyDescent="0.25">
      <c r="A72" s="9"/>
      <c r="B72" s="13" t="s">
        <v>22</v>
      </c>
      <c r="C72" s="15">
        <f t="shared" si="31"/>
        <v>-58</v>
      </c>
      <c r="D72" s="15">
        <f t="shared" si="31"/>
        <v>7</v>
      </c>
      <c r="E72" s="15">
        <f t="shared" si="31"/>
        <v>-5</v>
      </c>
      <c r="F72" s="15">
        <f t="shared" si="31"/>
        <v>0</v>
      </c>
      <c r="G72" s="15">
        <f t="shared" si="31"/>
        <v>-26</v>
      </c>
      <c r="H72" s="15">
        <f t="shared" si="31"/>
        <v>20</v>
      </c>
      <c r="I72" s="15">
        <f t="shared" si="31"/>
        <v>3</v>
      </c>
      <c r="J72" s="15">
        <f t="shared" si="31"/>
        <v>-19</v>
      </c>
      <c r="K72" s="15">
        <f t="shared" si="31"/>
        <v>14</v>
      </c>
      <c r="L72" s="15">
        <f t="shared" si="31"/>
        <v>9</v>
      </c>
      <c r="M72" s="15">
        <f t="shared" si="31"/>
        <v>4</v>
      </c>
      <c r="N72" s="15">
        <f t="shared" si="31"/>
        <v>-2</v>
      </c>
      <c r="O72" s="15">
        <f t="shared" si="31"/>
        <v>0</v>
      </c>
      <c r="P72" s="15">
        <f t="shared" si="31"/>
        <v>-16</v>
      </c>
      <c r="Q72" s="15">
        <f t="shared" si="31"/>
        <v>6</v>
      </c>
      <c r="R72" s="15">
        <f t="shared" si="31"/>
        <v>-54</v>
      </c>
      <c r="S72" s="15">
        <f t="shared" si="31"/>
        <v>1</v>
      </c>
      <c r="T72" s="15">
        <f t="shared" si="31"/>
        <v>0</v>
      </c>
      <c r="U72" s="15">
        <f t="shared" si="31"/>
        <v>0</v>
      </c>
      <c r="V72" s="15">
        <f t="shared" si="31"/>
        <v>0</v>
      </c>
      <c r="AA72" s="8"/>
    </row>
    <row r="73" spans="1:27" collapsed="1" x14ac:dyDescent="0.25">
      <c r="A73" s="9"/>
      <c r="B73" s="16" t="s">
        <v>23</v>
      </c>
      <c r="C73" s="17">
        <f t="shared" si="31"/>
        <v>-373</v>
      </c>
      <c r="D73" s="18">
        <f t="shared" si="31"/>
        <v>-111</v>
      </c>
      <c r="E73" s="18">
        <f t="shared" si="31"/>
        <v>-61</v>
      </c>
      <c r="F73" s="18">
        <f t="shared" si="31"/>
        <v>0</v>
      </c>
      <c r="G73" s="18">
        <f t="shared" si="31"/>
        <v>-44</v>
      </c>
      <c r="H73" s="18">
        <f t="shared" si="31"/>
        <v>-27</v>
      </c>
      <c r="I73" s="18">
        <f t="shared" si="31"/>
        <v>-92</v>
      </c>
      <c r="J73" s="18">
        <f t="shared" si="31"/>
        <v>-44</v>
      </c>
      <c r="K73" s="18">
        <f t="shared" si="31"/>
        <v>5</v>
      </c>
      <c r="L73" s="18">
        <f t="shared" si="31"/>
        <v>37</v>
      </c>
      <c r="M73" s="18">
        <f t="shared" si="31"/>
        <v>15</v>
      </c>
      <c r="N73" s="18">
        <f t="shared" si="31"/>
        <v>-8</v>
      </c>
      <c r="O73" s="18">
        <f t="shared" si="31"/>
        <v>17</v>
      </c>
      <c r="P73" s="18">
        <f t="shared" si="31"/>
        <v>-40</v>
      </c>
      <c r="Q73" s="18">
        <f t="shared" si="31"/>
        <v>6</v>
      </c>
      <c r="R73" s="18">
        <f t="shared" si="31"/>
        <v>15</v>
      </c>
      <c r="S73" s="18">
        <f t="shared" si="31"/>
        <v>-41</v>
      </c>
      <c r="T73" s="19">
        <f t="shared" si="31"/>
        <v>0</v>
      </c>
      <c r="U73" s="19">
        <f t="shared" si="31"/>
        <v>0</v>
      </c>
      <c r="V73" s="19">
        <f t="shared" si="31"/>
        <v>0</v>
      </c>
      <c r="AA73" s="8"/>
    </row>
    <row r="74" spans="1:27" ht="14.25" hidden="1" customHeight="1" outlineLevel="1" x14ac:dyDescent="0.25">
      <c r="A74" s="9"/>
      <c r="B74" s="10" t="s">
        <v>24</v>
      </c>
      <c r="C74" s="11">
        <f t="shared" si="31"/>
        <v>-271.36495268498447</v>
      </c>
      <c r="D74" s="12">
        <f t="shared" si="31"/>
        <v>-38</v>
      </c>
      <c r="E74" s="12">
        <f t="shared" si="31"/>
        <v>-78</v>
      </c>
      <c r="F74" s="12">
        <f t="shared" si="31"/>
        <v>0</v>
      </c>
      <c r="G74" s="12">
        <f t="shared" si="31"/>
        <v>16</v>
      </c>
      <c r="H74" s="12">
        <f t="shared" si="31"/>
        <v>-99</v>
      </c>
      <c r="I74" s="12">
        <f t="shared" si="31"/>
        <v>-53</v>
      </c>
      <c r="J74" s="12">
        <f t="shared" si="31"/>
        <v>14</v>
      </c>
      <c r="K74" s="12">
        <f t="shared" si="31"/>
        <v>3</v>
      </c>
      <c r="L74" s="12">
        <f t="shared" si="31"/>
        <v>50</v>
      </c>
      <c r="M74" s="12">
        <f t="shared" si="31"/>
        <v>-7</v>
      </c>
      <c r="N74" s="12">
        <f t="shared" si="31"/>
        <v>-31</v>
      </c>
      <c r="O74" s="12">
        <f t="shared" si="31"/>
        <v>64</v>
      </c>
      <c r="P74" s="12">
        <f t="shared" si="31"/>
        <v>-114</v>
      </c>
      <c r="Q74" s="12">
        <f t="shared" si="31"/>
        <v>54</v>
      </c>
      <c r="R74" s="12">
        <f t="shared" si="31"/>
        <v>-49.364952684984601</v>
      </c>
      <c r="S74" s="12">
        <f t="shared" si="31"/>
        <v>-3</v>
      </c>
      <c r="T74" s="20">
        <f t="shared" si="31"/>
        <v>0</v>
      </c>
      <c r="U74" s="20">
        <f t="shared" si="31"/>
        <v>0</v>
      </c>
      <c r="V74" s="20">
        <f t="shared" si="31"/>
        <v>0</v>
      </c>
      <c r="AA74" s="8"/>
    </row>
    <row r="75" spans="1:27" hidden="1" outlineLevel="1" x14ac:dyDescent="0.25">
      <c r="A75" s="9"/>
      <c r="B75" s="13" t="s">
        <v>25</v>
      </c>
      <c r="C75" s="14">
        <f t="shared" si="31"/>
        <v>0</v>
      </c>
      <c r="D75" s="15">
        <f t="shared" si="31"/>
        <v>0</v>
      </c>
      <c r="E75" s="15">
        <f t="shared" si="31"/>
        <v>0</v>
      </c>
      <c r="F75" s="15">
        <f t="shared" si="31"/>
        <v>0</v>
      </c>
      <c r="G75" s="15">
        <f t="shared" si="31"/>
        <v>0</v>
      </c>
      <c r="H75" s="15">
        <f t="shared" si="31"/>
        <v>0</v>
      </c>
      <c r="I75" s="15">
        <f t="shared" si="31"/>
        <v>0</v>
      </c>
      <c r="J75" s="15">
        <f t="shared" si="31"/>
        <v>0</v>
      </c>
      <c r="K75" s="15">
        <f t="shared" si="31"/>
        <v>0</v>
      </c>
      <c r="L75" s="15">
        <f t="shared" si="31"/>
        <v>0</v>
      </c>
      <c r="M75" s="15">
        <f t="shared" si="31"/>
        <v>0</v>
      </c>
      <c r="N75" s="15">
        <f t="shared" si="31"/>
        <v>0</v>
      </c>
      <c r="O75" s="15">
        <f t="shared" si="31"/>
        <v>0</v>
      </c>
      <c r="P75" s="15">
        <f t="shared" si="31"/>
        <v>0</v>
      </c>
      <c r="Q75" s="15">
        <f t="shared" si="31"/>
        <v>0</v>
      </c>
      <c r="R75" s="15">
        <f t="shared" si="31"/>
        <v>0</v>
      </c>
      <c r="S75" s="15">
        <f t="shared" si="31"/>
        <v>0</v>
      </c>
      <c r="T75" s="21">
        <f t="shared" si="31"/>
        <v>0</v>
      </c>
      <c r="U75" s="21">
        <f t="shared" si="31"/>
        <v>0</v>
      </c>
      <c r="V75" s="21">
        <f t="shared" si="31"/>
        <v>0</v>
      </c>
      <c r="AA75" s="8"/>
    </row>
    <row r="76" spans="1:27" hidden="1" outlineLevel="1" x14ac:dyDescent="0.25">
      <c r="A76" s="9"/>
      <c r="B76" s="13" t="s">
        <v>26</v>
      </c>
      <c r="C76" s="22">
        <f t="shared" si="31"/>
        <v>-19.735597902177233</v>
      </c>
      <c r="D76" s="23">
        <f t="shared" si="31"/>
        <v>30</v>
      </c>
      <c r="E76" s="23">
        <f t="shared" si="31"/>
        <v>-63</v>
      </c>
      <c r="F76" s="23">
        <f t="shared" si="31"/>
        <v>0</v>
      </c>
      <c r="G76" s="23">
        <f t="shared" si="31"/>
        <v>31</v>
      </c>
      <c r="H76" s="23">
        <f t="shared" si="31"/>
        <v>-25</v>
      </c>
      <c r="I76" s="23">
        <f t="shared" si="31"/>
        <v>-16</v>
      </c>
      <c r="J76" s="23">
        <f t="shared" si="31"/>
        <v>42.07480000000001</v>
      </c>
      <c r="K76" s="23">
        <f t="shared" si="31"/>
        <v>12</v>
      </c>
      <c r="L76" s="23">
        <f t="shared" si="31"/>
        <v>7</v>
      </c>
      <c r="M76" s="23">
        <f t="shared" si="31"/>
        <v>4</v>
      </c>
      <c r="N76" s="23">
        <f t="shared" si="31"/>
        <v>-24</v>
      </c>
      <c r="O76" s="23">
        <f t="shared" si="31"/>
        <v>-79</v>
      </c>
      <c r="P76" s="23">
        <f t="shared" si="31"/>
        <v>-26</v>
      </c>
      <c r="Q76" s="23">
        <f t="shared" si="31"/>
        <v>80</v>
      </c>
      <c r="R76" s="23">
        <f t="shared" si="31"/>
        <v>-5.8103979021776411</v>
      </c>
      <c r="S76" s="23">
        <f t="shared" si="31"/>
        <v>13</v>
      </c>
      <c r="T76" s="24">
        <f t="shared" si="31"/>
        <v>0</v>
      </c>
      <c r="U76" s="24">
        <f t="shared" si="31"/>
        <v>0</v>
      </c>
      <c r="V76" s="24">
        <f t="shared" si="31"/>
        <v>0</v>
      </c>
      <c r="AA76" s="8"/>
    </row>
    <row r="77" spans="1:27" collapsed="1" x14ac:dyDescent="0.25">
      <c r="A77" s="9"/>
      <c r="B77" s="16" t="s">
        <v>27</v>
      </c>
      <c r="C77" s="17">
        <f t="shared" si="31"/>
        <v>-291.10055058716171</v>
      </c>
      <c r="D77" s="18">
        <f t="shared" si="31"/>
        <v>-8</v>
      </c>
      <c r="E77" s="18">
        <f t="shared" si="31"/>
        <v>-141</v>
      </c>
      <c r="F77" s="18">
        <f t="shared" si="31"/>
        <v>0</v>
      </c>
      <c r="G77" s="18">
        <f t="shared" si="31"/>
        <v>47</v>
      </c>
      <c r="H77" s="18">
        <f t="shared" si="31"/>
        <v>-124</v>
      </c>
      <c r="I77" s="18">
        <f t="shared" si="31"/>
        <v>-69</v>
      </c>
      <c r="J77" s="18">
        <f t="shared" si="31"/>
        <v>56.074799999999982</v>
      </c>
      <c r="K77" s="18">
        <f t="shared" si="31"/>
        <v>15</v>
      </c>
      <c r="L77" s="18">
        <f t="shared" si="31"/>
        <v>57</v>
      </c>
      <c r="M77" s="18">
        <f t="shared" si="31"/>
        <v>-3</v>
      </c>
      <c r="N77" s="18">
        <f t="shared" si="31"/>
        <v>-55</v>
      </c>
      <c r="O77" s="18">
        <f t="shared" si="31"/>
        <v>-15</v>
      </c>
      <c r="P77" s="18">
        <f t="shared" si="31"/>
        <v>-140</v>
      </c>
      <c r="Q77" s="18">
        <f t="shared" si="31"/>
        <v>134</v>
      </c>
      <c r="R77" s="18">
        <f t="shared" si="31"/>
        <v>-55.175350587162256</v>
      </c>
      <c r="S77" s="18">
        <f t="shared" si="31"/>
        <v>10</v>
      </c>
      <c r="T77" s="19">
        <f t="shared" si="31"/>
        <v>0</v>
      </c>
      <c r="U77" s="19">
        <f t="shared" si="31"/>
        <v>0</v>
      </c>
      <c r="V77" s="19">
        <f t="shared" si="31"/>
        <v>0</v>
      </c>
      <c r="AA77" s="8"/>
    </row>
    <row r="78" spans="1:27" ht="15.75" thickBot="1" x14ac:dyDescent="0.3">
      <c r="A78" s="9"/>
      <c r="B78" s="25" t="s">
        <v>28</v>
      </c>
      <c r="C78" s="11">
        <f t="shared" si="31"/>
        <v>-664.10055058716171</v>
      </c>
      <c r="D78" s="11">
        <f>+D12-D45</f>
        <v>-119</v>
      </c>
      <c r="E78" s="11">
        <f t="shared" si="31"/>
        <v>-202</v>
      </c>
      <c r="F78" s="11">
        <f t="shared" si="31"/>
        <v>0</v>
      </c>
      <c r="G78" s="11">
        <f t="shared" si="31"/>
        <v>3</v>
      </c>
      <c r="H78" s="11">
        <f t="shared" si="31"/>
        <v>-151</v>
      </c>
      <c r="I78" s="11">
        <f t="shared" si="31"/>
        <v>-161</v>
      </c>
      <c r="J78" s="11">
        <f t="shared" si="31"/>
        <v>12.074799999999868</v>
      </c>
      <c r="K78" s="11">
        <f t="shared" si="31"/>
        <v>20</v>
      </c>
      <c r="L78" s="11">
        <f t="shared" si="31"/>
        <v>94</v>
      </c>
      <c r="M78" s="11">
        <f t="shared" si="31"/>
        <v>12</v>
      </c>
      <c r="N78" s="11">
        <f t="shared" si="31"/>
        <v>-63</v>
      </c>
      <c r="O78" s="11">
        <f t="shared" si="31"/>
        <v>2</v>
      </c>
      <c r="P78" s="11">
        <f t="shared" si="31"/>
        <v>-180</v>
      </c>
      <c r="Q78" s="11">
        <f t="shared" si="31"/>
        <v>140</v>
      </c>
      <c r="R78" s="11">
        <f t="shared" si="31"/>
        <v>-40.175350587162256</v>
      </c>
      <c r="S78" s="11">
        <f t="shared" si="31"/>
        <v>-31</v>
      </c>
      <c r="T78" s="26"/>
      <c r="U78" s="26"/>
      <c r="V78" s="26"/>
      <c r="AA78" s="8"/>
    </row>
    <row r="79" spans="1:27" ht="15.75" hidden="1" outlineLevel="1" thickBot="1" x14ac:dyDescent="0.3">
      <c r="A79" s="9"/>
      <c r="B79" s="27" t="s">
        <v>30</v>
      </c>
      <c r="C79" s="28">
        <f t="shared" si="31"/>
        <v>46829.294733718038</v>
      </c>
      <c r="D79" s="29">
        <f t="shared" si="31"/>
        <v>-161927.83230384998</v>
      </c>
      <c r="E79" s="29">
        <f t="shared" si="31"/>
        <v>-149417.4800000001</v>
      </c>
      <c r="F79" s="29">
        <f t="shared" si="31"/>
        <v>0</v>
      </c>
      <c r="G79" s="29">
        <f t="shared" si="31"/>
        <v>-43702.63071301303</v>
      </c>
      <c r="H79" s="29">
        <f t="shared" si="31"/>
        <v>-15588.14000000502</v>
      </c>
      <c r="I79" s="29">
        <f t="shared" si="31"/>
        <v>-247260.51102714357</v>
      </c>
      <c r="J79" s="29">
        <f t="shared" si="31"/>
        <v>299179.00999999745</v>
      </c>
      <c r="K79" s="29">
        <f t="shared" si="31"/>
        <v>-52455.250000000815</v>
      </c>
      <c r="L79" s="29">
        <f t="shared" si="31"/>
        <v>231563.40998616861</v>
      </c>
      <c r="M79" s="29">
        <f t="shared" si="31"/>
        <v>-108783.86000000034</v>
      </c>
      <c r="N79" s="29">
        <f t="shared" si="31"/>
        <v>41748.713177266531</v>
      </c>
      <c r="O79" s="29">
        <f t="shared" si="31"/>
        <v>-243000.58815533947</v>
      </c>
      <c r="P79" s="29">
        <f t="shared" si="31"/>
        <v>-28917.205266741104</v>
      </c>
      <c r="Q79" s="29">
        <f t="shared" si="31"/>
        <v>-57674.66068431735</v>
      </c>
      <c r="R79" s="29">
        <f t="shared" si="31"/>
        <v>703537.23972070124</v>
      </c>
      <c r="S79" s="29">
        <f t="shared" si="31"/>
        <v>-120470.92000000027</v>
      </c>
      <c r="T79" s="29">
        <f t="shared" si="31"/>
        <v>0</v>
      </c>
      <c r="U79" s="29">
        <f t="shared" si="31"/>
        <v>0</v>
      </c>
      <c r="V79" s="29">
        <f t="shared" si="31"/>
        <v>0</v>
      </c>
      <c r="AA79" s="8"/>
    </row>
    <row r="80" spans="1:27" ht="15.75" hidden="1" outlineLevel="1" thickBot="1" x14ac:dyDescent="0.3">
      <c r="A80" s="9"/>
      <c r="B80" s="30" t="s">
        <v>31</v>
      </c>
      <c r="C80" s="31">
        <f t="shared" si="31"/>
        <v>10181.440763084101</v>
      </c>
      <c r="D80" s="32">
        <f t="shared" si="31"/>
        <v>37600.370952380705</v>
      </c>
      <c r="E80" s="32">
        <f t="shared" si="31"/>
        <v>234.07999999999993</v>
      </c>
      <c r="F80" s="32">
        <f t="shared" si="31"/>
        <v>0</v>
      </c>
      <c r="G80" s="32">
        <f t="shared" si="31"/>
        <v>712.10431638076989</v>
      </c>
      <c r="H80" s="32">
        <f t="shared" si="31"/>
        <v>6865.7300000000032</v>
      </c>
      <c r="I80" s="32">
        <f t="shared" si="31"/>
        <v>22078.559999999808</v>
      </c>
      <c r="J80" s="32">
        <f t="shared" si="31"/>
        <v>-14679.381100000159</v>
      </c>
      <c r="K80" s="32">
        <f t="shared" si="31"/>
        <v>-16399.800000000003</v>
      </c>
      <c r="L80" s="32">
        <f t="shared" si="31"/>
        <v>-17877.710000000065</v>
      </c>
      <c r="M80" s="32">
        <f t="shared" si="31"/>
        <v>-8597.3600000001788</v>
      </c>
      <c r="N80" s="32">
        <f t="shared" si="31"/>
        <v>-1121.1381388898517</v>
      </c>
      <c r="O80" s="32">
        <f t="shared" si="31"/>
        <v>-730.57000000000698</v>
      </c>
      <c r="P80" s="32">
        <f t="shared" si="31"/>
        <v>-3303.2999999999997</v>
      </c>
      <c r="Q80" s="32">
        <f t="shared" si="31"/>
        <v>8257.8000000660832</v>
      </c>
      <c r="R80" s="32">
        <f t="shared" si="31"/>
        <v>-1678.4152668526667</v>
      </c>
      <c r="S80" s="32">
        <f t="shared" si="31"/>
        <v>-1179.5299999999979</v>
      </c>
      <c r="T80" s="32">
        <f t="shared" si="31"/>
        <v>0</v>
      </c>
      <c r="U80" s="32">
        <f t="shared" si="31"/>
        <v>0</v>
      </c>
      <c r="V80" s="32">
        <f t="shared" si="31"/>
        <v>0</v>
      </c>
      <c r="AA80" s="8"/>
    </row>
    <row r="81" spans="1:27" ht="15.75" hidden="1" outlineLevel="1" thickBot="1" x14ac:dyDescent="0.3">
      <c r="A81" s="9"/>
      <c r="B81" s="30" t="s">
        <v>32</v>
      </c>
      <c r="C81" s="31">
        <f t="shared" si="31"/>
        <v>222399.93228267203</v>
      </c>
      <c r="D81" s="32">
        <f t="shared" si="31"/>
        <v>-31426.001428571588</v>
      </c>
      <c r="E81" s="32">
        <f t="shared" si="31"/>
        <v>-1500</v>
      </c>
      <c r="F81" s="32">
        <f t="shared" si="31"/>
        <v>0</v>
      </c>
      <c r="G81" s="32">
        <f t="shared" si="31"/>
        <v>-13541.10999999999</v>
      </c>
      <c r="H81" s="32">
        <f t="shared" si="31"/>
        <v>76818.119999999879</v>
      </c>
      <c r="I81" s="32">
        <f t="shared" si="31"/>
        <v>-1127.9160266513063</v>
      </c>
      <c r="J81" s="32">
        <f t="shared" si="31"/>
        <v>13712.999999999971</v>
      </c>
      <c r="K81" s="32">
        <f t="shared" si="31"/>
        <v>-9922.1557142857619</v>
      </c>
      <c r="L81" s="32">
        <f t="shared" si="31"/>
        <v>-10016.860000000021</v>
      </c>
      <c r="M81" s="32">
        <f t="shared" si="31"/>
        <v>27625.269999999786</v>
      </c>
      <c r="N81" s="32">
        <f t="shared" si="31"/>
        <v>2881.0099999999902</v>
      </c>
      <c r="O81" s="32">
        <f t="shared" si="31"/>
        <v>0</v>
      </c>
      <c r="P81" s="32">
        <f t="shared" si="31"/>
        <v>236862.27100773691</v>
      </c>
      <c r="Q81" s="32">
        <f t="shared" si="31"/>
        <v>37513.794444444313</v>
      </c>
      <c r="R81" s="32">
        <f t="shared" si="31"/>
        <v>-105479.3500000003</v>
      </c>
      <c r="S81" s="32">
        <f t="shared" si="31"/>
        <v>-0.139999999999986</v>
      </c>
      <c r="T81" s="32">
        <f t="shared" si="31"/>
        <v>0</v>
      </c>
      <c r="U81" s="32">
        <f t="shared" si="31"/>
        <v>0</v>
      </c>
      <c r="V81" s="32">
        <f t="shared" si="31"/>
        <v>0</v>
      </c>
      <c r="AA81" s="8"/>
    </row>
    <row r="82" spans="1:27" ht="15.75" hidden="1" outlineLevel="1" thickBot="1" x14ac:dyDescent="0.3">
      <c r="A82" s="9"/>
      <c r="B82" s="33" t="s">
        <v>33</v>
      </c>
      <c r="C82" s="34">
        <f t="shared" si="31"/>
        <v>122258.39999999478</v>
      </c>
      <c r="D82" s="35">
        <f t="shared" si="31"/>
        <v>-31836.600000000792</v>
      </c>
      <c r="E82" s="35">
        <f t="shared" si="31"/>
        <v>-49362.22</v>
      </c>
      <c r="F82" s="35">
        <f t="shared" si="31"/>
        <v>0</v>
      </c>
      <c r="G82" s="35">
        <f t="shared" si="31"/>
        <v>-57981.160000000498</v>
      </c>
      <c r="H82" s="35">
        <f t="shared" si="31"/>
        <v>-83983.480000000447</v>
      </c>
      <c r="I82" s="35">
        <f t="shared" si="31"/>
        <v>-107970.11000000022</v>
      </c>
      <c r="J82" s="35">
        <f t="shared" si="31"/>
        <v>-50981.830000001006</v>
      </c>
      <c r="K82" s="35">
        <f t="shared" si="31"/>
        <v>427.62999999971362</v>
      </c>
      <c r="L82" s="35">
        <f t="shared" si="31"/>
        <v>49071.990000000107</v>
      </c>
      <c r="M82" s="35">
        <f t="shared" si="31"/>
        <v>9024.4499999996624</v>
      </c>
      <c r="N82" s="35">
        <f t="shared" si="31"/>
        <v>48372.510000000009</v>
      </c>
      <c r="O82" s="35">
        <f t="shared" si="31"/>
        <v>342227.45999999996</v>
      </c>
      <c r="P82" s="35">
        <f t="shared" si="31"/>
        <v>-135645.39000000013</v>
      </c>
      <c r="Q82" s="35">
        <f t="shared" si="31"/>
        <v>-12969.839999999967</v>
      </c>
      <c r="R82" s="35">
        <f t="shared" si="31"/>
        <v>139727.21999999951</v>
      </c>
      <c r="S82" s="35">
        <f t="shared" si="31"/>
        <v>64137.769999999902</v>
      </c>
      <c r="T82" s="35">
        <f t="shared" si="31"/>
        <v>0</v>
      </c>
      <c r="U82" s="35">
        <f t="shared" si="31"/>
        <v>0</v>
      </c>
      <c r="V82" s="35">
        <f t="shared" si="31"/>
        <v>0</v>
      </c>
      <c r="AA82" s="8"/>
    </row>
    <row r="83" spans="1:27" ht="15.75" hidden="1" outlineLevel="1" thickBot="1" x14ac:dyDescent="0.3">
      <c r="A83" s="9"/>
      <c r="B83" s="16" t="s">
        <v>34</v>
      </c>
      <c r="C83" s="36">
        <f t="shared" si="31"/>
        <v>401669.06777946651</v>
      </c>
      <c r="D83" s="37">
        <f t="shared" si="31"/>
        <v>-187590.06278004125</v>
      </c>
      <c r="E83" s="37">
        <f t="shared" si="31"/>
        <v>-200045.62000000011</v>
      </c>
      <c r="F83" s="37">
        <f t="shared" si="31"/>
        <v>0</v>
      </c>
      <c r="G83" s="37">
        <f t="shared" si="31"/>
        <v>-114512.7963966328</v>
      </c>
      <c r="H83" s="37">
        <f t="shared" si="31"/>
        <v>-15887.770000005607</v>
      </c>
      <c r="I83" s="37">
        <f t="shared" si="31"/>
        <v>-334279.97705379548</v>
      </c>
      <c r="J83" s="37">
        <f t="shared" si="31"/>
        <v>247230.79889999609</v>
      </c>
      <c r="K83" s="37">
        <f t="shared" si="31"/>
        <v>-78349.575714286882</v>
      </c>
      <c r="L83" s="37">
        <f t="shared" si="31"/>
        <v>252740.82998616877</v>
      </c>
      <c r="M83" s="37">
        <f t="shared" si="31"/>
        <v>-80731.500000000931</v>
      </c>
      <c r="N83" s="37">
        <f t="shared" si="31"/>
        <v>91881.095038376516</v>
      </c>
      <c r="O83" s="37">
        <f t="shared" si="31"/>
        <v>98496.301844661124</v>
      </c>
      <c r="P83" s="37">
        <f t="shared" si="31"/>
        <v>68996.375740995631</v>
      </c>
      <c r="Q83" s="37">
        <f t="shared" si="31"/>
        <v>-24872.906239806674</v>
      </c>
      <c r="R83" s="37">
        <f t="shared" si="31"/>
        <v>736106.69445384783</v>
      </c>
      <c r="S83" s="37">
        <f t="shared" si="31"/>
        <v>-57512.820000000298</v>
      </c>
      <c r="T83" s="36">
        <f t="shared" si="31"/>
        <v>0</v>
      </c>
      <c r="U83" s="36">
        <f t="shared" si="31"/>
        <v>0</v>
      </c>
      <c r="V83" s="36">
        <f t="shared" ref="V83:AH83" si="32">+V17-V50</f>
        <v>0</v>
      </c>
      <c r="AA83" s="8"/>
    </row>
    <row r="84" spans="1:27" ht="15.75" hidden="1" outlineLevel="1" thickBot="1" x14ac:dyDescent="0.3">
      <c r="A84" s="9"/>
      <c r="B84" s="30" t="s">
        <v>35</v>
      </c>
      <c r="C84" s="31">
        <f t="shared" ref="C84:V91" si="33">+C18-C51</f>
        <v>1025089.3688826738</v>
      </c>
      <c r="D84" s="32">
        <f t="shared" si="33"/>
        <v>89434.809999998659</v>
      </c>
      <c r="E84" s="32">
        <f t="shared" si="33"/>
        <v>-86031.44</v>
      </c>
      <c r="F84" s="32">
        <f t="shared" si="33"/>
        <v>0</v>
      </c>
      <c r="G84" s="32">
        <f t="shared" si="33"/>
        <v>136055.03999999922</v>
      </c>
      <c r="H84" s="32">
        <f t="shared" si="33"/>
        <v>103658.25999999919</v>
      </c>
      <c r="I84" s="32">
        <f t="shared" si="33"/>
        <v>-80289.180000000459</v>
      </c>
      <c r="J84" s="32">
        <f t="shared" si="33"/>
        <v>70627.979999999923</v>
      </c>
      <c r="K84" s="32">
        <f t="shared" si="33"/>
        <v>-15521.020000000339</v>
      </c>
      <c r="L84" s="32">
        <f t="shared" si="33"/>
        <v>221403.61999999906</v>
      </c>
      <c r="M84" s="32">
        <f t="shared" si="33"/>
        <v>40915.119999999297</v>
      </c>
      <c r="N84" s="32">
        <f t="shared" si="33"/>
        <v>-56909.110000000393</v>
      </c>
      <c r="O84" s="32">
        <f t="shared" si="33"/>
        <v>163167.65000000014</v>
      </c>
      <c r="P84" s="32">
        <f t="shared" si="33"/>
        <v>-104777.06000000087</v>
      </c>
      <c r="Q84" s="32">
        <f t="shared" si="33"/>
        <v>569317.01999999932</v>
      </c>
      <c r="R84" s="32">
        <f t="shared" si="33"/>
        <v>-12500.621117318893</v>
      </c>
      <c r="S84" s="32">
        <f t="shared" si="33"/>
        <v>-13461.700000000477</v>
      </c>
      <c r="T84" s="32">
        <f t="shared" si="33"/>
        <v>0</v>
      </c>
      <c r="U84" s="32">
        <f t="shared" si="33"/>
        <v>0</v>
      </c>
      <c r="V84" s="32">
        <f t="shared" si="33"/>
        <v>0</v>
      </c>
      <c r="AA84" s="8"/>
    </row>
    <row r="85" spans="1:27" ht="15.75" hidden="1" outlineLevel="1" thickBot="1" x14ac:dyDescent="0.3">
      <c r="A85" s="9"/>
      <c r="B85" s="30" t="s">
        <v>36</v>
      </c>
      <c r="C85" s="31">
        <f t="shared" si="33"/>
        <v>0</v>
      </c>
      <c r="D85" s="32">
        <f t="shared" si="33"/>
        <v>0</v>
      </c>
      <c r="E85" s="32">
        <f t="shared" si="33"/>
        <v>0</v>
      </c>
      <c r="F85" s="32">
        <f t="shared" si="33"/>
        <v>0</v>
      </c>
      <c r="G85" s="32">
        <f t="shared" si="33"/>
        <v>0</v>
      </c>
      <c r="H85" s="32">
        <f t="shared" si="33"/>
        <v>0</v>
      </c>
      <c r="I85" s="32">
        <f t="shared" si="33"/>
        <v>0</v>
      </c>
      <c r="J85" s="32">
        <f t="shared" si="33"/>
        <v>0</v>
      </c>
      <c r="K85" s="32">
        <f t="shared" si="33"/>
        <v>0</v>
      </c>
      <c r="L85" s="32">
        <f t="shared" si="33"/>
        <v>0</v>
      </c>
      <c r="M85" s="32">
        <f t="shared" si="33"/>
        <v>0</v>
      </c>
      <c r="N85" s="32">
        <f t="shared" si="33"/>
        <v>0</v>
      </c>
      <c r="O85" s="32">
        <f t="shared" si="33"/>
        <v>0</v>
      </c>
      <c r="P85" s="32">
        <f t="shared" si="33"/>
        <v>0</v>
      </c>
      <c r="Q85" s="32">
        <f t="shared" si="33"/>
        <v>0</v>
      </c>
      <c r="R85" s="32">
        <f t="shared" si="33"/>
        <v>0</v>
      </c>
      <c r="S85" s="32">
        <f t="shared" si="33"/>
        <v>0</v>
      </c>
      <c r="T85" s="32">
        <f t="shared" si="33"/>
        <v>0</v>
      </c>
      <c r="U85" s="32">
        <f t="shared" si="33"/>
        <v>0</v>
      </c>
      <c r="V85" s="32">
        <f t="shared" si="33"/>
        <v>0</v>
      </c>
      <c r="AA85" s="8"/>
    </row>
    <row r="86" spans="1:27" ht="15.75" hidden="1" outlineLevel="1" thickBot="1" x14ac:dyDescent="0.3">
      <c r="A86" s="9"/>
      <c r="B86" s="30" t="s">
        <v>37</v>
      </c>
      <c r="C86" s="31">
        <f t="shared" si="33"/>
        <v>1018828.3277994057</v>
      </c>
      <c r="D86" s="32">
        <f t="shared" si="33"/>
        <v>242642.73999999958</v>
      </c>
      <c r="E86" s="32">
        <f t="shared" si="33"/>
        <v>-40494.979999999989</v>
      </c>
      <c r="F86" s="32">
        <f t="shared" si="33"/>
        <v>0</v>
      </c>
      <c r="G86" s="32">
        <f t="shared" si="33"/>
        <v>60417.699999999677</v>
      </c>
      <c r="H86" s="32">
        <f t="shared" si="33"/>
        <v>109952.66999999946</v>
      </c>
      <c r="I86" s="32">
        <f t="shared" si="33"/>
        <v>70881.249999999738</v>
      </c>
      <c r="J86" s="32">
        <f t="shared" si="33"/>
        <v>62187.888191999547</v>
      </c>
      <c r="K86" s="32">
        <f t="shared" si="33"/>
        <v>9094.7999999996973</v>
      </c>
      <c r="L86" s="32">
        <f t="shared" si="33"/>
        <v>17030.059999999619</v>
      </c>
      <c r="M86" s="32">
        <f t="shared" si="33"/>
        <v>137920.70999999958</v>
      </c>
      <c r="N86" s="32">
        <f t="shared" si="33"/>
        <v>4225.9199999998527</v>
      </c>
      <c r="O86" s="32">
        <f t="shared" si="33"/>
        <v>15789.129999999364</v>
      </c>
      <c r="P86" s="32">
        <f t="shared" si="33"/>
        <v>-17849.830000000249</v>
      </c>
      <c r="Q86" s="32">
        <f t="shared" si="33"/>
        <v>206596.49845360784</v>
      </c>
      <c r="R86" s="32">
        <f t="shared" si="33"/>
        <v>98846.161153801571</v>
      </c>
      <c r="S86" s="32">
        <f t="shared" si="33"/>
        <v>41587.609999999891</v>
      </c>
      <c r="T86" s="32">
        <f t="shared" si="33"/>
        <v>0</v>
      </c>
      <c r="U86" s="32">
        <f t="shared" si="33"/>
        <v>0</v>
      </c>
      <c r="V86" s="32">
        <f t="shared" si="33"/>
        <v>0</v>
      </c>
      <c r="AA86" s="8"/>
    </row>
    <row r="87" spans="1:27" ht="15.75" hidden="1" outlineLevel="1" thickBot="1" x14ac:dyDescent="0.3">
      <c r="A87" s="9"/>
      <c r="B87" s="30" t="s">
        <v>38</v>
      </c>
      <c r="C87" s="31">
        <f>+C21-C54</f>
        <v>-807517.80483297631</v>
      </c>
      <c r="D87" s="32">
        <f t="shared" si="33"/>
        <v>-189272.67000000033</v>
      </c>
      <c r="E87" s="32">
        <f t="shared" si="33"/>
        <v>-111412.23</v>
      </c>
      <c r="F87" s="32">
        <f t="shared" si="33"/>
        <v>0</v>
      </c>
      <c r="G87" s="32">
        <f t="shared" si="33"/>
        <v>-63330.550000000105</v>
      </c>
      <c r="H87" s="32">
        <f t="shared" si="33"/>
        <v>-237535.37000000023</v>
      </c>
      <c r="I87" s="32">
        <f t="shared" si="33"/>
        <v>-61083.090000000317</v>
      </c>
      <c r="J87" s="32">
        <f t="shared" si="33"/>
        <v>12536.789999999572</v>
      </c>
      <c r="K87" s="32">
        <f t="shared" si="33"/>
        <v>-1475.25</v>
      </c>
      <c r="L87" s="32">
        <f t="shared" si="33"/>
        <v>94753.290000000037</v>
      </c>
      <c r="M87" s="32">
        <f t="shared" si="33"/>
        <v>-49023.790000000212</v>
      </c>
      <c r="N87" s="32">
        <f t="shared" si="33"/>
        <v>-3866.3900000002468</v>
      </c>
      <c r="O87" s="32">
        <f t="shared" si="33"/>
        <v>-8864.0500000010943</v>
      </c>
      <c r="P87" s="32">
        <f t="shared" si="33"/>
        <v>-158110.36000000057</v>
      </c>
      <c r="Q87" s="32">
        <f t="shared" si="33"/>
        <v>45884.659999999916</v>
      </c>
      <c r="R87" s="32">
        <f t="shared" si="33"/>
        <v>-84522.134832972632</v>
      </c>
      <c r="S87" s="32">
        <f t="shared" si="33"/>
        <v>7803.3399999997928</v>
      </c>
      <c r="T87" s="32">
        <f t="shared" si="33"/>
        <v>0</v>
      </c>
      <c r="U87" s="32">
        <f t="shared" si="33"/>
        <v>0</v>
      </c>
      <c r="V87" s="32">
        <f t="shared" si="33"/>
        <v>0</v>
      </c>
      <c r="AA87" s="8"/>
    </row>
    <row r="88" spans="1:27" ht="15.75" hidden="1" outlineLevel="1" thickBot="1" x14ac:dyDescent="0.3">
      <c r="A88" s="9"/>
      <c r="B88" s="16" t="s">
        <v>39</v>
      </c>
      <c r="C88" s="36">
        <f>+C22-C55</f>
        <v>1236399.8918491025</v>
      </c>
      <c r="D88" s="37">
        <f t="shared" si="33"/>
        <v>142804.87999999779</v>
      </c>
      <c r="E88" s="37">
        <f t="shared" si="33"/>
        <v>-237938.65</v>
      </c>
      <c r="F88" s="37">
        <f t="shared" si="33"/>
        <v>0</v>
      </c>
      <c r="G88" s="37">
        <f t="shared" si="33"/>
        <v>133142.18999999878</v>
      </c>
      <c r="H88" s="37">
        <f t="shared" si="33"/>
        <v>-23924.440000001574</v>
      </c>
      <c r="I88" s="37">
        <f t="shared" si="33"/>
        <v>-70491.02000000095</v>
      </c>
      <c r="J88" s="37">
        <f t="shared" si="33"/>
        <v>145352.65819199919</v>
      </c>
      <c r="K88" s="37">
        <f t="shared" si="33"/>
        <v>-7901.4700000006706</v>
      </c>
      <c r="L88" s="37">
        <f t="shared" si="33"/>
        <v>333186.96999999869</v>
      </c>
      <c r="M88" s="37">
        <f t="shared" si="33"/>
        <v>129812.03999999864</v>
      </c>
      <c r="N88" s="37">
        <f t="shared" si="33"/>
        <v>-56549.580000000773</v>
      </c>
      <c r="O88" s="37">
        <f t="shared" si="33"/>
        <v>170092.72999999858</v>
      </c>
      <c r="P88" s="37">
        <f t="shared" si="33"/>
        <v>-280737.25000000163</v>
      </c>
      <c r="Q88" s="37">
        <f t="shared" si="33"/>
        <v>821798.17845360702</v>
      </c>
      <c r="R88" s="37">
        <f t="shared" si="33"/>
        <v>1823.4052035099594</v>
      </c>
      <c r="S88" s="37">
        <f t="shared" si="33"/>
        <v>35929.249999999185</v>
      </c>
      <c r="T88" s="36">
        <f t="shared" si="33"/>
        <v>0</v>
      </c>
      <c r="U88" s="36">
        <f t="shared" si="33"/>
        <v>0</v>
      </c>
      <c r="V88" s="36">
        <f t="shared" si="33"/>
        <v>0</v>
      </c>
      <c r="AA88" s="8"/>
    </row>
    <row r="89" spans="1:27" ht="15.75" hidden="1" outlineLevel="1" thickBot="1" x14ac:dyDescent="0.3">
      <c r="A89" s="9"/>
      <c r="B89" s="27" t="s">
        <v>40</v>
      </c>
      <c r="C89" s="28">
        <f>+C23-C56</f>
        <v>1638068.9596285671</v>
      </c>
      <c r="D89" s="38">
        <f t="shared" si="33"/>
        <v>-44785.182780043222</v>
      </c>
      <c r="E89" s="38">
        <f t="shared" si="33"/>
        <v>-437984.27000000008</v>
      </c>
      <c r="F89" s="38">
        <f t="shared" si="33"/>
        <v>0</v>
      </c>
      <c r="G89" s="38">
        <f t="shared" si="33"/>
        <v>18629.393603366101</v>
      </c>
      <c r="H89" s="38">
        <f t="shared" si="33"/>
        <v>-39812.210000007413</v>
      </c>
      <c r="I89" s="38">
        <f t="shared" si="33"/>
        <v>-404770.99705379643</v>
      </c>
      <c r="J89" s="38">
        <f t="shared" si="33"/>
        <v>392583.45709199551</v>
      </c>
      <c r="K89" s="38">
        <f t="shared" si="33"/>
        <v>-86251.045714287553</v>
      </c>
      <c r="L89" s="38">
        <f t="shared" si="33"/>
        <v>585927.79998616781</v>
      </c>
      <c r="M89" s="38">
        <f t="shared" si="33"/>
        <v>49080.539999997709</v>
      </c>
      <c r="N89" s="38">
        <f t="shared" si="33"/>
        <v>35331.515038375743</v>
      </c>
      <c r="O89" s="38">
        <f t="shared" si="33"/>
        <v>268589.03184465971</v>
      </c>
      <c r="P89" s="38">
        <f t="shared" si="33"/>
        <v>-211740.87425900623</v>
      </c>
      <c r="Q89" s="38">
        <f t="shared" si="33"/>
        <v>796925.27221380081</v>
      </c>
      <c r="R89" s="38">
        <f t="shared" si="33"/>
        <v>737930.0996573579</v>
      </c>
      <c r="S89" s="38">
        <f t="shared" si="33"/>
        <v>-21583.570000001229</v>
      </c>
      <c r="T89" s="28"/>
      <c r="U89" s="28"/>
      <c r="V89" s="28"/>
      <c r="AA89" s="8"/>
    </row>
    <row r="90" spans="1:27" ht="15.75" hidden="1" outlineLevel="1" collapsed="1" thickBot="1" x14ac:dyDescent="0.3">
      <c r="A90" s="9"/>
      <c r="B90" s="39" t="s">
        <v>41</v>
      </c>
      <c r="C90" s="40">
        <f>+C24-C57</f>
        <v>120.84092474688578</v>
      </c>
      <c r="D90" s="41">
        <f t="shared" si="33"/>
        <v>110.55731956639374</v>
      </c>
      <c r="E90" s="41">
        <f t="shared" si="33"/>
        <v>-2871.561666666661</v>
      </c>
      <c r="F90" s="41">
        <f t="shared" si="33"/>
        <v>0</v>
      </c>
      <c r="G90" s="41">
        <f t="shared" si="33"/>
        <v>-90.568470771212219</v>
      </c>
      <c r="H90" s="41">
        <f t="shared" si="33"/>
        <v>149.31131489331074</v>
      </c>
      <c r="I90" s="41">
        <f t="shared" si="33"/>
        <v>-56.590891405598995</v>
      </c>
      <c r="J90" s="41">
        <f t="shared" si="33"/>
        <v>720.7513533333281</v>
      </c>
      <c r="K90" s="41">
        <f t="shared" si="33"/>
        <v>-139.87530925959936</v>
      </c>
      <c r="L90" s="41">
        <f t="shared" si="33"/>
        <v>407.91736301407263</v>
      </c>
      <c r="M90" s="41">
        <f t="shared" si="33"/>
        <v>-333.19469023699912</v>
      </c>
      <c r="N90" s="41">
        <f t="shared" si="33"/>
        <v>281.12362426952586</v>
      </c>
      <c r="O90" s="41">
        <f t="shared" si="33"/>
        <v>-218.20851349904569</v>
      </c>
      <c r="P90" s="41">
        <f t="shared" si="33"/>
        <v>65.415673131278709</v>
      </c>
      <c r="Q90" s="41">
        <f t="shared" si="33"/>
        <v>-115.34932136863472</v>
      </c>
      <c r="R90" s="41">
        <f t="shared" si="33"/>
        <v>1949.3760892018752</v>
      </c>
      <c r="S90" s="42">
        <f t="shared" si="33"/>
        <v>10.210362139171593</v>
      </c>
      <c r="T90" s="29">
        <f t="shared" si="33"/>
        <v>0</v>
      </c>
      <c r="U90" s="38">
        <f t="shared" si="33"/>
        <v>0</v>
      </c>
      <c r="V90" s="38">
        <f t="shared" si="33"/>
        <v>0</v>
      </c>
      <c r="AA90" s="8"/>
    </row>
    <row r="91" spans="1:27" ht="15.75" hidden="1" outlineLevel="1" thickBot="1" x14ac:dyDescent="0.3">
      <c r="A91" s="9"/>
      <c r="B91" s="43" t="s">
        <v>42</v>
      </c>
      <c r="C91" s="31">
        <f>+C25-C58</f>
        <v>845.01465416811106</v>
      </c>
      <c r="D91" s="44">
        <f t="shared" si="33"/>
        <v>-970.47351694352506</v>
      </c>
      <c r="E91" s="44">
        <f t="shared" si="33"/>
        <v>-300</v>
      </c>
      <c r="F91" s="44">
        <f t="shared" si="33"/>
        <v>0</v>
      </c>
      <c r="G91" s="44">
        <f t="shared" si="33"/>
        <v>-77.301428571427152</v>
      </c>
      <c r="H91" s="44">
        <f t="shared" si="33"/>
        <v>2021.5294736842072</v>
      </c>
      <c r="I91" s="44">
        <f t="shared" si="33"/>
        <v>-415.47361921478273</v>
      </c>
      <c r="J91" s="44">
        <f t="shared" si="33"/>
        <v>527.51428571428494</v>
      </c>
      <c r="K91" s="44">
        <f t="shared" si="33"/>
        <v>-451.02980519480735</v>
      </c>
      <c r="L91" s="44">
        <f t="shared" si="33"/>
        <v>-345.40896551724211</v>
      </c>
      <c r="M91" s="44">
        <f t="shared" si="33"/>
        <v>719.45444444443638</v>
      </c>
      <c r="N91" s="44">
        <f t="shared" si="33"/>
        <v>2881.0099999999902</v>
      </c>
      <c r="O91" s="44">
        <f t="shared" si="33"/>
        <v>0</v>
      </c>
      <c r="P91" s="44">
        <f t="shared" si="33"/>
        <v>2529.5712812365891</v>
      </c>
      <c r="Q91" s="44">
        <f t="shared" si="33"/>
        <v>1219.4038194444361</v>
      </c>
      <c r="R91" s="44">
        <f t="shared" si="33"/>
        <v>602.46224489795304</v>
      </c>
      <c r="S91" s="45">
        <f t="shared" si="33"/>
        <v>-0.139999999999986</v>
      </c>
      <c r="T91" s="32">
        <f t="shared" si="33"/>
        <v>0</v>
      </c>
      <c r="U91" s="44">
        <f t="shared" si="33"/>
        <v>0</v>
      </c>
      <c r="V91" s="44">
        <f t="shared" si="33"/>
        <v>0</v>
      </c>
      <c r="AA91" s="8"/>
    </row>
    <row r="92" spans="1:27" ht="15.75" hidden="1" outlineLevel="1" thickBot="1" x14ac:dyDescent="0.3">
      <c r="A92" s="9"/>
      <c r="B92" s="43" t="s">
        <v>43</v>
      </c>
      <c r="C92" s="31">
        <f t="shared" ref="C92:V94" si="34">+C26-C59</f>
        <v>71.377859610521682</v>
      </c>
      <c r="D92" s="44">
        <f t="shared" si="34"/>
        <v>101.62178423236423</v>
      </c>
      <c r="E92" s="44">
        <f t="shared" si="34"/>
        <v>43.240833333333285</v>
      </c>
      <c r="F92" s="44">
        <f t="shared" si="34"/>
        <v>0</v>
      </c>
      <c r="G92" s="44">
        <f t="shared" si="34"/>
        <v>-118.9773509933791</v>
      </c>
      <c r="H92" s="44">
        <f t="shared" si="34"/>
        <v>-56.723128834356544</v>
      </c>
      <c r="I92" s="44">
        <f t="shared" si="34"/>
        <v>-23.078487544484346</v>
      </c>
      <c r="J92" s="44">
        <f t="shared" si="34"/>
        <v>-36.663660000001983</v>
      </c>
      <c r="K92" s="44">
        <f t="shared" si="34"/>
        <v>48.815782608694462</v>
      </c>
      <c r="L92" s="44">
        <f t="shared" si="34"/>
        <v>31.52236318407995</v>
      </c>
      <c r="M92" s="44">
        <f t="shared" si="34"/>
        <v>-4.5943023255821345</v>
      </c>
      <c r="N92" s="44">
        <f t="shared" si="34"/>
        <v>256.83925110132168</v>
      </c>
      <c r="O92" s="44">
        <f t="shared" si="34"/>
        <v>235.1297222222222</v>
      </c>
      <c r="P92" s="44">
        <f t="shared" si="34"/>
        <v>-192.99663883089806</v>
      </c>
      <c r="Q92" s="44">
        <f t="shared" si="34"/>
        <v>-25.939679999999953</v>
      </c>
      <c r="R92" s="44">
        <f t="shared" si="34"/>
        <v>141.74273885350158</v>
      </c>
      <c r="S92" s="45">
        <f t="shared" si="34"/>
        <v>679.24544186046478</v>
      </c>
      <c r="T92" s="35">
        <f t="shared" si="34"/>
        <v>0</v>
      </c>
      <c r="U92" s="46">
        <f t="shared" si="34"/>
        <v>0</v>
      </c>
      <c r="V92" s="46">
        <f t="shared" si="34"/>
        <v>0</v>
      </c>
      <c r="AA92" s="8"/>
    </row>
    <row r="93" spans="1:27" ht="15.75" hidden="1" outlineLevel="1" thickBot="1" x14ac:dyDescent="0.3">
      <c r="A93" s="9"/>
      <c r="B93" s="47" t="s">
        <v>44</v>
      </c>
      <c r="C93" s="48">
        <f t="shared" si="34"/>
        <v>192.21878435740746</v>
      </c>
      <c r="D93" s="49">
        <f t="shared" si="34"/>
        <v>212.17910379875821</v>
      </c>
      <c r="E93" s="49">
        <f t="shared" si="34"/>
        <v>-2828.3208333333278</v>
      </c>
      <c r="F93" s="49">
        <f t="shared" si="34"/>
        <v>0</v>
      </c>
      <c r="G93" s="49">
        <f t="shared" si="34"/>
        <v>-209.54582176459121</v>
      </c>
      <c r="H93" s="49">
        <f t="shared" si="34"/>
        <v>92.588186058954307</v>
      </c>
      <c r="I93" s="49">
        <f t="shared" si="34"/>
        <v>-79.669378950083228</v>
      </c>
      <c r="J93" s="49">
        <f t="shared" si="34"/>
        <v>684.08769333332566</v>
      </c>
      <c r="K93" s="49">
        <f t="shared" si="34"/>
        <v>-91.0595266509049</v>
      </c>
      <c r="L93" s="49">
        <f t="shared" si="34"/>
        <v>439.43972619815258</v>
      </c>
      <c r="M93" s="49">
        <f t="shared" si="34"/>
        <v>-337.78899256258137</v>
      </c>
      <c r="N93" s="49">
        <f t="shared" si="34"/>
        <v>537.96287537084754</v>
      </c>
      <c r="O93" s="49">
        <f t="shared" si="34"/>
        <v>16.921208723176278</v>
      </c>
      <c r="P93" s="49">
        <f t="shared" si="34"/>
        <v>-127.5809656996189</v>
      </c>
      <c r="Q93" s="49">
        <f t="shared" si="34"/>
        <v>-141.28900136863558</v>
      </c>
      <c r="R93" s="49">
        <f t="shared" si="34"/>
        <v>2091.118828055377</v>
      </c>
      <c r="S93" s="50">
        <f t="shared" si="34"/>
        <v>689.45580399963546</v>
      </c>
      <c r="T93" s="51">
        <f t="shared" si="34"/>
        <v>0</v>
      </c>
      <c r="U93" s="37">
        <f t="shared" si="34"/>
        <v>0</v>
      </c>
      <c r="V93" s="37">
        <f t="shared" si="34"/>
        <v>0</v>
      </c>
      <c r="AA93" s="8"/>
    </row>
    <row r="94" spans="1:27" collapsed="1" x14ac:dyDescent="0.25">
      <c r="A94" s="9"/>
      <c r="B94" s="52" t="s">
        <v>45</v>
      </c>
      <c r="C94" s="53">
        <f>+C28-C61</f>
        <v>240.99472170572881</v>
      </c>
      <c r="D94" s="54">
        <f t="shared" si="34"/>
        <v>197.63309769979151</v>
      </c>
      <c r="E94" s="54">
        <f t="shared" si="34"/>
        <v>-2668.8125980392101</v>
      </c>
      <c r="F94" s="54">
        <f t="shared" si="34"/>
        <v>0</v>
      </c>
      <c r="G94" s="54">
        <f t="shared" si="34"/>
        <v>-70.015646255026923</v>
      </c>
      <c r="H94" s="54">
        <f t="shared" si="34"/>
        <v>108.97364604935228</v>
      </c>
      <c r="I94" s="54">
        <f t="shared" si="34"/>
        <v>-44.917248425334947</v>
      </c>
      <c r="J94" s="54">
        <f t="shared" si="34"/>
        <v>760.08862012008376</v>
      </c>
      <c r="K94" s="54">
        <f t="shared" si="34"/>
        <v>-381.23516531714358</v>
      </c>
      <c r="L94" s="54">
        <f t="shared" si="34"/>
        <v>267.68059290776227</v>
      </c>
      <c r="M94" s="54">
        <f t="shared" si="34"/>
        <v>-311.2249522263055</v>
      </c>
      <c r="N94" s="54">
        <f t="shared" si="34"/>
        <v>591.60739200025637</v>
      </c>
      <c r="O94" s="54">
        <f t="shared" si="34"/>
        <v>16.387166325516773</v>
      </c>
      <c r="P94" s="54">
        <f t="shared" si="34"/>
        <v>397.91439436158907</v>
      </c>
      <c r="Q94" s="54">
        <f t="shared" si="34"/>
        <v>-103.66151816286765</v>
      </c>
      <c r="R94" s="54">
        <f t="shared" si="34"/>
        <v>1917.5910285198916</v>
      </c>
      <c r="S94" s="55">
        <f t="shared" si="34"/>
        <v>658.25326523994681</v>
      </c>
      <c r="T94" s="56">
        <f t="shared" si="34"/>
        <v>0</v>
      </c>
      <c r="U94" s="36">
        <f t="shared" si="34"/>
        <v>0</v>
      </c>
      <c r="V94" s="36">
        <f t="shared" si="34"/>
        <v>0</v>
      </c>
      <c r="AA94" s="8"/>
    </row>
    <row r="95" spans="1:27" hidden="1" outlineLevel="1" x14ac:dyDescent="0.25">
      <c r="A95" s="9"/>
      <c r="B95" s="43" t="s">
        <v>46</v>
      </c>
      <c r="C95" s="31">
        <f t="shared" ref="C95:V101" si="35">+C29-C62</f>
        <v>402.13154426048322</v>
      </c>
      <c r="D95" s="44">
        <f t="shared" si="35"/>
        <v>381.38922917841364</v>
      </c>
      <c r="E95" s="44">
        <f t="shared" si="35"/>
        <v>1261.4266666666667</v>
      </c>
      <c r="F95" s="44">
        <f t="shared" si="35"/>
        <v>0</v>
      </c>
      <c r="G95" s="44">
        <f t="shared" si="35"/>
        <v>541.32869565217015</v>
      </c>
      <c r="H95" s="44">
        <f t="shared" si="35"/>
        <v>1099.2583300501174</v>
      </c>
      <c r="I95" s="44">
        <f t="shared" si="35"/>
        <v>-13.448547759509893</v>
      </c>
      <c r="J95" s="44">
        <f t="shared" si="35"/>
        <v>177.96302583025795</v>
      </c>
      <c r="K95" s="44">
        <f t="shared" si="35"/>
        <v>-218.2905376344122</v>
      </c>
      <c r="L95" s="44">
        <f t="shared" si="35"/>
        <v>552.308180712168</v>
      </c>
      <c r="M95" s="44">
        <f t="shared" si="35"/>
        <v>167.66270011846109</v>
      </c>
      <c r="N95" s="44">
        <f t="shared" si="35"/>
        <v>-6.7628658536609692</v>
      </c>
      <c r="O95" s="44">
        <f t="shared" si="35"/>
        <v>101.4321828358211</v>
      </c>
      <c r="P95" s="44">
        <f t="shared" si="35"/>
        <v>361.48512598446678</v>
      </c>
      <c r="Q95" s="44">
        <f t="shared" si="35"/>
        <v>1769.6665509518452</v>
      </c>
      <c r="R95" s="44">
        <f t="shared" si="35"/>
        <v>1718.5175307629106</v>
      </c>
      <c r="S95" s="45">
        <f t="shared" si="35"/>
        <v>-33.802126880315654</v>
      </c>
      <c r="T95" s="32">
        <f t="shared" si="35"/>
        <v>0</v>
      </c>
      <c r="U95" s="44">
        <f t="shared" si="35"/>
        <v>0</v>
      </c>
      <c r="V95" s="44">
        <f t="shared" si="35"/>
        <v>0</v>
      </c>
      <c r="AA95" s="8"/>
    </row>
    <row r="96" spans="1:27" hidden="1" outlineLevel="1" x14ac:dyDescent="0.25">
      <c r="A96" s="9"/>
      <c r="B96" s="43" t="s">
        <v>47</v>
      </c>
      <c r="C96" s="31">
        <f t="shared" si="35"/>
        <v>0</v>
      </c>
      <c r="D96" s="44">
        <f t="shared" si="35"/>
        <v>0</v>
      </c>
      <c r="E96" s="44">
        <f t="shared" si="35"/>
        <v>0</v>
      </c>
      <c r="F96" s="44">
        <f t="shared" si="35"/>
        <v>0</v>
      </c>
      <c r="G96" s="44">
        <f t="shared" si="35"/>
        <v>0</v>
      </c>
      <c r="H96" s="44">
        <f t="shared" si="35"/>
        <v>0</v>
      </c>
      <c r="I96" s="44">
        <f t="shared" si="35"/>
        <v>0</v>
      </c>
      <c r="J96" s="44">
        <f t="shared" si="35"/>
        <v>0</v>
      </c>
      <c r="K96" s="44">
        <f t="shared" si="35"/>
        <v>0</v>
      </c>
      <c r="L96" s="44">
        <f t="shared" si="35"/>
        <v>0</v>
      </c>
      <c r="M96" s="44">
        <f t="shared" si="35"/>
        <v>0</v>
      </c>
      <c r="N96" s="44">
        <f t="shared" si="35"/>
        <v>0</v>
      </c>
      <c r="O96" s="44">
        <f t="shared" si="35"/>
        <v>0</v>
      </c>
      <c r="P96" s="44">
        <f t="shared" si="35"/>
        <v>0</v>
      </c>
      <c r="Q96" s="44">
        <f t="shared" si="35"/>
        <v>0</v>
      </c>
      <c r="R96" s="44">
        <f t="shared" si="35"/>
        <v>0</v>
      </c>
      <c r="S96" s="45">
        <f t="shared" si="35"/>
        <v>0</v>
      </c>
      <c r="T96" s="32">
        <f t="shared" si="35"/>
        <v>0</v>
      </c>
      <c r="U96" s="44">
        <f t="shared" si="35"/>
        <v>0</v>
      </c>
      <c r="V96" s="44">
        <f t="shared" si="35"/>
        <v>0</v>
      </c>
      <c r="AA96" s="8"/>
    </row>
    <row r="97" spans="1:27" hidden="1" outlineLevel="1" x14ac:dyDescent="0.25">
      <c r="A97" s="9"/>
      <c r="B97" s="43" t="s">
        <v>48</v>
      </c>
      <c r="C97" s="31">
        <f t="shared" si="35"/>
        <v>284.07943249798865</v>
      </c>
      <c r="D97" s="44">
        <f t="shared" si="35"/>
        <v>442.69239923224484</v>
      </c>
      <c r="E97" s="44">
        <f t="shared" si="35"/>
        <v>-1028.3323809523804</v>
      </c>
      <c r="F97" s="44">
        <f t="shared" si="35"/>
        <v>0</v>
      </c>
      <c r="G97" s="44">
        <f t="shared" si="35"/>
        <v>341.25169491525151</v>
      </c>
      <c r="H97" s="44">
        <f t="shared" si="35"/>
        <v>581.17520930232308</v>
      </c>
      <c r="I97" s="44">
        <f t="shared" si="35"/>
        <v>242.26097178683301</v>
      </c>
      <c r="J97" s="44">
        <f t="shared" si="35"/>
        <v>175.28671186440522</v>
      </c>
      <c r="K97" s="44">
        <f>+K31-K64</f>
        <v>30.677142857140723</v>
      </c>
      <c r="L97" s="44">
        <f t="shared" si="35"/>
        <v>56.553257575756106</v>
      </c>
      <c r="M97" s="44">
        <f t="shared" si="35"/>
        <v>590.21763948497676</v>
      </c>
      <c r="N97" s="44">
        <f t="shared" si="35"/>
        <v>75.154285714284811</v>
      </c>
      <c r="O97" s="44">
        <f t="shared" si="35"/>
        <v>223.55926886792304</v>
      </c>
      <c r="P97" s="44">
        <f t="shared" si="35"/>
        <v>16.346807692306697</v>
      </c>
      <c r="Q97" s="44">
        <f t="shared" si="35"/>
        <v>607.88966021132285</v>
      </c>
      <c r="R97" s="44">
        <f t="shared" si="35"/>
        <v>428.74739495798019</v>
      </c>
      <c r="S97" s="45">
        <f t="shared" si="35"/>
        <v>485.39289156626376</v>
      </c>
      <c r="T97" s="32">
        <f t="shared" si="35"/>
        <v>0</v>
      </c>
      <c r="U97" s="44">
        <f t="shared" si="35"/>
        <v>0</v>
      </c>
      <c r="V97" s="44">
        <f t="shared" si="35"/>
        <v>0</v>
      </c>
      <c r="AA97" s="8"/>
    </row>
    <row r="98" spans="1:27" hidden="1" outlineLevel="1" x14ac:dyDescent="0.25">
      <c r="A98" s="9"/>
      <c r="B98" s="43" t="s">
        <v>49</v>
      </c>
      <c r="C98" s="31">
        <f t="shared" si="35"/>
        <v>-107.99486664130268</v>
      </c>
      <c r="D98" s="44">
        <f t="shared" si="35"/>
        <v>-345.36210659898552</v>
      </c>
      <c r="E98" s="44">
        <f t="shared" si="35"/>
        <v>931.29500000000007</v>
      </c>
      <c r="F98" s="44">
        <f t="shared" si="35"/>
        <v>0</v>
      </c>
      <c r="G98" s="44">
        <f t="shared" si="35"/>
        <v>-454.73695652173956</v>
      </c>
      <c r="H98" s="44">
        <f t="shared" si="35"/>
        <v>-332.50155462184966</v>
      </c>
      <c r="I98" s="44">
        <f t="shared" si="35"/>
        <v>154.15140077820888</v>
      </c>
      <c r="J98" s="44">
        <f t="shared" si="35"/>
        <v>-41.561660516606707</v>
      </c>
      <c r="K98" s="44">
        <f t="shared" si="35"/>
        <v>-56.185483870967801</v>
      </c>
      <c r="L98" s="44">
        <f t="shared" si="35"/>
        <v>80.472375478927233</v>
      </c>
      <c r="M98" s="44">
        <f t="shared" si="35"/>
        <v>-130.01220267811868</v>
      </c>
      <c r="N98" s="44">
        <f t="shared" si="35"/>
        <v>250.50981707316919</v>
      </c>
      <c r="O98" s="44">
        <f t="shared" si="35"/>
        <v>-219.52248134328556</v>
      </c>
      <c r="P98" s="44">
        <f t="shared" si="35"/>
        <v>46.532996389889604</v>
      </c>
      <c r="Q98" s="44">
        <f t="shared" si="35"/>
        <v>-67.075673758865605</v>
      </c>
      <c r="R98" s="44">
        <f t="shared" si="35"/>
        <v>94.234347826079784</v>
      </c>
      <c r="S98" s="45">
        <f t="shared" si="35"/>
        <v>42.01214545454468</v>
      </c>
      <c r="T98" s="32">
        <f t="shared" si="35"/>
        <v>0</v>
      </c>
      <c r="U98" s="44">
        <f t="shared" si="35"/>
        <v>0</v>
      </c>
      <c r="V98" s="44">
        <f t="shared" si="35"/>
        <v>0</v>
      </c>
      <c r="AA98" s="8"/>
    </row>
    <row r="99" spans="1:27" hidden="1" outlineLevel="1" x14ac:dyDescent="0.25">
      <c r="A99" s="9"/>
      <c r="B99" s="57" t="s">
        <v>50</v>
      </c>
      <c r="C99" s="34">
        <f t="shared" si="35"/>
        <v>294.13667761918077</v>
      </c>
      <c r="D99" s="46">
        <f t="shared" si="35"/>
        <v>36.027122579427669</v>
      </c>
      <c r="E99" s="46">
        <f t="shared" si="35"/>
        <v>2192.7216666666664</v>
      </c>
      <c r="F99" s="46">
        <f t="shared" si="35"/>
        <v>0</v>
      </c>
      <c r="G99" s="46">
        <f t="shared" si="35"/>
        <v>86.591739130430597</v>
      </c>
      <c r="H99" s="46">
        <f t="shared" si="35"/>
        <v>766.7567754282677</v>
      </c>
      <c r="I99" s="46">
        <f t="shared" si="35"/>
        <v>140.70285301869899</v>
      </c>
      <c r="J99" s="46">
        <f t="shared" si="35"/>
        <v>136.4013653136517</v>
      </c>
      <c r="K99" s="46">
        <f t="shared" si="35"/>
        <v>-274.47602150537978</v>
      </c>
      <c r="L99" s="46">
        <f t="shared" si="35"/>
        <v>632.780556191095</v>
      </c>
      <c r="M99" s="46">
        <f t="shared" si="35"/>
        <v>37.650497440342406</v>
      </c>
      <c r="N99" s="46">
        <f t="shared" si="35"/>
        <v>243.74695121950845</v>
      </c>
      <c r="O99" s="46">
        <f t="shared" si="35"/>
        <v>-118.09029850746447</v>
      </c>
      <c r="P99" s="46">
        <f t="shared" si="35"/>
        <v>408.01812237435615</v>
      </c>
      <c r="Q99" s="46">
        <f t="shared" si="35"/>
        <v>1702.5908771929799</v>
      </c>
      <c r="R99" s="46">
        <f t="shared" si="35"/>
        <v>1812.7518785889906</v>
      </c>
      <c r="S99" s="58">
        <f t="shared" si="35"/>
        <v>8.2100185742292524</v>
      </c>
      <c r="T99" s="51">
        <f t="shared" si="35"/>
        <v>0</v>
      </c>
      <c r="U99" s="37">
        <f t="shared" si="35"/>
        <v>0</v>
      </c>
      <c r="V99" s="36">
        <f t="shared" si="35"/>
        <v>0</v>
      </c>
      <c r="AA99" s="8"/>
    </row>
    <row r="100" spans="1:27" collapsed="1" x14ac:dyDescent="0.25">
      <c r="A100" s="9"/>
      <c r="B100" s="59" t="s">
        <v>51</v>
      </c>
      <c r="C100" s="36">
        <f t="shared" si="35"/>
        <v>245.06748279796989</v>
      </c>
      <c r="D100" s="37">
        <f t="shared" si="35"/>
        <v>170.2112548650432</v>
      </c>
      <c r="E100" s="37">
        <f t="shared" si="35"/>
        <v>-979.20925925925883</v>
      </c>
      <c r="F100" s="37">
        <f t="shared" si="35"/>
        <v>0</v>
      </c>
      <c r="G100" s="37">
        <f t="shared" si="35"/>
        <v>39.949682567788386</v>
      </c>
      <c r="H100" s="37">
        <f t="shared" si="35"/>
        <v>526.39510186279449</v>
      </c>
      <c r="I100" s="37">
        <f t="shared" si="35"/>
        <v>95.362005006458276</v>
      </c>
      <c r="J100" s="37">
        <f t="shared" si="35"/>
        <v>79.793724622781838</v>
      </c>
      <c r="K100" s="37">
        <f t="shared" si="35"/>
        <v>-124.60173366933395</v>
      </c>
      <c r="L100" s="37">
        <f t="shared" si="35"/>
        <v>468.92542515262267</v>
      </c>
      <c r="M100" s="37">
        <f t="shared" si="35"/>
        <v>250.96050279329347</v>
      </c>
      <c r="N100" s="37">
        <f t="shared" si="35"/>
        <v>129.72481040440607</v>
      </c>
      <c r="O100" s="37">
        <f t="shared" si="35"/>
        <v>210.95877323717787</v>
      </c>
      <c r="P100" s="37">
        <f t="shared" si="35"/>
        <v>67.327600268461538</v>
      </c>
      <c r="Q100" s="37">
        <f t="shared" si="35"/>
        <v>1076.265611486014</v>
      </c>
      <c r="R100" s="37">
        <f t="shared" si="35"/>
        <v>282.86302611423957</v>
      </c>
      <c r="S100" s="60">
        <f t="shared" si="35"/>
        <v>40.918408463363448</v>
      </c>
      <c r="T100" s="56">
        <f t="shared" si="35"/>
        <v>0</v>
      </c>
      <c r="U100" s="36">
        <f t="shared" si="35"/>
        <v>0</v>
      </c>
      <c r="V100" s="36">
        <f t="shared" si="35"/>
        <v>0</v>
      </c>
      <c r="AA100" s="8"/>
    </row>
    <row r="101" spans="1:27" ht="15.75" thickBot="1" x14ac:dyDescent="0.3">
      <c r="A101" s="9"/>
      <c r="B101" s="61" t="s">
        <v>52</v>
      </c>
      <c r="C101" s="62">
        <f t="shared" si="35"/>
        <v>238.74713725633273</v>
      </c>
      <c r="D101" s="62">
        <f t="shared" si="35"/>
        <v>140.19848242422813</v>
      </c>
      <c r="E101" s="62">
        <f t="shared" si="35"/>
        <v>-1676.1234061846048</v>
      </c>
      <c r="F101" s="62">
        <f t="shared" si="35"/>
        <v>0</v>
      </c>
      <c r="G101" s="62">
        <f t="shared" si="35"/>
        <v>18.466428768451351</v>
      </c>
      <c r="H101" s="62">
        <f t="shared" si="35"/>
        <v>336.74563620234585</v>
      </c>
      <c r="I101" s="62">
        <f t="shared" si="35"/>
        <v>11.989240037464697</v>
      </c>
      <c r="J101" s="62">
        <f t="shared" si="35"/>
        <v>326.26607216712364</v>
      </c>
      <c r="K101" s="62">
        <f t="shared" si="35"/>
        <v>-282.70817856747317</v>
      </c>
      <c r="L101" s="62">
        <f t="shared" si="35"/>
        <v>364.55438525611407</v>
      </c>
      <c r="M101" s="62">
        <f t="shared" si="35"/>
        <v>16.136729009492228</v>
      </c>
      <c r="N101" s="62">
        <f t="shared" si="35"/>
        <v>418.75975066352385</v>
      </c>
      <c r="O101" s="62">
        <f t="shared" si="35"/>
        <v>112.36168913314577</v>
      </c>
      <c r="P101" s="62">
        <f t="shared" si="35"/>
        <v>322.65299366628687</v>
      </c>
      <c r="Q101" s="62">
        <f t="shared" si="35"/>
        <v>324.0319565269624</v>
      </c>
      <c r="R101" s="62">
        <f t="shared" si="35"/>
        <v>1268.0521953262228</v>
      </c>
      <c r="S101" s="63">
        <f t="shared" si="35"/>
        <v>140.24692645491768</v>
      </c>
      <c r="T101" s="7"/>
      <c r="U101" s="7"/>
      <c r="V101" s="7"/>
      <c r="AA101" s="8"/>
    </row>
    <row r="102" spans="1:27" ht="5.85" customHeight="1" x14ac:dyDescent="0.25"/>
    <row r="103" spans="1:27" ht="15.75" x14ac:dyDescent="0.25">
      <c r="B103" s="69" t="s">
        <v>54</v>
      </c>
      <c r="C103" s="65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</row>
    <row r="104" spans="1:27" x14ac:dyDescent="0.25">
      <c r="B104" s="70" t="s">
        <v>55</v>
      </c>
      <c r="C104" s="37">
        <f>SUM(D104:S104)</f>
        <v>-1225.4491435287682</v>
      </c>
      <c r="D104" s="37">
        <f t="shared" ref="D104:S104" si="36">(D73)*(D61)/1000</f>
        <v>-387.99002384763008</v>
      </c>
      <c r="E104" s="37">
        <f t="shared" si="36"/>
        <v>-135.99411764705908</v>
      </c>
      <c r="F104" s="37">
        <f t="shared" si="36"/>
        <v>0</v>
      </c>
      <c r="G104" s="37">
        <f t="shared" si="36"/>
        <v>-92.877961703829456</v>
      </c>
      <c r="H104" s="37">
        <f t="shared" si="36"/>
        <v>-91.079585774058572</v>
      </c>
      <c r="I104" s="37">
        <f t="shared" si="36"/>
        <v>-308.13813847025074</v>
      </c>
      <c r="J104" s="37">
        <f t="shared" si="36"/>
        <v>-159.41661286424872</v>
      </c>
      <c r="K104" s="37">
        <f t="shared" si="36"/>
        <v>17.721685945633311</v>
      </c>
      <c r="L104" s="37">
        <f t="shared" si="36"/>
        <v>137.37049444292322</v>
      </c>
      <c r="M104" s="37">
        <f t="shared" si="36"/>
        <v>61.498303167420808</v>
      </c>
      <c r="N104" s="37">
        <f t="shared" si="36"/>
        <v>-43.005390337682101</v>
      </c>
      <c r="O104" s="37">
        <f t="shared" si="36"/>
        <v>76.078658311355113</v>
      </c>
      <c r="P104" s="37">
        <f t="shared" si="36"/>
        <v>-168.55851769287295</v>
      </c>
      <c r="Q104" s="37">
        <f t="shared" si="36"/>
        <v>28.616437132232967</v>
      </c>
      <c r="R104" s="37">
        <f t="shared" si="36"/>
        <v>40.021151101127195</v>
      </c>
      <c r="S104" s="37">
        <f t="shared" si="36"/>
        <v>-199.6955252918288</v>
      </c>
    </row>
    <row r="105" spans="1:27" hidden="1" outlineLevel="1" x14ac:dyDescent="0.25">
      <c r="B105" s="71" t="s">
        <v>41</v>
      </c>
      <c r="C105" s="37">
        <f t="shared" ref="C105:C111" si="37">SUM(D105:S105)</f>
        <v>-731.20370101993433</v>
      </c>
      <c r="D105" s="37">
        <f t="shared" ref="D105:S106" si="38">(D71)*D57/1000</f>
        <v>-268.50508836585362</v>
      </c>
      <c r="E105" s="37">
        <f t="shared" si="38"/>
        <v>-80.500000000000242</v>
      </c>
      <c r="F105" s="37">
        <f t="shared" si="38"/>
        <v>0</v>
      </c>
      <c r="G105" s="37">
        <f t="shared" si="38"/>
        <v>-16.350952540106952</v>
      </c>
      <c r="H105" s="37">
        <f t="shared" si="38"/>
        <v>-112.93911731044349</v>
      </c>
      <c r="I105" s="37">
        <f t="shared" si="38"/>
        <v>-215.45643005719711</v>
      </c>
      <c r="J105" s="37">
        <f t="shared" si="38"/>
        <v>-61.196666666666673</v>
      </c>
      <c r="K105" s="37">
        <f t="shared" si="38"/>
        <v>-20.283928870292886</v>
      </c>
      <c r="L105" s="37">
        <f t="shared" si="38"/>
        <v>67.580630054511417</v>
      </c>
      <c r="M105" s="37">
        <f t="shared" si="38"/>
        <v>34.489856801909305</v>
      </c>
      <c r="N105" s="37">
        <f t="shared" si="38"/>
        <v>-22.066349531915847</v>
      </c>
      <c r="O105" s="37">
        <f t="shared" si="38"/>
        <v>55.508658311355134</v>
      </c>
      <c r="P105" s="37">
        <f t="shared" si="38"/>
        <v>-60.251312696623764</v>
      </c>
      <c r="Q105" s="37">
        <f t="shared" si="38"/>
        <v>0</v>
      </c>
      <c r="R105" s="37">
        <f t="shared" si="38"/>
        <v>91.433147711312571</v>
      </c>
      <c r="S105" s="37">
        <f t="shared" si="38"/>
        <v>-122.66614785992219</v>
      </c>
    </row>
    <row r="106" spans="1:27" hidden="1" outlineLevel="1" x14ac:dyDescent="0.25">
      <c r="B106" s="71" t="s">
        <v>42</v>
      </c>
      <c r="C106" s="37">
        <f t="shared" si="37"/>
        <v>-165.39407606859825</v>
      </c>
      <c r="D106" s="37">
        <f t="shared" si="38"/>
        <v>17.097674418604651</v>
      </c>
      <c r="E106" s="37">
        <f t="shared" si="38"/>
        <v>-1.5</v>
      </c>
      <c r="F106" s="37">
        <f t="shared" si="38"/>
        <v>0</v>
      </c>
      <c r="G106" s="37">
        <f t="shared" si="38"/>
        <v>-13</v>
      </c>
      <c r="H106" s="37">
        <f t="shared" si="38"/>
        <v>0</v>
      </c>
      <c r="I106" s="37">
        <f t="shared" si="38"/>
        <v>7.1815563576443475</v>
      </c>
      <c r="J106" s="37">
        <f t="shared" si="38"/>
        <v>-4.75</v>
      </c>
      <c r="K106" s="37">
        <f t="shared" si="38"/>
        <v>4.999999999999999E-4</v>
      </c>
      <c r="L106" s="37">
        <f t="shared" si="38"/>
        <v>0</v>
      </c>
      <c r="M106" s="37">
        <f t="shared" si="38"/>
        <v>8.1999999999999993</v>
      </c>
      <c r="N106" s="37">
        <f t="shared" si="38"/>
        <v>0</v>
      </c>
      <c r="O106" s="37">
        <f t="shared" si="38"/>
        <v>0</v>
      </c>
      <c r="P106" s="37">
        <f t="shared" si="38"/>
        <v>-61.627140178180589</v>
      </c>
      <c r="Q106" s="37">
        <f t="shared" si="38"/>
        <v>18.003333333333334</v>
      </c>
      <c r="R106" s="37">
        <f t="shared" si="38"/>
        <v>-135</v>
      </c>
      <c r="S106" s="37">
        <f t="shared" si="38"/>
        <v>0</v>
      </c>
    </row>
    <row r="107" spans="1:27" hidden="1" outlineLevel="1" x14ac:dyDescent="0.25">
      <c r="B107" s="71" t="s">
        <v>43</v>
      </c>
      <c r="C107" s="37">
        <f t="shared" si="37"/>
        <v>-359.53999999999996</v>
      </c>
      <c r="D107" s="37">
        <f t="shared" ref="D107:S107" si="39">(D71)*D59/1000</f>
        <v>-129.80000000000001</v>
      </c>
      <c r="E107" s="37">
        <f t="shared" si="39"/>
        <v>-50.4</v>
      </c>
      <c r="F107" s="37">
        <f t="shared" si="39"/>
        <v>0</v>
      </c>
      <c r="G107" s="37">
        <f t="shared" si="39"/>
        <v>-22.05</v>
      </c>
      <c r="H107" s="37">
        <f t="shared" si="39"/>
        <v>-47</v>
      </c>
      <c r="I107" s="37">
        <f t="shared" si="39"/>
        <v>-95</v>
      </c>
      <c r="J107" s="37">
        <f t="shared" si="39"/>
        <v>-32.65</v>
      </c>
      <c r="K107" s="37">
        <f t="shared" si="39"/>
        <v>-10.8</v>
      </c>
      <c r="L107" s="37">
        <f t="shared" si="39"/>
        <v>36.4</v>
      </c>
      <c r="M107" s="37">
        <f t="shared" si="39"/>
        <v>11</v>
      </c>
      <c r="N107" s="37">
        <f t="shared" si="39"/>
        <v>-9.93</v>
      </c>
      <c r="O107" s="37">
        <f t="shared" si="39"/>
        <v>20.57</v>
      </c>
      <c r="P107" s="37">
        <f t="shared" si="39"/>
        <v>-43.2</v>
      </c>
      <c r="Q107" s="37">
        <f t="shared" si="39"/>
        <v>0</v>
      </c>
      <c r="R107" s="37">
        <f t="shared" si="39"/>
        <v>95.22</v>
      </c>
      <c r="S107" s="37">
        <f t="shared" si="39"/>
        <v>-81.900000000000006</v>
      </c>
    </row>
    <row r="108" spans="1:27" collapsed="1" x14ac:dyDescent="0.25">
      <c r="B108" s="72" t="s">
        <v>56</v>
      </c>
      <c r="C108" s="37">
        <f t="shared" si="37"/>
        <v>1627.1182113082448</v>
      </c>
      <c r="D108" s="37">
        <f t="shared" ref="D108:S108" si="40">D94*D7/1000</f>
        <v>200.39996106758861</v>
      </c>
      <c r="E108" s="37">
        <f t="shared" si="40"/>
        <v>-64.051502352941043</v>
      </c>
      <c r="F108" s="37">
        <f t="shared" si="40"/>
        <v>0</v>
      </c>
      <c r="G108" s="37">
        <f t="shared" si="40"/>
        <v>-21.63483469280332</v>
      </c>
      <c r="H108" s="37">
        <f t="shared" si="40"/>
        <v>75.191815774053069</v>
      </c>
      <c r="I108" s="37">
        <f t="shared" si="40"/>
        <v>-26.141838583544939</v>
      </c>
      <c r="J108" s="37">
        <f t="shared" si="40"/>
        <v>406.64741176424485</v>
      </c>
      <c r="K108" s="37">
        <f t="shared" si="40"/>
        <v>-96.071261659920182</v>
      </c>
      <c r="L108" s="37">
        <f t="shared" si="40"/>
        <v>115.37033554324555</v>
      </c>
      <c r="M108" s="37">
        <f t="shared" si="40"/>
        <v>-142.22980316742161</v>
      </c>
      <c r="N108" s="37">
        <f t="shared" si="40"/>
        <v>134.88648537605843</v>
      </c>
      <c r="O108" s="37">
        <f t="shared" si="40"/>
        <v>22.417643533306947</v>
      </c>
      <c r="P108" s="37">
        <f t="shared" si="40"/>
        <v>237.55489343386867</v>
      </c>
      <c r="Q108" s="37">
        <f t="shared" si="40"/>
        <v>-53.489343372039706</v>
      </c>
      <c r="R108" s="37">
        <f t="shared" si="40"/>
        <v>696.08554335272072</v>
      </c>
      <c r="S108" s="37">
        <f t="shared" si="40"/>
        <v>142.18270529182851</v>
      </c>
    </row>
    <row r="109" spans="1:27" hidden="1" outlineLevel="1" x14ac:dyDescent="0.25">
      <c r="B109" s="73" t="s">
        <v>41</v>
      </c>
      <c r="C109" s="74">
        <f t="shared" si="37"/>
        <v>778.03299575365725</v>
      </c>
      <c r="D109" s="74">
        <f t="shared" ref="D109:S110" si="41">D90*(D5)/1000</f>
        <v>106.57725606200357</v>
      </c>
      <c r="E109" s="74">
        <f t="shared" si="41"/>
        <v>-68.91747999999987</v>
      </c>
      <c r="F109" s="74">
        <f t="shared" si="41"/>
        <v>0</v>
      </c>
      <c r="G109" s="74">
        <f t="shared" si="41"/>
        <v>-27.351678172906091</v>
      </c>
      <c r="H109" s="74">
        <f t="shared" si="41"/>
        <v>97.350977310438594</v>
      </c>
      <c r="I109" s="74">
        <f t="shared" si="41"/>
        <v>-31.804080969946632</v>
      </c>
      <c r="J109" s="74">
        <f t="shared" si="41"/>
        <v>360.37567666666405</v>
      </c>
      <c r="K109" s="74">
        <f t="shared" si="41"/>
        <v>-32.171321129707856</v>
      </c>
      <c r="L109" s="74">
        <f t="shared" si="41"/>
        <v>163.98277993165718</v>
      </c>
      <c r="M109" s="74">
        <f t="shared" si="41"/>
        <v>-143.27371680190961</v>
      </c>
      <c r="N109" s="74">
        <f t="shared" si="41"/>
        <v>63.815062709182371</v>
      </c>
      <c r="O109" s="74">
        <f t="shared" si="41"/>
        <v>-298.50924646669449</v>
      </c>
      <c r="P109" s="74">
        <f t="shared" si="41"/>
        <v>31.334107429882501</v>
      </c>
      <c r="Q109" s="74">
        <f t="shared" si="41"/>
        <v>-57.674660684317359</v>
      </c>
      <c r="R109" s="74">
        <f t="shared" si="41"/>
        <v>612.10409200938886</v>
      </c>
      <c r="S109" s="37">
        <f t="shared" si="41"/>
        <v>2.1952278599218924</v>
      </c>
    </row>
    <row r="110" spans="1:27" hidden="1" outlineLevel="1" x14ac:dyDescent="0.25">
      <c r="B110" s="73" t="s">
        <v>42</v>
      </c>
      <c r="C110" s="74">
        <f t="shared" si="37"/>
        <v>387.79400835127018</v>
      </c>
      <c r="D110" s="74">
        <f t="shared" si="41"/>
        <v>-48.52367584717625</v>
      </c>
      <c r="E110" s="74">
        <f t="shared" si="41"/>
        <v>0</v>
      </c>
      <c r="F110" s="74">
        <f t="shared" si="41"/>
        <v>0</v>
      </c>
      <c r="G110" s="74">
        <f t="shared" si="41"/>
        <v>-0.5411099999999901</v>
      </c>
      <c r="H110" s="74">
        <f t="shared" si="41"/>
        <v>76.81811999999988</v>
      </c>
      <c r="I110" s="74">
        <f t="shared" si="41"/>
        <v>-8.3094723842956562</v>
      </c>
      <c r="J110" s="74">
        <f t="shared" si="41"/>
        <v>18.462999999999976</v>
      </c>
      <c r="K110" s="74">
        <f t="shared" si="41"/>
        <v>-9.9226557142857619</v>
      </c>
      <c r="L110" s="74">
        <f t="shared" si="41"/>
        <v>-10.016860000000021</v>
      </c>
      <c r="M110" s="74">
        <f t="shared" si="41"/>
        <v>19.425269999999781</v>
      </c>
      <c r="N110" s="74">
        <f t="shared" si="41"/>
        <v>2.8810099999999901</v>
      </c>
      <c r="O110" s="74">
        <f t="shared" si="41"/>
        <v>0</v>
      </c>
      <c r="P110" s="74">
        <f t="shared" si="41"/>
        <v>298.4894111859175</v>
      </c>
      <c r="Q110" s="74">
        <f t="shared" si="41"/>
        <v>19.510461111110978</v>
      </c>
      <c r="R110" s="74">
        <f t="shared" si="41"/>
        <v>29.520649999999698</v>
      </c>
      <c r="S110" s="46">
        <f t="shared" si="41"/>
        <v>-1.39999999999986E-4</v>
      </c>
    </row>
    <row r="111" spans="1:27" hidden="1" outlineLevel="1" x14ac:dyDescent="0.25">
      <c r="B111" s="73" t="s">
        <v>43</v>
      </c>
      <c r="C111" s="74">
        <f t="shared" si="37"/>
        <v>481.79839999999581</v>
      </c>
      <c r="D111" s="74">
        <f t="shared" ref="D111:S111" si="42">D92*(D5)/1000</f>
        <v>97.963399999999126</v>
      </c>
      <c r="E111" s="74">
        <f t="shared" si="42"/>
        <v>1.0377799999999988</v>
      </c>
      <c r="F111" s="74">
        <f t="shared" si="42"/>
        <v>0</v>
      </c>
      <c r="G111" s="74">
        <f t="shared" si="42"/>
        <v>-35.931160000000489</v>
      </c>
      <c r="H111" s="74">
        <f t="shared" si="42"/>
        <v>-36.983480000000469</v>
      </c>
      <c r="I111" s="74">
        <f t="shared" si="42"/>
        <v>-12.970110000000203</v>
      </c>
      <c r="J111" s="74">
        <f t="shared" si="42"/>
        <v>-18.331830000000991</v>
      </c>
      <c r="K111" s="74">
        <f t="shared" si="42"/>
        <v>11.227629999999726</v>
      </c>
      <c r="L111" s="74">
        <f t="shared" si="42"/>
        <v>12.67199000000014</v>
      </c>
      <c r="M111" s="74">
        <f t="shared" si="42"/>
        <v>-1.9755500000003179</v>
      </c>
      <c r="N111" s="74">
        <f t="shared" si="42"/>
        <v>58.302510000000026</v>
      </c>
      <c r="O111" s="74">
        <f t="shared" si="42"/>
        <v>321.65745999999996</v>
      </c>
      <c r="P111" s="74">
        <f t="shared" si="42"/>
        <v>-92.445390000000174</v>
      </c>
      <c r="Q111" s="74">
        <f t="shared" si="42"/>
        <v>-12.969839999999976</v>
      </c>
      <c r="R111" s="74">
        <f t="shared" si="42"/>
        <v>44.507219999999492</v>
      </c>
      <c r="S111" s="46">
        <f t="shared" si="42"/>
        <v>146.03776999999994</v>
      </c>
    </row>
    <row r="112" spans="1:27" collapsed="1" x14ac:dyDescent="0.25">
      <c r="B112" s="78" t="s">
        <v>57</v>
      </c>
      <c r="C112" s="79">
        <f>SUM(C104,C108)</f>
        <v>401.66906777947656</v>
      </c>
      <c r="D112" s="79">
        <f>SUM(D104,D108)</f>
        <v>-187.59006278004148</v>
      </c>
      <c r="E112" s="79">
        <f t="shared" ref="E112:S112" si="43">SUM(E104,E108)</f>
        <v>-200.04562000000013</v>
      </c>
      <c r="F112" s="79">
        <f t="shared" si="43"/>
        <v>0</v>
      </c>
      <c r="G112" s="79">
        <f t="shared" si="43"/>
        <v>-114.51279639663278</v>
      </c>
      <c r="H112" s="79">
        <f t="shared" si="43"/>
        <v>-15.887770000005503</v>
      </c>
      <c r="I112" s="79">
        <f t="shared" si="43"/>
        <v>-334.27997705379568</v>
      </c>
      <c r="J112" s="79">
        <f t="shared" si="43"/>
        <v>247.23079889999613</v>
      </c>
      <c r="K112" s="79">
        <f t="shared" si="43"/>
        <v>-78.349575714286871</v>
      </c>
      <c r="L112" s="79">
        <f t="shared" si="43"/>
        <v>252.74082998616876</v>
      </c>
      <c r="M112" s="79">
        <f t="shared" si="43"/>
        <v>-80.731500000000807</v>
      </c>
      <c r="N112" s="79">
        <f t="shared" si="43"/>
        <v>91.88109503837633</v>
      </c>
      <c r="O112" s="79">
        <f t="shared" si="43"/>
        <v>98.496301844662057</v>
      </c>
      <c r="P112" s="79">
        <f t="shared" si="43"/>
        <v>68.996375740995717</v>
      </c>
      <c r="Q112" s="79">
        <f t="shared" si="43"/>
        <v>-24.872906239806738</v>
      </c>
      <c r="R112" s="79">
        <f>SUM(R104,R108)</f>
        <v>736.10669445384792</v>
      </c>
      <c r="S112" s="36">
        <f t="shared" si="43"/>
        <v>-57.512820000000289</v>
      </c>
    </row>
    <row r="113" spans="2:26" ht="5.0999999999999996" customHeight="1" x14ac:dyDescent="0.25"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Z113" s="93"/>
    </row>
    <row r="114" spans="2:26" ht="15.75" x14ac:dyDescent="0.25">
      <c r="B114" s="81" t="s">
        <v>58</v>
      </c>
      <c r="C114" s="65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</row>
    <row r="115" spans="2:26" x14ac:dyDescent="0.25">
      <c r="B115" s="82" t="s">
        <v>55</v>
      </c>
      <c r="C115" s="37">
        <f t="shared" ref="C115:C122" si="44">SUM(D115:S115)</f>
        <v>-622.07061568968709</v>
      </c>
      <c r="D115" s="37">
        <f t="shared" ref="D115:S115" si="45">(D74+D76)*D67/1000</f>
        <v>-12.938418201516793</v>
      </c>
      <c r="E115" s="37">
        <f t="shared" si="45"/>
        <v>-211.5</v>
      </c>
      <c r="F115" s="37">
        <f t="shared" si="45"/>
        <v>0</v>
      </c>
      <c r="G115" s="37">
        <f t="shared" si="45"/>
        <v>120.15854316546762</v>
      </c>
      <c r="H115" s="37">
        <f t="shared" si="45"/>
        <v>-262.38142114384749</v>
      </c>
      <c r="I115" s="37">
        <f t="shared" si="45"/>
        <v>-125.41953488372093</v>
      </c>
      <c r="J115" s="37">
        <f t="shared" si="45"/>
        <v>100.18941005550471</v>
      </c>
      <c r="K115" s="37">
        <f t="shared" si="45"/>
        <v>21.13073394495413</v>
      </c>
      <c r="L115" s="37">
        <f t="shared" si="45"/>
        <v>87.001121794871779</v>
      </c>
      <c r="M115" s="37">
        <f t="shared" si="45"/>
        <v>-4.9537500000000003</v>
      </c>
      <c r="N115" s="37">
        <f t="shared" si="45"/>
        <v>-99.618217054263553</v>
      </c>
      <c r="O115" s="37">
        <f t="shared" si="45"/>
        <v>-32.427692307692311</v>
      </c>
      <c r="P115" s="37">
        <f t="shared" si="45"/>
        <v>-316.89217134416543</v>
      </c>
      <c r="Q115" s="37">
        <f t="shared" si="45"/>
        <v>172.81001472754048</v>
      </c>
      <c r="R115" s="37">
        <f t="shared" si="45"/>
        <v>-78.509694212934065</v>
      </c>
      <c r="S115" s="37">
        <f t="shared" si="45"/>
        <v>21.280459770114945</v>
      </c>
    </row>
    <row r="116" spans="2:26" hidden="1" outlineLevel="1" x14ac:dyDescent="0.25">
      <c r="B116" s="83" t="s">
        <v>46</v>
      </c>
      <c r="C116" s="37">
        <f t="shared" si="44"/>
        <v>-448.2097579823668</v>
      </c>
      <c r="D116" s="37">
        <f t="shared" ref="D116:S116" si="46">(D74)*D62/1000</f>
        <v>-60.8325462962963</v>
      </c>
      <c r="E116" s="37">
        <f t="shared" si="46"/>
        <v>-93.6</v>
      </c>
      <c r="F116" s="37">
        <f t="shared" si="46"/>
        <v>0</v>
      </c>
      <c r="G116" s="37">
        <f t="shared" si="46"/>
        <v>24</v>
      </c>
      <c r="H116" s="37">
        <f t="shared" si="46"/>
        <v>-157.9652225519288</v>
      </c>
      <c r="I116" s="37">
        <f t="shared" si="46"/>
        <v>-76.832903225806461</v>
      </c>
      <c r="J116" s="37">
        <f t="shared" si="46"/>
        <v>22.4</v>
      </c>
      <c r="K116" s="37">
        <f t="shared" si="46"/>
        <v>4.78</v>
      </c>
      <c r="L116" s="37">
        <f t="shared" si="46"/>
        <v>77.251184834123222</v>
      </c>
      <c r="M116" s="37">
        <f t="shared" si="46"/>
        <v>-10.054340836012862</v>
      </c>
      <c r="N116" s="37">
        <f t="shared" si="46"/>
        <v>-55.8</v>
      </c>
      <c r="O116" s="37">
        <f t="shared" si="46"/>
        <v>108.8</v>
      </c>
      <c r="P116" s="37">
        <f t="shared" si="46"/>
        <v>-204.90843989769823</v>
      </c>
      <c r="Q116" s="37">
        <f t="shared" si="46"/>
        <v>70.271052631578954</v>
      </c>
      <c r="R116" s="37">
        <f t="shared" si="46"/>
        <v>-91.552427532412764</v>
      </c>
      <c r="S116" s="37">
        <f t="shared" si="46"/>
        <v>-4.1661151079136687</v>
      </c>
    </row>
    <row r="117" spans="2:26" hidden="1" outlineLevel="1" x14ac:dyDescent="0.25">
      <c r="B117" s="83" t="s">
        <v>59</v>
      </c>
      <c r="C117" s="37">
        <f t="shared" si="44"/>
        <v>-90.30349312842452</v>
      </c>
      <c r="D117" s="37">
        <f t="shared" ref="D117:S117" si="47">(D76)*D64/1000</f>
        <v>12</v>
      </c>
      <c r="E117" s="37">
        <f t="shared" si="47"/>
        <v>-18.899999999999999</v>
      </c>
      <c r="F117" s="37">
        <f t="shared" si="47"/>
        <v>0</v>
      </c>
      <c r="G117" s="37">
        <f t="shared" si="47"/>
        <v>20.149999999999999</v>
      </c>
      <c r="H117" s="37">
        <f t="shared" si="47"/>
        <v>-15</v>
      </c>
      <c r="I117" s="37">
        <f t="shared" si="47"/>
        <v>-6.4</v>
      </c>
      <c r="J117" s="37">
        <f t="shared" si="47"/>
        <v>10.478308192000004</v>
      </c>
      <c r="K117" s="37">
        <f t="shared" si="47"/>
        <v>4.8</v>
      </c>
      <c r="L117" s="37">
        <f t="shared" si="47"/>
        <v>2.1</v>
      </c>
      <c r="M117" s="37">
        <f t="shared" si="47"/>
        <v>0.4</v>
      </c>
      <c r="N117" s="37">
        <f t="shared" si="47"/>
        <v>-8.4</v>
      </c>
      <c r="O117" s="37">
        <f t="shared" si="47"/>
        <v>-79</v>
      </c>
      <c r="P117" s="37">
        <f t="shared" si="47"/>
        <v>-22.1</v>
      </c>
      <c r="Q117" s="37">
        <f t="shared" si="47"/>
        <v>11.463917525773194</v>
      </c>
      <c r="R117" s="37">
        <f t="shared" si="47"/>
        <v>-3.1957188461977024</v>
      </c>
      <c r="S117" s="37">
        <f t="shared" si="47"/>
        <v>1.3</v>
      </c>
    </row>
    <row r="118" spans="2:26" hidden="1" outlineLevel="1" x14ac:dyDescent="0.25">
      <c r="B118" s="83" t="s">
        <v>49</v>
      </c>
      <c r="C118" s="37">
        <f t="shared" si="44"/>
        <v>-441.65699521882425</v>
      </c>
      <c r="D118" s="37">
        <f t="shared" ref="D118:S118" si="48">(D74)*D65/1000</f>
        <v>-53.2</v>
      </c>
      <c r="E118" s="37">
        <f t="shared" si="48"/>
        <v>-117</v>
      </c>
      <c r="F118" s="37">
        <f t="shared" si="48"/>
        <v>0</v>
      </c>
      <c r="G118" s="37">
        <f t="shared" si="48"/>
        <v>30.8</v>
      </c>
      <c r="H118" s="37">
        <f t="shared" si="48"/>
        <v>-158.4</v>
      </c>
      <c r="I118" s="37">
        <f t="shared" si="48"/>
        <v>-100.7</v>
      </c>
      <c r="J118" s="37">
        <f t="shared" si="48"/>
        <v>23.800000000000004</v>
      </c>
      <c r="K118" s="37">
        <f t="shared" si="48"/>
        <v>3.75</v>
      </c>
      <c r="L118" s="37">
        <f t="shared" si="48"/>
        <v>73.75</v>
      </c>
      <c r="M118" s="37">
        <f t="shared" si="48"/>
        <v>-9.5000803858520904</v>
      </c>
      <c r="N118" s="37">
        <f t="shared" si="48"/>
        <v>-44.95</v>
      </c>
      <c r="O118" s="37">
        <f t="shared" si="48"/>
        <v>108.8</v>
      </c>
      <c r="P118" s="37">
        <f t="shared" si="48"/>
        <v>-171</v>
      </c>
      <c r="Q118" s="37">
        <f t="shared" si="48"/>
        <v>64.8</v>
      </c>
      <c r="R118" s="37">
        <f t="shared" si="48"/>
        <v>-88.856914832972294</v>
      </c>
      <c r="S118" s="37">
        <f t="shared" si="48"/>
        <v>-3.75</v>
      </c>
    </row>
    <row r="119" spans="2:26" collapsed="1" x14ac:dyDescent="0.25">
      <c r="B119" s="82" t="s">
        <v>56</v>
      </c>
      <c r="C119" s="37">
        <f t="shared" si="44"/>
        <v>1858.4705075387885</v>
      </c>
      <c r="D119" s="37">
        <f t="shared" ref="D119:S119" si="49">(D8+D10)*D100/1000</f>
        <v>155.74329820151453</v>
      </c>
      <c r="E119" s="37">
        <f t="shared" si="49"/>
        <v>-26.438649999999988</v>
      </c>
      <c r="F119" s="37">
        <f t="shared" si="49"/>
        <v>0</v>
      </c>
      <c r="G119" s="37">
        <f t="shared" si="49"/>
        <v>12.983646834531227</v>
      </c>
      <c r="H119" s="37">
        <f t="shared" si="49"/>
        <v>238.45698114384592</v>
      </c>
      <c r="I119" s="37">
        <f t="shared" si="49"/>
        <v>54.92851488371997</v>
      </c>
      <c r="J119" s="37">
        <f t="shared" si="49"/>
        <v>45.163248136494516</v>
      </c>
      <c r="K119" s="37">
        <f t="shared" si="49"/>
        <v>-29.032203944954809</v>
      </c>
      <c r="L119" s="37">
        <f t="shared" si="49"/>
        <v>246.18584820512692</v>
      </c>
      <c r="M119" s="37">
        <f t="shared" si="49"/>
        <v>134.76578999999859</v>
      </c>
      <c r="N119" s="37">
        <f t="shared" si="49"/>
        <v>43.068637054262815</v>
      </c>
      <c r="O119" s="37">
        <f t="shared" si="49"/>
        <v>202.52042230769075</v>
      </c>
      <c r="P119" s="37">
        <f t="shared" si="49"/>
        <v>36.154921344163839</v>
      </c>
      <c r="Q119" s="37">
        <f t="shared" si="49"/>
        <v>648.98816372606643</v>
      </c>
      <c r="R119" s="37">
        <f t="shared" si="49"/>
        <v>80.333099416444028</v>
      </c>
      <c r="S119" s="37">
        <f t="shared" si="49"/>
        <v>14.648790229884115</v>
      </c>
    </row>
    <row r="120" spans="2:26" hidden="1" outlineLevel="1" x14ac:dyDescent="0.25">
      <c r="B120" s="73" t="s">
        <v>46</v>
      </c>
      <c r="C120" s="74">
        <f t="shared" si="44"/>
        <v>1473.2991268650405</v>
      </c>
      <c r="D120" s="84">
        <f t="shared" ref="D120:S120" si="50">D95*D8/1000</f>
        <v>150.26735629629499</v>
      </c>
      <c r="E120" s="84">
        <f t="shared" si="50"/>
        <v>7.5685600000000006</v>
      </c>
      <c r="F120" s="84">
        <f t="shared" si="50"/>
        <v>0</v>
      </c>
      <c r="G120" s="84">
        <f t="shared" si="50"/>
        <v>112.05503999999922</v>
      </c>
      <c r="H120" s="84">
        <f t="shared" si="50"/>
        <v>261.62348255192796</v>
      </c>
      <c r="I120" s="84">
        <f t="shared" si="50"/>
        <v>-3.4562767741940426</v>
      </c>
      <c r="J120" s="84">
        <f t="shared" si="50"/>
        <v>48.227979999999903</v>
      </c>
      <c r="K120" s="84">
        <f t="shared" si="50"/>
        <v>-20.301020000000335</v>
      </c>
      <c r="L120" s="84">
        <f t="shared" si="50"/>
        <v>144.15243516587586</v>
      </c>
      <c r="M120" s="84">
        <f t="shared" si="50"/>
        <v>50.969460836012168</v>
      </c>
      <c r="N120" s="84">
        <f t="shared" si="50"/>
        <v>-1.1091100000003988</v>
      </c>
      <c r="O120" s="84">
        <f t="shared" si="50"/>
        <v>54.367650000000111</v>
      </c>
      <c r="P120" s="84">
        <f t="shared" si="50"/>
        <v>100.13137989769729</v>
      </c>
      <c r="Q120" s="84">
        <f t="shared" si="50"/>
        <v>499.04596736842035</v>
      </c>
      <c r="R120" s="84">
        <f t="shared" si="50"/>
        <v>79.051806415093893</v>
      </c>
      <c r="S120" s="37">
        <f t="shared" si="50"/>
        <v>-9.2955848920868043</v>
      </c>
    </row>
    <row r="121" spans="2:26" hidden="1" outlineLevel="1" x14ac:dyDescent="0.25">
      <c r="B121" s="73" t="s">
        <v>59</v>
      </c>
      <c r="C121" s="74">
        <f t="shared" si="44"/>
        <v>1109.1318209278295</v>
      </c>
      <c r="D121" s="84">
        <f t="shared" ref="D121:S121" si="51">D97*D10/1000</f>
        <v>230.64273999999955</v>
      </c>
      <c r="E121" s="84">
        <f t="shared" si="51"/>
        <v>-21.594979999999989</v>
      </c>
      <c r="F121" s="84">
        <f t="shared" si="51"/>
        <v>0</v>
      </c>
      <c r="G121" s="84">
        <f t="shared" si="51"/>
        <v>40.267699999999678</v>
      </c>
      <c r="H121" s="84">
        <f t="shared" si="51"/>
        <v>124.95266999999946</v>
      </c>
      <c r="I121" s="84">
        <f t="shared" si="51"/>
        <v>77.28124999999973</v>
      </c>
      <c r="J121" s="84">
        <f t="shared" si="51"/>
        <v>51.709579999999541</v>
      </c>
      <c r="K121" s="84">
        <f t="shared" si="51"/>
        <v>4.2947999999997011</v>
      </c>
      <c r="L121" s="84">
        <f t="shared" si="51"/>
        <v>14.930059999999612</v>
      </c>
      <c r="M121" s="84">
        <f t="shared" si="51"/>
        <v>137.52070999999958</v>
      </c>
      <c r="N121" s="84">
        <f t="shared" si="51"/>
        <v>12.62591999999985</v>
      </c>
      <c r="O121" s="84">
        <f t="shared" si="51"/>
        <v>94.789129999999361</v>
      </c>
      <c r="P121" s="84">
        <f t="shared" si="51"/>
        <v>4.2501699999997422</v>
      </c>
      <c r="Q121" s="84">
        <f t="shared" si="51"/>
        <v>195.13258092783465</v>
      </c>
      <c r="R121" s="84">
        <f t="shared" si="51"/>
        <v>102.0418799999993</v>
      </c>
      <c r="S121" s="37">
        <f t="shared" si="51"/>
        <v>40.287609999999894</v>
      </c>
    </row>
    <row r="122" spans="2:26" hidden="1" outlineLevel="1" x14ac:dyDescent="0.25">
      <c r="B122" s="73" t="s">
        <v>49</v>
      </c>
      <c r="C122" s="74">
        <f t="shared" si="44"/>
        <v>-365.860809614152</v>
      </c>
      <c r="D122" s="84">
        <f t="shared" ref="D122:S122" si="52">D98*D8/1000</f>
        <v>-136.0726700000003</v>
      </c>
      <c r="E122" s="84">
        <f t="shared" si="52"/>
        <v>5.5877700000000008</v>
      </c>
      <c r="F122" s="84">
        <f t="shared" si="52"/>
        <v>0</v>
      </c>
      <c r="G122" s="84">
        <f t="shared" si="52"/>
        <v>-94.130550000000085</v>
      </c>
      <c r="H122" s="84">
        <f t="shared" si="52"/>
        <v>-79.135370000000208</v>
      </c>
      <c r="I122" s="84">
        <f t="shared" si="52"/>
        <v>39.616909999999685</v>
      </c>
      <c r="J122" s="84">
        <f t="shared" si="52"/>
        <v>-11.263210000000418</v>
      </c>
      <c r="K122" s="84">
        <f t="shared" si="52"/>
        <v>-5.2252500000000053</v>
      </c>
      <c r="L122" s="84">
        <f t="shared" si="52"/>
        <v>21.003290000000007</v>
      </c>
      <c r="M122" s="84">
        <f t="shared" si="52"/>
        <v>-39.523709614148082</v>
      </c>
      <c r="N122" s="84">
        <f t="shared" si="52"/>
        <v>41.083609999999744</v>
      </c>
      <c r="O122" s="84">
        <f t="shared" si="52"/>
        <v>-117.66405000000107</v>
      </c>
      <c r="P122" s="84">
        <f t="shared" si="52"/>
        <v>12.889639999999421</v>
      </c>
      <c r="Q122" s="84">
        <f t="shared" si="52"/>
        <v>-18.915340000000104</v>
      </c>
      <c r="R122" s="84">
        <f t="shared" si="52"/>
        <v>4.3347799999996699</v>
      </c>
      <c r="S122" s="37">
        <f t="shared" si="52"/>
        <v>11.553339999999787</v>
      </c>
    </row>
    <row r="123" spans="2:26" collapsed="1" x14ac:dyDescent="0.25">
      <c r="B123" s="78" t="s">
        <v>57</v>
      </c>
      <c r="C123" s="79">
        <f>SUM(C115,C119)</f>
        <v>1236.3998918491016</v>
      </c>
      <c r="D123" s="85">
        <f t="shared" ref="D123:S123" si="53">SUM(D115,D119)</f>
        <v>142.80487999999775</v>
      </c>
      <c r="E123" s="85">
        <f t="shared" si="53"/>
        <v>-237.93865</v>
      </c>
      <c r="F123" s="85">
        <f t="shared" si="53"/>
        <v>0</v>
      </c>
      <c r="G123" s="85">
        <f t="shared" si="53"/>
        <v>133.14218999999883</v>
      </c>
      <c r="H123" s="85">
        <f t="shared" si="53"/>
        <v>-23.924440000001567</v>
      </c>
      <c r="I123" s="85">
        <f t="shared" si="53"/>
        <v>-70.491020000000958</v>
      </c>
      <c r="J123" s="85">
        <f t="shared" si="53"/>
        <v>145.35265819199924</v>
      </c>
      <c r="K123" s="85">
        <f t="shared" si="53"/>
        <v>-7.9014700000006783</v>
      </c>
      <c r="L123" s="85">
        <f t="shared" si="53"/>
        <v>333.18696999999872</v>
      </c>
      <c r="M123" s="85">
        <f t="shared" si="53"/>
        <v>129.81203999999858</v>
      </c>
      <c r="N123" s="85">
        <f t="shared" si="53"/>
        <v>-56.549580000000738</v>
      </c>
      <c r="O123" s="85">
        <f t="shared" si="53"/>
        <v>170.09272999999843</v>
      </c>
      <c r="P123" s="85">
        <f t="shared" si="53"/>
        <v>-280.73725000000161</v>
      </c>
      <c r="Q123" s="85">
        <f t="shared" si="53"/>
        <v>821.79817845360685</v>
      </c>
      <c r="R123" s="85">
        <f t="shared" si="53"/>
        <v>1.8234052035099637</v>
      </c>
      <c r="S123" s="36">
        <f t="shared" si="53"/>
        <v>35.929249999999058</v>
      </c>
    </row>
  </sheetData>
  <conditionalFormatting sqref="B28">
    <cfRule type="colorScale" priority="10">
      <colorScale>
        <cfvo type="min"/>
        <cfvo type="max"/>
        <color rgb="FFFCFCFF"/>
        <color rgb="FF63BE7B"/>
      </colorScale>
    </cfRule>
  </conditionalFormatting>
  <conditionalFormatting sqref="B61">
    <cfRule type="colorScale" priority="9">
      <colorScale>
        <cfvo type="min"/>
        <cfvo type="max"/>
        <color rgb="FFFCFCFF"/>
        <color rgb="FF63BE7B"/>
      </colorScale>
    </cfRule>
  </conditionalFormatting>
  <conditionalFormatting sqref="B94">
    <cfRule type="colorScale" priority="8">
      <colorScale>
        <cfvo type="min"/>
        <cfvo type="max"/>
        <color rgb="FFFCFCFF"/>
        <color rgb="FF63BE7B"/>
      </colorScale>
    </cfRule>
  </conditionalFormatting>
  <conditionalFormatting sqref="C35:S3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S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1:S10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:S111">
    <cfRule type="cellIs" dxfId="7" priority="1" operator="greaterThanOrEqual">
      <formula>0</formula>
    </cfRule>
    <cfRule type="cellIs" dxfId="6" priority="2" operator="lessThan">
      <formula>0</formula>
    </cfRule>
  </conditionalFormatting>
  <conditionalFormatting sqref="C112:S1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5:S122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C123:S1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1" right="0" top="0" bottom="0" header="0" footer="0"/>
  <pageSetup paperSize="3" scale="86" orientation="landscape" r:id="rId1"/>
  <headerFooter>
    <oddFooter>&amp;R&amp;F
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1681-F718-4409-995E-187154688AC0}">
  <sheetPr>
    <tabColor theme="7" tint="0.39997558519241921"/>
    <pageSetUpPr fitToPage="1"/>
  </sheetPr>
  <dimension ref="A1:AA136"/>
  <sheetViews>
    <sheetView workbookViewId="0">
      <selection activeCell="X94" sqref="X94"/>
    </sheetView>
  </sheetViews>
  <sheetFormatPr baseColWidth="10" defaultColWidth="11.42578125" defaultRowHeight="15" outlineLevelRow="1" x14ac:dyDescent="0.25"/>
  <cols>
    <col min="1" max="1" width="1.5703125" customWidth="1"/>
    <col min="2" max="2" width="29.5703125" customWidth="1"/>
    <col min="3" max="3" width="13.5703125" customWidth="1"/>
    <col min="4" max="5" width="12" customWidth="1"/>
    <col min="6" max="6" width="12" hidden="1" customWidth="1"/>
    <col min="7" max="19" width="12" customWidth="1"/>
    <col min="20" max="20" width="12" hidden="1" customWidth="1"/>
    <col min="21" max="21" width="13.5703125" hidden="1" customWidth="1"/>
    <col min="22" max="22" width="12" hidden="1" customWidth="1"/>
    <col min="26" max="26" width="35.42578125" bestFit="1" customWidth="1"/>
    <col min="27" max="27" width="12.42578125" bestFit="1" customWidth="1"/>
    <col min="29" max="29" width="35.42578125" bestFit="1" customWidth="1"/>
  </cols>
  <sheetData>
    <row r="1" spans="1:27" ht="9.75" customHeight="1" x14ac:dyDescent="0.25">
      <c r="D1" s="1"/>
      <c r="G1" s="1"/>
    </row>
    <row r="2" spans="1:27" ht="18.75" x14ac:dyDescent="0.3">
      <c r="B2" s="2" t="s">
        <v>65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7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6"/>
      <c r="U3" s="6"/>
      <c r="V3" s="6"/>
      <c r="AA3" s="7"/>
    </row>
    <row r="4" spans="1:27" x14ac:dyDescent="0.25">
      <c r="B4" s="5" t="s">
        <v>17</v>
      </c>
      <c r="T4" s="5" t="s">
        <v>18</v>
      </c>
      <c r="U4" s="5" t="s">
        <v>19</v>
      </c>
      <c r="V4" s="5" t="s">
        <v>20</v>
      </c>
      <c r="AA4" s="8"/>
    </row>
    <row r="5" spans="1:27" hidden="1" outlineLevel="1" x14ac:dyDescent="0.25">
      <c r="A5" s="9" t="str">
        <f>B5</f>
        <v>NB New</v>
      </c>
      <c r="B5" s="10" t="s">
        <v>21</v>
      </c>
      <c r="C5" s="11">
        <f>+SUM(D5:V5)</f>
        <v>7169</v>
      </c>
      <c r="D5" s="12">
        <v>964</v>
      </c>
      <c r="E5" s="12">
        <v>24</v>
      </c>
      <c r="F5" s="12">
        <v>0</v>
      </c>
      <c r="G5" s="12">
        <v>302</v>
      </c>
      <c r="H5" s="12">
        <v>652</v>
      </c>
      <c r="I5" s="12">
        <v>562</v>
      </c>
      <c r="J5" s="12">
        <v>500</v>
      </c>
      <c r="K5" s="12">
        <v>230</v>
      </c>
      <c r="L5" s="12">
        <v>402</v>
      </c>
      <c r="M5" s="12">
        <v>430</v>
      </c>
      <c r="N5" s="12">
        <v>227</v>
      </c>
      <c r="O5" s="12">
        <v>1368</v>
      </c>
      <c r="P5" s="12">
        <v>479</v>
      </c>
      <c r="Q5" s="12">
        <v>500</v>
      </c>
      <c r="R5" s="12">
        <v>314</v>
      </c>
      <c r="S5" s="12">
        <v>215</v>
      </c>
      <c r="T5" s="12">
        <v>0</v>
      </c>
      <c r="U5" s="12">
        <v>0</v>
      </c>
      <c r="V5" s="12">
        <v>0</v>
      </c>
      <c r="AA5" s="8"/>
    </row>
    <row r="6" spans="1:27" hidden="1" outlineLevel="1" x14ac:dyDescent="0.25">
      <c r="A6" s="9" t="str">
        <f t="shared" ref="A6:A21" si="0">B6</f>
        <v>NB Fleet</v>
      </c>
      <c r="B6" s="13" t="s">
        <v>22</v>
      </c>
      <c r="C6" s="14">
        <f>+SUM(D6:V6)</f>
        <v>413</v>
      </c>
      <c r="D6" s="15">
        <v>50</v>
      </c>
      <c r="E6" s="15">
        <v>0</v>
      </c>
      <c r="F6" s="15">
        <v>0</v>
      </c>
      <c r="G6" s="15">
        <v>7</v>
      </c>
      <c r="H6" s="15">
        <v>38</v>
      </c>
      <c r="I6" s="15">
        <v>20</v>
      </c>
      <c r="J6" s="15">
        <v>35</v>
      </c>
      <c r="K6" s="15">
        <v>22</v>
      </c>
      <c r="L6" s="15">
        <v>29</v>
      </c>
      <c r="M6" s="15">
        <v>27</v>
      </c>
      <c r="N6" s="15">
        <v>1</v>
      </c>
      <c r="O6" s="15">
        <v>0</v>
      </c>
      <c r="P6" s="15">
        <v>118</v>
      </c>
      <c r="Q6" s="15">
        <v>16</v>
      </c>
      <c r="R6" s="15">
        <v>49</v>
      </c>
      <c r="S6" s="15">
        <v>1</v>
      </c>
      <c r="T6" s="15">
        <v>0</v>
      </c>
      <c r="U6" s="15">
        <v>0</v>
      </c>
      <c r="V6" s="15">
        <v>0</v>
      </c>
      <c r="AA6" s="8"/>
    </row>
    <row r="7" spans="1:27" collapsed="1" x14ac:dyDescent="0.25">
      <c r="A7" s="9"/>
      <c r="B7" s="16" t="s">
        <v>23</v>
      </c>
      <c r="C7" s="17">
        <f>SUM(C5:C6)</f>
        <v>7582</v>
      </c>
      <c r="D7" s="18">
        <f t="shared" ref="D7:V7" si="1">SUM(D5:D6)</f>
        <v>1014</v>
      </c>
      <c r="E7" s="18">
        <f t="shared" si="1"/>
        <v>24</v>
      </c>
      <c r="F7" s="18">
        <f t="shared" si="1"/>
        <v>0</v>
      </c>
      <c r="G7" s="18">
        <f t="shared" si="1"/>
        <v>309</v>
      </c>
      <c r="H7" s="18">
        <f t="shared" si="1"/>
        <v>690</v>
      </c>
      <c r="I7" s="18">
        <f t="shared" si="1"/>
        <v>582</v>
      </c>
      <c r="J7" s="18">
        <f t="shared" si="1"/>
        <v>535</v>
      </c>
      <c r="K7" s="18">
        <f t="shared" si="1"/>
        <v>252</v>
      </c>
      <c r="L7" s="18">
        <f t="shared" si="1"/>
        <v>431</v>
      </c>
      <c r="M7" s="18">
        <f t="shared" si="1"/>
        <v>457</v>
      </c>
      <c r="N7" s="18">
        <f t="shared" si="1"/>
        <v>228</v>
      </c>
      <c r="O7" s="18">
        <f t="shared" si="1"/>
        <v>1368</v>
      </c>
      <c r="P7" s="18">
        <f t="shared" si="1"/>
        <v>597</v>
      </c>
      <c r="Q7" s="18">
        <f t="shared" si="1"/>
        <v>516</v>
      </c>
      <c r="R7" s="18">
        <f t="shared" si="1"/>
        <v>363</v>
      </c>
      <c r="S7" s="18">
        <f t="shared" si="1"/>
        <v>216</v>
      </c>
      <c r="T7" s="19">
        <f t="shared" si="1"/>
        <v>0</v>
      </c>
      <c r="U7" s="19">
        <f t="shared" si="1"/>
        <v>0</v>
      </c>
      <c r="V7" s="19">
        <f t="shared" si="1"/>
        <v>0</v>
      </c>
      <c r="AA7" s="8"/>
    </row>
    <row r="8" spans="1:27" ht="14.25" hidden="1" customHeight="1" outlineLevel="1" x14ac:dyDescent="0.25">
      <c r="A8" s="9" t="str">
        <f t="shared" si="0"/>
        <v>NB Used</v>
      </c>
      <c r="B8" s="10" t="s">
        <v>24</v>
      </c>
      <c r="C8" s="11">
        <f>+SUM(D8:V8)</f>
        <v>3611</v>
      </c>
      <c r="D8" s="12">
        <v>394</v>
      </c>
      <c r="E8" s="12">
        <v>6</v>
      </c>
      <c r="F8" s="12">
        <v>0</v>
      </c>
      <c r="G8" s="12">
        <v>207</v>
      </c>
      <c r="H8" s="12">
        <v>238</v>
      </c>
      <c r="I8" s="12">
        <v>257</v>
      </c>
      <c r="J8" s="12">
        <v>271</v>
      </c>
      <c r="K8" s="12">
        <v>93</v>
      </c>
      <c r="L8" s="12">
        <v>261</v>
      </c>
      <c r="M8" s="12">
        <v>304</v>
      </c>
      <c r="N8" s="12">
        <v>164</v>
      </c>
      <c r="O8" s="12">
        <v>536</v>
      </c>
      <c r="P8" s="12">
        <v>277</v>
      </c>
      <c r="Q8" s="12">
        <v>282</v>
      </c>
      <c r="R8" s="12">
        <v>46</v>
      </c>
      <c r="S8" s="12">
        <v>275</v>
      </c>
      <c r="T8" s="20">
        <v>0</v>
      </c>
      <c r="U8" s="20">
        <v>0</v>
      </c>
      <c r="V8" s="20">
        <v>0</v>
      </c>
      <c r="AA8" s="8"/>
    </row>
    <row r="9" spans="1:27" hidden="1" outlineLevel="1" x14ac:dyDescent="0.25">
      <c r="A9" s="9" t="str">
        <f t="shared" si="0"/>
        <v>NB US</v>
      </c>
      <c r="B9" s="13" t="s">
        <v>25</v>
      </c>
      <c r="C9" s="14">
        <f>+SUM(D9:V9)</f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21">
        <v>0</v>
      </c>
      <c r="U9" s="21">
        <v>0</v>
      </c>
      <c r="V9" s="21">
        <v>0</v>
      </c>
      <c r="AA9" s="8"/>
    </row>
    <row r="10" spans="1:27" hidden="1" outlineLevel="1" x14ac:dyDescent="0.25">
      <c r="A10" s="9" t="str">
        <f t="shared" si="0"/>
        <v>NB Wholesale</v>
      </c>
      <c r="B10" s="13" t="s">
        <v>26</v>
      </c>
      <c r="C10" s="22">
        <f>+SUM(D10:V10)</f>
        <v>3620</v>
      </c>
      <c r="D10" s="23">
        <v>521</v>
      </c>
      <c r="E10" s="23">
        <v>21</v>
      </c>
      <c r="F10" s="23">
        <v>0</v>
      </c>
      <c r="G10" s="23">
        <v>118</v>
      </c>
      <c r="H10" s="23">
        <v>215</v>
      </c>
      <c r="I10" s="23">
        <v>319</v>
      </c>
      <c r="J10" s="23">
        <v>295</v>
      </c>
      <c r="K10" s="23">
        <v>140</v>
      </c>
      <c r="L10" s="23">
        <v>264</v>
      </c>
      <c r="M10" s="23">
        <v>233</v>
      </c>
      <c r="N10" s="23">
        <v>168</v>
      </c>
      <c r="O10" s="23">
        <v>424</v>
      </c>
      <c r="P10" s="23">
        <v>260</v>
      </c>
      <c r="Q10" s="23">
        <v>321</v>
      </c>
      <c r="R10" s="23">
        <v>238</v>
      </c>
      <c r="S10" s="23">
        <v>83</v>
      </c>
      <c r="T10" s="24">
        <v>0</v>
      </c>
      <c r="U10" s="24">
        <v>0</v>
      </c>
      <c r="V10" s="24">
        <v>0</v>
      </c>
      <c r="AA10" s="8"/>
    </row>
    <row r="11" spans="1:27" collapsed="1" x14ac:dyDescent="0.25">
      <c r="A11" s="9"/>
      <c r="B11" s="16" t="s">
        <v>27</v>
      </c>
      <c r="C11" s="17">
        <f>SUM(C8:C10)</f>
        <v>7231</v>
      </c>
      <c r="D11" s="18">
        <f t="shared" ref="D11:V11" si="2">SUM(D8:D10)</f>
        <v>915</v>
      </c>
      <c r="E11" s="18">
        <f t="shared" si="2"/>
        <v>27</v>
      </c>
      <c r="F11" s="18">
        <f t="shared" si="2"/>
        <v>0</v>
      </c>
      <c r="G11" s="18">
        <f t="shared" si="2"/>
        <v>325</v>
      </c>
      <c r="H11" s="18">
        <f t="shared" si="2"/>
        <v>453</v>
      </c>
      <c r="I11" s="18">
        <f t="shared" si="2"/>
        <v>576</v>
      </c>
      <c r="J11" s="18">
        <f t="shared" si="2"/>
        <v>566</v>
      </c>
      <c r="K11" s="18">
        <f t="shared" si="2"/>
        <v>233</v>
      </c>
      <c r="L11" s="18">
        <f t="shared" si="2"/>
        <v>525</v>
      </c>
      <c r="M11" s="18">
        <f t="shared" si="2"/>
        <v>537</v>
      </c>
      <c r="N11" s="18">
        <f t="shared" si="2"/>
        <v>332</v>
      </c>
      <c r="O11" s="18">
        <f t="shared" si="2"/>
        <v>960</v>
      </c>
      <c r="P11" s="18">
        <f t="shared" si="2"/>
        <v>537</v>
      </c>
      <c r="Q11" s="18">
        <f t="shared" si="2"/>
        <v>603</v>
      </c>
      <c r="R11" s="18">
        <f t="shared" si="2"/>
        <v>284</v>
      </c>
      <c r="S11" s="18">
        <f t="shared" si="2"/>
        <v>358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AA11" s="8"/>
    </row>
    <row r="12" spans="1:27" ht="15.75" thickBot="1" x14ac:dyDescent="0.3">
      <c r="A12" s="9"/>
      <c r="B12" s="25" t="s">
        <v>28</v>
      </c>
      <c r="C12" s="11">
        <f>+C7+C11</f>
        <v>14813</v>
      </c>
      <c r="D12" s="11">
        <f t="shared" ref="D12:S12" si="3">+D7+D11</f>
        <v>1929</v>
      </c>
      <c r="E12" s="11">
        <f t="shared" si="3"/>
        <v>51</v>
      </c>
      <c r="F12" s="11">
        <f t="shared" si="3"/>
        <v>0</v>
      </c>
      <c r="G12" s="11">
        <f t="shared" si="3"/>
        <v>634</v>
      </c>
      <c r="H12" s="11">
        <f t="shared" si="3"/>
        <v>1143</v>
      </c>
      <c r="I12" s="11">
        <f t="shared" si="3"/>
        <v>1158</v>
      </c>
      <c r="J12" s="11">
        <f t="shared" si="3"/>
        <v>1101</v>
      </c>
      <c r="K12" s="11">
        <f t="shared" si="3"/>
        <v>485</v>
      </c>
      <c r="L12" s="11">
        <f t="shared" si="3"/>
        <v>956</v>
      </c>
      <c r="M12" s="11">
        <f t="shared" si="3"/>
        <v>994</v>
      </c>
      <c r="N12" s="11">
        <f t="shared" si="3"/>
        <v>560</v>
      </c>
      <c r="O12" s="11">
        <f t="shared" si="3"/>
        <v>2328</v>
      </c>
      <c r="P12" s="11">
        <f t="shared" si="3"/>
        <v>1134</v>
      </c>
      <c r="Q12" s="11">
        <f t="shared" si="3"/>
        <v>1119</v>
      </c>
      <c r="R12" s="11">
        <f t="shared" si="3"/>
        <v>647</v>
      </c>
      <c r="S12" s="11">
        <f t="shared" si="3"/>
        <v>574</v>
      </c>
      <c r="T12" s="26"/>
      <c r="U12" s="26"/>
      <c r="V12" s="26"/>
      <c r="AA12" s="8"/>
    </row>
    <row r="13" spans="1:27" ht="15.75" hidden="1" outlineLevel="1" thickBot="1" x14ac:dyDescent="0.3">
      <c r="A13" s="9" t="str">
        <f t="shared" si="0"/>
        <v>Profit Front new</v>
      </c>
      <c r="B13" s="27" t="s">
        <v>30</v>
      </c>
      <c r="C13" s="28">
        <f>+SUM(D13:V13)</f>
        <v>19516616.729999971</v>
      </c>
      <c r="D13" s="29">
        <v>2300127.2999999942</v>
      </c>
      <c r="E13" s="29">
        <v>-34417.479999999763</v>
      </c>
      <c r="F13" s="29">
        <v>0</v>
      </c>
      <c r="G13" s="29">
        <v>246980.96999999942</v>
      </c>
      <c r="H13" s="29">
        <v>1664080.859999995</v>
      </c>
      <c r="I13" s="29">
        <v>1242790.7999999984</v>
      </c>
      <c r="J13" s="29">
        <v>1584309.0099999974</v>
      </c>
      <c r="K13" s="29">
        <v>486195.74999999919</v>
      </c>
      <c r="L13" s="29">
        <v>1134247.5399999998</v>
      </c>
      <c r="M13" s="29">
        <v>1204966.1399999997</v>
      </c>
      <c r="N13" s="29">
        <v>898658.6199999986</v>
      </c>
      <c r="O13" s="29">
        <v>4168305.1400000006</v>
      </c>
      <c r="P13" s="29">
        <v>1233849.8899999985</v>
      </c>
      <c r="Q13" s="29">
        <v>1728201.9399999958</v>
      </c>
      <c r="R13" s="29">
        <v>1028191.1699999996</v>
      </c>
      <c r="S13" s="29">
        <v>630129.07999999973</v>
      </c>
      <c r="T13" s="29">
        <v>0</v>
      </c>
      <c r="U13" s="29">
        <v>0</v>
      </c>
      <c r="V13" s="29">
        <v>0</v>
      </c>
      <c r="AA13" s="8"/>
    </row>
    <row r="14" spans="1:27" ht="15.75" hidden="1" outlineLevel="1" thickBot="1" x14ac:dyDescent="0.3">
      <c r="A14" s="9"/>
      <c r="B14" s="30" t="s">
        <v>31</v>
      </c>
      <c r="C14" s="31">
        <f>+SUM(D14:V14)</f>
        <v>662439.59999999905</v>
      </c>
      <c r="D14" s="32">
        <v>212647.98999999976</v>
      </c>
      <c r="E14" s="32">
        <v>1234.08</v>
      </c>
      <c r="F14" s="32">
        <v>0</v>
      </c>
      <c r="G14" s="32">
        <v>46663.060000000005</v>
      </c>
      <c r="H14" s="32">
        <v>46865.73</v>
      </c>
      <c r="I14" s="32">
        <v>91778.559999999808</v>
      </c>
      <c r="J14" s="32">
        <v>98818.319999999847</v>
      </c>
      <c r="K14" s="32">
        <v>33600.199999999997</v>
      </c>
      <c r="L14" s="32">
        <v>56048.289999999935</v>
      </c>
      <c r="M14" s="32">
        <v>23652.639999999821</v>
      </c>
      <c r="N14" s="32">
        <v>25012.969999999987</v>
      </c>
      <c r="O14" s="32">
        <v>-730.57000000000698</v>
      </c>
      <c r="P14" s="32">
        <v>-3303.2999999999997</v>
      </c>
      <c r="Q14" s="32">
        <v>24772.800000000021</v>
      </c>
      <c r="R14" s="32">
        <v>6558.3600000000088</v>
      </c>
      <c r="S14" s="32">
        <v>-1179.5299999999979</v>
      </c>
      <c r="T14" s="32">
        <v>0</v>
      </c>
      <c r="U14" s="32">
        <v>0</v>
      </c>
      <c r="V14" s="32">
        <v>0</v>
      </c>
      <c r="AA14" s="8"/>
    </row>
    <row r="15" spans="1:27" ht="15.75" hidden="1" outlineLevel="1" thickBot="1" x14ac:dyDescent="0.3">
      <c r="A15" s="9" t="str">
        <f t="shared" si="0"/>
        <v>Profit Fleet</v>
      </c>
      <c r="B15" s="30" t="s">
        <v>32</v>
      </c>
      <c r="C15" s="31">
        <f>+SUM(D15:V15)</f>
        <v>1250407.1299999985</v>
      </c>
      <c r="D15" s="32">
        <v>73602.569999999847</v>
      </c>
      <c r="E15" s="32">
        <v>0</v>
      </c>
      <c r="F15" s="32">
        <v>0</v>
      </c>
      <c r="G15" s="32">
        <v>2958.8900000000099</v>
      </c>
      <c r="H15" s="32">
        <v>76818.119999999879</v>
      </c>
      <c r="I15" s="32">
        <v>39567.569999999992</v>
      </c>
      <c r="J15" s="32">
        <v>27212.999999999971</v>
      </c>
      <c r="K15" s="32">
        <v>-9921.8700000000481</v>
      </c>
      <c r="L15" s="32">
        <v>-10016.860000000021</v>
      </c>
      <c r="M15" s="32">
        <v>74775.269999999786</v>
      </c>
      <c r="N15" s="32">
        <v>2881.0099999999902</v>
      </c>
      <c r="O15" s="32">
        <v>0</v>
      </c>
      <c r="P15" s="32">
        <v>752989.56999999937</v>
      </c>
      <c r="Q15" s="32">
        <v>67519.34999999986</v>
      </c>
      <c r="R15" s="32">
        <v>152020.6499999997</v>
      </c>
      <c r="S15" s="32">
        <v>-0.139999999999986</v>
      </c>
      <c r="T15" s="32">
        <v>0</v>
      </c>
      <c r="U15" s="32">
        <v>0</v>
      </c>
      <c r="V15" s="32">
        <v>0</v>
      </c>
      <c r="AA15" s="8"/>
    </row>
    <row r="16" spans="1:27" ht="15.75" hidden="1" outlineLevel="1" thickBot="1" x14ac:dyDescent="0.3">
      <c r="A16" s="9" t="str">
        <f t="shared" si="0"/>
        <v>Profit F&amp;I new</v>
      </c>
      <c r="B16" s="33" t="s">
        <v>33</v>
      </c>
      <c r="C16" s="34">
        <f>+SUM(D16:V16)</f>
        <v>9375083.3999999948</v>
      </c>
      <c r="D16" s="35">
        <v>1158363.3999999992</v>
      </c>
      <c r="E16" s="35">
        <v>22637.78</v>
      </c>
      <c r="F16" s="35">
        <v>0</v>
      </c>
      <c r="G16" s="35">
        <v>334018.8399999995</v>
      </c>
      <c r="H16" s="35">
        <v>615016.51999999955</v>
      </c>
      <c r="I16" s="35">
        <v>549029.88999999978</v>
      </c>
      <c r="J16" s="35">
        <v>634668.16999999899</v>
      </c>
      <c r="K16" s="35">
        <v>287227.62999999971</v>
      </c>
      <c r="L16" s="35">
        <v>535271.99000000011</v>
      </c>
      <c r="M16" s="35">
        <v>428024.44999999966</v>
      </c>
      <c r="N16" s="35">
        <v>433987.51</v>
      </c>
      <c r="O16" s="35">
        <v>1976937.46</v>
      </c>
      <c r="P16" s="35">
        <v>769754.60999999987</v>
      </c>
      <c r="Q16" s="35">
        <v>587030.16</v>
      </c>
      <c r="R16" s="35">
        <v>477827.21999999951</v>
      </c>
      <c r="S16" s="35">
        <v>565287.7699999999</v>
      </c>
      <c r="T16" s="35">
        <v>0</v>
      </c>
      <c r="U16" s="35">
        <v>0</v>
      </c>
      <c r="V16" s="35">
        <v>0</v>
      </c>
      <c r="AA16" s="8"/>
    </row>
    <row r="17" spans="1:27" ht="15.75" hidden="1" outlineLevel="1" thickBot="1" x14ac:dyDescent="0.3">
      <c r="A17" s="9"/>
      <c r="B17" s="16" t="s">
        <v>34</v>
      </c>
      <c r="C17" s="36">
        <f>+SUM(C13:C16)</f>
        <v>30804546.859999962</v>
      </c>
      <c r="D17" s="37">
        <f t="shared" ref="D17:V17" si="4">+SUM(D13:D16)</f>
        <v>3744741.2599999933</v>
      </c>
      <c r="E17" s="37">
        <f t="shared" si="4"/>
        <v>-10545.619999999763</v>
      </c>
      <c r="F17" s="37">
        <f t="shared" si="4"/>
        <v>0</v>
      </c>
      <c r="G17" s="37">
        <f t="shared" si="4"/>
        <v>630621.75999999896</v>
      </c>
      <c r="H17" s="37">
        <f t="shared" si="4"/>
        <v>2402781.2299999944</v>
      </c>
      <c r="I17" s="37">
        <f t="shared" si="4"/>
        <v>1923166.819999998</v>
      </c>
      <c r="J17" s="37">
        <f t="shared" si="4"/>
        <v>2345008.4999999963</v>
      </c>
      <c r="K17" s="37">
        <f t="shared" si="4"/>
        <v>797101.7099999988</v>
      </c>
      <c r="L17" s="37">
        <f t="shared" si="4"/>
        <v>1715550.96</v>
      </c>
      <c r="M17" s="37">
        <f t="shared" si="4"/>
        <v>1731418.4999999991</v>
      </c>
      <c r="N17" s="37">
        <f t="shared" si="4"/>
        <v>1360540.1099999985</v>
      </c>
      <c r="O17" s="37">
        <f t="shared" si="4"/>
        <v>6144512.0300000012</v>
      </c>
      <c r="P17" s="37">
        <f t="shared" si="4"/>
        <v>2753290.7699999977</v>
      </c>
      <c r="Q17" s="37">
        <f t="shared" si="4"/>
        <v>2407524.2499999958</v>
      </c>
      <c r="R17" s="37">
        <f t="shared" si="4"/>
        <v>1664597.3999999987</v>
      </c>
      <c r="S17" s="37">
        <f t="shared" si="4"/>
        <v>1194237.1799999997</v>
      </c>
      <c r="T17" s="36">
        <f t="shared" si="4"/>
        <v>0</v>
      </c>
      <c r="U17" s="36">
        <f t="shared" si="4"/>
        <v>0</v>
      </c>
      <c r="V17" s="36">
        <f t="shared" si="4"/>
        <v>0</v>
      </c>
      <c r="AA17" s="8"/>
    </row>
    <row r="18" spans="1:27" ht="15.75" hidden="1" outlineLevel="1" thickBot="1" x14ac:dyDescent="0.3">
      <c r="A18" s="9" t="str">
        <f t="shared" si="0"/>
        <v>Profit Front used</v>
      </c>
      <c r="B18" s="30" t="s">
        <v>35</v>
      </c>
      <c r="C18" s="31">
        <f>+SUM(D18:V18)</f>
        <v>7134203.5699999919</v>
      </c>
      <c r="D18" s="32">
        <v>781004.80999999866</v>
      </c>
      <c r="E18" s="32">
        <v>14768.560000000001</v>
      </c>
      <c r="F18" s="32">
        <v>0</v>
      </c>
      <c r="G18" s="32">
        <v>422555.03999999922</v>
      </c>
      <c r="H18" s="32">
        <v>641378.25999999919</v>
      </c>
      <c r="I18" s="32">
        <v>369110.81999999954</v>
      </c>
      <c r="J18" s="32">
        <v>481827.97999999992</v>
      </c>
      <c r="K18" s="32">
        <v>127878.97999999966</v>
      </c>
      <c r="L18" s="32">
        <v>547403.61999999906</v>
      </c>
      <c r="M18" s="32">
        <v>487615.1199999993</v>
      </c>
      <c r="N18" s="32">
        <v>294090.88999999961</v>
      </c>
      <c r="O18" s="32">
        <v>965567.65000000014</v>
      </c>
      <c r="P18" s="32">
        <v>598022.93999999913</v>
      </c>
      <c r="Q18" s="32">
        <v>866017.01999999932</v>
      </c>
      <c r="R18" s="32">
        <v>164363.57999999955</v>
      </c>
      <c r="S18" s="32">
        <v>372598.29999999952</v>
      </c>
      <c r="T18" s="32">
        <v>0</v>
      </c>
      <c r="U18" s="32">
        <v>0</v>
      </c>
      <c r="V18" s="32">
        <v>0</v>
      </c>
      <c r="AA18" s="8"/>
    </row>
    <row r="19" spans="1:27" ht="15.75" hidden="1" outlineLevel="1" thickBot="1" x14ac:dyDescent="0.3">
      <c r="A19" s="9" t="str">
        <f t="shared" si="0"/>
        <v>Profit US</v>
      </c>
      <c r="B19" s="30" t="s">
        <v>36</v>
      </c>
      <c r="C19" s="31">
        <f>+SUM(D19:V19)</f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AA19" s="8"/>
    </row>
    <row r="20" spans="1:27" ht="15.75" hidden="1" outlineLevel="1" thickBot="1" x14ac:dyDescent="0.3">
      <c r="A20" s="9" t="str">
        <f t="shared" si="0"/>
        <v>Profit Wholesale</v>
      </c>
      <c r="B20" s="30" t="s">
        <v>37</v>
      </c>
      <c r="C20" s="31">
        <f>+SUM(D20:V20)</f>
        <v>2778097.5899999952</v>
      </c>
      <c r="D20" s="32">
        <v>439042.73999999958</v>
      </c>
      <c r="E20" s="32">
        <v>-15294.97999999999</v>
      </c>
      <c r="F20" s="32">
        <v>0</v>
      </c>
      <c r="G20" s="32">
        <v>116967.69999999968</v>
      </c>
      <c r="H20" s="32">
        <v>253952.66999999946</v>
      </c>
      <c r="I20" s="32">
        <v>204881.24999999974</v>
      </c>
      <c r="J20" s="32">
        <v>125176.37999999955</v>
      </c>
      <c r="K20" s="32">
        <v>60294.799999999697</v>
      </c>
      <c r="L20" s="32">
        <v>94130.059999999619</v>
      </c>
      <c r="M20" s="32">
        <v>160820.70999999958</v>
      </c>
      <c r="N20" s="32">
        <v>71425.919999999853</v>
      </c>
      <c r="O20" s="32">
        <v>518789.12999999936</v>
      </c>
      <c r="P20" s="32">
        <v>225250.16999999975</v>
      </c>
      <c r="Q20" s="32">
        <v>241131.54999999958</v>
      </c>
      <c r="R20" s="32">
        <v>232941.87999999928</v>
      </c>
      <c r="S20" s="32">
        <v>48587.609999999891</v>
      </c>
      <c r="T20" s="32">
        <v>0</v>
      </c>
      <c r="U20" s="32">
        <v>0</v>
      </c>
      <c r="V20" s="32">
        <v>0</v>
      </c>
      <c r="AA20" s="8"/>
    </row>
    <row r="21" spans="1:27" ht="15.75" hidden="1" outlineLevel="1" thickBot="1" x14ac:dyDescent="0.3">
      <c r="A21" s="9" t="str">
        <f t="shared" si="0"/>
        <v>Profit F&amp;I used</v>
      </c>
      <c r="B21" s="30" t="s">
        <v>38</v>
      </c>
      <c r="C21" s="31">
        <f>+SUM(D21:V21)</f>
        <v>5166264.1099999957</v>
      </c>
      <c r="D21" s="32">
        <v>415527.32999999967</v>
      </c>
      <c r="E21" s="32">
        <v>14587.77</v>
      </c>
      <c r="F21" s="32">
        <v>0</v>
      </c>
      <c r="G21" s="32">
        <v>304344.4499999999</v>
      </c>
      <c r="H21" s="32">
        <v>301664.62999999977</v>
      </c>
      <c r="I21" s="32">
        <v>527916.90999999968</v>
      </c>
      <c r="J21" s="32">
        <v>449436.78999999963</v>
      </c>
      <c r="K21" s="32">
        <v>111024.75</v>
      </c>
      <c r="L21" s="32">
        <v>405978.29000000004</v>
      </c>
      <c r="M21" s="32">
        <v>373051.20999999979</v>
      </c>
      <c r="N21" s="32">
        <v>278883.60999999975</v>
      </c>
      <c r="O21" s="32">
        <v>793535.94999999891</v>
      </c>
      <c r="P21" s="32">
        <v>428389.63999999943</v>
      </c>
      <c r="Q21" s="32">
        <v>319484.65999999992</v>
      </c>
      <c r="R21" s="32">
        <v>87134.779999999679</v>
      </c>
      <c r="S21" s="32">
        <v>355303.33999999979</v>
      </c>
      <c r="T21" s="32">
        <v>0</v>
      </c>
      <c r="U21" s="32">
        <v>0</v>
      </c>
      <c r="V21" s="32">
        <v>0</v>
      </c>
      <c r="AA21" s="8"/>
    </row>
    <row r="22" spans="1:27" ht="15.75" hidden="1" outlineLevel="1" thickBot="1" x14ac:dyDescent="0.3">
      <c r="A22" s="9"/>
      <c r="B22" s="16" t="s">
        <v>39</v>
      </c>
      <c r="C22" s="36">
        <f>+SUM(C18:C21)</f>
        <v>15078565.269999983</v>
      </c>
      <c r="D22" s="37">
        <f>+SUM(D18:D21)</f>
        <v>1635574.8799999978</v>
      </c>
      <c r="E22" s="37">
        <f t="shared" ref="E22:V22" si="5">+SUM(E18:E21)</f>
        <v>14061.350000000011</v>
      </c>
      <c r="F22" s="37">
        <f t="shared" si="5"/>
        <v>0</v>
      </c>
      <c r="G22" s="37">
        <f t="shared" si="5"/>
        <v>843867.18999999878</v>
      </c>
      <c r="H22" s="37">
        <f t="shared" si="5"/>
        <v>1196995.5599999984</v>
      </c>
      <c r="I22" s="37">
        <f t="shared" si="5"/>
        <v>1101908.9799999991</v>
      </c>
      <c r="J22" s="37">
        <f t="shared" si="5"/>
        <v>1056441.1499999992</v>
      </c>
      <c r="K22" s="37">
        <f t="shared" si="5"/>
        <v>299198.52999999933</v>
      </c>
      <c r="L22" s="37">
        <f t="shared" si="5"/>
        <v>1047511.9699999987</v>
      </c>
      <c r="M22" s="37">
        <f t="shared" si="5"/>
        <v>1021487.0399999986</v>
      </c>
      <c r="N22" s="37">
        <f t="shared" si="5"/>
        <v>644400.41999999923</v>
      </c>
      <c r="O22" s="37">
        <f t="shared" si="5"/>
        <v>2277892.7299999986</v>
      </c>
      <c r="P22" s="37">
        <f t="shared" si="5"/>
        <v>1251662.7499999984</v>
      </c>
      <c r="Q22" s="37">
        <f t="shared" si="5"/>
        <v>1426633.2299999988</v>
      </c>
      <c r="R22" s="37">
        <f t="shared" si="5"/>
        <v>484440.23999999848</v>
      </c>
      <c r="S22" s="37">
        <f t="shared" si="5"/>
        <v>776489.24999999919</v>
      </c>
      <c r="T22" s="36">
        <f t="shared" si="5"/>
        <v>0</v>
      </c>
      <c r="U22" s="36">
        <f t="shared" si="5"/>
        <v>0</v>
      </c>
      <c r="V22" s="36">
        <f t="shared" si="5"/>
        <v>0</v>
      </c>
      <c r="AA22" s="8"/>
    </row>
    <row r="23" spans="1:27" ht="15.75" hidden="1" outlineLevel="1" thickBot="1" x14ac:dyDescent="0.3">
      <c r="A23" s="9"/>
      <c r="B23" s="27" t="s">
        <v>40</v>
      </c>
      <c r="C23" s="28">
        <f>+C22+C17</f>
        <v>45883112.129999943</v>
      </c>
      <c r="D23" s="38">
        <f t="shared" ref="D23:S23" si="6">+D22+D17</f>
        <v>5380316.1399999913</v>
      </c>
      <c r="E23" s="38">
        <f t="shared" si="6"/>
        <v>3515.7300000002488</v>
      </c>
      <c r="F23" s="38">
        <f t="shared" si="6"/>
        <v>0</v>
      </c>
      <c r="G23" s="38">
        <f t="shared" si="6"/>
        <v>1474488.9499999979</v>
      </c>
      <c r="H23" s="38">
        <f t="shared" si="6"/>
        <v>3599776.7899999926</v>
      </c>
      <c r="I23" s="38">
        <f t="shared" si="6"/>
        <v>3025075.799999997</v>
      </c>
      <c r="J23" s="38">
        <f t="shared" si="6"/>
        <v>3401449.6499999957</v>
      </c>
      <c r="K23" s="38">
        <f t="shared" si="6"/>
        <v>1096300.2399999981</v>
      </c>
      <c r="L23" s="38">
        <f t="shared" si="6"/>
        <v>2763062.9299999988</v>
      </c>
      <c r="M23" s="38">
        <f t="shared" si="6"/>
        <v>2752905.5399999977</v>
      </c>
      <c r="N23" s="38">
        <f t="shared" si="6"/>
        <v>2004940.5299999977</v>
      </c>
      <c r="O23" s="38">
        <f t="shared" si="6"/>
        <v>8422404.7599999998</v>
      </c>
      <c r="P23" s="38">
        <f t="shared" si="6"/>
        <v>4004953.5199999958</v>
      </c>
      <c r="Q23" s="38">
        <f t="shared" si="6"/>
        <v>3834157.4799999949</v>
      </c>
      <c r="R23" s="38">
        <f t="shared" si="6"/>
        <v>2149037.6399999973</v>
      </c>
      <c r="S23" s="38">
        <f t="shared" si="6"/>
        <v>1970726.4299999988</v>
      </c>
      <c r="T23" s="28"/>
      <c r="U23" s="28"/>
      <c r="V23" s="28"/>
      <c r="AA23" s="8"/>
    </row>
    <row r="24" spans="1:27" ht="15.75" hidden="1" outlineLevel="1" collapsed="1" thickBot="1" x14ac:dyDescent="0.3">
      <c r="A24" s="9"/>
      <c r="B24" s="39" t="s">
        <v>41</v>
      </c>
      <c r="C24" s="40">
        <f>IFERROR(C13/C5,0)</f>
        <v>2722.3624954665884</v>
      </c>
      <c r="D24" s="41">
        <f t="shared" ref="D24:S24" si="7">IFERROR(D13/D5,0)</f>
        <v>2386.0241701244754</v>
      </c>
      <c r="E24" s="41">
        <f t="shared" si="7"/>
        <v>-1434.0616666666567</v>
      </c>
      <c r="F24" s="41">
        <f t="shared" si="7"/>
        <v>0</v>
      </c>
      <c r="G24" s="41">
        <f t="shared" si="7"/>
        <v>817.81778145695171</v>
      </c>
      <c r="H24" s="41">
        <f t="shared" si="7"/>
        <v>2552.271257668704</v>
      </c>
      <c r="I24" s="41">
        <f t="shared" si="7"/>
        <v>2211.3715302491073</v>
      </c>
      <c r="J24" s="41">
        <f t="shared" si="7"/>
        <v>3168.6180199999949</v>
      </c>
      <c r="K24" s="41">
        <f t="shared" si="7"/>
        <v>2113.8945652173879</v>
      </c>
      <c r="L24" s="41">
        <f t="shared" si="7"/>
        <v>2821.5112935323377</v>
      </c>
      <c r="M24" s="41">
        <f t="shared" si="7"/>
        <v>2802.2468372093017</v>
      </c>
      <c r="N24" s="41">
        <f t="shared" si="7"/>
        <v>3958.8485462555004</v>
      </c>
      <c r="O24" s="41">
        <f t="shared" si="7"/>
        <v>3047.0066812865502</v>
      </c>
      <c r="P24" s="41">
        <f t="shared" si="7"/>
        <v>2575.8870354906021</v>
      </c>
      <c r="Q24" s="41">
        <f t="shared" si="7"/>
        <v>3456.4038799999917</v>
      </c>
      <c r="R24" s="41">
        <f t="shared" si="7"/>
        <v>3274.4941719745211</v>
      </c>
      <c r="S24" s="42">
        <f t="shared" si="7"/>
        <v>2930.8329302325569</v>
      </c>
      <c r="T24" s="29">
        <f>IFERROR(T13/T5,0)</f>
        <v>0</v>
      </c>
      <c r="U24" s="38">
        <f>IFERROR(U13/U5,0)</f>
        <v>0</v>
      </c>
      <c r="V24" s="38">
        <f>IFERROR(V13/V5,0)</f>
        <v>0</v>
      </c>
      <c r="AA24" s="8"/>
    </row>
    <row r="25" spans="1:27" ht="15.75" hidden="1" outlineLevel="1" thickBot="1" x14ac:dyDescent="0.3">
      <c r="A25" s="9"/>
      <c r="B25" s="43" t="s">
        <v>42</v>
      </c>
      <c r="C25" s="31">
        <f>IFERROR(C15/C6,0)</f>
        <v>3027.6201694915217</v>
      </c>
      <c r="D25" s="44">
        <f t="shared" ref="D25:S25" si="8">IFERROR(D15/D6,0)</f>
        <v>1472.0513999999969</v>
      </c>
      <c r="E25" s="44">
        <f t="shared" si="8"/>
        <v>0</v>
      </c>
      <c r="F25" s="44">
        <f t="shared" si="8"/>
        <v>0</v>
      </c>
      <c r="G25" s="44">
        <f t="shared" si="8"/>
        <v>422.69857142857285</v>
      </c>
      <c r="H25" s="44">
        <f t="shared" si="8"/>
        <v>2021.5294736842072</v>
      </c>
      <c r="I25" s="44">
        <f t="shared" si="8"/>
        <v>1978.3784999999996</v>
      </c>
      <c r="J25" s="44">
        <f t="shared" si="8"/>
        <v>777.51428571428494</v>
      </c>
      <c r="K25" s="44">
        <f t="shared" si="8"/>
        <v>-450.99409090909307</v>
      </c>
      <c r="L25" s="44">
        <f t="shared" si="8"/>
        <v>-345.40896551724211</v>
      </c>
      <c r="M25" s="44">
        <f t="shared" si="8"/>
        <v>2769.4544444444364</v>
      </c>
      <c r="N25" s="44">
        <f t="shared" si="8"/>
        <v>2881.0099999999902</v>
      </c>
      <c r="O25" s="44">
        <f t="shared" si="8"/>
        <v>0</v>
      </c>
      <c r="P25" s="44">
        <f t="shared" si="8"/>
        <v>6381.2675423728761</v>
      </c>
      <c r="Q25" s="44">
        <f t="shared" si="8"/>
        <v>4219.9593749999913</v>
      </c>
      <c r="R25" s="44">
        <f t="shared" si="8"/>
        <v>3102.462244897953</v>
      </c>
      <c r="S25" s="45">
        <f t="shared" si="8"/>
        <v>-0.139999999999986</v>
      </c>
      <c r="T25" s="32">
        <f>IFERROR(T15/T6,0)</f>
        <v>0</v>
      </c>
      <c r="U25" s="44">
        <f>IFERROR(U15/U6,0)</f>
        <v>0</v>
      </c>
      <c r="V25" s="44">
        <f>IFERROR(V15/V6,0)</f>
        <v>0</v>
      </c>
      <c r="AA25" s="8"/>
    </row>
    <row r="26" spans="1:27" ht="15.75" hidden="1" outlineLevel="1" thickBot="1" x14ac:dyDescent="0.3">
      <c r="A26" s="9"/>
      <c r="B26" s="43" t="s">
        <v>43</v>
      </c>
      <c r="C26" s="31">
        <f>IFERROR(C16/C5,0)</f>
        <v>1307.7254010322213</v>
      </c>
      <c r="D26" s="44">
        <f t="shared" ref="D26:S26" si="9">IFERROR(D16/D5,0)</f>
        <v>1201.6217842323642</v>
      </c>
      <c r="E26" s="44">
        <f t="shared" si="9"/>
        <v>943.24083333333328</v>
      </c>
      <c r="F26" s="44">
        <f t="shared" si="9"/>
        <v>0</v>
      </c>
      <c r="G26" s="44">
        <f t="shared" si="9"/>
        <v>1106.0226490066209</v>
      </c>
      <c r="H26" s="44">
        <f t="shared" si="9"/>
        <v>943.27687116564346</v>
      </c>
      <c r="I26" s="44">
        <f t="shared" si="9"/>
        <v>976.92151245551565</v>
      </c>
      <c r="J26" s="44">
        <f t="shared" si="9"/>
        <v>1269.336339999998</v>
      </c>
      <c r="K26" s="44">
        <f t="shared" si="9"/>
        <v>1248.8157826086945</v>
      </c>
      <c r="L26" s="44">
        <f t="shared" si="9"/>
        <v>1331.5223631840799</v>
      </c>
      <c r="M26" s="44">
        <f t="shared" si="9"/>
        <v>995.40569767441787</v>
      </c>
      <c r="N26" s="44">
        <f t="shared" si="9"/>
        <v>1911.8392511013217</v>
      </c>
      <c r="O26" s="44">
        <f t="shared" si="9"/>
        <v>1445.1297222222222</v>
      </c>
      <c r="P26" s="44">
        <f t="shared" si="9"/>
        <v>1607.0033611691019</v>
      </c>
      <c r="Q26" s="44">
        <f t="shared" si="9"/>
        <v>1174.06032</v>
      </c>
      <c r="R26" s="44">
        <f t="shared" si="9"/>
        <v>1521.7427388535016</v>
      </c>
      <c r="S26" s="45">
        <f t="shared" si="9"/>
        <v>2629.2454418604648</v>
      </c>
      <c r="T26" s="35">
        <f>IFERROR(T16/T5,0)</f>
        <v>0</v>
      </c>
      <c r="U26" s="46">
        <f>IFERROR(U16/U5,0)</f>
        <v>0</v>
      </c>
      <c r="V26" s="46">
        <f>IFERROR(V16/V5,0)</f>
        <v>0</v>
      </c>
      <c r="AA26" s="8"/>
    </row>
    <row r="27" spans="1:27" ht="15.75" hidden="1" outlineLevel="1" thickBot="1" x14ac:dyDescent="0.3">
      <c r="A27" s="9"/>
      <c r="B27" s="47" t="s">
        <v>44</v>
      </c>
      <c r="C27" s="48">
        <f>SUM(C24,C26)</f>
        <v>4030.0878964988096</v>
      </c>
      <c r="D27" s="49">
        <f t="shared" ref="D27:V27" si="10">SUM(D24,D26)</f>
        <v>3587.6459543568399</v>
      </c>
      <c r="E27" s="49">
        <f t="shared" si="10"/>
        <v>-490.82083333332343</v>
      </c>
      <c r="F27" s="49">
        <f t="shared" si="10"/>
        <v>0</v>
      </c>
      <c r="G27" s="49">
        <f t="shared" si="10"/>
        <v>1923.8404304635726</v>
      </c>
      <c r="H27" s="49">
        <f t="shared" si="10"/>
        <v>3495.5481288343476</v>
      </c>
      <c r="I27" s="49">
        <f t="shared" si="10"/>
        <v>3188.2930427046231</v>
      </c>
      <c r="J27" s="49">
        <f t="shared" si="10"/>
        <v>4437.9543599999924</v>
      </c>
      <c r="K27" s="49">
        <f t="shared" si="10"/>
        <v>3362.7103478260824</v>
      </c>
      <c r="L27" s="49">
        <f t="shared" si="10"/>
        <v>4153.0336567164177</v>
      </c>
      <c r="M27" s="49">
        <f t="shared" si="10"/>
        <v>3797.6525348837195</v>
      </c>
      <c r="N27" s="49">
        <f t="shared" si="10"/>
        <v>5870.6877973568226</v>
      </c>
      <c r="O27" s="49">
        <f t="shared" si="10"/>
        <v>4492.1364035087727</v>
      </c>
      <c r="P27" s="49">
        <f t="shared" si="10"/>
        <v>4182.8903966597045</v>
      </c>
      <c r="Q27" s="49">
        <f t="shared" si="10"/>
        <v>4630.4641999999913</v>
      </c>
      <c r="R27" s="49">
        <f t="shared" si="10"/>
        <v>4796.2369108280227</v>
      </c>
      <c r="S27" s="50">
        <f t="shared" si="10"/>
        <v>5560.0783720930212</v>
      </c>
      <c r="T27" s="51">
        <f t="shared" si="10"/>
        <v>0</v>
      </c>
      <c r="U27" s="37">
        <f t="shared" si="10"/>
        <v>0</v>
      </c>
      <c r="V27" s="37">
        <f t="shared" si="10"/>
        <v>0</v>
      </c>
      <c r="AA27" s="8"/>
    </row>
    <row r="28" spans="1:27" collapsed="1" x14ac:dyDescent="0.25">
      <c r="A28" s="9"/>
      <c r="B28" s="52" t="s">
        <v>45</v>
      </c>
      <c r="C28" s="53">
        <f>IFERROR(C17/C7,0)</f>
        <v>4062.8523951463944</v>
      </c>
      <c r="D28" s="54">
        <f t="shared" ref="D28:S31" si="11">IFERROR(D17/D7,0)</f>
        <v>3693.0387179487111</v>
      </c>
      <c r="E28" s="54">
        <f t="shared" si="11"/>
        <v>-439.40083333332342</v>
      </c>
      <c r="F28" s="54">
        <f t="shared" si="11"/>
        <v>0</v>
      </c>
      <c r="G28" s="54">
        <f t="shared" si="11"/>
        <v>2040.847119741097</v>
      </c>
      <c r="H28" s="54">
        <f t="shared" si="11"/>
        <v>3482.2916376811513</v>
      </c>
      <c r="I28" s="54">
        <f t="shared" si="11"/>
        <v>3304.410343642608</v>
      </c>
      <c r="J28" s="54">
        <f t="shared" si="11"/>
        <v>4383.1934579439185</v>
      </c>
      <c r="K28" s="54">
        <f t="shared" si="11"/>
        <v>3163.1020238095189</v>
      </c>
      <c r="L28" s="54">
        <f t="shared" si="11"/>
        <v>3980.3966589327147</v>
      </c>
      <c r="M28" s="54">
        <f t="shared" si="11"/>
        <v>3788.6619256017484</v>
      </c>
      <c r="N28" s="54">
        <f t="shared" si="11"/>
        <v>5967.2811842105193</v>
      </c>
      <c r="O28" s="54">
        <f t="shared" si="11"/>
        <v>4491.6023611111123</v>
      </c>
      <c r="P28" s="54">
        <f t="shared" si="11"/>
        <v>4611.877336683413</v>
      </c>
      <c r="Q28" s="54">
        <f t="shared" si="11"/>
        <v>4665.7446705426273</v>
      </c>
      <c r="R28" s="54">
        <f t="shared" si="11"/>
        <v>4585.6677685950381</v>
      </c>
      <c r="S28" s="55">
        <f t="shared" si="11"/>
        <v>5528.8758333333317</v>
      </c>
      <c r="T28" s="56">
        <f>IFERROR(T17/T7,0)</f>
        <v>0</v>
      </c>
      <c r="U28" s="36">
        <f>IFERROR(U17/U7,0)</f>
        <v>0</v>
      </c>
      <c r="V28" s="36">
        <f>IFERROR(V17/V7,0)</f>
        <v>0</v>
      </c>
      <c r="AA28" s="8"/>
    </row>
    <row r="29" spans="1:27" hidden="1" outlineLevel="1" x14ac:dyDescent="0.25">
      <c r="A29" s="9"/>
      <c r="B29" s="43" t="s">
        <v>46</v>
      </c>
      <c r="C29" s="31">
        <f>IFERROR(C18/C8,0)</f>
        <v>1975.6863943505932</v>
      </c>
      <c r="D29" s="44">
        <f t="shared" si="11"/>
        <v>1982.2457106598952</v>
      </c>
      <c r="E29" s="44">
        <f t="shared" si="11"/>
        <v>2461.4266666666667</v>
      </c>
      <c r="F29" s="44">
        <f t="shared" si="11"/>
        <v>0</v>
      </c>
      <c r="G29" s="44">
        <f t="shared" si="11"/>
        <v>2041.3286956521702</v>
      </c>
      <c r="H29" s="44">
        <f t="shared" si="11"/>
        <v>2694.8666386554587</v>
      </c>
      <c r="I29" s="44">
        <f t="shared" si="11"/>
        <v>1436.2288715953289</v>
      </c>
      <c r="J29" s="44">
        <f t="shared" si="11"/>
        <v>1777.9630258302579</v>
      </c>
      <c r="K29" s="44">
        <f t="shared" si="11"/>
        <v>1375.0427956989211</v>
      </c>
      <c r="L29" s="44">
        <f t="shared" si="11"/>
        <v>2097.3318773946326</v>
      </c>
      <c r="M29" s="44">
        <f t="shared" si="11"/>
        <v>1603.9971052631556</v>
      </c>
      <c r="N29" s="44">
        <f t="shared" si="11"/>
        <v>1793.237134146339</v>
      </c>
      <c r="O29" s="44">
        <f t="shared" si="11"/>
        <v>1801.4321828358211</v>
      </c>
      <c r="P29" s="44">
        <f t="shared" si="11"/>
        <v>2158.9275812274336</v>
      </c>
      <c r="Q29" s="44">
        <f t="shared" si="11"/>
        <v>3070.9823404255294</v>
      </c>
      <c r="R29" s="44">
        <f t="shared" si="11"/>
        <v>3573.1213043478165</v>
      </c>
      <c r="S29" s="45">
        <f t="shared" si="11"/>
        <v>1354.9029090909073</v>
      </c>
      <c r="T29" s="32">
        <f>IFERROR(T18/T5,0)</f>
        <v>0</v>
      </c>
      <c r="U29" s="44">
        <f>IFERROR(U18/U5,0)</f>
        <v>0</v>
      </c>
      <c r="V29" s="44">
        <f>IFERROR(V18/V5,0)</f>
        <v>0</v>
      </c>
      <c r="AA29" s="8"/>
    </row>
    <row r="30" spans="1:27" hidden="1" outlineLevel="1" x14ac:dyDescent="0.25">
      <c r="A30" s="9"/>
      <c r="B30" s="43" t="s">
        <v>47</v>
      </c>
      <c r="C30" s="31">
        <f>IFERROR(C19/C9,0)</f>
        <v>0</v>
      </c>
      <c r="D30" s="44">
        <f t="shared" si="11"/>
        <v>0</v>
      </c>
      <c r="E30" s="44">
        <f t="shared" si="11"/>
        <v>0</v>
      </c>
      <c r="F30" s="44">
        <f t="shared" si="11"/>
        <v>0</v>
      </c>
      <c r="G30" s="44">
        <f t="shared" si="11"/>
        <v>0</v>
      </c>
      <c r="H30" s="44">
        <f t="shared" si="11"/>
        <v>0</v>
      </c>
      <c r="I30" s="44">
        <f t="shared" si="11"/>
        <v>0</v>
      </c>
      <c r="J30" s="44">
        <f t="shared" si="11"/>
        <v>0</v>
      </c>
      <c r="K30" s="44">
        <f t="shared" si="11"/>
        <v>0</v>
      </c>
      <c r="L30" s="44">
        <f t="shared" si="11"/>
        <v>0</v>
      </c>
      <c r="M30" s="44">
        <f t="shared" si="11"/>
        <v>0</v>
      </c>
      <c r="N30" s="44">
        <f t="shared" si="11"/>
        <v>0</v>
      </c>
      <c r="O30" s="44">
        <f t="shared" si="11"/>
        <v>0</v>
      </c>
      <c r="P30" s="44">
        <f t="shared" si="11"/>
        <v>0</v>
      </c>
      <c r="Q30" s="44">
        <f t="shared" si="11"/>
        <v>0</v>
      </c>
      <c r="R30" s="44">
        <f t="shared" si="11"/>
        <v>0</v>
      </c>
      <c r="S30" s="45">
        <f t="shared" si="11"/>
        <v>0</v>
      </c>
      <c r="T30" s="32">
        <f t="shared" ref="T30:V31" si="12">IFERROR(T19/T9,0)</f>
        <v>0</v>
      </c>
      <c r="U30" s="44">
        <f t="shared" si="12"/>
        <v>0</v>
      </c>
      <c r="V30" s="44">
        <f t="shared" si="12"/>
        <v>0</v>
      </c>
      <c r="AA30" s="8"/>
    </row>
    <row r="31" spans="1:27" hidden="1" outlineLevel="1" x14ac:dyDescent="0.25">
      <c r="A31" s="9"/>
      <c r="B31" s="43" t="s">
        <v>48</v>
      </c>
      <c r="C31" s="31">
        <f>IFERROR(C20/C10,0)</f>
        <v>767.43027348066164</v>
      </c>
      <c r="D31" s="44">
        <f t="shared" si="11"/>
        <v>842.69239923224484</v>
      </c>
      <c r="E31" s="44">
        <f t="shared" si="11"/>
        <v>-728.3323809523805</v>
      </c>
      <c r="F31" s="44">
        <f t="shared" si="11"/>
        <v>0</v>
      </c>
      <c r="G31" s="44">
        <f t="shared" si="11"/>
        <v>991.25169491525151</v>
      </c>
      <c r="H31" s="44">
        <f t="shared" si="11"/>
        <v>1181.1752093023231</v>
      </c>
      <c r="I31" s="44">
        <f t="shared" si="11"/>
        <v>642.26097178683301</v>
      </c>
      <c r="J31" s="44">
        <f t="shared" si="11"/>
        <v>424.32671186440524</v>
      </c>
      <c r="K31" s="44">
        <f t="shared" si="11"/>
        <v>430.67714285714072</v>
      </c>
      <c r="L31" s="44">
        <f t="shared" si="11"/>
        <v>356.55325757575611</v>
      </c>
      <c r="M31" s="44">
        <f t="shared" si="11"/>
        <v>690.21763948497676</v>
      </c>
      <c r="N31" s="44">
        <f t="shared" si="11"/>
        <v>425.15428571428481</v>
      </c>
      <c r="O31" s="44">
        <f t="shared" si="11"/>
        <v>1223.559268867923</v>
      </c>
      <c r="P31" s="44">
        <f t="shared" si="11"/>
        <v>866.3468076923067</v>
      </c>
      <c r="Q31" s="44">
        <f t="shared" si="11"/>
        <v>751.18862928348778</v>
      </c>
      <c r="R31" s="44">
        <f t="shared" si="11"/>
        <v>978.74739495798019</v>
      </c>
      <c r="S31" s="45">
        <f t="shared" si="11"/>
        <v>585.39289156626376</v>
      </c>
      <c r="T31" s="32">
        <f t="shared" si="12"/>
        <v>0</v>
      </c>
      <c r="U31" s="44">
        <f t="shared" si="12"/>
        <v>0</v>
      </c>
      <c r="V31" s="44">
        <f t="shared" si="12"/>
        <v>0</v>
      </c>
      <c r="AA31" s="8"/>
    </row>
    <row r="32" spans="1:27" hidden="1" outlineLevel="1" x14ac:dyDescent="0.25">
      <c r="A32" s="9"/>
      <c r="B32" s="43" t="s">
        <v>49</v>
      </c>
      <c r="C32" s="31">
        <f>IFERROR(C21/C8,0)</f>
        <v>1430.7017751315414</v>
      </c>
      <c r="D32" s="44">
        <f t="shared" ref="D32:S32" si="13">IFERROR(D21/D8,0)</f>
        <v>1054.6378934010145</v>
      </c>
      <c r="E32" s="44">
        <f t="shared" si="13"/>
        <v>2431.2950000000001</v>
      </c>
      <c r="F32" s="44">
        <f t="shared" si="13"/>
        <v>0</v>
      </c>
      <c r="G32" s="44">
        <f t="shared" si="13"/>
        <v>1470.2630434782604</v>
      </c>
      <c r="H32" s="44">
        <f t="shared" si="13"/>
        <v>1267.4984453781503</v>
      </c>
      <c r="I32" s="44">
        <f t="shared" si="13"/>
        <v>2054.1514007782089</v>
      </c>
      <c r="J32" s="44">
        <f t="shared" si="13"/>
        <v>1658.4383394833935</v>
      </c>
      <c r="K32" s="44">
        <f t="shared" si="13"/>
        <v>1193.8145161290322</v>
      </c>
      <c r="L32" s="44">
        <f t="shared" si="13"/>
        <v>1555.4723754789272</v>
      </c>
      <c r="M32" s="44">
        <f t="shared" si="13"/>
        <v>1227.1421381578941</v>
      </c>
      <c r="N32" s="44">
        <f t="shared" si="13"/>
        <v>1700.5098170731692</v>
      </c>
      <c r="O32" s="44">
        <f t="shared" si="13"/>
        <v>1480.4775186567144</v>
      </c>
      <c r="P32" s="44">
        <f t="shared" si="13"/>
        <v>1546.5329963898896</v>
      </c>
      <c r="Q32" s="44">
        <f t="shared" si="13"/>
        <v>1132.9243262411344</v>
      </c>
      <c r="R32" s="44">
        <f t="shared" si="13"/>
        <v>1894.23434782608</v>
      </c>
      <c r="S32" s="45">
        <f t="shared" si="13"/>
        <v>1292.0121454545447</v>
      </c>
      <c r="T32" s="32">
        <f>IFERROR(T21/T8,0)</f>
        <v>0</v>
      </c>
      <c r="U32" s="44">
        <f>IFERROR(U21/U8,0)</f>
        <v>0</v>
      </c>
      <c r="V32" s="44">
        <f>IFERROR(V21/V8,0)</f>
        <v>0</v>
      </c>
      <c r="AA32" s="8"/>
    </row>
    <row r="33" spans="1:27" hidden="1" outlineLevel="1" x14ac:dyDescent="0.25">
      <c r="A33" s="9"/>
      <c r="B33" s="57" t="s">
        <v>50</v>
      </c>
      <c r="C33" s="34">
        <f>SUM(C29,C32)</f>
        <v>3406.3881694821348</v>
      </c>
      <c r="D33" s="46">
        <f t="shared" ref="D33:V33" si="14">SUM(D29,D32)</f>
        <v>3036.8836040609094</v>
      </c>
      <c r="E33" s="46">
        <f t="shared" si="14"/>
        <v>4892.7216666666664</v>
      </c>
      <c r="F33" s="46">
        <f t="shared" si="14"/>
        <v>0</v>
      </c>
      <c r="G33" s="46">
        <f t="shared" si="14"/>
        <v>3511.5917391304306</v>
      </c>
      <c r="H33" s="46">
        <f t="shared" si="14"/>
        <v>3962.365084033609</v>
      </c>
      <c r="I33" s="46">
        <f t="shared" si="14"/>
        <v>3490.380272373538</v>
      </c>
      <c r="J33" s="46">
        <f t="shared" si="14"/>
        <v>3436.4013653136517</v>
      </c>
      <c r="K33" s="46">
        <f t="shared" si="14"/>
        <v>2568.8573118279533</v>
      </c>
      <c r="L33" s="46">
        <f t="shared" si="14"/>
        <v>3652.8042528735596</v>
      </c>
      <c r="M33" s="46">
        <f t="shared" si="14"/>
        <v>2831.1392434210497</v>
      </c>
      <c r="N33" s="46">
        <f t="shared" si="14"/>
        <v>3493.7469512195084</v>
      </c>
      <c r="O33" s="46">
        <f t="shared" si="14"/>
        <v>3281.9097014925355</v>
      </c>
      <c r="P33" s="46">
        <f t="shared" si="14"/>
        <v>3705.460577617323</v>
      </c>
      <c r="Q33" s="46">
        <f t="shared" si="14"/>
        <v>4203.906666666664</v>
      </c>
      <c r="R33" s="46">
        <f t="shared" si="14"/>
        <v>5467.3556521738965</v>
      </c>
      <c r="S33" s="58">
        <f t="shared" si="14"/>
        <v>2646.9150545454522</v>
      </c>
      <c r="T33" s="51">
        <f t="shared" si="14"/>
        <v>0</v>
      </c>
      <c r="U33" s="37">
        <f t="shared" si="14"/>
        <v>0</v>
      </c>
      <c r="V33" s="36">
        <f t="shared" si="14"/>
        <v>0</v>
      </c>
      <c r="AA33" s="8"/>
    </row>
    <row r="34" spans="1:27" collapsed="1" x14ac:dyDescent="0.25">
      <c r="A34" s="9"/>
      <c r="B34" s="59" t="s">
        <v>51</v>
      </c>
      <c r="C34" s="36">
        <f>IFERROR(C22/C11,0)</f>
        <v>2085.2669437145601</v>
      </c>
      <c r="D34" s="37">
        <f t="shared" ref="D34:S35" si="15">IFERROR(D22/D11,0)</f>
        <v>1787.5135300546424</v>
      </c>
      <c r="E34" s="37">
        <f t="shared" si="15"/>
        <v>520.79074074074117</v>
      </c>
      <c r="F34" s="37">
        <f t="shared" si="15"/>
        <v>0</v>
      </c>
      <c r="G34" s="37">
        <f t="shared" si="15"/>
        <v>2596.5144307692271</v>
      </c>
      <c r="H34" s="37">
        <f t="shared" si="15"/>
        <v>2642.3743046357581</v>
      </c>
      <c r="I34" s="37">
        <f t="shared" si="15"/>
        <v>1913.0364236111095</v>
      </c>
      <c r="J34" s="37">
        <f t="shared" si="15"/>
        <v>1866.5037985865711</v>
      </c>
      <c r="K34" s="37">
        <f t="shared" si="15"/>
        <v>1284.1138626609413</v>
      </c>
      <c r="L34" s="37">
        <f t="shared" si="15"/>
        <v>1995.2608952380926</v>
      </c>
      <c r="M34" s="37">
        <f t="shared" si="15"/>
        <v>1902.2105027932935</v>
      </c>
      <c r="N34" s="37">
        <f t="shared" si="15"/>
        <v>1940.9651204819254</v>
      </c>
      <c r="O34" s="37">
        <f t="shared" si="15"/>
        <v>2372.8049270833317</v>
      </c>
      <c r="P34" s="37">
        <f t="shared" si="15"/>
        <v>2330.8431098696433</v>
      </c>
      <c r="Q34" s="37">
        <f t="shared" si="15"/>
        <v>2365.8925870646744</v>
      </c>
      <c r="R34" s="37">
        <f t="shared" si="15"/>
        <v>1705.7754929577411</v>
      </c>
      <c r="S34" s="60">
        <f t="shared" si="15"/>
        <v>2168.9643854748579</v>
      </c>
      <c r="T34" s="56">
        <f>IFERROR(T22/T11,0)</f>
        <v>0</v>
      </c>
      <c r="U34" s="36">
        <f>IFERROR(U22/U11,0)</f>
        <v>0</v>
      </c>
      <c r="V34" s="36">
        <f>IFERROR(V22/V11,0)</f>
        <v>0</v>
      </c>
      <c r="AA34" s="8"/>
    </row>
    <row r="35" spans="1:27" ht="15.75" thickBot="1" x14ac:dyDescent="0.3">
      <c r="A35" s="9"/>
      <c r="B35" s="61" t="s">
        <v>52</v>
      </c>
      <c r="C35" s="62">
        <f>IFERROR(C23/C12,0)</f>
        <v>3097.4895112401232</v>
      </c>
      <c r="D35" s="62">
        <f t="shared" si="15"/>
        <v>2789.1737376879169</v>
      </c>
      <c r="E35" s="62">
        <f t="shared" si="15"/>
        <v>68.935882352946052</v>
      </c>
      <c r="F35" s="62">
        <f t="shared" si="15"/>
        <v>0</v>
      </c>
      <c r="G35" s="62">
        <f t="shared" si="15"/>
        <v>2325.6923501577253</v>
      </c>
      <c r="H35" s="62">
        <f t="shared" si="15"/>
        <v>3149.4110148731343</v>
      </c>
      <c r="I35" s="62">
        <f t="shared" si="15"/>
        <v>2612.3279792746089</v>
      </c>
      <c r="J35" s="62">
        <f t="shared" si="15"/>
        <v>3089.4183923705682</v>
      </c>
      <c r="K35" s="62">
        <f t="shared" si="15"/>
        <v>2260.4128659793778</v>
      </c>
      <c r="L35" s="62">
        <f t="shared" si="15"/>
        <v>2890.2331903765676</v>
      </c>
      <c r="M35" s="62">
        <f t="shared" si="15"/>
        <v>2769.5226760563355</v>
      </c>
      <c r="N35" s="62">
        <f t="shared" si="15"/>
        <v>3580.2509464285672</v>
      </c>
      <c r="O35" s="62">
        <f t="shared" si="15"/>
        <v>3617.8714604810993</v>
      </c>
      <c r="P35" s="62">
        <f t="shared" si="15"/>
        <v>3531.7050440917069</v>
      </c>
      <c r="Q35" s="62">
        <f t="shared" si="15"/>
        <v>3426.414191242176</v>
      </c>
      <c r="R35" s="62">
        <f t="shared" si="15"/>
        <v>3321.5419474497639</v>
      </c>
      <c r="S35" s="63">
        <f t="shared" si="15"/>
        <v>3433.321306620207</v>
      </c>
      <c r="T35" s="7"/>
      <c r="U35" s="7"/>
      <c r="V35" s="7"/>
      <c r="AA35" s="8"/>
    </row>
    <row r="36" spans="1:27" ht="5.25" customHeight="1" x14ac:dyDescent="0.25"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7" x14ac:dyDescent="0.25">
      <c r="B37" s="5">
        <v>2024</v>
      </c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 t="s">
        <v>18</v>
      </c>
      <c r="U37" s="5" t="s">
        <v>19</v>
      </c>
      <c r="V37" s="5" t="s">
        <v>20</v>
      </c>
    </row>
    <row r="38" spans="1:27" hidden="1" outlineLevel="1" x14ac:dyDescent="0.25">
      <c r="A38" s="9"/>
      <c r="B38" s="10" t="s">
        <v>21</v>
      </c>
      <c r="C38" s="11">
        <f>+SUM(D38:V38)</f>
        <v>6918</v>
      </c>
      <c r="D38" s="12">
        <v>976</v>
      </c>
      <c r="E38" s="12">
        <v>66</v>
      </c>
      <c r="F38" s="12">
        <v>0</v>
      </c>
      <c r="G38" s="12">
        <v>245</v>
      </c>
      <c r="H38" s="12">
        <v>713</v>
      </c>
      <c r="I38" s="12">
        <v>642</v>
      </c>
      <c r="J38" s="12">
        <v>479</v>
      </c>
      <c r="K38" s="12">
        <v>182</v>
      </c>
      <c r="L38" s="12">
        <v>350</v>
      </c>
      <c r="M38" s="12">
        <v>397</v>
      </c>
      <c r="N38" s="12">
        <v>205</v>
      </c>
      <c r="O38" s="12">
        <v>1299</v>
      </c>
      <c r="P38" s="12">
        <v>489</v>
      </c>
      <c r="Q38" s="12">
        <v>460</v>
      </c>
      <c r="R38" s="12">
        <v>187</v>
      </c>
      <c r="S38" s="12">
        <v>228</v>
      </c>
      <c r="T38" s="12"/>
      <c r="U38" s="12"/>
      <c r="V38" s="12"/>
      <c r="AA38" s="8"/>
    </row>
    <row r="39" spans="1:27" hidden="1" outlineLevel="1" x14ac:dyDescent="0.25">
      <c r="A39" s="9"/>
      <c r="B39" s="13" t="s">
        <v>22</v>
      </c>
      <c r="C39" s="14">
        <f>+SUM(D39:V39)</f>
        <v>467</v>
      </c>
      <c r="D39" s="15">
        <v>71</v>
      </c>
      <c r="E39" s="15">
        <v>7</v>
      </c>
      <c r="F39" s="15">
        <v>0</v>
      </c>
      <c r="G39" s="15">
        <v>25</v>
      </c>
      <c r="H39" s="15">
        <v>20</v>
      </c>
      <c r="I39" s="15">
        <v>11</v>
      </c>
      <c r="J39" s="15">
        <v>35</v>
      </c>
      <c r="K39" s="15">
        <v>13</v>
      </c>
      <c r="L39" s="15">
        <v>20</v>
      </c>
      <c r="M39" s="15">
        <v>19</v>
      </c>
      <c r="N39" s="15">
        <v>3</v>
      </c>
      <c r="O39" s="15">
        <v>0</v>
      </c>
      <c r="P39" s="15">
        <v>135</v>
      </c>
      <c r="Q39" s="15">
        <v>9</v>
      </c>
      <c r="R39" s="15">
        <v>94</v>
      </c>
      <c r="S39" s="15">
        <v>5</v>
      </c>
      <c r="T39" s="15"/>
      <c r="U39" s="15"/>
      <c r="V39" s="15"/>
      <c r="AA39" s="8"/>
    </row>
    <row r="40" spans="1:27" collapsed="1" x14ac:dyDescent="0.25">
      <c r="A40" s="9"/>
      <c r="B40" s="16" t="s">
        <v>23</v>
      </c>
      <c r="C40" s="17">
        <f>SUM(C38:C39)</f>
        <v>7385</v>
      </c>
      <c r="D40" s="18">
        <f t="shared" ref="D40:S40" si="16">SUM(D38:D39)</f>
        <v>1047</v>
      </c>
      <c r="E40" s="18">
        <f t="shared" si="16"/>
        <v>73</v>
      </c>
      <c r="F40" s="18">
        <f t="shared" si="16"/>
        <v>0</v>
      </c>
      <c r="G40" s="18">
        <f t="shared" si="16"/>
        <v>270</v>
      </c>
      <c r="H40" s="18">
        <f t="shared" si="16"/>
        <v>733</v>
      </c>
      <c r="I40" s="18">
        <f t="shared" si="16"/>
        <v>653</v>
      </c>
      <c r="J40" s="18">
        <f t="shared" si="16"/>
        <v>514</v>
      </c>
      <c r="K40" s="18">
        <f t="shared" si="16"/>
        <v>195</v>
      </c>
      <c r="L40" s="18">
        <f t="shared" si="16"/>
        <v>370</v>
      </c>
      <c r="M40" s="18">
        <f t="shared" si="16"/>
        <v>416</v>
      </c>
      <c r="N40" s="18">
        <f t="shared" si="16"/>
        <v>208</v>
      </c>
      <c r="O40" s="18">
        <f t="shared" si="16"/>
        <v>1299</v>
      </c>
      <c r="P40" s="18">
        <f t="shared" si="16"/>
        <v>624</v>
      </c>
      <c r="Q40" s="18">
        <f t="shared" si="16"/>
        <v>469</v>
      </c>
      <c r="R40" s="18">
        <f t="shared" si="16"/>
        <v>281</v>
      </c>
      <c r="S40" s="18">
        <f t="shared" si="16"/>
        <v>233</v>
      </c>
      <c r="T40" s="19">
        <f>SUM(T38:T39)</f>
        <v>0</v>
      </c>
      <c r="U40" s="19">
        <f>SUM(U38:U39)</f>
        <v>0</v>
      </c>
      <c r="V40" s="19">
        <f>SUM(V38:V39)</f>
        <v>0</v>
      </c>
      <c r="AA40" s="8"/>
    </row>
    <row r="41" spans="1:27" ht="14.25" hidden="1" customHeight="1" outlineLevel="1" x14ac:dyDescent="0.25">
      <c r="A41" s="9"/>
      <c r="B41" s="10" t="s">
        <v>24</v>
      </c>
      <c r="C41" s="11">
        <f>+SUM(D41:V41)</f>
        <v>3525</v>
      </c>
      <c r="D41" s="12">
        <v>406</v>
      </c>
      <c r="E41" s="12">
        <v>62</v>
      </c>
      <c r="F41" s="12">
        <v>0</v>
      </c>
      <c r="G41" s="12">
        <v>165</v>
      </c>
      <c r="H41" s="12">
        <v>280</v>
      </c>
      <c r="I41" s="12">
        <v>284</v>
      </c>
      <c r="J41" s="12">
        <v>228</v>
      </c>
      <c r="K41" s="12">
        <v>90</v>
      </c>
      <c r="L41" s="12">
        <v>197</v>
      </c>
      <c r="M41" s="12">
        <v>294</v>
      </c>
      <c r="N41" s="12">
        <v>178</v>
      </c>
      <c r="O41" s="12">
        <v>462</v>
      </c>
      <c r="P41" s="12">
        <v>313</v>
      </c>
      <c r="Q41" s="12">
        <v>213</v>
      </c>
      <c r="R41" s="12">
        <v>82</v>
      </c>
      <c r="S41" s="12">
        <v>271</v>
      </c>
      <c r="T41" s="20"/>
      <c r="U41" s="20"/>
      <c r="V41" s="20"/>
      <c r="AA41" s="8"/>
    </row>
    <row r="42" spans="1:27" hidden="1" outlineLevel="1" x14ac:dyDescent="0.25">
      <c r="A42" s="9"/>
      <c r="B42" s="13" t="s">
        <v>25</v>
      </c>
      <c r="C42" s="14">
        <f>+SUM(D42:V42)</f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21"/>
      <c r="U42" s="21"/>
      <c r="V42" s="21"/>
      <c r="AA42" s="8"/>
    </row>
    <row r="43" spans="1:27" hidden="1" outlineLevel="1" x14ac:dyDescent="0.25">
      <c r="A43" s="9"/>
      <c r="B43" s="13" t="s">
        <v>26</v>
      </c>
      <c r="C43" s="22">
        <f>+SUM(D43:V43)</f>
        <v>3865</v>
      </c>
      <c r="D43" s="23">
        <v>567</v>
      </c>
      <c r="E43" s="23">
        <v>69</v>
      </c>
      <c r="F43" s="23">
        <v>0</v>
      </c>
      <c r="G43" s="23">
        <v>120</v>
      </c>
      <c r="H43" s="23">
        <v>237</v>
      </c>
      <c r="I43" s="23">
        <v>353</v>
      </c>
      <c r="J43" s="23">
        <v>325</v>
      </c>
      <c r="K43" s="23">
        <v>125</v>
      </c>
      <c r="L43" s="23">
        <v>238</v>
      </c>
      <c r="M43" s="23">
        <v>251</v>
      </c>
      <c r="N43" s="23">
        <v>187</v>
      </c>
      <c r="O43" s="23">
        <v>504</v>
      </c>
      <c r="P43" s="23">
        <v>259</v>
      </c>
      <c r="Q43" s="23">
        <v>294</v>
      </c>
      <c r="R43" s="23">
        <v>262</v>
      </c>
      <c r="S43" s="23">
        <v>74</v>
      </c>
      <c r="T43" s="24"/>
      <c r="U43" s="24"/>
      <c r="V43" s="24"/>
      <c r="AA43" s="8"/>
    </row>
    <row r="44" spans="1:27" collapsed="1" x14ac:dyDescent="0.25">
      <c r="A44" s="9"/>
      <c r="B44" s="16" t="s">
        <v>27</v>
      </c>
      <c r="C44" s="17">
        <f>SUM(C41:C43)</f>
        <v>7390</v>
      </c>
      <c r="D44" s="18">
        <f>SUM(D41:D43)</f>
        <v>973</v>
      </c>
      <c r="E44" s="18">
        <f t="shared" ref="E44:S44" si="17">SUM(E41:E43)</f>
        <v>131</v>
      </c>
      <c r="F44" s="18">
        <f t="shared" si="17"/>
        <v>0</v>
      </c>
      <c r="G44" s="18">
        <f t="shared" si="17"/>
        <v>285</v>
      </c>
      <c r="H44" s="18">
        <f t="shared" si="17"/>
        <v>517</v>
      </c>
      <c r="I44" s="18">
        <f t="shared" si="17"/>
        <v>637</v>
      </c>
      <c r="J44" s="18">
        <f t="shared" si="17"/>
        <v>553</v>
      </c>
      <c r="K44" s="18">
        <f t="shared" si="17"/>
        <v>215</v>
      </c>
      <c r="L44" s="18">
        <f t="shared" si="17"/>
        <v>435</v>
      </c>
      <c r="M44" s="18">
        <f t="shared" si="17"/>
        <v>545</v>
      </c>
      <c r="N44" s="18">
        <f t="shared" si="17"/>
        <v>365</v>
      </c>
      <c r="O44" s="18">
        <f t="shared" si="17"/>
        <v>966</v>
      </c>
      <c r="P44" s="18">
        <f t="shared" si="17"/>
        <v>572</v>
      </c>
      <c r="Q44" s="18">
        <f t="shared" si="17"/>
        <v>507</v>
      </c>
      <c r="R44" s="18">
        <f t="shared" si="17"/>
        <v>344</v>
      </c>
      <c r="S44" s="18">
        <f t="shared" si="17"/>
        <v>345</v>
      </c>
      <c r="T44" s="19">
        <f>SUM(T41:T43)</f>
        <v>0</v>
      </c>
      <c r="U44" s="19">
        <f>SUM(U41:U43)</f>
        <v>0</v>
      </c>
      <c r="V44" s="19">
        <f>SUM(V41:V43)</f>
        <v>0</v>
      </c>
      <c r="AA44" s="8"/>
    </row>
    <row r="45" spans="1:27" ht="15.75" thickBot="1" x14ac:dyDescent="0.3">
      <c r="A45" s="9"/>
      <c r="B45" s="25" t="s">
        <v>28</v>
      </c>
      <c r="C45" s="11">
        <f>+C40+C44</f>
        <v>14775</v>
      </c>
      <c r="D45" s="11">
        <f t="shared" ref="D45:S45" si="18">+D40+D44</f>
        <v>2020</v>
      </c>
      <c r="E45" s="11">
        <f t="shared" si="18"/>
        <v>204</v>
      </c>
      <c r="F45" s="11">
        <f t="shared" si="18"/>
        <v>0</v>
      </c>
      <c r="G45" s="11">
        <f t="shared" si="18"/>
        <v>555</v>
      </c>
      <c r="H45" s="11">
        <f t="shared" si="18"/>
        <v>1250</v>
      </c>
      <c r="I45" s="11">
        <f t="shared" si="18"/>
        <v>1290</v>
      </c>
      <c r="J45" s="11">
        <f t="shared" si="18"/>
        <v>1067</v>
      </c>
      <c r="K45" s="11">
        <f t="shared" si="18"/>
        <v>410</v>
      </c>
      <c r="L45" s="11">
        <f t="shared" si="18"/>
        <v>805</v>
      </c>
      <c r="M45" s="11">
        <f t="shared" si="18"/>
        <v>961</v>
      </c>
      <c r="N45" s="11">
        <f t="shared" si="18"/>
        <v>573</v>
      </c>
      <c r="O45" s="11">
        <f t="shared" si="18"/>
        <v>2265</v>
      </c>
      <c r="P45" s="11">
        <f t="shared" si="18"/>
        <v>1196</v>
      </c>
      <c r="Q45" s="11">
        <f t="shared" si="18"/>
        <v>976</v>
      </c>
      <c r="R45" s="11">
        <f t="shared" si="18"/>
        <v>625</v>
      </c>
      <c r="S45" s="11">
        <f t="shared" si="18"/>
        <v>578</v>
      </c>
      <c r="T45" s="26"/>
      <c r="U45" s="26"/>
      <c r="V45" s="26"/>
      <c r="AA45" s="8"/>
    </row>
    <row r="46" spans="1:27" ht="15.75" hidden="1" outlineLevel="1" thickBot="1" x14ac:dyDescent="0.3">
      <c r="A46" s="9"/>
      <c r="B46" s="27" t="s">
        <v>30</v>
      </c>
      <c r="C46" s="28">
        <f>+SUM(D46:V46)</f>
        <v>19774096.109999958</v>
      </c>
      <c r="D46" s="29">
        <v>2419176.6199999899</v>
      </c>
      <c r="E46" s="29">
        <v>57944.189999999828</v>
      </c>
      <c r="F46" s="29">
        <v>0</v>
      </c>
      <c r="G46" s="29">
        <v>363159.22999999911</v>
      </c>
      <c r="H46" s="29">
        <v>1696596.4799999949</v>
      </c>
      <c r="I46" s="29">
        <v>1437935.5299999961</v>
      </c>
      <c r="J46" s="29">
        <v>1424973.6399999962</v>
      </c>
      <c r="K46" s="29">
        <v>519643.929999999</v>
      </c>
      <c r="L46" s="29">
        <v>921557.49999999732</v>
      </c>
      <c r="M46" s="29">
        <v>1272126.3499999971</v>
      </c>
      <c r="N46" s="29">
        <v>893344.70999999915</v>
      </c>
      <c r="O46" s="29">
        <v>4640959.9499999946</v>
      </c>
      <c r="P46" s="29">
        <v>1226262.9399999974</v>
      </c>
      <c r="Q46" s="29">
        <v>1598796.9899999972</v>
      </c>
      <c r="R46" s="29">
        <v>522970.18000000028</v>
      </c>
      <c r="S46" s="29">
        <v>778647.86999999825</v>
      </c>
      <c r="T46" s="29"/>
      <c r="U46" s="29"/>
      <c r="V46" s="29"/>
      <c r="AA46" s="8"/>
    </row>
    <row r="47" spans="1:27" ht="15.75" hidden="1" outlineLevel="1" thickBot="1" x14ac:dyDescent="0.3">
      <c r="A47" s="9"/>
      <c r="B47" s="30" t="s">
        <v>31</v>
      </c>
      <c r="C47" s="31">
        <f>+SUM(D47:V47)</f>
        <v>712538.14999999898</v>
      </c>
      <c r="D47" s="32">
        <v>186481.91999999958</v>
      </c>
      <c r="E47" s="32">
        <v>2500</v>
      </c>
      <c r="F47" s="32">
        <v>0</v>
      </c>
      <c r="G47" s="32">
        <v>63291.76</v>
      </c>
      <c r="H47" s="32">
        <v>49635.61</v>
      </c>
      <c r="I47" s="32">
        <v>77775.37</v>
      </c>
      <c r="J47" s="32">
        <v>105674.63999999974</v>
      </c>
      <c r="K47" s="32">
        <v>53043.489999999983</v>
      </c>
      <c r="L47" s="32">
        <v>57749.299999999988</v>
      </c>
      <c r="M47" s="32">
        <v>38569.65</v>
      </c>
      <c r="N47" s="32">
        <v>43240.579999999944</v>
      </c>
      <c r="O47" s="32">
        <v>445.21999999990743</v>
      </c>
      <c r="P47" s="32">
        <v>688.9</v>
      </c>
      <c r="Q47" s="32">
        <v>18004.169999999976</v>
      </c>
      <c r="R47" s="32">
        <v>13837.540000000055</v>
      </c>
      <c r="S47" s="32">
        <v>1600</v>
      </c>
      <c r="T47" s="32"/>
      <c r="U47" s="32"/>
      <c r="V47" s="32"/>
      <c r="AA47" s="8"/>
    </row>
    <row r="48" spans="1:27" ht="15.75" hidden="1" outlineLevel="1" thickBot="1" x14ac:dyDescent="0.3">
      <c r="A48" s="9"/>
      <c r="B48" s="30" t="s">
        <v>32</v>
      </c>
      <c r="C48" s="31">
        <f>+SUM(D48:V48)</f>
        <v>785281.2599999985</v>
      </c>
      <c r="D48" s="32">
        <v>-193399.7499999991</v>
      </c>
      <c r="E48" s="32">
        <v>0</v>
      </c>
      <c r="F48" s="32">
        <v>0</v>
      </c>
      <c r="G48" s="32">
        <v>21199.599999999991</v>
      </c>
      <c r="H48" s="32">
        <v>71079.849999999686</v>
      </c>
      <c r="I48" s="32">
        <v>23338.819999999971</v>
      </c>
      <c r="J48" s="32">
        <v>8108.6700000001983</v>
      </c>
      <c r="K48" s="32">
        <v>-1976.5699999999811</v>
      </c>
      <c r="L48" s="32">
        <v>-395.09999999999036</v>
      </c>
      <c r="M48" s="32">
        <v>16796.340000000004</v>
      </c>
      <c r="N48" s="32">
        <v>13380.350000000008</v>
      </c>
      <c r="O48" s="32">
        <v>0</v>
      </c>
      <c r="P48" s="32">
        <v>531545.88999999803</v>
      </c>
      <c r="Q48" s="32">
        <v>27004.69999999999</v>
      </c>
      <c r="R48" s="32">
        <v>268598.5699999996</v>
      </c>
      <c r="S48" s="32">
        <v>-0.11000000000058194</v>
      </c>
      <c r="T48" s="32"/>
      <c r="U48" s="32"/>
      <c r="V48" s="32"/>
      <c r="AA48" s="8"/>
    </row>
    <row r="49" spans="1:27" ht="15.75" hidden="1" outlineLevel="1" thickBot="1" x14ac:dyDescent="0.3">
      <c r="A49" s="9"/>
      <c r="B49" s="33" t="s">
        <v>33</v>
      </c>
      <c r="C49" s="34">
        <f>+SUM(D49:V49)</f>
        <v>8234236.5899999943</v>
      </c>
      <c r="D49" s="35">
        <v>954322.32999999984</v>
      </c>
      <c r="E49" s="35">
        <v>53636.639999999999</v>
      </c>
      <c r="F49" s="35">
        <v>0</v>
      </c>
      <c r="G49" s="35">
        <v>293709.98999999976</v>
      </c>
      <c r="H49" s="35">
        <v>650064.80999999866</v>
      </c>
      <c r="I49" s="35">
        <v>562445.58000000007</v>
      </c>
      <c r="J49" s="35">
        <v>622965.28999999969</v>
      </c>
      <c r="K49" s="35">
        <v>217389.8499999998</v>
      </c>
      <c r="L49" s="35">
        <v>424257.08999999997</v>
      </c>
      <c r="M49" s="35">
        <v>361567.5399999998</v>
      </c>
      <c r="N49" s="35">
        <v>328944.92999999959</v>
      </c>
      <c r="O49" s="35">
        <v>1643371.7799999979</v>
      </c>
      <c r="P49" s="35">
        <v>849130.96999999986</v>
      </c>
      <c r="Q49" s="35">
        <v>540806.03999999992</v>
      </c>
      <c r="R49" s="35">
        <v>256485.46999999988</v>
      </c>
      <c r="S49" s="35">
        <v>475138.2799999998</v>
      </c>
      <c r="T49" s="35"/>
      <c r="U49" s="35"/>
      <c r="V49" s="35"/>
      <c r="AA49" s="8"/>
    </row>
    <row r="50" spans="1:27" ht="15.75" hidden="1" outlineLevel="1" thickBot="1" x14ac:dyDescent="0.3">
      <c r="A50" s="9"/>
      <c r="B50" s="16" t="s">
        <v>34</v>
      </c>
      <c r="C50" s="36">
        <f>+SUM(C46:C49)</f>
        <v>29506152.109999947</v>
      </c>
      <c r="D50" s="37">
        <f t="shared" ref="D50:S50" si="19">+SUM(D46:D49)</f>
        <v>3366581.1199999899</v>
      </c>
      <c r="E50" s="37">
        <f t="shared" si="19"/>
        <v>114080.82999999983</v>
      </c>
      <c r="F50" s="37">
        <f t="shared" si="19"/>
        <v>0</v>
      </c>
      <c r="G50" s="37">
        <f t="shared" si="19"/>
        <v>741360.57999999891</v>
      </c>
      <c r="H50" s="37">
        <f t="shared" si="19"/>
        <v>2467376.7499999935</v>
      </c>
      <c r="I50" s="37">
        <f t="shared" si="19"/>
        <v>2101495.2999999961</v>
      </c>
      <c r="J50" s="37">
        <f t="shared" si="19"/>
        <v>2161722.2399999956</v>
      </c>
      <c r="K50" s="37">
        <f t="shared" si="19"/>
        <v>788100.69999999879</v>
      </c>
      <c r="L50" s="37">
        <f t="shared" si="19"/>
        <v>1403168.7899999972</v>
      </c>
      <c r="M50" s="37">
        <f t="shared" si="19"/>
        <v>1689059.8799999969</v>
      </c>
      <c r="N50" s="37">
        <f t="shared" si="19"/>
        <v>1278910.5699999987</v>
      </c>
      <c r="O50" s="37">
        <f t="shared" si="19"/>
        <v>6284776.9499999918</v>
      </c>
      <c r="P50" s="37">
        <f t="shared" si="19"/>
        <v>2607628.6999999951</v>
      </c>
      <c r="Q50" s="37">
        <f t="shared" si="19"/>
        <v>2184611.8999999971</v>
      </c>
      <c r="R50" s="37">
        <f t="shared" si="19"/>
        <v>1061891.7599999998</v>
      </c>
      <c r="S50" s="37">
        <f t="shared" si="19"/>
        <v>1255386.0399999982</v>
      </c>
      <c r="T50" s="36">
        <f>+SUM(T46:T49)</f>
        <v>0</v>
      </c>
      <c r="U50" s="36">
        <f>+SUM(U46:U49)</f>
        <v>0</v>
      </c>
      <c r="V50" s="36">
        <f>+SUM(V46:V49)</f>
        <v>0</v>
      </c>
      <c r="AA50" s="8"/>
    </row>
    <row r="51" spans="1:27" ht="15.75" hidden="1" outlineLevel="1" thickBot="1" x14ac:dyDescent="0.3">
      <c r="A51" s="9"/>
      <c r="B51" s="30" t="s">
        <v>35</v>
      </c>
      <c r="C51" s="31">
        <f>+SUM(D51:V51)</f>
        <v>4856850.689999992</v>
      </c>
      <c r="D51" s="32">
        <v>584586.26000000024</v>
      </c>
      <c r="E51" s="32">
        <v>26865.289999999935</v>
      </c>
      <c r="F51" s="32">
        <v>0</v>
      </c>
      <c r="G51" s="32">
        <v>193219.55999999974</v>
      </c>
      <c r="H51" s="32">
        <v>494247.37999999948</v>
      </c>
      <c r="I51" s="32">
        <v>231870.64999999967</v>
      </c>
      <c r="J51" s="32">
        <v>171846.95999999967</v>
      </c>
      <c r="K51" s="32">
        <v>32261.489999999885</v>
      </c>
      <c r="L51" s="32">
        <v>295716.08999999933</v>
      </c>
      <c r="M51" s="32">
        <v>383925.15999999968</v>
      </c>
      <c r="N51" s="32">
        <v>329451.05999999942</v>
      </c>
      <c r="O51" s="32">
        <v>803178.65999999712</v>
      </c>
      <c r="P51" s="32">
        <v>573372.42999999889</v>
      </c>
      <c r="Q51" s="32">
        <v>246292.96999999965</v>
      </c>
      <c r="R51" s="32">
        <v>137666.94999999955</v>
      </c>
      <c r="S51" s="32">
        <v>352349.77999999933</v>
      </c>
      <c r="T51" s="32"/>
      <c r="U51" s="32"/>
      <c r="V51" s="32"/>
      <c r="AA51" s="8"/>
    </row>
    <row r="52" spans="1:27" ht="15.75" hidden="1" outlineLevel="1" thickBot="1" x14ac:dyDescent="0.3">
      <c r="A52" s="9"/>
      <c r="B52" s="30" t="s">
        <v>36</v>
      </c>
      <c r="C52" s="31">
        <f>+SUM(D52:V52)</f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/>
      <c r="U52" s="32"/>
      <c r="V52" s="32"/>
      <c r="AA52" s="8"/>
    </row>
    <row r="53" spans="1:27" ht="15.75" hidden="1" outlineLevel="1" thickBot="1" x14ac:dyDescent="0.3">
      <c r="A53" s="9"/>
      <c r="B53" s="30" t="s">
        <v>37</v>
      </c>
      <c r="C53" s="31">
        <f>+SUM(D53:V53)</f>
        <v>1558755.6299999985</v>
      </c>
      <c r="D53" s="32">
        <v>241705.49000000008</v>
      </c>
      <c r="E53" s="32">
        <v>-15873.950000000099</v>
      </c>
      <c r="F53" s="32">
        <v>0</v>
      </c>
      <c r="G53" s="32">
        <v>82686.999999999782</v>
      </c>
      <c r="H53" s="32">
        <v>174073.17999999979</v>
      </c>
      <c r="I53" s="32">
        <v>-14474.099999999968</v>
      </c>
      <c r="J53" s="32">
        <v>77018.660000000353</v>
      </c>
      <c r="K53" s="32">
        <v>-42748.250000000036</v>
      </c>
      <c r="L53" s="32">
        <v>24980.740000000042</v>
      </c>
      <c r="M53" s="32">
        <v>1134.5699999999561</v>
      </c>
      <c r="N53" s="32">
        <v>63637.869999999763</v>
      </c>
      <c r="O53" s="32">
        <v>538454.76999999967</v>
      </c>
      <c r="P53" s="32">
        <v>244518.34999999939</v>
      </c>
      <c r="Q53" s="32">
        <v>88090.4</v>
      </c>
      <c r="R53" s="32">
        <v>68247.179999999935</v>
      </c>
      <c r="S53" s="32">
        <v>27303.720000000023</v>
      </c>
      <c r="T53" s="32"/>
      <c r="U53" s="32"/>
      <c r="V53" s="32"/>
      <c r="AA53" s="8"/>
    </row>
    <row r="54" spans="1:27" ht="15.75" hidden="1" outlineLevel="1" thickBot="1" x14ac:dyDescent="0.3">
      <c r="A54" s="9"/>
      <c r="B54" s="30" t="s">
        <v>38</v>
      </c>
      <c r="C54" s="31">
        <f>+SUM(D54:V54)</f>
        <v>5087724.0299999975</v>
      </c>
      <c r="D54" s="32">
        <v>487242.60999999987</v>
      </c>
      <c r="E54" s="32">
        <v>87763.859999999971</v>
      </c>
      <c r="F54" s="32">
        <v>0</v>
      </c>
      <c r="G54" s="32">
        <v>316686.0799999999</v>
      </c>
      <c r="H54" s="32">
        <v>423399.63999999972</v>
      </c>
      <c r="I54" s="32">
        <v>473181.01999999944</v>
      </c>
      <c r="J54" s="32">
        <v>389891.64999999973</v>
      </c>
      <c r="K54" s="32">
        <v>90302.559999999008</v>
      </c>
      <c r="L54" s="32">
        <v>270049.5</v>
      </c>
      <c r="M54" s="32">
        <v>344511.75999999972</v>
      </c>
      <c r="N54" s="32">
        <v>236287.08</v>
      </c>
      <c r="O54" s="32">
        <v>791399.2699999999</v>
      </c>
      <c r="P54" s="32">
        <v>461089.2799999998</v>
      </c>
      <c r="Q54" s="32">
        <v>233719.84000000003</v>
      </c>
      <c r="R54" s="32">
        <v>149745.09</v>
      </c>
      <c r="S54" s="32">
        <v>332454.79000000004</v>
      </c>
      <c r="T54" s="32"/>
      <c r="U54" s="32"/>
      <c r="V54" s="32"/>
      <c r="AA54" s="8"/>
    </row>
    <row r="55" spans="1:27" ht="15.75" hidden="1" outlineLevel="1" thickBot="1" x14ac:dyDescent="0.3">
      <c r="A55" s="9"/>
      <c r="B55" s="16" t="s">
        <v>39</v>
      </c>
      <c r="C55" s="36">
        <f>+SUM(C51:C54)</f>
        <v>11503330.349999988</v>
      </c>
      <c r="D55" s="37">
        <f>+SUM(D51:D54)</f>
        <v>1313534.3600000003</v>
      </c>
      <c r="E55" s="37">
        <f t="shared" ref="E55:S55" si="20">+SUM(E51:E54)</f>
        <v>98755.199999999808</v>
      </c>
      <c r="F55" s="37">
        <f t="shared" si="20"/>
        <v>0</v>
      </c>
      <c r="G55" s="37">
        <f t="shared" si="20"/>
        <v>592592.63999999943</v>
      </c>
      <c r="H55" s="37">
        <f t="shared" si="20"/>
        <v>1091720.199999999</v>
      </c>
      <c r="I55" s="37">
        <f t="shared" si="20"/>
        <v>690577.56999999913</v>
      </c>
      <c r="J55" s="37">
        <f t="shared" si="20"/>
        <v>638757.26999999979</v>
      </c>
      <c r="K55" s="37">
        <f t="shared" si="20"/>
        <v>79815.799999998853</v>
      </c>
      <c r="L55" s="37">
        <f t="shared" si="20"/>
        <v>590746.32999999938</v>
      </c>
      <c r="M55" s="37">
        <f t="shared" si="20"/>
        <v>729571.48999999929</v>
      </c>
      <c r="N55" s="37">
        <f t="shared" si="20"/>
        <v>629376.00999999919</v>
      </c>
      <c r="O55" s="37">
        <f t="shared" si="20"/>
        <v>2133032.6999999969</v>
      </c>
      <c r="P55" s="37">
        <f t="shared" si="20"/>
        <v>1278980.0599999982</v>
      </c>
      <c r="Q55" s="37">
        <f t="shared" si="20"/>
        <v>568103.20999999973</v>
      </c>
      <c r="R55" s="37">
        <f t="shared" si="20"/>
        <v>355659.21999999951</v>
      </c>
      <c r="S55" s="37">
        <f t="shared" si="20"/>
        <v>712108.28999999934</v>
      </c>
      <c r="T55" s="36">
        <f>+SUM(T51:T54)</f>
        <v>0</v>
      </c>
      <c r="U55" s="36">
        <f>+SUM(U51:U54)</f>
        <v>0</v>
      </c>
      <c r="V55" s="36">
        <f>+SUM(V51:V54)</f>
        <v>0</v>
      </c>
      <c r="AA55" s="8"/>
    </row>
    <row r="56" spans="1:27" ht="15.75" hidden="1" outlineLevel="1" thickBot="1" x14ac:dyDescent="0.3">
      <c r="A56" s="9"/>
      <c r="B56" s="27" t="s">
        <v>40</v>
      </c>
      <c r="C56" s="28">
        <f>+C55+C50</f>
        <v>41009482.459999934</v>
      </c>
      <c r="D56" s="38">
        <f t="shared" ref="D56:S56" si="21">+D55+D50</f>
        <v>4680115.4799999902</v>
      </c>
      <c r="E56" s="38">
        <f t="shared" si="21"/>
        <v>212836.02999999962</v>
      </c>
      <c r="F56" s="38">
        <f t="shared" si="21"/>
        <v>0</v>
      </c>
      <c r="G56" s="38">
        <f t="shared" si="21"/>
        <v>1333953.2199999983</v>
      </c>
      <c r="H56" s="38">
        <f t="shared" si="21"/>
        <v>3559096.9499999927</v>
      </c>
      <c r="I56" s="38">
        <f t="shared" si="21"/>
        <v>2792072.8699999955</v>
      </c>
      <c r="J56" s="38">
        <f t="shared" si="21"/>
        <v>2800479.5099999951</v>
      </c>
      <c r="K56" s="38">
        <f t="shared" si="21"/>
        <v>867916.49999999767</v>
      </c>
      <c r="L56" s="38">
        <f t="shared" si="21"/>
        <v>1993915.1199999966</v>
      </c>
      <c r="M56" s="38">
        <f t="shared" si="21"/>
        <v>2418631.3699999964</v>
      </c>
      <c r="N56" s="38">
        <f t="shared" si="21"/>
        <v>1908286.5799999977</v>
      </c>
      <c r="O56" s="38">
        <f t="shared" si="21"/>
        <v>8417809.6499999892</v>
      </c>
      <c r="P56" s="38">
        <f t="shared" si="21"/>
        <v>3886608.7599999933</v>
      </c>
      <c r="Q56" s="38">
        <f t="shared" si="21"/>
        <v>2752715.1099999966</v>
      </c>
      <c r="R56" s="38">
        <f t="shared" si="21"/>
        <v>1417550.9799999993</v>
      </c>
      <c r="S56" s="38">
        <f t="shared" si="21"/>
        <v>1967494.3299999975</v>
      </c>
      <c r="T56" s="28">
        <f>+T55+T50</f>
        <v>0</v>
      </c>
      <c r="U56" s="28">
        <f>+U55+U50</f>
        <v>0</v>
      </c>
      <c r="V56" s="28">
        <f>+V55+V50</f>
        <v>0</v>
      </c>
      <c r="AA56" s="8"/>
    </row>
    <row r="57" spans="1:27" ht="15.75" hidden="1" outlineLevel="1" collapsed="1" thickBot="1" x14ac:dyDescent="0.3">
      <c r="A57" s="9"/>
      <c r="B57" s="39" t="s">
        <v>41</v>
      </c>
      <c r="C57" s="40">
        <f>IFERROR(C46/C38,0)</f>
        <v>2858.3544535993001</v>
      </c>
      <c r="D57" s="41">
        <f t="shared" ref="D57:S57" si="22">IFERROR(D46/D38,0)</f>
        <v>2478.6645696721207</v>
      </c>
      <c r="E57" s="41">
        <f t="shared" si="22"/>
        <v>877.94227272727016</v>
      </c>
      <c r="F57" s="41">
        <f t="shared" si="22"/>
        <v>0</v>
      </c>
      <c r="G57" s="41">
        <f t="shared" si="22"/>
        <v>1482.2825714285677</v>
      </c>
      <c r="H57" s="41">
        <f t="shared" si="22"/>
        <v>2379.5182047685762</v>
      </c>
      <c r="I57" s="41">
        <f t="shared" si="22"/>
        <v>2239.7749688473459</v>
      </c>
      <c r="J57" s="41">
        <f t="shared" si="22"/>
        <v>2974.8927766179459</v>
      </c>
      <c r="K57" s="41">
        <f t="shared" si="22"/>
        <v>2855.1864285714232</v>
      </c>
      <c r="L57" s="41">
        <f t="shared" si="22"/>
        <v>2633.021428571421</v>
      </c>
      <c r="M57" s="41">
        <f t="shared" si="22"/>
        <v>3204.3484886649799</v>
      </c>
      <c r="N57" s="41">
        <f t="shared" si="22"/>
        <v>4357.7790731707273</v>
      </c>
      <c r="O57" s="41">
        <f t="shared" si="22"/>
        <v>3572.7174364896032</v>
      </c>
      <c r="P57" s="41">
        <f t="shared" si="22"/>
        <v>2507.6951738241255</v>
      </c>
      <c r="Q57" s="41">
        <f t="shared" si="22"/>
        <v>3475.6456304347766</v>
      </c>
      <c r="R57" s="41">
        <f t="shared" si="22"/>
        <v>2796.6319786096274</v>
      </c>
      <c r="S57" s="42">
        <f t="shared" si="22"/>
        <v>3415.1222368420977</v>
      </c>
      <c r="T57" s="29">
        <f>IFERROR(T46/T38,0)</f>
        <v>0</v>
      </c>
      <c r="U57" s="38">
        <f>IFERROR(U46/U38,0)</f>
        <v>0</v>
      </c>
      <c r="V57" s="38">
        <f>IFERROR(V46/V38,0)</f>
        <v>0</v>
      </c>
      <c r="AA57" s="8"/>
    </row>
    <row r="58" spans="1:27" ht="15.75" hidden="1" outlineLevel="1" thickBot="1" x14ac:dyDescent="0.3">
      <c r="A58" s="9"/>
      <c r="B58" s="43" t="s">
        <v>42</v>
      </c>
      <c r="C58" s="31">
        <f>IFERROR(C48/C39,0)</f>
        <v>1681.544453961453</v>
      </c>
      <c r="D58" s="44">
        <f t="shared" ref="D58:S58" si="23">IFERROR(D48/D39,0)</f>
        <v>-2723.9401408450576</v>
      </c>
      <c r="E58" s="44">
        <f t="shared" si="23"/>
        <v>0</v>
      </c>
      <c r="F58" s="44">
        <f t="shared" si="23"/>
        <v>0</v>
      </c>
      <c r="G58" s="44">
        <f t="shared" si="23"/>
        <v>847.9839999999997</v>
      </c>
      <c r="H58" s="44">
        <f t="shared" si="23"/>
        <v>3553.9924999999844</v>
      </c>
      <c r="I58" s="44">
        <f t="shared" si="23"/>
        <v>2121.7109090909066</v>
      </c>
      <c r="J58" s="44">
        <f t="shared" si="23"/>
        <v>231.67628571429137</v>
      </c>
      <c r="K58" s="44">
        <f t="shared" si="23"/>
        <v>-152.0438461538447</v>
      </c>
      <c r="L58" s="44">
        <f t="shared" si="23"/>
        <v>-19.754999999999519</v>
      </c>
      <c r="M58" s="44">
        <f t="shared" si="23"/>
        <v>884.01789473684232</v>
      </c>
      <c r="N58" s="44">
        <f t="shared" si="23"/>
        <v>4460.1166666666695</v>
      </c>
      <c r="O58" s="44">
        <f t="shared" si="23"/>
        <v>0</v>
      </c>
      <c r="P58" s="44">
        <f t="shared" si="23"/>
        <v>3937.3769629629483</v>
      </c>
      <c r="Q58" s="44">
        <f t="shared" si="23"/>
        <v>3000.522222222221</v>
      </c>
      <c r="R58" s="44">
        <f t="shared" si="23"/>
        <v>2857.4315957446765</v>
      </c>
      <c r="S58" s="45">
        <f t="shared" si="23"/>
        <v>-2.2000000000116388E-2</v>
      </c>
      <c r="T58" s="32">
        <f>IFERROR(T48/T39,0)</f>
        <v>0</v>
      </c>
      <c r="U58" s="44">
        <f>IFERROR(U48/U39,0)</f>
        <v>0</v>
      </c>
      <c r="V58" s="44">
        <f>IFERROR(V48/V39,0)</f>
        <v>0</v>
      </c>
      <c r="AA58" s="8"/>
    </row>
    <row r="59" spans="1:27" ht="15.75" hidden="1" outlineLevel="1" thickBot="1" x14ac:dyDescent="0.3">
      <c r="A59" s="9"/>
      <c r="B59" s="43" t="s">
        <v>43</v>
      </c>
      <c r="C59" s="31">
        <f>IFERROR(C49/C38,0)</f>
        <v>1190.2625888985247</v>
      </c>
      <c r="D59" s="44">
        <f t="shared" ref="D59:S59" si="24">IFERROR(D49/D38,0)</f>
        <v>977.78927254098346</v>
      </c>
      <c r="E59" s="44">
        <f t="shared" si="24"/>
        <v>812.67636363636359</v>
      </c>
      <c r="F59" s="44">
        <f t="shared" si="24"/>
        <v>0</v>
      </c>
      <c r="G59" s="44">
        <f t="shared" si="24"/>
        <v>1198.8162857142847</v>
      </c>
      <c r="H59" s="44">
        <f t="shared" si="24"/>
        <v>911.73185133239645</v>
      </c>
      <c r="I59" s="44">
        <f t="shared" si="24"/>
        <v>876.0834579439254</v>
      </c>
      <c r="J59" s="44">
        <f t="shared" si="24"/>
        <v>1300.5538413361162</v>
      </c>
      <c r="K59" s="44">
        <f t="shared" si="24"/>
        <v>1194.4497252747242</v>
      </c>
      <c r="L59" s="44">
        <f t="shared" si="24"/>
        <v>1212.1631142857143</v>
      </c>
      <c r="M59" s="44">
        <f t="shared" si="24"/>
        <v>910.74947103274508</v>
      </c>
      <c r="N59" s="44">
        <f t="shared" si="24"/>
        <v>1604.6094146341443</v>
      </c>
      <c r="O59" s="44">
        <f t="shared" si="24"/>
        <v>1265.1052963818306</v>
      </c>
      <c r="P59" s="44">
        <f t="shared" si="24"/>
        <v>1736.4641513292431</v>
      </c>
      <c r="Q59" s="44">
        <f t="shared" si="24"/>
        <v>1175.6653043478259</v>
      </c>
      <c r="R59" s="44">
        <f t="shared" si="24"/>
        <v>1371.5800534759353</v>
      </c>
      <c r="S59" s="45">
        <f t="shared" si="24"/>
        <v>2083.9398245614025</v>
      </c>
      <c r="T59" s="35">
        <f>IFERROR(T49/T38,0)</f>
        <v>0</v>
      </c>
      <c r="U59" s="46">
        <f>IFERROR(U49/U38,0)</f>
        <v>0</v>
      </c>
      <c r="V59" s="46">
        <f>IFERROR(V49/V38,0)</f>
        <v>0</v>
      </c>
      <c r="AA59" s="8"/>
    </row>
    <row r="60" spans="1:27" ht="15.75" hidden="1" outlineLevel="1" thickBot="1" x14ac:dyDescent="0.3">
      <c r="A60" s="9"/>
      <c r="B60" s="47" t="s">
        <v>44</v>
      </c>
      <c r="C60" s="48">
        <f>SUM(C57,C59)</f>
        <v>4048.6170424978245</v>
      </c>
      <c r="D60" s="49">
        <f t="shared" ref="D60:S60" si="25">SUM(D57,D59)</f>
        <v>3456.4538422131041</v>
      </c>
      <c r="E60" s="49">
        <f t="shared" si="25"/>
        <v>1690.6186363636339</v>
      </c>
      <c r="F60" s="49">
        <f t="shared" si="25"/>
        <v>0</v>
      </c>
      <c r="G60" s="49">
        <f t="shared" si="25"/>
        <v>2681.0988571428525</v>
      </c>
      <c r="H60" s="49">
        <f t="shared" si="25"/>
        <v>3291.2500561009729</v>
      </c>
      <c r="I60" s="49">
        <f t="shared" si="25"/>
        <v>3115.8584267912711</v>
      </c>
      <c r="J60" s="49">
        <f t="shared" si="25"/>
        <v>4275.4466179540623</v>
      </c>
      <c r="K60" s="49">
        <f t="shared" si="25"/>
        <v>4049.6361538461474</v>
      </c>
      <c r="L60" s="49">
        <f t="shared" si="25"/>
        <v>3845.1845428571351</v>
      </c>
      <c r="M60" s="49">
        <f t="shared" si="25"/>
        <v>4115.0979596977249</v>
      </c>
      <c r="N60" s="49">
        <f t="shared" si="25"/>
        <v>5962.3884878048721</v>
      </c>
      <c r="O60" s="49">
        <f t="shared" si="25"/>
        <v>4837.8227328714338</v>
      </c>
      <c r="P60" s="49">
        <f t="shared" si="25"/>
        <v>4244.1593251533686</v>
      </c>
      <c r="Q60" s="49">
        <f t="shared" si="25"/>
        <v>4651.310934782603</v>
      </c>
      <c r="R60" s="49">
        <f t="shared" si="25"/>
        <v>4168.2120320855629</v>
      </c>
      <c r="S60" s="50">
        <f t="shared" si="25"/>
        <v>5499.0620614034997</v>
      </c>
      <c r="T60" s="51">
        <f>SUM(T57,T59)</f>
        <v>0</v>
      </c>
      <c r="U60" s="37">
        <f>SUM(U57,U59)</f>
        <v>0</v>
      </c>
      <c r="V60" s="37">
        <f>SUM(V57,V59)</f>
        <v>0</v>
      </c>
      <c r="AA60" s="8"/>
    </row>
    <row r="61" spans="1:27" collapsed="1" x14ac:dyDescent="0.25">
      <c r="A61" s="9"/>
      <c r="B61" s="52" t="s">
        <v>45</v>
      </c>
      <c r="C61" s="53">
        <f>IFERROR(C50/C40,0)</f>
        <v>3995.4166702775824</v>
      </c>
      <c r="D61" s="54">
        <f t="shared" ref="D61:S64" si="26">IFERROR(D50/D40,0)</f>
        <v>3215.4547468958835</v>
      </c>
      <c r="E61" s="54">
        <f t="shared" si="26"/>
        <v>1562.7510958904086</v>
      </c>
      <c r="F61" s="54">
        <f t="shared" si="26"/>
        <v>0</v>
      </c>
      <c r="G61" s="54">
        <f t="shared" si="26"/>
        <v>2745.7799259259218</v>
      </c>
      <c r="H61" s="54">
        <f t="shared" si="26"/>
        <v>3366.1347203274127</v>
      </c>
      <c r="I61" s="54">
        <f t="shared" si="26"/>
        <v>3218.2163859111733</v>
      </c>
      <c r="J61" s="54">
        <f t="shared" si="26"/>
        <v>4205.685291828785</v>
      </c>
      <c r="K61" s="54">
        <f t="shared" si="26"/>
        <v>4041.5420512820451</v>
      </c>
      <c r="L61" s="54">
        <f t="shared" si="26"/>
        <v>3792.3480810810738</v>
      </c>
      <c r="M61" s="54">
        <f t="shared" si="26"/>
        <v>4060.2400961538387</v>
      </c>
      <c r="N61" s="54">
        <f t="shared" si="26"/>
        <v>6148.6085096153784</v>
      </c>
      <c r="O61" s="54">
        <f t="shared" si="26"/>
        <v>4838.1654734411022</v>
      </c>
      <c r="P61" s="54">
        <f t="shared" si="26"/>
        <v>4178.8921474358895</v>
      </c>
      <c r="Q61" s="54">
        <f t="shared" si="26"/>
        <v>4658.0211087419984</v>
      </c>
      <c r="R61" s="54">
        <f t="shared" si="26"/>
        <v>3778.9742348754439</v>
      </c>
      <c r="S61" s="55">
        <f t="shared" si="26"/>
        <v>5387.9229184549276</v>
      </c>
      <c r="T61" s="56">
        <f>IFERROR(T50/T40,0)</f>
        <v>0</v>
      </c>
      <c r="U61" s="36">
        <f>IFERROR(U50/U40,0)</f>
        <v>0</v>
      </c>
      <c r="V61" s="36">
        <f>IFERROR(V50/V40,0)</f>
        <v>0</v>
      </c>
      <c r="AA61" s="8"/>
    </row>
    <row r="62" spans="1:27" hidden="1" outlineLevel="1" x14ac:dyDescent="0.25">
      <c r="A62" s="9"/>
      <c r="B62" s="43" t="s">
        <v>46</v>
      </c>
      <c r="C62" s="31">
        <f>IFERROR(C51/C41,0)</f>
        <v>1377.8299829787211</v>
      </c>
      <c r="D62" s="44">
        <f t="shared" si="26"/>
        <v>1439.8676354679808</v>
      </c>
      <c r="E62" s="44">
        <f t="shared" si="26"/>
        <v>433.31112903225704</v>
      </c>
      <c r="F62" s="44">
        <f t="shared" si="26"/>
        <v>0</v>
      </c>
      <c r="G62" s="44">
        <f t="shared" si="26"/>
        <v>1171.0276363636347</v>
      </c>
      <c r="H62" s="44">
        <f t="shared" si="26"/>
        <v>1765.1692142857125</v>
      </c>
      <c r="I62" s="44">
        <f t="shared" si="26"/>
        <v>816.44595070422417</v>
      </c>
      <c r="J62" s="44">
        <f t="shared" si="26"/>
        <v>753.71473684210378</v>
      </c>
      <c r="K62" s="44">
        <f t="shared" si="26"/>
        <v>358.46099999999871</v>
      </c>
      <c r="L62" s="44">
        <f t="shared" si="26"/>
        <v>1501.096903553296</v>
      </c>
      <c r="M62" s="44">
        <f t="shared" si="26"/>
        <v>1305.8678911564616</v>
      </c>
      <c r="N62" s="44">
        <f t="shared" si="26"/>
        <v>1850.84865168539</v>
      </c>
      <c r="O62" s="44">
        <f t="shared" si="26"/>
        <v>1738.4819480519418</v>
      </c>
      <c r="P62" s="44">
        <f t="shared" si="26"/>
        <v>1831.8607987220412</v>
      </c>
      <c r="Q62" s="44">
        <f t="shared" si="26"/>
        <v>1156.3050234741768</v>
      </c>
      <c r="R62" s="44">
        <f t="shared" si="26"/>
        <v>1678.8652439024336</v>
      </c>
      <c r="S62" s="45">
        <f t="shared" si="26"/>
        <v>1300.1836900368978</v>
      </c>
      <c r="T62" s="32">
        <f>IFERROR(T51/T38,0)</f>
        <v>0</v>
      </c>
      <c r="U62" s="44">
        <f>IFERROR(U51/U38,0)</f>
        <v>0</v>
      </c>
      <c r="V62" s="44">
        <f>IFERROR(V51/V38,0)</f>
        <v>0</v>
      </c>
      <c r="AA62" s="8"/>
    </row>
    <row r="63" spans="1:27" hidden="1" outlineLevel="1" x14ac:dyDescent="0.25">
      <c r="A63" s="9"/>
      <c r="B63" s="43" t="s">
        <v>47</v>
      </c>
      <c r="C63" s="31">
        <f>IFERROR(C52/C42,0)</f>
        <v>0</v>
      </c>
      <c r="D63" s="44">
        <f t="shared" si="26"/>
        <v>0</v>
      </c>
      <c r="E63" s="44">
        <f t="shared" si="26"/>
        <v>0</v>
      </c>
      <c r="F63" s="44">
        <f t="shared" si="26"/>
        <v>0</v>
      </c>
      <c r="G63" s="44">
        <f t="shared" si="26"/>
        <v>0</v>
      </c>
      <c r="H63" s="44">
        <f t="shared" si="26"/>
        <v>0</v>
      </c>
      <c r="I63" s="44">
        <f t="shared" si="26"/>
        <v>0</v>
      </c>
      <c r="J63" s="44">
        <f t="shared" si="26"/>
        <v>0</v>
      </c>
      <c r="K63" s="44">
        <f t="shared" si="26"/>
        <v>0</v>
      </c>
      <c r="L63" s="44">
        <f t="shared" si="26"/>
        <v>0</v>
      </c>
      <c r="M63" s="44">
        <f t="shared" si="26"/>
        <v>0</v>
      </c>
      <c r="N63" s="44">
        <f t="shared" si="26"/>
        <v>0</v>
      </c>
      <c r="O63" s="44">
        <f t="shared" si="26"/>
        <v>0</v>
      </c>
      <c r="P63" s="44">
        <f t="shared" si="26"/>
        <v>0</v>
      </c>
      <c r="Q63" s="44">
        <f t="shared" si="26"/>
        <v>0</v>
      </c>
      <c r="R63" s="44">
        <f t="shared" si="26"/>
        <v>0</v>
      </c>
      <c r="S63" s="45">
        <f t="shared" si="26"/>
        <v>0</v>
      </c>
      <c r="T63" s="32">
        <f t="shared" ref="T63:V64" si="27">IFERROR(T52/T42,0)</f>
        <v>0</v>
      </c>
      <c r="U63" s="44">
        <f t="shared" si="27"/>
        <v>0</v>
      </c>
      <c r="V63" s="44">
        <f t="shared" si="27"/>
        <v>0</v>
      </c>
      <c r="AA63" s="8"/>
    </row>
    <row r="64" spans="1:27" hidden="1" outlineLevel="1" x14ac:dyDescent="0.25">
      <c r="A64" s="9"/>
      <c r="B64" s="43" t="s">
        <v>48</v>
      </c>
      <c r="C64" s="31">
        <f>IFERROR(C53/C43,0)</f>
        <v>403.30029236739938</v>
      </c>
      <c r="D64" s="44">
        <f t="shared" si="26"/>
        <v>426.28834215167564</v>
      </c>
      <c r="E64" s="44">
        <f t="shared" si="26"/>
        <v>-230.05724637681303</v>
      </c>
      <c r="F64" s="44">
        <f t="shared" si="26"/>
        <v>0</v>
      </c>
      <c r="G64" s="44">
        <f t="shared" si="26"/>
        <v>689.05833333333146</v>
      </c>
      <c r="H64" s="44">
        <f t="shared" si="26"/>
        <v>734.48599156118053</v>
      </c>
      <c r="I64" s="44">
        <f t="shared" si="26"/>
        <v>-41.003116147308688</v>
      </c>
      <c r="J64" s="44">
        <f t="shared" si="26"/>
        <v>236.9804923076934</v>
      </c>
      <c r="K64" s="44">
        <f t="shared" si="26"/>
        <v>-341.98600000000027</v>
      </c>
      <c r="L64" s="44">
        <f t="shared" si="26"/>
        <v>104.96109243697497</v>
      </c>
      <c r="M64" s="44">
        <f t="shared" si="26"/>
        <v>4.5201992031870759</v>
      </c>
      <c r="N64" s="44">
        <f t="shared" si="26"/>
        <v>340.30946524064046</v>
      </c>
      <c r="O64" s="44">
        <f t="shared" si="26"/>
        <v>1068.3626388888883</v>
      </c>
      <c r="P64" s="44">
        <f t="shared" si="26"/>
        <v>944.08629343629104</v>
      </c>
      <c r="Q64" s="44">
        <f t="shared" si="26"/>
        <v>299.6272108843537</v>
      </c>
      <c r="R64" s="44">
        <f t="shared" si="26"/>
        <v>260.48541984732799</v>
      </c>
      <c r="S64" s="45">
        <f t="shared" si="26"/>
        <v>368.96918918918948</v>
      </c>
      <c r="T64" s="32">
        <f t="shared" si="27"/>
        <v>0</v>
      </c>
      <c r="U64" s="44">
        <f t="shared" si="27"/>
        <v>0</v>
      </c>
      <c r="V64" s="44">
        <f t="shared" si="27"/>
        <v>0</v>
      </c>
      <c r="AA64" s="8"/>
    </row>
    <row r="65" spans="1:27" hidden="1" outlineLevel="1" x14ac:dyDescent="0.25">
      <c r="A65" s="9"/>
      <c r="B65" s="43" t="s">
        <v>49</v>
      </c>
      <c r="C65" s="31">
        <f>IFERROR(C54/C41,0)</f>
        <v>1443.325965957446</v>
      </c>
      <c r="D65" s="44">
        <f t="shared" ref="D65:S65" si="28">IFERROR(D54/D41,0)</f>
        <v>1200.1049507389159</v>
      </c>
      <c r="E65" s="44">
        <f t="shared" si="28"/>
        <v>1415.5461290322576</v>
      </c>
      <c r="F65" s="44">
        <f t="shared" si="28"/>
        <v>0</v>
      </c>
      <c r="G65" s="44">
        <f t="shared" si="28"/>
        <v>1919.3095757575752</v>
      </c>
      <c r="H65" s="44">
        <f t="shared" si="28"/>
        <v>1512.1415714285704</v>
      </c>
      <c r="I65" s="44">
        <f t="shared" si="28"/>
        <v>1666.130352112674</v>
      </c>
      <c r="J65" s="44">
        <f t="shared" si="28"/>
        <v>1710.0510964912269</v>
      </c>
      <c r="K65" s="44">
        <f t="shared" si="28"/>
        <v>1003.3617777777667</v>
      </c>
      <c r="L65" s="44">
        <f t="shared" si="28"/>
        <v>1370.8096446700508</v>
      </c>
      <c r="M65" s="44">
        <f t="shared" si="28"/>
        <v>1171.8087074829923</v>
      </c>
      <c r="N65" s="44">
        <f t="shared" si="28"/>
        <v>1327.4555056179775</v>
      </c>
      <c r="O65" s="44">
        <f t="shared" si="28"/>
        <v>1712.9854329004327</v>
      </c>
      <c r="P65" s="44">
        <f t="shared" si="28"/>
        <v>1473.128690095846</v>
      </c>
      <c r="Q65" s="44">
        <f t="shared" si="28"/>
        <v>1097.2762441314555</v>
      </c>
      <c r="R65" s="44">
        <f t="shared" si="28"/>
        <v>1826.1596341463414</v>
      </c>
      <c r="S65" s="45">
        <f t="shared" si="28"/>
        <v>1226.7704428044283</v>
      </c>
      <c r="T65" s="32">
        <f>IFERROR(T54/T41,0)</f>
        <v>0</v>
      </c>
      <c r="U65" s="44">
        <f>IFERROR(U54/U41,0)</f>
        <v>0</v>
      </c>
      <c r="V65" s="44">
        <f>IFERROR(V54/V41,0)</f>
        <v>0</v>
      </c>
      <c r="AA65" s="8"/>
    </row>
    <row r="66" spans="1:27" hidden="1" outlineLevel="1" x14ac:dyDescent="0.25">
      <c r="A66" s="9"/>
      <c r="B66" s="57" t="s">
        <v>50</v>
      </c>
      <c r="C66" s="34">
        <f>SUM(C62,C65)</f>
        <v>2821.1559489361671</v>
      </c>
      <c r="D66" s="46">
        <f t="shared" ref="D66:S66" si="29">SUM(D62,D65)</f>
        <v>2639.9725862068967</v>
      </c>
      <c r="E66" s="46">
        <f t="shared" si="29"/>
        <v>1848.8572580645146</v>
      </c>
      <c r="F66" s="46">
        <f t="shared" si="29"/>
        <v>0</v>
      </c>
      <c r="G66" s="46">
        <f t="shared" si="29"/>
        <v>3090.3372121212096</v>
      </c>
      <c r="H66" s="46">
        <f t="shared" si="29"/>
        <v>3277.3107857142832</v>
      </c>
      <c r="I66" s="46">
        <f t="shared" si="29"/>
        <v>2482.5763028168981</v>
      </c>
      <c r="J66" s="46">
        <f t="shared" si="29"/>
        <v>2463.7658333333306</v>
      </c>
      <c r="K66" s="46">
        <f t="shared" si="29"/>
        <v>1361.8227777777654</v>
      </c>
      <c r="L66" s="46">
        <f t="shared" si="29"/>
        <v>2871.9065482233468</v>
      </c>
      <c r="M66" s="46">
        <f t="shared" si="29"/>
        <v>2477.6765986394539</v>
      </c>
      <c r="N66" s="46">
        <f t="shared" si="29"/>
        <v>3178.3041573033674</v>
      </c>
      <c r="O66" s="46">
        <f t="shared" si="29"/>
        <v>3451.4673809523747</v>
      </c>
      <c r="P66" s="46">
        <f t="shared" si="29"/>
        <v>3304.9894888178869</v>
      </c>
      <c r="Q66" s="46">
        <f t="shared" si="29"/>
        <v>2253.5812676056321</v>
      </c>
      <c r="R66" s="46">
        <f t="shared" si="29"/>
        <v>3505.024878048775</v>
      </c>
      <c r="S66" s="58">
        <f t="shared" si="29"/>
        <v>2526.9541328413261</v>
      </c>
      <c r="T66" s="51">
        <f>SUM(T62,T65)</f>
        <v>0</v>
      </c>
      <c r="U66" s="37">
        <f>SUM(U62,U65)</f>
        <v>0</v>
      </c>
      <c r="V66" s="36">
        <f>SUM(V62,V65)</f>
        <v>0</v>
      </c>
      <c r="AA66" s="8"/>
    </row>
    <row r="67" spans="1:27" collapsed="1" x14ac:dyDescent="0.25">
      <c r="A67" s="9"/>
      <c r="B67" s="59" t="s">
        <v>51</v>
      </c>
      <c r="C67" s="36">
        <f>IFERROR(C55/C44,0)</f>
        <v>1556.6076251691459</v>
      </c>
      <c r="D67" s="37">
        <f t="shared" ref="D67:S68" si="30">IFERROR(D55/D44,0)</f>
        <v>1349.9839260020558</v>
      </c>
      <c r="E67" s="37">
        <f t="shared" si="30"/>
        <v>753.85648854961687</v>
      </c>
      <c r="F67" s="37">
        <f t="shared" si="30"/>
        <v>0</v>
      </c>
      <c r="G67" s="37">
        <f t="shared" si="30"/>
        <v>2079.2724210526294</v>
      </c>
      <c r="H67" s="37">
        <f t="shared" si="30"/>
        <v>2111.6444874274644</v>
      </c>
      <c r="I67" s="37">
        <f t="shared" si="30"/>
        <v>1084.1092150706422</v>
      </c>
      <c r="J67" s="37">
        <f t="shared" si="30"/>
        <v>1155.0764376130196</v>
      </c>
      <c r="K67" s="37">
        <f t="shared" si="30"/>
        <v>371.23627906976213</v>
      </c>
      <c r="L67" s="37">
        <f t="shared" si="30"/>
        <v>1358.0375402298837</v>
      </c>
      <c r="M67" s="37">
        <f t="shared" si="30"/>
        <v>1338.6632844036685</v>
      </c>
      <c r="N67" s="37">
        <f t="shared" si="30"/>
        <v>1724.3178356164362</v>
      </c>
      <c r="O67" s="37">
        <f t="shared" si="30"/>
        <v>2208.1083850931645</v>
      </c>
      <c r="P67" s="37">
        <f t="shared" si="30"/>
        <v>2235.9791258741229</v>
      </c>
      <c r="Q67" s="37">
        <f t="shared" si="30"/>
        <v>1120.5191518737668</v>
      </c>
      <c r="R67" s="37">
        <f t="shared" si="30"/>
        <v>1033.8930813953475</v>
      </c>
      <c r="S67" s="60">
        <f t="shared" si="30"/>
        <v>2064.0819999999981</v>
      </c>
      <c r="T67" s="56">
        <f>IFERROR(T55/T44,0)</f>
        <v>0</v>
      </c>
      <c r="U67" s="36">
        <f>IFERROR(U55/U44,0)</f>
        <v>0</v>
      </c>
      <c r="V67" s="36">
        <f>IFERROR(V55/V44,0)</f>
        <v>0</v>
      </c>
      <c r="AA67" s="8"/>
    </row>
    <row r="68" spans="1:27" ht="15.75" thickBot="1" x14ac:dyDescent="0.3">
      <c r="A68" s="9"/>
      <c r="B68" s="61" t="s">
        <v>52</v>
      </c>
      <c r="C68" s="62">
        <f>IFERROR(C56/C45,0)</f>
        <v>2775.5994896785064</v>
      </c>
      <c r="D68" s="62">
        <f t="shared" si="30"/>
        <v>2316.8888514851437</v>
      </c>
      <c r="E68" s="62">
        <f t="shared" si="30"/>
        <v>1043.3138725490178</v>
      </c>
      <c r="F68" s="62">
        <f t="shared" si="30"/>
        <v>0</v>
      </c>
      <c r="G68" s="62">
        <f t="shared" si="30"/>
        <v>2403.5193153153123</v>
      </c>
      <c r="H68" s="62">
        <f t="shared" si="30"/>
        <v>2847.2775599999941</v>
      </c>
      <c r="I68" s="62">
        <f t="shared" si="30"/>
        <v>2164.3975736434072</v>
      </c>
      <c r="J68" s="62">
        <f t="shared" si="30"/>
        <v>2624.6293439550095</v>
      </c>
      <c r="K68" s="62">
        <f t="shared" si="30"/>
        <v>2116.8695121951164</v>
      </c>
      <c r="L68" s="62">
        <f t="shared" si="30"/>
        <v>2476.9131925465795</v>
      </c>
      <c r="M68" s="62">
        <f t="shared" si="30"/>
        <v>2516.7860249739815</v>
      </c>
      <c r="N68" s="62">
        <f t="shared" si="30"/>
        <v>3330.3430715532245</v>
      </c>
      <c r="O68" s="62">
        <f t="shared" si="30"/>
        <v>3716.4722516556244</v>
      </c>
      <c r="P68" s="62">
        <f t="shared" si="30"/>
        <v>3249.6728762541748</v>
      </c>
      <c r="Q68" s="62">
        <f t="shared" si="30"/>
        <v>2820.4048258196685</v>
      </c>
      <c r="R68" s="62">
        <f t="shared" si="30"/>
        <v>2268.0815679999987</v>
      </c>
      <c r="S68" s="63">
        <f t="shared" si="30"/>
        <v>3403.9694290657399</v>
      </c>
      <c r="T68" s="7"/>
      <c r="U68" s="7"/>
      <c r="V68" s="7"/>
      <c r="AA68" s="8"/>
    </row>
    <row r="69" spans="1:27" ht="5.25" customHeight="1" x14ac:dyDescent="0.25"/>
    <row r="70" spans="1:27" x14ac:dyDescent="0.25">
      <c r="B70" s="68" t="s">
        <v>63</v>
      </c>
      <c r="C70" s="65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7" t="s">
        <v>18</v>
      </c>
      <c r="U70" s="5" t="s">
        <v>19</v>
      </c>
      <c r="V70" s="5" t="s">
        <v>20</v>
      </c>
    </row>
    <row r="71" spans="1:27" hidden="1" outlineLevel="1" x14ac:dyDescent="0.25">
      <c r="A71" s="9"/>
      <c r="B71" s="10" t="s">
        <v>21</v>
      </c>
      <c r="C71" s="12">
        <f t="shared" ref="C71:V83" si="31">+C5-C38</f>
        <v>251</v>
      </c>
      <c r="D71" s="12">
        <f t="shared" si="31"/>
        <v>-12</v>
      </c>
      <c r="E71" s="12">
        <f t="shared" si="31"/>
        <v>-42</v>
      </c>
      <c r="F71" s="12">
        <f t="shared" si="31"/>
        <v>0</v>
      </c>
      <c r="G71" s="12">
        <f t="shared" si="31"/>
        <v>57</v>
      </c>
      <c r="H71" s="12">
        <f t="shared" si="31"/>
        <v>-61</v>
      </c>
      <c r="I71" s="12">
        <f t="shared" si="31"/>
        <v>-80</v>
      </c>
      <c r="J71" s="12">
        <f t="shared" si="31"/>
        <v>21</v>
      </c>
      <c r="K71" s="12">
        <f t="shared" si="31"/>
        <v>48</v>
      </c>
      <c r="L71" s="12">
        <f t="shared" si="31"/>
        <v>52</v>
      </c>
      <c r="M71" s="12">
        <f t="shared" si="31"/>
        <v>33</v>
      </c>
      <c r="N71" s="12">
        <f t="shared" si="31"/>
        <v>22</v>
      </c>
      <c r="O71" s="12">
        <f t="shared" si="31"/>
        <v>69</v>
      </c>
      <c r="P71" s="12">
        <f t="shared" si="31"/>
        <v>-10</v>
      </c>
      <c r="Q71" s="12">
        <f t="shared" si="31"/>
        <v>40</v>
      </c>
      <c r="R71" s="12">
        <f t="shared" si="31"/>
        <v>127</v>
      </c>
      <c r="S71" s="12">
        <f t="shared" si="31"/>
        <v>-13</v>
      </c>
      <c r="T71" s="12">
        <f t="shared" si="31"/>
        <v>0</v>
      </c>
      <c r="U71" s="12">
        <f t="shared" si="31"/>
        <v>0</v>
      </c>
      <c r="V71" s="12">
        <f t="shared" si="31"/>
        <v>0</v>
      </c>
      <c r="AA71" s="8"/>
    </row>
    <row r="72" spans="1:27" hidden="1" outlineLevel="1" x14ac:dyDescent="0.25">
      <c r="A72" s="9"/>
      <c r="B72" s="13" t="s">
        <v>22</v>
      </c>
      <c r="C72" s="15">
        <f t="shared" si="31"/>
        <v>-54</v>
      </c>
      <c r="D72" s="15">
        <f t="shared" si="31"/>
        <v>-21</v>
      </c>
      <c r="E72" s="15">
        <f t="shared" si="31"/>
        <v>-7</v>
      </c>
      <c r="F72" s="15">
        <f t="shared" si="31"/>
        <v>0</v>
      </c>
      <c r="G72" s="15">
        <f t="shared" si="31"/>
        <v>-18</v>
      </c>
      <c r="H72" s="15">
        <f t="shared" si="31"/>
        <v>18</v>
      </c>
      <c r="I72" s="15">
        <f t="shared" si="31"/>
        <v>9</v>
      </c>
      <c r="J72" s="15">
        <f t="shared" si="31"/>
        <v>0</v>
      </c>
      <c r="K72" s="15">
        <f t="shared" si="31"/>
        <v>9</v>
      </c>
      <c r="L72" s="15">
        <f t="shared" si="31"/>
        <v>9</v>
      </c>
      <c r="M72" s="15">
        <f t="shared" si="31"/>
        <v>8</v>
      </c>
      <c r="N72" s="15">
        <f t="shared" si="31"/>
        <v>-2</v>
      </c>
      <c r="O72" s="15">
        <f t="shared" si="31"/>
        <v>0</v>
      </c>
      <c r="P72" s="15">
        <f t="shared" si="31"/>
        <v>-17</v>
      </c>
      <c r="Q72" s="15">
        <f t="shared" si="31"/>
        <v>7</v>
      </c>
      <c r="R72" s="15">
        <f t="shared" si="31"/>
        <v>-45</v>
      </c>
      <c r="S72" s="15">
        <f t="shared" si="31"/>
        <v>-4</v>
      </c>
      <c r="T72" s="15">
        <f t="shared" si="31"/>
        <v>0</v>
      </c>
      <c r="U72" s="15">
        <f t="shared" si="31"/>
        <v>0</v>
      </c>
      <c r="V72" s="15">
        <f t="shared" si="31"/>
        <v>0</v>
      </c>
      <c r="AA72" s="8"/>
    </row>
    <row r="73" spans="1:27" collapsed="1" x14ac:dyDescent="0.25">
      <c r="A73" s="9"/>
      <c r="B73" s="16" t="s">
        <v>23</v>
      </c>
      <c r="C73" s="17">
        <f t="shared" si="31"/>
        <v>197</v>
      </c>
      <c r="D73" s="18">
        <f t="shared" si="31"/>
        <v>-33</v>
      </c>
      <c r="E73" s="18">
        <f t="shared" si="31"/>
        <v>-49</v>
      </c>
      <c r="F73" s="18">
        <f t="shared" si="31"/>
        <v>0</v>
      </c>
      <c r="G73" s="18">
        <f t="shared" si="31"/>
        <v>39</v>
      </c>
      <c r="H73" s="18">
        <f t="shared" si="31"/>
        <v>-43</v>
      </c>
      <c r="I73" s="18">
        <f t="shared" si="31"/>
        <v>-71</v>
      </c>
      <c r="J73" s="18">
        <f t="shared" si="31"/>
        <v>21</v>
      </c>
      <c r="K73" s="18">
        <f t="shared" si="31"/>
        <v>57</v>
      </c>
      <c r="L73" s="18">
        <f t="shared" si="31"/>
        <v>61</v>
      </c>
      <c r="M73" s="18">
        <f t="shared" si="31"/>
        <v>41</v>
      </c>
      <c r="N73" s="18">
        <f t="shared" si="31"/>
        <v>20</v>
      </c>
      <c r="O73" s="18">
        <f t="shared" si="31"/>
        <v>69</v>
      </c>
      <c r="P73" s="18">
        <f t="shared" si="31"/>
        <v>-27</v>
      </c>
      <c r="Q73" s="18">
        <f t="shared" si="31"/>
        <v>47</v>
      </c>
      <c r="R73" s="18">
        <f t="shared" si="31"/>
        <v>82</v>
      </c>
      <c r="S73" s="18">
        <f t="shared" si="31"/>
        <v>-17</v>
      </c>
      <c r="T73" s="19">
        <f t="shared" si="31"/>
        <v>0</v>
      </c>
      <c r="U73" s="19">
        <f t="shared" si="31"/>
        <v>0</v>
      </c>
      <c r="V73" s="19">
        <f t="shared" si="31"/>
        <v>0</v>
      </c>
      <c r="AA73" s="8"/>
    </row>
    <row r="74" spans="1:27" ht="14.25" hidden="1" customHeight="1" outlineLevel="1" x14ac:dyDescent="0.25">
      <c r="A74" s="9"/>
      <c r="B74" s="10" t="s">
        <v>24</v>
      </c>
      <c r="C74" s="11">
        <f t="shared" si="31"/>
        <v>86</v>
      </c>
      <c r="D74" s="12">
        <f t="shared" si="31"/>
        <v>-12</v>
      </c>
      <c r="E74" s="12">
        <f t="shared" si="31"/>
        <v>-56</v>
      </c>
      <c r="F74" s="12">
        <f t="shared" si="31"/>
        <v>0</v>
      </c>
      <c r="G74" s="12">
        <f t="shared" si="31"/>
        <v>42</v>
      </c>
      <c r="H74" s="12">
        <f t="shared" si="31"/>
        <v>-42</v>
      </c>
      <c r="I74" s="12">
        <f t="shared" si="31"/>
        <v>-27</v>
      </c>
      <c r="J74" s="12">
        <f t="shared" si="31"/>
        <v>43</v>
      </c>
      <c r="K74" s="12">
        <f t="shared" si="31"/>
        <v>3</v>
      </c>
      <c r="L74" s="12">
        <f t="shared" si="31"/>
        <v>64</v>
      </c>
      <c r="M74" s="12">
        <f t="shared" si="31"/>
        <v>10</v>
      </c>
      <c r="N74" s="12">
        <f t="shared" si="31"/>
        <v>-14</v>
      </c>
      <c r="O74" s="12">
        <f t="shared" si="31"/>
        <v>74</v>
      </c>
      <c r="P74" s="12">
        <f t="shared" si="31"/>
        <v>-36</v>
      </c>
      <c r="Q74" s="12">
        <f t="shared" si="31"/>
        <v>69</v>
      </c>
      <c r="R74" s="12">
        <f t="shared" si="31"/>
        <v>-36</v>
      </c>
      <c r="S74" s="12">
        <f t="shared" si="31"/>
        <v>4</v>
      </c>
      <c r="T74" s="20">
        <f t="shared" si="31"/>
        <v>0</v>
      </c>
      <c r="U74" s="20">
        <f t="shared" si="31"/>
        <v>0</v>
      </c>
      <c r="V74" s="20">
        <f t="shared" si="31"/>
        <v>0</v>
      </c>
      <c r="AA74" s="8"/>
    </row>
    <row r="75" spans="1:27" hidden="1" outlineLevel="1" x14ac:dyDescent="0.25">
      <c r="A75" s="9"/>
      <c r="B75" s="13" t="s">
        <v>25</v>
      </c>
      <c r="C75" s="14">
        <f t="shared" si="31"/>
        <v>0</v>
      </c>
      <c r="D75" s="15">
        <f t="shared" si="31"/>
        <v>0</v>
      </c>
      <c r="E75" s="15">
        <f t="shared" si="31"/>
        <v>0</v>
      </c>
      <c r="F75" s="15">
        <f t="shared" si="31"/>
        <v>0</v>
      </c>
      <c r="G75" s="15">
        <f t="shared" si="31"/>
        <v>0</v>
      </c>
      <c r="H75" s="15">
        <f t="shared" si="31"/>
        <v>0</v>
      </c>
      <c r="I75" s="15">
        <f t="shared" si="31"/>
        <v>0</v>
      </c>
      <c r="J75" s="15">
        <f t="shared" si="31"/>
        <v>0</v>
      </c>
      <c r="K75" s="15">
        <f t="shared" si="31"/>
        <v>0</v>
      </c>
      <c r="L75" s="15">
        <f t="shared" si="31"/>
        <v>0</v>
      </c>
      <c r="M75" s="15">
        <f t="shared" si="31"/>
        <v>0</v>
      </c>
      <c r="N75" s="15">
        <f t="shared" si="31"/>
        <v>0</v>
      </c>
      <c r="O75" s="15">
        <f t="shared" si="31"/>
        <v>0</v>
      </c>
      <c r="P75" s="15">
        <f t="shared" si="31"/>
        <v>0</v>
      </c>
      <c r="Q75" s="15">
        <f t="shared" si="31"/>
        <v>0</v>
      </c>
      <c r="R75" s="15">
        <f t="shared" si="31"/>
        <v>0</v>
      </c>
      <c r="S75" s="15">
        <f t="shared" si="31"/>
        <v>0</v>
      </c>
      <c r="T75" s="21">
        <f t="shared" si="31"/>
        <v>0</v>
      </c>
      <c r="U75" s="21">
        <f t="shared" si="31"/>
        <v>0</v>
      </c>
      <c r="V75" s="21">
        <f t="shared" si="31"/>
        <v>0</v>
      </c>
      <c r="AA75" s="8"/>
    </row>
    <row r="76" spans="1:27" hidden="1" outlineLevel="1" x14ac:dyDescent="0.25">
      <c r="A76" s="9"/>
      <c r="B76" s="13" t="s">
        <v>26</v>
      </c>
      <c r="C76" s="22">
        <f t="shared" si="31"/>
        <v>-245</v>
      </c>
      <c r="D76" s="23">
        <f t="shared" si="31"/>
        <v>-46</v>
      </c>
      <c r="E76" s="23">
        <f t="shared" si="31"/>
        <v>-48</v>
      </c>
      <c r="F76" s="23">
        <f t="shared" si="31"/>
        <v>0</v>
      </c>
      <c r="G76" s="23">
        <f t="shared" si="31"/>
        <v>-2</v>
      </c>
      <c r="H76" s="23">
        <f t="shared" si="31"/>
        <v>-22</v>
      </c>
      <c r="I76" s="23">
        <f t="shared" si="31"/>
        <v>-34</v>
      </c>
      <c r="J76" s="23">
        <f t="shared" si="31"/>
        <v>-30</v>
      </c>
      <c r="K76" s="23">
        <f t="shared" si="31"/>
        <v>15</v>
      </c>
      <c r="L76" s="23">
        <f t="shared" si="31"/>
        <v>26</v>
      </c>
      <c r="M76" s="23">
        <f t="shared" si="31"/>
        <v>-18</v>
      </c>
      <c r="N76" s="23">
        <f t="shared" si="31"/>
        <v>-19</v>
      </c>
      <c r="O76" s="23">
        <f t="shared" si="31"/>
        <v>-80</v>
      </c>
      <c r="P76" s="23">
        <f t="shared" si="31"/>
        <v>1</v>
      </c>
      <c r="Q76" s="23">
        <f t="shared" si="31"/>
        <v>27</v>
      </c>
      <c r="R76" s="23">
        <f t="shared" si="31"/>
        <v>-24</v>
      </c>
      <c r="S76" s="23">
        <f t="shared" si="31"/>
        <v>9</v>
      </c>
      <c r="T76" s="24">
        <f t="shared" si="31"/>
        <v>0</v>
      </c>
      <c r="U76" s="24">
        <f t="shared" si="31"/>
        <v>0</v>
      </c>
      <c r="V76" s="24">
        <f t="shared" si="31"/>
        <v>0</v>
      </c>
      <c r="AA76" s="8"/>
    </row>
    <row r="77" spans="1:27" collapsed="1" x14ac:dyDescent="0.25">
      <c r="A77" s="9"/>
      <c r="B77" s="16" t="s">
        <v>27</v>
      </c>
      <c r="C77" s="17">
        <f t="shared" si="31"/>
        <v>-159</v>
      </c>
      <c r="D77" s="18">
        <f t="shared" si="31"/>
        <v>-58</v>
      </c>
      <c r="E77" s="18">
        <f t="shared" si="31"/>
        <v>-104</v>
      </c>
      <c r="F77" s="18">
        <f t="shared" si="31"/>
        <v>0</v>
      </c>
      <c r="G77" s="18">
        <f t="shared" si="31"/>
        <v>40</v>
      </c>
      <c r="H77" s="18">
        <f t="shared" si="31"/>
        <v>-64</v>
      </c>
      <c r="I77" s="18">
        <f t="shared" si="31"/>
        <v>-61</v>
      </c>
      <c r="J77" s="18">
        <f t="shared" si="31"/>
        <v>13</v>
      </c>
      <c r="K77" s="18">
        <f t="shared" si="31"/>
        <v>18</v>
      </c>
      <c r="L77" s="18">
        <f t="shared" si="31"/>
        <v>90</v>
      </c>
      <c r="M77" s="18">
        <f t="shared" si="31"/>
        <v>-8</v>
      </c>
      <c r="N77" s="18">
        <f t="shared" si="31"/>
        <v>-33</v>
      </c>
      <c r="O77" s="18">
        <f t="shared" si="31"/>
        <v>-6</v>
      </c>
      <c r="P77" s="18">
        <f t="shared" si="31"/>
        <v>-35</v>
      </c>
      <c r="Q77" s="18">
        <f t="shared" si="31"/>
        <v>96</v>
      </c>
      <c r="R77" s="18">
        <f t="shared" si="31"/>
        <v>-60</v>
      </c>
      <c r="S77" s="18">
        <f t="shared" si="31"/>
        <v>13</v>
      </c>
      <c r="T77" s="19">
        <f t="shared" si="31"/>
        <v>0</v>
      </c>
      <c r="U77" s="19">
        <f t="shared" si="31"/>
        <v>0</v>
      </c>
      <c r="V77" s="19">
        <f t="shared" si="31"/>
        <v>0</v>
      </c>
      <c r="AA77" s="8"/>
    </row>
    <row r="78" spans="1:27" ht="15.75" thickBot="1" x14ac:dyDescent="0.3">
      <c r="A78" s="9"/>
      <c r="B78" s="25" t="s">
        <v>28</v>
      </c>
      <c r="C78" s="11">
        <f t="shared" si="31"/>
        <v>38</v>
      </c>
      <c r="D78" s="11">
        <f>+D12-D45</f>
        <v>-91</v>
      </c>
      <c r="E78" s="11">
        <f t="shared" si="31"/>
        <v>-153</v>
      </c>
      <c r="F78" s="11">
        <f t="shared" si="31"/>
        <v>0</v>
      </c>
      <c r="G78" s="11">
        <f t="shared" si="31"/>
        <v>79</v>
      </c>
      <c r="H78" s="11">
        <f t="shared" si="31"/>
        <v>-107</v>
      </c>
      <c r="I78" s="11">
        <f t="shared" si="31"/>
        <v>-132</v>
      </c>
      <c r="J78" s="11">
        <f t="shared" si="31"/>
        <v>34</v>
      </c>
      <c r="K78" s="11">
        <f t="shared" si="31"/>
        <v>75</v>
      </c>
      <c r="L78" s="11">
        <f t="shared" si="31"/>
        <v>151</v>
      </c>
      <c r="M78" s="11">
        <f t="shared" si="31"/>
        <v>33</v>
      </c>
      <c r="N78" s="11">
        <f t="shared" si="31"/>
        <v>-13</v>
      </c>
      <c r="O78" s="11">
        <f t="shared" si="31"/>
        <v>63</v>
      </c>
      <c r="P78" s="11">
        <f t="shared" si="31"/>
        <v>-62</v>
      </c>
      <c r="Q78" s="11">
        <f t="shared" si="31"/>
        <v>143</v>
      </c>
      <c r="R78" s="11">
        <f t="shared" si="31"/>
        <v>22</v>
      </c>
      <c r="S78" s="11">
        <f t="shared" si="31"/>
        <v>-4</v>
      </c>
      <c r="T78" s="26"/>
      <c r="U78" s="26"/>
      <c r="V78" s="26"/>
      <c r="AA78" s="8"/>
    </row>
    <row r="79" spans="1:27" ht="15.75" hidden="1" outlineLevel="1" thickBot="1" x14ac:dyDescent="0.3">
      <c r="A79" s="9"/>
      <c r="B79" s="27" t="s">
        <v>30</v>
      </c>
      <c r="C79" s="28">
        <f t="shared" si="31"/>
        <v>-257479.37999998778</v>
      </c>
      <c r="D79" s="29">
        <f t="shared" si="31"/>
        <v>-119049.31999999564</v>
      </c>
      <c r="E79" s="29">
        <f t="shared" si="31"/>
        <v>-92361.669999999591</v>
      </c>
      <c r="F79" s="29">
        <f t="shared" si="31"/>
        <v>0</v>
      </c>
      <c r="G79" s="29">
        <f t="shared" si="31"/>
        <v>-116178.25999999969</v>
      </c>
      <c r="H79" s="29">
        <f t="shared" si="31"/>
        <v>-32515.619999999879</v>
      </c>
      <c r="I79" s="29">
        <f t="shared" si="31"/>
        <v>-195144.72999999765</v>
      </c>
      <c r="J79" s="29">
        <f t="shared" si="31"/>
        <v>159335.37000000128</v>
      </c>
      <c r="K79" s="29">
        <f t="shared" si="31"/>
        <v>-33448.179999999818</v>
      </c>
      <c r="L79" s="29">
        <f t="shared" si="31"/>
        <v>212690.04000000248</v>
      </c>
      <c r="M79" s="29">
        <f t="shared" si="31"/>
        <v>-67160.209999997402</v>
      </c>
      <c r="N79" s="29">
        <f t="shared" si="31"/>
        <v>5313.9099999994505</v>
      </c>
      <c r="O79" s="29">
        <f t="shared" si="31"/>
        <v>-472654.809999994</v>
      </c>
      <c r="P79" s="29">
        <f t="shared" si="31"/>
        <v>7586.9500000011176</v>
      </c>
      <c r="Q79" s="29">
        <f t="shared" si="31"/>
        <v>129404.94999999856</v>
      </c>
      <c r="R79" s="29">
        <f t="shared" si="31"/>
        <v>505220.98999999929</v>
      </c>
      <c r="S79" s="29">
        <f t="shared" si="31"/>
        <v>-148518.78999999852</v>
      </c>
      <c r="T79" s="29">
        <f t="shared" si="31"/>
        <v>0</v>
      </c>
      <c r="U79" s="29">
        <f t="shared" si="31"/>
        <v>0</v>
      </c>
      <c r="V79" s="29">
        <f t="shared" si="31"/>
        <v>0</v>
      </c>
      <c r="AA79" s="8"/>
    </row>
    <row r="80" spans="1:27" ht="15.75" hidden="1" outlineLevel="1" thickBot="1" x14ac:dyDescent="0.3">
      <c r="A80" s="9"/>
      <c r="B80" s="30" t="s">
        <v>31</v>
      </c>
      <c r="C80" s="31">
        <f t="shared" si="31"/>
        <v>-50098.54999999993</v>
      </c>
      <c r="D80" s="32">
        <f t="shared" si="31"/>
        <v>26166.070000000182</v>
      </c>
      <c r="E80" s="32">
        <f t="shared" si="31"/>
        <v>-1265.92</v>
      </c>
      <c r="F80" s="32">
        <f t="shared" si="31"/>
        <v>0</v>
      </c>
      <c r="G80" s="32">
        <f t="shared" si="31"/>
        <v>-16628.699999999997</v>
      </c>
      <c r="H80" s="32">
        <f t="shared" si="31"/>
        <v>-2769.8799999999974</v>
      </c>
      <c r="I80" s="32">
        <f t="shared" si="31"/>
        <v>14003.189999999813</v>
      </c>
      <c r="J80" s="32">
        <f t="shared" si="31"/>
        <v>-6856.3199999998906</v>
      </c>
      <c r="K80" s="32">
        <f t="shared" si="31"/>
        <v>-19443.289999999986</v>
      </c>
      <c r="L80" s="32">
        <f t="shared" si="31"/>
        <v>-1701.010000000053</v>
      </c>
      <c r="M80" s="32">
        <f t="shared" si="31"/>
        <v>-14917.01000000018</v>
      </c>
      <c r="N80" s="32">
        <f t="shared" si="31"/>
        <v>-18227.609999999957</v>
      </c>
      <c r="O80" s="32">
        <f t="shared" si="31"/>
        <v>-1175.7899999999145</v>
      </c>
      <c r="P80" s="32">
        <f t="shared" si="31"/>
        <v>-3992.2</v>
      </c>
      <c r="Q80" s="32">
        <f t="shared" si="31"/>
        <v>6768.6300000000447</v>
      </c>
      <c r="R80" s="32">
        <f t="shared" si="31"/>
        <v>-7279.1800000000467</v>
      </c>
      <c r="S80" s="32">
        <f t="shared" si="31"/>
        <v>-2779.5299999999979</v>
      </c>
      <c r="T80" s="32">
        <f t="shared" si="31"/>
        <v>0</v>
      </c>
      <c r="U80" s="32">
        <f t="shared" si="31"/>
        <v>0</v>
      </c>
      <c r="V80" s="32">
        <f t="shared" si="31"/>
        <v>0</v>
      </c>
      <c r="AA80" s="8"/>
    </row>
    <row r="81" spans="1:27" ht="15.75" hidden="1" outlineLevel="1" thickBot="1" x14ac:dyDescent="0.3">
      <c r="A81" s="9"/>
      <c r="B81" s="30" t="s">
        <v>32</v>
      </c>
      <c r="C81" s="31">
        <f t="shared" si="31"/>
        <v>465125.87</v>
      </c>
      <c r="D81" s="32">
        <f t="shared" si="31"/>
        <v>267002.31999999896</v>
      </c>
      <c r="E81" s="32">
        <f t="shared" si="31"/>
        <v>0</v>
      </c>
      <c r="F81" s="32">
        <f t="shared" si="31"/>
        <v>0</v>
      </c>
      <c r="G81" s="32">
        <f t="shared" si="31"/>
        <v>-18240.709999999981</v>
      </c>
      <c r="H81" s="32">
        <f t="shared" si="31"/>
        <v>5738.2700000001932</v>
      </c>
      <c r="I81" s="32">
        <f t="shared" si="31"/>
        <v>16228.750000000022</v>
      </c>
      <c r="J81" s="32">
        <f t="shared" si="31"/>
        <v>19104.329999999773</v>
      </c>
      <c r="K81" s="32">
        <f t="shared" si="31"/>
        <v>-7945.3000000000666</v>
      </c>
      <c r="L81" s="32">
        <f t="shared" si="31"/>
        <v>-9621.7600000000311</v>
      </c>
      <c r="M81" s="32">
        <f t="shared" si="31"/>
        <v>57978.929999999782</v>
      </c>
      <c r="N81" s="32">
        <f t="shared" si="31"/>
        <v>-10499.340000000018</v>
      </c>
      <c r="O81" s="32">
        <f t="shared" si="31"/>
        <v>0</v>
      </c>
      <c r="P81" s="32">
        <f t="shared" si="31"/>
        <v>221443.68000000133</v>
      </c>
      <c r="Q81" s="32">
        <f t="shared" si="31"/>
        <v>40514.64999999987</v>
      </c>
      <c r="R81" s="32">
        <f t="shared" si="31"/>
        <v>-116577.9199999999</v>
      </c>
      <c r="S81" s="32">
        <f t="shared" si="31"/>
        <v>-2.9999999999404059E-2</v>
      </c>
      <c r="T81" s="32">
        <f t="shared" si="31"/>
        <v>0</v>
      </c>
      <c r="U81" s="32">
        <f t="shared" si="31"/>
        <v>0</v>
      </c>
      <c r="V81" s="32">
        <f t="shared" si="31"/>
        <v>0</v>
      </c>
      <c r="AA81" s="8"/>
    </row>
    <row r="82" spans="1:27" ht="15.75" hidden="1" outlineLevel="1" thickBot="1" x14ac:dyDescent="0.3">
      <c r="A82" s="9"/>
      <c r="B82" s="33" t="s">
        <v>33</v>
      </c>
      <c r="C82" s="34">
        <f t="shared" si="31"/>
        <v>1140846.8100000005</v>
      </c>
      <c r="D82" s="35">
        <f t="shared" si="31"/>
        <v>204041.06999999937</v>
      </c>
      <c r="E82" s="35">
        <f t="shared" si="31"/>
        <v>-30998.86</v>
      </c>
      <c r="F82" s="35">
        <f t="shared" si="31"/>
        <v>0</v>
      </c>
      <c r="G82" s="35">
        <f t="shared" si="31"/>
        <v>40308.849999999744</v>
      </c>
      <c r="H82" s="35">
        <f t="shared" si="31"/>
        <v>-35048.289999999106</v>
      </c>
      <c r="I82" s="35">
        <f t="shared" si="31"/>
        <v>-13415.690000000293</v>
      </c>
      <c r="J82" s="35">
        <f t="shared" si="31"/>
        <v>11702.879999999306</v>
      </c>
      <c r="K82" s="35">
        <f t="shared" si="31"/>
        <v>69837.779999999912</v>
      </c>
      <c r="L82" s="35">
        <f t="shared" si="31"/>
        <v>111014.90000000014</v>
      </c>
      <c r="M82" s="35">
        <f t="shared" si="31"/>
        <v>66456.909999999858</v>
      </c>
      <c r="N82" s="35">
        <f t="shared" si="31"/>
        <v>105042.58000000042</v>
      </c>
      <c r="O82" s="35">
        <f t="shared" si="31"/>
        <v>333565.68000000203</v>
      </c>
      <c r="P82" s="35">
        <f t="shared" si="31"/>
        <v>-79376.359999999986</v>
      </c>
      <c r="Q82" s="35">
        <f t="shared" si="31"/>
        <v>46224.120000000112</v>
      </c>
      <c r="R82" s="35">
        <f t="shared" si="31"/>
        <v>221341.74999999962</v>
      </c>
      <c r="S82" s="35">
        <f t="shared" si="31"/>
        <v>90149.490000000107</v>
      </c>
      <c r="T82" s="35">
        <f t="shared" si="31"/>
        <v>0</v>
      </c>
      <c r="U82" s="35">
        <f t="shared" si="31"/>
        <v>0</v>
      </c>
      <c r="V82" s="35">
        <f t="shared" si="31"/>
        <v>0</v>
      </c>
      <c r="AA82" s="8"/>
    </row>
    <row r="83" spans="1:27" ht="15.75" hidden="1" outlineLevel="1" thickBot="1" x14ac:dyDescent="0.3">
      <c r="A83" s="9"/>
      <c r="B83" s="16" t="s">
        <v>34</v>
      </c>
      <c r="C83" s="36">
        <f t="shared" si="31"/>
        <v>1298394.7500000149</v>
      </c>
      <c r="D83" s="37">
        <f t="shared" si="31"/>
        <v>378160.14000000339</v>
      </c>
      <c r="E83" s="37">
        <f t="shared" si="31"/>
        <v>-124626.44999999959</v>
      </c>
      <c r="F83" s="37">
        <f t="shared" si="31"/>
        <v>0</v>
      </c>
      <c r="G83" s="37">
        <f t="shared" si="31"/>
        <v>-110738.81999999995</v>
      </c>
      <c r="H83" s="37">
        <f t="shared" si="31"/>
        <v>-64595.519999999087</v>
      </c>
      <c r="I83" s="37">
        <f t="shared" si="31"/>
        <v>-178328.47999999812</v>
      </c>
      <c r="J83" s="37">
        <f t="shared" si="31"/>
        <v>183286.26000000071</v>
      </c>
      <c r="K83" s="37">
        <f t="shared" si="31"/>
        <v>9001.0100000000093</v>
      </c>
      <c r="L83" s="37">
        <f t="shared" si="31"/>
        <v>312382.17000000272</v>
      </c>
      <c r="M83" s="37">
        <f t="shared" si="31"/>
        <v>42358.620000002207</v>
      </c>
      <c r="N83" s="37">
        <f t="shared" si="31"/>
        <v>81629.539999999804</v>
      </c>
      <c r="O83" s="37">
        <f t="shared" si="31"/>
        <v>-140264.91999999061</v>
      </c>
      <c r="P83" s="37">
        <f t="shared" si="31"/>
        <v>145662.07000000263</v>
      </c>
      <c r="Q83" s="37">
        <f t="shared" si="31"/>
        <v>222912.3499999987</v>
      </c>
      <c r="R83" s="37">
        <f t="shared" si="31"/>
        <v>602705.63999999897</v>
      </c>
      <c r="S83" s="37">
        <f t="shared" si="31"/>
        <v>-61148.859999998473</v>
      </c>
      <c r="T83" s="36">
        <f t="shared" si="31"/>
        <v>0</v>
      </c>
      <c r="U83" s="36">
        <f t="shared" si="31"/>
        <v>0</v>
      </c>
      <c r="V83" s="36">
        <f t="shared" ref="V83:AH83" si="32">+V17-V50</f>
        <v>0</v>
      </c>
      <c r="AA83" s="8"/>
    </row>
    <row r="84" spans="1:27" ht="15.75" hidden="1" outlineLevel="1" thickBot="1" x14ac:dyDescent="0.3">
      <c r="A84" s="9"/>
      <c r="B84" s="30" t="s">
        <v>35</v>
      </c>
      <c r="C84" s="31">
        <f t="shared" ref="C84:V91" si="33">+C18-C51</f>
        <v>2277352.88</v>
      </c>
      <c r="D84" s="32">
        <f t="shared" si="33"/>
        <v>196418.54999999842</v>
      </c>
      <c r="E84" s="32">
        <f t="shared" si="33"/>
        <v>-12096.729999999934</v>
      </c>
      <c r="F84" s="32">
        <f t="shared" si="33"/>
        <v>0</v>
      </c>
      <c r="G84" s="32">
        <f t="shared" si="33"/>
        <v>229335.47999999949</v>
      </c>
      <c r="H84" s="32">
        <f t="shared" si="33"/>
        <v>147130.87999999971</v>
      </c>
      <c r="I84" s="32">
        <f t="shared" si="33"/>
        <v>137240.16999999987</v>
      </c>
      <c r="J84" s="32">
        <f t="shared" si="33"/>
        <v>309981.02000000025</v>
      </c>
      <c r="K84" s="32">
        <f t="shared" si="33"/>
        <v>95617.489999999772</v>
      </c>
      <c r="L84" s="32">
        <f t="shared" si="33"/>
        <v>251687.52999999974</v>
      </c>
      <c r="M84" s="32">
        <f t="shared" si="33"/>
        <v>103689.95999999961</v>
      </c>
      <c r="N84" s="32">
        <f t="shared" si="33"/>
        <v>-35360.169999999809</v>
      </c>
      <c r="O84" s="32">
        <f t="shared" si="33"/>
        <v>162388.99000000302</v>
      </c>
      <c r="P84" s="32">
        <f t="shared" si="33"/>
        <v>24650.510000000242</v>
      </c>
      <c r="Q84" s="32">
        <f t="shared" si="33"/>
        <v>619724.0499999997</v>
      </c>
      <c r="R84" s="32">
        <f t="shared" si="33"/>
        <v>26696.630000000005</v>
      </c>
      <c r="S84" s="32">
        <f t="shared" si="33"/>
        <v>20248.520000000193</v>
      </c>
      <c r="T84" s="32">
        <f t="shared" si="33"/>
        <v>0</v>
      </c>
      <c r="U84" s="32">
        <f t="shared" si="33"/>
        <v>0</v>
      </c>
      <c r="V84" s="32">
        <f t="shared" si="33"/>
        <v>0</v>
      </c>
      <c r="AA84" s="8"/>
    </row>
    <row r="85" spans="1:27" ht="15.75" hidden="1" outlineLevel="1" thickBot="1" x14ac:dyDescent="0.3">
      <c r="A85" s="9"/>
      <c r="B85" s="30" t="s">
        <v>36</v>
      </c>
      <c r="C85" s="31">
        <f t="shared" si="33"/>
        <v>0</v>
      </c>
      <c r="D85" s="32">
        <f t="shared" si="33"/>
        <v>0</v>
      </c>
      <c r="E85" s="32">
        <f t="shared" si="33"/>
        <v>0</v>
      </c>
      <c r="F85" s="32">
        <f t="shared" si="33"/>
        <v>0</v>
      </c>
      <c r="G85" s="32">
        <f t="shared" si="33"/>
        <v>0</v>
      </c>
      <c r="H85" s="32">
        <f t="shared" si="33"/>
        <v>0</v>
      </c>
      <c r="I85" s="32">
        <f t="shared" si="33"/>
        <v>0</v>
      </c>
      <c r="J85" s="32">
        <f t="shared" si="33"/>
        <v>0</v>
      </c>
      <c r="K85" s="32">
        <f t="shared" si="33"/>
        <v>0</v>
      </c>
      <c r="L85" s="32">
        <f t="shared" si="33"/>
        <v>0</v>
      </c>
      <c r="M85" s="32">
        <f t="shared" si="33"/>
        <v>0</v>
      </c>
      <c r="N85" s="32">
        <f t="shared" si="33"/>
        <v>0</v>
      </c>
      <c r="O85" s="32">
        <f t="shared" si="33"/>
        <v>0</v>
      </c>
      <c r="P85" s="32">
        <f t="shared" si="33"/>
        <v>0</v>
      </c>
      <c r="Q85" s="32">
        <f t="shared" si="33"/>
        <v>0</v>
      </c>
      <c r="R85" s="32">
        <f t="shared" si="33"/>
        <v>0</v>
      </c>
      <c r="S85" s="32">
        <f t="shared" si="33"/>
        <v>0</v>
      </c>
      <c r="T85" s="32">
        <f t="shared" si="33"/>
        <v>0</v>
      </c>
      <c r="U85" s="32">
        <f t="shared" si="33"/>
        <v>0</v>
      </c>
      <c r="V85" s="32">
        <f t="shared" si="33"/>
        <v>0</v>
      </c>
      <c r="AA85" s="8"/>
    </row>
    <row r="86" spans="1:27" ht="15.75" hidden="1" outlineLevel="1" thickBot="1" x14ac:dyDescent="0.3">
      <c r="A86" s="9"/>
      <c r="B86" s="30" t="s">
        <v>37</v>
      </c>
      <c r="C86" s="31">
        <f t="shared" si="33"/>
        <v>1219341.9599999967</v>
      </c>
      <c r="D86" s="32">
        <f t="shared" si="33"/>
        <v>197337.24999999951</v>
      </c>
      <c r="E86" s="32">
        <f t="shared" si="33"/>
        <v>578.97000000010848</v>
      </c>
      <c r="F86" s="32">
        <f t="shared" si="33"/>
        <v>0</v>
      </c>
      <c r="G86" s="32">
        <f t="shared" si="33"/>
        <v>34280.699999999895</v>
      </c>
      <c r="H86" s="32">
        <f t="shared" si="33"/>
        <v>79879.489999999671</v>
      </c>
      <c r="I86" s="32">
        <f t="shared" si="33"/>
        <v>219355.34999999971</v>
      </c>
      <c r="J86" s="32">
        <f t="shared" si="33"/>
        <v>48157.719999999201</v>
      </c>
      <c r="K86" s="32">
        <f t="shared" si="33"/>
        <v>103043.04999999973</v>
      </c>
      <c r="L86" s="32">
        <f t="shared" si="33"/>
        <v>69149.31999999957</v>
      </c>
      <c r="M86" s="32">
        <f t="shared" si="33"/>
        <v>159686.13999999964</v>
      </c>
      <c r="N86" s="32">
        <f t="shared" si="33"/>
        <v>7788.0500000000902</v>
      </c>
      <c r="O86" s="32">
        <f t="shared" si="33"/>
        <v>-19665.640000000305</v>
      </c>
      <c r="P86" s="32">
        <f t="shared" si="33"/>
        <v>-19268.179999999644</v>
      </c>
      <c r="Q86" s="32">
        <f t="shared" si="33"/>
        <v>153041.14999999959</v>
      </c>
      <c r="R86" s="32">
        <f t="shared" si="33"/>
        <v>164694.69999999934</v>
      </c>
      <c r="S86" s="32">
        <f t="shared" si="33"/>
        <v>21283.889999999868</v>
      </c>
      <c r="T86" s="32">
        <f t="shared" si="33"/>
        <v>0</v>
      </c>
      <c r="U86" s="32">
        <f t="shared" si="33"/>
        <v>0</v>
      </c>
      <c r="V86" s="32">
        <f t="shared" si="33"/>
        <v>0</v>
      </c>
      <c r="AA86" s="8"/>
    </row>
    <row r="87" spans="1:27" ht="15.75" hidden="1" outlineLevel="1" thickBot="1" x14ac:dyDescent="0.3">
      <c r="A87" s="9"/>
      <c r="B87" s="30" t="s">
        <v>38</v>
      </c>
      <c r="C87" s="31">
        <f>+C21-C54</f>
        <v>78540.079999998212</v>
      </c>
      <c r="D87" s="32">
        <f t="shared" si="33"/>
        <v>-71715.280000000203</v>
      </c>
      <c r="E87" s="32">
        <f t="shared" si="33"/>
        <v>-73176.089999999967</v>
      </c>
      <c r="F87" s="32">
        <f t="shared" si="33"/>
        <v>0</v>
      </c>
      <c r="G87" s="32">
        <f t="shared" si="33"/>
        <v>-12341.630000000005</v>
      </c>
      <c r="H87" s="32">
        <f t="shared" si="33"/>
        <v>-121735.00999999995</v>
      </c>
      <c r="I87" s="32">
        <f t="shared" si="33"/>
        <v>54735.890000000247</v>
      </c>
      <c r="J87" s="32">
        <f t="shared" si="33"/>
        <v>59545.139999999898</v>
      </c>
      <c r="K87" s="32">
        <f t="shared" si="33"/>
        <v>20722.190000000992</v>
      </c>
      <c r="L87" s="32">
        <f t="shared" si="33"/>
        <v>135928.79000000004</v>
      </c>
      <c r="M87" s="32">
        <f t="shared" si="33"/>
        <v>28539.45000000007</v>
      </c>
      <c r="N87" s="32">
        <f t="shared" si="33"/>
        <v>42596.529999999766</v>
      </c>
      <c r="O87" s="32">
        <f t="shared" si="33"/>
        <v>2136.6799999990035</v>
      </c>
      <c r="P87" s="32">
        <f t="shared" si="33"/>
        <v>-32699.640000000363</v>
      </c>
      <c r="Q87" s="32">
        <f t="shared" si="33"/>
        <v>85764.819999999891</v>
      </c>
      <c r="R87" s="32">
        <f t="shared" si="33"/>
        <v>-62610.310000000318</v>
      </c>
      <c r="S87" s="32">
        <f t="shared" si="33"/>
        <v>22848.549999999756</v>
      </c>
      <c r="T87" s="32">
        <f t="shared" si="33"/>
        <v>0</v>
      </c>
      <c r="U87" s="32">
        <f t="shared" si="33"/>
        <v>0</v>
      </c>
      <c r="V87" s="32">
        <f t="shared" si="33"/>
        <v>0</v>
      </c>
      <c r="AA87" s="8"/>
    </row>
    <row r="88" spans="1:27" ht="15.75" hidden="1" outlineLevel="1" thickBot="1" x14ac:dyDescent="0.3">
      <c r="A88" s="9"/>
      <c r="B88" s="16" t="s">
        <v>39</v>
      </c>
      <c r="C88" s="36">
        <f>+C22-C55</f>
        <v>3575234.9199999943</v>
      </c>
      <c r="D88" s="37">
        <f t="shared" si="33"/>
        <v>322040.51999999746</v>
      </c>
      <c r="E88" s="37">
        <f t="shared" si="33"/>
        <v>-84693.849999999802</v>
      </c>
      <c r="F88" s="37">
        <f t="shared" si="33"/>
        <v>0</v>
      </c>
      <c r="G88" s="37">
        <f t="shared" si="33"/>
        <v>251274.54999999935</v>
      </c>
      <c r="H88" s="37">
        <f t="shared" si="33"/>
        <v>105275.3599999994</v>
      </c>
      <c r="I88" s="37">
        <f t="shared" si="33"/>
        <v>411331.40999999992</v>
      </c>
      <c r="J88" s="37">
        <f t="shared" si="33"/>
        <v>417683.87999999942</v>
      </c>
      <c r="K88" s="37">
        <f t="shared" si="33"/>
        <v>219382.73000000048</v>
      </c>
      <c r="L88" s="37">
        <f t="shared" si="33"/>
        <v>456765.63999999932</v>
      </c>
      <c r="M88" s="37">
        <f t="shared" si="33"/>
        <v>291915.54999999935</v>
      </c>
      <c r="N88" s="37">
        <f t="shared" si="33"/>
        <v>15024.410000000033</v>
      </c>
      <c r="O88" s="37">
        <f t="shared" si="33"/>
        <v>144860.03000000166</v>
      </c>
      <c r="P88" s="37">
        <f t="shared" si="33"/>
        <v>-27317.309999999823</v>
      </c>
      <c r="Q88" s="37">
        <f t="shared" si="33"/>
        <v>858530.01999999909</v>
      </c>
      <c r="R88" s="37">
        <f t="shared" si="33"/>
        <v>128781.01999999897</v>
      </c>
      <c r="S88" s="37">
        <f t="shared" si="33"/>
        <v>64380.959999999846</v>
      </c>
      <c r="T88" s="36">
        <f t="shared" si="33"/>
        <v>0</v>
      </c>
      <c r="U88" s="36">
        <f t="shared" si="33"/>
        <v>0</v>
      </c>
      <c r="V88" s="36">
        <f t="shared" si="33"/>
        <v>0</v>
      </c>
      <c r="AA88" s="8"/>
    </row>
    <row r="89" spans="1:27" ht="15.75" hidden="1" outlineLevel="1" thickBot="1" x14ac:dyDescent="0.3">
      <c r="A89" s="9"/>
      <c r="B89" s="27" t="s">
        <v>40</v>
      </c>
      <c r="C89" s="28">
        <f>+C23-C56</f>
        <v>4873629.6700000092</v>
      </c>
      <c r="D89" s="38">
        <f t="shared" si="33"/>
        <v>700200.66000000108</v>
      </c>
      <c r="E89" s="38">
        <f t="shared" si="33"/>
        <v>-209320.29999999938</v>
      </c>
      <c r="F89" s="38">
        <f t="shared" si="33"/>
        <v>0</v>
      </c>
      <c r="G89" s="38">
        <f t="shared" si="33"/>
        <v>140535.72999999952</v>
      </c>
      <c r="H89" s="38">
        <f t="shared" si="33"/>
        <v>40679.839999999851</v>
      </c>
      <c r="I89" s="38">
        <f t="shared" si="33"/>
        <v>233002.93000000156</v>
      </c>
      <c r="J89" s="38">
        <f t="shared" si="33"/>
        <v>600970.1400000006</v>
      </c>
      <c r="K89" s="38">
        <f t="shared" si="33"/>
        <v>228383.74000000046</v>
      </c>
      <c r="L89" s="38">
        <f t="shared" si="33"/>
        <v>769147.81000000215</v>
      </c>
      <c r="M89" s="38">
        <f t="shared" si="33"/>
        <v>334274.17000000132</v>
      </c>
      <c r="N89" s="38">
        <f t="shared" si="33"/>
        <v>96653.949999999953</v>
      </c>
      <c r="O89" s="38">
        <f t="shared" si="33"/>
        <v>4595.1100000105798</v>
      </c>
      <c r="P89" s="38">
        <f t="shared" si="33"/>
        <v>118344.76000000257</v>
      </c>
      <c r="Q89" s="38">
        <f t="shared" si="33"/>
        <v>1081442.3699999982</v>
      </c>
      <c r="R89" s="38">
        <f t="shared" si="33"/>
        <v>731486.65999999805</v>
      </c>
      <c r="S89" s="38">
        <f t="shared" si="33"/>
        <v>3232.1000000012573</v>
      </c>
      <c r="T89" s="28"/>
      <c r="U89" s="28"/>
      <c r="V89" s="28"/>
      <c r="AA89" s="8"/>
    </row>
    <row r="90" spans="1:27" ht="15.75" hidden="1" outlineLevel="1" collapsed="1" thickBot="1" x14ac:dyDescent="0.3">
      <c r="A90" s="9"/>
      <c r="B90" s="39" t="s">
        <v>41</v>
      </c>
      <c r="C90" s="40">
        <f>+C24-C57</f>
        <v>-135.99195813271172</v>
      </c>
      <c r="D90" s="41">
        <f t="shared" si="33"/>
        <v>-92.640399547645302</v>
      </c>
      <c r="E90" s="41">
        <f t="shared" si="33"/>
        <v>-2312.0039393939269</v>
      </c>
      <c r="F90" s="41">
        <f t="shared" si="33"/>
        <v>0</v>
      </c>
      <c r="G90" s="41">
        <f t="shared" si="33"/>
        <v>-664.46478997161603</v>
      </c>
      <c r="H90" s="41">
        <f t="shared" si="33"/>
        <v>172.75305290012784</v>
      </c>
      <c r="I90" s="41">
        <f t="shared" si="33"/>
        <v>-28.403438598238608</v>
      </c>
      <c r="J90" s="41">
        <f t="shared" si="33"/>
        <v>193.72524338204903</v>
      </c>
      <c r="K90" s="41">
        <f t="shared" si="33"/>
        <v>-741.29186335403529</v>
      </c>
      <c r="L90" s="41">
        <f t="shared" si="33"/>
        <v>188.48986496091675</v>
      </c>
      <c r="M90" s="41">
        <f t="shared" si="33"/>
        <v>-402.10165145567817</v>
      </c>
      <c r="N90" s="41">
        <f t="shared" si="33"/>
        <v>-398.93052691522689</v>
      </c>
      <c r="O90" s="41">
        <f t="shared" si="33"/>
        <v>-525.71075520305294</v>
      </c>
      <c r="P90" s="41">
        <f t="shared" si="33"/>
        <v>68.191861666476598</v>
      </c>
      <c r="Q90" s="41">
        <f t="shared" si="33"/>
        <v>-19.24175043478499</v>
      </c>
      <c r="R90" s="41">
        <f t="shared" si="33"/>
        <v>477.86219336489376</v>
      </c>
      <c r="S90" s="42">
        <f t="shared" si="33"/>
        <v>-484.28930660954074</v>
      </c>
      <c r="T90" s="29">
        <f t="shared" si="33"/>
        <v>0</v>
      </c>
      <c r="U90" s="38">
        <f t="shared" si="33"/>
        <v>0</v>
      </c>
      <c r="V90" s="38">
        <f t="shared" si="33"/>
        <v>0</v>
      </c>
      <c r="AA90" s="8"/>
    </row>
    <row r="91" spans="1:27" ht="15.75" hidden="1" outlineLevel="1" thickBot="1" x14ac:dyDescent="0.3">
      <c r="A91" s="9"/>
      <c r="B91" s="43" t="s">
        <v>42</v>
      </c>
      <c r="C91" s="31">
        <f>+C25-C58</f>
        <v>1346.0757155300687</v>
      </c>
      <c r="D91" s="44">
        <f t="shared" si="33"/>
        <v>4195.9915408450543</v>
      </c>
      <c r="E91" s="44">
        <f t="shared" si="33"/>
        <v>0</v>
      </c>
      <c r="F91" s="44">
        <f t="shared" si="33"/>
        <v>0</v>
      </c>
      <c r="G91" s="44">
        <f t="shared" si="33"/>
        <v>-425.28542857142685</v>
      </c>
      <c r="H91" s="44">
        <f t="shared" si="33"/>
        <v>-1532.4630263157771</v>
      </c>
      <c r="I91" s="44">
        <f t="shared" si="33"/>
        <v>-143.33240909090705</v>
      </c>
      <c r="J91" s="44">
        <f t="shared" si="33"/>
        <v>545.8379999999936</v>
      </c>
      <c r="K91" s="44">
        <f t="shared" si="33"/>
        <v>-298.95024475524838</v>
      </c>
      <c r="L91" s="44">
        <f t="shared" si="33"/>
        <v>-325.65396551724257</v>
      </c>
      <c r="M91" s="44">
        <f t="shared" si="33"/>
        <v>1885.4365497075942</v>
      </c>
      <c r="N91" s="44">
        <f t="shared" si="33"/>
        <v>-1579.1066666666793</v>
      </c>
      <c r="O91" s="44">
        <f t="shared" si="33"/>
        <v>0</v>
      </c>
      <c r="P91" s="44">
        <f t="shared" si="33"/>
        <v>2443.8905794099278</v>
      </c>
      <c r="Q91" s="44">
        <f t="shared" si="33"/>
        <v>1219.4371527777703</v>
      </c>
      <c r="R91" s="44">
        <f t="shared" si="33"/>
        <v>245.0306491532765</v>
      </c>
      <c r="S91" s="45">
        <f t="shared" si="33"/>
        <v>-0.11799999999986961</v>
      </c>
      <c r="T91" s="32">
        <f t="shared" si="33"/>
        <v>0</v>
      </c>
      <c r="U91" s="44">
        <f t="shared" si="33"/>
        <v>0</v>
      </c>
      <c r="V91" s="44">
        <f t="shared" si="33"/>
        <v>0</v>
      </c>
      <c r="AA91" s="8"/>
    </row>
    <row r="92" spans="1:27" ht="15.75" hidden="1" outlineLevel="1" thickBot="1" x14ac:dyDescent="0.3">
      <c r="A92" s="9"/>
      <c r="B92" s="43" t="s">
        <v>43</v>
      </c>
      <c r="C92" s="31">
        <f t="shared" ref="C92:V94" si="34">+C26-C59</f>
        <v>117.46281213369662</v>
      </c>
      <c r="D92" s="44">
        <f t="shared" si="34"/>
        <v>223.83251169138077</v>
      </c>
      <c r="E92" s="44">
        <f t="shared" si="34"/>
        <v>130.5644696969697</v>
      </c>
      <c r="F92" s="44">
        <f t="shared" si="34"/>
        <v>0</v>
      </c>
      <c r="G92" s="44">
        <f t="shared" si="34"/>
        <v>-92.793636707663836</v>
      </c>
      <c r="H92" s="44">
        <f t="shared" si="34"/>
        <v>31.545019833247011</v>
      </c>
      <c r="I92" s="44">
        <f t="shared" si="34"/>
        <v>100.83805451159026</v>
      </c>
      <c r="J92" s="44">
        <f t="shared" si="34"/>
        <v>-31.217501336118175</v>
      </c>
      <c r="K92" s="44">
        <f t="shared" si="34"/>
        <v>54.366057333970275</v>
      </c>
      <c r="L92" s="44">
        <f t="shared" si="34"/>
        <v>119.35924889836565</v>
      </c>
      <c r="M92" s="44">
        <f t="shared" si="34"/>
        <v>84.656226641672788</v>
      </c>
      <c r="N92" s="44">
        <f t="shared" si="34"/>
        <v>307.22983646717739</v>
      </c>
      <c r="O92" s="44">
        <f t="shared" si="34"/>
        <v>180.02442584039159</v>
      </c>
      <c r="P92" s="44">
        <f t="shared" si="34"/>
        <v>-129.46079016014119</v>
      </c>
      <c r="Q92" s="44">
        <f t="shared" si="34"/>
        <v>-1.6049843478258481</v>
      </c>
      <c r="R92" s="44">
        <f t="shared" si="34"/>
        <v>150.16268537756628</v>
      </c>
      <c r="S92" s="45">
        <f t="shared" si="34"/>
        <v>545.30561729906231</v>
      </c>
      <c r="T92" s="35">
        <f t="shared" si="34"/>
        <v>0</v>
      </c>
      <c r="U92" s="46">
        <f t="shared" si="34"/>
        <v>0</v>
      </c>
      <c r="V92" s="46">
        <f t="shared" si="34"/>
        <v>0</v>
      </c>
      <c r="AA92" s="8"/>
    </row>
    <row r="93" spans="1:27" ht="15.75" hidden="1" outlineLevel="1" thickBot="1" x14ac:dyDescent="0.3">
      <c r="A93" s="9"/>
      <c r="B93" s="47" t="s">
        <v>44</v>
      </c>
      <c r="C93" s="48">
        <f t="shared" si="34"/>
        <v>-18.529145999014872</v>
      </c>
      <c r="D93" s="49">
        <f t="shared" si="34"/>
        <v>131.19211214373581</v>
      </c>
      <c r="E93" s="49">
        <f t="shared" si="34"/>
        <v>-2181.4394696969575</v>
      </c>
      <c r="F93" s="49">
        <f t="shared" si="34"/>
        <v>0</v>
      </c>
      <c r="G93" s="49">
        <f t="shared" si="34"/>
        <v>-757.25842667927986</v>
      </c>
      <c r="H93" s="49">
        <f t="shared" si="34"/>
        <v>204.29807273337474</v>
      </c>
      <c r="I93" s="49">
        <f t="shared" si="34"/>
        <v>72.43461591335199</v>
      </c>
      <c r="J93" s="49">
        <f t="shared" si="34"/>
        <v>162.50774204593017</v>
      </c>
      <c r="K93" s="49">
        <f t="shared" si="34"/>
        <v>-686.92580602006501</v>
      </c>
      <c r="L93" s="49">
        <f t="shared" si="34"/>
        <v>307.84911385928262</v>
      </c>
      <c r="M93" s="49">
        <f t="shared" si="34"/>
        <v>-317.44542481400549</v>
      </c>
      <c r="N93" s="49">
        <f t="shared" si="34"/>
        <v>-91.7006904480495</v>
      </c>
      <c r="O93" s="49">
        <f t="shared" si="34"/>
        <v>-345.68632936266113</v>
      </c>
      <c r="P93" s="49">
        <f t="shared" si="34"/>
        <v>-61.268928493664134</v>
      </c>
      <c r="Q93" s="49">
        <f t="shared" si="34"/>
        <v>-20.846734782611748</v>
      </c>
      <c r="R93" s="49">
        <f t="shared" si="34"/>
        <v>628.0248787424598</v>
      </c>
      <c r="S93" s="50">
        <f t="shared" si="34"/>
        <v>61.016310689521561</v>
      </c>
      <c r="T93" s="51">
        <f t="shared" si="34"/>
        <v>0</v>
      </c>
      <c r="U93" s="37">
        <f t="shared" si="34"/>
        <v>0</v>
      </c>
      <c r="V93" s="37">
        <f t="shared" si="34"/>
        <v>0</v>
      </c>
      <c r="AA93" s="8"/>
    </row>
    <row r="94" spans="1:27" collapsed="1" x14ac:dyDescent="0.25">
      <c r="A94" s="9"/>
      <c r="B94" s="52" t="s">
        <v>45</v>
      </c>
      <c r="C94" s="53">
        <f>+C28-C61</f>
        <v>67.435724868812031</v>
      </c>
      <c r="D94" s="54">
        <f t="shared" si="34"/>
        <v>477.58397105282756</v>
      </c>
      <c r="E94" s="54">
        <f t="shared" si="34"/>
        <v>-2002.1519292237319</v>
      </c>
      <c r="F94" s="54">
        <f t="shared" si="34"/>
        <v>0</v>
      </c>
      <c r="G94" s="54">
        <f t="shared" si="34"/>
        <v>-704.93280618482481</v>
      </c>
      <c r="H94" s="54">
        <f t="shared" si="34"/>
        <v>116.15691735373866</v>
      </c>
      <c r="I94" s="54">
        <f t="shared" si="34"/>
        <v>86.193957731434693</v>
      </c>
      <c r="J94" s="54">
        <f t="shared" si="34"/>
        <v>177.50816611513346</v>
      </c>
      <c r="K94" s="54">
        <f t="shared" si="34"/>
        <v>-878.44002747252625</v>
      </c>
      <c r="L94" s="54">
        <f t="shared" si="34"/>
        <v>188.04857785164086</v>
      </c>
      <c r="M94" s="54">
        <f t="shared" si="34"/>
        <v>-271.57817055209034</v>
      </c>
      <c r="N94" s="54">
        <f t="shared" si="34"/>
        <v>-181.32732540485904</v>
      </c>
      <c r="O94" s="54">
        <f t="shared" si="34"/>
        <v>-346.56311232998996</v>
      </c>
      <c r="P94" s="54">
        <f t="shared" si="34"/>
        <v>432.98518924752352</v>
      </c>
      <c r="Q94" s="54">
        <f t="shared" si="34"/>
        <v>7.723561800628886</v>
      </c>
      <c r="R94" s="54">
        <f t="shared" si="34"/>
        <v>806.69353371959414</v>
      </c>
      <c r="S94" s="55">
        <f t="shared" si="34"/>
        <v>140.95291487840404</v>
      </c>
      <c r="T94" s="56">
        <f t="shared" si="34"/>
        <v>0</v>
      </c>
      <c r="U94" s="36">
        <f t="shared" si="34"/>
        <v>0</v>
      </c>
      <c r="V94" s="36">
        <f t="shared" si="34"/>
        <v>0</v>
      </c>
      <c r="AA94" s="8"/>
    </row>
    <row r="95" spans="1:27" hidden="1" outlineLevel="1" x14ac:dyDescent="0.25">
      <c r="A95" s="9"/>
      <c r="B95" s="43" t="s">
        <v>46</v>
      </c>
      <c r="C95" s="31">
        <f t="shared" ref="C95:V101" si="35">+C29-C62</f>
        <v>597.85641137187213</v>
      </c>
      <c r="D95" s="44">
        <f t="shared" si="35"/>
        <v>542.37807519191438</v>
      </c>
      <c r="E95" s="44">
        <f t="shared" si="35"/>
        <v>2028.1155376344097</v>
      </c>
      <c r="F95" s="44">
        <f t="shared" si="35"/>
        <v>0</v>
      </c>
      <c r="G95" s="44">
        <f t="shared" si="35"/>
        <v>870.3010592885355</v>
      </c>
      <c r="H95" s="44">
        <f t="shared" si="35"/>
        <v>929.69742436974616</v>
      </c>
      <c r="I95" s="44">
        <f t="shared" si="35"/>
        <v>619.78292089110471</v>
      </c>
      <c r="J95" s="44">
        <f t="shared" si="35"/>
        <v>1024.2482889881542</v>
      </c>
      <c r="K95" s="44">
        <f t="shared" si="35"/>
        <v>1016.5817956989224</v>
      </c>
      <c r="L95" s="44">
        <f t="shared" si="35"/>
        <v>596.23497384133657</v>
      </c>
      <c r="M95" s="44">
        <f t="shared" si="35"/>
        <v>298.12921410669401</v>
      </c>
      <c r="N95" s="44">
        <f t="shared" si="35"/>
        <v>-57.611517539050965</v>
      </c>
      <c r="O95" s="44">
        <f t="shared" si="35"/>
        <v>62.950234783879296</v>
      </c>
      <c r="P95" s="44">
        <f t="shared" si="35"/>
        <v>327.06678250539244</v>
      </c>
      <c r="Q95" s="44">
        <f t="shared" si="35"/>
        <v>1914.6773169513526</v>
      </c>
      <c r="R95" s="44">
        <f t="shared" si="35"/>
        <v>1894.2560604453829</v>
      </c>
      <c r="S95" s="45">
        <f t="shared" si="35"/>
        <v>54.7192190540095</v>
      </c>
      <c r="T95" s="32">
        <f t="shared" si="35"/>
        <v>0</v>
      </c>
      <c r="U95" s="44">
        <f t="shared" si="35"/>
        <v>0</v>
      </c>
      <c r="V95" s="44">
        <f t="shared" si="35"/>
        <v>0</v>
      </c>
      <c r="AA95" s="8"/>
    </row>
    <row r="96" spans="1:27" hidden="1" outlineLevel="1" x14ac:dyDescent="0.25">
      <c r="A96" s="9"/>
      <c r="B96" s="43" t="s">
        <v>47</v>
      </c>
      <c r="C96" s="31">
        <f t="shared" si="35"/>
        <v>0</v>
      </c>
      <c r="D96" s="44">
        <f t="shared" si="35"/>
        <v>0</v>
      </c>
      <c r="E96" s="44">
        <f t="shared" si="35"/>
        <v>0</v>
      </c>
      <c r="F96" s="44">
        <f t="shared" si="35"/>
        <v>0</v>
      </c>
      <c r="G96" s="44">
        <f t="shared" si="35"/>
        <v>0</v>
      </c>
      <c r="H96" s="44">
        <f t="shared" si="35"/>
        <v>0</v>
      </c>
      <c r="I96" s="44">
        <f t="shared" si="35"/>
        <v>0</v>
      </c>
      <c r="J96" s="44">
        <f t="shared" si="35"/>
        <v>0</v>
      </c>
      <c r="K96" s="44">
        <f t="shared" si="35"/>
        <v>0</v>
      </c>
      <c r="L96" s="44">
        <f t="shared" si="35"/>
        <v>0</v>
      </c>
      <c r="M96" s="44">
        <f t="shared" si="35"/>
        <v>0</v>
      </c>
      <c r="N96" s="44">
        <f t="shared" si="35"/>
        <v>0</v>
      </c>
      <c r="O96" s="44">
        <f t="shared" si="35"/>
        <v>0</v>
      </c>
      <c r="P96" s="44">
        <f t="shared" si="35"/>
        <v>0</v>
      </c>
      <c r="Q96" s="44">
        <f t="shared" si="35"/>
        <v>0</v>
      </c>
      <c r="R96" s="44">
        <f t="shared" si="35"/>
        <v>0</v>
      </c>
      <c r="S96" s="45">
        <f t="shared" si="35"/>
        <v>0</v>
      </c>
      <c r="T96" s="32">
        <f t="shared" si="35"/>
        <v>0</v>
      </c>
      <c r="U96" s="44">
        <f t="shared" si="35"/>
        <v>0</v>
      </c>
      <c r="V96" s="44">
        <f t="shared" si="35"/>
        <v>0</v>
      </c>
      <c r="AA96" s="8"/>
    </row>
    <row r="97" spans="1:27" hidden="1" outlineLevel="1" x14ac:dyDescent="0.25">
      <c r="A97" s="9"/>
      <c r="B97" s="43" t="s">
        <v>48</v>
      </c>
      <c r="C97" s="31">
        <f t="shared" si="35"/>
        <v>364.12998111326226</v>
      </c>
      <c r="D97" s="44">
        <f t="shared" si="35"/>
        <v>416.4040570805692</v>
      </c>
      <c r="E97" s="44">
        <f t="shared" si="35"/>
        <v>-498.27513457556745</v>
      </c>
      <c r="F97" s="44">
        <f t="shared" si="35"/>
        <v>0</v>
      </c>
      <c r="G97" s="44">
        <f t="shared" si="35"/>
        <v>302.19336158192004</v>
      </c>
      <c r="H97" s="44">
        <f t="shared" si="35"/>
        <v>446.68921774114256</v>
      </c>
      <c r="I97" s="44">
        <f t="shared" si="35"/>
        <v>683.26408793414168</v>
      </c>
      <c r="J97" s="44">
        <f t="shared" si="35"/>
        <v>187.34621955671184</v>
      </c>
      <c r="K97" s="44">
        <f t="shared" si="35"/>
        <v>772.663142857141</v>
      </c>
      <c r="L97" s="44">
        <f t="shared" si="35"/>
        <v>251.59216513878113</v>
      </c>
      <c r="M97" s="44">
        <f t="shared" si="35"/>
        <v>685.69744028178968</v>
      </c>
      <c r="N97" s="44">
        <f t="shared" si="35"/>
        <v>84.844820473644347</v>
      </c>
      <c r="O97" s="44">
        <f t="shared" si="35"/>
        <v>155.1966299790347</v>
      </c>
      <c r="P97" s="44">
        <f t="shared" si="35"/>
        <v>-77.739485743984346</v>
      </c>
      <c r="Q97" s="44">
        <f t="shared" si="35"/>
        <v>451.56141839913408</v>
      </c>
      <c r="R97" s="44">
        <f t="shared" si="35"/>
        <v>718.2619751106522</v>
      </c>
      <c r="S97" s="45">
        <f t="shared" si="35"/>
        <v>216.42370237707428</v>
      </c>
      <c r="T97" s="32">
        <f t="shared" si="35"/>
        <v>0</v>
      </c>
      <c r="U97" s="44">
        <f t="shared" si="35"/>
        <v>0</v>
      </c>
      <c r="V97" s="44">
        <f t="shared" si="35"/>
        <v>0</v>
      </c>
      <c r="AA97" s="8"/>
    </row>
    <row r="98" spans="1:27" hidden="1" outlineLevel="1" x14ac:dyDescent="0.25">
      <c r="A98" s="9"/>
      <c r="B98" s="43" t="s">
        <v>49</v>
      </c>
      <c r="C98" s="31">
        <f t="shared" si="35"/>
        <v>-12.624190825904634</v>
      </c>
      <c r="D98" s="44">
        <f t="shared" si="35"/>
        <v>-145.46705733790145</v>
      </c>
      <c r="E98" s="44">
        <f t="shared" si="35"/>
        <v>1015.7488709677425</v>
      </c>
      <c r="F98" s="44">
        <f t="shared" si="35"/>
        <v>0</v>
      </c>
      <c r="G98" s="44">
        <f t="shared" si="35"/>
        <v>-449.04653227931476</v>
      </c>
      <c r="H98" s="44">
        <f t="shared" si="35"/>
        <v>-244.64312605042005</v>
      </c>
      <c r="I98" s="44">
        <f t="shared" si="35"/>
        <v>388.02104866553486</v>
      </c>
      <c r="J98" s="44">
        <f t="shared" si="35"/>
        <v>-51.612757007833352</v>
      </c>
      <c r="K98" s="44">
        <f t="shared" si="35"/>
        <v>190.45273835126545</v>
      </c>
      <c r="L98" s="44">
        <f t="shared" si="35"/>
        <v>184.6627308088764</v>
      </c>
      <c r="M98" s="44">
        <f t="shared" si="35"/>
        <v>55.33343067490182</v>
      </c>
      <c r="N98" s="44">
        <f t="shared" si="35"/>
        <v>373.05431145519174</v>
      </c>
      <c r="O98" s="44">
        <f t="shared" si="35"/>
        <v>-232.50791424371823</v>
      </c>
      <c r="P98" s="44">
        <f t="shared" si="35"/>
        <v>73.404306294043636</v>
      </c>
      <c r="Q98" s="44">
        <f t="shared" si="35"/>
        <v>35.648082109678853</v>
      </c>
      <c r="R98" s="44">
        <f t="shared" si="35"/>
        <v>68.074713679738579</v>
      </c>
      <c r="S98" s="45">
        <f t="shared" si="35"/>
        <v>65.241702650116395</v>
      </c>
      <c r="T98" s="32">
        <f t="shared" si="35"/>
        <v>0</v>
      </c>
      <c r="U98" s="44">
        <f t="shared" si="35"/>
        <v>0</v>
      </c>
      <c r="V98" s="44">
        <f t="shared" si="35"/>
        <v>0</v>
      </c>
      <c r="AA98" s="8"/>
    </row>
    <row r="99" spans="1:27" hidden="1" outlineLevel="1" x14ac:dyDescent="0.25">
      <c r="A99" s="9"/>
      <c r="B99" s="57" t="s">
        <v>50</v>
      </c>
      <c r="C99" s="34">
        <f t="shared" si="35"/>
        <v>585.23222054596772</v>
      </c>
      <c r="D99" s="46">
        <f t="shared" si="35"/>
        <v>396.9110178540127</v>
      </c>
      <c r="E99" s="46">
        <f t="shared" si="35"/>
        <v>3043.8644086021518</v>
      </c>
      <c r="F99" s="46">
        <f t="shared" si="35"/>
        <v>0</v>
      </c>
      <c r="G99" s="46">
        <f t="shared" si="35"/>
        <v>421.25452700922096</v>
      </c>
      <c r="H99" s="46">
        <f t="shared" si="35"/>
        <v>685.05429831932588</v>
      </c>
      <c r="I99" s="46">
        <f t="shared" si="35"/>
        <v>1007.8039695566399</v>
      </c>
      <c r="J99" s="46">
        <f t="shared" si="35"/>
        <v>972.63553198032105</v>
      </c>
      <c r="K99" s="46">
        <f t="shared" si="35"/>
        <v>1207.0345340501879</v>
      </c>
      <c r="L99" s="46">
        <f t="shared" si="35"/>
        <v>780.89770465021275</v>
      </c>
      <c r="M99" s="46">
        <f t="shared" si="35"/>
        <v>353.46264478159583</v>
      </c>
      <c r="N99" s="46">
        <f t="shared" si="35"/>
        <v>315.442793916141</v>
      </c>
      <c r="O99" s="46">
        <f t="shared" si="35"/>
        <v>-169.55767945983916</v>
      </c>
      <c r="P99" s="46">
        <f t="shared" si="35"/>
        <v>400.47108879943607</v>
      </c>
      <c r="Q99" s="46">
        <f t="shared" si="35"/>
        <v>1950.3253990610319</v>
      </c>
      <c r="R99" s="46">
        <f t="shared" si="35"/>
        <v>1962.3307741251215</v>
      </c>
      <c r="S99" s="58">
        <f t="shared" si="35"/>
        <v>119.96092170412612</v>
      </c>
      <c r="T99" s="51">
        <f t="shared" si="35"/>
        <v>0</v>
      </c>
      <c r="U99" s="37">
        <f t="shared" si="35"/>
        <v>0</v>
      </c>
      <c r="V99" s="36">
        <f t="shared" si="35"/>
        <v>0</v>
      </c>
      <c r="AA99" s="8"/>
    </row>
    <row r="100" spans="1:27" collapsed="1" x14ac:dyDescent="0.25">
      <c r="A100" s="9"/>
      <c r="B100" s="59" t="s">
        <v>51</v>
      </c>
      <c r="C100" s="36">
        <f t="shared" si="35"/>
        <v>528.65931854541418</v>
      </c>
      <c r="D100" s="37">
        <f t="shared" si="35"/>
        <v>437.52960405258659</v>
      </c>
      <c r="E100" s="37">
        <f t="shared" si="35"/>
        <v>-233.0657478088757</v>
      </c>
      <c r="F100" s="37">
        <f t="shared" si="35"/>
        <v>0</v>
      </c>
      <c r="G100" s="37">
        <f t="shared" si="35"/>
        <v>517.24200971659775</v>
      </c>
      <c r="H100" s="37">
        <f t="shared" si="35"/>
        <v>530.72981720829375</v>
      </c>
      <c r="I100" s="37">
        <f t="shared" si="35"/>
        <v>828.92720854046729</v>
      </c>
      <c r="J100" s="37">
        <f t="shared" si="35"/>
        <v>711.42736097355146</v>
      </c>
      <c r="K100" s="37">
        <f t="shared" si="35"/>
        <v>912.87758359117925</v>
      </c>
      <c r="L100" s="37">
        <f t="shared" si="35"/>
        <v>637.22335500820896</v>
      </c>
      <c r="M100" s="37">
        <f t="shared" si="35"/>
        <v>563.54721838962496</v>
      </c>
      <c r="N100" s="37">
        <f t="shared" si="35"/>
        <v>216.64728486548915</v>
      </c>
      <c r="O100" s="37">
        <f t="shared" si="35"/>
        <v>164.69654199016713</v>
      </c>
      <c r="P100" s="37">
        <f t="shared" si="35"/>
        <v>94.863983995520357</v>
      </c>
      <c r="Q100" s="37">
        <f t="shared" si="35"/>
        <v>1245.3734351909077</v>
      </c>
      <c r="R100" s="37">
        <f t="shared" si="35"/>
        <v>671.8824115623936</v>
      </c>
      <c r="S100" s="60">
        <f t="shared" si="35"/>
        <v>104.8823854748598</v>
      </c>
      <c r="T100" s="56">
        <f t="shared" si="35"/>
        <v>0</v>
      </c>
      <c r="U100" s="36">
        <f t="shared" si="35"/>
        <v>0</v>
      </c>
      <c r="V100" s="36">
        <f t="shared" si="35"/>
        <v>0</v>
      </c>
      <c r="AA100" s="8"/>
    </row>
    <row r="101" spans="1:27" ht="15.75" thickBot="1" x14ac:dyDescent="0.3">
      <c r="A101" s="9"/>
      <c r="B101" s="61" t="s">
        <v>52</v>
      </c>
      <c r="C101" s="62">
        <f t="shared" si="35"/>
        <v>321.89002156161678</v>
      </c>
      <c r="D101" s="62">
        <f t="shared" si="35"/>
        <v>472.28488620277312</v>
      </c>
      <c r="E101" s="62">
        <f t="shared" si="35"/>
        <v>-974.37799019607178</v>
      </c>
      <c r="F101" s="62">
        <f t="shared" si="35"/>
        <v>0</v>
      </c>
      <c r="G101" s="62">
        <f t="shared" si="35"/>
        <v>-77.826965157586983</v>
      </c>
      <c r="H101" s="62">
        <f t="shared" si="35"/>
        <v>302.13345487314018</v>
      </c>
      <c r="I101" s="62">
        <f t="shared" si="35"/>
        <v>447.93040563120167</v>
      </c>
      <c r="J101" s="62">
        <f t="shared" si="35"/>
        <v>464.78904841555868</v>
      </c>
      <c r="K101" s="62">
        <f t="shared" si="35"/>
        <v>143.5433537842614</v>
      </c>
      <c r="L101" s="62">
        <f t="shared" si="35"/>
        <v>413.3199978299881</v>
      </c>
      <c r="M101" s="62">
        <f t="shared" si="35"/>
        <v>252.736651082354</v>
      </c>
      <c r="N101" s="62">
        <f t="shared" si="35"/>
        <v>249.90787487534271</v>
      </c>
      <c r="O101" s="62">
        <f t="shared" si="35"/>
        <v>-98.600791174525057</v>
      </c>
      <c r="P101" s="62">
        <f t="shared" si="35"/>
        <v>282.03216783753214</v>
      </c>
      <c r="Q101" s="62">
        <f t="shared" si="35"/>
        <v>606.00936542250747</v>
      </c>
      <c r="R101" s="62">
        <f t="shared" si="35"/>
        <v>1053.4603794497652</v>
      </c>
      <c r="S101" s="63">
        <f t="shared" si="35"/>
        <v>29.351877554467137</v>
      </c>
      <c r="T101" s="7"/>
      <c r="U101" s="7"/>
      <c r="V101" s="7"/>
      <c r="AA101" s="8"/>
    </row>
    <row r="102" spans="1:27" ht="5.85" customHeight="1" x14ac:dyDescent="0.25"/>
    <row r="103" spans="1:27" ht="15.75" x14ac:dyDescent="0.25">
      <c r="B103" s="69" t="s">
        <v>54</v>
      </c>
      <c r="C103" s="65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</row>
    <row r="104" spans="1:27" x14ac:dyDescent="0.25">
      <c r="B104" s="70" t="s">
        <v>55</v>
      </c>
      <c r="C104" s="37">
        <f>SUM(D104:S104)</f>
        <v>1048.8375049667798</v>
      </c>
      <c r="D104" s="37">
        <f t="shared" ref="D104:S104" si="36">(D73)*(D61)/1000</f>
        <v>-106.11000664756415</v>
      </c>
      <c r="E104" s="37">
        <f t="shared" si="36"/>
        <v>-76.574803698630021</v>
      </c>
      <c r="F104" s="37">
        <f t="shared" si="36"/>
        <v>0</v>
      </c>
      <c r="G104" s="37">
        <f t="shared" si="36"/>
        <v>107.08541711111094</v>
      </c>
      <c r="H104" s="37">
        <f t="shared" si="36"/>
        <v>-144.74379297407873</v>
      </c>
      <c r="I104" s="37">
        <f t="shared" si="36"/>
        <v>-228.49336339969329</v>
      </c>
      <c r="J104" s="37">
        <f t="shared" si="36"/>
        <v>88.31939112840449</v>
      </c>
      <c r="K104" s="37">
        <f t="shared" si="36"/>
        <v>230.36789692307656</v>
      </c>
      <c r="L104" s="37">
        <f t="shared" si="36"/>
        <v>231.3332329459455</v>
      </c>
      <c r="M104" s="37">
        <f t="shared" si="36"/>
        <v>166.46984394230739</v>
      </c>
      <c r="N104" s="37">
        <f t="shared" si="36"/>
        <v>122.97217019230756</v>
      </c>
      <c r="O104" s="37">
        <f t="shared" si="36"/>
        <v>333.83341766743604</v>
      </c>
      <c r="P104" s="37">
        <f t="shared" si="36"/>
        <v>-112.83008798076902</v>
      </c>
      <c r="Q104" s="37">
        <f t="shared" si="36"/>
        <v>218.92699211087393</v>
      </c>
      <c r="R104" s="37">
        <f t="shared" si="36"/>
        <v>309.87588725978645</v>
      </c>
      <c r="S104" s="37">
        <f t="shared" si="36"/>
        <v>-91.594689613733777</v>
      </c>
    </row>
    <row r="105" spans="1:27" hidden="1" outlineLevel="1" x14ac:dyDescent="0.25">
      <c r="B105" s="71" t="s">
        <v>41</v>
      </c>
      <c r="C105" s="37">
        <f t="shared" ref="C105:C111" si="37">SUM(D105:S105)</f>
        <v>902.835447985374</v>
      </c>
      <c r="D105" s="37">
        <f t="shared" ref="D105:S106" si="38">(D71)*D57/1000</f>
        <v>-29.743974836065448</v>
      </c>
      <c r="E105" s="37">
        <f t="shared" si="38"/>
        <v>-36.873575454545346</v>
      </c>
      <c r="F105" s="37">
        <f t="shared" si="38"/>
        <v>0</v>
      </c>
      <c r="G105" s="37">
        <f t="shared" si="38"/>
        <v>84.490106571428356</v>
      </c>
      <c r="H105" s="37">
        <f t="shared" si="38"/>
        <v>-145.15061049088314</v>
      </c>
      <c r="I105" s="37">
        <f t="shared" si="38"/>
        <v>-179.18199750778766</v>
      </c>
      <c r="J105" s="37">
        <f t="shared" si="38"/>
        <v>62.472748308976868</v>
      </c>
      <c r="K105" s="37">
        <f t="shared" si="38"/>
        <v>137.0489485714283</v>
      </c>
      <c r="L105" s="37">
        <f t="shared" si="38"/>
        <v>136.91711428571386</v>
      </c>
      <c r="M105" s="37">
        <f t="shared" si="38"/>
        <v>105.74350012594434</v>
      </c>
      <c r="N105" s="37">
        <f t="shared" si="38"/>
        <v>95.871139609756</v>
      </c>
      <c r="O105" s="37">
        <f t="shared" si="38"/>
        <v>246.51750311778261</v>
      </c>
      <c r="P105" s="37">
        <f t="shared" si="38"/>
        <v>-25.076951738241256</v>
      </c>
      <c r="Q105" s="37">
        <f t="shared" si="38"/>
        <v>139.02582521739106</v>
      </c>
      <c r="R105" s="37">
        <f t="shared" si="38"/>
        <v>355.1722612834227</v>
      </c>
      <c r="S105" s="37">
        <f t="shared" si="38"/>
        <v>-44.396589078947265</v>
      </c>
    </row>
    <row r="106" spans="1:27" hidden="1" outlineLevel="1" x14ac:dyDescent="0.25">
      <c r="B106" s="71" t="s">
        <v>42</v>
      </c>
      <c r="C106" s="37">
        <f t="shared" si="37"/>
        <v>-52.904072274584145</v>
      </c>
      <c r="D106" s="37">
        <f t="shared" si="38"/>
        <v>57.20274295774621</v>
      </c>
      <c r="E106" s="37">
        <f t="shared" si="38"/>
        <v>0</v>
      </c>
      <c r="F106" s="37">
        <f t="shared" si="38"/>
        <v>0</v>
      </c>
      <c r="G106" s="37">
        <f t="shared" si="38"/>
        <v>-15.263711999999995</v>
      </c>
      <c r="H106" s="37">
        <f t="shared" si="38"/>
        <v>63.971864999999724</v>
      </c>
      <c r="I106" s="37">
        <f t="shared" si="38"/>
        <v>19.095398181818162</v>
      </c>
      <c r="J106" s="37">
        <f t="shared" si="38"/>
        <v>0</v>
      </c>
      <c r="K106" s="37">
        <f t="shared" si="38"/>
        <v>-1.3683946153846023</v>
      </c>
      <c r="L106" s="37">
        <f t="shared" si="38"/>
        <v>-0.17779499999999568</v>
      </c>
      <c r="M106" s="37">
        <f t="shared" si="38"/>
        <v>7.0721431578947387</v>
      </c>
      <c r="N106" s="37">
        <f t="shared" si="38"/>
        <v>-8.9202333333333392</v>
      </c>
      <c r="O106" s="37">
        <f t="shared" si="38"/>
        <v>0</v>
      </c>
      <c r="P106" s="37">
        <f t="shared" si="38"/>
        <v>-66.935408370370112</v>
      </c>
      <c r="Q106" s="37">
        <f t="shared" si="38"/>
        <v>21.003655555555547</v>
      </c>
      <c r="R106" s="37">
        <f t="shared" si="38"/>
        <v>-128.58442180851046</v>
      </c>
      <c r="S106" s="37">
        <f t="shared" si="38"/>
        <v>8.8000000000465554E-5</v>
      </c>
    </row>
    <row r="107" spans="1:27" hidden="1" outlineLevel="1" x14ac:dyDescent="0.25">
      <c r="B107" s="71" t="s">
        <v>43</v>
      </c>
      <c r="C107" s="37">
        <f t="shared" si="37"/>
        <v>373.85185444895149</v>
      </c>
      <c r="D107" s="37">
        <f t="shared" ref="D107:S107" si="39">(D71)*D59/1000</f>
        <v>-11.733471270491801</v>
      </c>
      <c r="E107" s="37">
        <f t="shared" si="39"/>
        <v>-34.132407272727271</v>
      </c>
      <c r="F107" s="37">
        <f t="shared" si="39"/>
        <v>0</v>
      </c>
      <c r="G107" s="37">
        <f t="shared" si="39"/>
        <v>68.332528285714233</v>
      </c>
      <c r="H107" s="37">
        <f t="shared" si="39"/>
        <v>-55.615642931276184</v>
      </c>
      <c r="I107" s="37">
        <f t="shared" si="39"/>
        <v>-70.086676635514024</v>
      </c>
      <c r="J107" s="37">
        <f t="shared" si="39"/>
        <v>27.311630668058438</v>
      </c>
      <c r="K107" s="37">
        <f t="shared" si="39"/>
        <v>57.333586813186763</v>
      </c>
      <c r="L107" s="37">
        <f t="shared" si="39"/>
        <v>63.032481942857146</v>
      </c>
      <c r="M107" s="37">
        <f t="shared" si="39"/>
        <v>30.054732544080586</v>
      </c>
      <c r="N107" s="37">
        <f t="shared" si="39"/>
        <v>35.301407121951172</v>
      </c>
      <c r="O107" s="37">
        <f t="shared" si="39"/>
        <v>87.292265450346306</v>
      </c>
      <c r="P107" s="37">
        <f t="shared" si="39"/>
        <v>-17.36464151329243</v>
      </c>
      <c r="Q107" s="37">
        <f t="shared" si="39"/>
        <v>47.02661217391303</v>
      </c>
      <c r="R107" s="37">
        <f t="shared" si="39"/>
        <v>174.19066679144376</v>
      </c>
      <c r="S107" s="37">
        <f t="shared" si="39"/>
        <v>-27.091217719298232</v>
      </c>
    </row>
    <row r="108" spans="1:27" collapsed="1" x14ac:dyDescent="0.25">
      <c r="B108" s="72" t="s">
        <v>56</v>
      </c>
      <c r="C108" s="37">
        <f t="shared" si="37"/>
        <v>249.55724503324291</v>
      </c>
      <c r="D108" s="37">
        <f t="shared" ref="D108:S108" si="40">D94*D7/1000</f>
        <v>484.27014664756717</v>
      </c>
      <c r="E108" s="37">
        <f t="shared" si="40"/>
        <v>-48.051646301369566</v>
      </c>
      <c r="F108" s="37">
        <f t="shared" si="40"/>
        <v>0</v>
      </c>
      <c r="G108" s="37">
        <f t="shared" si="40"/>
        <v>-217.82423711111088</v>
      </c>
      <c r="H108" s="37">
        <f t="shared" si="40"/>
        <v>80.148272974079674</v>
      </c>
      <c r="I108" s="37">
        <f t="shared" si="40"/>
        <v>50.164883399694993</v>
      </c>
      <c r="J108" s="37">
        <f t="shared" si="40"/>
        <v>94.966868871596404</v>
      </c>
      <c r="K108" s="37">
        <f t="shared" si="40"/>
        <v>-221.36688692307661</v>
      </c>
      <c r="L108" s="37">
        <f t="shared" si="40"/>
        <v>81.04893705405722</v>
      </c>
      <c r="M108" s="37">
        <f t="shared" si="40"/>
        <v>-124.11122394230529</v>
      </c>
      <c r="N108" s="37">
        <f t="shared" si="40"/>
        <v>-41.342630192307858</v>
      </c>
      <c r="O108" s="37">
        <f t="shared" si="40"/>
        <v>-474.09833766742628</v>
      </c>
      <c r="P108" s="37">
        <f t="shared" si="40"/>
        <v>258.49215798077154</v>
      </c>
      <c r="Q108" s="37">
        <f t="shared" si="40"/>
        <v>3.9853578891245052</v>
      </c>
      <c r="R108" s="37">
        <f t="shared" si="40"/>
        <v>292.82975274021265</v>
      </c>
      <c r="S108" s="37">
        <f t="shared" si="40"/>
        <v>30.445829613735274</v>
      </c>
    </row>
    <row r="109" spans="1:27" hidden="1" outlineLevel="1" x14ac:dyDescent="0.25">
      <c r="B109" s="73" t="s">
        <v>41</v>
      </c>
      <c r="C109" s="74">
        <f t="shared" si="37"/>
        <v>-1160.3148279853538</v>
      </c>
      <c r="D109" s="74">
        <f t="shared" ref="D109:S110" si="41">D90*(D5)/1000</f>
        <v>-89.30534516393007</v>
      </c>
      <c r="E109" s="74">
        <f t="shared" si="41"/>
        <v>-55.488094545454246</v>
      </c>
      <c r="F109" s="74">
        <f t="shared" si="41"/>
        <v>0</v>
      </c>
      <c r="G109" s="74">
        <f t="shared" si="41"/>
        <v>-200.66836657142804</v>
      </c>
      <c r="H109" s="74">
        <f t="shared" si="41"/>
        <v>112.63499049088335</v>
      </c>
      <c r="I109" s="74">
        <f t="shared" si="41"/>
        <v>-15.962732492210097</v>
      </c>
      <c r="J109" s="74">
        <f t="shared" si="41"/>
        <v>96.862621691024515</v>
      </c>
      <c r="K109" s="74">
        <f t="shared" si="41"/>
        <v>-170.49712857142814</v>
      </c>
      <c r="L109" s="74">
        <f t="shared" si="41"/>
        <v>75.772925714288533</v>
      </c>
      <c r="M109" s="74">
        <f t="shared" si="41"/>
        <v>-172.90371012594161</v>
      </c>
      <c r="N109" s="74">
        <f t="shared" si="41"/>
        <v>-90.557229609756504</v>
      </c>
      <c r="O109" s="74">
        <f t="shared" si="41"/>
        <v>-719.17231311777641</v>
      </c>
      <c r="P109" s="74">
        <f t="shared" si="41"/>
        <v>32.663901738242288</v>
      </c>
      <c r="Q109" s="74">
        <f t="shared" si="41"/>
        <v>-9.620875217392495</v>
      </c>
      <c r="R109" s="74">
        <f t="shared" si="41"/>
        <v>150.04872871657665</v>
      </c>
      <c r="S109" s="37">
        <f t="shared" si="41"/>
        <v>-104.12220092105126</v>
      </c>
    </row>
    <row r="110" spans="1:27" hidden="1" outlineLevel="1" x14ac:dyDescent="0.25">
      <c r="B110" s="73" t="s">
        <v>42</v>
      </c>
      <c r="C110" s="74">
        <f t="shared" si="37"/>
        <v>518.02994227458407</v>
      </c>
      <c r="D110" s="74">
        <f t="shared" si="41"/>
        <v>209.79957704225271</v>
      </c>
      <c r="E110" s="74">
        <f t="shared" si="41"/>
        <v>0</v>
      </c>
      <c r="F110" s="74">
        <f t="shared" si="41"/>
        <v>0</v>
      </c>
      <c r="G110" s="74">
        <f t="shared" si="41"/>
        <v>-2.9769979999999876</v>
      </c>
      <c r="H110" s="74">
        <f t="shared" si="41"/>
        <v>-58.233594999999525</v>
      </c>
      <c r="I110" s="74">
        <f t="shared" si="41"/>
        <v>-2.8666481818181411</v>
      </c>
      <c r="J110" s="74">
        <f t="shared" si="41"/>
        <v>19.104329999999777</v>
      </c>
      <c r="K110" s="74">
        <f t="shared" si="41"/>
        <v>-6.5769053846154639</v>
      </c>
      <c r="L110" s="74">
        <f t="shared" si="41"/>
        <v>-9.4439650000000341</v>
      </c>
      <c r="M110" s="74">
        <f t="shared" si="41"/>
        <v>50.906786842105042</v>
      </c>
      <c r="N110" s="74">
        <f t="shared" si="41"/>
        <v>-1.5791066666666793</v>
      </c>
      <c r="O110" s="74">
        <f t="shared" si="41"/>
        <v>0</v>
      </c>
      <c r="P110" s="74">
        <f t="shared" si="41"/>
        <v>288.37908837037151</v>
      </c>
      <c r="Q110" s="74">
        <f t="shared" si="41"/>
        <v>19.510994444444325</v>
      </c>
      <c r="R110" s="74">
        <f t="shared" si="41"/>
        <v>12.006501808510547</v>
      </c>
      <c r="S110" s="46">
        <f t="shared" si="41"/>
        <v>-1.1799999999986961E-4</v>
      </c>
    </row>
    <row r="111" spans="1:27" hidden="1" outlineLevel="1" x14ac:dyDescent="0.25">
      <c r="B111" s="73" t="s">
        <v>43</v>
      </c>
      <c r="C111" s="74">
        <f t="shared" si="37"/>
        <v>766.99495555104954</v>
      </c>
      <c r="D111" s="74">
        <f t="shared" ref="D111:S111" si="42">D92*(D5)/1000</f>
        <v>215.77454127049106</v>
      </c>
      <c r="E111" s="74">
        <f t="shared" si="42"/>
        <v>3.1335472727272728</v>
      </c>
      <c r="F111" s="74">
        <f t="shared" si="42"/>
        <v>0</v>
      </c>
      <c r="G111" s="74">
        <f t="shared" si="42"/>
        <v>-28.023678285714478</v>
      </c>
      <c r="H111" s="74">
        <f t="shared" si="42"/>
        <v>20.56735293127705</v>
      </c>
      <c r="I111" s="74">
        <f t="shared" si="42"/>
        <v>56.670986635513728</v>
      </c>
      <c r="J111" s="74">
        <f t="shared" si="42"/>
        <v>-15.60875066805909</v>
      </c>
      <c r="K111" s="74">
        <f t="shared" si="42"/>
        <v>12.504193186813163</v>
      </c>
      <c r="L111" s="74">
        <f t="shared" si="42"/>
        <v>47.982418057142986</v>
      </c>
      <c r="M111" s="74">
        <f t="shared" si="42"/>
        <v>36.402177455919301</v>
      </c>
      <c r="N111" s="74">
        <f t="shared" si="42"/>
        <v>69.741172878049269</v>
      </c>
      <c r="O111" s="74">
        <f t="shared" si="42"/>
        <v>246.27341454965568</v>
      </c>
      <c r="P111" s="74">
        <f t="shared" si="42"/>
        <v>-62.011718486707629</v>
      </c>
      <c r="Q111" s="74">
        <f t="shared" si="42"/>
        <v>-0.80249217391292404</v>
      </c>
      <c r="R111" s="74">
        <f t="shared" si="42"/>
        <v>47.151083208555811</v>
      </c>
      <c r="S111" s="46">
        <f t="shared" si="42"/>
        <v>117.2407077192984</v>
      </c>
    </row>
    <row r="112" spans="1:27" collapsed="1" x14ac:dyDescent="0.25">
      <c r="B112" s="78" t="s">
        <v>57</v>
      </c>
      <c r="C112" s="79">
        <f>SUM(C104,C108)</f>
        <v>1298.3947500000227</v>
      </c>
      <c r="D112" s="79">
        <f>SUM(D104,D108)</f>
        <v>378.16014000000303</v>
      </c>
      <c r="E112" s="79">
        <f t="shared" ref="E112:S112" si="43">SUM(E104,E108)</f>
        <v>-124.62644999999958</v>
      </c>
      <c r="F112" s="79">
        <f t="shared" si="43"/>
        <v>0</v>
      </c>
      <c r="G112" s="79">
        <f t="shared" si="43"/>
        <v>-110.73881999999993</v>
      </c>
      <c r="H112" s="79">
        <f t="shared" si="43"/>
        <v>-64.595519999999055</v>
      </c>
      <c r="I112" s="79">
        <f t="shared" si="43"/>
        <v>-178.32847999999831</v>
      </c>
      <c r="J112" s="79">
        <f t="shared" si="43"/>
        <v>183.28626000000088</v>
      </c>
      <c r="K112" s="79">
        <f t="shared" si="43"/>
        <v>9.0010099999999511</v>
      </c>
      <c r="L112" s="79">
        <f t="shared" si="43"/>
        <v>312.3821700000027</v>
      </c>
      <c r="M112" s="79">
        <f t="shared" si="43"/>
        <v>42.358620000002105</v>
      </c>
      <c r="N112" s="79">
        <f t="shared" si="43"/>
        <v>81.629539999999707</v>
      </c>
      <c r="O112" s="79">
        <f t="shared" si="43"/>
        <v>-140.26491999999024</v>
      </c>
      <c r="P112" s="79">
        <f t="shared" si="43"/>
        <v>145.66207000000253</v>
      </c>
      <c r="Q112" s="79">
        <f t="shared" si="43"/>
        <v>222.91234999999844</v>
      </c>
      <c r="R112" s="79">
        <f>SUM(R104,R108)</f>
        <v>602.70563999999911</v>
      </c>
      <c r="S112" s="36">
        <f t="shared" si="43"/>
        <v>-61.148859999998507</v>
      </c>
    </row>
    <row r="113" spans="2:26" ht="5.85" customHeight="1" x14ac:dyDescent="0.25"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Z113" s="93"/>
    </row>
    <row r="114" spans="2:26" ht="15.75" x14ac:dyDescent="0.25">
      <c r="B114" s="81" t="s">
        <v>58</v>
      </c>
      <c r="C114" s="65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</row>
    <row r="115" spans="2:26" x14ac:dyDescent="0.25">
      <c r="B115" s="70" t="s">
        <v>55</v>
      </c>
      <c r="C115" s="37">
        <f t="shared" ref="C115:C122" si="44">SUM(D115:S115)</f>
        <v>-217.63392452749082</v>
      </c>
      <c r="D115" s="37">
        <f t="shared" ref="D115:S115" si="45">(D74+D76)*D67/1000</f>
        <v>-78.299067708119239</v>
      </c>
      <c r="E115" s="37">
        <f t="shared" si="45"/>
        <v>-78.40107480916015</v>
      </c>
      <c r="F115" s="37">
        <f t="shared" si="45"/>
        <v>0</v>
      </c>
      <c r="G115" s="37">
        <f t="shared" si="45"/>
        <v>83.170896842105165</v>
      </c>
      <c r="H115" s="37">
        <f t="shared" si="45"/>
        <v>-135.14524719535771</v>
      </c>
      <c r="I115" s="37">
        <f t="shared" si="45"/>
        <v>-66.130662119309164</v>
      </c>
      <c r="J115" s="37">
        <f t="shared" si="45"/>
        <v>15.015993688969255</v>
      </c>
      <c r="K115" s="37">
        <f t="shared" si="45"/>
        <v>6.6822530232557185</v>
      </c>
      <c r="L115" s="37">
        <f t="shared" si="45"/>
        <v>122.22337862068953</v>
      </c>
      <c r="M115" s="37">
        <f t="shared" si="45"/>
        <v>-10.709306275229348</v>
      </c>
      <c r="N115" s="37">
        <f t="shared" si="45"/>
        <v>-56.902488575342396</v>
      </c>
      <c r="O115" s="37">
        <f t="shared" si="45"/>
        <v>-13.248650310558988</v>
      </c>
      <c r="P115" s="37">
        <f t="shared" si="45"/>
        <v>-78.259269405594296</v>
      </c>
      <c r="Q115" s="37">
        <f t="shared" si="45"/>
        <v>107.56983857988162</v>
      </c>
      <c r="R115" s="37">
        <f t="shared" si="45"/>
        <v>-62.033584883720849</v>
      </c>
      <c r="S115" s="37">
        <f t="shared" si="45"/>
        <v>26.833065999999974</v>
      </c>
    </row>
    <row r="116" spans="2:26" hidden="1" outlineLevel="1" x14ac:dyDescent="0.25">
      <c r="B116" s="71" t="s">
        <v>46</v>
      </c>
      <c r="C116" s="37">
        <f t="shared" si="44"/>
        <v>115.40760250765548</v>
      </c>
      <c r="D116" s="37">
        <f t="shared" ref="D116:S116" si="46">(D74)*D62/1000</f>
        <v>-17.278411625615767</v>
      </c>
      <c r="E116" s="37">
        <f t="shared" si="46"/>
        <v>-24.265423225806394</v>
      </c>
      <c r="F116" s="37">
        <f t="shared" si="46"/>
        <v>0</v>
      </c>
      <c r="G116" s="37">
        <f t="shared" si="46"/>
        <v>49.183160727272657</v>
      </c>
      <c r="H116" s="37">
        <f t="shared" si="46"/>
        <v>-74.137106999999929</v>
      </c>
      <c r="I116" s="37">
        <f t="shared" si="46"/>
        <v>-22.044040669014052</v>
      </c>
      <c r="J116" s="37">
        <f t="shared" si="46"/>
        <v>32.409733684210465</v>
      </c>
      <c r="K116" s="37">
        <f t="shared" si="46"/>
        <v>1.0753829999999962</v>
      </c>
      <c r="L116" s="37">
        <f t="shared" si="46"/>
        <v>96.070201827410941</v>
      </c>
      <c r="M116" s="37">
        <f t="shared" si="46"/>
        <v>13.058678911564616</v>
      </c>
      <c r="N116" s="37">
        <f t="shared" si="46"/>
        <v>-25.91188112359546</v>
      </c>
      <c r="O116" s="37">
        <f t="shared" si="46"/>
        <v>128.6476641558437</v>
      </c>
      <c r="P116" s="37">
        <f t="shared" si="46"/>
        <v>-65.94698875399348</v>
      </c>
      <c r="Q116" s="37">
        <f t="shared" si="46"/>
        <v>79.785046619718202</v>
      </c>
      <c r="R116" s="37">
        <f t="shared" si="46"/>
        <v>-60.439148780487606</v>
      </c>
      <c r="S116" s="37">
        <f t="shared" si="46"/>
        <v>5.2007347601475908</v>
      </c>
    </row>
    <row r="117" spans="2:26" hidden="1" outlineLevel="1" x14ac:dyDescent="0.25">
      <c r="B117" s="71" t="s">
        <v>59</v>
      </c>
      <c r="C117" s="37">
        <f t="shared" si="44"/>
        <v>-120.13259573342357</v>
      </c>
      <c r="D117" s="37">
        <f t="shared" ref="D117:S117" si="47">(D76)*D64/1000</f>
        <v>-19.609263738977077</v>
      </c>
      <c r="E117" s="37">
        <f t="shared" si="47"/>
        <v>11.042747826087025</v>
      </c>
      <c r="F117" s="37">
        <f t="shared" si="47"/>
        <v>0</v>
      </c>
      <c r="G117" s="37">
        <f t="shared" si="47"/>
        <v>-1.3781166666666629</v>
      </c>
      <c r="H117" s="37">
        <f t="shared" si="47"/>
        <v>-16.158691814345971</v>
      </c>
      <c r="I117" s="37">
        <f t="shared" si="47"/>
        <v>1.3941059490084953</v>
      </c>
      <c r="J117" s="37">
        <f t="shared" si="47"/>
        <v>-7.1094147692308018</v>
      </c>
      <c r="K117" s="37">
        <f t="shared" si="47"/>
        <v>-5.1297900000000043</v>
      </c>
      <c r="L117" s="37">
        <f t="shared" si="47"/>
        <v>2.728988403361349</v>
      </c>
      <c r="M117" s="37">
        <f t="shared" si="47"/>
        <v>-8.1363585657367371E-2</v>
      </c>
      <c r="N117" s="37">
        <f t="shared" si="47"/>
        <v>-6.4658798395721684</v>
      </c>
      <c r="O117" s="37">
        <f t="shared" si="47"/>
        <v>-85.469011111111058</v>
      </c>
      <c r="P117" s="37">
        <f t="shared" si="47"/>
        <v>0.94408629343629102</v>
      </c>
      <c r="Q117" s="37">
        <f t="shared" si="47"/>
        <v>8.0899346938775505</v>
      </c>
      <c r="R117" s="37">
        <f t="shared" si="47"/>
        <v>-6.2516500763358716</v>
      </c>
      <c r="S117" s="37">
        <f t="shared" si="47"/>
        <v>3.3207227027027053</v>
      </c>
    </row>
    <row r="118" spans="2:26" hidden="1" outlineLevel="1" x14ac:dyDescent="0.25">
      <c r="B118" s="71" t="s">
        <v>49</v>
      </c>
      <c r="C118" s="37">
        <f t="shared" si="44"/>
        <v>124.45718875582156</v>
      </c>
      <c r="D118" s="37">
        <f t="shared" ref="D118:S118" si="48">(D74)*D65/1000</f>
        <v>-14.40125940886699</v>
      </c>
      <c r="E118" s="37">
        <f t="shared" si="48"/>
        <v>-79.270583225806419</v>
      </c>
      <c r="F118" s="37">
        <f t="shared" si="48"/>
        <v>0</v>
      </c>
      <c r="G118" s="37">
        <f t="shared" si="48"/>
        <v>80.611002181818151</v>
      </c>
      <c r="H118" s="37">
        <f t="shared" si="48"/>
        <v>-63.50994599999995</v>
      </c>
      <c r="I118" s="37">
        <f t="shared" si="48"/>
        <v>-44.985519507042198</v>
      </c>
      <c r="J118" s="37">
        <f t="shared" si="48"/>
        <v>73.532197149122766</v>
      </c>
      <c r="K118" s="37">
        <f t="shared" si="48"/>
        <v>3.0100853333333002</v>
      </c>
      <c r="L118" s="37">
        <f t="shared" si="48"/>
        <v>87.731817258883254</v>
      </c>
      <c r="M118" s="37">
        <f t="shared" si="48"/>
        <v>11.718087074829924</v>
      </c>
      <c r="N118" s="37">
        <f t="shared" si="48"/>
        <v>-18.584377078651684</v>
      </c>
      <c r="O118" s="37">
        <f t="shared" si="48"/>
        <v>126.76092203463202</v>
      </c>
      <c r="P118" s="37">
        <f t="shared" si="48"/>
        <v>-53.032632843450457</v>
      </c>
      <c r="Q118" s="37">
        <f t="shared" si="48"/>
        <v>75.712060845070425</v>
      </c>
      <c r="R118" s="37">
        <f t="shared" si="48"/>
        <v>-65.741746829268294</v>
      </c>
      <c r="S118" s="37">
        <f t="shared" si="48"/>
        <v>4.9070817712177135</v>
      </c>
    </row>
    <row r="119" spans="2:26" collapsed="1" x14ac:dyDescent="0.25">
      <c r="B119" s="72" t="s">
        <v>56</v>
      </c>
      <c r="C119" s="37">
        <f t="shared" si="44"/>
        <v>3792.8688445274847</v>
      </c>
      <c r="D119" s="37">
        <f t="shared" ref="D119:S119" si="49">(D8+D10)*D100/1000</f>
        <v>400.33958770811677</v>
      </c>
      <c r="E119" s="37">
        <f t="shared" si="49"/>
        <v>-6.2927751908396443</v>
      </c>
      <c r="F119" s="37">
        <f t="shared" si="49"/>
        <v>0</v>
      </c>
      <c r="G119" s="37">
        <f t="shared" si="49"/>
        <v>168.10365315789426</v>
      </c>
      <c r="H119" s="37">
        <f t="shared" si="49"/>
        <v>240.42060719535706</v>
      </c>
      <c r="I119" s="37">
        <f t="shared" si="49"/>
        <v>477.46207211930914</v>
      </c>
      <c r="J119" s="37">
        <f t="shared" si="49"/>
        <v>402.66788631103014</v>
      </c>
      <c r="K119" s="37">
        <f t="shared" si="49"/>
        <v>212.70047697674477</v>
      </c>
      <c r="L119" s="37">
        <f t="shared" si="49"/>
        <v>334.54226137930971</v>
      </c>
      <c r="M119" s="37">
        <f t="shared" si="49"/>
        <v>302.62485627522858</v>
      </c>
      <c r="N119" s="37">
        <f t="shared" si="49"/>
        <v>71.926898575342406</v>
      </c>
      <c r="O119" s="37">
        <f t="shared" si="49"/>
        <v>158.10868031056046</v>
      </c>
      <c r="P119" s="37">
        <f t="shared" si="49"/>
        <v>50.941959405594432</v>
      </c>
      <c r="Q119" s="37">
        <f t="shared" si="49"/>
        <v>750.96018142011735</v>
      </c>
      <c r="R119" s="37">
        <f t="shared" si="49"/>
        <v>190.8146048837198</v>
      </c>
      <c r="S119" s="37">
        <f t="shared" si="49"/>
        <v>37.547893999999808</v>
      </c>
    </row>
    <row r="120" spans="2:26" hidden="1" outlineLevel="1" x14ac:dyDescent="0.25">
      <c r="B120" s="73" t="s">
        <v>46</v>
      </c>
      <c r="C120" s="74">
        <f t="shared" si="44"/>
        <v>2161.9452774923448</v>
      </c>
      <c r="D120" s="74">
        <f t="shared" ref="D120:S120" si="50">D95*D8/1000</f>
        <v>213.69696162561425</v>
      </c>
      <c r="E120" s="74">
        <f t="shared" si="50"/>
        <v>12.168693225806459</v>
      </c>
      <c r="F120" s="74">
        <f t="shared" si="50"/>
        <v>0</v>
      </c>
      <c r="G120" s="74">
        <f t="shared" si="50"/>
        <v>180.15231927272686</v>
      </c>
      <c r="H120" s="74">
        <f t="shared" si="50"/>
        <v>221.26798699999958</v>
      </c>
      <c r="I120" s="74">
        <f t="shared" si="50"/>
        <v>159.2842106690139</v>
      </c>
      <c r="J120" s="74">
        <f t="shared" si="50"/>
        <v>277.57128631578979</v>
      </c>
      <c r="K120" s="74">
        <f t="shared" si="50"/>
        <v>94.542106999999788</v>
      </c>
      <c r="L120" s="74">
        <f t="shared" si="50"/>
        <v>155.61732817258883</v>
      </c>
      <c r="M120" s="74">
        <f t="shared" si="50"/>
        <v>90.631281088434974</v>
      </c>
      <c r="N120" s="74">
        <f t="shared" si="50"/>
        <v>-9.4482888764043587</v>
      </c>
      <c r="O120" s="74">
        <f t="shared" si="50"/>
        <v>33.741325844159306</v>
      </c>
      <c r="P120" s="74">
        <f t="shared" si="50"/>
        <v>90.597498753993705</v>
      </c>
      <c r="Q120" s="74">
        <f t="shared" si="50"/>
        <v>539.93900338028141</v>
      </c>
      <c r="R120" s="74">
        <f t="shared" si="50"/>
        <v>87.135778780487612</v>
      </c>
      <c r="S120" s="37">
        <f t="shared" si="50"/>
        <v>15.047785239852612</v>
      </c>
    </row>
    <row r="121" spans="2:26" hidden="1" outlineLevel="1" x14ac:dyDescent="0.25">
      <c r="B121" s="73" t="s">
        <v>59</v>
      </c>
      <c r="C121" s="74">
        <f t="shared" si="44"/>
        <v>1339.4745557334195</v>
      </c>
      <c r="D121" s="74">
        <f t="shared" ref="D121:S121" si="51">D97*D10/1000</f>
        <v>216.94651373897656</v>
      </c>
      <c r="E121" s="74">
        <f t="shared" si="51"/>
        <v>-10.463777826086917</v>
      </c>
      <c r="F121" s="74">
        <f t="shared" si="51"/>
        <v>0</v>
      </c>
      <c r="G121" s="74">
        <f t="shared" si="51"/>
        <v>35.658816666666567</v>
      </c>
      <c r="H121" s="74">
        <f t="shared" si="51"/>
        <v>96.038181814345648</v>
      </c>
      <c r="I121" s="74">
        <f t="shared" si="51"/>
        <v>217.96124405099118</v>
      </c>
      <c r="J121" s="74">
        <f t="shared" si="51"/>
        <v>55.267134769229997</v>
      </c>
      <c r="K121" s="74">
        <f t="shared" si="51"/>
        <v>108.17283999999974</v>
      </c>
      <c r="L121" s="74">
        <f t="shared" si="51"/>
        <v>66.420331596638221</v>
      </c>
      <c r="M121" s="74">
        <f t="shared" si="51"/>
        <v>159.76750358565698</v>
      </c>
      <c r="N121" s="74">
        <f t="shared" si="51"/>
        <v>14.253929839572251</v>
      </c>
      <c r="O121" s="74">
        <f t="shared" si="51"/>
        <v>65.803371111110707</v>
      </c>
      <c r="P121" s="74">
        <f t="shared" si="51"/>
        <v>-20.212266293435928</v>
      </c>
      <c r="Q121" s="74">
        <f t="shared" si="51"/>
        <v>144.95121530612204</v>
      </c>
      <c r="R121" s="74">
        <f t="shared" si="51"/>
        <v>170.94635007633522</v>
      </c>
      <c r="S121" s="46">
        <f t="shared" si="51"/>
        <v>17.963167297297165</v>
      </c>
    </row>
    <row r="122" spans="2:26" hidden="1" outlineLevel="1" x14ac:dyDescent="0.25">
      <c r="B122" s="73" t="s">
        <v>49</v>
      </c>
      <c r="C122" s="74">
        <f t="shared" si="44"/>
        <v>-45.917108755822667</v>
      </c>
      <c r="D122" s="74">
        <f t="shared" ref="D122:S122" si="52">D98*D8/1000</f>
        <v>-57.314020591133172</v>
      </c>
      <c r="E122" s="74">
        <f t="shared" si="52"/>
        <v>6.0944932258064544</v>
      </c>
      <c r="F122" s="74">
        <f t="shared" si="52"/>
        <v>0</v>
      </c>
      <c r="G122" s="74">
        <f t="shared" si="52"/>
        <v>-92.95263218181816</v>
      </c>
      <c r="H122" s="74">
        <f t="shared" si="52"/>
        <v>-58.225063999999968</v>
      </c>
      <c r="I122" s="74">
        <f t="shared" si="52"/>
        <v>99.721409507042466</v>
      </c>
      <c r="J122" s="74">
        <f t="shared" si="52"/>
        <v>-13.987057149122839</v>
      </c>
      <c r="K122" s="74">
        <f t="shared" si="52"/>
        <v>17.712104666667688</v>
      </c>
      <c r="L122" s="74">
        <f t="shared" si="52"/>
        <v>48.196972741116738</v>
      </c>
      <c r="M122" s="74">
        <f t="shared" si="52"/>
        <v>16.821362925170153</v>
      </c>
      <c r="N122" s="74">
        <f t="shared" si="52"/>
        <v>61.180907078651444</v>
      </c>
      <c r="O122" s="74">
        <f t="shared" si="52"/>
        <v>-124.62424203463297</v>
      </c>
      <c r="P122" s="74">
        <f t="shared" si="52"/>
        <v>20.332992843450086</v>
      </c>
      <c r="Q122" s="74">
        <f t="shared" si="52"/>
        <v>10.052759154929438</v>
      </c>
      <c r="R122" s="74">
        <f t="shared" si="52"/>
        <v>3.1314368292679746</v>
      </c>
      <c r="S122" s="46">
        <f t="shared" si="52"/>
        <v>17.941468228782007</v>
      </c>
    </row>
    <row r="123" spans="2:26" collapsed="1" x14ac:dyDescent="0.25">
      <c r="B123" s="78" t="s">
        <v>57</v>
      </c>
      <c r="C123" s="79">
        <f>SUM(C115,C119)</f>
        <v>3575.234919999994</v>
      </c>
      <c r="D123" s="79">
        <f t="shared" ref="D123:S123" si="53">SUM(D115,D119)</f>
        <v>322.04051999999751</v>
      </c>
      <c r="E123" s="79">
        <f t="shared" si="53"/>
        <v>-84.693849999999799</v>
      </c>
      <c r="F123" s="79">
        <f t="shared" si="53"/>
        <v>0</v>
      </c>
      <c r="G123" s="79">
        <f t="shared" si="53"/>
        <v>251.27454999999941</v>
      </c>
      <c r="H123" s="79">
        <f t="shared" si="53"/>
        <v>105.27535999999935</v>
      </c>
      <c r="I123" s="79">
        <f t="shared" si="53"/>
        <v>411.33141000000001</v>
      </c>
      <c r="J123" s="79">
        <f t="shared" si="53"/>
        <v>417.68387999999942</v>
      </c>
      <c r="K123" s="79">
        <f t="shared" si="53"/>
        <v>219.38273000000049</v>
      </c>
      <c r="L123" s="79">
        <f t="shared" si="53"/>
        <v>456.76563999999922</v>
      </c>
      <c r="M123" s="79">
        <f t="shared" si="53"/>
        <v>291.91554999999926</v>
      </c>
      <c r="N123" s="79">
        <f t="shared" si="53"/>
        <v>15.02441000000001</v>
      </c>
      <c r="O123" s="79">
        <f t="shared" si="53"/>
        <v>144.86003000000147</v>
      </c>
      <c r="P123" s="79">
        <f t="shared" si="53"/>
        <v>-27.317309999999864</v>
      </c>
      <c r="Q123" s="79">
        <f t="shared" si="53"/>
        <v>858.53001999999901</v>
      </c>
      <c r="R123" s="79">
        <f t="shared" si="53"/>
        <v>128.78101999999893</v>
      </c>
      <c r="S123" s="36">
        <f t="shared" si="53"/>
        <v>64.380959999999789</v>
      </c>
    </row>
    <row r="136" spans="3:3" x14ac:dyDescent="0.25">
      <c r="C136" s="94"/>
    </row>
  </sheetData>
  <conditionalFormatting sqref="B28">
    <cfRule type="colorScale" priority="12">
      <colorScale>
        <cfvo type="min"/>
        <cfvo type="max"/>
        <color rgb="FFFCFCFF"/>
        <color rgb="FF63BE7B"/>
      </colorScale>
    </cfRule>
  </conditionalFormatting>
  <conditionalFormatting sqref="B61">
    <cfRule type="colorScale" priority="11">
      <colorScale>
        <cfvo type="min"/>
        <cfvo type="max"/>
        <color rgb="FFFCFCFF"/>
        <color rgb="FF63BE7B"/>
      </colorScale>
    </cfRule>
  </conditionalFormatting>
  <conditionalFormatting sqref="B94">
    <cfRule type="colorScale" priority="9">
      <colorScale>
        <cfvo type="min"/>
        <cfvo type="max"/>
        <color rgb="FFFCFCFF"/>
        <color rgb="FF63BE7B"/>
      </colorScale>
    </cfRule>
  </conditionalFormatting>
  <conditionalFormatting sqref="C35:S3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S6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1:S10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:S111">
    <cfRule type="cellIs" dxfId="3" priority="5" operator="greaterThanOrEqual">
      <formula>0</formula>
    </cfRule>
    <cfRule type="cellIs" dxfId="2" priority="6" operator="lessThan">
      <formula>0</formula>
    </cfRule>
  </conditionalFormatting>
  <conditionalFormatting sqref="C112:S1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5:S122">
    <cfRule type="cellIs" dxfId="1" priority="1" operator="greaterThanOrEqual">
      <formula>0</formula>
    </cfRule>
    <cfRule type="cellIs" dxfId="0" priority="2" operator="lessThan">
      <formula>0</formula>
    </cfRule>
  </conditionalFormatting>
  <conditionalFormatting sqref="C123:S1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1" right="0" top="0" bottom="0" header="0" footer="0"/>
  <pageSetup paperSize="3" scale="86" orientation="landscape" r:id="rId1"/>
  <headerFooter>
    <oddFooter>&amp;R&amp;F
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AC Gross per Unit vs Budget</vt:lpstr>
      <vt:lpstr>AC Gross per Unit vs Last Year</vt:lpstr>
      <vt:lpstr>AC YTD Gross per Unit vs Budget</vt:lpstr>
      <vt:lpstr>AC YTD Gross per Unit vs Last Y</vt:lpstr>
      <vt:lpstr>'AC Gross per Unit vs Budget'!Zone_d_impression</vt:lpstr>
      <vt:lpstr>'AC Gross per Unit vs Last Year'!Zone_d_impression</vt:lpstr>
      <vt:lpstr>'AC YTD Gross per Unit vs Budget'!Zone_d_impression</vt:lpstr>
      <vt:lpstr>'AC YTD Gross per Unit vs Last Y'!Zone_d_impression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Henderson</dc:creator>
  <cp:lastModifiedBy>Dean Henderson</cp:lastModifiedBy>
  <dcterms:created xsi:type="dcterms:W3CDTF">2025-11-14T20:00:33Z</dcterms:created>
  <dcterms:modified xsi:type="dcterms:W3CDTF">2025-11-14T20:05:16Z</dcterms:modified>
</cp:coreProperties>
</file>