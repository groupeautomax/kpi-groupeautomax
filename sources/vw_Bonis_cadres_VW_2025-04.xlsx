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5\04. Avril\"/>
    </mc:Choice>
  </mc:AlternateContent>
  <bookViews>
    <workbookView xWindow="28680" yWindow="-195" windowWidth="29040" windowHeight="15720" tabRatio="812" activeTab="7"/>
  </bookViews>
  <sheets>
    <sheet name="SOMMAIRE" sheetId="25" r:id="rId1"/>
    <sheet name="Kaven Bonneau v2 2024" sheetId="64" state="hidden" r:id="rId2"/>
    <sheet name="Guillaume Raymond v2 2024 " sheetId="63" state="hidden" r:id="rId3"/>
    <sheet name="Guillaume Raymond 2024" sheetId="61" state="hidden" r:id="rId4"/>
    <sheet name="Sebastien Fleury 2025" sheetId="67" r:id="rId5"/>
    <sheet name="Karim Noori 2024" sheetId="55" state="hidden" r:id="rId6"/>
    <sheet name="Alexandre Paradis 2025" sheetId="68" state="hidden" r:id="rId7"/>
    <sheet name="Alexandre Paradis 2025 v2" sheetId="69" r:id="rId8"/>
    <sheet name="Karim Noori 2025" sheetId="70" r:id="rId9"/>
    <sheet name="Marc-Olivier Poulin 2025" sheetId="66" r:id="rId10"/>
    <sheet name="Tommy Martel Diotte 2024" sheetId="62" r:id="rId11"/>
    <sheet name="Rémi Dubreuil 2025" sheetId="56" r:id="rId12"/>
    <sheet name="Kaven Bonneau 2024" sheetId="58" state="hidden" r:id="rId13"/>
    <sheet name="Vincent Metayer 2023" sheetId="60" state="hidden" r:id="rId14"/>
    <sheet name="Claudia Pantalena" sheetId="52" state="hidden" r:id="rId15"/>
    <sheet name="Kaven Bonneau 2023-01 à 03" sheetId="54" state="hidden" r:id="rId16"/>
    <sheet name="Karim Noori 2023-01 seulement" sheetId="57" state="hidden" r:id="rId17"/>
    <sheet name="Simon Bénard" sheetId="43" state="hidden" r:id="rId18"/>
    <sheet name="Jean-Marc Monnier 2023" sheetId="53" state="hidden" r:id="rId19"/>
    <sheet name="H2" sheetId="15" state="hidden" r:id="rId20"/>
    <sheet name="Karim Noori (feb 22)" sheetId="46" state="hidden" r:id="rId21"/>
    <sheet name="Marie Eve Légaré" sheetId="34" state="hidden" r:id="rId22"/>
  </sheets>
  <definedNames>
    <definedName name="Ticker">#REF!</definedName>
    <definedName name="_xlnm.Print_Area" localSheetId="6">'Alexandre Paradis 2025'!$B$1:$S$36</definedName>
    <definedName name="_xlnm.Print_Area" localSheetId="7">'Alexandre Paradis 2025 v2'!$B$1:$S$44</definedName>
    <definedName name="_xlnm.Print_Area" localSheetId="14">'Claudia Pantalena'!$B$1:$S$54</definedName>
    <definedName name="_xlnm.Print_Area" localSheetId="3">'Guillaume Raymond 2024'!$B$1:$S$37</definedName>
    <definedName name="_xlnm.Print_Area" localSheetId="2">'Guillaume Raymond v2 2024 '!$B$1:$S$36</definedName>
    <definedName name="_xlnm.Print_Area" localSheetId="18">'Jean-Marc Monnier 2023'!$B$1:$S$35</definedName>
    <definedName name="_xlnm.Print_Area" localSheetId="5">'Karim Noori 2024'!$B$1:$S$36</definedName>
    <definedName name="_xlnm.Print_Area" localSheetId="8">'Karim Noori 2025'!$B$1:$S$36</definedName>
    <definedName name="_xlnm.Print_Area" localSheetId="12">'Kaven Bonneau 2024'!$B$1:$S$47</definedName>
    <definedName name="_xlnm.Print_Area" localSheetId="1">'Kaven Bonneau v2 2024'!$B$1:$S$58</definedName>
    <definedName name="_xlnm.Print_Area" localSheetId="9">'Marc-Olivier Poulin 2025'!$B$1:$S$34</definedName>
    <definedName name="_xlnm.Print_Area" localSheetId="11">'Rémi Dubreuil 2025'!$B$1:$S$37</definedName>
    <definedName name="_xlnm.Print_Area" localSheetId="4">'Sebastien Fleury 2025'!$B$1:$S$36</definedName>
    <definedName name="_xlnm.Print_Area" localSheetId="10">'Tommy Martel Diotte 2024'!$B$1:$S$49</definedName>
    <definedName name="_xlnm.Print_Area" localSheetId="13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5" l="1"/>
  <c r="N24" i="69"/>
  <c r="M24" i="69"/>
  <c r="S22" i="69"/>
  <c r="S23" i="69" s="1"/>
  <c r="R22" i="69"/>
  <c r="R23" i="69" s="1"/>
  <c r="Q22" i="69"/>
  <c r="Q25" i="69" s="1"/>
  <c r="P22" i="69"/>
  <c r="P25" i="69" s="1"/>
  <c r="O22" i="69"/>
  <c r="O25" i="69" s="1"/>
  <c r="N22" i="69"/>
  <c r="N25" i="69" s="1"/>
  <c r="M22" i="69"/>
  <c r="M25" i="69" s="1"/>
  <c r="L22" i="69"/>
  <c r="L25" i="69" s="1"/>
  <c r="K25" i="69"/>
  <c r="K24" i="69"/>
  <c r="K23" i="69"/>
  <c r="O16" i="69"/>
  <c r="N16" i="69"/>
  <c r="M16" i="69"/>
  <c r="L16" i="69"/>
  <c r="O15" i="69"/>
  <c r="O18" i="69" s="1"/>
  <c r="N15" i="69"/>
  <c r="N18" i="69" s="1"/>
  <c r="M15" i="69"/>
  <c r="M18" i="69" s="1"/>
  <c r="L15" i="69"/>
  <c r="L18" i="69" s="1"/>
  <c r="S14" i="69"/>
  <c r="S15" i="69" s="1"/>
  <c r="R14" i="69"/>
  <c r="R15" i="69" s="1"/>
  <c r="Q14" i="69"/>
  <c r="Q15" i="69" s="1"/>
  <c r="P14" i="69"/>
  <c r="P15" i="69" s="1"/>
  <c r="O14" i="69"/>
  <c r="O17" i="69" s="1"/>
  <c r="N14" i="69"/>
  <c r="N17" i="69" s="1"/>
  <c r="M14" i="69"/>
  <c r="M17" i="69" s="1"/>
  <c r="L14" i="69"/>
  <c r="L17" i="69" s="1"/>
  <c r="K17" i="69"/>
  <c r="K16" i="69"/>
  <c r="K4" i="67"/>
  <c r="L24" i="69" l="1"/>
  <c r="R25" i="69"/>
  <c r="O24" i="69"/>
  <c r="S25" i="69"/>
  <c r="L23" i="69"/>
  <c r="L26" i="69" s="1"/>
  <c r="P24" i="69"/>
  <c r="M23" i="69"/>
  <c r="M26" i="69" s="1"/>
  <c r="Q24" i="69"/>
  <c r="N23" i="69"/>
  <c r="N26" i="69" s="1"/>
  <c r="R24" i="69"/>
  <c r="R26" i="69" s="1"/>
  <c r="O23" i="69"/>
  <c r="S24" i="69"/>
  <c r="S26" i="69" s="1"/>
  <c r="P23" i="69"/>
  <c r="Q23" i="69"/>
  <c r="S17" i="69"/>
  <c r="P16" i="69"/>
  <c r="P18" i="69" s="1"/>
  <c r="Q16" i="69"/>
  <c r="Q18" i="69" s="1"/>
  <c r="Q17" i="69"/>
  <c r="R17" i="69"/>
  <c r="R16" i="69"/>
  <c r="R18" i="69" s="1"/>
  <c r="S16" i="69"/>
  <c r="S18" i="69" s="1"/>
  <c r="P17" i="69"/>
  <c r="P26" i="69" l="1"/>
  <c r="Q26" i="69"/>
  <c r="O26" i="69"/>
  <c r="S44" i="69" l="1"/>
  <c r="R44" i="69"/>
  <c r="Q44" i="69"/>
  <c r="P44" i="69"/>
  <c r="O44" i="69"/>
  <c r="N44" i="69"/>
  <c r="M44" i="69"/>
  <c r="L44" i="69"/>
  <c r="S32" i="69"/>
  <c r="R32" i="69"/>
  <c r="Q32" i="69"/>
  <c r="P32" i="69"/>
  <c r="O32" i="69"/>
  <c r="N32" i="69"/>
  <c r="M32" i="69"/>
  <c r="L32" i="69"/>
  <c r="S31" i="69"/>
  <c r="R31" i="69"/>
  <c r="Q31" i="69"/>
  <c r="P31" i="69"/>
  <c r="O31" i="69"/>
  <c r="N31" i="69"/>
  <c r="M31" i="69"/>
  <c r="L31" i="69"/>
  <c r="S30" i="69"/>
  <c r="R30" i="69"/>
  <c r="Q30" i="69"/>
  <c r="P30" i="69"/>
  <c r="O30" i="69"/>
  <c r="O33" i="69" s="1"/>
  <c r="N30" i="69"/>
  <c r="N33" i="69" s="1"/>
  <c r="M30" i="69"/>
  <c r="M33" i="69" s="1"/>
  <c r="L30" i="69"/>
  <c r="L33" i="69" s="1"/>
  <c r="K32" i="69"/>
  <c r="K31" i="69"/>
  <c r="K30" i="69"/>
  <c r="P33" i="69" l="1"/>
  <c r="R33" i="69"/>
  <c r="Q33" i="69"/>
  <c r="S33" i="69"/>
  <c r="K22" i="69" l="1"/>
  <c r="S39" i="69"/>
  <c r="R39" i="69"/>
  <c r="Q39" i="69"/>
  <c r="P39" i="69"/>
  <c r="O39" i="69"/>
  <c r="N39" i="69"/>
  <c r="M39" i="69"/>
  <c r="L39" i="69"/>
  <c r="K39" i="69"/>
  <c r="S38" i="69"/>
  <c r="R38" i="69"/>
  <c r="Q38" i="69"/>
  <c r="P38" i="69"/>
  <c r="O38" i="69"/>
  <c r="N38" i="69"/>
  <c r="M38" i="69"/>
  <c r="L38" i="69"/>
  <c r="K38" i="69"/>
  <c r="S37" i="69"/>
  <c r="R37" i="69"/>
  <c r="Q37" i="69"/>
  <c r="P37" i="69"/>
  <c r="O37" i="69"/>
  <c r="N37" i="69"/>
  <c r="M37" i="69"/>
  <c r="L37" i="69"/>
  <c r="K37" i="69"/>
  <c r="K14" i="69"/>
  <c r="S13" i="69"/>
  <c r="R13" i="69"/>
  <c r="Q13" i="69"/>
  <c r="P13" i="69"/>
  <c r="O13" i="69"/>
  <c r="N13" i="69"/>
  <c r="M13" i="69"/>
  <c r="L13" i="69"/>
  <c r="S12" i="69"/>
  <c r="R12" i="69"/>
  <c r="Q12" i="69"/>
  <c r="P12" i="69"/>
  <c r="O12" i="69"/>
  <c r="N12" i="69"/>
  <c r="M12" i="69"/>
  <c r="L12" i="69"/>
  <c r="O7" i="69"/>
  <c r="S6" i="69"/>
  <c r="S9" i="69" s="1"/>
  <c r="R6" i="69"/>
  <c r="R9" i="69" s="1"/>
  <c r="Q6" i="69"/>
  <c r="Q9" i="69" s="1"/>
  <c r="P6" i="69"/>
  <c r="P8" i="69" s="1"/>
  <c r="O6" i="69"/>
  <c r="O8" i="69" s="1"/>
  <c r="N6" i="69"/>
  <c r="N8" i="69" s="1"/>
  <c r="M6" i="69"/>
  <c r="M7" i="69" s="1"/>
  <c r="L6" i="69"/>
  <c r="L7" i="69" s="1"/>
  <c r="K6" i="69"/>
  <c r="K7" i="69" s="1"/>
  <c r="S44" i="70"/>
  <c r="S43" i="70"/>
  <c r="S42" i="70"/>
  <c r="S45" i="70" s="1"/>
  <c r="S47" i="70" s="1"/>
  <c r="S36" i="70"/>
  <c r="R36" i="70"/>
  <c r="Q36" i="70"/>
  <c r="P36" i="70"/>
  <c r="O36" i="70"/>
  <c r="N36" i="70"/>
  <c r="M36" i="70"/>
  <c r="L36" i="70"/>
  <c r="K36" i="70"/>
  <c r="J31" i="70"/>
  <c r="I31" i="70"/>
  <c r="I32" i="70" s="1"/>
  <c r="H31" i="70"/>
  <c r="H32" i="70" s="1"/>
  <c r="J30" i="70"/>
  <c r="J32" i="70" s="1"/>
  <c r="I30" i="70"/>
  <c r="H30" i="70"/>
  <c r="J29" i="70"/>
  <c r="I29" i="70"/>
  <c r="H29" i="70"/>
  <c r="J24" i="70"/>
  <c r="I24" i="70"/>
  <c r="I25" i="70" s="1"/>
  <c r="H24" i="70"/>
  <c r="H25" i="70" s="1"/>
  <c r="J23" i="70"/>
  <c r="J25" i="70" s="1"/>
  <c r="I23" i="70"/>
  <c r="H23" i="70"/>
  <c r="J22" i="70"/>
  <c r="I22" i="70"/>
  <c r="H22" i="70"/>
  <c r="I17" i="70"/>
  <c r="J16" i="70"/>
  <c r="I16" i="70"/>
  <c r="I14" i="70"/>
  <c r="I15" i="70" s="1"/>
  <c r="I18" i="70" s="1"/>
  <c r="J13" i="70"/>
  <c r="H13" i="70"/>
  <c r="H16" i="70" s="1"/>
  <c r="J12" i="70"/>
  <c r="J14" i="70" s="1"/>
  <c r="H12" i="70"/>
  <c r="H14" i="70" s="1"/>
  <c r="J9" i="70"/>
  <c r="I9" i="70"/>
  <c r="H9" i="70"/>
  <c r="J8" i="70"/>
  <c r="I8" i="70"/>
  <c r="H8" i="70"/>
  <c r="J7" i="70"/>
  <c r="J10" i="70" s="1"/>
  <c r="I7" i="70"/>
  <c r="I10" i="70" s="1"/>
  <c r="H7" i="70"/>
  <c r="H10" i="70" s="1"/>
  <c r="J6" i="70"/>
  <c r="I6" i="70"/>
  <c r="H6" i="70"/>
  <c r="S52" i="69"/>
  <c r="S51" i="69"/>
  <c r="S50" i="69"/>
  <c r="K14" i="62"/>
  <c r="B6" i="25"/>
  <c r="B5" i="25"/>
  <c r="J36" i="68"/>
  <c r="N40" i="69" l="1"/>
  <c r="K26" i="69"/>
  <c r="P40" i="69"/>
  <c r="O40" i="69"/>
  <c r="P7" i="69"/>
  <c r="Q7" i="69"/>
  <c r="R7" i="69"/>
  <c r="R8" i="69"/>
  <c r="R10" i="69" s="1"/>
  <c r="S7" i="69"/>
  <c r="Q8" i="69"/>
  <c r="S8" i="69"/>
  <c r="S53" i="69"/>
  <c r="S55" i="69" s="1"/>
  <c r="Q40" i="69"/>
  <c r="K33" i="69"/>
  <c r="S40" i="69"/>
  <c r="K40" i="69"/>
  <c r="L40" i="69"/>
  <c r="R40" i="69"/>
  <c r="N7" i="69"/>
  <c r="M40" i="69"/>
  <c r="K15" i="69"/>
  <c r="K18" i="69" s="1"/>
  <c r="K9" i="69"/>
  <c r="N9" i="69"/>
  <c r="L8" i="69"/>
  <c r="M8" i="69"/>
  <c r="P9" i="69"/>
  <c r="K8" i="69"/>
  <c r="O9" i="69"/>
  <c r="O10" i="69" s="1"/>
  <c r="L9" i="69"/>
  <c r="M9" i="69"/>
  <c r="I36" i="70"/>
  <c r="H17" i="70"/>
  <c r="H15" i="70"/>
  <c r="H18" i="70" s="1"/>
  <c r="H36" i="70" s="1"/>
  <c r="J17" i="70"/>
  <c r="J15" i="70"/>
  <c r="J18" i="70" s="1"/>
  <c r="J36" i="70" s="1"/>
  <c r="J36" i="67"/>
  <c r="V13" i="67"/>
  <c r="V12" i="67"/>
  <c r="P10" i="69" l="1"/>
  <c r="N10" i="69"/>
  <c r="Q10" i="69"/>
  <c r="S10" i="69"/>
  <c r="M10" i="69"/>
  <c r="L10" i="69"/>
  <c r="K10" i="69"/>
  <c r="K44" i="69" s="1"/>
  <c r="V14" i="67"/>
  <c r="V5" i="67" l="1"/>
  <c r="V4" i="67"/>
  <c r="J5" i="67"/>
  <c r="V6" i="67" l="1"/>
  <c r="S17" i="66" l="1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S29" i="56" l="1"/>
  <c r="R29" i="56"/>
  <c r="Q29" i="56"/>
  <c r="P29" i="56"/>
  <c r="O29" i="56"/>
  <c r="N29" i="56"/>
  <c r="M29" i="56"/>
  <c r="L29" i="56"/>
  <c r="K29" i="56"/>
  <c r="J29" i="56"/>
  <c r="I29" i="56"/>
  <c r="H29" i="56"/>
  <c r="J13" i="68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S47" i="62"/>
  <c r="P47" i="62"/>
  <c r="M47" i="62"/>
  <c r="S30" i="62"/>
  <c r="R30" i="62"/>
  <c r="Q30" i="62"/>
  <c r="P30" i="62"/>
  <c r="O30" i="62"/>
  <c r="N30" i="62"/>
  <c r="M30" i="62"/>
  <c r="L30" i="62"/>
  <c r="N26" i="62"/>
  <c r="M26" i="62"/>
  <c r="L26" i="62"/>
  <c r="S25" i="62"/>
  <c r="O25" i="62"/>
  <c r="N25" i="62"/>
  <c r="M25" i="62"/>
  <c r="L25" i="62"/>
  <c r="S24" i="62"/>
  <c r="R24" i="62"/>
  <c r="O24" i="62"/>
  <c r="N24" i="62"/>
  <c r="M24" i="62"/>
  <c r="L24" i="62"/>
  <c r="S23" i="62"/>
  <c r="S26" i="62" s="1"/>
  <c r="R23" i="62"/>
  <c r="Q23" i="62"/>
  <c r="N23" i="62"/>
  <c r="M23" i="62"/>
  <c r="L23" i="62"/>
  <c r="S22" i="62"/>
  <c r="R22" i="62"/>
  <c r="R25" i="62" s="1"/>
  <c r="Q22" i="62"/>
  <c r="Q24" i="62" s="1"/>
  <c r="P22" i="62"/>
  <c r="P23" i="62" s="1"/>
  <c r="O22" i="62"/>
  <c r="O23" i="62" s="1"/>
  <c r="O26" i="62" s="1"/>
  <c r="N22" i="62"/>
  <c r="M22" i="62"/>
  <c r="L22" i="62"/>
  <c r="K22" i="62"/>
  <c r="K23" i="62" s="1"/>
  <c r="J22" i="62"/>
  <c r="J24" i="62" s="1"/>
  <c r="I22" i="62"/>
  <c r="I23" i="62" s="1"/>
  <c r="O18" i="62"/>
  <c r="S17" i="62"/>
  <c r="O17" i="62"/>
  <c r="N17" i="62"/>
  <c r="S16" i="62"/>
  <c r="R16" i="62"/>
  <c r="O16" i="62"/>
  <c r="N16" i="62"/>
  <c r="M16" i="62"/>
  <c r="S15" i="62"/>
  <c r="S18" i="62" s="1"/>
  <c r="R15" i="62"/>
  <c r="R18" i="62" s="1"/>
  <c r="Q15" i="62"/>
  <c r="O15" i="62"/>
  <c r="N15" i="62"/>
  <c r="N18" i="62" s="1"/>
  <c r="M15" i="62"/>
  <c r="M18" i="62" s="1"/>
  <c r="L15" i="62"/>
  <c r="S14" i="62"/>
  <c r="R14" i="62"/>
  <c r="R17" i="62" s="1"/>
  <c r="Q14" i="62"/>
  <c r="Q16" i="62" s="1"/>
  <c r="P14" i="62"/>
  <c r="P15" i="62" s="1"/>
  <c r="O14" i="62"/>
  <c r="N14" i="62"/>
  <c r="M14" i="62"/>
  <c r="M17" i="62" s="1"/>
  <c r="L14" i="62"/>
  <c r="L16" i="62" s="1"/>
  <c r="K15" i="62"/>
  <c r="J14" i="62"/>
  <c r="J17" i="62" s="1"/>
  <c r="I14" i="62"/>
  <c r="I15" i="62" s="1"/>
  <c r="M10" i="62"/>
  <c r="L10" i="62"/>
  <c r="S9" i="62"/>
  <c r="O9" i="62"/>
  <c r="N9" i="62"/>
  <c r="M9" i="62"/>
  <c r="L9" i="62"/>
  <c r="S8" i="62"/>
  <c r="N8" i="62"/>
  <c r="M8" i="62"/>
  <c r="L8" i="62"/>
  <c r="S7" i="62"/>
  <c r="S10" i="62" s="1"/>
  <c r="Q7" i="62"/>
  <c r="M7" i="62"/>
  <c r="L7" i="62"/>
  <c r="S6" i="62"/>
  <c r="R6" i="62"/>
  <c r="R9" i="62" s="1"/>
  <c r="Q6" i="62"/>
  <c r="Q8" i="62" s="1"/>
  <c r="P6" i="62"/>
  <c r="P7" i="62" s="1"/>
  <c r="O6" i="62"/>
  <c r="O7" i="62" s="1"/>
  <c r="N6" i="62"/>
  <c r="N7" i="62" s="1"/>
  <c r="N10" i="62" s="1"/>
  <c r="M6" i="62"/>
  <c r="L6" i="62"/>
  <c r="K7" i="62"/>
  <c r="J6" i="62"/>
  <c r="J7" i="62" s="1"/>
  <c r="I6" i="62"/>
  <c r="I9" i="62" s="1"/>
  <c r="S34" i="62"/>
  <c r="S37" i="62" s="1"/>
  <c r="P34" i="62"/>
  <c r="P37" i="62" s="1"/>
  <c r="M34" i="62"/>
  <c r="M35" i="62" s="1"/>
  <c r="S44" i="62"/>
  <c r="S43" i="62"/>
  <c r="S42" i="62"/>
  <c r="P44" i="62"/>
  <c r="P43" i="62"/>
  <c r="P42" i="62"/>
  <c r="M44" i="62"/>
  <c r="M43" i="62"/>
  <c r="M42" i="62"/>
  <c r="M45" i="62" s="1"/>
  <c r="M26" i="56"/>
  <c r="L26" i="56"/>
  <c r="S25" i="56"/>
  <c r="O25" i="56"/>
  <c r="N25" i="56"/>
  <c r="M25" i="56"/>
  <c r="L25" i="56"/>
  <c r="S24" i="56"/>
  <c r="R24" i="56"/>
  <c r="N24" i="56"/>
  <c r="M24" i="56"/>
  <c r="L24" i="56"/>
  <c r="S23" i="56"/>
  <c r="S26" i="56" s="1"/>
  <c r="R23" i="56"/>
  <c r="R26" i="56" s="1"/>
  <c r="Q23" i="56"/>
  <c r="M23" i="56"/>
  <c r="L23" i="56"/>
  <c r="S22" i="56"/>
  <c r="R22" i="56"/>
  <c r="R25" i="56" s="1"/>
  <c r="Q22" i="56"/>
  <c r="Q24" i="56" s="1"/>
  <c r="P22" i="56"/>
  <c r="P23" i="56" s="1"/>
  <c r="O22" i="56"/>
  <c r="O23" i="56" s="1"/>
  <c r="N22" i="56"/>
  <c r="N23" i="56" s="1"/>
  <c r="N26" i="56" s="1"/>
  <c r="M22" i="56"/>
  <c r="L22" i="56"/>
  <c r="K22" i="56"/>
  <c r="K24" i="56" s="1"/>
  <c r="J22" i="56"/>
  <c r="J23" i="56" s="1"/>
  <c r="I22" i="56"/>
  <c r="I23" i="56" s="1"/>
  <c r="H22" i="56"/>
  <c r="O18" i="56"/>
  <c r="N18" i="56"/>
  <c r="M18" i="56"/>
  <c r="L18" i="56"/>
  <c r="S17" i="56"/>
  <c r="O17" i="56"/>
  <c r="N17" i="56"/>
  <c r="M17" i="56"/>
  <c r="L17" i="56"/>
  <c r="S16" i="56"/>
  <c r="R16" i="56"/>
  <c r="O16" i="56"/>
  <c r="N16" i="56"/>
  <c r="M16" i="56"/>
  <c r="L16" i="56"/>
  <c r="S15" i="56"/>
  <c r="S18" i="56" s="1"/>
  <c r="R15" i="56"/>
  <c r="Q15" i="56"/>
  <c r="O15" i="56"/>
  <c r="N15" i="56"/>
  <c r="M15" i="56"/>
  <c r="L15" i="56"/>
  <c r="S14" i="56"/>
  <c r="R14" i="56"/>
  <c r="R17" i="56" s="1"/>
  <c r="Q14" i="56"/>
  <c r="Q16" i="56" s="1"/>
  <c r="P14" i="56"/>
  <c r="P15" i="56" s="1"/>
  <c r="O14" i="56"/>
  <c r="N14" i="56"/>
  <c r="M14" i="56"/>
  <c r="L14" i="56"/>
  <c r="K14" i="56"/>
  <c r="K15" i="56" s="1"/>
  <c r="J14" i="56"/>
  <c r="J16" i="56" s="1"/>
  <c r="I14" i="56"/>
  <c r="I15" i="56" s="1"/>
  <c r="L10" i="56"/>
  <c r="S9" i="56"/>
  <c r="O9" i="56"/>
  <c r="N9" i="56"/>
  <c r="M9" i="56"/>
  <c r="M10" i="56" s="1"/>
  <c r="L9" i="56"/>
  <c r="S8" i="56"/>
  <c r="R8" i="56"/>
  <c r="N8" i="56"/>
  <c r="M8" i="56"/>
  <c r="L8" i="56"/>
  <c r="I8" i="56"/>
  <c r="S7" i="56"/>
  <c r="S10" i="56" s="1"/>
  <c r="R7" i="56"/>
  <c r="R10" i="56" s="1"/>
  <c r="Q7" i="56"/>
  <c r="M7" i="56"/>
  <c r="L7" i="56"/>
  <c r="S6" i="56"/>
  <c r="R6" i="56"/>
  <c r="R9" i="56" s="1"/>
  <c r="Q6" i="56"/>
  <c r="Q8" i="56" s="1"/>
  <c r="P6" i="56"/>
  <c r="P7" i="56" s="1"/>
  <c r="O6" i="56"/>
  <c r="O7" i="56" s="1"/>
  <c r="N6" i="56"/>
  <c r="N7" i="56" s="1"/>
  <c r="N10" i="56" s="1"/>
  <c r="M6" i="56"/>
  <c r="L6" i="56"/>
  <c r="K6" i="56"/>
  <c r="K8" i="56" s="1"/>
  <c r="J6" i="56"/>
  <c r="J7" i="56" s="1"/>
  <c r="I6" i="56"/>
  <c r="I9" i="56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K25" i="56" l="1"/>
  <c r="K23" i="56"/>
  <c r="K16" i="56"/>
  <c r="K18" i="56" s="1"/>
  <c r="K17" i="56"/>
  <c r="K9" i="56"/>
  <c r="K7" i="56"/>
  <c r="K25" i="62"/>
  <c r="K24" i="62"/>
  <c r="K26" i="62" s="1"/>
  <c r="K8" i="62"/>
  <c r="K9" i="62"/>
  <c r="K15" i="66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24" i="56"/>
  <c r="J25" i="56"/>
  <c r="J15" i="56"/>
  <c r="J17" i="56"/>
  <c r="J8" i="56"/>
  <c r="J9" i="56"/>
  <c r="J25" i="62"/>
  <c r="J23" i="62"/>
  <c r="J16" i="62"/>
  <c r="J15" i="62"/>
  <c r="J18" i="62" s="1"/>
  <c r="J8" i="62"/>
  <c r="J10" i="62" s="1"/>
  <c r="J9" i="62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5" i="56"/>
  <c r="I24" i="56"/>
  <c r="I26" i="56" s="1"/>
  <c r="I17" i="56"/>
  <c r="I16" i="56"/>
  <c r="I18" i="56" s="1"/>
  <c r="I7" i="56"/>
  <c r="I10" i="56" s="1"/>
  <c r="I24" i="62"/>
  <c r="I26" i="62" s="1"/>
  <c r="I25" i="62"/>
  <c r="I17" i="62"/>
  <c r="I16" i="62"/>
  <c r="I18" i="62" s="1"/>
  <c r="I8" i="62"/>
  <c r="I7" i="62"/>
  <c r="I10" i="62" s="1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R26" i="62"/>
  <c r="P24" i="62"/>
  <c r="P26" i="62" s="1"/>
  <c r="Q25" i="62"/>
  <c r="Q26" i="62" s="1"/>
  <c r="P25" i="62"/>
  <c r="K17" i="62"/>
  <c r="K16" i="62"/>
  <c r="L17" i="62"/>
  <c r="L18" i="62" s="1"/>
  <c r="P17" i="62"/>
  <c r="P16" i="62"/>
  <c r="P18" i="62" s="1"/>
  <c r="Q17" i="62"/>
  <c r="Q18" i="62" s="1"/>
  <c r="O8" i="62"/>
  <c r="O10" i="62" s="1"/>
  <c r="P9" i="62"/>
  <c r="R8" i="62"/>
  <c r="R7" i="62"/>
  <c r="P8" i="62"/>
  <c r="P10" i="62" s="1"/>
  <c r="Q9" i="62"/>
  <c r="Q10" i="62" s="1"/>
  <c r="S35" i="62"/>
  <c r="S36" i="62"/>
  <c r="S45" i="62"/>
  <c r="P45" i="62"/>
  <c r="P36" i="62"/>
  <c r="P35" i="62"/>
  <c r="M36" i="62"/>
  <c r="M37" i="62"/>
  <c r="O24" i="56"/>
  <c r="O26" i="56" s="1"/>
  <c r="P25" i="56"/>
  <c r="P24" i="56"/>
  <c r="P26" i="56" s="1"/>
  <c r="Q25" i="56"/>
  <c r="Q26" i="56" s="1"/>
  <c r="R18" i="56"/>
  <c r="P17" i="56"/>
  <c r="P16" i="56"/>
  <c r="P18" i="56" s="1"/>
  <c r="Q17" i="56"/>
  <c r="Q18" i="56" s="1"/>
  <c r="O8" i="56"/>
  <c r="O10" i="56" s="1"/>
  <c r="P9" i="56"/>
  <c r="P8" i="56"/>
  <c r="P10" i="56" s="1"/>
  <c r="Q9" i="56"/>
  <c r="Q10" i="56" s="1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K26" i="56" l="1"/>
  <c r="K18" i="67"/>
  <c r="K10" i="56"/>
  <c r="K18" i="62"/>
  <c r="K10" i="62"/>
  <c r="K18" i="66"/>
  <c r="K26" i="67"/>
  <c r="R36" i="68"/>
  <c r="N36" i="68"/>
  <c r="I18" i="68"/>
  <c r="J26" i="56"/>
  <c r="J18" i="56"/>
  <c r="J10" i="56"/>
  <c r="J26" i="62"/>
  <c r="J30" i="62" s="1"/>
  <c r="J26" i="67"/>
  <c r="J18" i="68"/>
  <c r="I30" i="62"/>
  <c r="H10" i="67"/>
  <c r="S36" i="68"/>
  <c r="L36" i="68"/>
  <c r="P36" i="68"/>
  <c r="J10" i="68"/>
  <c r="O36" i="68"/>
  <c r="I10" i="68"/>
  <c r="I36" i="68" s="1"/>
  <c r="H10" i="68"/>
  <c r="H36" i="68" s="1"/>
  <c r="R10" i="62"/>
  <c r="M38" i="62"/>
  <c r="S38" i="62"/>
  <c r="P38" i="62"/>
  <c r="K36" i="67"/>
  <c r="B7" i="25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B14" i="25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B13" i="25" s="1"/>
  <c r="K30" i="62"/>
  <c r="B4" i="25" s="1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J30" i="56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J44" i="62"/>
  <c r="J43" i="62"/>
  <c r="J42" i="62"/>
  <c r="J36" i="62" l="1"/>
  <c r="J37" i="62"/>
  <c r="M45" i="55"/>
  <c r="P45" i="55"/>
  <c r="S45" i="55"/>
  <c r="J45" i="62"/>
  <c r="J35" i="62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J38" i="62"/>
  <c r="J47" i="62" s="1"/>
  <c r="H22" i="62"/>
  <c r="H14" i="62"/>
  <c r="H6" i="62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S30" i="56"/>
  <c r="S31" i="56" s="1"/>
  <c r="R30" i="56"/>
  <c r="R31" i="56" s="1"/>
  <c r="Q30" i="56"/>
  <c r="P30" i="56"/>
  <c r="P31" i="56" s="1"/>
  <c r="O30" i="56"/>
  <c r="O31" i="56" s="1"/>
  <c r="N30" i="56"/>
  <c r="N31" i="56" s="1"/>
  <c r="M30" i="56"/>
  <c r="M31" i="56" s="1"/>
  <c r="L30" i="56"/>
  <c r="K30" i="56"/>
  <c r="K31" i="56" s="1"/>
  <c r="J31" i="56"/>
  <c r="I30" i="56"/>
  <c r="I32" i="56" s="1"/>
  <c r="H25" i="62"/>
  <c r="H24" i="62"/>
  <c r="H23" i="62"/>
  <c r="H17" i="62"/>
  <c r="H16" i="62"/>
  <c r="H15" i="62"/>
  <c r="H9" i="62"/>
  <c r="H8" i="62"/>
  <c r="H7" i="62"/>
  <c r="H17" i="55" l="1"/>
  <c r="H16" i="55"/>
  <c r="H15" i="55"/>
  <c r="H10" i="62"/>
  <c r="I31" i="56"/>
  <c r="J35" i="58"/>
  <c r="J34" i="58"/>
  <c r="J44" i="58"/>
  <c r="H26" i="62"/>
  <c r="H18" i="62"/>
  <c r="J32" i="56"/>
  <c r="K32" i="56"/>
  <c r="L32" i="56"/>
  <c r="M32" i="56"/>
  <c r="N32" i="56"/>
  <c r="O32" i="56"/>
  <c r="P32" i="56"/>
  <c r="L31" i="56"/>
  <c r="Q32" i="56"/>
  <c r="R32" i="56"/>
  <c r="S32" i="56"/>
  <c r="Q31" i="56"/>
  <c r="H30" i="62" l="1"/>
  <c r="M49" i="62"/>
  <c r="P49" i="62"/>
  <c r="J37" i="58"/>
  <c r="J45" i="58" s="1"/>
  <c r="X25" i="58"/>
  <c r="Y25" i="58" s="1"/>
  <c r="X9" i="58"/>
  <c r="Y9" i="58" s="1"/>
  <c r="K28" i="62" l="1"/>
  <c r="J49" i="62"/>
  <c r="R22" i="58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H6" i="56"/>
  <c r="E7" i="56"/>
  <c r="E8" i="56"/>
  <c r="E9" i="56"/>
  <c r="H14" i="56"/>
  <c r="E15" i="56"/>
  <c r="E16" i="56"/>
  <c r="E17" i="56"/>
  <c r="H25" i="56"/>
  <c r="E23" i="56"/>
  <c r="E24" i="56"/>
  <c r="E25" i="56"/>
  <c r="H30" i="56"/>
  <c r="H32" i="56" s="1"/>
  <c r="E31" i="56"/>
  <c r="E32" i="56"/>
  <c r="E33" i="56"/>
  <c r="O6" i="55"/>
  <c r="O18" i="55" l="1"/>
  <c r="O33" i="56"/>
  <c r="O34" i="56" s="1"/>
  <c r="Q33" i="56"/>
  <c r="Q34" i="56" s="1"/>
  <c r="S33" i="56"/>
  <c r="S34" i="56" s="1"/>
  <c r="I33" i="56"/>
  <c r="I34" i="56" s="1"/>
  <c r="K33" i="56"/>
  <c r="K34" i="56" s="1"/>
  <c r="J33" i="56"/>
  <c r="J34" i="56" s="1"/>
  <c r="R33" i="56"/>
  <c r="R34" i="56" s="1"/>
  <c r="M33" i="56"/>
  <c r="M34" i="56" s="1"/>
  <c r="N33" i="56"/>
  <c r="L33" i="56"/>
  <c r="L34" i="56" s="1"/>
  <c r="P33" i="56"/>
  <c r="P34" i="56" s="1"/>
  <c r="H9" i="56"/>
  <c r="H17" i="56"/>
  <c r="H31" i="56"/>
  <c r="H33" i="56"/>
  <c r="H23" i="56"/>
  <c r="H7" i="56"/>
  <c r="S49" i="62"/>
  <c r="H15" i="56"/>
  <c r="H16" i="56"/>
  <c r="H8" i="56"/>
  <c r="H24" i="56"/>
  <c r="O8" i="55"/>
  <c r="H34" i="56" l="1"/>
  <c r="H26" i="56"/>
  <c r="K36" i="56"/>
  <c r="B9" i="25" s="1"/>
  <c r="H10" i="56"/>
  <c r="P36" i="56"/>
  <c r="J36" i="56"/>
  <c r="H18" i="56"/>
  <c r="M36" i="56"/>
  <c r="Q36" i="56"/>
  <c r="H36" i="56" l="1"/>
  <c r="N36" i="56"/>
  <c r="I36" i="56"/>
  <c r="O36" i="56"/>
  <c r="L36" i="56"/>
  <c r="S15" i="60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S36" i="56" l="1"/>
  <c r="R36" i="56"/>
  <c r="E20" i="43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<sst xmlns="http://schemas.openxmlformats.org/spreadsheetml/2006/main" count="1117" uniqueCount="293">
  <si>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</si>
  <si>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</si>
  <si>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</si>
  <si>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</si>
  <si>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</si>
  <si>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</si>
  <si>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</si>
  <si>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</si>
  <si>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</si>
  <si>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</si>
  <si>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</si>
  <si>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</si>
  <si>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</si>
  <si>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</si>
  <si>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</si>
  <si>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</si>
  <si>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</si>
  <si>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</si>
  <si>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</si>
  <si>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</si>
  <si>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</si>
  <si>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</si>
  <si>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</si>
  <si>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</si>
  <si>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</si>
  <si>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</si>
  <si>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</si>
  <si>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</si>
  <si>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</si>
  <si>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</si>
  <si>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</si>
  <si>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</si>
  <si>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</si>
  <si>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</si>
  <si>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</si>
  <si>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</si>
  <si>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</si>
  <si>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</si>
  <si>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</si>
  <si>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</si>
  <si>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</si>
  <si>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</si>
  <si>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</si>
  <si>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</si>
  <si>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</si>
  <si>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</si>
  <si>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</si>
  <si>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</si>
  <si>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</si>
  <si>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</si>
  <si>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</si>
  <si>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</si>
  <si>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</si>
  <si>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</si>
  <si>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</si>
  <si>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</si>
  <si>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</si>
  <si>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</si>
  <si>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</si>
  <si>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</si>
  <si>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</si>
  <si>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</si>
  <si>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</si>
  <si>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</si>
  <si>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</si>
  <si>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</si>
  <si>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</si>
  <si>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</si>
  <si>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</si>
  <si>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</si>
  <si>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</si>
  <si>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</si>
  <si>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</si>
  <si>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</si>
  <si>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</si>
  <si>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</si>
  <si>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</si>
  <si>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</si>
  <si>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</si>
  <si>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</si>
  <si>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</si>
  <si>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</si>
  <si>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</si>
  <si>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</si>
  <si>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</si>
  <si>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</si>
  <si>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</si>
  <si>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</si>
  <si>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</si>
  <si>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</si>
  <si>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</si>
  <si>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</si>
  <si>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</si>
  <si>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</si>
  <si>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</si>
  <si>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</si>
  <si>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</si>
  <si>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</si>
  <si>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</si>
  <si>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</si>
  <si>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</si>
  <si>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</si>
  <si>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</si>
  <si>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</si>
  <si>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</si>
  <si>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</si>
  <si>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</si>
  <si>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</si>
  <si>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</si>
  <si>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</si>
  <si>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</si>
  <si>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</si>
  <si>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</si>
  <si>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</si>
  <si>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</si>
  <si>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</si>
  <si>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</si>
  <si>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</si>
  <si>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</si>
  <si>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</si>
  <si>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</si>
  <si>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</si>
  <si>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</si>
  <si>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</si>
  <si>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</si>
  <si>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</si>
  <si>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</si>
  <si>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</si>
  <si>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</si>
  <si>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</si>
  <si>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</si>
  <si>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</si>
  <si>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</si>
  <si>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</si>
  <si>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</si>
  <si>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</si>
  <si>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</si>
  <si>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</si>
  <si>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</si>
  <si>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</si>
  <si>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</si>
  <si>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</si>
  <si>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</si>
  <si>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</si>
  <si>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</si>
  <si>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</si>
  <si>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</si>
  <si>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</si>
  <si>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</si>
  <si>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</si>
  <si>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</si>
  <si>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</si>
  <si>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</si>
  <si>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</si>
  <si>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</si>
  <si>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</si>
  <si>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</si>
  <si>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</si>
  <si>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</si>
  <si>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</si>
  <si>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</si>
  <si>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</si>
  <si>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</si>
  <si>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</si>
  <si>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</si>
  <si>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</si>
  <si>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</si>
  <si>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</si>
  <si>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</si>
  <si>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</si>
  <si>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</si>
  <si>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</si>
  <si>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</si>
  <si>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</si>
  <si>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</si>
  <si>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</si>
  <si>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</si>
  <si>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</si>
  <si>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</si>
  <si>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</si>
  <si>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</si>
  <si>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</si>
  <si>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</si>
  <si>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</si>
  <si>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</si>
  <si>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</si>
  <si>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</si>
  <si>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</si>
  <si>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</si>
  <si>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</si>
  <si>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</si>
  <si>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</si>
  <si>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</si>
  <si>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</si>
  <si>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</si>
  <si>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</si>
  <si>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</si>
  <si>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</si>
  <si>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</si>
  <si>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</si>
  <si>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</si>
  <si>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</si>
  <si>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</si>
  <si>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</si>
  <si>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</si>
  <si>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</si>
  <si>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</si>
  <si>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</si>
  <si>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</si>
  <si>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</si>
  <si>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</si>
  <si>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</si>
  <si>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</si>
  <si>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</si>
  <si>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</t>
  </si>
  <si>
    <t>F352</t>
  </si>
  <si>
    <t>J299</t>
  </si>
  <si>
    <t>D299</t>
  </si>
  <si>
    <t>J306</t>
  </si>
  <si>
    <t>D306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</si>
  <si>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</si>
  <si>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</si>
  <si>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</si>
  <si>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</si>
  <si>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</si>
  <si>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</si>
  <si>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</si>
  <si>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</si>
  <si>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</si>
  <si>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</si>
  <si>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</si>
  <si>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</si>
  <si>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</si>
  <si>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</si>
  <si>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</si>
  <si>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t>Tommy Martel Diotte - Directrice Opérations Fixes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</si>
  <si>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</si>
  <si>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</si>
  <si>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</si>
  <si>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</si>
  <si>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</si>
  <si>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</si>
  <si>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</si>
  <si>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</si>
  <si>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</si>
  <si>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</si>
  <si>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</si>
  <si>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</si>
  <si>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</si>
  <si>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</si>
  <si>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</si>
  <si>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</si>
  <si>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Excedant du 100% payé en fev et mars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</si>
  <si>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</si>
  <si>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</si>
  <si>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</si>
  <si>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</si>
  <si>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</si>
  <si>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</si>
  <si>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</si>
  <si>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Boni Discr.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</si>
  <si>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</si>
  <si>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</si>
  <si>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</si>
  <si>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</si>
  <si>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</si>
  <si>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</si>
  <si>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</si>
  <si>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</si>
  <si>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</si>
  <si>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</si>
  <si>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</si>
  <si>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</si>
  <si>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</si>
  <si>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</si>
  <si>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</si>
  <si>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</si>
  <si>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</si>
  <si>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</si>
  <si>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</si>
  <si>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</si>
  <si>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</si>
  <si>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Marc-Olivier Poulin</t>
  </si>
  <si>
    <t>Sebastien Fleury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</si>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</sst>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&quot;$&quot;* #,##0.00_-;\-&quot;$&quot;* #,##0.00_-;_-&quot;$&quot;* &quot;-&quot;??_-;_-@_-"/>
    <numFmt numFmtId="169" formatCode="&quot;$&quot;#,##0"/>
    <numFmt numFmtId="170" formatCode="0.0%"/>
    <numFmt numFmtId="171" formatCode="_(&quot;$&quot;* #,##0_);_(&quot;$&quot;* \(#,##0\);_(&quot;$&quot;* &quot;-&quot;??_);_(@_)"/>
    <numFmt numFmtId="172" formatCode="&quot;$&quot;#,##0.00"/>
    <numFmt numFmtId="173" formatCode="_(* #,##0_);_(* \(#,##0\);_(* &quot;-&quot;??_);_(@_)"/>
    <numFmt numFmtId="174" formatCode="#,##0\ &quot;$&quot;"/>
    <numFmt numFmtId="175" formatCode="_-* #,##0.00\ &quot;$&quot;_-;_-* #,##0.00\ &quot;$&quot;\-;_-* &quot;-&quot;??\ &quot;$&quot;_-;_-@"/>
    <numFmt numFmtId="176" formatCode="_-* #,##0\ &quot;$&quot;_-;_-* #,##0\ &quot;$&quot;\-;_-* &quot;-&quot;??\ &quot;$&quot;_-;_-@"/>
    <numFmt numFmtId="177" formatCode="[$$]#,##0.00"/>
    <numFmt numFmtId="178" formatCode="[$$]#,##0"/>
    <numFmt numFmtId="179" formatCode="mmm/yyyy"/>
    <numFmt numFmtId="180" formatCode="mmm\ yyyy"/>
    <numFmt numFmtId="181" formatCode="0&quot; unités&quot;"/>
    <numFmt numFmtId="182" formatCode="#,##0.00\ &quot;$&quot;"/>
    <numFmt numFmtId="183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29" fillId="0" borderId="0"/>
  </cellStyleXfs>
  <cellXfs count="436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69" fontId="0" fillId="0" borderId="4" xfId="0" applyNumberFormat="1" applyBorder="1" applyAlignment="1">
      <alignment horizontal="center"/>
    </xf>
    <xf numFmtId="169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69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9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2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1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6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5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6" fontId="6" fillId="3" borderId="0" xfId="4" applyNumberFormat="1" applyFont="1" applyFill="1"/>
    <xf numFmtId="176" fontId="12" fillId="4" borderId="0" xfId="4" applyNumberFormat="1" applyFont="1" applyFill="1" applyAlignment="1">
      <alignment vertical="center"/>
    </xf>
    <xf numFmtId="175" fontId="6" fillId="2" borderId="0" xfId="4" applyNumberFormat="1" applyFont="1" applyFill="1" applyAlignment="1">
      <alignment horizontal="center"/>
    </xf>
    <xf numFmtId="170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6" fontId="6" fillId="2" borderId="0" xfId="3" applyFont="1" applyFill="1" applyBorder="1" applyAlignment="1">
      <alignment horizontal="center"/>
    </xf>
    <xf numFmtId="0" fontId="10" fillId="3" borderId="0" xfId="4" applyFont="1" applyFill="1"/>
    <xf numFmtId="174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6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6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6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6" fontId="6" fillId="3" borderId="0" xfId="4" applyNumberFormat="1" applyFont="1" applyFill="1"/>
    <xf numFmtId="176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5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5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7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5" fontId="6" fillId="3" borderId="7" xfId="4" applyNumberFormat="1" applyFont="1" applyFill="1" applyBorder="1"/>
    <xf numFmtId="0" fontId="6" fillId="3" borderId="7" xfId="4" applyFont="1" applyFill="1" applyBorder="1"/>
    <xf numFmtId="175" fontId="6" fillId="3" borderId="8" xfId="4" applyNumberFormat="1" applyFont="1" applyFill="1" applyBorder="1"/>
    <xf numFmtId="3" fontId="5" fillId="4" borderId="0" xfId="4" applyNumberFormat="1" applyFill="1"/>
    <xf numFmtId="177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7" fontId="6" fillId="3" borderId="0" xfId="4" applyNumberFormat="1" applyFont="1" applyFill="1" applyAlignment="1">
      <alignment horizontal="center"/>
    </xf>
    <xf numFmtId="177" fontId="8" fillId="4" borderId="0" xfId="4" applyNumberFormat="1" applyFont="1" applyFill="1" applyAlignment="1">
      <alignment horizontal="center"/>
    </xf>
    <xf numFmtId="177" fontId="8" fillId="4" borderId="0" xfId="4" applyNumberFormat="1" applyFont="1" applyFill="1" applyAlignment="1">
      <alignment horizontal="center" vertical="center"/>
    </xf>
    <xf numFmtId="177" fontId="6" fillId="4" borderId="0" xfId="4" applyNumberFormat="1" applyFont="1" applyFill="1" applyAlignment="1">
      <alignment horizontal="center"/>
    </xf>
    <xf numFmtId="177" fontId="6" fillId="3" borderId="0" xfId="4" applyNumberFormat="1" applyFont="1" applyFill="1"/>
    <xf numFmtId="176" fontId="12" fillId="4" borderId="0" xfId="4" applyNumberFormat="1" applyFont="1" applyFill="1" applyAlignment="1">
      <alignment horizontal="center" vertical="center"/>
    </xf>
    <xf numFmtId="170" fontId="3" fillId="4" borderId="0" xfId="5" applyNumberFormat="1" applyFont="1" applyFill="1" applyBorder="1" applyAlignment="1">
      <alignment horizontal="center"/>
    </xf>
    <xf numFmtId="166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6" fontId="0" fillId="2" borderId="0" xfId="3" applyFont="1" applyFill="1" applyAlignment="1"/>
    <xf numFmtId="166" fontId="0" fillId="0" borderId="0" xfId="3" applyFont="1" applyFill="1" applyAlignment="1"/>
    <xf numFmtId="164" fontId="0" fillId="0" borderId="0" xfId="0" applyNumberFormat="1"/>
    <xf numFmtId="171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1" fontId="18" fillId="4" borderId="0" xfId="6" applyNumberFormat="1" applyFont="1" applyFill="1" applyBorder="1" applyAlignment="1">
      <alignment horizontal="center"/>
    </xf>
    <xf numFmtId="170" fontId="18" fillId="4" borderId="0" xfId="5" applyNumberFormat="1" applyFont="1" applyFill="1" applyBorder="1" applyAlignment="1">
      <alignment horizontal="center"/>
    </xf>
    <xf numFmtId="178" fontId="18" fillId="4" borderId="0" xfId="4" applyNumberFormat="1" applyFont="1" applyFill="1" applyAlignment="1">
      <alignment horizontal="center"/>
    </xf>
    <xf numFmtId="9" fontId="0" fillId="0" borderId="0" xfId="0" applyNumberFormat="1"/>
    <xf numFmtId="173" fontId="0" fillId="0" borderId="0" xfId="1" applyNumberFormat="1" applyFont="1"/>
    <xf numFmtId="171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8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0" fontId="22" fillId="4" borderId="0" xfId="5" applyNumberFormat="1" applyFont="1" applyFill="1" applyBorder="1" applyAlignment="1">
      <alignment horizontal="center"/>
    </xf>
    <xf numFmtId="178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8" fontId="6" fillId="4" borderId="17" xfId="4" applyNumberFormat="1" applyFont="1" applyFill="1" applyBorder="1" applyAlignment="1">
      <alignment horizontal="center"/>
    </xf>
    <xf numFmtId="170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0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0" fontId="0" fillId="3" borderId="0" xfId="0" applyNumberFormat="1" applyFill="1" applyAlignment="1">
      <alignment horizontal="center"/>
    </xf>
    <xf numFmtId="167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1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69" fontId="0" fillId="3" borderId="0" xfId="0" applyNumberFormat="1" applyFill="1" applyAlignment="1">
      <alignment wrapText="1"/>
    </xf>
    <xf numFmtId="171" fontId="0" fillId="3" borderId="13" xfId="3" applyNumberFormat="1" applyFont="1" applyFill="1" applyBorder="1"/>
    <xf numFmtId="167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0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5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1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6" fontId="12" fillId="3" borderId="16" xfId="3" applyFont="1" applyFill="1" applyBorder="1"/>
    <xf numFmtId="171" fontId="0" fillId="3" borderId="4" xfId="3" applyNumberFormat="1" applyFont="1" applyFill="1" applyBorder="1"/>
    <xf numFmtId="171" fontId="0" fillId="3" borderId="5" xfId="3" applyNumberFormat="1" applyFont="1" applyFill="1" applyBorder="1"/>
    <xf numFmtId="170" fontId="0" fillId="3" borderId="5" xfId="2" applyNumberFormat="1" applyFont="1" applyFill="1" applyBorder="1" applyAlignment="1">
      <alignment horizontal="center"/>
    </xf>
    <xf numFmtId="165" fontId="0" fillId="3" borderId="4" xfId="1" applyNumberFormat="1" applyFont="1" applyFill="1" applyBorder="1" applyAlignment="1">
      <alignment wrapText="1"/>
    </xf>
    <xf numFmtId="165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6" fontId="0" fillId="3" borderId="0" xfId="0" applyNumberFormat="1" applyFill="1"/>
    <xf numFmtId="166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69" fontId="0" fillId="3" borderId="15" xfId="0" applyNumberFormat="1" applyFill="1" applyBorder="1" applyAlignment="1">
      <alignment horizontal="right" wrapText="1" indent="1"/>
    </xf>
    <xf numFmtId="181" fontId="0" fillId="3" borderId="12" xfId="3" applyNumberFormat="1" applyFont="1" applyFill="1" applyBorder="1"/>
    <xf numFmtId="181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7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2" fontId="0" fillId="0" borderId="15" xfId="0" applyNumberFormat="1" applyBorder="1" applyAlignment="1">
      <alignment wrapText="1"/>
    </xf>
    <xf numFmtId="171" fontId="0" fillId="0" borderId="15" xfId="3" applyNumberFormat="1" applyFont="1" applyFill="1" applyBorder="1"/>
    <xf numFmtId="182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1" fontId="0" fillId="2" borderId="12" xfId="3" applyNumberFormat="1" applyFont="1" applyFill="1" applyBorder="1"/>
    <xf numFmtId="181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1" fontId="0" fillId="3" borderId="4" xfId="3" applyNumberFormat="1" applyFont="1" applyFill="1" applyBorder="1" applyAlignment="1">
      <alignment horizontal="center"/>
    </xf>
    <xf numFmtId="171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0" fontId="0" fillId="3" borderId="9" xfId="2" applyNumberFormat="1" applyFont="1" applyFill="1" applyBorder="1" applyAlignment="1">
      <alignment horizontal="centerContinuous"/>
    </xf>
    <xf numFmtId="170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1" fontId="25" fillId="3" borderId="7" xfId="0" applyNumberFormat="1" applyFont="1" applyFill="1" applyBorder="1"/>
    <xf numFmtId="0" fontId="2" fillId="3" borderId="7" xfId="0" applyFont="1" applyFill="1" applyBorder="1"/>
    <xf numFmtId="171" fontId="2" fillId="0" borderId="6" xfId="0" applyNumberFormat="1" applyFont="1" applyBorder="1"/>
    <xf numFmtId="171" fontId="2" fillId="3" borderId="8" xfId="0" applyNumberFormat="1" applyFont="1" applyFill="1" applyBorder="1"/>
    <xf numFmtId="9" fontId="25" fillId="3" borderId="0" xfId="0" applyNumberFormat="1" applyFont="1" applyFill="1"/>
    <xf numFmtId="171" fontId="25" fillId="3" borderId="0" xfId="0" applyNumberFormat="1" applyFont="1" applyFill="1"/>
    <xf numFmtId="171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0" fontId="0" fillId="3" borderId="4" xfId="2" applyNumberFormat="1" applyFont="1" applyFill="1" applyBorder="1"/>
    <xf numFmtId="170" fontId="0" fillId="3" borderId="15" xfId="2" applyNumberFormat="1" applyFont="1" applyFill="1" applyBorder="1" applyAlignment="1">
      <alignment horizontal="center"/>
    </xf>
    <xf numFmtId="171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3" fontId="0" fillId="8" borderId="3" xfId="0" applyNumberFormat="1" applyFill="1" applyBorder="1" applyAlignment="1">
      <alignment horizontal="center"/>
    </xf>
    <xf numFmtId="171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1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0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1" fontId="2" fillId="3" borderId="6" xfId="0" applyNumberFormat="1" applyFont="1" applyFill="1" applyBorder="1"/>
    <xf numFmtId="171" fontId="0" fillId="3" borderId="16" xfId="0" applyNumberFormat="1" applyFill="1" applyBorder="1"/>
    <xf numFmtId="171" fontId="2" fillId="3" borderId="16" xfId="0" applyNumberFormat="1" applyFont="1" applyFill="1" applyBorder="1"/>
    <xf numFmtId="171" fontId="0" fillId="0" borderId="12" xfId="3" applyNumberFormat="1" applyFont="1" applyFill="1" applyBorder="1"/>
    <xf numFmtId="171" fontId="12" fillId="3" borderId="16" xfId="3" applyNumberFormat="1" applyFont="1" applyFill="1" applyBorder="1"/>
    <xf numFmtId="171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79" fontId="2" fillId="10" borderId="0" xfId="0" applyNumberFormat="1" applyFont="1" applyFill="1" applyAlignment="1">
      <alignment horizontal="center"/>
    </xf>
    <xf numFmtId="172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6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69" fontId="0" fillId="3" borderId="2" xfId="0" applyNumberFormat="1" applyFill="1" applyBorder="1" applyAlignment="1">
      <alignment wrapText="1"/>
    </xf>
    <xf numFmtId="171" fontId="0" fillId="3" borderId="12" xfId="3" applyNumberFormat="1" applyFont="1" applyFill="1" applyBorder="1" applyAlignment="1">
      <alignment horizontal="center"/>
    </xf>
    <xf numFmtId="171" fontId="0" fillId="3" borderId="13" xfId="3" applyNumberFormat="1" applyFont="1" applyFill="1" applyBorder="1" applyAlignment="1">
      <alignment horizontal="center"/>
    </xf>
    <xf numFmtId="166" fontId="0" fillId="3" borderId="15" xfId="3" applyFont="1" applyFill="1" applyBorder="1" applyAlignment="1">
      <alignment horizontal="center" wrapText="1"/>
    </xf>
    <xf numFmtId="165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8" fontId="0" fillId="0" borderId="0" xfId="0" applyNumberFormat="1"/>
    <xf numFmtId="0" fontId="0" fillId="3" borderId="5" xfId="0" applyFill="1" applyBorder="1" applyAlignment="1">
      <alignment horizontal="center"/>
    </xf>
    <xf numFmtId="166" fontId="0" fillId="3" borderId="9" xfId="3" applyFont="1" applyFill="1" applyBorder="1" applyAlignment="1">
      <alignment wrapText="1"/>
    </xf>
    <xf numFmtId="166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2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1" fontId="0" fillId="7" borderId="12" xfId="3" applyNumberFormat="1" applyFont="1" applyFill="1" applyBorder="1"/>
    <xf numFmtId="171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1" fontId="0" fillId="7" borderId="12" xfId="3" applyNumberFormat="1" applyFont="1" applyFill="1" applyBorder="1"/>
    <xf numFmtId="181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69" fontId="0" fillId="0" borderId="4" xfId="0" applyNumberFormat="1" applyBorder="1"/>
    <xf numFmtId="37" fontId="0" fillId="3" borderId="0" xfId="0" applyNumberFormat="1" applyFill="1"/>
    <xf numFmtId="170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1" fontId="12" fillId="3" borderId="17" xfId="3" applyNumberFormat="1" applyFont="1" applyFill="1" applyBorder="1"/>
    <xf numFmtId="166" fontId="2" fillId="0" borderId="16" xfId="0" applyNumberFormat="1" applyFont="1" applyBorder="1"/>
    <xf numFmtId="169" fontId="0" fillId="3" borderId="0" xfId="0" applyNumberFormat="1" applyFill="1"/>
    <xf numFmtId="169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171" fontId="1" fillId="3" borderId="0" xfId="3" applyNumberFormat="1" applyFont="1" applyFill="1" applyBorder="1"/>
    <xf numFmtId="9" fontId="0" fillId="7" borderId="12" xfId="2" applyFont="1" applyFill="1" applyBorder="1" applyAlignment="1">
      <alignment horizontal="center"/>
    </xf>
    <xf numFmtId="171" fontId="0" fillId="0" borderId="0" xfId="0" applyNumberFormat="1"/>
    <xf numFmtId="170" fontId="0" fillId="0" borderId="0" xfId="2" applyNumberFormat="1" applyFont="1" applyFill="1" applyBorder="1" applyAlignment="1">
      <alignment horizontal="center"/>
    </xf>
    <xf numFmtId="169" fontId="0" fillId="0" borderId="0" xfId="0" applyNumberFormat="1"/>
    <xf numFmtId="171" fontId="5" fillId="3" borderId="0" xfId="3" applyNumberFormat="1" applyFont="1" applyFill="1" applyBorder="1"/>
    <xf numFmtId="174" fontId="0" fillId="3" borderId="13" xfId="2" applyNumberFormat="1" applyFont="1" applyFill="1" applyBorder="1" applyAlignment="1">
      <alignment horizontal="center"/>
    </xf>
    <xf numFmtId="167" fontId="0" fillId="3" borderId="0" xfId="1" applyFont="1" applyFill="1"/>
    <xf numFmtId="171" fontId="0" fillId="0" borderId="0" xfId="3" applyNumberFormat="1" applyFont="1" applyFill="1"/>
    <xf numFmtId="171" fontId="0" fillId="0" borderId="17" xfId="3" applyNumberFormat="1" applyFont="1" applyFill="1" applyBorder="1"/>
    <xf numFmtId="167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0" fontId="0" fillId="0" borderId="0" xfId="0" applyNumberFormat="1" applyAlignment="1">
      <alignment horizontal="center"/>
    </xf>
    <xf numFmtId="167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69" fontId="0" fillId="0" borderId="0" xfId="0" applyNumberFormat="1" applyAlignment="1">
      <alignment wrapText="1"/>
    </xf>
    <xf numFmtId="0" fontId="0" fillId="0" borderId="5" xfId="0" applyBorder="1"/>
    <xf numFmtId="171" fontId="0" fillId="0" borderId="13" xfId="3" applyNumberFormat="1" applyFont="1" applyFill="1" applyBorder="1"/>
    <xf numFmtId="167" fontId="0" fillId="0" borderId="15" xfId="1" applyFont="1" applyFill="1" applyBorder="1" applyAlignment="1">
      <alignment horizontal="center" wrapText="1"/>
    </xf>
    <xf numFmtId="170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69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6" fontId="12" fillId="0" borderId="16" xfId="3" applyFont="1" applyFill="1" applyBorder="1"/>
    <xf numFmtId="171" fontId="12" fillId="0" borderId="16" xfId="3" applyNumberFormat="1" applyFont="1" applyFill="1" applyBorder="1"/>
    <xf numFmtId="171" fontId="0" fillId="0" borderId="4" xfId="3" applyNumberFormat="1" applyFont="1" applyFill="1" applyBorder="1"/>
    <xf numFmtId="171" fontId="0" fillId="0" borderId="5" xfId="3" applyNumberFormat="1" applyFont="1" applyFill="1" applyBorder="1"/>
    <xf numFmtId="170" fontId="0" fillId="0" borderId="4" xfId="2" applyNumberFormat="1" applyFont="1" applyFill="1" applyBorder="1" applyAlignment="1">
      <alignment horizontal="center"/>
    </xf>
    <xf numFmtId="170" fontId="0" fillId="0" borderId="5" xfId="2" applyNumberFormat="1" applyFont="1" applyFill="1" applyBorder="1" applyAlignment="1">
      <alignment horizontal="center"/>
    </xf>
    <xf numFmtId="165" fontId="0" fillId="0" borderId="4" xfId="1" applyNumberFormat="1" applyFont="1" applyFill="1" applyBorder="1" applyAlignment="1">
      <alignment wrapText="1"/>
    </xf>
    <xf numFmtId="165" fontId="0" fillId="0" borderId="5" xfId="1" applyNumberFormat="1" applyFont="1" applyFill="1" applyBorder="1" applyAlignment="1">
      <alignment wrapText="1"/>
    </xf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171" fontId="3" fillId="3" borderId="0" xfId="3" applyNumberFormat="1" applyFont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66" fontId="3" fillId="3" borderId="0" xfId="0" applyNumberFormat="1" applyFont="1" applyFill="1"/>
    <xf numFmtId="171" fontId="3" fillId="3" borderId="0" xfId="0" applyNumberFormat="1" applyFont="1" applyFill="1"/>
    <xf numFmtId="171" fontId="6" fillId="3" borderId="16" xfId="0" applyNumberFormat="1" applyFont="1" applyFill="1" applyBorder="1"/>
    <xf numFmtId="171" fontId="6" fillId="3" borderId="0" xfId="0" applyNumberFormat="1" applyFont="1" applyFill="1"/>
    <xf numFmtId="171" fontId="0" fillId="11" borderId="0" xfId="3" applyNumberFormat="1" applyFont="1" applyFill="1"/>
    <xf numFmtId="171" fontId="0" fillId="10" borderId="0" xfId="3" applyNumberFormat="1" applyFont="1" applyFill="1"/>
    <xf numFmtId="171" fontId="2" fillId="0" borderId="17" xfId="3" applyNumberFormat="1" applyFont="1" applyFill="1" applyBorder="1"/>
    <xf numFmtId="166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4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" xfId="0" quotePrefix="1" applyFill="1" applyBorder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4" xfId="0" quotePrefix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9" fontId="0" fillId="7" borderId="12" xfId="2" applyFont="1" applyFill="1" applyBorder="1" applyAlignment="1">
      <alignment horizontal="center" vertical="center"/>
    </xf>
    <xf numFmtId="9" fontId="0" fillId="7" borderId="13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6" fontId="0" fillId="3" borderId="9" xfId="3" applyFont="1" applyFill="1" applyBorder="1" applyAlignment="1">
      <alignment horizontal="center" wrapText="1"/>
    </xf>
    <xf numFmtId="166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5" fontId="6" fillId="3" borderId="0" xfId="4" applyNumberFormat="1" applyFont="1" applyFill="1"/>
    <xf numFmtId="169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8" xfId="0" applyNumberFormat="1" applyBorder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0" xfId="4" applyFont="1" applyFill="1" applyAlignment="1">
      <alignment horizontal="center"/>
    </xf>
    <xf numFmtId="175" fontId="15" fillId="3" borderId="0" xfId="4" applyNumberFormat="1" applyFont="1" applyFill="1"/>
  </cellXfs>
  <cellStyles count="9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Pourcentage" xfId="2" builtinId="5"/>
    <cellStyle name="Pourcentag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441230</xdr:colOff>
      <xdr:row>24</xdr:row>
      <xdr:rowOff>55805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xSplit="1" topLeftCell="B1" activePane="topRight" state="frozenSplit"/>
      <selection activeCell="J30" sqref="J30"/>
      <selection pane="topRight" activeCell="B17" sqref="B17"/>
    </sheetView>
  </sheetViews>
  <sheetFormatPr baseColWidth="10" defaultColWidth="11.42578125" defaultRowHeight="15" x14ac:dyDescent="0.25"/>
  <cols>
    <col min="1" max="1" width="23.5703125" bestFit="1" customWidth="1"/>
    <col min="3" max="3" width="13.42578125" customWidth="1"/>
    <col min="4" max="4" width="12.140625" bestFit="1" customWidth="1"/>
  </cols>
  <sheetData>
    <row r="1" spans="1:11" x14ac:dyDescent="0.25">
      <c r="A1" s="2" t="s">
        <v>76</v>
      </c>
    </row>
    <row r="3" spans="1:11" x14ac:dyDescent="0.25">
      <c r="A3" s="2" t="s">
        <v>0</v>
      </c>
      <c r="B3" s="278">
        <v>45688</v>
      </c>
      <c r="C3" s="387" t="s">
        <v>77</v>
      </c>
      <c r="D3" s="387"/>
      <c r="E3" s="135"/>
      <c r="F3" s="136"/>
    </row>
    <row r="4" spans="1:11" x14ac:dyDescent="0.25">
      <c r="A4" t="s">
        <v>233</v>
      </c>
      <c r="B4" s="384">
        <f>'Tommy Martel Diotte 2024'!K30</f>
        <v>3058</v>
      </c>
      <c r="C4" s="132"/>
      <c r="D4" s="134">
        <f>B4*0.6</f>
        <v>1834.8</v>
      </c>
      <c r="E4" s="134">
        <f>B4*0.4</f>
        <v>1223.2</v>
      </c>
    </row>
    <row r="5" spans="1:11" x14ac:dyDescent="0.25">
      <c r="A5" t="s">
        <v>234</v>
      </c>
      <c r="B5" s="384">
        <f>'Tommy Martel Diotte 2024'!K47</f>
        <v>0</v>
      </c>
      <c r="C5" s="132"/>
      <c r="D5" s="134">
        <f>B5*0.6</f>
        <v>0</v>
      </c>
      <c r="E5" s="134">
        <f>B5*0.4</f>
        <v>0</v>
      </c>
      <c r="F5" s="137"/>
    </row>
    <row r="6" spans="1:11" x14ac:dyDescent="0.25">
      <c r="A6" t="s">
        <v>282</v>
      </c>
      <c r="B6" s="384">
        <f>'Marc-Olivier Poulin 2025'!K34</f>
        <v>4250</v>
      </c>
      <c r="C6" s="132">
        <v>6222</v>
      </c>
      <c r="D6" s="134"/>
      <c r="E6" s="134"/>
      <c r="F6" s="137"/>
    </row>
    <row r="7" spans="1:11" x14ac:dyDescent="0.25">
      <c r="A7" t="s">
        <v>283</v>
      </c>
      <c r="B7" s="384">
        <f>'Sebastien Fleury 2025'!K36</f>
        <v>4250</v>
      </c>
      <c r="C7" s="132"/>
      <c r="D7" s="134"/>
      <c r="E7" s="134"/>
      <c r="F7" s="137"/>
    </row>
    <row r="8" spans="1:11" x14ac:dyDescent="0.25">
      <c r="A8" t="s">
        <v>284</v>
      </c>
      <c r="B8" s="384">
        <f>'Alexandre Paradis 2025 v2'!K44</f>
        <v>4500</v>
      </c>
      <c r="C8" s="132">
        <v>6122</v>
      </c>
      <c r="D8" s="134"/>
      <c r="E8" s="134"/>
      <c r="F8" s="137"/>
    </row>
    <row r="9" spans="1:11" x14ac:dyDescent="0.25">
      <c r="A9" t="s">
        <v>102</v>
      </c>
      <c r="B9" s="385">
        <f>'Rémi Dubreuil 2025'!K36</f>
        <v>864.59221110555291</v>
      </c>
      <c r="C9" s="132">
        <v>6722</v>
      </c>
      <c r="D9" s="133"/>
      <c r="E9" s="133"/>
    </row>
    <row r="10" spans="1:11" ht="15.75" thickBot="1" x14ac:dyDescent="0.3">
      <c r="A10" s="2" t="s">
        <v>75</v>
      </c>
      <c r="B10" s="386">
        <f>SUM(B4:B9)</f>
        <v>16922.592211105552</v>
      </c>
      <c r="C10" s="49"/>
    </row>
    <row r="11" spans="1:11" ht="15.75" thickTop="1" x14ac:dyDescent="0.25">
      <c r="B11" s="49"/>
      <c r="C11" s="49"/>
    </row>
    <row r="12" spans="1:11" x14ac:dyDescent="0.25">
      <c r="B12" s="282" t="s">
        <v>122</v>
      </c>
      <c r="C12" s="282" t="s">
        <v>121</v>
      </c>
      <c r="D12" s="283" t="s">
        <v>120</v>
      </c>
    </row>
    <row r="13" spans="1:11" x14ac:dyDescent="0.25">
      <c r="A13" s="156">
        <v>6122</v>
      </c>
      <c r="B13" s="328">
        <f>B7+B8</f>
        <v>8750</v>
      </c>
      <c r="C13" s="328"/>
      <c r="D13" s="322">
        <f>+B13-C13</f>
        <v>8750</v>
      </c>
      <c r="E13" t="s">
        <v>72</v>
      </c>
    </row>
    <row r="14" spans="1:11" x14ac:dyDescent="0.25">
      <c r="A14" s="156">
        <v>6222</v>
      </c>
      <c r="B14" s="328">
        <f>B6</f>
        <v>4250</v>
      </c>
      <c r="C14" s="328"/>
      <c r="D14" s="322">
        <f t="shared" ref="D14:D16" si="0">+B14-C14</f>
        <v>4250</v>
      </c>
      <c r="E14" t="s">
        <v>165</v>
      </c>
    </row>
    <row r="15" spans="1:11" x14ac:dyDescent="0.25">
      <c r="A15" s="156">
        <v>6422</v>
      </c>
      <c r="B15" s="328">
        <f>D4+D5</f>
        <v>1834.8</v>
      </c>
      <c r="C15" s="328"/>
      <c r="D15" s="322">
        <f t="shared" si="0"/>
        <v>1834.8</v>
      </c>
      <c r="E15" t="s">
        <v>248</v>
      </c>
    </row>
    <row r="16" spans="1:11" x14ac:dyDescent="0.25">
      <c r="A16" s="156">
        <v>6722</v>
      </c>
      <c r="B16" s="328">
        <f>E4+E5+B9</f>
        <v>2087.7922111055532</v>
      </c>
      <c r="C16" s="328"/>
      <c r="D16" s="322">
        <f t="shared" si="0"/>
        <v>2087.7922111055532</v>
      </c>
      <c r="E16" t="s">
        <v>39</v>
      </c>
      <c r="J16">
        <v>6445</v>
      </c>
      <c r="K16">
        <v>100</v>
      </c>
    </row>
    <row r="17" spans="2:4" ht="15.75" thickBot="1" x14ac:dyDescent="0.3">
      <c r="B17" s="329">
        <f>SUM(B13:B16)</f>
        <v>16922.592211105552</v>
      </c>
      <c r="C17" s="329">
        <f>SUM(C13:C16)</f>
        <v>0</v>
      </c>
      <c r="D17" s="329">
        <f>SUM(D13:D16)</f>
        <v>16922.592211105552</v>
      </c>
    </row>
    <row r="18" spans="2:4" ht="15.75" thickTop="1" x14ac:dyDescent="0.2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2578125" defaultRowHeight="15" x14ac:dyDescent="0.25"/>
  <cols>
    <col min="1" max="1" width="11.140625" style="40" customWidth="1"/>
    <col min="2" max="2" width="32.2851562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2" width="11.42578125" style="40" hidden="1" customWidth="1"/>
    <col min="13" max="13" width="12.140625" style="40" hidden="1" customWidth="1"/>
    <col min="14" max="14" width="11.42578125" style="40" hidden="1" customWidth="1"/>
    <col min="15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6" x14ac:dyDescent="0.25">
      <c r="B1" s="301" t="s">
        <v>261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25"/>
    <row r="3" spans="2:26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2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2"/>
      <c r="X4"/>
      <c r="Y4"/>
      <c r="Z4"/>
    </row>
    <row r="5" spans="2:26" x14ac:dyDescent="0.25">
      <c r="B5" s="280" t="s">
        <v>236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2"/>
      <c r="X5"/>
      <c r="Y5"/>
      <c r="Z5"/>
    </row>
    <row r="6" spans="2:26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3"/>
      <c r="X6"/>
      <c r="Y6"/>
      <c r="Z6"/>
    </row>
    <row r="7" spans="2:26" x14ac:dyDescent="0.2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2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2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4"/>
      <c r="X9" s="322"/>
      <c r="Y9" s="324"/>
      <c r="Z9"/>
    </row>
    <row r="10" spans="2:26" x14ac:dyDescent="0.2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25">
      <c r="B11" s="10" t="s">
        <v>255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2"/>
      <c r="X11"/>
      <c r="Y11"/>
      <c r="Z11"/>
    </row>
    <row r="12" spans="2:26" x14ac:dyDescent="0.25">
      <c r="B12" s="280" t="s">
        <v>256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2"/>
      <c r="X12"/>
      <c r="Y12"/>
      <c r="Z12"/>
    </row>
    <row r="13" spans="2:26" x14ac:dyDescent="0.2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3"/>
      <c r="X13"/>
      <c r="Y13"/>
      <c r="Z13"/>
    </row>
    <row r="14" spans="2:26" x14ac:dyDescent="0.2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2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2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4"/>
      <c r="X16" s="322"/>
      <c r="Y16" s="324"/>
      <c r="Z16"/>
    </row>
    <row r="17" spans="2:26" x14ac:dyDescent="0.2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25">
      <c r="B18" s="10" t="s">
        <v>257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2"/>
      <c r="X18"/>
      <c r="Y18"/>
      <c r="Z18"/>
    </row>
    <row r="19" spans="2:26" x14ac:dyDescent="0.25">
      <c r="B19" s="15" t="s">
        <v>262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3"/>
      <c r="X19"/>
      <c r="Y19"/>
      <c r="Z19"/>
    </row>
    <row r="20" spans="2:26" x14ac:dyDescent="0.25">
      <c r="B20" s="15" t="s">
        <v>263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2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2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4"/>
      <c r="X22" s="322"/>
      <c r="Y22" s="324"/>
      <c r="Z22"/>
    </row>
    <row r="23" spans="2:26" x14ac:dyDescent="0.2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2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2"/>
      <c r="X24"/>
      <c r="Y24"/>
      <c r="Z24"/>
    </row>
    <row r="25" spans="2:26" x14ac:dyDescent="0.25">
      <c r="B25" s="280" t="s">
        <v>236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2"/>
      <c r="X25"/>
      <c r="Y25"/>
      <c r="Z25"/>
    </row>
    <row r="26" spans="2:26" x14ac:dyDescent="0.2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3"/>
      <c r="X26"/>
      <c r="Y26"/>
      <c r="Z26"/>
    </row>
    <row r="27" spans="2:26" x14ac:dyDescent="0.2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2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2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4"/>
      <c r="X29" s="322"/>
      <c r="Y29" s="324"/>
      <c r="Z29"/>
    </row>
    <row r="30" spans="2:26" x14ac:dyDescent="0.2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25">
      <c r="B31" s="10" t="s">
        <v>258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2"/>
      <c r="X31"/>
      <c r="Y31"/>
      <c r="Z31"/>
    </row>
    <row r="32" spans="2:26" x14ac:dyDescent="0.25">
      <c r="B32" s="15" t="s">
        <v>264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3"/>
      <c r="X32"/>
      <c r="Y32"/>
      <c r="Z32"/>
    </row>
    <row r="33" spans="2:26" x14ac:dyDescent="0.25">
      <c r="B33" s="15" t="s">
        <v>265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2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2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4"/>
      <c r="X35" s="322"/>
      <c r="Y35" s="324"/>
      <c r="Z35"/>
    </row>
    <row r="36" spans="2:26" x14ac:dyDescent="0.2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25">
      <c r="B37"/>
      <c r="U37"/>
      <c r="V37"/>
      <c r="W37"/>
      <c r="X37"/>
      <c r="Y37"/>
      <c r="Z37"/>
    </row>
    <row r="38" spans="2:26" ht="14.45" customHeight="1" x14ac:dyDescent="0.25">
      <c r="B38"/>
      <c r="G38" s="40" t="s">
        <v>266</v>
      </c>
      <c r="O38" s="325">
        <v>1250</v>
      </c>
      <c r="U38"/>
      <c r="V38"/>
      <c r="W38"/>
      <c r="X38"/>
      <c r="Y38"/>
      <c r="Z38"/>
    </row>
    <row r="39" spans="2:26" ht="7.9" customHeight="1" x14ac:dyDescent="0.25"/>
    <row r="40" spans="2:26" ht="15.75" thickBot="1" x14ac:dyDescent="0.3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.75" thickTop="1" x14ac:dyDescent="0.25">
      <c r="B41" s="281" t="s">
        <v>137</v>
      </c>
    </row>
    <row r="42" spans="2:26" x14ac:dyDescent="0.25">
      <c r="B42" s="388" t="s">
        <v>259</v>
      </c>
      <c r="C42" s="389"/>
      <c r="D42" s="389"/>
      <c r="E42" s="389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25">
      <c r="B43" s="390"/>
      <c r="C43" s="391"/>
      <c r="D43" s="391"/>
      <c r="E43" s="391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2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2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2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2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2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2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25">
      <c r="B50" s="10" t="s">
        <v>247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2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2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2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2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2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3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.75" thickTop="1" x14ac:dyDescent="0.25"/>
    <row r="58" spans="2:19" ht="15.75" thickBot="1" x14ac:dyDescent="0.3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.75" thickTop="1" x14ac:dyDescent="0.25"/>
    <row r="61" spans="2:19" x14ac:dyDescent="0.25">
      <c r="I61" s="40" t="s">
        <v>72</v>
      </c>
      <c r="J61" s="311" t="e">
        <f>#REF!</f>
        <v>#REF!</v>
      </c>
    </row>
    <row r="62" spans="2:19" x14ac:dyDescent="0.25">
      <c r="I62" s="40" t="s">
        <v>249</v>
      </c>
      <c r="J62" s="311" t="e">
        <f>#REF!</f>
        <v>#REF!</v>
      </c>
    </row>
    <row r="63" spans="2:19" x14ac:dyDescent="0.25">
      <c r="I63" s="40" t="s">
        <v>250</v>
      </c>
      <c r="J63" s="311">
        <f>-(SOMMAIRE!B13+SOMMAIRE!B14)</f>
        <v>-13000</v>
      </c>
      <c r="R63"/>
    </row>
    <row r="64" spans="2:19" x14ac:dyDescent="0.25">
      <c r="I64" s="139" t="s">
        <v>78</v>
      </c>
      <c r="J64" s="313" t="e">
        <f>SUM(J61:J63)</f>
        <v>#REF!</v>
      </c>
    </row>
    <row r="66" spans="9:10" x14ac:dyDescent="0.25">
      <c r="I66" s="40" t="s">
        <v>72</v>
      </c>
      <c r="J66" s="311" t="e">
        <f>#REF!</f>
        <v>#REF!</v>
      </c>
    </row>
    <row r="67" spans="9:10" x14ac:dyDescent="0.25">
      <c r="I67" s="40" t="s">
        <v>249</v>
      </c>
      <c r="J67" s="311" t="e">
        <f>#REF!</f>
        <v>#REF!</v>
      </c>
    </row>
    <row r="68" spans="9:10" x14ac:dyDescent="0.25">
      <c r="I68" s="139" t="s">
        <v>2</v>
      </c>
      <c r="J68" s="313" t="e">
        <f>SUM(J66:J67)</f>
        <v>#REF!</v>
      </c>
    </row>
    <row r="70" spans="9:10" x14ac:dyDescent="0.25">
      <c r="I70" s="40" t="s">
        <v>251</v>
      </c>
      <c r="J70" s="311" t="e">
        <f>J64-+J68</f>
        <v>#REF!</v>
      </c>
    </row>
    <row r="71" spans="9:10" x14ac:dyDescent="0.2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25">
      <c r="B5" s="45" t="s">
        <v>238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2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2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25"/>
    <row r="27" spans="2:19" x14ac:dyDescent="0.25">
      <c r="B27" s="41" t="s">
        <v>254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1">
        <v>1</v>
      </c>
      <c r="N27" s="321">
        <v>0</v>
      </c>
      <c r="O27" s="321">
        <v>0</v>
      </c>
      <c r="P27" s="321"/>
      <c r="Q27" s="321"/>
      <c r="R27" s="321"/>
      <c r="S27" s="321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2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25">
      <c r="C34" s="139"/>
      <c r="E34" s="197" t="s">
        <v>253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3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.75" thickTop="1" x14ac:dyDescent="0.25"/>
  </sheetData>
  <pageMargins left="0.7" right="0.7" top="0.75" bottom="0.75" header="0.3" footer="0.3"/>
  <pageSetup scale="9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25">
      <c r="B5" s="45" t="s">
        <v>238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2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25"/>
    <row r="20" spans="2:19" x14ac:dyDescent="0.2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2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25"/>
    <row r="27" spans="2:19" x14ac:dyDescent="0.25">
      <c r="B27" s="41" t="s">
        <v>231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25">
      <c r="B28" s="392" t="s">
        <v>245</v>
      </c>
      <c r="C28" s="393"/>
      <c r="D28" s="393"/>
      <c r="E28" s="393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2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2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25">
      <c r="C35" s="139"/>
      <c r="E35" s="197" t="s">
        <v>253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2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3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.75" thickTop="1" x14ac:dyDescent="0.2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K28" sqref="K28"/>
    </sheetView>
  </sheetViews>
  <sheetFormatPr baseColWidth="10" defaultColWidth="11.42578125" defaultRowHeight="15" x14ac:dyDescent="0.25"/>
  <cols>
    <col min="1" max="1" width="3.7109375" style="40" customWidth="1"/>
    <col min="2" max="2" width="31.8554687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9" width="11.42578125" style="40" customWidth="1"/>
    <col min="20" max="16384" width="11.42578125" style="40"/>
  </cols>
  <sheetData>
    <row r="1" spans="2:22" x14ac:dyDescent="0.25">
      <c r="B1" s="301" t="s">
        <v>268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25"/>
    <row r="3" spans="2:22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25">
      <c r="B4" s="41" t="s">
        <v>270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25">
      <c r="B5" s="45" t="s">
        <v>269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2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2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25">
      <c r="B12" s="41" t="s">
        <v>271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25">
      <c r="B13" s="45" t="s">
        <v>269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2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2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25">
      <c r="B20" s="41" t="s">
        <v>272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56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394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56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392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25">
      <c r="B23" s="392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2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25"/>
    <row r="28" spans="2:19" x14ac:dyDescent="0.25">
      <c r="B28" s="41" t="s">
        <v>273</v>
      </c>
      <c r="C28" s="179" t="s">
        <v>129</v>
      </c>
      <c r="D28" s="179" t="s">
        <v>130</v>
      </c>
      <c r="E28" s="180" t="s">
        <v>131</v>
      </c>
      <c r="F28" s="48"/>
      <c r="G28" s="298"/>
      <c r="H28" s="321">
        <v>0.875</v>
      </c>
      <c r="I28" s="321">
        <v>0.85</v>
      </c>
      <c r="J28" s="321">
        <v>0.83</v>
      </c>
      <c r="K28" s="321">
        <v>0.92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2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2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25"/>
    <row r="34" spans="2:19" ht="13.9" customHeight="1" x14ac:dyDescent="0.25">
      <c r="G34" s="197" t="s">
        <v>286</v>
      </c>
      <c r="J34" s="46">
        <v>1750</v>
      </c>
    </row>
    <row r="35" spans="2:19" ht="9" customHeight="1" x14ac:dyDescent="0.25">
      <c r="E35" s="395"/>
      <c r="F35" s="395"/>
      <c r="G35" s="395"/>
      <c r="R35" s="327"/>
    </row>
    <row r="36" spans="2:19" ht="15.75" thickBot="1" x14ac:dyDescent="0.3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.75" thickTop="1" x14ac:dyDescent="0.25"/>
    <row r="38" spans="2:19" x14ac:dyDescent="0.25">
      <c r="B38" s="281" t="s">
        <v>274</v>
      </c>
    </row>
    <row r="39" spans="2:19" x14ac:dyDescent="0.25">
      <c r="B39" s="10" t="s">
        <v>275</v>
      </c>
      <c r="C39" s="173"/>
      <c r="D39" s="173"/>
      <c r="E39" s="174"/>
      <c r="F39" s="47"/>
      <c r="G39" s="208" t="s">
        <v>119</v>
      </c>
      <c r="S39" s="305"/>
    </row>
    <row r="40" spans="2:19" x14ac:dyDescent="0.25">
      <c r="B40" s="396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25">
      <c r="B41" s="396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2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.75" thickBot="1" x14ac:dyDescent="0.3">
      <c r="G46" s="197" t="s">
        <v>140</v>
      </c>
      <c r="S46" s="199">
        <f>+S36+S44</f>
        <v>6250</v>
      </c>
    </row>
    <row r="47" spans="2:19" ht="15.75" thickTop="1" x14ac:dyDescent="0.2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8" width="11.42578125" style="40" hidden="1" customWidth="1"/>
    <col min="19" max="19" width="11.42578125" style="40" customWidth="1"/>
    <col min="20" max="16384" width="11.42578125" style="40"/>
  </cols>
  <sheetData>
    <row r="1" spans="2:21" x14ac:dyDescent="0.25">
      <c r="B1" s="333" t="s">
        <v>157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5"/>
    </row>
    <row r="2" spans="2:21" ht="8.2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25">
      <c r="B3" s="281" t="s">
        <v>126</v>
      </c>
      <c r="C3" s="336"/>
      <c r="D3" s="336"/>
      <c r="E3"/>
      <c r="F3"/>
      <c r="G3"/>
      <c r="H3" s="337">
        <v>45322</v>
      </c>
      <c r="I3" s="337">
        <v>45350</v>
      </c>
      <c r="J3" s="337">
        <v>45378</v>
      </c>
      <c r="K3" s="337">
        <v>45406</v>
      </c>
      <c r="L3" s="337">
        <v>45434</v>
      </c>
      <c r="M3" s="337">
        <v>45462</v>
      </c>
      <c r="N3" s="337">
        <v>45490</v>
      </c>
      <c r="O3" s="337">
        <v>45518</v>
      </c>
      <c r="P3" s="337">
        <v>45546</v>
      </c>
      <c r="Q3" s="337">
        <v>45574</v>
      </c>
      <c r="R3" s="337">
        <v>45602</v>
      </c>
      <c r="S3" s="337">
        <v>45630</v>
      </c>
    </row>
    <row r="4" spans="2:21" x14ac:dyDescent="0.25">
      <c r="B4" s="10" t="s">
        <v>151</v>
      </c>
      <c r="C4" s="338"/>
      <c r="D4" s="338"/>
      <c r="E4" s="339"/>
      <c r="F4" s="340"/>
      <c r="G4" s="341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25">
      <c r="B5" s="15" t="s">
        <v>238</v>
      </c>
      <c r="C5" s="342"/>
      <c r="D5" s="342"/>
      <c r="E5" s="343"/>
      <c r="F5" s="344"/>
      <c r="G5" t="s">
        <v>95</v>
      </c>
      <c r="H5" s="345">
        <v>144386</v>
      </c>
      <c r="I5" s="345">
        <v>144386</v>
      </c>
      <c r="J5" s="345">
        <v>202140.80743085477</v>
      </c>
      <c r="K5" s="345">
        <f>'Kaven Bonneau 2024'!K5</f>
        <v>288903</v>
      </c>
      <c r="L5" s="345">
        <v>331750</v>
      </c>
      <c r="M5" s="345">
        <v>259687</v>
      </c>
      <c r="N5" s="345">
        <f>'Kaven Bonneau v2 2024'!N5</f>
        <v>231018</v>
      </c>
      <c r="O5" s="345">
        <v>260155</v>
      </c>
      <c r="P5" s="345" t="e">
        <f>#REF!</f>
        <v>#REF!</v>
      </c>
      <c r="Q5" s="345" t="e">
        <f>#REF!</f>
        <v>#REF!</v>
      </c>
      <c r="R5" s="345" t="e">
        <f>#REF!</f>
        <v>#REF!</v>
      </c>
      <c r="S5" s="345" t="e">
        <f>#REF!</f>
        <v>#REF!</v>
      </c>
      <c r="U5" s="40" t="s">
        <v>213</v>
      </c>
    </row>
    <row r="6" spans="2:21" x14ac:dyDescent="0.25">
      <c r="B6" s="15"/>
      <c r="C6" s="346" t="s">
        <v>129</v>
      </c>
      <c r="D6" s="346" t="s">
        <v>130</v>
      </c>
      <c r="E6" s="214" t="s">
        <v>131</v>
      </c>
      <c r="F6" s="344"/>
      <c r="G6" s="331" t="s">
        <v>37</v>
      </c>
      <c r="H6" s="347">
        <f>IFERROR(ROUND(H4/H5,3)," - - -")</f>
        <v>0.98499999999999999</v>
      </c>
      <c r="I6" s="347">
        <f t="shared" ref="I6:S6" si="0">IFERROR(ROUND(I4/I5,3)," - - -")</f>
        <v>1.728</v>
      </c>
      <c r="J6" s="347">
        <f t="shared" si="0"/>
        <v>1.393</v>
      </c>
      <c r="K6" s="347">
        <f t="shared" si="0"/>
        <v>0.89900000000000002</v>
      </c>
      <c r="L6" s="347">
        <f t="shared" si="0"/>
        <v>0.71</v>
      </c>
      <c r="M6" s="347">
        <f t="shared" si="0"/>
        <v>0.48099999999999998</v>
      </c>
      <c r="N6" s="347">
        <f t="shared" si="0"/>
        <v>1.1000000000000001</v>
      </c>
      <c r="O6" s="347">
        <f t="shared" si="0"/>
        <v>1</v>
      </c>
      <c r="P6" s="347" t="str">
        <f t="shared" si="0"/>
        <v xml:space="preserve"> - - -</v>
      </c>
      <c r="Q6" s="347">
        <v>0.9</v>
      </c>
      <c r="R6" s="347" t="str">
        <f t="shared" si="0"/>
        <v xml:space="preserve"> - - -</v>
      </c>
      <c r="S6" s="347" t="str">
        <f t="shared" si="0"/>
        <v xml:space="preserve"> - - -</v>
      </c>
    </row>
    <row r="7" spans="2:21" x14ac:dyDescent="0.25">
      <c r="B7" s="15"/>
      <c r="C7" s="348">
        <v>0.85</v>
      </c>
      <c r="D7" s="348">
        <v>0.99990000000000001</v>
      </c>
      <c r="E7" s="349">
        <v>500</v>
      </c>
      <c r="F7" s="344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25">
      <c r="B8" s="15"/>
      <c r="C8" s="348">
        <v>1</v>
      </c>
      <c r="D8" s="348">
        <v>1.0999000000000001</v>
      </c>
      <c r="E8" s="349">
        <v>1500</v>
      </c>
      <c r="F8" s="344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25">
      <c r="B9" s="15"/>
      <c r="C9" s="350">
        <v>1.1000000000000001</v>
      </c>
      <c r="D9" s="351" t="s">
        <v>132</v>
      </c>
      <c r="E9" s="349">
        <v>2000</v>
      </c>
      <c r="F9" s="344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25">
      <c r="B10" s="38"/>
      <c r="C10" s="352"/>
      <c r="D10" s="352"/>
      <c r="E10" s="352"/>
      <c r="F10" s="353"/>
      <c r="G10" s="354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25">
      <c r="B11"/>
      <c r="C11"/>
      <c r="D11"/>
      <c r="E11"/>
      <c r="F11"/>
      <c r="G11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</row>
    <row r="12" spans="2:21" x14ac:dyDescent="0.25">
      <c r="B12" s="10" t="s">
        <v>239</v>
      </c>
      <c r="C12" s="338"/>
      <c r="D12" s="338"/>
      <c r="E12" s="339"/>
      <c r="F12" s="340"/>
      <c r="G12" s="341" t="s">
        <v>119</v>
      </c>
      <c r="H12" s="274">
        <v>46</v>
      </c>
      <c r="I12" s="274">
        <v>75</v>
      </c>
      <c r="J12" s="274">
        <v>74</v>
      </c>
      <c r="K12" s="355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25">
      <c r="B13" s="15" t="s">
        <v>238</v>
      </c>
      <c r="C13" s="342"/>
      <c r="D13" s="342"/>
      <c r="E13" s="343"/>
      <c r="F13" s="344"/>
      <c r="G13" t="s">
        <v>95</v>
      </c>
      <c r="H13" s="345">
        <v>36</v>
      </c>
      <c r="I13" s="345">
        <v>36</v>
      </c>
      <c r="J13" s="345">
        <v>46.830000000000005</v>
      </c>
      <c r="K13" s="356">
        <v>72</v>
      </c>
      <c r="L13" s="345">
        <v>82</v>
      </c>
      <c r="M13" s="345">
        <v>64</v>
      </c>
      <c r="N13" s="345">
        <v>57</v>
      </c>
      <c r="O13" s="345">
        <v>64</v>
      </c>
      <c r="P13" s="345" t="e">
        <f>#REF!</f>
        <v>#REF!</v>
      </c>
      <c r="Q13" s="345" t="e">
        <f>#REF!</f>
        <v>#REF!</v>
      </c>
      <c r="R13" s="345" t="e">
        <f>#REF!</f>
        <v>#REF!</v>
      </c>
      <c r="S13" s="345" t="e">
        <f>#REF!</f>
        <v>#REF!</v>
      </c>
      <c r="U13" s="40" t="s">
        <v>213</v>
      </c>
    </row>
    <row r="14" spans="2:21" x14ac:dyDescent="0.25">
      <c r="B14" s="15"/>
      <c r="C14" s="346" t="s">
        <v>129</v>
      </c>
      <c r="D14" s="346" t="s">
        <v>130</v>
      </c>
      <c r="E14" s="214" t="s">
        <v>131</v>
      </c>
      <c r="F14" s="344"/>
      <c r="G14" s="331" t="s">
        <v>37</v>
      </c>
      <c r="H14" s="347">
        <f>IFERROR(ROUND(H12/H13,3)," - - -")</f>
        <v>1.278</v>
      </c>
      <c r="I14" s="347">
        <f t="shared" ref="I14:S14" si="4">IFERROR(ROUND(I12/I13,3)," - - -")</f>
        <v>2.0830000000000002</v>
      </c>
      <c r="J14" s="347">
        <f t="shared" si="4"/>
        <v>1.58</v>
      </c>
      <c r="K14" s="347">
        <f t="shared" si="4"/>
        <v>1.014</v>
      </c>
      <c r="L14" s="347">
        <f t="shared" si="4"/>
        <v>0.90200000000000002</v>
      </c>
      <c r="M14" s="347">
        <f t="shared" si="4"/>
        <v>0.625</v>
      </c>
      <c r="N14" s="347">
        <f t="shared" si="4"/>
        <v>1.4910000000000001</v>
      </c>
      <c r="O14" s="347">
        <f t="shared" si="4"/>
        <v>1.391</v>
      </c>
      <c r="P14" s="347" t="str">
        <f t="shared" si="4"/>
        <v xml:space="preserve"> - - -</v>
      </c>
      <c r="Q14" s="347">
        <v>0.9</v>
      </c>
      <c r="R14" s="347" t="str">
        <f t="shared" si="4"/>
        <v xml:space="preserve"> - - -</v>
      </c>
      <c r="S14" s="347" t="str">
        <f t="shared" si="4"/>
        <v xml:space="preserve"> - - -</v>
      </c>
    </row>
    <row r="15" spans="2:21" x14ac:dyDescent="0.25">
      <c r="B15" s="15"/>
      <c r="C15" s="348">
        <v>0.85</v>
      </c>
      <c r="D15" s="348">
        <v>0.99990000000000001</v>
      </c>
      <c r="E15" s="349">
        <v>500</v>
      </c>
      <c r="F15" s="344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25">
      <c r="B16" s="15"/>
      <c r="C16" s="348">
        <v>1</v>
      </c>
      <c r="D16" s="348">
        <v>1.0999000000000001</v>
      </c>
      <c r="E16" s="349">
        <v>1500</v>
      </c>
      <c r="F16" s="344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25">
      <c r="B17" s="15"/>
      <c r="C17" s="350">
        <v>1.1000000000000001</v>
      </c>
      <c r="D17" s="351" t="s">
        <v>132</v>
      </c>
      <c r="E17" s="349">
        <v>2000</v>
      </c>
      <c r="F17" s="344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25">
      <c r="B18" s="38"/>
      <c r="C18" s="352"/>
      <c r="D18" s="352"/>
      <c r="E18" s="352"/>
      <c r="F18" s="353"/>
      <c r="G18" s="354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25">
      <c r="B19"/>
      <c r="C19"/>
      <c r="D19"/>
      <c r="E19"/>
      <c r="F19"/>
      <c r="G19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pans="2:19" x14ac:dyDescent="0.25">
      <c r="B20" s="10" t="s">
        <v>155</v>
      </c>
      <c r="C20" s="338"/>
      <c r="D20" s="338"/>
      <c r="E20" s="339"/>
      <c r="F20" s="340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25">
      <c r="B21" s="397" t="s">
        <v>240</v>
      </c>
      <c r="C21" s="342"/>
      <c r="D21" s="342"/>
      <c r="E21" s="343"/>
      <c r="F21" s="344"/>
      <c r="G21" s="4" t="s">
        <v>95</v>
      </c>
      <c r="H21" s="332">
        <v>3</v>
      </c>
      <c r="I21" s="332">
        <v>3</v>
      </c>
      <c r="J21" s="332">
        <v>3</v>
      </c>
      <c r="K21" s="332">
        <v>3</v>
      </c>
      <c r="L21" s="332">
        <v>3</v>
      </c>
      <c r="M21" s="332">
        <v>3</v>
      </c>
      <c r="N21" s="332">
        <v>3</v>
      </c>
      <c r="O21" s="332">
        <v>3</v>
      </c>
      <c r="P21" s="332" t="e">
        <f>#REF!</f>
        <v>#REF!</v>
      </c>
      <c r="Q21" s="332" t="e">
        <f>#REF!</f>
        <v>#REF!</v>
      </c>
      <c r="R21" s="332" t="e">
        <f>#REF!</f>
        <v>#REF!</v>
      </c>
      <c r="S21" s="332" t="e">
        <f>#REF!</f>
        <v>#REF!</v>
      </c>
    </row>
    <row r="22" spans="2:19" x14ac:dyDescent="0.25">
      <c r="B22" s="396"/>
      <c r="C22" s="346" t="s">
        <v>129</v>
      </c>
      <c r="D22" s="346" t="s">
        <v>130</v>
      </c>
      <c r="E22" s="214" t="s">
        <v>131</v>
      </c>
      <c r="F22" s="344"/>
      <c r="G22" s="357" t="s">
        <v>37</v>
      </c>
      <c r="H22" s="347">
        <f t="shared" ref="H22" si="7">IFERROR(ROUND(H20/H21,3)," - - -")</f>
        <v>0.66700000000000004</v>
      </c>
      <c r="I22" s="347">
        <f t="shared" ref="I22" si="8">IFERROR(ROUND(I20/I21,3)," - - -")</f>
        <v>1</v>
      </c>
      <c r="J22" s="347">
        <f t="shared" ref="J22" si="9">IFERROR(ROUND(J20/J21,3)," - - -")</f>
        <v>0.66700000000000004</v>
      </c>
      <c r="K22" s="347">
        <f t="shared" ref="K22" si="10">IFERROR(ROUND(K20/K21,3)," - - -")</f>
        <v>1</v>
      </c>
      <c r="L22" s="347">
        <f t="shared" ref="L22" si="11">IFERROR(ROUND(L20/L21,3)," - - -")</f>
        <v>0.66700000000000004</v>
      </c>
      <c r="M22" s="347">
        <f t="shared" ref="M22" si="12">IFERROR(ROUND(M20/M21,3)," - - -")</f>
        <v>1</v>
      </c>
      <c r="N22" s="347">
        <f t="shared" ref="N22" si="13">IFERROR(ROUND(N20/N21,3)," - - -")</f>
        <v>0.66700000000000004</v>
      </c>
      <c r="O22" s="347">
        <f t="shared" ref="O22" si="14">IFERROR(ROUND(O20/O21,3)," - - -")</f>
        <v>0.66700000000000004</v>
      </c>
      <c r="P22" s="347" t="str">
        <f t="shared" ref="P22" si="15">IFERROR(ROUND(P20/P21,3)," - - -")</f>
        <v xml:space="preserve"> - - -</v>
      </c>
      <c r="Q22" s="347" t="str">
        <f t="shared" ref="Q22" si="16">IFERROR(ROUND(Q20/Q21,3)," - - -")</f>
        <v xml:space="preserve"> - - -</v>
      </c>
      <c r="R22" s="347" t="str">
        <f t="shared" ref="R22" si="17">IFERROR(ROUND(R20/R21,3)," - - -")</f>
        <v xml:space="preserve"> - - -</v>
      </c>
      <c r="S22" s="347" t="str">
        <f t="shared" ref="S22" si="18">IFERROR(ROUND(S20/S21,3)," - - -")</f>
        <v xml:space="preserve"> - - -</v>
      </c>
    </row>
    <row r="23" spans="2:19" x14ac:dyDescent="0.25">
      <c r="B23" s="396"/>
      <c r="C23" s="358">
        <v>1</v>
      </c>
      <c r="D23" s="358">
        <v>1</v>
      </c>
      <c r="E23" s="349">
        <v>100</v>
      </c>
      <c r="F23" s="344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25">
      <c r="B24" s="15"/>
      <c r="C24" s="358">
        <v>2</v>
      </c>
      <c r="D24" s="358">
        <v>2</v>
      </c>
      <c r="E24" s="349">
        <v>350</v>
      </c>
      <c r="F24" s="344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25">
      <c r="B25" s="15"/>
      <c r="C25" s="358">
        <v>3</v>
      </c>
      <c r="D25" s="358">
        <v>3</v>
      </c>
      <c r="E25" s="349">
        <v>1000</v>
      </c>
      <c r="F25" s="344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25">
      <c r="B26" s="38"/>
      <c r="C26" s="352"/>
      <c r="D26" s="352"/>
      <c r="E26" s="352"/>
      <c r="F26" s="353"/>
      <c r="G26" s="359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25">
      <c r="B28" s="10" t="s">
        <v>241</v>
      </c>
      <c r="C28" s="346" t="s">
        <v>129</v>
      </c>
      <c r="D28" s="346" t="s">
        <v>130</v>
      </c>
      <c r="E28" s="214" t="s">
        <v>131</v>
      </c>
      <c r="F28" s="344"/>
      <c r="G28" s="11"/>
      <c r="H28" s="330">
        <v>4.87</v>
      </c>
      <c r="I28" s="330">
        <v>5</v>
      </c>
      <c r="J28" s="330">
        <v>4.63</v>
      </c>
      <c r="K28" s="330">
        <v>4.8099999999999996</v>
      </c>
      <c r="L28" s="330">
        <v>4.78</v>
      </c>
      <c r="M28" s="330">
        <v>4.6100000000000003</v>
      </c>
      <c r="N28" s="330">
        <v>4.4800000000000004</v>
      </c>
      <c r="O28" s="330">
        <v>4.93</v>
      </c>
      <c r="P28" s="330" t="e">
        <f>#REF!</f>
        <v>#REF!</v>
      </c>
      <c r="Q28" s="330" t="e">
        <f>#REF!</f>
        <v>#REF!</v>
      </c>
      <c r="R28" s="330" t="e">
        <f>#REF!</f>
        <v>#REF!</v>
      </c>
      <c r="S28" s="330">
        <v>4.8899999999999997</v>
      </c>
    </row>
    <row r="29" spans="2:19" x14ac:dyDescent="0.25">
      <c r="B29" s="15"/>
      <c r="C29" s="360">
        <v>4.5999999999999996</v>
      </c>
      <c r="D29" s="360">
        <v>4.8499999999999996</v>
      </c>
      <c r="E29" s="349">
        <v>0</v>
      </c>
      <c r="F29" s="344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25">
      <c r="B30" s="15"/>
      <c r="C30" s="360">
        <v>4.8600000000000003</v>
      </c>
      <c r="D30" s="360">
        <v>4.9400000000000004</v>
      </c>
      <c r="E30" s="349">
        <v>350</v>
      </c>
      <c r="F30" s="344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25">
      <c r="B31" s="15"/>
      <c r="C31" s="361">
        <v>4.95</v>
      </c>
      <c r="D31" s="351" t="s">
        <v>132</v>
      </c>
      <c r="E31" s="349">
        <v>750</v>
      </c>
      <c r="F31" s="344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25">
      <c r="B32" s="38"/>
      <c r="C32" s="352"/>
      <c r="D32" s="352"/>
      <c r="E32" s="352"/>
      <c r="F32" s="353"/>
      <c r="G32" s="354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25">
      <c r="B34"/>
      <c r="C34"/>
      <c r="D34"/>
      <c r="E34"/>
      <c r="F34"/>
      <c r="G34" s="362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" hidden="1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3">
      <c r="B36"/>
      <c r="C36"/>
      <c r="D36"/>
      <c r="E36" s="363"/>
      <c r="F36"/>
      <c r="G36" s="363" t="s">
        <v>149</v>
      </c>
      <c r="H36" s="364">
        <f>+H10+H32+H26+H18</f>
        <v>3204.87</v>
      </c>
      <c r="I36" s="364">
        <f t="shared" ref="I36" si="28">+I10+I32+I26+I18+I34</f>
        <v>5750</v>
      </c>
      <c r="J36" s="364">
        <f>+J10+J32+J26+J18+J34</f>
        <v>4870</v>
      </c>
      <c r="K36" s="364">
        <f t="shared" ref="K36:S36" si="29">+K10+K32+K26+K18+K34</f>
        <v>3480</v>
      </c>
      <c r="L36" s="364">
        <f t="shared" si="29"/>
        <v>1260</v>
      </c>
      <c r="M36" s="364">
        <f t="shared" si="29"/>
        <v>1200</v>
      </c>
      <c r="N36" s="364">
        <f t="shared" si="29"/>
        <v>5750</v>
      </c>
      <c r="O36" s="364">
        <f t="shared" si="29"/>
        <v>4200</v>
      </c>
      <c r="P36" s="364" t="e">
        <f t="shared" si="29"/>
        <v>#REF!</v>
      </c>
      <c r="Q36" s="364" t="e">
        <f t="shared" si="29"/>
        <v>#REF!</v>
      </c>
      <c r="R36" s="365" t="e">
        <f t="shared" si="29"/>
        <v>#REF!</v>
      </c>
      <c r="S36" s="364">
        <f t="shared" si="29"/>
        <v>4700</v>
      </c>
    </row>
    <row r="37" spans="2:19" ht="15.75" thickTop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2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25">
      <c r="B39" s="10" t="s">
        <v>155</v>
      </c>
      <c r="C39" s="338"/>
      <c r="D39" s="338"/>
      <c r="E39" s="339"/>
      <c r="F39" s="340"/>
      <c r="G39" s="3" t="s">
        <v>119</v>
      </c>
      <c r="H39" s="366"/>
      <c r="I39" s="367"/>
      <c r="J39" s="218">
        <v>2</v>
      </c>
      <c r="K39" s="366"/>
      <c r="L39" s="367"/>
      <c r="M39" s="218">
        <v>2</v>
      </c>
      <c r="N39" s="366"/>
      <c r="O39" s="367"/>
      <c r="P39" s="218" t="e">
        <f>#REF!</f>
        <v>#REF!</v>
      </c>
      <c r="Q39" s="366"/>
      <c r="R39" s="367"/>
      <c r="S39" s="218" t="e">
        <f>#REF!</f>
        <v>#REF!</v>
      </c>
    </row>
    <row r="40" spans="2:19" x14ac:dyDescent="0.25">
      <c r="B40" s="396" t="s">
        <v>242</v>
      </c>
      <c r="C40" s="342"/>
      <c r="D40" s="342"/>
      <c r="E40" s="343"/>
      <c r="F40" s="344"/>
      <c r="G40" s="4" t="s">
        <v>95</v>
      </c>
      <c r="H40" s="366"/>
      <c r="I40" s="367"/>
      <c r="J40" s="332">
        <v>3</v>
      </c>
      <c r="K40" s="366"/>
      <c r="L40" s="367"/>
      <c r="M40" s="332">
        <v>3</v>
      </c>
      <c r="N40" s="366"/>
      <c r="O40" s="367"/>
      <c r="P40" s="332" t="e">
        <f>#REF!</f>
        <v>#REF!</v>
      </c>
      <c r="Q40" s="366"/>
      <c r="R40" s="367"/>
      <c r="S40" s="332" t="e">
        <f>#REF!</f>
        <v>#REF!</v>
      </c>
    </row>
    <row r="41" spans="2:19" x14ac:dyDescent="0.25">
      <c r="B41" s="396"/>
      <c r="C41" s="346" t="s">
        <v>129</v>
      </c>
      <c r="D41" s="346" t="s">
        <v>130</v>
      </c>
      <c r="E41" s="214" t="s">
        <v>131</v>
      </c>
      <c r="F41" s="344"/>
      <c r="G41" s="357"/>
      <c r="H41" s="368"/>
      <c r="I41" s="369"/>
      <c r="J41" s="347"/>
      <c r="K41" s="368"/>
      <c r="L41" s="369"/>
      <c r="M41" s="347"/>
      <c r="N41" s="368"/>
      <c r="O41" s="369"/>
      <c r="P41" s="347"/>
      <c r="Q41" s="368"/>
      <c r="R41" s="369"/>
      <c r="S41" s="347"/>
    </row>
    <row r="42" spans="2:19" x14ac:dyDescent="0.25">
      <c r="B42" s="396"/>
      <c r="C42" s="358">
        <v>1</v>
      </c>
      <c r="D42" s="358">
        <v>1</v>
      </c>
      <c r="E42" s="349">
        <v>500</v>
      </c>
      <c r="F42" s="344"/>
      <c r="G42" s="4"/>
      <c r="H42" s="370"/>
      <c r="I42" s="371"/>
      <c r="J42" s="290">
        <f>IF(AND(J$39&gt;=$C42,J$39&lt;=$D42),$E42,0)</f>
        <v>0</v>
      </c>
      <c r="K42" s="370"/>
      <c r="L42" s="371"/>
      <c r="M42" s="290">
        <f>IF(AND(M$39&gt;=$C42,M$39&lt;=$D42),$E42,0)</f>
        <v>0</v>
      </c>
      <c r="N42" s="370"/>
      <c r="O42" s="371"/>
      <c r="P42" s="290" t="e">
        <f>IF(AND(P$39&gt;=$C42,P$39&lt;=$D42),$E42,0)</f>
        <v>#REF!</v>
      </c>
      <c r="Q42" s="370"/>
      <c r="R42" s="371"/>
      <c r="S42" s="290" t="e">
        <f>IF(AND(S$39&gt;=$C42,S$39&lt;=$D42),$E42,0)</f>
        <v>#REF!</v>
      </c>
    </row>
    <row r="43" spans="2:19" x14ac:dyDescent="0.25">
      <c r="B43" s="15"/>
      <c r="C43" s="358">
        <v>2</v>
      </c>
      <c r="D43" s="358">
        <v>2</v>
      </c>
      <c r="E43" s="349">
        <v>1000</v>
      </c>
      <c r="F43" s="344"/>
      <c r="G43" s="4"/>
      <c r="H43" s="370"/>
      <c r="I43" s="371"/>
      <c r="J43" s="290">
        <f>IF(AND(J$39&gt;=$C43,J$39&lt;=$D43),$E43,0)</f>
        <v>1000</v>
      </c>
      <c r="K43" s="370"/>
      <c r="L43" s="371"/>
      <c r="M43" s="290">
        <f>IF(AND(M$39&gt;=$C43,M$39&lt;=$D43),$E43,0)</f>
        <v>1000</v>
      </c>
      <c r="N43" s="370"/>
      <c r="O43" s="371"/>
      <c r="P43" s="290" t="e">
        <f>IF(AND(P$39&gt;=$C43,P$39&lt;=$D43),$E43,0)</f>
        <v>#REF!</v>
      </c>
      <c r="Q43" s="370"/>
      <c r="R43" s="371"/>
      <c r="S43" s="290" t="e">
        <f>IF(AND(S$39&gt;=$C43,S$39&lt;=$D43),$E43,0)</f>
        <v>#REF!</v>
      </c>
    </row>
    <row r="44" spans="2:19" x14ac:dyDescent="0.25">
      <c r="B44" s="15"/>
      <c r="C44" s="358">
        <v>3</v>
      </c>
      <c r="D44" s="358">
        <v>3</v>
      </c>
      <c r="E44" s="349">
        <v>2500</v>
      </c>
      <c r="F44" s="344"/>
      <c r="G44" s="4"/>
      <c r="H44" s="370"/>
      <c r="I44" s="371"/>
      <c r="J44" s="290">
        <f>IF(AND(J$39&gt;=$C44,J$39&lt;=$D44),$E44,0)</f>
        <v>0</v>
      </c>
      <c r="K44" s="370"/>
      <c r="L44" s="371"/>
      <c r="M44" s="290">
        <f>IF(AND(M$39&gt;=$C44,M$39&lt;=$D44),$E44,0)</f>
        <v>0</v>
      </c>
      <c r="N44" s="370"/>
      <c r="O44" s="371"/>
      <c r="P44" s="290" t="e">
        <f>IF(AND(P$39&gt;=$C44,P$39&lt;=$D44),$E44,0)</f>
        <v>#REF!</v>
      </c>
      <c r="Q44" s="370"/>
      <c r="R44" s="371"/>
      <c r="S44" s="290" t="e">
        <f>IF(AND(S$39&gt;=$C44,S$39&lt;=$D44),$E44,0)</f>
        <v>#REF!</v>
      </c>
    </row>
    <row r="45" spans="2:19" x14ac:dyDescent="0.25">
      <c r="B45" s="38"/>
      <c r="C45" s="352"/>
      <c r="D45" s="352"/>
      <c r="E45" s="352"/>
      <c r="F45" s="353"/>
      <c r="G45" s="359" t="s">
        <v>133</v>
      </c>
      <c r="H45" s="366"/>
      <c r="I45" s="367"/>
      <c r="J45" s="216">
        <f t="shared" ref="J45" si="30">SUM(J42:J44)</f>
        <v>1000</v>
      </c>
      <c r="K45" s="366"/>
      <c r="L45" s="367"/>
      <c r="M45" s="216">
        <f t="shared" ref="M45" si="31">SUM(M42:M44)</f>
        <v>1000</v>
      </c>
      <c r="N45" s="366"/>
      <c r="O45" s="367"/>
      <c r="P45" s="216" t="e">
        <f t="shared" ref="P45" si="32">SUM(P42:P44)</f>
        <v>#REF!</v>
      </c>
      <c r="Q45" s="366"/>
      <c r="R45" s="367"/>
      <c r="S45" s="216" t="e">
        <f t="shared" ref="S45" si="33">SUM(S42:S44)</f>
        <v>#REF!</v>
      </c>
    </row>
    <row r="46" spans="2:19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.75" thickBot="1" x14ac:dyDescent="0.3">
      <c r="B47"/>
      <c r="C47"/>
      <c r="D47"/>
      <c r="E47"/>
      <c r="F47"/>
      <c r="G47" s="362" t="s">
        <v>140</v>
      </c>
      <c r="H47" s="372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.75" thickTop="1" x14ac:dyDescent="0.2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280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269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2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276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25"/>
    <row r="20" spans="2:21" x14ac:dyDescent="0.25">
      <c r="B20" s="41" t="s">
        <v>285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2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288</v>
      </c>
    </row>
    <row r="23" spans="2:21" x14ac:dyDescent="0.2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2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2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25"/>
    <row r="27" spans="2:21" x14ac:dyDescent="0.25">
      <c r="B27" s="41" t="s">
        <v>281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2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2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287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.75" thickBot="1" x14ac:dyDescent="0.3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.75" thickTop="1" x14ac:dyDescent="0.25"/>
    <row r="39" spans="2:19" x14ac:dyDescent="0.25">
      <c r="B39" s="281" t="s">
        <v>274</v>
      </c>
    </row>
    <row r="40" spans="2:19" x14ac:dyDescent="0.25">
      <c r="B40" s="10" t="s">
        <v>275</v>
      </c>
      <c r="C40" s="173"/>
      <c r="D40" s="173"/>
      <c r="E40" s="174"/>
      <c r="F40" s="47"/>
      <c r="G40" s="208" t="s">
        <v>119</v>
      </c>
      <c r="S40" s="305"/>
    </row>
    <row r="41" spans="2:19" x14ac:dyDescent="0.25">
      <c r="B41" s="396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25">
      <c r="B42" s="396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2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.75" thickBot="1" x14ac:dyDescent="0.3">
      <c r="G47" s="197" t="s">
        <v>140</v>
      </c>
      <c r="S47" s="199">
        <f>+S37+S45</f>
        <v>0</v>
      </c>
    </row>
    <row r="48" spans="2:19" ht="15.75" thickTop="1" x14ac:dyDescent="0.2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56"/>
  <sheetViews>
    <sheetView tabSelected="1" zoomScale="85" zoomScaleNormal="85" workbookViewId="0">
      <selection activeCell="K20" sqref="K2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280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155475</v>
      </c>
      <c r="M4" s="302">
        <v>155475</v>
      </c>
      <c r="N4" s="302">
        <v>155475</v>
      </c>
      <c r="O4" s="302">
        <v>155475</v>
      </c>
      <c r="P4" s="302">
        <v>155475</v>
      </c>
      <c r="Q4" s="302">
        <v>155475</v>
      </c>
      <c r="R4" s="302">
        <v>155475</v>
      </c>
      <c r="S4" s="302">
        <v>155475</v>
      </c>
    </row>
    <row r="5" spans="2:19" x14ac:dyDescent="0.25">
      <c r="B5" s="45" t="s">
        <v>269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178463</v>
      </c>
      <c r="M5" s="303">
        <v>178463</v>
      </c>
      <c r="N5" s="303">
        <v>178463</v>
      </c>
      <c r="O5" s="303">
        <v>178463</v>
      </c>
      <c r="P5" s="303">
        <v>178463</v>
      </c>
      <c r="Q5" s="303">
        <v>178463</v>
      </c>
      <c r="R5" s="303">
        <v>178463</v>
      </c>
      <c r="S5" s="303">
        <v>178463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0.871</v>
      </c>
      <c r="M6" s="181">
        <f t="shared" si="0"/>
        <v>0.871</v>
      </c>
      <c r="N6" s="181">
        <f t="shared" si="0"/>
        <v>0.871</v>
      </c>
      <c r="O6" s="181">
        <f t="shared" si="0"/>
        <v>0.871</v>
      </c>
      <c r="P6" s="181">
        <f t="shared" si="0"/>
        <v>0.871</v>
      </c>
      <c r="Q6" s="181">
        <f t="shared" si="0"/>
        <v>0.871</v>
      </c>
      <c r="R6" s="181">
        <f t="shared" si="0"/>
        <v>0.871</v>
      </c>
      <c r="S6" s="181">
        <f t="shared" si="0"/>
        <v>0.871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500</v>
      </c>
      <c r="N7" s="183">
        <f t="shared" si="1"/>
        <v>500</v>
      </c>
      <c r="O7" s="183">
        <f t="shared" si="1"/>
        <v>500</v>
      </c>
      <c r="P7" s="183">
        <f t="shared" si="1"/>
        <v>500</v>
      </c>
      <c r="Q7" s="183">
        <f t="shared" si="1"/>
        <v>500</v>
      </c>
      <c r="R7" s="183">
        <f t="shared" si="1"/>
        <v>500</v>
      </c>
      <c r="S7" s="183">
        <f t="shared" si="1"/>
        <v>500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0</v>
      </c>
      <c r="Q9" s="183">
        <f t="shared" si="1"/>
        <v>0</v>
      </c>
      <c r="R9" s="183">
        <f t="shared" si="1"/>
        <v>0</v>
      </c>
      <c r="S9" s="183">
        <f t="shared" si="1"/>
        <v>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500</v>
      </c>
      <c r="N10" s="187">
        <f t="shared" si="2"/>
        <v>500</v>
      </c>
      <c r="O10" s="187">
        <f t="shared" si="2"/>
        <v>500</v>
      </c>
      <c r="P10" s="187">
        <f t="shared" si="2"/>
        <v>500</v>
      </c>
      <c r="Q10" s="187">
        <f t="shared" si="2"/>
        <v>500</v>
      </c>
      <c r="R10" s="187">
        <f t="shared" si="2"/>
        <v>500</v>
      </c>
      <c r="S10" s="187">
        <f t="shared" si="2"/>
        <v>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289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7">
        <f>'Sebastien Fleury 2025'!L20</f>
        <v>0</v>
      </c>
      <c r="M12" s="307">
        <f>'Sebastien Fleury 2025'!M20</f>
        <v>0</v>
      </c>
      <c r="N12" s="307">
        <f>'Sebastien Fleury 2025'!N20</f>
        <v>0</v>
      </c>
      <c r="O12" s="307">
        <f>'Sebastien Fleury 2025'!O20</f>
        <v>0</v>
      </c>
      <c r="P12" s="307">
        <f>'Sebastien Fleury 2025'!P20</f>
        <v>0</v>
      </c>
      <c r="Q12" s="307">
        <f>'Sebastien Fleury 2025'!Q20</f>
        <v>0</v>
      </c>
      <c r="R12" s="307">
        <f>'Sebastien Fleury 2025'!R20</f>
        <v>0</v>
      </c>
      <c r="S12" s="307">
        <f>'Sebastien Fleury 2025'!S20</f>
        <v>0</v>
      </c>
    </row>
    <row r="13" spans="2:19" x14ac:dyDescent="0.25">
      <c r="B13" s="45" t="s">
        <v>269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8">
        <f>'Sebastien Fleury 2025'!L21</f>
        <v>0</v>
      </c>
      <c r="M13" s="308">
        <f>'Sebastien Fleury 2025'!M21</f>
        <v>0</v>
      </c>
      <c r="N13" s="308">
        <f>'Sebastien Fleury 2025'!N21</f>
        <v>0</v>
      </c>
      <c r="O13" s="308">
        <f>'Sebastien Fleury 2025'!O21</f>
        <v>0</v>
      </c>
      <c r="P13" s="308">
        <f>'Sebastien Fleury 2025'!P21</f>
        <v>0</v>
      </c>
      <c r="Q13" s="308">
        <f>'Sebastien Fleury 2025'!Q21</f>
        <v>0</v>
      </c>
      <c r="R13" s="308">
        <f>'Sebastien Fleury 2025'!R21</f>
        <v>0</v>
      </c>
      <c r="S13" s="308">
        <f>'Sebastien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" si="3">IFERROR(ROUND(K12/K13,3)," - - -")</f>
        <v>1.05</v>
      </c>
      <c r="L14" s="181" t="str">
        <f t="shared" ref="L14:S14" si="4">IFERROR(ROUND(L12/L13,3)," - - -")</f>
        <v xml:space="preserve"> - - -</v>
      </c>
      <c r="M14" s="181" t="str">
        <f t="shared" si="4"/>
        <v xml:space="preserve"> - - -</v>
      </c>
      <c r="N14" s="181" t="str">
        <f t="shared" si="4"/>
        <v xml:space="preserve"> - - -</v>
      </c>
      <c r="O14" s="181" t="str">
        <f t="shared" si="4"/>
        <v xml:space="preserve"> - - -</v>
      </c>
      <c r="P14" s="181" t="str">
        <f t="shared" si="4"/>
        <v xml:space="preserve"> - - -</v>
      </c>
      <c r="Q14" s="181" t="str">
        <f t="shared" si="4"/>
        <v xml:space="preserve"> - - -</v>
      </c>
      <c r="R14" s="181" t="str">
        <f t="shared" si="4"/>
        <v xml:space="preserve"> - - -</v>
      </c>
      <c r="S14" s="181" t="str">
        <f t="shared" si="4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" si="5">IF(AND(K14&gt;=$C15,K14&lt;=$D15),$E15,0)</f>
        <v>0</v>
      </c>
      <c r="L15" s="183">
        <f t="shared" ref="L15:S15" si="6">IF(AND(L14&gt;=$C15,L14&lt;=$D15),$E15,0)</f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7">IF(AND(L14&gt;=$C16,L14&lt;=$D16),$E16,0)</f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21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8">IF(AND(L14&gt;=$C17,L14&lt;=$D17),$E17,0)</f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9">SUM(K15:K17)</f>
        <v>1000</v>
      </c>
      <c r="L18" s="187">
        <f t="shared" ref="L18:S18" si="10">SUM(L15:L17)</f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21" ht="8.25" customHeight="1" x14ac:dyDescent="0.25"/>
    <row r="20" spans="2:21" x14ac:dyDescent="0.25">
      <c r="B20" s="41" t="s">
        <v>272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56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21" x14ac:dyDescent="0.25">
      <c r="B21" s="394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56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21" x14ac:dyDescent="0.25">
      <c r="B22" s="392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" si="11">IFERROR(ROUND(K20/K21,3)," - - -")</f>
        <v>1</v>
      </c>
      <c r="L22" s="181" t="str">
        <f t="shared" ref="L22:S22" si="12">IFERROR(ROUND(L20/L21,3)," - - -")</f>
        <v xml:space="preserve"> - - -</v>
      </c>
      <c r="M22" s="181" t="str">
        <f t="shared" si="12"/>
        <v xml:space="preserve"> - - -</v>
      </c>
      <c r="N22" s="181" t="str">
        <f t="shared" si="12"/>
        <v xml:space="preserve"> - - -</v>
      </c>
      <c r="O22" s="181" t="str">
        <f t="shared" si="12"/>
        <v xml:space="preserve"> - - -</v>
      </c>
      <c r="P22" s="181" t="str">
        <f t="shared" si="12"/>
        <v xml:space="preserve"> - - -</v>
      </c>
      <c r="Q22" s="181" t="str">
        <f t="shared" si="12"/>
        <v xml:space="preserve"> - - -</v>
      </c>
      <c r="R22" s="181" t="str">
        <f t="shared" si="12"/>
        <v xml:space="preserve"> - - -</v>
      </c>
      <c r="S22" s="181" t="str">
        <f t="shared" si="12"/>
        <v xml:space="preserve"> - - -</v>
      </c>
    </row>
    <row r="23" spans="2:21" x14ac:dyDescent="0.25">
      <c r="B23" s="392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3">IF(AND(L$22&gt;=$C23,L$22&lt;=$D23),$E23,0)</f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si="13"/>
        <v>0</v>
      </c>
    </row>
    <row r="24" spans="2:21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3"/>
        <v>0</v>
      </c>
      <c r="M24" s="183">
        <f t="shared" si="13"/>
        <v>0</v>
      </c>
      <c r="N24" s="183">
        <f t="shared" si="13"/>
        <v>0</v>
      </c>
      <c r="O24" s="183">
        <f t="shared" si="13"/>
        <v>0</v>
      </c>
      <c r="P24" s="183">
        <f t="shared" si="13"/>
        <v>0</v>
      </c>
      <c r="Q24" s="183">
        <f t="shared" si="13"/>
        <v>0</v>
      </c>
      <c r="R24" s="183">
        <f t="shared" si="13"/>
        <v>0</v>
      </c>
      <c r="S24" s="183">
        <f t="shared" si="13"/>
        <v>0</v>
      </c>
    </row>
    <row r="25" spans="2:21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3"/>
        <v>1750</v>
      </c>
      <c r="M25" s="183">
        <f t="shared" si="13"/>
        <v>1750</v>
      </c>
      <c r="N25" s="183">
        <f t="shared" si="13"/>
        <v>1750</v>
      </c>
      <c r="O25" s="183">
        <f t="shared" si="13"/>
        <v>1750</v>
      </c>
      <c r="P25" s="183">
        <f t="shared" si="13"/>
        <v>1750</v>
      </c>
      <c r="Q25" s="183">
        <f t="shared" si="13"/>
        <v>1750</v>
      </c>
      <c r="R25" s="183">
        <f t="shared" si="13"/>
        <v>1750</v>
      </c>
      <c r="S25" s="183">
        <f t="shared" si="13"/>
        <v>1750</v>
      </c>
    </row>
    <row r="26" spans="2:21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4">SUM(K23:K25)</f>
        <v>1000</v>
      </c>
      <c r="L26" s="187">
        <f t="shared" ref="L26:S26" si="15">SUM(L23:L25)</f>
        <v>1750</v>
      </c>
      <c r="M26" s="187">
        <f t="shared" si="15"/>
        <v>1750</v>
      </c>
      <c r="N26" s="187">
        <f t="shared" si="15"/>
        <v>1750</v>
      </c>
      <c r="O26" s="187">
        <f t="shared" si="15"/>
        <v>1750</v>
      </c>
      <c r="P26" s="187">
        <f t="shared" si="15"/>
        <v>1750</v>
      </c>
      <c r="Q26" s="187">
        <f t="shared" si="15"/>
        <v>1750</v>
      </c>
      <c r="R26" s="187">
        <f t="shared" si="15"/>
        <v>1750</v>
      </c>
      <c r="S26" s="187">
        <f t="shared" si="15"/>
        <v>1750</v>
      </c>
    </row>
    <row r="27" spans="2:21" ht="8.25" customHeight="1" x14ac:dyDescent="0.25"/>
    <row r="28" spans="2:21" x14ac:dyDescent="0.25">
      <c r="B28" s="41" t="s">
        <v>290</v>
      </c>
      <c r="C28" s="173"/>
      <c r="D28" s="173"/>
      <c r="E28" s="174"/>
      <c r="F28" s="47"/>
      <c r="G28" s="42"/>
      <c r="H28" s="321"/>
      <c r="I28" s="321"/>
      <c r="J28" s="321"/>
      <c r="K28" s="321">
        <v>0.105</v>
      </c>
      <c r="L28" s="321"/>
      <c r="M28" s="321"/>
      <c r="N28" s="321"/>
      <c r="O28" s="321"/>
      <c r="P28" s="321"/>
      <c r="Q28" s="321"/>
      <c r="R28" s="321"/>
      <c r="S28" s="321"/>
    </row>
    <row r="29" spans="2:21" x14ac:dyDescent="0.25">
      <c r="B29" s="398" t="s">
        <v>291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21" x14ac:dyDescent="0.25">
      <c r="B30" s="398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6">IF(AND(L28&lt;=$C30,L28&gt;=$D30),$E30,0)</f>
        <v>0</v>
      </c>
      <c r="M30" s="183">
        <f t="shared" si="16"/>
        <v>0</v>
      </c>
      <c r="N30" s="183">
        <f t="shared" si="16"/>
        <v>0</v>
      </c>
      <c r="O30" s="183">
        <f t="shared" si="16"/>
        <v>0</v>
      </c>
      <c r="P30" s="183">
        <f t="shared" si="16"/>
        <v>0</v>
      </c>
      <c r="Q30" s="183">
        <f t="shared" si="16"/>
        <v>0</v>
      </c>
      <c r="R30" s="183">
        <f t="shared" si="16"/>
        <v>0</v>
      </c>
      <c r="S30" s="183">
        <f t="shared" si="16"/>
        <v>0</v>
      </c>
      <c r="U30" s="40" t="s">
        <v>288</v>
      </c>
    </row>
    <row r="31" spans="2:21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1000</v>
      </c>
      <c r="L31" s="183">
        <f t="shared" ref="L31:S31" si="17">IF(AND(L28&lt;=$C31,L28&gt;=$D31),$E31,0)</f>
        <v>0</v>
      </c>
      <c r="M31" s="183">
        <f t="shared" si="17"/>
        <v>0</v>
      </c>
      <c r="N31" s="183">
        <f t="shared" si="17"/>
        <v>0</v>
      </c>
      <c r="O31" s="183">
        <f t="shared" si="17"/>
        <v>0</v>
      </c>
      <c r="P31" s="183">
        <f t="shared" si="17"/>
        <v>0</v>
      </c>
      <c r="Q31" s="183">
        <f t="shared" si="17"/>
        <v>0</v>
      </c>
      <c r="R31" s="183">
        <f t="shared" si="17"/>
        <v>0</v>
      </c>
      <c r="S31" s="183">
        <f t="shared" si="17"/>
        <v>0</v>
      </c>
    </row>
    <row r="32" spans="2:21" x14ac:dyDescent="0.25">
      <c r="B32" s="45"/>
      <c r="C32" s="184">
        <v>9.9000000000000005E-2</v>
      </c>
      <c r="D32" s="185" t="s">
        <v>292</v>
      </c>
      <c r="E32" s="202">
        <v>1500</v>
      </c>
      <c r="F32" s="48"/>
      <c r="H32" s="183"/>
      <c r="I32" s="183"/>
      <c r="J32" s="183"/>
      <c r="K32" s="183">
        <f>IF(AND(K28&lt;=$C32,K28&gt;=$D32),$E32,0)</f>
        <v>0</v>
      </c>
      <c r="L32" s="183">
        <f t="shared" ref="L32:S32" si="18">IF(AND(L28&lt;=$C32,L28&gt;=$D32),$E32,0)</f>
        <v>0</v>
      </c>
      <c r="M32" s="183">
        <f t="shared" si="18"/>
        <v>0</v>
      </c>
      <c r="N32" s="183">
        <f t="shared" si="18"/>
        <v>0</v>
      </c>
      <c r="O32" s="183">
        <f t="shared" si="18"/>
        <v>0</v>
      </c>
      <c r="P32" s="183">
        <f t="shared" si="18"/>
        <v>0</v>
      </c>
      <c r="Q32" s="183">
        <f t="shared" si="18"/>
        <v>0</v>
      </c>
      <c r="R32" s="183">
        <f t="shared" si="18"/>
        <v>0</v>
      </c>
      <c r="S32" s="183">
        <f t="shared" si="18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" si="19">SUM(K30:K32)</f>
        <v>1000</v>
      </c>
      <c r="L33" s="187">
        <f t="shared" ref="L33:S33" si="20">SUM(L30:L32)</f>
        <v>0</v>
      </c>
      <c r="M33" s="187">
        <f t="shared" si="20"/>
        <v>0</v>
      </c>
      <c r="N33" s="187">
        <f t="shared" si="20"/>
        <v>0</v>
      </c>
      <c r="O33" s="187">
        <f t="shared" si="20"/>
        <v>0</v>
      </c>
      <c r="P33" s="187">
        <f t="shared" si="20"/>
        <v>0</v>
      </c>
      <c r="Q33" s="187">
        <f t="shared" si="20"/>
        <v>0</v>
      </c>
      <c r="R33" s="187">
        <f t="shared" si="20"/>
        <v>0</v>
      </c>
      <c r="S33" s="187">
        <f t="shared" si="20"/>
        <v>0</v>
      </c>
    </row>
    <row r="34" spans="2:19" ht="8.25" customHeight="1" x14ac:dyDescent="0.25"/>
    <row r="35" spans="2:19" x14ac:dyDescent="0.25">
      <c r="B35" s="41" t="s">
        <v>281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>
        <v>0.92</v>
      </c>
      <c r="L35" s="321"/>
      <c r="M35" s="321"/>
      <c r="N35" s="321"/>
      <c r="O35" s="321"/>
      <c r="P35" s="321"/>
      <c r="Q35" s="321"/>
      <c r="R35" s="321"/>
      <c r="S35" s="321"/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21">IF(AND(K35&gt;=$C37,K35&lt;=$D37),$E37,0)</f>
        <v>0</v>
      </c>
      <c r="L37" s="183">
        <f t="shared" si="21"/>
        <v>0</v>
      </c>
      <c r="M37" s="183">
        <f t="shared" si="21"/>
        <v>0</v>
      </c>
      <c r="N37" s="183">
        <f t="shared" si="21"/>
        <v>0</v>
      </c>
      <c r="O37" s="183">
        <f t="shared" si="21"/>
        <v>0</v>
      </c>
      <c r="P37" s="183">
        <f t="shared" si="21"/>
        <v>0</v>
      </c>
      <c r="Q37" s="183">
        <f t="shared" si="21"/>
        <v>0</v>
      </c>
      <c r="R37" s="183">
        <f t="shared" si="21"/>
        <v>0</v>
      </c>
      <c r="S37" s="183">
        <f t="shared" si="21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22">IF(AND(K35&gt;=$C38,K35&lt;=$D38),$E38,0)</f>
        <v>0</v>
      </c>
      <c r="L38" s="183">
        <f t="shared" si="22"/>
        <v>0</v>
      </c>
      <c r="M38" s="183">
        <f t="shared" si="22"/>
        <v>0</v>
      </c>
      <c r="N38" s="183">
        <f t="shared" si="22"/>
        <v>0</v>
      </c>
      <c r="O38" s="183">
        <f t="shared" si="22"/>
        <v>0</v>
      </c>
      <c r="P38" s="183">
        <f t="shared" si="22"/>
        <v>0</v>
      </c>
      <c r="Q38" s="183">
        <f t="shared" si="22"/>
        <v>0</v>
      </c>
      <c r="R38" s="183">
        <f t="shared" si="22"/>
        <v>0</v>
      </c>
      <c r="S38" s="183">
        <f t="shared" si="22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>
        <f t="shared" ref="K39:S39" si="23">IF(AND(K35&gt;=$C39,K35&lt;=$D39),$E39,0)</f>
        <v>1000</v>
      </c>
      <c r="L39" s="183">
        <f t="shared" si="23"/>
        <v>0</v>
      </c>
      <c r="M39" s="183">
        <f t="shared" si="23"/>
        <v>0</v>
      </c>
      <c r="N39" s="183">
        <f t="shared" si="23"/>
        <v>0</v>
      </c>
      <c r="O39" s="183">
        <f t="shared" si="23"/>
        <v>0</v>
      </c>
      <c r="P39" s="183">
        <f t="shared" si="23"/>
        <v>0</v>
      </c>
      <c r="Q39" s="183">
        <f t="shared" si="23"/>
        <v>0</v>
      </c>
      <c r="R39" s="183">
        <f t="shared" si="23"/>
        <v>0</v>
      </c>
      <c r="S39" s="183">
        <f t="shared" si="23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4">SUM(K37:K39)</f>
        <v>1000</v>
      </c>
      <c r="L40" s="187">
        <f t="shared" si="24"/>
        <v>0</v>
      </c>
      <c r="M40" s="187">
        <f t="shared" si="24"/>
        <v>0</v>
      </c>
      <c r="N40" s="187">
        <f t="shared" si="24"/>
        <v>0</v>
      </c>
      <c r="O40" s="187">
        <f t="shared" si="24"/>
        <v>0</v>
      </c>
      <c r="P40" s="187">
        <f t="shared" si="24"/>
        <v>0</v>
      </c>
      <c r="Q40" s="187">
        <f t="shared" si="24"/>
        <v>0</v>
      </c>
      <c r="R40" s="187">
        <f t="shared" si="24"/>
        <v>0</v>
      </c>
      <c r="S40" s="187">
        <f t="shared" si="24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25">
      <c r="G42" s="139" t="s">
        <v>287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>K10+K18+K33+K40+K26</f>
        <v>4500</v>
      </c>
      <c r="L44" s="275">
        <f t="shared" ref="L44:S44" si="25">L10+L18+L33+L40+L26</f>
        <v>3750</v>
      </c>
      <c r="M44" s="275">
        <f t="shared" si="25"/>
        <v>3750</v>
      </c>
      <c r="N44" s="275">
        <f t="shared" si="25"/>
        <v>3750</v>
      </c>
      <c r="O44" s="275">
        <f t="shared" si="25"/>
        <v>3750</v>
      </c>
      <c r="P44" s="275">
        <f t="shared" si="25"/>
        <v>3750</v>
      </c>
      <c r="Q44" s="275">
        <f t="shared" si="25"/>
        <v>3750</v>
      </c>
      <c r="R44" s="275">
        <f t="shared" si="25"/>
        <v>3750</v>
      </c>
      <c r="S44" s="275">
        <f t="shared" si="25"/>
        <v>3750</v>
      </c>
    </row>
    <row r="45" spans="2:19" ht="15.75" thickTop="1" x14ac:dyDescent="0.25"/>
    <row r="47" spans="2:19" x14ac:dyDescent="0.25">
      <c r="B47" s="281" t="s">
        <v>274</v>
      </c>
    </row>
    <row r="48" spans="2:19" x14ac:dyDescent="0.25">
      <c r="B48" s="10" t="s">
        <v>275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396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396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6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49:B50"/>
    <mergeCell ref="B21:B23"/>
    <mergeCell ref="B29:B30"/>
  </mergeCells>
  <pageMargins left="0.7" right="0.7" top="0.75" bottom="0.75" header="0.3" footer="0.3"/>
  <pageSetup scale="5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J43" sqref="J4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280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269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2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276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7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si="5"/>
        <v>0</v>
      </c>
      <c r="J17" s="183">
        <f t="shared" si="5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6">SUM(H15:H17)</f>
        <v>1750</v>
      </c>
      <c r="I18" s="187">
        <f t="shared" ref="I18:J18" si="7">SUM(I15:I17)</f>
        <v>0</v>
      </c>
      <c r="J18" s="187">
        <f t="shared" si="7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25"/>
    <row r="20" spans="2:21" x14ac:dyDescent="0.25">
      <c r="B20" s="41" t="s">
        <v>285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2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8">IF(AND(H20&gt;=$C22,H20&lt;=$D22),$E22,0)</f>
        <v>0</v>
      </c>
      <c r="I22" s="183">
        <f t="shared" si="8"/>
        <v>0</v>
      </c>
      <c r="J22" s="183">
        <f t="shared" si="8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288</v>
      </c>
    </row>
    <row r="23" spans="2:21" x14ac:dyDescent="0.2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9">IF(AND(H20&gt;=$C23,H20&lt;=$D23),$E23,0)</f>
        <v>1000</v>
      </c>
      <c r="I23" s="183">
        <f t="shared" si="9"/>
        <v>1000</v>
      </c>
      <c r="J23" s="183">
        <f t="shared" si="9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2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0">IF(AND(H20&gt;=$C24,H20&lt;=$D24),$E24,0)</f>
        <v>0</v>
      </c>
      <c r="I24" s="183">
        <f t="shared" si="10"/>
        <v>0</v>
      </c>
      <c r="J24" s="183">
        <f t="shared" si="10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25">
      <c r="B25" s="43"/>
      <c r="C25" s="44"/>
      <c r="D25" s="44"/>
      <c r="E25" s="44"/>
      <c r="F25" s="163"/>
      <c r="G25" s="186" t="s">
        <v>133</v>
      </c>
      <c r="H25" s="187">
        <f t="shared" ref="H25:J25" si="11">SUM(H22:H24)</f>
        <v>1000</v>
      </c>
      <c r="I25" s="187">
        <f t="shared" si="11"/>
        <v>1000</v>
      </c>
      <c r="J25" s="187">
        <f t="shared" si="11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25"/>
    <row r="27" spans="2:21" x14ac:dyDescent="0.25">
      <c r="B27" s="41" t="s">
        <v>281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2">IF(AND(H27&gt;=$C29,H27&lt;=$D29),$E29,0)</f>
        <v>0</v>
      </c>
      <c r="I29" s="183">
        <f t="shared" si="12"/>
        <v>0</v>
      </c>
      <c r="J29" s="183">
        <f t="shared" si="12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2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3">IF(AND(H27&gt;=$C30,H27&lt;=$D30),$E30,0)</f>
        <v>500</v>
      </c>
      <c r="I30" s="183">
        <f t="shared" si="13"/>
        <v>500</v>
      </c>
      <c r="J30" s="183">
        <f t="shared" si="13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2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4">IF(AND(H27&gt;=$C31,H27&lt;=$D31),$E31,0)</f>
        <v>0</v>
      </c>
      <c r="I31" s="183">
        <f t="shared" si="14"/>
        <v>0</v>
      </c>
      <c r="J31" s="183">
        <f t="shared" si="14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f t="shared" ref="H32:J32" si="15">SUM(H29:H31)</f>
        <v>500</v>
      </c>
      <c r="I32" s="187">
        <f t="shared" si="15"/>
        <v>500</v>
      </c>
      <c r="J32" s="187">
        <f t="shared" si="15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287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.75" thickBot="1" x14ac:dyDescent="0.3">
      <c r="E36" s="188"/>
      <c r="G36" s="188" t="s">
        <v>149</v>
      </c>
      <c r="H36" s="275">
        <f>H10+H18+H25+H32</f>
        <v>4000</v>
      </c>
      <c r="I36" s="275">
        <f t="shared" ref="I36:S36" si="16">I10+I18+I25+I32</f>
        <v>1500</v>
      </c>
      <c r="J36" s="275">
        <f>J10+J18+J25+J32+J34</f>
        <v>3250</v>
      </c>
      <c r="K36" s="275">
        <f t="shared" si="16"/>
        <v>0</v>
      </c>
      <c r="L36" s="275">
        <f t="shared" si="16"/>
        <v>0</v>
      </c>
      <c r="M36" s="275">
        <f t="shared" si="16"/>
        <v>0</v>
      </c>
      <c r="N36" s="275">
        <f t="shared" si="16"/>
        <v>0</v>
      </c>
      <c r="O36" s="275">
        <f t="shared" si="16"/>
        <v>0</v>
      </c>
      <c r="P36" s="275">
        <f t="shared" si="16"/>
        <v>0</v>
      </c>
      <c r="Q36" s="275">
        <f t="shared" si="16"/>
        <v>0</v>
      </c>
      <c r="R36" s="275">
        <f t="shared" si="16"/>
        <v>0</v>
      </c>
      <c r="S36" s="275">
        <f t="shared" si="16"/>
        <v>0</v>
      </c>
    </row>
    <row r="37" spans="2:19" ht="15.75" thickTop="1" x14ac:dyDescent="0.25"/>
    <row r="39" spans="2:19" x14ac:dyDescent="0.25">
      <c r="B39" s="281" t="s">
        <v>274</v>
      </c>
    </row>
    <row r="40" spans="2:19" x14ac:dyDescent="0.25">
      <c r="B40" s="10" t="s">
        <v>275</v>
      </c>
      <c r="C40" s="173"/>
      <c r="D40" s="173"/>
      <c r="E40" s="174"/>
      <c r="F40" s="47"/>
      <c r="G40" s="208" t="s">
        <v>119</v>
      </c>
      <c r="S40" s="305"/>
    </row>
    <row r="41" spans="2:19" x14ac:dyDescent="0.25">
      <c r="B41" s="396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25">
      <c r="B42" s="396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2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S45" s="187">
        <f t="shared" ref="S45" si="17">SUM(S42:S44)</f>
        <v>0</v>
      </c>
    </row>
    <row r="47" spans="2:19" ht="15.75" thickBot="1" x14ac:dyDescent="0.3">
      <c r="G47" s="197" t="s">
        <v>140</v>
      </c>
      <c r="S47" s="199">
        <f>+S37+S45</f>
        <v>0</v>
      </c>
    </row>
    <row r="48" spans="2:19" ht="15.75" thickTop="1" x14ac:dyDescent="0.25"/>
  </sheetData>
  <mergeCells count="1">
    <mergeCell ref="B41:B42"/>
  </mergeCells>
  <pageMargins left="0.7" right="0.7" top="0.75" bottom="0.75" header="0.3" footer="0.3"/>
  <pageSetup scale="5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K34" sqref="K3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267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25">
      <c r="B5" s="45" t="s">
        <v>269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276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28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1.4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25"/>
    <row r="20" spans="2:19" x14ac:dyDescent="0.25">
      <c r="B20" s="41" t="s">
        <v>278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3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375">
        <v>1</v>
      </c>
      <c r="D22" s="375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25">
      <c r="B23" s="45"/>
      <c r="C23" s="375">
        <v>2</v>
      </c>
      <c r="D23" s="375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2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1250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1250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25"/>
    <row r="27" spans="2:19" x14ac:dyDescent="0.25">
      <c r="B27" s="41" t="s">
        <v>277</v>
      </c>
      <c r="C27" s="173"/>
      <c r="D27" s="173"/>
      <c r="E27" s="174"/>
      <c r="F27" s="47"/>
      <c r="G27" s="373" t="s">
        <v>37</v>
      </c>
      <c r="H27" s="321">
        <v>0.6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2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1000</v>
      </c>
      <c r="F31" s="48"/>
      <c r="G31" s="374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3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4250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.75" thickTop="1" x14ac:dyDescent="0.25"/>
    <row r="37" spans="2:19" x14ac:dyDescent="0.25">
      <c r="B37" s="281" t="s">
        <v>274</v>
      </c>
    </row>
    <row r="38" spans="2:19" x14ac:dyDescent="0.25">
      <c r="B38" s="10" t="s">
        <v>275</v>
      </c>
      <c r="C38" s="173"/>
      <c r="D38" s="173"/>
      <c r="E38" s="174"/>
      <c r="F38" s="47"/>
      <c r="G38" s="208" t="s">
        <v>119</v>
      </c>
      <c r="S38" s="305"/>
    </row>
    <row r="39" spans="2:19" x14ac:dyDescent="0.25">
      <c r="B39" s="396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25">
      <c r="B40" s="396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2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2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2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.75" thickBot="1" x14ac:dyDescent="0.3">
      <c r="G45" s="197" t="s">
        <v>140</v>
      </c>
      <c r="S45" s="199">
        <f>+S35+S43</f>
        <v>0</v>
      </c>
    </row>
    <row r="46" spans="2:19" ht="15.75" thickTop="1" x14ac:dyDescent="0.2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W50"/>
  <sheetViews>
    <sheetView zoomScaleNormal="100" workbookViewId="0">
      <pane xSplit="7" ySplit="3" topLeftCell="I4" activePane="bottomRight" state="frozen"/>
      <selection pane="topRight" activeCell="H1" sqref="H1"/>
      <selection pane="bottomLeft" activeCell="A4" sqref="A4"/>
      <selection pane="bottomRight" activeCell="M23" sqref="M2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9" width="11.42578125" style="40" hidden="1" customWidth="1"/>
    <col min="10" max="10" width="11.7109375" style="40" hidden="1" customWidth="1"/>
    <col min="11" max="12" width="11.42578125" style="40" customWidth="1"/>
    <col min="13" max="13" width="12.140625" style="40" customWidth="1"/>
    <col min="14" max="15" width="11.42578125" style="40" customWidth="1"/>
    <col min="16" max="16" width="12.140625" style="40" customWidth="1"/>
    <col min="17" max="18" width="11.42578125" style="40" customWidth="1"/>
    <col min="19" max="19" width="12.140625" style="40" bestFit="1" customWidth="1"/>
    <col min="20" max="20" width="11.42578125" style="40"/>
    <col min="21" max="21" width="16" style="40" bestFit="1" customWidth="1"/>
    <col min="22" max="16384" width="11.42578125" style="40"/>
  </cols>
  <sheetData>
    <row r="1" spans="2:23" x14ac:dyDescent="0.25">
      <c r="B1" s="301" t="s">
        <v>235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3" ht="8.25" customHeight="1" x14ac:dyDescent="0.25"/>
    <row r="3" spans="2:23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3" x14ac:dyDescent="0.25">
      <c r="B4" s="41" t="s">
        <v>127</v>
      </c>
      <c r="C4" s="173"/>
      <c r="D4" s="173"/>
      <c r="E4" s="174"/>
      <c r="F4" s="47"/>
      <c r="G4" s="42" t="s">
        <v>119</v>
      </c>
      <c r="H4" s="302">
        <v>30183</v>
      </c>
      <c r="I4" s="302">
        <v>54294</v>
      </c>
      <c r="J4" s="302">
        <v>106190</v>
      </c>
      <c r="K4" s="302">
        <v>105484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W4" s="146"/>
    </row>
    <row r="5" spans="2:23" x14ac:dyDescent="0.25">
      <c r="B5" s="45" t="s">
        <v>238</v>
      </c>
      <c r="C5" s="176"/>
      <c r="D5" s="176"/>
      <c r="E5" s="177"/>
      <c r="F5" s="48"/>
      <c r="G5" s="40" t="s">
        <v>95</v>
      </c>
      <c r="H5" s="303">
        <v>23140</v>
      </c>
      <c r="I5" s="303">
        <v>14921</v>
      </c>
      <c r="J5" s="303">
        <v>33534</v>
      </c>
      <c r="K5" s="303">
        <v>134821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W5" s="146"/>
    </row>
    <row r="6" spans="2:23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1.304</v>
      </c>
      <c r="I6" s="181">
        <f t="shared" ref="I6:S6" si="1">IFERROR(ROUND(I4/I5,3)," - - -")</f>
        <v>3.6389999999999998</v>
      </c>
      <c r="J6" s="181">
        <f t="shared" si="1"/>
        <v>3.1669999999999998</v>
      </c>
      <c r="K6" s="181">
        <v>0.8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23" x14ac:dyDescent="0.2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1720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23" x14ac:dyDescent="0.25">
      <c r="B8" s="45"/>
      <c r="C8" s="182">
        <v>1</v>
      </c>
      <c r="D8" s="182">
        <v>1.1999</v>
      </c>
      <c r="E8" s="202">
        <v>2150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3" x14ac:dyDescent="0.25">
      <c r="B9" s="45"/>
      <c r="C9" s="184">
        <v>1.2</v>
      </c>
      <c r="D9" s="185" t="s">
        <v>132</v>
      </c>
      <c r="E9" s="202">
        <v>2580</v>
      </c>
      <c r="F9" s="48"/>
      <c r="H9" s="183">
        <f t="shared" si="2"/>
        <v>2580</v>
      </c>
      <c r="I9" s="183">
        <f t="shared" si="2"/>
        <v>2580</v>
      </c>
      <c r="J9" s="183">
        <f t="shared" si="2"/>
        <v>2580</v>
      </c>
      <c r="K9" s="183">
        <f t="shared" si="2"/>
        <v>0</v>
      </c>
      <c r="L9" s="183">
        <f t="shared" si="2"/>
        <v>2580</v>
      </c>
      <c r="M9" s="183">
        <f t="shared" si="2"/>
        <v>2580</v>
      </c>
      <c r="N9" s="183">
        <f t="shared" si="2"/>
        <v>2580</v>
      </c>
      <c r="O9" s="183">
        <f t="shared" si="2"/>
        <v>2580</v>
      </c>
      <c r="P9" s="183">
        <f t="shared" si="2"/>
        <v>2580</v>
      </c>
      <c r="Q9" s="183">
        <f t="shared" si="2"/>
        <v>2580</v>
      </c>
      <c r="R9" s="183">
        <f t="shared" si="2"/>
        <v>2580</v>
      </c>
      <c r="S9" s="183">
        <f t="shared" si="2"/>
        <v>2580</v>
      </c>
    </row>
    <row r="10" spans="2:23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2580</v>
      </c>
      <c r="I10" s="187">
        <f t="shared" ref="I10:S10" si="3">SUM(I7:I9)</f>
        <v>2580</v>
      </c>
      <c r="J10" s="187">
        <f t="shared" si="3"/>
        <v>2580</v>
      </c>
      <c r="K10" s="187">
        <f t="shared" si="3"/>
        <v>1720</v>
      </c>
      <c r="L10" s="187">
        <f t="shared" si="3"/>
        <v>2580</v>
      </c>
      <c r="M10" s="187">
        <f t="shared" si="3"/>
        <v>2580</v>
      </c>
      <c r="N10" s="187">
        <f t="shared" si="3"/>
        <v>2580</v>
      </c>
      <c r="O10" s="187">
        <f t="shared" si="3"/>
        <v>2580</v>
      </c>
      <c r="P10" s="187">
        <f t="shared" si="3"/>
        <v>2580</v>
      </c>
      <c r="Q10" s="187">
        <f t="shared" si="3"/>
        <v>2580</v>
      </c>
      <c r="R10" s="187">
        <f t="shared" si="3"/>
        <v>2580</v>
      </c>
      <c r="S10" s="187">
        <f t="shared" si="3"/>
        <v>2580</v>
      </c>
    </row>
    <row r="11" spans="2:23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3" x14ac:dyDescent="0.25">
      <c r="B12" s="41" t="s">
        <v>134</v>
      </c>
      <c r="C12" s="173"/>
      <c r="D12" s="173"/>
      <c r="E12" s="174"/>
      <c r="F12" s="47"/>
      <c r="G12" s="42" t="s">
        <v>119</v>
      </c>
      <c r="H12" s="302">
        <v>184054</v>
      </c>
      <c r="I12" s="302">
        <v>178542</v>
      </c>
      <c r="J12" s="302">
        <v>219030</v>
      </c>
      <c r="K12" s="302">
        <v>273402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</row>
    <row r="13" spans="2:23" x14ac:dyDescent="0.25">
      <c r="B13" s="45" t="s">
        <v>238</v>
      </c>
      <c r="C13" s="176"/>
      <c r="D13" s="176"/>
      <c r="E13" s="177"/>
      <c r="F13" s="48"/>
      <c r="G13" s="40" t="s">
        <v>95</v>
      </c>
      <c r="H13" s="303">
        <v>159257</v>
      </c>
      <c r="I13" s="303">
        <v>146481</v>
      </c>
      <c r="J13" s="303">
        <v>176957</v>
      </c>
      <c r="K13" s="303">
        <v>281294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</row>
    <row r="14" spans="2:23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4">IFERROR(ROUND(H12/H13,3)," - - -")</f>
        <v>1.1559999999999999</v>
      </c>
      <c r="I14" s="181">
        <f t="shared" ref="I14:S14" si="5">IFERROR(ROUND(I12/I13,3)," - - -")</f>
        <v>1.2190000000000001</v>
      </c>
      <c r="J14" s="181">
        <f t="shared" si="5"/>
        <v>1.238</v>
      </c>
      <c r="K14" s="181">
        <f t="shared" si="5"/>
        <v>0.97199999999999998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23" x14ac:dyDescent="0.2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S17" si="6">IF(AND(H$14&gt;=$C15,H$14&lt;=$D15),$E15,0)</f>
        <v>0</v>
      </c>
      <c r="I15" s="183">
        <f t="shared" si="6"/>
        <v>0</v>
      </c>
      <c r="J15" s="183">
        <f t="shared" si="6"/>
        <v>0</v>
      </c>
      <c r="K15" s="183">
        <f t="shared" si="6"/>
        <v>669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3" x14ac:dyDescent="0.25">
      <c r="B16" s="45"/>
      <c r="C16" s="182">
        <v>1</v>
      </c>
      <c r="D16" s="182">
        <v>1.1999</v>
      </c>
      <c r="E16" s="202">
        <v>836</v>
      </c>
      <c r="F16" s="48"/>
      <c r="H16" s="183">
        <f t="shared" si="6"/>
        <v>836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6"/>
        <v>0</v>
      </c>
      <c r="I17" s="183">
        <f t="shared" si="6"/>
        <v>1003</v>
      </c>
      <c r="J17" s="183">
        <f t="shared" si="6"/>
        <v>1003</v>
      </c>
      <c r="K17" s="183">
        <f t="shared" si="6"/>
        <v>0</v>
      </c>
      <c r="L17" s="183">
        <f t="shared" si="6"/>
        <v>1003</v>
      </c>
      <c r="M17" s="183">
        <f t="shared" si="6"/>
        <v>1003</v>
      </c>
      <c r="N17" s="183">
        <f t="shared" si="6"/>
        <v>1003</v>
      </c>
      <c r="O17" s="183">
        <f t="shared" si="6"/>
        <v>1003</v>
      </c>
      <c r="P17" s="183">
        <f t="shared" si="6"/>
        <v>1003</v>
      </c>
      <c r="Q17" s="183">
        <f t="shared" si="6"/>
        <v>1003</v>
      </c>
      <c r="R17" s="183">
        <f t="shared" si="6"/>
        <v>1003</v>
      </c>
      <c r="S17" s="183">
        <f t="shared" si="6"/>
        <v>1003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836</v>
      </c>
      <c r="I18" s="187">
        <f t="shared" ref="I18:S18" si="7">SUM(I15:I17)</f>
        <v>1003</v>
      </c>
      <c r="J18" s="187">
        <f t="shared" si="7"/>
        <v>1003</v>
      </c>
      <c r="K18" s="187">
        <f t="shared" si="7"/>
        <v>669</v>
      </c>
      <c r="L18" s="187">
        <f t="shared" si="7"/>
        <v>1003</v>
      </c>
      <c r="M18" s="187">
        <f t="shared" si="7"/>
        <v>1003</v>
      </c>
      <c r="N18" s="187">
        <f t="shared" si="7"/>
        <v>1003</v>
      </c>
      <c r="O18" s="187">
        <f t="shared" si="7"/>
        <v>1003</v>
      </c>
      <c r="P18" s="187">
        <f t="shared" si="7"/>
        <v>1003</v>
      </c>
      <c r="Q18" s="187">
        <f t="shared" si="7"/>
        <v>1003</v>
      </c>
      <c r="R18" s="187">
        <f t="shared" si="7"/>
        <v>1003</v>
      </c>
      <c r="S18" s="187">
        <f t="shared" si="7"/>
        <v>1003</v>
      </c>
    </row>
    <row r="19" spans="2:19" x14ac:dyDescent="0.25">
      <c r="B19" s="170"/>
    </row>
    <row r="20" spans="2:19" x14ac:dyDescent="0.25">
      <c r="B20" s="41" t="s">
        <v>135</v>
      </c>
      <c r="C20" s="173"/>
      <c r="D20" s="173"/>
      <c r="E20" s="174"/>
      <c r="F20" s="47"/>
      <c r="G20" s="42" t="s">
        <v>119</v>
      </c>
      <c r="H20" s="302">
        <v>112029</v>
      </c>
      <c r="I20" s="302">
        <v>104069</v>
      </c>
      <c r="J20" s="302">
        <v>122287</v>
      </c>
      <c r="K20" s="302">
        <v>109680</v>
      </c>
      <c r="L20" s="302">
        <v>0</v>
      </c>
      <c r="M20" s="302">
        <v>0</v>
      </c>
      <c r="N20" s="302">
        <v>0</v>
      </c>
      <c r="O20" s="302">
        <v>0</v>
      </c>
      <c r="P20" s="302">
        <v>0</v>
      </c>
      <c r="Q20" s="302">
        <v>0</v>
      </c>
      <c r="R20" s="302">
        <v>0</v>
      </c>
      <c r="S20" s="302">
        <v>0</v>
      </c>
    </row>
    <row r="21" spans="2:19" x14ac:dyDescent="0.25">
      <c r="B21" s="45" t="s">
        <v>238</v>
      </c>
      <c r="C21" s="176"/>
      <c r="D21" s="176"/>
      <c r="E21" s="177"/>
      <c r="F21" s="48"/>
      <c r="G21" s="40" t="s">
        <v>95</v>
      </c>
      <c r="H21" s="303">
        <v>106569</v>
      </c>
      <c r="I21" s="303">
        <v>95970</v>
      </c>
      <c r="J21" s="303">
        <v>94972</v>
      </c>
      <c r="K21" s="303">
        <v>129543</v>
      </c>
      <c r="L21" s="303">
        <v>0</v>
      </c>
      <c r="M21" s="303">
        <v>0</v>
      </c>
      <c r="N21" s="303">
        <v>0</v>
      </c>
      <c r="O21" s="303">
        <v>0</v>
      </c>
      <c r="P21" s="303">
        <v>0</v>
      </c>
      <c r="Q21" s="303">
        <v>0</v>
      </c>
      <c r="R21" s="303">
        <v>0</v>
      </c>
      <c r="S21" s="303"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8">IFERROR(ROUND(H20/H21,3)," - - -")</f>
        <v>1.0509999999999999</v>
      </c>
      <c r="I22" s="181">
        <f t="shared" ref="I22:S22" si="9">IFERROR(ROUND(I20/I21,3)," - - -")</f>
        <v>1.0840000000000001</v>
      </c>
      <c r="J22" s="181">
        <f t="shared" si="9"/>
        <v>1.288</v>
      </c>
      <c r="K22" s="181">
        <f t="shared" si="9"/>
        <v>0.84699999999999998</v>
      </c>
      <c r="L22" s="181" t="str">
        <f t="shared" si="9"/>
        <v xml:space="preserve"> - - -</v>
      </c>
      <c r="M22" s="181" t="str">
        <f t="shared" si="9"/>
        <v xml:space="preserve"> - - -</v>
      </c>
      <c r="N22" s="181" t="str">
        <f t="shared" si="9"/>
        <v xml:space="preserve"> - - -</v>
      </c>
      <c r="O22" s="181" t="str">
        <f t="shared" si="9"/>
        <v xml:space="preserve"> - - -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2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S25" si="10">IF(AND(H$22&gt;=$C23,H$22&lt;=$D23),$E23,0)</f>
        <v>0</v>
      </c>
      <c r="I23" s="183">
        <f t="shared" si="10"/>
        <v>0</v>
      </c>
      <c r="J23" s="183">
        <f t="shared" si="10"/>
        <v>0</v>
      </c>
      <c r="K23" s="183">
        <f t="shared" si="10"/>
        <v>669</v>
      </c>
      <c r="L23" s="183">
        <f t="shared" si="10"/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836</v>
      </c>
      <c r="F24" s="48"/>
      <c r="H24" s="183">
        <f t="shared" si="10"/>
        <v>836</v>
      </c>
      <c r="I24" s="183">
        <f t="shared" si="10"/>
        <v>836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10"/>
        <v>0</v>
      </c>
      <c r="I25" s="183">
        <f t="shared" si="10"/>
        <v>0</v>
      </c>
      <c r="J25" s="183">
        <f t="shared" si="10"/>
        <v>1003</v>
      </c>
      <c r="K25" s="183">
        <f t="shared" si="10"/>
        <v>0</v>
      </c>
      <c r="L25" s="183">
        <f t="shared" si="10"/>
        <v>1003</v>
      </c>
      <c r="M25" s="183">
        <f t="shared" si="10"/>
        <v>1003</v>
      </c>
      <c r="N25" s="183">
        <f t="shared" si="10"/>
        <v>1003</v>
      </c>
      <c r="O25" s="183">
        <f t="shared" si="10"/>
        <v>1003</v>
      </c>
      <c r="P25" s="183">
        <f t="shared" si="10"/>
        <v>1003</v>
      </c>
      <c r="Q25" s="183">
        <f t="shared" si="10"/>
        <v>1003</v>
      </c>
      <c r="R25" s="183">
        <f t="shared" si="10"/>
        <v>1003</v>
      </c>
      <c r="S25" s="183">
        <f t="shared" si="10"/>
        <v>1003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>SUM(H23:H25)</f>
        <v>836</v>
      </c>
      <c r="I26" s="187">
        <f t="shared" ref="I26:S26" si="11">SUM(I23:I25)</f>
        <v>836</v>
      </c>
      <c r="J26" s="187">
        <f t="shared" si="11"/>
        <v>1003</v>
      </c>
      <c r="K26" s="187">
        <f t="shared" si="11"/>
        <v>669</v>
      </c>
      <c r="L26" s="187">
        <f t="shared" si="11"/>
        <v>1003</v>
      </c>
      <c r="M26" s="187">
        <f t="shared" si="11"/>
        <v>1003</v>
      </c>
      <c r="N26" s="187">
        <f t="shared" si="11"/>
        <v>1003</v>
      </c>
      <c r="O26" s="187">
        <f t="shared" si="11"/>
        <v>1003</v>
      </c>
      <c r="P26" s="187">
        <f t="shared" si="11"/>
        <v>1003</v>
      </c>
      <c r="Q26" s="187">
        <f t="shared" si="11"/>
        <v>1003</v>
      </c>
      <c r="R26" s="187">
        <f t="shared" si="11"/>
        <v>1003</v>
      </c>
      <c r="S26" s="187">
        <f t="shared" si="11"/>
        <v>1003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25">
      <c r="G28" s="188" t="s">
        <v>252</v>
      </c>
      <c r="H28" s="46"/>
      <c r="I28" s="46"/>
      <c r="J28" s="46"/>
      <c r="K28" s="320">
        <f>((I30-3511)+(J30-3511))*-1</f>
        <v>-1983</v>
      </c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25">
      <c r="G29" s="139" t="s">
        <v>260</v>
      </c>
      <c r="H29" s="46"/>
      <c r="I29" s="46"/>
      <c r="J29" s="46"/>
      <c r="K29" s="46"/>
      <c r="L29" s="46"/>
      <c r="M29" s="46">
        <v>1000</v>
      </c>
      <c r="N29" s="46"/>
      <c r="O29" s="46"/>
      <c r="P29" s="46"/>
      <c r="Q29" s="46"/>
      <c r="R29" s="46"/>
      <c r="S29" s="46"/>
    </row>
    <row r="30" spans="2:19" ht="15.75" thickBot="1" x14ac:dyDescent="0.3">
      <c r="G30" s="188" t="s">
        <v>136</v>
      </c>
      <c r="H30" s="275">
        <f>+H10+H18+H26</f>
        <v>4252</v>
      </c>
      <c r="I30" s="275">
        <f t="shared" ref="I30:S30" si="12">+I10+I18+I26</f>
        <v>4419</v>
      </c>
      <c r="J30" s="275">
        <f t="shared" si="12"/>
        <v>4586</v>
      </c>
      <c r="K30" s="275">
        <f t="shared" si="12"/>
        <v>3058</v>
      </c>
      <c r="L30" s="275">
        <f t="shared" si="12"/>
        <v>4586</v>
      </c>
      <c r="M30" s="275">
        <f t="shared" si="12"/>
        <v>4586</v>
      </c>
      <c r="N30" s="275">
        <f t="shared" si="12"/>
        <v>4586</v>
      </c>
      <c r="O30" s="275">
        <f t="shared" si="12"/>
        <v>4586</v>
      </c>
      <c r="P30" s="275">
        <f t="shared" si="12"/>
        <v>4586</v>
      </c>
      <c r="Q30" s="275">
        <f t="shared" si="12"/>
        <v>4586</v>
      </c>
      <c r="R30" s="275">
        <f t="shared" si="12"/>
        <v>4586</v>
      </c>
      <c r="S30" s="275">
        <f t="shared" si="12"/>
        <v>4586</v>
      </c>
    </row>
    <row r="31" spans="2:19" ht="15.75" thickTop="1" x14ac:dyDescent="0.25">
      <c r="B31" s="170" t="s">
        <v>137</v>
      </c>
      <c r="J31" s="146"/>
      <c r="K31" s="146"/>
    </row>
    <row r="32" spans="2:19" x14ac:dyDescent="0.25">
      <c r="B32" s="41" t="s">
        <v>138</v>
      </c>
      <c r="C32" s="173"/>
      <c r="D32" s="173"/>
      <c r="E32" s="174"/>
      <c r="F32" s="47"/>
      <c r="G32" s="47" t="s">
        <v>119</v>
      </c>
      <c r="H32" s="190"/>
      <c r="I32" s="191"/>
      <c r="J32" s="302">
        <v>131840</v>
      </c>
      <c r="K32" s="190"/>
      <c r="L32" s="191"/>
      <c r="M32" s="302">
        <v>0</v>
      </c>
      <c r="N32" s="190"/>
      <c r="O32" s="191"/>
      <c r="P32" s="302">
        <v>0</v>
      </c>
      <c r="Q32" s="190"/>
      <c r="R32" s="191"/>
      <c r="S32" s="302">
        <v>0</v>
      </c>
    </row>
    <row r="33" spans="2:19" x14ac:dyDescent="0.25">
      <c r="B33" s="45" t="s">
        <v>238</v>
      </c>
      <c r="C33" s="176"/>
      <c r="D33" s="176"/>
      <c r="E33" s="177"/>
      <c r="F33" s="48"/>
      <c r="G33" s="48" t="s">
        <v>95</v>
      </c>
      <c r="H33" s="190"/>
      <c r="I33" s="191"/>
      <c r="J33" s="303">
        <v>132335</v>
      </c>
      <c r="K33" s="190"/>
      <c r="L33" s="191"/>
      <c r="M33" s="303">
        <v>0</v>
      </c>
      <c r="N33" s="190"/>
      <c r="O33" s="191"/>
      <c r="P33" s="303">
        <v>0</v>
      </c>
      <c r="Q33" s="190"/>
      <c r="R33" s="191"/>
      <c r="S33" s="303">
        <v>0</v>
      </c>
    </row>
    <row r="34" spans="2:1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  <c r="H34" s="166"/>
      <c r="I34" s="192"/>
      <c r="J34" s="181">
        <v>1</v>
      </c>
      <c r="K34" s="166"/>
      <c r="L34" s="192"/>
      <c r="M34" s="181" t="str">
        <f t="shared" ref="M34" si="13">IFERROR(ROUND(M32/M33,3)," - - -")</f>
        <v xml:space="preserve"> - - -</v>
      </c>
      <c r="N34" s="166"/>
      <c r="O34" s="192"/>
      <c r="P34" s="181" t="str">
        <f t="shared" ref="P34" si="14">IFERROR(ROUND(P32/P33,3)," - - -")</f>
        <v xml:space="preserve"> - - -</v>
      </c>
      <c r="Q34" s="166"/>
      <c r="R34" s="192"/>
      <c r="S34" s="181" t="str">
        <f t="shared" ref="S34" si="15">IFERROR(ROUND(S32/S33,3)," - - -")</f>
        <v xml:space="preserve"> - - -</v>
      </c>
    </row>
    <row r="35" spans="2:19" x14ac:dyDescent="0.25">
      <c r="B35" s="45"/>
      <c r="C35" s="182">
        <v>0.8</v>
      </c>
      <c r="D35" s="182">
        <v>0.99990000000000001</v>
      </c>
      <c r="E35" s="202">
        <v>1147</v>
      </c>
      <c r="F35" s="48"/>
      <c r="G35" s="48"/>
      <c r="H35" s="193"/>
      <c r="I35" s="194"/>
      <c r="J35" s="183">
        <f>IF(AND(J$34&gt;=$C35,J$34&lt;=$D35),$E35,0)</f>
        <v>0</v>
      </c>
      <c r="K35" s="193"/>
      <c r="L35" s="194"/>
      <c r="M35" s="183">
        <f>IF(AND(M$34&gt;=$C35,M$34&lt;=$D35),$E35,0)</f>
        <v>0</v>
      </c>
      <c r="N35" s="193"/>
      <c r="O35" s="194"/>
      <c r="P35" s="183">
        <f>IF(AND(P$34&gt;=$C35,P$34&lt;=$D35),$E35,0)</f>
        <v>0</v>
      </c>
      <c r="Q35" s="193"/>
      <c r="R35" s="194"/>
      <c r="S35" s="183">
        <f>IF(AND(S$34&gt;=$C35,S$34&lt;=$D35),$E35,0)</f>
        <v>0</v>
      </c>
    </row>
    <row r="36" spans="2:19" x14ac:dyDescent="0.25">
      <c r="B36" s="45"/>
      <c r="C36" s="182">
        <v>1</v>
      </c>
      <c r="D36" s="182">
        <v>1.1999</v>
      </c>
      <c r="E36" s="202">
        <v>1433</v>
      </c>
      <c r="F36" s="48"/>
      <c r="G36" s="48"/>
      <c r="H36" s="193"/>
      <c r="I36" s="194"/>
      <c r="J36" s="183">
        <f>IF(AND(J$34&gt;=$C36,J$34&lt;=$D36),$E36,0)</f>
        <v>1433</v>
      </c>
      <c r="K36" s="193"/>
      <c r="L36" s="194"/>
      <c r="M36" s="183">
        <f>IF(AND(M$34&gt;=$C36,M$34&lt;=$D36),$E36,0)</f>
        <v>0</v>
      </c>
      <c r="N36" s="193"/>
      <c r="O36" s="194"/>
      <c r="P36" s="183">
        <f>IF(AND(P$34&gt;=$C36,P$34&lt;=$D36),$E36,0)</f>
        <v>0</v>
      </c>
      <c r="Q36" s="193"/>
      <c r="R36" s="194"/>
      <c r="S36" s="183">
        <f>IF(AND(S$34&gt;=$C36,S$34&lt;=$D36),$E36,0)</f>
        <v>0</v>
      </c>
    </row>
    <row r="37" spans="2:19" x14ac:dyDescent="0.25">
      <c r="B37" s="45"/>
      <c r="C37" s="184">
        <v>1.2</v>
      </c>
      <c r="D37" s="185" t="s">
        <v>132</v>
      </c>
      <c r="E37" s="202">
        <v>1720</v>
      </c>
      <c r="F37" s="48"/>
      <c r="G37" s="48"/>
      <c r="H37" s="193"/>
      <c r="I37" s="194"/>
      <c r="J37" s="183">
        <f>IF(AND(J$34&gt;=$C37,J$34&lt;=$D37),$E37,0)</f>
        <v>0</v>
      </c>
      <c r="K37" s="193"/>
      <c r="L37" s="194"/>
      <c r="M37" s="183">
        <f>IF(AND(M$34&gt;=$C37,M$34&lt;=$D37),$E37,0)</f>
        <v>1720</v>
      </c>
      <c r="N37" s="193"/>
      <c r="O37" s="194"/>
      <c r="P37" s="183">
        <f>IF(AND(P$34&gt;=$C37,P$34&lt;=$D37),$E37,0)</f>
        <v>1720</v>
      </c>
      <c r="Q37" s="193"/>
      <c r="R37" s="194"/>
      <c r="S37" s="183">
        <f>IF(AND(S$34&gt;=$C37,S$34&lt;=$D37),$E37,0)</f>
        <v>1720</v>
      </c>
    </row>
    <row r="38" spans="2:19" x14ac:dyDescent="0.25">
      <c r="B38" s="43"/>
      <c r="C38" s="44"/>
      <c r="D38" s="44"/>
      <c r="E38" s="44"/>
      <c r="F38" s="163"/>
      <c r="G38" s="211" t="s">
        <v>133</v>
      </c>
      <c r="H38" s="190"/>
      <c r="I38" s="191"/>
      <c r="J38" s="187">
        <f>SUM(J35:J37)</f>
        <v>1433</v>
      </c>
      <c r="K38" s="190"/>
      <c r="L38" s="191"/>
      <c r="M38" s="187">
        <f>SUM(M35:M37)</f>
        <v>1720</v>
      </c>
      <c r="N38" s="190"/>
      <c r="O38" s="191"/>
      <c r="P38" s="187">
        <f>SUM(P35:P37)</f>
        <v>1720</v>
      </c>
      <c r="Q38" s="190"/>
      <c r="R38" s="191"/>
      <c r="S38" s="187">
        <f>SUM(S35:S37)</f>
        <v>1720</v>
      </c>
    </row>
    <row r="40" spans="2:19" x14ac:dyDescent="0.25">
      <c r="B40" s="41" t="s">
        <v>279</v>
      </c>
      <c r="C40" s="173"/>
      <c r="D40" s="173"/>
      <c r="E40" s="174"/>
      <c r="F40" s="47"/>
      <c r="G40" s="47"/>
      <c r="H40" s="190"/>
      <c r="I40" s="191"/>
      <c r="J40" s="399">
        <v>0.9</v>
      </c>
      <c r="K40" s="190"/>
      <c r="L40" s="191"/>
      <c r="M40" s="399">
        <v>0</v>
      </c>
      <c r="N40" s="190"/>
      <c r="O40" s="191"/>
      <c r="P40" s="399">
        <v>0</v>
      </c>
      <c r="Q40" s="190"/>
      <c r="R40" s="191"/>
      <c r="S40" s="399">
        <v>0</v>
      </c>
    </row>
    <row r="41" spans="2:19" x14ac:dyDescent="0.25">
      <c r="B41" s="45"/>
      <c r="C41" s="179" t="s">
        <v>129</v>
      </c>
      <c r="D41" s="179" t="s">
        <v>130</v>
      </c>
      <c r="E41" s="180" t="s">
        <v>131</v>
      </c>
      <c r="F41" s="48"/>
      <c r="G41" s="294"/>
      <c r="H41" s="166"/>
      <c r="I41" s="192"/>
      <c r="J41" s="400"/>
      <c r="K41" s="166"/>
      <c r="L41" s="192"/>
      <c r="M41" s="400"/>
      <c r="N41" s="166"/>
      <c r="O41" s="192"/>
      <c r="P41" s="400"/>
      <c r="Q41" s="166"/>
      <c r="R41" s="192"/>
      <c r="S41" s="400"/>
    </row>
    <row r="42" spans="2:19" x14ac:dyDescent="0.25">
      <c r="B42" s="45"/>
      <c r="C42" s="182">
        <v>0.8</v>
      </c>
      <c r="D42" s="182">
        <v>0.84989999999999999</v>
      </c>
      <c r="E42" s="202">
        <v>1147</v>
      </c>
      <c r="F42" s="48"/>
      <c r="G42" s="48"/>
      <c r="H42" s="193"/>
      <c r="I42" s="194"/>
      <c r="J42" s="183">
        <f>IF(AND(J40&gt;=$C42,J40&lt;=$D42),$E42,0)</f>
        <v>0</v>
      </c>
      <c r="K42" s="193"/>
      <c r="L42" s="194"/>
      <c r="M42" s="183">
        <f>IF(AND(M40&gt;=$C42,M40&lt;=$D42),$E42,0)</f>
        <v>0</v>
      </c>
      <c r="N42" s="193"/>
      <c r="O42" s="194"/>
      <c r="P42" s="183">
        <f>IF(AND(P40&gt;=$C42,P40&lt;=$D42),$E42,0)</f>
        <v>0</v>
      </c>
      <c r="Q42" s="193"/>
      <c r="R42" s="194"/>
      <c r="S42" s="183">
        <f>IF(AND(S40&gt;=$C42,S40&lt;=$D42),$E42,0)</f>
        <v>0</v>
      </c>
    </row>
    <row r="43" spans="2:19" x14ac:dyDescent="0.25">
      <c r="B43" s="45"/>
      <c r="C43" s="182">
        <v>0.85</v>
      </c>
      <c r="D43" s="182">
        <v>0.89990000000000003</v>
      </c>
      <c r="E43" s="202">
        <v>1433</v>
      </c>
      <c r="F43" s="48"/>
      <c r="G43" s="48"/>
      <c r="H43" s="193"/>
      <c r="I43" s="194"/>
      <c r="J43" s="183">
        <f>IF(AND(J40&gt;=$C43,J40&lt;=$D43),$E43,0)</f>
        <v>0</v>
      </c>
      <c r="K43" s="193"/>
      <c r="L43" s="194"/>
      <c r="M43" s="183">
        <f>IF(AND(M40&gt;=$C43,M40&lt;=$D43),$E43,0)</f>
        <v>0</v>
      </c>
      <c r="N43" s="193"/>
      <c r="O43" s="194"/>
      <c r="P43" s="183">
        <f>IF(AND(P40&gt;=$C43,P40&lt;=$D43),$E43,0)</f>
        <v>0</v>
      </c>
      <c r="Q43" s="193"/>
      <c r="R43" s="194"/>
      <c r="S43" s="183">
        <f>IF(AND(S40&gt;=$C43,S40&lt;=$D43),$E43,0)</f>
        <v>0</v>
      </c>
    </row>
    <row r="44" spans="2:19" x14ac:dyDescent="0.25">
      <c r="B44" s="45"/>
      <c r="C44" s="184">
        <v>0.9</v>
      </c>
      <c r="D44" s="185" t="s">
        <v>132</v>
      </c>
      <c r="E44" s="202">
        <v>1720</v>
      </c>
      <c r="F44" s="48"/>
      <c r="G44" s="48"/>
      <c r="H44" s="193"/>
      <c r="I44" s="194"/>
      <c r="J44" s="183">
        <f>IF(AND(J40&gt;=$C44,J40&lt;=$D44),$E44,0)</f>
        <v>1720</v>
      </c>
      <c r="K44" s="193"/>
      <c r="L44" s="194"/>
      <c r="M44" s="183">
        <f>IF(AND(M40&gt;=$C44,M40&lt;=$D44),$E44,0)</f>
        <v>0</v>
      </c>
      <c r="N44" s="193"/>
      <c r="O44" s="194"/>
      <c r="P44" s="183">
        <f>IF(AND(P40&gt;=$C44,P40&lt;=$D44),$E44,0)</f>
        <v>0</v>
      </c>
      <c r="Q44" s="193"/>
      <c r="R44" s="194"/>
      <c r="S44" s="183">
        <f>IF(AND(S40&gt;=$C44,S40&lt;=$D44),$E44,0)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H45" s="190"/>
      <c r="I45" s="191"/>
      <c r="J45" s="187">
        <f t="shared" ref="J45" si="16">SUM(J42:J44)</f>
        <v>1720</v>
      </c>
      <c r="K45" s="190"/>
      <c r="L45" s="191"/>
      <c r="M45" s="187">
        <f t="shared" ref="M45" si="17">SUM(M42:M44)</f>
        <v>0</v>
      </c>
      <c r="N45" s="190"/>
      <c r="O45" s="191"/>
      <c r="P45" s="187">
        <f t="shared" ref="P45" si="18">SUM(P42:P44)</f>
        <v>0</v>
      </c>
      <c r="Q45" s="190"/>
      <c r="R45" s="191"/>
      <c r="S45" s="187">
        <f t="shared" ref="S45" si="19">SUM(S42:S44)</f>
        <v>0</v>
      </c>
    </row>
    <row r="46" spans="2:19" x14ac:dyDescent="0.25"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ht="15.75" thickBot="1" x14ac:dyDescent="0.3">
      <c r="G47" s="188" t="s">
        <v>139</v>
      </c>
      <c r="H47" s="377"/>
      <c r="I47" s="377"/>
      <c r="J47" s="275">
        <f>+J38+J45</f>
        <v>3153</v>
      </c>
      <c r="K47" s="381"/>
      <c r="L47" s="381"/>
      <c r="M47" s="275">
        <f>+M38+M45</f>
        <v>1720</v>
      </c>
      <c r="N47" s="381"/>
      <c r="O47" s="381"/>
      <c r="P47" s="275">
        <f>+P38+P45</f>
        <v>1720</v>
      </c>
      <c r="Q47" s="381"/>
      <c r="R47" s="381"/>
      <c r="S47" s="275">
        <f>+S38+S45</f>
        <v>1720</v>
      </c>
    </row>
    <row r="48" spans="2:19" ht="15.75" thickTop="1" x14ac:dyDescent="0.25">
      <c r="G48" s="378"/>
      <c r="H48" s="378"/>
      <c r="I48" s="378"/>
      <c r="J48" s="381"/>
      <c r="K48" s="381"/>
      <c r="L48" s="381"/>
      <c r="M48" s="381"/>
      <c r="N48" s="381"/>
      <c r="O48" s="381"/>
      <c r="P48" s="381"/>
      <c r="Q48" s="381"/>
      <c r="R48" s="381"/>
      <c r="S48" s="381"/>
    </row>
    <row r="49" spans="7:19" ht="15.75" thickBot="1" x14ac:dyDescent="0.3">
      <c r="G49" s="379" t="s">
        <v>140</v>
      </c>
      <c r="H49" s="380"/>
      <c r="I49" s="378"/>
      <c r="J49" s="382">
        <f>+J30+J47</f>
        <v>7739</v>
      </c>
      <c r="K49" s="383"/>
      <c r="L49" s="383"/>
      <c r="M49" s="382">
        <f>+M30+M47</f>
        <v>6306</v>
      </c>
      <c r="N49" s="383"/>
      <c r="O49" s="383"/>
      <c r="P49" s="382">
        <f>+P30+P47</f>
        <v>6306</v>
      </c>
      <c r="Q49" s="383"/>
      <c r="R49" s="383"/>
      <c r="S49" s="382">
        <f>+S30+S47</f>
        <v>6306</v>
      </c>
    </row>
    <row r="50" spans="7:19" ht="15.75" thickTop="1" x14ac:dyDescent="0.25"/>
  </sheetData>
  <mergeCells count="4">
    <mergeCell ref="J40:J41"/>
    <mergeCell ref="M40:M41"/>
    <mergeCell ref="P40:P41"/>
    <mergeCell ref="S40:S41"/>
  </mergeCells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7"/>
  <sheetViews>
    <sheetView showGridLines="0" zoomScale="90" zoomScaleNormal="90" workbookViewId="0">
      <pane ySplit="3" topLeftCell="A4" activePane="bottomLeft" state="frozen"/>
      <selection pane="bottomLeft" activeCell="K29" sqref="K2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28515625" style="40" hidden="1" customWidth="1"/>
    <col min="9" max="19" width="11.42578125" style="40" customWidth="1"/>
    <col min="20" max="20" width="4" style="40" customWidth="1"/>
    <col min="21" max="16384" width="11.42578125" style="40"/>
  </cols>
  <sheetData>
    <row r="1" spans="2:21" x14ac:dyDescent="0.2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1" x14ac:dyDescent="0.25">
      <c r="B4" s="41" t="s">
        <v>159</v>
      </c>
      <c r="C4" s="173"/>
      <c r="D4" s="212"/>
      <c r="E4" s="174"/>
      <c r="F4" s="47"/>
      <c r="G4" s="42" t="s">
        <v>119</v>
      </c>
      <c r="H4" s="302">
        <v>30183</v>
      </c>
      <c r="I4" s="302">
        <v>22522</v>
      </c>
      <c r="J4" s="302">
        <v>46946</v>
      </c>
      <c r="K4" s="302">
        <v>29786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214</v>
      </c>
    </row>
    <row r="5" spans="2:21" x14ac:dyDescent="0.25">
      <c r="B5" s="45" t="s">
        <v>269</v>
      </c>
      <c r="C5" s="176"/>
      <c r="D5" s="213" t="s">
        <v>160</v>
      </c>
      <c r="E5" s="177"/>
      <c r="F5" s="48"/>
      <c r="G5" s="40" t="s">
        <v>95</v>
      </c>
      <c r="H5" s="303">
        <v>23140</v>
      </c>
      <c r="I5" s="303">
        <v>24513</v>
      </c>
      <c r="J5" s="303">
        <v>22324</v>
      </c>
      <c r="K5" s="303">
        <v>52865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215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1.304</v>
      </c>
      <c r="I6" s="181">
        <f t="shared" ref="I6:S6" si="0">IFERROR(ROUND(I4/I5,3)," - - -")</f>
        <v>0.91900000000000004</v>
      </c>
      <c r="J6" s="181">
        <f t="shared" si="0"/>
        <v>2.1030000000000002</v>
      </c>
      <c r="K6" s="181">
        <f t="shared" si="0"/>
        <v>0.56299999999999994</v>
      </c>
      <c r="L6" s="181" t="str">
        <f t="shared" si="0"/>
        <v xml:space="preserve"> - - -</v>
      </c>
      <c r="M6" s="181" t="str">
        <f t="shared" si="0"/>
        <v xml:space="preserve"> - - -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21" x14ac:dyDescent="0.2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f>IF(AND(H$6&gt;=$C7,H$6&lt;=$D7),($E7+((($E8-$E7)*(H$6-$C7))/($D7-$C7))),0)</f>
        <v>0</v>
      </c>
      <c r="I7" s="183">
        <f t="shared" ref="I7:S8" si="1">IF(AND(I$6&gt;=$C7,I$6&lt;=$D7),($E7+((($E8-$E7)*(I$6-$C7))/($D7-$C7))),0)</f>
        <v>365.02899899899899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f>IF(AND(H$6&gt;=$C8,H$6&lt;=$D8),($E8+((($E9-$E8)*(H$6-$C8))/($D8-$C8))),0)</f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21" x14ac:dyDescent="0.2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f t="shared" ref="H9:S9" si="2">IF(AND(H$6&gt;=$C9,H$6&lt;=$D9),$E9,0)</f>
        <v>666.67</v>
      </c>
      <c r="I9" s="183">
        <f t="shared" si="2"/>
        <v>0</v>
      </c>
      <c r="J9" s="183">
        <f t="shared" si="2"/>
        <v>666.67</v>
      </c>
      <c r="K9" s="183">
        <f t="shared" si="2"/>
        <v>0</v>
      </c>
      <c r="L9" s="183">
        <f t="shared" si="2"/>
        <v>666.67</v>
      </c>
      <c r="M9" s="183">
        <f t="shared" si="2"/>
        <v>666.67</v>
      </c>
      <c r="N9" s="183">
        <f t="shared" si="2"/>
        <v>666.67</v>
      </c>
      <c r="O9" s="183">
        <f t="shared" si="2"/>
        <v>666.67</v>
      </c>
      <c r="P9" s="183">
        <f t="shared" si="2"/>
        <v>666.67</v>
      </c>
      <c r="Q9" s="183">
        <f t="shared" si="2"/>
        <v>666.67</v>
      </c>
      <c r="R9" s="183">
        <f t="shared" si="2"/>
        <v>666.67</v>
      </c>
      <c r="S9" s="183">
        <f t="shared" si="2"/>
        <v>666.67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666.67</v>
      </c>
      <c r="I10" s="187">
        <f t="shared" ref="I10:S10" si="4">SUM(I7:I9)</f>
        <v>365.02899899899899</v>
      </c>
      <c r="J10" s="187">
        <f t="shared" si="4"/>
        <v>666.67</v>
      </c>
      <c r="K10" s="187">
        <f t="shared" si="4"/>
        <v>0</v>
      </c>
      <c r="L10" s="187">
        <f t="shared" si="4"/>
        <v>666.67</v>
      </c>
      <c r="M10" s="187">
        <f t="shared" si="4"/>
        <v>666.67</v>
      </c>
      <c r="N10" s="187">
        <f t="shared" si="4"/>
        <v>666.67</v>
      </c>
      <c r="O10" s="187">
        <f t="shared" si="4"/>
        <v>666.67</v>
      </c>
      <c r="P10" s="187">
        <f t="shared" si="4"/>
        <v>666.67</v>
      </c>
      <c r="Q10" s="187">
        <f t="shared" si="4"/>
        <v>666.67</v>
      </c>
      <c r="R10" s="187">
        <f t="shared" si="4"/>
        <v>666.67</v>
      </c>
      <c r="S10" s="187">
        <f t="shared" si="4"/>
        <v>666.67</v>
      </c>
    </row>
    <row r="11" spans="2:21" ht="7.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201</v>
      </c>
      <c r="C12" s="173"/>
      <c r="D12" s="173"/>
      <c r="E12" s="174"/>
      <c r="F12" s="47"/>
      <c r="G12" s="42" t="s">
        <v>119</v>
      </c>
      <c r="H12" s="302">
        <v>197837</v>
      </c>
      <c r="I12" s="302">
        <v>198782</v>
      </c>
      <c r="J12" s="302">
        <v>219537</v>
      </c>
      <c r="K12" s="302">
        <v>185451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216</v>
      </c>
    </row>
    <row r="13" spans="2:21" x14ac:dyDescent="0.25">
      <c r="B13" s="45" t="s">
        <v>269</v>
      </c>
      <c r="C13" s="176"/>
      <c r="D13" s="213" t="s">
        <v>160</v>
      </c>
      <c r="E13" s="177"/>
      <c r="F13" s="48"/>
      <c r="G13" s="40" t="s">
        <v>95</v>
      </c>
      <c r="H13" s="303">
        <v>181815</v>
      </c>
      <c r="I13" s="303">
        <v>149848</v>
      </c>
      <c r="J13" s="303">
        <v>133864</v>
      </c>
      <c r="K13" s="303">
        <v>181815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217</v>
      </c>
    </row>
    <row r="14" spans="2:21" x14ac:dyDescent="0.2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f>IFERROR(ROUND(H12/H13,3)," - - -")</f>
        <v>1.0880000000000001</v>
      </c>
      <c r="I14" s="181">
        <f t="shared" ref="I14:S14" si="5">IFERROR(ROUND(I12/I13,3)," - - -")</f>
        <v>1.327</v>
      </c>
      <c r="J14" s="181">
        <f t="shared" si="5"/>
        <v>1.64</v>
      </c>
      <c r="K14" s="181">
        <f t="shared" si="5"/>
        <v>1.02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21" x14ac:dyDescent="0.2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f>IF(AND(H$14&gt;=$C15,H$14&lt;=$D15),($E15+((($E16-$E15)*(H$14-$C15))/($D15-$C15))),0)</f>
        <v>0</v>
      </c>
      <c r="I15" s="183">
        <f t="shared" ref="I15:S15" si="6">IF(AND(I$14&gt;=$C15,I$14&lt;=$D15),($E15+((($E16-$E15)*(I$14-$C15))/($D15-$C15))),0)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1" x14ac:dyDescent="0.2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f t="shared" ref="H16:S16" si="7">IF(AND(H$14&gt;=$C16,H$14&lt;=$D16),($E16+((($E17-$E16)*(H$14-$C16))/($D16-$C16))),0)</f>
        <v>358.35772886443226</v>
      </c>
      <c r="I16" s="183">
        <f t="shared" si="7"/>
        <v>0</v>
      </c>
      <c r="J16" s="183">
        <f t="shared" si="7"/>
        <v>0</v>
      </c>
      <c r="K16" s="183">
        <f t="shared" si="7"/>
        <v>322.92221110555278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21" x14ac:dyDescent="0.2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f>IF(AND(H$14&gt;=$C17,H$14&lt;=$D17),$E17,0)</f>
        <v>0</v>
      </c>
      <c r="I17" s="183">
        <f t="shared" ref="I17:S17" si="8">IF(AND(I$14&gt;=$C17,I$14&lt;=$D17),$E17,0)</f>
        <v>416.67</v>
      </c>
      <c r="J17" s="183">
        <f t="shared" si="8"/>
        <v>416.67</v>
      </c>
      <c r="K17" s="183">
        <f t="shared" si="8"/>
        <v>0</v>
      </c>
      <c r="L17" s="183">
        <f t="shared" si="8"/>
        <v>416.67</v>
      </c>
      <c r="M17" s="183">
        <f t="shared" si="8"/>
        <v>416.67</v>
      </c>
      <c r="N17" s="183">
        <f t="shared" si="8"/>
        <v>416.67</v>
      </c>
      <c r="O17" s="183">
        <f t="shared" si="8"/>
        <v>416.67</v>
      </c>
      <c r="P17" s="183">
        <f t="shared" si="8"/>
        <v>416.67</v>
      </c>
      <c r="Q17" s="183">
        <f t="shared" si="8"/>
        <v>416.67</v>
      </c>
      <c r="R17" s="183">
        <f t="shared" si="8"/>
        <v>416.67</v>
      </c>
      <c r="S17" s="183">
        <f t="shared" si="8"/>
        <v>416.67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358.35772886443226</v>
      </c>
      <c r="I18" s="187">
        <f t="shared" ref="I18:S18" si="10">SUM(I15:I17)</f>
        <v>416.67</v>
      </c>
      <c r="J18" s="187">
        <f t="shared" si="10"/>
        <v>416.67</v>
      </c>
      <c r="K18" s="187">
        <f t="shared" si="10"/>
        <v>322.92221110555278</v>
      </c>
      <c r="L18" s="187">
        <f t="shared" si="10"/>
        <v>416.67</v>
      </c>
      <c r="M18" s="187">
        <f t="shared" si="10"/>
        <v>416.67</v>
      </c>
      <c r="N18" s="187">
        <f t="shared" si="10"/>
        <v>416.67</v>
      </c>
      <c r="O18" s="187">
        <f t="shared" si="10"/>
        <v>416.67</v>
      </c>
      <c r="P18" s="187">
        <f t="shared" si="10"/>
        <v>416.67</v>
      </c>
      <c r="Q18" s="187">
        <f t="shared" si="10"/>
        <v>416.67</v>
      </c>
      <c r="R18" s="187">
        <f t="shared" si="10"/>
        <v>416.67</v>
      </c>
      <c r="S18" s="187">
        <f t="shared" si="10"/>
        <v>416.67</v>
      </c>
    </row>
    <row r="19" spans="2:21" ht="7.5" customHeight="1" x14ac:dyDescent="0.25">
      <c r="B19" s="170"/>
    </row>
    <row r="20" spans="2:21" x14ac:dyDescent="0.25">
      <c r="B20" s="41" t="s">
        <v>161</v>
      </c>
      <c r="C20" s="173"/>
      <c r="D20" s="173"/>
      <c r="E20" s="174"/>
      <c r="F20" s="47"/>
      <c r="G20" s="42" t="s">
        <v>119</v>
      </c>
      <c r="H20" s="302">
        <v>197837</v>
      </c>
      <c r="I20" s="302">
        <v>49339</v>
      </c>
      <c r="J20" s="302">
        <v>28787</v>
      </c>
      <c r="K20" s="302">
        <v>42082</v>
      </c>
      <c r="L20" s="302">
        <v>0</v>
      </c>
      <c r="M20" s="302">
        <v>0</v>
      </c>
      <c r="N20" s="302">
        <v>0</v>
      </c>
      <c r="O20" s="302">
        <v>0</v>
      </c>
      <c r="P20" s="302">
        <v>0</v>
      </c>
      <c r="Q20" s="302">
        <v>0</v>
      </c>
      <c r="R20" s="302">
        <v>0</v>
      </c>
      <c r="S20" s="302">
        <v>0</v>
      </c>
      <c r="U20" s="40" t="s">
        <v>218</v>
      </c>
    </row>
    <row r="21" spans="2:21" x14ac:dyDescent="0.25">
      <c r="B21" s="45" t="s">
        <v>269</v>
      </c>
      <c r="C21" s="176"/>
      <c r="D21" s="213" t="s">
        <v>160</v>
      </c>
      <c r="E21" s="177"/>
      <c r="F21" s="48"/>
      <c r="G21" s="40" t="s">
        <v>95</v>
      </c>
      <c r="H21" s="303">
        <v>181815</v>
      </c>
      <c r="I21" s="303">
        <v>51783</v>
      </c>
      <c r="J21" s="303">
        <v>28769</v>
      </c>
      <c r="K21" s="303">
        <v>28769</v>
      </c>
      <c r="L21" s="303">
        <v>0</v>
      </c>
      <c r="M21" s="303">
        <v>0</v>
      </c>
      <c r="N21" s="303">
        <v>0</v>
      </c>
      <c r="O21" s="303">
        <v>0</v>
      </c>
      <c r="P21" s="303">
        <v>0</v>
      </c>
      <c r="Q21" s="303">
        <v>0</v>
      </c>
      <c r="R21" s="303">
        <v>0</v>
      </c>
      <c r="S21" s="303">
        <v>0</v>
      </c>
      <c r="U21" s="40" t="s">
        <v>219</v>
      </c>
    </row>
    <row r="22" spans="2:21" x14ac:dyDescent="0.2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f>IFERROR(ROUND(H20/H21,3)," - - -")</f>
        <v>1.0880000000000001</v>
      </c>
      <c r="I22" s="181">
        <f t="shared" ref="I22:S22" si="11">IFERROR(ROUND(I20/I21,3)," - - -")</f>
        <v>0.95299999999999996</v>
      </c>
      <c r="J22" s="181">
        <f t="shared" si="11"/>
        <v>1.0009999999999999</v>
      </c>
      <c r="K22" s="181">
        <f t="shared" si="11"/>
        <v>1.4630000000000001</v>
      </c>
      <c r="L22" s="181" t="str">
        <f t="shared" si="11"/>
        <v xml:space="preserve"> - - -</v>
      </c>
      <c r="M22" s="181" t="str">
        <f t="shared" si="11"/>
        <v xml:space="preserve"> - - -</v>
      </c>
      <c r="N22" s="181" t="str">
        <f t="shared" si="11"/>
        <v xml:space="preserve"> - - -</v>
      </c>
      <c r="O22" s="181" t="str">
        <f t="shared" si="11"/>
        <v xml:space="preserve"> - - -</v>
      </c>
      <c r="P22" s="181" t="str">
        <f t="shared" si="11"/>
        <v xml:space="preserve"> - - -</v>
      </c>
      <c r="Q22" s="181" t="str">
        <f t="shared" si="11"/>
        <v xml:space="preserve"> - - -</v>
      </c>
      <c r="R22" s="181" t="str">
        <f t="shared" si="11"/>
        <v xml:space="preserve"> - - -</v>
      </c>
      <c r="S22" s="181" t="str">
        <f t="shared" si="11"/>
        <v xml:space="preserve"> - - -</v>
      </c>
    </row>
    <row r="23" spans="2:21" x14ac:dyDescent="0.2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f>IF(AND(H$22&gt;=$C23,H$22&lt;=$D23),($E23+((($E24-$E23)*(H$22-$C23))/($D23-$C23))),0)</f>
        <v>0</v>
      </c>
      <c r="I23" s="183">
        <f t="shared" ref="I23:S23" si="12">IF(AND(I$22&gt;=$C23,I$22&lt;=$D23),($E23+((($E24-$E23)*(I$22-$C23))/($D23-$C23))),0)</f>
        <v>263.5953653653653</v>
      </c>
      <c r="J23" s="183">
        <f t="shared" si="12"/>
        <v>0</v>
      </c>
      <c r="K23" s="183">
        <f t="shared" si="12"/>
        <v>0</v>
      </c>
      <c r="L23" s="183">
        <f t="shared" si="12"/>
        <v>0</v>
      </c>
      <c r="M23" s="183">
        <f t="shared" si="12"/>
        <v>0</v>
      </c>
      <c r="N23" s="183">
        <f t="shared" si="12"/>
        <v>0</v>
      </c>
      <c r="O23" s="183">
        <f t="shared" si="12"/>
        <v>0</v>
      </c>
      <c r="P23" s="183">
        <f t="shared" si="12"/>
        <v>0</v>
      </c>
      <c r="Q23" s="183">
        <f t="shared" si="12"/>
        <v>0</v>
      </c>
      <c r="R23" s="183">
        <f t="shared" si="12"/>
        <v>0</v>
      </c>
      <c r="S23" s="183">
        <f t="shared" si="12"/>
        <v>0</v>
      </c>
    </row>
    <row r="24" spans="2:21" x14ac:dyDescent="0.2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f t="shared" ref="H24:S24" si="13">IF(AND(H$22&gt;=$C24,H$22&lt;=$D24),($E24+((($E25-$E24)*(H$22-$C24))/($D24-$C24))),0)</f>
        <v>358.35772886443226</v>
      </c>
      <c r="I24" s="183">
        <f t="shared" si="13"/>
        <v>0</v>
      </c>
      <c r="J24" s="183">
        <f t="shared" si="13"/>
        <v>313.02111055527757</v>
      </c>
      <c r="K24" s="183">
        <f t="shared" si="13"/>
        <v>0</v>
      </c>
      <c r="L24" s="183">
        <f t="shared" si="13"/>
        <v>0</v>
      </c>
      <c r="M24" s="183">
        <f t="shared" si="13"/>
        <v>0</v>
      </c>
      <c r="N24" s="183">
        <f t="shared" si="13"/>
        <v>0</v>
      </c>
      <c r="O24" s="183">
        <f t="shared" si="13"/>
        <v>0</v>
      </c>
      <c r="P24" s="183">
        <f t="shared" si="13"/>
        <v>0</v>
      </c>
      <c r="Q24" s="183">
        <f t="shared" si="13"/>
        <v>0</v>
      </c>
      <c r="R24" s="183">
        <f t="shared" si="13"/>
        <v>0</v>
      </c>
      <c r="S24" s="183">
        <f t="shared" si="13"/>
        <v>0</v>
      </c>
    </row>
    <row r="25" spans="2:21" x14ac:dyDescent="0.2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f>IF(AND(H$22&gt;=$C25,H$22&lt;=$D25),$E25,0)</f>
        <v>0</v>
      </c>
      <c r="I25" s="183">
        <f t="shared" ref="I25:S25" si="14">IF(AND(I$22&gt;=$C25,I$22&lt;=$D25),$E25,0)</f>
        <v>0</v>
      </c>
      <c r="J25" s="183">
        <f t="shared" si="14"/>
        <v>0</v>
      </c>
      <c r="K25" s="183">
        <f t="shared" si="14"/>
        <v>416.67</v>
      </c>
      <c r="L25" s="183">
        <f t="shared" si="14"/>
        <v>416.67</v>
      </c>
      <c r="M25" s="183">
        <f t="shared" si="14"/>
        <v>416.67</v>
      </c>
      <c r="N25" s="183">
        <f t="shared" si="14"/>
        <v>416.67</v>
      </c>
      <c r="O25" s="183">
        <f t="shared" si="14"/>
        <v>416.67</v>
      </c>
      <c r="P25" s="183">
        <f t="shared" si="14"/>
        <v>416.67</v>
      </c>
      <c r="Q25" s="183">
        <f t="shared" si="14"/>
        <v>416.67</v>
      </c>
      <c r="R25" s="183">
        <f t="shared" si="14"/>
        <v>416.67</v>
      </c>
      <c r="S25" s="183">
        <f t="shared" si="14"/>
        <v>416.67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15">SUM(H23:H25)</f>
        <v>358.35772886443226</v>
      </c>
      <c r="I26" s="187">
        <f t="shared" ref="I26:S26" si="16">SUM(I23:I25)</f>
        <v>263.5953653653653</v>
      </c>
      <c r="J26" s="187">
        <f t="shared" si="16"/>
        <v>313.02111055527757</v>
      </c>
      <c r="K26" s="187">
        <f t="shared" si="16"/>
        <v>416.67</v>
      </c>
      <c r="L26" s="187">
        <f t="shared" si="16"/>
        <v>416.67</v>
      </c>
      <c r="M26" s="187">
        <f t="shared" si="16"/>
        <v>416.67</v>
      </c>
      <c r="N26" s="187">
        <f t="shared" si="16"/>
        <v>416.67</v>
      </c>
      <c r="O26" s="187">
        <f t="shared" si="16"/>
        <v>416.67</v>
      </c>
      <c r="P26" s="187">
        <f t="shared" si="16"/>
        <v>416.67</v>
      </c>
      <c r="Q26" s="187">
        <f t="shared" si="16"/>
        <v>416.67</v>
      </c>
      <c r="R26" s="187">
        <f t="shared" si="16"/>
        <v>416.67</v>
      </c>
      <c r="S26" s="187">
        <f t="shared" si="16"/>
        <v>416.67</v>
      </c>
    </row>
    <row r="27" spans="2:21" ht="7.5" customHeight="1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21" x14ac:dyDescent="0.25">
      <c r="B28" s="41" t="s">
        <v>164</v>
      </c>
      <c r="C28" s="173"/>
      <c r="D28" s="173"/>
      <c r="E28" s="174"/>
      <c r="F28" s="47"/>
      <c r="G28" s="42" t="s">
        <v>162</v>
      </c>
      <c r="H28" s="302">
        <v>9267</v>
      </c>
      <c r="I28" s="302">
        <v>16799.3</v>
      </c>
      <c r="J28" s="302">
        <v>13400.71</v>
      </c>
      <c r="K28" s="302">
        <v>27566.25</v>
      </c>
      <c r="L28" s="302">
        <v>0</v>
      </c>
      <c r="M28" s="302">
        <v>0</v>
      </c>
      <c r="N28" s="302">
        <v>0</v>
      </c>
      <c r="O28" s="302">
        <v>0</v>
      </c>
      <c r="P28" s="302">
        <v>0</v>
      </c>
      <c r="Q28" s="302">
        <v>0</v>
      </c>
      <c r="R28" s="302">
        <v>0</v>
      </c>
      <c r="S28" s="302">
        <v>0</v>
      </c>
    </row>
    <row r="29" spans="2:21" x14ac:dyDescent="0.25">
      <c r="B29" s="45" t="s">
        <v>269</v>
      </c>
      <c r="C29" s="176"/>
      <c r="D29" s="176"/>
      <c r="E29" s="177"/>
      <c r="F29" s="48"/>
      <c r="G29" s="40" t="s">
        <v>115</v>
      </c>
      <c r="H29" s="308">
        <f>'Sebastien Fleury 2025'!H20</f>
        <v>58</v>
      </c>
      <c r="I29" s="308">
        <f>'Sebastien Fleury 2025'!I20</f>
        <v>38</v>
      </c>
      <c r="J29" s="308">
        <f>'Sebastien Fleury 2025'!J20</f>
        <v>53</v>
      </c>
      <c r="K29" s="308">
        <f>'Sebastien Fleury 2025'!K20</f>
        <v>56</v>
      </c>
      <c r="L29" s="308">
        <f>'Sebastien Fleury 2025'!L20</f>
        <v>0</v>
      </c>
      <c r="M29" s="308">
        <f>'Sebastien Fleury 2025'!M20</f>
        <v>0</v>
      </c>
      <c r="N29" s="308">
        <f>'Sebastien Fleury 2025'!N20</f>
        <v>0</v>
      </c>
      <c r="O29" s="308">
        <f>'Sebastien Fleury 2025'!O20</f>
        <v>0</v>
      </c>
      <c r="P29" s="308">
        <f>'Sebastien Fleury 2025'!P20</f>
        <v>0</v>
      </c>
      <c r="Q29" s="308">
        <f>'Sebastien Fleury 2025'!Q20</f>
        <v>0</v>
      </c>
      <c r="R29" s="308">
        <f>'Sebastien Fleury 2025'!R20</f>
        <v>0</v>
      </c>
      <c r="S29" s="308">
        <f>'Sebastien Fleury 2025'!S20</f>
        <v>0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99">
        <f t="shared" ref="H30" si="17">IFERROR(ROUND(H28/H29,3)," - - -")</f>
        <v>159.77600000000001</v>
      </c>
      <c r="I30" s="217">
        <f t="shared" ref="I30:S30" si="18">IFERROR(ROUND(I28/I29,3)," - - -")</f>
        <v>442.08699999999999</v>
      </c>
      <c r="J30" s="217">
        <f>IFERROR(ROUND(J28/J29,3)," - - -")</f>
        <v>252.84399999999999</v>
      </c>
      <c r="K30" s="299">
        <f t="shared" si="18"/>
        <v>492.25400000000002</v>
      </c>
      <c r="L30" s="217" t="str">
        <f t="shared" si="18"/>
        <v xml:space="preserve"> - - -</v>
      </c>
      <c r="M30" s="217" t="str">
        <f t="shared" si="18"/>
        <v xml:space="preserve"> - - -</v>
      </c>
      <c r="N30" s="217" t="str">
        <f t="shared" si="18"/>
        <v xml:space="preserve"> - - -</v>
      </c>
      <c r="O30" s="217" t="str">
        <f t="shared" si="18"/>
        <v xml:space="preserve"> - - -</v>
      </c>
      <c r="P30" s="326" t="str">
        <f t="shared" si="18"/>
        <v xml:space="preserve"> - - -</v>
      </c>
      <c r="Q30" s="326" t="str">
        <f t="shared" si="18"/>
        <v xml:space="preserve"> - - -</v>
      </c>
      <c r="R30" s="326" t="str">
        <f t="shared" si="18"/>
        <v xml:space="preserve"> - - -</v>
      </c>
      <c r="S30" s="217" t="str">
        <f t="shared" si="18"/>
        <v xml:space="preserve"> - - -</v>
      </c>
    </row>
    <row r="31" spans="2:21" x14ac:dyDescent="0.2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f t="shared" ref="H31:S33" si="19">IF(AND(H$30&gt;=$C31,H$30&lt;=$D31),$E31,0)</f>
        <v>0</v>
      </c>
      <c r="I31" s="183">
        <f t="shared" si="19"/>
        <v>0</v>
      </c>
      <c r="J31" s="183">
        <f t="shared" si="19"/>
        <v>0</v>
      </c>
      <c r="K31" s="183">
        <f t="shared" si="19"/>
        <v>0</v>
      </c>
      <c r="L31" s="183">
        <f t="shared" si="19"/>
        <v>0</v>
      </c>
      <c r="M31" s="183">
        <f t="shared" si="19"/>
        <v>0</v>
      </c>
      <c r="N31" s="183">
        <f t="shared" si="19"/>
        <v>0</v>
      </c>
      <c r="O31" s="183">
        <f t="shared" si="19"/>
        <v>0</v>
      </c>
      <c r="P31" s="183">
        <f t="shared" si="19"/>
        <v>0</v>
      </c>
      <c r="Q31" s="183">
        <f t="shared" si="19"/>
        <v>0</v>
      </c>
      <c r="R31" s="183">
        <f t="shared" si="19"/>
        <v>0</v>
      </c>
      <c r="S31" s="183">
        <f t="shared" si="19"/>
        <v>0</v>
      </c>
    </row>
    <row r="32" spans="2:21" x14ac:dyDescent="0.2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f t="shared" si="19"/>
        <v>0</v>
      </c>
      <c r="I32" s="183">
        <f t="shared" si="19"/>
        <v>125</v>
      </c>
      <c r="J32" s="183">
        <f t="shared" si="19"/>
        <v>0</v>
      </c>
      <c r="K32" s="183">
        <f t="shared" si="19"/>
        <v>125</v>
      </c>
      <c r="L32" s="183">
        <f t="shared" si="19"/>
        <v>0</v>
      </c>
      <c r="M32" s="183">
        <f t="shared" si="19"/>
        <v>0</v>
      </c>
      <c r="N32" s="183">
        <f t="shared" si="19"/>
        <v>0</v>
      </c>
      <c r="O32" s="183">
        <f t="shared" si="19"/>
        <v>0</v>
      </c>
      <c r="P32" s="183">
        <f t="shared" si="19"/>
        <v>0</v>
      </c>
      <c r="Q32" s="183">
        <f t="shared" si="19"/>
        <v>0</v>
      </c>
      <c r="R32" s="183">
        <f t="shared" si="19"/>
        <v>0</v>
      </c>
      <c r="S32" s="183">
        <f t="shared" si="19"/>
        <v>0</v>
      </c>
    </row>
    <row r="33" spans="2:24" x14ac:dyDescent="0.2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f t="shared" si="19"/>
        <v>0</v>
      </c>
      <c r="I33" s="183">
        <f t="shared" si="19"/>
        <v>0</v>
      </c>
      <c r="J33" s="183">
        <f t="shared" si="19"/>
        <v>0</v>
      </c>
      <c r="K33" s="183">
        <f t="shared" si="19"/>
        <v>0</v>
      </c>
      <c r="L33" s="183">
        <f t="shared" si="19"/>
        <v>208.33</v>
      </c>
      <c r="M33" s="183">
        <f t="shared" si="19"/>
        <v>208.33</v>
      </c>
      <c r="N33" s="183">
        <f t="shared" si="19"/>
        <v>208.33</v>
      </c>
      <c r="O33" s="183">
        <f t="shared" si="19"/>
        <v>208.33</v>
      </c>
      <c r="P33" s="183">
        <f t="shared" si="19"/>
        <v>208.33</v>
      </c>
      <c r="Q33" s="183">
        <f t="shared" si="19"/>
        <v>208.33</v>
      </c>
      <c r="R33" s="183">
        <f t="shared" si="19"/>
        <v>208.33</v>
      </c>
      <c r="S33" s="183">
        <f t="shared" si="19"/>
        <v>208.33</v>
      </c>
    </row>
    <row r="34" spans="2:24" x14ac:dyDescent="0.25">
      <c r="B34" s="43"/>
      <c r="C34" s="44"/>
      <c r="D34" s="44"/>
      <c r="E34" s="44"/>
      <c r="F34" s="163"/>
      <c r="G34" s="186" t="s">
        <v>133</v>
      </c>
      <c r="H34" s="216">
        <f t="shared" ref="H34" si="20">SUM(H31:H33)</f>
        <v>0</v>
      </c>
      <c r="I34" s="216">
        <f t="shared" ref="I34:S34" si="21">SUM(I31:I33)</f>
        <v>125</v>
      </c>
      <c r="J34" s="216">
        <f t="shared" si="21"/>
        <v>0</v>
      </c>
      <c r="K34" s="216">
        <f t="shared" si="21"/>
        <v>125</v>
      </c>
      <c r="L34" s="216">
        <f t="shared" si="21"/>
        <v>208.33</v>
      </c>
      <c r="M34" s="216">
        <f t="shared" si="21"/>
        <v>208.33</v>
      </c>
      <c r="N34" s="216">
        <v>125</v>
      </c>
      <c r="O34" s="216">
        <f t="shared" si="21"/>
        <v>208.33</v>
      </c>
      <c r="P34" s="216">
        <f t="shared" si="21"/>
        <v>208.33</v>
      </c>
      <c r="Q34" s="216">
        <f t="shared" si="21"/>
        <v>208.33</v>
      </c>
      <c r="R34" s="216">
        <f t="shared" si="21"/>
        <v>208.33</v>
      </c>
      <c r="S34" s="216">
        <f t="shared" si="21"/>
        <v>208.33</v>
      </c>
    </row>
    <row r="35" spans="2:24" x14ac:dyDescent="0.25">
      <c r="V35" s="198"/>
    </row>
    <row r="36" spans="2:24" ht="15.75" thickBot="1" x14ac:dyDescent="0.3">
      <c r="G36" s="197" t="s">
        <v>140</v>
      </c>
      <c r="H36" s="273">
        <f t="shared" ref="H36:I36" si="22">+H34+H26+H18+H10</f>
        <v>1383.3854577288644</v>
      </c>
      <c r="I36" s="273">
        <f t="shared" si="22"/>
        <v>1170.2943643643644</v>
      </c>
      <c r="J36" s="273">
        <f>+J34+J26+J18+J10</f>
        <v>1396.3611105552777</v>
      </c>
      <c r="K36" s="273">
        <f t="shared" ref="K36:S36" si="23">+K34+K26+K18+K10</f>
        <v>864.59221110555291</v>
      </c>
      <c r="L36" s="273">
        <f t="shared" si="23"/>
        <v>1708.3400000000001</v>
      </c>
      <c r="M36" s="273">
        <f t="shared" si="23"/>
        <v>1708.3400000000001</v>
      </c>
      <c r="N36" s="273">
        <f t="shared" si="23"/>
        <v>1625.0100000000002</v>
      </c>
      <c r="O36" s="273">
        <f t="shared" si="23"/>
        <v>1708.3400000000001</v>
      </c>
      <c r="P36" s="273">
        <f t="shared" si="23"/>
        <v>1708.3400000000001</v>
      </c>
      <c r="Q36" s="273">
        <f t="shared" ref="Q36" si="24">+Q34+Q26+Q18+Q10</f>
        <v>1708.3400000000001</v>
      </c>
      <c r="R36" s="273">
        <f t="shared" si="23"/>
        <v>1708.3400000000001</v>
      </c>
      <c r="S36" s="273">
        <f t="shared" si="23"/>
        <v>1708.3400000000001</v>
      </c>
      <c r="X36" s="292"/>
    </row>
    <row r="37" spans="2:24" ht="15.75" thickTop="1" x14ac:dyDescent="0.25"/>
  </sheetData>
  <pageMargins left="0.7" right="0.7" top="0.75" bottom="0.75" header="0.3" footer="0.3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1.14062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1" width="11.42578125" style="40" hidden="1" customWidth="1"/>
    <col min="12" max="12" width="11.42578125" style="40" customWidth="1"/>
    <col min="13" max="13" width="12.140625" style="40" bestFit="1" customWidth="1"/>
    <col min="14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5" x14ac:dyDescent="0.2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25"/>
    <row r="3" spans="2:25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2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25">
      <c r="B5" s="280" t="s">
        <v>236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230</v>
      </c>
      <c r="W5" s="146">
        <f>SUM(H5:J5)</f>
        <v>490912.80743085477</v>
      </c>
    </row>
    <row r="6" spans="2:25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2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2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2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2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2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2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25">
      <c r="B13" s="280" t="s">
        <v>236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2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2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2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2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2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25">
      <c r="B19"/>
    </row>
    <row r="20" spans="2:25" x14ac:dyDescent="0.25">
      <c r="B20" s="10" t="s">
        <v>237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25">
      <c r="B21" s="280" t="s">
        <v>236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2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2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2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2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2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25">
      <c r="B27"/>
    </row>
    <row r="28" spans="2:25" ht="8.25" customHeight="1" x14ac:dyDescent="0.25"/>
    <row r="29" spans="2:25" ht="15.75" thickBot="1" x14ac:dyDescent="0.3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.75" thickTop="1" x14ac:dyDescent="0.25">
      <c r="B30" s="281" t="s">
        <v>137</v>
      </c>
    </row>
    <row r="31" spans="2:25" x14ac:dyDescent="0.25">
      <c r="B31" s="388" t="s">
        <v>246</v>
      </c>
      <c r="C31" s="389"/>
      <c r="D31" s="389"/>
      <c r="E31" s="389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25">
      <c r="B32" s="390"/>
      <c r="C32" s="391"/>
      <c r="D32" s="391"/>
      <c r="E32" s="391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2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2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2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2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2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25">
      <c r="B39" s="10" t="s">
        <v>247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2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2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2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3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.75" thickTop="1" x14ac:dyDescent="0.25"/>
    <row r="47" spans="2:19" ht="15.75" thickBot="1" x14ac:dyDescent="0.3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.75" thickTop="1" x14ac:dyDescent="0.25"/>
    <row r="50" spans="9:18" x14ac:dyDescent="0.25">
      <c r="I50" s="40" t="s">
        <v>72</v>
      </c>
      <c r="J50" s="311" t="e">
        <f>#REF!</f>
        <v>#REF!</v>
      </c>
    </row>
    <row r="51" spans="9:18" x14ac:dyDescent="0.25">
      <c r="I51" s="40" t="s">
        <v>249</v>
      </c>
      <c r="J51" s="311" t="e">
        <f>#REF!</f>
        <v>#REF!</v>
      </c>
    </row>
    <row r="52" spans="9:18" x14ac:dyDescent="0.25">
      <c r="I52" s="40" t="s">
        <v>250</v>
      </c>
      <c r="J52" s="311">
        <f>-(SOMMAIRE!B13+SOMMAIRE!B14)</f>
        <v>-13000</v>
      </c>
      <c r="R52"/>
    </row>
    <row r="53" spans="9:18" x14ac:dyDescent="0.25">
      <c r="I53" s="139" t="s">
        <v>78</v>
      </c>
      <c r="J53" s="313" t="e">
        <f>SUM(J50:J52)</f>
        <v>#REF!</v>
      </c>
    </row>
    <row r="55" spans="9:18" x14ac:dyDescent="0.25">
      <c r="I55" s="40" t="s">
        <v>72</v>
      </c>
      <c r="J55" s="311" t="e">
        <f>#REF!</f>
        <v>#REF!</v>
      </c>
    </row>
    <row r="56" spans="9:18" x14ac:dyDescent="0.25">
      <c r="I56" s="40" t="s">
        <v>249</v>
      </c>
      <c r="J56" s="311" t="e">
        <f>#REF!</f>
        <v>#REF!</v>
      </c>
    </row>
    <row r="57" spans="9:18" x14ac:dyDescent="0.25">
      <c r="I57" s="139" t="s">
        <v>2</v>
      </c>
      <c r="J57" s="313" t="e">
        <f>SUM(J55:J56)</f>
        <v>#REF!</v>
      </c>
    </row>
    <row r="59" spans="9:18" x14ac:dyDescent="0.25">
      <c r="I59" s="40" t="s">
        <v>251</v>
      </c>
      <c r="J59" s="311" t="e">
        <f>J53-+J57</f>
        <v>#REF!</v>
      </c>
    </row>
    <row r="60" spans="9:18" x14ac:dyDescent="0.2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1.7109375" style="40" customWidth="1"/>
    <col min="3" max="5" width="10.7109375" style="40" customWidth="1"/>
    <col min="6" max="6" width="10.5703125" style="40" bestFit="1" customWidth="1"/>
    <col min="7" max="7" width="1.7109375" style="40" customWidth="1"/>
    <col min="8" max="15" width="11.42578125" style="40" hidden="1" customWidth="1"/>
    <col min="16" max="16" width="11.42578125" style="40" customWidth="1"/>
    <col min="17" max="19" width="11.42578125" style="40" hidden="1" customWidth="1"/>
    <col min="20" max="20" width="4.28515625" style="40" customWidth="1"/>
    <col min="21" max="16384" width="11.42578125" style="40"/>
  </cols>
  <sheetData>
    <row r="1" spans="2:21" x14ac:dyDescent="0.25">
      <c r="B1" s="167" t="s">
        <v>223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45" customHeight="1" x14ac:dyDescent="0.25">
      <c r="B4" s="401" t="s">
        <v>222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232</v>
      </c>
    </row>
    <row r="5" spans="2:21" x14ac:dyDescent="0.25">
      <c r="B5" s="402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227</v>
      </c>
      <c r="N5" s="288" t="s">
        <v>225</v>
      </c>
      <c r="O5" s="288" t="s">
        <v>225</v>
      </c>
      <c r="P5" s="288" t="s">
        <v>227</v>
      </c>
      <c r="Q5" s="288"/>
      <c r="R5" s="288"/>
      <c r="S5" s="288"/>
    </row>
    <row r="6" spans="2:21" x14ac:dyDescent="0.25">
      <c r="B6" s="402"/>
      <c r="C6" s="289">
        <v>125</v>
      </c>
      <c r="D6" s="289">
        <v>134.99</v>
      </c>
      <c r="E6" s="182" t="s">
        <v>226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25">
      <c r="B7" s="402"/>
      <c r="C7" s="289">
        <v>135</v>
      </c>
      <c r="D7" s="289">
        <v>149.99</v>
      </c>
      <c r="E7" s="182" t="s">
        <v>227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25">
      <c r="B8" s="45"/>
      <c r="C8" s="403" t="s">
        <v>229</v>
      </c>
      <c r="D8" s="404"/>
      <c r="E8" s="182" t="s">
        <v>225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2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45" customHeight="1" x14ac:dyDescent="0.25">
      <c r="B11" s="401" t="s">
        <v>224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25">
      <c r="B12" s="402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225</v>
      </c>
      <c r="N12" s="288"/>
      <c r="O12" s="288" t="s">
        <v>225</v>
      </c>
      <c r="P12" s="288" t="s">
        <v>225</v>
      </c>
      <c r="Q12" s="288"/>
      <c r="R12" s="288"/>
      <c r="S12" s="288"/>
    </row>
    <row r="13" spans="2:21" x14ac:dyDescent="0.25">
      <c r="B13" s="402"/>
      <c r="C13" s="289">
        <v>45</v>
      </c>
      <c r="D13" s="289">
        <v>54.99</v>
      </c>
      <c r="E13" s="182" t="s">
        <v>226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25">
      <c r="B14" s="402"/>
      <c r="C14" s="289">
        <v>55</v>
      </c>
      <c r="D14" s="289">
        <v>64.989999999999995</v>
      </c>
      <c r="E14" s="182" t="s">
        <v>227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25">
      <c r="B15" s="45"/>
      <c r="C15" s="403" t="s">
        <v>228</v>
      </c>
      <c r="D15" s="404"/>
      <c r="E15" s="182" t="s">
        <v>225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2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.75" thickBot="1" x14ac:dyDescent="0.3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.75" thickTop="1" x14ac:dyDescent="0.2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3" width="11.42578125" style="40" hidden="1" customWidth="1"/>
    <col min="14" max="19" width="11.42578125" style="40" customWidth="1"/>
    <col min="20" max="20" width="11.42578125" style="40"/>
    <col min="21" max="21" width="16" style="40" bestFit="1" customWidth="1"/>
    <col min="22" max="16384" width="11.42578125" style="40"/>
  </cols>
  <sheetData>
    <row r="1" spans="2:21" x14ac:dyDescent="0.2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220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221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2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2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2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2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2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2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2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2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2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2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2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2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25">
      <c r="B23" s="170"/>
    </row>
    <row r="24" spans="2:21" x14ac:dyDescent="0.2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2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2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2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2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2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2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2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.75" thickBot="1" x14ac:dyDescent="0.3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.75" thickTop="1" x14ac:dyDescent="0.25">
      <c r="B34" s="170" t="s">
        <v>137</v>
      </c>
    </row>
    <row r="35" spans="2:19" x14ac:dyDescent="0.2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2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2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2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2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2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2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2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2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2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2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2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2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2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2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2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.75" thickBot="1" x14ac:dyDescent="0.3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.75" thickTop="1" x14ac:dyDescent="0.25"/>
    <row r="54" spans="2:19" ht="15.75" thickBot="1" x14ac:dyDescent="0.3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.75" thickTop="1" x14ac:dyDescent="0.25"/>
  </sheetData>
  <pageMargins left="0.7" right="0.7" top="0.75" bottom="0.75" header="0.3" footer="0.3"/>
  <pageSetup scale="6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9" width="11.42578125" style="40" customWidth="1"/>
    <col min="20" max="16384" width="11.42578125" style="40"/>
  </cols>
  <sheetData>
    <row r="1" spans="2:19" x14ac:dyDescent="0.2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2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2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2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2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2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2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2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25"/>
    <row r="28" spans="2:19" ht="15.75" thickBot="1" x14ac:dyDescent="0.3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.75" thickTop="1" x14ac:dyDescent="0.25">
      <c r="B29" s="170" t="s">
        <v>137</v>
      </c>
    </row>
    <row r="30" spans="2:19" x14ac:dyDescent="0.2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2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2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2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2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2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2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3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.75" thickTop="1" x14ac:dyDescent="0.25"/>
    <row r="39" spans="2:19" ht="15.75" thickBot="1" x14ac:dyDescent="0.3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2578125" defaultRowHeight="15" x14ac:dyDescent="0.25"/>
  <cols>
    <col min="1" max="1" width="4.140625" style="40" customWidth="1"/>
    <col min="2" max="2" width="33.140625" style="40" customWidth="1"/>
    <col min="3" max="5" width="11.42578125" style="40"/>
    <col min="6" max="6" width="3.5703125" style="40" customWidth="1"/>
    <col min="7" max="7" width="11.42578125" style="40"/>
    <col min="8" max="15" width="13.5703125" style="40" hidden="1" customWidth="1"/>
    <col min="16" max="17" width="13.5703125" style="40" customWidth="1"/>
    <col min="18" max="16384" width="11.42578125" style="40"/>
  </cols>
  <sheetData>
    <row r="1" spans="2:17" x14ac:dyDescent="0.25">
      <c r="B1" s="139" t="s">
        <v>116</v>
      </c>
    </row>
    <row r="2" spans="2:17" x14ac:dyDescent="0.2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2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2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2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2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2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2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2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2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2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2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2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2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2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2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2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2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2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2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2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.75" thickBot="1" x14ac:dyDescent="0.3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.75" thickTop="1" x14ac:dyDescent="0.2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25">
      <c r="G26" s="40" t="s">
        <v>198</v>
      </c>
      <c r="Q26" s="239">
        <v>-500</v>
      </c>
    </row>
    <row r="27" spans="2:17" ht="15.75" thickBot="1" x14ac:dyDescent="0.3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.75" thickTop="1" x14ac:dyDescent="0.25"/>
    <row r="30" spans="2:17" x14ac:dyDescent="0.2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.75" thickBot="1" x14ac:dyDescent="0.3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6.5" thickTop="1" thickBot="1" x14ac:dyDescent="0.3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.75" thickTop="1" x14ac:dyDescent="0.2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2578125" defaultRowHeight="15" customHeight="1" x14ac:dyDescent="0.2"/>
  <cols>
    <col min="1" max="1" width="25" style="51" customWidth="1"/>
    <col min="2" max="2" width="13.85546875" style="51" customWidth="1"/>
    <col min="3" max="3" width="12.85546875" style="51" customWidth="1"/>
    <col min="4" max="4" width="15.42578125" style="51" customWidth="1"/>
    <col min="5" max="5" width="15.28515625" style="51" customWidth="1"/>
    <col min="6" max="6" width="13" style="51" bestFit="1" customWidth="1"/>
    <col min="7" max="7" width="11.85546875" style="51" customWidth="1"/>
    <col min="8" max="8" width="13" style="51" bestFit="1" customWidth="1"/>
    <col min="9" max="9" width="13.28515625" style="51" customWidth="1"/>
    <col min="10" max="10" width="12.28515625" style="51" customWidth="1"/>
    <col min="11" max="12" width="11.28515625" style="51" bestFit="1" customWidth="1"/>
    <col min="13" max="13" width="12.28515625" style="51" bestFit="1" customWidth="1"/>
    <col min="14" max="24" width="10" style="51" customWidth="1"/>
    <col min="25" max="16384" width="14.42578125" style="51"/>
  </cols>
  <sheetData>
    <row r="1" spans="1:17" ht="12.75" customHeight="1" x14ac:dyDescent="0.2">
      <c r="A1" s="153" t="s">
        <v>81</v>
      </c>
      <c r="B1" s="154"/>
      <c r="C1" s="154"/>
      <c r="D1" s="154"/>
      <c r="E1" s="154"/>
      <c r="F1" s="50"/>
    </row>
    <row r="2" spans="1:17" ht="12.75" customHeight="1" x14ac:dyDescent="0.2">
      <c r="A2" s="153" t="s">
        <v>105</v>
      </c>
      <c r="B2" s="154"/>
      <c r="C2" s="154"/>
      <c r="D2" s="154"/>
      <c r="E2" s="154"/>
      <c r="F2" s="50"/>
    </row>
    <row r="3" spans="1:17" ht="12.75" customHeight="1" x14ac:dyDescent="0.2">
      <c r="A3" s="153" t="s">
        <v>103</v>
      </c>
      <c r="B3" s="154"/>
      <c r="C3" s="154"/>
      <c r="D3" s="154"/>
      <c r="E3" s="154"/>
    </row>
    <row r="4" spans="1:17" ht="5.25" customHeight="1" x14ac:dyDescent="0.2">
      <c r="B4" s="52"/>
      <c r="D4" s="52"/>
      <c r="E4" s="52"/>
    </row>
    <row r="5" spans="1:17" ht="5.25" customHeight="1" x14ac:dyDescent="0.2">
      <c r="E5" s="52"/>
    </row>
    <row r="6" spans="1:17" ht="8.25" customHeight="1" x14ac:dyDescent="0.2">
      <c r="A6" s="165"/>
      <c r="B6" s="52"/>
      <c r="D6" s="52"/>
      <c r="E6" s="52"/>
    </row>
    <row r="7" spans="1:17" ht="8.25" customHeight="1" x14ac:dyDescent="0.2">
      <c r="A7" s="54"/>
      <c r="B7" s="54"/>
      <c r="C7" s="50"/>
      <c r="D7" s="50"/>
      <c r="E7" s="55"/>
    </row>
    <row r="8" spans="1:17" ht="12.75" customHeight="1" x14ac:dyDescent="0.25">
      <c r="B8" s="405" t="s">
        <v>71</v>
      </c>
      <c r="C8" s="406"/>
      <c r="D8" s="406"/>
      <c r="E8" s="52"/>
      <c r="G8" s="405"/>
      <c r="H8" s="406"/>
      <c r="I8" s="406"/>
    </row>
    <row r="9" spans="1:17" ht="5.25" customHeight="1" x14ac:dyDescent="0.2">
      <c r="B9" s="56"/>
      <c r="C9" s="56"/>
      <c r="D9" s="56"/>
      <c r="E9" s="57"/>
    </row>
    <row r="10" spans="1:17" ht="5.25" customHeight="1" x14ac:dyDescent="0.2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2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2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2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2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2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2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2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2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2">
      <c r="A22" s="60"/>
      <c r="B22" s="130"/>
      <c r="C22" s="130"/>
      <c r="D22" s="130"/>
      <c r="G22" s="122"/>
      <c r="H22" s="122"/>
      <c r="I22" s="126"/>
    </row>
    <row r="23" spans="1:14" ht="12.75" customHeight="1" x14ac:dyDescent="0.2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2">
      <c r="D24" s="152"/>
    </row>
    <row r="25" spans="1:14" ht="12.75" customHeight="1" thickBot="1" x14ac:dyDescent="0.2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2">
      <c r="A26" s="50"/>
      <c r="B26" s="58"/>
      <c r="C26" s="50"/>
      <c r="D26" s="152"/>
      <c r="E26" s="58"/>
    </row>
    <row r="27" spans="1:14" ht="12.75" customHeight="1" x14ac:dyDescent="0.2">
      <c r="A27" s="60"/>
      <c r="B27" s="58"/>
      <c r="C27" s="50"/>
      <c r="D27" s="50"/>
      <c r="E27" s="58"/>
    </row>
    <row r="28" spans="1:14" ht="12.75" customHeight="1" x14ac:dyDescent="0.2">
      <c r="A28" s="60"/>
      <c r="B28" s="58"/>
      <c r="C28" s="50"/>
      <c r="D28" s="50"/>
      <c r="E28" s="407"/>
      <c r="F28" s="406"/>
      <c r="G28" s="122"/>
    </row>
    <row r="29" spans="1:14" ht="12.75" customHeight="1" x14ac:dyDescent="0.2">
      <c r="A29" s="60"/>
      <c r="B29" s="58"/>
      <c r="C29" s="50"/>
      <c r="D29" s="50"/>
      <c r="E29" s="58"/>
    </row>
    <row r="30" spans="1:14" ht="12.75" customHeight="1" x14ac:dyDescent="0.2">
      <c r="A30" s="60"/>
      <c r="B30" s="58"/>
      <c r="C30" s="50"/>
      <c r="D30" s="50"/>
      <c r="E30" s="58"/>
    </row>
    <row r="31" spans="1:14" ht="12.75" customHeight="1" x14ac:dyDescent="0.2"/>
    <row r="32" spans="1:14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>
      <c r="A36" s="54"/>
      <c r="B36" s="54"/>
      <c r="C36" s="50"/>
      <c r="D36" s="50"/>
      <c r="E36" s="58"/>
    </row>
    <row r="37" spans="1:5" ht="12.75" customHeight="1" x14ac:dyDescent="0.2">
      <c r="E37" s="52"/>
    </row>
    <row r="38" spans="1:5" ht="12.75" customHeight="1" x14ac:dyDescent="0.2">
      <c r="E38" s="52"/>
    </row>
    <row r="39" spans="1:5" ht="12.75" customHeight="1" x14ac:dyDescent="0.2">
      <c r="E39" s="52"/>
    </row>
    <row r="40" spans="1:5" ht="12.75" customHeight="1" x14ac:dyDescent="0.2">
      <c r="E40" s="52"/>
    </row>
    <row r="41" spans="1:5" ht="12.75" customHeight="1" x14ac:dyDescent="0.2">
      <c r="E41" s="52"/>
    </row>
    <row r="42" spans="1:5" ht="12.75" customHeight="1" x14ac:dyDescent="0.2">
      <c r="E42" s="52"/>
    </row>
    <row r="43" spans="1:5" ht="12.75" customHeight="1" x14ac:dyDescent="0.2">
      <c r="E43" s="52"/>
    </row>
    <row r="44" spans="1:5" ht="12.75" customHeight="1" x14ac:dyDescent="0.2">
      <c r="E44" s="52"/>
    </row>
    <row r="45" spans="1:5" ht="12.75" customHeight="1" x14ac:dyDescent="0.2">
      <c r="E45" s="52"/>
    </row>
    <row r="46" spans="1:5" ht="12.75" customHeight="1" x14ac:dyDescent="0.2">
      <c r="E46" s="52"/>
    </row>
    <row r="47" spans="1:5" ht="12.75" customHeight="1" x14ac:dyDescent="0.2">
      <c r="E47" s="52"/>
    </row>
    <row r="48" spans="1:5" ht="12.75" customHeight="1" x14ac:dyDescent="0.2">
      <c r="A48" s="50"/>
      <c r="B48" s="50"/>
      <c r="C48" s="50"/>
      <c r="D48" s="50"/>
      <c r="E48" s="55"/>
    </row>
    <row r="49" spans="1:1" ht="12.75" customHeight="1" x14ac:dyDescent="0.2">
      <c r="A49" s="61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outlineLevelCol="1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2" width="11.42578125" style="40" customWidth="1"/>
    <col min="13" max="19" width="11.42578125" style="40" customWidth="1" outlineLevel="1"/>
    <col min="20" max="16384" width="11.42578125" style="40"/>
  </cols>
  <sheetData>
    <row r="1" spans="2:21" x14ac:dyDescent="0.2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2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2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25"/>
    <row r="20" spans="2:21" x14ac:dyDescent="0.2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2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2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2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25"/>
    <row r="28" spans="2:21" x14ac:dyDescent="0.2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2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2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2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3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.75" thickTop="1" x14ac:dyDescent="0.25"/>
  </sheetData>
  <pageMargins left="0.7" right="0.7" top="0.75" bottom="0.75" header="0.3" footer="0.3"/>
  <pageSetup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2578125" defaultRowHeight="15" x14ac:dyDescent="0.25"/>
  <cols>
    <col min="1" max="1" width="38.140625" customWidth="1"/>
  </cols>
  <sheetData>
    <row r="1" spans="1:22" x14ac:dyDescent="0.25">
      <c r="A1" s="1" t="str">
        <f ca="1">RIGHT(CELL("filename",A1),LEN(CELL("filename",A1))-SEARCH("]",CELL("filename",A1)))</f>
        <v>H2</v>
      </c>
      <c r="B1" s="430" t="s">
        <v>3</v>
      </c>
      <c r="C1" s="422"/>
      <c r="D1" s="423"/>
      <c r="E1" s="430" t="s">
        <v>4</v>
      </c>
      <c r="F1" s="422"/>
      <c r="G1" s="423"/>
      <c r="H1" s="430" t="s">
        <v>9</v>
      </c>
      <c r="I1" s="422"/>
      <c r="J1" s="423"/>
      <c r="K1" s="430" t="s">
        <v>5</v>
      </c>
      <c r="L1" s="422"/>
      <c r="M1" s="423"/>
      <c r="N1" s="430" t="s">
        <v>6</v>
      </c>
      <c r="O1" s="422"/>
      <c r="P1" s="423"/>
      <c r="Q1" s="430" t="s">
        <v>10</v>
      </c>
      <c r="R1" s="422"/>
      <c r="S1" s="423"/>
      <c r="T1" s="430" t="s">
        <v>11</v>
      </c>
      <c r="U1" s="422"/>
      <c r="V1" s="423"/>
    </row>
    <row r="2" spans="1:22" x14ac:dyDescent="0.25">
      <c r="A2" s="2" t="s">
        <v>12</v>
      </c>
    </row>
    <row r="3" spans="1:22" x14ac:dyDescent="0.25">
      <c r="A3" s="2" t="s">
        <v>13</v>
      </c>
    </row>
    <row r="4" spans="1:22" x14ac:dyDescent="0.25">
      <c r="A4" s="3" t="s">
        <v>14</v>
      </c>
      <c r="B4" s="431">
        <v>0.8</v>
      </c>
      <c r="C4" s="432"/>
      <c r="D4" s="433"/>
      <c r="E4" s="431">
        <v>0.8</v>
      </c>
      <c r="F4" s="432"/>
      <c r="G4" s="433"/>
      <c r="H4" s="431">
        <v>0.8</v>
      </c>
      <c r="I4" s="432"/>
      <c r="J4" s="433"/>
      <c r="K4" s="431">
        <v>0.85</v>
      </c>
      <c r="L4" s="432"/>
      <c r="M4" s="433"/>
      <c r="N4" s="431">
        <v>0.85</v>
      </c>
      <c r="O4" s="432"/>
      <c r="P4" s="433"/>
      <c r="Q4" s="431">
        <v>0.85</v>
      </c>
      <c r="R4" s="432"/>
      <c r="S4" s="433"/>
    </row>
    <row r="5" spans="1:22" x14ac:dyDescent="0.25">
      <c r="A5" s="4" t="s">
        <v>15</v>
      </c>
      <c r="B5" s="427">
        <v>0.9</v>
      </c>
      <c r="C5" s="428"/>
      <c r="D5" s="429"/>
      <c r="E5" s="427">
        <v>0.9</v>
      </c>
      <c r="F5" s="428"/>
      <c r="G5" s="429"/>
      <c r="H5" s="427">
        <v>0.9</v>
      </c>
      <c r="I5" s="428"/>
      <c r="J5" s="429"/>
      <c r="K5" s="427">
        <v>0.9</v>
      </c>
      <c r="L5" s="428"/>
      <c r="M5" s="429"/>
      <c r="N5" s="427">
        <v>0.9</v>
      </c>
      <c r="O5" s="428"/>
      <c r="P5" s="429"/>
      <c r="Q5" s="427">
        <v>0.9</v>
      </c>
      <c r="R5" s="428"/>
      <c r="S5" s="429"/>
    </row>
    <row r="6" spans="1:22" x14ac:dyDescent="0.25">
      <c r="A6" s="4" t="s">
        <v>16</v>
      </c>
      <c r="B6" s="427">
        <v>0.9</v>
      </c>
      <c r="C6" s="428"/>
      <c r="D6" s="429"/>
      <c r="E6" s="427">
        <v>0.9</v>
      </c>
      <c r="F6" s="428"/>
      <c r="G6" s="429"/>
      <c r="H6" s="427">
        <v>0.9</v>
      </c>
      <c r="I6" s="428"/>
      <c r="J6" s="429"/>
      <c r="K6" s="427">
        <v>0.9</v>
      </c>
      <c r="L6" s="428"/>
      <c r="M6" s="429"/>
      <c r="N6" s="427">
        <v>0.9</v>
      </c>
      <c r="O6" s="428"/>
      <c r="P6" s="429"/>
      <c r="Q6" s="427">
        <v>0.9</v>
      </c>
      <c r="R6" s="428"/>
      <c r="S6" s="429"/>
    </row>
    <row r="7" spans="1:22" x14ac:dyDescent="0.25">
      <c r="A7" s="4" t="s">
        <v>17</v>
      </c>
      <c r="B7" s="427">
        <v>0.9</v>
      </c>
      <c r="C7" s="428"/>
      <c r="D7" s="429"/>
      <c r="E7" s="427">
        <v>0.9</v>
      </c>
      <c r="F7" s="428"/>
      <c r="G7" s="429"/>
      <c r="H7" s="427">
        <v>0.9</v>
      </c>
      <c r="I7" s="428"/>
      <c r="J7" s="429"/>
      <c r="K7" s="427">
        <v>0.9</v>
      </c>
      <c r="L7" s="428"/>
      <c r="M7" s="429"/>
      <c r="N7" s="427">
        <v>0.9</v>
      </c>
      <c r="O7" s="428"/>
      <c r="P7" s="429"/>
      <c r="Q7" s="427">
        <v>0.9</v>
      </c>
      <c r="R7" s="428"/>
      <c r="S7" s="429"/>
    </row>
    <row r="8" spans="1:22" x14ac:dyDescent="0.25">
      <c r="A8" s="4" t="s">
        <v>18</v>
      </c>
      <c r="B8" s="427">
        <v>0.8</v>
      </c>
      <c r="C8" s="428"/>
      <c r="D8" s="429"/>
      <c r="E8" s="427">
        <v>0.8</v>
      </c>
      <c r="F8" s="428"/>
      <c r="G8" s="429"/>
      <c r="H8" s="427">
        <v>0.8</v>
      </c>
      <c r="I8" s="428"/>
      <c r="J8" s="429"/>
      <c r="K8" s="427">
        <v>0.8</v>
      </c>
      <c r="L8" s="428"/>
      <c r="M8" s="429"/>
      <c r="N8" s="427">
        <v>0.8</v>
      </c>
      <c r="O8" s="428"/>
      <c r="P8" s="429"/>
      <c r="Q8" s="427">
        <v>0.8</v>
      </c>
      <c r="R8" s="428"/>
      <c r="S8" s="429"/>
    </row>
    <row r="9" spans="1:22" x14ac:dyDescent="0.25">
      <c r="A9" s="4" t="s">
        <v>19</v>
      </c>
      <c r="B9" s="427">
        <v>0.85</v>
      </c>
      <c r="C9" s="428"/>
      <c r="D9" s="429"/>
      <c r="E9" s="427">
        <v>0.85</v>
      </c>
      <c r="F9" s="428"/>
      <c r="G9" s="429"/>
      <c r="H9" s="427">
        <v>0.85</v>
      </c>
      <c r="I9" s="428"/>
      <c r="J9" s="429"/>
      <c r="K9" s="427">
        <v>0.85</v>
      </c>
      <c r="L9" s="428"/>
      <c r="M9" s="429"/>
      <c r="N9" s="427">
        <v>0.85</v>
      </c>
      <c r="O9" s="428"/>
      <c r="P9" s="429"/>
      <c r="Q9" s="427">
        <v>0.85</v>
      </c>
      <c r="R9" s="428"/>
      <c r="S9" s="429"/>
    </row>
    <row r="10" spans="1:22" x14ac:dyDescent="0.25">
      <c r="A10" s="5" t="s">
        <v>20</v>
      </c>
      <c r="B10" s="424">
        <v>0.70000000000000007</v>
      </c>
      <c r="C10" s="425"/>
      <c r="D10" s="426"/>
      <c r="E10" s="424">
        <v>0.70000000000000007</v>
      </c>
      <c r="F10" s="425"/>
      <c r="G10" s="426"/>
      <c r="H10" s="424">
        <v>0.70000000000000007</v>
      </c>
      <c r="I10" s="425"/>
      <c r="J10" s="426"/>
      <c r="K10" s="424">
        <v>0.75</v>
      </c>
      <c r="L10" s="425"/>
      <c r="M10" s="426"/>
      <c r="N10" s="424">
        <v>0.75</v>
      </c>
      <c r="O10" s="425"/>
      <c r="P10" s="426"/>
      <c r="Q10" s="424">
        <v>0.75</v>
      </c>
      <c r="R10" s="425"/>
      <c r="S10" s="426"/>
    </row>
    <row r="12" spans="1:22" x14ac:dyDescent="0.2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2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2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2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2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2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2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2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2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2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2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2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2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2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2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2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2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2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2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2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25">
      <c r="A35" s="36" t="s">
        <v>40</v>
      </c>
      <c r="B35" s="408">
        <f>+C33+C30+D25+D18</f>
        <v>792533.04123695451</v>
      </c>
      <c r="C35" s="409"/>
      <c r="D35" s="410"/>
      <c r="E35" s="408">
        <f t="shared" ref="E35" si="87">+F33+F30+G25+G18</f>
        <v>809320.23832694103</v>
      </c>
      <c r="F35" s="409"/>
      <c r="G35" s="410"/>
      <c r="H35" s="408">
        <f t="shared" ref="H35" si="88">+I33+I30+J25+J18</f>
        <v>786732.52244247077</v>
      </c>
      <c r="I35" s="409"/>
      <c r="J35" s="410"/>
      <c r="K35" s="408">
        <f t="shared" ref="K35" si="89">+L33+L30+M25+M18</f>
        <v>1010220.4984475467</v>
      </c>
      <c r="L35" s="409"/>
      <c r="M35" s="410"/>
      <c r="N35" s="408">
        <f t="shared" ref="N35" si="90">+O33+O30+P25+P18</f>
        <v>1073846.8511910052</v>
      </c>
      <c r="O35" s="409"/>
      <c r="P35" s="410"/>
      <c r="Q35" s="408">
        <f t="shared" ref="Q35" si="91">+R33+R30+S25+S18</f>
        <v>713733.8899849765</v>
      </c>
      <c r="R35" s="409"/>
      <c r="S35" s="410"/>
      <c r="T35" s="408">
        <f t="shared" ref="T35" si="92">+U33+U30+V25+V18</f>
        <v>5186387.0416298956</v>
      </c>
      <c r="U35" s="409"/>
      <c r="V35" s="410"/>
    </row>
    <row r="37" spans="1:22" x14ac:dyDescent="0.25">
      <c r="A37" s="2" t="s">
        <v>41</v>
      </c>
    </row>
    <row r="38" spans="1:22" x14ac:dyDescent="0.25">
      <c r="A38" s="3" t="s">
        <v>42</v>
      </c>
      <c r="B38" s="411">
        <v>74290</v>
      </c>
      <c r="C38" s="411"/>
      <c r="D38" s="412"/>
      <c r="E38" s="411">
        <v>77290</v>
      </c>
      <c r="F38" s="411"/>
      <c r="G38" s="412"/>
      <c r="H38" s="411">
        <v>83050</v>
      </c>
      <c r="I38" s="411"/>
      <c r="J38" s="412"/>
      <c r="K38" s="411">
        <v>79000</v>
      </c>
      <c r="L38" s="411"/>
      <c r="M38" s="412"/>
      <c r="N38" s="411">
        <v>76435</v>
      </c>
      <c r="O38" s="411"/>
      <c r="P38" s="412"/>
      <c r="Q38" s="411">
        <v>62725</v>
      </c>
      <c r="R38" s="411"/>
      <c r="S38" s="412"/>
      <c r="T38" s="411">
        <f t="shared" ref="T38:V43" si="93">+SUM(B38,E38,H38,K38,N38,Q38)</f>
        <v>452790</v>
      </c>
      <c r="U38" s="411">
        <f t="shared" si="93"/>
        <v>0</v>
      </c>
      <c r="V38" s="412">
        <f t="shared" si="93"/>
        <v>0</v>
      </c>
    </row>
    <row r="39" spans="1:22" x14ac:dyDescent="0.25">
      <c r="A39" s="4" t="s">
        <v>43</v>
      </c>
      <c r="B39" s="417">
        <v>42010.650000000009</v>
      </c>
      <c r="C39" s="417"/>
      <c r="D39" s="418"/>
      <c r="E39" s="417">
        <v>44939.070000000007</v>
      </c>
      <c r="F39" s="417"/>
      <c r="G39" s="418"/>
      <c r="H39" s="417">
        <v>49928.670000000006</v>
      </c>
      <c r="I39" s="417"/>
      <c r="J39" s="418"/>
      <c r="K39" s="417">
        <v>46173.105000000003</v>
      </c>
      <c r="L39" s="417"/>
      <c r="M39" s="418"/>
      <c r="N39" s="417">
        <v>43868.756250000006</v>
      </c>
      <c r="O39" s="417"/>
      <c r="P39" s="418"/>
      <c r="Q39" s="417">
        <v>30921.041250000006</v>
      </c>
      <c r="R39" s="417"/>
      <c r="S39" s="418"/>
      <c r="T39" s="417">
        <f t="shared" si="93"/>
        <v>257841.29250000004</v>
      </c>
      <c r="U39" s="417">
        <f t="shared" si="93"/>
        <v>0</v>
      </c>
      <c r="V39" s="418">
        <f t="shared" si="93"/>
        <v>0</v>
      </c>
    </row>
    <row r="40" spans="1:22" x14ac:dyDescent="0.25">
      <c r="A40" s="4" t="s">
        <v>44</v>
      </c>
      <c r="B40" s="417">
        <v>46992</v>
      </c>
      <c r="C40" s="417"/>
      <c r="D40" s="418"/>
      <c r="E40" s="417">
        <v>49392</v>
      </c>
      <c r="F40" s="417"/>
      <c r="G40" s="418"/>
      <c r="H40" s="417">
        <v>54000</v>
      </c>
      <c r="I40" s="417"/>
      <c r="J40" s="418"/>
      <c r="K40" s="417">
        <v>50760</v>
      </c>
      <c r="L40" s="417"/>
      <c r="M40" s="418"/>
      <c r="N40" s="417">
        <v>48708</v>
      </c>
      <c r="O40" s="417"/>
      <c r="P40" s="418"/>
      <c r="Q40" s="417">
        <v>37740</v>
      </c>
      <c r="R40" s="417"/>
      <c r="S40" s="418"/>
      <c r="T40" s="417">
        <f t="shared" si="93"/>
        <v>287592</v>
      </c>
      <c r="U40" s="417">
        <f t="shared" si="93"/>
        <v>0</v>
      </c>
      <c r="V40" s="418">
        <f t="shared" si="93"/>
        <v>0</v>
      </c>
    </row>
    <row r="41" spans="1:22" x14ac:dyDescent="0.25">
      <c r="A41" s="4" t="s">
        <v>45</v>
      </c>
      <c r="B41" s="417">
        <v>23219.856857977389</v>
      </c>
      <c r="C41" s="417"/>
      <c r="D41" s="418"/>
      <c r="E41" s="417">
        <v>23330.602627075343</v>
      </c>
      <c r="F41" s="417"/>
      <c r="G41" s="418"/>
      <c r="H41" s="417">
        <v>22723.510214139824</v>
      </c>
      <c r="I41" s="417"/>
      <c r="J41" s="418"/>
      <c r="K41" s="417">
        <v>29572.176032783045</v>
      </c>
      <c r="L41" s="417"/>
      <c r="M41" s="418"/>
      <c r="N41" s="417">
        <v>31693.126750615153</v>
      </c>
      <c r="O41" s="417"/>
      <c r="P41" s="418"/>
      <c r="Q41" s="417">
        <v>21104.879769316816</v>
      </c>
      <c r="R41" s="417"/>
      <c r="S41" s="418"/>
      <c r="T41" s="417">
        <f t="shared" si="93"/>
        <v>151644.15225190757</v>
      </c>
      <c r="U41" s="417">
        <f t="shared" si="93"/>
        <v>0</v>
      </c>
      <c r="V41" s="418">
        <f t="shared" si="93"/>
        <v>0</v>
      </c>
    </row>
    <row r="42" spans="1:22" x14ac:dyDescent="0.25">
      <c r="A42" s="4" t="s">
        <v>46</v>
      </c>
      <c r="B42" s="417">
        <v>44706.951517150395</v>
      </c>
      <c r="C42" s="417"/>
      <c r="D42" s="418"/>
      <c r="E42" s="417">
        <v>45129.115105540899</v>
      </c>
      <c r="F42" s="417"/>
      <c r="G42" s="418"/>
      <c r="H42" s="417">
        <v>46395.605870712403</v>
      </c>
      <c r="I42" s="417"/>
      <c r="J42" s="418"/>
      <c r="K42" s="417">
        <v>45683.204815303427</v>
      </c>
      <c r="L42" s="417"/>
      <c r="M42" s="418"/>
      <c r="N42" s="417">
        <v>45178.587401055411</v>
      </c>
      <c r="O42" s="417"/>
      <c r="P42" s="418"/>
      <c r="Q42" s="417">
        <v>42935.843337730868</v>
      </c>
      <c r="R42" s="417"/>
      <c r="S42" s="418"/>
      <c r="T42" s="417">
        <f t="shared" si="93"/>
        <v>270029.3080474934</v>
      </c>
      <c r="U42" s="417">
        <f t="shared" si="93"/>
        <v>0</v>
      </c>
      <c r="V42" s="418">
        <f t="shared" si="93"/>
        <v>0</v>
      </c>
    </row>
    <row r="43" spans="1:22" x14ac:dyDescent="0.25">
      <c r="A43" s="4" t="s">
        <v>47</v>
      </c>
      <c r="B43" s="417">
        <v>44000</v>
      </c>
      <c r="C43" s="417"/>
      <c r="D43" s="418"/>
      <c r="E43" s="417">
        <v>44000</v>
      </c>
      <c r="F43" s="417"/>
      <c r="G43" s="418"/>
      <c r="H43" s="417">
        <v>44000</v>
      </c>
      <c r="I43" s="417"/>
      <c r="J43" s="418"/>
      <c r="K43" s="417">
        <v>44000</v>
      </c>
      <c r="L43" s="417"/>
      <c r="M43" s="418"/>
      <c r="N43" s="417">
        <v>44000</v>
      </c>
      <c r="O43" s="417"/>
      <c r="P43" s="418"/>
      <c r="Q43" s="417">
        <v>44000</v>
      </c>
      <c r="R43" s="417"/>
      <c r="S43" s="418"/>
      <c r="T43" s="417">
        <f t="shared" si="93"/>
        <v>264000</v>
      </c>
      <c r="U43" s="417">
        <f t="shared" si="93"/>
        <v>0</v>
      </c>
      <c r="V43" s="418">
        <f t="shared" si="93"/>
        <v>0</v>
      </c>
    </row>
    <row r="44" spans="1:22" x14ac:dyDescent="0.25">
      <c r="A44" s="37" t="s">
        <v>48</v>
      </c>
      <c r="B44" s="415">
        <f>+SUM(B38:D43)</f>
        <v>275219.45837512781</v>
      </c>
      <c r="C44" s="422"/>
      <c r="D44" s="423"/>
      <c r="E44" s="415">
        <f>+SUM(E38:G43)</f>
        <v>284080.78773261624</v>
      </c>
      <c r="F44" s="422"/>
      <c r="G44" s="423"/>
      <c r="H44" s="415">
        <f>+SUM(H38:J43)</f>
        <v>300097.78608485224</v>
      </c>
      <c r="I44" s="422"/>
      <c r="J44" s="423"/>
      <c r="K44" s="415">
        <f>+SUM(K38:M43)</f>
        <v>295188.48584808648</v>
      </c>
      <c r="L44" s="422"/>
      <c r="M44" s="423"/>
      <c r="N44" s="415">
        <f>+SUM(N38:P43)</f>
        <v>289883.47040167055</v>
      </c>
      <c r="O44" s="422"/>
      <c r="P44" s="423"/>
      <c r="Q44" s="415">
        <f>+SUM(Q38:S43)</f>
        <v>239426.76435704768</v>
      </c>
      <c r="R44" s="422"/>
      <c r="S44" s="423"/>
      <c r="T44" s="415">
        <f>+SUM(T38:V43)</f>
        <v>1683896.7527994011</v>
      </c>
      <c r="U44" s="422"/>
      <c r="V44" s="423"/>
    </row>
    <row r="46" spans="1:22" x14ac:dyDescent="0.25">
      <c r="A46" s="10" t="s">
        <v>49</v>
      </c>
      <c r="B46" s="419">
        <v>14759</v>
      </c>
      <c r="C46" s="411"/>
      <c r="D46" s="412"/>
      <c r="E46" s="419">
        <v>14759</v>
      </c>
      <c r="F46" s="411"/>
      <c r="G46" s="412"/>
      <c r="H46" s="419">
        <v>14759</v>
      </c>
      <c r="I46" s="411"/>
      <c r="J46" s="412"/>
      <c r="K46" s="419">
        <v>14759</v>
      </c>
      <c r="L46" s="411"/>
      <c r="M46" s="412"/>
      <c r="N46" s="419">
        <v>14759</v>
      </c>
      <c r="O46" s="411"/>
      <c r="P46" s="412"/>
      <c r="Q46" s="419">
        <v>14759</v>
      </c>
      <c r="R46" s="411"/>
      <c r="S46" s="412"/>
      <c r="T46" s="419">
        <f t="shared" ref="T46:V52" si="94">+SUM(B46,E46,H46,K46,N46,Q46)</f>
        <v>88554</v>
      </c>
      <c r="U46" s="411">
        <f t="shared" si="94"/>
        <v>0</v>
      </c>
      <c r="V46" s="412">
        <f t="shared" si="94"/>
        <v>0</v>
      </c>
    </row>
    <row r="47" spans="1:22" x14ac:dyDescent="0.25">
      <c r="A47" s="15" t="s">
        <v>50</v>
      </c>
      <c r="B47" s="420">
        <v>60293.851212062815</v>
      </c>
      <c r="C47" s="417"/>
      <c r="D47" s="418"/>
      <c r="E47" s="420">
        <v>60708.497996577258</v>
      </c>
      <c r="F47" s="417"/>
      <c r="G47" s="418"/>
      <c r="H47" s="420">
        <v>61249.347762746263</v>
      </c>
      <c r="I47" s="417"/>
      <c r="J47" s="418"/>
      <c r="K47" s="420">
        <v>65893.273784915116</v>
      </c>
      <c r="L47" s="417"/>
      <c r="M47" s="418"/>
      <c r="N47" s="420">
        <v>67106.766330467508</v>
      </c>
      <c r="O47" s="417"/>
      <c r="P47" s="418"/>
      <c r="Q47" s="420">
        <v>57296.598624680781</v>
      </c>
      <c r="R47" s="417"/>
      <c r="S47" s="418"/>
      <c r="T47" s="420">
        <f t="shared" si="94"/>
        <v>372548.33571144973</v>
      </c>
      <c r="U47" s="417">
        <f t="shared" si="94"/>
        <v>0</v>
      </c>
      <c r="V47" s="418">
        <f t="shared" si="94"/>
        <v>0</v>
      </c>
    </row>
    <row r="48" spans="1:22" x14ac:dyDescent="0.25">
      <c r="A48" s="15" t="s">
        <v>51</v>
      </c>
      <c r="B48" s="420">
        <v>165222.9157092371</v>
      </c>
      <c r="C48" s="417"/>
      <c r="D48" s="418"/>
      <c r="E48" s="420">
        <v>164097.75226782763</v>
      </c>
      <c r="F48" s="417"/>
      <c r="G48" s="418"/>
      <c r="H48" s="420">
        <v>159787.77900685847</v>
      </c>
      <c r="I48" s="417"/>
      <c r="J48" s="418"/>
      <c r="K48" s="420">
        <v>205127.37433708418</v>
      </c>
      <c r="L48" s="417"/>
      <c r="M48" s="418"/>
      <c r="N48" s="420">
        <v>219293.7305221188</v>
      </c>
      <c r="O48" s="417"/>
      <c r="P48" s="418"/>
      <c r="Q48" s="420">
        <v>157781.14302362764</v>
      </c>
      <c r="R48" s="417"/>
      <c r="S48" s="418"/>
      <c r="T48" s="420">
        <f t="shared" si="94"/>
        <v>1071310.6948667536</v>
      </c>
      <c r="U48" s="417">
        <f t="shared" si="94"/>
        <v>0</v>
      </c>
      <c r="V48" s="418">
        <f t="shared" si="94"/>
        <v>0</v>
      </c>
    </row>
    <row r="49" spans="1:22" x14ac:dyDescent="0.25">
      <c r="A49" s="15" t="s">
        <v>52</v>
      </c>
      <c r="B49" s="420">
        <v>28204.741829461083</v>
      </c>
      <c r="C49" s="417"/>
      <c r="D49" s="418"/>
      <c r="E49" s="420">
        <v>28373.647687046941</v>
      </c>
      <c r="F49" s="417"/>
      <c r="G49" s="418"/>
      <c r="H49" s="420">
        <v>27688.865852526753</v>
      </c>
      <c r="I49" s="417"/>
      <c r="J49" s="418"/>
      <c r="K49" s="420">
        <v>33023.655080748082</v>
      </c>
      <c r="L49" s="417"/>
      <c r="M49" s="418"/>
      <c r="N49" s="420">
        <v>34662.112028383963</v>
      </c>
      <c r="O49" s="417"/>
      <c r="P49" s="418"/>
      <c r="Q49" s="420">
        <v>26027.595550230955</v>
      </c>
      <c r="R49" s="417"/>
      <c r="S49" s="418"/>
      <c r="T49" s="420">
        <f t="shared" si="94"/>
        <v>177980.61802839779</v>
      </c>
      <c r="U49" s="417">
        <f t="shared" si="94"/>
        <v>0</v>
      </c>
      <c r="V49" s="418">
        <f t="shared" si="94"/>
        <v>0</v>
      </c>
    </row>
    <row r="50" spans="1:22" x14ac:dyDescent="0.25">
      <c r="A50" s="15" t="s">
        <v>53</v>
      </c>
      <c r="B50" s="420">
        <v>67691.380390706589</v>
      </c>
      <c r="C50" s="417"/>
      <c r="D50" s="418"/>
      <c r="E50" s="420">
        <v>68096.754448912659</v>
      </c>
      <c r="F50" s="417"/>
      <c r="G50" s="418"/>
      <c r="H50" s="420">
        <v>66453.278046064195</v>
      </c>
      <c r="I50" s="417"/>
      <c r="J50" s="418"/>
      <c r="K50" s="420">
        <v>79256.77219379539</v>
      </c>
      <c r="L50" s="417"/>
      <c r="M50" s="418"/>
      <c r="N50" s="420">
        <v>83189.068868121511</v>
      </c>
      <c r="O50" s="417"/>
      <c r="P50" s="418"/>
      <c r="Q50" s="420">
        <v>62466.229320554288</v>
      </c>
      <c r="R50" s="417"/>
      <c r="S50" s="418"/>
      <c r="T50" s="420">
        <f t="shared" si="94"/>
        <v>427153.48326815467</v>
      </c>
      <c r="U50" s="417">
        <f t="shared" si="94"/>
        <v>0</v>
      </c>
      <c r="V50" s="418">
        <f t="shared" si="94"/>
        <v>0</v>
      </c>
    </row>
    <row r="51" spans="1:22" x14ac:dyDescent="0.25">
      <c r="A51" s="15" t="s">
        <v>54</v>
      </c>
      <c r="B51" s="420">
        <v>28204.741829461083</v>
      </c>
      <c r="C51" s="417"/>
      <c r="D51" s="418"/>
      <c r="E51" s="420">
        <v>28373.647687046941</v>
      </c>
      <c r="F51" s="417"/>
      <c r="G51" s="418"/>
      <c r="H51" s="420">
        <v>27688.865852526753</v>
      </c>
      <c r="I51" s="417"/>
      <c r="J51" s="418"/>
      <c r="K51" s="420">
        <v>33023.655080748082</v>
      </c>
      <c r="L51" s="417"/>
      <c r="M51" s="418"/>
      <c r="N51" s="420">
        <v>34662.112028383963</v>
      </c>
      <c r="O51" s="417"/>
      <c r="P51" s="418"/>
      <c r="Q51" s="420">
        <v>26027.595550230955</v>
      </c>
      <c r="R51" s="417"/>
      <c r="S51" s="418"/>
      <c r="T51" s="420">
        <f t="shared" si="94"/>
        <v>177980.61802839779</v>
      </c>
      <c r="U51" s="417">
        <f t="shared" si="94"/>
        <v>0</v>
      </c>
      <c r="V51" s="418">
        <f t="shared" si="94"/>
        <v>0</v>
      </c>
    </row>
    <row r="52" spans="1:22" x14ac:dyDescent="0.25">
      <c r="A52" s="38" t="s">
        <v>55</v>
      </c>
      <c r="B52" s="421">
        <v>16922.845097676647</v>
      </c>
      <c r="C52" s="413"/>
      <c r="D52" s="414"/>
      <c r="E52" s="421">
        <v>17024.188612228165</v>
      </c>
      <c r="F52" s="413"/>
      <c r="G52" s="414"/>
      <c r="H52" s="421">
        <v>16613.319511516049</v>
      </c>
      <c r="I52" s="413"/>
      <c r="J52" s="414"/>
      <c r="K52" s="421">
        <v>19814.193048448848</v>
      </c>
      <c r="L52" s="413"/>
      <c r="M52" s="414"/>
      <c r="N52" s="421">
        <v>20797.267217030378</v>
      </c>
      <c r="O52" s="413"/>
      <c r="P52" s="414"/>
      <c r="Q52" s="421">
        <v>15616.557330138572</v>
      </c>
      <c r="R52" s="413"/>
      <c r="S52" s="414"/>
      <c r="T52" s="421">
        <f t="shared" si="94"/>
        <v>106788.37081703867</v>
      </c>
      <c r="U52" s="413">
        <f t="shared" si="94"/>
        <v>0</v>
      </c>
      <c r="V52" s="414">
        <f t="shared" si="94"/>
        <v>0</v>
      </c>
    </row>
    <row r="53" spans="1:22" x14ac:dyDescent="0.25">
      <c r="A53" s="20" t="s">
        <v>56</v>
      </c>
      <c r="B53" s="415">
        <f>+SUM(B46:D52)</f>
        <v>381299.47606860532</v>
      </c>
      <c r="C53" s="422"/>
      <c r="D53" s="423"/>
      <c r="E53" s="415">
        <f t="shared" ref="E53" si="95">+SUM(E46:G52)</f>
        <v>381433.48869963962</v>
      </c>
      <c r="F53" s="422"/>
      <c r="G53" s="423"/>
      <c r="H53" s="415">
        <f t="shared" ref="H53" si="96">+SUM(H46:J52)</f>
        <v>374240.45603223844</v>
      </c>
      <c r="I53" s="422"/>
      <c r="J53" s="423"/>
      <c r="K53" s="415">
        <f t="shared" ref="K53" si="97">+SUM(K46:M52)</f>
        <v>450897.92352573969</v>
      </c>
      <c r="L53" s="422"/>
      <c r="M53" s="423"/>
      <c r="N53" s="415">
        <f t="shared" ref="N53" si="98">+SUM(N46:P52)</f>
        <v>474470.0569945061</v>
      </c>
      <c r="O53" s="422"/>
      <c r="P53" s="423"/>
      <c r="Q53" s="415">
        <f t="shared" ref="Q53" si="99">+SUM(Q46:S52)</f>
        <v>359974.71939946315</v>
      </c>
      <c r="R53" s="422"/>
      <c r="S53" s="423"/>
      <c r="T53" s="415">
        <f t="shared" ref="T53" si="100">+SUM(T46:V52)</f>
        <v>2422316.1207201923</v>
      </c>
      <c r="U53" s="422"/>
      <c r="V53" s="423"/>
    </row>
    <row r="55" spans="1:22" x14ac:dyDescent="0.25">
      <c r="A55" s="10" t="s">
        <v>57</v>
      </c>
      <c r="B55" s="419">
        <v>59985.326783641038</v>
      </c>
      <c r="C55" s="411"/>
      <c r="D55" s="412"/>
      <c r="E55" s="419">
        <v>59592.783880379342</v>
      </c>
      <c r="F55" s="411"/>
      <c r="G55" s="412"/>
      <c r="H55" s="419">
        <v>54461.971089515901</v>
      </c>
      <c r="I55" s="411"/>
      <c r="J55" s="412"/>
      <c r="K55" s="419">
        <v>70753.749740565981</v>
      </c>
      <c r="L55" s="411"/>
      <c r="M55" s="412"/>
      <c r="N55" s="419">
        <v>76682.615713543171</v>
      </c>
      <c r="O55" s="411"/>
      <c r="P55" s="412"/>
      <c r="Q55" s="419">
        <v>58003.576128598106</v>
      </c>
      <c r="R55" s="411"/>
      <c r="S55" s="412"/>
      <c r="T55" s="419">
        <f t="shared" ref="T55:V60" si="101">+SUM(B55,E55,H55,K55,N55,Q55)</f>
        <v>379480.02333624352</v>
      </c>
      <c r="U55" s="411">
        <f t="shared" si="101"/>
        <v>0</v>
      </c>
      <c r="V55" s="412">
        <f t="shared" si="101"/>
        <v>0</v>
      </c>
    </row>
    <row r="56" spans="1:22" x14ac:dyDescent="0.25">
      <c r="A56" s="15" t="s">
        <v>58</v>
      </c>
      <c r="B56" s="420">
        <v>52325.885087550254</v>
      </c>
      <c r="C56" s="417"/>
      <c r="D56" s="418"/>
      <c r="E56" s="420">
        <v>51355.125779565751</v>
      </c>
      <c r="F56" s="417"/>
      <c r="G56" s="418"/>
      <c r="H56" s="420">
        <v>48752.322471107604</v>
      </c>
      <c r="I56" s="417"/>
      <c r="J56" s="418"/>
      <c r="K56" s="420">
        <v>65126.187272122697</v>
      </c>
      <c r="L56" s="417"/>
      <c r="M56" s="418"/>
      <c r="N56" s="420">
        <v>70495.178851353325</v>
      </c>
      <c r="O56" s="417"/>
      <c r="P56" s="418"/>
      <c r="Q56" s="420">
        <v>52019.035492496994</v>
      </c>
      <c r="R56" s="417"/>
      <c r="S56" s="418"/>
      <c r="T56" s="420">
        <f t="shared" si="101"/>
        <v>340073.73495419667</v>
      </c>
      <c r="U56" s="417">
        <f t="shared" si="101"/>
        <v>0</v>
      </c>
      <c r="V56" s="418">
        <f t="shared" si="101"/>
        <v>0</v>
      </c>
    </row>
    <row r="57" spans="1:22" x14ac:dyDescent="0.25">
      <c r="A57" s="15" t="s">
        <v>59</v>
      </c>
      <c r="B57" s="417">
        <v>95500</v>
      </c>
      <c r="C57" s="417"/>
      <c r="D57" s="418"/>
      <c r="E57" s="417">
        <v>95500</v>
      </c>
      <c r="F57" s="417"/>
      <c r="G57" s="418"/>
      <c r="H57" s="417">
        <v>95500</v>
      </c>
      <c r="I57" s="417"/>
      <c r="J57" s="418"/>
      <c r="K57" s="417">
        <v>95500</v>
      </c>
      <c r="L57" s="417"/>
      <c r="M57" s="418"/>
      <c r="N57" s="417">
        <v>95500</v>
      </c>
      <c r="O57" s="417"/>
      <c r="P57" s="418"/>
      <c r="Q57" s="417">
        <v>95500</v>
      </c>
      <c r="R57" s="417"/>
      <c r="S57" s="418"/>
      <c r="T57" s="417">
        <f t="shared" si="101"/>
        <v>573000</v>
      </c>
      <c r="U57" s="417">
        <f t="shared" si="101"/>
        <v>0</v>
      </c>
      <c r="V57" s="418">
        <f t="shared" si="101"/>
        <v>0</v>
      </c>
    </row>
    <row r="58" spans="1:22" x14ac:dyDescent="0.25">
      <c r="A58" s="4" t="s">
        <v>60</v>
      </c>
      <c r="B58" s="417">
        <v>27173.635455669959</v>
      </c>
      <c r="C58" s="417"/>
      <c r="D58" s="418"/>
      <c r="E58" s="417">
        <v>27089.166788611565</v>
      </c>
      <c r="F58" s="417"/>
      <c r="G58" s="418"/>
      <c r="H58" s="417">
        <v>26862.689098135335</v>
      </c>
      <c r="I58" s="417"/>
      <c r="J58" s="418"/>
      <c r="K58" s="417">
        <v>28287.427983418467</v>
      </c>
      <c r="L58" s="417"/>
      <c r="M58" s="418"/>
      <c r="N58" s="417">
        <v>28754.5999779749</v>
      </c>
      <c r="O58" s="417"/>
      <c r="P58" s="418"/>
      <c r="Q58" s="417">
        <v>27146.935555840646</v>
      </c>
      <c r="R58" s="417"/>
      <c r="S58" s="418"/>
      <c r="T58" s="417">
        <f t="shared" si="101"/>
        <v>165314.45485965087</v>
      </c>
      <c r="U58" s="417">
        <f t="shared" si="101"/>
        <v>0</v>
      </c>
      <c r="V58" s="418">
        <f t="shared" si="101"/>
        <v>0</v>
      </c>
    </row>
    <row r="59" spans="1:22" x14ac:dyDescent="0.25">
      <c r="A59" s="4" t="s">
        <v>61</v>
      </c>
      <c r="B59" s="417">
        <v>80203.072353530515</v>
      </c>
      <c r="C59" s="417"/>
      <c r="D59" s="418"/>
      <c r="E59" s="417">
        <v>79739.125047896363</v>
      </c>
      <c r="F59" s="417"/>
      <c r="G59" s="418"/>
      <c r="H59" s="417">
        <v>78495.187882295577</v>
      </c>
      <c r="I59" s="417"/>
      <c r="J59" s="418"/>
      <c r="K59" s="417">
        <v>86320.619371611887</v>
      </c>
      <c r="L59" s="417"/>
      <c r="M59" s="418"/>
      <c r="N59" s="417">
        <v>88886.578983503932</v>
      </c>
      <c r="O59" s="417"/>
      <c r="P59" s="418"/>
      <c r="Q59" s="417">
        <v>80056.422157453111</v>
      </c>
      <c r="R59" s="417"/>
      <c r="S59" s="418"/>
      <c r="T59" s="417">
        <f t="shared" si="101"/>
        <v>493701.0057962914</v>
      </c>
      <c r="U59" s="417">
        <f t="shared" si="101"/>
        <v>0</v>
      </c>
      <c r="V59" s="418">
        <f t="shared" si="101"/>
        <v>0</v>
      </c>
    </row>
    <row r="60" spans="1:22" x14ac:dyDescent="0.25">
      <c r="A60" s="5" t="s">
        <v>62</v>
      </c>
      <c r="B60" s="413">
        <v>49055</v>
      </c>
      <c r="C60" s="413"/>
      <c r="D60" s="414"/>
      <c r="E60" s="413">
        <v>49055</v>
      </c>
      <c r="F60" s="413"/>
      <c r="G60" s="414"/>
      <c r="H60" s="413">
        <v>49055</v>
      </c>
      <c r="I60" s="413"/>
      <c r="J60" s="414"/>
      <c r="K60" s="413">
        <v>49055</v>
      </c>
      <c r="L60" s="413"/>
      <c r="M60" s="414"/>
      <c r="N60" s="413">
        <v>49055</v>
      </c>
      <c r="O60" s="413"/>
      <c r="P60" s="414"/>
      <c r="Q60" s="413">
        <v>49055</v>
      </c>
      <c r="R60" s="413"/>
      <c r="S60" s="414"/>
      <c r="T60" s="413">
        <f t="shared" si="101"/>
        <v>294330</v>
      </c>
      <c r="U60" s="413">
        <f t="shared" si="101"/>
        <v>0</v>
      </c>
      <c r="V60" s="414">
        <f t="shared" si="101"/>
        <v>0</v>
      </c>
    </row>
    <row r="61" spans="1:22" x14ac:dyDescent="0.25">
      <c r="A61" s="37" t="s">
        <v>63</v>
      </c>
      <c r="B61" s="415">
        <f>+SUM(B55:D60)</f>
        <v>364242.91968039173</v>
      </c>
      <c r="C61" s="415"/>
      <c r="D61" s="416"/>
      <c r="E61" s="415">
        <f>+SUM(E55:G60)</f>
        <v>362331.20149645302</v>
      </c>
      <c r="F61" s="415"/>
      <c r="G61" s="416"/>
      <c r="H61" s="415">
        <f>+SUM(H55:J60)</f>
        <v>353127.17054105445</v>
      </c>
      <c r="I61" s="415"/>
      <c r="J61" s="416"/>
      <c r="K61" s="415">
        <f>+SUM(K55:M60)</f>
        <v>395042.98436771904</v>
      </c>
      <c r="L61" s="415"/>
      <c r="M61" s="416"/>
      <c r="N61" s="415">
        <f>+SUM(N55:P60)</f>
        <v>409373.97352637531</v>
      </c>
      <c r="O61" s="415"/>
      <c r="P61" s="416"/>
      <c r="Q61" s="415">
        <f>+SUM(Q55:S60)</f>
        <v>361780.96933438885</v>
      </c>
      <c r="R61" s="415"/>
      <c r="S61" s="416"/>
      <c r="T61" s="415">
        <f>+SUM(T55:V60)</f>
        <v>2245899.2189463824</v>
      </c>
      <c r="U61" s="415"/>
      <c r="V61" s="416"/>
    </row>
    <row r="63" spans="1:22" x14ac:dyDescent="0.25">
      <c r="A63" s="36" t="s">
        <v>64</v>
      </c>
      <c r="B63" s="408">
        <f>+B61+B53+B44</f>
        <v>1020761.8541241249</v>
      </c>
      <c r="C63" s="409"/>
      <c r="D63" s="410"/>
      <c r="E63" s="408">
        <f t="shared" ref="E63" si="102">+E61+E53+E44</f>
        <v>1027845.477928709</v>
      </c>
      <c r="F63" s="409"/>
      <c r="G63" s="410"/>
      <c r="H63" s="408">
        <f t="shared" ref="H63" si="103">+H61+H53+H44</f>
        <v>1027465.4126581452</v>
      </c>
      <c r="I63" s="409"/>
      <c r="J63" s="410"/>
      <c r="K63" s="408">
        <f t="shared" ref="K63" si="104">+K61+K53+K44</f>
        <v>1141129.3937415453</v>
      </c>
      <c r="L63" s="409"/>
      <c r="M63" s="410"/>
      <c r="N63" s="408">
        <f t="shared" ref="N63" si="105">+N61+N53+N44</f>
        <v>1173727.5009225518</v>
      </c>
      <c r="O63" s="409"/>
      <c r="P63" s="410"/>
      <c r="Q63" s="408">
        <f t="shared" ref="Q63" si="106">+Q61+Q53+Q44</f>
        <v>961182.45309089962</v>
      </c>
      <c r="R63" s="409"/>
      <c r="S63" s="410"/>
      <c r="T63" s="408">
        <f t="shared" ref="T63" si="107">+T61+T53+T44</f>
        <v>6352112.0924659763</v>
      </c>
      <c r="U63" s="409"/>
      <c r="V63" s="410"/>
    </row>
    <row r="65" spans="1:22" x14ac:dyDescent="0.25">
      <c r="A65" s="20" t="s">
        <v>65</v>
      </c>
      <c r="B65" s="415">
        <v>374587.63439999998</v>
      </c>
      <c r="C65" s="415"/>
      <c r="D65" s="416"/>
      <c r="E65" s="415">
        <v>391248.1496</v>
      </c>
      <c r="F65" s="415"/>
      <c r="G65" s="416"/>
      <c r="H65" s="415">
        <v>341696.27520000003</v>
      </c>
      <c r="I65" s="415"/>
      <c r="J65" s="416"/>
      <c r="K65" s="415">
        <v>336678.68399999995</v>
      </c>
      <c r="L65" s="415"/>
      <c r="M65" s="416"/>
      <c r="N65" s="415">
        <v>334619.16299999994</v>
      </c>
      <c r="O65" s="415"/>
      <c r="P65" s="416"/>
      <c r="Q65" s="415">
        <v>260756.10299999994</v>
      </c>
      <c r="R65" s="415"/>
      <c r="S65" s="416"/>
      <c r="T65" s="415">
        <f t="shared" ref="T65:V65" si="108">+SUM(B65,E65,H65,K65,N65,Q65)</f>
        <v>2039586.0091999997</v>
      </c>
      <c r="U65" s="415">
        <f t="shared" si="108"/>
        <v>0</v>
      </c>
      <c r="V65" s="416">
        <f t="shared" si="108"/>
        <v>0</v>
      </c>
    </row>
    <row r="67" spans="1:22" x14ac:dyDescent="0.25">
      <c r="A67" s="36" t="s">
        <v>66</v>
      </c>
      <c r="B67" s="408">
        <f>+B35-B63+B65</f>
        <v>146358.82151282963</v>
      </c>
      <c r="C67" s="409"/>
      <c r="D67" s="410"/>
      <c r="E67" s="408">
        <f>+E35-E63+E65</f>
        <v>172722.90999823203</v>
      </c>
      <c r="F67" s="409"/>
      <c r="G67" s="410"/>
      <c r="H67" s="408">
        <f>+H35-H63+H65</f>
        <v>100963.38498432562</v>
      </c>
      <c r="I67" s="409"/>
      <c r="J67" s="410"/>
      <c r="K67" s="408">
        <f>+K35-K63+K65</f>
        <v>205769.78870600142</v>
      </c>
      <c r="L67" s="409"/>
      <c r="M67" s="410"/>
      <c r="N67" s="408">
        <f>+N35-N63+N65</f>
        <v>234738.5132684533</v>
      </c>
      <c r="O67" s="409"/>
      <c r="P67" s="410"/>
      <c r="Q67" s="408">
        <f>+Q35-Q63+Q65</f>
        <v>13307.539894076821</v>
      </c>
      <c r="R67" s="409"/>
      <c r="S67" s="410"/>
      <c r="T67" s="408">
        <f>+T35-T63+T65</f>
        <v>873860.95836391905</v>
      </c>
      <c r="U67" s="409"/>
      <c r="V67" s="410"/>
    </row>
    <row r="69" spans="1:22" x14ac:dyDescent="0.25">
      <c r="A69" s="10" t="s">
        <v>67</v>
      </c>
      <c r="B69" s="411">
        <v>51100</v>
      </c>
      <c r="C69" s="411"/>
      <c r="D69" s="412"/>
      <c r="E69" s="411">
        <v>51100</v>
      </c>
      <c r="F69" s="411"/>
      <c r="G69" s="412"/>
      <c r="H69" s="411">
        <v>51100</v>
      </c>
      <c r="I69" s="411"/>
      <c r="J69" s="412"/>
      <c r="K69" s="411">
        <v>51100</v>
      </c>
      <c r="L69" s="411"/>
      <c r="M69" s="412"/>
      <c r="N69" s="411">
        <v>51100</v>
      </c>
      <c r="O69" s="411"/>
      <c r="P69" s="412"/>
      <c r="Q69" s="411">
        <v>51100</v>
      </c>
      <c r="R69" s="411"/>
      <c r="S69" s="412"/>
      <c r="T69" s="411">
        <f t="shared" ref="T69:V70" si="109">+SUM(B69,E69,H69,K69,N69,Q69)</f>
        <v>306600</v>
      </c>
      <c r="U69" s="411">
        <f t="shared" si="109"/>
        <v>0</v>
      </c>
      <c r="V69" s="412">
        <f t="shared" si="109"/>
        <v>0</v>
      </c>
    </row>
    <row r="70" spans="1:22" x14ac:dyDescent="0.25">
      <c r="A70" s="38" t="s">
        <v>68</v>
      </c>
      <c r="B70" s="413">
        <v>9172</v>
      </c>
      <c r="C70" s="413"/>
      <c r="D70" s="414"/>
      <c r="E70" s="413">
        <v>9172</v>
      </c>
      <c r="F70" s="413"/>
      <c r="G70" s="414"/>
      <c r="H70" s="413">
        <v>9172</v>
      </c>
      <c r="I70" s="413"/>
      <c r="J70" s="414"/>
      <c r="K70" s="413">
        <v>9172</v>
      </c>
      <c r="L70" s="413"/>
      <c r="M70" s="414"/>
      <c r="N70" s="413">
        <v>9172</v>
      </c>
      <c r="O70" s="413"/>
      <c r="P70" s="414"/>
      <c r="Q70" s="413">
        <v>9172</v>
      </c>
      <c r="R70" s="413"/>
      <c r="S70" s="414"/>
      <c r="T70" s="413">
        <f t="shared" si="109"/>
        <v>55032</v>
      </c>
      <c r="U70" s="413">
        <f t="shared" si="109"/>
        <v>0</v>
      </c>
      <c r="V70" s="414">
        <f t="shared" si="109"/>
        <v>0</v>
      </c>
    </row>
    <row r="72" spans="1:22" x14ac:dyDescent="0.25">
      <c r="A72" s="36" t="s">
        <v>69</v>
      </c>
      <c r="B72" s="408">
        <f>+B67-B69-B70</f>
        <v>86086.821512829629</v>
      </c>
      <c r="C72" s="409"/>
      <c r="D72" s="410"/>
      <c r="E72" s="408">
        <f t="shared" ref="E72" si="110">+E67-E69-E70</f>
        <v>112450.90999823203</v>
      </c>
      <c r="F72" s="409"/>
      <c r="G72" s="410"/>
      <c r="H72" s="408">
        <f t="shared" ref="H72" si="111">+H67-H69-H70</f>
        <v>40691.384984325618</v>
      </c>
      <c r="I72" s="409"/>
      <c r="J72" s="410"/>
      <c r="K72" s="408">
        <f t="shared" ref="K72" si="112">+K67-K69-K70</f>
        <v>145497.78870600142</v>
      </c>
      <c r="L72" s="409"/>
      <c r="M72" s="410"/>
      <c r="N72" s="408">
        <f t="shared" ref="N72" si="113">+N67-N69-N70</f>
        <v>174466.5132684533</v>
      </c>
      <c r="O72" s="409"/>
      <c r="P72" s="410"/>
      <c r="Q72" s="408">
        <f t="shared" ref="Q72" si="114">+Q67-Q69-Q70</f>
        <v>-46964.460105923179</v>
      </c>
      <c r="R72" s="409"/>
      <c r="S72" s="410"/>
      <c r="T72" s="408">
        <f t="shared" ref="T72" si="115">+T67-T69-T70</f>
        <v>512228.95836391905</v>
      </c>
      <c r="U72" s="409"/>
      <c r="V72" s="410"/>
    </row>
    <row r="76" spans="1:22" x14ac:dyDescent="0.25">
      <c r="A76" t="s">
        <v>70</v>
      </c>
    </row>
    <row r="77" spans="1:22" x14ac:dyDescent="0.2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25">
      <c r="A78" t="s">
        <v>38</v>
      </c>
    </row>
    <row r="79" spans="1:22" x14ac:dyDescent="0.25">
      <c r="A79" t="s">
        <v>7</v>
      </c>
    </row>
    <row r="80" spans="1:22" x14ac:dyDescent="0.25">
      <c r="A80" t="s">
        <v>39</v>
      </c>
    </row>
  </sheetData>
  <mergeCells count="252"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</mergeCells>
  <pageMargins left="0.7" right="0.7" top="0.75" bottom="0.75" header="0.3" footer="0.3"/>
  <pageSetup paperSize="5" scale="4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2578125" defaultRowHeight="15" x14ac:dyDescent="0.25"/>
  <sheetData>
    <row r="2" spans="1:4" x14ac:dyDescent="0.25">
      <c r="B2" s="144">
        <v>1</v>
      </c>
      <c r="C2" s="144">
        <v>1.1499999999999999</v>
      </c>
    </row>
    <row r="3" spans="1:4" x14ac:dyDescent="0.25">
      <c r="B3">
        <v>1600</v>
      </c>
      <c r="C3">
        <v>2080</v>
      </c>
    </row>
    <row r="4" spans="1:4" x14ac:dyDescent="0.25">
      <c r="B4">
        <v>1600</v>
      </c>
      <c r="C4">
        <v>2080</v>
      </c>
    </row>
    <row r="5" spans="1:4" x14ac:dyDescent="0.25">
      <c r="B5">
        <v>250</v>
      </c>
      <c r="C5">
        <v>500</v>
      </c>
    </row>
    <row r="6" spans="1:4" x14ac:dyDescent="0.25">
      <c r="B6">
        <v>250</v>
      </c>
      <c r="C6">
        <v>500</v>
      </c>
    </row>
    <row r="7" spans="1:4" x14ac:dyDescent="0.25">
      <c r="B7">
        <f>SUM(B3:B6)</f>
        <v>3700</v>
      </c>
      <c r="C7">
        <f>SUM(C3:C6)</f>
        <v>5160</v>
      </c>
    </row>
    <row r="9" spans="1:4" x14ac:dyDescent="0.25">
      <c r="B9">
        <v>0</v>
      </c>
      <c r="C9">
        <f>C7*0.5</f>
        <v>2580</v>
      </c>
    </row>
    <row r="10" spans="1:4" x14ac:dyDescent="0.25">
      <c r="C10">
        <f>C7*0.5</f>
        <v>2580</v>
      </c>
    </row>
    <row r="13" spans="1:4" x14ac:dyDescent="0.25">
      <c r="A13" t="s">
        <v>72</v>
      </c>
      <c r="B13">
        <f>0+B5++B6</f>
        <v>500</v>
      </c>
    </row>
    <row r="14" spans="1:4" x14ac:dyDescent="0.25">
      <c r="A14" t="s">
        <v>117</v>
      </c>
      <c r="C14">
        <f>C3+C4+B5+B6</f>
        <v>4660</v>
      </c>
    </row>
    <row r="15" spans="1:4" x14ac:dyDescent="0.25">
      <c r="B15">
        <v>0.5</v>
      </c>
      <c r="C15">
        <v>0.5</v>
      </c>
    </row>
    <row r="16" spans="1:4" x14ac:dyDescent="0.2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2578125" defaultRowHeight="15" customHeight="1" x14ac:dyDescent="0.2"/>
  <cols>
    <col min="1" max="1" width="14.42578125" style="51"/>
    <col min="2" max="2" width="77.28515625" style="51" customWidth="1"/>
    <col min="3" max="3" width="13.85546875" style="51" customWidth="1"/>
    <col min="4" max="5" width="12.85546875" style="51" customWidth="1"/>
    <col min="6" max="6" width="8" style="51" customWidth="1"/>
    <col min="7" max="7" width="10" style="51" customWidth="1"/>
    <col min="8" max="8" width="11.42578125" style="51" customWidth="1"/>
    <col min="9" max="9" width="13.140625" style="51" customWidth="1"/>
    <col min="10" max="10" width="13.28515625" style="51" customWidth="1"/>
    <col min="11" max="25" width="10" style="51" customWidth="1"/>
    <col min="26" max="16384" width="14.42578125" style="51"/>
  </cols>
  <sheetData>
    <row r="1" spans="2:12" ht="12.75" customHeight="1" x14ac:dyDescent="0.2">
      <c r="B1" s="434" t="s">
        <v>81</v>
      </c>
      <c r="C1" s="406"/>
      <c r="D1" s="406"/>
      <c r="E1" s="406"/>
      <c r="F1" s="406"/>
      <c r="G1" s="50"/>
    </row>
    <row r="2" spans="2:12" ht="12.75" customHeight="1" x14ac:dyDescent="0.2">
      <c r="B2" s="434" t="s">
        <v>104</v>
      </c>
      <c r="C2" s="406"/>
      <c r="D2" s="406"/>
      <c r="E2" s="406"/>
      <c r="F2" s="406"/>
      <c r="G2" s="50"/>
    </row>
    <row r="3" spans="2:12" ht="12.75" customHeight="1" x14ac:dyDescent="0.2"/>
    <row r="4" spans="2:12" ht="12.75" customHeight="1" x14ac:dyDescent="0.2">
      <c r="C4" s="52"/>
      <c r="E4" s="52"/>
      <c r="F4" s="52"/>
    </row>
    <row r="5" spans="2:12" ht="12.75" customHeight="1" x14ac:dyDescent="0.2">
      <c r="F5" s="52"/>
    </row>
    <row r="6" spans="2:12" ht="17.25" customHeight="1" x14ac:dyDescent="0.25">
      <c r="B6" s="53" t="s">
        <v>82</v>
      </c>
      <c r="C6" s="52"/>
      <c r="E6" s="52"/>
      <c r="F6" s="52"/>
    </row>
    <row r="7" spans="2:12" ht="12.75" customHeight="1" x14ac:dyDescent="0.2">
      <c r="B7" s="54"/>
      <c r="C7" s="54"/>
      <c r="D7" s="50"/>
      <c r="E7" s="50"/>
      <c r="F7" s="55"/>
    </row>
    <row r="8" spans="2:12" ht="12.75" customHeight="1" x14ac:dyDescent="0.25">
      <c r="C8" s="405" t="s">
        <v>71</v>
      </c>
      <c r="D8" s="406"/>
      <c r="E8" s="406"/>
      <c r="F8" s="52"/>
      <c r="H8" s="405" t="s">
        <v>83</v>
      </c>
      <c r="I8" s="406"/>
      <c r="J8" s="406"/>
    </row>
    <row r="9" spans="2:12" ht="12.75" customHeight="1" x14ac:dyDescent="0.2">
      <c r="C9" s="56"/>
      <c r="D9" s="56"/>
      <c r="E9" s="56"/>
      <c r="F9" s="57"/>
      <c r="L9" s="51" t="s">
        <v>79</v>
      </c>
    </row>
    <row r="10" spans="2:12" ht="12.75" customHeight="1" x14ac:dyDescent="0.2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2.75" x14ac:dyDescent="0.2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2.75" x14ac:dyDescent="0.2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2.75" x14ac:dyDescent="0.2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2.75" x14ac:dyDescent="0.2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2.75" x14ac:dyDescent="0.2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2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2">
      <c r="B17" s="105"/>
      <c r="C17" s="68"/>
      <c r="D17" s="69"/>
      <c r="F17" s="106"/>
      <c r="H17" s="87"/>
      <c r="I17" s="87"/>
      <c r="J17" s="87"/>
    </row>
    <row r="18" spans="2:10" ht="12.75" customHeight="1" x14ac:dyDescent="0.2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2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2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2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2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2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2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2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2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2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2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2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2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2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2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2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2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2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2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2">
      <c r="B37" s="115"/>
      <c r="C37" s="116"/>
      <c r="D37" s="117"/>
      <c r="E37" s="117"/>
      <c r="F37" s="118"/>
    </row>
    <row r="38" spans="2:10" ht="12.75" customHeight="1" x14ac:dyDescent="0.2">
      <c r="B38" s="50"/>
      <c r="C38" s="58"/>
      <c r="D38" s="50"/>
      <c r="E38" s="50"/>
      <c r="F38" s="58"/>
    </row>
    <row r="39" spans="2:10" ht="12.75" customHeight="1" x14ac:dyDescent="0.2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435"/>
      <c r="G39" s="406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2">
      <c r="B40" s="60"/>
      <c r="C40" s="58"/>
      <c r="D40" s="50"/>
      <c r="E40" s="50"/>
      <c r="F40" s="58"/>
    </row>
    <row r="41" spans="2:10" ht="12.75" customHeight="1" x14ac:dyDescent="0.2">
      <c r="B41" s="60"/>
      <c r="C41" s="58"/>
      <c r="D41" s="50"/>
      <c r="E41" s="50"/>
      <c r="F41" s="58"/>
    </row>
    <row r="42" spans="2:10" ht="12.75" customHeight="1" x14ac:dyDescent="0.2">
      <c r="B42" s="60"/>
      <c r="C42" s="58"/>
      <c r="D42" s="50"/>
      <c r="E42" s="50"/>
      <c r="F42" s="58"/>
    </row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>
      <c r="B48" s="54"/>
      <c r="C48" s="54"/>
      <c r="D48" s="50"/>
      <c r="E48" s="50"/>
      <c r="F48" s="58"/>
    </row>
    <row r="49" spans="2:6" ht="12.75" customHeight="1" x14ac:dyDescent="0.2">
      <c r="F49" s="52"/>
    </row>
    <row r="50" spans="2:6" ht="12.75" customHeight="1" x14ac:dyDescent="0.2">
      <c r="F50" s="52"/>
    </row>
    <row r="51" spans="2:6" ht="12.75" customHeight="1" x14ac:dyDescent="0.2">
      <c r="F51" s="52"/>
    </row>
    <row r="52" spans="2:6" ht="12.75" customHeight="1" x14ac:dyDescent="0.2">
      <c r="F52" s="52"/>
    </row>
    <row r="53" spans="2:6" ht="12.75" customHeight="1" x14ac:dyDescent="0.2">
      <c r="F53" s="52"/>
    </row>
    <row r="54" spans="2:6" ht="12.75" customHeight="1" x14ac:dyDescent="0.2">
      <c r="F54" s="52"/>
    </row>
    <row r="55" spans="2:6" ht="12.75" customHeight="1" x14ac:dyDescent="0.2">
      <c r="F55" s="52"/>
    </row>
    <row r="56" spans="2:6" ht="12.75" customHeight="1" x14ac:dyDescent="0.2">
      <c r="F56" s="52"/>
    </row>
    <row r="57" spans="2:6" ht="12.75" customHeight="1" x14ac:dyDescent="0.2">
      <c r="F57" s="52"/>
    </row>
    <row r="58" spans="2:6" ht="12.75" customHeight="1" x14ac:dyDescent="0.2">
      <c r="F58" s="52"/>
    </row>
    <row r="59" spans="2:6" ht="12.75" customHeight="1" x14ac:dyDescent="0.2">
      <c r="F59" s="52"/>
    </row>
    <row r="60" spans="2:6" ht="12.75" customHeight="1" x14ac:dyDescent="0.2">
      <c r="B60" s="50"/>
      <c r="C60" s="50"/>
      <c r="D60" s="50"/>
      <c r="E60" s="50"/>
      <c r="F60" s="55"/>
    </row>
    <row r="61" spans="2:6" ht="12.75" customHeight="1" x14ac:dyDescent="0.2">
      <c r="B61" s="61"/>
    </row>
    <row r="62" spans="2:6" ht="12.75" customHeight="1" x14ac:dyDescent="0.2"/>
    <row r="63" spans="2:6" ht="12.75" customHeight="1" x14ac:dyDescent="0.2"/>
    <row r="64" spans="2: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15</vt:i4>
      </vt:variant>
    </vt:vector>
  </HeadingPairs>
  <TitlesOfParts>
    <vt:vector size="37" baseType="lpstr"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2025 v2</vt:lpstr>
      <vt:lpstr>Karim Noori 2025</vt:lpstr>
      <vt:lpstr>Marc-Olivier Poulin 2025</vt:lpstr>
      <vt:lpstr>Tommy Martel Diotte 2024</vt:lpstr>
      <vt:lpstr>Rémi Dubreuil 2025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'Kaven Bonneau 2024'!Zone_d_impression</vt:lpstr>
      <vt:lpstr>'Kaven Bonneau v2 2024'!Zone_d_impression</vt:lpstr>
      <vt:lpstr>'Marc-Olivier Poulin 2025'!Zone_d_impression</vt:lpstr>
      <vt:lpstr>'Rémi Dubreuil 2025'!Zone_d_impression</vt:lpstr>
      <vt:lpstr>'Sebastien Fleury 2025'!Zone_d_impression</vt:lpstr>
      <vt:lpstr>'Tommy Martel Diotte 2024'!Zone_d_impression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2025-05-12T21:53:23Z</dcterms:modified>
</cp:coreProperties>
</file>