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omments2.xml" ContentType="application/vnd.openxmlformats-officedocument.spreadsheetml.comments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Mon disque\Compta\fin de mois\2025\07. Juillet\"/>
    </mc:Choice>
  </mc:AlternateContent>
  <bookViews>
    <workbookView xWindow="-120" yWindow="-120" windowWidth="29040" windowHeight="15720" tabRatio="812" activeTab="12"/>
  </bookViews>
  <sheets>
    <sheet name="SOMMAIRE" sheetId="25" r:id="rId1"/>
    <sheet name="Kaven Bonneau v2 2024" sheetId="64" state="hidden" r:id="rId2"/>
    <sheet name="Guillaume Raymond v2 2024 " sheetId="63" state="hidden" r:id="rId3"/>
    <sheet name="Guillaume Raymond 2024" sheetId="61" state="hidden" r:id="rId4"/>
    <sheet name="Sebastien Fleury 2025" sheetId="67" state="hidden" r:id="rId5"/>
    <sheet name="Karim Noori 2024" sheetId="55" state="hidden" r:id="rId6"/>
    <sheet name="Alexandre Paradis 2025" sheetId="68" state="hidden" r:id="rId7"/>
    <sheet name="Alexandre Paradis 2025 v2" sheetId="69" r:id="rId8"/>
    <sheet name="Karim Noori 2025" sheetId="72" r:id="rId9"/>
    <sheet name="Marc-Olivier Poulin 2025" sheetId="66" state="hidden" r:id="rId10"/>
    <sheet name="Chris Ayel 2025" sheetId="73" r:id="rId11"/>
    <sheet name="Tommy Martel Diotte 2024" sheetId="62" r:id="rId12"/>
    <sheet name="Rémi Dubreuil 2025" sheetId="56" r:id="rId13"/>
    <sheet name="Print_Mois (2)" sheetId="74" r:id="rId14"/>
    <sheet name="Kaven Bonneau 2024" sheetId="58" state="hidden" r:id="rId15"/>
    <sheet name="Vincent Metayer 2023" sheetId="60" state="hidden" r:id="rId16"/>
    <sheet name="Claudia Pantalena" sheetId="52" state="hidden" r:id="rId17"/>
    <sheet name="Kaven Bonneau 2023-01 à 03" sheetId="54" state="hidden" r:id="rId18"/>
    <sheet name="Karim Noori 2023-01 seulement" sheetId="57" state="hidden" r:id="rId19"/>
    <sheet name="Simon Bénard" sheetId="43" state="hidden" r:id="rId20"/>
    <sheet name="Jean-Marc Monnier 2023" sheetId="53" state="hidden" r:id="rId21"/>
    <sheet name="H2" sheetId="15" state="hidden" r:id="rId22"/>
    <sheet name="Karim Noori (feb 22)" sheetId="46" state="hidden" r:id="rId23"/>
    <sheet name="Marie Eve Légaré" sheetId="34" state="hidden" r:id="rId24"/>
  </sheets>
  <definedNames>
    <definedName name="Ticker">#REF!</definedName>
    <definedName name="_xlnm.Print_Area" localSheetId="6">'Alexandre Paradis 2025'!$B$1:$S$36</definedName>
    <definedName name="_xlnm.Print_Area" localSheetId="7">'Alexandre Paradis 2025 v2'!$B$1:$S$44</definedName>
    <definedName name="_xlnm.Print_Area" localSheetId="10">'Chris Ayel 2025'!$B$1:$S$30</definedName>
    <definedName name="_xlnm.Print_Area" localSheetId="16">'Claudia Pantalena'!$B$1:$S$54</definedName>
    <definedName name="_xlnm.Print_Area" localSheetId="3">'Guillaume Raymond 2024'!$B$1:$S$37</definedName>
    <definedName name="_xlnm.Print_Area" localSheetId="2">'Guillaume Raymond v2 2024 '!$B$1:$S$36</definedName>
    <definedName name="_xlnm.Print_Area" localSheetId="20">'Jean-Marc Monnier 2023'!$B$1:$S$35</definedName>
    <definedName name="_xlnm.Print_Area" localSheetId="5">'Karim Noori 2024'!$B$1:$S$36</definedName>
    <definedName name="_xlnm.Print_Area" localSheetId="8">'Karim Noori 2025'!$B$1:$S$44</definedName>
    <definedName name="_xlnm.Print_Area" localSheetId="14">'Kaven Bonneau 2024'!$B$1:$S$47</definedName>
    <definedName name="_xlnm.Print_Area" localSheetId="1">'Kaven Bonneau v2 2024'!$B$1:$S$58</definedName>
    <definedName name="_xlnm.Print_Area" localSheetId="9">'Marc-Olivier Poulin 2025'!$B$1:$S$34</definedName>
    <definedName name="_xlnm.Print_Area" localSheetId="13">'Print_Mois (2)'!$C$1:$S$353,'Print_Mois (2)'!$V$402:$AO$498</definedName>
    <definedName name="_xlnm.Print_Area" localSheetId="12">'Rémi Dubreuil 2025'!$B$1:$S$37</definedName>
    <definedName name="_xlnm.Print_Area" localSheetId="4">'Sebastien Fleury 2025'!$B$1:$S$36</definedName>
    <definedName name="_xlnm.Print_Area" localSheetId="11">'Tommy Martel Diotte 2024'!$B$1:$S$49</definedName>
    <definedName name="_xlnm.Print_Area" localSheetId="15">'Vincent Metayer 2023'!$B$1:$S$10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" i="25" l="1"/>
  <c r="S17" i="56"/>
  <c r="R17" i="56"/>
  <c r="Q17" i="56"/>
  <c r="P17" i="56"/>
  <c r="O17" i="56"/>
  <c r="S15" i="56"/>
  <c r="S18" i="56" s="1"/>
  <c r="R15" i="56"/>
  <c r="R18" i="56" s="1"/>
  <c r="Q15" i="56"/>
  <c r="Q18" i="56" s="1"/>
  <c r="P15" i="56"/>
  <c r="P18" i="56" s="1"/>
  <c r="O15" i="56"/>
  <c r="O18" i="56" s="1"/>
  <c r="S14" i="56"/>
  <c r="S16" i="56" s="1"/>
  <c r="R14" i="56"/>
  <c r="R16" i="56" s="1"/>
  <c r="Q14" i="56"/>
  <c r="Q16" i="56" s="1"/>
  <c r="P14" i="56"/>
  <c r="P16" i="56" s="1"/>
  <c r="O14" i="56"/>
  <c r="O16" i="56" s="1"/>
  <c r="N14" i="56"/>
  <c r="N16" i="56" s="1"/>
  <c r="M17" i="56"/>
  <c r="M16" i="56"/>
  <c r="M15" i="56"/>
  <c r="M14" i="56"/>
  <c r="N17" i="56" l="1"/>
  <c r="N15" i="56"/>
  <c r="M18" i="56"/>
  <c r="S21" i="73"/>
  <c r="S23" i="73" s="1"/>
  <c r="R21" i="73"/>
  <c r="R23" i="73" s="1"/>
  <c r="Q21" i="73"/>
  <c r="Q23" i="73" s="1"/>
  <c r="P21" i="73"/>
  <c r="P23" i="73" s="1"/>
  <c r="O21" i="73"/>
  <c r="O25" i="73" s="1"/>
  <c r="N25" i="73"/>
  <c r="M25" i="73"/>
  <c r="S6" i="73"/>
  <c r="R6" i="73"/>
  <c r="Q6" i="73"/>
  <c r="P6" i="73"/>
  <c r="O6" i="73"/>
  <c r="N6" i="73"/>
  <c r="S5" i="73"/>
  <c r="R5" i="73"/>
  <c r="Q5" i="73"/>
  <c r="P5" i="73"/>
  <c r="O5" i="73"/>
  <c r="N5" i="73"/>
  <c r="K44" i="69"/>
  <c r="L4" i="56"/>
  <c r="L20" i="62"/>
  <c r="L4" i="62"/>
  <c r="S29" i="56"/>
  <c r="R29" i="56"/>
  <c r="Q29" i="56"/>
  <c r="P29" i="56"/>
  <c r="O29" i="56"/>
  <c r="N29" i="56"/>
  <c r="M29" i="56"/>
  <c r="L29" i="56"/>
  <c r="N18" i="56" l="1"/>
  <c r="R15" i="73"/>
  <c r="R17" i="73" s="1"/>
  <c r="S15" i="73"/>
  <c r="S17" i="73" s="1"/>
  <c r="M7" i="73"/>
  <c r="M9" i="73" s="1"/>
  <c r="M23" i="73"/>
  <c r="N7" i="73"/>
  <c r="N9" i="73" s="1"/>
  <c r="N15" i="73"/>
  <c r="N17" i="73" s="1"/>
  <c r="O7" i="73"/>
  <c r="O9" i="73" s="1"/>
  <c r="N23" i="73"/>
  <c r="S7" i="73"/>
  <c r="S9" i="73" s="1"/>
  <c r="Q15" i="73"/>
  <c r="Q17" i="73" s="1"/>
  <c r="M24" i="73"/>
  <c r="M26" i="73" s="1"/>
  <c r="N24" i="73"/>
  <c r="O24" i="73"/>
  <c r="P15" i="73"/>
  <c r="P17" i="73" s="1"/>
  <c r="Q24" i="73"/>
  <c r="P7" i="73"/>
  <c r="P10" i="73" s="1"/>
  <c r="R24" i="73"/>
  <c r="S24" i="73"/>
  <c r="Q7" i="73"/>
  <c r="Q10" i="73" s="1"/>
  <c r="R7" i="73"/>
  <c r="R9" i="73" s="1"/>
  <c r="O15" i="73"/>
  <c r="O16" i="73" s="1"/>
  <c r="O23" i="73"/>
  <c r="O26" i="73" s="1"/>
  <c r="M16" i="73"/>
  <c r="M17" i="73"/>
  <c r="M18" i="73"/>
  <c r="P25" i="73"/>
  <c r="Q25" i="73"/>
  <c r="R25" i="73"/>
  <c r="S25" i="73"/>
  <c r="P24" i="73"/>
  <c r="S35" i="72"/>
  <c r="R35" i="72"/>
  <c r="Q35" i="72"/>
  <c r="Q37" i="72" s="1"/>
  <c r="Q40" i="72" s="1"/>
  <c r="P35" i="72"/>
  <c r="P39" i="72" s="1"/>
  <c r="O35" i="72"/>
  <c r="O39" i="72" s="1"/>
  <c r="O40" i="72" s="1"/>
  <c r="N35" i="72"/>
  <c r="N39" i="72" s="1"/>
  <c r="M35" i="72"/>
  <c r="M39" i="72" s="1"/>
  <c r="L35" i="72"/>
  <c r="L37" i="72" s="1"/>
  <c r="S28" i="72"/>
  <c r="S32" i="72" s="1"/>
  <c r="R28" i="72"/>
  <c r="Q28" i="72"/>
  <c r="P28" i="72"/>
  <c r="O28" i="72"/>
  <c r="N28" i="72"/>
  <c r="N31" i="72" s="1"/>
  <c r="M28" i="72"/>
  <c r="M30" i="72" s="1"/>
  <c r="M33" i="72" s="1"/>
  <c r="L28" i="72"/>
  <c r="L30" i="72" s="1"/>
  <c r="S21" i="72"/>
  <c r="R21" i="72"/>
  <c r="Q21" i="72"/>
  <c r="P21" i="72"/>
  <c r="O21" i="72"/>
  <c r="O22" i="72" s="1"/>
  <c r="O25" i="72" s="1"/>
  <c r="N21" i="72"/>
  <c r="M21" i="72"/>
  <c r="M22" i="72" s="1"/>
  <c r="M24" i="72" s="1"/>
  <c r="L21" i="72"/>
  <c r="S20" i="72"/>
  <c r="S22" i="72" s="1"/>
  <c r="R20" i="72"/>
  <c r="R22" i="72" s="1"/>
  <c r="R23" i="72" s="1"/>
  <c r="Q20" i="72"/>
  <c r="Q22" i="72" s="1"/>
  <c r="P20" i="72"/>
  <c r="P22" i="72" s="1"/>
  <c r="O20" i="72"/>
  <c r="N20" i="72"/>
  <c r="M20" i="72"/>
  <c r="L20" i="72"/>
  <c r="L22" i="72" s="1"/>
  <c r="L23" i="72" s="1"/>
  <c r="S13" i="72"/>
  <c r="R13" i="72"/>
  <c r="Q13" i="72"/>
  <c r="P13" i="72"/>
  <c r="O13" i="72"/>
  <c r="O14" i="72" s="1"/>
  <c r="N13" i="72"/>
  <c r="M13" i="72"/>
  <c r="L13" i="72"/>
  <c r="L14" i="72" s="1"/>
  <c r="L17" i="72" s="1"/>
  <c r="S12" i="72"/>
  <c r="S14" i="72" s="1"/>
  <c r="R12" i="72"/>
  <c r="R14" i="72" s="1"/>
  <c r="Q12" i="72"/>
  <c r="Q14" i="72" s="1"/>
  <c r="P12" i="72"/>
  <c r="O12" i="72"/>
  <c r="N12" i="72"/>
  <c r="M12" i="72"/>
  <c r="L12" i="72"/>
  <c r="S5" i="72"/>
  <c r="R5" i="72"/>
  <c r="Q5" i="72"/>
  <c r="P5" i="72"/>
  <c r="O5" i="72"/>
  <c r="N5" i="72"/>
  <c r="M5" i="72"/>
  <c r="S4" i="72"/>
  <c r="R4" i="72"/>
  <c r="R6" i="72" s="1"/>
  <c r="Q4" i="72"/>
  <c r="Q6" i="72" s="1"/>
  <c r="P4" i="72"/>
  <c r="P6" i="72" s="1"/>
  <c r="O4" i="72"/>
  <c r="O6" i="72" s="1"/>
  <c r="N4" i="72"/>
  <c r="M4" i="72"/>
  <c r="L5" i="72"/>
  <c r="L4" i="72"/>
  <c r="S52" i="72"/>
  <c r="S51" i="72"/>
  <c r="S50" i="72"/>
  <c r="S53" i="72" s="1"/>
  <c r="S55" i="72" s="1"/>
  <c r="S39" i="72"/>
  <c r="R39" i="72"/>
  <c r="Q39" i="72"/>
  <c r="S38" i="72"/>
  <c r="R38" i="72"/>
  <c r="Q38" i="72"/>
  <c r="P38" i="72"/>
  <c r="O38" i="72"/>
  <c r="N38" i="72"/>
  <c r="N40" i="72" s="1"/>
  <c r="S37" i="72"/>
  <c r="R37" i="72"/>
  <c r="P37" i="72"/>
  <c r="O37" i="72"/>
  <c r="N37" i="72"/>
  <c r="R32" i="72"/>
  <c r="Q32" i="72"/>
  <c r="P32" i="72"/>
  <c r="O32" i="72"/>
  <c r="M32" i="72"/>
  <c r="L32" i="72"/>
  <c r="S31" i="72"/>
  <c r="R31" i="72"/>
  <c r="Q31" i="72"/>
  <c r="P31" i="72"/>
  <c r="O31" i="72"/>
  <c r="M31" i="72"/>
  <c r="S30" i="72"/>
  <c r="R30" i="72"/>
  <c r="R33" i="72" s="1"/>
  <c r="Q30" i="72"/>
  <c r="Q33" i="72" s="1"/>
  <c r="P30" i="72"/>
  <c r="P33" i="72" s="1"/>
  <c r="O30" i="72"/>
  <c r="S6" i="72"/>
  <c r="S9" i="72" s="1"/>
  <c r="L6" i="72"/>
  <c r="L9" i="72" s="1"/>
  <c r="S32" i="69"/>
  <c r="R32" i="69"/>
  <c r="Q32" i="69"/>
  <c r="P32" i="69"/>
  <c r="O32" i="69"/>
  <c r="N32" i="69"/>
  <c r="M32" i="69"/>
  <c r="L32" i="69"/>
  <c r="S31" i="69"/>
  <c r="R31" i="69"/>
  <c r="Q31" i="69"/>
  <c r="P31" i="69"/>
  <c r="O31" i="69"/>
  <c r="N31" i="69"/>
  <c r="N33" i="69" s="1"/>
  <c r="M31" i="69"/>
  <c r="L31" i="69"/>
  <c r="S30" i="69"/>
  <c r="S33" i="69" s="1"/>
  <c r="R30" i="69"/>
  <c r="R33" i="69" s="1"/>
  <c r="Q30" i="69"/>
  <c r="Q33" i="69" s="1"/>
  <c r="P30" i="69"/>
  <c r="P33" i="69" s="1"/>
  <c r="O30" i="69"/>
  <c r="O33" i="69" s="1"/>
  <c r="N30" i="69"/>
  <c r="M30" i="69"/>
  <c r="M33" i="69" s="1"/>
  <c r="L30" i="69"/>
  <c r="L33" i="69" s="1"/>
  <c r="K32" i="69"/>
  <c r="S22" i="69"/>
  <c r="S23" i="69" s="1"/>
  <c r="R22" i="69"/>
  <c r="R23" i="69" s="1"/>
  <c r="Q22" i="69"/>
  <c r="Q25" i="69" s="1"/>
  <c r="P22" i="69"/>
  <c r="P25" i="69" s="1"/>
  <c r="O22" i="69"/>
  <c r="O25" i="69" s="1"/>
  <c r="N22" i="69"/>
  <c r="N25" i="69" s="1"/>
  <c r="M22" i="69"/>
  <c r="M25" i="69" s="1"/>
  <c r="L22" i="69"/>
  <c r="L25" i="69" s="1"/>
  <c r="O15" i="69"/>
  <c r="S14" i="69"/>
  <c r="S15" i="69" s="1"/>
  <c r="R14" i="69"/>
  <c r="R15" i="69" s="1"/>
  <c r="Q14" i="69"/>
  <c r="Q15" i="69" s="1"/>
  <c r="P14" i="69"/>
  <c r="P15" i="69" s="1"/>
  <c r="O14" i="69"/>
  <c r="O17" i="69" s="1"/>
  <c r="N14" i="69"/>
  <c r="N17" i="69" s="1"/>
  <c r="M14" i="69"/>
  <c r="M17" i="69" s="1"/>
  <c r="L14" i="69"/>
  <c r="L17" i="69" s="1"/>
  <c r="K17" i="69"/>
  <c r="K16" i="69"/>
  <c r="K4" i="67"/>
  <c r="N32" i="72" l="1"/>
  <c r="N30" i="72"/>
  <c r="N6" i="72"/>
  <c r="N8" i="72" s="1"/>
  <c r="S16" i="73"/>
  <c r="R16" i="73"/>
  <c r="S18" i="73"/>
  <c r="R18" i="73"/>
  <c r="R19" i="73" s="1"/>
  <c r="N22" i="72"/>
  <c r="N24" i="72" s="1"/>
  <c r="N24" i="69"/>
  <c r="N18" i="73"/>
  <c r="N16" i="73"/>
  <c r="M37" i="72"/>
  <c r="M40" i="72" s="1"/>
  <c r="M38" i="72"/>
  <c r="M24" i="69"/>
  <c r="M14" i="72"/>
  <c r="M16" i="72" s="1"/>
  <c r="M16" i="69"/>
  <c r="M15" i="69"/>
  <c r="N14" i="72"/>
  <c r="N15" i="72" s="1"/>
  <c r="N8" i="73"/>
  <c r="N15" i="69"/>
  <c r="O16" i="69"/>
  <c r="S10" i="73"/>
  <c r="O18" i="69"/>
  <c r="O44" i="69" s="1"/>
  <c r="N16" i="69"/>
  <c r="N10" i="73"/>
  <c r="S8" i="73"/>
  <c r="O10" i="73"/>
  <c r="P14" i="72"/>
  <c r="P16" i="72" s="1"/>
  <c r="M6" i="72"/>
  <c r="M7" i="72" s="1"/>
  <c r="M8" i="73"/>
  <c r="M10" i="73"/>
  <c r="M11" i="73" s="1"/>
  <c r="R10" i="73"/>
  <c r="Q18" i="73"/>
  <c r="Q16" i="73"/>
  <c r="Q26" i="73"/>
  <c r="R8" i="73"/>
  <c r="Q9" i="73"/>
  <c r="S26" i="73"/>
  <c r="Q8" i="73"/>
  <c r="Q11" i="73" s="1"/>
  <c r="N26" i="73"/>
  <c r="O8" i="73"/>
  <c r="P18" i="73"/>
  <c r="P19" i="73" s="1"/>
  <c r="P16" i="73"/>
  <c r="P8" i="73"/>
  <c r="P9" i="73"/>
  <c r="P26" i="73"/>
  <c r="S19" i="73"/>
  <c r="R26" i="73"/>
  <c r="O18" i="73"/>
  <c r="O17" i="73"/>
  <c r="M19" i="73"/>
  <c r="M30" i="73" s="1"/>
  <c r="L24" i="72"/>
  <c r="L38" i="72"/>
  <c r="L40" i="72" s="1"/>
  <c r="L39" i="72"/>
  <c r="L31" i="72"/>
  <c r="P40" i="72"/>
  <c r="S40" i="72"/>
  <c r="R40" i="72"/>
  <c r="O33" i="72"/>
  <c r="L33" i="72"/>
  <c r="S33" i="72"/>
  <c r="P24" i="72"/>
  <c r="P23" i="72"/>
  <c r="P25" i="72"/>
  <c r="Q25" i="72"/>
  <c r="Q23" i="72"/>
  <c r="S23" i="72"/>
  <c r="S24" i="72"/>
  <c r="L25" i="72"/>
  <c r="L26" i="72" s="1"/>
  <c r="O7" i="72"/>
  <c r="O8" i="72"/>
  <c r="P7" i="72"/>
  <c r="P8" i="72"/>
  <c r="P9" i="72"/>
  <c r="R7" i="72"/>
  <c r="R8" i="72"/>
  <c r="R9" i="72"/>
  <c r="Q7" i="72"/>
  <c r="Q9" i="72"/>
  <c r="Q8" i="72"/>
  <c r="Q15" i="72"/>
  <c r="Q16" i="72"/>
  <c r="Q17" i="72"/>
  <c r="O16" i="72"/>
  <c r="O17" i="72"/>
  <c r="O15" i="72"/>
  <c r="M17" i="72"/>
  <c r="M15" i="72"/>
  <c r="P26" i="72"/>
  <c r="R15" i="72"/>
  <c r="R16" i="72"/>
  <c r="R17" i="72"/>
  <c r="S15" i="72"/>
  <c r="S17" i="72"/>
  <c r="S16" i="72"/>
  <c r="N7" i="72"/>
  <c r="S8" i="72"/>
  <c r="S7" i="72"/>
  <c r="S10" i="72" s="1"/>
  <c r="N9" i="72"/>
  <c r="L16" i="72"/>
  <c r="O24" i="72"/>
  <c r="R25" i="72"/>
  <c r="L8" i="72"/>
  <c r="O9" i="72"/>
  <c r="O10" i="72" s="1"/>
  <c r="M23" i="72"/>
  <c r="S25" i="72"/>
  <c r="N23" i="72"/>
  <c r="Q24" i="72"/>
  <c r="Q26" i="72" s="1"/>
  <c r="L7" i="72"/>
  <c r="L15" i="72"/>
  <c r="O23" i="72"/>
  <c r="O26" i="72" s="1"/>
  <c r="R24" i="72"/>
  <c r="M25" i="72"/>
  <c r="N25" i="72"/>
  <c r="L15" i="69"/>
  <c r="L16" i="69"/>
  <c r="L24" i="69"/>
  <c r="R25" i="69"/>
  <c r="O24" i="69"/>
  <c r="S25" i="69"/>
  <c r="L23" i="69"/>
  <c r="L26" i="69" s="1"/>
  <c r="P24" i="69"/>
  <c r="M23" i="69"/>
  <c r="M26" i="69" s="1"/>
  <c r="Q24" i="69"/>
  <c r="N23" i="69"/>
  <c r="N26" i="69" s="1"/>
  <c r="R24" i="69"/>
  <c r="R26" i="69" s="1"/>
  <c r="O23" i="69"/>
  <c r="S24" i="69"/>
  <c r="S26" i="69" s="1"/>
  <c r="P23" i="69"/>
  <c r="Q23" i="69"/>
  <c r="S17" i="69"/>
  <c r="P16" i="69"/>
  <c r="P18" i="69" s="1"/>
  <c r="P44" i="69" s="1"/>
  <c r="Q16" i="69"/>
  <c r="Q17" i="69"/>
  <c r="R17" i="69"/>
  <c r="R16" i="69"/>
  <c r="R18" i="69" s="1"/>
  <c r="R44" i="69" s="1"/>
  <c r="S16" i="69"/>
  <c r="P17" i="69"/>
  <c r="N33" i="72" l="1"/>
  <c r="N10" i="72"/>
  <c r="N19" i="73"/>
  <c r="Q19" i="73"/>
  <c r="Q30" i="73"/>
  <c r="R11" i="73"/>
  <c r="R30" i="73" s="1"/>
  <c r="O11" i="73"/>
  <c r="S11" i="73"/>
  <c r="S30" i="73" s="1"/>
  <c r="N11" i="73"/>
  <c r="N30" i="73" s="1"/>
  <c r="B6" i="25" s="1"/>
  <c r="N18" i="69"/>
  <c r="N16" i="72"/>
  <c r="N17" i="72"/>
  <c r="M18" i="69"/>
  <c r="P15" i="72"/>
  <c r="Q18" i="69"/>
  <c r="Q44" i="69" s="1"/>
  <c r="S18" i="69"/>
  <c r="S44" i="69" s="1"/>
  <c r="P17" i="72"/>
  <c r="M9" i="72"/>
  <c r="M8" i="72"/>
  <c r="O19" i="73"/>
  <c r="P11" i="73"/>
  <c r="P30" i="73" s="1"/>
  <c r="M26" i="72"/>
  <c r="S26" i="72"/>
  <c r="R26" i="72"/>
  <c r="Q18" i="72"/>
  <c r="Q44" i="72" s="1"/>
  <c r="R10" i="72"/>
  <c r="Q10" i="72"/>
  <c r="P10" i="72"/>
  <c r="L10" i="72"/>
  <c r="N26" i="72"/>
  <c r="S18" i="72"/>
  <c r="S44" i="72" s="1"/>
  <c r="O18" i="72"/>
  <c r="O44" i="72" s="1"/>
  <c r="P18" i="72"/>
  <c r="P44" i="72" s="1"/>
  <c r="M18" i="72"/>
  <c r="L18" i="72"/>
  <c r="K44" i="72"/>
  <c r="R18" i="72"/>
  <c r="R44" i="72" s="1"/>
  <c r="L18" i="69"/>
  <c r="L44" i="69" s="1"/>
  <c r="P26" i="69"/>
  <c r="Q26" i="69"/>
  <c r="O26" i="69"/>
  <c r="N18" i="72" l="1"/>
  <c r="N44" i="72" s="1"/>
  <c r="B7" i="25" s="1"/>
  <c r="O30" i="73"/>
  <c r="M10" i="72"/>
  <c r="M44" i="72" s="1"/>
  <c r="L44" i="72"/>
  <c r="K31" i="69"/>
  <c r="K30" i="69"/>
  <c r="E7" i="25" l="1"/>
  <c r="B14" i="25" s="1"/>
  <c r="D7" i="25"/>
  <c r="K22" i="69"/>
  <c r="S39" i="69"/>
  <c r="R39" i="69"/>
  <c r="Q39" i="69"/>
  <c r="P39" i="69"/>
  <c r="O39" i="69"/>
  <c r="N39" i="69"/>
  <c r="M39" i="69"/>
  <c r="L39" i="69"/>
  <c r="K39" i="69"/>
  <c r="S38" i="69"/>
  <c r="R38" i="69"/>
  <c r="Q38" i="69"/>
  <c r="P38" i="69"/>
  <c r="O38" i="69"/>
  <c r="N38" i="69"/>
  <c r="M38" i="69"/>
  <c r="L38" i="69"/>
  <c r="K38" i="69"/>
  <c r="S37" i="69"/>
  <c r="R37" i="69"/>
  <c r="Q37" i="69"/>
  <c r="P37" i="69"/>
  <c r="O37" i="69"/>
  <c r="N37" i="69"/>
  <c r="M37" i="69"/>
  <c r="L37" i="69"/>
  <c r="K37" i="69"/>
  <c r="K14" i="69"/>
  <c r="S13" i="69"/>
  <c r="R13" i="69"/>
  <c r="Q13" i="69"/>
  <c r="P13" i="69"/>
  <c r="O13" i="69"/>
  <c r="S12" i="69"/>
  <c r="R12" i="69"/>
  <c r="Q12" i="69"/>
  <c r="P12" i="69"/>
  <c r="O12" i="69"/>
  <c r="S6" i="69"/>
  <c r="S9" i="69" s="1"/>
  <c r="R6" i="69"/>
  <c r="R9" i="69" s="1"/>
  <c r="Q6" i="69"/>
  <c r="Q9" i="69" s="1"/>
  <c r="P6" i="69"/>
  <c r="P8" i="69" s="1"/>
  <c r="O6" i="69"/>
  <c r="O8" i="69" s="1"/>
  <c r="N6" i="69"/>
  <c r="N8" i="69" s="1"/>
  <c r="M6" i="69"/>
  <c r="M7" i="69" s="1"/>
  <c r="L6" i="69"/>
  <c r="L7" i="69" s="1"/>
  <c r="K6" i="69"/>
  <c r="K7" i="69" s="1"/>
  <c r="S52" i="69"/>
  <c r="S51" i="69"/>
  <c r="S50" i="69"/>
  <c r="K14" i="62"/>
  <c r="J36" i="68"/>
  <c r="O7" i="69" l="1"/>
  <c r="K24" i="69"/>
  <c r="K23" i="69"/>
  <c r="K25" i="69"/>
  <c r="N40" i="69"/>
  <c r="P40" i="69"/>
  <c r="O40" i="69"/>
  <c r="P7" i="69"/>
  <c r="Q7" i="69"/>
  <c r="R7" i="69"/>
  <c r="R8" i="69"/>
  <c r="R10" i="69" s="1"/>
  <c r="S7" i="69"/>
  <c r="Q8" i="69"/>
  <c r="S8" i="69"/>
  <c r="S53" i="69"/>
  <c r="S55" i="69" s="1"/>
  <c r="Q40" i="69"/>
  <c r="K33" i="69"/>
  <c r="S40" i="69"/>
  <c r="K40" i="69"/>
  <c r="L40" i="69"/>
  <c r="R40" i="69"/>
  <c r="N7" i="69"/>
  <c r="M40" i="69"/>
  <c r="K15" i="69"/>
  <c r="K18" i="69" s="1"/>
  <c r="K9" i="69"/>
  <c r="N9" i="69"/>
  <c r="L8" i="69"/>
  <c r="M8" i="69"/>
  <c r="P9" i="69"/>
  <c r="K8" i="69"/>
  <c r="O9" i="69"/>
  <c r="O10" i="69" s="1"/>
  <c r="L9" i="69"/>
  <c r="M9" i="69"/>
  <c r="J36" i="67"/>
  <c r="V13" i="67"/>
  <c r="V12" i="67"/>
  <c r="K26" i="69" l="1"/>
  <c r="P10" i="69"/>
  <c r="N10" i="69"/>
  <c r="N44" i="69" s="1"/>
  <c r="B8" i="25" s="1"/>
  <c r="Q10" i="69"/>
  <c r="S10" i="69"/>
  <c r="M10" i="69"/>
  <c r="M44" i="69" s="1"/>
  <c r="L10" i="69"/>
  <c r="K10" i="69"/>
  <c r="V14" i="67"/>
  <c r="B13" i="25" l="1"/>
  <c r="V5" i="67"/>
  <c r="V4" i="67"/>
  <c r="J5" i="67"/>
  <c r="V6" i="67" l="1"/>
  <c r="S17" i="66" l="1"/>
  <c r="R17" i="66"/>
  <c r="Q17" i="66"/>
  <c r="P17" i="66"/>
  <c r="O17" i="66"/>
  <c r="N17" i="66"/>
  <c r="M17" i="66"/>
  <c r="M18" i="66" s="1"/>
  <c r="L17" i="66"/>
  <c r="I17" i="66"/>
  <c r="S16" i="66"/>
  <c r="R16" i="66"/>
  <c r="Q16" i="66"/>
  <c r="P16" i="66"/>
  <c r="O16" i="66"/>
  <c r="N16" i="66"/>
  <c r="M16" i="66"/>
  <c r="L16" i="66"/>
  <c r="L18" i="66" s="1"/>
  <c r="I16" i="66"/>
  <c r="S15" i="66"/>
  <c r="S18" i="66" s="1"/>
  <c r="R15" i="66"/>
  <c r="R18" i="66" s="1"/>
  <c r="Q15" i="66"/>
  <c r="Q18" i="66" s="1"/>
  <c r="P15" i="66"/>
  <c r="P18" i="66" s="1"/>
  <c r="O15" i="66"/>
  <c r="O18" i="66" s="1"/>
  <c r="N15" i="66"/>
  <c r="N18" i="66" s="1"/>
  <c r="M15" i="66"/>
  <c r="L15" i="66"/>
  <c r="I15" i="66"/>
  <c r="I18" i="66" s="1"/>
  <c r="H16" i="66"/>
  <c r="H17" i="66"/>
  <c r="H15" i="66"/>
  <c r="O26" i="67"/>
  <c r="N26" i="67"/>
  <c r="I26" i="67"/>
  <c r="S25" i="67"/>
  <c r="R25" i="67"/>
  <c r="Q25" i="67"/>
  <c r="P25" i="67"/>
  <c r="O25" i="67"/>
  <c r="N25" i="67"/>
  <c r="M25" i="67"/>
  <c r="M26" i="67" s="1"/>
  <c r="L25" i="67"/>
  <c r="L26" i="67" s="1"/>
  <c r="I25" i="67"/>
  <c r="S24" i="67"/>
  <c r="R24" i="67"/>
  <c r="Q24" i="67"/>
  <c r="P24" i="67"/>
  <c r="O24" i="67"/>
  <c r="N24" i="67"/>
  <c r="M24" i="67"/>
  <c r="L24" i="67"/>
  <c r="I24" i="67"/>
  <c r="S23" i="67"/>
  <c r="S26" i="67" s="1"/>
  <c r="R23" i="67"/>
  <c r="R26" i="67" s="1"/>
  <c r="Q23" i="67"/>
  <c r="Q26" i="67" s="1"/>
  <c r="P23" i="67"/>
  <c r="P26" i="67" s="1"/>
  <c r="O23" i="67"/>
  <c r="N23" i="67"/>
  <c r="M23" i="67"/>
  <c r="L23" i="67"/>
  <c r="I23" i="67"/>
  <c r="H24" i="67"/>
  <c r="H25" i="67"/>
  <c r="H23" i="67"/>
  <c r="I16" i="68"/>
  <c r="K29" i="56" l="1"/>
  <c r="J29" i="56"/>
  <c r="I29" i="56"/>
  <c r="H29" i="56"/>
  <c r="J13" i="68"/>
  <c r="J16" i="68" s="1"/>
  <c r="J12" i="68"/>
  <c r="H13" i="68"/>
  <c r="H16" i="68" s="1"/>
  <c r="H12" i="68"/>
  <c r="S44" i="68" l="1"/>
  <c r="S43" i="68"/>
  <c r="S42" i="68"/>
  <c r="J31" i="68"/>
  <c r="I31" i="68"/>
  <c r="H31" i="68"/>
  <c r="J30" i="68"/>
  <c r="I30" i="68"/>
  <c r="H30" i="68"/>
  <c r="J29" i="68"/>
  <c r="J32" i="68" s="1"/>
  <c r="I29" i="68"/>
  <c r="I32" i="68" s="1"/>
  <c r="H29" i="68"/>
  <c r="H32" i="68" s="1"/>
  <c r="J24" i="68"/>
  <c r="I24" i="68"/>
  <c r="H24" i="68"/>
  <c r="J23" i="68"/>
  <c r="I23" i="68"/>
  <c r="H23" i="68"/>
  <c r="J22" i="68"/>
  <c r="I22" i="68"/>
  <c r="H22" i="68"/>
  <c r="J14" i="68"/>
  <c r="I14" i="68"/>
  <c r="H14" i="68"/>
  <c r="J6" i="68"/>
  <c r="J9" i="68" s="1"/>
  <c r="I6" i="68"/>
  <c r="I9" i="68" s="1"/>
  <c r="H6" i="68"/>
  <c r="H9" i="68" s="1"/>
  <c r="S47" i="62"/>
  <c r="P47" i="62"/>
  <c r="S30" i="62"/>
  <c r="R30" i="62"/>
  <c r="Q30" i="62"/>
  <c r="P30" i="62"/>
  <c r="O30" i="62"/>
  <c r="S25" i="62"/>
  <c r="O25" i="62"/>
  <c r="S24" i="62"/>
  <c r="R24" i="62"/>
  <c r="O24" i="62"/>
  <c r="S23" i="62"/>
  <c r="S26" i="62" s="1"/>
  <c r="R23" i="62"/>
  <c r="Q23" i="62"/>
  <c r="S22" i="62"/>
  <c r="R22" i="62"/>
  <c r="R25" i="62" s="1"/>
  <c r="Q22" i="62"/>
  <c r="Q24" i="62" s="1"/>
  <c r="P22" i="62"/>
  <c r="P23" i="62" s="1"/>
  <c r="O22" i="62"/>
  <c r="O23" i="62" s="1"/>
  <c r="O26" i="62" s="1"/>
  <c r="N22" i="62"/>
  <c r="N25" i="62" s="1"/>
  <c r="M22" i="62"/>
  <c r="M23" i="62" s="1"/>
  <c r="L22" i="62"/>
  <c r="L24" i="62" s="1"/>
  <c r="K22" i="62"/>
  <c r="K23" i="62" s="1"/>
  <c r="J22" i="62"/>
  <c r="J24" i="62" s="1"/>
  <c r="I22" i="62"/>
  <c r="I23" i="62" s="1"/>
  <c r="O18" i="62"/>
  <c r="S17" i="62"/>
  <c r="O17" i="62"/>
  <c r="S16" i="62"/>
  <c r="R16" i="62"/>
  <c r="O16" i="62"/>
  <c r="S15" i="62"/>
  <c r="S18" i="62" s="1"/>
  <c r="R15" i="62"/>
  <c r="R18" i="62" s="1"/>
  <c r="Q15" i="62"/>
  <c r="O15" i="62"/>
  <c r="S14" i="62"/>
  <c r="R14" i="62"/>
  <c r="R17" i="62" s="1"/>
  <c r="Q14" i="62"/>
  <c r="Q16" i="62" s="1"/>
  <c r="P14" i="62"/>
  <c r="P15" i="62" s="1"/>
  <c r="O14" i="62"/>
  <c r="N14" i="62"/>
  <c r="N17" i="62" s="1"/>
  <c r="M14" i="62"/>
  <c r="M17" i="62" s="1"/>
  <c r="L14" i="62"/>
  <c r="L16" i="62" s="1"/>
  <c r="K15" i="62"/>
  <c r="J14" i="62"/>
  <c r="J17" i="62" s="1"/>
  <c r="I14" i="62"/>
  <c r="I15" i="62" s="1"/>
  <c r="S9" i="62"/>
  <c r="O9" i="62"/>
  <c r="S8" i="62"/>
  <c r="S7" i="62"/>
  <c r="S10" i="62" s="1"/>
  <c r="Q7" i="62"/>
  <c r="S6" i="62"/>
  <c r="R6" i="62"/>
  <c r="R9" i="62" s="1"/>
  <c r="Q6" i="62"/>
  <c r="Q8" i="62" s="1"/>
  <c r="P6" i="62"/>
  <c r="P7" i="62" s="1"/>
  <c r="O6" i="62"/>
  <c r="O7" i="62" s="1"/>
  <c r="N6" i="62"/>
  <c r="N7" i="62" s="1"/>
  <c r="M6" i="62"/>
  <c r="M8" i="62" s="1"/>
  <c r="L6" i="62"/>
  <c r="L7" i="62" s="1"/>
  <c r="K7" i="62"/>
  <c r="J6" i="62"/>
  <c r="J7" i="62" s="1"/>
  <c r="I6" i="62"/>
  <c r="I9" i="62" s="1"/>
  <c r="S34" i="62"/>
  <c r="S37" i="62" s="1"/>
  <c r="P34" i="62"/>
  <c r="P37" i="62" s="1"/>
  <c r="M34" i="62"/>
  <c r="M35" i="62" s="1"/>
  <c r="S44" i="62"/>
  <c r="S43" i="62"/>
  <c r="S42" i="62"/>
  <c r="P44" i="62"/>
  <c r="P43" i="62"/>
  <c r="P42" i="62"/>
  <c r="M44" i="62"/>
  <c r="M43" i="62"/>
  <c r="M42" i="62"/>
  <c r="S25" i="56"/>
  <c r="O25" i="56"/>
  <c r="S24" i="56"/>
  <c r="R24" i="56"/>
  <c r="S23" i="56"/>
  <c r="S26" i="56" s="1"/>
  <c r="R23" i="56"/>
  <c r="R26" i="56" s="1"/>
  <c r="Q23" i="56"/>
  <c r="S22" i="56"/>
  <c r="R22" i="56"/>
  <c r="R25" i="56" s="1"/>
  <c r="Q22" i="56"/>
  <c r="Q24" i="56" s="1"/>
  <c r="P22" i="56"/>
  <c r="P23" i="56" s="1"/>
  <c r="O22" i="56"/>
  <c r="O23" i="56" s="1"/>
  <c r="N22" i="56"/>
  <c r="N23" i="56" s="1"/>
  <c r="M22" i="56"/>
  <c r="M24" i="56" s="1"/>
  <c r="L22" i="56"/>
  <c r="L24" i="56" s="1"/>
  <c r="K22" i="56"/>
  <c r="K24" i="56" s="1"/>
  <c r="J22" i="56"/>
  <c r="J23" i="56" s="1"/>
  <c r="I22" i="56"/>
  <c r="I23" i="56" s="1"/>
  <c r="H22" i="56"/>
  <c r="L14" i="56"/>
  <c r="L16" i="56" s="1"/>
  <c r="K14" i="56"/>
  <c r="K15" i="56" s="1"/>
  <c r="J14" i="56"/>
  <c r="J16" i="56" s="1"/>
  <c r="I14" i="56"/>
  <c r="I15" i="56" s="1"/>
  <c r="S9" i="56"/>
  <c r="O9" i="56"/>
  <c r="S8" i="56"/>
  <c r="R8" i="56"/>
  <c r="I8" i="56"/>
  <c r="S7" i="56"/>
  <c r="S10" i="56" s="1"/>
  <c r="R7" i="56"/>
  <c r="R10" i="56" s="1"/>
  <c r="Q7" i="56"/>
  <c r="S6" i="56"/>
  <c r="R6" i="56"/>
  <c r="R9" i="56" s="1"/>
  <c r="Q6" i="56"/>
  <c r="Q8" i="56" s="1"/>
  <c r="P6" i="56"/>
  <c r="P7" i="56" s="1"/>
  <c r="O6" i="56"/>
  <c r="O7" i="56" s="1"/>
  <c r="N6" i="56"/>
  <c r="N7" i="56" s="1"/>
  <c r="M8" i="56"/>
  <c r="L6" i="56"/>
  <c r="L9" i="56" s="1"/>
  <c r="K6" i="56"/>
  <c r="K8" i="56" s="1"/>
  <c r="J6" i="56"/>
  <c r="J7" i="56" s="1"/>
  <c r="I6" i="56"/>
  <c r="I9" i="56" s="1"/>
  <c r="R24" i="66"/>
  <c r="Q24" i="66"/>
  <c r="P24" i="66"/>
  <c r="O24" i="66"/>
  <c r="N24" i="66"/>
  <c r="N25" i="66" s="1"/>
  <c r="M24" i="66"/>
  <c r="M25" i="66" s="1"/>
  <c r="L24" i="66"/>
  <c r="L25" i="66" s="1"/>
  <c r="K24" i="66"/>
  <c r="J24" i="66"/>
  <c r="I24" i="66"/>
  <c r="H24" i="66"/>
  <c r="R23" i="66"/>
  <c r="Q23" i="66"/>
  <c r="P23" i="66"/>
  <c r="O23" i="66"/>
  <c r="N23" i="66"/>
  <c r="M23" i="66"/>
  <c r="L23" i="66"/>
  <c r="K23" i="66"/>
  <c r="J23" i="66"/>
  <c r="I23" i="66"/>
  <c r="H23" i="66"/>
  <c r="R22" i="66"/>
  <c r="Q22" i="66"/>
  <c r="P22" i="66"/>
  <c r="O22" i="66"/>
  <c r="N22" i="66"/>
  <c r="M22" i="66"/>
  <c r="L22" i="66"/>
  <c r="K22" i="66"/>
  <c r="J22" i="66"/>
  <c r="I22" i="66"/>
  <c r="H22" i="66"/>
  <c r="R31" i="66"/>
  <c r="Q31" i="66"/>
  <c r="P31" i="66"/>
  <c r="O31" i="66"/>
  <c r="N31" i="66"/>
  <c r="M31" i="66"/>
  <c r="L31" i="66"/>
  <c r="K31" i="66"/>
  <c r="J31" i="66"/>
  <c r="I31" i="66"/>
  <c r="I32" i="66" s="1"/>
  <c r="H31" i="66"/>
  <c r="H32" i="66" s="1"/>
  <c r="R30" i="66"/>
  <c r="Q30" i="66"/>
  <c r="P30" i="66"/>
  <c r="O30" i="66"/>
  <c r="N30" i="66"/>
  <c r="M30" i="66"/>
  <c r="L30" i="66"/>
  <c r="K30" i="66"/>
  <c r="J30" i="66"/>
  <c r="I30" i="66"/>
  <c r="H30" i="66"/>
  <c r="R29" i="66"/>
  <c r="Q29" i="66"/>
  <c r="P29" i="66"/>
  <c r="O29" i="66"/>
  <c r="N29" i="66"/>
  <c r="M29" i="66"/>
  <c r="L29" i="66"/>
  <c r="K29" i="66"/>
  <c r="J29" i="66"/>
  <c r="I29" i="66"/>
  <c r="H29" i="66"/>
  <c r="S31" i="66"/>
  <c r="S30" i="66"/>
  <c r="S29" i="66"/>
  <c r="S14" i="66"/>
  <c r="R14" i="66"/>
  <c r="Q14" i="66"/>
  <c r="P14" i="66"/>
  <c r="O14" i="66"/>
  <c r="N14" i="66"/>
  <c r="M14" i="66"/>
  <c r="L14" i="66"/>
  <c r="K14" i="66"/>
  <c r="J14" i="66"/>
  <c r="I14" i="66"/>
  <c r="S6" i="66"/>
  <c r="S9" i="66" s="1"/>
  <c r="R6" i="66"/>
  <c r="R9" i="66" s="1"/>
  <c r="Q6" i="66"/>
  <c r="Q8" i="66" s="1"/>
  <c r="P6" i="66"/>
  <c r="P7" i="66" s="1"/>
  <c r="O6" i="66"/>
  <c r="O7" i="66" s="1"/>
  <c r="N6" i="66"/>
  <c r="N7" i="66" s="1"/>
  <c r="M6" i="66"/>
  <c r="M9" i="66" s="1"/>
  <c r="L6" i="66"/>
  <c r="L8" i="66" s="1"/>
  <c r="K6" i="66"/>
  <c r="K7" i="66" s="1"/>
  <c r="J6" i="66"/>
  <c r="J8" i="66" s="1"/>
  <c r="I6" i="66"/>
  <c r="I8" i="66" s="1"/>
  <c r="H6" i="66"/>
  <c r="H7" i="66" s="1"/>
  <c r="S42" i="66"/>
  <c r="S41" i="66"/>
  <c r="S40" i="66"/>
  <c r="S43" i="67"/>
  <c r="S42" i="67"/>
  <c r="S41" i="67"/>
  <c r="S44" i="67" s="1"/>
  <c r="O32" i="67"/>
  <c r="S31" i="67"/>
  <c r="Q31" i="67"/>
  <c r="P31" i="67"/>
  <c r="O31" i="67"/>
  <c r="N31" i="67"/>
  <c r="M31" i="67"/>
  <c r="L31" i="67"/>
  <c r="L32" i="67" s="1"/>
  <c r="K31" i="67"/>
  <c r="J31" i="67"/>
  <c r="I31" i="67"/>
  <c r="H31" i="67"/>
  <c r="S30" i="67"/>
  <c r="Q30" i="67"/>
  <c r="P30" i="67"/>
  <c r="O30" i="67"/>
  <c r="N30" i="67"/>
  <c r="M30" i="67"/>
  <c r="L30" i="67"/>
  <c r="K30" i="67"/>
  <c r="J30" i="67"/>
  <c r="I30" i="67"/>
  <c r="H30" i="67"/>
  <c r="S29" i="67"/>
  <c r="Q29" i="67"/>
  <c r="Q32" i="67" s="1"/>
  <c r="P29" i="67"/>
  <c r="O29" i="67"/>
  <c r="N29" i="67"/>
  <c r="N32" i="67" s="1"/>
  <c r="M29" i="67"/>
  <c r="L29" i="67"/>
  <c r="K29" i="67"/>
  <c r="K32" i="67" s="1"/>
  <c r="J29" i="67"/>
  <c r="J32" i="67" s="1"/>
  <c r="I29" i="67"/>
  <c r="I32" i="67" s="1"/>
  <c r="H29" i="67"/>
  <c r="H32" i="67" s="1"/>
  <c r="S22" i="67"/>
  <c r="Q22" i="67"/>
  <c r="P22" i="67"/>
  <c r="O22" i="67"/>
  <c r="N22" i="67"/>
  <c r="M22" i="67"/>
  <c r="L22" i="67"/>
  <c r="K22" i="67"/>
  <c r="J22" i="67"/>
  <c r="R17" i="67"/>
  <c r="Q17" i="67"/>
  <c r="M17" i="67"/>
  <c r="L17" i="67"/>
  <c r="I17" i="67"/>
  <c r="R16" i="67"/>
  <c r="Q16" i="67"/>
  <c r="O16" i="67"/>
  <c r="M16" i="67"/>
  <c r="L16" i="67"/>
  <c r="I16" i="67"/>
  <c r="Q15" i="67"/>
  <c r="S14" i="67"/>
  <c r="S15" i="67" s="1"/>
  <c r="R14" i="67"/>
  <c r="R15" i="67" s="1"/>
  <c r="R18" i="67" s="1"/>
  <c r="Q14" i="67"/>
  <c r="P14" i="67"/>
  <c r="P17" i="67" s="1"/>
  <c r="O14" i="67"/>
  <c r="O15" i="67" s="1"/>
  <c r="N14" i="67"/>
  <c r="N15" i="67" s="1"/>
  <c r="M14" i="67"/>
  <c r="M15" i="67" s="1"/>
  <c r="M18" i="67" s="1"/>
  <c r="L14" i="67"/>
  <c r="L15" i="67" s="1"/>
  <c r="L18" i="67" s="1"/>
  <c r="K14" i="67"/>
  <c r="K15" i="67" s="1"/>
  <c r="J14" i="67"/>
  <c r="J15" i="67" s="1"/>
  <c r="I15" i="67"/>
  <c r="H17" i="67"/>
  <c r="S6" i="67"/>
  <c r="S9" i="67" s="1"/>
  <c r="R6" i="67"/>
  <c r="R9" i="67" s="1"/>
  <c r="Q6" i="67"/>
  <c r="Q8" i="67" s="1"/>
  <c r="P6" i="67"/>
  <c r="P7" i="67" s="1"/>
  <c r="O6" i="67"/>
  <c r="O7" i="67" s="1"/>
  <c r="N6" i="67"/>
  <c r="N9" i="67" s="1"/>
  <c r="M6" i="67"/>
  <c r="M7" i="67" s="1"/>
  <c r="L6" i="67"/>
  <c r="L7" i="67" s="1"/>
  <c r="K6" i="67"/>
  <c r="K9" i="67" s="1"/>
  <c r="J6" i="67"/>
  <c r="J8" i="67" s="1"/>
  <c r="I8" i="67"/>
  <c r="H6" i="67"/>
  <c r="H7" i="67" s="1"/>
  <c r="R31" i="67"/>
  <c r="R30" i="67"/>
  <c r="R29" i="67"/>
  <c r="R22" i="67"/>
  <c r="P16" i="67"/>
  <c r="N24" i="56" l="1"/>
  <c r="N25" i="56"/>
  <c r="N9" i="56"/>
  <c r="N8" i="56"/>
  <c r="N10" i="56" s="1"/>
  <c r="N23" i="62"/>
  <c r="N24" i="62"/>
  <c r="N15" i="62"/>
  <c r="N16" i="62"/>
  <c r="N8" i="62"/>
  <c r="N9" i="62"/>
  <c r="M25" i="56"/>
  <c r="M23" i="56"/>
  <c r="M7" i="56"/>
  <c r="M9" i="56"/>
  <c r="M10" i="56" s="1"/>
  <c r="M24" i="62"/>
  <c r="M25" i="62"/>
  <c r="M16" i="62"/>
  <c r="M15" i="62"/>
  <c r="M9" i="62"/>
  <c r="M7" i="62"/>
  <c r="M45" i="62"/>
  <c r="L23" i="62"/>
  <c r="L23" i="56"/>
  <c r="L25" i="56"/>
  <c r="L15" i="56"/>
  <c r="L17" i="56"/>
  <c r="L7" i="56"/>
  <c r="L8" i="56"/>
  <c r="L25" i="62"/>
  <c r="L26" i="62" s="1"/>
  <c r="L15" i="62"/>
  <c r="L8" i="62"/>
  <c r="L9" i="62"/>
  <c r="K25" i="56"/>
  <c r="K23" i="56"/>
  <c r="K16" i="56"/>
  <c r="K18" i="56" s="1"/>
  <c r="K17" i="56"/>
  <c r="K9" i="56"/>
  <c r="K7" i="56"/>
  <c r="K25" i="62"/>
  <c r="K24" i="62"/>
  <c r="K26" i="62" s="1"/>
  <c r="K8" i="62"/>
  <c r="K9" i="62"/>
  <c r="K15" i="66"/>
  <c r="K16" i="66"/>
  <c r="K17" i="66"/>
  <c r="K23" i="67"/>
  <c r="K24" i="67"/>
  <c r="K25" i="67"/>
  <c r="K17" i="67"/>
  <c r="K16" i="67"/>
  <c r="H17" i="68"/>
  <c r="H15" i="68"/>
  <c r="H18" i="68" s="1"/>
  <c r="I15" i="68"/>
  <c r="I17" i="68"/>
  <c r="J25" i="68"/>
  <c r="J24" i="56"/>
  <c r="J25" i="56"/>
  <c r="J15" i="56"/>
  <c r="J17" i="56"/>
  <c r="J8" i="56"/>
  <c r="J9" i="56"/>
  <c r="J25" i="62"/>
  <c r="J23" i="62"/>
  <c r="J16" i="62"/>
  <c r="J15" i="62"/>
  <c r="J18" i="62" s="1"/>
  <c r="J8" i="62"/>
  <c r="J10" i="62" s="1"/>
  <c r="J9" i="62"/>
  <c r="J16" i="67"/>
  <c r="J17" i="67"/>
  <c r="J18" i="67"/>
  <c r="J15" i="66"/>
  <c r="J17" i="66"/>
  <c r="J16" i="66"/>
  <c r="J18" i="66" s="1"/>
  <c r="J24" i="67"/>
  <c r="J25" i="67"/>
  <c r="J23" i="67"/>
  <c r="J17" i="68"/>
  <c r="J15" i="68"/>
  <c r="I18" i="67"/>
  <c r="I25" i="56"/>
  <c r="I24" i="56"/>
  <c r="I26" i="56" s="1"/>
  <c r="I17" i="56"/>
  <c r="I16" i="56"/>
  <c r="I18" i="56" s="1"/>
  <c r="I7" i="56"/>
  <c r="I10" i="56" s="1"/>
  <c r="I24" i="62"/>
  <c r="I26" i="62" s="1"/>
  <c r="I25" i="62"/>
  <c r="I17" i="62"/>
  <c r="I16" i="62"/>
  <c r="I18" i="62" s="1"/>
  <c r="I8" i="62"/>
  <c r="I7" i="62"/>
  <c r="I10" i="62" s="1"/>
  <c r="I25" i="68"/>
  <c r="H26" i="67"/>
  <c r="H16" i="67"/>
  <c r="S45" i="68"/>
  <c r="S47" i="68" s="1"/>
  <c r="H25" i="68"/>
  <c r="Q36" i="68"/>
  <c r="H7" i="68"/>
  <c r="H8" i="68"/>
  <c r="I7" i="68"/>
  <c r="J7" i="68"/>
  <c r="J8" i="68"/>
  <c r="I8" i="68"/>
  <c r="R26" i="62"/>
  <c r="P24" i="62"/>
  <c r="P26" i="62" s="1"/>
  <c r="Q25" i="62"/>
  <c r="Q26" i="62" s="1"/>
  <c r="P25" i="62"/>
  <c r="K17" i="62"/>
  <c r="K16" i="62"/>
  <c r="L17" i="62"/>
  <c r="L18" i="62" s="1"/>
  <c r="P17" i="62"/>
  <c r="P16" i="62"/>
  <c r="P18" i="62" s="1"/>
  <c r="Q17" i="62"/>
  <c r="Q18" i="62" s="1"/>
  <c r="O8" i="62"/>
  <c r="O10" i="62" s="1"/>
  <c r="P9" i="62"/>
  <c r="R8" i="62"/>
  <c r="R7" i="62"/>
  <c r="P8" i="62"/>
  <c r="P10" i="62" s="1"/>
  <c r="Q9" i="62"/>
  <c r="Q10" i="62" s="1"/>
  <c r="S35" i="62"/>
  <c r="S36" i="62"/>
  <c r="S45" i="62"/>
  <c r="P45" i="62"/>
  <c r="P36" i="62"/>
  <c r="P35" i="62"/>
  <c r="M36" i="62"/>
  <c r="M37" i="62"/>
  <c r="O24" i="56"/>
  <c r="O26" i="56" s="1"/>
  <c r="P25" i="56"/>
  <c r="P24" i="56"/>
  <c r="P26" i="56" s="1"/>
  <c r="Q25" i="56"/>
  <c r="Q26" i="56" s="1"/>
  <c r="O8" i="56"/>
  <c r="O10" i="56" s="1"/>
  <c r="P9" i="56"/>
  <c r="P8" i="56"/>
  <c r="P10" i="56" s="1"/>
  <c r="Q9" i="56"/>
  <c r="Q10" i="56" s="1"/>
  <c r="I25" i="66"/>
  <c r="K25" i="66"/>
  <c r="J25" i="66"/>
  <c r="O25" i="66"/>
  <c r="H25" i="66"/>
  <c r="P25" i="66"/>
  <c r="Q25" i="66"/>
  <c r="R25" i="66"/>
  <c r="J32" i="66"/>
  <c r="L32" i="66"/>
  <c r="K32" i="66"/>
  <c r="N32" i="66"/>
  <c r="M32" i="66"/>
  <c r="O32" i="66"/>
  <c r="S32" i="66"/>
  <c r="R32" i="66"/>
  <c r="P32" i="66"/>
  <c r="Q32" i="66"/>
  <c r="H18" i="66"/>
  <c r="I7" i="66"/>
  <c r="M7" i="66"/>
  <c r="N8" i="66"/>
  <c r="Q7" i="66"/>
  <c r="O8" i="66"/>
  <c r="J7" i="66"/>
  <c r="N9" i="66"/>
  <c r="M8" i="66"/>
  <c r="O9" i="66"/>
  <c r="J9" i="66"/>
  <c r="S8" i="66"/>
  <c r="I9" i="66"/>
  <c r="S7" i="66"/>
  <c r="R8" i="66"/>
  <c r="L7" i="66"/>
  <c r="R7" i="66"/>
  <c r="H9" i="66"/>
  <c r="H8" i="66"/>
  <c r="K9" i="66"/>
  <c r="K8" i="66"/>
  <c r="L9" i="66"/>
  <c r="P8" i="66"/>
  <c r="Q9" i="66"/>
  <c r="P9" i="66"/>
  <c r="S43" i="66"/>
  <c r="S45" i="66" s="1"/>
  <c r="H18" i="67"/>
  <c r="S18" i="67"/>
  <c r="N17" i="67"/>
  <c r="N16" i="67"/>
  <c r="N18" i="67" s="1"/>
  <c r="O17" i="67"/>
  <c r="O18" i="67" s="1"/>
  <c r="P32" i="67"/>
  <c r="H15" i="67"/>
  <c r="M32" i="67"/>
  <c r="S32" i="67"/>
  <c r="Q18" i="67"/>
  <c r="I7" i="67"/>
  <c r="S16" i="67"/>
  <c r="S17" i="67"/>
  <c r="K7" i="67"/>
  <c r="J7" i="67"/>
  <c r="P15" i="67"/>
  <c r="P18" i="67" s="1"/>
  <c r="R7" i="67"/>
  <c r="K8" i="67"/>
  <c r="K10" i="67" s="1"/>
  <c r="N8" i="67"/>
  <c r="O8" i="67"/>
  <c r="O10" i="67" s="1"/>
  <c r="O36" i="67" s="1"/>
  <c r="R32" i="67"/>
  <c r="O9" i="67"/>
  <c r="R8" i="67"/>
  <c r="R10" i="67" s="1"/>
  <c r="S8" i="67"/>
  <c r="I9" i="67"/>
  <c r="N7" i="67"/>
  <c r="J9" i="67"/>
  <c r="J10" i="67" s="1"/>
  <c r="Q7" i="67"/>
  <c r="S7" i="67"/>
  <c r="S10" i="67" s="1"/>
  <c r="L9" i="67"/>
  <c r="L8" i="67"/>
  <c r="M9" i="67"/>
  <c r="M8" i="67"/>
  <c r="M10" i="67" s="1"/>
  <c r="P8" i="67"/>
  <c r="Q9" i="67"/>
  <c r="P9" i="67"/>
  <c r="P10" i="67" s="1"/>
  <c r="H9" i="67"/>
  <c r="H8" i="67"/>
  <c r="N26" i="56" l="1"/>
  <c r="N26" i="62"/>
  <c r="N18" i="62"/>
  <c r="N10" i="62"/>
  <c r="N30" i="62" s="1"/>
  <c r="B4" i="25" s="1"/>
  <c r="M26" i="56"/>
  <c r="M26" i="62"/>
  <c r="M18" i="62"/>
  <c r="M10" i="62"/>
  <c r="M30" i="62" s="1"/>
  <c r="L26" i="56"/>
  <c r="L18" i="56"/>
  <c r="L10" i="56"/>
  <c r="L10" i="62"/>
  <c r="L30" i="62" s="1"/>
  <c r="K26" i="56"/>
  <c r="K18" i="67"/>
  <c r="K10" i="56"/>
  <c r="K18" i="62"/>
  <c r="K10" i="62"/>
  <c r="K18" i="66"/>
  <c r="K26" i="67"/>
  <c r="K36" i="67" s="1"/>
  <c r="R36" i="68"/>
  <c r="N36" i="68"/>
  <c r="I18" i="68"/>
  <c r="J26" i="56"/>
  <c r="J18" i="56"/>
  <c r="J10" i="56"/>
  <c r="J26" i="62"/>
  <c r="J30" i="62" s="1"/>
  <c r="J26" i="67"/>
  <c r="J18" i="68"/>
  <c r="I30" i="62"/>
  <c r="H10" i="67"/>
  <c r="S36" i="68"/>
  <c r="L36" i="68"/>
  <c r="P36" i="68"/>
  <c r="J10" i="68"/>
  <c r="O36" i="68"/>
  <c r="I10" i="68"/>
  <c r="I36" i="68" s="1"/>
  <c r="H10" i="68"/>
  <c r="H36" i="68" s="1"/>
  <c r="R10" i="62"/>
  <c r="M38" i="62"/>
  <c r="M47" i="62" s="1"/>
  <c r="S38" i="62"/>
  <c r="P38" i="62"/>
  <c r="R36" i="67"/>
  <c r="M10" i="66"/>
  <c r="N10" i="66"/>
  <c r="R10" i="66"/>
  <c r="S10" i="66"/>
  <c r="I10" i="66"/>
  <c r="Q10" i="66"/>
  <c r="J10" i="66"/>
  <c r="O10" i="66"/>
  <c r="K10" i="66"/>
  <c r="P10" i="66"/>
  <c r="L10" i="66"/>
  <c r="H10" i="66"/>
  <c r="H34" i="66" s="1"/>
  <c r="M36" i="67"/>
  <c r="S36" i="67"/>
  <c r="S46" i="67" s="1"/>
  <c r="H36" i="67"/>
  <c r="P36" i="67"/>
  <c r="I10" i="67"/>
  <c r="I36" i="67" s="1"/>
  <c r="L10" i="67"/>
  <c r="L36" i="67" s="1"/>
  <c r="N10" i="67"/>
  <c r="N36" i="67" s="1"/>
  <c r="Q10" i="67"/>
  <c r="Q36" i="67" s="1"/>
  <c r="S40" i="55"/>
  <c r="S39" i="55"/>
  <c r="P40" i="55"/>
  <c r="P39" i="55"/>
  <c r="R28" i="55"/>
  <c r="Q28" i="55"/>
  <c r="P28" i="55"/>
  <c r="S21" i="55"/>
  <c r="R21" i="55"/>
  <c r="Q21" i="55"/>
  <c r="R20" i="55"/>
  <c r="Q20" i="55"/>
  <c r="P21" i="55"/>
  <c r="P20" i="55"/>
  <c r="S13" i="55"/>
  <c r="R13" i="55"/>
  <c r="Q13" i="55"/>
  <c r="P13" i="55"/>
  <c r="S12" i="55"/>
  <c r="R12" i="55"/>
  <c r="Q12" i="55"/>
  <c r="P12" i="55"/>
  <c r="S5" i="55"/>
  <c r="R5" i="55"/>
  <c r="Q5" i="55"/>
  <c r="S4" i="55"/>
  <c r="R4" i="55"/>
  <c r="Q4" i="55"/>
  <c r="P5" i="55"/>
  <c r="P4" i="55"/>
  <c r="K36" i="68" l="1"/>
  <c r="K30" i="62"/>
  <c r="M36" i="68"/>
  <c r="L34" i="66"/>
  <c r="K34" i="66"/>
  <c r="J34" i="66"/>
  <c r="I34" i="66"/>
  <c r="S24" i="66"/>
  <c r="S23" i="66"/>
  <c r="S22" i="66"/>
  <c r="O34" i="66"/>
  <c r="N34" i="66"/>
  <c r="M34" i="66"/>
  <c r="O40" i="64"/>
  <c r="S40" i="64"/>
  <c r="R40" i="64"/>
  <c r="Q40" i="64"/>
  <c r="P40" i="64"/>
  <c r="S16" i="64"/>
  <c r="R16" i="64"/>
  <c r="Q16" i="64"/>
  <c r="P16" i="64"/>
  <c r="O16" i="64"/>
  <c r="S15" i="64"/>
  <c r="R15" i="64"/>
  <c r="R17" i="64" s="1"/>
  <c r="Q15" i="64"/>
  <c r="P15" i="64"/>
  <c r="O15" i="64"/>
  <c r="S14" i="64"/>
  <c r="S17" i="64" s="1"/>
  <c r="R14" i="64"/>
  <c r="Q14" i="64"/>
  <c r="Q17" i="64" s="1"/>
  <c r="P14" i="64"/>
  <c r="P17" i="64" s="1"/>
  <c r="O14" i="64"/>
  <c r="O17" i="64" s="1"/>
  <c r="N16" i="64"/>
  <c r="N15" i="64"/>
  <c r="N14" i="64"/>
  <c r="S25" i="66" l="1"/>
  <c r="N5" i="55"/>
  <c r="N4" i="55"/>
  <c r="S5" i="63"/>
  <c r="R5" i="63"/>
  <c r="Q5" i="63"/>
  <c r="P5" i="63"/>
  <c r="O5" i="63"/>
  <c r="S4" i="63"/>
  <c r="R4" i="63"/>
  <c r="Q4" i="63"/>
  <c r="P4" i="63"/>
  <c r="O4" i="63"/>
  <c r="N5" i="63"/>
  <c r="N4" i="63"/>
  <c r="O22" i="64"/>
  <c r="O21" i="64"/>
  <c r="O20" i="64"/>
  <c r="N22" i="64"/>
  <c r="N21" i="64"/>
  <c r="N20" i="64"/>
  <c r="M26" i="64"/>
  <c r="Q34" i="66" l="1"/>
  <c r="S34" i="66"/>
  <c r="P34" i="66"/>
  <c r="O23" i="64"/>
  <c r="S19" i="64"/>
  <c r="R19" i="64"/>
  <c r="Q19" i="64"/>
  <c r="P19" i="64"/>
  <c r="S13" i="64"/>
  <c r="R13" i="64"/>
  <c r="Q13" i="64"/>
  <c r="P13" i="64"/>
  <c r="O13" i="64"/>
  <c r="N13" i="64"/>
  <c r="M13" i="64"/>
  <c r="J67" i="64"/>
  <c r="J66" i="64"/>
  <c r="J68" i="64" s="1"/>
  <c r="J62" i="64"/>
  <c r="J61" i="64"/>
  <c r="J64" i="64" s="1"/>
  <c r="C53" i="64"/>
  <c r="C54" i="64" s="1"/>
  <c r="D52" i="64"/>
  <c r="P52" i="64" s="1"/>
  <c r="S44" i="64"/>
  <c r="S45" i="64" s="1"/>
  <c r="P44" i="64"/>
  <c r="P47" i="64" s="1"/>
  <c r="M44" i="64"/>
  <c r="M46" i="64" s="1"/>
  <c r="S32" i="64"/>
  <c r="S34" i="64" s="1"/>
  <c r="R32" i="64"/>
  <c r="R34" i="64" s="1"/>
  <c r="Q32" i="64"/>
  <c r="Q34" i="64" s="1"/>
  <c r="P32" i="64"/>
  <c r="P33" i="64" s="1"/>
  <c r="O33" i="64"/>
  <c r="N33" i="64"/>
  <c r="M33" i="64"/>
  <c r="S26" i="64"/>
  <c r="S28" i="64" s="1"/>
  <c r="R26" i="64"/>
  <c r="R28" i="64" s="1"/>
  <c r="Q26" i="64"/>
  <c r="Q28" i="64" s="1"/>
  <c r="P26" i="64"/>
  <c r="P28" i="64" s="1"/>
  <c r="O26" i="64"/>
  <c r="N26" i="64"/>
  <c r="N27" i="64" s="1"/>
  <c r="M27" i="64"/>
  <c r="S6" i="64"/>
  <c r="S8" i="64" s="1"/>
  <c r="R6" i="64"/>
  <c r="R8" i="64" s="1"/>
  <c r="Q6" i="64"/>
  <c r="Q8" i="64" s="1"/>
  <c r="P6" i="64"/>
  <c r="P7" i="64" s="1"/>
  <c r="O6" i="64"/>
  <c r="N6" i="64"/>
  <c r="N7" i="64" s="1"/>
  <c r="M6" i="64"/>
  <c r="M15" i="64" s="1"/>
  <c r="R34" i="66" l="1"/>
  <c r="P20" i="64"/>
  <c r="P22" i="64"/>
  <c r="P21" i="64"/>
  <c r="P23" i="64" s="1"/>
  <c r="R20" i="64"/>
  <c r="R21" i="64"/>
  <c r="R22" i="64"/>
  <c r="Q20" i="64"/>
  <c r="Q21" i="64"/>
  <c r="Q22" i="64"/>
  <c r="S22" i="64"/>
  <c r="S21" i="64"/>
  <c r="S20" i="64"/>
  <c r="S23" i="64" s="1"/>
  <c r="O7" i="64"/>
  <c r="O9" i="64"/>
  <c r="O29" i="64"/>
  <c r="O28" i="64"/>
  <c r="O27" i="64"/>
  <c r="M8" i="64"/>
  <c r="M22" i="64"/>
  <c r="M9" i="64"/>
  <c r="M20" i="64"/>
  <c r="M14" i="64"/>
  <c r="R7" i="64"/>
  <c r="M21" i="64"/>
  <c r="R33" i="64"/>
  <c r="D53" i="64"/>
  <c r="D54" i="64" s="1"/>
  <c r="S54" i="64" s="1"/>
  <c r="S33" i="64"/>
  <c r="P27" i="64"/>
  <c r="M35" i="64"/>
  <c r="M34" i="64"/>
  <c r="M36" i="64" s="1"/>
  <c r="Q27" i="64"/>
  <c r="M16" i="64"/>
  <c r="M7" i="64"/>
  <c r="M10" i="64" s="1"/>
  <c r="R27" i="64"/>
  <c r="S7" i="64"/>
  <c r="S9" i="64"/>
  <c r="P45" i="64"/>
  <c r="P46" i="64"/>
  <c r="S46" i="64"/>
  <c r="S27" i="64"/>
  <c r="M52" i="64"/>
  <c r="M47" i="64"/>
  <c r="S52" i="64"/>
  <c r="J71" i="64"/>
  <c r="J70" i="64"/>
  <c r="Q7" i="64"/>
  <c r="N35" i="64"/>
  <c r="S47" i="64"/>
  <c r="P9" i="64"/>
  <c r="N29" i="64"/>
  <c r="O35" i="64"/>
  <c r="N9" i="64"/>
  <c r="M29" i="64"/>
  <c r="Q9" i="64"/>
  <c r="P29" i="64"/>
  <c r="P35" i="64"/>
  <c r="R9" i="64"/>
  <c r="Q29" i="64"/>
  <c r="Q35" i="64"/>
  <c r="N34" i="64"/>
  <c r="R35" i="64"/>
  <c r="N28" i="64"/>
  <c r="S29" i="64"/>
  <c r="O34" i="64"/>
  <c r="S35" i="64"/>
  <c r="Q33" i="64"/>
  <c r="N8" i="64"/>
  <c r="M28" i="64"/>
  <c r="R29" i="64"/>
  <c r="O8" i="64"/>
  <c r="P8" i="64"/>
  <c r="O30" i="64"/>
  <c r="P34" i="64"/>
  <c r="M45" i="64"/>
  <c r="Q23" i="64" l="1"/>
  <c r="R23" i="64"/>
  <c r="O10" i="64"/>
  <c r="M17" i="64"/>
  <c r="M23" i="64"/>
  <c r="P53" i="64"/>
  <c r="P36" i="64"/>
  <c r="N23" i="64"/>
  <c r="N17" i="64"/>
  <c r="S53" i="64"/>
  <c r="S55" i="64" s="1"/>
  <c r="R36" i="64"/>
  <c r="R10" i="64"/>
  <c r="M53" i="64"/>
  <c r="S36" i="64"/>
  <c r="S10" i="64"/>
  <c r="M48" i="64"/>
  <c r="N36" i="64"/>
  <c r="Q30" i="64"/>
  <c r="P30" i="64"/>
  <c r="R30" i="64"/>
  <c r="M30" i="64"/>
  <c r="M40" i="64" s="1"/>
  <c r="Q36" i="64"/>
  <c r="S48" i="64"/>
  <c r="P48" i="64"/>
  <c r="O36" i="64"/>
  <c r="N30" i="64"/>
  <c r="S30" i="64"/>
  <c r="P10" i="64"/>
  <c r="N10" i="64"/>
  <c r="J56" i="64"/>
  <c r="J58" i="64" s="1"/>
  <c r="Q10" i="64"/>
  <c r="P54" i="64"/>
  <c r="M54" i="64"/>
  <c r="N40" i="64" l="1"/>
  <c r="P55" i="64"/>
  <c r="M55" i="64"/>
  <c r="M56" i="64" s="1"/>
  <c r="S56" i="64"/>
  <c r="P56" i="64"/>
  <c r="P58" i="64" s="1"/>
  <c r="M58" i="64"/>
  <c r="S58" i="64" l="1"/>
  <c r="L36" i="63" l="1"/>
  <c r="K36" i="63"/>
  <c r="J36" i="63"/>
  <c r="I36" i="63"/>
  <c r="H36" i="63"/>
  <c r="S31" i="63"/>
  <c r="R31" i="63"/>
  <c r="Q31" i="63"/>
  <c r="P31" i="63"/>
  <c r="O31" i="63"/>
  <c r="N31" i="63"/>
  <c r="S30" i="63"/>
  <c r="R30" i="63"/>
  <c r="Q30" i="63"/>
  <c r="P30" i="63"/>
  <c r="O30" i="63"/>
  <c r="N30" i="63"/>
  <c r="S29" i="63"/>
  <c r="R29" i="63"/>
  <c r="Q29" i="63"/>
  <c r="P29" i="63"/>
  <c r="O29" i="63"/>
  <c r="N29" i="63"/>
  <c r="M31" i="63"/>
  <c r="M30" i="63"/>
  <c r="M29" i="63"/>
  <c r="S24" i="63"/>
  <c r="R24" i="63"/>
  <c r="Q24" i="63"/>
  <c r="P24" i="63"/>
  <c r="O24" i="63"/>
  <c r="N24" i="63"/>
  <c r="S23" i="63"/>
  <c r="R23" i="63"/>
  <c r="Q23" i="63"/>
  <c r="P23" i="63"/>
  <c r="O23" i="63"/>
  <c r="N23" i="63"/>
  <c r="S22" i="63"/>
  <c r="R22" i="63"/>
  <c r="Q22" i="63"/>
  <c r="P22" i="63"/>
  <c r="O22" i="63"/>
  <c r="N22" i="63"/>
  <c r="M24" i="63"/>
  <c r="M23" i="63"/>
  <c r="M22" i="63"/>
  <c r="S14" i="63"/>
  <c r="S15" i="63" s="1"/>
  <c r="R14" i="63"/>
  <c r="R15" i="63" s="1"/>
  <c r="Q14" i="63"/>
  <c r="Q15" i="63" s="1"/>
  <c r="P14" i="63"/>
  <c r="P15" i="63" s="1"/>
  <c r="O14" i="63"/>
  <c r="O15" i="63" s="1"/>
  <c r="N14" i="63"/>
  <c r="N15" i="63" s="1"/>
  <c r="M14" i="63"/>
  <c r="M15" i="63" s="1"/>
  <c r="S6" i="63"/>
  <c r="S9" i="63" s="1"/>
  <c r="R6" i="63"/>
  <c r="R8" i="63" s="1"/>
  <c r="Q6" i="63"/>
  <c r="Q9" i="63" s="1"/>
  <c r="P6" i="63"/>
  <c r="P8" i="63" s="1"/>
  <c r="O6" i="63"/>
  <c r="O8" i="63" s="1"/>
  <c r="N6" i="63"/>
  <c r="N7" i="63" s="1"/>
  <c r="M6" i="63"/>
  <c r="M7" i="63" s="1"/>
  <c r="W12" i="58"/>
  <c r="H6" i="58"/>
  <c r="I6" i="58"/>
  <c r="J6" i="58"/>
  <c r="K6" i="58"/>
  <c r="H7" i="58"/>
  <c r="H10" i="58" s="1"/>
  <c r="I7" i="58"/>
  <c r="J7" i="58"/>
  <c r="K7" i="58"/>
  <c r="H8" i="58"/>
  <c r="I8" i="58"/>
  <c r="J8" i="58"/>
  <c r="K8" i="58"/>
  <c r="H9" i="58"/>
  <c r="I9" i="58"/>
  <c r="J9" i="58"/>
  <c r="K9" i="58"/>
  <c r="I10" i="58"/>
  <c r="J10" i="58"/>
  <c r="K10" i="58"/>
  <c r="H14" i="58"/>
  <c r="I14" i="58"/>
  <c r="J14" i="58"/>
  <c r="K14" i="58"/>
  <c r="K16" i="58" s="1"/>
  <c r="H15" i="58"/>
  <c r="I15" i="58"/>
  <c r="J15" i="58"/>
  <c r="H16" i="58"/>
  <c r="I16" i="58"/>
  <c r="J16" i="58"/>
  <c r="H17" i="58"/>
  <c r="I17" i="58"/>
  <c r="J17" i="58"/>
  <c r="H18" i="58"/>
  <c r="I18" i="58"/>
  <c r="I29" i="58" s="1"/>
  <c r="J18" i="58"/>
  <c r="H22" i="58"/>
  <c r="I22" i="58"/>
  <c r="J22" i="58"/>
  <c r="K22" i="58"/>
  <c r="H23" i="58"/>
  <c r="I23" i="58"/>
  <c r="J23" i="58"/>
  <c r="H24" i="58"/>
  <c r="I24" i="58"/>
  <c r="J24" i="58"/>
  <c r="H25" i="58"/>
  <c r="H26" i="58" s="1"/>
  <c r="I25" i="58"/>
  <c r="J25" i="58"/>
  <c r="J26" i="58" s="1"/>
  <c r="I26" i="58"/>
  <c r="O17" i="63" l="1"/>
  <c r="N17" i="63"/>
  <c r="P32" i="63"/>
  <c r="N32" i="63"/>
  <c r="Q32" i="63"/>
  <c r="R32" i="63"/>
  <c r="O32" i="63"/>
  <c r="S32" i="63"/>
  <c r="N25" i="63"/>
  <c r="O25" i="63"/>
  <c r="S25" i="63"/>
  <c r="Q25" i="63"/>
  <c r="R25" i="63"/>
  <c r="P25" i="63"/>
  <c r="Q7" i="63"/>
  <c r="P7" i="63"/>
  <c r="R7" i="63"/>
  <c r="Q8" i="63"/>
  <c r="M32" i="63"/>
  <c r="M25" i="63"/>
  <c r="O7" i="63"/>
  <c r="S8" i="63"/>
  <c r="M16" i="63"/>
  <c r="M17" i="63"/>
  <c r="S7" i="63"/>
  <c r="P17" i="63"/>
  <c r="M9" i="63"/>
  <c r="N16" i="63"/>
  <c r="R17" i="63"/>
  <c r="N9" i="63"/>
  <c r="O16" i="63"/>
  <c r="S17" i="63"/>
  <c r="O9" i="63"/>
  <c r="P16" i="63"/>
  <c r="P9" i="63"/>
  <c r="Q16" i="63"/>
  <c r="M8" i="63"/>
  <c r="R16" i="63"/>
  <c r="Q17" i="63"/>
  <c r="N8" i="63"/>
  <c r="R9" i="63"/>
  <c r="S16" i="63"/>
  <c r="K17" i="58"/>
  <c r="K25" i="58"/>
  <c r="K15" i="58"/>
  <c r="K18" i="58" s="1"/>
  <c r="K29" i="58" s="1"/>
  <c r="K24" i="58"/>
  <c r="K23" i="58"/>
  <c r="K26" i="58" s="1"/>
  <c r="J29" i="58"/>
  <c r="H29" i="58"/>
  <c r="O18" i="63" l="1"/>
  <c r="Q10" i="63"/>
  <c r="N18" i="63"/>
  <c r="R10" i="63"/>
  <c r="R36" i="63" s="1"/>
  <c r="P10" i="63"/>
  <c r="Q36" i="63"/>
  <c r="P36" i="63"/>
  <c r="M36" i="63"/>
  <c r="O10" i="63"/>
  <c r="O36" i="63" s="1"/>
  <c r="M18" i="63"/>
  <c r="S10" i="63"/>
  <c r="S36" i="63" s="1"/>
  <c r="P18" i="63"/>
  <c r="S18" i="63"/>
  <c r="R18" i="63"/>
  <c r="Q18" i="63"/>
  <c r="N10" i="63"/>
  <c r="N36" i="63" s="1"/>
  <c r="M10" i="63"/>
  <c r="S37" i="61"/>
  <c r="R37" i="61"/>
  <c r="Q37" i="61"/>
  <c r="P37" i="61"/>
  <c r="O37" i="61"/>
  <c r="N37" i="61"/>
  <c r="K5" i="55"/>
  <c r="K4" i="55"/>
  <c r="K5" i="61"/>
  <c r="K4" i="61"/>
  <c r="W25" i="58"/>
  <c r="W21" i="58"/>
  <c r="W20" i="58"/>
  <c r="W22" i="58" s="1"/>
  <c r="Y17" i="58"/>
  <c r="W13" i="58"/>
  <c r="W14" i="58"/>
  <c r="W9" i="58"/>
  <c r="W5" i="58"/>
  <c r="W4" i="58"/>
  <c r="W6" i="58" s="1"/>
  <c r="J30" i="56"/>
  <c r="I36" i="55"/>
  <c r="J56" i="58"/>
  <c r="J55" i="58"/>
  <c r="J57" i="58" s="1"/>
  <c r="J51" i="58"/>
  <c r="J50" i="58"/>
  <c r="J33" i="58"/>
  <c r="J36" i="58" l="1"/>
  <c r="D41" i="58"/>
  <c r="D42" i="58" s="1"/>
  <c r="D43" i="58" s="1"/>
  <c r="C42" i="58"/>
  <c r="C43" i="58" s="1"/>
  <c r="J41" i="58" l="1"/>
  <c r="J43" i="58"/>
  <c r="J42" i="58"/>
  <c r="S44" i="55"/>
  <c r="S43" i="55"/>
  <c r="S42" i="55"/>
  <c r="P44" i="55"/>
  <c r="P43" i="55"/>
  <c r="P42" i="55"/>
  <c r="M44" i="55"/>
  <c r="M43" i="55"/>
  <c r="M42" i="55"/>
  <c r="J44" i="55"/>
  <c r="J43" i="55"/>
  <c r="J42" i="55"/>
  <c r="J44" i="62"/>
  <c r="J43" i="62"/>
  <c r="J42" i="62"/>
  <c r="J36" i="62" l="1"/>
  <c r="J37" i="62"/>
  <c r="M45" i="55"/>
  <c r="P45" i="55"/>
  <c r="S45" i="55"/>
  <c r="J45" i="62"/>
  <c r="J35" i="62"/>
  <c r="S43" i="58"/>
  <c r="S42" i="58"/>
  <c r="S41" i="58"/>
  <c r="P43" i="58"/>
  <c r="P42" i="58"/>
  <c r="P41" i="58"/>
  <c r="M43" i="58"/>
  <c r="M42" i="58"/>
  <c r="M41" i="58"/>
  <c r="S33" i="58"/>
  <c r="S36" i="58" s="1"/>
  <c r="P33" i="58"/>
  <c r="P36" i="58" s="1"/>
  <c r="M33" i="58"/>
  <c r="M36" i="58" s="1"/>
  <c r="M44" i="58" l="1"/>
  <c r="M45" i="58" s="1"/>
  <c r="P44" i="58"/>
  <c r="P45" i="58" s="1"/>
  <c r="S44" i="58"/>
  <c r="S45" i="58" s="1"/>
  <c r="S34" i="58"/>
  <c r="S35" i="58"/>
  <c r="P34" i="58"/>
  <c r="P35" i="58"/>
  <c r="M34" i="58"/>
  <c r="M35" i="58"/>
  <c r="S37" i="58" l="1"/>
  <c r="P37" i="58"/>
  <c r="M37" i="58"/>
  <c r="S32" i="61" l="1"/>
  <c r="R32" i="61"/>
  <c r="Q32" i="61"/>
  <c r="P32" i="61"/>
  <c r="O32" i="61"/>
  <c r="N32" i="61"/>
  <c r="M32" i="61"/>
  <c r="L32" i="61"/>
  <c r="K32" i="61"/>
  <c r="J32" i="61"/>
  <c r="I32" i="61"/>
  <c r="S31" i="61"/>
  <c r="R31" i="61"/>
  <c r="Q31" i="61"/>
  <c r="P31" i="61"/>
  <c r="O31" i="61"/>
  <c r="N31" i="61"/>
  <c r="M31" i="61"/>
  <c r="L31" i="61"/>
  <c r="K31" i="61"/>
  <c r="J31" i="61"/>
  <c r="I31" i="61"/>
  <c r="S30" i="61"/>
  <c r="R30" i="61"/>
  <c r="Q30" i="61"/>
  <c r="P30" i="61"/>
  <c r="O30" i="61"/>
  <c r="N30" i="61"/>
  <c r="M30" i="61"/>
  <c r="L30" i="61"/>
  <c r="K30" i="61"/>
  <c r="J30" i="61"/>
  <c r="I30" i="61"/>
  <c r="H32" i="61"/>
  <c r="H31" i="61"/>
  <c r="H30" i="61"/>
  <c r="S24" i="61"/>
  <c r="R24" i="61"/>
  <c r="Q24" i="61"/>
  <c r="P24" i="61"/>
  <c r="O24" i="61"/>
  <c r="N24" i="61"/>
  <c r="M24" i="61"/>
  <c r="L24" i="61"/>
  <c r="K24" i="61"/>
  <c r="J24" i="61"/>
  <c r="I24" i="61"/>
  <c r="S23" i="61"/>
  <c r="R23" i="61"/>
  <c r="Q23" i="61"/>
  <c r="P23" i="61"/>
  <c r="O23" i="61"/>
  <c r="N23" i="61"/>
  <c r="M23" i="61"/>
  <c r="L23" i="61"/>
  <c r="K23" i="61"/>
  <c r="J23" i="61"/>
  <c r="I23" i="61"/>
  <c r="S22" i="61"/>
  <c r="R22" i="61"/>
  <c r="Q22" i="61"/>
  <c r="P22" i="61"/>
  <c r="O22" i="61"/>
  <c r="N22" i="61"/>
  <c r="M22" i="61"/>
  <c r="L22" i="61"/>
  <c r="K22" i="61"/>
  <c r="J22" i="61"/>
  <c r="J25" i="61" s="1"/>
  <c r="I22" i="61"/>
  <c r="H24" i="61"/>
  <c r="H23" i="61"/>
  <c r="H22" i="61"/>
  <c r="S14" i="61"/>
  <c r="S17" i="61" s="1"/>
  <c r="R14" i="61"/>
  <c r="R15" i="61" s="1"/>
  <c r="Q14" i="61"/>
  <c r="Q17" i="61" s="1"/>
  <c r="P14" i="61"/>
  <c r="P16" i="61" s="1"/>
  <c r="O14" i="61"/>
  <c r="O17" i="61" s="1"/>
  <c r="N14" i="61"/>
  <c r="N17" i="61" s="1"/>
  <c r="M14" i="61"/>
  <c r="M17" i="61" s="1"/>
  <c r="L14" i="61"/>
  <c r="L17" i="61" s="1"/>
  <c r="K14" i="61"/>
  <c r="K17" i="61" s="1"/>
  <c r="J14" i="61"/>
  <c r="J16" i="61" s="1"/>
  <c r="I14" i="61"/>
  <c r="I16" i="61" s="1"/>
  <c r="H17" i="61"/>
  <c r="S6" i="61"/>
  <c r="S8" i="61" s="1"/>
  <c r="R6" i="61"/>
  <c r="R7" i="61" s="1"/>
  <c r="Q6" i="61"/>
  <c r="Q9" i="61" s="1"/>
  <c r="P6" i="61"/>
  <c r="P9" i="61" s="1"/>
  <c r="O6" i="61"/>
  <c r="O8" i="61" s="1"/>
  <c r="N6" i="61"/>
  <c r="N9" i="61" s="1"/>
  <c r="M6" i="61"/>
  <c r="M9" i="61" s="1"/>
  <c r="L6" i="61"/>
  <c r="L9" i="61" s="1"/>
  <c r="K6" i="61"/>
  <c r="K9" i="61" s="1"/>
  <c r="J6" i="61"/>
  <c r="J9" i="61" s="1"/>
  <c r="I6" i="61"/>
  <c r="I8" i="61" s="1"/>
  <c r="H7" i="61"/>
  <c r="K8" i="61" l="1"/>
  <c r="L15" i="61"/>
  <c r="N15" i="61"/>
  <c r="K15" i="61"/>
  <c r="L25" i="61"/>
  <c r="L33" i="61"/>
  <c r="N25" i="61"/>
  <c r="N33" i="61"/>
  <c r="K25" i="61"/>
  <c r="L16" i="61"/>
  <c r="M16" i="61"/>
  <c r="K16" i="61"/>
  <c r="J33" i="61"/>
  <c r="K33" i="61"/>
  <c r="I7" i="61"/>
  <c r="P33" i="61"/>
  <c r="R33" i="61"/>
  <c r="O33" i="61"/>
  <c r="M33" i="61"/>
  <c r="Q33" i="61"/>
  <c r="S33" i="61"/>
  <c r="I33" i="61"/>
  <c r="H33" i="61"/>
  <c r="P25" i="61"/>
  <c r="R25" i="61"/>
  <c r="Q25" i="61"/>
  <c r="S25" i="61"/>
  <c r="O25" i="61"/>
  <c r="M25" i="61"/>
  <c r="I25" i="61"/>
  <c r="H25" i="61"/>
  <c r="H16" i="61"/>
  <c r="O15" i="61"/>
  <c r="O9" i="61"/>
  <c r="N8" i="61"/>
  <c r="J7" i="61"/>
  <c r="K7" i="61"/>
  <c r="K10" i="61" s="1"/>
  <c r="K37" i="61" s="1"/>
  <c r="L8" i="61"/>
  <c r="M8" i="61"/>
  <c r="H15" i="61"/>
  <c r="L7" i="61"/>
  <c r="N16" i="61"/>
  <c r="N18" i="61" s="1"/>
  <c r="M7" i="61"/>
  <c r="N7" i="61"/>
  <c r="O16" i="61"/>
  <c r="O7" i="61"/>
  <c r="J8" i="61"/>
  <c r="R17" i="61"/>
  <c r="Q16" i="61"/>
  <c r="I15" i="61"/>
  <c r="S16" i="61"/>
  <c r="M15" i="61"/>
  <c r="R16" i="61"/>
  <c r="I17" i="61"/>
  <c r="P15" i="61"/>
  <c r="J17" i="61"/>
  <c r="Q15" i="61"/>
  <c r="J15" i="61"/>
  <c r="P17" i="61"/>
  <c r="S15" i="61"/>
  <c r="P8" i="61"/>
  <c r="Q8" i="61"/>
  <c r="R9" i="61"/>
  <c r="P7" i="61"/>
  <c r="S9" i="61"/>
  <c r="R8" i="61"/>
  <c r="I9" i="61"/>
  <c r="I10" i="61" s="1"/>
  <c r="Q7" i="61"/>
  <c r="S7" i="61"/>
  <c r="S10" i="61" s="1"/>
  <c r="H8" i="61"/>
  <c r="H9" i="61"/>
  <c r="J38" i="62"/>
  <c r="J47" i="62" s="1"/>
  <c r="H22" i="62"/>
  <c r="H14" i="62"/>
  <c r="H6" i="62"/>
  <c r="S14" i="55"/>
  <c r="S17" i="55" s="1"/>
  <c r="R14" i="55"/>
  <c r="R17" i="55" s="1"/>
  <c r="Q17" i="55"/>
  <c r="P14" i="55"/>
  <c r="P17" i="55" s="1"/>
  <c r="O14" i="55"/>
  <c r="O17" i="55" s="1"/>
  <c r="N14" i="55"/>
  <c r="N16" i="55" s="1"/>
  <c r="M14" i="55"/>
  <c r="M16" i="55" s="1"/>
  <c r="L14" i="55"/>
  <c r="L17" i="55" s="1"/>
  <c r="K14" i="55"/>
  <c r="K16" i="55" s="1"/>
  <c r="J14" i="55"/>
  <c r="J17" i="55" s="1"/>
  <c r="I14" i="55"/>
  <c r="I15" i="55" s="1"/>
  <c r="I29" i="55"/>
  <c r="S29" i="55"/>
  <c r="R29" i="55"/>
  <c r="Q29" i="55"/>
  <c r="P31" i="55"/>
  <c r="O31" i="55"/>
  <c r="N31" i="55"/>
  <c r="M31" i="55"/>
  <c r="L31" i="55"/>
  <c r="K31" i="55"/>
  <c r="J31" i="55"/>
  <c r="I30" i="55"/>
  <c r="L18" i="61" l="1"/>
  <c r="K15" i="55"/>
  <c r="L15" i="55"/>
  <c r="N15" i="55"/>
  <c r="O15" i="55"/>
  <c r="P15" i="55"/>
  <c r="S16" i="55"/>
  <c r="L10" i="61"/>
  <c r="L37" i="61" s="1"/>
  <c r="M18" i="61"/>
  <c r="H18" i="61"/>
  <c r="S18" i="61"/>
  <c r="Q10" i="61"/>
  <c r="Q18" i="61"/>
  <c r="N10" i="61"/>
  <c r="R10" i="61"/>
  <c r="M10" i="61"/>
  <c r="M37" i="61" s="1"/>
  <c r="P10" i="61"/>
  <c r="R18" i="61"/>
  <c r="K18" i="61"/>
  <c r="J15" i="55"/>
  <c r="J18" i="61"/>
  <c r="J10" i="61"/>
  <c r="Q15" i="55"/>
  <c r="S15" i="55"/>
  <c r="O16" i="55"/>
  <c r="R15" i="55"/>
  <c r="K29" i="55"/>
  <c r="L29" i="55"/>
  <c r="M29" i="55"/>
  <c r="P16" i="55"/>
  <c r="J45" i="55"/>
  <c r="N29" i="55"/>
  <c r="Q16" i="55"/>
  <c r="N30" i="55"/>
  <c r="R16" i="55"/>
  <c r="O18" i="61"/>
  <c r="O10" i="61"/>
  <c r="P18" i="61"/>
  <c r="I18" i="61"/>
  <c r="H10" i="61"/>
  <c r="M17" i="55"/>
  <c r="M15" i="55"/>
  <c r="I17" i="55"/>
  <c r="K17" i="55"/>
  <c r="J16" i="55"/>
  <c r="L16" i="55"/>
  <c r="I16" i="55"/>
  <c r="N17" i="55"/>
  <c r="O29" i="55"/>
  <c r="K30" i="55"/>
  <c r="L30" i="55"/>
  <c r="L32" i="55" s="1"/>
  <c r="J29" i="55"/>
  <c r="J30" i="55"/>
  <c r="J32" i="55" s="1"/>
  <c r="M30" i="55"/>
  <c r="O30" i="55"/>
  <c r="Q31" i="55"/>
  <c r="S31" i="55"/>
  <c r="S30" i="55"/>
  <c r="R30" i="55"/>
  <c r="R31" i="55"/>
  <c r="I31" i="55"/>
  <c r="I32" i="55" s="1"/>
  <c r="P29" i="55"/>
  <c r="P30" i="55"/>
  <c r="Q30" i="55"/>
  <c r="J37" i="61" l="1"/>
  <c r="N32" i="55"/>
  <c r="M32" i="55"/>
  <c r="K32" i="55"/>
  <c r="R32" i="55"/>
  <c r="S32" i="55"/>
  <c r="Q32" i="55"/>
  <c r="O32" i="55"/>
  <c r="P32" i="55"/>
  <c r="H14" i="55" l="1"/>
  <c r="S30" i="56"/>
  <c r="S31" i="56" s="1"/>
  <c r="R30" i="56"/>
  <c r="R31" i="56" s="1"/>
  <c r="Q30" i="56"/>
  <c r="P30" i="56"/>
  <c r="P31" i="56" s="1"/>
  <c r="O30" i="56"/>
  <c r="O31" i="56" s="1"/>
  <c r="N30" i="56"/>
  <c r="N31" i="56" s="1"/>
  <c r="M30" i="56"/>
  <c r="M31" i="56" s="1"/>
  <c r="L30" i="56"/>
  <c r="K30" i="56"/>
  <c r="K31" i="56" s="1"/>
  <c r="J31" i="56"/>
  <c r="I30" i="56"/>
  <c r="I32" i="56" s="1"/>
  <c r="H25" i="62"/>
  <c r="H24" i="62"/>
  <c r="H23" i="62"/>
  <c r="H17" i="62"/>
  <c r="H16" i="62"/>
  <c r="H15" i="62"/>
  <c r="H9" i="62"/>
  <c r="H8" i="62"/>
  <c r="H7" i="62"/>
  <c r="H17" i="55" l="1"/>
  <c r="H16" i="55"/>
  <c r="H15" i="55"/>
  <c r="H10" i="62"/>
  <c r="I31" i="56"/>
  <c r="J35" i="58"/>
  <c r="J34" i="58"/>
  <c r="J44" i="58"/>
  <c r="H26" i="62"/>
  <c r="H18" i="62"/>
  <c r="J32" i="56"/>
  <c r="K32" i="56"/>
  <c r="L32" i="56"/>
  <c r="M32" i="56"/>
  <c r="N32" i="56"/>
  <c r="O32" i="56"/>
  <c r="P32" i="56"/>
  <c r="L31" i="56"/>
  <c r="Q32" i="56"/>
  <c r="R32" i="56"/>
  <c r="S32" i="56"/>
  <c r="Q31" i="56"/>
  <c r="H30" i="62" l="1"/>
  <c r="M49" i="62"/>
  <c r="P49" i="62"/>
  <c r="J37" i="58"/>
  <c r="J45" i="58" s="1"/>
  <c r="X25" i="58"/>
  <c r="Y25" i="58" s="1"/>
  <c r="X9" i="58"/>
  <c r="Y9" i="58" s="1"/>
  <c r="K28" i="62" l="1"/>
  <c r="J49" i="62"/>
  <c r="R22" i="58"/>
  <c r="R23" i="58" s="1"/>
  <c r="R14" i="58"/>
  <c r="R17" i="58" s="1"/>
  <c r="R6" i="58"/>
  <c r="J47" i="58" l="1"/>
  <c r="R15" i="58"/>
  <c r="R16" i="58"/>
  <c r="R7" i="58"/>
  <c r="R25" i="58"/>
  <c r="R24" i="58"/>
  <c r="R26" i="58" l="1"/>
  <c r="R18" i="58"/>
  <c r="E5" i="25" l="1"/>
  <c r="D5" i="25"/>
  <c r="H6" i="56"/>
  <c r="E7" i="56"/>
  <c r="E8" i="56"/>
  <c r="E9" i="56"/>
  <c r="H14" i="56"/>
  <c r="E15" i="56"/>
  <c r="E16" i="56"/>
  <c r="E17" i="56"/>
  <c r="H25" i="56"/>
  <c r="E23" i="56"/>
  <c r="E24" i="56"/>
  <c r="E25" i="56"/>
  <c r="H30" i="56"/>
  <c r="H32" i="56" s="1"/>
  <c r="E31" i="56"/>
  <c r="E32" i="56"/>
  <c r="E33" i="56"/>
  <c r="O6" i="55"/>
  <c r="O18" i="55" l="1"/>
  <c r="O33" i="56"/>
  <c r="O34" i="56" s="1"/>
  <c r="Q33" i="56"/>
  <c r="Q34" i="56" s="1"/>
  <c r="S33" i="56"/>
  <c r="S34" i="56" s="1"/>
  <c r="I33" i="56"/>
  <c r="I34" i="56" s="1"/>
  <c r="K33" i="56"/>
  <c r="K34" i="56" s="1"/>
  <c r="J33" i="56"/>
  <c r="J34" i="56" s="1"/>
  <c r="R33" i="56"/>
  <c r="R34" i="56" s="1"/>
  <c r="M33" i="56"/>
  <c r="M34" i="56" s="1"/>
  <c r="N33" i="56"/>
  <c r="L33" i="56"/>
  <c r="L34" i="56" s="1"/>
  <c r="P33" i="56"/>
  <c r="P34" i="56" s="1"/>
  <c r="H9" i="56"/>
  <c r="H17" i="56"/>
  <c r="H31" i="56"/>
  <c r="H33" i="56"/>
  <c r="H23" i="56"/>
  <c r="H7" i="56"/>
  <c r="S49" i="62"/>
  <c r="H15" i="56"/>
  <c r="H16" i="56"/>
  <c r="H8" i="56"/>
  <c r="H24" i="56"/>
  <c r="O8" i="55"/>
  <c r="H34" i="56" l="1"/>
  <c r="H26" i="56"/>
  <c r="K36" i="56"/>
  <c r="H10" i="56"/>
  <c r="P36" i="56"/>
  <c r="J36" i="56"/>
  <c r="H18" i="56"/>
  <c r="M36" i="56"/>
  <c r="Q36" i="56"/>
  <c r="H36" i="56" l="1"/>
  <c r="N36" i="56"/>
  <c r="B9" i="25" s="1"/>
  <c r="I36" i="56"/>
  <c r="O36" i="56"/>
  <c r="L36" i="56"/>
  <c r="S15" i="60"/>
  <c r="S14" i="60"/>
  <c r="S13" i="60"/>
  <c r="R15" i="60"/>
  <c r="R14" i="60"/>
  <c r="R13" i="60"/>
  <c r="Q15" i="60"/>
  <c r="Q14" i="60"/>
  <c r="Q13" i="60"/>
  <c r="P15" i="60"/>
  <c r="P14" i="60"/>
  <c r="P13" i="60"/>
  <c r="O15" i="60"/>
  <c r="O14" i="60"/>
  <c r="O13" i="60"/>
  <c r="N15" i="60"/>
  <c r="N14" i="60"/>
  <c r="N13" i="60"/>
  <c r="M15" i="60"/>
  <c r="M14" i="60"/>
  <c r="M13" i="60"/>
  <c r="M16" i="60" s="1"/>
  <c r="S8" i="60"/>
  <c r="S7" i="60"/>
  <c r="S6" i="60"/>
  <c r="R8" i="60"/>
  <c r="R7" i="60"/>
  <c r="R6" i="60"/>
  <c r="Q8" i="60"/>
  <c r="Q7" i="60"/>
  <c r="Q6" i="60"/>
  <c r="P8" i="60"/>
  <c r="P7" i="60"/>
  <c r="P6" i="60"/>
  <c r="O8" i="60"/>
  <c r="O7" i="60"/>
  <c r="O6" i="60"/>
  <c r="N8" i="60"/>
  <c r="N7" i="60"/>
  <c r="N6" i="60"/>
  <c r="M8" i="60"/>
  <c r="M7" i="60"/>
  <c r="M6" i="60"/>
  <c r="M11" i="60"/>
  <c r="M4" i="60"/>
  <c r="H37" i="61" l="1"/>
  <c r="I37" i="61"/>
  <c r="Q16" i="60"/>
  <c r="O16" i="60"/>
  <c r="P16" i="60"/>
  <c r="O9" i="60"/>
  <c r="M9" i="60"/>
  <c r="M18" i="60" s="1"/>
  <c r="Q9" i="60"/>
  <c r="R16" i="60"/>
  <c r="S16" i="60"/>
  <c r="R9" i="60"/>
  <c r="S9" i="60"/>
  <c r="N16" i="60"/>
  <c r="N9" i="60"/>
  <c r="N18" i="60" l="1"/>
  <c r="R18" i="60"/>
  <c r="S18" i="60"/>
  <c r="O18" i="60"/>
  <c r="Q18" i="60"/>
  <c r="P9" i="60"/>
  <c r="P18" i="60" s="1"/>
  <c r="M36" i="52"/>
  <c r="M35" i="52"/>
  <c r="L5" i="53" l="1"/>
  <c r="L4" i="53"/>
  <c r="S22" i="58" l="1"/>
  <c r="Q22" i="58"/>
  <c r="P22" i="58"/>
  <c r="O22" i="58"/>
  <c r="N22" i="58"/>
  <c r="M22" i="58"/>
  <c r="R9" i="58"/>
  <c r="R8" i="58"/>
  <c r="R10" i="58" l="1"/>
  <c r="P25" i="58"/>
  <c r="P24" i="58"/>
  <c r="P23" i="58"/>
  <c r="O23" i="58"/>
  <c r="O25" i="58"/>
  <c r="O24" i="58"/>
  <c r="Q25" i="58"/>
  <c r="Q24" i="58"/>
  <c r="Q23" i="58"/>
  <c r="S24" i="58"/>
  <c r="S25" i="58"/>
  <c r="S23" i="58"/>
  <c r="N23" i="58"/>
  <c r="N25" i="58"/>
  <c r="N24" i="58"/>
  <c r="M25" i="58"/>
  <c r="M23" i="58"/>
  <c r="M24" i="58"/>
  <c r="S26" i="58" l="1"/>
  <c r="R29" i="58"/>
  <c r="Q26" i="58"/>
  <c r="P26" i="58"/>
  <c r="N26" i="58"/>
  <c r="O26" i="58"/>
  <c r="S14" i="58" l="1"/>
  <c r="Q14" i="58"/>
  <c r="P14" i="58"/>
  <c r="O14" i="58"/>
  <c r="N14" i="58"/>
  <c r="M14" i="58"/>
  <c r="M17" i="58" s="1"/>
  <c r="L14" i="58"/>
  <c r="L17" i="58" s="1"/>
  <c r="S6" i="58"/>
  <c r="S9" i="58" s="1"/>
  <c r="Q6" i="58"/>
  <c r="Q9" i="58" s="1"/>
  <c r="P6" i="58"/>
  <c r="P9" i="58" s="1"/>
  <c r="O6" i="58"/>
  <c r="N6" i="58"/>
  <c r="N9" i="58" s="1"/>
  <c r="M6" i="58"/>
  <c r="M8" i="58" s="1"/>
  <c r="L6" i="58"/>
  <c r="L9" i="58" s="1"/>
  <c r="P16" i="58" l="1"/>
  <c r="P15" i="58"/>
  <c r="P17" i="58"/>
  <c r="N15" i="58"/>
  <c r="N17" i="58"/>
  <c r="N16" i="58"/>
  <c r="Q16" i="58"/>
  <c r="Q17" i="58"/>
  <c r="Q15" i="58"/>
  <c r="O15" i="58"/>
  <c r="O16" i="58"/>
  <c r="S17" i="58"/>
  <c r="S15" i="58"/>
  <c r="S16" i="58"/>
  <c r="L7" i="58"/>
  <c r="L8" i="58"/>
  <c r="L15" i="58"/>
  <c r="L16" i="58"/>
  <c r="M15" i="58"/>
  <c r="M16" i="58"/>
  <c r="M7" i="58"/>
  <c r="M9" i="58"/>
  <c r="N7" i="58"/>
  <c r="N8" i="58"/>
  <c r="O7" i="58"/>
  <c r="O8" i="58"/>
  <c r="P7" i="58"/>
  <c r="P8" i="58"/>
  <c r="Q7" i="58"/>
  <c r="Q8" i="58"/>
  <c r="S7" i="58"/>
  <c r="S8" i="58"/>
  <c r="Q20" i="57"/>
  <c r="P31" i="57"/>
  <c r="Q25" i="57"/>
  <c r="Q31" i="57" s="1"/>
  <c r="Q23" i="57"/>
  <c r="Q22" i="57"/>
  <c r="Q21" i="57"/>
  <c r="Q12" i="57"/>
  <c r="P6" i="57"/>
  <c r="N31" i="57"/>
  <c r="L31" i="57"/>
  <c r="O25" i="57"/>
  <c r="M25" i="57"/>
  <c r="M27" i="57" s="1"/>
  <c r="K25" i="57"/>
  <c r="I25" i="57"/>
  <c r="O23" i="57"/>
  <c r="M23" i="57"/>
  <c r="K23" i="57"/>
  <c r="I23" i="57"/>
  <c r="O22" i="57"/>
  <c r="M22" i="57"/>
  <c r="J22" i="57"/>
  <c r="K22" i="57" s="1"/>
  <c r="I22" i="57"/>
  <c r="O21" i="57"/>
  <c r="M21" i="57"/>
  <c r="K21" i="57"/>
  <c r="I21" i="57"/>
  <c r="O20" i="57"/>
  <c r="M20" i="57"/>
  <c r="J20" i="57"/>
  <c r="K20" i="57" s="1"/>
  <c r="I20" i="57"/>
  <c r="I24" i="57" s="1"/>
  <c r="O16" i="57"/>
  <c r="I16" i="57"/>
  <c r="O13" i="57"/>
  <c r="O27" i="57" s="1"/>
  <c r="I13" i="57"/>
  <c r="O11" i="57"/>
  <c r="O12" i="57" s="1"/>
  <c r="M11" i="57"/>
  <c r="M12" i="57" s="1"/>
  <c r="K11" i="57"/>
  <c r="K12" i="57" s="1"/>
  <c r="I11" i="57"/>
  <c r="I12" i="57" s="1"/>
  <c r="E7" i="57"/>
  <c r="D7" i="57"/>
  <c r="I7" i="57" s="1"/>
  <c r="I31" i="57" s="1"/>
  <c r="C7" i="57"/>
  <c r="K7" i="57" s="1"/>
  <c r="K31" i="57" s="1"/>
  <c r="N6" i="57"/>
  <c r="L6" i="57"/>
  <c r="J6" i="57"/>
  <c r="H6" i="57"/>
  <c r="H7" i="57" l="1"/>
  <c r="J7" i="57"/>
  <c r="J31" i="57" s="1"/>
  <c r="K32" i="57" s="1"/>
  <c r="Q27" i="57"/>
  <c r="M24" i="57"/>
  <c r="O24" i="57"/>
  <c r="L18" i="58"/>
  <c r="L10" i="58"/>
  <c r="N18" i="58"/>
  <c r="M18" i="58"/>
  <c r="Q10" i="58"/>
  <c r="M10" i="58"/>
  <c r="N10" i="58"/>
  <c r="S10" i="58"/>
  <c r="P10" i="58"/>
  <c r="O18" i="58"/>
  <c r="Q18" i="58"/>
  <c r="O10" i="58"/>
  <c r="S18" i="58"/>
  <c r="P18" i="58"/>
  <c r="Q24" i="57"/>
  <c r="Q32" i="57"/>
  <c r="K24" i="57"/>
  <c r="K27" i="57"/>
  <c r="M31" i="57"/>
  <c r="M32" i="57" s="1"/>
  <c r="O33" i="57" s="1"/>
  <c r="O31" i="57"/>
  <c r="O32" i="57" s="1"/>
  <c r="Q29" i="58" l="1"/>
  <c r="O29" i="58"/>
  <c r="S29" i="58"/>
  <c r="N29" i="58"/>
  <c r="P29" i="58"/>
  <c r="P47" i="58" s="1"/>
  <c r="H31" i="57"/>
  <c r="I32" i="57" s="1"/>
  <c r="I27" i="57"/>
  <c r="S47" i="58" l="1"/>
  <c r="S36" i="56" l="1"/>
  <c r="R36" i="56"/>
  <c r="E20" i="43"/>
  <c r="E19" i="43"/>
  <c r="H6" i="55"/>
  <c r="K22" i="55"/>
  <c r="L22" i="55"/>
  <c r="M22" i="55"/>
  <c r="N22" i="55"/>
  <c r="O22" i="55"/>
  <c r="P22" i="55"/>
  <c r="Q22" i="55"/>
  <c r="R22" i="55"/>
  <c r="S22" i="55"/>
  <c r="K23" i="55"/>
  <c r="L23" i="55"/>
  <c r="M23" i="55"/>
  <c r="N23" i="55"/>
  <c r="O23" i="55"/>
  <c r="P23" i="55"/>
  <c r="Q23" i="55"/>
  <c r="R23" i="55"/>
  <c r="S23" i="55"/>
  <c r="K24" i="55"/>
  <c r="L24" i="55"/>
  <c r="M24" i="55"/>
  <c r="N24" i="55"/>
  <c r="O24" i="55"/>
  <c r="P24" i="55"/>
  <c r="Q24" i="55"/>
  <c r="R24" i="55"/>
  <c r="S24" i="55"/>
  <c r="K25" i="55"/>
  <c r="L25" i="55"/>
  <c r="M25" i="55"/>
  <c r="N25" i="55"/>
  <c r="O25" i="55"/>
  <c r="P25" i="55"/>
  <c r="Q25" i="55"/>
  <c r="R25" i="55"/>
  <c r="S25" i="55"/>
  <c r="H22" i="55"/>
  <c r="I22" i="55"/>
  <c r="H23" i="55"/>
  <c r="I23" i="55"/>
  <c r="H24" i="55"/>
  <c r="I24" i="55"/>
  <c r="H25" i="55"/>
  <c r="I25" i="55"/>
  <c r="J25" i="55"/>
  <c r="J24" i="55"/>
  <c r="J23" i="55"/>
  <c r="J22" i="55"/>
  <c r="S6" i="55"/>
  <c r="R6" i="55"/>
  <c r="P6" i="55"/>
  <c r="O9" i="55"/>
  <c r="N6" i="55"/>
  <c r="M6" i="55"/>
  <c r="L6" i="55"/>
  <c r="K6" i="55"/>
  <c r="J6" i="55"/>
  <c r="I6" i="55"/>
  <c r="S25" i="54"/>
  <c r="R25" i="54"/>
  <c r="Q25" i="54"/>
  <c r="P25" i="54"/>
  <c r="O25" i="54"/>
  <c r="N25" i="54"/>
  <c r="M25" i="54"/>
  <c r="L25" i="54"/>
  <c r="K25" i="54"/>
  <c r="J25" i="54"/>
  <c r="I25" i="54"/>
  <c r="H25" i="54"/>
  <c r="S24" i="54"/>
  <c r="R24" i="54"/>
  <c r="Q24" i="54"/>
  <c r="P24" i="54"/>
  <c r="O24" i="54"/>
  <c r="N24" i="54"/>
  <c r="M24" i="54"/>
  <c r="L24" i="54"/>
  <c r="K24" i="54"/>
  <c r="J24" i="54"/>
  <c r="I24" i="54"/>
  <c r="H24" i="54"/>
  <c r="S23" i="54"/>
  <c r="R23" i="54"/>
  <c r="Q23" i="54"/>
  <c r="P23" i="54"/>
  <c r="O23" i="54"/>
  <c r="N23" i="54"/>
  <c r="M23" i="54"/>
  <c r="L23" i="54"/>
  <c r="K23" i="54"/>
  <c r="J23" i="54"/>
  <c r="I23" i="54"/>
  <c r="H23" i="54"/>
  <c r="S35" i="54"/>
  <c r="S34" i="54"/>
  <c r="S36" i="54" s="1"/>
  <c r="S37" i="54" s="1"/>
  <c r="S33" i="54"/>
  <c r="S32" i="54"/>
  <c r="P35" i="54"/>
  <c r="P34" i="54"/>
  <c r="P33" i="54"/>
  <c r="P32" i="54"/>
  <c r="M35" i="54"/>
  <c r="M34" i="54"/>
  <c r="M33" i="54"/>
  <c r="M32" i="54"/>
  <c r="S22" i="54"/>
  <c r="R22" i="54"/>
  <c r="Q22" i="54"/>
  <c r="P22" i="54"/>
  <c r="O22" i="54"/>
  <c r="N22" i="54"/>
  <c r="M22" i="54"/>
  <c r="L22" i="54"/>
  <c r="K22" i="54"/>
  <c r="J22" i="54"/>
  <c r="I22" i="54"/>
  <c r="H22" i="54"/>
  <c r="J35" i="54"/>
  <c r="J34" i="54"/>
  <c r="J33" i="54"/>
  <c r="J32" i="54"/>
  <c r="S14" i="54"/>
  <c r="S17" i="54" s="1"/>
  <c r="R14" i="54"/>
  <c r="R17" i="54" s="1"/>
  <c r="Q14" i="54"/>
  <c r="Q17" i="54" s="1"/>
  <c r="P14" i="54"/>
  <c r="P17" i="54" s="1"/>
  <c r="O14" i="54"/>
  <c r="O16" i="54" s="1"/>
  <c r="N14" i="54"/>
  <c r="N16" i="54" s="1"/>
  <c r="M14" i="54"/>
  <c r="M16" i="54" s="1"/>
  <c r="L14" i="54"/>
  <c r="L16" i="54" s="1"/>
  <c r="K14" i="54"/>
  <c r="K17" i="54" s="1"/>
  <c r="J14" i="54"/>
  <c r="J17" i="54" s="1"/>
  <c r="I14" i="54"/>
  <c r="I17" i="54" s="1"/>
  <c r="H14" i="54"/>
  <c r="H17" i="54" s="1"/>
  <c r="S6" i="54"/>
  <c r="S8" i="54" s="1"/>
  <c r="R6" i="54"/>
  <c r="R8" i="54" s="1"/>
  <c r="Q6" i="54"/>
  <c r="Q8" i="54" s="1"/>
  <c r="P6" i="54"/>
  <c r="P8" i="54" s="1"/>
  <c r="O6" i="54"/>
  <c r="O9" i="54" s="1"/>
  <c r="N6" i="54"/>
  <c r="N9" i="54" s="1"/>
  <c r="M6" i="54"/>
  <c r="M8" i="54" s="1"/>
  <c r="L6" i="54"/>
  <c r="L7" i="54" s="1"/>
  <c r="K6" i="54"/>
  <c r="K8" i="54" s="1"/>
  <c r="J6" i="54"/>
  <c r="J8" i="54" s="1"/>
  <c r="I6" i="54"/>
  <c r="I8" i="54" s="1"/>
  <c r="H6" i="54"/>
  <c r="H8" i="54" s="1"/>
  <c r="S33" i="53"/>
  <c r="R33" i="53"/>
  <c r="Q33" i="53"/>
  <c r="P33" i="53"/>
  <c r="O33" i="53"/>
  <c r="N33" i="53"/>
  <c r="M33" i="53"/>
  <c r="L33" i="53"/>
  <c r="K33" i="53"/>
  <c r="J33" i="53"/>
  <c r="I33" i="53"/>
  <c r="S32" i="53"/>
  <c r="R32" i="53"/>
  <c r="Q32" i="53"/>
  <c r="P32" i="53"/>
  <c r="O32" i="53"/>
  <c r="N32" i="53"/>
  <c r="M32" i="53"/>
  <c r="L32" i="53"/>
  <c r="K32" i="53"/>
  <c r="J32" i="53"/>
  <c r="I32" i="53"/>
  <c r="S31" i="53"/>
  <c r="R31" i="53"/>
  <c r="Q31" i="53"/>
  <c r="P31" i="53"/>
  <c r="O31" i="53"/>
  <c r="N31" i="53"/>
  <c r="M31" i="53"/>
  <c r="L31" i="53"/>
  <c r="K31" i="53"/>
  <c r="J31" i="53"/>
  <c r="I31" i="53"/>
  <c r="S30" i="53"/>
  <c r="R30" i="53"/>
  <c r="Q30" i="53"/>
  <c r="P30" i="53"/>
  <c r="O30" i="53"/>
  <c r="N30" i="53"/>
  <c r="M30" i="53"/>
  <c r="L30" i="53"/>
  <c r="K30" i="53"/>
  <c r="J30" i="53"/>
  <c r="I30" i="53"/>
  <c r="H30" i="53"/>
  <c r="H33" i="53"/>
  <c r="H32" i="53"/>
  <c r="H31" i="53"/>
  <c r="S25" i="53"/>
  <c r="R25" i="53"/>
  <c r="Q25" i="53"/>
  <c r="P25" i="53"/>
  <c r="O25" i="53"/>
  <c r="N25" i="53"/>
  <c r="M25" i="53"/>
  <c r="L25" i="53"/>
  <c r="K25" i="53"/>
  <c r="J25" i="53"/>
  <c r="I25" i="53"/>
  <c r="S24" i="53"/>
  <c r="R24" i="53"/>
  <c r="Q24" i="53"/>
  <c r="P24" i="53"/>
  <c r="O24" i="53"/>
  <c r="N24" i="53"/>
  <c r="M24" i="53"/>
  <c r="L24" i="53"/>
  <c r="K24" i="53"/>
  <c r="J24" i="53"/>
  <c r="I24" i="53"/>
  <c r="S23" i="53"/>
  <c r="R23" i="53"/>
  <c r="Q23" i="53"/>
  <c r="P23" i="53"/>
  <c r="O23" i="53"/>
  <c r="N23" i="53"/>
  <c r="M23" i="53"/>
  <c r="L23" i="53"/>
  <c r="K23" i="53"/>
  <c r="J23" i="53"/>
  <c r="I23" i="53"/>
  <c r="S22" i="53"/>
  <c r="R22" i="53"/>
  <c r="Q22" i="53"/>
  <c r="P22" i="53"/>
  <c r="O22" i="53"/>
  <c r="N22" i="53"/>
  <c r="M22" i="53"/>
  <c r="L22" i="53"/>
  <c r="K22" i="53"/>
  <c r="J22" i="53"/>
  <c r="I22" i="53"/>
  <c r="H25" i="53"/>
  <c r="H24" i="53"/>
  <c r="H23" i="53"/>
  <c r="H22" i="53"/>
  <c r="S14" i="53"/>
  <c r="S16" i="53" s="1"/>
  <c r="R14" i="53"/>
  <c r="R17" i="53" s="1"/>
  <c r="Q14" i="53"/>
  <c r="Q16" i="53" s="1"/>
  <c r="P14" i="53"/>
  <c r="P17" i="53" s="1"/>
  <c r="O14" i="53"/>
  <c r="O16" i="53" s="1"/>
  <c r="N14" i="53"/>
  <c r="N16" i="53" s="1"/>
  <c r="M14" i="53"/>
  <c r="M16" i="53" s="1"/>
  <c r="L14" i="53"/>
  <c r="L16" i="53" s="1"/>
  <c r="K14" i="53"/>
  <c r="K16" i="53" s="1"/>
  <c r="J14" i="53"/>
  <c r="J17" i="53" s="1"/>
  <c r="I14" i="53"/>
  <c r="I16" i="53" s="1"/>
  <c r="H14" i="53"/>
  <c r="H17" i="53" s="1"/>
  <c r="S6" i="53"/>
  <c r="S8" i="53" s="1"/>
  <c r="R6" i="53"/>
  <c r="R8" i="53" s="1"/>
  <c r="Q6" i="53"/>
  <c r="Q8" i="53" s="1"/>
  <c r="P6" i="53"/>
  <c r="P8" i="53" s="1"/>
  <c r="O6" i="53"/>
  <c r="O8" i="53" s="1"/>
  <c r="N6" i="53"/>
  <c r="N9" i="53" s="1"/>
  <c r="M6" i="53"/>
  <c r="M8" i="53" s="1"/>
  <c r="K6" i="53"/>
  <c r="K8" i="53" s="1"/>
  <c r="J6" i="53"/>
  <c r="J8" i="53" s="1"/>
  <c r="I6" i="53"/>
  <c r="I8" i="53" s="1"/>
  <c r="H6" i="53"/>
  <c r="H8" i="53" s="1"/>
  <c r="S50" i="52"/>
  <c r="S49" i="52"/>
  <c r="S48" i="52"/>
  <c r="S47" i="52"/>
  <c r="P50" i="52"/>
  <c r="P49" i="52"/>
  <c r="P48" i="52"/>
  <c r="P47" i="52"/>
  <c r="M50" i="52"/>
  <c r="M49" i="52"/>
  <c r="M48" i="52"/>
  <c r="M47" i="52"/>
  <c r="J50" i="52"/>
  <c r="J49" i="52"/>
  <c r="J48" i="52"/>
  <c r="J47" i="52"/>
  <c r="S38" i="52"/>
  <c r="S37" i="52"/>
  <c r="S41" i="52" s="1"/>
  <c r="P37" i="52"/>
  <c r="P42" i="52" s="1"/>
  <c r="M37" i="52"/>
  <c r="M41" i="52" s="1"/>
  <c r="J37" i="52"/>
  <c r="J42" i="52" s="1"/>
  <c r="S31" i="52"/>
  <c r="Q31" i="52"/>
  <c r="S29" i="52"/>
  <c r="Q29" i="52"/>
  <c r="S27" i="52"/>
  <c r="Q27" i="52"/>
  <c r="S26" i="52"/>
  <c r="S30" i="52" s="1"/>
  <c r="R26" i="52"/>
  <c r="R31" i="52" s="1"/>
  <c r="Q26" i="52"/>
  <c r="Q30" i="52" s="1"/>
  <c r="P26" i="52"/>
  <c r="P31" i="52" s="1"/>
  <c r="O26" i="52"/>
  <c r="O30" i="52" s="1"/>
  <c r="S16" i="52"/>
  <c r="S20" i="52" s="1"/>
  <c r="R16" i="52"/>
  <c r="R20" i="52" s="1"/>
  <c r="Q16" i="52"/>
  <c r="Q20" i="52" s="1"/>
  <c r="P16" i="52"/>
  <c r="P20" i="52" s="1"/>
  <c r="O16" i="52"/>
  <c r="O20" i="52" s="1"/>
  <c r="Q7" i="52"/>
  <c r="S6" i="52"/>
  <c r="S10" i="52" s="1"/>
  <c r="R6" i="52"/>
  <c r="R11" i="52" s="1"/>
  <c r="Q6" i="52"/>
  <c r="Q10" i="52" s="1"/>
  <c r="P6" i="52"/>
  <c r="P11" i="52" s="1"/>
  <c r="O6" i="52"/>
  <c r="O11" i="52" s="1"/>
  <c r="R26" i="55" l="1"/>
  <c r="H31" i="55"/>
  <c r="H30" i="55"/>
  <c r="L18" i="55"/>
  <c r="L9" i="55"/>
  <c r="P8" i="55"/>
  <c r="J8" i="55"/>
  <c r="I8" i="55"/>
  <c r="K8" i="55"/>
  <c r="Q8" i="55"/>
  <c r="S8" i="55"/>
  <c r="H8" i="55"/>
  <c r="N8" i="55"/>
  <c r="M9" i="55"/>
  <c r="R8" i="55"/>
  <c r="P19" i="52"/>
  <c r="H26" i="53"/>
  <c r="K26" i="53"/>
  <c r="K34" i="53"/>
  <c r="R17" i="52"/>
  <c r="R19" i="52"/>
  <c r="R21" i="52"/>
  <c r="N26" i="53"/>
  <c r="S7" i="52"/>
  <c r="M40" i="52"/>
  <c r="S40" i="52"/>
  <c r="S9" i="52"/>
  <c r="M42" i="52"/>
  <c r="Q9" i="52"/>
  <c r="Q11" i="52"/>
  <c r="S42" i="52"/>
  <c r="P17" i="52"/>
  <c r="P21" i="52"/>
  <c r="S11" i="52"/>
  <c r="S26" i="53"/>
  <c r="M36" i="54"/>
  <c r="M37" i="54" s="1"/>
  <c r="O17" i="52"/>
  <c r="O19" i="52"/>
  <c r="O21" i="52"/>
  <c r="N26" i="55"/>
  <c r="M38" i="52"/>
  <c r="L26" i="53"/>
  <c r="M26" i="53"/>
  <c r="P26" i="53"/>
  <c r="S34" i="53"/>
  <c r="L26" i="55"/>
  <c r="Q7" i="55"/>
  <c r="I26" i="55"/>
  <c r="P36" i="54"/>
  <c r="P37" i="54" s="1"/>
  <c r="H26" i="55"/>
  <c r="P26" i="55"/>
  <c r="Q26" i="55"/>
  <c r="O26" i="55"/>
  <c r="S26" i="55"/>
  <c r="K26" i="55"/>
  <c r="M26" i="55"/>
  <c r="I9" i="55"/>
  <c r="H32" i="55"/>
  <c r="H9" i="55"/>
  <c r="N9" i="55"/>
  <c r="H7" i="55"/>
  <c r="P9" i="55"/>
  <c r="J26" i="55"/>
  <c r="I7" i="55"/>
  <c r="Q9" i="55"/>
  <c r="N7" i="55"/>
  <c r="P7" i="55"/>
  <c r="L8" i="55"/>
  <c r="J7" i="55"/>
  <c r="R7" i="55"/>
  <c r="J9" i="55"/>
  <c r="R9" i="55"/>
  <c r="M8" i="55"/>
  <c r="K7" i="55"/>
  <c r="S7" i="55"/>
  <c r="K9" i="55"/>
  <c r="S9" i="55"/>
  <c r="L7" i="55"/>
  <c r="M7" i="55"/>
  <c r="O7" i="55"/>
  <c r="J36" i="54"/>
  <c r="J37" i="54" s="1"/>
  <c r="L26" i="54"/>
  <c r="H7" i="54"/>
  <c r="P7" i="54"/>
  <c r="P10" i="54" s="1"/>
  <c r="K26" i="54"/>
  <c r="I7" i="54"/>
  <c r="M26" i="54"/>
  <c r="Q26" i="54"/>
  <c r="Q7" i="54"/>
  <c r="H9" i="54"/>
  <c r="L15" i="54"/>
  <c r="M15" i="54"/>
  <c r="I9" i="54"/>
  <c r="P9" i="54"/>
  <c r="L17" i="54"/>
  <c r="L18" i="54" s="1"/>
  <c r="Q9" i="54"/>
  <c r="Q10" i="54" s="1"/>
  <c r="M17" i="54"/>
  <c r="N26" i="54"/>
  <c r="O26" i="54"/>
  <c r="I26" i="54"/>
  <c r="J26" i="54"/>
  <c r="R26" i="54"/>
  <c r="S26" i="54"/>
  <c r="H26" i="54"/>
  <c r="P26" i="54"/>
  <c r="P16" i="54"/>
  <c r="I16" i="54"/>
  <c r="Q16" i="54"/>
  <c r="J7" i="54"/>
  <c r="R7" i="54"/>
  <c r="N8" i="54"/>
  <c r="J9" i="54"/>
  <c r="R9" i="54"/>
  <c r="N15" i="54"/>
  <c r="J16" i="54"/>
  <c r="R16" i="54"/>
  <c r="N17" i="54"/>
  <c r="L8" i="54"/>
  <c r="H16" i="54"/>
  <c r="K7" i="54"/>
  <c r="S7" i="54"/>
  <c r="O8" i="54"/>
  <c r="K9" i="54"/>
  <c r="S9" i="54"/>
  <c r="O15" i="54"/>
  <c r="K16" i="54"/>
  <c r="S16" i="54"/>
  <c r="O17" i="54"/>
  <c r="H15" i="54"/>
  <c r="M7" i="54"/>
  <c r="M9" i="54"/>
  <c r="I15" i="54"/>
  <c r="Q15" i="54"/>
  <c r="L9" i="54"/>
  <c r="P15" i="54"/>
  <c r="N7" i="54"/>
  <c r="J15" i="54"/>
  <c r="R15" i="54"/>
  <c r="O7" i="54"/>
  <c r="K15" i="54"/>
  <c r="S15" i="54"/>
  <c r="L34" i="53"/>
  <c r="N34" i="53"/>
  <c r="I34" i="53"/>
  <c r="Q34" i="53"/>
  <c r="H34" i="53"/>
  <c r="O26" i="53"/>
  <c r="M34" i="53"/>
  <c r="I26" i="53"/>
  <c r="Q26" i="53"/>
  <c r="O34" i="53"/>
  <c r="J26" i="53"/>
  <c r="R26" i="53"/>
  <c r="P34" i="53"/>
  <c r="O7" i="53"/>
  <c r="J9" i="53"/>
  <c r="J34" i="53"/>
  <c r="R34" i="53"/>
  <c r="P7" i="53"/>
  <c r="R7" i="53"/>
  <c r="J7" i="53"/>
  <c r="M9" i="53"/>
  <c r="K15" i="53"/>
  <c r="O9" i="53"/>
  <c r="L15" i="53"/>
  <c r="P9" i="53"/>
  <c r="Q15" i="53"/>
  <c r="M7" i="53"/>
  <c r="R9" i="53"/>
  <c r="Q17" i="53"/>
  <c r="S15" i="53"/>
  <c r="I17" i="53"/>
  <c r="K17" i="53"/>
  <c r="I15" i="53"/>
  <c r="L17" i="53"/>
  <c r="N17" i="53"/>
  <c r="N15" i="53"/>
  <c r="S17" i="53"/>
  <c r="H9" i="53"/>
  <c r="H7" i="53"/>
  <c r="H16" i="53"/>
  <c r="P16" i="53"/>
  <c r="I7" i="53"/>
  <c r="Q7" i="53"/>
  <c r="I9" i="53"/>
  <c r="Q9" i="53"/>
  <c r="M15" i="53"/>
  <c r="M17" i="53"/>
  <c r="R16" i="53"/>
  <c r="K7" i="53"/>
  <c r="S7" i="53"/>
  <c r="K9" i="53"/>
  <c r="S9" i="53"/>
  <c r="O15" i="53"/>
  <c r="O17" i="53"/>
  <c r="N8" i="53"/>
  <c r="H15" i="53"/>
  <c r="P15" i="53"/>
  <c r="J16" i="53"/>
  <c r="N7" i="53"/>
  <c r="J15" i="53"/>
  <c r="R15" i="53"/>
  <c r="J51" i="52"/>
  <c r="P51" i="52"/>
  <c r="P30" i="52"/>
  <c r="J41" i="52"/>
  <c r="P8" i="52"/>
  <c r="P10" i="52"/>
  <c r="P28" i="52"/>
  <c r="J39" i="52"/>
  <c r="Q8" i="52"/>
  <c r="Q12" i="52" s="1"/>
  <c r="Q17" i="52"/>
  <c r="Q19" i="52"/>
  <c r="Q21" i="52"/>
  <c r="Q28" i="52"/>
  <c r="Q32" i="52" s="1"/>
  <c r="M39" i="52"/>
  <c r="O8" i="52"/>
  <c r="O10" i="52"/>
  <c r="P39" i="52"/>
  <c r="P41" i="52"/>
  <c r="S18" i="52"/>
  <c r="O7" i="52"/>
  <c r="S8" i="52"/>
  <c r="S12" i="52" s="1"/>
  <c r="O9" i="52"/>
  <c r="S17" i="52"/>
  <c r="O18" i="52"/>
  <c r="O22" i="52" s="1"/>
  <c r="S19" i="52"/>
  <c r="S21" i="52"/>
  <c r="O27" i="52"/>
  <c r="S28" i="52"/>
  <c r="S32" i="52" s="1"/>
  <c r="O29" i="52"/>
  <c r="O31" i="52"/>
  <c r="S39" i="52"/>
  <c r="R8" i="52"/>
  <c r="R10" i="52"/>
  <c r="R28" i="52"/>
  <c r="R30" i="52"/>
  <c r="P7" i="52"/>
  <c r="P9" i="52"/>
  <c r="P18" i="52"/>
  <c r="P22" i="52" s="1"/>
  <c r="P27" i="52"/>
  <c r="P29" i="52"/>
  <c r="J38" i="52"/>
  <c r="J40" i="52"/>
  <c r="Q18" i="52"/>
  <c r="R7" i="52"/>
  <c r="R9" i="52"/>
  <c r="R18" i="52"/>
  <c r="R22" i="52" s="1"/>
  <c r="R27" i="52"/>
  <c r="R29" i="52"/>
  <c r="P38" i="52"/>
  <c r="P40" i="52"/>
  <c r="O28" i="52"/>
  <c r="I18" i="55" l="1"/>
  <c r="M18" i="55"/>
  <c r="J18" i="55"/>
  <c r="R18" i="55"/>
  <c r="H18" i="55"/>
  <c r="S18" i="55"/>
  <c r="N18" i="55"/>
  <c r="K18" i="55"/>
  <c r="Q18" i="55"/>
  <c r="P18" i="55"/>
  <c r="M18" i="54"/>
  <c r="M43" i="52"/>
  <c r="S43" i="52"/>
  <c r="R10" i="53"/>
  <c r="O10" i="53"/>
  <c r="O12" i="52"/>
  <c r="N10" i="55"/>
  <c r="L10" i="55"/>
  <c r="L36" i="55" s="1"/>
  <c r="L18" i="53"/>
  <c r="J10" i="53"/>
  <c r="Q10" i="55"/>
  <c r="I10" i="55"/>
  <c r="M28" i="54"/>
  <c r="M39" i="54" s="1"/>
  <c r="L28" i="54"/>
  <c r="L39" i="54" s="1"/>
  <c r="M10" i="55"/>
  <c r="M36" i="55" s="1"/>
  <c r="H10" i="55"/>
  <c r="P10" i="55"/>
  <c r="K10" i="55"/>
  <c r="K36" i="55" s="1"/>
  <c r="O10" i="55"/>
  <c r="O36" i="55" s="1"/>
  <c r="S10" i="55"/>
  <c r="R10" i="55"/>
  <c r="J10" i="55"/>
  <c r="J36" i="55" s="1"/>
  <c r="M10" i="54"/>
  <c r="N10" i="54"/>
  <c r="K10" i="54"/>
  <c r="H10" i="54"/>
  <c r="I10" i="54"/>
  <c r="R10" i="54"/>
  <c r="Q18" i="54"/>
  <c r="Q28" i="54" s="1"/>
  <c r="Q39" i="54" s="1"/>
  <c r="J10" i="54"/>
  <c r="R18" i="54"/>
  <c r="R28" i="54" s="1"/>
  <c r="R39" i="54" s="1"/>
  <c r="N18" i="54"/>
  <c r="S10" i="54"/>
  <c r="L10" i="54"/>
  <c r="S18" i="54"/>
  <c r="S28" i="54" s="1"/>
  <c r="S39" i="54" s="1"/>
  <c r="I18" i="54"/>
  <c r="J18" i="54"/>
  <c r="H18" i="54"/>
  <c r="P18" i="54"/>
  <c r="P28" i="54" s="1"/>
  <c r="P39" i="54" s="1"/>
  <c r="O18" i="54"/>
  <c r="O28" i="54" s="1"/>
  <c r="O39" i="54" s="1"/>
  <c r="K18" i="54"/>
  <c r="K28" i="54" s="1"/>
  <c r="K39" i="54" s="1"/>
  <c r="O10" i="54"/>
  <c r="K18" i="53"/>
  <c r="P10" i="53"/>
  <c r="Q18" i="53"/>
  <c r="M10" i="53"/>
  <c r="I18" i="53"/>
  <c r="S18" i="53"/>
  <c r="P18" i="53"/>
  <c r="M18" i="53"/>
  <c r="N18" i="53"/>
  <c r="J18" i="53"/>
  <c r="H18" i="53"/>
  <c r="H10" i="53"/>
  <c r="K10" i="53"/>
  <c r="Q10" i="53"/>
  <c r="I10" i="53"/>
  <c r="O18" i="53"/>
  <c r="O35" i="53" s="1"/>
  <c r="N10" i="53"/>
  <c r="N35" i="53" s="1"/>
  <c r="R18" i="53"/>
  <c r="R35" i="53" s="1"/>
  <c r="S10" i="53"/>
  <c r="J43" i="52"/>
  <c r="J52" i="52" s="1"/>
  <c r="R32" i="52"/>
  <c r="R12" i="52"/>
  <c r="P32" i="52"/>
  <c r="S22" i="52"/>
  <c r="S33" i="52" s="1"/>
  <c r="M51" i="52"/>
  <c r="M52" i="52" s="1"/>
  <c r="P43" i="52"/>
  <c r="P52" i="52" s="1"/>
  <c r="P12" i="52"/>
  <c r="O32" i="52"/>
  <c r="O33" i="52" s="1"/>
  <c r="S51" i="52"/>
  <c r="S52" i="52" s="1"/>
  <c r="Q22" i="52"/>
  <c r="Q33" i="52" s="1"/>
  <c r="R36" i="55" l="1"/>
  <c r="P36" i="55"/>
  <c r="Q36" i="55"/>
  <c r="S36" i="55"/>
  <c r="N36" i="55"/>
  <c r="P47" i="55"/>
  <c r="M47" i="55"/>
  <c r="H36" i="55"/>
  <c r="J47" i="55"/>
  <c r="N28" i="54"/>
  <c r="N39" i="54" s="1"/>
  <c r="M35" i="53"/>
  <c r="S35" i="53"/>
  <c r="P35" i="53"/>
  <c r="Q35" i="53"/>
  <c r="K35" i="53"/>
  <c r="J28" i="54"/>
  <c r="J35" i="53"/>
  <c r="I28" i="54"/>
  <c r="I39" i="54" s="1"/>
  <c r="I35" i="53"/>
  <c r="J54" i="52"/>
  <c r="H28" i="54"/>
  <c r="H39" i="54" s="1"/>
  <c r="H35" i="53"/>
  <c r="S54" i="52"/>
  <c r="R33" i="52"/>
  <c r="M54" i="52"/>
  <c r="P33" i="52"/>
  <c r="P54" i="52" s="1"/>
  <c r="S47" i="55" l="1"/>
  <c r="J39" i="54"/>
  <c r="E25" i="43"/>
  <c r="J52" i="58" l="1"/>
  <c r="J53" i="58" s="1"/>
  <c r="J60" i="58" s="1"/>
  <c r="J63" i="64"/>
  <c r="C17" i="25"/>
  <c r="J59" i="58" l="1"/>
  <c r="C14" i="46"/>
  <c r="C16" i="46" s="1"/>
  <c r="B13" i="46"/>
  <c r="B16" i="46" s="1"/>
  <c r="C7" i="46"/>
  <c r="C10" i="46" s="1"/>
  <c r="B7" i="46"/>
  <c r="D16" i="46" l="1"/>
  <c r="C9" i="46"/>
  <c r="E39" i="34" l="1"/>
  <c r="D39" i="34" l="1"/>
  <c r="J31" i="34" l="1"/>
  <c r="I31" i="34"/>
  <c r="H31" i="34"/>
  <c r="I25" i="34"/>
  <c r="I19" i="34"/>
  <c r="J11" i="34"/>
  <c r="I11" i="34"/>
  <c r="H11" i="34"/>
  <c r="J10" i="34"/>
  <c r="I10" i="34"/>
  <c r="H10" i="34"/>
  <c r="J39" i="34" l="1"/>
  <c r="H39" i="34"/>
  <c r="I34" i="34"/>
  <c r="I39" i="34"/>
  <c r="R19" i="15" l="1"/>
  <c r="O19" i="15" l="1"/>
  <c r="L19" i="15" l="1"/>
  <c r="I19" i="15" l="1"/>
  <c r="E61" i="15" l="1"/>
  <c r="C19" i="15" l="1"/>
  <c r="F19" i="15" l="1"/>
  <c r="V70" i="15" l="1"/>
  <c r="U70" i="15"/>
  <c r="T70" i="15"/>
  <c r="V69" i="15"/>
  <c r="U69" i="15"/>
  <c r="T69" i="15"/>
  <c r="V65" i="15"/>
  <c r="U65" i="15"/>
  <c r="T65" i="15"/>
  <c r="Q61" i="15"/>
  <c r="N61" i="15"/>
  <c r="K61" i="15"/>
  <c r="H61" i="15"/>
  <c r="B61" i="15"/>
  <c r="V60" i="15"/>
  <c r="U60" i="15"/>
  <c r="T60" i="15"/>
  <c r="V59" i="15"/>
  <c r="U59" i="15"/>
  <c r="T59" i="15"/>
  <c r="V58" i="15"/>
  <c r="U58" i="15"/>
  <c r="T58" i="15"/>
  <c r="V57" i="15"/>
  <c r="U57" i="15"/>
  <c r="T57" i="15"/>
  <c r="V56" i="15"/>
  <c r="U56" i="15"/>
  <c r="T56" i="15"/>
  <c r="V55" i="15"/>
  <c r="U55" i="15"/>
  <c r="T55" i="15"/>
  <c r="Q53" i="15"/>
  <c r="N53" i="15"/>
  <c r="K53" i="15"/>
  <c r="H53" i="15"/>
  <c r="E53" i="15"/>
  <c r="B53" i="15"/>
  <c r="V52" i="15"/>
  <c r="U52" i="15"/>
  <c r="T52" i="15"/>
  <c r="V51" i="15"/>
  <c r="U51" i="15"/>
  <c r="T51" i="15"/>
  <c r="V50" i="15"/>
  <c r="U50" i="15"/>
  <c r="T50" i="15"/>
  <c r="V49" i="15"/>
  <c r="U49" i="15"/>
  <c r="T49" i="15"/>
  <c r="V48" i="15"/>
  <c r="U48" i="15"/>
  <c r="T48" i="15"/>
  <c r="V47" i="15"/>
  <c r="U47" i="15"/>
  <c r="T47" i="15"/>
  <c r="V46" i="15"/>
  <c r="U46" i="15"/>
  <c r="T46" i="15"/>
  <c r="Q44" i="15"/>
  <c r="N44" i="15"/>
  <c r="K44" i="15"/>
  <c r="H44" i="15"/>
  <c r="E44" i="15"/>
  <c r="B44" i="15"/>
  <c r="V43" i="15"/>
  <c r="U43" i="15"/>
  <c r="T43" i="15"/>
  <c r="V42" i="15"/>
  <c r="U42" i="15"/>
  <c r="T42" i="15"/>
  <c r="V41" i="15"/>
  <c r="U41" i="15"/>
  <c r="T41" i="15"/>
  <c r="V40" i="15"/>
  <c r="U40" i="15"/>
  <c r="T40" i="15"/>
  <c r="V39" i="15"/>
  <c r="U39" i="15"/>
  <c r="T39" i="15"/>
  <c r="V38" i="15"/>
  <c r="U38" i="15"/>
  <c r="T38" i="15"/>
  <c r="T33" i="15"/>
  <c r="R33" i="15"/>
  <c r="O33" i="15"/>
  <c r="L33" i="15"/>
  <c r="I33" i="15"/>
  <c r="F33" i="15"/>
  <c r="C33" i="15"/>
  <c r="Q30" i="15"/>
  <c r="N30" i="15"/>
  <c r="K30" i="15"/>
  <c r="H30" i="15"/>
  <c r="E30" i="15"/>
  <c r="B30" i="15"/>
  <c r="T29" i="15"/>
  <c r="R29" i="15"/>
  <c r="O29" i="15"/>
  <c r="L29" i="15"/>
  <c r="I29" i="15"/>
  <c r="F29" i="15"/>
  <c r="C29" i="15"/>
  <c r="T28" i="15"/>
  <c r="R28" i="15"/>
  <c r="O28" i="15"/>
  <c r="L28" i="15"/>
  <c r="I28" i="15"/>
  <c r="F28" i="15"/>
  <c r="C28" i="15"/>
  <c r="S25" i="15"/>
  <c r="Q25" i="15"/>
  <c r="P25" i="15"/>
  <c r="N25" i="15"/>
  <c r="M25" i="15"/>
  <c r="K25" i="15"/>
  <c r="J25" i="15"/>
  <c r="H25" i="15"/>
  <c r="G25" i="15"/>
  <c r="E25" i="15"/>
  <c r="D25" i="15"/>
  <c r="B25" i="15"/>
  <c r="V24" i="15"/>
  <c r="T24" i="15"/>
  <c r="R24" i="15"/>
  <c r="O24" i="15"/>
  <c r="L24" i="15"/>
  <c r="I24" i="15"/>
  <c r="F24" i="15"/>
  <c r="C24" i="15"/>
  <c r="V23" i="15"/>
  <c r="T23" i="15"/>
  <c r="R23" i="15"/>
  <c r="O23" i="15"/>
  <c r="L23" i="15"/>
  <c r="I23" i="15"/>
  <c r="F23" i="15"/>
  <c r="C23" i="15"/>
  <c r="V22" i="15"/>
  <c r="T22" i="15"/>
  <c r="V21" i="15"/>
  <c r="T21" i="15"/>
  <c r="R21" i="15"/>
  <c r="O21" i="15"/>
  <c r="L21" i="15"/>
  <c r="I21" i="15"/>
  <c r="F21" i="15"/>
  <c r="C21" i="15"/>
  <c r="S18" i="15"/>
  <c r="Q18" i="15"/>
  <c r="P18" i="15"/>
  <c r="N18" i="15"/>
  <c r="M18" i="15"/>
  <c r="K18" i="15"/>
  <c r="J18" i="15"/>
  <c r="H18" i="15"/>
  <c r="G18" i="15"/>
  <c r="E18" i="15"/>
  <c r="D18" i="15"/>
  <c r="B18" i="15"/>
  <c r="V17" i="15"/>
  <c r="T17" i="15"/>
  <c r="R17" i="15"/>
  <c r="O17" i="15"/>
  <c r="L17" i="15"/>
  <c r="I17" i="15"/>
  <c r="F17" i="15"/>
  <c r="C17" i="15"/>
  <c r="V16" i="15"/>
  <c r="T16" i="15"/>
  <c r="V15" i="15"/>
  <c r="T15" i="15"/>
  <c r="R15" i="15"/>
  <c r="O15" i="15"/>
  <c r="L15" i="15"/>
  <c r="I15" i="15"/>
  <c r="F15" i="15"/>
  <c r="C15" i="15"/>
  <c r="V14" i="15"/>
  <c r="T14" i="15"/>
  <c r="R14" i="15"/>
  <c r="O14" i="15"/>
  <c r="L14" i="15"/>
  <c r="I14" i="15"/>
  <c r="F14" i="15"/>
  <c r="C14" i="15"/>
  <c r="V13" i="15"/>
  <c r="T13" i="15"/>
  <c r="R13" i="15"/>
  <c r="O13" i="15"/>
  <c r="L13" i="15"/>
  <c r="I13" i="15"/>
  <c r="F13" i="15"/>
  <c r="C13" i="15"/>
  <c r="A1" i="15"/>
  <c r="I30" i="15" l="1"/>
  <c r="U13" i="15"/>
  <c r="U14" i="15"/>
  <c r="U15" i="15"/>
  <c r="L30" i="15"/>
  <c r="K35" i="15" s="1"/>
  <c r="O30" i="15"/>
  <c r="P30" i="15" s="1"/>
  <c r="C30" i="15"/>
  <c r="D30" i="15" s="1"/>
  <c r="U17" i="15"/>
  <c r="U21" i="15"/>
  <c r="I18" i="15"/>
  <c r="U23" i="15"/>
  <c r="T30" i="15"/>
  <c r="R30" i="15"/>
  <c r="S30" i="15" s="1"/>
  <c r="C18" i="15"/>
  <c r="T44" i="15"/>
  <c r="K63" i="15"/>
  <c r="L18" i="15"/>
  <c r="F30" i="15"/>
  <c r="G30" i="15" s="1"/>
  <c r="O18" i="15"/>
  <c r="V25" i="15"/>
  <c r="U24" i="15"/>
  <c r="F25" i="15"/>
  <c r="L25" i="15"/>
  <c r="R25" i="15"/>
  <c r="U28" i="15"/>
  <c r="V28" i="15" s="1"/>
  <c r="U33" i="15"/>
  <c r="V33" i="15" s="1"/>
  <c r="T18" i="15"/>
  <c r="F18" i="15"/>
  <c r="R18" i="15"/>
  <c r="C25" i="15"/>
  <c r="O25" i="15"/>
  <c r="U22" i="15"/>
  <c r="I25" i="15"/>
  <c r="T25" i="15"/>
  <c r="B63" i="15"/>
  <c r="N63" i="15"/>
  <c r="E63" i="15"/>
  <c r="Q63" i="15"/>
  <c r="T53" i="15"/>
  <c r="H63" i="15"/>
  <c r="T61" i="15"/>
  <c r="M30" i="15"/>
  <c r="H35" i="15"/>
  <c r="J30" i="15"/>
  <c r="V18" i="15"/>
  <c r="U29" i="15"/>
  <c r="V29" i="15" s="1"/>
  <c r="U25" i="15" l="1"/>
  <c r="N35" i="15"/>
  <c r="K67" i="15"/>
  <c r="K72" i="15" s="1"/>
  <c r="H67" i="15"/>
  <c r="H72" i="15" s="1"/>
  <c r="T63" i="15"/>
  <c r="B35" i="15"/>
  <c r="B67" i="15" s="1"/>
  <c r="B72" i="15" s="1"/>
  <c r="Q35" i="15"/>
  <c r="Q67" i="15" s="1"/>
  <c r="Q72" i="15" s="1"/>
  <c r="E35" i="15"/>
  <c r="E67" i="15" s="1"/>
  <c r="E72" i="15" s="1"/>
  <c r="U18" i="15"/>
  <c r="N67" i="15"/>
  <c r="N72" i="15" s="1"/>
  <c r="U30" i="15"/>
  <c r="V30" i="15" l="1"/>
  <c r="T35" i="15"/>
  <c r="T67" i="15" s="1"/>
  <c r="T72" i="15" s="1"/>
  <c r="D15" i="34" l="1"/>
  <c r="D35" i="34"/>
  <c r="E35" i="34" l="1"/>
  <c r="E15" i="34" l="1"/>
  <c r="L6" i="53" l="1"/>
  <c r="L9" i="53" s="1"/>
  <c r="L22" i="58"/>
  <c r="L23" i="58" l="1"/>
  <c r="L24" i="58"/>
  <c r="L25" i="58"/>
  <c r="L8" i="53"/>
  <c r="L7" i="53"/>
  <c r="L10" i="53" l="1"/>
  <c r="L35" i="53" s="1"/>
  <c r="L26" i="58"/>
  <c r="L29" i="58" s="1"/>
  <c r="D14" i="25" l="1"/>
  <c r="M26" i="58" l="1"/>
  <c r="M29" i="58" s="1"/>
  <c r="M47" i="58" s="1"/>
  <c r="D13" i="25" l="1"/>
  <c r="B10" i="25" l="1"/>
  <c r="D4" i="25" l="1"/>
  <c r="B15" i="25" s="1"/>
  <c r="E4" i="25"/>
  <c r="B16" i="25" s="1"/>
  <c r="D16" i="25" l="1"/>
  <c r="D15" i="25"/>
  <c r="B17" i="25"/>
  <c r="D17" i="25" l="1"/>
</calcChain>
</file>

<file path=xl/comments1.xml><?xml version="1.0" encoding="utf-8"?>
<comments xmlns="http://schemas.openxmlformats.org/spreadsheetml/2006/main">
  <authors>
    <author>User</author>
  </authors>
  <commentList>
    <comment ref="J27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Rattrapage profit net used + neuf (incluant bonis cadre v1) vs budget. Voir calcul ci-bas</t>
        </r>
      </text>
    </comment>
  </commentList>
</comments>
</file>

<file path=xl/comments2.xml><?xml version="1.0" encoding="utf-8"?>
<comments xmlns="http://schemas.openxmlformats.org/spreadsheetml/2006/main">
  <authors>
    <author>User</author>
  </authors>
  <commentList>
    <comment ref="J15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Rattrapage profit net used + neuf (incluant bonis cadre v1) vs budget. Voir calcul ci-bas</t>
        </r>
      </text>
    </comment>
  </commentList>
</comments>
</file>

<file path=xl/sharedStrings.xml><?xml version="1.0" encoding="utf-8"?>
<sst xmlns="http://schemas.openxmlformats.org/spreadsheetml/2006/main" count="2714" uniqueCount="724">
  <si>
    <t>VW</t>
  </si>
  <si>
    <t>Total</t>
  </si>
  <si>
    <t>Budget</t>
  </si>
  <si>
    <t>Juillet</t>
  </si>
  <si>
    <t>Août</t>
  </si>
  <si>
    <t>Octobre</t>
  </si>
  <si>
    <t>Novembre</t>
  </si>
  <si>
    <t>Carosserie</t>
  </si>
  <si>
    <t>Ventes</t>
  </si>
  <si>
    <t>Septembre</t>
  </si>
  <si>
    <t>Décembre</t>
  </si>
  <si>
    <t>Total Q3 &amp; Q4 2020</t>
  </si>
  <si>
    <t>Hypothèse forecast 2020</t>
  </si>
  <si>
    <t>% Basé sur le 1er budget 2020</t>
  </si>
  <si>
    <t>Unités neufs</t>
  </si>
  <si>
    <t>Gross neufs</t>
  </si>
  <si>
    <t>Unités usagés</t>
  </si>
  <si>
    <t>Gross usagés</t>
  </si>
  <si>
    <t>Revenus Services et Carrosserie</t>
  </si>
  <si>
    <t>Revenus Pièces</t>
  </si>
  <si>
    <t>Autres Revenus</t>
  </si>
  <si>
    <t>NEW</t>
  </si>
  <si>
    <t>#</t>
  </si>
  <si>
    <t>$P/UNITÉ</t>
  </si>
  <si>
    <t>$PROFITS</t>
  </si>
  <si>
    <t>Total Neufs</t>
  </si>
  <si>
    <t>Ex-démos et courtoisies</t>
  </si>
  <si>
    <t>Flottes</t>
  </si>
  <si>
    <t>Rachat bail</t>
  </si>
  <si>
    <t>Total F&amp;I</t>
  </si>
  <si>
    <t>Usagés</t>
  </si>
  <si>
    <t>Total Used</t>
  </si>
  <si>
    <t>US</t>
  </si>
  <si>
    <t>Gros</t>
  </si>
  <si>
    <t>TOTAL Usagés</t>
  </si>
  <si>
    <t>Services et Carosserie</t>
  </si>
  <si>
    <t>Profit</t>
  </si>
  <si>
    <t>%</t>
  </si>
  <si>
    <t>Services</t>
  </si>
  <si>
    <t>Pièces</t>
  </si>
  <si>
    <t>Profit brut</t>
  </si>
  <si>
    <t>Dépenses</t>
  </si>
  <si>
    <t>Comm. vendeurs</t>
  </si>
  <si>
    <t>Comm. F&amp;I</t>
  </si>
  <si>
    <t>Frais de livraison</t>
  </si>
  <si>
    <t>Goodwill</t>
  </si>
  <si>
    <t>Publicité</t>
  </si>
  <si>
    <t>Intérêt de gros</t>
  </si>
  <si>
    <t>Total variables</t>
  </si>
  <si>
    <t>Salaires propriétaire</t>
  </si>
  <si>
    <t>Salaires cadres</t>
  </si>
  <si>
    <t>Salaires autres</t>
  </si>
  <si>
    <t>Salaires en absences</t>
  </si>
  <si>
    <t>Déduction à la source</t>
  </si>
  <si>
    <t>Bénéfices marginaux</t>
  </si>
  <si>
    <t>Csst</t>
  </si>
  <si>
    <t>Total personnel</t>
  </si>
  <si>
    <t>Frais de véhicules</t>
  </si>
  <si>
    <t>Bureau</t>
  </si>
  <si>
    <t>Loyer</t>
  </si>
  <si>
    <t>Informatique</t>
  </si>
  <si>
    <t>Services extérieurs et frais professionnels</t>
  </si>
  <si>
    <t>Bâtisse</t>
  </si>
  <si>
    <t>Total semi-fixes et fixes</t>
  </si>
  <si>
    <t>Total dépenses</t>
  </si>
  <si>
    <t>Autres revenus</t>
  </si>
  <si>
    <t>BAIIA</t>
  </si>
  <si>
    <t>Amortissement</t>
  </si>
  <si>
    <t>Intérêt</t>
  </si>
  <si>
    <t>Profit net</t>
  </si>
  <si>
    <t>Seasonality</t>
  </si>
  <si>
    <t>Boni Mensuel</t>
  </si>
  <si>
    <t>Neuf</t>
  </si>
  <si>
    <t>payé</t>
  </si>
  <si>
    <t>total</t>
  </si>
  <si>
    <t>Total VW</t>
  </si>
  <si>
    <t>Bonis Cadre</t>
  </si>
  <si>
    <t>GL</t>
  </si>
  <si>
    <t>Réel</t>
  </si>
  <si>
    <t>Janvier</t>
  </si>
  <si>
    <t>110% et +</t>
  </si>
  <si>
    <t>ANNEXE AU PLAN DE RÉMUNÉRATION</t>
  </si>
  <si>
    <t>Bonis mensuel</t>
  </si>
  <si>
    <t>En annuel</t>
  </si>
  <si>
    <t>95%-99.9%</t>
  </si>
  <si>
    <t>100%-109.9%</t>
  </si>
  <si>
    <t>Attreinte de vente MO en profit brut (client, interne et garantie)</t>
  </si>
  <si>
    <t xml:space="preserve">Fait </t>
  </si>
  <si>
    <t>Fait</t>
  </si>
  <si>
    <t>Atteinte de WIP (Pool sur une moyenne de 25 RO / aviseur)</t>
  </si>
  <si>
    <t>Objectifs de vente cible (Alignement, Liquide à frein, réparation PB)</t>
  </si>
  <si>
    <t>85%-99.9%</t>
  </si>
  <si>
    <t>Ventes esthétique Client (au budget)</t>
  </si>
  <si>
    <t>1.8%</t>
  </si>
  <si>
    <t>2.5%</t>
  </si>
  <si>
    <t>Cible</t>
  </si>
  <si>
    <t>budget</t>
  </si>
  <si>
    <t>Janvier 2021</t>
  </si>
  <si>
    <t>Atteinte</t>
  </si>
  <si>
    <t>JANV 21</t>
  </si>
  <si>
    <t>`FEB 21</t>
  </si>
  <si>
    <t>95%-104.9%</t>
  </si>
  <si>
    <t>Rémi Dubreuil</t>
  </si>
  <si>
    <t>Simon Bénard</t>
  </si>
  <si>
    <t>Directrice Adjointe</t>
  </si>
  <si>
    <t>Conseiller à la carrosserie</t>
  </si>
  <si>
    <t>90%-94.9%</t>
  </si>
  <si>
    <t>105% et 109.9%</t>
  </si>
  <si>
    <t>110% et plus</t>
  </si>
  <si>
    <t>`AOUT 22</t>
  </si>
  <si>
    <t>`SEPT 22</t>
  </si>
  <si>
    <t>`OCT 22</t>
  </si>
  <si>
    <t>`NOV 22</t>
  </si>
  <si>
    <t>`DEC 22</t>
  </si>
  <si>
    <t>Profit net dept vs budget</t>
  </si>
  <si>
    <t>RDR</t>
  </si>
  <si>
    <t>Karim Noori</t>
  </si>
  <si>
    <t>usagé</t>
  </si>
  <si>
    <t>Rémi Dubreuil - Commis senior</t>
  </si>
  <si>
    <t>Réalisé</t>
  </si>
  <si>
    <t>Écart</t>
  </si>
  <si>
    <t>Prov. É/F</t>
  </si>
  <si>
    <t>Final</t>
  </si>
  <si>
    <t>Oct. 2022</t>
  </si>
  <si>
    <t>Nov. 2022</t>
  </si>
  <si>
    <t>Déc. 2022</t>
  </si>
  <si>
    <t>Bonis Mensuels</t>
  </si>
  <si>
    <t>Atteinte du Profit Net Départements Service, Pièces &amp; Carrosserie</t>
  </si>
  <si>
    <t>vs le Budget 2023</t>
  </si>
  <si>
    <t>de</t>
  </si>
  <si>
    <t>à</t>
  </si>
  <si>
    <t>Boni</t>
  </si>
  <si>
    <t>et plus</t>
  </si>
  <si>
    <t>Payable</t>
  </si>
  <si>
    <t>Atteinte du Profit Brut M/O SVC Client, Garantie &amp; Interne</t>
  </si>
  <si>
    <t>Atteinte du Profit Brut Pièces &amp; Accessoires</t>
  </si>
  <si>
    <t>Total mensuel</t>
  </si>
  <si>
    <t>Bonis Trimestriels</t>
  </si>
  <si>
    <t>Atteinte des Ventes de Pneus</t>
  </si>
  <si>
    <t>Total trimestriel</t>
  </si>
  <si>
    <t>Total Payable</t>
  </si>
  <si>
    <t>Claudia Pantalena - Directrice Opérations Fixes</t>
  </si>
  <si>
    <t>Atteinte de la Cible CSI</t>
  </si>
  <si>
    <t>en référence à VW Cdn : 4,70</t>
  </si>
  <si>
    <r>
      <t xml:space="preserve">Profit brut départemental </t>
    </r>
    <r>
      <rPr>
        <b/>
        <sz val="11"/>
        <color theme="1"/>
        <rFont val="Calibri"/>
        <family val="2"/>
        <scheme val="minor"/>
      </rPr>
      <t>USAGÉ</t>
    </r>
  </si>
  <si>
    <t>Total Trimestriel</t>
  </si>
  <si>
    <t>Jean-Marc Monnier - Directeur Adjoint Ventes Usagé</t>
  </si>
  <si>
    <t>Atteinte des Indiicateurs de Performance ( X de 3 )</t>
  </si>
  <si>
    <t>(Inv. 90jrs moins de 20% / Protec. Méc. +de 60% / Fr. Admin +de 95%)</t>
  </si>
  <si>
    <t>Total Mensuel</t>
  </si>
  <si>
    <t>Kaven Bonneau - Directeur Adjoint Ventes Neuf</t>
  </si>
  <si>
    <r>
      <t xml:space="preserve">Profit brut départemental </t>
    </r>
    <r>
      <rPr>
        <b/>
        <sz val="11"/>
        <color theme="1"/>
        <rFont val="Calibri"/>
        <family val="2"/>
        <scheme val="minor"/>
      </rPr>
      <t>NEUF</t>
    </r>
  </si>
  <si>
    <t>Atteinte Volume Ventes Neufs</t>
  </si>
  <si>
    <t>(Accessoires VW +375$/RDR / Renouv +54% / Fr. Admin +de 93%)</t>
  </si>
  <si>
    <t>Atteinte des Indicateurs de Performance ( X de 3 )</t>
  </si>
  <si>
    <t>Atteinte des Indicateurs Expérience + ( X de 3 )</t>
  </si>
  <si>
    <t>(CSI +de 4,9 / CarNet +de 95% / SalesForce selon Manuf.)</t>
  </si>
  <si>
    <t>Karim Noori - Directeur Adjoint Desk Manager</t>
  </si>
  <si>
    <t>Janv 2023</t>
  </si>
  <si>
    <r>
      <t xml:space="preserve">Atteinte du </t>
    </r>
    <r>
      <rPr>
        <b/>
        <sz val="11"/>
        <color theme="1"/>
        <rFont val="Calibri"/>
        <family val="2"/>
        <scheme val="minor"/>
      </rPr>
      <t>Profit Net</t>
    </r>
    <r>
      <rPr>
        <sz val="11"/>
        <color theme="1"/>
        <rFont val="Calibri"/>
        <family val="2"/>
        <scheme val="minor"/>
      </rPr>
      <t xml:space="preserve"> Département Pièces</t>
    </r>
  </si>
  <si>
    <t>Progressif/Incrémental</t>
  </si>
  <si>
    <t>Boni mensuel sur les Ventes de pneus</t>
  </si>
  <si>
    <t>Achats</t>
  </si>
  <si>
    <t>$/Unité</t>
  </si>
  <si>
    <t>Boni sur les Achats d'Accessoires par Véh. Neufs (VPN)</t>
  </si>
  <si>
    <t>Usagé</t>
  </si>
  <si>
    <t>Atteinte profit brut</t>
  </si>
  <si>
    <t>réalisé</t>
  </si>
  <si>
    <t>S/O</t>
  </si>
  <si>
    <t>non incrémental</t>
  </si>
  <si>
    <t>target</t>
  </si>
  <si>
    <t>Budget 2022</t>
  </si>
  <si>
    <t>neuf et usagé 50/50</t>
  </si>
  <si>
    <t>payout</t>
  </si>
  <si>
    <t>Atteinte des volumes d'unités de vente Usagés à 120% du VPA VW Cdn</t>
  </si>
  <si>
    <t>target X 120%</t>
  </si>
  <si>
    <t>CSI</t>
  </si>
  <si>
    <t>4.7 à 4.84</t>
  </si>
  <si>
    <t>4.85 à 4.95</t>
  </si>
  <si>
    <t>4.96 et plus</t>
  </si>
  <si>
    <t xml:space="preserve"> dept véhicule usagé</t>
  </si>
  <si>
    <t>Indicateur de Performance</t>
  </si>
  <si>
    <t xml:space="preserve"> 2/4</t>
  </si>
  <si>
    <t xml:space="preserve"> 3/4</t>
  </si>
  <si>
    <t xml:space="preserve"> 4/4</t>
  </si>
  <si>
    <t>Score</t>
  </si>
  <si>
    <t>Cible 1 : Inventaires Usagés des 90 jours ou plus</t>
  </si>
  <si>
    <t>Moins de 20%</t>
  </si>
  <si>
    <t>Cible 2 : Marchandisage moyen dans le mois</t>
  </si>
  <si>
    <t>95% et plus</t>
  </si>
  <si>
    <t>N/A</t>
  </si>
  <si>
    <t>Cible 3 : Pénétration Protections Mécaniques</t>
  </si>
  <si>
    <t>60% et plus</t>
  </si>
  <si>
    <t>Cible 4 : Frais Administratif supérieur à</t>
  </si>
  <si>
    <t>* objectif 1 et 2 éligible a un rattrapage trimestriel</t>
  </si>
  <si>
    <t>Boni Nov. Corrigé et payé avec décembre</t>
  </si>
  <si>
    <r>
      <t xml:space="preserve">Atteinte Volume Ventes Usagés - </t>
    </r>
    <r>
      <rPr>
        <b/>
        <sz val="11"/>
        <color rgb="FFFF0000"/>
        <rFont val="Calibri"/>
        <family val="2"/>
        <scheme val="minor"/>
      </rPr>
      <t>DÉTAILS</t>
    </r>
    <r>
      <rPr>
        <sz val="11"/>
        <color theme="1"/>
        <rFont val="Calibri"/>
        <family val="2"/>
        <scheme val="minor"/>
      </rPr>
      <t xml:space="preserve"> (ligne 96)</t>
    </r>
  </si>
  <si>
    <t>Solde</t>
  </si>
  <si>
    <t>Déjà Payé</t>
  </si>
  <si>
    <t>Atteinte de la Cible CSI CPO (VOC)</t>
  </si>
  <si>
    <r>
      <t xml:space="preserve">Profit brut départemental </t>
    </r>
    <r>
      <rPr>
        <b/>
        <sz val="11"/>
        <color theme="1"/>
        <rFont val="Calibri"/>
        <family val="2"/>
      </rPr>
      <t>USAGÉ</t>
    </r>
  </si>
  <si>
    <t>Boni mensuel sur les Ventes en gros</t>
  </si>
  <si>
    <t>F184</t>
  </si>
  <si>
    <t>L184</t>
  </si>
  <si>
    <t>L313</t>
  </si>
  <si>
    <t>F313</t>
  </si>
  <si>
    <t>L107</t>
  </si>
  <si>
    <t>F107</t>
  </si>
  <si>
    <t>J96</t>
  </si>
  <si>
    <t>D96</t>
  </si>
  <si>
    <t>Courriel Frederic</t>
  </si>
  <si>
    <t>L27</t>
  </si>
  <si>
    <t>Unite objectif manuf</t>
  </si>
  <si>
    <t>F27</t>
  </si>
  <si>
    <t>L352</t>
  </si>
  <si>
    <t>F352</t>
  </si>
  <si>
    <t>J299</t>
  </si>
  <si>
    <t>D299</t>
  </si>
  <si>
    <t>J306</t>
  </si>
  <si>
    <t>D306</t>
  </si>
  <si>
    <t>L352 + L288 + L232</t>
  </si>
  <si>
    <t>F352 + F288 + F232</t>
  </si>
  <si>
    <t>Atteinte de l'objectif de vente Sur la production de l'atelierCPO selon taux effectif Mensuel</t>
  </si>
  <si>
    <t>Vincent Metayer - Directeur Adjoint du Service</t>
  </si>
  <si>
    <t>Atteinte de l'objectif de vente d'esthetique sur la production de l'atelier CPO selon taux effectuf Mensuel</t>
  </si>
  <si>
    <t>C</t>
  </si>
  <si>
    <t>A</t>
  </si>
  <si>
    <t>B</t>
  </si>
  <si>
    <t>$65 et plus</t>
  </si>
  <si>
    <t>$150 et plus</t>
  </si>
  <si>
    <t>Unite objectif manuf*E27</t>
  </si>
  <si>
    <t>Atteinte des Indiicateurs de Performance ( X de 4 )</t>
  </si>
  <si>
    <t>Fait par service</t>
  </si>
  <si>
    <t xml:space="preserve">Tommy Martel </t>
  </si>
  <si>
    <t>Tommy Martel - Trim</t>
  </si>
  <si>
    <t>Tommy Martel Diotte - Directrice Opérations Fixes</t>
  </si>
  <si>
    <r>
      <t xml:space="preserve">vs </t>
    </r>
    <r>
      <rPr>
        <b/>
        <sz val="11"/>
        <color theme="1"/>
        <rFont val="Calibri"/>
        <family val="2"/>
      </rPr>
      <t>BUDGET</t>
    </r>
    <r>
      <rPr>
        <b/>
        <sz val="11"/>
        <color theme="1"/>
        <rFont val="Calibri"/>
        <family val="2"/>
        <scheme val="minor"/>
      </rPr>
      <t xml:space="preserve"> 2024</t>
    </r>
  </si>
  <si>
    <t>Profit NET cucmule des 2 departements des ventes</t>
  </si>
  <si>
    <t>vs le Budget 2024</t>
  </si>
  <si>
    <t>Atteinte du volume mensuel neuf au budget</t>
  </si>
  <si>
    <t>- Closing +de 55%
- Renouvellement +de 59%
- Look to book neuf +de 40%.</t>
  </si>
  <si>
    <t>CSI ventes</t>
  </si>
  <si>
    <t>CSI + de 4,9
CarNet + de 90%
Voksklick: sup 20 jours par  mois</t>
  </si>
  <si>
    <t>Guillaume Raymond - Directeur Adjoint Ventes Usagé</t>
  </si>
  <si>
    <r>
      <t xml:space="preserve">Atteinte Volume Ventes Usagés - </t>
    </r>
    <r>
      <rPr>
        <b/>
        <sz val="11"/>
        <color rgb="FFFF0000"/>
        <rFont val="Calibri"/>
        <family val="2"/>
        <scheme val="minor"/>
      </rPr>
      <t>DÉTAILS</t>
    </r>
  </si>
  <si>
    <t>(Inventaire &gt; 90 jours en bas de 15% ou de Nov à février 25% / Marchandisage moyen dans le mois &gt;95% / Taux de closing web &gt;15% / Taux de closing Phone ups &gt; 30%</t>
  </si>
  <si>
    <t>Objectif de volume vehicules neufs selon objectif BPV du manufacturier</t>
  </si>
  <si>
    <t>Atteinte des Indicateurs Expérience + ( X de 5 )</t>
  </si>
  <si>
    <t>Service</t>
  </si>
  <si>
    <t>Used</t>
  </si>
  <si>
    <t>Bonis</t>
  </si>
  <si>
    <t>Variance</t>
  </si>
  <si>
    <t>Excedant du 100% payé en fev et mars</t>
  </si>
  <si>
    <t>Vente de véhicule en inventaire / Produit F&amp;I</t>
  </si>
  <si>
    <t>CSI ( X de 4 )</t>
  </si>
  <si>
    <t>Objectifs de volume vehicules neufs</t>
  </si>
  <si>
    <t>vs objectif mensuel du manufacturier</t>
  </si>
  <si>
    <t>CSI vehicules neuf, 3 indicateurs strategiques</t>
  </si>
  <si>
    <t>CSI vehicules d'occasion, 3 indicateurs strategiques</t>
  </si>
  <si>
    <t>Profit NET cumule des 2 departements des ventes</t>
  </si>
  <si>
    <t>Boni Discr.</t>
  </si>
  <si>
    <t>Kaven Bonneau - Directeur des Ventes</t>
  </si>
  <si>
    <t xml:space="preserve">Doit avoir 80% sur les 3 questions </t>
  </si>
  <si>
    <t>2,4,5</t>
  </si>
  <si>
    <t xml:space="preserve">Doit avoir 80% sur les 4 questions </t>
  </si>
  <si>
    <t>2,3,4,5</t>
  </si>
  <si>
    <t>Ajustement</t>
  </si>
  <si>
    <t>Marc-Olivier Poulin - Directeur Adjoint Ventes Usagé</t>
  </si>
  <si>
    <t>Sebastien Fleury - Directeur General des ventes</t>
  </si>
  <si>
    <t>vs le Budget 2025</t>
  </si>
  <si>
    <r>
      <t xml:space="preserve">Profit net départemental </t>
    </r>
    <r>
      <rPr>
        <b/>
        <sz val="11"/>
        <color theme="1"/>
        <rFont val="Calibri"/>
        <family val="2"/>
        <scheme val="minor"/>
      </rPr>
      <t>NEUF</t>
    </r>
  </si>
  <si>
    <r>
      <t xml:space="preserve">Profit net départemental </t>
    </r>
    <r>
      <rPr>
        <b/>
        <sz val="11"/>
        <color theme="1"/>
        <rFont val="Calibri"/>
        <family val="2"/>
        <scheme val="minor"/>
      </rPr>
      <t>USED</t>
    </r>
  </si>
  <si>
    <t>Objectifs de volumes vehicules neuf selon BPV</t>
  </si>
  <si>
    <t>CSI ventes: Questions D2 / D4 / D5</t>
  </si>
  <si>
    <t>Bonis Annuels</t>
  </si>
  <si>
    <t>Classement de la concession au Wolfsburg 2025</t>
  </si>
  <si>
    <t>Atteinte de l'objectif mensuel de volume BPV OEM</t>
  </si>
  <si>
    <t>CSI: Moyenne Questions D2 / D3 / D4 / D5</t>
  </si>
  <si>
    <t>Indicateurs de performance</t>
  </si>
  <si>
    <t xml:space="preserve">Atteinte de la Cible CSI </t>
  </si>
  <si>
    <t>Alexandre Paradis - Directeur Adjoint Ventes Neuf</t>
  </si>
  <si>
    <t>CSI: Moyenne Questions D2 / D4 / D5</t>
  </si>
  <si>
    <t>Alexandre Paradis</t>
  </si>
  <si>
    <t>Turn rate (mois d'avant)</t>
  </si>
  <si>
    <t>Rattrapage</t>
  </si>
  <si>
    <t>Rattrapge</t>
  </si>
  <si>
    <t>id4 _ tiguan stop sale</t>
  </si>
  <si>
    <r>
      <t xml:space="preserve">Profit brut départemental </t>
    </r>
    <r>
      <rPr>
        <b/>
        <sz val="11"/>
        <color theme="1"/>
        <rFont val="Calibri"/>
        <family val="2"/>
        <scheme val="minor"/>
      </rPr>
      <t>USAGE</t>
    </r>
  </si>
  <si>
    <t>Critere d'age de l'inventaire</t>
  </si>
  <si>
    <t>Véhicules &gt; 180 jours en inventaire comptable hors stop sale</t>
  </si>
  <si>
    <t>et moins</t>
  </si>
  <si>
    <t>Véhicules neufs</t>
  </si>
  <si>
    <t xml:space="preserve"> </t>
  </si>
  <si>
    <t>X</t>
  </si>
  <si>
    <t>O</t>
  </si>
  <si>
    <t>U</t>
  </si>
  <si>
    <t>NB</t>
  </si>
  <si>
    <t>$</t>
  </si>
  <si>
    <t>*** NE PAS EFFACER / Pour An Précédente ***</t>
  </si>
  <si>
    <t>BUDGET  ORIGINAL</t>
  </si>
  <si>
    <t>RÉALISATION</t>
  </si>
  <si>
    <t>ÉCART réel / Budget</t>
  </si>
  <si>
    <t>ANNÉE  PRÉCÉDENTE</t>
  </si>
  <si>
    <t>ECART (réel/ Ann.Préc.)</t>
  </si>
  <si>
    <t>NEUF</t>
  </si>
  <si>
    <t>UNITE</t>
  </si>
  <si>
    <t>UNITÉS</t>
  </si>
  <si>
    <t>$P/UNITE</t>
  </si>
  <si>
    <t>USAGE</t>
  </si>
  <si>
    <t>Véhicules neufsVentes nettes</t>
  </si>
  <si>
    <t>Ventes nettes</t>
  </si>
  <si>
    <t>SERVICE</t>
  </si>
  <si>
    <t>Véhicules neufsAutos détail</t>
  </si>
  <si>
    <t>Autos détail</t>
  </si>
  <si>
    <t>CARROSSERIE</t>
  </si>
  <si>
    <t>Véhicules neufsCamions détail</t>
  </si>
  <si>
    <t>Camions détail</t>
  </si>
  <si>
    <t>PIECES</t>
  </si>
  <si>
    <t>Véhicules neufsSprinter</t>
  </si>
  <si>
    <t>Sprinter</t>
  </si>
  <si>
    <t>Véhicules neufsMoto détail</t>
  </si>
  <si>
    <t>Moto détail</t>
  </si>
  <si>
    <t>Véhicules neufs[...]</t>
  </si>
  <si>
    <t>[...]</t>
  </si>
  <si>
    <t>Véhicules neufsTotal Neufs</t>
  </si>
  <si>
    <t>Véhicules neufsEx-Démos et courtoisies</t>
  </si>
  <si>
    <t>Ex-Démos et courtoisies</t>
  </si>
  <si>
    <t>Véhicules neufsFlottes</t>
  </si>
  <si>
    <t>Véhicules neufsRachat bail</t>
  </si>
  <si>
    <t>Véhicules neufsRev. Finances</t>
  </si>
  <si>
    <t>Rev. Finances</t>
  </si>
  <si>
    <t>Véhicules neufsRev. Protections</t>
  </si>
  <si>
    <t>Rev. Protections</t>
  </si>
  <si>
    <t>Véhicules neufsRev. Autres</t>
  </si>
  <si>
    <t>Rev. Autres</t>
  </si>
  <si>
    <t>Véhicules neufsTotal F&amp;I</t>
  </si>
  <si>
    <t>Véhicules neufsTotal Dépt. Neufs</t>
  </si>
  <si>
    <t>Total Dépt. Neufs</t>
  </si>
  <si>
    <t>Véhicules neufsDEPENSES</t>
  </si>
  <si>
    <t>DEPENSES</t>
  </si>
  <si>
    <t>Véhicules neufsComm. vendeurs</t>
  </si>
  <si>
    <t>Véhicules neufsComm. F&amp;I</t>
  </si>
  <si>
    <t>Véhicules neufsFrais de livraison</t>
  </si>
  <si>
    <t>Véhicules neufsService gratuit 1</t>
  </si>
  <si>
    <t>Service gratuit 1</t>
  </si>
  <si>
    <t>Véhicules neufsEntretien stock</t>
  </si>
  <si>
    <t>Entretien stock</t>
  </si>
  <si>
    <t>Véhicules neufsPublicité 1</t>
  </si>
  <si>
    <t>Publicité 1</t>
  </si>
  <si>
    <t>Véhicules neufsIntérêt de gros</t>
  </si>
  <si>
    <t>Véhicules neufsTOTAL VARIABLES</t>
  </si>
  <si>
    <t>TOTAL VARIABLES</t>
  </si>
  <si>
    <t>% brut</t>
  </si>
  <si>
    <t>Véhicules neufsSalaires cadres</t>
  </si>
  <si>
    <t>Véhicules neufsSalaires commis</t>
  </si>
  <si>
    <t>Salaires commis</t>
  </si>
  <si>
    <t>Véhicules neufsSalaires autres</t>
  </si>
  <si>
    <t>Véhicules neufsSalaires spécialistes</t>
  </si>
  <si>
    <t>Salaires spécialistes</t>
  </si>
  <si>
    <t>Véhicules neufsSalaires en absences</t>
  </si>
  <si>
    <t>Véhicules neufsDéduction à la source</t>
  </si>
  <si>
    <t>Véhicules neufsBénéfices marginaux</t>
  </si>
  <si>
    <t>Véhicules neufsCsst</t>
  </si>
  <si>
    <t>Véhicules neufsTOTAL PERSONNEL</t>
  </si>
  <si>
    <t>TOTAL PERSONNEL</t>
  </si>
  <si>
    <t>Véhicules neufsPublicité 2</t>
  </si>
  <si>
    <t>Publicité 2</t>
  </si>
  <si>
    <t>Véhicules neufsService gratuit 2</t>
  </si>
  <si>
    <t>Service gratuit 2</t>
  </si>
  <si>
    <t>Véhicules neufsFrais véhicules de cie</t>
  </si>
  <si>
    <t>Frais véhicules de cie</t>
  </si>
  <si>
    <t>Véhicules neufsInformatique</t>
  </si>
  <si>
    <t>Véhicules neufsFrais de déplacement</t>
  </si>
  <si>
    <t>Frais de déplacement</t>
  </si>
  <si>
    <t>Véhicules neufsServices extérieurs</t>
  </si>
  <si>
    <t>Services extérieurs</t>
  </si>
  <si>
    <t>Véhicules neufsFournitures autres</t>
  </si>
  <si>
    <t>Fournitures autres</t>
  </si>
  <si>
    <t>Véhicules neufsUniformes</t>
  </si>
  <si>
    <t>Uniformes</t>
  </si>
  <si>
    <t>Véhicules neufsPapeterie</t>
  </si>
  <si>
    <t>Papeterie</t>
  </si>
  <si>
    <t>Véhicules neufsTéléphone</t>
  </si>
  <si>
    <t>Téléphone</t>
  </si>
  <si>
    <t>Véhicules neufsFrais postaux</t>
  </si>
  <si>
    <t>Frais postaux</t>
  </si>
  <si>
    <t>Véhicules neufsDivers</t>
  </si>
  <si>
    <t>Divers</t>
  </si>
  <si>
    <t>Véhicules neufsFormation</t>
  </si>
  <si>
    <t>Formation</t>
  </si>
  <si>
    <t>Véhicules neufsFrais bancaires</t>
  </si>
  <si>
    <t>Frais bancaires</t>
  </si>
  <si>
    <t>Véhicules neufsTOTAL SEMI-FIXES</t>
  </si>
  <si>
    <t>TOTAL SEMI-FIXES</t>
  </si>
  <si>
    <t>Véhicules neufsTOTAL DES DÉPENSES</t>
  </si>
  <si>
    <t>TOTAL DES DÉPENSES</t>
  </si>
  <si>
    <t>Véhicules neufsProgramme neuf 1</t>
  </si>
  <si>
    <t>Programme neuf 1</t>
  </si>
  <si>
    <t>Véhicules neufsProgramme neuf 2</t>
  </si>
  <si>
    <t>Programme neuf 2</t>
  </si>
  <si>
    <t>Véhicules neufsProgramme neuf 3</t>
  </si>
  <si>
    <t>Programme neuf 3</t>
  </si>
  <si>
    <t>Véhicules neufsHoldbacks</t>
  </si>
  <si>
    <t>Holdbacks</t>
  </si>
  <si>
    <t>Véhicules neufsFrais administration</t>
  </si>
  <si>
    <t>Frais administration</t>
  </si>
  <si>
    <t>Véhicules neufsAUTRES REVENUS</t>
  </si>
  <si>
    <t>AUTRES REVENUS</t>
  </si>
  <si>
    <t>Véhicules neufsPROFIT DÉPARTEMENTAL</t>
  </si>
  <si>
    <t>PROFIT DÉPARTEMENTAL</t>
  </si>
  <si>
    <t>Véhicules usagés</t>
  </si>
  <si>
    <t>Véhicules usagésVentes nettes</t>
  </si>
  <si>
    <t>Véhicules usagésCertifié</t>
  </si>
  <si>
    <t>Certifié</t>
  </si>
  <si>
    <t>Véhicules usagésNon Certifié</t>
  </si>
  <si>
    <t>Non Certifié</t>
  </si>
  <si>
    <t>Autres Marques</t>
  </si>
  <si>
    <t>Total Usagés</t>
  </si>
  <si>
    <t>Véhicules usagésVentes au Gros</t>
  </si>
  <si>
    <t>Ventes au Gros</t>
  </si>
  <si>
    <t>Véhicules usagésRev. Finances</t>
  </si>
  <si>
    <t>Véhicules usagésRev. Protections</t>
  </si>
  <si>
    <t>Véhicules usagésRev. Autres</t>
  </si>
  <si>
    <t>Véhicules usagésTotal F&amp;I</t>
  </si>
  <si>
    <t>Véhicules usagésTotal Dépt. Usagés</t>
  </si>
  <si>
    <t>Total Dépt. Usagés</t>
  </si>
  <si>
    <t>Véhicules usagésDEPENSES</t>
  </si>
  <si>
    <t>Véhicules usagésComm. vendeurs</t>
  </si>
  <si>
    <t>Véhicules usagésComm. F&amp;I</t>
  </si>
  <si>
    <t>Véhicules usagésFrais de livraison</t>
  </si>
  <si>
    <t>Véhicules usagésService gratuit 1</t>
  </si>
  <si>
    <t>Véhicules usagésEntretien stock</t>
  </si>
  <si>
    <t>Véhicules usagésPublicité 1</t>
  </si>
  <si>
    <t>Véhicules usagésIntérêt de gros</t>
  </si>
  <si>
    <t>Véhicules usagés[...]</t>
  </si>
  <si>
    <t>Véhicules usagésTOTAL VARIABLES</t>
  </si>
  <si>
    <t>Véhicules usagésSalaires cadres</t>
  </si>
  <si>
    <t>Véhicules usagésSalaires commis</t>
  </si>
  <si>
    <t>Véhicules usagésSalaires autres</t>
  </si>
  <si>
    <t>Véhicules usagésSalaires spécialistes</t>
  </si>
  <si>
    <t>Véhicules usagésSalaires en absences</t>
  </si>
  <si>
    <t>Véhicules usagésDéduction à la source</t>
  </si>
  <si>
    <t>Véhicules usagésBénéfices marginaux</t>
  </si>
  <si>
    <t>Véhicules usagésCsst</t>
  </si>
  <si>
    <t>Véhicules usagésTOTAL PERSONNEL</t>
  </si>
  <si>
    <t>Véhicules usagésPublicité 2</t>
  </si>
  <si>
    <t>Véhicules usagésService gratuit 2</t>
  </si>
  <si>
    <t>Véhicules usagésFrais véhicules de cie</t>
  </si>
  <si>
    <t>Véhicules usagésInformatique</t>
  </si>
  <si>
    <t>Véhicules usagésFrais de déplacement</t>
  </si>
  <si>
    <t>Véhicules usagésServices extérieurs</t>
  </si>
  <si>
    <t>Véhicules usagésFournitures autres</t>
  </si>
  <si>
    <t>Véhicules usagésUniformes</t>
  </si>
  <si>
    <t>Véhicules usagésPapeterie</t>
  </si>
  <si>
    <t>Véhicules usagésTéléphone</t>
  </si>
  <si>
    <t>Véhicules usagésFrais postaux</t>
  </si>
  <si>
    <t>Véhicules usagésDivers</t>
  </si>
  <si>
    <t>Véhicules usagésFormation</t>
  </si>
  <si>
    <t>Véhicules usagésFrais bancaires</t>
  </si>
  <si>
    <t>Véhicules usagésTOTAL SEMI-FIXES</t>
  </si>
  <si>
    <t>Véhicules usagésTOTAL DES DÉPENSES</t>
  </si>
  <si>
    <t>Véhicules usagésProgramme used 1</t>
  </si>
  <si>
    <t>Programme used 1</t>
  </si>
  <si>
    <t>Véhicules usagésProgramme used 2</t>
  </si>
  <si>
    <t>Programme used 2</t>
  </si>
  <si>
    <t>Véhicules usagésProgramme used 3</t>
  </si>
  <si>
    <t>Programme used 3</t>
  </si>
  <si>
    <t>Véhicules usagésFrais administration</t>
  </si>
  <si>
    <t>$VENTES</t>
  </si>
  <si>
    <t>$Ventes</t>
  </si>
  <si>
    <t>$PROFFTS</t>
  </si>
  <si>
    <t>% VOL</t>
  </si>
  <si>
    <t>ServiceM/O Client</t>
  </si>
  <si>
    <t>M/O Client</t>
  </si>
  <si>
    <t>Service% profit / ventes</t>
  </si>
  <si>
    <t>% profit / ventes</t>
  </si>
  <si>
    <t>ServiceM/O Garantie</t>
  </si>
  <si>
    <t>M/O Garantie</t>
  </si>
  <si>
    <t>ServiceM/O Interne</t>
  </si>
  <si>
    <t>M/O Interne</t>
  </si>
  <si>
    <t>ServiceM/O Esthétique</t>
  </si>
  <si>
    <t>M/O Esthétique</t>
  </si>
  <si>
    <t>ServiceAjustement M/O</t>
  </si>
  <si>
    <t>Ajustement M/O</t>
  </si>
  <si>
    <t>ServiceSous-total M/O</t>
  </si>
  <si>
    <t>Sous-total M/O</t>
  </si>
  <si>
    <t>Service% protit / ventes</t>
  </si>
  <si>
    <t>% protit / ventes</t>
  </si>
  <si>
    <t>ServiceSous-traitement</t>
  </si>
  <si>
    <t>Sous-traitement</t>
  </si>
  <si>
    <t>ServiceM.O. Recond. MCPA</t>
  </si>
  <si>
    <t>M.O. Recond. MCPA</t>
  </si>
  <si>
    <t>ServiceTotal Mécanique</t>
  </si>
  <si>
    <t>Total Mécanique</t>
  </si>
  <si>
    <t>ServiceDEPENSES</t>
  </si>
  <si>
    <t>ServiceSalaires cadres</t>
  </si>
  <si>
    <t>ServiceSalaires commis</t>
  </si>
  <si>
    <t>ServiceSalaires autres</t>
  </si>
  <si>
    <t>ServiceSalaires spécialistes</t>
  </si>
  <si>
    <t>Service[...]</t>
  </si>
  <si>
    <t>ServiceSalaires en absences</t>
  </si>
  <si>
    <t>ServiceDéduction à la source</t>
  </si>
  <si>
    <t>ServiceBénéfices marginaux</t>
  </si>
  <si>
    <t>ServiceCsst</t>
  </si>
  <si>
    <t>ServiceTOTAL PERSONNEL</t>
  </si>
  <si>
    <t>%brut</t>
  </si>
  <si>
    <t>ServicePublicité 2</t>
  </si>
  <si>
    <t>ServiceService gratuit 2</t>
  </si>
  <si>
    <t>ServiceFrais véhicules de cie</t>
  </si>
  <si>
    <t>ServiceInformatique</t>
  </si>
  <si>
    <t>ServiceFrais de déplacement</t>
  </si>
  <si>
    <t>ServiceServices extérieurs</t>
  </si>
  <si>
    <t>ServiceFournitures d'atelier</t>
  </si>
  <si>
    <t>Fournitures d'atelier</t>
  </si>
  <si>
    <t>ServiceFournitures autres</t>
  </si>
  <si>
    <t>ServiceUniformes</t>
  </si>
  <si>
    <t>ServicePapeterie</t>
  </si>
  <si>
    <t>ServiceTéléphone</t>
  </si>
  <si>
    <t>ServiceFrais postaux</t>
  </si>
  <si>
    <t>ServiceDivers</t>
  </si>
  <si>
    <t>ServiceFormation</t>
  </si>
  <si>
    <t>ServiceFrais bancaires</t>
  </si>
  <si>
    <t>Carrosserie</t>
  </si>
  <si>
    <t>CarrosserieM/O Sous-traitement</t>
  </si>
  <si>
    <t>M/O Sous-traitement</t>
  </si>
  <si>
    <t>Carrosserie% profit / ventes</t>
  </si>
  <si>
    <t>CarrosserieM/O Carrosserie</t>
  </si>
  <si>
    <t>M/O Carrosserie</t>
  </si>
  <si>
    <t>CarrosserieM/O Esthétique Carr.</t>
  </si>
  <si>
    <t>M/O Esthétique Carr.</t>
  </si>
  <si>
    <t>CarrosserieTotal Mécanique</t>
  </si>
  <si>
    <t>CarrosserieDEPENSES</t>
  </si>
  <si>
    <t>CarrosserieSalaires cadres</t>
  </si>
  <si>
    <t>CarrosserieSalaires commis</t>
  </si>
  <si>
    <t>CarrosserieSalaires autres</t>
  </si>
  <si>
    <t>CarrosserieSalaires spécialistes</t>
  </si>
  <si>
    <t>Carrosserie[...]</t>
  </si>
  <si>
    <t>CarrosserieSalaires en absences</t>
  </si>
  <si>
    <t>CarrosserieDéduction à la source</t>
  </si>
  <si>
    <t>CarrosserieBénéfices marginaux</t>
  </si>
  <si>
    <t>CarrosserieCsst</t>
  </si>
  <si>
    <t>CarrosserieTOTAL PERSONNEL</t>
  </si>
  <si>
    <t>CarrosseriePublicité 2</t>
  </si>
  <si>
    <t>CarrosserieService gratuit 2</t>
  </si>
  <si>
    <t>CarrosserieFrais véhicules de cie</t>
  </si>
  <si>
    <t>CarrosserieInformatique</t>
  </si>
  <si>
    <t>CarrosserieFrais de déplacement</t>
  </si>
  <si>
    <t>CarrosserieServices extérieurs</t>
  </si>
  <si>
    <t>CarrosserieFournitures d'atelier</t>
  </si>
  <si>
    <t>CarrosserieFournitures autres</t>
  </si>
  <si>
    <t>CarrosserieUniformes</t>
  </si>
  <si>
    <t>CarrosseriePapeterie</t>
  </si>
  <si>
    <t>CarrosserieTéléphone</t>
  </si>
  <si>
    <t>CarrosserieFrais postaux</t>
  </si>
  <si>
    <t>CarrosserieDivers</t>
  </si>
  <si>
    <t>CarrosserieFormation</t>
  </si>
  <si>
    <t>CarrosserieFrais bancaires</t>
  </si>
  <si>
    <t>% P. BRUT</t>
  </si>
  <si>
    <t>PiècesPièces Ro Clients</t>
  </si>
  <si>
    <t>Pièces Ro Clients</t>
  </si>
  <si>
    <t>PiècesPièces Ro Carrosserie</t>
  </si>
  <si>
    <t>Pièces Ro Carrosserie</t>
  </si>
  <si>
    <t>PiècesP/A Garantie</t>
  </si>
  <si>
    <t>P/A Garantie</t>
  </si>
  <si>
    <t>PiècesVentes Internes</t>
  </si>
  <si>
    <t>Ventes Internes</t>
  </si>
  <si>
    <t>PiècesVentes Détails</t>
  </si>
  <si>
    <t>Ventes Détails</t>
  </si>
  <si>
    <t>PiècesVentes de Gros</t>
  </si>
  <si>
    <t>Ventes de Gros</t>
  </si>
  <si>
    <t>Pièces[...]</t>
  </si>
  <si>
    <t>PiècesEscomptes</t>
  </si>
  <si>
    <t>Escomptes</t>
  </si>
  <si>
    <t>PiècesRectif. Inventaire</t>
  </si>
  <si>
    <t>Rectif. Inventaire</t>
  </si>
  <si>
    <t>PiècesSous-total Pièces</t>
  </si>
  <si>
    <t>Sous-total Pièces</t>
  </si>
  <si>
    <t>PiècesVentes Pneus</t>
  </si>
  <si>
    <t>Ventes Pneus</t>
  </si>
  <si>
    <t>PiècesHuiles et Graisse</t>
  </si>
  <si>
    <t>Huiles et Graisse</t>
  </si>
  <si>
    <t>PiècesSous-total Pièces et Acc.</t>
  </si>
  <si>
    <t>Sous-total Pièces et Acc.</t>
  </si>
  <si>
    <t>PiècesAutostock</t>
  </si>
  <si>
    <t>Autostock</t>
  </si>
  <si>
    <t>PiècesTotal Dépt. Pièces</t>
  </si>
  <si>
    <t>Total Dépt. Pièces</t>
  </si>
  <si>
    <t>PiècesDEPENSES</t>
  </si>
  <si>
    <t>PiècesSalaires cadres</t>
  </si>
  <si>
    <t>PiècesSalaires commis</t>
  </si>
  <si>
    <t>PiècesSalaires autres</t>
  </si>
  <si>
    <t>PiècesSalaires spécialistes</t>
  </si>
  <si>
    <t>PiècesSalaires en absences</t>
  </si>
  <si>
    <t>PiècesDéduction à la source</t>
  </si>
  <si>
    <t>PiècesBénéfices marginaux</t>
  </si>
  <si>
    <t>PiècesCsst</t>
  </si>
  <si>
    <t>PiècesTOTAL PERSONNEL</t>
  </si>
  <si>
    <t>PiècesPublicité 2</t>
  </si>
  <si>
    <t>PiècesService gratuit 2</t>
  </si>
  <si>
    <t>PiècesFrais véhicules de cie</t>
  </si>
  <si>
    <t>PiècesInformatique</t>
  </si>
  <si>
    <t>PiècesFrais de déplacement</t>
  </si>
  <si>
    <t>PiècesServices extérieurs</t>
  </si>
  <si>
    <t>PiècesFournitures d'atelier</t>
  </si>
  <si>
    <t>PiècesFournitures autres</t>
  </si>
  <si>
    <t>PiècesUniformes</t>
  </si>
  <si>
    <t>PiècesPapeterie</t>
  </si>
  <si>
    <t>PiècesTéléphone</t>
  </si>
  <si>
    <t>PiècesFrais postaux</t>
  </si>
  <si>
    <t>PiècesDivers</t>
  </si>
  <si>
    <t>PiècesFormation</t>
  </si>
  <si>
    <t>PiècesFrais bancaires</t>
  </si>
  <si>
    <t>Boutique</t>
  </si>
  <si>
    <t>ÉCART réel / original</t>
  </si>
  <si>
    <t>BoutiqueBoutique</t>
  </si>
  <si>
    <t>BoutiqueTotal Dépt. Boutique</t>
  </si>
  <si>
    <t>Total Dépt. Boutique</t>
  </si>
  <si>
    <t>BoutiqueDEPENSES</t>
  </si>
  <si>
    <t>BoutiqueSalaires cadres</t>
  </si>
  <si>
    <t>BoutiqueSalaires commis</t>
  </si>
  <si>
    <t>BoutiqueSalaires autres</t>
  </si>
  <si>
    <t>BoutiqueSalaires spécialistes</t>
  </si>
  <si>
    <t>Boutique[...]</t>
  </si>
  <si>
    <t>BoutiqueSalaires en absences</t>
  </si>
  <si>
    <t>BoutiqueDéduction à la source</t>
  </si>
  <si>
    <t>BoutiqueBénéfices marginaux</t>
  </si>
  <si>
    <t>BoutiqueCsst</t>
  </si>
  <si>
    <t>BoutiqueTOTAL PERSONNEL</t>
  </si>
  <si>
    <t>BoutiquePublicité 2</t>
  </si>
  <si>
    <t>BoutiqueService gratuit 2</t>
  </si>
  <si>
    <t>BoutiqueFrais véhicules de cie</t>
  </si>
  <si>
    <t>BoutiqueInformatique</t>
  </si>
  <si>
    <t>BoutiqueFrais de déplacement</t>
  </si>
  <si>
    <t>BoutiqueServices extérieurs</t>
  </si>
  <si>
    <t>BoutiqueFournitures autres</t>
  </si>
  <si>
    <t>BoutiqueUniformes</t>
  </si>
  <si>
    <t>BoutiquePapeterie</t>
  </si>
  <si>
    <t>BoutiqueTéléphone</t>
  </si>
  <si>
    <t>BoutiqueFrais postaux</t>
  </si>
  <si>
    <t>BoutiqueDivers</t>
  </si>
  <si>
    <t>BoutiqueFormation</t>
  </si>
  <si>
    <t>BoutiqueFrais bancaires</t>
  </si>
  <si>
    <t>Protégé pour sommaire - &gt;&gt;</t>
  </si>
  <si>
    <t>TOTAL DES REVENUS ET DÉPENSES</t>
  </si>
  <si>
    <t/>
  </si>
  <si>
    <t xml:space="preserve">BUDGET  ORIGINAL   </t>
  </si>
  <si>
    <t>ANNEE  PRECEDENTE</t>
  </si>
  <si>
    <t>ECART (réel/ bud. original)</t>
  </si>
  <si>
    <t># cpte</t>
  </si>
  <si>
    <t>%P.Brut</t>
  </si>
  <si>
    <t>$/Unite</t>
  </si>
  <si>
    <t>$TOTAL</t>
  </si>
  <si>
    <t>$/unité</t>
  </si>
  <si>
    <t>$$</t>
  </si>
  <si>
    <t>%%</t>
  </si>
  <si>
    <t>DÉPENSES</t>
  </si>
  <si>
    <t>#10</t>
  </si>
  <si>
    <t>#12</t>
  </si>
  <si>
    <t>#13</t>
  </si>
  <si>
    <t>#15</t>
  </si>
  <si>
    <t>#31-32</t>
  </si>
  <si>
    <t>#62</t>
  </si>
  <si>
    <t>#19</t>
  </si>
  <si>
    <t>#20</t>
  </si>
  <si>
    <t>#22</t>
  </si>
  <si>
    <t>#23</t>
  </si>
  <si>
    <t>#21</t>
  </si>
  <si>
    <t>#24</t>
  </si>
  <si>
    <t>#25</t>
  </si>
  <si>
    <t>#27-26</t>
  </si>
  <si>
    <t>#67</t>
  </si>
  <si>
    <t>#51</t>
  </si>
  <si>
    <t>#79</t>
  </si>
  <si>
    <t>#69-70-75</t>
  </si>
  <si>
    <t>#68</t>
  </si>
  <si>
    <t>#61</t>
  </si>
  <si>
    <t>#28</t>
  </si>
  <si>
    <t>#60</t>
  </si>
  <si>
    <t>#74</t>
  </si>
  <si>
    <t>#73-86</t>
  </si>
  <si>
    <t>#76-33</t>
  </si>
  <si>
    <t>#77</t>
  </si>
  <si>
    <t>#78-93</t>
  </si>
  <si>
    <t>#80</t>
  </si>
  <si>
    <t>Taxes foncières</t>
  </si>
  <si>
    <t>#84</t>
  </si>
  <si>
    <t>Taxes d`affaires</t>
  </si>
  <si>
    <t>#89</t>
  </si>
  <si>
    <t>Taxe sur le capital</t>
  </si>
  <si>
    <t>Assurances</t>
  </si>
  <si>
    <t>#85-88</t>
  </si>
  <si>
    <t>Chauffage, éclairage</t>
  </si>
  <si>
    <t>#87</t>
  </si>
  <si>
    <t>Honoraires</t>
  </si>
  <si>
    <t>#72</t>
  </si>
  <si>
    <t>Réparation équipement</t>
  </si>
  <si>
    <t>#82-90</t>
  </si>
  <si>
    <t>Location équipement</t>
  </si>
  <si>
    <t>#92</t>
  </si>
  <si>
    <t>Dons</t>
  </si>
  <si>
    <t>#66</t>
  </si>
  <si>
    <t>TOTAL DÉPENSES FIXES</t>
  </si>
  <si>
    <t>Revenus autres</t>
  </si>
  <si>
    <t>TOTAL AUTRES REVENUS</t>
  </si>
  <si>
    <t>BAIIA OPÉRATIONNEL</t>
  </si>
  <si>
    <t>%vte</t>
  </si>
  <si>
    <t>Volks</t>
  </si>
  <si>
    <t>CALCUL DU PROFIT NET</t>
  </si>
  <si>
    <t>BAIIA Corpo</t>
  </si>
  <si>
    <t>Intérêts sur marge</t>
  </si>
  <si>
    <t>Intérêts sur prêt</t>
  </si>
  <si>
    <t>Intérêts sur avance</t>
  </si>
  <si>
    <t>Revenus d'intérêts Floor plan</t>
  </si>
  <si>
    <t>Profit Net</t>
  </si>
  <si>
    <t>Pacing du 30</t>
  </si>
  <si>
    <t>Véhicules usagésAutres Marques</t>
  </si>
  <si>
    <t>Véhicules usagésTotal Usagés</t>
  </si>
  <si>
    <t>Discr</t>
  </si>
  <si>
    <t>Karim Noori - Directeur Adjoint Ventes Neuf</t>
  </si>
  <si>
    <t>Chris Ayel</t>
  </si>
  <si>
    <t>Christophe Ayel - Directeur Adjoint Ventes Usages</t>
  </si>
  <si>
    <t>CSI: Moyenne Questions D2 /D3 / D4 / D5</t>
  </si>
  <si>
    <t>Atteinte de l'objectif MENSUEL de volume "BPV" OEM</t>
  </si>
  <si>
    <t>Réalisé, Juillet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</si>
</sst>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7">
    <numFmt numFmtId="5" formatCode="#,##0\ &quot;$&quot;_);\(#,##0\ &quot;$&quot;\)"/>
    <numFmt numFmtId="6" formatCode="#,##0\ &quot;$&quot;_);[Red]\(#,##0\ &quot;$&quot;\)"/>
    <numFmt numFmtId="164" formatCode="&quot;$&quot;#,##0_);\(&quot;$&quot;#,##0\)"/>
    <numFmt numFmtId="165" formatCode="&quot;$&quot;#,##0_);[Red]\(&quot;$&quot;#,##0\)"/>
    <numFmt numFmtId="166" formatCode="_(* #,##0_);_(* \(#,##0\);_(* &quot;-&quot;_);_(@_)"/>
    <numFmt numFmtId="167" formatCode="_(&quot;$&quot;* #,##0.00_);_(&quot;$&quot;* \(#,##0.00\);_(&quot;$&quot;* &quot;-&quot;??_);_(@_)"/>
    <numFmt numFmtId="168" formatCode="_(* #,##0.00_);_(* \(#,##0.00\);_(* &quot;-&quot;??_);_(@_)"/>
    <numFmt numFmtId="169" formatCode="_-&quot;$&quot;* #,##0.00_-;\-&quot;$&quot;* #,##0.00_-;_-&quot;$&quot;* &quot;-&quot;??_-;_-@_-"/>
    <numFmt numFmtId="170" formatCode="&quot;$&quot;#,##0"/>
    <numFmt numFmtId="171" formatCode="0.0%"/>
    <numFmt numFmtId="172" formatCode="_(&quot;$&quot;* #,##0_);_(&quot;$&quot;* \(#,##0\);_(&quot;$&quot;* &quot;-&quot;??_);_(@_)"/>
    <numFmt numFmtId="173" formatCode="&quot;$&quot;#,##0.00"/>
    <numFmt numFmtId="174" formatCode="_(* #,##0_);_(* \(#,##0\);_(* &quot;-&quot;??_);_(@_)"/>
    <numFmt numFmtId="175" formatCode="#,##0\ &quot;$&quot;"/>
    <numFmt numFmtId="176" formatCode="_-* #,##0.00\ &quot;$&quot;_-;_-* #,##0.00\ &quot;$&quot;\-;_-* &quot;-&quot;??\ &quot;$&quot;_-;_-@"/>
    <numFmt numFmtId="177" formatCode="_-* #,##0\ &quot;$&quot;_-;_-* #,##0\ &quot;$&quot;\-;_-* &quot;-&quot;??\ &quot;$&quot;_-;_-@"/>
    <numFmt numFmtId="178" formatCode="[$$]#,##0.00"/>
    <numFmt numFmtId="179" formatCode="[$$]#,##0"/>
    <numFmt numFmtId="180" formatCode="mmm/yyyy"/>
    <numFmt numFmtId="181" formatCode="mmm\ yyyy"/>
    <numFmt numFmtId="182" formatCode="0&quot; unités&quot;"/>
    <numFmt numFmtId="183" formatCode="#,##0.00\ &quot;$&quot;"/>
    <numFmt numFmtId="184" formatCode="0.0"/>
    <numFmt numFmtId="185" formatCode="dd\/mm\/yy_)"/>
    <numFmt numFmtId="186" formatCode="0_)"/>
    <numFmt numFmtId="187" formatCode="d/m/yyyy"/>
    <numFmt numFmtId="188" formatCode="_-* #,##0.00_-;\-* #,##0.00_-;_-* &quot;-&quot;??_-;_-@_-"/>
  </numFmts>
  <fonts count="5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name val="Arial Unicode MS"/>
      <family val="2"/>
    </font>
    <font>
      <sz val="10"/>
      <color rgb="FF000000"/>
      <name val="Arial"/>
      <family val="2"/>
    </font>
    <font>
      <b/>
      <sz val="10"/>
      <color theme="1"/>
      <name val="Arial"/>
      <family val="2"/>
    </font>
    <font>
      <b/>
      <u/>
      <sz val="14"/>
      <color rgb="FF000000"/>
      <name val="Arial"/>
      <family val="2"/>
    </font>
    <font>
      <b/>
      <u/>
      <sz val="10"/>
      <color theme="1"/>
      <name val="Arial"/>
      <family val="2"/>
    </font>
    <font>
      <b/>
      <sz val="12"/>
      <color theme="1"/>
      <name val="Calibri"/>
      <family val="2"/>
    </font>
    <font>
      <sz val="10"/>
      <color theme="1"/>
      <name val="Calibri"/>
      <family val="2"/>
    </font>
    <font>
      <b/>
      <u/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theme="1"/>
      <name val="Calibri"/>
      <family val="2"/>
    </font>
    <font>
      <b/>
      <sz val="10"/>
      <color rgb="FFFFFFFF"/>
      <name val="Arial"/>
      <family val="2"/>
    </font>
    <font>
      <b/>
      <sz val="11"/>
      <color theme="1"/>
      <name val="Arial"/>
      <family val="2"/>
    </font>
    <font>
      <u/>
      <sz val="10"/>
      <color theme="1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theme="2" tint="-0.249977111117893"/>
      <name val="Arial"/>
      <family val="2"/>
    </font>
    <font>
      <sz val="10"/>
      <color theme="2" tint="-0.249977111117893"/>
      <name val="Arial"/>
      <family val="2"/>
    </font>
    <font>
      <b/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28"/>
      <color theme="1"/>
      <name val="Arial"/>
      <family val="2"/>
    </font>
    <font>
      <b/>
      <sz val="28"/>
      <color theme="0"/>
      <name val="Arial"/>
      <family val="2"/>
    </font>
    <font>
      <sz val="12"/>
      <color theme="1"/>
      <name val="Arial"/>
      <family val="2"/>
    </font>
    <font>
      <sz val="11"/>
      <color theme="1"/>
      <name val="Calibri"/>
      <family val="2"/>
    </font>
    <font>
      <b/>
      <sz val="11"/>
      <color rgb="FFFFFF00"/>
      <name val="Arial"/>
      <family val="2"/>
    </font>
    <font>
      <sz val="11"/>
      <color rgb="FFFFFFFF"/>
      <name val="Arial"/>
      <family val="2"/>
    </font>
    <font>
      <sz val="16"/>
      <color theme="1"/>
      <name val="Arial"/>
      <family val="2"/>
    </font>
    <font>
      <b/>
      <sz val="16"/>
      <color theme="1"/>
      <name val="Arial"/>
      <family val="2"/>
    </font>
    <font>
      <sz val="11"/>
      <name val="Arial"/>
      <family val="2"/>
    </font>
    <font>
      <sz val="10"/>
      <color rgb="FFFFFFFF"/>
      <name val="Calibri"/>
      <family val="2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sz val="11"/>
      <color theme="1"/>
      <name val="Arial"/>
      <family val="2"/>
    </font>
    <font>
      <sz val="18"/>
      <color theme="1"/>
      <name val="Arial"/>
      <family val="2"/>
    </font>
    <font>
      <sz val="20"/>
      <color rgb="FFFF0000"/>
      <name val="Arial"/>
      <family val="2"/>
    </font>
    <font>
      <sz val="12"/>
      <color theme="1"/>
      <name val="Calibri"/>
      <family val="2"/>
      <scheme val="minor"/>
    </font>
    <font>
      <sz val="22"/>
      <color rgb="FFFF0000"/>
      <name val="Arial"/>
      <family val="2"/>
    </font>
    <font>
      <b/>
      <sz val="11"/>
      <color rgb="FF002060"/>
      <name val="Arial"/>
      <family val="2"/>
    </font>
    <font>
      <sz val="14"/>
      <color rgb="FFFF0000"/>
      <name val="Arial"/>
      <family val="2"/>
    </font>
    <font>
      <b/>
      <sz val="18"/>
      <color theme="1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 tint="-0.14999847407452621"/>
        <bgColor rgb="FFFFFFFF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rgb="FFFFC000"/>
      </patternFill>
    </fill>
    <fill>
      <patternFill patternType="solid">
        <fgColor rgb="FFFF0000"/>
        <bgColor rgb="FFFF0000"/>
      </patternFill>
    </fill>
    <fill>
      <patternFill patternType="solid">
        <fgColor rgb="FFC0C0C0"/>
        <bgColor rgb="FFC0C0C0"/>
      </patternFill>
    </fill>
    <fill>
      <patternFill patternType="solid">
        <fgColor rgb="FFFFC000"/>
        <bgColor rgb="FFFFC000"/>
      </patternFill>
    </fill>
    <fill>
      <patternFill patternType="solid">
        <fgColor rgb="FFFFFFFF"/>
        <bgColor rgb="FFFFFFFF"/>
      </patternFill>
    </fill>
    <fill>
      <patternFill patternType="solid">
        <fgColor theme="1"/>
        <bgColor theme="1"/>
      </patternFill>
    </fill>
    <fill>
      <patternFill patternType="solid">
        <fgColor rgb="FFBFBFBF"/>
        <bgColor rgb="FFBFBFBF"/>
      </patternFill>
    </fill>
    <fill>
      <patternFill patternType="solid">
        <fgColor rgb="FFDBE5F1"/>
        <bgColor rgb="FFDBE5F1"/>
      </patternFill>
    </fill>
  </fills>
  <borders count="7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/>
      <top/>
      <bottom style="thick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medium">
        <color rgb="FF000000"/>
      </bottom>
      <diagonal/>
    </border>
    <border>
      <left/>
      <right/>
      <top style="thick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ck">
        <color rgb="FF000000"/>
      </top>
      <bottom style="medium">
        <color rgb="FF000000"/>
      </bottom>
      <diagonal/>
    </border>
    <border>
      <left style="thin">
        <color rgb="FF000000"/>
      </left>
      <right/>
      <top style="thick">
        <color rgb="FF000000"/>
      </top>
      <bottom style="medium">
        <color rgb="FF000000"/>
      </bottom>
      <diagonal/>
    </border>
    <border>
      <left/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/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 style="medium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/>
      <top style="thick">
        <color rgb="FF000000"/>
      </top>
      <bottom style="medium">
        <color rgb="FF000000"/>
      </bottom>
      <diagonal/>
    </border>
  </borders>
  <cellStyleXfs count="10">
    <xf numFmtId="0" fontId="0" fillId="0" borderId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0" fontId="29" fillId="0" borderId="0"/>
    <xf numFmtId="0" fontId="33" fillId="0" borderId="0"/>
  </cellStyleXfs>
  <cellXfs count="828">
    <xf numFmtId="0" fontId="0" fillId="0" borderId="0" xfId="0"/>
    <xf numFmtId="0" fontId="4" fillId="0" borderId="0" xfId="0" applyFont="1" applyAlignment="1">
      <alignment horizontal="left" vertical="center"/>
    </xf>
    <xf numFmtId="0" fontId="2" fillId="0" borderId="0" xfId="0" applyFont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170" fontId="0" fillId="0" borderId="2" xfId="0" applyNumberFormat="1" applyBorder="1" applyAlignment="1">
      <alignment horizontal="center"/>
    </xf>
    <xf numFmtId="170" fontId="0" fillId="0" borderId="3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4" xfId="0" applyBorder="1"/>
    <xf numFmtId="1" fontId="0" fillId="0" borderId="4" xfId="0" applyNumberFormat="1" applyBorder="1" applyAlignment="1">
      <alignment horizontal="center"/>
    </xf>
    <xf numFmtId="170" fontId="0" fillId="0" borderId="0" xfId="0" applyNumberFormat="1" applyAlignment="1">
      <alignment horizontal="center"/>
    </xf>
    <xf numFmtId="170" fontId="0" fillId="0" borderId="5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9" xfId="0" applyFont="1" applyBorder="1"/>
    <xf numFmtId="1" fontId="2" fillId="0" borderId="9" xfId="0" applyNumberFormat="1" applyFont="1" applyBorder="1" applyAlignment="1">
      <alignment horizontal="center"/>
    </xf>
    <xf numFmtId="170" fontId="2" fillId="0" borderId="11" xfId="0" applyNumberFormat="1" applyFont="1" applyBorder="1" applyAlignment="1">
      <alignment horizontal="center"/>
    </xf>
    <xf numFmtId="170" fontId="2" fillId="0" borderId="10" xfId="0" applyNumberFormat="1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left"/>
    </xf>
    <xf numFmtId="170" fontId="0" fillId="0" borderId="4" xfId="0" applyNumberFormat="1" applyBorder="1" applyAlignment="1">
      <alignment horizontal="center"/>
    </xf>
    <xf numFmtId="170" fontId="0" fillId="0" borderId="0" xfId="2" applyNumberFormat="1" applyFont="1" applyBorder="1" applyAlignment="1">
      <alignment horizontal="center"/>
    </xf>
    <xf numFmtId="9" fontId="0" fillId="0" borderId="5" xfId="0" applyNumberFormat="1" applyBorder="1" applyAlignment="1">
      <alignment horizontal="center"/>
    </xf>
    <xf numFmtId="170" fontId="2" fillId="0" borderId="9" xfId="0" applyNumberFormat="1" applyFont="1" applyBorder="1" applyAlignment="1">
      <alignment horizontal="center"/>
    </xf>
    <xf numFmtId="9" fontId="2" fillId="0" borderId="10" xfId="2" applyFont="1" applyBorder="1" applyAlignment="1">
      <alignment horizontal="center"/>
    </xf>
    <xf numFmtId="170" fontId="0" fillId="0" borderId="9" xfId="0" applyNumberFormat="1" applyBorder="1" applyAlignment="1">
      <alignment horizontal="center"/>
    </xf>
    <xf numFmtId="170" fontId="0" fillId="0" borderId="11" xfId="2" applyNumberFormat="1" applyFont="1" applyBorder="1" applyAlignment="1">
      <alignment horizontal="center"/>
    </xf>
    <xf numFmtId="9" fontId="0" fillId="0" borderId="10" xfId="0" applyNumberFormat="1" applyBorder="1" applyAlignment="1">
      <alignment horizontal="center"/>
    </xf>
    <xf numFmtId="0" fontId="2" fillId="2" borderId="9" xfId="0" applyFont="1" applyFill="1" applyBorder="1"/>
    <xf numFmtId="0" fontId="2" fillId="0" borderId="15" xfId="0" applyFont="1" applyBorder="1"/>
    <xf numFmtId="0" fontId="0" fillId="0" borderId="6" xfId="0" applyBorder="1"/>
    <xf numFmtId="173" fontId="0" fillId="0" borderId="0" xfId="0" applyNumberFormat="1"/>
    <xf numFmtId="0" fontId="0" fillId="3" borderId="0" xfId="0" applyFill="1"/>
    <xf numFmtId="0" fontId="0" fillId="3" borderId="1" xfId="0" applyFill="1" applyBorder="1"/>
    <xf numFmtId="0" fontId="0" fillId="3" borderId="2" xfId="0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4" xfId="0" applyFill="1" applyBorder="1"/>
    <xf numFmtId="172" fontId="0" fillId="3" borderId="0" xfId="3" applyNumberFormat="1" applyFont="1" applyFill="1" applyBorder="1"/>
    <xf numFmtId="0" fontId="0" fillId="3" borderId="3" xfId="0" applyFill="1" applyBorder="1"/>
    <xf numFmtId="0" fontId="0" fillId="3" borderId="5" xfId="0" applyFill="1" applyBorder="1"/>
    <xf numFmtId="167" fontId="0" fillId="0" borderId="0" xfId="3" applyFont="1" applyFill="1"/>
    <xf numFmtId="0" fontId="6" fillId="3" borderId="0" xfId="4" applyFont="1" applyFill="1"/>
    <xf numFmtId="0" fontId="5" fillId="3" borderId="0" xfId="4" applyFill="1"/>
    <xf numFmtId="3" fontId="3" fillId="3" borderId="0" xfId="4" applyNumberFormat="1" applyFont="1" applyFill="1"/>
    <xf numFmtId="0" fontId="7" fillId="3" borderId="0" xfId="4" applyFont="1" applyFill="1"/>
    <xf numFmtId="0" fontId="8" fillId="3" borderId="0" xfId="4" applyFont="1" applyFill="1"/>
    <xf numFmtId="3" fontId="6" fillId="3" borderId="0" xfId="4" applyNumberFormat="1" applyFont="1" applyFill="1"/>
    <xf numFmtId="0" fontId="10" fillId="4" borderId="0" xfId="4" applyFont="1" applyFill="1"/>
    <xf numFmtId="3" fontId="3" fillId="4" borderId="0" xfId="4" applyNumberFormat="1" applyFont="1" applyFill="1"/>
    <xf numFmtId="176" fontId="6" fillId="3" borderId="0" xfId="4" applyNumberFormat="1" applyFont="1" applyFill="1"/>
    <xf numFmtId="0" fontId="13" fillId="3" borderId="0" xfId="4" applyFont="1" applyFill="1"/>
    <xf numFmtId="0" fontId="12" fillId="3" borderId="0" xfId="4" applyFont="1" applyFill="1"/>
    <xf numFmtId="0" fontId="16" fillId="3" borderId="0" xfId="4" applyFont="1" applyFill="1"/>
    <xf numFmtId="167" fontId="6" fillId="3" borderId="0" xfId="4" applyNumberFormat="1" applyFont="1" applyFill="1"/>
    <xf numFmtId="177" fontId="12" fillId="4" borderId="0" xfId="4" applyNumberFormat="1" applyFont="1" applyFill="1" applyAlignment="1">
      <alignment vertical="center"/>
    </xf>
    <xf numFmtId="176" fontId="6" fillId="2" borderId="0" xfId="4" applyNumberFormat="1" applyFont="1" applyFill="1" applyAlignment="1">
      <alignment horizontal="center"/>
    </xf>
    <xf numFmtId="171" fontId="6" fillId="2" borderId="0" xfId="2" applyNumberFormat="1" applyFont="1" applyFill="1" applyBorder="1" applyAlignment="1">
      <alignment horizontal="center"/>
    </xf>
    <xf numFmtId="0" fontId="10" fillId="2" borderId="0" xfId="4" applyFont="1" applyFill="1" applyAlignment="1">
      <alignment horizontal="center"/>
    </xf>
    <xf numFmtId="167" fontId="6" fillId="2" borderId="0" xfId="3" applyFont="1" applyFill="1" applyBorder="1" applyAlignment="1">
      <alignment horizontal="center"/>
    </xf>
    <xf numFmtId="0" fontId="10" fillId="3" borderId="0" xfId="4" applyFont="1" applyFill="1"/>
    <xf numFmtId="175" fontId="6" fillId="3" borderId="0" xfId="4" applyNumberFormat="1" applyFont="1" applyFill="1" applyAlignment="1">
      <alignment horizontal="center"/>
    </xf>
    <xf numFmtId="9" fontId="8" fillId="4" borderId="0" xfId="4" applyNumberFormat="1" applyFont="1" applyFill="1" applyAlignment="1">
      <alignment horizontal="center"/>
    </xf>
    <xf numFmtId="0" fontId="8" fillId="4" borderId="0" xfId="4" applyFont="1" applyFill="1" applyAlignment="1">
      <alignment horizontal="center"/>
    </xf>
    <xf numFmtId="9" fontId="8" fillId="4" borderId="0" xfId="4" applyNumberFormat="1" applyFont="1" applyFill="1" applyAlignment="1">
      <alignment horizontal="center" vertical="center"/>
    </xf>
    <xf numFmtId="6" fontId="12" fillId="4" borderId="0" xfId="4" applyNumberFormat="1" applyFont="1" applyFill="1"/>
    <xf numFmtId="6" fontId="12" fillId="4" borderId="0" xfId="4" applyNumberFormat="1" applyFont="1" applyFill="1" applyAlignment="1">
      <alignment horizontal="center"/>
    </xf>
    <xf numFmtId="6" fontId="12" fillId="5" borderId="0" xfId="4" applyNumberFormat="1" applyFont="1" applyFill="1" applyAlignment="1">
      <alignment horizontal="center"/>
    </xf>
    <xf numFmtId="0" fontId="11" fillId="4" borderId="0" xfId="4" applyFont="1" applyFill="1" applyAlignment="1">
      <alignment horizontal="center"/>
    </xf>
    <xf numFmtId="0" fontId="11" fillId="4" borderId="0" xfId="4" applyFont="1" applyFill="1" applyAlignment="1">
      <alignment horizontal="center" vertical="center"/>
    </xf>
    <xf numFmtId="0" fontId="13" fillId="4" borderId="0" xfId="4" applyFont="1" applyFill="1" applyAlignment="1">
      <alignment horizontal="center"/>
    </xf>
    <xf numFmtId="9" fontId="13" fillId="4" borderId="0" xfId="4" applyNumberFormat="1" applyFont="1" applyFill="1" applyAlignment="1">
      <alignment horizontal="center"/>
    </xf>
    <xf numFmtId="37" fontId="5" fillId="2" borderId="0" xfId="4" applyNumberFormat="1" applyFill="1" applyAlignment="1">
      <alignment horizontal="center"/>
    </xf>
    <xf numFmtId="9" fontId="6" fillId="2" borderId="0" xfId="2" applyFont="1" applyFill="1" applyBorder="1" applyAlignment="1">
      <alignment horizontal="center"/>
    </xf>
    <xf numFmtId="167" fontId="5" fillId="2" borderId="0" xfId="3" applyFont="1" applyFill="1" applyBorder="1"/>
    <xf numFmtId="0" fontId="6" fillId="4" borderId="0" xfId="4" applyFont="1" applyFill="1"/>
    <xf numFmtId="9" fontId="8" fillId="3" borderId="0" xfId="4" applyNumberFormat="1" applyFont="1" applyFill="1" applyAlignment="1">
      <alignment horizontal="center"/>
    </xf>
    <xf numFmtId="9" fontId="8" fillId="3" borderId="0" xfId="4" applyNumberFormat="1" applyFont="1" applyFill="1" applyAlignment="1">
      <alignment horizontal="center" vertical="center"/>
    </xf>
    <xf numFmtId="177" fontId="6" fillId="3" borderId="0" xfId="4" applyNumberFormat="1" applyFont="1" applyFill="1" applyAlignment="1">
      <alignment horizontal="center"/>
    </xf>
    <xf numFmtId="0" fontId="3" fillId="3" borderId="0" xfId="4" applyFont="1" applyFill="1" applyAlignment="1">
      <alignment horizontal="center"/>
    </xf>
    <xf numFmtId="6" fontId="3" fillId="4" borderId="0" xfId="4" applyNumberFormat="1" applyFont="1" applyFill="1" applyAlignment="1">
      <alignment horizontal="center"/>
    </xf>
    <xf numFmtId="6" fontId="6" fillId="4" borderId="0" xfId="4" applyNumberFormat="1" applyFont="1" applyFill="1" applyAlignment="1">
      <alignment horizontal="center"/>
    </xf>
    <xf numFmtId="0" fontId="13" fillId="4" borderId="0" xfId="4" applyFont="1" applyFill="1"/>
    <xf numFmtId="0" fontId="3" fillId="4" borderId="0" xfId="4" applyFont="1" applyFill="1" applyAlignment="1">
      <alignment horizontal="center"/>
    </xf>
    <xf numFmtId="0" fontId="6" fillId="4" borderId="0" xfId="4" applyFont="1" applyFill="1" applyAlignment="1">
      <alignment horizontal="center"/>
    </xf>
    <xf numFmtId="0" fontId="14" fillId="4" borderId="0" xfId="4" applyFont="1" applyFill="1" applyAlignment="1">
      <alignment horizontal="center"/>
    </xf>
    <xf numFmtId="177" fontId="14" fillId="3" borderId="0" xfId="4" applyNumberFormat="1" applyFont="1" applyFill="1" applyAlignment="1">
      <alignment horizontal="center"/>
    </xf>
    <xf numFmtId="0" fontId="6" fillId="3" borderId="0" xfId="4" applyFont="1" applyFill="1" applyAlignment="1">
      <alignment horizontal="center"/>
    </xf>
    <xf numFmtId="177" fontId="6" fillId="3" borderId="0" xfId="4" applyNumberFormat="1" applyFont="1" applyFill="1"/>
    <xf numFmtId="177" fontId="9" fillId="3" borderId="0" xfId="4" applyNumberFormat="1" applyFont="1" applyFill="1" applyAlignment="1">
      <alignment horizontal="center"/>
    </xf>
    <xf numFmtId="0" fontId="6" fillId="3" borderId="1" xfId="4" applyFont="1" applyFill="1" applyBorder="1"/>
    <xf numFmtId="0" fontId="11" fillId="4" borderId="2" xfId="4" applyFont="1" applyFill="1" applyBorder="1" applyAlignment="1">
      <alignment horizontal="center"/>
    </xf>
    <xf numFmtId="0" fontId="11" fillId="4" borderId="2" xfId="4" applyFont="1" applyFill="1" applyBorder="1" applyAlignment="1">
      <alignment horizontal="center" vertical="center"/>
    </xf>
    <xf numFmtId="3" fontId="5" fillId="4" borderId="3" xfId="4" applyNumberFormat="1" applyFill="1" applyBorder="1"/>
    <xf numFmtId="0" fontId="12" fillId="3" borderId="4" xfId="4" applyFont="1" applyFill="1" applyBorder="1"/>
    <xf numFmtId="176" fontId="6" fillId="4" borderId="5" xfId="4" applyNumberFormat="1" applyFont="1" applyFill="1" applyBorder="1"/>
    <xf numFmtId="0" fontId="12" fillId="3" borderId="4" xfId="4" applyFont="1" applyFill="1" applyBorder="1" applyAlignment="1">
      <alignment horizontal="right"/>
    </xf>
    <xf numFmtId="0" fontId="6" fillId="3" borderId="4" xfId="4" applyFont="1" applyFill="1" applyBorder="1"/>
    <xf numFmtId="176" fontId="6" fillId="3" borderId="5" xfId="4" applyNumberFormat="1" applyFont="1" applyFill="1" applyBorder="1"/>
    <xf numFmtId="0" fontId="10" fillId="3" borderId="4" xfId="4" applyFont="1" applyFill="1" applyBorder="1"/>
    <xf numFmtId="0" fontId="10" fillId="4" borderId="5" xfId="4" applyFont="1" applyFill="1" applyBorder="1"/>
    <xf numFmtId="0" fontId="6" fillId="4" borderId="5" xfId="4" applyFont="1" applyFill="1" applyBorder="1"/>
    <xf numFmtId="0" fontId="8" fillId="3" borderId="4" xfId="4" applyFont="1" applyFill="1" applyBorder="1"/>
    <xf numFmtId="178" fontId="12" fillId="3" borderId="4" xfId="4" applyNumberFormat="1" applyFont="1" applyFill="1" applyBorder="1" applyAlignment="1">
      <alignment horizontal="left"/>
    </xf>
    <xf numFmtId="0" fontId="5" fillId="3" borderId="5" xfId="4" applyFill="1" applyBorder="1"/>
    <xf numFmtId="3" fontId="3" fillId="3" borderId="5" xfId="4" applyNumberFormat="1" applyFont="1" applyFill="1" applyBorder="1"/>
    <xf numFmtId="0" fontId="5" fillId="3" borderId="4" xfId="4" applyFill="1" applyBorder="1"/>
    <xf numFmtId="0" fontId="6" fillId="3" borderId="6" xfId="4" applyFont="1" applyFill="1" applyBorder="1"/>
    <xf numFmtId="176" fontId="6" fillId="3" borderId="7" xfId="4" applyNumberFormat="1" applyFont="1" applyFill="1" applyBorder="1"/>
    <xf numFmtId="0" fontId="6" fillId="3" borderId="7" xfId="4" applyFont="1" applyFill="1" applyBorder="1"/>
    <xf numFmtId="176" fontId="6" fillId="3" borderId="8" xfId="4" applyNumberFormat="1" applyFont="1" applyFill="1" applyBorder="1"/>
    <xf numFmtId="3" fontId="5" fillId="4" borderId="0" xfId="4" applyNumberFormat="1" applyFill="1"/>
    <xf numFmtId="178" fontId="12" fillId="4" borderId="0" xfId="4" applyNumberFormat="1" applyFont="1" applyFill="1" applyAlignment="1">
      <alignment horizontal="center"/>
    </xf>
    <xf numFmtId="0" fontId="10" fillId="4" borderId="0" xfId="4" applyFont="1" applyFill="1" applyAlignment="1">
      <alignment horizontal="center"/>
    </xf>
    <xf numFmtId="178" fontId="6" fillId="3" borderId="0" xfId="4" applyNumberFormat="1" applyFont="1" applyFill="1" applyAlignment="1">
      <alignment horizontal="center"/>
    </xf>
    <xf numFmtId="178" fontId="8" fillId="4" borderId="0" xfId="4" applyNumberFormat="1" applyFont="1" applyFill="1" applyAlignment="1">
      <alignment horizontal="center"/>
    </xf>
    <xf numFmtId="178" fontId="8" fillId="4" borderId="0" xfId="4" applyNumberFormat="1" applyFont="1" applyFill="1" applyAlignment="1">
      <alignment horizontal="center" vertical="center"/>
    </xf>
    <xf numFmtId="178" fontId="6" fillId="4" borderId="0" xfId="4" applyNumberFormat="1" applyFont="1" applyFill="1" applyAlignment="1">
      <alignment horizontal="center"/>
    </xf>
    <xf numFmtId="178" fontId="6" fillId="3" borderId="0" xfId="4" applyNumberFormat="1" applyFont="1" applyFill="1"/>
    <xf numFmtId="177" fontId="12" fillId="4" borderId="0" xfId="4" applyNumberFormat="1" applyFont="1" applyFill="1" applyAlignment="1">
      <alignment horizontal="center" vertical="center"/>
    </xf>
    <xf numFmtId="171" fontId="3" fillId="4" borderId="0" xfId="5" applyNumberFormat="1" applyFont="1" applyFill="1" applyBorder="1" applyAlignment="1">
      <alignment horizontal="center"/>
    </xf>
    <xf numFmtId="167" fontId="6" fillId="4" borderId="0" xfId="6" applyFont="1" applyFill="1" applyBorder="1" applyAlignment="1">
      <alignment horizontal="center"/>
    </xf>
    <xf numFmtId="3" fontId="3" fillId="3" borderId="0" xfId="4" applyNumberFormat="1" applyFont="1" applyFill="1" applyAlignment="1">
      <alignment horizontal="center"/>
    </xf>
    <xf numFmtId="0" fontId="10" fillId="3" borderId="0" xfId="4" applyFont="1" applyFill="1" applyAlignment="1">
      <alignment horizontal="center"/>
    </xf>
    <xf numFmtId="0" fontId="2" fillId="2" borderId="0" xfId="3" applyNumberFormat="1" applyFont="1" applyFill="1"/>
    <xf numFmtId="0" fontId="0" fillId="2" borderId="0" xfId="0" applyFill="1"/>
    <xf numFmtId="164" fontId="2" fillId="2" borderId="0" xfId="0" applyNumberFormat="1" applyFont="1" applyFill="1"/>
    <xf numFmtId="167" fontId="0" fillId="2" borderId="0" xfId="3" applyFont="1" applyFill="1" applyAlignment="1"/>
    <xf numFmtId="167" fontId="0" fillId="0" borderId="0" xfId="3" applyFont="1" applyFill="1" applyAlignment="1"/>
    <xf numFmtId="164" fontId="0" fillId="0" borderId="0" xfId="0" applyNumberFormat="1"/>
    <xf numFmtId="172" fontId="3" fillId="4" borderId="0" xfId="6" applyNumberFormat="1" applyFont="1" applyFill="1" applyBorder="1" applyAlignment="1">
      <alignment horizontal="center"/>
    </xf>
    <xf numFmtId="0" fontId="2" fillId="3" borderId="0" xfId="0" applyFont="1" applyFill="1"/>
    <xf numFmtId="0" fontId="17" fillId="4" borderId="0" xfId="4" applyFont="1" applyFill="1" applyAlignment="1">
      <alignment horizontal="center"/>
    </xf>
    <xf numFmtId="172" fontId="18" fillId="4" borderId="0" xfId="6" applyNumberFormat="1" applyFont="1" applyFill="1" applyBorder="1" applyAlignment="1">
      <alignment horizontal="center"/>
    </xf>
    <xf numFmtId="171" fontId="18" fillId="4" borderId="0" xfId="5" applyNumberFormat="1" applyFont="1" applyFill="1" applyBorder="1" applyAlignment="1">
      <alignment horizontal="center"/>
    </xf>
    <xf numFmtId="179" fontId="18" fillId="4" borderId="0" xfId="4" applyNumberFormat="1" applyFont="1" applyFill="1" applyAlignment="1">
      <alignment horizontal="center"/>
    </xf>
    <xf numFmtId="9" fontId="0" fillId="0" borderId="0" xfId="0" applyNumberFormat="1"/>
    <xf numFmtId="174" fontId="0" fillId="0" borderId="0" xfId="1" applyNumberFormat="1" applyFont="1"/>
    <xf numFmtId="172" fontId="0" fillId="3" borderId="0" xfId="0" applyNumberFormat="1" applyFill="1"/>
    <xf numFmtId="5" fontId="20" fillId="4" borderId="0" xfId="6" applyNumberFormat="1" applyFont="1" applyFill="1" applyBorder="1" applyAlignment="1">
      <alignment horizontal="center"/>
    </xf>
    <xf numFmtId="179" fontId="6" fillId="4" borderId="0" xfId="4" applyNumberFormat="1" applyFont="1" applyFill="1" applyAlignment="1">
      <alignment horizontal="center"/>
    </xf>
    <xf numFmtId="0" fontId="21" fillId="4" borderId="0" xfId="4" quotePrefix="1" applyFont="1" applyFill="1" applyAlignment="1">
      <alignment horizontal="center"/>
    </xf>
    <xf numFmtId="5" fontId="22" fillId="4" borderId="0" xfId="6" applyNumberFormat="1" applyFont="1" applyFill="1" applyBorder="1" applyAlignment="1">
      <alignment horizontal="center"/>
    </xf>
    <xf numFmtId="171" fontId="22" fillId="4" borderId="0" xfId="5" applyNumberFormat="1" applyFont="1" applyFill="1" applyBorder="1" applyAlignment="1">
      <alignment horizontal="center"/>
    </xf>
    <xf numFmtId="179" fontId="21" fillId="4" borderId="0" xfId="4" applyNumberFormat="1" applyFont="1" applyFill="1" applyAlignment="1">
      <alignment horizontal="center"/>
    </xf>
    <xf numFmtId="0" fontId="6" fillId="3" borderId="0" xfId="4" applyFont="1" applyFill="1" applyAlignment="1">
      <alignment horizontal="centerContinuous"/>
    </xf>
    <xf numFmtId="0" fontId="5" fillId="3" borderId="0" xfId="4" applyFill="1" applyAlignment="1">
      <alignment horizontal="centerContinuous"/>
    </xf>
    <xf numFmtId="0" fontId="19" fillId="4" borderId="0" xfId="4" quotePrefix="1" applyFont="1" applyFill="1" applyAlignment="1">
      <alignment horizontal="center"/>
    </xf>
    <xf numFmtId="0" fontId="0" fillId="0" borderId="0" xfId="0" applyAlignment="1">
      <alignment horizontal="right" indent="2"/>
    </xf>
    <xf numFmtId="0" fontId="0" fillId="3" borderId="0" xfId="0" applyFill="1" applyAlignment="1">
      <alignment horizontal="center"/>
    </xf>
    <xf numFmtId="0" fontId="0" fillId="3" borderId="4" xfId="0" applyFill="1" applyBorder="1" applyAlignment="1">
      <alignment horizontal="left" indent="1"/>
    </xf>
    <xf numFmtId="3" fontId="3" fillId="3" borderId="0" xfId="4" applyNumberFormat="1" applyFont="1" applyFill="1" applyAlignment="1">
      <alignment horizontal="right"/>
    </xf>
    <xf numFmtId="179" fontId="6" fillId="4" borderId="17" xfId="4" applyNumberFormat="1" applyFont="1" applyFill="1" applyBorder="1" applyAlignment="1">
      <alignment horizontal="center"/>
    </xf>
    <xf numFmtId="171" fontId="3" fillId="0" borderId="0" xfId="5" applyNumberFormat="1" applyFont="1" applyFill="1" applyBorder="1" applyAlignment="1">
      <alignment horizontal="center"/>
    </xf>
    <xf numFmtId="0" fontId="6" fillId="6" borderId="0" xfId="4" applyFont="1" applyFill="1"/>
    <xf numFmtId="0" fontId="0" fillId="3" borderId="8" xfId="0" applyFill="1" applyBorder="1"/>
    <xf numFmtId="9" fontId="21" fillId="0" borderId="0" xfId="2" applyFont="1" applyFill="1" applyBorder="1" applyAlignment="1">
      <alignment horizontal="center"/>
    </xf>
    <xf numFmtId="0" fontId="11" fillId="3" borderId="0" xfId="4" applyFont="1" applyFill="1"/>
    <xf numFmtId="171" fontId="0" fillId="3" borderId="4" xfId="2" applyNumberFormat="1" applyFont="1" applyFill="1" applyBorder="1" applyAlignment="1">
      <alignment horizontal="center"/>
    </xf>
    <xf numFmtId="0" fontId="2" fillId="7" borderId="18" xfId="0" applyFont="1" applyFill="1" applyBorder="1" applyAlignment="1">
      <alignment horizontal="centerContinuous" vertical="center"/>
    </xf>
    <xf numFmtId="0" fontId="2" fillId="7" borderId="19" xfId="0" applyFont="1" applyFill="1" applyBorder="1" applyAlignment="1">
      <alignment horizontal="centerContinuous" vertical="center"/>
    </xf>
    <xf numFmtId="0" fontId="2" fillId="7" borderId="20" xfId="0" applyFont="1" applyFill="1" applyBorder="1" applyAlignment="1">
      <alignment horizontal="centerContinuous" vertical="center"/>
    </xf>
    <xf numFmtId="0" fontId="23" fillId="3" borderId="0" xfId="0" applyFont="1" applyFill="1"/>
    <xf numFmtId="10" fontId="0" fillId="3" borderId="0" xfId="0" applyNumberFormat="1" applyFill="1"/>
    <xf numFmtId="181" fontId="0" fillId="3" borderId="0" xfId="0" applyNumberFormat="1" applyFill="1" applyAlignment="1">
      <alignment horizontal="center"/>
    </xf>
    <xf numFmtId="168" fontId="0" fillId="3" borderId="2" xfId="1" applyFont="1" applyFill="1" applyBorder="1" applyAlignment="1">
      <alignment horizontal="center" wrapText="1"/>
    </xf>
    <xf numFmtId="0" fontId="0" fillId="3" borderId="2" xfId="0" applyFill="1" applyBorder="1" applyAlignment="1">
      <alignment horizontal="center" wrapText="1"/>
    </xf>
    <xf numFmtId="172" fontId="0" fillId="3" borderId="12" xfId="3" applyNumberFormat="1" applyFont="1" applyFill="1" applyBorder="1"/>
    <xf numFmtId="10" fontId="0" fillId="3" borderId="0" xfId="2" applyNumberFormat="1" applyFont="1" applyFill="1" applyBorder="1" applyAlignment="1">
      <alignment wrapText="1"/>
    </xf>
    <xf numFmtId="170" fontId="0" fillId="3" borderId="0" xfId="0" applyNumberFormat="1" applyFill="1" applyAlignment="1">
      <alignment wrapText="1"/>
    </xf>
    <xf numFmtId="172" fontId="0" fillId="3" borderId="13" xfId="3" applyNumberFormat="1" applyFont="1" applyFill="1" applyBorder="1"/>
    <xf numFmtId="168" fontId="0" fillId="3" borderId="15" xfId="1" applyFont="1" applyFill="1" applyBorder="1" applyAlignment="1">
      <alignment horizontal="center" wrapText="1"/>
    </xf>
    <xf numFmtId="0" fontId="0" fillId="3" borderId="15" xfId="0" applyFill="1" applyBorder="1" applyAlignment="1">
      <alignment horizontal="center" wrapText="1"/>
    </xf>
    <xf numFmtId="171" fontId="0" fillId="3" borderId="13" xfId="2" applyNumberFormat="1" applyFont="1" applyFill="1" applyBorder="1" applyAlignment="1">
      <alignment horizontal="center"/>
    </xf>
    <xf numFmtId="10" fontId="0" fillId="3" borderId="15" xfId="2" applyNumberFormat="1" applyFont="1" applyFill="1" applyBorder="1" applyAlignment="1">
      <alignment horizontal="center" wrapText="1"/>
    </xf>
    <xf numFmtId="166" fontId="0" fillId="3" borderId="13" xfId="1" applyNumberFormat="1" applyFont="1" applyFill="1" applyBorder="1" applyAlignment="1">
      <alignment wrapText="1"/>
    </xf>
    <xf numFmtId="10" fontId="0" fillId="3" borderId="9" xfId="2" applyNumberFormat="1" applyFont="1" applyFill="1" applyBorder="1" applyAlignment="1">
      <alignment wrapText="1"/>
    </xf>
    <xf numFmtId="0" fontId="0" fillId="3" borderId="10" xfId="0" applyFill="1" applyBorder="1" applyAlignment="1">
      <alignment wrapText="1"/>
    </xf>
    <xf numFmtId="0" fontId="0" fillId="3" borderId="9" xfId="0" applyFill="1" applyBorder="1"/>
    <xf numFmtId="172" fontId="0" fillId="3" borderId="15" xfId="3" applyNumberFormat="1" applyFont="1" applyFill="1" applyBorder="1"/>
    <xf numFmtId="0" fontId="12" fillId="3" borderId="0" xfId="7" applyFont="1" applyFill="1" applyAlignment="1">
      <alignment horizontal="right"/>
    </xf>
    <xf numFmtId="167" fontId="12" fillId="3" borderId="16" xfId="3" applyFont="1" applyFill="1" applyBorder="1"/>
    <xf numFmtId="172" fontId="0" fillId="3" borderId="4" xfId="3" applyNumberFormat="1" applyFont="1" applyFill="1" applyBorder="1"/>
    <xf numFmtId="172" fontId="0" fillId="3" borderId="5" xfId="3" applyNumberFormat="1" applyFont="1" applyFill="1" applyBorder="1"/>
    <xf numFmtId="171" fontId="0" fillId="3" borderId="5" xfId="2" applyNumberFormat="1" applyFont="1" applyFill="1" applyBorder="1" applyAlignment="1">
      <alignment horizontal="center"/>
    </xf>
    <xf numFmtId="166" fontId="0" fillId="3" borderId="4" xfId="1" applyNumberFormat="1" applyFont="1" applyFill="1" applyBorder="1" applyAlignment="1">
      <alignment wrapText="1"/>
    </xf>
    <xf numFmtId="166" fontId="0" fillId="3" borderId="5" xfId="1" applyNumberFormat="1" applyFont="1" applyFill="1" applyBorder="1" applyAlignment="1">
      <alignment wrapText="1"/>
    </xf>
    <xf numFmtId="2" fontId="0" fillId="3" borderId="12" xfId="3" applyNumberFormat="1" applyFont="1" applyFill="1" applyBorder="1" applyAlignment="1">
      <alignment horizontal="center"/>
    </xf>
    <xf numFmtId="2" fontId="0" fillId="3" borderId="13" xfId="3" applyNumberFormat="1" applyFont="1" applyFill="1" applyBorder="1" applyAlignment="1">
      <alignment horizontal="center"/>
    </xf>
    <xf numFmtId="0" fontId="2" fillId="3" borderId="0" xfId="0" applyFont="1" applyFill="1" applyAlignment="1">
      <alignment horizontal="right"/>
    </xf>
    <xf numFmtId="167" fontId="0" fillId="3" borderId="0" xfId="0" applyNumberFormat="1" applyFill="1"/>
    <xf numFmtId="167" fontId="2" fillId="3" borderId="16" xfId="0" applyNumberFormat="1" applyFont="1" applyFill="1" applyBorder="1"/>
    <xf numFmtId="4" fontId="0" fillId="3" borderId="15" xfId="2" applyNumberFormat="1" applyFont="1" applyFill="1" applyBorder="1" applyAlignment="1">
      <alignment horizontal="center" wrapText="1"/>
    </xf>
    <xf numFmtId="4" fontId="0" fillId="3" borderId="9" xfId="2" applyNumberFormat="1" applyFont="1" applyFill="1" applyBorder="1" applyAlignment="1">
      <alignment horizontal="center" wrapText="1"/>
    </xf>
    <xf numFmtId="170" fontId="0" fillId="3" borderId="15" xfId="0" applyNumberFormat="1" applyFill="1" applyBorder="1" applyAlignment="1">
      <alignment horizontal="right" wrapText="1" indent="1"/>
    </xf>
    <xf numFmtId="182" fontId="0" fillId="3" borderId="12" xfId="3" applyNumberFormat="1" applyFont="1" applyFill="1" applyBorder="1"/>
    <xf numFmtId="182" fontId="0" fillId="3" borderId="13" xfId="3" applyNumberFormat="1" applyFont="1" applyFill="1" applyBorder="1"/>
    <xf numFmtId="1" fontId="0" fillId="3" borderId="13" xfId="3" applyNumberFormat="1" applyFont="1" applyFill="1" applyBorder="1" applyAlignment="1">
      <alignment horizontal="center"/>
    </xf>
    <xf numFmtId="3" fontId="0" fillId="3" borderId="15" xfId="2" applyNumberFormat="1" applyFont="1" applyFill="1" applyBorder="1" applyAlignment="1">
      <alignment horizontal="center" wrapText="1"/>
    </xf>
    <xf numFmtId="1" fontId="0" fillId="3" borderId="12" xfId="3" applyNumberFormat="1" applyFont="1" applyFill="1" applyBorder="1" applyAlignment="1">
      <alignment horizontal="center"/>
    </xf>
    <xf numFmtId="0" fontId="0" fillId="3" borderId="12" xfId="0" applyFill="1" applyBorder="1"/>
    <xf numFmtId="0" fontId="0" fillId="3" borderId="13" xfId="0" applyFill="1" applyBorder="1"/>
    <xf numFmtId="0" fontId="0" fillId="3" borderId="13" xfId="0" applyFill="1" applyBorder="1" applyAlignment="1">
      <alignment horizontal="center"/>
    </xf>
    <xf numFmtId="0" fontId="0" fillId="3" borderId="15" xfId="0" applyFill="1" applyBorder="1"/>
    <xf numFmtId="168" fontId="24" fillId="3" borderId="2" xfId="1" applyFont="1" applyFill="1" applyBorder="1" applyAlignment="1">
      <alignment horizontal="left"/>
    </xf>
    <xf numFmtId="10" fontId="24" fillId="3" borderId="0" xfId="2" applyNumberFormat="1" applyFont="1" applyFill="1" applyBorder="1" applyAlignment="1">
      <alignment horizontal="left"/>
    </xf>
    <xf numFmtId="0" fontId="0" fillId="0" borderId="15" xfId="0" applyBorder="1" applyAlignment="1">
      <alignment horizontal="center" wrapText="1"/>
    </xf>
    <xf numFmtId="173" fontId="0" fillId="0" borderId="15" xfId="0" applyNumberFormat="1" applyBorder="1" applyAlignment="1">
      <alignment wrapText="1"/>
    </xf>
    <xf numFmtId="172" fontId="0" fillId="0" borderId="15" xfId="3" applyNumberFormat="1" applyFont="1" applyFill="1" applyBorder="1"/>
    <xf numFmtId="183" fontId="0" fillId="3" borderId="13" xfId="2" applyNumberFormat="1" applyFont="1" applyFill="1" applyBorder="1" applyAlignment="1">
      <alignment horizontal="center"/>
    </xf>
    <xf numFmtId="1" fontId="0" fillId="0" borderId="12" xfId="3" applyNumberFormat="1" applyFont="1" applyFill="1" applyBorder="1" applyAlignment="1">
      <alignment horizontal="center"/>
    </xf>
    <xf numFmtId="182" fontId="0" fillId="2" borderId="12" xfId="3" applyNumberFormat="1" applyFont="1" applyFill="1" applyBorder="1"/>
    <xf numFmtId="182" fontId="0" fillId="2" borderId="13" xfId="3" applyNumberFormat="1" applyFont="1" applyFill="1" applyBorder="1"/>
    <xf numFmtId="17" fontId="2" fillId="3" borderId="0" xfId="0" applyNumberFormat="1" applyFont="1" applyFill="1" applyAlignment="1">
      <alignment horizontal="centerContinuous"/>
    </xf>
    <xf numFmtId="0" fontId="2" fillId="3" borderId="0" xfId="0" applyFont="1" applyFill="1" applyAlignment="1">
      <alignment horizontal="centerContinuous"/>
    </xf>
    <xf numFmtId="0" fontId="0" fillId="3" borderId="15" xfId="0" applyFill="1" applyBorder="1" applyAlignment="1">
      <alignment horizontal="center"/>
    </xf>
    <xf numFmtId="0" fontId="2" fillId="3" borderId="4" xfId="0" applyFont="1" applyFill="1" applyBorder="1"/>
    <xf numFmtId="172" fontId="0" fillId="3" borderId="4" xfId="3" applyNumberFormat="1" applyFont="1" applyFill="1" applyBorder="1" applyAlignment="1">
      <alignment horizontal="center"/>
    </xf>
    <xf numFmtId="172" fontId="0" fillId="3" borderId="5" xfId="3" applyNumberFormat="1" applyFont="1" applyFill="1" applyBorder="1" applyAlignment="1">
      <alignment horizontal="center"/>
    </xf>
    <xf numFmtId="0" fontId="24" fillId="3" borderId="4" xfId="0" applyFont="1" applyFill="1" applyBorder="1" applyAlignment="1">
      <alignment horizontal="center"/>
    </xf>
    <xf numFmtId="9" fontId="0" fillId="3" borderId="21" xfId="2" applyFont="1" applyFill="1" applyBorder="1" applyAlignment="1">
      <alignment horizontal="center"/>
    </xf>
    <xf numFmtId="9" fontId="0" fillId="3" borderId="0" xfId="2" applyFont="1" applyFill="1" applyBorder="1"/>
    <xf numFmtId="171" fontId="0" fillId="3" borderId="9" xfId="2" applyNumberFormat="1" applyFont="1" applyFill="1" applyBorder="1" applyAlignment="1">
      <alignment horizontal="centerContinuous"/>
    </xf>
    <xf numFmtId="171" fontId="0" fillId="3" borderId="10" xfId="2" applyNumberFormat="1" applyFont="1" applyFill="1" applyBorder="1" applyAlignment="1">
      <alignment horizontal="centerContinuous"/>
    </xf>
    <xf numFmtId="9" fontId="25" fillId="3" borderId="6" xfId="0" applyNumberFormat="1" applyFont="1" applyFill="1" applyBorder="1"/>
    <xf numFmtId="172" fontId="25" fillId="3" borderId="7" xfId="0" applyNumberFormat="1" applyFont="1" applyFill="1" applyBorder="1"/>
    <xf numFmtId="0" fontId="2" fillId="3" borderId="7" xfId="0" applyFont="1" applyFill="1" applyBorder="1"/>
    <xf numFmtId="172" fontId="2" fillId="0" borderId="6" xfId="0" applyNumberFormat="1" applyFont="1" applyBorder="1"/>
    <xf numFmtId="172" fontId="2" fillId="3" borderId="8" xfId="0" applyNumberFormat="1" applyFont="1" applyFill="1" applyBorder="1"/>
    <xf numFmtId="9" fontId="25" fillId="3" borderId="0" xfId="0" applyNumberFormat="1" applyFont="1" applyFill="1"/>
    <xf numFmtId="172" fontId="25" fillId="3" borderId="0" xfId="0" applyNumberFormat="1" applyFont="1" applyFill="1"/>
    <xf numFmtId="172" fontId="2" fillId="3" borderId="0" xfId="0" applyNumberFormat="1" applyFont="1" applyFill="1"/>
    <xf numFmtId="37" fontId="0" fillId="3" borderId="4" xfId="1" applyNumberFormat="1" applyFont="1" applyFill="1" applyBorder="1" applyAlignment="1">
      <alignment horizontal="center"/>
    </xf>
    <xf numFmtId="37" fontId="0" fillId="8" borderId="5" xfId="1" applyNumberFormat="1" applyFont="1" applyFill="1" applyBorder="1" applyAlignment="1">
      <alignment horizontal="center"/>
    </xf>
    <xf numFmtId="37" fontId="0" fillId="9" borderId="5" xfId="1" applyNumberFormat="1" applyFont="1" applyFill="1" applyBorder="1" applyAlignment="1">
      <alignment horizontal="center"/>
    </xf>
    <xf numFmtId="37" fontId="0" fillId="3" borderId="5" xfId="1" applyNumberFormat="1" applyFont="1" applyFill="1" applyBorder="1" applyAlignment="1">
      <alignment horizontal="center"/>
    </xf>
    <xf numFmtId="171" fontId="0" fillId="3" borderId="4" xfId="2" applyNumberFormat="1" applyFont="1" applyFill="1" applyBorder="1"/>
    <xf numFmtId="171" fontId="0" fillId="3" borderId="15" xfId="2" applyNumberFormat="1" applyFont="1" applyFill="1" applyBorder="1" applyAlignment="1">
      <alignment horizontal="center"/>
    </xf>
    <xf numFmtId="172" fontId="2" fillId="0" borderId="8" xfId="0" applyNumberFormat="1" applyFont="1" applyBorder="1"/>
    <xf numFmtId="0" fontId="2" fillId="3" borderId="1" xfId="0" applyFont="1" applyFill="1" applyBorder="1"/>
    <xf numFmtId="9" fontId="0" fillId="3" borderId="22" xfId="2" applyFont="1" applyFill="1" applyBorder="1" applyAlignment="1">
      <alignment horizontal="center"/>
    </xf>
    <xf numFmtId="2" fontId="0" fillId="8" borderId="3" xfId="0" applyNumberFormat="1" applyFill="1" applyBorder="1" applyAlignment="1">
      <alignment horizontal="center"/>
    </xf>
    <xf numFmtId="0" fontId="0" fillId="8" borderId="3" xfId="0" applyFill="1" applyBorder="1" applyAlignment="1">
      <alignment horizontal="center"/>
    </xf>
    <xf numFmtId="184" fontId="0" fillId="8" borderId="3" xfId="0" applyNumberFormat="1" applyFill="1" applyBorder="1" applyAlignment="1">
      <alignment horizontal="center"/>
    </xf>
    <xf numFmtId="172" fontId="0" fillId="3" borderId="7" xfId="3" applyNumberFormat="1" applyFont="1" applyFill="1" applyBorder="1"/>
    <xf numFmtId="0" fontId="2" fillId="3" borderId="6" xfId="0" applyFont="1" applyFill="1" applyBorder="1"/>
    <xf numFmtId="0" fontId="0" fillId="3" borderId="23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2" fontId="0" fillId="3" borderId="10" xfId="0" applyNumberFormat="1" applyFill="1" applyBorder="1" applyAlignment="1">
      <alignment horizontal="center"/>
    </xf>
    <xf numFmtId="172" fontId="0" fillId="3" borderId="24" xfId="3" applyNumberFormat="1" applyFont="1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2" fontId="0" fillId="3" borderId="5" xfId="0" applyNumberFormat="1" applyFill="1" applyBorder="1" applyAlignment="1">
      <alignment horizontal="center"/>
    </xf>
    <xf numFmtId="0" fontId="0" fillId="3" borderId="0" xfId="0" applyFill="1" applyAlignment="1">
      <alignment horizontal="left"/>
    </xf>
    <xf numFmtId="9" fontId="26" fillId="3" borderId="0" xfId="2" applyFont="1" applyFill="1" applyBorder="1" applyAlignment="1">
      <alignment horizontal="center"/>
    </xf>
    <xf numFmtId="9" fontId="0" fillId="8" borderId="4" xfId="2" applyFont="1" applyFill="1" applyBorder="1" applyAlignment="1">
      <alignment horizontal="center"/>
    </xf>
    <xf numFmtId="1" fontId="0" fillId="3" borderId="5" xfId="0" applyNumberFormat="1" applyFill="1" applyBorder="1" applyAlignment="1">
      <alignment horizontal="center"/>
    </xf>
    <xf numFmtId="9" fontId="0" fillId="3" borderId="4" xfId="2" applyFont="1" applyFill="1" applyBorder="1" applyAlignment="1">
      <alignment horizontal="center"/>
    </xf>
    <xf numFmtId="6" fontId="0" fillId="3" borderId="0" xfId="0" applyNumberFormat="1" applyFill="1" applyAlignment="1">
      <alignment horizontal="left"/>
    </xf>
    <xf numFmtId="9" fontId="26" fillId="3" borderId="0" xfId="2" applyFont="1" applyFill="1" applyAlignment="1">
      <alignment horizontal="center"/>
    </xf>
    <xf numFmtId="171" fontId="0" fillId="8" borderId="4" xfId="2" applyNumberFormat="1" applyFont="1" applyFill="1" applyBorder="1" applyAlignment="1">
      <alignment horizontal="center"/>
    </xf>
    <xf numFmtId="9" fontId="0" fillId="3" borderId="0" xfId="0" applyNumberFormat="1" applyFill="1" applyAlignment="1">
      <alignment horizontal="left"/>
    </xf>
    <xf numFmtId="1" fontId="0" fillId="3" borderId="25" xfId="0" applyNumberFormat="1" applyFill="1" applyBorder="1" applyAlignment="1">
      <alignment horizontal="center"/>
    </xf>
    <xf numFmtId="0" fontId="2" fillId="3" borderId="8" xfId="0" applyFont="1" applyFill="1" applyBorder="1"/>
    <xf numFmtId="172" fontId="2" fillId="3" borderId="6" xfId="0" applyNumberFormat="1" applyFont="1" applyFill="1" applyBorder="1"/>
    <xf numFmtId="172" fontId="0" fillId="3" borderId="16" xfId="0" applyNumberFormat="1" applyFill="1" applyBorder="1"/>
    <xf numFmtId="172" fontId="2" fillId="3" borderId="16" xfId="0" applyNumberFormat="1" applyFont="1" applyFill="1" applyBorder="1"/>
    <xf numFmtId="172" fontId="0" fillId="0" borderId="12" xfId="3" applyNumberFormat="1" applyFont="1" applyFill="1" applyBorder="1"/>
    <xf numFmtId="172" fontId="12" fillId="3" borderId="16" xfId="3" applyNumberFormat="1" applyFont="1" applyFill="1" applyBorder="1"/>
    <xf numFmtId="172" fontId="2" fillId="3" borderId="17" xfId="0" applyNumberFormat="1" applyFont="1" applyFill="1" applyBorder="1"/>
    <xf numFmtId="2" fontId="0" fillId="0" borderId="12" xfId="3" applyNumberFormat="1" applyFont="1" applyFill="1" applyBorder="1" applyAlignment="1">
      <alignment horizontal="center"/>
    </xf>
    <xf numFmtId="180" fontId="2" fillId="10" borderId="0" xfId="0" applyNumberFormat="1" applyFont="1" applyFill="1" applyAlignment="1">
      <alignment horizontal="center"/>
    </xf>
    <xf numFmtId="173" fontId="0" fillId="3" borderId="15" xfId="0" applyNumberFormat="1" applyFill="1" applyBorder="1" applyAlignment="1">
      <alignment wrapText="1"/>
    </xf>
    <xf numFmtId="0" fontId="0" fillId="0" borderId="4" xfId="0" applyBorder="1" applyAlignment="1">
      <alignment horizontal="left" indent="1"/>
    </xf>
    <xf numFmtId="0" fontId="23" fillId="0" borderId="0" xfId="0" applyFont="1"/>
    <xf numFmtId="167" fontId="2" fillId="0" borderId="7" xfId="3" applyFont="1" applyFill="1" applyBorder="1" applyAlignment="1">
      <alignment horizontal="center"/>
    </xf>
    <xf numFmtId="0" fontId="2" fillId="0" borderId="7" xfId="0" applyFont="1" applyBorder="1" applyAlignment="1">
      <alignment horizontal="center"/>
    </xf>
    <xf numFmtId="10" fontId="0" fillId="3" borderId="2" xfId="2" applyNumberFormat="1" applyFont="1" applyFill="1" applyBorder="1" applyAlignment="1">
      <alignment wrapText="1"/>
    </xf>
    <xf numFmtId="10" fontId="24" fillId="3" borderId="2" xfId="2" applyNumberFormat="1" applyFont="1" applyFill="1" applyBorder="1" applyAlignment="1">
      <alignment horizontal="left"/>
    </xf>
    <xf numFmtId="170" fontId="0" fillId="3" borderId="2" xfId="0" applyNumberFormat="1" applyFill="1" applyBorder="1" applyAlignment="1">
      <alignment wrapText="1"/>
    </xf>
    <xf numFmtId="172" fontId="0" fillId="3" borderId="12" xfId="3" applyNumberFormat="1" applyFont="1" applyFill="1" applyBorder="1" applyAlignment="1">
      <alignment horizontal="center"/>
    </xf>
    <xf numFmtId="172" fontId="0" fillId="3" borderId="13" xfId="3" applyNumberFormat="1" applyFont="1" applyFill="1" applyBorder="1" applyAlignment="1">
      <alignment horizontal="center"/>
    </xf>
    <xf numFmtId="167" fontId="0" fillId="3" borderId="15" xfId="3" applyFont="1" applyFill="1" applyBorder="1" applyAlignment="1">
      <alignment horizontal="center" wrapText="1"/>
    </xf>
    <xf numFmtId="166" fontId="0" fillId="0" borderId="13" xfId="1" applyNumberFormat="1" applyFont="1" applyFill="1" applyBorder="1" applyAlignment="1">
      <alignment wrapText="1"/>
    </xf>
    <xf numFmtId="0" fontId="30" fillId="3" borderId="0" xfId="0" applyFont="1" applyFill="1"/>
    <xf numFmtId="9" fontId="0" fillId="3" borderId="0" xfId="2" applyFont="1" applyFill="1"/>
    <xf numFmtId="169" fontId="0" fillId="0" borderId="0" xfId="0" applyNumberFormat="1"/>
    <xf numFmtId="0" fontId="0" fillId="3" borderId="5" xfId="0" applyFill="1" applyBorder="1" applyAlignment="1">
      <alignment horizontal="center"/>
    </xf>
    <xf numFmtId="167" fontId="0" fillId="3" borderId="9" xfId="3" applyFont="1" applyFill="1" applyBorder="1" applyAlignment="1">
      <alignment wrapText="1"/>
    </xf>
    <xf numFmtId="167" fontId="0" fillId="3" borderId="10" xfId="3" applyFont="1" applyFill="1" applyBorder="1" applyAlignment="1">
      <alignment wrapText="1"/>
    </xf>
    <xf numFmtId="0" fontId="0" fillId="3" borderId="9" xfId="2" applyNumberFormat="1" applyFont="1" applyFill="1" applyBorder="1" applyAlignment="1">
      <alignment wrapText="1"/>
    </xf>
    <xf numFmtId="0" fontId="0" fillId="3" borderId="1" xfId="0" applyFill="1" applyBorder="1" applyAlignment="1">
      <alignment horizontal="center"/>
    </xf>
    <xf numFmtId="183" fontId="0" fillId="0" borderId="13" xfId="2" applyNumberFormat="1" applyFont="1" applyFill="1" applyBorder="1" applyAlignment="1">
      <alignment horizontal="center"/>
    </xf>
    <xf numFmtId="0" fontId="2" fillId="7" borderId="18" xfId="0" applyFont="1" applyFill="1" applyBorder="1" applyAlignment="1">
      <alignment horizontal="left"/>
    </xf>
    <xf numFmtId="0" fontId="2" fillId="7" borderId="18" xfId="0" applyFont="1" applyFill="1" applyBorder="1" applyAlignment="1">
      <alignment horizontal="left" vertical="center"/>
    </xf>
    <xf numFmtId="172" fontId="0" fillId="7" borderId="12" xfId="3" applyNumberFormat="1" applyFont="1" applyFill="1" applyBorder="1"/>
    <xf numFmtId="172" fontId="0" fillId="7" borderId="13" xfId="3" applyNumberFormat="1" applyFont="1" applyFill="1" applyBorder="1"/>
    <xf numFmtId="2" fontId="0" fillId="7" borderId="12" xfId="3" applyNumberFormat="1" applyFont="1" applyFill="1" applyBorder="1" applyAlignment="1">
      <alignment horizontal="center"/>
    </xf>
    <xf numFmtId="1" fontId="0" fillId="7" borderId="12" xfId="3" applyNumberFormat="1" applyFont="1" applyFill="1" applyBorder="1" applyAlignment="1">
      <alignment horizontal="center"/>
    </xf>
    <xf numFmtId="1" fontId="0" fillId="7" borderId="13" xfId="3" applyNumberFormat="1" applyFont="1" applyFill="1" applyBorder="1" applyAlignment="1">
      <alignment horizontal="center"/>
    </xf>
    <xf numFmtId="182" fontId="0" fillId="7" borderId="12" xfId="3" applyNumberFormat="1" applyFont="1" applyFill="1" applyBorder="1"/>
    <xf numFmtId="182" fontId="0" fillId="7" borderId="13" xfId="3" applyNumberFormat="1" applyFont="1" applyFill="1" applyBorder="1"/>
    <xf numFmtId="1" fontId="0" fillId="7" borderId="13" xfId="3" applyNumberFormat="1" applyFont="1" applyFill="1" applyBorder="1" applyAlignment="1">
      <alignment horizontal="center" vertical="center"/>
    </xf>
    <xf numFmtId="170" fontId="0" fillId="0" borderId="4" xfId="0" applyNumberFormat="1" applyBorder="1"/>
    <xf numFmtId="37" fontId="0" fillId="3" borderId="0" xfId="0" applyNumberFormat="1" applyFill="1"/>
    <xf numFmtId="171" fontId="0" fillId="3" borderId="0" xfId="2" applyNumberFormat="1" applyFont="1" applyFill="1" applyAlignment="1">
      <alignment horizontal="center"/>
    </xf>
    <xf numFmtId="37" fontId="2" fillId="3" borderId="2" xfId="0" applyNumberFormat="1" applyFont="1" applyFill="1" applyBorder="1"/>
    <xf numFmtId="172" fontId="12" fillId="3" borderId="17" xfId="3" applyNumberFormat="1" applyFont="1" applyFill="1" applyBorder="1"/>
    <xf numFmtId="167" fontId="2" fillId="0" borderId="16" xfId="0" applyNumberFormat="1" applyFont="1" applyBorder="1"/>
    <xf numFmtId="170" fontId="0" fillId="3" borderId="0" xfId="0" applyNumberFormat="1" applyFill="1"/>
    <xf numFmtId="170" fontId="0" fillId="11" borderId="0" xfId="0" applyNumberFormat="1" applyFill="1"/>
    <xf numFmtId="0" fontId="0" fillId="7" borderId="12" xfId="3" applyNumberFormat="1" applyFont="1" applyFill="1" applyBorder="1"/>
    <xf numFmtId="0" fontId="0" fillId="7" borderId="13" xfId="3" applyNumberFormat="1" applyFont="1" applyFill="1" applyBorder="1"/>
    <xf numFmtId="172" fontId="1" fillId="3" borderId="0" xfId="3" applyNumberFormat="1" applyFont="1" applyFill="1" applyBorder="1"/>
    <xf numFmtId="9" fontId="0" fillId="7" borderId="12" xfId="2" applyFont="1" applyFill="1" applyBorder="1" applyAlignment="1">
      <alignment horizontal="center"/>
    </xf>
    <xf numFmtId="172" fontId="0" fillId="0" borderId="0" xfId="0" applyNumberFormat="1"/>
    <xf numFmtId="171" fontId="0" fillId="0" borderId="0" xfId="2" applyNumberFormat="1" applyFont="1" applyFill="1" applyBorder="1" applyAlignment="1">
      <alignment horizontal="center"/>
    </xf>
    <xf numFmtId="170" fontId="0" fillId="0" borderId="0" xfId="0" applyNumberFormat="1"/>
    <xf numFmtId="172" fontId="5" fillId="3" borderId="0" xfId="3" applyNumberFormat="1" applyFont="1" applyFill="1" applyBorder="1"/>
    <xf numFmtId="175" fontId="0" fillId="3" borderId="13" xfId="2" applyNumberFormat="1" applyFont="1" applyFill="1" applyBorder="1" applyAlignment="1">
      <alignment horizontal="center"/>
    </xf>
    <xf numFmtId="168" fontId="0" fillId="3" borderId="0" xfId="1" applyFont="1" applyFill="1"/>
    <xf numFmtId="172" fontId="0" fillId="0" borderId="0" xfId="3" applyNumberFormat="1" applyFont="1" applyFill="1"/>
    <xf numFmtId="172" fontId="0" fillId="0" borderId="17" xfId="3" applyNumberFormat="1" applyFont="1" applyFill="1" applyBorder="1"/>
    <xf numFmtId="168" fontId="0" fillId="0" borderId="12" xfId="1" applyFont="1" applyFill="1" applyBorder="1" applyAlignment="1">
      <alignment horizontal="center"/>
    </xf>
    <xf numFmtId="0" fontId="0" fillId="0" borderId="0" xfId="0" applyAlignment="1">
      <alignment horizontal="center"/>
    </xf>
    <xf numFmtId="1" fontId="0" fillId="0" borderId="13" xfId="3" applyNumberFormat="1" applyFont="1" applyFill="1" applyBorder="1" applyAlignment="1">
      <alignment horizontal="center"/>
    </xf>
    <xf numFmtId="0" fontId="2" fillId="0" borderId="18" xfId="0" applyFont="1" applyBorder="1" applyAlignment="1">
      <alignment horizontal="left" vertical="center"/>
    </xf>
    <xf numFmtId="0" fontId="2" fillId="0" borderId="19" xfId="0" applyFont="1" applyBorder="1" applyAlignment="1">
      <alignment horizontal="centerContinuous" vertical="center"/>
    </xf>
    <xf numFmtId="0" fontId="2" fillId="0" borderId="20" xfId="0" applyFont="1" applyBorder="1" applyAlignment="1">
      <alignment horizontal="centerContinuous" vertical="center"/>
    </xf>
    <xf numFmtId="10" fontId="0" fillId="0" borderId="0" xfId="0" applyNumberFormat="1"/>
    <xf numFmtId="181" fontId="0" fillId="0" borderId="0" xfId="0" applyNumberFormat="1" applyAlignment="1">
      <alignment horizontal="center"/>
    </xf>
    <xf numFmtId="168" fontId="0" fillId="0" borderId="2" xfId="1" applyFont="1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3" xfId="0" applyBorder="1"/>
    <xf numFmtId="0" fontId="0" fillId="0" borderId="2" xfId="0" applyBorder="1"/>
    <xf numFmtId="10" fontId="0" fillId="0" borderId="0" xfId="2" applyNumberFormat="1" applyFont="1" applyFill="1" applyBorder="1" applyAlignment="1">
      <alignment wrapText="1"/>
    </xf>
    <xf numFmtId="170" fontId="0" fillId="0" borderId="0" xfId="0" applyNumberFormat="1" applyAlignment="1">
      <alignment wrapText="1"/>
    </xf>
    <xf numFmtId="0" fontId="0" fillId="0" borderId="5" xfId="0" applyBorder="1"/>
    <xf numFmtId="172" fontId="0" fillId="0" borderId="13" xfId="3" applyNumberFormat="1" applyFont="1" applyFill="1" applyBorder="1"/>
    <xf numFmtId="168" fontId="0" fillId="0" borderId="15" xfId="1" applyFont="1" applyFill="1" applyBorder="1" applyAlignment="1">
      <alignment horizontal="center" wrapText="1"/>
    </xf>
    <xf numFmtId="171" fontId="0" fillId="0" borderId="13" xfId="2" applyNumberFormat="1" applyFont="1" applyFill="1" applyBorder="1" applyAlignment="1">
      <alignment horizontal="center"/>
    </xf>
    <xf numFmtId="10" fontId="0" fillId="0" borderId="15" xfId="2" applyNumberFormat="1" applyFont="1" applyFill="1" applyBorder="1" applyAlignment="1">
      <alignment horizontal="center" wrapText="1"/>
    </xf>
    <xf numFmtId="170" fontId="0" fillId="0" borderId="15" xfId="0" applyNumberFormat="1" applyBorder="1" applyAlignment="1">
      <alignment horizontal="right" wrapText="1" indent="1"/>
    </xf>
    <xf numFmtId="10" fontId="0" fillId="0" borderId="9" xfId="2" applyNumberFormat="1" applyFont="1" applyFill="1" applyBorder="1" applyAlignment="1">
      <alignment wrapText="1"/>
    </xf>
    <xf numFmtId="0" fontId="0" fillId="0" borderId="10" xfId="0" applyBorder="1" applyAlignment="1">
      <alignment wrapText="1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2" xfId="3" applyNumberFormat="1" applyFont="1" applyFill="1" applyBorder="1"/>
    <xf numFmtId="0" fontId="0" fillId="0" borderId="13" xfId="3" applyNumberFormat="1" applyFont="1" applyFill="1" applyBorder="1"/>
    <xf numFmtId="0" fontId="0" fillId="0" borderId="13" xfId="0" applyBorder="1" applyAlignment="1">
      <alignment horizontal="center"/>
    </xf>
    <xf numFmtId="3" fontId="0" fillId="0" borderId="15" xfId="2" applyNumberFormat="1" applyFont="1" applyFill="1" applyBorder="1" applyAlignment="1">
      <alignment horizontal="center" wrapText="1"/>
    </xf>
    <xf numFmtId="0" fontId="0" fillId="0" borderId="15" xfId="0" applyBorder="1"/>
    <xf numFmtId="4" fontId="0" fillId="0" borderId="15" xfId="2" applyNumberFormat="1" applyFont="1" applyFill="1" applyBorder="1" applyAlignment="1">
      <alignment horizontal="center" wrapText="1"/>
    </xf>
    <xf numFmtId="0" fontId="0" fillId="0" borderId="9" xfId="2" applyNumberFormat="1" applyFont="1" applyFill="1" applyBorder="1" applyAlignment="1">
      <alignment wrapText="1"/>
    </xf>
    <xf numFmtId="0" fontId="2" fillId="0" borderId="0" xfId="0" applyFont="1" applyAlignment="1">
      <alignment horizontal="right"/>
    </xf>
    <xf numFmtId="0" fontId="12" fillId="0" borderId="0" xfId="7" applyFont="1" applyAlignment="1">
      <alignment horizontal="right"/>
    </xf>
    <xf numFmtId="167" fontId="12" fillId="0" borderId="16" xfId="3" applyFont="1" applyFill="1" applyBorder="1"/>
    <xf numFmtId="172" fontId="12" fillId="0" borderId="16" xfId="3" applyNumberFormat="1" applyFont="1" applyFill="1" applyBorder="1"/>
    <xf numFmtId="172" fontId="0" fillId="0" borderId="4" xfId="3" applyNumberFormat="1" applyFont="1" applyFill="1" applyBorder="1"/>
    <xf numFmtId="172" fontId="0" fillId="0" borderId="5" xfId="3" applyNumberFormat="1" applyFont="1" applyFill="1" applyBorder="1"/>
    <xf numFmtId="171" fontId="0" fillId="0" borderId="4" xfId="2" applyNumberFormat="1" applyFont="1" applyFill="1" applyBorder="1" applyAlignment="1">
      <alignment horizontal="center"/>
    </xf>
    <xf numFmtId="171" fontId="0" fillId="0" borderId="5" xfId="2" applyNumberFormat="1" applyFont="1" applyFill="1" applyBorder="1" applyAlignment="1">
      <alignment horizontal="center"/>
    </xf>
    <xf numFmtId="166" fontId="0" fillId="0" borderId="4" xfId="1" applyNumberFormat="1" applyFont="1" applyFill="1" applyBorder="1" applyAlignment="1">
      <alignment wrapText="1"/>
    </xf>
    <xf numFmtId="166" fontId="0" fillId="0" borderId="5" xfId="1" applyNumberFormat="1" applyFont="1" applyFill="1" applyBorder="1" applyAlignment="1">
      <alignment wrapText="1"/>
    </xf>
    <xf numFmtId="167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14" xfId="0" applyFill="1" applyBorder="1"/>
    <xf numFmtId="0" fontId="0" fillId="3" borderId="15" xfId="2" applyNumberFormat="1" applyFont="1" applyFill="1" applyBorder="1" applyAlignment="1">
      <alignment horizontal="center" wrapText="1"/>
    </xf>
    <xf numFmtId="0" fontId="0" fillId="3" borderId="4" xfId="0" quotePrefix="1" applyFill="1" applyBorder="1"/>
    <xf numFmtId="172" fontId="3" fillId="3" borderId="0" xfId="3" applyNumberFormat="1" applyFont="1" applyFill="1" applyBorder="1"/>
    <xf numFmtId="0" fontId="3" fillId="3" borderId="0" xfId="0" applyFont="1" applyFill="1"/>
    <xf numFmtId="0" fontId="6" fillId="3" borderId="0" xfId="0" applyFont="1" applyFill="1" applyAlignment="1">
      <alignment horizontal="right"/>
    </xf>
    <xf numFmtId="167" fontId="3" fillId="3" borderId="0" xfId="0" applyNumberFormat="1" applyFont="1" applyFill="1"/>
    <xf numFmtId="172" fontId="3" fillId="3" borderId="0" xfId="0" applyNumberFormat="1" applyFont="1" applyFill="1"/>
    <xf numFmtId="172" fontId="6" fillId="3" borderId="16" xfId="0" applyNumberFormat="1" applyFont="1" applyFill="1" applyBorder="1"/>
    <xf numFmtId="172" fontId="6" fillId="3" borderId="0" xfId="0" applyNumberFormat="1" applyFont="1" applyFill="1"/>
    <xf numFmtId="172" fontId="0" fillId="11" borderId="0" xfId="3" applyNumberFormat="1" applyFont="1" applyFill="1"/>
    <xf numFmtId="172" fontId="0" fillId="10" borderId="0" xfId="3" applyNumberFormat="1" applyFont="1" applyFill="1"/>
    <xf numFmtId="172" fontId="2" fillId="0" borderId="17" xfId="3" applyNumberFormat="1" applyFont="1" applyFill="1" applyBorder="1"/>
    <xf numFmtId="171" fontId="41" fillId="14" borderId="39" xfId="2" applyNumberFormat="1" applyFont="1" applyFill="1" applyBorder="1"/>
    <xf numFmtId="171" fontId="40" fillId="0" borderId="31" xfId="2" applyNumberFormat="1" applyFont="1" applyBorder="1"/>
    <xf numFmtId="171" fontId="40" fillId="0" borderId="35" xfId="2" applyNumberFormat="1" applyFont="1" applyBorder="1"/>
    <xf numFmtId="171" fontId="40" fillId="0" borderId="0" xfId="2" applyNumberFormat="1" applyFont="1"/>
    <xf numFmtId="174" fontId="40" fillId="0" borderId="0" xfId="1" applyNumberFormat="1" applyFont="1"/>
    <xf numFmtId="9" fontId="40" fillId="0" borderId="31" xfId="2" applyFont="1" applyBorder="1"/>
    <xf numFmtId="9" fontId="40" fillId="0" borderId="0" xfId="2" applyFont="1" applyAlignment="1">
      <alignment horizontal="right"/>
    </xf>
    <xf numFmtId="9" fontId="40" fillId="0" borderId="31" xfId="2" applyFont="1" applyFill="1" applyBorder="1"/>
    <xf numFmtId="171" fontId="41" fillId="14" borderId="51" xfId="2" applyNumberFormat="1" applyFont="1" applyFill="1" applyBorder="1"/>
    <xf numFmtId="9" fontId="47" fillId="0" borderId="0" xfId="2" applyFont="1"/>
    <xf numFmtId="9" fontId="40" fillId="0" borderId="36" xfId="2" applyFont="1" applyBorder="1" applyAlignment="1">
      <alignment horizontal="right"/>
    </xf>
    <xf numFmtId="9" fontId="40" fillId="0" borderId="0" xfId="2" applyFont="1"/>
    <xf numFmtId="171" fontId="40" fillId="0" borderId="0" xfId="2" applyNumberFormat="1" applyFont="1" applyFill="1"/>
    <xf numFmtId="171" fontId="41" fillId="14" borderId="52" xfId="2" applyNumberFormat="1" applyFont="1" applyFill="1" applyBorder="1"/>
    <xf numFmtId="9" fontId="44" fillId="14" borderId="62" xfId="2" applyFont="1" applyFill="1" applyBorder="1"/>
    <xf numFmtId="171" fontId="45" fillId="0" borderId="65" xfId="2" applyNumberFormat="1" applyFont="1" applyBorder="1"/>
    <xf numFmtId="171" fontId="45" fillId="0" borderId="62" xfId="2" applyNumberFormat="1" applyFont="1" applyBorder="1"/>
    <xf numFmtId="171" fontId="45" fillId="0" borderId="36" xfId="2" applyNumberFormat="1" applyFont="1" applyBorder="1"/>
    <xf numFmtId="171" fontId="45" fillId="0" borderId="0" xfId="2" applyNumberFormat="1" applyFont="1"/>
    <xf numFmtId="168" fontId="36" fillId="0" borderId="0" xfId="1" applyFont="1"/>
    <xf numFmtId="10" fontId="0" fillId="7" borderId="12" xfId="2" applyNumberFormat="1" applyFont="1" applyFill="1" applyBorder="1" applyAlignment="1">
      <alignment horizontal="center"/>
    </xf>
    <xf numFmtId="2" fontId="0" fillId="7" borderId="12" xfId="3" applyNumberFormat="1" applyFont="1" applyFill="1" applyBorder="1"/>
    <xf numFmtId="2" fontId="0" fillId="7" borderId="13" xfId="3" applyNumberFormat="1" applyFont="1" applyFill="1" applyBorder="1"/>
    <xf numFmtId="0" fontId="34" fillId="0" borderId="0" xfId="0" applyFont="1"/>
    <xf numFmtId="0" fontId="35" fillId="12" borderId="0" xfId="0" applyFont="1" applyFill="1"/>
    <xf numFmtId="0" fontId="34" fillId="0" borderId="0" xfId="0" applyFont="1" applyAlignment="1">
      <alignment horizontal="center" vertical="center"/>
    </xf>
    <xf numFmtId="0" fontId="36" fillId="0" borderId="0" xfId="0" applyFont="1" applyAlignment="1">
      <alignment horizontal="left" vertical="center"/>
    </xf>
    <xf numFmtId="0" fontId="34" fillId="0" borderId="0" xfId="0" applyFont="1" applyAlignment="1">
      <alignment horizontal="center"/>
    </xf>
    <xf numFmtId="3" fontId="34" fillId="0" borderId="0" xfId="0" applyNumberFormat="1" applyFont="1"/>
    <xf numFmtId="0" fontId="35" fillId="12" borderId="0" xfId="0" applyFont="1" applyFill="1" applyAlignment="1">
      <alignment horizontal="center" vertical="center"/>
    </xf>
    <xf numFmtId="0" fontId="35" fillId="12" borderId="0" xfId="0" applyFont="1" applyFill="1" applyAlignment="1">
      <alignment horizontal="right"/>
    </xf>
    <xf numFmtId="0" fontId="37" fillId="0" borderId="0" xfId="0" applyFont="1"/>
    <xf numFmtId="185" fontId="36" fillId="0" borderId="0" xfId="0" applyNumberFormat="1" applyFont="1" applyAlignment="1">
      <alignment horizontal="left"/>
    </xf>
    <xf numFmtId="0" fontId="36" fillId="0" borderId="0" xfId="0" applyFont="1" applyAlignment="1">
      <alignment horizontal="center"/>
    </xf>
    <xf numFmtId="0" fontId="36" fillId="0" borderId="0" xfId="0" applyFont="1"/>
    <xf numFmtId="0" fontId="38" fillId="13" borderId="26" xfId="0" applyFont="1" applyFill="1" applyBorder="1"/>
    <xf numFmtId="0" fontId="39" fillId="13" borderId="27" xfId="0" applyFont="1" applyFill="1" applyBorder="1"/>
    <xf numFmtId="0" fontId="40" fillId="0" borderId="0" xfId="0" applyFont="1"/>
    <xf numFmtId="0" fontId="40" fillId="0" borderId="28" xfId="0" applyFont="1" applyBorder="1"/>
    <xf numFmtId="0" fontId="43" fillId="13" borderId="31" xfId="0" applyFont="1" applyFill="1" applyBorder="1"/>
    <xf numFmtId="10" fontId="43" fillId="13" borderId="32" xfId="0" applyNumberFormat="1" applyFont="1" applyFill="1" applyBorder="1"/>
    <xf numFmtId="0" fontId="40" fillId="0" borderId="33" xfId="0" applyFont="1" applyBorder="1"/>
    <xf numFmtId="3" fontId="40" fillId="0" borderId="34" xfId="0" applyNumberFormat="1" applyFont="1" applyBorder="1" applyAlignment="1">
      <alignment horizontal="center"/>
    </xf>
    <xf numFmtId="3" fontId="40" fillId="0" borderId="0" xfId="0" applyNumberFormat="1" applyFont="1" applyAlignment="1">
      <alignment horizontal="center"/>
    </xf>
    <xf numFmtId="3" fontId="40" fillId="0" borderId="32" xfId="0" applyNumberFormat="1" applyFont="1" applyBorder="1" applyAlignment="1">
      <alignment horizontal="center"/>
    </xf>
    <xf numFmtId="3" fontId="40" fillId="0" borderId="31" xfId="0" applyNumberFormat="1" applyFont="1" applyBorder="1" applyAlignment="1">
      <alignment horizontal="center"/>
    </xf>
    <xf numFmtId="0" fontId="1" fillId="0" borderId="0" xfId="0" applyFont="1"/>
    <xf numFmtId="0" fontId="40" fillId="0" borderId="35" xfId="0" applyFont="1" applyBorder="1"/>
    <xf numFmtId="3" fontId="40" fillId="0" borderId="36" xfId="0" applyNumberFormat="1" applyFont="1" applyBorder="1" applyAlignment="1">
      <alignment horizontal="center"/>
    </xf>
    <xf numFmtId="3" fontId="40" fillId="0" borderId="37" xfId="0" applyNumberFormat="1" applyFont="1" applyBorder="1"/>
    <xf numFmtId="3" fontId="40" fillId="0" borderId="36" xfId="0" applyNumberFormat="1" applyFont="1" applyBorder="1" applyAlignment="1">
      <alignment horizontal="right"/>
    </xf>
    <xf numFmtId="3" fontId="40" fillId="0" borderId="36" xfId="0" applyNumberFormat="1" applyFont="1" applyBorder="1"/>
    <xf numFmtId="3" fontId="40" fillId="0" borderId="35" xfId="0" applyNumberFormat="1" applyFont="1" applyBorder="1" applyAlignment="1">
      <alignment horizontal="center"/>
    </xf>
    <xf numFmtId="3" fontId="40" fillId="0" borderId="37" xfId="0" applyNumberFormat="1" applyFont="1" applyBorder="1" applyAlignment="1">
      <alignment horizontal="center"/>
    </xf>
    <xf numFmtId="0" fontId="40" fillId="0" borderId="31" xfId="0" applyFont="1" applyBorder="1"/>
    <xf numFmtId="3" fontId="40" fillId="0" borderId="0" xfId="0" applyNumberFormat="1" applyFont="1"/>
    <xf numFmtId="3" fontId="40" fillId="0" borderId="31" xfId="0" applyNumberFormat="1" applyFont="1" applyBorder="1"/>
    <xf numFmtId="3" fontId="40" fillId="0" borderId="32" xfId="0" applyNumberFormat="1" applyFont="1" applyBorder="1"/>
    <xf numFmtId="0" fontId="39" fillId="13" borderId="38" xfId="0" applyFont="1" applyFill="1" applyBorder="1"/>
    <xf numFmtId="10" fontId="43" fillId="13" borderId="39" xfId="0" applyNumberFormat="1" applyFont="1" applyFill="1" applyBorder="1"/>
    <xf numFmtId="0" fontId="41" fillId="0" borderId="33" xfId="0" applyFont="1" applyBorder="1"/>
    <xf numFmtId="3" fontId="41" fillId="0" borderId="34" xfId="0" applyNumberFormat="1" applyFont="1" applyBorder="1"/>
    <xf numFmtId="3" fontId="41" fillId="0" borderId="40" xfId="0" applyNumberFormat="1" applyFont="1" applyBorder="1"/>
    <xf numFmtId="3" fontId="41" fillId="0" borderId="33" xfId="0" applyNumberFormat="1" applyFont="1" applyBorder="1"/>
    <xf numFmtId="0" fontId="40" fillId="0" borderId="32" xfId="0" applyFont="1" applyBorder="1"/>
    <xf numFmtId="171" fontId="44" fillId="0" borderId="31" xfId="0" applyNumberFormat="1" applyFont="1" applyBorder="1" applyAlignment="1">
      <alignment vertical="center"/>
    </xf>
    <xf numFmtId="171" fontId="44" fillId="0" borderId="32" xfId="0" applyNumberFormat="1" applyFont="1" applyBorder="1" applyAlignment="1">
      <alignment vertical="center"/>
    </xf>
    <xf numFmtId="0" fontId="41" fillId="0" borderId="35" xfId="0" applyFont="1" applyBorder="1"/>
    <xf numFmtId="3" fontId="40" fillId="0" borderId="35" xfId="0" applyNumberFormat="1" applyFont="1" applyBorder="1"/>
    <xf numFmtId="3" fontId="41" fillId="0" borderId="35" xfId="0" applyNumberFormat="1" applyFont="1" applyBorder="1"/>
    <xf numFmtId="3" fontId="41" fillId="0" borderId="36" xfId="0" applyNumberFormat="1" applyFont="1" applyBorder="1"/>
    <xf numFmtId="171" fontId="41" fillId="0" borderId="31" xfId="0" applyNumberFormat="1" applyFont="1" applyBorder="1"/>
    <xf numFmtId="171" fontId="41" fillId="0" borderId="32" xfId="0" applyNumberFormat="1" applyFont="1" applyBorder="1"/>
    <xf numFmtId="0" fontId="41" fillId="0" borderId="31" xfId="0" applyFont="1" applyBorder="1"/>
    <xf numFmtId="3" fontId="0" fillId="0" borderId="0" xfId="0" applyNumberFormat="1"/>
    <xf numFmtId="3" fontId="40" fillId="0" borderId="34" xfId="0" applyNumberFormat="1" applyFont="1" applyBorder="1"/>
    <xf numFmtId="3" fontId="40" fillId="0" borderId="40" xfId="0" applyNumberFormat="1" applyFont="1" applyBorder="1"/>
    <xf numFmtId="3" fontId="40" fillId="0" borderId="33" xfId="0" applyNumberFormat="1" applyFont="1" applyBorder="1"/>
    <xf numFmtId="168" fontId="40" fillId="0" borderId="0" xfId="0" applyNumberFormat="1" applyFont="1"/>
    <xf numFmtId="3" fontId="41" fillId="0" borderId="31" xfId="0" applyNumberFormat="1" applyFont="1" applyBorder="1"/>
    <xf numFmtId="37" fontId="40" fillId="0" borderId="32" xfId="0" applyNumberFormat="1" applyFont="1" applyBorder="1"/>
    <xf numFmtId="37" fontId="40" fillId="0" borderId="31" xfId="0" applyNumberFormat="1" applyFont="1" applyBorder="1"/>
    <xf numFmtId="0" fontId="41" fillId="14" borderId="26" xfId="0" applyFont="1" applyFill="1" applyBorder="1"/>
    <xf numFmtId="37" fontId="41" fillId="14" borderId="41" xfId="0" applyNumberFormat="1" applyFont="1" applyFill="1" applyBorder="1"/>
    <xf numFmtId="3" fontId="41" fillId="14" borderId="41" xfId="0" applyNumberFormat="1" applyFont="1" applyFill="1" applyBorder="1"/>
    <xf numFmtId="37" fontId="41" fillId="14" borderId="27" xfId="0" applyNumberFormat="1" applyFont="1" applyFill="1" applyBorder="1"/>
    <xf numFmtId="37" fontId="41" fillId="14" borderId="26" xfId="0" applyNumberFormat="1" applyFont="1" applyFill="1" applyBorder="1"/>
    <xf numFmtId="0" fontId="41" fillId="14" borderId="38" xfId="0" applyFont="1" applyFill="1" applyBorder="1"/>
    <xf numFmtId="0" fontId="41" fillId="14" borderId="42" xfId="0" applyFont="1" applyFill="1" applyBorder="1"/>
    <xf numFmtId="0" fontId="41" fillId="14" borderId="39" xfId="0" applyFont="1" applyFill="1" applyBorder="1"/>
    <xf numFmtId="3" fontId="41" fillId="14" borderId="42" xfId="0" applyNumberFormat="1" applyFont="1" applyFill="1" applyBorder="1"/>
    <xf numFmtId="171" fontId="41" fillId="14" borderId="38" xfId="0" applyNumberFormat="1" applyFont="1" applyFill="1" applyBorder="1"/>
    <xf numFmtId="171" fontId="41" fillId="14" borderId="39" xfId="0" applyNumberFormat="1" applyFont="1" applyFill="1" applyBorder="1"/>
    <xf numFmtId="0" fontId="41" fillId="0" borderId="0" xfId="0" applyFont="1"/>
    <xf numFmtId="0" fontId="41" fillId="0" borderId="32" xfId="0" applyFont="1" applyBorder="1"/>
    <xf numFmtId="37" fontId="40" fillId="0" borderId="0" xfId="0" applyNumberFormat="1" applyFont="1"/>
    <xf numFmtId="0" fontId="41" fillId="0" borderId="31" xfId="0" applyFont="1" applyBorder="1" applyAlignment="1">
      <alignment horizontal="left"/>
    </xf>
    <xf numFmtId="0" fontId="40" fillId="0" borderId="0" xfId="0" applyFont="1" applyAlignment="1">
      <alignment horizontal="center"/>
    </xf>
    <xf numFmtId="171" fontId="40" fillId="0" borderId="0" xfId="0" applyNumberFormat="1" applyFont="1" applyAlignment="1">
      <alignment horizontal="right"/>
    </xf>
    <xf numFmtId="171" fontId="40" fillId="0" borderId="31" xfId="0" applyNumberFormat="1" applyFont="1" applyBorder="1"/>
    <xf numFmtId="171" fontId="40" fillId="0" borderId="36" xfId="0" applyNumberFormat="1" applyFont="1" applyBorder="1" applyAlignment="1">
      <alignment horizontal="right"/>
    </xf>
    <xf numFmtId="37" fontId="40" fillId="0" borderId="36" xfId="0" applyNumberFormat="1" applyFont="1" applyBorder="1"/>
    <xf numFmtId="171" fontId="40" fillId="0" borderId="35" xfId="0" applyNumberFormat="1" applyFont="1" applyBorder="1"/>
    <xf numFmtId="37" fontId="40" fillId="0" borderId="37" xfId="0" applyNumberFormat="1" applyFont="1" applyBorder="1"/>
    <xf numFmtId="0" fontId="40" fillId="0" borderId="0" xfId="0" applyFont="1" applyAlignment="1">
      <alignment horizontal="right"/>
    </xf>
    <xf numFmtId="0" fontId="40" fillId="0" borderId="31" xfId="0" applyFont="1" applyBorder="1" applyAlignment="1">
      <alignment horizontal="right"/>
    </xf>
    <xf numFmtId="3" fontId="1" fillId="0" borderId="0" xfId="0" applyNumberFormat="1" applyFont="1"/>
    <xf numFmtId="0" fontId="40" fillId="0" borderId="36" xfId="0" applyFont="1" applyBorder="1" applyAlignment="1">
      <alignment horizontal="right"/>
    </xf>
    <xf numFmtId="0" fontId="40" fillId="0" borderId="35" xfId="0" applyFont="1" applyBorder="1" applyAlignment="1">
      <alignment horizontal="right"/>
    </xf>
    <xf numFmtId="3" fontId="40" fillId="0" borderId="43" xfId="0" applyNumberFormat="1" applyFont="1" applyBorder="1"/>
    <xf numFmtId="3" fontId="40" fillId="0" borderId="44" xfId="0" applyNumberFormat="1" applyFont="1" applyBorder="1"/>
    <xf numFmtId="3" fontId="40" fillId="0" borderId="45" xfId="0" applyNumberFormat="1" applyFont="1" applyBorder="1"/>
    <xf numFmtId="0" fontId="41" fillId="14" borderId="46" xfId="0" applyFont="1" applyFill="1" applyBorder="1"/>
    <xf numFmtId="0" fontId="41" fillId="14" borderId="47" xfId="0" applyFont="1" applyFill="1" applyBorder="1" applyAlignment="1">
      <alignment horizontal="center"/>
    </xf>
    <xf numFmtId="171" fontId="41" fillId="14" borderId="47" xfId="0" applyNumberFormat="1" applyFont="1" applyFill="1" applyBorder="1"/>
    <xf numFmtId="37" fontId="41" fillId="14" borderId="48" xfId="0" applyNumberFormat="1" applyFont="1" applyFill="1" applyBorder="1"/>
    <xf numFmtId="0" fontId="41" fillId="14" borderId="46" xfId="0" applyFont="1" applyFill="1" applyBorder="1" applyAlignment="1">
      <alignment horizontal="center"/>
    </xf>
    <xf numFmtId="0" fontId="40" fillId="14" borderId="49" xfId="0" applyFont="1" applyFill="1" applyBorder="1"/>
    <xf numFmtId="37" fontId="41" fillId="14" borderId="47" xfId="0" applyNumberFormat="1" applyFont="1" applyFill="1" applyBorder="1"/>
    <xf numFmtId="0" fontId="40" fillId="14" borderId="46" xfId="0" applyFont="1" applyFill="1" applyBorder="1"/>
    <xf numFmtId="0" fontId="45" fillId="0" borderId="31" xfId="0" applyFont="1" applyBorder="1"/>
    <xf numFmtId="0" fontId="45" fillId="0" borderId="35" xfId="0" applyFont="1" applyBorder="1"/>
    <xf numFmtId="0" fontId="40" fillId="0" borderId="34" xfId="0" applyFont="1" applyBorder="1" applyAlignment="1">
      <alignment horizontal="right"/>
    </xf>
    <xf numFmtId="0" fontId="40" fillId="0" borderId="34" xfId="0" applyFont="1" applyBorder="1"/>
    <xf numFmtId="0" fontId="40" fillId="0" borderId="33" xfId="0" applyFont="1" applyBorder="1" applyAlignment="1">
      <alignment horizontal="right"/>
    </xf>
    <xf numFmtId="37" fontId="40" fillId="0" borderId="40" xfId="0" applyNumberFormat="1" applyFont="1" applyBorder="1"/>
    <xf numFmtId="0" fontId="40" fillId="0" borderId="36" xfId="0" applyFont="1" applyBorder="1"/>
    <xf numFmtId="37" fontId="41" fillId="0" borderId="0" xfId="0" applyNumberFormat="1" applyFont="1"/>
    <xf numFmtId="37" fontId="41" fillId="14" borderId="37" xfId="0" applyNumberFormat="1" applyFont="1" applyFill="1" applyBorder="1"/>
    <xf numFmtId="0" fontId="46" fillId="15" borderId="0" xfId="0" applyFont="1" applyFill="1"/>
    <xf numFmtId="0" fontId="40" fillId="15" borderId="0" xfId="0" applyFont="1" applyFill="1"/>
    <xf numFmtId="174" fontId="40" fillId="0" borderId="0" xfId="0" applyNumberFormat="1" applyFont="1"/>
    <xf numFmtId="0" fontId="41" fillId="16" borderId="31" xfId="0" applyFont="1" applyFill="1" applyBorder="1"/>
    <xf numFmtId="0" fontId="40" fillId="16" borderId="0" xfId="0" applyFont="1" applyFill="1"/>
    <xf numFmtId="0" fontId="41" fillId="16" borderId="0" xfId="0" applyFont="1" applyFill="1"/>
    <xf numFmtId="37" fontId="41" fillId="16" borderId="32" xfId="0" applyNumberFormat="1" applyFont="1" applyFill="1" applyBorder="1"/>
    <xf numFmtId="0" fontId="40" fillId="16" borderId="31" xfId="0" applyFont="1" applyFill="1" applyBorder="1"/>
    <xf numFmtId="0" fontId="40" fillId="16" borderId="35" xfId="0" applyFont="1" applyFill="1" applyBorder="1"/>
    <xf numFmtId="0" fontId="40" fillId="16" borderId="36" xfId="0" applyFont="1" applyFill="1" applyBorder="1"/>
    <xf numFmtId="37" fontId="41" fillId="16" borderId="37" xfId="0" applyNumberFormat="1" applyFont="1" applyFill="1" applyBorder="1"/>
    <xf numFmtId="0" fontId="41" fillId="14" borderId="50" xfId="0" applyFont="1" applyFill="1" applyBorder="1"/>
    <xf numFmtId="0" fontId="40" fillId="14" borderId="51" xfId="0" applyFont="1" applyFill="1" applyBorder="1"/>
    <xf numFmtId="0" fontId="41" fillId="14" borderId="51" xfId="0" applyFont="1" applyFill="1" applyBorder="1"/>
    <xf numFmtId="37" fontId="41" fillId="14" borderId="52" xfId="0" applyNumberFormat="1" applyFont="1" applyFill="1" applyBorder="1"/>
    <xf numFmtId="0" fontId="40" fillId="14" borderId="50" xfId="0" applyFont="1" applyFill="1" applyBorder="1"/>
    <xf numFmtId="0" fontId="47" fillId="0" borderId="0" xfId="0" applyFont="1"/>
    <xf numFmtId="1" fontId="47" fillId="0" borderId="0" xfId="0" applyNumberFormat="1" applyFont="1"/>
    <xf numFmtId="37" fontId="47" fillId="0" borderId="0" xfId="0" applyNumberFormat="1" applyFont="1"/>
    <xf numFmtId="0" fontId="35" fillId="17" borderId="0" xfId="0" applyFont="1" applyFill="1"/>
    <xf numFmtId="0" fontId="34" fillId="0" borderId="0" xfId="0" applyFont="1" applyAlignment="1">
      <alignment horizontal="right"/>
    </xf>
    <xf numFmtId="0" fontId="40" fillId="0" borderId="35" xfId="0" applyFont="1" applyBorder="1" applyAlignment="1">
      <alignment horizontal="center"/>
    </xf>
    <xf numFmtId="0" fontId="40" fillId="0" borderId="37" xfId="0" applyFont="1" applyBorder="1" applyAlignment="1">
      <alignment horizontal="center"/>
    </xf>
    <xf numFmtId="0" fontId="48" fillId="0" borderId="0" xfId="0" applyFont="1"/>
    <xf numFmtId="171" fontId="44" fillId="0" borderId="31" xfId="0" applyNumberFormat="1" applyFont="1" applyBorder="1"/>
    <xf numFmtId="171" fontId="44" fillId="0" borderId="32" xfId="0" applyNumberFormat="1" applyFont="1" applyBorder="1"/>
    <xf numFmtId="39" fontId="40" fillId="0" borderId="0" xfId="0" applyNumberFormat="1" applyFont="1"/>
    <xf numFmtId="3" fontId="41" fillId="0" borderId="37" xfId="0" applyNumberFormat="1" applyFont="1" applyBorder="1"/>
    <xf numFmtId="186" fontId="40" fillId="0" borderId="0" xfId="0" applyNumberFormat="1" applyFont="1"/>
    <xf numFmtId="186" fontId="41" fillId="14" borderId="41" xfId="0" applyNumberFormat="1" applyFont="1" applyFill="1" applyBorder="1"/>
    <xf numFmtId="9" fontId="41" fillId="14" borderId="38" xfId="0" applyNumberFormat="1" applyFont="1" applyFill="1" applyBorder="1"/>
    <xf numFmtId="171" fontId="41" fillId="18" borderId="39" xfId="0" applyNumberFormat="1" applyFont="1" applyFill="1" applyBorder="1"/>
    <xf numFmtId="171" fontId="40" fillId="0" borderId="0" xfId="0" applyNumberFormat="1" applyFont="1"/>
    <xf numFmtId="0" fontId="40" fillId="14" borderId="35" xfId="0" applyFont="1" applyFill="1" applyBorder="1"/>
    <xf numFmtId="0" fontId="41" fillId="0" borderId="0" xfId="0" applyFont="1" applyAlignment="1">
      <alignment horizontal="center"/>
    </xf>
    <xf numFmtId="171" fontId="41" fillId="0" borderId="0" xfId="0" applyNumberFormat="1" applyFont="1"/>
    <xf numFmtId="0" fontId="41" fillId="0" borderId="31" xfId="0" applyFont="1" applyBorder="1" applyAlignment="1">
      <alignment horizontal="center"/>
    </xf>
    <xf numFmtId="0" fontId="40" fillId="14" borderId="51" xfId="0" applyFont="1" applyFill="1" applyBorder="1" applyAlignment="1">
      <alignment horizontal="right"/>
    </xf>
    <xf numFmtId="0" fontId="40" fillId="14" borderId="50" xfId="0" applyFont="1" applyFill="1" applyBorder="1" applyAlignment="1">
      <alignment horizontal="right"/>
    </xf>
    <xf numFmtId="37" fontId="36" fillId="0" borderId="0" xfId="0" applyNumberFormat="1" applyFont="1"/>
    <xf numFmtId="0" fontId="40" fillId="0" borderId="32" xfId="0" applyFont="1" applyBorder="1" applyAlignment="1">
      <alignment horizontal="center"/>
    </xf>
    <xf numFmtId="0" fontId="40" fillId="0" borderId="31" xfId="0" applyFont="1" applyBorder="1" applyAlignment="1">
      <alignment horizontal="center"/>
    </xf>
    <xf numFmtId="171" fontId="40" fillId="0" borderId="32" xfId="0" applyNumberFormat="1" applyFont="1" applyBorder="1"/>
    <xf numFmtId="39" fontId="40" fillId="0" borderId="36" xfId="0" applyNumberFormat="1" applyFont="1" applyBorder="1" applyAlignment="1">
      <alignment horizontal="center"/>
    </xf>
    <xf numFmtId="171" fontId="40" fillId="0" borderId="37" xfId="0" applyNumberFormat="1" applyFont="1" applyBorder="1"/>
    <xf numFmtId="37" fontId="40" fillId="0" borderId="35" xfId="0" applyNumberFormat="1" applyFont="1" applyBorder="1"/>
    <xf numFmtId="37" fontId="40" fillId="0" borderId="34" xfId="0" applyNumberFormat="1" applyFont="1" applyBorder="1"/>
    <xf numFmtId="37" fontId="40" fillId="0" borderId="33" xfId="0" applyNumberFormat="1" applyFont="1" applyBorder="1"/>
    <xf numFmtId="10" fontId="40" fillId="0" borderId="0" xfId="0" applyNumberFormat="1" applyFont="1"/>
    <xf numFmtId="171" fontId="41" fillId="0" borderId="35" xfId="0" applyNumberFormat="1" applyFont="1" applyBorder="1"/>
    <xf numFmtId="171" fontId="41" fillId="0" borderId="37" xfId="0" applyNumberFormat="1" applyFont="1" applyBorder="1"/>
    <xf numFmtId="171" fontId="40" fillId="0" borderId="33" xfId="0" applyNumberFormat="1" applyFont="1" applyBorder="1"/>
    <xf numFmtId="186" fontId="41" fillId="0" borderId="0" xfId="0" applyNumberFormat="1" applyFont="1"/>
    <xf numFmtId="37" fontId="41" fillId="0" borderId="31" xfId="0" applyNumberFormat="1" applyFont="1" applyBorder="1"/>
    <xf numFmtId="37" fontId="41" fillId="0" borderId="32" xfId="0" applyNumberFormat="1" applyFont="1" applyBorder="1"/>
    <xf numFmtId="0" fontId="41" fillId="0" borderId="36" xfId="0" applyFont="1" applyBorder="1"/>
    <xf numFmtId="186" fontId="41" fillId="0" borderId="36" xfId="0" applyNumberFormat="1" applyFont="1" applyBorder="1"/>
    <xf numFmtId="37" fontId="41" fillId="0" borderId="35" xfId="0" applyNumberFormat="1" applyFont="1" applyBorder="1"/>
    <xf numFmtId="37" fontId="41" fillId="0" borderId="37" xfId="0" applyNumberFormat="1" applyFont="1" applyBorder="1"/>
    <xf numFmtId="37" fontId="40" fillId="0" borderId="50" xfId="0" applyNumberFormat="1" applyFont="1" applyBorder="1"/>
    <xf numFmtId="0" fontId="41" fillId="16" borderId="26" xfId="0" applyFont="1" applyFill="1" applyBorder="1"/>
    <xf numFmtId="37" fontId="41" fillId="16" borderId="41" xfId="0" applyNumberFormat="1" applyFont="1" applyFill="1" applyBorder="1"/>
    <xf numFmtId="37" fontId="41" fillId="16" borderId="27" xfId="0" applyNumberFormat="1" applyFont="1" applyFill="1" applyBorder="1"/>
    <xf numFmtId="37" fontId="41" fillId="16" borderId="26" xfId="0" applyNumberFormat="1" applyFont="1" applyFill="1" applyBorder="1"/>
    <xf numFmtId="171" fontId="41" fillId="16" borderId="26" xfId="0" applyNumberFormat="1" applyFont="1" applyFill="1" applyBorder="1"/>
    <xf numFmtId="0" fontId="41" fillId="16" borderId="35" xfId="0" applyFont="1" applyFill="1" applyBorder="1"/>
    <xf numFmtId="37" fontId="41" fillId="16" borderId="36" xfId="0" applyNumberFormat="1" applyFont="1" applyFill="1" applyBorder="1"/>
    <xf numFmtId="39" fontId="41" fillId="16" borderId="36" xfId="0" applyNumberFormat="1" applyFont="1" applyFill="1" applyBorder="1" applyAlignment="1">
      <alignment horizontal="center"/>
    </xf>
    <xf numFmtId="171" fontId="41" fillId="16" borderId="37" xfId="0" applyNumberFormat="1" applyFont="1" applyFill="1" applyBorder="1"/>
    <xf numFmtId="37" fontId="41" fillId="16" borderId="35" xfId="0" applyNumberFormat="1" applyFont="1" applyFill="1" applyBorder="1"/>
    <xf numFmtId="37" fontId="41" fillId="0" borderId="34" xfId="0" applyNumberFormat="1" applyFont="1" applyBorder="1"/>
    <xf numFmtId="186" fontId="41" fillId="0" borderId="34" xfId="0" applyNumberFormat="1" applyFont="1" applyBorder="1"/>
    <xf numFmtId="37" fontId="41" fillId="0" borderId="40" xfId="0" applyNumberFormat="1" applyFont="1" applyBorder="1"/>
    <xf numFmtId="37" fontId="41" fillId="0" borderId="33" xfId="0" applyNumberFormat="1" applyFont="1" applyBorder="1"/>
    <xf numFmtId="0" fontId="41" fillId="16" borderId="33" xfId="0" applyFont="1" applyFill="1" applyBorder="1"/>
    <xf numFmtId="37" fontId="41" fillId="16" borderId="34" xfId="0" applyNumberFormat="1" applyFont="1" applyFill="1" applyBorder="1"/>
    <xf numFmtId="186" fontId="41" fillId="16" borderId="34" xfId="0" applyNumberFormat="1" applyFont="1" applyFill="1" applyBorder="1"/>
    <xf numFmtId="37" fontId="41" fillId="16" borderId="40" xfId="0" applyNumberFormat="1" applyFont="1" applyFill="1" applyBorder="1"/>
    <xf numFmtId="37" fontId="41" fillId="16" borderId="33" xfId="0" applyNumberFormat="1" applyFont="1" applyFill="1" applyBorder="1"/>
    <xf numFmtId="171" fontId="41" fillId="14" borderId="26" xfId="0" applyNumberFormat="1" applyFont="1" applyFill="1" applyBorder="1"/>
    <xf numFmtId="37" fontId="40" fillId="0" borderId="0" xfId="0" applyNumberFormat="1" applyFont="1" applyAlignment="1">
      <alignment horizontal="center"/>
    </xf>
    <xf numFmtId="1" fontId="40" fillId="0" borderId="31" xfId="0" applyNumberFormat="1" applyFont="1" applyBorder="1"/>
    <xf numFmtId="0" fontId="40" fillId="0" borderId="36" xfId="0" applyFont="1" applyBorder="1" applyAlignment="1">
      <alignment horizontal="center"/>
    </xf>
    <xf numFmtId="1" fontId="40" fillId="0" borderId="33" xfId="0" applyNumberFormat="1" applyFont="1" applyBorder="1"/>
    <xf numFmtId="186" fontId="40" fillId="0" borderId="36" xfId="0" applyNumberFormat="1" applyFont="1" applyBorder="1"/>
    <xf numFmtId="2" fontId="40" fillId="0" borderId="36" xfId="0" applyNumberFormat="1" applyFont="1" applyBorder="1"/>
    <xf numFmtId="10" fontId="41" fillId="14" borderId="26" xfId="0" applyNumberFormat="1" applyFont="1" applyFill="1" applyBorder="1"/>
    <xf numFmtId="0" fontId="45" fillId="0" borderId="33" xfId="0" applyFont="1" applyBorder="1"/>
    <xf numFmtId="171" fontId="41" fillId="0" borderId="34" xfId="0" applyNumberFormat="1" applyFont="1" applyBorder="1"/>
    <xf numFmtId="171" fontId="41" fillId="0" borderId="33" xfId="0" applyNumberFormat="1" applyFont="1" applyBorder="1"/>
    <xf numFmtId="0" fontId="40" fillId="0" borderId="37" xfId="0" applyFont="1" applyBorder="1"/>
    <xf numFmtId="171" fontId="40" fillId="0" borderId="36" xfId="0" applyNumberFormat="1" applyFont="1" applyBorder="1"/>
    <xf numFmtId="171" fontId="41" fillId="14" borderId="41" xfId="0" applyNumberFormat="1" applyFont="1" applyFill="1" applyBorder="1"/>
    <xf numFmtId="171" fontId="41" fillId="14" borderId="28" xfId="0" applyNumberFormat="1" applyFont="1" applyFill="1" applyBorder="1"/>
    <xf numFmtId="37" fontId="41" fillId="14" borderId="30" xfId="0" applyNumberFormat="1" applyFont="1" applyFill="1" applyBorder="1"/>
    <xf numFmtId="37" fontId="41" fillId="14" borderId="51" xfId="0" applyNumberFormat="1" applyFont="1" applyFill="1" applyBorder="1"/>
    <xf numFmtId="186" fontId="41" fillId="14" borderId="51" xfId="0" applyNumberFormat="1" applyFont="1" applyFill="1" applyBorder="1"/>
    <xf numFmtId="37" fontId="41" fillId="14" borderId="50" xfId="0" applyNumberFormat="1" applyFont="1" applyFill="1" applyBorder="1"/>
    <xf numFmtId="0" fontId="40" fillId="14" borderId="38" xfId="0" applyFont="1" applyFill="1" applyBorder="1"/>
    <xf numFmtId="165" fontId="36" fillId="0" borderId="0" xfId="0" applyNumberFormat="1" applyFont="1"/>
    <xf numFmtId="165" fontId="40" fillId="0" borderId="0" xfId="0" applyNumberFormat="1" applyFont="1"/>
    <xf numFmtId="0" fontId="49" fillId="0" borderId="0" xfId="0" applyFont="1"/>
    <xf numFmtId="0" fontId="40" fillId="0" borderId="51" xfId="0" applyFont="1" applyBorder="1" applyAlignment="1">
      <alignment horizontal="center"/>
    </xf>
    <xf numFmtId="0" fontId="40" fillId="0" borderId="52" xfId="0" applyFont="1" applyBorder="1" applyAlignment="1">
      <alignment horizontal="center"/>
    </xf>
    <xf numFmtId="0" fontId="40" fillId="0" borderId="50" xfId="0" applyFont="1" applyBorder="1" applyAlignment="1">
      <alignment horizontal="center"/>
    </xf>
    <xf numFmtId="37" fontId="40" fillId="18" borderId="0" xfId="0" applyNumberFormat="1" applyFont="1" applyFill="1"/>
    <xf numFmtId="171" fontId="41" fillId="14" borderId="0" xfId="0" applyNumberFormat="1" applyFont="1" applyFill="1"/>
    <xf numFmtId="37" fontId="40" fillId="18" borderId="30" xfId="0" applyNumberFormat="1" applyFont="1" applyFill="1" applyBorder="1"/>
    <xf numFmtId="3" fontId="40" fillId="18" borderId="28" xfId="0" applyNumberFormat="1" applyFont="1" applyFill="1" applyBorder="1"/>
    <xf numFmtId="3" fontId="40" fillId="18" borderId="30" xfId="0" applyNumberFormat="1" applyFont="1" applyFill="1" applyBorder="1"/>
    <xf numFmtId="0" fontId="50" fillId="0" borderId="0" xfId="0" applyFont="1"/>
    <xf numFmtId="171" fontId="41" fillId="0" borderId="27" xfId="0" applyNumberFormat="1" applyFont="1" applyBorder="1"/>
    <xf numFmtId="0" fontId="41" fillId="14" borderId="53" xfId="0" applyFont="1" applyFill="1" applyBorder="1"/>
    <xf numFmtId="0" fontId="41" fillId="14" borderId="54" xfId="0" applyFont="1" applyFill="1" applyBorder="1"/>
    <xf numFmtId="37" fontId="41" fillId="14" borderId="55" xfId="0" applyNumberFormat="1" applyFont="1" applyFill="1" applyBorder="1"/>
    <xf numFmtId="0" fontId="40" fillId="14" borderId="53" xfId="0" applyFont="1" applyFill="1" applyBorder="1"/>
    <xf numFmtId="0" fontId="40" fillId="14" borderId="54" xfId="0" applyFont="1" applyFill="1" applyBorder="1"/>
    <xf numFmtId="3" fontId="41" fillId="0" borderId="0" xfId="0" applyNumberFormat="1" applyFont="1"/>
    <xf numFmtId="37" fontId="0" fillId="0" borderId="0" xfId="0" applyNumberFormat="1"/>
    <xf numFmtId="0" fontId="51" fillId="19" borderId="0" xfId="0" applyFont="1" applyFill="1"/>
    <xf numFmtId="0" fontId="35" fillId="12" borderId="0" xfId="0" applyFont="1" applyFill="1" applyAlignment="1">
      <alignment vertical="center"/>
    </xf>
    <xf numFmtId="0" fontId="34" fillId="0" borderId="0" xfId="0" applyFont="1" applyAlignment="1">
      <alignment horizontal="right" vertical="center"/>
    </xf>
    <xf numFmtId="0" fontId="44" fillId="0" borderId="0" xfId="0" applyFont="1" applyAlignment="1">
      <alignment horizontal="center" vertical="center"/>
    </xf>
    <xf numFmtId="0" fontId="40" fillId="0" borderId="56" xfId="0" applyFont="1" applyBorder="1" applyAlignment="1">
      <alignment horizontal="left"/>
    </xf>
    <xf numFmtId="0" fontId="41" fillId="0" borderId="57" xfId="0" applyFont="1" applyBorder="1" applyAlignment="1">
      <alignment horizontal="center" vertical="center"/>
    </xf>
    <xf numFmtId="0" fontId="40" fillId="0" borderId="61" xfId="0" applyFont="1" applyBorder="1" applyAlignment="1">
      <alignment horizontal="center"/>
    </xf>
    <xf numFmtId="0" fontId="40" fillId="0" borderId="62" xfId="0" applyFont="1" applyBorder="1" applyAlignment="1">
      <alignment horizontal="center"/>
    </xf>
    <xf numFmtId="0" fontId="40" fillId="0" borderId="63" xfId="0" applyFont="1" applyBorder="1" applyAlignment="1">
      <alignment horizontal="center"/>
    </xf>
    <xf numFmtId="0" fontId="45" fillId="0" borderId="36" xfId="0" applyFont="1" applyBorder="1"/>
    <xf numFmtId="37" fontId="45" fillId="0" borderId="61" xfId="0" applyNumberFormat="1" applyFont="1" applyBorder="1"/>
    <xf numFmtId="37" fontId="45" fillId="0" borderId="62" xfId="0" applyNumberFormat="1" applyFont="1" applyBorder="1"/>
    <xf numFmtId="37" fontId="45" fillId="0" borderId="36" xfId="0" applyNumberFormat="1" applyFont="1" applyBorder="1"/>
    <xf numFmtId="171" fontId="45" fillId="0" borderId="36" xfId="0" applyNumberFormat="1" applyFont="1" applyBorder="1"/>
    <xf numFmtId="37" fontId="45" fillId="0" borderId="63" xfId="0" applyNumberFormat="1" applyFont="1" applyBorder="1"/>
    <xf numFmtId="171" fontId="45" fillId="0" borderId="37" xfId="0" applyNumberFormat="1" applyFont="1" applyBorder="1"/>
    <xf numFmtId="0" fontId="44" fillId="14" borderId="35" xfId="0" applyFont="1" applyFill="1" applyBorder="1"/>
    <xf numFmtId="0" fontId="44" fillId="14" borderId="36" xfId="0" applyFont="1" applyFill="1" applyBorder="1"/>
    <xf numFmtId="37" fontId="44" fillId="14" borderId="61" xfId="0" applyNumberFormat="1" applyFont="1" applyFill="1" applyBorder="1"/>
    <xf numFmtId="37" fontId="44" fillId="14" borderId="36" xfId="0" applyNumberFormat="1" applyFont="1" applyFill="1" applyBorder="1"/>
    <xf numFmtId="37" fontId="44" fillId="14" borderId="62" xfId="0" applyNumberFormat="1" applyFont="1" applyFill="1" applyBorder="1"/>
    <xf numFmtId="171" fontId="44" fillId="14" borderId="36" xfId="0" applyNumberFormat="1" applyFont="1" applyFill="1" applyBorder="1"/>
    <xf numFmtId="37" fontId="44" fillId="14" borderId="63" xfId="0" applyNumberFormat="1" applyFont="1" applyFill="1" applyBorder="1"/>
    <xf numFmtId="171" fontId="44" fillId="14" borderId="37" xfId="0" applyNumberFormat="1" applyFont="1" applyFill="1" applyBorder="1"/>
    <xf numFmtId="0" fontId="44" fillId="0" borderId="31" xfId="0" applyFont="1" applyBorder="1"/>
    <xf numFmtId="0" fontId="45" fillId="0" borderId="0" xfId="0" applyFont="1"/>
    <xf numFmtId="37" fontId="45" fillId="0" borderId="64" xfId="0" applyNumberFormat="1" applyFont="1" applyBorder="1"/>
    <xf numFmtId="37" fontId="45" fillId="0" borderId="65" xfId="0" applyNumberFormat="1" applyFont="1" applyBorder="1"/>
    <xf numFmtId="37" fontId="45" fillId="0" borderId="0" xfId="0" applyNumberFormat="1" applyFont="1"/>
    <xf numFmtId="171" fontId="45" fillId="0" borderId="0" xfId="0" applyNumberFormat="1" applyFont="1"/>
    <xf numFmtId="37" fontId="45" fillId="0" borderId="66" xfId="0" applyNumberFormat="1" applyFont="1" applyBorder="1"/>
    <xf numFmtId="171" fontId="45" fillId="0" borderId="40" xfId="0" applyNumberFormat="1" applyFont="1" applyBorder="1"/>
    <xf numFmtId="0" fontId="45" fillId="0" borderId="0" xfId="0" applyFont="1" applyAlignment="1">
      <alignment horizontal="right"/>
    </xf>
    <xf numFmtId="186" fontId="45" fillId="0" borderId="0" xfId="0" applyNumberFormat="1" applyFont="1"/>
    <xf numFmtId="0" fontId="45" fillId="0" borderId="65" xfId="0" applyFont="1" applyBorder="1"/>
    <xf numFmtId="171" fontId="45" fillId="0" borderId="32" xfId="0" applyNumberFormat="1" applyFont="1" applyBorder="1"/>
    <xf numFmtId="0" fontId="45" fillId="0" borderId="36" xfId="0" applyFont="1" applyBorder="1" applyAlignment="1">
      <alignment horizontal="right"/>
    </xf>
    <xf numFmtId="186" fontId="45" fillId="0" borderId="36" xfId="0" applyNumberFormat="1" applyFont="1" applyBorder="1"/>
    <xf numFmtId="0" fontId="45" fillId="0" borderId="62" xfId="0" applyFont="1" applyBorder="1"/>
    <xf numFmtId="171" fontId="45" fillId="0" borderId="61" xfId="0" applyNumberFormat="1" applyFont="1" applyBorder="1"/>
    <xf numFmtId="0" fontId="44" fillId="14" borderId="46" xfId="0" applyFont="1" applyFill="1" applyBorder="1"/>
    <xf numFmtId="0" fontId="44" fillId="14" borderId="47" xfId="0" applyFont="1" applyFill="1" applyBorder="1"/>
    <xf numFmtId="171" fontId="44" fillId="14" borderId="47" xfId="0" applyNumberFormat="1" applyFont="1" applyFill="1" applyBorder="1"/>
    <xf numFmtId="37" fontId="44" fillId="14" borderId="67" xfId="0" applyNumberFormat="1" applyFont="1" applyFill="1" applyBorder="1"/>
    <xf numFmtId="171" fontId="44" fillId="14" borderId="49" xfId="0" applyNumberFormat="1" applyFont="1" applyFill="1" applyBorder="1"/>
    <xf numFmtId="0" fontId="44" fillId="14" borderId="49" xfId="0" applyFont="1" applyFill="1" applyBorder="1"/>
    <xf numFmtId="37" fontId="44" fillId="14" borderId="47" xfId="0" applyNumberFormat="1" applyFont="1" applyFill="1" applyBorder="1"/>
    <xf numFmtId="0" fontId="44" fillId="14" borderId="68" xfId="0" applyFont="1" applyFill="1" applyBorder="1"/>
    <xf numFmtId="171" fontId="45" fillId="0" borderId="64" xfId="0" applyNumberFormat="1" applyFont="1" applyBorder="1"/>
    <xf numFmtId="186" fontId="44" fillId="14" borderId="47" xfId="0" applyNumberFormat="1" applyFont="1" applyFill="1" applyBorder="1"/>
    <xf numFmtId="37" fontId="44" fillId="14" borderId="68" xfId="0" applyNumberFormat="1" applyFont="1" applyFill="1" applyBorder="1"/>
    <xf numFmtId="0" fontId="45" fillId="0" borderId="34" xfId="0" applyFont="1" applyBorder="1" applyAlignment="1">
      <alignment horizontal="right"/>
    </xf>
    <xf numFmtId="0" fontId="45" fillId="0" borderId="34" xfId="0" applyFont="1" applyBorder="1"/>
    <xf numFmtId="37" fontId="45" fillId="0" borderId="69" xfId="0" applyNumberFormat="1" applyFont="1" applyBorder="1"/>
    <xf numFmtId="0" fontId="45" fillId="0" borderId="70" xfId="0" applyFont="1" applyBorder="1"/>
    <xf numFmtId="186" fontId="45" fillId="0" borderId="34" xfId="0" applyNumberFormat="1" applyFont="1" applyBorder="1"/>
    <xf numFmtId="37" fontId="45" fillId="0" borderId="34" xfId="0" applyNumberFormat="1" applyFont="1" applyBorder="1"/>
    <xf numFmtId="171" fontId="45" fillId="0" borderId="34" xfId="0" applyNumberFormat="1" applyFont="1" applyBorder="1"/>
    <xf numFmtId="37" fontId="45" fillId="0" borderId="71" xfId="0" applyNumberFormat="1" applyFont="1" applyBorder="1"/>
    <xf numFmtId="9" fontId="46" fillId="0" borderId="0" xfId="0" applyNumberFormat="1" applyFont="1"/>
    <xf numFmtId="37" fontId="52" fillId="0" borderId="0" xfId="0" applyNumberFormat="1" applyFont="1"/>
    <xf numFmtId="37" fontId="45" fillId="0" borderId="70" xfId="0" applyNumberFormat="1" applyFont="1" applyBorder="1"/>
    <xf numFmtId="0" fontId="45" fillId="14" borderId="47" xfId="0" applyFont="1" applyFill="1" applyBorder="1"/>
    <xf numFmtId="37" fontId="44" fillId="14" borderId="49" xfId="0" applyNumberFormat="1" applyFont="1" applyFill="1" applyBorder="1"/>
    <xf numFmtId="3" fontId="44" fillId="14" borderId="47" xfId="0" applyNumberFormat="1" applyFont="1" applyFill="1" applyBorder="1" applyAlignment="1">
      <alignment horizontal="center"/>
    </xf>
    <xf numFmtId="171" fontId="44" fillId="14" borderId="48" xfId="0" applyNumberFormat="1" applyFont="1" applyFill="1" applyBorder="1"/>
    <xf numFmtId="171" fontId="44" fillId="0" borderId="0" xfId="0" applyNumberFormat="1" applyFont="1"/>
    <xf numFmtId="0" fontId="44" fillId="0" borderId="0" xfId="0" applyFont="1"/>
    <xf numFmtId="174" fontId="45" fillId="0" borderId="64" xfId="0" applyNumberFormat="1" applyFont="1" applyBorder="1"/>
    <xf numFmtId="0" fontId="36" fillId="16" borderId="0" xfId="0" applyFont="1" applyFill="1"/>
    <xf numFmtId="171" fontId="45" fillId="0" borderId="69" xfId="0" applyNumberFormat="1" applyFont="1" applyBorder="1"/>
    <xf numFmtId="0" fontId="45" fillId="0" borderId="64" xfId="0" applyFont="1" applyBorder="1"/>
    <xf numFmtId="0" fontId="45" fillId="0" borderId="66" xfId="0" applyFont="1" applyBorder="1"/>
    <xf numFmtId="171" fontId="45" fillId="0" borderId="48" xfId="0" applyNumberFormat="1" applyFont="1" applyBorder="1"/>
    <xf numFmtId="171" fontId="44" fillId="0" borderId="34" xfId="0" applyNumberFormat="1" applyFont="1" applyBorder="1"/>
    <xf numFmtId="0" fontId="44" fillId="0" borderId="34" xfId="0" applyFont="1" applyBorder="1"/>
    <xf numFmtId="171" fontId="44" fillId="0" borderId="70" xfId="0" applyNumberFormat="1" applyFont="1" applyBorder="1"/>
    <xf numFmtId="37" fontId="44" fillId="0" borderId="70" xfId="0" applyNumberFormat="1" applyFont="1" applyBorder="1"/>
    <xf numFmtId="37" fontId="45" fillId="0" borderId="43" xfId="0" applyNumberFormat="1" applyFont="1" applyBorder="1"/>
    <xf numFmtId="37" fontId="44" fillId="0" borderId="34" xfId="0" applyNumberFormat="1" applyFont="1" applyBorder="1"/>
    <xf numFmtId="37" fontId="44" fillId="0" borderId="0" xfId="0" applyNumberFormat="1" applyFont="1"/>
    <xf numFmtId="1" fontId="44" fillId="0" borderId="0" xfId="0" applyNumberFormat="1" applyFont="1"/>
    <xf numFmtId="37" fontId="44" fillId="0" borderId="65" xfId="0" applyNumberFormat="1" applyFont="1" applyBorder="1"/>
    <xf numFmtId="171" fontId="44" fillId="0" borderId="65" xfId="0" applyNumberFormat="1" applyFont="1" applyBorder="1"/>
    <xf numFmtId="37" fontId="45" fillId="0" borderId="44" xfId="0" applyNumberFormat="1" applyFont="1" applyBorder="1"/>
    <xf numFmtId="168" fontId="44" fillId="0" borderId="65" xfId="0" applyNumberFormat="1" applyFont="1" applyBorder="1"/>
    <xf numFmtId="171" fontId="45" fillId="14" borderId="49" xfId="0" applyNumberFormat="1" applyFont="1" applyFill="1" applyBorder="1"/>
    <xf numFmtId="171" fontId="45" fillId="14" borderId="47" xfId="0" applyNumberFormat="1" applyFont="1" applyFill="1" applyBorder="1"/>
    <xf numFmtId="37" fontId="45" fillId="14" borderId="68" xfId="0" applyNumberFormat="1" applyFont="1" applyFill="1" applyBorder="1"/>
    <xf numFmtId="0" fontId="44" fillId="16" borderId="33" xfId="0" applyFont="1" applyFill="1" applyBorder="1"/>
    <xf numFmtId="0" fontId="44" fillId="16" borderId="34" xfId="0" applyFont="1" applyFill="1" applyBorder="1"/>
    <xf numFmtId="37" fontId="44" fillId="16" borderId="34" xfId="0" applyNumberFormat="1" applyFont="1" applyFill="1" applyBorder="1"/>
    <xf numFmtId="37" fontId="45" fillId="16" borderId="69" xfId="0" applyNumberFormat="1" applyFont="1" applyFill="1" applyBorder="1"/>
    <xf numFmtId="0" fontId="45" fillId="16" borderId="34" xfId="0" applyFont="1" applyFill="1" applyBorder="1"/>
    <xf numFmtId="37" fontId="45" fillId="16" borderId="34" xfId="0" applyNumberFormat="1" applyFont="1" applyFill="1" applyBorder="1"/>
    <xf numFmtId="37" fontId="45" fillId="16" borderId="70" xfId="0" applyNumberFormat="1" applyFont="1" applyFill="1" applyBorder="1"/>
    <xf numFmtId="37" fontId="45" fillId="16" borderId="0" xfId="0" applyNumberFormat="1" applyFont="1" applyFill="1"/>
    <xf numFmtId="171" fontId="45" fillId="16" borderId="0" xfId="0" applyNumberFormat="1" applyFont="1" applyFill="1"/>
    <xf numFmtId="171" fontId="45" fillId="16" borderId="70" xfId="0" applyNumberFormat="1" applyFont="1" applyFill="1" applyBorder="1"/>
    <xf numFmtId="171" fontId="45" fillId="16" borderId="34" xfId="0" applyNumberFormat="1" applyFont="1" applyFill="1" applyBorder="1"/>
    <xf numFmtId="37" fontId="45" fillId="16" borderId="71" xfId="0" applyNumberFormat="1" applyFont="1" applyFill="1" applyBorder="1"/>
    <xf numFmtId="171" fontId="45" fillId="0" borderId="52" xfId="0" applyNumberFormat="1" applyFont="1" applyBorder="1"/>
    <xf numFmtId="0" fontId="44" fillId="14" borderId="53" xfId="0" applyFont="1" applyFill="1" applyBorder="1"/>
    <xf numFmtId="0" fontId="44" fillId="14" borderId="54" xfId="0" applyFont="1" applyFill="1" applyBorder="1"/>
    <xf numFmtId="0" fontId="44" fillId="14" borderId="54" xfId="0" applyFont="1" applyFill="1" applyBorder="1" applyAlignment="1">
      <alignment horizontal="center"/>
    </xf>
    <xf numFmtId="171" fontId="44" fillId="14" borderId="54" xfId="0" applyNumberFormat="1" applyFont="1" applyFill="1" applyBorder="1"/>
    <xf numFmtId="37" fontId="44" fillId="14" borderId="72" xfId="0" applyNumberFormat="1" applyFont="1" applyFill="1" applyBorder="1"/>
    <xf numFmtId="37" fontId="44" fillId="14" borderId="54" xfId="0" applyNumberFormat="1" applyFont="1" applyFill="1" applyBorder="1"/>
    <xf numFmtId="37" fontId="44" fillId="14" borderId="73" xfId="0" applyNumberFormat="1" applyFont="1" applyFill="1" applyBorder="1"/>
    <xf numFmtId="171" fontId="44" fillId="14" borderId="74" xfId="0" applyNumberFormat="1" applyFont="1" applyFill="1" applyBorder="1"/>
    <xf numFmtId="0" fontId="44" fillId="14" borderId="73" xfId="0" applyFont="1" applyFill="1" applyBorder="1" applyAlignment="1">
      <alignment horizontal="center"/>
    </xf>
    <xf numFmtId="37" fontId="44" fillId="14" borderId="75" xfId="0" applyNumberFormat="1" applyFont="1" applyFill="1" applyBorder="1"/>
    <xf numFmtId="171" fontId="44" fillId="14" borderId="39" xfId="0" applyNumberFormat="1" applyFont="1" applyFill="1" applyBorder="1"/>
    <xf numFmtId="39" fontId="45" fillId="0" borderId="0" xfId="0" applyNumberFormat="1" applyFont="1"/>
    <xf numFmtId="0" fontId="53" fillId="0" borderId="0" xfId="0" applyFont="1"/>
    <xf numFmtId="0" fontId="53" fillId="0" borderId="0" xfId="0" applyFont="1" applyAlignment="1">
      <alignment horizontal="center"/>
    </xf>
    <xf numFmtId="0" fontId="53" fillId="0" borderId="0" xfId="0" applyFont="1" applyAlignment="1">
      <alignment horizontal="right" vertical="center"/>
    </xf>
    <xf numFmtId="0" fontId="53" fillId="0" borderId="0" xfId="0" applyFont="1" applyAlignment="1">
      <alignment horizontal="center" vertical="center"/>
    </xf>
    <xf numFmtId="0" fontId="53" fillId="0" borderId="0" xfId="0" applyFont="1" applyAlignment="1">
      <alignment horizontal="right"/>
    </xf>
    <xf numFmtId="171" fontId="44" fillId="14" borderId="55" xfId="0" applyNumberFormat="1" applyFont="1" applyFill="1" applyBorder="1"/>
    <xf numFmtId="37" fontId="44" fillId="14" borderId="76" xfId="0" applyNumberFormat="1" applyFont="1" applyFill="1" applyBorder="1"/>
    <xf numFmtId="37" fontId="44" fillId="14" borderId="77" xfId="0" applyNumberFormat="1" applyFont="1" applyFill="1" applyBorder="1"/>
    <xf numFmtId="37" fontId="44" fillId="14" borderId="57" xfId="0" applyNumberFormat="1" applyFont="1" applyFill="1" applyBorder="1"/>
    <xf numFmtId="171" fontId="44" fillId="14" borderId="60" xfId="0" applyNumberFormat="1" applyFont="1" applyFill="1" applyBorder="1"/>
    <xf numFmtId="0" fontId="36" fillId="0" borderId="31" xfId="0" applyFont="1" applyBorder="1"/>
    <xf numFmtId="37" fontId="36" fillId="0" borderId="64" xfId="0" applyNumberFormat="1" applyFont="1" applyBorder="1"/>
    <xf numFmtId="0" fontId="36" fillId="0" borderId="64" xfId="0" applyFont="1" applyBorder="1"/>
    <xf numFmtId="0" fontId="36" fillId="0" borderId="44" xfId="0" applyFont="1" applyBorder="1"/>
    <xf numFmtId="0" fontId="36" fillId="0" borderId="66" xfId="0" applyFont="1" applyBorder="1"/>
    <xf numFmtId="0" fontId="36" fillId="0" borderId="32" xfId="0" applyFont="1" applyBorder="1"/>
    <xf numFmtId="39" fontId="45" fillId="0" borderId="64" xfId="0" applyNumberFormat="1" applyFont="1" applyBorder="1"/>
    <xf numFmtId="168" fontId="36" fillId="0" borderId="0" xfId="0" applyNumberFormat="1" applyFont="1"/>
    <xf numFmtId="187" fontId="36" fillId="0" borderId="0" xfId="0" applyNumberFormat="1" applyFont="1" applyAlignment="1">
      <alignment horizontal="right"/>
    </xf>
    <xf numFmtId="17" fontId="36" fillId="0" borderId="0" xfId="0" applyNumberFormat="1" applyFont="1" applyAlignment="1">
      <alignment horizontal="right"/>
    </xf>
    <xf numFmtId="188" fontId="36" fillId="0" borderId="0" xfId="0" applyNumberFormat="1" applyFont="1"/>
    <xf numFmtId="167" fontId="0" fillId="2" borderId="0" xfId="3" applyFont="1" applyFill="1" applyAlignment="1">
      <alignment horizontal="center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3" borderId="4" xfId="0" applyFill="1" applyBorder="1" applyAlignment="1">
      <alignment horizontal="left" wrapText="1"/>
    </xf>
    <xf numFmtId="0" fontId="0" fillId="3" borderId="0" xfId="0" applyFill="1" applyAlignment="1">
      <alignment horizontal="left" wrapText="1"/>
    </xf>
    <xf numFmtId="0" fontId="0" fillId="3" borderId="4" xfId="0" quotePrefix="1" applyFill="1" applyBorder="1" applyAlignment="1">
      <alignment horizontal="left" wrapText="1"/>
    </xf>
    <xf numFmtId="0" fontId="0" fillId="3" borderId="0" xfId="0" applyFill="1" applyAlignment="1">
      <alignment horizontal="center"/>
    </xf>
    <xf numFmtId="0" fontId="0" fillId="0" borderId="4" xfId="0" applyBorder="1" applyAlignment="1">
      <alignment horizontal="left" wrapText="1"/>
    </xf>
    <xf numFmtId="0" fontId="0" fillId="0" borderId="4" xfId="0" quotePrefix="1" applyBorder="1" applyAlignment="1">
      <alignment horizontal="left" wrapText="1"/>
    </xf>
    <xf numFmtId="0" fontId="0" fillId="3" borderId="13" xfId="0" quotePrefix="1" applyFill="1" applyBorder="1" applyAlignment="1">
      <alignment horizontal="left" wrapText="1"/>
    </xf>
    <xf numFmtId="9" fontId="0" fillId="7" borderId="12" xfId="2" applyFont="1" applyFill="1" applyBorder="1" applyAlignment="1">
      <alignment horizontal="center" vertical="center"/>
    </xf>
    <xf numFmtId="9" fontId="0" fillId="7" borderId="13" xfId="2" applyFont="1" applyFill="1" applyBorder="1" applyAlignment="1">
      <alignment horizontal="center" vertical="center"/>
    </xf>
    <xf numFmtId="0" fontId="41" fillId="0" borderId="59" xfId="0" applyFont="1" applyBorder="1" applyAlignment="1">
      <alignment horizontal="center" vertical="center"/>
    </xf>
    <xf numFmtId="0" fontId="42" fillId="0" borderId="57" xfId="0" applyFont="1" applyBorder="1"/>
    <xf numFmtId="0" fontId="42" fillId="0" borderId="60" xfId="0" applyFont="1" applyBorder="1"/>
    <xf numFmtId="0" fontId="41" fillId="0" borderId="29" xfId="0" applyFont="1" applyBorder="1" applyAlignment="1">
      <alignment horizontal="center"/>
    </xf>
    <xf numFmtId="0" fontId="42" fillId="0" borderId="29" xfId="0" applyFont="1" applyBorder="1"/>
    <xf numFmtId="0" fontId="42" fillId="0" borderId="30" xfId="0" applyFont="1" applyBorder="1"/>
    <xf numFmtId="0" fontId="41" fillId="0" borderId="28" xfId="0" applyFont="1" applyBorder="1" applyAlignment="1">
      <alignment horizontal="center"/>
    </xf>
    <xf numFmtId="0" fontId="41" fillId="0" borderId="57" xfId="0" applyFont="1" applyBorder="1" applyAlignment="1">
      <alignment horizontal="center" vertical="center"/>
    </xf>
    <xf numFmtId="0" fontId="42" fillId="0" borderId="58" xfId="0" applyFont="1" applyBorder="1"/>
    <xf numFmtId="0" fontId="0" fillId="3" borderId="1" xfId="0" applyFill="1" applyBorder="1" applyAlignment="1">
      <alignment horizontal="left" vertical="top" wrapText="1"/>
    </xf>
    <xf numFmtId="0" fontId="0" fillId="3" borderId="4" xfId="0" applyFill="1" applyBorder="1" applyAlignment="1">
      <alignment horizontal="left" vertical="top" wrapText="1"/>
    </xf>
    <xf numFmtId="167" fontId="0" fillId="3" borderId="9" xfId="3" applyFont="1" applyFill="1" applyBorder="1" applyAlignment="1">
      <alignment horizontal="center" wrapText="1"/>
    </xf>
    <xf numFmtId="167" fontId="0" fillId="3" borderId="10" xfId="3" applyFont="1" applyFill="1" applyBorder="1" applyAlignment="1">
      <alignment horizontal="center" wrapText="1"/>
    </xf>
    <xf numFmtId="0" fontId="9" fillId="3" borderId="0" xfId="4" applyFont="1" applyFill="1" applyAlignment="1">
      <alignment horizontal="center"/>
    </xf>
    <xf numFmtId="0" fontId="5" fillId="3" borderId="0" xfId="4" applyFill="1"/>
    <xf numFmtId="176" fontId="6" fillId="3" borderId="0" xfId="4" applyNumberFormat="1" applyFont="1" applyFill="1"/>
    <xf numFmtId="0" fontId="2" fillId="0" borderId="9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9" fontId="0" fillId="0" borderId="4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9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170" fontId="2" fillId="2" borderId="11" xfId="0" applyNumberFormat="1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170" fontId="0" fillId="0" borderId="2" xfId="0" applyNumberFormat="1" applyBorder="1" applyAlignment="1">
      <alignment horizontal="center"/>
    </xf>
    <xf numFmtId="170" fontId="0" fillId="0" borderId="3" xfId="0" applyNumberFormat="1" applyBorder="1" applyAlignment="1">
      <alignment horizontal="center"/>
    </xf>
    <xf numFmtId="170" fontId="0" fillId="0" borderId="0" xfId="0" applyNumberFormat="1" applyAlignment="1">
      <alignment horizontal="center"/>
    </xf>
    <xf numFmtId="170" fontId="0" fillId="0" borderId="5" xfId="0" applyNumberFormat="1" applyBorder="1" applyAlignment="1">
      <alignment horizontal="center"/>
    </xf>
    <xf numFmtId="170" fontId="2" fillId="0" borderId="11" xfId="0" applyNumberFormat="1" applyFont="1" applyBorder="1" applyAlignment="1">
      <alignment horizontal="center"/>
    </xf>
    <xf numFmtId="170" fontId="0" fillId="0" borderId="1" xfId="0" applyNumberFormat="1" applyBorder="1" applyAlignment="1">
      <alignment horizontal="center"/>
    </xf>
    <xf numFmtId="170" fontId="0" fillId="0" borderId="4" xfId="0" applyNumberFormat="1" applyBorder="1" applyAlignment="1">
      <alignment horizontal="center"/>
    </xf>
    <xf numFmtId="170" fontId="0" fillId="0" borderId="6" xfId="0" applyNumberFormat="1" applyBorder="1" applyAlignment="1">
      <alignment horizontal="center"/>
    </xf>
    <xf numFmtId="170" fontId="0" fillId="0" borderId="7" xfId="0" applyNumberFormat="1" applyBorder="1" applyAlignment="1">
      <alignment horizontal="center"/>
    </xf>
    <xf numFmtId="170" fontId="0" fillId="0" borderId="8" xfId="0" applyNumberFormat="1" applyBorder="1" applyAlignment="1">
      <alignment horizontal="center"/>
    </xf>
    <xf numFmtId="170" fontId="2" fillId="0" borderId="10" xfId="0" applyNumberFormat="1" applyFont="1" applyBorder="1" applyAlignment="1">
      <alignment horizontal="center"/>
    </xf>
    <xf numFmtId="0" fontId="6" fillId="3" borderId="0" xfId="4" applyFont="1" applyFill="1" applyAlignment="1">
      <alignment horizontal="center"/>
    </xf>
    <xf numFmtId="176" fontId="15" fillId="3" borderId="0" xfId="4" applyNumberFormat="1" applyFont="1" applyFill="1"/>
  </cellXfs>
  <cellStyles count="10">
    <cellStyle name="Milliers" xfId="1" builtinId="3"/>
    <cellStyle name="Monétaire" xfId="3" builtinId="4"/>
    <cellStyle name="Monétaire 2" xfId="6"/>
    <cellStyle name="Normal" xfId="0" builtinId="0"/>
    <cellStyle name="Normal 2" xfId="4"/>
    <cellStyle name="Normal 3" xfId="7"/>
    <cellStyle name="Normal 4" xfId="8"/>
    <cellStyle name="Normal 5" xfId="9"/>
    <cellStyle name="Pourcentage" xfId="2" builtinId="5"/>
    <cellStyle name="Pourcentage 2" xfId="5"/>
  </cellStyles>
  <dxfs count="64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479425</xdr:colOff>
      <xdr:row>63</xdr:row>
      <xdr:rowOff>142875</xdr:rowOff>
    </xdr:from>
    <xdr:to>
      <xdr:col>22</xdr:col>
      <xdr:colOff>516439</xdr:colOff>
      <xdr:row>79</xdr:row>
      <xdr:rowOff>57541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xmlns="" id="{A3DC010C-088D-4278-B961-6B3F2BB14B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28940" y="9313545"/>
          <a:ext cx="6843394" cy="2812171"/>
        </a:xfrm>
        <a:prstGeom prst="rect">
          <a:avLst/>
        </a:prstGeom>
      </xdr:spPr>
    </xdr:pic>
    <xdr:clientData/>
  </xdr:twoCellAnchor>
  <xdr:twoCellAnchor editAs="oneCell">
    <xdr:from>
      <xdr:col>15</xdr:col>
      <xdr:colOff>735330</xdr:colOff>
      <xdr:row>59</xdr:row>
      <xdr:rowOff>91440</xdr:rowOff>
    </xdr:from>
    <xdr:to>
      <xdr:col>23</xdr:col>
      <xdr:colOff>476249</xdr:colOff>
      <xdr:row>73</xdr:row>
      <xdr:rowOff>129540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xmlns="" id="{FBBF6110-087B-4C3D-B90D-15935861EB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4565" y="8543925"/>
          <a:ext cx="6061709" cy="2567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108921</xdr:colOff>
      <xdr:row>39</xdr:row>
      <xdr:rowOff>71270</xdr:rowOff>
    </xdr:from>
    <xdr:to>
      <xdr:col>14</xdr:col>
      <xdr:colOff>627427</xdr:colOff>
      <xdr:row>63</xdr:row>
      <xdr:rowOff>170728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xmlns="" id="{C1005918-03F7-49F2-8E33-FA559A7F3A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5450" y="6906858"/>
          <a:ext cx="5707054" cy="4410137"/>
        </a:xfrm>
        <a:prstGeom prst="rect">
          <a:avLst/>
        </a:prstGeom>
      </xdr:spPr>
    </xdr:pic>
    <xdr:clientData/>
  </xdr:twoCellAnchor>
  <xdr:twoCellAnchor editAs="oneCell">
    <xdr:from>
      <xdr:col>10</xdr:col>
      <xdr:colOff>97155</xdr:colOff>
      <xdr:row>39</xdr:row>
      <xdr:rowOff>17145</xdr:rowOff>
    </xdr:from>
    <xdr:to>
      <xdr:col>24</xdr:col>
      <xdr:colOff>439299</xdr:colOff>
      <xdr:row>58</xdr:row>
      <xdr:rowOff>76688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xmlns="" id="{C88FB001-44A0-464A-A8C8-4C95978E0B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22595" y="7421880"/>
          <a:ext cx="8234559" cy="349425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318023</xdr:colOff>
      <xdr:row>38</xdr:row>
      <xdr:rowOff>89872</xdr:rowOff>
    </xdr:from>
    <xdr:to>
      <xdr:col>11</xdr:col>
      <xdr:colOff>76882</xdr:colOff>
      <xdr:row>63</xdr:row>
      <xdr:rowOff>21466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xmlns="" id="{81D88BC2-2B25-D93F-B039-40211E001D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4552" y="7104754"/>
          <a:ext cx="5722294" cy="4417757"/>
        </a:xfrm>
        <a:prstGeom prst="rect">
          <a:avLst/>
        </a:prstGeom>
      </xdr:spPr>
    </xdr:pic>
    <xdr:clientData/>
  </xdr:twoCellAnchor>
  <xdr:twoCellAnchor editAs="oneCell">
    <xdr:from>
      <xdr:col>10</xdr:col>
      <xdr:colOff>97155</xdr:colOff>
      <xdr:row>40</xdr:row>
      <xdr:rowOff>17145</xdr:rowOff>
    </xdr:from>
    <xdr:to>
      <xdr:col>20</xdr:col>
      <xdr:colOff>513594</xdr:colOff>
      <xdr:row>59</xdr:row>
      <xdr:rowOff>76688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xmlns="" id="{70556B02-D119-B008-707F-458E4BDB57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88505" y="6875145"/>
          <a:ext cx="8234560" cy="349806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730250</xdr:colOff>
      <xdr:row>48</xdr:row>
      <xdr:rowOff>95250</xdr:rowOff>
    </xdr:from>
    <xdr:to>
      <xdr:col>23</xdr:col>
      <xdr:colOff>247605</xdr:colOff>
      <xdr:row>70</xdr:row>
      <xdr:rowOff>172436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xmlns="" id="{AAB20829-B0B9-A89C-C925-7A6E78045E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81083" y="8561917"/>
          <a:ext cx="4104595" cy="4256755"/>
        </a:xfrm>
        <a:prstGeom prst="rect">
          <a:avLst/>
        </a:prstGeom>
      </xdr:spPr>
    </xdr:pic>
    <xdr:clientData/>
  </xdr:twoCellAnchor>
  <xdr:twoCellAnchor editAs="oneCell">
    <xdr:from>
      <xdr:col>13</xdr:col>
      <xdr:colOff>624416</xdr:colOff>
      <xdr:row>49</xdr:row>
      <xdr:rowOff>5715</xdr:rowOff>
    </xdr:from>
    <xdr:to>
      <xdr:col>28</xdr:col>
      <xdr:colOff>400990</xdr:colOff>
      <xdr:row>68</xdr:row>
      <xdr:rowOff>92986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xmlns="" id="{D491267A-6795-13B1-30E1-05A6CF56DC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747249" y="8662882"/>
          <a:ext cx="8011252" cy="369724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78440</xdr:colOff>
      <xdr:row>20</xdr:row>
      <xdr:rowOff>44823</xdr:rowOff>
    </xdr:from>
    <xdr:to>
      <xdr:col>2</xdr:col>
      <xdr:colOff>437420</xdr:colOff>
      <xdr:row>24</xdr:row>
      <xdr:rowOff>59615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xmlns="" id="{98769B01-D1B0-EF43-1C11-2D3A4A5E75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4969" y="3585882"/>
          <a:ext cx="2402261" cy="78441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479425</xdr:colOff>
      <xdr:row>52</xdr:row>
      <xdr:rowOff>142875</xdr:rowOff>
    </xdr:from>
    <xdr:to>
      <xdr:col>22</xdr:col>
      <xdr:colOff>209549</xdr:colOff>
      <xdr:row>68</xdr:row>
      <xdr:rowOff>53731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xmlns="" id="{50E2FCB8-8291-6894-7546-22BB8DC5AE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48988" y="9779000"/>
          <a:ext cx="6666863" cy="2953141"/>
        </a:xfrm>
        <a:prstGeom prst="rect">
          <a:avLst/>
        </a:prstGeom>
      </xdr:spPr>
    </xdr:pic>
    <xdr:clientData/>
  </xdr:twoCellAnchor>
  <xdr:twoCellAnchor editAs="oneCell">
    <xdr:from>
      <xdr:col>15</xdr:col>
      <xdr:colOff>735330</xdr:colOff>
      <xdr:row>48</xdr:row>
      <xdr:rowOff>91440</xdr:rowOff>
    </xdr:from>
    <xdr:to>
      <xdr:col>23</xdr:col>
      <xdr:colOff>472439</xdr:colOff>
      <xdr:row>62</xdr:row>
      <xdr:rowOff>133350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xmlns="" id="{4C31BEC1-8C20-CABB-BD4A-223D6D2C0D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17755" y="8540115"/>
          <a:ext cx="6061710" cy="2567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276225</xdr:colOff>
      <xdr:row>29</xdr:row>
      <xdr:rowOff>152400</xdr:rowOff>
    </xdr:from>
    <xdr:to>
      <xdr:col>13</xdr:col>
      <xdr:colOff>161925</xdr:colOff>
      <xdr:row>34</xdr:row>
      <xdr:rowOff>66675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xmlns="" id="{8D9D8AC4-179D-6F83-B13D-4B03D2A6F7A2}"/>
            </a:ext>
          </a:extLst>
        </xdr:cNvPr>
        <xdr:cNvSpPr txBox="1"/>
      </xdr:nvSpPr>
      <xdr:spPr>
        <a:xfrm>
          <a:off x="7858125" y="5381625"/>
          <a:ext cx="2171700" cy="866775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CA" sz="1100" b="1"/>
            <a:t>N.B.: Demande de Frédéric: Provisionner</a:t>
          </a:r>
          <a:r>
            <a:rPr lang="fr-CA" sz="1100" b="1" baseline="0"/>
            <a:t> sur T2 un Boni spécial rattrapage de 10,000$ pour Kaven.</a:t>
          </a:r>
          <a:br>
            <a:rPr lang="fr-CA" sz="1100" b="1" baseline="0"/>
          </a:br>
          <a:r>
            <a:rPr lang="fr-CA" sz="1100" b="1" baseline="0"/>
            <a:t/>
          </a:r>
          <a:br>
            <a:rPr lang="fr-CA" sz="1100" b="1" baseline="0"/>
          </a:br>
          <a:endParaRPr lang="fr-CA" sz="1100" b="1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466725</xdr:colOff>
      <xdr:row>5</xdr:row>
      <xdr:rowOff>161926</xdr:rowOff>
    </xdr:from>
    <xdr:to>
      <xdr:col>31</xdr:col>
      <xdr:colOff>659060</xdr:colOff>
      <xdr:row>16</xdr:row>
      <xdr:rowOff>41748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xmlns="" id="{BFD1531C-5350-4931-ACBA-DB82452F75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2375" y="1114426"/>
          <a:ext cx="10860335" cy="197532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5.bin"/><Relationship Id="rId4" Type="http://schemas.openxmlformats.org/officeDocument/2006/relationships/comments" Target="../comments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zoomScaleNormal="100" workbookViewId="0">
      <pane xSplit="1" topLeftCell="B1" activePane="topRight" state="frozenSplit"/>
      <selection activeCell="J30" sqref="J30"/>
      <selection pane="topRight" activeCell="F17" sqref="F17"/>
    </sheetView>
  </sheetViews>
  <sheetFormatPr baseColWidth="10" defaultColWidth="11.453125" defaultRowHeight="14.5" x14ac:dyDescent="0.35"/>
  <cols>
    <col min="1" max="1" width="23.54296875" bestFit="1" customWidth="1"/>
    <col min="3" max="3" width="13.453125" customWidth="1"/>
    <col min="4" max="4" width="12.1796875" bestFit="1" customWidth="1"/>
  </cols>
  <sheetData>
    <row r="1" spans="1:6" x14ac:dyDescent="0.35">
      <c r="A1" s="2" t="s">
        <v>76</v>
      </c>
    </row>
    <row r="3" spans="1:6" x14ac:dyDescent="0.35">
      <c r="A3" s="2" t="s">
        <v>0</v>
      </c>
      <c r="B3" s="278">
        <v>45838</v>
      </c>
      <c r="C3" s="770" t="s">
        <v>77</v>
      </c>
      <c r="D3" s="770"/>
      <c r="E3" s="135"/>
      <c r="F3" s="136"/>
    </row>
    <row r="4" spans="1:6" x14ac:dyDescent="0.35">
      <c r="A4" t="s">
        <v>233</v>
      </c>
      <c r="B4" s="384">
        <f>'Tommy Martel Diotte 2024'!N30</f>
        <v>4252</v>
      </c>
      <c r="C4" s="132"/>
      <c r="D4" s="134">
        <f>B4*0.6</f>
        <v>2551.1999999999998</v>
      </c>
      <c r="E4" s="134">
        <f>B4*0.4</f>
        <v>1700.8000000000002</v>
      </c>
    </row>
    <row r="5" spans="1:6" x14ac:dyDescent="0.35">
      <c r="A5" t="s">
        <v>234</v>
      </c>
      <c r="B5" s="384">
        <f>'Tommy Martel Diotte 2024'!N47</f>
        <v>0</v>
      </c>
      <c r="C5" s="132"/>
      <c r="D5" s="134">
        <f>B5*0.6</f>
        <v>0</v>
      </c>
      <c r="E5" s="134">
        <f>B5*0.4</f>
        <v>0</v>
      </c>
      <c r="F5" s="137"/>
    </row>
    <row r="6" spans="1:6" x14ac:dyDescent="0.35">
      <c r="A6" t="s">
        <v>719</v>
      </c>
      <c r="B6" s="384">
        <f>'Chris Ayel 2025'!N30</f>
        <v>1350</v>
      </c>
      <c r="C6" s="132"/>
      <c r="D6" s="134"/>
      <c r="E6" s="134"/>
      <c r="F6" s="137"/>
    </row>
    <row r="7" spans="1:6" x14ac:dyDescent="0.35">
      <c r="A7" t="s">
        <v>116</v>
      </c>
      <c r="B7" s="384">
        <f>'Karim Noori 2025'!N44</f>
        <v>6250</v>
      </c>
      <c r="C7" s="132"/>
      <c r="D7" s="134">
        <f>B7/2</f>
        <v>3125</v>
      </c>
      <c r="E7" s="134">
        <f>B7/2</f>
        <v>3125</v>
      </c>
      <c r="F7" s="137"/>
    </row>
    <row r="8" spans="1:6" x14ac:dyDescent="0.35">
      <c r="A8" t="s">
        <v>282</v>
      </c>
      <c r="B8" s="384">
        <f>'Alexandre Paradis 2025 v2'!N44</f>
        <v>8250</v>
      </c>
      <c r="C8" s="132">
        <v>6122</v>
      </c>
      <c r="D8" s="134"/>
      <c r="E8" s="134"/>
      <c r="F8" s="137"/>
    </row>
    <row r="9" spans="1:6" x14ac:dyDescent="0.35">
      <c r="A9" t="s">
        <v>102</v>
      </c>
      <c r="B9" s="385">
        <f>'Rémi Dubreuil 2025'!N36</f>
        <v>1500.01</v>
      </c>
      <c r="C9" s="132">
        <v>6722</v>
      </c>
      <c r="D9" s="133"/>
      <c r="E9" s="133"/>
    </row>
    <row r="10" spans="1:6" ht="15" thickBot="1" x14ac:dyDescent="0.4">
      <c r="A10" s="2" t="s">
        <v>75</v>
      </c>
      <c r="B10" s="386">
        <f>SUM(B4:B9)</f>
        <v>21602.01</v>
      </c>
      <c r="C10" s="49"/>
    </row>
    <row r="11" spans="1:6" ht="15" thickTop="1" x14ac:dyDescent="0.35">
      <c r="B11" s="49"/>
      <c r="C11" s="49"/>
    </row>
    <row r="12" spans="1:6" x14ac:dyDescent="0.35">
      <c r="B12" s="282" t="s">
        <v>122</v>
      </c>
      <c r="C12" s="282" t="s">
        <v>121</v>
      </c>
      <c r="D12" s="283" t="s">
        <v>120</v>
      </c>
    </row>
    <row r="13" spans="1:6" x14ac:dyDescent="0.35">
      <c r="A13" s="156">
        <v>6122</v>
      </c>
      <c r="B13" s="328">
        <f>B8+D7</f>
        <v>11375</v>
      </c>
      <c r="C13" s="328"/>
      <c r="D13" s="322">
        <f>+B13-C13</f>
        <v>11375</v>
      </c>
      <c r="E13" t="s">
        <v>72</v>
      </c>
    </row>
    <row r="14" spans="1:6" x14ac:dyDescent="0.35">
      <c r="A14" s="156">
        <v>6222</v>
      </c>
      <c r="B14" s="328">
        <f>E7+B6</f>
        <v>4475</v>
      </c>
      <c r="C14" s="328"/>
      <c r="D14" s="322">
        <f t="shared" ref="D14:D16" si="0">+B14-C14</f>
        <v>4475</v>
      </c>
      <c r="E14" t="s">
        <v>165</v>
      </c>
    </row>
    <row r="15" spans="1:6" x14ac:dyDescent="0.35">
      <c r="A15" s="156">
        <v>6422</v>
      </c>
      <c r="B15" s="328">
        <f>D4+D5</f>
        <v>2551.1999999999998</v>
      </c>
      <c r="C15" s="328"/>
      <c r="D15" s="322">
        <f t="shared" si="0"/>
        <v>2551.1999999999998</v>
      </c>
      <c r="E15" t="s">
        <v>248</v>
      </c>
    </row>
    <row r="16" spans="1:6" x14ac:dyDescent="0.35">
      <c r="A16" s="156">
        <v>6722</v>
      </c>
      <c r="B16" s="328">
        <f>E4+E5+B9</f>
        <v>3200.8100000000004</v>
      </c>
      <c r="C16" s="328"/>
      <c r="D16" s="322">
        <f t="shared" si="0"/>
        <v>3200.8100000000004</v>
      </c>
      <c r="E16" t="s">
        <v>39</v>
      </c>
    </row>
    <row r="17" spans="2:4" ht="15" thickBot="1" x14ac:dyDescent="0.4">
      <c r="B17" s="329">
        <f>SUM(B13:B16)</f>
        <v>21602.010000000002</v>
      </c>
      <c r="C17" s="329">
        <f>SUM(C13:C16)</f>
        <v>0</v>
      </c>
      <c r="D17" s="329">
        <f>SUM(D13:D16)</f>
        <v>21602.010000000002</v>
      </c>
    </row>
    <row r="18" spans="2:4" ht="15" thickTop="1" x14ac:dyDescent="0.35">
      <c r="B18" s="293"/>
    </row>
  </sheetData>
  <mergeCells count="1">
    <mergeCell ref="C3:D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B1:Z71"/>
  <sheetViews>
    <sheetView showGridLines="0" zoomScale="85" zoomScaleNormal="85" workbookViewId="0">
      <pane xSplit="7" ySplit="3" topLeftCell="H4" activePane="bottomRight" state="frozen"/>
      <selection pane="topRight" activeCell="H1" sqref="H1"/>
      <selection pane="bottomLeft" activeCell="A4" sqref="A4"/>
      <selection pane="bottomRight" activeCell="B1" sqref="B1:O40"/>
    </sheetView>
  </sheetViews>
  <sheetFormatPr baseColWidth="10" defaultColWidth="11.453125" defaultRowHeight="14.5" x14ac:dyDescent="0.35"/>
  <cols>
    <col min="1" max="1" width="11.1796875" style="40" customWidth="1"/>
    <col min="2" max="2" width="32.26953125" style="40" customWidth="1"/>
    <col min="3" max="4" width="10.7265625" style="40" customWidth="1"/>
    <col min="5" max="5" width="10.54296875" style="40" bestFit="1" customWidth="1"/>
    <col min="6" max="6" width="1.7265625" style="40" customWidth="1"/>
    <col min="7" max="7" width="11.453125" style="40"/>
    <col min="8" max="9" width="11.453125" style="40" hidden="1" customWidth="1"/>
    <col min="10" max="10" width="12.7265625" style="40" hidden="1" customWidth="1"/>
    <col min="11" max="12" width="11.453125" style="40" hidden="1" customWidth="1"/>
    <col min="13" max="13" width="12.1796875" style="40" hidden="1" customWidth="1"/>
    <col min="14" max="14" width="11.453125" style="40" hidden="1" customWidth="1"/>
    <col min="15" max="15" width="11.453125" style="40" customWidth="1"/>
    <col min="16" max="16" width="11.81640625" style="40" bestFit="1" customWidth="1"/>
    <col min="17" max="18" width="11.453125" style="40" customWidth="1"/>
    <col min="19" max="19" width="11.81640625" style="40" bestFit="1" customWidth="1"/>
    <col min="20" max="16384" width="11.453125" style="40"/>
  </cols>
  <sheetData>
    <row r="1" spans="2:26" x14ac:dyDescent="0.35">
      <c r="B1" s="301" t="s">
        <v>261</v>
      </c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9"/>
    </row>
    <row r="2" spans="2:26" ht="8.25" customHeight="1" x14ac:dyDescent="0.35"/>
    <row r="3" spans="2:26" x14ac:dyDescent="0.35">
      <c r="B3" s="170" t="s">
        <v>126</v>
      </c>
      <c r="C3" s="171"/>
      <c r="D3" s="171"/>
      <c r="H3" s="172">
        <v>45321</v>
      </c>
      <c r="I3" s="172">
        <v>45350</v>
      </c>
      <c r="J3" s="172">
        <v>45379</v>
      </c>
      <c r="K3" s="172">
        <v>45408</v>
      </c>
      <c r="L3" s="172">
        <v>45437</v>
      </c>
      <c r="M3" s="172">
        <v>45466</v>
      </c>
      <c r="N3" s="172">
        <v>45495</v>
      </c>
      <c r="O3" s="172">
        <v>45524</v>
      </c>
      <c r="P3" s="172">
        <v>45553</v>
      </c>
      <c r="Q3" s="172">
        <v>45582</v>
      </c>
      <c r="R3" s="172">
        <v>45611</v>
      </c>
      <c r="S3" s="172">
        <v>45640</v>
      </c>
    </row>
    <row r="4" spans="2:26" x14ac:dyDescent="0.35">
      <c r="B4" s="10" t="s">
        <v>151</v>
      </c>
      <c r="C4" s="173"/>
      <c r="D4" s="173"/>
      <c r="E4" s="174"/>
      <c r="F4" s="47"/>
      <c r="G4" s="42" t="s">
        <v>119</v>
      </c>
      <c r="H4" s="302"/>
      <c r="I4" s="302"/>
      <c r="J4" s="302"/>
      <c r="K4" s="302"/>
      <c r="L4" s="302"/>
      <c r="M4" s="302">
        <v>124974</v>
      </c>
      <c r="N4" s="302">
        <v>254171</v>
      </c>
      <c r="O4" s="302">
        <v>260155</v>
      </c>
      <c r="P4" s="302"/>
      <c r="Q4" s="302"/>
      <c r="R4" s="302"/>
      <c r="S4" s="302"/>
      <c r="U4"/>
      <c r="V4"/>
      <c r="W4" s="322"/>
      <c r="X4"/>
      <c r="Y4"/>
      <c r="Z4"/>
    </row>
    <row r="5" spans="2:26" x14ac:dyDescent="0.35">
      <c r="B5" s="280" t="s">
        <v>236</v>
      </c>
      <c r="C5" s="176"/>
      <c r="D5" s="176"/>
      <c r="E5" s="177"/>
      <c r="F5" s="48"/>
      <c r="G5" s="40" t="s">
        <v>95</v>
      </c>
      <c r="H5" s="303"/>
      <c r="I5" s="303"/>
      <c r="J5" s="303"/>
      <c r="K5" s="303"/>
      <c r="L5" s="303"/>
      <c r="M5" s="303">
        <v>259687</v>
      </c>
      <c r="N5" s="303">
        <v>231018</v>
      </c>
      <c r="O5" s="303">
        <v>260155</v>
      </c>
      <c r="P5" s="303"/>
      <c r="Q5" s="303"/>
      <c r="R5" s="303"/>
      <c r="S5" s="303"/>
      <c r="U5"/>
      <c r="V5"/>
      <c r="W5" s="322"/>
      <c r="X5"/>
      <c r="Y5"/>
      <c r="Z5"/>
    </row>
    <row r="6" spans="2:26" x14ac:dyDescent="0.35">
      <c r="B6" s="15"/>
      <c r="C6" s="179" t="s">
        <v>129</v>
      </c>
      <c r="D6" s="179" t="s">
        <v>130</v>
      </c>
      <c r="E6" s="180" t="s">
        <v>131</v>
      </c>
      <c r="F6" s="48"/>
      <c r="G6" s="157" t="s">
        <v>37</v>
      </c>
      <c r="H6" s="181"/>
      <c r="I6" s="181"/>
      <c r="J6" s="181"/>
      <c r="K6" s="181"/>
      <c r="L6" s="181"/>
      <c r="M6" s="181">
        <f t="shared" ref="M6:S6" si="0">IFERROR(ROUND(M4/M5,3)," - - -")</f>
        <v>0.48099999999999998</v>
      </c>
      <c r="N6" s="181">
        <f t="shared" si="0"/>
        <v>1.1000000000000001</v>
      </c>
      <c r="O6" s="181">
        <f t="shared" si="0"/>
        <v>1</v>
      </c>
      <c r="P6" s="181" t="str">
        <f t="shared" si="0"/>
        <v xml:space="preserve"> - - -</v>
      </c>
      <c r="Q6" s="181" t="str">
        <f t="shared" si="0"/>
        <v xml:space="preserve"> - - -</v>
      </c>
      <c r="R6" s="181" t="str">
        <f t="shared" si="0"/>
        <v xml:space="preserve"> - - -</v>
      </c>
      <c r="S6" s="181" t="str">
        <f t="shared" si="0"/>
        <v xml:space="preserve"> - - -</v>
      </c>
      <c r="U6"/>
      <c r="V6"/>
      <c r="W6" s="323"/>
      <c r="X6"/>
      <c r="Y6"/>
      <c r="Z6"/>
    </row>
    <row r="7" spans="2:26" x14ac:dyDescent="0.35">
      <c r="B7" s="15"/>
      <c r="C7" s="182">
        <v>0.9</v>
      </c>
      <c r="D7" s="182">
        <v>0.99990000000000001</v>
      </c>
      <c r="E7" s="202">
        <v>500</v>
      </c>
      <c r="F7" s="48"/>
      <c r="H7" s="183"/>
      <c r="I7" s="183"/>
      <c r="J7" s="183"/>
      <c r="K7" s="183"/>
      <c r="L7" s="183"/>
      <c r="M7" s="183">
        <f t="shared" ref="M7:S9" si="1">IF(AND(M$6&gt;=$C7,M$6&lt;=$D7),$E7,0)</f>
        <v>0</v>
      </c>
      <c r="N7" s="183">
        <f t="shared" si="1"/>
        <v>0</v>
      </c>
      <c r="O7" s="183">
        <f t="shared" si="1"/>
        <v>0</v>
      </c>
      <c r="P7" s="183">
        <f t="shared" si="1"/>
        <v>0</v>
      </c>
      <c r="Q7" s="183">
        <f t="shared" si="1"/>
        <v>0</v>
      </c>
      <c r="R7" s="183">
        <f t="shared" si="1"/>
        <v>0</v>
      </c>
      <c r="S7" s="183">
        <f t="shared" si="1"/>
        <v>0</v>
      </c>
      <c r="U7"/>
      <c r="V7"/>
      <c r="W7"/>
      <c r="X7"/>
      <c r="Y7"/>
      <c r="Z7"/>
    </row>
    <row r="8" spans="2:26" x14ac:dyDescent="0.35">
      <c r="B8" s="15"/>
      <c r="C8" s="182">
        <v>1</v>
      </c>
      <c r="D8" s="182">
        <v>1.0489999999999999</v>
      </c>
      <c r="E8" s="202">
        <v>800</v>
      </c>
      <c r="F8" s="48"/>
      <c r="H8" s="183"/>
      <c r="I8" s="183"/>
      <c r="J8" s="183"/>
      <c r="K8" s="183"/>
      <c r="L8" s="183"/>
      <c r="M8" s="183">
        <f t="shared" si="1"/>
        <v>0</v>
      </c>
      <c r="N8" s="183">
        <f t="shared" si="1"/>
        <v>0</v>
      </c>
      <c r="O8" s="183">
        <f t="shared" si="1"/>
        <v>800</v>
      </c>
      <c r="P8" s="183">
        <f t="shared" si="1"/>
        <v>0</v>
      </c>
      <c r="Q8" s="183">
        <f t="shared" si="1"/>
        <v>0</v>
      </c>
      <c r="R8" s="183">
        <f t="shared" si="1"/>
        <v>0</v>
      </c>
      <c r="S8" s="183">
        <f t="shared" si="1"/>
        <v>0</v>
      </c>
      <c r="U8"/>
      <c r="V8"/>
      <c r="W8"/>
      <c r="X8"/>
      <c r="Y8"/>
      <c r="Z8"/>
    </row>
    <row r="9" spans="2:26" x14ac:dyDescent="0.35">
      <c r="B9" s="15"/>
      <c r="C9" s="184">
        <v>1.05</v>
      </c>
      <c r="D9" s="185" t="s">
        <v>132</v>
      </c>
      <c r="E9" s="202">
        <v>1250</v>
      </c>
      <c r="F9" s="48"/>
      <c r="H9" s="183"/>
      <c r="I9" s="183"/>
      <c r="J9" s="183"/>
      <c r="K9" s="183"/>
      <c r="L9" s="183"/>
      <c r="M9" s="183">
        <f t="shared" si="1"/>
        <v>0</v>
      </c>
      <c r="N9" s="183">
        <f t="shared" si="1"/>
        <v>1250</v>
      </c>
      <c r="O9" s="183">
        <f t="shared" si="1"/>
        <v>0</v>
      </c>
      <c r="P9" s="183">
        <f t="shared" si="1"/>
        <v>1250</v>
      </c>
      <c r="Q9" s="183">
        <f t="shared" si="1"/>
        <v>1250</v>
      </c>
      <c r="R9" s="183">
        <f t="shared" si="1"/>
        <v>1250</v>
      </c>
      <c r="S9" s="183">
        <f t="shared" si="1"/>
        <v>1250</v>
      </c>
      <c r="U9"/>
      <c r="V9"/>
      <c r="W9" s="324"/>
      <c r="X9" s="322"/>
      <c r="Y9" s="324"/>
      <c r="Z9"/>
    </row>
    <row r="10" spans="2:26" x14ac:dyDescent="0.35">
      <c r="B10" s="38"/>
      <c r="C10" s="44"/>
      <c r="D10" s="44"/>
      <c r="E10" s="44"/>
      <c r="F10" s="163"/>
      <c r="G10" s="186" t="s">
        <v>133</v>
      </c>
      <c r="H10" s="187"/>
      <c r="I10" s="187"/>
      <c r="J10" s="187"/>
      <c r="K10" s="187"/>
      <c r="L10" s="187"/>
      <c r="M10" s="187">
        <f t="shared" ref="M10:S10" si="2">SUM(M7:M9)</f>
        <v>0</v>
      </c>
      <c r="N10" s="187">
        <f t="shared" si="2"/>
        <v>1250</v>
      </c>
      <c r="O10" s="187">
        <f t="shared" si="2"/>
        <v>800</v>
      </c>
      <c r="P10" s="187">
        <f t="shared" si="2"/>
        <v>1250</v>
      </c>
      <c r="Q10" s="187">
        <f t="shared" si="2"/>
        <v>1250</v>
      </c>
      <c r="R10" s="187">
        <f t="shared" si="2"/>
        <v>1250</v>
      </c>
      <c r="S10" s="187">
        <f t="shared" si="2"/>
        <v>1250</v>
      </c>
      <c r="U10"/>
      <c r="V10"/>
      <c r="W10"/>
      <c r="X10"/>
      <c r="Y10"/>
      <c r="Z10"/>
    </row>
    <row r="11" spans="2:26" x14ac:dyDescent="0.35">
      <c r="B11" s="10" t="s">
        <v>255</v>
      </c>
      <c r="C11" s="173"/>
      <c r="D11" s="173"/>
      <c r="E11" s="174"/>
      <c r="F11" s="47"/>
      <c r="G11" s="42" t="s">
        <v>119</v>
      </c>
      <c r="H11" s="302"/>
      <c r="I11" s="302"/>
      <c r="J11" s="302"/>
      <c r="K11" s="302"/>
      <c r="L11" s="302"/>
      <c r="M11" s="318">
        <v>40</v>
      </c>
      <c r="N11" s="318">
        <v>85</v>
      </c>
      <c r="O11" s="318">
        <v>88</v>
      </c>
      <c r="P11" s="318"/>
      <c r="Q11" s="318"/>
      <c r="R11" s="318"/>
      <c r="S11" s="318"/>
      <c r="U11"/>
      <c r="V11"/>
      <c r="W11" s="322"/>
      <c r="X11"/>
      <c r="Y11"/>
      <c r="Z11"/>
    </row>
    <row r="12" spans="2:26" x14ac:dyDescent="0.35">
      <c r="B12" s="280" t="s">
        <v>256</v>
      </c>
      <c r="C12" s="176"/>
      <c r="D12" s="176"/>
      <c r="E12" s="177"/>
      <c r="F12" s="48"/>
      <c r="G12" s="40" t="s">
        <v>95</v>
      </c>
      <c r="H12" s="303"/>
      <c r="I12" s="303"/>
      <c r="J12" s="303"/>
      <c r="K12" s="303"/>
      <c r="L12" s="303"/>
      <c r="M12" s="319">
        <v>87</v>
      </c>
      <c r="N12" s="319">
        <v>80</v>
      </c>
      <c r="O12" s="319">
        <v>81</v>
      </c>
      <c r="P12" s="319"/>
      <c r="Q12" s="319"/>
      <c r="R12" s="319"/>
      <c r="S12" s="319"/>
      <c r="U12"/>
      <c r="V12"/>
      <c r="W12" s="322"/>
      <c r="X12"/>
      <c r="Y12"/>
      <c r="Z12"/>
    </row>
    <row r="13" spans="2:26" x14ac:dyDescent="0.35">
      <c r="B13" s="15"/>
      <c r="C13" s="179" t="s">
        <v>129</v>
      </c>
      <c r="D13" s="179" t="s">
        <v>130</v>
      </c>
      <c r="E13" s="180" t="s">
        <v>131</v>
      </c>
      <c r="F13" s="48"/>
      <c r="G13" s="157" t="s">
        <v>37</v>
      </c>
      <c r="H13" s="181"/>
      <c r="I13" s="181"/>
      <c r="J13" s="181"/>
      <c r="K13" s="181"/>
      <c r="L13" s="181"/>
      <c r="M13" s="181">
        <f t="shared" ref="M13:S13" si="3">IFERROR(ROUND(M11/M12,3)," - - -")</f>
        <v>0.46</v>
      </c>
      <c r="N13" s="181">
        <f t="shared" si="3"/>
        <v>1.0629999999999999</v>
      </c>
      <c r="O13" s="181">
        <f t="shared" si="3"/>
        <v>1.0860000000000001</v>
      </c>
      <c r="P13" s="181" t="str">
        <f t="shared" si="3"/>
        <v xml:space="preserve"> - - -</v>
      </c>
      <c r="Q13" s="181" t="str">
        <f t="shared" si="3"/>
        <v xml:space="preserve"> - - -</v>
      </c>
      <c r="R13" s="181" t="str">
        <f t="shared" si="3"/>
        <v xml:space="preserve"> - - -</v>
      </c>
      <c r="S13" s="181" t="str">
        <f t="shared" si="3"/>
        <v xml:space="preserve"> - - -</v>
      </c>
      <c r="U13"/>
      <c r="V13"/>
      <c r="W13" s="323"/>
      <c r="X13"/>
      <c r="Y13"/>
      <c r="Z13"/>
    </row>
    <row r="14" spans="2:26" x14ac:dyDescent="0.35">
      <c r="B14" s="15"/>
      <c r="C14" s="182">
        <v>0.9</v>
      </c>
      <c r="D14" s="182">
        <v>0.99990000000000001</v>
      </c>
      <c r="E14" s="202">
        <v>500</v>
      </c>
      <c r="F14" s="48"/>
      <c r="H14" s="183"/>
      <c r="I14" s="183"/>
      <c r="J14" s="183"/>
      <c r="K14" s="183"/>
      <c r="L14" s="183"/>
      <c r="M14" s="183">
        <f t="shared" ref="M14:M16" si="4">IF(AND(M$6&gt;=$C14,M$6&lt;=$D14),$E14,0)</f>
        <v>0</v>
      </c>
      <c r="N14" s="183">
        <f>IF(AND(N$13&gt;=$C14,N$13&lt;=$D14),$E14,0)</f>
        <v>0</v>
      </c>
      <c r="O14" s="183">
        <f t="shared" ref="O14:S16" si="5">IF(AND(O$13&gt;=$C14,O$13&lt;=$D14),$E14,0)</f>
        <v>0</v>
      </c>
      <c r="P14" s="183">
        <f t="shared" si="5"/>
        <v>0</v>
      </c>
      <c r="Q14" s="183">
        <f t="shared" si="5"/>
        <v>0</v>
      </c>
      <c r="R14" s="183">
        <f t="shared" si="5"/>
        <v>0</v>
      </c>
      <c r="S14" s="183">
        <f t="shared" si="5"/>
        <v>0</v>
      </c>
      <c r="U14"/>
      <c r="V14"/>
      <c r="W14"/>
      <c r="X14"/>
      <c r="Y14"/>
      <c r="Z14"/>
    </row>
    <row r="15" spans="2:26" x14ac:dyDescent="0.35">
      <c r="B15" s="15"/>
      <c r="C15" s="182">
        <v>1</v>
      </c>
      <c r="D15" s="182">
        <v>1.0489999999999999</v>
      </c>
      <c r="E15" s="202">
        <v>800</v>
      </c>
      <c r="F15" s="48"/>
      <c r="H15" s="183"/>
      <c r="I15" s="183"/>
      <c r="J15" s="183"/>
      <c r="K15" s="183"/>
      <c r="L15" s="183"/>
      <c r="M15" s="183">
        <f t="shared" si="4"/>
        <v>0</v>
      </c>
      <c r="N15" s="183">
        <f>IF(AND(N$13&gt;=$C15,N$13&lt;=$D15),$E15,0)</f>
        <v>0</v>
      </c>
      <c r="O15" s="183">
        <f t="shared" si="5"/>
        <v>0</v>
      </c>
      <c r="P15" s="183">
        <f t="shared" si="5"/>
        <v>0</v>
      </c>
      <c r="Q15" s="183">
        <f t="shared" si="5"/>
        <v>0</v>
      </c>
      <c r="R15" s="183">
        <f t="shared" si="5"/>
        <v>0</v>
      </c>
      <c r="S15" s="183">
        <f t="shared" si="5"/>
        <v>0</v>
      </c>
      <c r="U15"/>
      <c r="V15"/>
      <c r="W15"/>
      <c r="X15"/>
      <c r="Y15"/>
      <c r="Z15"/>
    </row>
    <row r="16" spans="2:26" x14ac:dyDescent="0.35">
      <c r="B16" s="15"/>
      <c r="C16" s="184">
        <v>1.05</v>
      </c>
      <c r="D16" s="185" t="s">
        <v>132</v>
      </c>
      <c r="E16" s="202">
        <v>1250</v>
      </c>
      <c r="F16" s="48"/>
      <c r="H16" s="183"/>
      <c r="I16" s="183"/>
      <c r="J16" s="183"/>
      <c r="K16" s="183"/>
      <c r="L16" s="183"/>
      <c r="M16" s="183">
        <f t="shared" si="4"/>
        <v>0</v>
      </c>
      <c r="N16" s="183">
        <f>IF(AND(N$13&gt;=$C16,N$13&lt;=$D16),$E16,0)</f>
        <v>1250</v>
      </c>
      <c r="O16" s="183">
        <f t="shared" si="5"/>
        <v>1250</v>
      </c>
      <c r="P16" s="183">
        <f t="shared" si="5"/>
        <v>1250</v>
      </c>
      <c r="Q16" s="183">
        <f t="shared" si="5"/>
        <v>1250</v>
      </c>
      <c r="R16" s="183">
        <f t="shared" si="5"/>
        <v>1250</v>
      </c>
      <c r="S16" s="183">
        <f t="shared" si="5"/>
        <v>1250</v>
      </c>
      <c r="U16"/>
      <c r="V16"/>
      <c r="W16" s="324"/>
      <c r="X16" s="322"/>
      <c r="Y16" s="324"/>
      <c r="Z16"/>
    </row>
    <row r="17" spans="2:26" x14ac:dyDescent="0.35">
      <c r="B17" s="38"/>
      <c r="C17" s="44"/>
      <c r="D17" s="44"/>
      <c r="E17" s="44"/>
      <c r="F17" s="163"/>
      <c r="G17" s="186" t="s">
        <v>133</v>
      </c>
      <c r="H17" s="187"/>
      <c r="I17" s="187"/>
      <c r="J17" s="187"/>
      <c r="K17" s="187"/>
      <c r="L17" s="187"/>
      <c r="M17" s="187">
        <f t="shared" ref="M17:N17" si="6">SUM(M14:M16)</f>
        <v>0</v>
      </c>
      <c r="N17" s="187">
        <f t="shared" si="6"/>
        <v>1250</v>
      </c>
      <c r="O17" s="187">
        <f t="shared" ref="O17:S17" si="7">SUM(O14:O16)</f>
        <v>1250</v>
      </c>
      <c r="P17" s="187">
        <f t="shared" si="7"/>
        <v>1250</v>
      </c>
      <c r="Q17" s="187">
        <f t="shared" si="7"/>
        <v>1250</v>
      </c>
      <c r="R17" s="187">
        <f t="shared" si="7"/>
        <v>1250</v>
      </c>
      <c r="S17" s="187">
        <f t="shared" si="7"/>
        <v>1250</v>
      </c>
      <c r="U17"/>
      <c r="V17"/>
      <c r="W17"/>
      <c r="X17"/>
      <c r="Y17"/>
      <c r="Z17"/>
    </row>
    <row r="18" spans="2:26" x14ac:dyDescent="0.35">
      <c r="B18" s="10" t="s">
        <v>257</v>
      </c>
      <c r="C18" s="173"/>
      <c r="D18" s="173"/>
      <c r="E18" s="174"/>
      <c r="F18" s="47"/>
      <c r="G18" s="42" t="s">
        <v>119</v>
      </c>
      <c r="H18" s="302"/>
      <c r="I18" s="302"/>
      <c r="J18" s="302"/>
      <c r="K18" s="302"/>
      <c r="L18" s="302"/>
      <c r="M18" s="302"/>
      <c r="N18" s="302"/>
      <c r="O18" s="302"/>
      <c r="P18" s="302"/>
      <c r="Q18" s="302"/>
      <c r="R18" s="302"/>
      <c r="S18" s="302"/>
      <c r="U18"/>
      <c r="V18"/>
      <c r="W18" s="322"/>
      <c r="X18"/>
      <c r="Y18"/>
      <c r="Z18"/>
    </row>
    <row r="19" spans="2:26" x14ac:dyDescent="0.35">
      <c r="B19" s="15" t="s">
        <v>262</v>
      </c>
      <c r="C19" s="179" t="s">
        <v>129</v>
      </c>
      <c r="D19" s="179" t="s">
        <v>130</v>
      </c>
      <c r="E19" s="180" t="s">
        <v>131</v>
      </c>
      <c r="F19" s="48"/>
      <c r="G19" s="157" t="s">
        <v>37</v>
      </c>
      <c r="H19" s="181"/>
      <c r="I19" s="181"/>
      <c r="J19" s="181"/>
      <c r="K19" s="181"/>
      <c r="L19" s="181"/>
      <c r="M19" s="181">
        <v>0</v>
      </c>
      <c r="N19" s="181">
        <v>0</v>
      </c>
      <c r="O19" s="181">
        <v>1</v>
      </c>
      <c r="P19" s="181" t="str">
        <f>IFERROR(ROUND(P18/#REF!,3)," - - -")</f>
        <v xml:space="preserve"> - - -</v>
      </c>
      <c r="Q19" s="181" t="str">
        <f>IFERROR(ROUND(Q18/#REF!,3)," - - -")</f>
        <v xml:space="preserve"> - - -</v>
      </c>
      <c r="R19" s="181" t="str">
        <f>IFERROR(ROUND(R18/#REF!,3)," - - -")</f>
        <v xml:space="preserve"> - - -</v>
      </c>
      <c r="S19" s="181" t="str">
        <f>IFERROR(ROUND(S18/#REF!,3)," - - -")</f>
        <v xml:space="preserve"> - - -</v>
      </c>
      <c r="U19"/>
      <c r="V19"/>
      <c r="W19" s="323"/>
      <c r="X19"/>
      <c r="Y19"/>
      <c r="Z19"/>
    </row>
    <row r="20" spans="2:26" x14ac:dyDescent="0.35">
      <c r="B20" s="15" t="s">
        <v>263</v>
      </c>
      <c r="C20" s="182">
        <v>0</v>
      </c>
      <c r="D20" s="182">
        <v>0.79900000000000004</v>
      </c>
      <c r="E20" s="202">
        <v>0</v>
      </c>
      <c r="F20" s="48"/>
      <c r="H20" s="183"/>
      <c r="I20" s="183"/>
      <c r="J20" s="183"/>
      <c r="K20" s="183"/>
      <c r="L20" s="183"/>
      <c r="M20" s="183">
        <f t="shared" ref="M20:M22" si="8">IF(AND(M$6&gt;=$C20,M$6&lt;=$D20),$E20,0)</f>
        <v>0</v>
      </c>
      <c r="N20" s="183">
        <f>IF(AND(N$19&gt;=$C20,N$19&lt;=$D20),$E20,0)</f>
        <v>0</v>
      </c>
      <c r="O20" s="183">
        <f t="shared" ref="O20:S22" si="9">IF(AND(O$19&gt;=$C20,O$19&lt;=$D20),$E20,0)</f>
        <v>0</v>
      </c>
      <c r="P20" s="183">
        <f t="shared" si="9"/>
        <v>0</v>
      </c>
      <c r="Q20" s="183">
        <f t="shared" si="9"/>
        <v>0</v>
      </c>
      <c r="R20" s="183">
        <f t="shared" si="9"/>
        <v>0</v>
      </c>
      <c r="S20" s="183">
        <f t="shared" si="9"/>
        <v>0</v>
      </c>
      <c r="U20"/>
      <c r="V20"/>
      <c r="W20"/>
      <c r="X20"/>
      <c r="Y20"/>
      <c r="Z20"/>
    </row>
    <row r="21" spans="2:26" x14ac:dyDescent="0.35">
      <c r="B21" s="15"/>
      <c r="C21" s="182">
        <v>0.8</v>
      </c>
      <c r="D21" s="182">
        <v>0.83</v>
      </c>
      <c r="E21" s="202">
        <v>500</v>
      </c>
      <c r="F21" s="48"/>
      <c r="H21" s="183"/>
      <c r="I21" s="183"/>
      <c r="J21" s="183"/>
      <c r="K21" s="183"/>
      <c r="L21" s="183"/>
      <c r="M21" s="183">
        <f t="shared" si="8"/>
        <v>0</v>
      </c>
      <c r="N21" s="183">
        <f>IF(AND(N$19&gt;=$C21,N$19&lt;=$D21),$E21,0)</f>
        <v>0</v>
      </c>
      <c r="O21" s="183">
        <f t="shared" si="9"/>
        <v>0</v>
      </c>
      <c r="P21" s="183">
        <f t="shared" si="9"/>
        <v>0</v>
      </c>
      <c r="Q21" s="183">
        <f t="shared" si="9"/>
        <v>0</v>
      </c>
      <c r="R21" s="183">
        <f t="shared" si="9"/>
        <v>0</v>
      </c>
      <c r="S21" s="183">
        <f t="shared" si="9"/>
        <v>0</v>
      </c>
      <c r="U21"/>
      <c r="V21"/>
      <c r="W21"/>
      <c r="X21"/>
      <c r="Y21"/>
      <c r="Z21"/>
    </row>
    <row r="22" spans="2:26" x14ac:dyDescent="0.35">
      <c r="B22" s="15"/>
      <c r="C22" s="184">
        <v>0.83009999999999995</v>
      </c>
      <c r="D22" s="185" t="s">
        <v>132</v>
      </c>
      <c r="E22" s="202">
        <v>750</v>
      </c>
      <c r="F22" s="48"/>
      <c r="H22" s="183"/>
      <c r="I22" s="183"/>
      <c r="J22" s="183"/>
      <c r="K22" s="183"/>
      <c r="L22" s="183"/>
      <c r="M22" s="183">
        <f t="shared" si="8"/>
        <v>0</v>
      </c>
      <c r="N22" s="183">
        <f>IF(AND(N$19&gt;=$C22,N$19&lt;=$D22),$E22,0)</f>
        <v>0</v>
      </c>
      <c r="O22" s="183">
        <f t="shared" si="9"/>
        <v>750</v>
      </c>
      <c r="P22" s="183">
        <f t="shared" si="9"/>
        <v>750</v>
      </c>
      <c r="Q22" s="183">
        <f t="shared" si="9"/>
        <v>750</v>
      </c>
      <c r="R22" s="183">
        <f t="shared" si="9"/>
        <v>750</v>
      </c>
      <c r="S22" s="183">
        <f t="shared" si="9"/>
        <v>750</v>
      </c>
      <c r="U22"/>
      <c r="V22"/>
      <c r="W22" s="324"/>
      <c r="X22" s="322"/>
      <c r="Y22" s="324"/>
      <c r="Z22"/>
    </row>
    <row r="23" spans="2:26" x14ac:dyDescent="0.35">
      <c r="B23" s="38"/>
      <c r="C23" s="44"/>
      <c r="D23" s="44"/>
      <c r="E23" s="44"/>
      <c r="F23" s="163"/>
      <c r="G23" s="186" t="s">
        <v>133</v>
      </c>
      <c r="H23" s="187"/>
      <c r="I23" s="187"/>
      <c r="J23" s="187"/>
      <c r="K23" s="187"/>
      <c r="L23" s="187"/>
      <c r="M23" s="187">
        <f t="shared" ref="M23:N23" si="10">SUM(M20:M22)</f>
        <v>0</v>
      </c>
      <c r="N23" s="187">
        <f t="shared" si="10"/>
        <v>0</v>
      </c>
      <c r="O23" s="187">
        <f t="shared" ref="O23:S23" si="11">SUM(O20:O22)</f>
        <v>750</v>
      </c>
      <c r="P23" s="187">
        <f t="shared" si="11"/>
        <v>750</v>
      </c>
      <c r="Q23" s="187">
        <f t="shared" si="11"/>
        <v>750</v>
      </c>
      <c r="R23" s="187">
        <f t="shared" si="11"/>
        <v>750</v>
      </c>
      <c r="S23" s="187">
        <f t="shared" si="11"/>
        <v>750</v>
      </c>
      <c r="U23"/>
      <c r="V23"/>
      <c r="W23"/>
      <c r="X23"/>
      <c r="Y23"/>
      <c r="Z23"/>
    </row>
    <row r="24" spans="2:26" x14ac:dyDescent="0.35">
      <c r="B24" s="10" t="s">
        <v>200</v>
      </c>
      <c r="C24" s="173"/>
      <c r="D24" s="173"/>
      <c r="E24" s="174"/>
      <c r="F24" s="47"/>
      <c r="G24" s="42" t="s">
        <v>119</v>
      </c>
      <c r="H24" s="302"/>
      <c r="I24" s="302"/>
      <c r="J24" s="302"/>
      <c r="K24" s="302"/>
      <c r="L24" s="302"/>
      <c r="M24" s="302">
        <v>84900</v>
      </c>
      <c r="N24" s="302">
        <v>100043</v>
      </c>
      <c r="O24" s="302">
        <v>42434</v>
      </c>
      <c r="P24" s="302"/>
      <c r="Q24" s="302"/>
      <c r="R24" s="302"/>
      <c r="S24" s="302"/>
      <c r="U24"/>
      <c r="V24"/>
      <c r="W24" s="322"/>
      <c r="X24"/>
      <c r="Y24"/>
      <c r="Z24"/>
    </row>
    <row r="25" spans="2:26" x14ac:dyDescent="0.35">
      <c r="B25" s="280" t="s">
        <v>236</v>
      </c>
      <c r="C25" s="176"/>
      <c r="D25" s="176"/>
      <c r="E25" s="177"/>
      <c r="F25" s="48"/>
      <c r="G25" s="40" t="s">
        <v>95</v>
      </c>
      <c r="H25" s="303"/>
      <c r="I25" s="303"/>
      <c r="J25" s="303"/>
      <c r="K25" s="303"/>
      <c r="L25" s="303"/>
      <c r="M25" s="303">
        <v>171471</v>
      </c>
      <c r="N25" s="303">
        <v>159665</v>
      </c>
      <c r="O25" s="303">
        <v>170159</v>
      </c>
      <c r="P25" s="303"/>
      <c r="Q25" s="303"/>
      <c r="R25" s="303"/>
      <c r="S25" s="303"/>
      <c r="U25"/>
      <c r="V25"/>
      <c r="W25" s="322"/>
      <c r="X25"/>
      <c r="Y25"/>
      <c r="Z25"/>
    </row>
    <row r="26" spans="2:26" x14ac:dyDescent="0.35">
      <c r="B26" s="15"/>
      <c r="C26" s="179" t="s">
        <v>129</v>
      </c>
      <c r="D26" s="179" t="s">
        <v>130</v>
      </c>
      <c r="E26" s="180" t="s">
        <v>131</v>
      </c>
      <c r="F26" s="48"/>
      <c r="G26" s="157" t="s">
        <v>37</v>
      </c>
      <c r="H26" s="181"/>
      <c r="I26" s="181"/>
      <c r="J26" s="181"/>
      <c r="K26" s="181"/>
      <c r="L26" s="181"/>
      <c r="M26" s="181">
        <f t="shared" ref="M26" si="12">IFERROR(ROUND(M24/M25,3)," - - -")</f>
        <v>0.495</v>
      </c>
      <c r="N26" s="181">
        <f t="shared" ref="N26:S26" si="13">IFERROR(ROUND(N24/N25,3)," - - -")</f>
        <v>0.627</v>
      </c>
      <c r="O26" s="181">
        <f t="shared" si="13"/>
        <v>0.249</v>
      </c>
      <c r="P26" s="181" t="str">
        <f t="shared" si="13"/>
        <v xml:space="preserve"> - - -</v>
      </c>
      <c r="Q26" s="181" t="str">
        <f t="shared" si="13"/>
        <v xml:space="preserve"> - - -</v>
      </c>
      <c r="R26" s="181" t="str">
        <f t="shared" si="13"/>
        <v xml:space="preserve"> - - -</v>
      </c>
      <c r="S26" s="181" t="str">
        <f t="shared" si="13"/>
        <v xml:space="preserve"> - - -</v>
      </c>
      <c r="U26"/>
      <c r="V26"/>
      <c r="W26" s="323"/>
      <c r="X26"/>
      <c r="Y26"/>
      <c r="Z26"/>
    </row>
    <row r="27" spans="2:26" x14ac:dyDescent="0.35">
      <c r="B27" s="310"/>
      <c r="C27" s="182">
        <v>0.9</v>
      </c>
      <c r="D27" s="182">
        <v>0.99990000000000001</v>
      </c>
      <c r="E27" s="202">
        <v>500</v>
      </c>
      <c r="F27" s="48"/>
      <c r="H27" s="183"/>
      <c r="I27" s="183"/>
      <c r="J27" s="290"/>
      <c r="K27" s="183"/>
      <c r="L27" s="183"/>
      <c r="M27" s="183">
        <f t="shared" ref="M27:S28" si="14">IF(AND(M$26&gt;=$C27,M$26&lt;=$D27),$E27,0)</f>
        <v>0</v>
      </c>
      <c r="N27" s="183">
        <f t="shared" si="14"/>
        <v>0</v>
      </c>
      <c r="O27" s="183">
        <f t="shared" si="14"/>
        <v>0</v>
      </c>
      <c r="P27" s="183">
        <f t="shared" si="14"/>
        <v>0</v>
      </c>
      <c r="Q27" s="183">
        <f t="shared" si="14"/>
        <v>0</v>
      </c>
      <c r="R27" s="183">
        <f t="shared" si="14"/>
        <v>0</v>
      </c>
      <c r="S27" s="183">
        <f t="shared" si="14"/>
        <v>0</v>
      </c>
      <c r="U27"/>
      <c r="V27"/>
      <c r="W27"/>
      <c r="X27"/>
      <c r="Y27"/>
      <c r="Z27"/>
    </row>
    <row r="28" spans="2:26" x14ac:dyDescent="0.35">
      <c r="B28" s="310"/>
      <c r="C28" s="182">
        <v>1</v>
      </c>
      <c r="D28" s="182">
        <v>1.0999000000000001</v>
      </c>
      <c r="E28" s="202">
        <v>800</v>
      </c>
      <c r="F28" s="48"/>
      <c r="H28" s="183"/>
      <c r="I28" s="183"/>
      <c r="J28" s="183"/>
      <c r="K28" s="183"/>
      <c r="L28" s="183"/>
      <c r="M28" s="183">
        <f t="shared" si="14"/>
        <v>0</v>
      </c>
      <c r="N28" s="183">
        <f t="shared" si="14"/>
        <v>0</v>
      </c>
      <c r="O28" s="183">
        <f t="shared" si="14"/>
        <v>0</v>
      </c>
      <c r="P28" s="183">
        <f t="shared" si="14"/>
        <v>0</v>
      </c>
      <c r="Q28" s="183">
        <f t="shared" si="14"/>
        <v>0</v>
      </c>
      <c r="R28" s="183">
        <f t="shared" si="14"/>
        <v>0</v>
      </c>
      <c r="S28" s="183">
        <f t="shared" si="14"/>
        <v>0</v>
      </c>
      <c r="U28"/>
      <c r="V28"/>
      <c r="W28"/>
      <c r="X28"/>
      <c r="Y28"/>
      <c r="Z28"/>
    </row>
    <row r="29" spans="2:26" x14ac:dyDescent="0.35">
      <c r="B29" s="310"/>
      <c r="C29" s="184">
        <v>1.1000000000000001</v>
      </c>
      <c r="D29" s="185" t="s">
        <v>132</v>
      </c>
      <c r="E29" s="202">
        <v>1250</v>
      </c>
      <c r="F29" s="48"/>
      <c r="H29" s="183"/>
      <c r="I29" s="183"/>
      <c r="J29" s="183"/>
      <c r="K29" s="183"/>
      <c r="L29" s="183"/>
      <c r="M29" s="183">
        <f t="shared" ref="M29:S29" si="15">IF(AND(M$26&gt;=$C29,M$26&lt;=$D29),$E29,0)</f>
        <v>0</v>
      </c>
      <c r="N29" s="183">
        <f t="shared" si="15"/>
        <v>0</v>
      </c>
      <c r="O29" s="183">
        <f t="shared" si="15"/>
        <v>0</v>
      </c>
      <c r="P29" s="183">
        <f t="shared" si="15"/>
        <v>1250</v>
      </c>
      <c r="Q29" s="183">
        <f t="shared" si="15"/>
        <v>1250</v>
      </c>
      <c r="R29" s="183">
        <f t="shared" si="15"/>
        <v>1250</v>
      </c>
      <c r="S29" s="183">
        <f t="shared" si="15"/>
        <v>1250</v>
      </c>
      <c r="U29"/>
      <c r="V29"/>
      <c r="W29" s="324"/>
      <c r="X29" s="322"/>
      <c r="Y29" s="324"/>
      <c r="Z29"/>
    </row>
    <row r="30" spans="2:26" x14ac:dyDescent="0.35">
      <c r="B30" s="38"/>
      <c r="C30" s="44"/>
      <c r="D30" s="44"/>
      <c r="E30" s="44"/>
      <c r="F30" s="163"/>
      <c r="G30" s="186" t="s">
        <v>133</v>
      </c>
      <c r="H30" s="187"/>
      <c r="I30" s="187"/>
      <c r="J30" s="187"/>
      <c r="K30" s="187"/>
      <c r="L30" s="187"/>
      <c r="M30" s="187">
        <f t="shared" ref="M30:S30" si="16">SUM(M27:M29)</f>
        <v>0</v>
      </c>
      <c r="N30" s="187">
        <f t="shared" si="16"/>
        <v>0</v>
      </c>
      <c r="O30" s="187">
        <f t="shared" si="16"/>
        <v>0</v>
      </c>
      <c r="P30" s="187">
        <f t="shared" si="16"/>
        <v>1250</v>
      </c>
      <c r="Q30" s="187">
        <f t="shared" si="16"/>
        <v>1250</v>
      </c>
      <c r="R30" s="187">
        <f t="shared" si="16"/>
        <v>1250</v>
      </c>
      <c r="S30" s="187">
        <f t="shared" si="16"/>
        <v>1250</v>
      </c>
      <c r="U30"/>
      <c r="V30"/>
      <c r="W30"/>
      <c r="X30"/>
      <c r="Y30"/>
      <c r="Z30"/>
    </row>
    <row r="31" spans="2:26" x14ac:dyDescent="0.35">
      <c r="B31" s="10" t="s">
        <v>258</v>
      </c>
      <c r="C31" s="173"/>
      <c r="D31" s="173"/>
      <c r="E31" s="174"/>
      <c r="F31" s="47"/>
      <c r="G31" s="42" t="s">
        <v>119</v>
      </c>
      <c r="H31" s="302"/>
      <c r="I31" s="302"/>
      <c r="J31" s="302"/>
      <c r="K31" s="302"/>
      <c r="L31" s="302"/>
      <c r="M31" s="302"/>
      <c r="N31" s="302"/>
      <c r="O31" s="302"/>
      <c r="P31" s="302"/>
      <c r="Q31" s="302"/>
      <c r="R31" s="302"/>
      <c r="S31" s="302"/>
      <c r="U31"/>
      <c r="V31"/>
      <c r="W31" s="322"/>
      <c r="X31"/>
      <c r="Y31"/>
      <c r="Z31"/>
    </row>
    <row r="32" spans="2:26" x14ac:dyDescent="0.35">
      <c r="B32" s="15" t="s">
        <v>264</v>
      </c>
      <c r="C32" s="179" t="s">
        <v>129</v>
      </c>
      <c r="D32" s="179" t="s">
        <v>130</v>
      </c>
      <c r="E32" s="180" t="s">
        <v>131</v>
      </c>
      <c r="F32" s="48"/>
      <c r="G32" s="157" t="s">
        <v>37</v>
      </c>
      <c r="H32" s="181"/>
      <c r="I32" s="181"/>
      <c r="J32" s="181"/>
      <c r="K32" s="181"/>
      <c r="L32" s="181"/>
      <c r="M32" s="181">
        <v>0</v>
      </c>
      <c r="N32" s="181">
        <v>0</v>
      </c>
      <c r="O32" s="181">
        <v>0</v>
      </c>
      <c r="P32" s="181" t="str">
        <f>IFERROR(ROUND(P31/#REF!,3)," - - -")</f>
        <v xml:space="preserve"> - - -</v>
      </c>
      <c r="Q32" s="181" t="str">
        <f>IFERROR(ROUND(Q31/#REF!,3)," - - -")</f>
        <v xml:space="preserve"> - - -</v>
      </c>
      <c r="R32" s="181" t="str">
        <f>IFERROR(ROUND(R31/#REF!,3)," - - -")</f>
        <v xml:space="preserve"> - - -</v>
      </c>
      <c r="S32" s="181" t="str">
        <f>IFERROR(ROUND(S31/#REF!,3)," - - -")</f>
        <v xml:space="preserve"> - - -</v>
      </c>
      <c r="U32"/>
      <c r="V32"/>
      <c r="W32" s="323"/>
      <c r="X32"/>
      <c r="Y32"/>
      <c r="Z32"/>
    </row>
    <row r="33" spans="2:26" x14ac:dyDescent="0.35">
      <c r="B33" s="15" t="s">
        <v>265</v>
      </c>
      <c r="C33" s="182">
        <v>0</v>
      </c>
      <c r="D33" s="182">
        <v>0.79900000000000004</v>
      </c>
      <c r="E33" s="202">
        <v>0</v>
      </c>
      <c r="F33" s="48"/>
      <c r="H33" s="183"/>
      <c r="I33" s="183"/>
      <c r="J33" s="183"/>
      <c r="K33" s="183"/>
      <c r="L33" s="183"/>
      <c r="M33" s="183">
        <f>IF(AND(M$32&gt;=$C33,M$32&lt;=$D33),$E33,0)</f>
        <v>0</v>
      </c>
      <c r="N33" s="183">
        <f t="shared" ref="N33:S35" si="17">IF(AND(N$32&gt;=$C33,N$32&lt;=$D33),$E33,0)</f>
        <v>0</v>
      </c>
      <c r="O33" s="183">
        <f t="shared" si="17"/>
        <v>0</v>
      </c>
      <c r="P33" s="183">
        <f t="shared" si="17"/>
        <v>0</v>
      </c>
      <c r="Q33" s="183">
        <f t="shared" si="17"/>
        <v>0</v>
      </c>
      <c r="R33" s="183">
        <f t="shared" si="17"/>
        <v>0</v>
      </c>
      <c r="S33" s="183">
        <f t="shared" si="17"/>
        <v>0</v>
      </c>
      <c r="U33"/>
      <c r="V33"/>
      <c r="W33"/>
      <c r="X33"/>
      <c r="Y33"/>
      <c r="Z33"/>
    </row>
    <row r="34" spans="2:26" x14ac:dyDescent="0.35">
      <c r="B34" s="15"/>
      <c r="C34" s="182">
        <v>0.8</v>
      </c>
      <c r="D34" s="182">
        <v>0.83</v>
      </c>
      <c r="E34" s="202">
        <v>500</v>
      </c>
      <c r="F34" s="48"/>
      <c r="H34" s="183"/>
      <c r="I34" s="183"/>
      <c r="J34" s="183"/>
      <c r="K34" s="183"/>
      <c r="L34" s="183"/>
      <c r="M34" s="183">
        <f>IF(AND(M$32&gt;=$C34,M$32&lt;=$D34),$E34,0)</f>
        <v>0</v>
      </c>
      <c r="N34" s="183">
        <f t="shared" si="17"/>
        <v>0</v>
      </c>
      <c r="O34" s="183">
        <f t="shared" si="17"/>
        <v>0</v>
      </c>
      <c r="P34" s="183">
        <f t="shared" si="17"/>
        <v>0</v>
      </c>
      <c r="Q34" s="183">
        <f t="shared" si="17"/>
        <v>0</v>
      </c>
      <c r="R34" s="183">
        <f t="shared" si="17"/>
        <v>0</v>
      </c>
      <c r="S34" s="183">
        <f t="shared" si="17"/>
        <v>0</v>
      </c>
      <c r="U34"/>
      <c r="V34"/>
      <c r="W34"/>
      <c r="X34"/>
      <c r="Y34"/>
      <c r="Z34"/>
    </row>
    <row r="35" spans="2:26" x14ac:dyDescent="0.35">
      <c r="B35" s="15"/>
      <c r="C35" s="184">
        <v>0.83009999999999995</v>
      </c>
      <c r="D35" s="185" t="s">
        <v>132</v>
      </c>
      <c r="E35" s="202">
        <v>750</v>
      </c>
      <c r="F35" s="48"/>
      <c r="H35" s="183"/>
      <c r="I35" s="183"/>
      <c r="J35" s="183"/>
      <c r="K35" s="183"/>
      <c r="L35" s="183"/>
      <c r="M35" s="183">
        <f>IF(AND(M$32&gt;=$C35,M$32&lt;=$D35),$E35,0)</f>
        <v>0</v>
      </c>
      <c r="N35" s="183">
        <f t="shared" si="17"/>
        <v>0</v>
      </c>
      <c r="O35" s="183">
        <f t="shared" si="17"/>
        <v>0</v>
      </c>
      <c r="P35" s="183">
        <f t="shared" si="17"/>
        <v>750</v>
      </c>
      <c r="Q35" s="183">
        <f t="shared" si="17"/>
        <v>750</v>
      </c>
      <c r="R35" s="183">
        <f t="shared" si="17"/>
        <v>750</v>
      </c>
      <c r="S35" s="183">
        <f t="shared" si="17"/>
        <v>750</v>
      </c>
      <c r="U35"/>
      <c r="V35"/>
      <c r="W35" s="324"/>
      <c r="X35" s="322"/>
      <c r="Y35" s="324"/>
      <c r="Z35"/>
    </row>
    <row r="36" spans="2:26" x14ac:dyDescent="0.35">
      <c r="B36" s="38"/>
      <c r="C36" s="44"/>
      <c r="D36" s="44"/>
      <c r="E36" s="44"/>
      <c r="F36" s="163"/>
      <c r="G36" s="186" t="s">
        <v>133</v>
      </c>
      <c r="H36" s="187"/>
      <c r="I36" s="187"/>
      <c r="J36" s="187"/>
      <c r="K36" s="187"/>
      <c r="L36" s="187"/>
      <c r="M36" s="187">
        <f t="shared" ref="M36:S36" si="18">SUM(M33:M35)</f>
        <v>0</v>
      </c>
      <c r="N36" s="187">
        <f t="shared" si="18"/>
        <v>0</v>
      </c>
      <c r="O36" s="187">
        <f t="shared" si="18"/>
        <v>0</v>
      </c>
      <c r="P36" s="187">
        <f t="shared" si="18"/>
        <v>750</v>
      </c>
      <c r="Q36" s="187">
        <f t="shared" si="18"/>
        <v>750</v>
      </c>
      <c r="R36" s="187">
        <f t="shared" si="18"/>
        <v>750</v>
      </c>
      <c r="S36" s="187">
        <f t="shared" si="18"/>
        <v>750</v>
      </c>
      <c r="U36"/>
      <c r="V36"/>
      <c r="W36"/>
      <c r="X36"/>
      <c r="Y36"/>
      <c r="Z36"/>
    </row>
    <row r="37" spans="2:26" ht="8.25" customHeight="1" x14ac:dyDescent="0.35">
      <c r="B37"/>
      <c r="U37"/>
      <c r="V37"/>
      <c r="W37"/>
      <c r="X37"/>
      <c r="Y37"/>
      <c r="Z37"/>
    </row>
    <row r="38" spans="2:26" ht="14.5" customHeight="1" x14ac:dyDescent="0.35">
      <c r="B38"/>
      <c r="G38" s="40" t="s">
        <v>266</v>
      </c>
      <c r="O38" s="325">
        <v>1250</v>
      </c>
      <c r="U38"/>
      <c r="V38"/>
      <c r="W38"/>
      <c r="X38"/>
      <c r="Y38"/>
      <c r="Z38"/>
    </row>
    <row r="39" spans="2:26" ht="7.9" customHeight="1" x14ac:dyDescent="0.35"/>
    <row r="40" spans="2:26" ht="15" thickBot="1" x14ac:dyDescent="0.4">
      <c r="G40" s="188" t="s">
        <v>149</v>
      </c>
      <c r="H40" s="275"/>
      <c r="I40" s="275"/>
      <c r="J40" s="275"/>
      <c r="K40" s="275"/>
      <c r="L40" s="275"/>
      <c r="M40" s="275">
        <f>+M10+M30+M36+M17+M23</f>
        <v>0</v>
      </c>
      <c r="N40" s="275">
        <f>+N10+N30+N36+N17+N23</f>
        <v>2500</v>
      </c>
      <c r="O40" s="275">
        <f>+O10+O30+O36+O17+O23+O38</f>
        <v>4050</v>
      </c>
      <c r="P40" s="275">
        <f t="shared" ref="P40:S40" si="19">+P10+P30+P36+P17+P23</f>
        <v>5250</v>
      </c>
      <c r="Q40" s="275">
        <f t="shared" si="19"/>
        <v>5250</v>
      </c>
      <c r="R40" s="275">
        <f t="shared" si="19"/>
        <v>5250</v>
      </c>
      <c r="S40" s="275">
        <f t="shared" si="19"/>
        <v>5250</v>
      </c>
    </row>
    <row r="41" spans="2:26" ht="15" thickTop="1" x14ac:dyDescent="0.35">
      <c r="B41" s="281" t="s">
        <v>137</v>
      </c>
    </row>
    <row r="42" spans="2:26" x14ac:dyDescent="0.35">
      <c r="B42" s="771" t="s">
        <v>259</v>
      </c>
      <c r="C42" s="772"/>
      <c r="D42" s="772"/>
      <c r="E42" s="772"/>
      <c r="F42" s="47"/>
      <c r="G42" s="208" t="s">
        <v>119</v>
      </c>
      <c r="H42" s="190"/>
      <c r="I42" s="191"/>
      <c r="J42" s="305"/>
      <c r="K42" s="190"/>
      <c r="L42" s="191"/>
      <c r="M42" s="302">
        <v>268536</v>
      </c>
      <c r="N42" s="190"/>
      <c r="O42" s="191"/>
      <c r="P42" s="305"/>
      <c r="Q42" s="190"/>
      <c r="R42" s="191"/>
      <c r="S42" s="305"/>
    </row>
    <row r="43" spans="2:26" x14ac:dyDescent="0.35">
      <c r="B43" s="773"/>
      <c r="C43" s="774"/>
      <c r="D43" s="774"/>
      <c r="E43" s="774"/>
      <c r="F43" s="48"/>
      <c r="G43" s="209" t="s">
        <v>95</v>
      </c>
      <c r="H43" s="190"/>
      <c r="I43" s="191"/>
      <c r="J43" s="306"/>
      <c r="K43" s="190"/>
      <c r="L43" s="191"/>
      <c r="M43" s="303">
        <v>762586</v>
      </c>
      <c r="N43" s="190"/>
      <c r="O43" s="191"/>
      <c r="P43" s="306"/>
      <c r="Q43" s="190"/>
      <c r="R43" s="191"/>
      <c r="S43" s="306"/>
    </row>
    <row r="44" spans="2:26" x14ac:dyDescent="0.35">
      <c r="B44" s="45"/>
      <c r="C44" s="179" t="s">
        <v>129</v>
      </c>
      <c r="D44" s="179" t="s">
        <v>130</v>
      </c>
      <c r="E44" s="180" t="s">
        <v>131</v>
      </c>
      <c r="F44" s="48"/>
      <c r="G44" s="210"/>
      <c r="H44" s="166"/>
      <c r="I44" s="192"/>
      <c r="J44" s="181"/>
      <c r="K44" s="166"/>
      <c r="L44" s="192"/>
      <c r="M44" s="181">
        <f t="shared" ref="M44" si="20">IFERROR(ROUND(M42/M43,3)," - - -")</f>
        <v>0.35199999999999998</v>
      </c>
      <c r="N44" s="166"/>
      <c r="O44" s="192"/>
      <c r="P44" s="181" t="str">
        <f t="shared" ref="P44" si="21">IFERROR(ROUND(P42/P43,3)," - - -")</f>
        <v xml:space="preserve"> - - -</v>
      </c>
      <c r="Q44" s="166"/>
      <c r="R44" s="192"/>
      <c r="S44" s="181" t="str">
        <f t="shared" ref="S44" si="22">IFERROR(ROUND(S42/S43,3)," - - -")</f>
        <v xml:space="preserve"> - - -</v>
      </c>
    </row>
    <row r="45" spans="2:26" x14ac:dyDescent="0.35">
      <c r="B45" s="45"/>
      <c r="C45" s="182">
        <v>0.9</v>
      </c>
      <c r="D45" s="182">
        <v>0.99990000000000001</v>
      </c>
      <c r="E45" s="202">
        <v>1000</v>
      </c>
      <c r="F45" s="48"/>
      <c r="G45" s="209"/>
      <c r="H45" s="193"/>
      <c r="I45" s="194"/>
      <c r="J45" s="183"/>
      <c r="K45" s="193"/>
      <c r="L45" s="194"/>
      <c r="M45" s="183">
        <f>IF(AND(M$44&gt;=$C45,M$44&lt;=$D45),$E45,0)</f>
        <v>0</v>
      </c>
      <c r="N45" s="193"/>
      <c r="O45" s="194"/>
      <c r="P45" s="183">
        <f>IF(AND(P$44&gt;=$C45,P$44&lt;=$D45),$E45,0)</f>
        <v>0</v>
      </c>
      <c r="Q45" s="193"/>
      <c r="R45" s="194"/>
      <c r="S45" s="183">
        <f>IF(AND(S$44&gt;=$C45,S$44&lt;=$D45),$E45,0)</f>
        <v>0</v>
      </c>
    </row>
    <row r="46" spans="2:26" x14ac:dyDescent="0.35">
      <c r="B46" s="45"/>
      <c r="C46" s="182">
        <v>1</v>
      </c>
      <c r="D46" s="182">
        <v>1.0999000000000001</v>
      </c>
      <c r="E46" s="202">
        <v>2000</v>
      </c>
      <c r="F46" s="48"/>
      <c r="G46" s="209"/>
      <c r="H46" s="193"/>
      <c r="I46" s="194"/>
      <c r="J46" s="183"/>
      <c r="K46" s="193"/>
      <c r="L46" s="194"/>
      <c r="M46" s="183">
        <f>IF(AND(M$44&gt;=$C46,M$44&lt;=$D46),$E46,0)</f>
        <v>0</v>
      </c>
      <c r="N46" s="193"/>
      <c r="O46" s="194"/>
      <c r="P46" s="183">
        <f>IF(AND(P$44&gt;=$C46,P$44&lt;=$D46),$E46,0)</f>
        <v>0</v>
      </c>
      <c r="Q46" s="193"/>
      <c r="R46" s="194"/>
      <c r="S46" s="183">
        <f>IF(AND(S$44&gt;=$C46,S$44&lt;=$D46),$E46,0)</f>
        <v>0</v>
      </c>
    </row>
    <row r="47" spans="2:26" x14ac:dyDescent="0.35">
      <c r="B47" s="45"/>
      <c r="C47" s="184">
        <v>1.1000000000000001</v>
      </c>
      <c r="D47" s="185" t="s">
        <v>132</v>
      </c>
      <c r="E47" s="202">
        <v>3500</v>
      </c>
      <c r="F47" s="48"/>
      <c r="G47" s="209"/>
      <c r="H47" s="193"/>
      <c r="I47" s="194"/>
      <c r="J47" s="183"/>
      <c r="K47" s="193"/>
      <c r="L47" s="194"/>
      <c r="M47" s="183">
        <f>IF(AND(M$44&gt;=$C47,M$44&lt;=$D47),$E47,0)</f>
        <v>0</v>
      </c>
      <c r="N47" s="193"/>
      <c r="O47" s="194"/>
      <c r="P47" s="183">
        <f>IF(AND(P$44&gt;=$C47,P$44&lt;=$D47),$E47,0)</f>
        <v>3500</v>
      </c>
      <c r="Q47" s="193"/>
      <c r="R47" s="194"/>
      <c r="S47" s="183">
        <f>IF(AND(S$44&gt;=$C47,S$44&lt;=$D47),$E47,0)</f>
        <v>3500</v>
      </c>
    </row>
    <row r="48" spans="2:26" x14ac:dyDescent="0.35">
      <c r="B48" s="43"/>
      <c r="C48" s="44"/>
      <c r="D48" s="44"/>
      <c r="E48" s="44"/>
      <c r="F48" s="163"/>
      <c r="G48" s="211" t="s">
        <v>133</v>
      </c>
      <c r="H48" s="190"/>
      <c r="I48" s="191"/>
      <c r="J48" s="187"/>
      <c r="K48" s="190"/>
      <c r="L48" s="191"/>
      <c r="M48" s="187">
        <f t="shared" ref="M48" si="23">SUM(M45:M47)</f>
        <v>0</v>
      </c>
      <c r="N48" s="190"/>
      <c r="O48" s="191"/>
      <c r="P48" s="187">
        <f t="shared" ref="P48" si="24">SUM(P45:P47)</f>
        <v>3500</v>
      </c>
      <c r="Q48" s="190"/>
      <c r="R48" s="191"/>
      <c r="S48" s="187">
        <f t="shared" ref="S48" si="25">SUM(S45:S47)</f>
        <v>3500</v>
      </c>
    </row>
    <row r="49" spans="2:19" x14ac:dyDescent="0.35">
      <c r="B49" s="45"/>
      <c r="F49" s="48"/>
      <c r="G49" s="208"/>
      <c r="H49" s="190"/>
      <c r="I49" s="191"/>
      <c r="J49" s="175"/>
      <c r="K49" s="190"/>
      <c r="L49" s="191"/>
      <c r="M49" s="175"/>
      <c r="N49" s="190"/>
      <c r="O49" s="191"/>
      <c r="P49" s="175"/>
      <c r="Q49" s="190"/>
      <c r="R49" s="191"/>
      <c r="S49" s="175"/>
    </row>
    <row r="50" spans="2:19" x14ac:dyDescent="0.35">
      <c r="B50" s="10" t="s">
        <v>247</v>
      </c>
      <c r="C50" s="173"/>
      <c r="D50" s="173"/>
      <c r="E50" s="174"/>
      <c r="F50" s="47"/>
      <c r="G50" s="208" t="s">
        <v>119</v>
      </c>
      <c r="H50" s="190"/>
      <c r="I50" s="191"/>
      <c r="J50" s="305"/>
      <c r="K50" s="190"/>
      <c r="L50" s="191"/>
      <c r="M50" s="305">
        <v>4</v>
      </c>
      <c r="N50" s="190"/>
      <c r="O50" s="191"/>
      <c r="P50" s="305">
        <v>5</v>
      </c>
      <c r="Q50" s="190"/>
      <c r="R50" s="191"/>
      <c r="S50" s="305">
        <v>5</v>
      </c>
    </row>
    <row r="51" spans="2:19" x14ac:dyDescent="0.35">
      <c r="B51" s="45"/>
      <c r="C51" s="179" t="s">
        <v>129</v>
      </c>
      <c r="D51" s="179" t="s">
        <v>130</v>
      </c>
      <c r="E51" s="180" t="s">
        <v>131</v>
      </c>
      <c r="F51" s="48"/>
      <c r="G51" s="210"/>
      <c r="H51" s="166"/>
      <c r="I51" s="192"/>
      <c r="J51" s="181"/>
      <c r="K51" s="166"/>
      <c r="L51" s="192"/>
      <c r="M51" s="181"/>
      <c r="N51" s="166"/>
      <c r="O51" s="192"/>
      <c r="P51" s="181"/>
      <c r="Q51" s="166"/>
      <c r="R51" s="192"/>
      <c r="S51" s="181"/>
    </row>
    <row r="52" spans="2:19" x14ac:dyDescent="0.35">
      <c r="B52" s="45"/>
      <c r="C52" s="206">
        <v>3</v>
      </c>
      <c r="D52" s="206">
        <f>C52</f>
        <v>3</v>
      </c>
      <c r="E52" s="202">
        <v>700</v>
      </c>
      <c r="F52" s="48"/>
      <c r="G52" s="209"/>
      <c r="H52" s="193"/>
      <c r="I52" s="194"/>
      <c r="J52" s="183"/>
      <c r="K52" s="193"/>
      <c r="L52" s="194"/>
      <c r="M52" s="183">
        <f>IF(AND(M$50&gt;=$C52,M$50&lt;=$D52),$E52,0)</f>
        <v>0</v>
      </c>
      <c r="N52" s="193"/>
      <c r="O52" s="194"/>
      <c r="P52" s="183">
        <f>IF(AND(P$50&gt;=$C52,P$50&lt;=$D52),$E52,0)</f>
        <v>0</v>
      </c>
      <c r="Q52" s="193"/>
      <c r="R52" s="194"/>
      <c r="S52" s="183">
        <f>IF(AND(S$50&gt;=$C52,S$50&lt;=$D52),$E52,0)</f>
        <v>0</v>
      </c>
    </row>
    <row r="53" spans="2:19" x14ac:dyDescent="0.35">
      <c r="B53" s="45"/>
      <c r="C53" s="206">
        <f>C52+1</f>
        <v>4</v>
      </c>
      <c r="D53" s="206">
        <f t="shared" ref="D53:D54" si="26">D52+1</f>
        <v>4</v>
      </c>
      <c r="E53" s="202">
        <v>1500</v>
      </c>
      <c r="F53" s="48"/>
      <c r="G53" s="209"/>
      <c r="H53" s="193"/>
      <c r="I53" s="194"/>
      <c r="J53" s="183"/>
      <c r="K53" s="193"/>
      <c r="L53" s="194"/>
      <c r="M53" s="183">
        <f>IF(AND(M$50&gt;=$C53,M$50&lt;=$D53),$E53,0)</f>
        <v>1500</v>
      </c>
      <c r="N53" s="193"/>
      <c r="O53" s="194"/>
      <c r="P53" s="183">
        <f>IF(AND(P$50&gt;=$C53,P$50&lt;=$D53),$E53,0)</f>
        <v>0</v>
      </c>
      <c r="Q53" s="193"/>
      <c r="R53" s="194"/>
      <c r="S53" s="183">
        <f>IF(AND(S$50&gt;=$C53,S$50&lt;=$D53),$E53,0)</f>
        <v>0</v>
      </c>
    </row>
    <row r="54" spans="2:19" x14ac:dyDescent="0.35">
      <c r="B54" s="45"/>
      <c r="C54" s="206">
        <f t="shared" ref="C54" si="27">C53+1</f>
        <v>5</v>
      </c>
      <c r="D54" s="206">
        <f t="shared" si="26"/>
        <v>5</v>
      </c>
      <c r="E54" s="202">
        <v>2500</v>
      </c>
      <c r="F54" s="48"/>
      <c r="G54" s="209"/>
      <c r="H54" s="193"/>
      <c r="I54" s="194"/>
      <c r="J54" s="183"/>
      <c r="K54" s="193"/>
      <c r="L54" s="194"/>
      <c r="M54" s="183">
        <f>IF(AND(M$50&gt;=$C54,M$50&lt;=$D54),$E54,0)</f>
        <v>0</v>
      </c>
      <c r="N54" s="193"/>
      <c r="O54" s="194"/>
      <c r="P54" s="183">
        <f>IF(AND(P$50&gt;=$C54,P$50&lt;=$D54),$E54,0)</f>
        <v>2500</v>
      </c>
      <c r="Q54" s="193"/>
      <c r="R54" s="194"/>
      <c r="S54" s="183">
        <f>IF(AND(S$50&gt;=$C54,S$50&lt;=$D54),$E54,0)</f>
        <v>2500</v>
      </c>
    </row>
    <row r="55" spans="2:19" x14ac:dyDescent="0.35">
      <c r="B55" s="43"/>
      <c r="C55" s="44"/>
      <c r="D55" s="44"/>
      <c r="E55" s="44"/>
      <c r="F55" s="163"/>
      <c r="G55" s="211" t="s">
        <v>133</v>
      </c>
      <c r="H55" s="190"/>
      <c r="I55" s="191"/>
      <c r="J55" s="187"/>
      <c r="K55" s="190"/>
      <c r="L55" s="191"/>
      <c r="M55" s="187">
        <f t="shared" ref="M55" si="28">SUM(M52:M54)</f>
        <v>1500</v>
      </c>
      <c r="N55" s="190"/>
      <c r="O55" s="191"/>
      <c r="P55" s="187">
        <f t="shared" ref="P55" si="29">SUM(P52:P54)</f>
        <v>2500</v>
      </c>
      <c r="Q55" s="190"/>
      <c r="R55" s="191"/>
      <c r="S55" s="187">
        <f t="shared" ref="S55" si="30">SUM(S52:S54)</f>
        <v>2500</v>
      </c>
    </row>
    <row r="56" spans="2:19" ht="22.5" customHeight="1" thickBot="1" x14ac:dyDescent="0.4">
      <c r="E56" s="188"/>
      <c r="G56" s="188" t="s">
        <v>145</v>
      </c>
      <c r="J56" s="189">
        <f>+J48+J55</f>
        <v>0</v>
      </c>
      <c r="M56" s="189">
        <f>+M48+M55</f>
        <v>1500</v>
      </c>
      <c r="P56" s="189">
        <f>+P48+P55</f>
        <v>6000</v>
      </c>
      <c r="S56" s="189">
        <f>+S48+S55</f>
        <v>6000</v>
      </c>
    </row>
    <row r="57" spans="2:19" ht="15" thickTop="1" x14ac:dyDescent="0.35"/>
    <row r="58" spans="2:19" ht="15" thickBot="1" x14ac:dyDescent="0.4">
      <c r="G58" s="197" t="s">
        <v>140</v>
      </c>
      <c r="H58" s="199"/>
      <c r="I58" s="199"/>
      <c r="J58" s="199">
        <f>J40+J56</f>
        <v>0</v>
      </c>
      <c r="K58" s="199"/>
      <c r="L58" s="199"/>
      <c r="M58" s="199">
        <f>M40+M56</f>
        <v>1500</v>
      </c>
      <c r="N58" s="199"/>
      <c r="O58" s="199"/>
      <c r="P58" s="199">
        <f>P40+P56</f>
        <v>11250</v>
      </c>
      <c r="Q58" s="199"/>
      <c r="R58" s="199"/>
      <c r="S58" s="199">
        <f>+S40+S56</f>
        <v>11250</v>
      </c>
    </row>
    <row r="59" spans="2:19" ht="15" thickTop="1" x14ac:dyDescent="0.35"/>
    <row r="61" spans="2:19" x14ac:dyDescent="0.35">
      <c r="I61" s="40" t="s">
        <v>72</v>
      </c>
      <c r="J61" s="311" t="e">
        <f>#REF!</f>
        <v>#REF!</v>
      </c>
    </row>
    <row r="62" spans="2:19" x14ac:dyDescent="0.35">
      <c r="I62" s="40" t="s">
        <v>249</v>
      </c>
      <c r="J62" s="311" t="e">
        <f>#REF!</f>
        <v>#REF!</v>
      </c>
    </row>
    <row r="63" spans="2:19" x14ac:dyDescent="0.35">
      <c r="I63" s="40" t="s">
        <v>250</v>
      </c>
      <c r="J63" s="311">
        <f>-(SOMMAIRE!B13+SOMMAIRE!B14)</f>
        <v>-15850</v>
      </c>
      <c r="R63"/>
    </row>
    <row r="64" spans="2:19" x14ac:dyDescent="0.35">
      <c r="I64" s="139" t="s">
        <v>78</v>
      </c>
      <c r="J64" s="313" t="e">
        <f>SUM(J61:J63)</f>
        <v>#REF!</v>
      </c>
    </row>
    <row r="66" spans="9:10" x14ac:dyDescent="0.35">
      <c r="I66" s="40" t="s">
        <v>72</v>
      </c>
      <c r="J66" s="311" t="e">
        <f>#REF!</f>
        <v>#REF!</v>
      </c>
    </row>
    <row r="67" spans="9:10" x14ac:dyDescent="0.35">
      <c r="I67" s="40" t="s">
        <v>249</v>
      </c>
      <c r="J67" s="311" t="e">
        <f>#REF!</f>
        <v>#REF!</v>
      </c>
    </row>
    <row r="68" spans="9:10" x14ac:dyDescent="0.35">
      <c r="I68" s="139" t="s">
        <v>2</v>
      </c>
      <c r="J68" s="313" t="e">
        <f>SUM(J66:J67)</f>
        <v>#REF!</v>
      </c>
    </row>
    <row r="70" spans="9:10" x14ac:dyDescent="0.35">
      <c r="I70" s="40" t="s">
        <v>251</v>
      </c>
      <c r="J70" s="311" t="e">
        <f>J64-+J68</f>
        <v>#REF!</v>
      </c>
    </row>
    <row r="71" spans="9:10" x14ac:dyDescent="0.35">
      <c r="J71" s="312" t="e">
        <f>J64/J68</f>
        <v>#REF!</v>
      </c>
    </row>
  </sheetData>
  <mergeCells count="1">
    <mergeCell ref="B42:E43"/>
  </mergeCells>
  <pageMargins left="0.7" right="0.7" top="0.75" bottom="0.75" header="0.3" footer="0.3"/>
  <pageSetup scale="66" orientation="portrait" r:id="rId1"/>
  <ignoredErrors>
    <ignoredError sqref="O40" formula="1"/>
  </ignoredError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1:S37"/>
  <sheetViews>
    <sheetView zoomScale="85" zoomScaleNormal="85" workbookViewId="0">
      <selection activeCell="E7" sqref="E7"/>
    </sheetView>
  </sheetViews>
  <sheetFormatPr baseColWidth="10" defaultColWidth="11.453125" defaultRowHeight="14.5" x14ac:dyDescent="0.35"/>
  <cols>
    <col min="1" max="1" width="3.7265625" style="40" customWidth="1"/>
    <col min="2" max="2" width="30.54296875" style="40" bestFit="1" customWidth="1"/>
    <col min="3" max="4" width="10.7265625" style="40" customWidth="1"/>
    <col min="5" max="5" width="10.54296875" style="40" bestFit="1" customWidth="1"/>
    <col min="6" max="6" width="1.7265625" style="40" customWidth="1"/>
    <col min="7" max="7" width="11.453125" style="40"/>
    <col min="8" max="8" width="10.453125" style="40" hidden="1" customWidth="1"/>
    <col min="9" max="14" width="11.453125" style="40" hidden="1" customWidth="1"/>
    <col min="15" max="19" width="11.453125" style="40" customWidth="1"/>
    <col min="20" max="16384" width="11.453125" style="40"/>
  </cols>
  <sheetData>
    <row r="1" spans="2:19" x14ac:dyDescent="0.35">
      <c r="B1" s="300" t="s">
        <v>243</v>
      </c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</row>
    <row r="2" spans="2:19" ht="8.25" customHeight="1" x14ac:dyDescent="0.35"/>
    <row r="3" spans="2:19" x14ac:dyDescent="0.35">
      <c r="B3" s="170" t="s">
        <v>126</v>
      </c>
      <c r="C3" s="171"/>
      <c r="D3" s="171"/>
      <c r="H3" s="172">
        <v>45321</v>
      </c>
      <c r="I3" s="172">
        <v>45350</v>
      </c>
      <c r="J3" s="172">
        <v>45379</v>
      </c>
      <c r="K3" s="172">
        <v>45408</v>
      </c>
      <c r="L3" s="172">
        <v>45437</v>
      </c>
      <c r="M3" s="172">
        <v>45466</v>
      </c>
      <c r="N3" s="172">
        <v>45495</v>
      </c>
      <c r="O3" s="172">
        <v>45524</v>
      </c>
      <c r="P3" s="172">
        <v>45553</v>
      </c>
      <c r="Q3" s="172">
        <v>45582</v>
      </c>
      <c r="R3" s="172">
        <v>45611</v>
      </c>
      <c r="S3" s="172">
        <v>45640</v>
      </c>
    </row>
    <row r="4" spans="2:19" x14ac:dyDescent="0.35">
      <c r="B4" s="41" t="s">
        <v>144</v>
      </c>
      <c r="C4" s="173"/>
      <c r="D4" s="173"/>
      <c r="E4" s="174"/>
      <c r="F4" s="47"/>
      <c r="G4" s="42" t="s">
        <v>119</v>
      </c>
      <c r="H4" s="302"/>
      <c r="I4" s="302"/>
      <c r="J4" s="302"/>
      <c r="K4" s="302"/>
      <c r="L4" s="302"/>
      <c r="M4" s="302">
        <v>84900</v>
      </c>
      <c r="N4" s="302">
        <f>'Kaven Bonneau v2 2024'!N24</f>
        <v>100043</v>
      </c>
      <c r="O4" s="302">
        <f>'Kaven Bonneau v2 2024'!O24</f>
        <v>42434</v>
      </c>
      <c r="P4" s="302">
        <f>'Kaven Bonneau v2 2024'!P24</f>
        <v>0</v>
      </c>
      <c r="Q4" s="302">
        <f>'Kaven Bonneau v2 2024'!Q24</f>
        <v>0</v>
      </c>
      <c r="R4" s="302">
        <f>'Kaven Bonneau v2 2024'!R24</f>
        <v>0</v>
      </c>
      <c r="S4" s="302">
        <f>'Kaven Bonneau v2 2024'!S24</f>
        <v>0</v>
      </c>
    </row>
    <row r="5" spans="2:19" x14ac:dyDescent="0.35">
      <c r="B5" s="45" t="s">
        <v>238</v>
      </c>
      <c r="C5" s="176"/>
      <c r="D5" s="176"/>
      <c r="E5" s="177"/>
      <c r="F5" s="48"/>
      <c r="G5" s="40" t="s">
        <v>95</v>
      </c>
      <c r="H5" s="303"/>
      <c r="I5" s="303"/>
      <c r="J5" s="303"/>
      <c r="K5" s="303"/>
      <c r="L5" s="303"/>
      <c r="M5" s="303">
        <v>171471</v>
      </c>
      <c r="N5" s="303">
        <f>'Kaven Bonneau v2 2024'!N25</f>
        <v>159665</v>
      </c>
      <c r="O5" s="303">
        <f>'Kaven Bonneau v2 2024'!O25</f>
        <v>170159</v>
      </c>
      <c r="P5" s="303">
        <f>'Kaven Bonneau v2 2024'!P25</f>
        <v>0</v>
      </c>
      <c r="Q5" s="303">
        <f>'Kaven Bonneau v2 2024'!Q25</f>
        <v>0</v>
      </c>
      <c r="R5" s="303">
        <f>'Kaven Bonneau v2 2024'!R25</f>
        <v>0</v>
      </c>
      <c r="S5" s="303">
        <f>'Kaven Bonneau v2 2024'!S25</f>
        <v>0</v>
      </c>
    </row>
    <row r="6" spans="2:19" x14ac:dyDescent="0.35">
      <c r="B6" s="45"/>
      <c r="C6" s="179" t="s">
        <v>129</v>
      </c>
      <c r="D6" s="179" t="s">
        <v>130</v>
      </c>
      <c r="E6" s="180" t="s">
        <v>131</v>
      </c>
      <c r="F6" s="48"/>
      <c r="G6" s="157" t="s">
        <v>37</v>
      </c>
      <c r="H6" s="181"/>
      <c r="I6" s="181"/>
      <c r="J6" s="181"/>
      <c r="K6" s="181"/>
      <c r="L6" s="181"/>
      <c r="M6" s="181">
        <f t="shared" ref="M6:S6" si="0">IFERROR(ROUND(M4/M5,3)," - - -")</f>
        <v>0.495</v>
      </c>
      <c r="N6" s="181">
        <f t="shared" si="0"/>
        <v>0.627</v>
      </c>
      <c r="O6" s="181">
        <f t="shared" si="0"/>
        <v>0.249</v>
      </c>
      <c r="P6" s="181" t="str">
        <f t="shared" si="0"/>
        <v xml:space="preserve"> - - -</v>
      </c>
      <c r="Q6" s="181" t="str">
        <f t="shared" si="0"/>
        <v xml:space="preserve"> - - -</v>
      </c>
      <c r="R6" s="181" t="str">
        <f t="shared" si="0"/>
        <v xml:space="preserve"> - - -</v>
      </c>
      <c r="S6" s="181" t="str">
        <f t="shared" si="0"/>
        <v xml:space="preserve"> - - -</v>
      </c>
    </row>
    <row r="7" spans="2:19" x14ac:dyDescent="0.35">
      <c r="B7" s="45"/>
      <c r="C7" s="182">
        <v>0.9</v>
      </c>
      <c r="D7" s="182">
        <v>0.99990000000000001</v>
      </c>
      <c r="E7" s="202">
        <v>500</v>
      </c>
      <c r="F7" s="48"/>
      <c r="H7" s="183"/>
      <c r="I7" s="183"/>
      <c r="J7" s="183"/>
      <c r="K7" s="183"/>
      <c r="L7" s="183"/>
      <c r="M7" s="183">
        <f t="shared" ref="M7:S9" si="1">IF(AND(M$6&gt;=$C7,M$6&lt;=$D7),$E7,0)</f>
        <v>0</v>
      </c>
      <c r="N7" s="183">
        <f t="shared" si="1"/>
        <v>0</v>
      </c>
      <c r="O7" s="183">
        <f t="shared" si="1"/>
        <v>0</v>
      </c>
      <c r="P7" s="183">
        <f t="shared" si="1"/>
        <v>0</v>
      </c>
      <c r="Q7" s="183">
        <f t="shared" si="1"/>
        <v>0</v>
      </c>
      <c r="R7" s="183">
        <f t="shared" si="1"/>
        <v>0</v>
      </c>
      <c r="S7" s="183">
        <f t="shared" si="1"/>
        <v>0</v>
      </c>
    </row>
    <row r="8" spans="2:19" x14ac:dyDescent="0.35">
      <c r="B8" s="45"/>
      <c r="C8" s="182">
        <v>1</v>
      </c>
      <c r="D8" s="182">
        <v>1.0999000000000001</v>
      </c>
      <c r="E8" s="202">
        <v>850</v>
      </c>
      <c r="F8" s="48"/>
      <c r="H8" s="183"/>
      <c r="I8" s="183"/>
      <c r="J8" s="183"/>
      <c r="K8" s="183"/>
      <c r="L8" s="183"/>
      <c r="M8" s="183">
        <f t="shared" si="1"/>
        <v>0</v>
      </c>
      <c r="N8" s="183">
        <f t="shared" si="1"/>
        <v>0</v>
      </c>
      <c r="O8" s="183">
        <f t="shared" si="1"/>
        <v>0</v>
      </c>
      <c r="P8" s="183">
        <f t="shared" si="1"/>
        <v>0</v>
      </c>
      <c r="Q8" s="183">
        <f t="shared" si="1"/>
        <v>0</v>
      </c>
      <c r="R8" s="183">
        <f t="shared" si="1"/>
        <v>0</v>
      </c>
      <c r="S8" s="183">
        <f t="shared" si="1"/>
        <v>0</v>
      </c>
    </row>
    <row r="9" spans="2:19" x14ac:dyDescent="0.35">
      <c r="B9" s="45"/>
      <c r="C9" s="184">
        <v>1.1000000000000001</v>
      </c>
      <c r="D9" s="185" t="s">
        <v>132</v>
      </c>
      <c r="E9" s="202">
        <v>1500</v>
      </c>
      <c r="F9" s="48"/>
      <c r="H9" s="183"/>
      <c r="I9" s="183"/>
      <c r="J9" s="183"/>
      <c r="K9" s="183"/>
      <c r="L9" s="183"/>
      <c r="M9" s="183">
        <f t="shared" si="1"/>
        <v>0</v>
      </c>
      <c r="N9" s="183">
        <f t="shared" si="1"/>
        <v>0</v>
      </c>
      <c r="O9" s="183">
        <f t="shared" si="1"/>
        <v>0</v>
      </c>
      <c r="P9" s="183">
        <f t="shared" si="1"/>
        <v>1500</v>
      </c>
      <c r="Q9" s="183">
        <f t="shared" si="1"/>
        <v>1500</v>
      </c>
      <c r="R9" s="183">
        <f t="shared" si="1"/>
        <v>1500</v>
      </c>
      <c r="S9" s="183">
        <f t="shared" si="1"/>
        <v>1500</v>
      </c>
    </row>
    <row r="10" spans="2:19" x14ac:dyDescent="0.35">
      <c r="B10" s="43"/>
      <c r="C10" s="44"/>
      <c r="D10" s="44"/>
      <c r="E10" s="44"/>
      <c r="F10" s="163"/>
      <c r="G10" s="186" t="s">
        <v>133</v>
      </c>
      <c r="H10" s="187"/>
      <c r="I10" s="187"/>
      <c r="J10" s="187"/>
      <c r="K10" s="187"/>
      <c r="L10" s="187"/>
      <c r="M10" s="187">
        <f t="shared" ref="M10:S10" si="2">SUM(M7:M9)</f>
        <v>0</v>
      </c>
      <c r="N10" s="187">
        <f t="shared" si="2"/>
        <v>0</v>
      </c>
      <c r="O10" s="187">
        <f t="shared" si="2"/>
        <v>0</v>
      </c>
      <c r="P10" s="187">
        <f t="shared" si="2"/>
        <v>1500</v>
      </c>
      <c r="Q10" s="187">
        <f t="shared" si="2"/>
        <v>1500</v>
      </c>
      <c r="R10" s="187">
        <f t="shared" si="2"/>
        <v>1500</v>
      </c>
      <c r="S10" s="187">
        <f t="shared" si="2"/>
        <v>1500</v>
      </c>
    </row>
    <row r="11" spans="2:19" ht="8.25" customHeight="1" x14ac:dyDescent="0.35">
      <c r="H11" s="146"/>
      <c r="I11" s="146"/>
      <c r="J11" s="146"/>
      <c r="K11" s="146"/>
      <c r="L11" s="146"/>
      <c r="M11" s="146"/>
      <c r="N11" s="146"/>
      <c r="O11" s="146"/>
      <c r="P11" s="146"/>
      <c r="Q11" s="146"/>
      <c r="R11" s="146"/>
      <c r="S11" s="146"/>
    </row>
    <row r="12" spans="2:19" x14ac:dyDescent="0.35">
      <c r="B12" s="41" t="s">
        <v>244</v>
      </c>
      <c r="C12" s="173"/>
      <c r="D12" s="173"/>
      <c r="E12" s="174"/>
      <c r="F12" s="47"/>
      <c r="G12" s="42" t="s">
        <v>119</v>
      </c>
      <c r="H12" s="219"/>
      <c r="I12" s="307"/>
      <c r="J12" s="307"/>
      <c r="K12" s="307"/>
      <c r="L12" s="307"/>
      <c r="M12" s="307">
        <v>33</v>
      </c>
      <c r="N12" s="307">
        <v>30</v>
      </c>
      <c r="O12" s="307">
        <v>25</v>
      </c>
      <c r="P12" s="307"/>
      <c r="Q12" s="307"/>
      <c r="R12" s="307"/>
      <c r="S12" s="307"/>
    </row>
    <row r="13" spans="2:19" x14ac:dyDescent="0.35">
      <c r="B13" s="45" t="s">
        <v>238</v>
      </c>
      <c r="C13" s="176"/>
      <c r="D13" s="176"/>
      <c r="E13" s="177"/>
      <c r="F13" s="48"/>
      <c r="G13" s="40" t="s">
        <v>95</v>
      </c>
      <c r="H13" s="220"/>
      <c r="I13" s="308"/>
      <c r="J13" s="308"/>
      <c r="K13" s="308"/>
      <c r="L13" s="308"/>
      <c r="M13" s="308">
        <v>39</v>
      </c>
      <c r="N13" s="308">
        <v>36</v>
      </c>
      <c r="O13" s="308">
        <v>39</v>
      </c>
      <c r="P13" s="308"/>
      <c r="Q13" s="308"/>
      <c r="R13" s="308"/>
      <c r="S13" s="308"/>
    </row>
    <row r="14" spans="2:19" x14ac:dyDescent="0.35">
      <c r="B14" s="45"/>
      <c r="C14" s="179" t="s">
        <v>129</v>
      </c>
      <c r="D14" s="179" t="s">
        <v>130</v>
      </c>
      <c r="E14" s="180" t="s">
        <v>131</v>
      </c>
      <c r="F14" s="48"/>
      <c r="G14" s="157" t="s">
        <v>37</v>
      </c>
      <c r="H14" s="181"/>
      <c r="I14" s="181"/>
      <c r="J14" s="181"/>
      <c r="K14" s="181"/>
      <c r="L14" s="181"/>
      <c r="M14" s="181">
        <f t="shared" ref="M14:S14" si="3">IFERROR(ROUND(M12/M13,3)," - - -")</f>
        <v>0.84599999999999997</v>
      </c>
      <c r="N14" s="181">
        <f t="shared" si="3"/>
        <v>0.83299999999999996</v>
      </c>
      <c r="O14" s="181">
        <f t="shared" si="3"/>
        <v>0.64100000000000001</v>
      </c>
      <c r="P14" s="181" t="str">
        <f t="shared" si="3"/>
        <v xml:space="preserve"> - - -</v>
      </c>
      <c r="Q14" s="181" t="str">
        <f t="shared" si="3"/>
        <v xml:space="preserve"> - - -</v>
      </c>
      <c r="R14" s="181" t="str">
        <f t="shared" si="3"/>
        <v xml:space="preserve"> - - -</v>
      </c>
      <c r="S14" s="181" t="str">
        <f t="shared" si="3"/>
        <v xml:space="preserve"> - - -</v>
      </c>
    </row>
    <row r="15" spans="2:19" x14ac:dyDescent="0.35">
      <c r="B15" s="45"/>
      <c r="C15" s="182">
        <v>0.9</v>
      </c>
      <c r="D15" s="182">
        <v>0.99990000000000001</v>
      </c>
      <c r="E15" s="202">
        <v>500</v>
      </c>
      <c r="F15" s="48"/>
      <c r="H15" s="183"/>
      <c r="I15" s="183"/>
      <c r="J15" s="183"/>
      <c r="K15" s="183"/>
      <c r="L15" s="183"/>
      <c r="M15" s="183">
        <f t="shared" ref="M15:S17" si="4">IF(AND(M$14&gt;=$C15,M$14&lt;=$D15),$E15,0)</f>
        <v>0</v>
      </c>
      <c r="N15" s="183">
        <f t="shared" si="4"/>
        <v>0</v>
      </c>
      <c r="O15" s="183">
        <f t="shared" si="4"/>
        <v>0</v>
      </c>
      <c r="P15" s="183">
        <f t="shared" si="4"/>
        <v>0</v>
      </c>
      <c r="Q15" s="183">
        <f t="shared" si="4"/>
        <v>0</v>
      </c>
      <c r="R15" s="183">
        <f t="shared" si="4"/>
        <v>0</v>
      </c>
      <c r="S15" s="183">
        <f t="shared" si="4"/>
        <v>0</v>
      </c>
    </row>
    <row r="16" spans="2:19" x14ac:dyDescent="0.35">
      <c r="B16" s="45"/>
      <c r="C16" s="182">
        <v>1</v>
      </c>
      <c r="D16" s="182">
        <v>1.0999000000000001</v>
      </c>
      <c r="E16" s="202">
        <v>750</v>
      </c>
      <c r="F16" s="48"/>
      <c r="H16" s="183"/>
      <c r="I16" s="183"/>
      <c r="J16" s="183"/>
      <c r="K16" s="183"/>
      <c r="L16" s="183"/>
      <c r="M16" s="183">
        <f t="shared" si="4"/>
        <v>0</v>
      </c>
      <c r="N16" s="183">
        <f t="shared" si="4"/>
        <v>0</v>
      </c>
      <c r="O16" s="183">
        <f t="shared" si="4"/>
        <v>0</v>
      </c>
      <c r="P16" s="183">
        <f t="shared" si="4"/>
        <v>0</v>
      </c>
      <c r="Q16" s="183">
        <f t="shared" si="4"/>
        <v>0</v>
      </c>
      <c r="R16" s="183">
        <f t="shared" si="4"/>
        <v>0</v>
      </c>
      <c r="S16" s="183">
        <f t="shared" si="4"/>
        <v>0</v>
      </c>
    </row>
    <row r="17" spans="2:19" x14ac:dyDescent="0.35">
      <c r="B17" s="45"/>
      <c r="C17" s="184">
        <v>1.1000000000000001</v>
      </c>
      <c r="D17" s="185" t="s">
        <v>132</v>
      </c>
      <c r="E17" s="202">
        <v>1500</v>
      </c>
      <c r="F17" s="48"/>
      <c r="H17" s="183"/>
      <c r="I17" s="183"/>
      <c r="J17" s="183"/>
      <c r="K17" s="183"/>
      <c r="L17" s="183"/>
      <c r="M17" s="183">
        <f t="shared" si="4"/>
        <v>0</v>
      </c>
      <c r="N17" s="183">
        <f t="shared" si="4"/>
        <v>0</v>
      </c>
      <c r="O17" s="183">
        <f t="shared" si="4"/>
        <v>0</v>
      </c>
      <c r="P17" s="183">
        <f t="shared" si="4"/>
        <v>1500</v>
      </c>
      <c r="Q17" s="183">
        <f t="shared" si="4"/>
        <v>1500</v>
      </c>
      <c r="R17" s="183">
        <f t="shared" si="4"/>
        <v>1500</v>
      </c>
      <c r="S17" s="183">
        <f t="shared" si="4"/>
        <v>1500</v>
      </c>
    </row>
    <row r="18" spans="2:19" x14ac:dyDescent="0.35">
      <c r="B18" s="43"/>
      <c r="C18" s="44"/>
      <c r="D18" s="44"/>
      <c r="E18" s="44"/>
      <c r="F18" s="163"/>
      <c r="G18" s="186" t="s">
        <v>133</v>
      </c>
      <c r="H18" s="187"/>
      <c r="I18" s="187"/>
      <c r="J18" s="187"/>
      <c r="K18" s="187"/>
      <c r="L18" s="187"/>
      <c r="M18" s="187">
        <f t="shared" ref="M18:S18" si="5">SUM(M15:M17)</f>
        <v>0</v>
      </c>
      <c r="N18" s="187">
        <f t="shared" si="5"/>
        <v>0</v>
      </c>
      <c r="O18" s="187">
        <f t="shared" si="5"/>
        <v>0</v>
      </c>
      <c r="P18" s="187">
        <f t="shared" si="5"/>
        <v>1500</v>
      </c>
      <c r="Q18" s="187">
        <f t="shared" si="5"/>
        <v>1500</v>
      </c>
      <c r="R18" s="187">
        <f t="shared" si="5"/>
        <v>1500</v>
      </c>
      <c r="S18" s="187">
        <f t="shared" si="5"/>
        <v>1500</v>
      </c>
    </row>
    <row r="19" spans="2:19" ht="10.5" customHeight="1" x14ac:dyDescent="0.35"/>
    <row r="20" spans="2:19" x14ac:dyDescent="0.35">
      <c r="B20" s="41" t="s">
        <v>154</v>
      </c>
      <c r="C20" s="173"/>
      <c r="D20" s="173"/>
      <c r="E20" s="174"/>
      <c r="F20" s="47"/>
      <c r="G20" s="42"/>
      <c r="H20" s="305"/>
      <c r="I20" s="207"/>
      <c r="J20" s="207"/>
      <c r="K20" s="207"/>
      <c r="L20" s="207"/>
      <c r="M20" s="305">
        <v>1</v>
      </c>
      <c r="N20" s="305">
        <v>1</v>
      </c>
      <c r="O20" s="305">
        <v>1</v>
      </c>
      <c r="P20" s="305"/>
      <c r="Q20" s="305"/>
      <c r="R20" s="305"/>
      <c r="S20" s="305"/>
    </row>
    <row r="21" spans="2:19" x14ac:dyDescent="0.35">
      <c r="B21" s="45"/>
      <c r="C21" s="179" t="s">
        <v>129</v>
      </c>
      <c r="D21" s="179" t="s">
        <v>130</v>
      </c>
      <c r="E21" s="180" t="s">
        <v>131</v>
      </c>
      <c r="F21" s="48"/>
      <c r="G21" s="157"/>
      <c r="H21" s="181"/>
      <c r="I21" s="181"/>
      <c r="J21" s="181"/>
      <c r="K21" s="181"/>
      <c r="L21" s="181"/>
      <c r="M21" s="181"/>
      <c r="N21" s="181"/>
      <c r="O21" s="181"/>
      <c r="P21" s="181"/>
      <c r="Q21" s="181"/>
      <c r="R21" s="181"/>
      <c r="S21" s="181"/>
    </row>
    <row r="22" spans="2:19" x14ac:dyDescent="0.35">
      <c r="B22" s="45"/>
      <c r="C22" s="206">
        <v>0</v>
      </c>
      <c r="D22" s="206">
        <v>1</v>
      </c>
      <c r="E22" s="202">
        <v>0</v>
      </c>
      <c r="F22" s="48"/>
      <c r="H22" s="183"/>
      <c r="I22" s="183"/>
      <c r="J22" s="183"/>
      <c r="K22" s="183"/>
      <c r="L22" s="183"/>
      <c r="M22" s="183">
        <f>IF(AND(M20&gt;=$C22,M20&lt;=$D22),$E22,0)</f>
        <v>0</v>
      </c>
      <c r="N22" s="183">
        <f t="shared" ref="N22:S22" si="6">IF(AND(N20&gt;=$C22,N20&lt;=$D22),$E22,0)</f>
        <v>0</v>
      </c>
      <c r="O22" s="183">
        <f t="shared" si="6"/>
        <v>0</v>
      </c>
      <c r="P22" s="183">
        <f t="shared" si="6"/>
        <v>0</v>
      </c>
      <c r="Q22" s="183">
        <f t="shared" si="6"/>
        <v>0</v>
      </c>
      <c r="R22" s="183">
        <f t="shared" si="6"/>
        <v>0</v>
      </c>
      <c r="S22" s="183">
        <f t="shared" si="6"/>
        <v>0</v>
      </c>
    </row>
    <row r="23" spans="2:19" x14ac:dyDescent="0.35">
      <c r="B23" s="45"/>
      <c r="C23" s="206">
        <v>2</v>
      </c>
      <c r="D23" s="206">
        <v>2</v>
      </c>
      <c r="E23" s="202">
        <v>750</v>
      </c>
      <c r="F23" s="48"/>
      <c r="H23" s="183"/>
      <c r="I23" s="183"/>
      <c r="J23" s="183"/>
      <c r="K23" s="183"/>
      <c r="L23" s="183"/>
      <c r="M23" s="183">
        <f>IF(AND(M20&gt;=$C23,M20&lt;=$D23),$E23,0)</f>
        <v>0</v>
      </c>
      <c r="N23" s="183">
        <f t="shared" ref="N23:S23" si="7">IF(AND(N20&gt;=$C23,N20&lt;=$D23),$E23,0)</f>
        <v>0</v>
      </c>
      <c r="O23" s="183">
        <f t="shared" si="7"/>
        <v>0</v>
      </c>
      <c r="P23" s="183">
        <f t="shared" si="7"/>
        <v>0</v>
      </c>
      <c r="Q23" s="183">
        <f t="shared" si="7"/>
        <v>0</v>
      </c>
      <c r="R23" s="183">
        <f t="shared" si="7"/>
        <v>0</v>
      </c>
      <c r="S23" s="183">
        <f t="shared" si="7"/>
        <v>0</v>
      </c>
    </row>
    <row r="24" spans="2:19" x14ac:dyDescent="0.35">
      <c r="B24" s="45"/>
      <c r="C24" s="206">
        <v>3</v>
      </c>
      <c r="D24" s="206">
        <v>3</v>
      </c>
      <c r="E24" s="202">
        <v>1250</v>
      </c>
      <c r="F24" s="48"/>
      <c r="H24" s="183"/>
      <c r="I24" s="183"/>
      <c r="J24" s="183"/>
      <c r="K24" s="183"/>
      <c r="L24" s="183"/>
      <c r="M24" s="183">
        <f>IF(AND(M20&gt;=$C24,M20&lt;=$D24),$E24,0)</f>
        <v>0</v>
      </c>
      <c r="N24" s="183">
        <f t="shared" ref="N24:S24" si="8">IF(AND(N20&gt;=$C24,N20&lt;=$D24),$E24,0)</f>
        <v>0</v>
      </c>
      <c r="O24" s="183">
        <f t="shared" si="8"/>
        <v>0</v>
      </c>
      <c r="P24" s="183">
        <f t="shared" si="8"/>
        <v>0</v>
      </c>
      <c r="Q24" s="183">
        <f t="shared" si="8"/>
        <v>0</v>
      </c>
      <c r="R24" s="183">
        <f t="shared" si="8"/>
        <v>0</v>
      </c>
      <c r="S24" s="183">
        <f t="shared" si="8"/>
        <v>0</v>
      </c>
    </row>
    <row r="25" spans="2:19" x14ac:dyDescent="0.35">
      <c r="B25" s="43"/>
      <c r="C25" s="44"/>
      <c r="D25" s="44"/>
      <c r="E25" s="44"/>
      <c r="F25" s="163"/>
      <c r="G25" s="186" t="s">
        <v>133</v>
      </c>
      <c r="H25" s="187"/>
      <c r="I25" s="187"/>
      <c r="J25" s="187"/>
      <c r="K25" s="187"/>
      <c r="L25" s="187"/>
      <c r="M25" s="187">
        <f t="shared" ref="M25" si="9">SUM(M22:M24)</f>
        <v>0</v>
      </c>
      <c r="N25" s="187">
        <f t="shared" ref="N25:S25" si="10">SUM(N22:N24)</f>
        <v>0</v>
      </c>
      <c r="O25" s="187">
        <f t="shared" si="10"/>
        <v>0</v>
      </c>
      <c r="P25" s="187">
        <f t="shared" si="10"/>
        <v>0</v>
      </c>
      <c r="Q25" s="187">
        <f t="shared" si="10"/>
        <v>0</v>
      </c>
      <c r="R25" s="187">
        <f t="shared" si="10"/>
        <v>0</v>
      </c>
      <c r="S25" s="187">
        <f t="shared" si="10"/>
        <v>0</v>
      </c>
    </row>
    <row r="26" spans="2:19" ht="8.25" customHeight="1" x14ac:dyDescent="0.35"/>
    <row r="27" spans="2:19" x14ac:dyDescent="0.35">
      <c r="B27" s="41" t="s">
        <v>254</v>
      </c>
      <c r="C27" s="173"/>
      <c r="D27" s="173"/>
      <c r="E27" s="174"/>
      <c r="F27" s="47"/>
      <c r="G27" s="42"/>
      <c r="H27" s="305"/>
      <c r="I27" s="207"/>
      <c r="J27" s="207"/>
      <c r="K27" s="207"/>
      <c r="L27" s="207"/>
      <c r="M27" s="321">
        <v>1</v>
      </c>
      <c r="N27" s="321">
        <v>0</v>
      </c>
      <c r="O27" s="321">
        <v>0</v>
      </c>
      <c r="P27" s="321"/>
      <c r="Q27" s="321"/>
      <c r="R27" s="321"/>
      <c r="S27" s="321"/>
    </row>
    <row r="28" spans="2:19" x14ac:dyDescent="0.35">
      <c r="B28" s="45"/>
      <c r="C28" s="179" t="s">
        <v>129</v>
      </c>
      <c r="D28" s="179" t="s">
        <v>130</v>
      </c>
      <c r="E28" s="180" t="s">
        <v>131</v>
      </c>
      <c r="F28" s="48"/>
      <c r="G28" s="157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</row>
    <row r="29" spans="2:19" x14ac:dyDescent="0.35">
      <c r="B29" s="45"/>
      <c r="C29" s="182">
        <v>0</v>
      </c>
      <c r="D29" s="182">
        <v>0.79990000000000006</v>
      </c>
      <c r="E29" s="202">
        <v>0</v>
      </c>
      <c r="F29" s="48"/>
      <c r="H29" s="183"/>
      <c r="I29" s="183"/>
      <c r="J29" s="183"/>
      <c r="K29" s="183"/>
      <c r="L29" s="183"/>
      <c r="M29" s="183">
        <f>IF(AND(M27&gt;=$C29,M27&lt;=$D29),$E29,0)</f>
        <v>0</v>
      </c>
      <c r="N29" s="183">
        <f t="shared" ref="N29:S29" si="11">IF(AND(N27&gt;=$C29,N27&lt;=$D29),$E29,0)</f>
        <v>0</v>
      </c>
      <c r="O29" s="183">
        <f t="shared" si="11"/>
        <v>0</v>
      </c>
      <c r="P29" s="183">
        <f t="shared" si="11"/>
        <v>0</v>
      </c>
      <c r="Q29" s="183">
        <f t="shared" si="11"/>
        <v>0</v>
      </c>
      <c r="R29" s="183">
        <f t="shared" si="11"/>
        <v>0</v>
      </c>
      <c r="S29" s="183">
        <f t="shared" si="11"/>
        <v>0</v>
      </c>
    </row>
    <row r="30" spans="2:19" x14ac:dyDescent="0.35">
      <c r="B30" s="45"/>
      <c r="C30" s="182">
        <v>0.8</v>
      </c>
      <c r="D30" s="182">
        <v>0.85</v>
      </c>
      <c r="E30" s="202">
        <v>1000</v>
      </c>
      <c r="F30" s="48"/>
      <c r="H30" s="183"/>
      <c r="I30" s="183"/>
      <c r="J30" s="183"/>
      <c r="K30" s="183"/>
      <c r="L30" s="183"/>
      <c r="M30" s="183">
        <f>IF(AND(M27&gt;=$C30,M27&lt;=$D30),$E30,0)</f>
        <v>0</v>
      </c>
      <c r="N30" s="183">
        <f t="shared" ref="N30:S30" si="12">IF(AND(N27&gt;=$C30,N27&lt;=$D30),$E30,0)</f>
        <v>0</v>
      </c>
      <c r="O30" s="183">
        <f t="shared" si="12"/>
        <v>0</v>
      </c>
      <c r="P30" s="183">
        <f t="shared" si="12"/>
        <v>0</v>
      </c>
      <c r="Q30" s="183">
        <f t="shared" si="12"/>
        <v>0</v>
      </c>
      <c r="R30" s="183">
        <f t="shared" si="12"/>
        <v>0</v>
      </c>
      <c r="S30" s="183">
        <f t="shared" si="12"/>
        <v>0</v>
      </c>
    </row>
    <row r="31" spans="2:19" x14ac:dyDescent="0.35">
      <c r="B31" s="45"/>
      <c r="C31" s="184">
        <v>0.85009999999999997</v>
      </c>
      <c r="D31" s="185" t="s">
        <v>132</v>
      </c>
      <c r="E31" s="202">
        <v>2000</v>
      </c>
      <c r="F31" s="48"/>
      <c r="H31" s="183"/>
      <c r="I31" s="183"/>
      <c r="J31" s="183"/>
      <c r="K31" s="183"/>
      <c r="L31" s="183"/>
      <c r="M31" s="183">
        <f>IF(AND(M27&gt;=$C31,M27&lt;=$D31),$E31,0)</f>
        <v>2000</v>
      </c>
      <c r="N31" s="183">
        <f t="shared" ref="N31:S31" si="13">IF(AND(N27&gt;=$C31,N27&lt;=$D31),$E31,0)</f>
        <v>0</v>
      </c>
      <c r="O31" s="183">
        <f t="shared" si="13"/>
        <v>0</v>
      </c>
      <c r="P31" s="183">
        <f t="shared" si="13"/>
        <v>0</v>
      </c>
      <c r="Q31" s="183">
        <f t="shared" si="13"/>
        <v>0</v>
      </c>
      <c r="R31" s="183">
        <f t="shared" si="13"/>
        <v>0</v>
      </c>
      <c r="S31" s="183">
        <f t="shared" si="13"/>
        <v>0</v>
      </c>
    </row>
    <row r="32" spans="2:19" x14ac:dyDescent="0.35">
      <c r="B32" s="43"/>
      <c r="C32" s="44"/>
      <c r="D32" s="44"/>
      <c r="E32" s="44"/>
      <c r="F32" s="163"/>
      <c r="G32" s="186" t="s">
        <v>133</v>
      </c>
      <c r="H32" s="187"/>
      <c r="I32" s="187"/>
      <c r="J32" s="187"/>
      <c r="K32" s="187"/>
      <c r="L32" s="187"/>
      <c r="M32" s="187">
        <f t="shared" ref="M32" si="14">SUM(M29:M31)</f>
        <v>2000</v>
      </c>
      <c r="N32" s="187">
        <f t="shared" ref="N32:S32" si="15">SUM(N29:N31)</f>
        <v>0</v>
      </c>
      <c r="O32" s="187">
        <f t="shared" si="15"/>
        <v>0</v>
      </c>
      <c r="P32" s="187">
        <f t="shared" si="15"/>
        <v>0</v>
      </c>
      <c r="Q32" s="187">
        <f t="shared" si="15"/>
        <v>0</v>
      </c>
      <c r="R32" s="187">
        <f t="shared" si="15"/>
        <v>0</v>
      </c>
      <c r="S32" s="187">
        <f t="shared" si="15"/>
        <v>0</v>
      </c>
    </row>
    <row r="33" spans="3:19" x14ac:dyDescent="0.35"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</row>
    <row r="34" spans="3:19" x14ac:dyDescent="0.35">
      <c r="C34" s="139"/>
      <c r="E34" s="197" t="s">
        <v>253</v>
      </c>
      <c r="H34" s="187"/>
      <c r="I34" s="187"/>
      <c r="J34" s="187"/>
      <c r="K34" s="187"/>
      <c r="L34" s="187"/>
      <c r="M34" s="187">
        <v>280</v>
      </c>
      <c r="N34" s="187">
        <v>60</v>
      </c>
      <c r="O34" s="187"/>
      <c r="P34" s="187"/>
      <c r="Q34" s="187"/>
      <c r="R34" s="187"/>
      <c r="S34" s="187"/>
    </row>
    <row r="35" spans="3:19" x14ac:dyDescent="0.35"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</row>
    <row r="36" spans="3:19" ht="22.5" customHeight="1" thickBot="1" x14ac:dyDescent="0.4">
      <c r="E36" s="188"/>
      <c r="G36" s="188" t="s">
        <v>149</v>
      </c>
      <c r="H36" s="314">
        <f t="shared" ref="H36:L36" si="16">H10+H18+H25+H32+H34</f>
        <v>0</v>
      </c>
      <c r="I36" s="314">
        <f t="shared" si="16"/>
        <v>0</v>
      </c>
      <c r="J36" s="314">
        <f t="shared" si="16"/>
        <v>0</v>
      </c>
      <c r="K36" s="314">
        <f t="shared" si="16"/>
        <v>0</v>
      </c>
      <c r="L36" s="314">
        <f t="shared" si="16"/>
        <v>0</v>
      </c>
      <c r="M36" s="314">
        <f>M10+M18+M25+M32+M34</f>
        <v>2280</v>
      </c>
      <c r="N36" s="314">
        <f t="shared" ref="N36:S36" si="17">N10+N18+N25+N32+N34</f>
        <v>60</v>
      </c>
      <c r="O36" s="314">
        <f t="shared" si="17"/>
        <v>0</v>
      </c>
      <c r="P36" s="314">
        <f t="shared" si="17"/>
        <v>3000</v>
      </c>
      <c r="Q36" s="314">
        <f t="shared" si="17"/>
        <v>3000</v>
      </c>
      <c r="R36" s="314">
        <f t="shared" si="17"/>
        <v>3000</v>
      </c>
      <c r="S36" s="314">
        <f t="shared" si="17"/>
        <v>3000</v>
      </c>
    </row>
    <row r="37" spans="3:19" ht="15" thickTop="1" x14ac:dyDescent="0.35"/>
  </sheetData>
  <pageMargins left="0.7" right="0.7" top="0.75" bottom="0.75" header="0.3" footer="0.3"/>
  <pageSetup scale="92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1:S38"/>
  <sheetViews>
    <sheetView zoomScale="85" zoomScaleNormal="85" workbookViewId="0">
      <selection activeCell="E7" sqref="E7"/>
    </sheetView>
  </sheetViews>
  <sheetFormatPr baseColWidth="10" defaultColWidth="11.453125" defaultRowHeight="14.5" x14ac:dyDescent="0.35"/>
  <cols>
    <col min="1" max="1" width="3.7265625" style="40" customWidth="1"/>
    <col min="2" max="2" width="30.54296875" style="40" bestFit="1" customWidth="1"/>
    <col min="3" max="4" width="10.7265625" style="40" customWidth="1"/>
    <col min="5" max="5" width="10.54296875" style="40" bestFit="1" customWidth="1"/>
    <col min="6" max="6" width="1.7265625" style="40" customWidth="1"/>
    <col min="7" max="7" width="11.453125" style="40"/>
    <col min="8" max="8" width="10.453125" style="40" hidden="1" customWidth="1"/>
    <col min="9" max="10" width="11.453125" style="40" hidden="1" customWidth="1"/>
    <col min="11" max="19" width="11.453125" style="40" customWidth="1"/>
    <col min="20" max="16384" width="11.453125" style="40"/>
  </cols>
  <sheetData>
    <row r="1" spans="2:19" x14ac:dyDescent="0.35">
      <c r="B1" s="300" t="s">
        <v>243</v>
      </c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</row>
    <row r="2" spans="2:19" ht="8.25" customHeight="1" x14ac:dyDescent="0.35"/>
    <row r="3" spans="2:19" x14ac:dyDescent="0.35">
      <c r="B3" s="170" t="s">
        <v>126</v>
      </c>
      <c r="C3" s="171"/>
      <c r="D3" s="171"/>
      <c r="H3" s="172">
        <v>45321</v>
      </c>
      <c r="I3" s="172">
        <v>45350</v>
      </c>
      <c r="J3" s="172">
        <v>45379</v>
      </c>
      <c r="K3" s="172">
        <v>45408</v>
      </c>
      <c r="L3" s="172">
        <v>45437</v>
      </c>
      <c r="M3" s="172">
        <v>45466</v>
      </c>
      <c r="N3" s="172">
        <v>45495</v>
      </c>
      <c r="O3" s="172">
        <v>45524</v>
      </c>
      <c r="P3" s="172">
        <v>45553</v>
      </c>
      <c r="Q3" s="172">
        <v>45582</v>
      </c>
      <c r="R3" s="172">
        <v>45611</v>
      </c>
      <c r="S3" s="172">
        <v>45640</v>
      </c>
    </row>
    <row r="4" spans="2:19" x14ac:dyDescent="0.35">
      <c r="B4" s="41" t="s">
        <v>144</v>
      </c>
      <c r="C4" s="173"/>
      <c r="D4" s="173"/>
      <c r="E4" s="174"/>
      <c r="F4" s="47"/>
      <c r="G4" s="42" t="s">
        <v>119</v>
      </c>
      <c r="H4" s="302"/>
      <c r="I4" s="302">
        <v>12562</v>
      </c>
      <c r="J4" s="302">
        <v>77150.610000000015</v>
      </c>
      <c r="K4" s="302">
        <f>'Kaven Bonneau 2024'!K12</f>
        <v>62515</v>
      </c>
      <c r="L4" s="302">
        <v>49484</v>
      </c>
      <c r="M4" s="302">
        <v>84900</v>
      </c>
      <c r="N4" s="302"/>
      <c r="O4" s="302"/>
      <c r="P4" s="302"/>
      <c r="Q4" s="302"/>
      <c r="R4" s="302"/>
      <c r="S4" s="302"/>
    </row>
    <row r="5" spans="2:19" x14ac:dyDescent="0.35">
      <c r="B5" s="45" t="s">
        <v>238</v>
      </c>
      <c r="C5" s="176"/>
      <c r="D5" s="176"/>
      <c r="E5" s="177"/>
      <c r="F5" s="48"/>
      <c r="G5" s="40" t="s">
        <v>95</v>
      </c>
      <c r="H5" s="303"/>
      <c r="I5" s="303">
        <v>110753</v>
      </c>
      <c r="J5" s="303">
        <v>166598.6</v>
      </c>
      <c r="K5" s="303">
        <f>'Kaven Bonneau 2024'!K13</f>
        <v>186276</v>
      </c>
      <c r="L5" s="303">
        <v>189649</v>
      </c>
      <c r="M5" s="303">
        <v>171471</v>
      </c>
      <c r="N5" s="303"/>
      <c r="O5" s="303"/>
      <c r="P5" s="303"/>
      <c r="Q5" s="303"/>
      <c r="R5" s="303"/>
      <c r="S5" s="303"/>
    </row>
    <row r="6" spans="2:19" x14ac:dyDescent="0.35">
      <c r="B6" s="45"/>
      <c r="C6" s="179" t="s">
        <v>129</v>
      </c>
      <c r="D6" s="179" t="s">
        <v>130</v>
      </c>
      <c r="E6" s="180" t="s">
        <v>131</v>
      </c>
      <c r="F6" s="48"/>
      <c r="G6" s="157" t="s">
        <v>37</v>
      </c>
      <c r="H6" s="181"/>
      <c r="I6" s="181">
        <f t="shared" ref="I6:S6" si="0">IFERROR(ROUND(I4/I5,3)," - - -")</f>
        <v>0.113</v>
      </c>
      <c r="J6" s="181">
        <f t="shared" si="0"/>
        <v>0.46300000000000002</v>
      </c>
      <c r="K6" s="181">
        <f t="shared" si="0"/>
        <v>0.33600000000000002</v>
      </c>
      <c r="L6" s="181">
        <f t="shared" si="0"/>
        <v>0.26100000000000001</v>
      </c>
      <c r="M6" s="181">
        <f t="shared" si="0"/>
        <v>0.495</v>
      </c>
      <c r="N6" s="181" t="str">
        <f t="shared" si="0"/>
        <v xml:space="preserve"> - - -</v>
      </c>
      <c r="O6" s="181" t="str">
        <f t="shared" si="0"/>
        <v xml:space="preserve"> - - -</v>
      </c>
      <c r="P6" s="181" t="str">
        <f t="shared" si="0"/>
        <v xml:space="preserve"> - - -</v>
      </c>
      <c r="Q6" s="181" t="str">
        <f t="shared" si="0"/>
        <v xml:space="preserve"> - - -</v>
      </c>
      <c r="R6" s="181" t="str">
        <f t="shared" si="0"/>
        <v xml:space="preserve"> - - -</v>
      </c>
      <c r="S6" s="181" t="str">
        <f t="shared" si="0"/>
        <v xml:space="preserve"> - - -</v>
      </c>
    </row>
    <row r="7" spans="2:19" x14ac:dyDescent="0.35">
      <c r="B7" s="45"/>
      <c r="C7" s="182">
        <v>0.9</v>
      </c>
      <c r="D7" s="182">
        <v>0.99990000000000001</v>
      </c>
      <c r="E7" s="202">
        <v>750</v>
      </c>
      <c r="F7" s="48"/>
      <c r="H7" s="183">
        <f t="shared" ref="H7:S9" si="1">IF(AND(H$6&gt;=$C7,H$6&lt;=$D7),$E7,0)</f>
        <v>0</v>
      </c>
      <c r="I7" s="183">
        <f t="shared" si="1"/>
        <v>0</v>
      </c>
      <c r="J7" s="183">
        <f t="shared" si="1"/>
        <v>0</v>
      </c>
      <c r="K7" s="183">
        <f t="shared" si="1"/>
        <v>0</v>
      </c>
      <c r="L7" s="183">
        <f t="shared" si="1"/>
        <v>0</v>
      </c>
      <c r="M7" s="183">
        <f t="shared" si="1"/>
        <v>0</v>
      </c>
      <c r="N7" s="183">
        <f t="shared" si="1"/>
        <v>0</v>
      </c>
      <c r="O7" s="183">
        <f t="shared" si="1"/>
        <v>0</v>
      </c>
      <c r="P7" s="183">
        <f t="shared" si="1"/>
        <v>0</v>
      </c>
      <c r="Q7" s="183">
        <f t="shared" si="1"/>
        <v>0</v>
      </c>
      <c r="R7" s="183">
        <f t="shared" si="1"/>
        <v>0</v>
      </c>
      <c r="S7" s="183">
        <f t="shared" si="1"/>
        <v>0</v>
      </c>
    </row>
    <row r="8" spans="2:19" x14ac:dyDescent="0.35">
      <c r="B8" s="45"/>
      <c r="C8" s="182">
        <v>1</v>
      </c>
      <c r="D8" s="182">
        <v>1.0999000000000001</v>
      </c>
      <c r="E8" s="202">
        <v>1250</v>
      </c>
      <c r="F8" s="48"/>
      <c r="H8" s="183">
        <f t="shared" si="1"/>
        <v>0</v>
      </c>
      <c r="I8" s="183">
        <f t="shared" si="1"/>
        <v>0</v>
      </c>
      <c r="J8" s="183">
        <f t="shared" si="1"/>
        <v>0</v>
      </c>
      <c r="K8" s="183">
        <f t="shared" si="1"/>
        <v>0</v>
      </c>
      <c r="L8" s="183">
        <f t="shared" si="1"/>
        <v>0</v>
      </c>
      <c r="M8" s="183">
        <f t="shared" si="1"/>
        <v>0</v>
      </c>
      <c r="N8" s="183">
        <f t="shared" si="1"/>
        <v>0</v>
      </c>
      <c r="O8" s="183">
        <f t="shared" si="1"/>
        <v>0</v>
      </c>
      <c r="P8" s="183">
        <f t="shared" si="1"/>
        <v>0</v>
      </c>
      <c r="Q8" s="183">
        <f t="shared" si="1"/>
        <v>0</v>
      </c>
      <c r="R8" s="183">
        <f t="shared" si="1"/>
        <v>0</v>
      </c>
      <c r="S8" s="183">
        <f t="shared" si="1"/>
        <v>0</v>
      </c>
    </row>
    <row r="9" spans="2:19" x14ac:dyDescent="0.35">
      <c r="B9" s="45"/>
      <c r="C9" s="184">
        <v>1.1000000000000001</v>
      </c>
      <c r="D9" s="185" t="s">
        <v>132</v>
      </c>
      <c r="E9" s="202">
        <v>1750</v>
      </c>
      <c r="F9" s="48"/>
      <c r="H9" s="183">
        <f t="shared" si="1"/>
        <v>0</v>
      </c>
      <c r="I9" s="183">
        <f t="shared" si="1"/>
        <v>0</v>
      </c>
      <c r="J9" s="183">
        <f t="shared" si="1"/>
        <v>0</v>
      </c>
      <c r="K9" s="183">
        <f t="shared" si="1"/>
        <v>0</v>
      </c>
      <c r="L9" s="183">
        <f t="shared" si="1"/>
        <v>0</v>
      </c>
      <c r="M9" s="183">
        <f t="shared" si="1"/>
        <v>0</v>
      </c>
      <c r="N9" s="183">
        <f t="shared" si="1"/>
        <v>1750</v>
      </c>
      <c r="O9" s="183">
        <f t="shared" si="1"/>
        <v>1750</v>
      </c>
      <c r="P9" s="183">
        <f t="shared" si="1"/>
        <v>1750</v>
      </c>
      <c r="Q9" s="183">
        <f t="shared" si="1"/>
        <v>1750</v>
      </c>
      <c r="R9" s="183">
        <f t="shared" si="1"/>
        <v>1750</v>
      </c>
      <c r="S9" s="183">
        <f t="shared" si="1"/>
        <v>1750</v>
      </c>
    </row>
    <row r="10" spans="2:19" x14ac:dyDescent="0.35">
      <c r="B10" s="43"/>
      <c r="C10" s="44"/>
      <c r="D10" s="44"/>
      <c r="E10" s="44"/>
      <c r="F10" s="163"/>
      <c r="G10" s="186" t="s">
        <v>133</v>
      </c>
      <c r="H10" s="187">
        <f t="shared" ref="H10:S10" si="2">SUM(H7:H9)</f>
        <v>0</v>
      </c>
      <c r="I10" s="187">
        <f t="shared" si="2"/>
        <v>0</v>
      </c>
      <c r="J10" s="187">
        <f t="shared" si="2"/>
        <v>0</v>
      </c>
      <c r="K10" s="187">
        <f t="shared" si="2"/>
        <v>0</v>
      </c>
      <c r="L10" s="187">
        <f t="shared" si="2"/>
        <v>0</v>
      </c>
      <c r="M10" s="187">
        <f t="shared" si="2"/>
        <v>0</v>
      </c>
      <c r="N10" s="187">
        <f t="shared" si="2"/>
        <v>1750</v>
      </c>
      <c r="O10" s="187">
        <f t="shared" si="2"/>
        <v>1750</v>
      </c>
      <c r="P10" s="187">
        <f t="shared" si="2"/>
        <v>1750</v>
      </c>
      <c r="Q10" s="187">
        <f t="shared" si="2"/>
        <v>1750</v>
      </c>
      <c r="R10" s="187">
        <f t="shared" si="2"/>
        <v>1750</v>
      </c>
      <c r="S10" s="187">
        <f t="shared" si="2"/>
        <v>1750</v>
      </c>
    </row>
    <row r="11" spans="2:19" ht="8.25" customHeight="1" x14ac:dyDescent="0.35">
      <c r="H11" s="146"/>
      <c r="I11" s="146"/>
      <c r="J11" s="146"/>
      <c r="K11" s="146"/>
      <c r="L11" s="146"/>
      <c r="M11" s="146"/>
      <c r="N11" s="146"/>
      <c r="O11" s="146"/>
      <c r="P11" s="146"/>
      <c r="Q11" s="146"/>
      <c r="R11" s="146"/>
      <c r="S11" s="146"/>
    </row>
    <row r="12" spans="2:19" x14ac:dyDescent="0.35">
      <c r="B12" s="41" t="s">
        <v>244</v>
      </c>
      <c r="C12" s="173"/>
      <c r="D12" s="173"/>
      <c r="E12" s="174"/>
      <c r="F12" s="47"/>
      <c r="G12" s="42" t="s">
        <v>119</v>
      </c>
      <c r="H12" s="219"/>
      <c r="I12" s="307">
        <v>27</v>
      </c>
      <c r="J12" s="307">
        <v>22</v>
      </c>
      <c r="K12" s="307">
        <v>23</v>
      </c>
      <c r="L12" s="307">
        <v>40</v>
      </c>
      <c r="M12" s="307">
        <v>33</v>
      </c>
      <c r="N12" s="307"/>
      <c r="O12" s="307"/>
      <c r="P12" s="307"/>
      <c r="Q12" s="307"/>
      <c r="R12" s="307"/>
      <c r="S12" s="307"/>
    </row>
    <row r="13" spans="2:19" x14ac:dyDescent="0.35">
      <c r="B13" s="45" t="s">
        <v>238</v>
      </c>
      <c r="C13" s="176"/>
      <c r="D13" s="176"/>
      <c r="E13" s="177"/>
      <c r="F13" s="48"/>
      <c r="G13" s="40" t="s">
        <v>95</v>
      </c>
      <c r="H13" s="220"/>
      <c r="I13" s="308">
        <v>25</v>
      </c>
      <c r="J13" s="308">
        <v>37.782500000000006</v>
      </c>
      <c r="K13" s="308">
        <v>42</v>
      </c>
      <c r="L13" s="308">
        <v>43</v>
      </c>
      <c r="M13" s="308">
        <v>39</v>
      </c>
      <c r="N13" s="308"/>
      <c r="O13" s="308"/>
      <c r="P13" s="308"/>
      <c r="Q13" s="308"/>
      <c r="R13" s="308"/>
      <c r="S13" s="308"/>
    </row>
    <row r="14" spans="2:19" x14ac:dyDescent="0.35">
      <c r="B14" s="45"/>
      <c r="C14" s="179" t="s">
        <v>129</v>
      </c>
      <c r="D14" s="179" t="s">
        <v>130</v>
      </c>
      <c r="E14" s="180" t="s">
        <v>131</v>
      </c>
      <c r="F14" s="48"/>
      <c r="G14" s="157" t="s">
        <v>37</v>
      </c>
      <c r="H14" s="181"/>
      <c r="I14" s="181">
        <f t="shared" ref="I14:S14" si="3">IFERROR(ROUND(I12/I13,3)," - - -")</f>
        <v>1.08</v>
      </c>
      <c r="J14" s="181">
        <f t="shared" si="3"/>
        <v>0.58199999999999996</v>
      </c>
      <c r="K14" s="181">
        <f t="shared" si="3"/>
        <v>0.54800000000000004</v>
      </c>
      <c r="L14" s="181">
        <f t="shared" si="3"/>
        <v>0.93</v>
      </c>
      <c r="M14" s="181">
        <f t="shared" si="3"/>
        <v>0.84599999999999997</v>
      </c>
      <c r="N14" s="181" t="str">
        <f t="shared" si="3"/>
        <v xml:space="preserve"> - - -</v>
      </c>
      <c r="O14" s="181" t="str">
        <f t="shared" si="3"/>
        <v xml:space="preserve"> - - -</v>
      </c>
      <c r="P14" s="181" t="str">
        <f t="shared" si="3"/>
        <v xml:space="preserve"> - - -</v>
      </c>
      <c r="Q14" s="181" t="str">
        <f t="shared" si="3"/>
        <v xml:space="preserve"> - - -</v>
      </c>
      <c r="R14" s="181" t="str">
        <f t="shared" si="3"/>
        <v xml:space="preserve"> - - -</v>
      </c>
      <c r="S14" s="181" t="str">
        <f t="shared" si="3"/>
        <v xml:space="preserve"> - - -</v>
      </c>
    </row>
    <row r="15" spans="2:19" x14ac:dyDescent="0.35">
      <c r="B15" s="45"/>
      <c r="C15" s="182">
        <v>0.9</v>
      </c>
      <c r="D15" s="182">
        <v>0.99990000000000001</v>
      </c>
      <c r="E15" s="202">
        <v>750</v>
      </c>
      <c r="F15" s="48"/>
      <c r="H15" s="183">
        <f>IF(AND(H$14&gt;=$C15,H$14&lt;=$D15),$E15,0)</f>
        <v>0</v>
      </c>
      <c r="I15" s="183">
        <f t="shared" ref="I15:S17" si="4">IF(AND(I$14&gt;=$C15,I$14&lt;=$D15),$E15,0)</f>
        <v>0</v>
      </c>
      <c r="J15" s="183">
        <f t="shared" si="4"/>
        <v>0</v>
      </c>
      <c r="K15" s="183">
        <f t="shared" si="4"/>
        <v>0</v>
      </c>
      <c r="L15" s="183">
        <f t="shared" si="4"/>
        <v>750</v>
      </c>
      <c r="M15" s="183">
        <f t="shared" si="4"/>
        <v>0</v>
      </c>
      <c r="N15" s="183">
        <f t="shared" si="4"/>
        <v>0</v>
      </c>
      <c r="O15" s="183">
        <f t="shared" si="4"/>
        <v>0</v>
      </c>
      <c r="P15" s="183">
        <f t="shared" si="4"/>
        <v>0</v>
      </c>
      <c r="Q15" s="183">
        <f t="shared" si="4"/>
        <v>0</v>
      </c>
      <c r="R15" s="183">
        <f t="shared" si="4"/>
        <v>0</v>
      </c>
      <c r="S15" s="183">
        <f t="shared" si="4"/>
        <v>0</v>
      </c>
    </row>
    <row r="16" spans="2:19" x14ac:dyDescent="0.35">
      <c r="B16" s="45"/>
      <c r="C16" s="182">
        <v>1</v>
      </c>
      <c r="D16" s="182">
        <v>1.0999000000000001</v>
      </c>
      <c r="E16" s="202">
        <v>1250</v>
      </c>
      <c r="F16" s="48"/>
      <c r="H16" s="183">
        <f>IF(AND(H$14&gt;=$C16,H$14&lt;=$D16),$E16,0)</f>
        <v>0</v>
      </c>
      <c r="I16" s="183">
        <f t="shared" si="4"/>
        <v>1250</v>
      </c>
      <c r="J16" s="183">
        <f t="shared" si="4"/>
        <v>0</v>
      </c>
      <c r="K16" s="183">
        <f t="shared" si="4"/>
        <v>0</v>
      </c>
      <c r="L16" s="183">
        <f t="shared" si="4"/>
        <v>0</v>
      </c>
      <c r="M16" s="183">
        <f t="shared" si="4"/>
        <v>0</v>
      </c>
      <c r="N16" s="183">
        <f t="shared" si="4"/>
        <v>0</v>
      </c>
      <c r="O16" s="183">
        <f t="shared" si="4"/>
        <v>0</v>
      </c>
      <c r="P16" s="183">
        <f t="shared" si="4"/>
        <v>0</v>
      </c>
      <c r="Q16" s="183">
        <f t="shared" si="4"/>
        <v>0</v>
      </c>
      <c r="R16" s="183">
        <f t="shared" si="4"/>
        <v>0</v>
      </c>
      <c r="S16" s="183">
        <f t="shared" si="4"/>
        <v>0</v>
      </c>
    </row>
    <row r="17" spans="2:19" x14ac:dyDescent="0.35">
      <c r="B17" s="45"/>
      <c r="C17" s="184">
        <v>1.1000000000000001</v>
      </c>
      <c r="D17" s="185" t="s">
        <v>132</v>
      </c>
      <c r="E17" s="202">
        <v>1750</v>
      </c>
      <c r="F17" s="48"/>
      <c r="H17" s="183">
        <f>IF(AND(H$14&gt;=$C17,H$14&lt;=$D17),$E17,0)</f>
        <v>0</v>
      </c>
      <c r="I17" s="183">
        <f t="shared" si="4"/>
        <v>0</v>
      </c>
      <c r="J17" s="183">
        <f t="shared" si="4"/>
        <v>0</v>
      </c>
      <c r="K17" s="183">
        <f t="shared" si="4"/>
        <v>0</v>
      </c>
      <c r="L17" s="183">
        <f t="shared" si="4"/>
        <v>0</v>
      </c>
      <c r="M17" s="183">
        <f t="shared" si="4"/>
        <v>0</v>
      </c>
      <c r="N17" s="183">
        <f t="shared" si="4"/>
        <v>1750</v>
      </c>
      <c r="O17" s="183">
        <f t="shared" si="4"/>
        <v>1750</v>
      </c>
      <c r="P17" s="183">
        <f t="shared" si="4"/>
        <v>1750</v>
      </c>
      <c r="Q17" s="183">
        <f t="shared" si="4"/>
        <v>1750</v>
      </c>
      <c r="R17" s="183">
        <f t="shared" si="4"/>
        <v>1750</v>
      </c>
      <c r="S17" s="183">
        <f t="shared" si="4"/>
        <v>1750</v>
      </c>
    </row>
    <row r="18" spans="2:19" x14ac:dyDescent="0.35">
      <c r="B18" s="43"/>
      <c r="C18" s="44"/>
      <c r="D18" s="44"/>
      <c r="E18" s="44"/>
      <c r="F18" s="163"/>
      <c r="G18" s="186" t="s">
        <v>133</v>
      </c>
      <c r="H18" s="187">
        <f t="shared" ref="H18:S18" si="5">SUM(H15:H17)</f>
        <v>0</v>
      </c>
      <c r="I18" s="187">
        <f t="shared" si="5"/>
        <v>1250</v>
      </c>
      <c r="J18" s="187">
        <f t="shared" si="5"/>
        <v>0</v>
      </c>
      <c r="K18" s="187">
        <f t="shared" si="5"/>
        <v>0</v>
      </c>
      <c r="L18" s="187">
        <f t="shared" si="5"/>
        <v>750</v>
      </c>
      <c r="M18" s="187">
        <f t="shared" si="5"/>
        <v>0</v>
      </c>
      <c r="N18" s="187">
        <f t="shared" si="5"/>
        <v>1750</v>
      </c>
      <c r="O18" s="187">
        <f t="shared" si="5"/>
        <v>1750</v>
      </c>
      <c r="P18" s="187">
        <f t="shared" si="5"/>
        <v>1750</v>
      </c>
      <c r="Q18" s="187">
        <f t="shared" si="5"/>
        <v>1750</v>
      </c>
      <c r="R18" s="187">
        <f t="shared" si="5"/>
        <v>1750</v>
      </c>
      <c r="S18" s="187">
        <f t="shared" si="5"/>
        <v>1750</v>
      </c>
    </row>
    <row r="19" spans="2:19" ht="10.5" customHeight="1" x14ac:dyDescent="0.35"/>
    <row r="20" spans="2:19" x14ac:dyDescent="0.35">
      <c r="B20" s="41" t="s">
        <v>199</v>
      </c>
      <c r="C20" s="173"/>
      <c r="D20" s="173"/>
      <c r="E20" s="174"/>
      <c r="F20" s="47"/>
      <c r="G20" s="42" t="s">
        <v>119</v>
      </c>
      <c r="H20" s="304"/>
      <c r="I20" s="304">
        <v>5</v>
      </c>
      <c r="J20" s="304">
        <v>5</v>
      </c>
      <c r="K20" s="304">
        <v>4</v>
      </c>
      <c r="L20" s="304">
        <v>4.04</v>
      </c>
      <c r="M20" s="304"/>
      <c r="N20" s="304"/>
      <c r="O20" s="304"/>
      <c r="P20" s="304"/>
      <c r="Q20" s="304"/>
      <c r="R20" s="304"/>
      <c r="S20" s="304"/>
    </row>
    <row r="21" spans="2:19" x14ac:dyDescent="0.35">
      <c r="B21" s="45"/>
      <c r="C21" s="179" t="s">
        <v>129</v>
      </c>
      <c r="D21" s="179" t="s">
        <v>130</v>
      </c>
      <c r="E21" s="180" t="s">
        <v>131</v>
      </c>
      <c r="F21" s="48"/>
      <c r="G21" s="157"/>
      <c r="H21" s="181"/>
      <c r="I21" s="181"/>
      <c r="J21" s="181"/>
      <c r="K21" s="181"/>
      <c r="L21" s="181"/>
      <c r="M21" s="181"/>
      <c r="N21" s="181"/>
      <c r="O21" s="181"/>
      <c r="P21" s="181"/>
      <c r="Q21" s="181"/>
      <c r="R21" s="181"/>
      <c r="S21" s="181"/>
    </row>
    <row r="22" spans="2:19" x14ac:dyDescent="0.35">
      <c r="B22" s="45"/>
      <c r="C22" s="200">
        <v>0</v>
      </c>
      <c r="D22" s="200">
        <v>4.8</v>
      </c>
      <c r="E22" s="202">
        <v>0</v>
      </c>
      <c r="F22" s="48"/>
      <c r="H22" s="183">
        <f>IF(AND(H$20&gt;=$C22,H$20&lt;=$D22),$E22,0)</f>
        <v>0</v>
      </c>
      <c r="I22" s="183">
        <f t="shared" ref="I22:S24" si="6">IF(AND(I$20&gt;=$C22,I$20&lt;=$D22),$E22,0)</f>
        <v>0</v>
      </c>
      <c r="J22" s="183">
        <f t="shared" si="6"/>
        <v>0</v>
      </c>
      <c r="K22" s="183">
        <f t="shared" si="6"/>
        <v>0</v>
      </c>
      <c r="L22" s="183">
        <f t="shared" si="6"/>
        <v>0</v>
      </c>
      <c r="M22" s="183">
        <f t="shared" si="6"/>
        <v>0</v>
      </c>
      <c r="N22" s="183">
        <f t="shared" si="6"/>
        <v>0</v>
      </c>
      <c r="O22" s="183">
        <f t="shared" si="6"/>
        <v>0</v>
      </c>
      <c r="P22" s="183">
        <f t="shared" si="6"/>
        <v>0</v>
      </c>
      <c r="Q22" s="183">
        <f t="shared" si="6"/>
        <v>0</v>
      </c>
      <c r="R22" s="183">
        <f t="shared" si="6"/>
        <v>0</v>
      </c>
      <c r="S22" s="183">
        <f t="shared" si="6"/>
        <v>0</v>
      </c>
    </row>
    <row r="23" spans="2:19" x14ac:dyDescent="0.35">
      <c r="B23" s="45"/>
      <c r="C23" s="200">
        <v>4.8099999999999996</v>
      </c>
      <c r="D23" s="200">
        <v>4.8899999999999997</v>
      </c>
      <c r="E23" s="202">
        <v>500</v>
      </c>
      <c r="F23" s="48"/>
      <c r="H23" s="183">
        <f>IF(AND(H$20&gt;=$C23,H$20&lt;=$D23),$E23,0)</f>
        <v>0</v>
      </c>
      <c r="I23" s="183">
        <f t="shared" si="6"/>
        <v>0</v>
      </c>
      <c r="J23" s="183">
        <f t="shared" si="6"/>
        <v>0</v>
      </c>
      <c r="K23" s="183">
        <f t="shared" si="6"/>
        <v>0</v>
      </c>
      <c r="L23" s="183">
        <f t="shared" si="6"/>
        <v>0</v>
      </c>
      <c r="M23" s="183">
        <f t="shared" si="6"/>
        <v>0</v>
      </c>
      <c r="N23" s="183">
        <f t="shared" si="6"/>
        <v>0</v>
      </c>
      <c r="O23" s="183">
        <f t="shared" si="6"/>
        <v>0</v>
      </c>
      <c r="P23" s="183">
        <f t="shared" si="6"/>
        <v>0</v>
      </c>
      <c r="Q23" s="183">
        <f t="shared" si="6"/>
        <v>0</v>
      </c>
      <c r="R23" s="183">
        <f t="shared" si="6"/>
        <v>0</v>
      </c>
      <c r="S23" s="183">
        <f t="shared" si="6"/>
        <v>0</v>
      </c>
    </row>
    <row r="24" spans="2:19" x14ac:dyDescent="0.35">
      <c r="B24" s="45"/>
      <c r="C24" s="201">
        <v>4.9000000000000004</v>
      </c>
      <c r="D24" s="185" t="s">
        <v>132</v>
      </c>
      <c r="E24" s="202">
        <v>1000</v>
      </c>
      <c r="F24" s="48"/>
      <c r="H24" s="183">
        <f>IF(AND(H$20&gt;=$C24,H$20&lt;=$D24),$E24,0)</f>
        <v>0</v>
      </c>
      <c r="I24" s="183">
        <f t="shared" si="6"/>
        <v>1000</v>
      </c>
      <c r="J24" s="183">
        <f t="shared" si="6"/>
        <v>1000</v>
      </c>
      <c r="K24" s="183">
        <f t="shared" si="6"/>
        <v>0</v>
      </c>
      <c r="L24" s="183">
        <f t="shared" si="6"/>
        <v>0</v>
      </c>
      <c r="M24" s="183">
        <f t="shared" si="6"/>
        <v>0</v>
      </c>
      <c r="N24" s="183">
        <f t="shared" si="6"/>
        <v>0</v>
      </c>
      <c r="O24" s="183">
        <f t="shared" si="6"/>
        <v>0</v>
      </c>
      <c r="P24" s="183">
        <f t="shared" si="6"/>
        <v>0</v>
      </c>
      <c r="Q24" s="183">
        <f t="shared" si="6"/>
        <v>0</v>
      </c>
      <c r="R24" s="183">
        <f t="shared" si="6"/>
        <v>0</v>
      </c>
      <c r="S24" s="183">
        <f t="shared" si="6"/>
        <v>0</v>
      </c>
    </row>
    <row r="25" spans="2:19" x14ac:dyDescent="0.35">
      <c r="B25" s="43"/>
      <c r="C25" s="44"/>
      <c r="D25" s="44"/>
      <c r="E25" s="44"/>
      <c r="F25" s="163"/>
      <c r="G25" s="186" t="s">
        <v>133</v>
      </c>
      <c r="H25" s="187">
        <f t="shared" ref="H25:S25" si="7">SUM(H22:H24)</f>
        <v>0</v>
      </c>
      <c r="I25" s="187">
        <f t="shared" si="7"/>
        <v>1000</v>
      </c>
      <c r="J25" s="187">
        <f t="shared" si="7"/>
        <v>1000</v>
      </c>
      <c r="K25" s="187">
        <f t="shared" si="7"/>
        <v>0</v>
      </c>
      <c r="L25" s="187">
        <f t="shared" si="7"/>
        <v>0</v>
      </c>
      <c r="M25" s="187">
        <f t="shared" si="7"/>
        <v>0</v>
      </c>
      <c r="N25" s="187">
        <f t="shared" si="7"/>
        <v>0</v>
      </c>
      <c r="O25" s="187">
        <f t="shared" si="7"/>
        <v>0</v>
      </c>
      <c r="P25" s="187">
        <f t="shared" si="7"/>
        <v>0</v>
      </c>
      <c r="Q25" s="187">
        <f t="shared" si="7"/>
        <v>0</v>
      </c>
      <c r="R25" s="187">
        <f t="shared" si="7"/>
        <v>0</v>
      </c>
      <c r="S25" s="187">
        <f t="shared" si="7"/>
        <v>0</v>
      </c>
    </row>
    <row r="26" spans="2:19" ht="8.25" customHeight="1" x14ac:dyDescent="0.35"/>
    <row r="27" spans="2:19" x14ac:dyDescent="0.35">
      <c r="B27" s="41" t="s">
        <v>231</v>
      </c>
      <c r="C27" s="173"/>
      <c r="D27" s="173"/>
      <c r="E27" s="174"/>
      <c r="F27" s="47"/>
      <c r="G27" s="42"/>
      <c r="H27" s="305"/>
      <c r="I27" s="207"/>
      <c r="J27" s="207"/>
      <c r="K27" s="207"/>
      <c r="L27" s="207"/>
      <c r="M27" s="207"/>
      <c r="N27" s="207"/>
      <c r="O27" s="207"/>
      <c r="P27" s="207"/>
      <c r="Q27" s="207"/>
      <c r="R27" s="207"/>
      <c r="S27" s="207"/>
    </row>
    <row r="28" spans="2:19" ht="42" customHeight="1" x14ac:dyDescent="0.35">
      <c r="B28" s="775" t="s">
        <v>245</v>
      </c>
      <c r="C28" s="776"/>
      <c r="D28" s="776"/>
      <c r="E28" s="776"/>
      <c r="F28" s="48"/>
      <c r="G28" s="40" t="s">
        <v>119</v>
      </c>
      <c r="H28" s="306"/>
      <c r="I28" s="309">
        <v>3</v>
      </c>
      <c r="J28" s="309">
        <v>2</v>
      </c>
      <c r="K28" s="309">
        <v>3</v>
      </c>
      <c r="L28" s="306">
        <v>2</v>
      </c>
      <c r="M28" s="306"/>
      <c r="N28" s="306"/>
      <c r="O28" s="306"/>
      <c r="P28" s="306"/>
      <c r="Q28" s="306"/>
      <c r="R28" s="306"/>
      <c r="S28" s="306"/>
    </row>
    <row r="29" spans="2:19" x14ac:dyDescent="0.35">
      <c r="B29" s="45"/>
      <c r="C29" s="179" t="s">
        <v>129</v>
      </c>
      <c r="D29" s="179" t="s">
        <v>130</v>
      </c>
      <c r="E29" s="180" t="s">
        <v>131</v>
      </c>
      <c r="F29" s="48"/>
      <c r="G29" s="157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</row>
    <row r="30" spans="2:19" x14ac:dyDescent="0.35">
      <c r="B30" s="45"/>
      <c r="C30" s="206">
        <v>2</v>
      </c>
      <c r="D30" s="206">
        <v>2</v>
      </c>
      <c r="E30" s="202">
        <v>500</v>
      </c>
      <c r="F30" s="48"/>
      <c r="H30" s="183">
        <f>IF(AND(H$28&gt;=$C30,H$28&lt;=$D30),$E30,0)</f>
        <v>0</v>
      </c>
      <c r="I30" s="183">
        <f t="shared" ref="I30:S32" si="8">IF(AND(I$28&gt;=$C30,I$28&lt;=$D30),$E30,0)</f>
        <v>0</v>
      </c>
      <c r="J30" s="183">
        <f t="shared" si="8"/>
        <v>500</v>
      </c>
      <c r="K30" s="183">
        <f t="shared" si="8"/>
        <v>0</v>
      </c>
      <c r="L30" s="183">
        <f t="shared" si="8"/>
        <v>500</v>
      </c>
      <c r="M30" s="183">
        <f t="shared" si="8"/>
        <v>0</v>
      </c>
      <c r="N30" s="183">
        <f t="shared" si="8"/>
        <v>0</v>
      </c>
      <c r="O30" s="183">
        <f t="shared" si="8"/>
        <v>0</v>
      </c>
      <c r="P30" s="183">
        <f t="shared" si="8"/>
        <v>0</v>
      </c>
      <c r="Q30" s="183">
        <f t="shared" si="8"/>
        <v>0</v>
      </c>
      <c r="R30" s="183">
        <f t="shared" si="8"/>
        <v>0</v>
      </c>
      <c r="S30" s="183">
        <f t="shared" si="8"/>
        <v>0</v>
      </c>
    </row>
    <row r="31" spans="2:19" x14ac:dyDescent="0.35">
      <c r="B31" s="45"/>
      <c r="C31" s="206">
        <v>3</v>
      </c>
      <c r="D31" s="206">
        <v>3</v>
      </c>
      <c r="E31" s="202">
        <v>1000</v>
      </c>
      <c r="F31" s="48"/>
      <c r="H31" s="183">
        <f>IF(AND(H$28&gt;=$C31,H$28&lt;=$D31),$E31,0)</f>
        <v>0</v>
      </c>
      <c r="I31" s="183">
        <f t="shared" si="8"/>
        <v>1000</v>
      </c>
      <c r="J31" s="183">
        <f t="shared" si="8"/>
        <v>0</v>
      </c>
      <c r="K31" s="183">
        <f t="shared" si="8"/>
        <v>1000</v>
      </c>
      <c r="L31" s="183">
        <f t="shared" si="8"/>
        <v>0</v>
      </c>
      <c r="M31" s="183">
        <f t="shared" si="8"/>
        <v>0</v>
      </c>
      <c r="N31" s="183">
        <f t="shared" si="8"/>
        <v>0</v>
      </c>
      <c r="O31" s="183">
        <f t="shared" si="8"/>
        <v>0</v>
      </c>
      <c r="P31" s="183">
        <f t="shared" si="8"/>
        <v>0</v>
      </c>
      <c r="Q31" s="183">
        <f t="shared" si="8"/>
        <v>0</v>
      </c>
      <c r="R31" s="183">
        <f t="shared" si="8"/>
        <v>0</v>
      </c>
      <c r="S31" s="183">
        <f t="shared" si="8"/>
        <v>0</v>
      </c>
    </row>
    <row r="32" spans="2:19" x14ac:dyDescent="0.35">
      <c r="B32" s="45"/>
      <c r="C32" s="206">
        <v>4</v>
      </c>
      <c r="D32" s="206">
        <v>4</v>
      </c>
      <c r="E32" s="202">
        <v>1500</v>
      </c>
      <c r="F32" s="48"/>
      <c r="H32" s="183">
        <f>IF(AND(H$28&gt;=$C32,H$28&lt;=$D32),$E32,0)</f>
        <v>0</v>
      </c>
      <c r="I32" s="183">
        <f t="shared" si="8"/>
        <v>0</v>
      </c>
      <c r="J32" s="183">
        <f t="shared" si="8"/>
        <v>0</v>
      </c>
      <c r="K32" s="183">
        <f t="shared" si="8"/>
        <v>0</v>
      </c>
      <c r="L32" s="183">
        <f t="shared" si="8"/>
        <v>0</v>
      </c>
      <c r="M32" s="183">
        <f t="shared" si="8"/>
        <v>0</v>
      </c>
      <c r="N32" s="183">
        <f t="shared" si="8"/>
        <v>0</v>
      </c>
      <c r="O32" s="183">
        <f t="shared" si="8"/>
        <v>0</v>
      </c>
      <c r="P32" s="183">
        <f t="shared" si="8"/>
        <v>0</v>
      </c>
      <c r="Q32" s="183">
        <f t="shared" si="8"/>
        <v>0</v>
      </c>
      <c r="R32" s="183">
        <f t="shared" si="8"/>
        <v>0</v>
      </c>
      <c r="S32" s="183">
        <f t="shared" si="8"/>
        <v>0</v>
      </c>
    </row>
    <row r="33" spans="2:19" x14ac:dyDescent="0.35">
      <c r="B33" s="43"/>
      <c r="C33" s="44"/>
      <c r="D33" s="44"/>
      <c r="E33" s="44"/>
      <c r="F33" s="163"/>
      <c r="G33" s="186" t="s">
        <v>133</v>
      </c>
      <c r="H33" s="187">
        <f t="shared" ref="H33:S33" si="9">SUM(H30:H32)</f>
        <v>0</v>
      </c>
      <c r="I33" s="187">
        <f t="shared" si="9"/>
        <v>1000</v>
      </c>
      <c r="J33" s="187">
        <f t="shared" si="9"/>
        <v>500</v>
      </c>
      <c r="K33" s="187">
        <f t="shared" si="9"/>
        <v>1000</v>
      </c>
      <c r="L33" s="187">
        <f t="shared" si="9"/>
        <v>500</v>
      </c>
      <c r="M33" s="187">
        <f t="shared" si="9"/>
        <v>0</v>
      </c>
      <c r="N33" s="187">
        <f t="shared" si="9"/>
        <v>0</v>
      </c>
      <c r="O33" s="187">
        <f t="shared" si="9"/>
        <v>0</v>
      </c>
      <c r="P33" s="187">
        <f t="shared" si="9"/>
        <v>0</v>
      </c>
      <c r="Q33" s="187">
        <f t="shared" si="9"/>
        <v>0</v>
      </c>
      <c r="R33" s="187">
        <f t="shared" si="9"/>
        <v>0</v>
      </c>
      <c r="S33" s="187">
        <f t="shared" si="9"/>
        <v>0</v>
      </c>
    </row>
    <row r="34" spans="2:19" x14ac:dyDescent="0.35"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</row>
    <row r="35" spans="2:19" x14ac:dyDescent="0.35">
      <c r="C35" s="139"/>
      <c r="E35" s="197" t="s">
        <v>253</v>
      </c>
      <c r="H35" s="187"/>
      <c r="I35" s="187"/>
      <c r="J35" s="187">
        <v>200</v>
      </c>
      <c r="K35" s="187">
        <v>200</v>
      </c>
      <c r="L35" s="187">
        <v>120</v>
      </c>
      <c r="M35" s="187"/>
      <c r="N35" s="187"/>
      <c r="O35" s="187"/>
      <c r="P35" s="187"/>
      <c r="Q35" s="187"/>
      <c r="R35" s="187"/>
      <c r="S35" s="187"/>
    </row>
    <row r="36" spans="2:19" x14ac:dyDescent="0.35"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</row>
    <row r="37" spans="2:19" ht="22.5" customHeight="1" thickBot="1" x14ac:dyDescent="0.4">
      <c r="E37" s="188"/>
      <c r="G37" s="188" t="s">
        <v>149</v>
      </c>
      <c r="H37" s="314">
        <f t="shared" ref="H37:I37" si="10">+H10+H18+H25+H33</f>
        <v>0</v>
      </c>
      <c r="I37" s="314">
        <f t="shared" si="10"/>
        <v>3250</v>
      </c>
      <c r="J37" s="314">
        <f>+J10+J18+J25+J33+J35</f>
        <v>1700</v>
      </c>
      <c r="K37" s="314">
        <f>+K10+K18+K25+K33+K35</f>
        <v>1200</v>
      </c>
      <c r="L37" s="314">
        <f t="shared" ref="L37:S37" si="11">+L10+L18+L25+L33+L35</f>
        <v>1370</v>
      </c>
      <c r="M37" s="314">
        <f t="shared" si="11"/>
        <v>0</v>
      </c>
      <c r="N37" s="314">
        <f t="shared" si="11"/>
        <v>3500</v>
      </c>
      <c r="O37" s="314">
        <f t="shared" si="11"/>
        <v>3500</v>
      </c>
      <c r="P37" s="314">
        <f t="shared" si="11"/>
        <v>3500</v>
      </c>
      <c r="Q37" s="314">
        <f t="shared" si="11"/>
        <v>3500</v>
      </c>
      <c r="R37" s="314">
        <f t="shared" si="11"/>
        <v>3500</v>
      </c>
      <c r="S37" s="314">
        <f t="shared" si="11"/>
        <v>3500</v>
      </c>
    </row>
    <row r="38" spans="2:19" ht="15" thickTop="1" x14ac:dyDescent="0.35"/>
  </sheetData>
  <mergeCells count="1">
    <mergeCell ref="B28:E28"/>
  </mergeCells>
  <pageMargins left="0.7" right="0.7" top="0.75" bottom="0.75" header="0.3" footer="0.3"/>
  <pageSetup scale="68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1:V47"/>
  <sheetViews>
    <sheetView showGridLines="0" zoomScale="90" zoomScaleNormal="90" workbookViewId="0">
      <pane xSplit="7" ySplit="3" topLeftCell="H4" activePane="bottomRight" state="frozen"/>
      <selection pane="topRight" activeCell="H1" sqref="H1"/>
      <selection pane="bottomLeft" activeCell="A4" sqref="A4"/>
      <selection pane="bottomRight" activeCell="L4" sqref="L4"/>
    </sheetView>
  </sheetViews>
  <sheetFormatPr baseColWidth="10" defaultColWidth="11.453125" defaultRowHeight="14.5" x14ac:dyDescent="0.35"/>
  <cols>
    <col min="1" max="1" width="3.7265625" style="40" customWidth="1"/>
    <col min="2" max="2" width="31.81640625" style="40" customWidth="1"/>
    <col min="3" max="4" width="10.7265625" style="40" customWidth="1"/>
    <col min="5" max="5" width="10.54296875" style="40" bestFit="1" customWidth="1"/>
    <col min="6" max="6" width="1.7265625" style="40" customWidth="1"/>
    <col min="7" max="7" width="11.453125" style="40"/>
    <col min="8" max="10" width="11.453125" style="40" hidden="1" customWidth="1"/>
    <col min="11" max="19" width="11.453125" style="40" customWidth="1"/>
    <col min="20" max="16384" width="11.453125" style="40"/>
  </cols>
  <sheetData>
    <row r="1" spans="2:22" x14ac:dyDescent="0.35">
      <c r="B1" s="301" t="s">
        <v>268</v>
      </c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9"/>
    </row>
    <row r="2" spans="2:22" ht="8.25" customHeight="1" x14ac:dyDescent="0.35"/>
    <row r="3" spans="2:22" x14ac:dyDescent="0.35">
      <c r="B3" s="170" t="s">
        <v>126</v>
      </c>
      <c r="C3" s="171"/>
      <c r="D3" s="171"/>
      <c r="H3" s="172">
        <v>45688</v>
      </c>
      <c r="I3" s="172">
        <v>45716</v>
      </c>
      <c r="J3" s="172">
        <v>45747</v>
      </c>
      <c r="K3" s="172">
        <v>45777</v>
      </c>
      <c r="L3" s="172">
        <v>45808</v>
      </c>
      <c r="M3" s="172">
        <v>45838</v>
      </c>
      <c r="N3" s="172">
        <v>45869</v>
      </c>
      <c r="O3" s="172">
        <v>45900</v>
      </c>
      <c r="P3" s="172">
        <v>45930</v>
      </c>
      <c r="Q3" s="172">
        <v>45961</v>
      </c>
      <c r="R3" s="172">
        <v>45991</v>
      </c>
      <c r="S3" s="172">
        <v>46022</v>
      </c>
    </row>
    <row r="4" spans="2:22" x14ac:dyDescent="0.35">
      <c r="B4" s="41" t="s">
        <v>270</v>
      </c>
      <c r="C4" s="173"/>
      <c r="D4" s="173"/>
      <c r="E4" s="174"/>
      <c r="F4" s="47"/>
      <c r="G4" s="42" t="s">
        <v>119</v>
      </c>
      <c r="H4" s="302">
        <v>110350</v>
      </c>
      <c r="I4" s="302">
        <v>63627</v>
      </c>
      <c r="J4" s="302">
        <v>55508</v>
      </c>
      <c r="K4" s="302">
        <f>115596-21449.7-15600</f>
        <v>78546.3</v>
      </c>
      <c r="L4" s="302">
        <v>0</v>
      </c>
      <c r="M4" s="302">
        <v>0</v>
      </c>
      <c r="N4" s="302">
        <v>0</v>
      </c>
      <c r="O4" s="302">
        <v>0</v>
      </c>
      <c r="P4" s="302">
        <v>0</v>
      </c>
      <c r="Q4" s="302">
        <v>0</v>
      </c>
      <c r="R4" s="302">
        <v>0</v>
      </c>
      <c r="S4" s="302">
        <v>0</v>
      </c>
      <c r="U4" s="40" t="s">
        <v>211</v>
      </c>
      <c r="V4" s="146">
        <f>SUM(I4:J4)</f>
        <v>119135</v>
      </c>
    </row>
    <row r="5" spans="2:22" x14ac:dyDescent="0.35">
      <c r="B5" s="45" t="s">
        <v>269</v>
      </c>
      <c r="C5" s="176"/>
      <c r="D5" s="176"/>
      <c r="E5" s="177"/>
      <c r="F5" s="48"/>
      <c r="G5" s="40" t="s">
        <v>95</v>
      </c>
      <c r="H5" s="303">
        <v>83820</v>
      </c>
      <c r="I5" s="303">
        <v>79399</v>
      </c>
      <c r="J5" s="303">
        <f>69531-25000</f>
        <v>44531</v>
      </c>
      <c r="K5" s="303">
        <v>90870</v>
      </c>
      <c r="L5" s="303">
        <v>0</v>
      </c>
      <c r="M5" s="303">
        <v>0</v>
      </c>
      <c r="N5" s="303">
        <v>0</v>
      </c>
      <c r="O5" s="303">
        <v>0</v>
      </c>
      <c r="P5" s="303">
        <v>0</v>
      </c>
      <c r="Q5" s="303">
        <v>0</v>
      </c>
      <c r="R5" s="303">
        <v>0</v>
      </c>
      <c r="S5" s="303">
        <v>0</v>
      </c>
      <c r="U5" s="40" t="s">
        <v>213</v>
      </c>
      <c r="V5" s="146">
        <f>SUM(I5:J5)</f>
        <v>123930</v>
      </c>
    </row>
    <row r="6" spans="2:22" x14ac:dyDescent="0.35">
      <c r="B6" s="45"/>
      <c r="C6" s="179" t="s">
        <v>129</v>
      </c>
      <c r="D6" s="179" t="s">
        <v>130</v>
      </c>
      <c r="E6" s="180" t="s">
        <v>131</v>
      </c>
      <c r="F6" s="48"/>
      <c r="G6" s="157" t="s">
        <v>37</v>
      </c>
      <c r="H6" s="181">
        <f t="shared" ref="H6" si="0">IFERROR(ROUND(H4/H5,3)," - - -")</f>
        <v>1.3169999999999999</v>
      </c>
      <c r="I6" s="181">
        <v>0.9</v>
      </c>
      <c r="J6" s="181">
        <f t="shared" ref="J6:S6" si="1">IFERROR(ROUND(J4/J5,3)," - - -")</f>
        <v>1.2470000000000001</v>
      </c>
      <c r="K6" s="181">
        <f t="shared" si="1"/>
        <v>0.86399999999999999</v>
      </c>
      <c r="L6" s="181" t="str">
        <f t="shared" si="1"/>
        <v xml:space="preserve"> - - -</v>
      </c>
      <c r="M6" s="181" t="str">
        <f t="shared" si="1"/>
        <v xml:space="preserve"> - - -</v>
      </c>
      <c r="N6" s="181" t="str">
        <f t="shared" si="1"/>
        <v xml:space="preserve"> - - -</v>
      </c>
      <c r="O6" s="181" t="str">
        <f t="shared" si="1"/>
        <v xml:space="preserve"> - - -</v>
      </c>
      <c r="P6" s="181" t="str">
        <f t="shared" si="1"/>
        <v xml:space="preserve"> - - -</v>
      </c>
      <c r="Q6" s="181" t="str">
        <f t="shared" si="1"/>
        <v xml:space="preserve"> - - -</v>
      </c>
      <c r="R6" s="181" t="str">
        <f t="shared" si="1"/>
        <v xml:space="preserve"> - - -</v>
      </c>
      <c r="S6" s="181" t="str">
        <f t="shared" si="1"/>
        <v xml:space="preserve"> - - -</v>
      </c>
      <c r="V6" s="181">
        <f t="shared" ref="V6" si="2">IFERROR(ROUND(V4/V5,3)," - - -")</f>
        <v>0.96099999999999997</v>
      </c>
    </row>
    <row r="7" spans="2:22" x14ac:dyDescent="0.35">
      <c r="B7" s="45"/>
      <c r="C7" s="182">
        <v>0.9</v>
      </c>
      <c r="D7" s="182">
        <v>0.99990000000000001</v>
      </c>
      <c r="E7" s="202">
        <v>750</v>
      </c>
      <c r="F7" s="48"/>
      <c r="H7" s="183">
        <f t="shared" ref="H7:S9" si="3">IF(AND(H$6&gt;=$C7,H$6&lt;=$D7),$E7,0)</f>
        <v>0</v>
      </c>
      <c r="I7" s="183">
        <f t="shared" si="3"/>
        <v>750</v>
      </c>
      <c r="J7" s="183">
        <f t="shared" si="3"/>
        <v>0</v>
      </c>
      <c r="K7" s="183">
        <f t="shared" si="3"/>
        <v>0</v>
      </c>
      <c r="L7" s="183">
        <f t="shared" si="3"/>
        <v>0</v>
      </c>
      <c r="M7" s="183">
        <f t="shared" si="3"/>
        <v>0</v>
      </c>
      <c r="N7" s="183">
        <f t="shared" si="3"/>
        <v>0</v>
      </c>
      <c r="O7" s="183">
        <f t="shared" si="3"/>
        <v>0</v>
      </c>
      <c r="P7" s="183">
        <f t="shared" si="3"/>
        <v>0</v>
      </c>
      <c r="Q7" s="183">
        <f t="shared" si="3"/>
        <v>0</v>
      </c>
      <c r="R7" s="183">
        <f t="shared" si="3"/>
        <v>0</v>
      </c>
      <c r="S7" s="183">
        <f t="shared" si="3"/>
        <v>0</v>
      </c>
    </row>
    <row r="8" spans="2:22" x14ac:dyDescent="0.35">
      <c r="B8" s="45"/>
      <c r="C8" s="182">
        <v>1</v>
      </c>
      <c r="D8" s="182">
        <v>1.1999</v>
      </c>
      <c r="E8" s="202">
        <v>1500</v>
      </c>
      <c r="F8" s="48"/>
      <c r="H8" s="183">
        <f t="shared" si="3"/>
        <v>0</v>
      </c>
      <c r="I8" s="183">
        <f t="shared" si="3"/>
        <v>0</v>
      </c>
      <c r="J8" s="183">
        <f t="shared" si="3"/>
        <v>0</v>
      </c>
      <c r="K8" s="183">
        <f t="shared" si="3"/>
        <v>0</v>
      </c>
      <c r="L8" s="183">
        <f t="shared" si="3"/>
        <v>0</v>
      </c>
      <c r="M8" s="183">
        <f t="shared" si="3"/>
        <v>0</v>
      </c>
      <c r="N8" s="183">
        <f t="shared" si="3"/>
        <v>0</v>
      </c>
      <c r="O8" s="183">
        <f t="shared" si="3"/>
        <v>0</v>
      </c>
      <c r="P8" s="183">
        <f t="shared" si="3"/>
        <v>0</v>
      </c>
      <c r="Q8" s="183">
        <f t="shared" si="3"/>
        <v>0</v>
      </c>
      <c r="R8" s="183">
        <f t="shared" si="3"/>
        <v>0</v>
      </c>
      <c r="S8" s="183">
        <f t="shared" si="3"/>
        <v>0</v>
      </c>
    </row>
    <row r="9" spans="2:22" x14ac:dyDescent="0.35">
      <c r="B9" s="45"/>
      <c r="C9" s="184">
        <v>1.2</v>
      </c>
      <c r="D9" s="185" t="s">
        <v>132</v>
      </c>
      <c r="E9" s="202">
        <v>2500</v>
      </c>
      <c r="F9" s="48"/>
      <c r="H9" s="183">
        <f t="shared" si="3"/>
        <v>2500</v>
      </c>
      <c r="I9" s="183">
        <f t="shared" si="3"/>
        <v>0</v>
      </c>
      <c r="J9" s="183">
        <f t="shared" si="3"/>
        <v>2500</v>
      </c>
      <c r="K9" s="183">
        <f t="shared" si="3"/>
        <v>0</v>
      </c>
      <c r="L9" s="183">
        <f t="shared" si="3"/>
        <v>2500</v>
      </c>
      <c r="M9" s="183">
        <f t="shared" si="3"/>
        <v>2500</v>
      </c>
      <c r="N9" s="183">
        <f t="shared" si="3"/>
        <v>2500</v>
      </c>
      <c r="O9" s="183">
        <f t="shared" si="3"/>
        <v>2500</v>
      </c>
      <c r="P9" s="183">
        <f t="shared" si="3"/>
        <v>2500</v>
      </c>
      <c r="Q9" s="183">
        <f t="shared" si="3"/>
        <v>2500</v>
      </c>
      <c r="R9" s="183">
        <f t="shared" si="3"/>
        <v>2500</v>
      </c>
      <c r="S9" s="183">
        <f t="shared" si="3"/>
        <v>2500</v>
      </c>
    </row>
    <row r="10" spans="2:22" x14ac:dyDescent="0.35">
      <c r="B10" s="43"/>
      <c r="C10" s="44"/>
      <c r="D10" s="44"/>
      <c r="E10" s="44"/>
      <c r="F10" s="163"/>
      <c r="G10" s="186" t="s">
        <v>133</v>
      </c>
      <c r="H10" s="187">
        <f t="shared" ref="H10" si="4">SUM(H7:H9)</f>
        <v>2500</v>
      </c>
      <c r="I10" s="187">
        <f t="shared" ref="I10:S10" si="5">SUM(I7:I9)</f>
        <v>750</v>
      </c>
      <c r="J10" s="187">
        <f t="shared" si="5"/>
        <v>2500</v>
      </c>
      <c r="K10" s="187">
        <f t="shared" si="5"/>
        <v>0</v>
      </c>
      <c r="L10" s="187">
        <f t="shared" si="5"/>
        <v>2500</v>
      </c>
      <c r="M10" s="187">
        <f t="shared" si="5"/>
        <v>2500</v>
      </c>
      <c r="N10" s="187">
        <f t="shared" si="5"/>
        <v>2500</v>
      </c>
      <c r="O10" s="187">
        <f t="shared" si="5"/>
        <v>2500</v>
      </c>
      <c r="P10" s="187">
        <f t="shared" si="5"/>
        <v>2500</v>
      </c>
      <c r="Q10" s="187">
        <f t="shared" si="5"/>
        <v>2500</v>
      </c>
      <c r="R10" s="187">
        <f t="shared" si="5"/>
        <v>2500</v>
      </c>
      <c r="S10" s="187">
        <f t="shared" si="5"/>
        <v>2500</v>
      </c>
    </row>
    <row r="11" spans="2:22" ht="8.25" customHeight="1" x14ac:dyDescent="0.35">
      <c r="H11" s="146"/>
      <c r="I11" s="146"/>
      <c r="J11" s="146"/>
      <c r="K11" s="146"/>
      <c r="L11" s="146"/>
      <c r="M11" s="146"/>
      <c r="N11" s="146"/>
      <c r="O11" s="146"/>
      <c r="P11" s="146"/>
      <c r="Q11" s="146"/>
      <c r="R11" s="146"/>
      <c r="S11" s="146"/>
    </row>
    <row r="12" spans="2:22" x14ac:dyDescent="0.35">
      <c r="B12" s="41" t="s">
        <v>271</v>
      </c>
      <c r="C12" s="173"/>
      <c r="D12" s="173"/>
      <c r="E12" s="174"/>
      <c r="F12" s="47"/>
      <c r="G12" s="42" t="s">
        <v>119</v>
      </c>
      <c r="H12" s="302">
        <v>1151</v>
      </c>
      <c r="I12" s="302">
        <v>-9236</v>
      </c>
      <c r="J12" s="302">
        <v>27817</v>
      </c>
      <c r="K12" s="302">
        <v>30976</v>
      </c>
      <c r="L12" s="302">
        <v>0</v>
      </c>
      <c r="M12" s="302">
        <v>0</v>
      </c>
      <c r="N12" s="302">
        <v>0</v>
      </c>
      <c r="O12" s="302">
        <v>0</v>
      </c>
      <c r="P12" s="302">
        <v>0</v>
      </c>
      <c r="Q12" s="302">
        <v>0</v>
      </c>
      <c r="R12" s="302">
        <v>0</v>
      </c>
      <c r="S12" s="302">
        <v>0</v>
      </c>
      <c r="U12" s="40" t="s">
        <v>211</v>
      </c>
      <c r="V12" s="146">
        <f>SUM(I12:J12)</f>
        <v>18581</v>
      </c>
    </row>
    <row r="13" spans="2:22" x14ac:dyDescent="0.35">
      <c r="B13" s="45" t="s">
        <v>269</v>
      </c>
      <c r="C13" s="176"/>
      <c r="D13" s="176"/>
      <c r="E13" s="177"/>
      <c r="F13" s="48"/>
      <c r="G13" s="40" t="s">
        <v>95</v>
      </c>
      <c r="H13" s="303">
        <v>-19027</v>
      </c>
      <c r="I13" s="303">
        <v>516</v>
      </c>
      <c r="J13" s="303">
        <v>3636</v>
      </c>
      <c r="K13" s="303">
        <v>2935</v>
      </c>
      <c r="L13" s="303">
        <v>0</v>
      </c>
      <c r="M13" s="303">
        <v>0</v>
      </c>
      <c r="N13" s="303">
        <v>0</v>
      </c>
      <c r="O13" s="303">
        <v>0</v>
      </c>
      <c r="P13" s="303">
        <v>0</v>
      </c>
      <c r="Q13" s="303">
        <v>0</v>
      </c>
      <c r="R13" s="303">
        <v>0</v>
      </c>
      <c r="S13" s="303">
        <v>0</v>
      </c>
      <c r="U13" s="40" t="s">
        <v>213</v>
      </c>
      <c r="V13" s="146">
        <f>SUM(I13:J13)</f>
        <v>4152</v>
      </c>
    </row>
    <row r="14" spans="2:22" x14ac:dyDescent="0.35">
      <c r="B14" s="45"/>
      <c r="C14" s="179" t="s">
        <v>129</v>
      </c>
      <c r="D14" s="179" t="s">
        <v>130</v>
      </c>
      <c r="E14" s="180" t="s">
        <v>131</v>
      </c>
      <c r="F14" s="48"/>
      <c r="G14" s="157" t="s">
        <v>37</v>
      </c>
      <c r="H14" s="181">
        <v>1.2</v>
      </c>
      <c r="I14" s="181">
        <v>0.9</v>
      </c>
      <c r="J14" s="181">
        <f t="shared" ref="J14:S14" si="6">IFERROR(ROUND(J12/J13,3)," - - -")</f>
        <v>7.65</v>
      </c>
      <c r="K14" s="181">
        <f t="shared" si="6"/>
        <v>10.554</v>
      </c>
      <c r="L14" s="181" t="str">
        <f t="shared" si="6"/>
        <v xml:space="preserve"> - - -</v>
      </c>
      <c r="M14" s="181" t="str">
        <f t="shared" si="6"/>
        <v xml:space="preserve"> - - -</v>
      </c>
      <c r="N14" s="181" t="str">
        <f t="shared" si="6"/>
        <v xml:space="preserve"> - - -</v>
      </c>
      <c r="O14" s="181" t="str">
        <f t="shared" si="6"/>
        <v xml:space="preserve"> - - -</v>
      </c>
      <c r="P14" s="181" t="str">
        <f t="shared" si="6"/>
        <v xml:space="preserve"> - - -</v>
      </c>
      <c r="Q14" s="181" t="str">
        <f t="shared" si="6"/>
        <v xml:space="preserve"> - - -</v>
      </c>
      <c r="R14" s="181" t="str">
        <f t="shared" si="6"/>
        <v xml:space="preserve"> - - -</v>
      </c>
      <c r="S14" s="181" t="str">
        <f t="shared" si="6"/>
        <v xml:space="preserve"> - - -</v>
      </c>
      <c r="V14" s="181">
        <f t="shared" ref="V14" si="7">IFERROR(ROUND(V12/V13,3)," - - -")</f>
        <v>4.4749999999999996</v>
      </c>
    </row>
    <row r="15" spans="2:22" x14ac:dyDescent="0.35">
      <c r="B15" s="45"/>
      <c r="C15" s="182">
        <v>0.9</v>
      </c>
      <c r="D15" s="182">
        <v>0.99990000000000001</v>
      </c>
      <c r="E15" s="202">
        <v>750</v>
      </c>
      <c r="F15" s="48"/>
      <c r="H15" s="183">
        <f t="shared" ref="H15:S17" si="8">IF(AND(H$14&gt;=$C15,H$14&lt;=$D15),$E15,0)</f>
        <v>0</v>
      </c>
      <c r="I15" s="183">
        <f t="shared" si="8"/>
        <v>750</v>
      </c>
      <c r="J15" s="183">
        <f t="shared" si="8"/>
        <v>0</v>
      </c>
      <c r="K15" s="183">
        <f t="shared" si="8"/>
        <v>0</v>
      </c>
      <c r="L15" s="183">
        <f t="shared" si="8"/>
        <v>0</v>
      </c>
      <c r="M15" s="183">
        <f t="shared" si="8"/>
        <v>0</v>
      </c>
      <c r="N15" s="183">
        <f t="shared" si="8"/>
        <v>0</v>
      </c>
      <c r="O15" s="183">
        <f t="shared" si="8"/>
        <v>0</v>
      </c>
      <c r="P15" s="183">
        <f t="shared" ref="P15:P17" si="9">IF(AND(P$14&gt;=$C15,P$14&lt;=$D15),$E15,0)</f>
        <v>0</v>
      </c>
      <c r="Q15" s="183">
        <f t="shared" si="8"/>
        <v>0</v>
      </c>
      <c r="R15" s="183">
        <f t="shared" si="8"/>
        <v>0</v>
      </c>
      <c r="S15" s="183">
        <f t="shared" si="8"/>
        <v>0</v>
      </c>
    </row>
    <row r="16" spans="2:22" x14ac:dyDescent="0.35">
      <c r="B16" s="45"/>
      <c r="C16" s="182">
        <v>1</v>
      </c>
      <c r="D16" s="182">
        <v>1.1999</v>
      </c>
      <c r="E16" s="202">
        <v>1500</v>
      </c>
      <c r="F16" s="48"/>
      <c r="H16" s="183">
        <f t="shared" si="8"/>
        <v>0</v>
      </c>
      <c r="I16" s="183">
        <f t="shared" si="8"/>
        <v>0</v>
      </c>
      <c r="J16" s="183">
        <f t="shared" si="8"/>
        <v>0</v>
      </c>
      <c r="K16" s="183">
        <f t="shared" si="8"/>
        <v>0</v>
      </c>
      <c r="L16" s="183">
        <f t="shared" si="8"/>
        <v>0</v>
      </c>
      <c r="M16" s="183">
        <f t="shared" si="8"/>
        <v>0</v>
      </c>
      <c r="N16" s="183">
        <f t="shared" si="8"/>
        <v>0</v>
      </c>
      <c r="O16" s="183">
        <f t="shared" si="8"/>
        <v>0</v>
      </c>
      <c r="P16" s="183">
        <f t="shared" si="9"/>
        <v>0</v>
      </c>
      <c r="Q16" s="183">
        <f t="shared" si="8"/>
        <v>0</v>
      </c>
      <c r="R16" s="183">
        <f t="shared" si="8"/>
        <v>0</v>
      </c>
      <c r="S16" s="183">
        <f t="shared" si="8"/>
        <v>0</v>
      </c>
    </row>
    <row r="17" spans="2:19" x14ac:dyDescent="0.35">
      <c r="B17" s="45"/>
      <c r="C17" s="184">
        <v>1.2</v>
      </c>
      <c r="D17" s="185" t="s">
        <v>132</v>
      </c>
      <c r="E17" s="202">
        <v>2500</v>
      </c>
      <c r="F17" s="48"/>
      <c r="H17" s="183">
        <f t="shared" si="8"/>
        <v>2500</v>
      </c>
      <c r="I17" s="183">
        <f t="shared" si="8"/>
        <v>0</v>
      </c>
      <c r="J17" s="183">
        <f t="shared" si="8"/>
        <v>2500</v>
      </c>
      <c r="K17" s="183">
        <f t="shared" si="8"/>
        <v>2500</v>
      </c>
      <c r="L17" s="183">
        <f t="shared" si="8"/>
        <v>2500</v>
      </c>
      <c r="M17" s="183">
        <f t="shared" si="8"/>
        <v>2500</v>
      </c>
      <c r="N17" s="183">
        <f t="shared" si="8"/>
        <v>2500</v>
      </c>
      <c r="O17" s="183">
        <f t="shared" si="8"/>
        <v>2500</v>
      </c>
      <c r="P17" s="183">
        <f t="shared" si="9"/>
        <v>2500</v>
      </c>
      <c r="Q17" s="183">
        <f t="shared" si="8"/>
        <v>2500</v>
      </c>
      <c r="R17" s="183">
        <f t="shared" si="8"/>
        <v>2500</v>
      </c>
      <c r="S17" s="183">
        <f t="shared" si="8"/>
        <v>2500</v>
      </c>
    </row>
    <row r="18" spans="2:19" x14ac:dyDescent="0.35">
      <c r="B18" s="43"/>
      <c r="C18" s="44"/>
      <c r="D18" s="44"/>
      <c r="E18" s="44"/>
      <c r="F18" s="163"/>
      <c r="G18" s="186" t="s">
        <v>133</v>
      </c>
      <c r="H18" s="187">
        <f t="shared" ref="H18:O18" si="10">SUM(H15:H17)</f>
        <v>2500</v>
      </c>
      <c r="I18" s="187">
        <f t="shared" si="10"/>
        <v>750</v>
      </c>
      <c r="J18" s="187">
        <f t="shared" si="10"/>
        <v>2500</v>
      </c>
      <c r="K18" s="187">
        <f t="shared" si="10"/>
        <v>2500</v>
      </c>
      <c r="L18" s="187">
        <f t="shared" si="10"/>
        <v>2500</v>
      </c>
      <c r="M18" s="187">
        <f t="shared" si="10"/>
        <v>2500</v>
      </c>
      <c r="N18" s="187">
        <f t="shared" si="10"/>
        <v>2500</v>
      </c>
      <c r="O18" s="187">
        <f t="shared" si="10"/>
        <v>2500</v>
      </c>
      <c r="P18" s="187">
        <f t="shared" ref="P18" si="11">SUM(P15:P17)</f>
        <v>2500</v>
      </c>
      <c r="Q18" s="187">
        <f t="shared" ref="Q18:S18" si="12">SUM(Q15:Q17)</f>
        <v>2500</v>
      </c>
      <c r="R18" s="187">
        <f t="shared" si="12"/>
        <v>2500</v>
      </c>
      <c r="S18" s="187">
        <f t="shared" si="12"/>
        <v>2500</v>
      </c>
    </row>
    <row r="19" spans="2:19" ht="8.25" customHeight="1" x14ac:dyDescent="0.35">
      <c r="H19" s="146"/>
      <c r="I19" s="146"/>
      <c r="J19" s="146"/>
      <c r="K19" s="146"/>
      <c r="L19" s="146"/>
      <c r="M19" s="146"/>
      <c r="N19" s="146"/>
      <c r="O19" s="146"/>
      <c r="P19" s="146"/>
      <c r="Q19" s="146"/>
      <c r="R19" s="146"/>
      <c r="S19" s="146"/>
    </row>
    <row r="20" spans="2:19" x14ac:dyDescent="0.35">
      <c r="B20" s="41" t="s">
        <v>272</v>
      </c>
      <c r="C20" s="173"/>
      <c r="D20" s="173"/>
      <c r="E20" s="174"/>
      <c r="F20" s="47"/>
      <c r="G20" s="208" t="s">
        <v>119</v>
      </c>
      <c r="H20" s="307">
        <v>58</v>
      </c>
      <c r="I20" s="307">
        <v>38</v>
      </c>
      <c r="J20" s="307">
        <v>53</v>
      </c>
      <c r="K20" s="307">
        <v>60</v>
      </c>
      <c r="L20" s="307">
        <v>0</v>
      </c>
      <c r="M20" s="307">
        <v>0</v>
      </c>
      <c r="N20" s="307">
        <v>0</v>
      </c>
      <c r="O20" s="307">
        <v>0</v>
      </c>
      <c r="P20" s="307">
        <v>0</v>
      </c>
      <c r="Q20" s="307">
        <v>0</v>
      </c>
      <c r="R20" s="307">
        <v>0</v>
      </c>
      <c r="S20" s="307">
        <v>0</v>
      </c>
    </row>
    <row r="21" spans="2:19" x14ac:dyDescent="0.35">
      <c r="B21" s="777"/>
      <c r="C21" s="176"/>
      <c r="D21" s="176"/>
      <c r="E21" s="177"/>
      <c r="F21" s="48"/>
      <c r="G21" s="209" t="s">
        <v>95</v>
      </c>
      <c r="H21" s="308">
        <v>49</v>
      </c>
      <c r="I21" s="308">
        <v>53</v>
      </c>
      <c r="J21" s="308">
        <v>62</v>
      </c>
      <c r="K21" s="308">
        <v>51</v>
      </c>
      <c r="L21" s="308">
        <v>0</v>
      </c>
      <c r="M21" s="308">
        <v>0</v>
      </c>
      <c r="N21" s="308">
        <v>0</v>
      </c>
      <c r="O21" s="308">
        <v>0</v>
      </c>
      <c r="P21" s="308">
        <v>0</v>
      </c>
      <c r="Q21" s="308">
        <v>0</v>
      </c>
      <c r="R21" s="308">
        <v>0</v>
      </c>
      <c r="S21" s="308">
        <v>0</v>
      </c>
    </row>
    <row r="22" spans="2:19" x14ac:dyDescent="0.35">
      <c r="B22" s="775"/>
      <c r="C22" s="179" t="s">
        <v>129</v>
      </c>
      <c r="D22" s="179" t="s">
        <v>130</v>
      </c>
      <c r="E22" s="180" t="s">
        <v>131</v>
      </c>
      <c r="F22" s="48"/>
      <c r="G22" s="210" t="s">
        <v>37</v>
      </c>
      <c r="H22" s="181">
        <v>1.2</v>
      </c>
      <c r="I22" s="181">
        <v>0.9</v>
      </c>
      <c r="J22" s="181">
        <f t="shared" ref="J22:S22" si="13">IFERROR(ROUND(J20/J21,3)," - - -")</f>
        <v>0.85499999999999998</v>
      </c>
      <c r="K22" s="181">
        <f t="shared" si="13"/>
        <v>1.1759999999999999</v>
      </c>
      <c r="L22" s="181" t="str">
        <f t="shared" si="13"/>
        <v xml:space="preserve"> - - -</v>
      </c>
      <c r="M22" s="181" t="str">
        <f t="shared" si="13"/>
        <v xml:space="preserve"> - - -</v>
      </c>
      <c r="N22" s="181" t="str">
        <f t="shared" si="13"/>
        <v xml:space="preserve"> - - -</v>
      </c>
      <c r="O22" s="181" t="str">
        <f t="shared" si="13"/>
        <v xml:space="preserve"> - - -</v>
      </c>
      <c r="P22" s="181" t="str">
        <f t="shared" si="13"/>
        <v xml:space="preserve"> - - -</v>
      </c>
      <c r="Q22" s="181" t="str">
        <f t="shared" si="13"/>
        <v xml:space="preserve"> - - -</v>
      </c>
      <c r="R22" s="181" t="str">
        <f t="shared" ref="R22" si="14">IFERROR(ROUND(R20/R21,3)," - - -")</f>
        <v xml:space="preserve"> - - -</v>
      </c>
      <c r="S22" s="181" t="str">
        <f t="shared" si="13"/>
        <v xml:space="preserve"> - - -</v>
      </c>
    </row>
    <row r="23" spans="2:19" x14ac:dyDescent="0.35">
      <c r="B23" s="775"/>
      <c r="C23" s="182">
        <v>0.9</v>
      </c>
      <c r="D23" s="182">
        <v>0.99990000000000001</v>
      </c>
      <c r="E23" s="202">
        <v>450</v>
      </c>
      <c r="F23" s="48"/>
      <c r="G23" s="209"/>
      <c r="H23" s="183">
        <f>IF(AND(H$22&gt;=$C23,H$22&lt;=$D23),$E23,0)</f>
        <v>0</v>
      </c>
      <c r="I23" s="183">
        <f t="shared" ref="I23:S25" si="15">IF(AND(I$22&gt;=$C23,I$22&lt;=$D23),$E23,0)</f>
        <v>450</v>
      </c>
      <c r="J23" s="183">
        <f t="shared" si="15"/>
        <v>0</v>
      </c>
      <c r="K23" s="183">
        <f t="shared" si="15"/>
        <v>0</v>
      </c>
      <c r="L23" s="183">
        <f t="shared" si="15"/>
        <v>0</v>
      </c>
      <c r="M23" s="183">
        <f t="shared" si="15"/>
        <v>0</v>
      </c>
      <c r="N23" s="183">
        <f t="shared" si="15"/>
        <v>0</v>
      </c>
      <c r="O23" s="183">
        <f t="shared" si="15"/>
        <v>0</v>
      </c>
      <c r="P23" s="183">
        <f t="shared" si="15"/>
        <v>0</v>
      </c>
      <c r="Q23" s="183">
        <f t="shared" si="15"/>
        <v>0</v>
      </c>
      <c r="R23" s="183">
        <f t="shared" si="15"/>
        <v>0</v>
      </c>
      <c r="S23" s="183">
        <f t="shared" si="15"/>
        <v>0</v>
      </c>
    </row>
    <row r="24" spans="2:19" x14ac:dyDescent="0.35">
      <c r="B24" s="45"/>
      <c r="C24" s="182">
        <v>1</v>
      </c>
      <c r="D24" s="182">
        <v>1.1999</v>
      </c>
      <c r="E24" s="202">
        <v>750</v>
      </c>
      <c r="F24" s="48"/>
      <c r="G24" s="209"/>
      <c r="H24" s="183">
        <f>IF(AND(H$22&gt;=$C24,H$22&lt;=$D24),$E24,0)</f>
        <v>0</v>
      </c>
      <c r="I24" s="183">
        <f t="shared" si="15"/>
        <v>0</v>
      </c>
      <c r="J24" s="183">
        <f t="shared" si="15"/>
        <v>0</v>
      </c>
      <c r="K24" s="183">
        <f t="shared" si="15"/>
        <v>750</v>
      </c>
      <c r="L24" s="183">
        <f t="shared" si="15"/>
        <v>0</v>
      </c>
      <c r="M24" s="183">
        <f t="shared" si="15"/>
        <v>0</v>
      </c>
      <c r="N24" s="183">
        <f t="shared" si="15"/>
        <v>0</v>
      </c>
      <c r="O24" s="183">
        <f t="shared" si="15"/>
        <v>0</v>
      </c>
      <c r="P24" s="183">
        <f t="shared" si="15"/>
        <v>0</v>
      </c>
      <c r="Q24" s="183">
        <f t="shared" si="15"/>
        <v>0</v>
      </c>
      <c r="R24" s="183">
        <f t="shared" si="15"/>
        <v>0</v>
      </c>
      <c r="S24" s="183">
        <f t="shared" si="15"/>
        <v>0</v>
      </c>
    </row>
    <row r="25" spans="2:19" x14ac:dyDescent="0.35">
      <c r="B25" s="45"/>
      <c r="C25" s="184">
        <v>1.2</v>
      </c>
      <c r="D25" s="185" t="s">
        <v>132</v>
      </c>
      <c r="E25" s="202">
        <v>1250</v>
      </c>
      <c r="F25" s="48"/>
      <c r="G25" s="209"/>
      <c r="H25" s="183">
        <f>IF(AND(H$22&gt;=$C25,H$22&lt;=$D25),$E25,0)</f>
        <v>1250</v>
      </c>
      <c r="I25" s="183">
        <f t="shared" si="15"/>
        <v>0</v>
      </c>
      <c r="J25" s="183">
        <f t="shared" si="15"/>
        <v>0</v>
      </c>
      <c r="K25" s="183">
        <f t="shared" si="15"/>
        <v>0</v>
      </c>
      <c r="L25" s="183">
        <f t="shared" si="15"/>
        <v>1250</v>
      </c>
      <c r="M25" s="183">
        <f t="shared" si="15"/>
        <v>1250</v>
      </c>
      <c r="N25" s="183">
        <f t="shared" si="15"/>
        <v>1250</v>
      </c>
      <c r="O25" s="183">
        <f t="shared" si="15"/>
        <v>1250</v>
      </c>
      <c r="P25" s="183">
        <f t="shared" si="15"/>
        <v>1250</v>
      </c>
      <c r="Q25" s="183">
        <f t="shared" si="15"/>
        <v>1250</v>
      </c>
      <c r="R25" s="183">
        <f t="shared" si="15"/>
        <v>1250</v>
      </c>
      <c r="S25" s="183">
        <f t="shared" si="15"/>
        <v>1250</v>
      </c>
    </row>
    <row r="26" spans="2:19" x14ac:dyDescent="0.35">
      <c r="B26" s="43"/>
      <c r="C26" s="44"/>
      <c r="D26" s="44"/>
      <c r="E26" s="44"/>
      <c r="F26" s="163"/>
      <c r="G26" s="211" t="s">
        <v>133</v>
      </c>
      <c r="H26" s="187">
        <f t="shared" ref="H26" si="16">SUM(H23:H25)</f>
        <v>1250</v>
      </c>
      <c r="I26" s="187">
        <f t="shared" ref="I26:S26" si="17">SUM(I23:I25)</f>
        <v>450</v>
      </c>
      <c r="J26" s="187">
        <f t="shared" si="17"/>
        <v>0</v>
      </c>
      <c r="K26" s="187">
        <f t="shared" si="17"/>
        <v>750</v>
      </c>
      <c r="L26" s="187">
        <f t="shared" si="17"/>
        <v>1250</v>
      </c>
      <c r="M26" s="187">
        <f t="shared" si="17"/>
        <v>1250</v>
      </c>
      <c r="N26" s="187">
        <f t="shared" si="17"/>
        <v>1250</v>
      </c>
      <c r="O26" s="187">
        <f t="shared" si="17"/>
        <v>1250</v>
      </c>
      <c r="P26" s="187">
        <f t="shared" si="17"/>
        <v>1250</v>
      </c>
      <c r="Q26" s="187">
        <f t="shared" si="17"/>
        <v>1250</v>
      </c>
      <c r="R26" s="187">
        <f t="shared" si="17"/>
        <v>1250</v>
      </c>
      <c r="S26" s="187">
        <f t="shared" si="17"/>
        <v>1250</v>
      </c>
    </row>
    <row r="27" spans="2:19" ht="8.25" customHeight="1" x14ac:dyDescent="0.35"/>
    <row r="28" spans="2:19" x14ac:dyDescent="0.35">
      <c r="B28" s="41" t="s">
        <v>273</v>
      </c>
      <c r="C28" s="179" t="s">
        <v>129</v>
      </c>
      <c r="D28" s="179" t="s">
        <v>130</v>
      </c>
      <c r="E28" s="180" t="s">
        <v>131</v>
      </c>
      <c r="F28" s="48"/>
      <c r="G28" s="298"/>
      <c r="H28" s="321">
        <v>0.875</v>
      </c>
      <c r="I28" s="321">
        <v>0.85</v>
      </c>
      <c r="J28" s="321">
        <v>0.83</v>
      </c>
      <c r="K28" s="321">
        <v>0.92</v>
      </c>
      <c r="L28" s="321">
        <v>0</v>
      </c>
      <c r="M28" s="321">
        <v>0</v>
      </c>
      <c r="N28" s="321">
        <v>0</v>
      </c>
      <c r="O28" s="321">
        <v>0</v>
      </c>
      <c r="P28" s="321">
        <v>0</v>
      </c>
      <c r="Q28" s="321">
        <v>0</v>
      </c>
      <c r="R28" s="321">
        <v>0</v>
      </c>
      <c r="S28" s="321">
        <v>0</v>
      </c>
    </row>
    <row r="29" spans="2:19" x14ac:dyDescent="0.35">
      <c r="B29" s="45"/>
      <c r="C29" s="182">
        <v>0</v>
      </c>
      <c r="D29" s="182">
        <v>0.79990000000000006</v>
      </c>
      <c r="E29" s="202">
        <v>0</v>
      </c>
      <c r="F29" s="48"/>
      <c r="G29" s="45"/>
      <c r="H29" s="183">
        <f t="shared" ref="H29:Q29" si="18">IF(AND(H28&gt;=$C29,H28&lt;=$D29),$E29,0)</f>
        <v>0</v>
      </c>
      <c r="I29" s="183">
        <f t="shared" si="18"/>
        <v>0</v>
      </c>
      <c r="J29" s="183">
        <f t="shared" si="18"/>
        <v>0</v>
      </c>
      <c r="K29" s="183">
        <f t="shared" si="18"/>
        <v>0</v>
      </c>
      <c r="L29" s="183">
        <f t="shared" si="18"/>
        <v>0</v>
      </c>
      <c r="M29" s="183">
        <f t="shared" si="18"/>
        <v>0</v>
      </c>
      <c r="N29" s="183">
        <f t="shared" si="18"/>
        <v>0</v>
      </c>
      <c r="O29" s="183">
        <f t="shared" si="18"/>
        <v>0</v>
      </c>
      <c r="P29" s="183">
        <f t="shared" si="18"/>
        <v>0</v>
      </c>
      <c r="Q29" s="183">
        <f t="shared" si="18"/>
        <v>0</v>
      </c>
      <c r="R29" s="183">
        <f t="shared" ref="R29" si="19">IF(AND(R28&gt;=$C29,R28&lt;=$D29),$E29,0)</f>
        <v>0</v>
      </c>
      <c r="S29" s="183">
        <f t="shared" ref="S29" si="20">IF(AND(S28&gt;=$C29,S28&lt;=$D29),$E29,0)</f>
        <v>0</v>
      </c>
    </row>
    <row r="30" spans="2:19" x14ac:dyDescent="0.35">
      <c r="B30" s="45"/>
      <c r="C30" s="182">
        <v>0.8</v>
      </c>
      <c r="D30" s="182">
        <v>0.89990000000000003</v>
      </c>
      <c r="E30" s="202">
        <v>500</v>
      </c>
      <c r="F30" s="48"/>
      <c r="G30" s="45"/>
      <c r="H30" s="183">
        <f t="shared" ref="H30:Q30" si="21">IF(AND(H28&gt;=$C30,H28&lt;=$D30),$E30,0)</f>
        <v>500</v>
      </c>
      <c r="I30" s="183">
        <f t="shared" si="21"/>
        <v>500</v>
      </c>
      <c r="J30" s="183">
        <f t="shared" si="21"/>
        <v>500</v>
      </c>
      <c r="K30" s="183">
        <f t="shared" si="21"/>
        <v>0</v>
      </c>
      <c r="L30" s="183">
        <f t="shared" si="21"/>
        <v>0</v>
      </c>
      <c r="M30" s="183">
        <f t="shared" si="21"/>
        <v>0</v>
      </c>
      <c r="N30" s="183">
        <f t="shared" si="21"/>
        <v>0</v>
      </c>
      <c r="O30" s="183">
        <f t="shared" si="21"/>
        <v>0</v>
      </c>
      <c r="P30" s="183">
        <f t="shared" si="21"/>
        <v>0</v>
      </c>
      <c r="Q30" s="183">
        <f t="shared" si="21"/>
        <v>0</v>
      </c>
      <c r="R30" s="183">
        <f t="shared" ref="R30" si="22">IF(AND(R28&gt;=$C30,R28&lt;=$D30),$E30,0)</f>
        <v>0</v>
      </c>
      <c r="S30" s="183">
        <f t="shared" ref="S30" si="23">IF(AND(S28&gt;=$C30,S28&lt;=$D30),$E30,0)</f>
        <v>0</v>
      </c>
    </row>
    <row r="31" spans="2:19" x14ac:dyDescent="0.35">
      <c r="B31" s="45"/>
      <c r="C31" s="184">
        <v>0.9</v>
      </c>
      <c r="D31" s="185" t="s">
        <v>132</v>
      </c>
      <c r="E31" s="202">
        <v>1000</v>
      </c>
      <c r="F31" s="48"/>
      <c r="G31" s="45"/>
      <c r="H31" s="183">
        <f t="shared" ref="H31:Q31" si="24">IF(AND(H28&gt;=$C31,H28&lt;=$D31),$E31,0)</f>
        <v>0</v>
      </c>
      <c r="I31" s="183">
        <f t="shared" si="24"/>
        <v>0</v>
      </c>
      <c r="J31" s="183">
        <f t="shared" si="24"/>
        <v>0</v>
      </c>
      <c r="K31" s="183">
        <f t="shared" si="24"/>
        <v>1000</v>
      </c>
      <c r="L31" s="183">
        <f t="shared" si="24"/>
        <v>0</v>
      </c>
      <c r="M31" s="183">
        <f t="shared" si="24"/>
        <v>0</v>
      </c>
      <c r="N31" s="183">
        <f t="shared" si="24"/>
        <v>0</v>
      </c>
      <c r="O31" s="183">
        <f t="shared" si="24"/>
        <v>0</v>
      </c>
      <c r="P31" s="183">
        <f t="shared" si="24"/>
        <v>0</v>
      </c>
      <c r="Q31" s="183">
        <f t="shared" si="24"/>
        <v>0</v>
      </c>
      <c r="R31" s="183">
        <f t="shared" ref="R31" si="25">IF(AND(R28&gt;=$C31,R28&lt;=$D31),$E31,0)</f>
        <v>0</v>
      </c>
      <c r="S31" s="183">
        <f t="shared" ref="S31" si="26">IF(AND(S28&gt;=$C31,S28&lt;=$D31),$E31,0)</f>
        <v>0</v>
      </c>
    </row>
    <row r="32" spans="2:19" x14ac:dyDescent="0.35">
      <c r="B32" s="43"/>
      <c r="C32" s="44"/>
      <c r="D32" s="44"/>
      <c r="E32" s="44"/>
      <c r="F32" s="163"/>
      <c r="G32" s="186" t="s">
        <v>133</v>
      </c>
      <c r="H32" s="187">
        <f t="shared" ref="H32:Q32" si="27">SUM(H29:H31)</f>
        <v>500</v>
      </c>
      <c r="I32" s="187">
        <f t="shared" si="27"/>
        <v>500</v>
      </c>
      <c r="J32" s="187">
        <f t="shared" si="27"/>
        <v>500</v>
      </c>
      <c r="K32" s="187">
        <f t="shared" si="27"/>
        <v>1000</v>
      </c>
      <c r="L32" s="187">
        <f t="shared" si="27"/>
        <v>0</v>
      </c>
      <c r="M32" s="187">
        <f t="shared" si="27"/>
        <v>0</v>
      </c>
      <c r="N32" s="187">
        <f t="shared" si="27"/>
        <v>0</v>
      </c>
      <c r="O32" s="187">
        <f t="shared" si="27"/>
        <v>0</v>
      </c>
      <c r="P32" s="187">
        <f t="shared" si="27"/>
        <v>0</v>
      </c>
      <c r="Q32" s="187">
        <f t="shared" si="27"/>
        <v>0</v>
      </c>
      <c r="R32" s="187">
        <f t="shared" ref="R32" si="28">SUM(R29:R31)</f>
        <v>0</v>
      </c>
      <c r="S32" s="187">
        <f t="shared" ref="S32" si="29">SUM(S29:S31)</f>
        <v>0</v>
      </c>
    </row>
    <row r="33" spans="2:19" ht="9" customHeight="1" x14ac:dyDescent="0.35"/>
    <row r="34" spans="2:19" ht="13.9" hidden="1" customHeight="1" x14ac:dyDescent="0.35">
      <c r="G34" s="197" t="s">
        <v>284</v>
      </c>
      <c r="J34" s="46">
        <v>1750</v>
      </c>
    </row>
    <row r="35" spans="2:19" ht="9" customHeight="1" x14ac:dyDescent="0.35">
      <c r="E35" s="778"/>
      <c r="F35" s="778"/>
      <c r="G35" s="778"/>
      <c r="R35" s="327"/>
    </row>
    <row r="36" spans="2:19" ht="15" thickBot="1" x14ac:dyDescent="0.4">
      <c r="E36" s="188"/>
      <c r="G36" s="188" t="s">
        <v>149</v>
      </c>
      <c r="H36" s="189">
        <f>+H10+H32+H26+H18</f>
        <v>6750</v>
      </c>
      <c r="I36" s="189">
        <f t="shared" ref="I36:S36" si="30">+I10+I32+I26+I18</f>
        <v>2450</v>
      </c>
      <c r="J36" s="189">
        <f>+J10+J32+J26+J18+J34</f>
        <v>7250</v>
      </c>
      <c r="K36" s="189">
        <f t="shared" si="30"/>
        <v>4250</v>
      </c>
      <c r="L36" s="189">
        <f t="shared" si="30"/>
        <v>6250</v>
      </c>
      <c r="M36" s="189">
        <f t="shared" si="30"/>
        <v>6250</v>
      </c>
      <c r="N36" s="189">
        <f t="shared" si="30"/>
        <v>6250</v>
      </c>
      <c r="O36" s="189">
        <f t="shared" si="30"/>
        <v>6250</v>
      </c>
      <c r="P36" s="189">
        <f t="shared" si="30"/>
        <v>6250</v>
      </c>
      <c r="Q36" s="189">
        <f t="shared" si="30"/>
        <v>6250</v>
      </c>
      <c r="R36" s="189">
        <f t="shared" si="30"/>
        <v>6250</v>
      </c>
      <c r="S36" s="189">
        <f t="shared" si="30"/>
        <v>6250</v>
      </c>
    </row>
    <row r="37" spans="2:19" ht="15" thickTop="1" x14ac:dyDescent="0.35"/>
    <row r="38" spans="2:19" x14ac:dyDescent="0.35">
      <c r="B38" s="281" t="s">
        <v>274</v>
      </c>
    </row>
    <row r="39" spans="2:19" x14ac:dyDescent="0.35">
      <c r="B39" s="10" t="s">
        <v>275</v>
      </c>
      <c r="C39" s="173"/>
      <c r="D39" s="173"/>
      <c r="E39" s="174"/>
      <c r="F39" s="47"/>
      <c r="G39" s="208" t="s">
        <v>119</v>
      </c>
      <c r="S39" s="305"/>
    </row>
    <row r="40" spans="2:19" x14ac:dyDescent="0.35">
      <c r="B40" s="779"/>
      <c r="C40" s="179" t="s">
        <v>129</v>
      </c>
      <c r="D40" s="179" t="s">
        <v>130</v>
      </c>
      <c r="E40" s="180" t="s">
        <v>131</v>
      </c>
      <c r="F40" s="48"/>
      <c r="G40" s="210"/>
      <c r="S40" s="181"/>
    </row>
    <row r="41" spans="2:19" x14ac:dyDescent="0.35">
      <c r="B41" s="779"/>
      <c r="C41" s="206">
        <v>1</v>
      </c>
      <c r="D41" s="206">
        <v>5</v>
      </c>
      <c r="E41" s="202">
        <v>10000</v>
      </c>
      <c r="F41" s="48"/>
      <c r="G41" s="209"/>
      <c r="S41" s="183">
        <f>IF(AND(S$39&gt;=$C41,S$39&lt;=$D41),$E41,0)</f>
        <v>0</v>
      </c>
    </row>
    <row r="42" spans="2:19" x14ac:dyDescent="0.35">
      <c r="B42" s="45"/>
      <c r="C42" s="206">
        <v>6</v>
      </c>
      <c r="D42" s="206">
        <v>10</v>
      </c>
      <c r="E42" s="202">
        <v>5000</v>
      </c>
      <c r="F42" s="48"/>
      <c r="G42" s="209"/>
      <c r="S42" s="183">
        <f>IF(AND(S$39&gt;=$C42,S$39&lt;=$D42),$E42,0)</f>
        <v>0</v>
      </c>
    </row>
    <row r="43" spans="2:19" x14ac:dyDescent="0.35">
      <c r="B43" s="45"/>
      <c r="C43" s="206">
        <v>11</v>
      </c>
      <c r="D43" s="206">
        <v>15</v>
      </c>
      <c r="E43" s="202">
        <v>2500</v>
      </c>
      <c r="F43" s="48"/>
      <c r="G43" s="209"/>
      <c r="S43" s="183">
        <f>IF(AND(S$39&gt;=$C43,S$39&lt;=$D43),$E43,0)</f>
        <v>0</v>
      </c>
    </row>
    <row r="44" spans="2:19" x14ac:dyDescent="0.35">
      <c r="B44" s="43"/>
      <c r="C44" s="44"/>
      <c r="D44" s="44"/>
      <c r="E44" s="44"/>
      <c r="F44" s="163"/>
      <c r="G44" s="211" t="s">
        <v>133</v>
      </c>
      <c r="S44" s="187">
        <f t="shared" ref="S44" si="31">SUM(S41:S43)</f>
        <v>0</v>
      </c>
    </row>
    <row r="46" spans="2:19" ht="15" thickBot="1" x14ac:dyDescent="0.4">
      <c r="G46" s="197" t="s">
        <v>140</v>
      </c>
      <c r="S46" s="199">
        <f>+S36+S44</f>
        <v>6250</v>
      </c>
    </row>
    <row r="47" spans="2:19" ht="15" thickTop="1" x14ac:dyDescent="0.35"/>
  </sheetData>
  <mergeCells count="3">
    <mergeCell ref="B21:B23"/>
    <mergeCell ref="E35:G35"/>
    <mergeCell ref="B40:B41"/>
  </mergeCells>
  <pageMargins left="0.7" right="0.7" top="0.75" bottom="0.75" header="0.3" footer="0.3"/>
  <pageSetup scale="57" orientation="landscape" r:id="rId1"/>
  <ignoredErrors>
    <ignoredError sqref="J36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1:U48"/>
  <sheetViews>
    <sheetView showGridLines="0" zoomScale="90" zoomScaleNormal="90" workbookViewId="0">
      <pane xSplit="7" ySplit="3" topLeftCell="R11" activePane="bottomRight" state="frozen"/>
      <selection pane="topRight" activeCell="H1" sqref="H1"/>
      <selection pane="bottomLeft" activeCell="A4" sqref="A4"/>
      <selection pane="bottomRight" activeCell="X33" sqref="X33"/>
    </sheetView>
  </sheetViews>
  <sheetFormatPr baseColWidth="10" defaultColWidth="11.453125" defaultRowHeight="14.5" x14ac:dyDescent="0.35"/>
  <cols>
    <col min="1" max="1" width="3.7265625" style="40" customWidth="1"/>
    <col min="2" max="2" width="30.54296875" style="40" bestFit="1" customWidth="1"/>
    <col min="3" max="4" width="10.7265625" style="40" customWidth="1"/>
    <col min="5" max="5" width="10.54296875" style="40" bestFit="1" customWidth="1"/>
    <col min="6" max="6" width="1.7265625" style="40" customWidth="1"/>
    <col min="7" max="7" width="11.453125" style="40"/>
    <col min="8" max="18" width="11.453125" style="40" hidden="1" customWidth="1"/>
    <col min="19" max="19" width="11.453125" style="40" customWidth="1"/>
    <col min="20" max="16384" width="11.453125" style="40"/>
  </cols>
  <sheetData>
    <row r="1" spans="2:21" x14ac:dyDescent="0.35">
      <c r="B1" s="333" t="s">
        <v>157</v>
      </c>
      <c r="C1" s="334"/>
      <c r="D1" s="334"/>
      <c r="E1" s="334"/>
      <c r="F1" s="334"/>
      <c r="G1" s="334"/>
      <c r="H1" s="334"/>
      <c r="I1" s="334"/>
      <c r="J1" s="334"/>
      <c r="K1" s="334"/>
      <c r="L1" s="334"/>
      <c r="M1" s="334"/>
      <c r="N1" s="334"/>
      <c r="O1" s="334"/>
      <c r="P1" s="334"/>
      <c r="Q1" s="334"/>
      <c r="R1" s="334"/>
      <c r="S1" s="335"/>
    </row>
    <row r="2" spans="2:21" ht="8.25" customHeight="1" x14ac:dyDescent="0.35"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</row>
    <row r="3" spans="2:21" x14ac:dyDescent="0.35">
      <c r="B3" s="281" t="s">
        <v>126</v>
      </c>
      <c r="C3" s="336"/>
      <c r="D3" s="336"/>
      <c r="E3"/>
      <c r="F3"/>
      <c r="G3"/>
      <c r="H3" s="337">
        <v>45322</v>
      </c>
      <c r="I3" s="337">
        <v>45350</v>
      </c>
      <c r="J3" s="337">
        <v>45378</v>
      </c>
      <c r="K3" s="337">
        <v>45406</v>
      </c>
      <c r="L3" s="337">
        <v>45434</v>
      </c>
      <c r="M3" s="337">
        <v>45462</v>
      </c>
      <c r="N3" s="337">
        <v>45490</v>
      </c>
      <c r="O3" s="337">
        <v>45518</v>
      </c>
      <c r="P3" s="337">
        <v>45546</v>
      </c>
      <c r="Q3" s="337">
        <v>45574</v>
      </c>
      <c r="R3" s="337">
        <v>45602</v>
      </c>
      <c r="S3" s="337">
        <v>45630</v>
      </c>
    </row>
    <row r="4" spans="2:21" x14ac:dyDescent="0.35">
      <c r="B4" s="10" t="s">
        <v>151</v>
      </c>
      <c r="C4" s="338"/>
      <c r="D4" s="338"/>
      <c r="E4" s="339"/>
      <c r="F4" s="340"/>
      <c r="G4" s="341" t="s">
        <v>119</v>
      </c>
      <c r="H4" s="274">
        <v>142187</v>
      </c>
      <c r="I4" s="274">
        <v>249483</v>
      </c>
      <c r="J4" s="274">
        <v>281559.35999999987</v>
      </c>
      <c r="K4" s="274">
        <f>'Kaven Bonneau 2024'!K4</f>
        <v>259605</v>
      </c>
      <c r="L4" s="274">
        <v>235625</v>
      </c>
      <c r="M4" s="274">
        <v>124974</v>
      </c>
      <c r="N4" s="274">
        <f>'Kaven Bonneau v2 2024'!N4</f>
        <v>254171</v>
      </c>
      <c r="O4" s="274">
        <v>260155</v>
      </c>
      <c r="P4" s="274" t="e">
        <f>#REF!</f>
        <v>#REF!</v>
      </c>
      <c r="Q4" s="274" t="e">
        <f>#REF!</f>
        <v>#REF!</v>
      </c>
      <c r="R4" s="274" t="e">
        <f>#REF!</f>
        <v>#REF!</v>
      </c>
      <c r="S4" s="274" t="e">
        <f>#REF!</f>
        <v>#REF!</v>
      </c>
      <c r="U4" s="40" t="s">
        <v>211</v>
      </c>
    </row>
    <row r="5" spans="2:21" x14ac:dyDescent="0.35">
      <c r="B5" s="15" t="s">
        <v>238</v>
      </c>
      <c r="C5" s="342"/>
      <c r="D5" s="342"/>
      <c r="E5" s="343"/>
      <c r="F5" s="344"/>
      <c r="G5" t="s">
        <v>95</v>
      </c>
      <c r="H5" s="345">
        <v>144386</v>
      </c>
      <c r="I5" s="345">
        <v>144386</v>
      </c>
      <c r="J5" s="345">
        <v>202140.80743085477</v>
      </c>
      <c r="K5" s="345">
        <f>'Kaven Bonneau 2024'!K5</f>
        <v>288903</v>
      </c>
      <c r="L5" s="345">
        <v>331750</v>
      </c>
      <c r="M5" s="345">
        <v>259687</v>
      </c>
      <c r="N5" s="345">
        <f>'Kaven Bonneau v2 2024'!N5</f>
        <v>231018</v>
      </c>
      <c r="O5" s="345">
        <v>260155</v>
      </c>
      <c r="P5" s="345" t="e">
        <f>#REF!</f>
        <v>#REF!</v>
      </c>
      <c r="Q5" s="345" t="e">
        <f>#REF!</f>
        <v>#REF!</v>
      </c>
      <c r="R5" s="345" t="e">
        <f>#REF!</f>
        <v>#REF!</v>
      </c>
      <c r="S5" s="345" t="e">
        <f>#REF!</f>
        <v>#REF!</v>
      </c>
      <c r="U5" s="40" t="s">
        <v>213</v>
      </c>
    </row>
    <row r="6" spans="2:21" x14ac:dyDescent="0.35">
      <c r="B6" s="15"/>
      <c r="C6" s="346" t="s">
        <v>129</v>
      </c>
      <c r="D6" s="346" t="s">
        <v>130</v>
      </c>
      <c r="E6" s="214" t="s">
        <v>131</v>
      </c>
      <c r="F6" s="344"/>
      <c r="G6" s="331" t="s">
        <v>37</v>
      </c>
      <c r="H6" s="347">
        <f>IFERROR(ROUND(H4/H5,3)," - - -")</f>
        <v>0.98499999999999999</v>
      </c>
      <c r="I6" s="347">
        <f t="shared" ref="I6:S6" si="0">IFERROR(ROUND(I4/I5,3)," - - -")</f>
        <v>1.728</v>
      </c>
      <c r="J6" s="347">
        <f t="shared" si="0"/>
        <v>1.393</v>
      </c>
      <c r="K6" s="347">
        <f t="shared" si="0"/>
        <v>0.89900000000000002</v>
      </c>
      <c r="L6" s="347">
        <f t="shared" si="0"/>
        <v>0.71</v>
      </c>
      <c r="M6" s="347">
        <f t="shared" si="0"/>
        <v>0.48099999999999998</v>
      </c>
      <c r="N6" s="347">
        <f t="shared" si="0"/>
        <v>1.1000000000000001</v>
      </c>
      <c r="O6" s="347">
        <f t="shared" si="0"/>
        <v>1</v>
      </c>
      <c r="P6" s="347" t="str">
        <f t="shared" si="0"/>
        <v xml:space="preserve"> - - -</v>
      </c>
      <c r="Q6" s="347">
        <v>0.9</v>
      </c>
      <c r="R6" s="347" t="str">
        <f t="shared" si="0"/>
        <v xml:space="preserve"> - - -</v>
      </c>
      <c r="S6" s="347" t="str">
        <f t="shared" si="0"/>
        <v xml:space="preserve"> - - -</v>
      </c>
    </row>
    <row r="7" spans="2:21" x14ac:dyDescent="0.35">
      <c r="B7" s="15"/>
      <c r="C7" s="348">
        <v>0.85</v>
      </c>
      <c r="D7" s="348">
        <v>0.99990000000000001</v>
      </c>
      <c r="E7" s="349">
        <v>500</v>
      </c>
      <c r="F7" s="344"/>
      <c r="G7"/>
      <c r="H7" s="290">
        <f>IF(AND(H$6&gt;=$C7,H$6&lt;=$D7),$E7,0)</f>
        <v>500</v>
      </c>
      <c r="I7" s="290">
        <f t="shared" ref="I7:S7" si="1">IF(AND(I$6&gt;=$C7,I$6&lt;=$D7),$E7,0)</f>
        <v>0</v>
      </c>
      <c r="J7" s="290">
        <f t="shared" si="1"/>
        <v>0</v>
      </c>
      <c r="K7" s="290">
        <f t="shared" si="1"/>
        <v>500</v>
      </c>
      <c r="L7" s="290">
        <f t="shared" si="1"/>
        <v>0</v>
      </c>
      <c r="M7" s="290">
        <f t="shared" si="1"/>
        <v>0</v>
      </c>
      <c r="N7" s="290">
        <f t="shared" si="1"/>
        <v>0</v>
      </c>
      <c r="O7" s="290">
        <f t="shared" si="1"/>
        <v>0</v>
      </c>
      <c r="P7" s="290">
        <f t="shared" si="1"/>
        <v>0</v>
      </c>
      <c r="Q7" s="290">
        <f t="shared" si="1"/>
        <v>500</v>
      </c>
      <c r="R7" s="290">
        <f t="shared" si="1"/>
        <v>0</v>
      </c>
      <c r="S7" s="290">
        <f t="shared" si="1"/>
        <v>0</v>
      </c>
    </row>
    <row r="8" spans="2:21" x14ac:dyDescent="0.35">
      <c r="B8" s="15"/>
      <c r="C8" s="348">
        <v>1</v>
      </c>
      <c r="D8" s="348">
        <v>1.0999000000000001</v>
      </c>
      <c r="E8" s="349">
        <v>1500</v>
      </c>
      <c r="F8" s="344"/>
      <c r="G8"/>
      <c r="H8" s="290">
        <f t="shared" ref="H8:S9" si="2">IF(AND(H$6&gt;=$C8,H$6&lt;=$D8),$E8,0)</f>
        <v>0</v>
      </c>
      <c r="I8" s="290">
        <f t="shared" si="2"/>
        <v>0</v>
      </c>
      <c r="J8" s="290">
        <f t="shared" si="2"/>
        <v>0</v>
      </c>
      <c r="K8" s="290">
        <f t="shared" si="2"/>
        <v>0</v>
      </c>
      <c r="L8" s="290">
        <f t="shared" si="2"/>
        <v>0</v>
      </c>
      <c r="M8" s="290">
        <f t="shared" si="2"/>
        <v>0</v>
      </c>
      <c r="N8" s="290">
        <f t="shared" si="2"/>
        <v>0</v>
      </c>
      <c r="O8" s="290">
        <f t="shared" si="2"/>
        <v>1500</v>
      </c>
      <c r="P8" s="290">
        <f t="shared" si="2"/>
        <v>0</v>
      </c>
      <c r="Q8" s="290">
        <f t="shared" si="2"/>
        <v>0</v>
      </c>
      <c r="R8" s="290">
        <f t="shared" si="2"/>
        <v>0</v>
      </c>
      <c r="S8" s="290">
        <f t="shared" si="2"/>
        <v>0</v>
      </c>
    </row>
    <row r="9" spans="2:21" x14ac:dyDescent="0.35">
      <c r="B9" s="15"/>
      <c r="C9" s="350">
        <v>1.1000000000000001</v>
      </c>
      <c r="D9" s="351" t="s">
        <v>132</v>
      </c>
      <c r="E9" s="349">
        <v>2000</v>
      </c>
      <c r="F9" s="344"/>
      <c r="G9"/>
      <c r="H9" s="290">
        <f t="shared" si="2"/>
        <v>0</v>
      </c>
      <c r="I9" s="290">
        <f t="shared" si="2"/>
        <v>2000</v>
      </c>
      <c r="J9" s="290">
        <f t="shared" si="2"/>
        <v>2000</v>
      </c>
      <c r="K9" s="290">
        <f t="shared" si="2"/>
        <v>0</v>
      </c>
      <c r="L9" s="290">
        <f t="shared" si="2"/>
        <v>0</v>
      </c>
      <c r="M9" s="290">
        <f t="shared" si="2"/>
        <v>0</v>
      </c>
      <c r="N9" s="290">
        <f t="shared" si="2"/>
        <v>2000</v>
      </c>
      <c r="O9" s="290">
        <f t="shared" si="2"/>
        <v>0</v>
      </c>
      <c r="P9" s="290">
        <f t="shared" si="2"/>
        <v>2000</v>
      </c>
      <c r="Q9" s="290">
        <f t="shared" si="2"/>
        <v>0</v>
      </c>
      <c r="R9" s="290">
        <f t="shared" si="2"/>
        <v>2000</v>
      </c>
      <c r="S9" s="290">
        <f t="shared" si="2"/>
        <v>2000</v>
      </c>
    </row>
    <row r="10" spans="2:21" x14ac:dyDescent="0.35">
      <c r="B10" s="38"/>
      <c r="C10" s="352"/>
      <c r="D10" s="352"/>
      <c r="E10" s="352"/>
      <c r="F10" s="353"/>
      <c r="G10" s="354" t="s">
        <v>133</v>
      </c>
      <c r="H10" s="216">
        <f>SUM(H7:H9)</f>
        <v>500</v>
      </c>
      <c r="I10" s="216">
        <f t="shared" ref="I10:S10" si="3">SUM(I7:I9)</f>
        <v>2000</v>
      </c>
      <c r="J10" s="216">
        <f t="shared" si="3"/>
        <v>2000</v>
      </c>
      <c r="K10" s="216">
        <f t="shared" si="3"/>
        <v>500</v>
      </c>
      <c r="L10" s="216">
        <f t="shared" si="3"/>
        <v>0</v>
      </c>
      <c r="M10" s="216">
        <f t="shared" si="3"/>
        <v>0</v>
      </c>
      <c r="N10" s="216">
        <f t="shared" si="3"/>
        <v>2000</v>
      </c>
      <c r="O10" s="216">
        <f t="shared" si="3"/>
        <v>1500</v>
      </c>
      <c r="P10" s="216">
        <f t="shared" si="3"/>
        <v>2000</v>
      </c>
      <c r="Q10" s="216">
        <f t="shared" si="3"/>
        <v>500</v>
      </c>
      <c r="R10" s="216">
        <f t="shared" si="3"/>
        <v>2000</v>
      </c>
      <c r="S10" s="216">
        <f t="shared" si="3"/>
        <v>2000</v>
      </c>
    </row>
    <row r="11" spans="2:21" ht="8.25" customHeight="1" x14ac:dyDescent="0.35">
      <c r="B11"/>
      <c r="C11"/>
      <c r="D11"/>
      <c r="E11"/>
      <c r="F11"/>
      <c r="G11"/>
      <c r="H11" s="322"/>
      <c r="I11" s="322"/>
      <c r="J11" s="322"/>
      <c r="K11" s="322"/>
      <c r="L11" s="322"/>
      <c r="M11" s="322"/>
      <c r="N11" s="322"/>
      <c r="O11" s="322"/>
      <c r="P11" s="322"/>
      <c r="Q11" s="322"/>
      <c r="R11" s="322"/>
      <c r="S11" s="322"/>
    </row>
    <row r="12" spans="2:21" x14ac:dyDescent="0.35">
      <c r="B12" s="10" t="s">
        <v>239</v>
      </c>
      <c r="C12" s="338"/>
      <c r="D12" s="338"/>
      <c r="E12" s="339"/>
      <c r="F12" s="340"/>
      <c r="G12" s="341" t="s">
        <v>119</v>
      </c>
      <c r="H12" s="274">
        <v>46</v>
      </c>
      <c r="I12" s="274">
        <v>75</v>
      </c>
      <c r="J12" s="274">
        <v>74</v>
      </c>
      <c r="K12" s="355">
        <v>73</v>
      </c>
      <c r="L12" s="274">
        <v>74</v>
      </c>
      <c r="M12" s="274">
        <v>40</v>
      </c>
      <c r="N12" s="274">
        <v>85</v>
      </c>
      <c r="O12" s="274">
        <v>89</v>
      </c>
      <c r="P12" s="274" t="e">
        <f>#REF!</f>
        <v>#REF!</v>
      </c>
      <c r="Q12" s="274" t="e">
        <f>#REF!</f>
        <v>#REF!</v>
      </c>
      <c r="R12" s="274" t="e">
        <f>#REF!</f>
        <v>#REF!</v>
      </c>
      <c r="S12" s="274" t="e">
        <f>#REF!</f>
        <v>#REF!</v>
      </c>
      <c r="U12" s="40" t="s">
        <v>211</v>
      </c>
    </row>
    <row r="13" spans="2:21" x14ac:dyDescent="0.35">
      <c r="B13" s="15" t="s">
        <v>238</v>
      </c>
      <c r="C13" s="342"/>
      <c r="D13" s="342"/>
      <c r="E13" s="343"/>
      <c r="F13" s="344"/>
      <c r="G13" t="s">
        <v>95</v>
      </c>
      <c r="H13" s="345">
        <v>36</v>
      </c>
      <c r="I13" s="345">
        <v>36</v>
      </c>
      <c r="J13" s="345">
        <v>46.830000000000005</v>
      </c>
      <c r="K13" s="356">
        <v>72</v>
      </c>
      <c r="L13" s="345">
        <v>82</v>
      </c>
      <c r="M13" s="345">
        <v>64</v>
      </c>
      <c r="N13" s="345">
        <v>57</v>
      </c>
      <c r="O13" s="345">
        <v>64</v>
      </c>
      <c r="P13" s="345" t="e">
        <f>#REF!</f>
        <v>#REF!</v>
      </c>
      <c r="Q13" s="345" t="e">
        <f>#REF!</f>
        <v>#REF!</v>
      </c>
      <c r="R13" s="345" t="e">
        <f>#REF!</f>
        <v>#REF!</v>
      </c>
      <c r="S13" s="345" t="e">
        <f>#REF!</f>
        <v>#REF!</v>
      </c>
      <c r="U13" s="40" t="s">
        <v>213</v>
      </c>
    </row>
    <row r="14" spans="2:21" x14ac:dyDescent="0.35">
      <c r="B14" s="15"/>
      <c r="C14" s="346" t="s">
        <v>129</v>
      </c>
      <c r="D14" s="346" t="s">
        <v>130</v>
      </c>
      <c r="E14" s="214" t="s">
        <v>131</v>
      </c>
      <c r="F14" s="344"/>
      <c r="G14" s="331" t="s">
        <v>37</v>
      </c>
      <c r="H14" s="347">
        <f>IFERROR(ROUND(H12/H13,3)," - - -")</f>
        <v>1.278</v>
      </c>
      <c r="I14" s="347">
        <f t="shared" ref="I14:S14" si="4">IFERROR(ROUND(I12/I13,3)," - - -")</f>
        <v>2.0830000000000002</v>
      </c>
      <c r="J14" s="347">
        <f t="shared" si="4"/>
        <v>1.58</v>
      </c>
      <c r="K14" s="347">
        <f t="shared" si="4"/>
        <v>1.014</v>
      </c>
      <c r="L14" s="347">
        <f t="shared" si="4"/>
        <v>0.90200000000000002</v>
      </c>
      <c r="M14" s="347">
        <f t="shared" si="4"/>
        <v>0.625</v>
      </c>
      <c r="N14" s="347">
        <f t="shared" si="4"/>
        <v>1.4910000000000001</v>
      </c>
      <c r="O14" s="347">
        <f t="shared" si="4"/>
        <v>1.391</v>
      </c>
      <c r="P14" s="347" t="str">
        <f t="shared" si="4"/>
        <v xml:space="preserve"> - - -</v>
      </c>
      <c r="Q14" s="347">
        <v>0.9</v>
      </c>
      <c r="R14" s="347" t="str">
        <f t="shared" si="4"/>
        <v xml:space="preserve"> - - -</v>
      </c>
      <c r="S14" s="347" t="str">
        <f t="shared" si="4"/>
        <v xml:space="preserve"> - - -</v>
      </c>
    </row>
    <row r="15" spans="2:21" x14ac:dyDescent="0.35">
      <c r="B15" s="15"/>
      <c r="C15" s="348">
        <v>0.85</v>
      </c>
      <c r="D15" s="348">
        <v>0.99990000000000001</v>
      </c>
      <c r="E15" s="349">
        <v>500</v>
      </c>
      <c r="F15" s="344"/>
      <c r="G15"/>
      <c r="H15" s="290">
        <f>IF(AND(H$14&gt;=$C15,H$14&lt;=$D15),$E15,0)</f>
        <v>0</v>
      </c>
      <c r="I15" s="290">
        <f t="shared" ref="I15:S17" si="5">IF(AND(I$14&gt;=$C15,I$14&lt;=$D15),$E15,0)</f>
        <v>0</v>
      </c>
      <c r="J15" s="290">
        <f t="shared" si="5"/>
        <v>0</v>
      </c>
      <c r="K15" s="290">
        <f t="shared" si="5"/>
        <v>0</v>
      </c>
      <c r="L15" s="290">
        <f t="shared" si="5"/>
        <v>500</v>
      </c>
      <c r="M15" s="290">
        <f t="shared" si="5"/>
        <v>0</v>
      </c>
      <c r="N15" s="290">
        <f t="shared" si="5"/>
        <v>0</v>
      </c>
      <c r="O15" s="290">
        <f t="shared" si="5"/>
        <v>0</v>
      </c>
      <c r="P15" s="290">
        <f t="shared" si="5"/>
        <v>0</v>
      </c>
      <c r="Q15" s="290">
        <f t="shared" si="5"/>
        <v>500</v>
      </c>
      <c r="R15" s="290">
        <f t="shared" si="5"/>
        <v>0</v>
      </c>
      <c r="S15" s="290">
        <f t="shared" si="5"/>
        <v>0</v>
      </c>
    </row>
    <row r="16" spans="2:21" x14ac:dyDescent="0.35">
      <c r="B16" s="15"/>
      <c r="C16" s="348">
        <v>1</v>
      </c>
      <c r="D16" s="348">
        <v>1.0999000000000001</v>
      </c>
      <c r="E16" s="349">
        <v>1500</v>
      </c>
      <c r="F16" s="344"/>
      <c r="G16"/>
      <c r="H16" s="290">
        <f>IF(AND(H$14&gt;=$C16,H$14&lt;=$D16),$E16,0)</f>
        <v>0</v>
      </c>
      <c r="I16" s="290">
        <f t="shared" si="5"/>
        <v>0</v>
      </c>
      <c r="J16" s="290">
        <f t="shared" si="5"/>
        <v>0</v>
      </c>
      <c r="K16" s="290">
        <f t="shared" si="5"/>
        <v>1500</v>
      </c>
      <c r="L16" s="290">
        <f t="shared" si="5"/>
        <v>0</v>
      </c>
      <c r="M16" s="290">
        <f t="shared" si="5"/>
        <v>0</v>
      </c>
      <c r="N16" s="290">
        <f t="shared" si="5"/>
        <v>0</v>
      </c>
      <c r="O16" s="290">
        <f t="shared" si="5"/>
        <v>0</v>
      </c>
      <c r="P16" s="290">
        <f t="shared" si="5"/>
        <v>0</v>
      </c>
      <c r="Q16" s="290">
        <f t="shared" si="5"/>
        <v>0</v>
      </c>
      <c r="R16" s="290">
        <f t="shared" si="5"/>
        <v>0</v>
      </c>
      <c r="S16" s="290">
        <f t="shared" si="5"/>
        <v>0</v>
      </c>
    </row>
    <row r="17" spans="2:19" x14ac:dyDescent="0.35">
      <c r="B17" s="15"/>
      <c r="C17" s="350">
        <v>1.1000000000000001</v>
      </c>
      <c r="D17" s="351" t="s">
        <v>132</v>
      </c>
      <c r="E17" s="349">
        <v>2000</v>
      </c>
      <c r="F17" s="344"/>
      <c r="G17"/>
      <c r="H17" s="290">
        <f>IF(AND(H$14&gt;=$C17,H$14&lt;=$D17),$E17,0)</f>
        <v>2000</v>
      </c>
      <c r="I17" s="290">
        <f t="shared" si="5"/>
        <v>2000</v>
      </c>
      <c r="J17" s="290">
        <f t="shared" si="5"/>
        <v>2000</v>
      </c>
      <c r="K17" s="290">
        <f t="shared" si="5"/>
        <v>0</v>
      </c>
      <c r="L17" s="290">
        <f t="shared" si="5"/>
        <v>0</v>
      </c>
      <c r="M17" s="290">
        <f t="shared" si="5"/>
        <v>0</v>
      </c>
      <c r="N17" s="290">
        <f t="shared" si="5"/>
        <v>2000</v>
      </c>
      <c r="O17" s="290">
        <f t="shared" si="5"/>
        <v>2000</v>
      </c>
      <c r="P17" s="290">
        <f t="shared" si="5"/>
        <v>2000</v>
      </c>
      <c r="Q17" s="290">
        <f t="shared" si="5"/>
        <v>0</v>
      </c>
      <c r="R17" s="290">
        <f t="shared" si="5"/>
        <v>2000</v>
      </c>
      <c r="S17" s="290">
        <f t="shared" si="5"/>
        <v>2000</v>
      </c>
    </row>
    <row r="18" spans="2:19" x14ac:dyDescent="0.35">
      <c r="B18" s="38"/>
      <c r="C18" s="352"/>
      <c r="D18" s="352"/>
      <c r="E18" s="352"/>
      <c r="F18" s="353"/>
      <c r="G18" s="354" t="s">
        <v>133</v>
      </c>
      <c r="H18" s="216">
        <f>SUM(H15:H17)</f>
        <v>2000</v>
      </c>
      <c r="I18" s="216">
        <f t="shared" ref="I18:S18" si="6">SUM(I15:I17)</f>
        <v>2000</v>
      </c>
      <c r="J18" s="216">
        <f t="shared" si="6"/>
        <v>2000</v>
      </c>
      <c r="K18" s="216">
        <f t="shared" si="6"/>
        <v>1500</v>
      </c>
      <c r="L18" s="216">
        <f t="shared" si="6"/>
        <v>500</v>
      </c>
      <c r="M18" s="216">
        <f t="shared" si="6"/>
        <v>0</v>
      </c>
      <c r="N18" s="216">
        <f t="shared" si="6"/>
        <v>2000</v>
      </c>
      <c r="O18" s="216">
        <f t="shared" si="6"/>
        <v>2000</v>
      </c>
      <c r="P18" s="216">
        <f t="shared" si="6"/>
        <v>2000</v>
      </c>
      <c r="Q18" s="216">
        <f t="shared" si="6"/>
        <v>500</v>
      </c>
      <c r="R18" s="216">
        <f t="shared" si="6"/>
        <v>2000</v>
      </c>
      <c r="S18" s="216">
        <f t="shared" si="6"/>
        <v>2000</v>
      </c>
    </row>
    <row r="19" spans="2:19" ht="8.25" customHeight="1" x14ac:dyDescent="0.35">
      <c r="B19"/>
      <c r="C19"/>
      <c r="D19"/>
      <c r="E19"/>
      <c r="F19"/>
      <c r="G19"/>
      <c r="H19" s="322"/>
      <c r="I19" s="322"/>
      <c r="J19" s="322"/>
      <c r="K19" s="322"/>
      <c r="L19" s="322"/>
      <c r="M19" s="322"/>
      <c r="N19" s="322"/>
      <c r="O19" s="322"/>
      <c r="P19" s="322"/>
      <c r="Q19" s="322"/>
      <c r="R19" s="322"/>
      <c r="S19" s="322"/>
    </row>
    <row r="20" spans="2:19" x14ac:dyDescent="0.35">
      <c r="B20" s="10" t="s">
        <v>155</v>
      </c>
      <c r="C20" s="338"/>
      <c r="D20" s="338"/>
      <c r="E20" s="339"/>
      <c r="F20" s="340"/>
      <c r="G20" s="3" t="s">
        <v>119</v>
      </c>
      <c r="H20" s="218">
        <v>2</v>
      </c>
      <c r="I20" s="218">
        <v>3</v>
      </c>
      <c r="J20" s="218">
        <v>2</v>
      </c>
      <c r="K20" s="218">
        <v>3</v>
      </c>
      <c r="L20" s="218">
        <v>2</v>
      </c>
      <c r="M20" s="218">
        <v>3</v>
      </c>
      <c r="N20" s="218">
        <v>2</v>
      </c>
      <c r="O20" s="218">
        <v>2</v>
      </c>
      <c r="P20" s="218" t="e">
        <f>#REF!</f>
        <v>#REF!</v>
      </c>
      <c r="Q20" s="218" t="e">
        <f>#REF!</f>
        <v>#REF!</v>
      </c>
      <c r="R20" s="218" t="e">
        <f>#REF!</f>
        <v>#REF!</v>
      </c>
      <c r="S20" s="218">
        <v>2</v>
      </c>
    </row>
    <row r="21" spans="2:19" x14ac:dyDescent="0.35">
      <c r="B21" s="780" t="s">
        <v>240</v>
      </c>
      <c r="C21" s="342"/>
      <c r="D21" s="342"/>
      <c r="E21" s="343"/>
      <c r="F21" s="344"/>
      <c r="G21" s="4" t="s">
        <v>95</v>
      </c>
      <c r="H21" s="332">
        <v>3</v>
      </c>
      <c r="I21" s="332">
        <v>3</v>
      </c>
      <c r="J21" s="332">
        <v>3</v>
      </c>
      <c r="K21" s="332">
        <v>3</v>
      </c>
      <c r="L21" s="332">
        <v>3</v>
      </c>
      <c r="M21" s="332">
        <v>3</v>
      </c>
      <c r="N21" s="332">
        <v>3</v>
      </c>
      <c r="O21" s="332">
        <v>3</v>
      </c>
      <c r="P21" s="332" t="e">
        <f>#REF!</f>
        <v>#REF!</v>
      </c>
      <c r="Q21" s="332" t="e">
        <f>#REF!</f>
        <v>#REF!</v>
      </c>
      <c r="R21" s="332" t="e">
        <f>#REF!</f>
        <v>#REF!</v>
      </c>
      <c r="S21" s="332" t="e">
        <f>#REF!</f>
        <v>#REF!</v>
      </c>
    </row>
    <row r="22" spans="2:19" x14ac:dyDescent="0.35">
      <c r="B22" s="779"/>
      <c r="C22" s="346" t="s">
        <v>129</v>
      </c>
      <c r="D22" s="346" t="s">
        <v>130</v>
      </c>
      <c r="E22" s="214" t="s">
        <v>131</v>
      </c>
      <c r="F22" s="344"/>
      <c r="G22" s="357" t="s">
        <v>37</v>
      </c>
      <c r="H22" s="347">
        <f t="shared" ref="H22" si="7">IFERROR(ROUND(H20/H21,3)," - - -")</f>
        <v>0.66700000000000004</v>
      </c>
      <c r="I22" s="347">
        <f t="shared" ref="I22" si="8">IFERROR(ROUND(I20/I21,3)," - - -")</f>
        <v>1</v>
      </c>
      <c r="J22" s="347">
        <f t="shared" ref="J22" si="9">IFERROR(ROUND(J20/J21,3)," - - -")</f>
        <v>0.66700000000000004</v>
      </c>
      <c r="K22" s="347">
        <f t="shared" ref="K22" si="10">IFERROR(ROUND(K20/K21,3)," - - -")</f>
        <v>1</v>
      </c>
      <c r="L22" s="347">
        <f t="shared" ref="L22" si="11">IFERROR(ROUND(L20/L21,3)," - - -")</f>
        <v>0.66700000000000004</v>
      </c>
      <c r="M22" s="347">
        <f t="shared" ref="M22" si="12">IFERROR(ROUND(M20/M21,3)," - - -")</f>
        <v>1</v>
      </c>
      <c r="N22" s="347">
        <f t="shared" ref="N22" si="13">IFERROR(ROUND(N20/N21,3)," - - -")</f>
        <v>0.66700000000000004</v>
      </c>
      <c r="O22" s="347">
        <f t="shared" ref="O22" si="14">IFERROR(ROUND(O20/O21,3)," - - -")</f>
        <v>0.66700000000000004</v>
      </c>
      <c r="P22" s="347" t="str">
        <f t="shared" ref="P22" si="15">IFERROR(ROUND(P20/P21,3)," - - -")</f>
        <v xml:space="preserve"> - - -</v>
      </c>
      <c r="Q22" s="347" t="str">
        <f t="shared" ref="Q22" si="16">IFERROR(ROUND(Q20/Q21,3)," - - -")</f>
        <v xml:space="preserve"> - - -</v>
      </c>
      <c r="R22" s="347" t="str">
        <f t="shared" ref="R22" si="17">IFERROR(ROUND(R20/R21,3)," - - -")</f>
        <v xml:space="preserve"> - - -</v>
      </c>
      <c r="S22" s="347" t="str">
        <f t="shared" ref="S22" si="18">IFERROR(ROUND(S20/S21,3)," - - -")</f>
        <v xml:space="preserve"> - - -</v>
      </c>
    </row>
    <row r="23" spans="2:19" x14ac:dyDescent="0.35">
      <c r="B23" s="779"/>
      <c r="C23" s="358">
        <v>1</v>
      </c>
      <c r="D23" s="358">
        <v>1</v>
      </c>
      <c r="E23" s="349">
        <v>100</v>
      </c>
      <c r="F23" s="344"/>
      <c r="G23" s="4"/>
      <c r="H23" s="290">
        <f t="shared" ref="H23:S25" si="19">IF(AND(H$20&gt;=$C23,H$20&lt;=$D23),$E23,0)</f>
        <v>0</v>
      </c>
      <c r="I23" s="290">
        <f t="shared" si="19"/>
        <v>0</v>
      </c>
      <c r="J23" s="290">
        <f t="shared" si="19"/>
        <v>0</v>
      </c>
      <c r="K23" s="290">
        <f t="shared" si="19"/>
        <v>0</v>
      </c>
      <c r="L23" s="290">
        <f t="shared" si="19"/>
        <v>0</v>
      </c>
      <c r="M23" s="290">
        <f t="shared" si="19"/>
        <v>0</v>
      </c>
      <c r="N23" s="290">
        <f t="shared" si="19"/>
        <v>0</v>
      </c>
      <c r="O23" s="290">
        <f t="shared" si="19"/>
        <v>0</v>
      </c>
      <c r="P23" s="290" t="e">
        <f t="shared" si="19"/>
        <v>#REF!</v>
      </c>
      <c r="Q23" s="290" t="e">
        <f t="shared" si="19"/>
        <v>#REF!</v>
      </c>
      <c r="R23" s="290" t="e">
        <f t="shared" si="19"/>
        <v>#REF!</v>
      </c>
      <c r="S23" s="290">
        <f t="shared" si="19"/>
        <v>0</v>
      </c>
    </row>
    <row r="24" spans="2:19" x14ac:dyDescent="0.35">
      <c r="B24" s="15"/>
      <c r="C24" s="358">
        <v>2</v>
      </c>
      <c r="D24" s="358">
        <v>2</v>
      </c>
      <c r="E24" s="349">
        <v>350</v>
      </c>
      <c r="F24" s="344"/>
      <c r="G24" s="4"/>
      <c r="H24" s="290">
        <f t="shared" si="19"/>
        <v>350</v>
      </c>
      <c r="I24" s="290">
        <f t="shared" si="19"/>
        <v>0</v>
      </c>
      <c r="J24" s="290">
        <f t="shared" si="19"/>
        <v>350</v>
      </c>
      <c r="K24" s="290">
        <f t="shared" si="19"/>
        <v>0</v>
      </c>
      <c r="L24" s="290">
        <f t="shared" si="19"/>
        <v>350</v>
      </c>
      <c r="M24" s="290">
        <f t="shared" si="19"/>
        <v>0</v>
      </c>
      <c r="N24" s="290">
        <f t="shared" si="19"/>
        <v>350</v>
      </c>
      <c r="O24" s="290">
        <f t="shared" si="19"/>
        <v>350</v>
      </c>
      <c r="P24" s="290" t="e">
        <f t="shared" si="19"/>
        <v>#REF!</v>
      </c>
      <c r="Q24" s="290" t="e">
        <f t="shared" si="19"/>
        <v>#REF!</v>
      </c>
      <c r="R24" s="290" t="e">
        <f t="shared" si="19"/>
        <v>#REF!</v>
      </c>
      <c r="S24" s="290">
        <f t="shared" si="19"/>
        <v>350</v>
      </c>
    </row>
    <row r="25" spans="2:19" x14ac:dyDescent="0.35">
      <c r="B25" s="15"/>
      <c r="C25" s="358">
        <v>3</v>
      </c>
      <c r="D25" s="358">
        <v>3</v>
      </c>
      <c r="E25" s="349">
        <v>1000</v>
      </c>
      <c r="F25" s="344"/>
      <c r="G25" s="4"/>
      <c r="H25" s="290">
        <f t="shared" si="19"/>
        <v>0</v>
      </c>
      <c r="I25" s="290">
        <f t="shared" si="19"/>
        <v>1000</v>
      </c>
      <c r="J25" s="290">
        <f t="shared" si="19"/>
        <v>0</v>
      </c>
      <c r="K25" s="290">
        <f t="shared" si="19"/>
        <v>1000</v>
      </c>
      <c r="L25" s="290">
        <f t="shared" si="19"/>
        <v>0</v>
      </c>
      <c r="M25" s="290">
        <f t="shared" si="19"/>
        <v>1000</v>
      </c>
      <c r="N25" s="290">
        <f t="shared" si="19"/>
        <v>0</v>
      </c>
      <c r="O25" s="290">
        <f t="shared" si="19"/>
        <v>0</v>
      </c>
      <c r="P25" s="290" t="e">
        <f t="shared" si="19"/>
        <v>#REF!</v>
      </c>
      <c r="Q25" s="290" t="e">
        <f t="shared" si="19"/>
        <v>#REF!</v>
      </c>
      <c r="R25" s="290" t="e">
        <f t="shared" si="19"/>
        <v>#REF!</v>
      </c>
      <c r="S25" s="290">
        <f t="shared" si="19"/>
        <v>0</v>
      </c>
    </row>
    <row r="26" spans="2:19" x14ac:dyDescent="0.35">
      <c r="B26" s="38"/>
      <c r="C26" s="352"/>
      <c r="D26" s="352"/>
      <c r="E26" s="352"/>
      <c r="F26" s="353"/>
      <c r="G26" s="359" t="s">
        <v>133</v>
      </c>
      <c r="H26" s="216">
        <f t="shared" ref="H26:I26" si="20">SUM(H23:H25)</f>
        <v>350</v>
      </c>
      <c r="I26" s="216">
        <f t="shared" si="20"/>
        <v>1000</v>
      </c>
      <c r="J26" s="216">
        <f t="shared" ref="J26" si="21">SUM(J23:J25)</f>
        <v>350</v>
      </c>
      <c r="K26" s="216">
        <f t="shared" ref="K26:S26" si="22">SUM(K23:K25)</f>
        <v>1000</v>
      </c>
      <c r="L26" s="216">
        <f t="shared" si="22"/>
        <v>350</v>
      </c>
      <c r="M26" s="216">
        <f t="shared" si="22"/>
        <v>1000</v>
      </c>
      <c r="N26" s="216">
        <f t="shared" si="22"/>
        <v>350</v>
      </c>
      <c r="O26" s="216">
        <f t="shared" si="22"/>
        <v>350</v>
      </c>
      <c r="P26" s="216" t="e">
        <f t="shared" si="22"/>
        <v>#REF!</v>
      </c>
      <c r="Q26" s="216" t="e">
        <f t="shared" si="22"/>
        <v>#REF!</v>
      </c>
      <c r="R26" s="216" t="e">
        <f t="shared" si="22"/>
        <v>#REF!</v>
      </c>
      <c r="S26" s="216">
        <f t="shared" si="22"/>
        <v>350</v>
      </c>
    </row>
    <row r="27" spans="2:19" ht="8.25" customHeight="1" x14ac:dyDescent="0.35"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2:19" x14ac:dyDescent="0.35">
      <c r="B28" s="10" t="s">
        <v>241</v>
      </c>
      <c r="C28" s="346" t="s">
        <v>129</v>
      </c>
      <c r="D28" s="346" t="s">
        <v>130</v>
      </c>
      <c r="E28" s="214" t="s">
        <v>131</v>
      </c>
      <c r="F28" s="344"/>
      <c r="G28" s="11"/>
      <c r="H28" s="330">
        <v>4.87</v>
      </c>
      <c r="I28" s="330">
        <v>5</v>
      </c>
      <c r="J28" s="330">
        <v>4.63</v>
      </c>
      <c r="K28" s="330">
        <v>4.8099999999999996</v>
      </c>
      <c r="L28" s="330">
        <v>4.78</v>
      </c>
      <c r="M28" s="330">
        <v>4.6100000000000003</v>
      </c>
      <c r="N28" s="330">
        <v>4.4800000000000004</v>
      </c>
      <c r="O28" s="330">
        <v>4.93</v>
      </c>
      <c r="P28" s="330" t="e">
        <f>#REF!</f>
        <v>#REF!</v>
      </c>
      <c r="Q28" s="330" t="e">
        <f>#REF!</f>
        <v>#REF!</v>
      </c>
      <c r="R28" s="330" t="e">
        <f>#REF!</f>
        <v>#REF!</v>
      </c>
      <c r="S28" s="330">
        <v>4.8899999999999997</v>
      </c>
    </row>
    <row r="29" spans="2:19" x14ac:dyDescent="0.35">
      <c r="B29" s="15"/>
      <c r="C29" s="360">
        <v>4.5999999999999996</v>
      </c>
      <c r="D29" s="360">
        <v>4.8499999999999996</v>
      </c>
      <c r="E29" s="349">
        <v>0</v>
      </c>
      <c r="F29" s="344"/>
      <c r="G29" s="15"/>
      <c r="H29" s="290">
        <v>4.87</v>
      </c>
      <c r="I29" s="290">
        <f t="shared" ref="I29:S29" si="23">IF(AND(I28&gt;=$C29,I28&lt;=$D29),$E29,0)</f>
        <v>0</v>
      </c>
      <c r="J29" s="290">
        <f t="shared" si="23"/>
        <v>0</v>
      </c>
      <c r="K29" s="290">
        <f t="shared" si="23"/>
        <v>0</v>
      </c>
      <c r="L29" s="290">
        <f t="shared" si="23"/>
        <v>0</v>
      </c>
      <c r="M29" s="290">
        <f t="shared" si="23"/>
        <v>0</v>
      </c>
      <c r="N29" s="290">
        <f t="shared" si="23"/>
        <v>0</v>
      </c>
      <c r="O29" s="290">
        <f t="shared" si="23"/>
        <v>0</v>
      </c>
      <c r="P29" s="290" t="e">
        <f t="shared" si="23"/>
        <v>#REF!</v>
      </c>
      <c r="Q29" s="290" t="e">
        <f t="shared" si="23"/>
        <v>#REF!</v>
      </c>
      <c r="R29" s="290" t="e">
        <f t="shared" si="23"/>
        <v>#REF!</v>
      </c>
      <c r="S29" s="290">
        <f t="shared" si="23"/>
        <v>0</v>
      </c>
    </row>
    <row r="30" spans="2:19" x14ac:dyDescent="0.35">
      <c r="B30" s="15"/>
      <c r="C30" s="360">
        <v>4.8600000000000003</v>
      </c>
      <c r="D30" s="360">
        <v>4.9400000000000004</v>
      </c>
      <c r="E30" s="349">
        <v>350</v>
      </c>
      <c r="F30" s="344"/>
      <c r="G30" s="15"/>
      <c r="H30" s="290">
        <f>IF(AND(H28&gt;=$C30,H28&lt;=$D30),$E30,0)</f>
        <v>350</v>
      </c>
      <c r="I30" s="290">
        <f t="shared" ref="I30:S30" si="24">IF(AND(I28&gt;=$C30,I28&lt;=$D30),$E30,0)</f>
        <v>0</v>
      </c>
      <c r="J30" s="290">
        <f t="shared" si="24"/>
        <v>0</v>
      </c>
      <c r="K30" s="290">
        <f t="shared" si="24"/>
        <v>0</v>
      </c>
      <c r="L30" s="290">
        <f t="shared" si="24"/>
        <v>0</v>
      </c>
      <c r="M30" s="290">
        <f t="shared" si="24"/>
        <v>0</v>
      </c>
      <c r="N30" s="290">
        <f t="shared" si="24"/>
        <v>0</v>
      </c>
      <c r="O30" s="290">
        <f t="shared" si="24"/>
        <v>350</v>
      </c>
      <c r="P30" s="290" t="e">
        <f t="shared" si="24"/>
        <v>#REF!</v>
      </c>
      <c r="Q30" s="290" t="e">
        <f t="shared" si="24"/>
        <v>#REF!</v>
      </c>
      <c r="R30" s="290" t="e">
        <f t="shared" si="24"/>
        <v>#REF!</v>
      </c>
      <c r="S30" s="290">
        <f t="shared" si="24"/>
        <v>350</v>
      </c>
    </row>
    <row r="31" spans="2:19" x14ac:dyDescent="0.35">
      <c r="B31" s="15"/>
      <c r="C31" s="361">
        <v>4.95</v>
      </c>
      <c r="D31" s="351" t="s">
        <v>132</v>
      </c>
      <c r="E31" s="349">
        <v>750</v>
      </c>
      <c r="F31" s="344"/>
      <c r="G31" s="15"/>
      <c r="H31" s="290">
        <f>IF(AND(H28&gt;=$C31,H28&lt;=$D31),$E31,0)</f>
        <v>0</v>
      </c>
      <c r="I31" s="290">
        <f t="shared" ref="I31:S31" si="25">IF(AND(I28&gt;=$C31,I28&lt;=$D31),$E31,0)</f>
        <v>750</v>
      </c>
      <c r="J31" s="290">
        <f t="shared" si="25"/>
        <v>0</v>
      </c>
      <c r="K31" s="290">
        <f t="shared" si="25"/>
        <v>0</v>
      </c>
      <c r="L31" s="290">
        <f t="shared" si="25"/>
        <v>0</v>
      </c>
      <c r="M31" s="290">
        <f t="shared" si="25"/>
        <v>0</v>
      </c>
      <c r="N31" s="290">
        <f t="shared" si="25"/>
        <v>0</v>
      </c>
      <c r="O31" s="290">
        <f t="shared" si="25"/>
        <v>0</v>
      </c>
      <c r="P31" s="290" t="e">
        <f t="shared" si="25"/>
        <v>#REF!</v>
      </c>
      <c r="Q31" s="290" t="e">
        <f t="shared" si="25"/>
        <v>#REF!</v>
      </c>
      <c r="R31" s="290" t="e">
        <f t="shared" si="25"/>
        <v>#REF!</v>
      </c>
      <c r="S31" s="290">
        <f t="shared" si="25"/>
        <v>0</v>
      </c>
    </row>
    <row r="32" spans="2:19" x14ac:dyDescent="0.35">
      <c r="B32" s="38"/>
      <c r="C32" s="352"/>
      <c r="D32" s="352"/>
      <c r="E32" s="352"/>
      <c r="F32" s="353"/>
      <c r="G32" s="354" t="s">
        <v>133</v>
      </c>
      <c r="H32" s="216">
        <f t="shared" ref="H32" si="26">SUM(H29:H31)</f>
        <v>354.87</v>
      </c>
      <c r="I32" s="216">
        <f t="shared" ref="I32:S32" si="27">SUM(I29:I31)</f>
        <v>750</v>
      </c>
      <c r="J32" s="216">
        <f t="shared" si="27"/>
        <v>0</v>
      </c>
      <c r="K32" s="216">
        <f t="shared" si="27"/>
        <v>0</v>
      </c>
      <c r="L32" s="216">
        <f t="shared" si="27"/>
        <v>0</v>
      </c>
      <c r="M32" s="216">
        <f t="shared" si="27"/>
        <v>0</v>
      </c>
      <c r="N32" s="216">
        <f t="shared" si="27"/>
        <v>0</v>
      </c>
      <c r="O32" s="216">
        <f t="shared" si="27"/>
        <v>350</v>
      </c>
      <c r="P32" s="216" t="e">
        <f t="shared" si="27"/>
        <v>#REF!</v>
      </c>
      <c r="Q32" s="216" t="e">
        <f t="shared" si="27"/>
        <v>#REF!</v>
      </c>
      <c r="R32" s="216" t="e">
        <f t="shared" si="27"/>
        <v>#REF!</v>
      </c>
      <c r="S32" s="216">
        <f t="shared" si="27"/>
        <v>350</v>
      </c>
    </row>
    <row r="33" spans="2:19" ht="8.25" customHeight="1" x14ac:dyDescent="0.35"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2:19" hidden="1" x14ac:dyDescent="0.35">
      <c r="B34"/>
      <c r="C34"/>
      <c r="D34"/>
      <c r="E34"/>
      <c r="F34"/>
      <c r="G34" s="362"/>
      <c r="H34"/>
      <c r="I34"/>
      <c r="J34">
        <v>520</v>
      </c>
      <c r="K34" s="216">
        <v>480</v>
      </c>
      <c r="L34" s="216">
        <v>410</v>
      </c>
      <c r="M34" s="216">
        <v>200</v>
      </c>
      <c r="N34" s="216">
        <v>1400</v>
      </c>
      <c r="O34" s="216"/>
      <c r="P34" s="216"/>
      <c r="Q34" s="216"/>
      <c r="R34" s="216">
        <v>773.72</v>
      </c>
      <c r="S34" s="216"/>
    </row>
    <row r="35" spans="2:19" ht="15.65" hidden="1" customHeight="1" x14ac:dyDescent="0.35"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2:19" ht="22.5" customHeight="1" thickBot="1" x14ac:dyDescent="0.4">
      <c r="B36"/>
      <c r="C36"/>
      <c r="D36"/>
      <c r="E36" s="363"/>
      <c r="F36"/>
      <c r="G36" s="363" t="s">
        <v>149</v>
      </c>
      <c r="H36" s="364">
        <f>+H10+H32+H26+H18</f>
        <v>3204.87</v>
      </c>
      <c r="I36" s="364">
        <f t="shared" ref="I36" si="28">+I10+I32+I26+I18+I34</f>
        <v>5750</v>
      </c>
      <c r="J36" s="364">
        <f>+J10+J32+J26+J18+J34</f>
        <v>4870</v>
      </c>
      <c r="K36" s="364">
        <f t="shared" ref="K36:S36" si="29">+K10+K32+K26+K18+K34</f>
        <v>3480</v>
      </c>
      <c r="L36" s="364">
        <f t="shared" si="29"/>
        <v>1260</v>
      </c>
      <c r="M36" s="364">
        <f t="shared" si="29"/>
        <v>1200</v>
      </c>
      <c r="N36" s="364">
        <f t="shared" si="29"/>
        <v>5750</v>
      </c>
      <c r="O36" s="364">
        <f t="shared" si="29"/>
        <v>4200</v>
      </c>
      <c r="P36" s="364" t="e">
        <f t="shared" si="29"/>
        <v>#REF!</v>
      </c>
      <c r="Q36" s="364" t="e">
        <f t="shared" si="29"/>
        <v>#REF!</v>
      </c>
      <c r="R36" s="365" t="e">
        <f t="shared" si="29"/>
        <v>#REF!</v>
      </c>
      <c r="S36" s="364">
        <f t="shared" si="29"/>
        <v>4700</v>
      </c>
    </row>
    <row r="37" spans="2:19" ht="15" thickTop="1" x14ac:dyDescent="0.35"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2:19" x14ac:dyDescent="0.35">
      <c r="B38" s="281" t="s">
        <v>137</v>
      </c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2:19" x14ac:dyDescent="0.35">
      <c r="B39" s="10" t="s">
        <v>155</v>
      </c>
      <c r="C39" s="338"/>
      <c r="D39" s="338"/>
      <c r="E39" s="339"/>
      <c r="F39" s="340"/>
      <c r="G39" s="3" t="s">
        <v>119</v>
      </c>
      <c r="H39" s="366"/>
      <c r="I39" s="367"/>
      <c r="J39" s="218">
        <v>2</v>
      </c>
      <c r="K39" s="366"/>
      <c r="L39" s="367"/>
      <c r="M39" s="218">
        <v>2</v>
      </c>
      <c r="N39" s="366"/>
      <c r="O39" s="367"/>
      <c r="P39" s="218" t="e">
        <f>#REF!</f>
        <v>#REF!</v>
      </c>
      <c r="Q39" s="366"/>
      <c r="R39" s="367"/>
      <c r="S39" s="218" t="e">
        <f>#REF!</f>
        <v>#REF!</v>
      </c>
    </row>
    <row r="40" spans="2:19" x14ac:dyDescent="0.35">
      <c r="B40" s="779" t="s">
        <v>242</v>
      </c>
      <c r="C40" s="342"/>
      <c r="D40" s="342"/>
      <c r="E40" s="343"/>
      <c r="F40" s="344"/>
      <c r="G40" s="4" t="s">
        <v>95</v>
      </c>
      <c r="H40" s="366"/>
      <c r="I40" s="367"/>
      <c r="J40" s="332">
        <v>3</v>
      </c>
      <c r="K40" s="366"/>
      <c r="L40" s="367"/>
      <c r="M40" s="332">
        <v>3</v>
      </c>
      <c r="N40" s="366"/>
      <c r="O40" s="367"/>
      <c r="P40" s="332" t="e">
        <f>#REF!</f>
        <v>#REF!</v>
      </c>
      <c r="Q40" s="366"/>
      <c r="R40" s="367"/>
      <c r="S40" s="332" t="e">
        <f>#REF!</f>
        <v>#REF!</v>
      </c>
    </row>
    <row r="41" spans="2:19" x14ac:dyDescent="0.35">
      <c r="B41" s="779"/>
      <c r="C41" s="346" t="s">
        <v>129</v>
      </c>
      <c r="D41" s="346" t="s">
        <v>130</v>
      </c>
      <c r="E41" s="214" t="s">
        <v>131</v>
      </c>
      <c r="F41" s="344"/>
      <c r="G41" s="357"/>
      <c r="H41" s="368"/>
      <c r="I41" s="369"/>
      <c r="J41" s="347"/>
      <c r="K41" s="368"/>
      <c r="L41" s="369"/>
      <c r="M41" s="347"/>
      <c r="N41" s="368"/>
      <c r="O41" s="369"/>
      <c r="P41" s="347"/>
      <c r="Q41" s="368"/>
      <c r="R41" s="369"/>
      <c r="S41" s="347"/>
    </row>
    <row r="42" spans="2:19" x14ac:dyDescent="0.35">
      <c r="B42" s="779"/>
      <c r="C42" s="358">
        <v>1</v>
      </c>
      <c r="D42" s="358">
        <v>1</v>
      </c>
      <c r="E42" s="349">
        <v>500</v>
      </c>
      <c r="F42" s="344"/>
      <c r="G42" s="4"/>
      <c r="H42" s="370"/>
      <c r="I42" s="371"/>
      <c r="J42" s="290">
        <f>IF(AND(J$39&gt;=$C42,J$39&lt;=$D42),$E42,0)</f>
        <v>0</v>
      </c>
      <c r="K42" s="370"/>
      <c r="L42" s="371"/>
      <c r="M42" s="290">
        <f>IF(AND(M$39&gt;=$C42,M$39&lt;=$D42),$E42,0)</f>
        <v>0</v>
      </c>
      <c r="N42" s="370"/>
      <c r="O42" s="371"/>
      <c r="P42" s="290" t="e">
        <f>IF(AND(P$39&gt;=$C42,P$39&lt;=$D42),$E42,0)</f>
        <v>#REF!</v>
      </c>
      <c r="Q42" s="370"/>
      <c r="R42" s="371"/>
      <c r="S42" s="290" t="e">
        <f>IF(AND(S$39&gt;=$C42,S$39&lt;=$D42),$E42,0)</f>
        <v>#REF!</v>
      </c>
    </row>
    <row r="43" spans="2:19" x14ac:dyDescent="0.35">
      <c r="B43" s="15"/>
      <c r="C43" s="358">
        <v>2</v>
      </c>
      <c r="D43" s="358">
        <v>2</v>
      </c>
      <c r="E43" s="349">
        <v>1000</v>
      </c>
      <c r="F43" s="344"/>
      <c r="G43" s="4"/>
      <c r="H43" s="370"/>
      <c r="I43" s="371"/>
      <c r="J43" s="290">
        <f>IF(AND(J$39&gt;=$C43,J$39&lt;=$D43),$E43,0)</f>
        <v>1000</v>
      </c>
      <c r="K43" s="370"/>
      <c r="L43" s="371"/>
      <c r="M43" s="290">
        <f>IF(AND(M$39&gt;=$C43,M$39&lt;=$D43),$E43,0)</f>
        <v>1000</v>
      </c>
      <c r="N43" s="370"/>
      <c r="O43" s="371"/>
      <c r="P43" s="290" t="e">
        <f>IF(AND(P$39&gt;=$C43,P$39&lt;=$D43),$E43,0)</f>
        <v>#REF!</v>
      </c>
      <c r="Q43" s="370"/>
      <c r="R43" s="371"/>
      <c r="S43" s="290" t="e">
        <f>IF(AND(S$39&gt;=$C43,S$39&lt;=$D43),$E43,0)</f>
        <v>#REF!</v>
      </c>
    </row>
    <row r="44" spans="2:19" x14ac:dyDescent="0.35">
      <c r="B44" s="15"/>
      <c r="C44" s="358">
        <v>3</v>
      </c>
      <c r="D44" s="358">
        <v>3</v>
      </c>
      <c r="E44" s="349">
        <v>2500</v>
      </c>
      <c r="F44" s="344"/>
      <c r="G44" s="4"/>
      <c r="H44" s="370"/>
      <c r="I44" s="371"/>
      <c r="J44" s="290">
        <f>IF(AND(J$39&gt;=$C44,J$39&lt;=$D44),$E44,0)</f>
        <v>0</v>
      </c>
      <c r="K44" s="370"/>
      <c r="L44" s="371"/>
      <c r="M44" s="290">
        <f>IF(AND(M$39&gt;=$C44,M$39&lt;=$D44),$E44,0)</f>
        <v>0</v>
      </c>
      <c r="N44" s="370"/>
      <c r="O44" s="371"/>
      <c r="P44" s="290" t="e">
        <f>IF(AND(P$39&gt;=$C44,P$39&lt;=$D44),$E44,0)</f>
        <v>#REF!</v>
      </c>
      <c r="Q44" s="370"/>
      <c r="R44" s="371"/>
      <c r="S44" s="290" t="e">
        <f>IF(AND(S$39&gt;=$C44,S$39&lt;=$D44),$E44,0)</f>
        <v>#REF!</v>
      </c>
    </row>
    <row r="45" spans="2:19" x14ac:dyDescent="0.35">
      <c r="B45" s="38"/>
      <c r="C45" s="352"/>
      <c r="D45" s="352"/>
      <c r="E45" s="352"/>
      <c r="F45" s="353"/>
      <c r="G45" s="359" t="s">
        <v>133</v>
      </c>
      <c r="H45" s="366"/>
      <c r="I45" s="367"/>
      <c r="J45" s="216">
        <f t="shared" ref="J45" si="30">SUM(J42:J44)</f>
        <v>1000</v>
      </c>
      <c r="K45" s="366"/>
      <c r="L45" s="367"/>
      <c r="M45" s="216">
        <f t="shared" ref="M45" si="31">SUM(M42:M44)</f>
        <v>1000</v>
      </c>
      <c r="N45" s="366"/>
      <c r="O45" s="367"/>
      <c r="P45" s="216" t="e">
        <f t="shared" ref="P45" si="32">SUM(P42:P44)</f>
        <v>#REF!</v>
      </c>
      <c r="Q45" s="366"/>
      <c r="R45" s="367"/>
      <c r="S45" s="216" t="e">
        <f t="shared" ref="S45" si="33">SUM(S42:S44)</f>
        <v>#REF!</v>
      </c>
    </row>
    <row r="46" spans="2:19" x14ac:dyDescent="0.35"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2:19" ht="15" thickBot="1" x14ac:dyDescent="0.4">
      <c r="B47"/>
      <c r="C47"/>
      <c r="D47"/>
      <c r="E47"/>
      <c r="F47"/>
      <c r="G47" s="362" t="s">
        <v>140</v>
      </c>
      <c r="H47" s="372"/>
      <c r="I47"/>
      <c r="J47" s="315">
        <f>+J36+J45</f>
        <v>5870</v>
      </c>
      <c r="K47" s="2"/>
      <c r="L47" s="2"/>
      <c r="M47" s="315">
        <f>+M36+M45</f>
        <v>2200</v>
      </c>
      <c r="N47" s="2"/>
      <c r="O47" s="2"/>
      <c r="P47" s="315" t="e">
        <f>+P36+P45</f>
        <v>#REF!</v>
      </c>
      <c r="Q47" s="2"/>
      <c r="R47" s="2"/>
      <c r="S47" s="315" t="e">
        <f>+S36+S45</f>
        <v>#REF!</v>
      </c>
    </row>
    <row r="48" spans="2:19" ht="15" thickTop="1" x14ac:dyDescent="0.35"/>
  </sheetData>
  <mergeCells count="2">
    <mergeCell ref="B21:B23"/>
    <mergeCell ref="B40:B42"/>
  </mergeCells>
  <pageMargins left="0.7" right="0.7" top="0.75" bottom="0.75" header="0.3" footer="0.3"/>
  <pageSetup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1:U48"/>
  <sheetViews>
    <sheetView zoomScale="85" zoomScaleNormal="85" workbookViewId="0">
      <selection activeCell="A19" sqref="A19:XFD19"/>
    </sheetView>
  </sheetViews>
  <sheetFormatPr baseColWidth="10" defaultColWidth="11.453125" defaultRowHeight="14.5" x14ac:dyDescent="0.35"/>
  <cols>
    <col min="1" max="1" width="3.7265625" style="40" customWidth="1"/>
    <col min="2" max="2" width="30.54296875" style="40" bestFit="1" customWidth="1"/>
    <col min="3" max="4" width="10.7265625" style="40" customWidth="1"/>
    <col min="5" max="5" width="10.54296875" style="40" bestFit="1" customWidth="1"/>
    <col min="6" max="6" width="1.7265625" style="40" customWidth="1"/>
    <col min="7" max="7" width="11.453125" style="40"/>
    <col min="8" max="8" width="10.453125" style="40" customWidth="1"/>
    <col min="9" max="19" width="11.453125" style="40" customWidth="1"/>
    <col min="20" max="16384" width="11.453125" style="40"/>
  </cols>
  <sheetData>
    <row r="1" spans="2:19" x14ac:dyDescent="0.35">
      <c r="B1" s="300" t="s">
        <v>280</v>
      </c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</row>
    <row r="2" spans="2:19" ht="8.25" customHeight="1" x14ac:dyDescent="0.35"/>
    <row r="3" spans="2:19" x14ac:dyDescent="0.35">
      <c r="B3" s="170" t="s">
        <v>126</v>
      </c>
      <c r="C3" s="171"/>
      <c r="D3" s="171"/>
      <c r="H3" s="172">
        <v>45688</v>
      </c>
      <c r="I3" s="172">
        <v>45716</v>
      </c>
      <c r="J3" s="172">
        <v>45747</v>
      </c>
      <c r="K3" s="172">
        <v>45777</v>
      </c>
      <c r="L3" s="172">
        <v>45808</v>
      </c>
      <c r="M3" s="172">
        <v>45838</v>
      </c>
      <c r="N3" s="172">
        <v>45869</v>
      </c>
      <c r="O3" s="172">
        <v>45900</v>
      </c>
      <c r="P3" s="172">
        <v>45930</v>
      </c>
      <c r="Q3" s="172">
        <v>45961</v>
      </c>
      <c r="R3" s="172">
        <v>45991</v>
      </c>
      <c r="S3" s="172">
        <v>46022</v>
      </c>
    </row>
    <row r="4" spans="2:19" x14ac:dyDescent="0.35">
      <c r="B4" s="41" t="s">
        <v>151</v>
      </c>
      <c r="C4" s="173"/>
      <c r="D4" s="173"/>
      <c r="E4" s="174"/>
      <c r="F4" s="47"/>
      <c r="G4" s="42" t="s">
        <v>119</v>
      </c>
      <c r="H4" s="302">
        <v>190802</v>
      </c>
      <c r="I4" s="302">
        <v>136011</v>
      </c>
      <c r="J4" s="302">
        <v>155475</v>
      </c>
      <c r="K4" s="302"/>
      <c r="L4" s="302"/>
      <c r="M4" s="302"/>
      <c r="N4" s="302"/>
      <c r="O4" s="302"/>
      <c r="P4" s="302"/>
      <c r="Q4" s="302"/>
      <c r="R4" s="302"/>
      <c r="S4" s="302"/>
    </row>
    <row r="5" spans="2:19" x14ac:dyDescent="0.35">
      <c r="B5" s="45" t="s">
        <v>269</v>
      </c>
      <c r="C5" s="176"/>
      <c r="D5" s="176"/>
      <c r="E5" s="177"/>
      <c r="F5" s="48"/>
      <c r="G5" s="40" t="s">
        <v>95</v>
      </c>
      <c r="H5" s="303">
        <v>204136</v>
      </c>
      <c r="I5" s="303">
        <v>187694</v>
      </c>
      <c r="J5" s="303">
        <v>178463</v>
      </c>
      <c r="K5" s="303"/>
      <c r="L5" s="303"/>
      <c r="M5" s="303"/>
      <c r="N5" s="303"/>
      <c r="O5" s="303"/>
      <c r="P5" s="303"/>
      <c r="Q5" s="303"/>
      <c r="R5" s="303"/>
      <c r="S5" s="303"/>
    </row>
    <row r="6" spans="2:19" x14ac:dyDescent="0.35">
      <c r="B6" s="45"/>
      <c r="C6" s="179" t="s">
        <v>129</v>
      </c>
      <c r="D6" s="179" t="s">
        <v>130</v>
      </c>
      <c r="E6" s="180" t="s">
        <v>131</v>
      </c>
      <c r="F6" s="48"/>
      <c r="G6" s="157" t="s">
        <v>37</v>
      </c>
      <c r="H6" s="181">
        <f t="shared" ref="H6:J6" si="0">IFERROR(ROUND(H4/H5,3)," - - -")</f>
        <v>0.93500000000000005</v>
      </c>
      <c r="I6" s="181">
        <f t="shared" si="0"/>
        <v>0.72499999999999998</v>
      </c>
      <c r="J6" s="181">
        <f t="shared" si="0"/>
        <v>0.871</v>
      </c>
      <c r="K6" s="181"/>
      <c r="L6" s="181"/>
      <c r="M6" s="181"/>
      <c r="N6" s="181"/>
      <c r="O6" s="181"/>
      <c r="P6" s="181"/>
      <c r="Q6" s="181"/>
      <c r="R6" s="181"/>
      <c r="S6" s="181"/>
    </row>
    <row r="7" spans="2:19" x14ac:dyDescent="0.35">
      <c r="B7" s="45"/>
      <c r="C7" s="182">
        <v>0.85</v>
      </c>
      <c r="D7" s="182">
        <v>0.99990000000000001</v>
      </c>
      <c r="E7" s="202">
        <v>750</v>
      </c>
      <c r="F7" s="48"/>
      <c r="H7" s="183">
        <f t="shared" ref="H7:J9" si="1">IF(AND(H$6&gt;=$C7,H$6&lt;=$D7),$E7,0)</f>
        <v>750</v>
      </c>
      <c r="I7" s="183">
        <f t="shared" si="1"/>
        <v>0</v>
      </c>
      <c r="J7" s="183">
        <f t="shared" si="1"/>
        <v>750</v>
      </c>
      <c r="K7" s="183"/>
      <c r="L7" s="183"/>
      <c r="M7" s="183"/>
      <c r="N7" s="183"/>
      <c r="O7" s="183"/>
      <c r="P7" s="183"/>
      <c r="Q7" s="183"/>
      <c r="R7" s="183"/>
      <c r="S7" s="183"/>
    </row>
    <row r="8" spans="2:19" x14ac:dyDescent="0.35">
      <c r="B8" s="45"/>
      <c r="C8" s="182">
        <v>1</v>
      </c>
      <c r="D8" s="182">
        <v>1.0999000000000001</v>
      </c>
      <c r="E8" s="202">
        <v>1500</v>
      </c>
      <c r="F8" s="48"/>
      <c r="H8" s="183">
        <f t="shared" si="1"/>
        <v>0</v>
      </c>
      <c r="I8" s="183">
        <f t="shared" si="1"/>
        <v>0</v>
      </c>
      <c r="J8" s="183">
        <f t="shared" si="1"/>
        <v>0</v>
      </c>
      <c r="K8" s="183"/>
      <c r="L8" s="183"/>
      <c r="M8" s="183"/>
      <c r="N8" s="183"/>
      <c r="O8" s="183"/>
      <c r="P8" s="183"/>
      <c r="Q8" s="183"/>
      <c r="R8" s="183"/>
      <c r="S8" s="183"/>
    </row>
    <row r="9" spans="2:19" x14ac:dyDescent="0.35">
      <c r="B9" s="45"/>
      <c r="C9" s="184">
        <v>1.1000000000000001</v>
      </c>
      <c r="D9" s="185" t="s">
        <v>132</v>
      </c>
      <c r="E9" s="202">
        <v>2000</v>
      </c>
      <c r="F9" s="48"/>
      <c r="H9" s="183">
        <f t="shared" si="1"/>
        <v>0</v>
      </c>
      <c r="I9" s="183">
        <f t="shared" si="1"/>
        <v>0</v>
      </c>
      <c r="J9" s="183">
        <f t="shared" si="1"/>
        <v>0</v>
      </c>
      <c r="K9" s="183"/>
      <c r="L9" s="183"/>
      <c r="M9" s="183"/>
      <c r="N9" s="183"/>
      <c r="O9" s="183"/>
      <c r="P9" s="183"/>
      <c r="Q9" s="183"/>
      <c r="R9" s="183"/>
      <c r="S9" s="183"/>
    </row>
    <row r="10" spans="2:19" x14ac:dyDescent="0.35">
      <c r="B10" s="43"/>
      <c r="C10" s="44"/>
      <c r="D10" s="44"/>
      <c r="E10" s="44"/>
      <c r="F10" s="163"/>
      <c r="G10" s="186" t="s">
        <v>133</v>
      </c>
      <c r="H10" s="187">
        <f t="shared" ref="H10:J10" si="2">SUM(H7:H9)</f>
        <v>750</v>
      </c>
      <c r="I10" s="187">
        <f t="shared" si="2"/>
        <v>0</v>
      </c>
      <c r="J10" s="187">
        <f t="shared" si="2"/>
        <v>750</v>
      </c>
      <c r="K10" s="187"/>
      <c r="L10" s="187"/>
      <c r="M10" s="187"/>
      <c r="N10" s="187"/>
      <c r="O10" s="187"/>
      <c r="P10" s="187"/>
      <c r="Q10" s="187"/>
      <c r="R10" s="187"/>
      <c r="S10" s="187"/>
    </row>
    <row r="11" spans="2:19" ht="8.25" customHeight="1" x14ac:dyDescent="0.35">
      <c r="H11" s="146"/>
      <c r="I11" s="146"/>
      <c r="J11" s="146"/>
      <c r="K11" s="146"/>
      <c r="L11" s="146"/>
      <c r="M11" s="146"/>
      <c r="N11" s="146"/>
      <c r="O11" s="146"/>
      <c r="P11" s="146"/>
      <c r="Q11" s="146"/>
      <c r="R11" s="146"/>
      <c r="S11" s="146"/>
    </row>
    <row r="12" spans="2:19" x14ac:dyDescent="0.35">
      <c r="B12" s="41" t="s">
        <v>276</v>
      </c>
      <c r="C12" s="173"/>
      <c r="D12" s="173"/>
      <c r="E12" s="174"/>
      <c r="F12" s="47"/>
      <c r="G12" s="42" t="s">
        <v>119</v>
      </c>
      <c r="H12" s="307">
        <f>'Sebastien Fleury 2025'!H20</f>
        <v>58</v>
      </c>
      <c r="I12" s="307">
        <v>38</v>
      </c>
      <c r="J12" s="307">
        <f>'Sebastien Fleury 2025'!J20</f>
        <v>53</v>
      </c>
      <c r="K12" s="307"/>
      <c r="L12" s="307"/>
      <c r="M12" s="307"/>
      <c r="N12" s="307"/>
      <c r="O12" s="307"/>
      <c r="P12" s="307"/>
      <c r="Q12" s="307"/>
      <c r="R12" s="307"/>
      <c r="S12" s="307"/>
    </row>
    <row r="13" spans="2:19" x14ac:dyDescent="0.35">
      <c r="B13" s="45"/>
      <c r="C13" s="176"/>
      <c r="D13" s="176"/>
      <c r="E13" s="177"/>
      <c r="F13" s="48"/>
      <c r="G13" s="40" t="s">
        <v>95</v>
      </c>
      <c r="H13" s="308">
        <f>'Sebastien Fleury 2025'!H21</f>
        <v>49</v>
      </c>
      <c r="I13" s="308">
        <v>53</v>
      </c>
      <c r="J13" s="308">
        <f>'Sebastien Fleury 2025'!J21</f>
        <v>62</v>
      </c>
      <c r="K13" s="308"/>
      <c r="L13" s="308"/>
      <c r="M13" s="308"/>
      <c r="N13" s="308"/>
      <c r="O13" s="308"/>
      <c r="P13" s="308"/>
      <c r="Q13" s="308"/>
      <c r="R13" s="308"/>
      <c r="S13" s="308"/>
    </row>
    <row r="14" spans="2:19" x14ac:dyDescent="0.35">
      <c r="B14" s="45"/>
      <c r="C14" s="179" t="s">
        <v>129</v>
      </c>
      <c r="D14" s="179" t="s">
        <v>130</v>
      </c>
      <c r="E14" s="180" t="s">
        <v>131</v>
      </c>
      <c r="F14" s="48"/>
      <c r="G14" s="157" t="s">
        <v>37</v>
      </c>
      <c r="H14" s="181">
        <f t="shared" ref="H14:J14" si="3">IFERROR(ROUND(H12/H13,3)," - - -")</f>
        <v>1.1839999999999999</v>
      </c>
      <c r="I14" s="181">
        <f t="shared" si="3"/>
        <v>0.71699999999999997</v>
      </c>
      <c r="J14" s="181">
        <f t="shared" si="3"/>
        <v>0.85499999999999998</v>
      </c>
      <c r="K14" s="181"/>
      <c r="L14" s="181"/>
      <c r="M14" s="181"/>
      <c r="N14" s="181"/>
      <c r="O14" s="181"/>
      <c r="P14" s="181"/>
      <c r="Q14" s="181"/>
      <c r="R14" s="181"/>
      <c r="S14" s="181"/>
    </row>
    <row r="15" spans="2:19" x14ac:dyDescent="0.35">
      <c r="B15" s="45"/>
      <c r="C15" s="182">
        <v>0.9</v>
      </c>
      <c r="D15" s="182">
        <v>0.99990000000000001</v>
      </c>
      <c r="E15" s="202">
        <v>500</v>
      </c>
      <c r="F15" s="48"/>
      <c r="H15" s="183">
        <f>IF(AND(H14&gt;=$C15,H14&lt;=$D15),$E15,0)</f>
        <v>0</v>
      </c>
      <c r="I15" s="183">
        <f t="shared" ref="I15:J15" si="4">IF(AND(I14&gt;=$C15,I14&lt;=$D15),$E15,0)</f>
        <v>0</v>
      </c>
      <c r="J15" s="183">
        <f t="shared" si="4"/>
        <v>0</v>
      </c>
      <c r="K15" s="183"/>
      <c r="L15" s="183"/>
      <c r="M15" s="183"/>
      <c r="N15" s="183"/>
      <c r="O15" s="183"/>
      <c r="P15" s="183"/>
      <c r="Q15" s="183"/>
      <c r="R15" s="183"/>
      <c r="S15" s="183"/>
    </row>
    <row r="16" spans="2:19" x14ac:dyDescent="0.35">
      <c r="B16" s="45"/>
      <c r="C16" s="182">
        <v>1</v>
      </c>
      <c r="D16" s="182">
        <v>1.0999000000000001</v>
      </c>
      <c r="E16" s="202">
        <v>1000</v>
      </c>
      <c r="F16" s="48"/>
      <c r="H16" s="183">
        <f>IF(AND(H13&gt;=$C16,H13&lt;=$D16),$E16,0)</f>
        <v>0</v>
      </c>
      <c r="I16" s="183">
        <f t="shared" ref="I16:J16" si="5">IF(AND(I13&gt;=$C16,I13&lt;=$D16),$E16,0)</f>
        <v>0</v>
      </c>
      <c r="J16" s="183">
        <f t="shared" si="5"/>
        <v>0</v>
      </c>
      <c r="K16" s="183"/>
      <c r="L16" s="183"/>
      <c r="M16" s="183"/>
      <c r="N16" s="183"/>
      <c r="O16" s="183"/>
      <c r="P16" s="183"/>
      <c r="Q16" s="183"/>
      <c r="R16" s="183"/>
      <c r="S16" s="183"/>
    </row>
    <row r="17" spans="2:21" x14ac:dyDescent="0.35">
      <c r="B17" s="45"/>
      <c r="C17" s="184">
        <v>1.1000000000000001</v>
      </c>
      <c r="D17" s="185" t="s">
        <v>132</v>
      </c>
      <c r="E17" s="202">
        <v>1750</v>
      </c>
      <c r="F17" s="48"/>
      <c r="H17" s="183">
        <f>IF(AND(H14&gt;=$C17,H14&lt;=$D17),$E17,0)</f>
        <v>1750</v>
      </c>
      <c r="I17" s="183">
        <f t="shared" ref="I17:J17" si="6">IF(AND(I14&gt;=$C17,I14&lt;=$D17),$E17,0)</f>
        <v>0</v>
      </c>
      <c r="J17" s="183">
        <f t="shared" si="6"/>
        <v>0</v>
      </c>
      <c r="K17" s="183"/>
      <c r="L17" s="183"/>
      <c r="M17" s="183"/>
      <c r="N17" s="183"/>
      <c r="O17" s="183"/>
      <c r="P17" s="183"/>
      <c r="Q17" s="183"/>
      <c r="R17" s="183"/>
      <c r="S17" s="183"/>
    </row>
    <row r="18" spans="2:21" x14ac:dyDescent="0.35">
      <c r="B18" s="43"/>
      <c r="C18" s="44"/>
      <c r="D18" s="44"/>
      <c r="E18" s="44"/>
      <c r="F18" s="163"/>
      <c r="G18" s="186" t="s">
        <v>133</v>
      </c>
      <c r="H18" s="187">
        <f t="shared" ref="H18" si="7">SUM(H15:H17)</f>
        <v>1750</v>
      </c>
      <c r="I18" s="187">
        <f t="shared" ref="I18:J18" si="8">SUM(I15:I17)</f>
        <v>0</v>
      </c>
      <c r="J18" s="187">
        <f t="shared" si="8"/>
        <v>0</v>
      </c>
      <c r="K18" s="187"/>
      <c r="L18" s="187"/>
      <c r="M18" s="187"/>
      <c r="N18" s="187"/>
      <c r="O18" s="187"/>
      <c r="P18" s="187"/>
      <c r="Q18" s="187"/>
      <c r="R18" s="187"/>
      <c r="S18" s="187"/>
    </row>
    <row r="19" spans="2:21" ht="8.25" customHeight="1" x14ac:dyDescent="0.35"/>
    <row r="20" spans="2:21" x14ac:dyDescent="0.35">
      <c r="B20" s="41" t="s">
        <v>283</v>
      </c>
      <c r="C20" s="173"/>
      <c r="D20" s="173"/>
      <c r="E20" s="174"/>
      <c r="F20" s="47"/>
      <c r="G20" s="42"/>
      <c r="H20" s="321">
        <v>0.45</v>
      </c>
      <c r="I20" s="321">
        <v>0.40600000000000003</v>
      </c>
      <c r="J20" s="321">
        <v>0.4</v>
      </c>
      <c r="K20" s="321"/>
      <c r="L20" s="321"/>
      <c r="M20" s="321"/>
      <c r="N20" s="321"/>
      <c r="O20" s="321"/>
      <c r="P20" s="321"/>
      <c r="Q20" s="321"/>
      <c r="R20" s="321"/>
      <c r="S20" s="321"/>
    </row>
    <row r="21" spans="2:21" x14ac:dyDescent="0.35">
      <c r="B21" s="376"/>
      <c r="C21" s="179" t="s">
        <v>129</v>
      </c>
      <c r="D21" s="179" t="s">
        <v>130</v>
      </c>
      <c r="E21" s="180" t="s">
        <v>131</v>
      </c>
      <c r="F21" s="48"/>
      <c r="G21" s="157"/>
      <c r="H21" s="181"/>
      <c r="I21" s="181"/>
      <c r="J21" s="181"/>
      <c r="K21" s="181"/>
      <c r="L21" s="181"/>
      <c r="M21" s="181"/>
      <c r="N21" s="181"/>
      <c r="O21" s="181"/>
      <c r="P21" s="181"/>
      <c r="Q21" s="181"/>
      <c r="R21" s="181"/>
      <c r="S21" s="181"/>
    </row>
    <row r="22" spans="2:21" x14ac:dyDescent="0.35">
      <c r="B22" s="45"/>
      <c r="C22" s="182">
        <v>0.35</v>
      </c>
      <c r="D22" s="182">
        <v>0.39</v>
      </c>
      <c r="E22" s="202">
        <v>500</v>
      </c>
      <c r="F22" s="48"/>
      <c r="H22" s="183">
        <f t="shared" ref="H22:J22" si="9">IF(AND(H20&gt;=$C22,H20&lt;=$D22),$E22,0)</f>
        <v>0</v>
      </c>
      <c r="I22" s="183">
        <f t="shared" si="9"/>
        <v>0</v>
      </c>
      <c r="J22" s="183">
        <f t="shared" si="9"/>
        <v>0</v>
      </c>
      <c r="K22" s="183"/>
      <c r="L22" s="183"/>
      <c r="M22" s="183"/>
      <c r="N22" s="183"/>
      <c r="O22" s="183"/>
      <c r="P22" s="183"/>
      <c r="Q22" s="183"/>
      <c r="R22" s="183"/>
      <c r="S22" s="183"/>
      <c r="U22" s="40" t="s">
        <v>286</v>
      </c>
    </row>
    <row r="23" spans="2:21" x14ac:dyDescent="0.35">
      <c r="B23" s="45"/>
      <c r="C23" s="182">
        <v>0.3901</v>
      </c>
      <c r="D23" s="182">
        <v>0.47</v>
      </c>
      <c r="E23" s="202">
        <v>1000</v>
      </c>
      <c r="F23" s="48"/>
      <c r="H23" s="183">
        <f t="shared" ref="H23:J23" si="10">IF(AND(H20&gt;=$C23,H20&lt;=$D23),$E23,0)</f>
        <v>1000</v>
      </c>
      <c r="I23" s="183">
        <f t="shared" si="10"/>
        <v>1000</v>
      </c>
      <c r="J23" s="183">
        <f t="shared" si="10"/>
        <v>1000</v>
      </c>
      <c r="K23" s="183"/>
      <c r="L23" s="183"/>
      <c r="M23" s="183"/>
      <c r="N23" s="183"/>
      <c r="O23" s="183"/>
      <c r="P23" s="183"/>
      <c r="Q23" s="183"/>
      <c r="R23" s="183"/>
      <c r="S23" s="183"/>
    </row>
    <row r="24" spans="2:21" x14ac:dyDescent="0.35">
      <c r="B24" s="45"/>
      <c r="C24" s="184">
        <v>0.47010000000000002</v>
      </c>
      <c r="D24" s="185" t="s">
        <v>132</v>
      </c>
      <c r="E24" s="202">
        <v>1500</v>
      </c>
      <c r="F24" s="48"/>
      <c r="H24" s="183">
        <f t="shared" ref="H24:J24" si="11">IF(AND(H20&gt;=$C24,H20&lt;=$D24),$E24,0)</f>
        <v>0</v>
      </c>
      <c r="I24" s="183">
        <f t="shared" si="11"/>
        <v>0</v>
      </c>
      <c r="J24" s="183">
        <f t="shared" si="11"/>
        <v>0</v>
      </c>
      <c r="K24" s="183"/>
      <c r="L24" s="183"/>
      <c r="M24" s="183"/>
      <c r="N24" s="183"/>
      <c r="O24" s="183"/>
      <c r="P24" s="183"/>
      <c r="Q24" s="183"/>
      <c r="R24" s="183"/>
      <c r="S24" s="183"/>
    </row>
    <row r="25" spans="2:21" x14ac:dyDescent="0.35">
      <c r="B25" s="43"/>
      <c r="C25" s="44"/>
      <c r="D25" s="44"/>
      <c r="E25" s="44"/>
      <c r="F25" s="163"/>
      <c r="G25" s="186" t="s">
        <v>133</v>
      </c>
      <c r="H25" s="187">
        <f t="shared" ref="H25:J25" si="12">SUM(H22:H24)</f>
        <v>1000</v>
      </c>
      <c r="I25" s="187">
        <f t="shared" si="12"/>
        <v>1000</v>
      </c>
      <c r="J25" s="187">
        <f t="shared" si="12"/>
        <v>1000</v>
      </c>
      <c r="K25" s="187"/>
      <c r="L25" s="187"/>
      <c r="M25" s="187"/>
      <c r="N25" s="187"/>
      <c r="O25" s="187"/>
      <c r="P25" s="187"/>
      <c r="Q25" s="187"/>
      <c r="R25" s="187"/>
      <c r="S25" s="187"/>
    </row>
    <row r="26" spans="2:21" ht="8.25" customHeight="1" x14ac:dyDescent="0.35"/>
    <row r="27" spans="2:21" x14ac:dyDescent="0.35">
      <c r="B27" s="41" t="s">
        <v>281</v>
      </c>
      <c r="C27" s="173"/>
      <c r="D27" s="173"/>
      <c r="E27" s="174"/>
      <c r="F27" s="47"/>
      <c r="G27" s="373" t="s">
        <v>37</v>
      </c>
      <c r="H27" s="321">
        <v>0.88</v>
      </c>
      <c r="I27" s="321">
        <v>0.85</v>
      </c>
      <c r="J27" s="321">
        <v>0.85</v>
      </c>
      <c r="K27" s="321"/>
      <c r="L27" s="321"/>
      <c r="M27" s="321"/>
      <c r="N27" s="321"/>
      <c r="O27" s="321"/>
      <c r="P27" s="321"/>
      <c r="Q27" s="321"/>
      <c r="R27" s="321"/>
      <c r="S27" s="321"/>
    </row>
    <row r="28" spans="2:21" x14ac:dyDescent="0.35">
      <c r="B28" s="45"/>
      <c r="C28" s="179" t="s">
        <v>129</v>
      </c>
      <c r="D28" s="179" t="s">
        <v>130</v>
      </c>
      <c r="E28" s="180" t="s">
        <v>131</v>
      </c>
      <c r="F28" s="48"/>
      <c r="G28" s="210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</row>
    <row r="29" spans="2:21" x14ac:dyDescent="0.35">
      <c r="B29" s="45"/>
      <c r="C29" s="182">
        <v>0</v>
      </c>
      <c r="D29" s="182">
        <v>0.79990000000000006</v>
      </c>
      <c r="E29" s="202">
        <v>0</v>
      </c>
      <c r="F29" s="48"/>
      <c r="G29" s="209"/>
      <c r="H29" s="183">
        <f t="shared" ref="H29:J29" si="13">IF(AND(H27&gt;=$C29,H27&lt;=$D29),$E29,0)</f>
        <v>0</v>
      </c>
      <c r="I29" s="183">
        <f t="shared" si="13"/>
        <v>0</v>
      </c>
      <c r="J29" s="183">
        <f t="shared" si="13"/>
        <v>0</v>
      </c>
      <c r="K29" s="183"/>
      <c r="L29" s="183"/>
      <c r="M29" s="183"/>
      <c r="N29" s="183"/>
      <c r="O29" s="183"/>
      <c r="P29" s="183"/>
      <c r="Q29" s="183"/>
      <c r="R29" s="183"/>
      <c r="S29" s="183"/>
    </row>
    <row r="30" spans="2:21" x14ac:dyDescent="0.35">
      <c r="B30" s="45"/>
      <c r="C30" s="182">
        <v>0.8</v>
      </c>
      <c r="D30" s="182">
        <v>0.88990000000000002</v>
      </c>
      <c r="E30" s="202">
        <v>500</v>
      </c>
      <c r="F30" s="48"/>
      <c r="G30" s="209"/>
      <c r="H30" s="183">
        <f t="shared" ref="H30:J30" si="14">IF(AND(H27&gt;=$C30,H27&lt;=$D30),$E30,0)</f>
        <v>500</v>
      </c>
      <c r="I30" s="183">
        <f t="shared" si="14"/>
        <v>500</v>
      </c>
      <c r="J30" s="183">
        <f t="shared" si="14"/>
        <v>500</v>
      </c>
      <c r="K30" s="183"/>
      <c r="L30" s="183"/>
      <c r="M30" s="183"/>
      <c r="N30" s="183"/>
      <c r="O30" s="183"/>
      <c r="P30" s="183"/>
      <c r="Q30" s="183"/>
      <c r="R30" s="183"/>
      <c r="S30" s="183"/>
    </row>
    <row r="31" spans="2:21" x14ac:dyDescent="0.35">
      <c r="B31" s="45"/>
      <c r="C31" s="184">
        <v>0.89</v>
      </c>
      <c r="D31" s="185" t="s">
        <v>132</v>
      </c>
      <c r="E31" s="202">
        <v>1000</v>
      </c>
      <c r="F31" s="48"/>
      <c r="G31" s="374"/>
      <c r="H31" s="183">
        <f t="shared" ref="H31:J31" si="15">IF(AND(H27&gt;=$C31,H27&lt;=$D31),$E31,0)</f>
        <v>0</v>
      </c>
      <c r="I31" s="183">
        <f t="shared" si="15"/>
        <v>0</v>
      </c>
      <c r="J31" s="183">
        <f t="shared" si="15"/>
        <v>0</v>
      </c>
      <c r="K31" s="183"/>
      <c r="L31" s="183"/>
      <c r="M31" s="183"/>
      <c r="N31" s="183"/>
      <c r="O31" s="183"/>
      <c r="P31" s="183"/>
      <c r="Q31" s="183"/>
      <c r="R31" s="183"/>
      <c r="S31" s="183"/>
    </row>
    <row r="32" spans="2:21" x14ac:dyDescent="0.35">
      <c r="B32" s="43"/>
      <c r="C32" s="44"/>
      <c r="D32" s="44"/>
      <c r="E32" s="44"/>
      <c r="F32" s="163"/>
      <c r="G32" s="186" t="s">
        <v>133</v>
      </c>
      <c r="H32" s="187">
        <f t="shared" ref="H32:J32" si="16">SUM(H29:H31)</f>
        <v>500</v>
      </c>
      <c r="I32" s="187">
        <f t="shared" si="16"/>
        <v>500</v>
      </c>
      <c r="J32" s="187">
        <f t="shared" si="16"/>
        <v>500</v>
      </c>
      <c r="K32" s="187"/>
      <c r="L32" s="187"/>
      <c r="M32" s="187"/>
      <c r="N32" s="187"/>
      <c r="O32" s="187"/>
      <c r="P32" s="187"/>
      <c r="Q32" s="187"/>
      <c r="R32" s="187"/>
      <c r="S32" s="187"/>
    </row>
    <row r="33" spans="2:19" x14ac:dyDescent="0.35"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</row>
    <row r="34" spans="2:19" x14ac:dyDescent="0.35">
      <c r="G34" s="139" t="s">
        <v>285</v>
      </c>
      <c r="H34" s="46"/>
      <c r="I34" s="46"/>
      <c r="J34" s="46">
        <v>1000</v>
      </c>
      <c r="K34" s="46"/>
      <c r="L34" s="46"/>
      <c r="M34" s="46"/>
      <c r="N34" s="46"/>
      <c r="O34" s="46"/>
      <c r="P34" s="46"/>
      <c r="Q34" s="46"/>
      <c r="R34" s="46"/>
      <c r="S34" s="46"/>
    </row>
    <row r="36" spans="2:19" ht="15" thickBot="1" x14ac:dyDescent="0.4">
      <c r="E36" s="188"/>
      <c r="G36" s="188" t="s">
        <v>149</v>
      </c>
      <c r="H36" s="275">
        <f>H10+H18+H25+H32</f>
        <v>4000</v>
      </c>
      <c r="I36" s="275">
        <f t="shared" ref="I36:S36" si="17">I10+I18+I25+I32</f>
        <v>1500</v>
      </c>
      <c r="J36" s="275">
        <f>J10+J18+J25+J32+J34</f>
        <v>3250</v>
      </c>
      <c r="K36" s="275">
        <f t="shared" si="17"/>
        <v>0</v>
      </c>
      <c r="L36" s="275">
        <f t="shared" si="17"/>
        <v>0</v>
      </c>
      <c r="M36" s="275">
        <f t="shared" si="17"/>
        <v>0</v>
      </c>
      <c r="N36" s="275">
        <f t="shared" si="17"/>
        <v>0</v>
      </c>
      <c r="O36" s="275">
        <f t="shared" si="17"/>
        <v>0</v>
      </c>
      <c r="P36" s="275">
        <f t="shared" si="17"/>
        <v>0</v>
      </c>
      <c r="Q36" s="275">
        <f t="shared" si="17"/>
        <v>0</v>
      </c>
      <c r="R36" s="275">
        <f t="shared" si="17"/>
        <v>0</v>
      </c>
      <c r="S36" s="275">
        <f t="shared" si="17"/>
        <v>0</v>
      </c>
    </row>
    <row r="37" spans="2:19" ht="15" thickTop="1" x14ac:dyDescent="0.35"/>
    <row r="39" spans="2:19" x14ac:dyDescent="0.35">
      <c r="B39" s="281" t="s">
        <v>274</v>
      </c>
    </row>
    <row r="40" spans="2:19" x14ac:dyDescent="0.35">
      <c r="B40" s="10" t="s">
        <v>275</v>
      </c>
      <c r="C40" s="173"/>
      <c r="D40" s="173"/>
      <c r="E40" s="174"/>
      <c r="F40" s="47"/>
      <c r="G40" s="208" t="s">
        <v>119</v>
      </c>
      <c r="S40" s="305"/>
    </row>
    <row r="41" spans="2:19" x14ac:dyDescent="0.35">
      <c r="B41" s="779"/>
      <c r="C41" s="179" t="s">
        <v>129</v>
      </c>
      <c r="D41" s="179" t="s">
        <v>130</v>
      </c>
      <c r="E41" s="180" t="s">
        <v>131</v>
      </c>
      <c r="F41" s="48"/>
      <c r="G41" s="210"/>
      <c r="S41" s="181"/>
    </row>
    <row r="42" spans="2:19" x14ac:dyDescent="0.35">
      <c r="B42" s="779"/>
      <c r="C42" s="206">
        <v>1</v>
      </c>
      <c r="D42" s="206">
        <v>10</v>
      </c>
      <c r="E42" s="202">
        <v>5000</v>
      </c>
      <c r="F42" s="48"/>
      <c r="G42" s="209"/>
      <c r="S42" s="183">
        <f>IF(AND(S$40&gt;=$C42,S$40&lt;=$D42),$E42,0)</f>
        <v>0</v>
      </c>
    </row>
    <row r="43" spans="2:19" x14ac:dyDescent="0.35">
      <c r="B43" s="45"/>
      <c r="C43" s="206">
        <v>11</v>
      </c>
      <c r="D43" s="206">
        <v>15</v>
      </c>
      <c r="E43" s="202">
        <v>2500</v>
      </c>
      <c r="F43" s="48"/>
      <c r="G43" s="209"/>
      <c r="S43" s="183">
        <f>IF(AND(S$40&gt;=$C43,S$40&lt;=$D43),$E43,0)</f>
        <v>0</v>
      </c>
    </row>
    <row r="44" spans="2:19" x14ac:dyDescent="0.35">
      <c r="B44" s="45"/>
      <c r="C44" s="206">
        <v>16</v>
      </c>
      <c r="D44" s="206">
        <v>20</v>
      </c>
      <c r="E44" s="202">
        <v>500</v>
      </c>
      <c r="F44" s="48"/>
      <c r="G44" s="209"/>
      <c r="S44" s="183">
        <f>IF(AND(S$40&gt;=$C44,S$40&lt;=$D44),$E44,0)</f>
        <v>0</v>
      </c>
    </row>
    <row r="45" spans="2:19" x14ac:dyDescent="0.35">
      <c r="B45" s="43"/>
      <c r="C45" s="44"/>
      <c r="D45" s="44"/>
      <c r="E45" s="44"/>
      <c r="F45" s="163"/>
      <c r="G45" s="211" t="s">
        <v>133</v>
      </c>
      <c r="S45" s="187">
        <f t="shared" ref="S45" si="18">SUM(S42:S44)</f>
        <v>0</v>
      </c>
    </row>
    <row r="47" spans="2:19" ht="15" thickBot="1" x14ac:dyDescent="0.4">
      <c r="G47" s="197" t="s">
        <v>140</v>
      </c>
      <c r="S47" s="199">
        <f>+S37+S45</f>
        <v>0</v>
      </c>
    </row>
    <row r="48" spans="2:19" ht="15" thickTop="1" x14ac:dyDescent="0.35"/>
  </sheetData>
  <mergeCells count="1">
    <mergeCell ref="B41:B42"/>
  </mergeCells>
  <pageMargins left="0.7" right="0.7" top="0.75" bottom="0.75" header="0.3" footer="0.3"/>
  <pageSetup scale="57" orientation="landscape" r:id="rId1"/>
  <ignoredErrors>
    <ignoredError sqref="J36" 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1:S56"/>
  <sheetViews>
    <sheetView zoomScale="85" zoomScaleNormal="85" workbookViewId="0">
      <selection activeCell="N44" sqref="N44"/>
    </sheetView>
  </sheetViews>
  <sheetFormatPr baseColWidth="10" defaultColWidth="11.453125" defaultRowHeight="14.5" x14ac:dyDescent="0.35"/>
  <cols>
    <col min="1" max="1" width="3.7265625" style="40" customWidth="1"/>
    <col min="2" max="2" width="30.54296875" style="40" bestFit="1" customWidth="1"/>
    <col min="3" max="4" width="10.7265625" style="40" customWidth="1"/>
    <col min="5" max="5" width="10.54296875" style="40" bestFit="1" customWidth="1"/>
    <col min="6" max="6" width="1.7265625" style="40" customWidth="1"/>
    <col min="7" max="7" width="11.453125" style="40"/>
    <col min="8" max="8" width="10.453125" style="40" hidden="1" customWidth="1"/>
    <col min="9" max="13" width="11.453125" style="40" hidden="1" customWidth="1"/>
    <col min="14" max="19" width="11.453125" style="40" customWidth="1"/>
    <col min="20" max="16384" width="11.453125" style="40"/>
  </cols>
  <sheetData>
    <row r="1" spans="2:19" x14ac:dyDescent="0.35">
      <c r="B1" s="300" t="s">
        <v>280</v>
      </c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</row>
    <row r="2" spans="2:19" ht="8.25" customHeight="1" x14ac:dyDescent="0.35"/>
    <row r="3" spans="2:19" x14ac:dyDescent="0.35">
      <c r="B3" s="170" t="s">
        <v>126</v>
      </c>
      <c r="C3" s="171"/>
      <c r="D3" s="171"/>
      <c r="H3" s="172">
        <v>45688</v>
      </c>
      <c r="I3" s="172">
        <v>45716</v>
      </c>
      <c r="J3" s="172">
        <v>45747</v>
      </c>
      <c r="K3" s="172">
        <v>45777</v>
      </c>
      <c r="L3" s="172">
        <v>45808</v>
      </c>
      <c r="M3" s="172">
        <v>45838</v>
      </c>
      <c r="N3" s="172">
        <v>45869</v>
      </c>
      <c r="O3" s="172">
        <v>45900</v>
      </c>
      <c r="P3" s="172">
        <v>45930</v>
      </c>
      <c r="Q3" s="172">
        <v>45961</v>
      </c>
      <c r="R3" s="172">
        <v>45991</v>
      </c>
      <c r="S3" s="172">
        <v>46022</v>
      </c>
    </row>
    <row r="4" spans="2:19" x14ac:dyDescent="0.35">
      <c r="B4" s="41" t="s">
        <v>151</v>
      </c>
      <c r="C4" s="173"/>
      <c r="D4" s="173"/>
      <c r="E4" s="174"/>
      <c r="F4" s="47"/>
      <c r="G4" s="42" t="s">
        <v>119</v>
      </c>
      <c r="H4" s="302"/>
      <c r="I4" s="302"/>
      <c r="J4" s="302"/>
      <c r="K4" s="302">
        <v>192162</v>
      </c>
      <c r="L4" s="302">
        <v>204035</v>
      </c>
      <c r="M4" s="302">
        <v>146077</v>
      </c>
      <c r="N4" s="302">
        <v>268242</v>
      </c>
      <c r="O4" s="302"/>
      <c r="P4" s="302"/>
      <c r="Q4" s="302"/>
      <c r="R4" s="302"/>
      <c r="S4" s="302"/>
    </row>
    <row r="5" spans="2:19" x14ac:dyDescent="0.35">
      <c r="B5" s="45" t="s">
        <v>269</v>
      </c>
      <c r="C5" s="176"/>
      <c r="D5" s="176"/>
      <c r="E5" s="177"/>
      <c r="F5" s="48"/>
      <c r="G5" s="40" t="s">
        <v>95</v>
      </c>
      <c r="H5" s="303"/>
      <c r="I5" s="303"/>
      <c r="J5" s="303"/>
      <c r="K5" s="303">
        <v>207380</v>
      </c>
      <c r="L5" s="303">
        <v>211404</v>
      </c>
      <c r="M5" s="303">
        <v>250491</v>
      </c>
      <c r="N5" s="303">
        <v>250491</v>
      </c>
      <c r="O5" s="303"/>
      <c r="P5" s="303"/>
      <c r="Q5" s="303"/>
      <c r="R5" s="303"/>
      <c r="S5" s="303"/>
    </row>
    <row r="6" spans="2:19" x14ac:dyDescent="0.35">
      <c r="B6" s="45"/>
      <c r="C6" s="179" t="s">
        <v>129</v>
      </c>
      <c r="D6" s="179" t="s">
        <v>130</v>
      </c>
      <c r="E6" s="180" t="s">
        <v>131</v>
      </c>
      <c r="F6" s="48"/>
      <c r="G6" s="157" t="s">
        <v>37</v>
      </c>
      <c r="H6" s="181"/>
      <c r="I6" s="181"/>
      <c r="J6" s="181"/>
      <c r="K6" s="181">
        <f t="shared" ref="K6:S6" si="0">IFERROR(ROUND(K4/K5,3)," - - -")</f>
        <v>0.92700000000000005</v>
      </c>
      <c r="L6" s="181">
        <f t="shared" si="0"/>
        <v>0.96499999999999997</v>
      </c>
      <c r="M6" s="181">
        <f t="shared" si="0"/>
        <v>0.58299999999999996</v>
      </c>
      <c r="N6" s="181">
        <f t="shared" si="0"/>
        <v>1.071</v>
      </c>
      <c r="O6" s="181" t="str">
        <f t="shared" si="0"/>
        <v xml:space="preserve"> - - -</v>
      </c>
      <c r="P6" s="181" t="str">
        <f t="shared" si="0"/>
        <v xml:space="preserve"> - - -</v>
      </c>
      <c r="Q6" s="181" t="str">
        <f t="shared" si="0"/>
        <v xml:space="preserve"> - - -</v>
      </c>
      <c r="R6" s="181" t="str">
        <f t="shared" si="0"/>
        <v xml:space="preserve"> - - -</v>
      </c>
      <c r="S6" s="181" t="str">
        <f t="shared" si="0"/>
        <v xml:space="preserve"> - - -</v>
      </c>
    </row>
    <row r="7" spans="2:19" x14ac:dyDescent="0.35">
      <c r="B7" s="45"/>
      <c r="C7" s="182">
        <v>0.85</v>
      </c>
      <c r="D7" s="182">
        <v>0.99990000000000001</v>
      </c>
      <c r="E7" s="202">
        <v>500</v>
      </c>
      <c r="F7" s="48"/>
      <c r="H7" s="183"/>
      <c r="I7" s="183"/>
      <c r="J7" s="183"/>
      <c r="K7" s="183">
        <f t="shared" ref="K7:S9" si="1">IF(AND(K$6&gt;=$C7,K$6&lt;=$D7),$E7,0)</f>
        <v>500</v>
      </c>
      <c r="L7" s="183">
        <f t="shared" si="1"/>
        <v>500</v>
      </c>
      <c r="M7" s="183">
        <f t="shared" si="1"/>
        <v>0</v>
      </c>
      <c r="N7" s="183">
        <f t="shared" si="1"/>
        <v>0</v>
      </c>
      <c r="O7" s="183">
        <f t="shared" si="1"/>
        <v>0</v>
      </c>
      <c r="P7" s="183">
        <f t="shared" si="1"/>
        <v>0</v>
      </c>
      <c r="Q7" s="183">
        <f t="shared" si="1"/>
        <v>0</v>
      </c>
      <c r="R7" s="183">
        <f t="shared" si="1"/>
        <v>0</v>
      </c>
      <c r="S7" s="183">
        <f t="shared" si="1"/>
        <v>0</v>
      </c>
    </row>
    <row r="8" spans="2:19" x14ac:dyDescent="0.35">
      <c r="B8" s="45"/>
      <c r="C8" s="182">
        <v>1</v>
      </c>
      <c r="D8" s="182">
        <v>1.0999000000000001</v>
      </c>
      <c r="E8" s="202">
        <v>1000</v>
      </c>
      <c r="F8" s="48"/>
      <c r="H8" s="183"/>
      <c r="I8" s="183"/>
      <c r="J8" s="183"/>
      <c r="K8" s="183">
        <f t="shared" si="1"/>
        <v>0</v>
      </c>
      <c r="L8" s="183">
        <f t="shared" si="1"/>
        <v>0</v>
      </c>
      <c r="M8" s="183">
        <f t="shared" si="1"/>
        <v>0</v>
      </c>
      <c r="N8" s="183">
        <f t="shared" si="1"/>
        <v>1000</v>
      </c>
      <c r="O8" s="183">
        <f t="shared" si="1"/>
        <v>0</v>
      </c>
      <c r="P8" s="183">
        <f t="shared" si="1"/>
        <v>0</v>
      </c>
      <c r="Q8" s="183">
        <f t="shared" si="1"/>
        <v>0</v>
      </c>
      <c r="R8" s="183">
        <f t="shared" si="1"/>
        <v>0</v>
      </c>
      <c r="S8" s="183">
        <f t="shared" si="1"/>
        <v>0</v>
      </c>
    </row>
    <row r="9" spans="2:19" x14ac:dyDescent="0.35">
      <c r="B9" s="45"/>
      <c r="C9" s="184">
        <v>1.1000000000000001</v>
      </c>
      <c r="D9" s="185" t="s">
        <v>132</v>
      </c>
      <c r="E9" s="202">
        <v>1500</v>
      </c>
      <c r="F9" s="48"/>
      <c r="H9" s="183"/>
      <c r="I9" s="183"/>
      <c r="J9" s="183"/>
      <c r="K9" s="183">
        <f t="shared" si="1"/>
        <v>0</v>
      </c>
      <c r="L9" s="183">
        <f t="shared" si="1"/>
        <v>0</v>
      </c>
      <c r="M9" s="183">
        <f t="shared" si="1"/>
        <v>0</v>
      </c>
      <c r="N9" s="183">
        <f t="shared" si="1"/>
        <v>0</v>
      </c>
      <c r="O9" s="183">
        <f t="shared" si="1"/>
        <v>1500</v>
      </c>
      <c r="P9" s="183">
        <f t="shared" si="1"/>
        <v>1500</v>
      </c>
      <c r="Q9" s="183">
        <f t="shared" si="1"/>
        <v>1500</v>
      </c>
      <c r="R9" s="183">
        <f t="shared" si="1"/>
        <v>1500</v>
      </c>
      <c r="S9" s="183">
        <f t="shared" si="1"/>
        <v>1500</v>
      </c>
    </row>
    <row r="10" spans="2:19" x14ac:dyDescent="0.35">
      <c r="B10" s="43"/>
      <c r="C10" s="44"/>
      <c r="D10" s="44"/>
      <c r="E10" s="44"/>
      <c r="F10" s="163"/>
      <c r="G10" s="186" t="s">
        <v>133</v>
      </c>
      <c r="H10" s="187"/>
      <c r="I10" s="187"/>
      <c r="J10" s="187"/>
      <c r="K10" s="187">
        <f t="shared" ref="K10:S10" si="2">SUM(K7:K9)</f>
        <v>500</v>
      </c>
      <c r="L10" s="187">
        <f t="shared" si="2"/>
        <v>500</v>
      </c>
      <c r="M10" s="187">
        <f t="shared" si="2"/>
        <v>0</v>
      </c>
      <c r="N10" s="187">
        <f t="shared" si="2"/>
        <v>1000</v>
      </c>
      <c r="O10" s="187">
        <f t="shared" si="2"/>
        <v>1500</v>
      </c>
      <c r="P10" s="187">
        <f t="shared" si="2"/>
        <v>1500</v>
      </c>
      <c r="Q10" s="187">
        <f t="shared" si="2"/>
        <v>1500</v>
      </c>
      <c r="R10" s="187">
        <f t="shared" si="2"/>
        <v>1500</v>
      </c>
      <c r="S10" s="187">
        <f t="shared" si="2"/>
        <v>1500</v>
      </c>
    </row>
    <row r="11" spans="2:19" ht="8.25" customHeight="1" x14ac:dyDescent="0.35">
      <c r="H11" s="146"/>
      <c r="I11" s="146"/>
      <c r="J11" s="146"/>
      <c r="K11" s="146"/>
      <c r="L11" s="146"/>
      <c r="M11" s="146"/>
      <c r="N11" s="146"/>
      <c r="O11" s="146"/>
      <c r="P11" s="146"/>
      <c r="Q11" s="146"/>
      <c r="R11" s="146"/>
      <c r="S11" s="146"/>
    </row>
    <row r="12" spans="2:19" x14ac:dyDescent="0.35">
      <c r="B12" s="41" t="s">
        <v>287</v>
      </c>
      <c r="C12" s="173"/>
      <c r="D12" s="173"/>
      <c r="E12" s="174"/>
      <c r="F12" s="47"/>
      <c r="G12" s="42" t="s">
        <v>119</v>
      </c>
      <c r="H12" s="307"/>
      <c r="I12" s="307"/>
      <c r="J12" s="307"/>
      <c r="K12" s="302">
        <v>115188</v>
      </c>
      <c r="L12" s="302">
        <v>119525</v>
      </c>
      <c r="M12" s="302">
        <v>144177</v>
      </c>
      <c r="N12" s="302">
        <v>133267</v>
      </c>
      <c r="O12" s="302">
        <f>'Sebastien Fleury 2025'!O20</f>
        <v>0</v>
      </c>
      <c r="P12" s="302">
        <f>'Sebastien Fleury 2025'!P20</f>
        <v>0</v>
      </c>
      <c r="Q12" s="302">
        <f>'Sebastien Fleury 2025'!Q20</f>
        <v>0</v>
      </c>
      <c r="R12" s="302">
        <f>'Sebastien Fleury 2025'!R20</f>
        <v>0</v>
      </c>
      <c r="S12" s="302">
        <f>'Sebastien Fleury 2025'!S20</f>
        <v>0</v>
      </c>
    </row>
    <row r="13" spans="2:19" x14ac:dyDescent="0.35">
      <c r="B13" s="45" t="s">
        <v>269</v>
      </c>
      <c r="C13" s="176"/>
      <c r="D13" s="176"/>
      <c r="E13" s="177"/>
      <c r="F13" s="48"/>
      <c r="G13" s="40" t="s">
        <v>95</v>
      </c>
      <c r="H13" s="308"/>
      <c r="I13" s="308"/>
      <c r="J13" s="308"/>
      <c r="K13" s="303">
        <v>109700</v>
      </c>
      <c r="L13" s="303">
        <v>151700</v>
      </c>
      <c r="M13" s="303">
        <v>142300</v>
      </c>
      <c r="N13" s="303">
        <v>128700</v>
      </c>
      <c r="O13" s="303">
        <f>'Sebastien Fleury 2025'!O21</f>
        <v>0</v>
      </c>
      <c r="P13" s="303">
        <f>'Sebastien Fleury 2025'!P21</f>
        <v>0</v>
      </c>
      <c r="Q13" s="303">
        <f>'Sebastien Fleury 2025'!Q21</f>
        <v>0</v>
      </c>
      <c r="R13" s="303">
        <f>'Sebastien Fleury 2025'!R21</f>
        <v>0</v>
      </c>
      <c r="S13" s="303">
        <f>'Sebastien Fleury 2025'!S21</f>
        <v>0</v>
      </c>
    </row>
    <row r="14" spans="2:19" x14ac:dyDescent="0.35">
      <c r="B14" s="45"/>
      <c r="C14" s="179" t="s">
        <v>129</v>
      </c>
      <c r="D14" s="179" t="s">
        <v>130</v>
      </c>
      <c r="E14" s="180" t="s">
        <v>131</v>
      </c>
      <c r="F14" s="48"/>
      <c r="G14" s="157" t="s">
        <v>37</v>
      </c>
      <c r="H14" s="181"/>
      <c r="I14" s="181"/>
      <c r="J14" s="181"/>
      <c r="K14" s="181">
        <f t="shared" ref="K14" si="3">IFERROR(ROUND(K12/K13,3)," - - -")</f>
        <v>1.05</v>
      </c>
      <c r="L14" s="181">
        <f t="shared" ref="L14:S14" si="4">IFERROR(ROUND(L12/L13,3)," - - -")</f>
        <v>0.78800000000000003</v>
      </c>
      <c r="M14" s="181">
        <f t="shared" si="4"/>
        <v>1.0129999999999999</v>
      </c>
      <c r="N14" s="181">
        <f t="shared" si="4"/>
        <v>1.0349999999999999</v>
      </c>
      <c r="O14" s="181" t="str">
        <f t="shared" si="4"/>
        <v xml:space="preserve"> - - -</v>
      </c>
      <c r="P14" s="181" t="str">
        <f t="shared" si="4"/>
        <v xml:space="preserve"> - - -</v>
      </c>
      <c r="Q14" s="181" t="str">
        <f t="shared" si="4"/>
        <v xml:space="preserve"> - - -</v>
      </c>
      <c r="R14" s="181" t="str">
        <f t="shared" si="4"/>
        <v xml:space="preserve"> - - -</v>
      </c>
      <c r="S14" s="181" t="str">
        <f t="shared" si="4"/>
        <v xml:space="preserve"> - - -</v>
      </c>
    </row>
    <row r="15" spans="2:19" x14ac:dyDescent="0.35">
      <c r="B15" s="45"/>
      <c r="C15" s="182">
        <v>0.85</v>
      </c>
      <c r="D15" s="182">
        <v>0.99990000000000001</v>
      </c>
      <c r="E15" s="202">
        <v>500</v>
      </c>
      <c r="F15" s="48"/>
      <c r="H15" s="183"/>
      <c r="I15" s="183"/>
      <c r="J15" s="183"/>
      <c r="K15" s="183">
        <f t="shared" ref="K15" si="5">IF(AND(K14&gt;=$C15,K14&lt;=$D15),$E15,0)</f>
        <v>0</v>
      </c>
      <c r="L15" s="183">
        <f t="shared" ref="L15:S15" si="6">IF(AND(L14&gt;=$C15,L14&lt;=$D15),$E15,0)</f>
        <v>0</v>
      </c>
      <c r="M15" s="183">
        <f t="shared" si="6"/>
        <v>0</v>
      </c>
      <c r="N15" s="183">
        <f t="shared" si="6"/>
        <v>0</v>
      </c>
      <c r="O15" s="183">
        <f t="shared" si="6"/>
        <v>0</v>
      </c>
      <c r="P15" s="183">
        <f t="shared" si="6"/>
        <v>0</v>
      </c>
      <c r="Q15" s="183">
        <f t="shared" si="6"/>
        <v>0</v>
      </c>
      <c r="R15" s="183">
        <f t="shared" si="6"/>
        <v>0</v>
      </c>
      <c r="S15" s="183">
        <f t="shared" si="6"/>
        <v>0</v>
      </c>
    </row>
    <row r="16" spans="2:19" x14ac:dyDescent="0.35">
      <c r="B16" s="45"/>
      <c r="C16" s="182">
        <v>1</v>
      </c>
      <c r="D16" s="182">
        <v>1.0999000000000001</v>
      </c>
      <c r="E16" s="202">
        <v>1000</v>
      </c>
      <c r="F16" s="48"/>
      <c r="H16" s="183"/>
      <c r="I16" s="183"/>
      <c r="J16" s="183"/>
      <c r="K16" s="183">
        <f>IF(AND(K14&gt;=$C16,K14&lt;=$D16),$E16,0)</f>
        <v>1000</v>
      </c>
      <c r="L16" s="183">
        <f t="shared" ref="L16:S16" si="7">IF(AND(L14&gt;=$C16,L14&lt;=$D16),$E16,0)</f>
        <v>0</v>
      </c>
      <c r="M16" s="183">
        <f t="shared" si="7"/>
        <v>1000</v>
      </c>
      <c r="N16" s="183">
        <f t="shared" si="7"/>
        <v>1000</v>
      </c>
      <c r="O16" s="183">
        <f t="shared" si="7"/>
        <v>0</v>
      </c>
      <c r="P16" s="183">
        <f t="shared" si="7"/>
        <v>0</v>
      </c>
      <c r="Q16" s="183">
        <f t="shared" si="7"/>
        <v>0</v>
      </c>
      <c r="R16" s="183">
        <f t="shared" si="7"/>
        <v>0</v>
      </c>
      <c r="S16" s="183">
        <f t="shared" si="7"/>
        <v>0</v>
      </c>
    </row>
    <row r="17" spans="2:19" x14ac:dyDescent="0.35">
      <c r="B17" s="45"/>
      <c r="C17" s="184">
        <v>1.1000000000000001</v>
      </c>
      <c r="D17" s="185" t="s">
        <v>132</v>
      </c>
      <c r="E17" s="202">
        <v>1500</v>
      </c>
      <c r="F17" s="48"/>
      <c r="H17" s="183"/>
      <c r="I17" s="183"/>
      <c r="J17" s="183"/>
      <c r="K17" s="183">
        <f>IF(AND(K14&gt;=$C17,K14&lt;=$D17),$E17,0)</f>
        <v>0</v>
      </c>
      <c r="L17" s="183">
        <f t="shared" ref="L17:S17" si="8">IF(AND(L14&gt;=$C17,L14&lt;=$D17),$E17,0)</f>
        <v>0</v>
      </c>
      <c r="M17" s="183">
        <f t="shared" si="8"/>
        <v>0</v>
      </c>
      <c r="N17" s="183">
        <f t="shared" si="8"/>
        <v>0</v>
      </c>
      <c r="O17" s="183">
        <f t="shared" si="8"/>
        <v>1500</v>
      </c>
      <c r="P17" s="183">
        <f t="shared" si="8"/>
        <v>1500</v>
      </c>
      <c r="Q17" s="183">
        <f t="shared" si="8"/>
        <v>1500</v>
      </c>
      <c r="R17" s="183">
        <f t="shared" si="8"/>
        <v>1500</v>
      </c>
      <c r="S17" s="183">
        <f t="shared" si="8"/>
        <v>1500</v>
      </c>
    </row>
    <row r="18" spans="2:19" x14ac:dyDescent="0.35">
      <c r="B18" s="43"/>
      <c r="C18" s="44"/>
      <c r="D18" s="44"/>
      <c r="E18" s="44"/>
      <c r="F18" s="163"/>
      <c r="G18" s="186" t="s">
        <v>133</v>
      </c>
      <c r="H18" s="187"/>
      <c r="I18" s="187"/>
      <c r="J18" s="187"/>
      <c r="K18" s="187">
        <f t="shared" ref="K18" si="9">SUM(K15:K17)</f>
        <v>1000</v>
      </c>
      <c r="L18" s="187">
        <f t="shared" ref="L18:S18" si="10">SUM(L15:L17)</f>
        <v>0</v>
      </c>
      <c r="M18" s="187">
        <f t="shared" si="10"/>
        <v>1000</v>
      </c>
      <c r="N18" s="187">
        <f t="shared" si="10"/>
        <v>1000</v>
      </c>
      <c r="O18" s="187">
        <f t="shared" si="10"/>
        <v>1500</v>
      </c>
      <c r="P18" s="187">
        <f t="shared" si="10"/>
        <v>1500</v>
      </c>
      <c r="Q18" s="187">
        <f t="shared" si="10"/>
        <v>1500</v>
      </c>
      <c r="R18" s="187">
        <f t="shared" si="10"/>
        <v>1500</v>
      </c>
      <c r="S18" s="187">
        <f t="shared" si="10"/>
        <v>1500</v>
      </c>
    </row>
    <row r="19" spans="2:19" ht="8.25" customHeight="1" x14ac:dyDescent="0.35"/>
    <row r="20" spans="2:19" x14ac:dyDescent="0.35">
      <c r="B20" s="41" t="s">
        <v>272</v>
      </c>
      <c r="C20" s="173"/>
      <c r="D20" s="173"/>
      <c r="E20" s="174"/>
      <c r="F20" s="47"/>
      <c r="G20" s="208" t="s">
        <v>119</v>
      </c>
      <c r="H20" s="307"/>
      <c r="I20" s="307"/>
      <c r="J20" s="307"/>
      <c r="K20" s="307">
        <v>60</v>
      </c>
      <c r="L20" s="307">
        <v>59</v>
      </c>
      <c r="M20" s="307">
        <v>51</v>
      </c>
      <c r="N20" s="307">
        <v>81</v>
      </c>
      <c r="O20" s="307">
        <v>0</v>
      </c>
      <c r="P20" s="307">
        <v>0</v>
      </c>
      <c r="Q20" s="307">
        <v>0</v>
      </c>
      <c r="R20" s="307">
        <v>0</v>
      </c>
      <c r="S20" s="307">
        <v>0</v>
      </c>
    </row>
    <row r="21" spans="2:19" x14ac:dyDescent="0.35">
      <c r="B21" s="777"/>
      <c r="C21" s="176"/>
      <c r="D21" s="176"/>
      <c r="E21" s="177"/>
      <c r="F21" s="48"/>
      <c r="G21" s="209" t="s">
        <v>95</v>
      </c>
      <c r="H21" s="308"/>
      <c r="I21" s="308"/>
      <c r="J21" s="308"/>
      <c r="K21" s="308">
        <v>51</v>
      </c>
      <c r="L21" s="308">
        <v>56</v>
      </c>
      <c r="M21" s="308">
        <v>61</v>
      </c>
      <c r="N21" s="308">
        <v>59</v>
      </c>
      <c r="O21" s="308">
        <v>0</v>
      </c>
      <c r="P21" s="308">
        <v>0</v>
      </c>
      <c r="Q21" s="308">
        <v>0</v>
      </c>
      <c r="R21" s="308">
        <v>0</v>
      </c>
      <c r="S21" s="308">
        <v>0</v>
      </c>
    </row>
    <row r="22" spans="2:19" x14ac:dyDescent="0.35">
      <c r="B22" s="775"/>
      <c r="C22" s="179" t="s">
        <v>129</v>
      </c>
      <c r="D22" s="179" t="s">
        <v>130</v>
      </c>
      <c r="E22" s="180" t="s">
        <v>131</v>
      </c>
      <c r="F22" s="48"/>
      <c r="G22" s="210" t="s">
        <v>37</v>
      </c>
      <c r="H22" s="181"/>
      <c r="I22" s="181"/>
      <c r="J22" s="181"/>
      <c r="K22" s="181">
        <f t="shared" ref="K22" si="11">IFERROR(ROUND(K20/K21,3)," - - -")</f>
        <v>1.1759999999999999</v>
      </c>
      <c r="L22" s="181">
        <f t="shared" ref="L22:S22" si="12">IFERROR(ROUND(L20/L21,3)," - - -")</f>
        <v>1.054</v>
      </c>
      <c r="M22" s="181">
        <f t="shared" si="12"/>
        <v>0.83599999999999997</v>
      </c>
      <c r="N22" s="181">
        <f t="shared" si="12"/>
        <v>1.373</v>
      </c>
      <c r="O22" s="181" t="str">
        <f t="shared" si="12"/>
        <v xml:space="preserve"> - - -</v>
      </c>
      <c r="P22" s="181" t="str">
        <f t="shared" si="12"/>
        <v xml:space="preserve"> - - -</v>
      </c>
      <c r="Q22" s="181" t="str">
        <f t="shared" si="12"/>
        <v xml:space="preserve"> - - -</v>
      </c>
      <c r="R22" s="181" t="str">
        <f t="shared" si="12"/>
        <v xml:space="preserve"> - - -</v>
      </c>
      <c r="S22" s="181" t="str">
        <f t="shared" si="12"/>
        <v xml:space="preserve"> - - -</v>
      </c>
    </row>
    <row r="23" spans="2:19" x14ac:dyDescent="0.35">
      <c r="B23" s="775"/>
      <c r="C23" s="182">
        <v>0.9</v>
      </c>
      <c r="D23" s="182">
        <v>0.99990000000000001</v>
      </c>
      <c r="E23" s="202">
        <v>500</v>
      </c>
      <c r="F23" s="48"/>
      <c r="G23" s="209"/>
      <c r="H23" s="183"/>
      <c r="I23" s="183"/>
      <c r="J23" s="183"/>
      <c r="K23" s="183">
        <f>IF(AND(K$22&gt;=$C23,K$22&lt;=$D23),$E23,0)</f>
        <v>0</v>
      </c>
      <c r="L23" s="183">
        <f t="shared" ref="L23:S25" si="13">IF(AND(L$22&gt;=$C23,L$22&lt;=$D23),$E23,0)</f>
        <v>0</v>
      </c>
      <c r="M23" s="183">
        <f t="shared" si="13"/>
        <v>0</v>
      </c>
      <c r="N23" s="183">
        <f t="shared" si="13"/>
        <v>0</v>
      </c>
      <c r="O23" s="183">
        <f t="shared" si="13"/>
        <v>0</v>
      </c>
      <c r="P23" s="183">
        <f t="shared" si="13"/>
        <v>0</v>
      </c>
      <c r="Q23" s="183">
        <f t="shared" si="13"/>
        <v>0</v>
      </c>
      <c r="R23" s="183">
        <f t="shared" si="13"/>
        <v>0</v>
      </c>
      <c r="S23" s="183">
        <f t="shared" si="13"/>
        <v>0</v>
      </c>
    </row>
    <row r="24" spans="2:19" x14ac:dyDescent="0.35">
      <c r="B24" s="45"/>
      <c r="C24" s="182">
        <v>1</v>
      </c>
      <c r="D24" s="182">
        <v>1.1999</v>
      </c>
      <c r="E24" s="202">
        <v>1000</v>
      </c>
      <c r="F24" s="48"/>
      <c r="G24" s="209"/>
      <c r="H24" s="183"/>
      <c r="I24" s="183"/>
      <c r="J24" s="183"/>
      <c r="K24" s="183">
        <f>IF(AND(K$22&gt;=$C24,K$22&lt;=$D24),$E24,0)</f>
        <v>1000</v>
      </c>
      <c r="L24" s="183">
        <f t="shared" si="13"/>
        <v>1000</v>
      </c>
      <c r="M24" s="183">
        <f t="shared" si="13"/>
        <v>0</v>
      </c>
      <c r="N24" s="183">
        <f t="shared" si="13"/>
        <v>0</v>
      </c>
      <c r="O24" s="183">
        <f t="shared" si="13"/>
        <v>0</v>
      </c>
      <c r="P24" s="183">
        <f t="shared" si="13"/>
        <v>0</v>
      </c>
      <c r="Q24" s="183">
        <f t="shared" si="13"/>
        <v>0</v>
      </c>
      <c r="R24" s="183">
        <f t="shared" si="13"/>
        <v>0</v>
      </c>
      <c r="S24" s="183">
        <f t="shared" si="13"/>
        <v>0</v>
      </c>
    </row>
    <row r="25" spans="2:19" x14ac:dyDescent="0.35">
      <c r="B25" s="45"/>
      <c r="C25" s="184">
        <v>1.2</v>
      </c>
      <c r="D25" s="185" t="s">
        <v>132</v>
      </c>
      <c r="E25" s="202">
        <v>1750</v>
      </c>
      <c r="F25" s="48"/>
      <c r="G25" s="209"/>
      <c r="H25" s="183"/>
      <c r="I25" s="183"/>
      <c r="J25" s="183"/>
      <c r="K25" s="183">
        <f>IF(AND(K$22&gt;=$C25,K$22&lt;=$D25),$E25,0)</f>
        <v>0</v>
      </c>
      <c r="L25" s="183">
        <f t="shared" si="13"/>
        <v>0</v>
      </c>
      <c r="M25" s="183">
        <f t="shared" si="13"/>
        <v>0</v>
      </c>
      <c r="N25" s="183">
        <f t="shared" si="13"/>
        <v>1750</v>
      </c>
      <c r="O25" s="183">
        <f t="shared" si="13"/>
        <v>1750</v>
      </c>
      <c r="P25" s="183">
        <f t="shared" si="13"/>
        <v>1750</v>
      </c>
      <c r="Q25" s="183">
        <f t="shared" si="13"/>
        <v>1750</v>
      </c>
      <c r="R25" s="183">
        <f t="shared" si="13"/>
        <v>1750</v>
      </c>
      <c r="S25" s="183">
        <f t="shared" si="13"/>
        <v>1750</v>
      </c>
    </row>
    <row r="26" spans="2:19" x14ac:dyDescent="0.35">
      <c r="B26" s="43"/>
      <c r="C26" s="44"/>
      <c r="D26" s="44"/>
      <c r="E26" s="44"/>
      <c r="F26" s="163"/>
      <c r="G26" s="211" t="s">
        <v>133</v>
      </c>
      <c r="H26" s="187"/>
      <c r="I26" s="187"/>
      <c r="J26" s="187"/>
      <c r="K26" s="187">
        <f t="shared" ref="K26" si="14">SUM(K23:K25)</f>
        <v>1000</v>
      </c>
      <c r="L26" s="187">
        <f t="shared" ref="L26:S26" si="15">SUM(L23:L25)</f>
        <v>1000</v>
      </c>
      <c r="M26" s="187">
        <f t="shared" si="15"/>
        <v>0</v>
      </c>
      <c r="N26" s="187">
        <f t="shared" si="15"/>
        <v>1750</v>
      </c>
      <c r="O26" s="187">
        <f t="shared" si="15"/>
        <v>1750</v>
      </c>
      <c r="P26" s="187">
        <f t="shared" si="15"/>
        <v>1750</v>
      </c>
      <c r="Q26" s="187">
        <f t="shared" si="15"/>
        <v>1750</v>
      </c>
      <c r="R26" s="187">
        <f t="shared" si="15"/>
        <v>1750</v>
      </c>
      <c r="S26" s="187">
        <f t="shared" si="15"/>
        <v>1750</v>
      </c>
    </row>
    <row r="27" spans="2:19" ht="8.25" customHeight="1" x14ac:dyDescent="0.35"/>
    <row r="28" spans="2:19" x14ac:dyDescent="0.35">
      <c r="B28" s="41" t="s">
        <v>288</v>
      </c>
      <c r="C28" s="173"/>
      <c r="D28" s="173"/>
      <c r="E28" s="174"/>
      <c r="F28" s="47"/>
      <c r="G28" s="42"/>
      <c r="H28" s="321"/>
      <c r="I28" s="321"/>
      <c r="J28" s="321"/>
      <c r="K28" s="407">
        <v>9.8000000000000004E-2</v>
      </c>
      <c r="L28" s="321">
        <v>0.13</v>
      </c>
      <c r="M28" s="321">
        <v>0.05</v>
      </c>
      <c r="N28" s="321">
        <v>0.05</v>
      </c>
      <c r="O28" s="321"/>
      <c r="P28" s="321"/>
      <c r="Q28" s="321"/>
      <c r="R28" s="321"/>
      <c r="S28" s="321"/>
    </row>
    <row r="29" spans="2:19" x14ac:dyDescent="0.35">
      <c r="B29" s="781" t="s">
        <v>289</v>
      </c>
      <c r="C29" s="179" t="s">
        <v>129</v>
      </c>
      <c r="D29" s="179" t="s">
        <v>130</v>
      </c>
      <c r="E29" s="180" t="s">
        <v>131</v>
      </c>
      <c r="F29" s="48"/>
      <c r="G29" s="157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</row>
    <row r="30" spans="2:19" x14ac:dyDescent="0.35">
      <c r="B30" s="781"/>
      <c r="C30" s="182">
        <v>1</v>
      </c>
      <c r="D30" s="182">
        <v>0.15</v>
      </c>
      <c r="E30" s="202">
        <v>0</v>
      </c>
      <c r="F30" s="48"/>
      <c r="H30" s="183"/>
      <c r="I30" s="183"/>
      <c r="J30" s="183"/>
      <c r="K30" s="183">
        <f>IF(AND(K28&lt;=$C30,K28&gt;=$D30),$E30,0)</f>
        <v>0</v>
      </c>
      <c r="L30" s="183">
        <f t="shared" ref="L30:S30" si="16">IF(AND(L28&lt;=$C30,L28&gt;=$D30),$E30,0)</f>
        <v>0</v>
      </c>
      <c r="M30" s="183">
        <f t="shared" si="16"/>
        <v>0</v>
      </c>
      <c r="N30" s="183">
        <f t="shared" si="16"/>
        <v>0</v>
      </c>
      <c r="O30" s="183">
        <f t="shared" si="16"/>
        <v>0</v>
      </c>
      <c r="P30" s="183">
        <f t="shared" si="16"/>
        <v>0</v>
      </c>
      <c r="Q30" s="183">
        <f t="shared" si="16"/>
        <v>0</v>
      </c>
      <c r="R30" s="183">
        <f t="shared" si="16"/>
        <v>0</v>
      </c>
      <c r="S30" s="183">
        <f t="shared" si="16"/>
        <v>0</v>
      </c>
    </row>
    <row r="31" spans="2:19" x14ac:dyDescent="0.35">
      <c r="B31" s="45"/>
      <c r="C31" s="182">
        <v>0.14899999999999999</v>
      </c>
      <c r="D31" s="182">
        <v>0.1</v>
      </c>
      <c r="E31" s="202">
        <v>1000</v>
      </c>
      <c r="F31" s="48"/>
      <c r="H31" s="183"/>
      <c r="I31" s="183"/>
      <c r="J31" s="183"/>
      <c r="K31" s="183">
        <f>IF(AND(K28&lt;=$C31,K28&gt;=$D31),$E31,0)</f>
        <v>0</v>
      </c>
      <c r="L31" s="183">
        <f t="shared" ref="L31:S31" si="17">IF(AND(L28&lt;=$C31,L28&gt;=$D31),$E31,0)</f>
        <v>1000</v>
      </c>
      <c r="M31" s="183">
        <f t="shared" si="17"/>
        <v>0</v>
      </c>
      <c r="N31" s="183">
        <f t="shared" si="17"/>
        <v>0</v>
      </c>
      <c r="O31" s="183">
        <f t="shared" si="17"/>
        <v>0</v>
      </c>
      <c r="P31" s="183">
        <f t="shared" si="17"/>
        <v>0</v>
      </c>
      <c r="Q31" s="183">
        <f t="shared" si="17"/>
        <v>0</v>
      </c>
      <c r="R31" s="183">
        <f t="shared" si="17"/>
        <v>0</v>
      </c>
      <c r="S31" s="183">
        <f t="shared" si="17"/>
        <v>0</v>
      </c>
    </row>
    <row r="32" spans="2:19" x14ac:dyDescent="0.35">
      <c r="B32" s="45"/>
      <c r="C32" s="184">
        <v>9.9000000000000005E-2</v>
      </c>
      <c r="D32" s="185" t="s">
        <v>290</v>
      </c>
      <c r="E32" s="202">
        <v>1500</v>
      </c>
      <c r="F32" s="48"/>
      <c r="H32" s="183"/>
      <c r="I32" s="183"/>
      <c r="J32" s="183"/>
      <c r="K32" s="183">
        <f>IF(AND(K28&lt;=$C32,K28&lt;=$D32),$E32,0)</f>
        <v>1500</v>
      </c>
      <c r="L32" s="183">
        <f t="shared" ref="L32:S32" si="18">IF(AND(L28&lt;=$C32,L28&lt;=$D32),$E32,0)</f>
        <v>0</v>
      </c>
      <c r="M32" s="183">
        <f t="shared" si="18"/>
        <v>1500</v>
      </c>
      <c r="N32" s="183">
        <f t="shared" si="18"/>
        <v>1500</v>
      </c>
      <c r="O32" s="183">
        <f t="shared" si="18"/>
        <v>1500</v>
      </c>
      <c r="P32" s="183">
        <f t="shared" si="18"/>
        <v>1500</v>
      </c>
      <c r="Q32" s="183">
        <f t="shared" si="18"/>
        <v>1500</v>
      </c>
      <c r="R32" s="183">
        <f t="shared" si="18"/>
        <v>1500</v>
      </c>
      <c r="S32" s="183">
        <f t="shared" si="18"/>
        <v>1500</v>
      </c>
    </row>
    <row r="33" spans="2:19" x14ac:dyDescent="0.35">
      <c r="B33" s="43"/>
      <c r="C33" s="44"/>
      <c r="D33" s="44"/>
      <c r="E33" s="44"/>
      <c r="F33" s="163"/>
      <c r="G33" s="186" t="s">
        <v>133</v>
      </c>
      <c r="H33" s="187"/>
      <c r="I33" s="187"/>
      <c r="J33" s="187"/>
      <c r="K33" s="187">
        <f t="shared" ref="K33:S33" si="19">SUM(K30:K32)</f>
        <v>1500</v>
      </c>
      <c r="L33" s="187">
        <f t="shared" si="19"/>
        <v>1000</v>
      </c>
      <c r="M33" s="187">
        <f t="shared" si="19"/>
        <v>1500</v>
      </c>
      <c r="N33" s="187">
        <f t="shared" si="19"/>
        <v>1500</v>
      </c>
      <c r="O33" s="187">
        <f t="shared" si="19"/>
        <v>1500</v>
      </c>
      <c r="P33" s="187">
        <f t="shared" si="19"/>
        <v>1500</v>
      </c>
      <c r="Q33" s="187">
        <f t="shared" si="19"/>
        <v>1500</v>
      </c>
      <c r="R33" s="187">
        <f t="shared" si="19"/>
        <v>1500</v>
      </c>
      <c r="S33" s="187">
        <f t="shared" si="19"/>
        <v>1500</v>
      </c>
    </row>
    <row r="34" spans="2:19" ht="8.25" customHeight="1" x14ac:dyDescent="0.35"/>
    <row r="35" spans="2:19" x14ac:dyDescent="0.35">
      <c r="B35" s="41" t="s">
        <v>281</v>
      </c>
      <c r="C35" s="173"/>
      <c r="D35" s="173"/>
      <c r="E35" s="174"/>
      <c r="F35" s="47"/>
      <c r="G35" s="373" t="s">
        <v>37</v>
      </c>
      <c r="H35" s="321"/>
      <c r="I35" s="321"/>
      <c r="J35" s="321"/>
      <c r="K35" s="321">
        <v>0.92</v>
      </c>
      <c r="L35" s="321">
        <v>0.87729999999999997</v>
      </c>
      <c r="M35" s="321">
        <v>0.78</v>
      </c>
      <c r="N35" s="321">
        <v>0.93600000000000005</v>
      </c>
      <c r="O35" s="321"/>
      <c r="P35" s="321"/>
      <c r="Q35" s="321"/>
      <c r="R35" s="321"/>
      <c r="S35" s="321"/>
    </row>
    <row r="36" spans="2:19" x14ac:dyDescent="0.35">
      <c r="B36" s="45"/>
      <c r="C36" s="179" t="s">
        <v>129</v>
      </c>
      <c r="D36" s="179" t="s">
        <v>130</v>
      </c>
      <c r="E36" s="180" t="s">
        <v>131</v>
      </c>
      <c r="F36" s="48"/>
      <c r="G36" s="210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</row>
    <row r="37" spans="2:19" x14ac:dyDescent="0.35">
      <c r="B37" s="45"/>
      <c r="C37" s="182">
        <v>0</v>
      </c>
      <c r="D37" s="182">
        <v>0.79990000000000006</v>
      </c>
      <c r="E37" s="202">
        <v>0</v>
      </c>
      <c r="F37" s="48"/>
      <c r="G37" s="209"/>
      <c r="H37" s="183"/>
      <c r="I37" s="183"/>
      <c r="J37" s="183"/>
      <c r="K37" s="183">
        <f t="shared" ref="K37:S37" si="20">IF(AND(K35&gt;=$C37,K35&lt;=$D37),$E37,0)</f>
        <v>0</v>
      </c>
      <c r="L37" s="183">
        <f t="shared" si="20"/>
        <v>0</v>
      </c>
      <c r="M37" s="183">
        <f t="shared" si="20"/>
        <v>0</v>
      </c>
      <c r="N37" s="183">
        <f t="shared" si="20"/>
        <v>0</v>
      </c>
      <c r="O37" s="183">
        <f t="shared" si="20"/>
        <v>0</v>
      </c>
      <c r="P37" s="183">
        <f t="shared" si="20"/>
        <v>0</v>
      </c>
      <c r="Q37" s="183">
        <f t="shared" si="20"/>
        <v>0</v>
      </c>
      <c r="R37" s="183">
        <f t="shared" si="20"/>
        <v>0</v>
      </c>
      <c r="S37" s="183">
        <f t="shared" si="20"/>
        <v>0</v>
      </c>
    </row>
    <row r="38" spans="2:19" x14ac:dyDescent="0.35">
      <c r="B38" s="45"/>
      <c r="C38" s="182">
        <v>0.8</v>
      </c>
      <c r="D38" s="182">
        <v>0.88990000000000002</v>
      </c>
      <c r="E38" s="202">
        <v>500</v>
      </c>
      <c r="F38" s="48"/>
      <c r="G38" s="209"/>
      <c r="H38" s="183"/>
      <c r="I38" s="183"/>
      <c r="J38" s="183"/>
      <c r="K38" s="183">
        <f t="shared" ref="K38:S38" si="21">IF(AND(K35&gt;=$C38,K35&lt;=$D38),$E38,0)</f>
        <v>0</v>
      </c>
      <c r="L38" s="183">
        <f t="shared" si="21"/>
        <v>500</v>
      </c>
      <c r="M38" s="183">
        <f t="shared" si="21"/>
        <v>0</v>
      </c>
      <c r="N38" s="183">
        <f t="shared" si="21"/>
        <v>0</v>
      </c>
      <c r="O38" s="183">
        <f t="shared" si="21"/>
        <v>0</v>
      </c>
      <c r="P38" s="183">
        <f t="shared" si="21"/>
        <v>0</v>
      </c>
      <c r="Q38" s="183">
        <f t="shared" si="21"/>
        <v>0</v>
      </c>
      <c r="R38" s="183">
        <f t="shared" si="21"/>
        <v>0</v>
      </c>
      <c r="S38" s="183">
        <f t="shared" si="21"/>
        <v>0</v>
      </c>
    </row>
    <row r="39" spans="2:19" x14ac:dyDescent="0.35">
      <c r="B39" s="45"/>
      <c r="C39" s="184">
        <v>0.89</v>
      </c>
      <c r="D39" s="185" t="s">
        <v>132</v>
      </c>
      <c r="E39" s="202">
        <v>1000</v>
      </c>
      <c r="F39" s="48"/>
      <c r="G39" s="374"/>
      <c r="H39" s="183"/>
      <c r="I39" s="183"/>
      <c r="J39" s="183"/>
      <c r="K39" s="183">
        <f t="shared" ref="K39:S39" si="22">IF(AND(K35&gt;=$C39,K35&lt;=$D39),$E39,0)</f>
        <v>1000</v>
      </c>
      <c r="L39" s="183">
        <f t="shared" si="22"/>
        <v>0</v>
      </c>
      <c r="M39" s="183">
        <f t="shared" si="22"/>
        <v>0</v>
      </c>
      <c r="N39" s="183">
        <f t="shared" si="22"/>
        <v>1000</v>
      </c>
      <c r="O39" s="183">
        <f t="shared" si="22"/>
        <v>0</v>
      </c>
      <c r="P39" s="183">
        <f t="shared" si="22"/>
        <v>0</v>
      </c>
      <c r="Q39" s="183">
        <f t="shared" si="22"/>
        <v>0</v>
      </c>
      <c r="R39" s="183">
        <f t="shared" si="22"/>
        <v>0</v>
      </c>
      <c r="S39" s="183">
        <f t="shared" si="22"/>
        <v>0</v>
      </c>
    </row>
    <row r="40" spans="2:19" x14ac:dyDescent="0.35">
      <c r="B40" s="43"/>
      <c r="C40" s="44"/>
      <c r="D40" s="44"/>
      <c r="E40" s="44"/>
      <c r="F40" s="163"/>
      <c r="G40" s="186" t="s">
        <v>133</v>
      </c>
      <c r="H40" s="187"/>
      <c r="I40" s="187"/>
      <c r="J40" s="187"/>
      <c r="K40" s="187">
        <f t="shared" ref="K40:S40" si="23">SUM(K37:K39)</f>
        <v>1000</v>
      </c>
      <c r="L40" s="187">
        <f t="shared" si="23"/>
        <v>500</v>
      </c>
      <c r="M40" s="187">
        <f t="shared" si="23"/>
        <v>0</v>
      </c>
      <c r="N40" s="187">
        <f t="shared" si="23"/>
        <v>1000</v>
      </c>
      <c r="O40" s="187">
        <f t="shared" si="23"/>
        <v>0</v>
      </c>
      <c r="P40" s="187">
        <f t="shared" si="23"/>
        <v>0</v>
      </c>
      <c r="Q40" s="187">
        <f t="shared" si="23"/>
        <v>0</v>
      </c>
      <c r="R40" s="187">
        <f t="shared" si="23"/>
        <v>0</v>
      </c>
      <c r="S40" s="187">
        <f t="shared" si="23"/>
        <v>0</v>
      </c>
    </row>
    <row r="41" spans="2:19" x14ac:dyDescent="0.35"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</row>
    <row r="42" spans="2:19" x14ac:dyDescent="0.35">
      <c r="G42" s="139" t="s">
        <v>717</v>
      </c>
      <c r="H42" s="46"/>
      <c r="I42" s="46"/>
      <c r="J42" s="46"/>
      <c r="K42" s="46"/>
      <c r="L42" s="46">
        <v>2500</v>
      </c>
      <c r="M42" s="46">
        <v>2000</v>
      </c>
      <c r="N42" s="46">
        <v>2000</v>
      </c>
      <c r="O42" s="46"/>
      <c r="P42" s="46"/>
      <c r="Q42" s="46"/>
      <c r="R42" s="46"/>
      <c r="S42" s="46"/>
    </row>
    <row r="44" spans="2:19" ht="15" thickBot="1" x14ac:dyDescent="0.4">
      <c r="E44" s="188"/>
      <c r="G44" s="188" t="s">
        <v>149</v>
      </c>
      <c r="H44" s="275"/>
      <c r="I44" s="275"/>
      <c r="J44" s="275"/>
      <c r="K44" s="275">
        <f t="shared" ref="K44" si="24">K10+K18+K33+K40+K26+K42</f>
        <v>5000</v>
      </c>
      <c r="L44" s="275">
        <f>L10+L18+L33+L40+L26+L42</f>
        <v>5500</v>
      </c>
      <c r="M44" s="275">
        <f t="shared" ref="M44:S44" si="25">M10+M18+M33+M40+M26+M42</f>
        <v>4500</v>
      </c>
      <c r="N44" s="275">
        <f t="shared" si="25"/>
        <v>8250</v>
      </c>
      <c r="O44" s="275">
        <f t="shared" si="25"/>
        <v>6250</v>
      </c>
      <c r="P44" s="275">
        <f t="shared" si="25"/>
        <v>6250</v>
      </c>
      <c r="Q44" s="275">
        <f t="shared" si="25"/>
        <v>6250</v>
      </c>
      <c r="R44" s="275">
        <f t="shared" si="25"/>
        <v>6250</v>
      </c>
      <c r="S44" s="275">
        <f t="shared" si="25"/>
        <v>6250</v>
      </c>
    </row>
    <row r="45" spans="2:19" ht="15" thickTop="1" x14ac:dyDescent="0.35"/>
    <row r="47" spans="2:19" x14ac:dyDescent="0.35">
      <c r="B47" s="281" t="s">
        <v>274</v>
      </c>
    </row>
    <row r="48" spans="2:19" x14ac:dyDescent="0.35">
      <c r="B48" s="10" t="s">
        <v>275</v>
      </c>
      <c r="C48" s="173"/>
      <c r="D48" s="173"/>
      <c r="E48" s="174"/>
      <c r="F48" s="47"/>
      <c r="G48" s="208" t="s">
        <v>119</v>
      </c>
      <c r="S48" s="305"/>
    </row>
    <row r="49" spans="2:19" x14ac:dyDescent="0.35">
      <c r="B49" s="779"/>
      <c r="C49" s="179" t="s">
        <v>129</v>
      </c>
      <c r="D49" s="179" t="s">
        <v>130</v>
      </c>
      <c r="E49" s="180" t="s">
        <v>131</v>
      </c>
      <c r="F49" s="48"/>
      <c r="G49" s="210"/>
      <c r="S49" s="181"/>
    </row>
    <row r="50" spans="2:19" x14ac:dyDescent="0.35">
      <c r="B50" s="779"/>
      <c r="C50" s="206">
        <v>1</v>
      </c>
      <c r="D50" s="206">
        <v>10</v>
      </c>
      <c r="E50" s="202">
        <v>5000</v>
      </c>
      <c r="F50" s="48"/>
      <c r="G50" s="209"/>
      <c r="S50" s="183">
        <f>IF(AND(S$48&gt;=$C50,S$48&lt;=$D50),$E50,0)</f>
        <v>0</v>
      </c>
    </row>
    <row r="51" spans="2:19" x14ac:dyDescent="0.35">
      <c r="B51" s="45"/>
      <c r="C51" s="206">
        <v>11</v>
      </c>
      <c r="D51" s="206">
        <v>15</v>
      </c>
      <c r="E51" s="202">
        <v>2500</v>
      </c>
      <c r="F51" s="48"/>
      <c r="G51" s="209"/>
      <c r="S51" s="183">
        <f>IF(AND(S$48&gt;=$C51,S$48&lt;=$D51),$E51,0)</f>
        <v>0</v>
      </c>
    </row>
    <row r="52" spans="2:19" x14ac:dyDescent="0.35">
      <c r="B52" s="45"/>
      <c r="C52" s="206">
        <v>16</v>
      </c>
      <c r="D52" s="206">
        <v>20</v>
      </c>
      <c r="E52" s="202">
        <v>500</v>
      </c>
      <c r="F52" s="48"/>
      <c r="G52" s="209"/>
      <c r="S52" s="183">
        <f>IF(AND(S$48&gt;=$C52,S$48&lt;=$D52),$E52,0)</f>
        <v>0</v>
      </c>
    </row>
    <row r="53" spans="2:19" x14ac:dyDescent="0.35">
      <c r="B53" s="43"/>
      <c r="C53" s="44"/>
      <c r="D53" s="44"/>
      <c r="E53" s="44"/>
      <c r="F53" s="163"/>
      <c r="G53" s="211" t="s">
        <v>133</v>
      </c>
      <c r="S53" s="187">
        <f t="shared" ref="S53" si="26">SUM(S50:S52)</f>
        <v>0</v>
      </c>
    </row>
    <row r="55" spans="2:19" ht="15" thickBot="1" x14ac:dyDescent="0.4">
      <c r="G55" s="197" t="s">
        <v>140</v>
      </c>
      <c r="S55" s="199">
        <f>+S45+S53</f>
        <v>0</v>
      </c>
    </row>
    <row r="56" spans="2:19" ht="15" thickTop="1" x14ac:dyDescent="0.35"/>
  </sheetData>
  <mergeCells count="3">
    <mergeCell ref="B49:B50"/>
    <mergeCell ref="B21:B23"/>
    <mergeCell ref="B29:B30"/>
  </mergeCells>
  <pageMargins left="0.7" right="0.7" top="0.75" bottom="0.75" header="0.3" footer="0.3"/>
  <pageSetup scale="57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1:S56"/>
  <sheetViews>
    <sheetView topLeftCell="A13" zoomScale="85" zoomScaleNormal="85" workbookViewId="0">
      <selection activeCell="M1" sqref="M1:M1048576"/>
    </sheetView>
  </sheetViews>
  <sheetFormatPr baseColWidth="10" defaultColWidth="11.453125" defaultRowHeight="14.5" x14ac:dyDescent="0.35"/>
  <cols>
    <col min="1" max="1" width="3.7265625" style="40" customWidth="1"/>
    <col min="2" max="2" width="30.54296875" style="40" bestFit="1" customWidth="1"/>
    <col min="3" max="4" width="10.7265625" style="40" customWidth="1"/>
    <col min="5" max="5" width="10.54296875" style="40" bestFit="1" customWidth="1"/>
    <col min="6" max="6" width="1.7265625" style="40" customWidth="1"/>
    <col min="7" max="7" width="11.453125" style="40"/>
    <col min="8" max="8" width="10.453125" style="40" hidden="1" customWidth="1"/>
    <col min="9" max="13" width="11.453125" style="40" hidden="1" customWidth="1"/>
    <col min="14" max="19" width="11.453125" style="40" customWidth="1"/>
    <col min="20" max="16384" width="11.453125" style="40"/>
  </cols>
  <sheetData>
    <row r="1" spans="2:19" x14ac:dyDescent="0.35">
      <c r="B1" s="300" t="s">
        <v>718</v>
      </c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</row>
    <row r="2" spans="2:19" ht="8.25" customHeight="1" x14ac:dyDescent="0.35"/>
    <row r="3" spans="2:19" x14ac:dyDescent="0.35">
      <c r="B3" s="170" t="s">
        <v>126</v>
      </c>
      <c r="C3" s="171"/>
      <c r="D3" s="171"/>
      <c r="H3" s="172">
        <v>45688</v>
      </c>
      <c r="I3" s="172">
        <v>45716</v>
      </c>
      <c r="J3" s="172">
        <v>45747</v>
      </c>
      <c r="K3" s="172">
        <v>45777</v>
      </c>
      <c r="L3" s="172">
        <v>45808</v>
      </c>
      <c r="M3" s="172">
        <v>45838</v>
      </c>
      <c r="N3" s="172">
        <v>45869</v>
      </c>
      <c r="O3" s="172">
        <v>45900</v>
      </c>
      <c r="P3" s="172">
        <v>45930</v>
      </c>
      <c r="Q3" s="172">
        <v>45961</v>
      </c>
      <c r="R3" s="172">
        <v>45991</v>
      </c>
      <c r="S3" s="172">
        <v>46022</v>
      </c>
    </row>
    <row r="4" spans="2:19" x14ac:dyDescent="0.35">
      <c r="B4" s="41" t="s">
        <v>151</v>
      </c>
      <c r="C4" s="173"/>
      <c r="D4" s="173"/>
      <c r="E4" s="174"/>
      <c r="F4" s="47"/>
      <c r="G4" s="42" t="s">
        <v>119</v>
      </c>
      <c r="H4" s="302"/>
      <c r="I4" s="302"/>
      <c r="J4" s="302"/>
      <c r="K4" s="302"/>
      <c r="L4" s="302">
        <f>'Alexandre Paradis 2025 v2'!L4</f>
        <v>204035</v>
      </c>
      <c r="M4" s="302">
        <f>'Alexandre Paradis 2025 v2'!M4</f>
        <v>146077</v>
      </c>
      <c r="N4" s="302">
        <f>'Alexandre Paradis 2025 v2'!N4</f>
        <v>268242</v>
      </c>
      <c r="O4" s="302">
        <f>'Alexandre Paradis 2025 v2'!O4</f>
        <v>0</v>
      </c>
      <c r="P4" s="302">
        <f>'Alexandre Paradis 2025 v2'!P4</f>
        <v>0</v>
      </c>
      <c r="Q4" s="302">
        <f>'Alexandre Paradis 2025 v2'!Q4</f>
        <v>0</v>
      </c>
      <c r="R4" s="302">
        <f>'Alexandre Paradis 2025 v2'!R4</f>
        <v>0</v>
      </c>
      <c r="S4" s="302">
        <f>'Alexandre Paradis 2025 v2'!S4</f>
        <v>0</v>
      </c>
    </row>
    <row r="5" spans="2:19" x14ac:dyDescent="0.35">
      <c r="B5" s="45" t="s">
        <v>269</v>
      </c>
      <c r="C5" s="176"/>
      <c r="D5" s="176"/>
      <c r="E5" s="177"/>
      <c r="F5" s="48"/>
      <c r="G5" s="40" t="s">
        <v>95</v>
      </c>
      <c r="H5" s="303"/>
      <c r="I5" s="303"/>
      <c r="J5" s="303"/>
      <c r="K5" s="303"/>
      <c r="L5" s="303">
        <f>'Alexandre Paradis 2025 v2'!L5</f>
        <v>211404</v>
      </c>
      <c r="M5" s="303">
        <f>'Alexandre Paradis 2025 v2'!M5</f>
        <v>250491</v>
      </c>
      <c r="N5" s="303">
        <f>'Alexandre Paradis 2025 v2'!N5</f>
        <v>250491</v>
      </c>
      <c r="O5" s="303">
        <f>'Alexandre Paradis 2025 v2'!O5</f>
        <v>0</v>
      </c>
      <c r="P5" s="303">
        <f>'Alexandre Paradis 2025 v2'!P5</f>
        <v>0</v>
      </c>
      <c r="Q5" s="303">
        <f>'Alexandre Paradis 2025 v2'!Q5</f>
        <v>0</v>
      </c>
      <c r="R5" s="303">
        <f>'Alexandre Paradis 2025 v2'!R5</f>
        <v>0</v>
      </c>
      <c r="S5" s="303">
        <f>'Alexandre Paradis 2025 v2'!S5</f>
        <v>0</v>
      </c>
    </row>
    <row r="6" spans="2:19" x14ac:dyDescent="0.35">
      <c r="B6" s="45"/>
      <c r="C6" s="179" t="s">
        <v>129</v>
      </c>
      <c r="D6" s="179" t="s">
        <v>130</v>
      </c>
      <c r="E6" s="180" t="s">
        <v>131</v>
      </c>
      <c r="F6" s="48"/>
      <c r="G6" s="157" t="s">
        <v>37</v>
      </c>
      <c r="H6" s="181"/>
      <c r="I6" s="181"/>
      <c r="J6" s="181"/>
      <c r="K6" s="181"/>
      <c r="L6" s="181">
        <f t="shared" ref="L6:S6" si="0">IFERROR(ROUND(L4/L5,3)," - - -")</f>
        <v>0.96499999999999997</v>
      </c>
      <c r="M6" s="181">
        <f t="shared" si="0"/>
        <v>0.58299999999999996</v>
      </c>
      <c r="N6" s="181">
        <f t="shared" si="0"/>
        <v>1.071</v>
      </c>
      <c r="O6" s="181" t="str">
        <f t="shared" si="0"/>
        <v xml:space="preserve"> - - -</v>
      </c>
      <c r="P6" s="181" t="str">
        <f t="shared" si="0"/>
        <v xml:space="preserve"> - - -</v>
      </c>
      <c r="Q6" s="181" t="str">
        <f t="shared" si="0"/>
        <v xml:space="preserve"> - - -</v>
      </c>
      <c r="R6" s="181" t="str">
        <f t="shared" si="0"/>
        <v xml:space="preserve"> - - -</v>
      </c>
      <c r="S6" s="181" t="str">
        <f t="shared" si="0"/>
        <v xml:space="preserve"> - - -</v>
      </c>
    </row>
    <row r="7" spans="2:19" x14ac:dyDescent="0.35">
      <c r="B7" s="45"/>
      <c r="C7" s="182">
        <v>0.85</v>
      </c>
      <c r="D7" s="182">
        <v>0.99990000000000001</v>
      </c>
      <c r="E7" s="202">
        <v>500</v>
      </c>
      <c r="F7" s="48"/>
      <c r="H7" s="183"/>
      <c r="I7" s="183"/>
      <c r="J7" s="183"/>
      <c r="K7" s="183"/>
      <c r="L7" s="183">
        <f t="shared" ref="L7:S9" si="1">IF(AND(L$6&gt;=$C7,L$6&lt;=$D7),$E7,0)</f>
        <v>500</v>
      </c>
      <c r="M7" s="183">
        <f t="shared" si="1"/>
        <v>0</v>
      </c>
      <c r="N7" s="183">
        <f t="shared" si="1"/>
        <v>0</v>
      </c>
      <c r="O7" s="183">
        <f t="shared" si="1"/>
        <v>0</v>
      </c>
      <c r="P7" s="183">
        <f t="shared" si="1"/>
        <v>0</v>
      </c>
      <c r="Q7" s="183">
        <f t="shared" si="1"/>
        <v>0</v>
      </c>
      <c r="R7" s="183">
        <f t="shared" si="1"/>
        <v>0</v>
      </c>
      <c r="S7" s="183">
        <f t="shared" si="1"/>
        <v>0</v>
      </c>
    </row>
    <row r="8" spans="2:19" x14ac:dyDescent="0.35">
      <c r="B8" s="45"/>
      <c r="C8" s="182">
        <v>1</v>
      </c>
      <c r="D8" s="182">
        <v>1.0999000000000001</v>
      </c>
      <c r="E8" s="202">
        <v>1000</v>
      </c>
      <c r="F8" s="48"/>
      <c r="H8" s="183"/>
      <c r="I8" s="183"/>
      <c r="J8" s="183"/>
      <c r="K8" s="183"/>
      <c r="L8" s="183">
        <f t="shared" si="1"/>
        <v>0</v>
      </c>
      <c r="M8" s="183">
        <f t="shared" si="1"/>
        <v>0</v>
      </c>
      <c r="N8" s="183">
        <f t="shared" si="1"/>
        <v>1000</v>
      </c>
      <c r="O8" s="183">
        <f t="shared" si="1"/>
        <v>0</v>
      </c>
      <c r="P8" s="183">
        <f t="shared" si="1"/>
        <v>0</v>
      </c>
      <c r="Q8" s="183">
        <f t="shared" si="1"/>
        <v>0</v>
      </c>
      <c r="R8" s="183">
        <f t="shared" si="1"/>
        <v>0</v>
      </c>
      <c r="S8" s="183">
        <f t="shared" si="1"/>
        <v>0</v>
      </c>
    </row>
    <row r="9" spans="2:19" x14ac:dyDescent="0.35">
      <c r="B9" s="45"/>
      <c r="C9" s="184">
        <v>1.1000000000000001</v>
      </c>
      <c r="D9" s="185" t="s">
        <v>132</v>
      </c>
      <c r="E9" s="202">
        <v>1500</v>
      </c>
      <c r="F9" s="48"/>
      <c r="H9" s="183"/>
      <c r="I9" s="183"/>
      <c r="J9" s="183"/>
      <c r="K9" s="183"/>
      <c r="L9" s="183">
        <f t="shared" si="1"/>
        <v>0</v>
      </c>
      <c r="M9" s="183">
        <f t="shared" si="1"/>
        <v>0</v>
      </c>
      <c r="N9" s="183">
        <f t="shared" si="1"/>
        <v>0</v>
      </c>
      <c r="O9" s="183">
        <f t="shared" si="1"/>
        <v>1500</v>
      </c>
      <c r="P9" s="183">
        <f t="shared" si="1"/>
        <v>1500</v>
      </c>
      <c r="Q9" s="183">
        <f t="shared" si="1"/>
        <v>1500</v>
      </c>
      <c r="R9" s="183">
        <f t="shared" si="1"/>
        <v>1500</v>
      </c>
      <c r="S9" s="183">
        <f t="shared" si="1"/>
        <v>1500</v>
      </c>
    </row>
    <row r="10" spans="2:19" x14ac:dyDescent="0.35">
      <c r="B10" s="43"/>
      <c r="C10" s="44"/>
      <c r="D10" s="44"/>
      <c r="E10" s="44"/>
      <c r="F10" s="163"/>
      <c r="G10" s="186" t="s">
        <v>133</v>
      </c>
      <c r="H10" s="187"/>
      <c r="I10" s="187"/>
      <c r="J10" s="187"/>
      <c r="K10" s="187"/>
      <c r="L10" s="187">
        <f t="shared" ref="L10:S10" si="2">SUM(L7:L9)</f>
        <v>500</v>
      </c>
      <c r="M10" s="187">
        <f t="shared" si="2"/>
        <v>0</v>
      </c>
      <c r="N10" s="187">
        <f t="shared" si="2"/>
        <v>1000</v>
      </c>
      <c r="O10" s="187">
        <f t="shared" si="2"/>
        <v>1500</v>
      </c>
      <c r="P10" s="187">
        <f t="shared" si="2"/>
        <v>1500</v>
      </c>
      <c r="Q10" s="187">
        <f t="shared" si="2"/>
        <v>1500</v>
      </c>
      <c r="R10" s="187">
        <f t="shared" si="2"/>
        <v>1500</v>
      </c>
      <c r="S10" s="187">
        <f t="shared" si="2"/>
        <v>1500</v>
      </c>
    </row>
    <row r="11" spans="2:19" ht="8.25" customHeight="1" x14ac:dyDescent="0.35">
      <c r="H11" s="146"/>
      <c r="I11" s="146"/>
      <c r="J11" s="146"/>
      <c r="K11" s="146"/>
      <c r="L11" s="146"/>
      <c r="M11" s="146"/>
      <c r="N11" s="146"/>
      <c r="O11" s="146"/>
      <c r="P11" s="146"/>
      <c r="Q11" s="146"/>
      <c r="R11" s="146"/>
      <c r="S11" s="146"/>
    </row>
    <row r="12" spans="2:19" x14ac:dyDescent="0.35">
      <c r="B12" s="41" t="s">
        <v>287</v>
      </c>
      <c r="C12" s="173"/>
      <c r="D12" s="173"/>
      <c r="E12" s="174"/>
      <c r="F12" s="47"/>
      <c r="G12" s="42" t="s">
        <v>119</v>
      </c>
      <c r="H12" s="307"/>
      <c r="I12" s="307"/>
      <c r="J12" s="307"/>
      <c r="K12" s="302"/>
      <c r="L12" s="302">
        <f>'Alexandre Paradis 2025 v2'!L12</f>
        <v>119525</v>
      </c>
      <c r="M12" s="302">
        <f>'Alexandre Paradis 2025 v2'!M12</f>
        <v>144177</v>
      </c>
      <c r="N12" s="302">
        <f>'Alexandre Paradis 2025 v2'!N12</f>
        <v>133267</v>
      </c>
      <c r="O12" s="302">
        <f>'Alexandre Paradis 2025 v2'!O12</f>
        <v>0</v>
      </c>
      <c r="P12" s="302">
        <f>'Alexandre Paradis 2025 v2'!P12</f>
        <v>0</v>
      </c>
      <c r="Q12" s="302">
        <f>'Alexandre Paradis 2025 v2'!Q12</f>
        <v>0</v>
      </c>
      <c r="R12" s="302">
        <f>'Alexandre Paradis 2025 v2'!R12</f>
        <v>0</v>
      </c>
      <c r="S12" s="302">
        <f>'Alexandre Paradis 2025 v2'!S12</f>
        <v>0</v>
      </c>
    </row>
    <row r="13" spans="2:19" x14ac:dyDescent="0.35">
      <c r="B13" s="45" t="s">
        <v>269</v>
      </c>
      <c r="C13" s="176"/>
      <c r="D13" s="176"/>
      <c r="E13" s="177"/>
      <c r="F13" s="48"/>
      <c r="G13" s="40" t="s">
        <v>95</v>
      </c>
      <c r="H13" s="308"/>
      <c r="I13" s="308"/>
      <c r="J13" s="308"/>
      <c r="K13" s="303"/>
      <c r="L13" s="303">
        <f>'Alexandre Paradis 2025 v2'!L13</f>
        <v>151700</v>
      </c>
      <c r="M13" s="303">
        <f>'Alexandre Paradis 2025 v2'!M13</f>
        <v>142300</v>
      </c>
      <c r="N13" s="303">
        <f>'Alexandre Paradis 2025 v2'!N13</f>
        <v>128700</v>
      </c>
      <c r="O13" s="303">
        <f>'Alexandre Paradis 2025 v2'!O13</f>
        <v>0</v>
      </c>
      <c r="P13" s="303">
        <f>'Alexandre Paradis 2025 v2'!P13</f>
        <v>0</v>
      </c>
      <c r="Q13" s="303">
        <f>'Alexandre Paradis 2025 v2'!Q13</f>
        <v>0</v>
      </c>
      <c r="R13" s="303">
        <f>'Alexandre Paradis 2025 v2'!R13</f>
        <v>0</v>
      </c>
      <c r="S13" s="303">
        <f>'Alexandre Paradis 2025 v2'!S13</f>
        <v>0</v>
      </c>
    </row>
    <row r="14" spans="2:19" x14ac:dyDescent="0.35">
      <c r="B14" s="45"/>
      <c r="C14" s="179" t="s">
        <v>129</v>
      </c>
      <c r="D14" s="179" t="s">
        <v>130</v>
      </c>
      <c r="E14" s="180" t="s">
        <v>131</v>
      </c>
      <c r="F14" s="48"/>
      <c r="G14" s="157" t="s">
        <v>37</v>
      </c>
      <c r="H14" s="181"/>
      <c r="I14" s="181"/>
      <c r="J14" s="181"/>
      <c r="K14" s="181"/>
      <c r="L14" s="181">
        <f t="shared" ref="L14:S14" si="3">IFERROR(ROUND(L12/L13,3)," - - -")</f>
        <v>0.78800000000000003</v>
      </c>
      <c r="M14" s="181">
        <f t="shared" si="3"/>
        <v>1.0129999999999999</v>
      </c>
      <c r="N14" s="181">
        <f t="shared" si="3"/>
        <v>1.0349999999999999</v>
      </c>
      <c r="O14" s="181" t="str">
        <f t="shared" si="3"/>
        <v xml:space="preserve"> - - -</v>
      </c>
      <c r="P14" s="181" t="str">
        <f t="shared" si="3"/>
        <v xml:space="preserve"> - - -</v>
      </c>
      <c r="Q14" s="181" t="str">
        <f t="shared" si="3"/>
        <v xml:space="preserve"> - - -</v>
      </c>
      <c r="R14" s="181" t="str">
        <f t="shared" si="3"/>
        <v xml:space="preserve"> - - -</v>
      </c>
      <c r="S14" s="181" t="str">
        <f t="shared" si="3"/>
        <v xml:space="preserve"> - - -</v>
      </c>
    </row>
    <row r="15" spans="2:19" x14ac:dyDescent="0.35">
      <c r="B15" s="45"/>
      <c r="C15" s="182">
        <v>0.85</v>
      </c>
      <c r="D15" s="182">
        <v>0.99990000000000001</v>
      </c>
      <c r="E15" s="202">
        <v>500</v>
      </c>
      <c r="F15" s="48"/>
      <c r="H15" s="183"/>
      <c r="I15" s="183"/>
      <c r="J15" s="183"/>
      <c r="K15" s="183"/>
      <c r="L15" s="183">
        <f t="shared" ref="L15:S15" si="4">IF(AND(L14&gt;=$C15,L14&lt;=$D15),$E15,0)</f>
        <v>0</v>
      </c>
      <c r="M15" s="183">
        <f t="shared" si="4"/>
        <v>0</v>
      </c>
      <c r="N15" s="183">
        <f t="shared" si="4"/>
        <v>0</v>
      </c>
      <c r="O15" s="183">
        <f t="shared" si="4"/>
        <v>0</v>
      </c>
      <c r="P15" s="183">
        <f t="shared" si="4"/>
        <v>0</v>
      </c>
      <c r="Q15" s="183">
        <f t="shared" si="4"/>
        <v>0</v>
      </c>
      <c r="R15" s="183">
        <f t="shared" si="4"/>
        <v>0</v>
      </c>
      <c r="S15" s="183">
        <f t="shared" si="4"/>
        <v>0</v>
      </c>
    </row>
    <row r="16" spans="2:19" x14ac:dyDescent="0.35">
      <c r="B16" s="45"/>
      <c r="C16" s="182">
        <v>1</v>
      </c>
      <c r="D16" s="182">
        <v>1.0999000000000001</v>
      </c>
      <c r="E16" s="202">
        <v>1000</v>
      </c>
      <c r="F16" s="48"/>
      <c r="H16" s="183"/>
      <c r="I16" s="183"/>
      <c r="J16" s="183"/>
      <c r="K16" s="183"/>
      <c r="L16" s="183">
        <f t="shared" ref="L16:S16" si="5">IF(AND(L14&gt;=$C16,L14&lt;=$D16),$E16,0)</f>
        <v>0</v>
      </c>
      <c r="M16" s="183">
        <f t="shared" si="5"/>
        <v>1000</v>
      </c>
      <c r="N16" s="183">
        <f t="shared" si="5"/>
        <v>1000</v>
      </c>
      <c r="O16" s="183">
        <f t="shared" si="5"/>
        <v>0</v>
      </c>
      <c r="P16" s="183">
        <f t="shared" si="5"/>
        <v>0</v>
      </c>
      <c r="Q16" s="183">
        <f t="shared" si="5"/>
        <v>0</v>
      </c>
      <c r="R16" s="183">
        <f t="shared" si="5"/>
        <v>0</v>
      </c>
      <c r="S16" s="183">
        <f t="shared" si="5"/>
        <v>0</v>
      </c>
    </row>
    <row r="17" spans="2:19" x14ac:dyDescent="0.35">
      <c r="B17" s="45"/>
      <c r="C17" s="184">
        <v>1.1000000000000001</v>
      </c>
      <c r="D17" s="185" t="s">
        <v>132</v>
      </c>
      <c r="E17" s="202">
        <v>1500</v>
      </c>
      <c r="F17" s="48"/>
      <c r="H17" s="183"/>
      <c r="I17" s="183"/>
      <c r="J17" s="183"/>
      <c r="K17" s="183"/>
      <c r="L17" s="183">
        <f t="shared" ref="L17:S17" si="6">IF(AND(L14&gt;=$C17,L14&lt;=$D17),$E17,0)</f>
        <v>0</v>
      </c>
      <c r="M17" s="183">
        <f t="shared" si="6"/>
        <v>0</v>
      </c>
      <c r="N17" s="183">
        <f t="shared" si="6"/>
        <v>0</v>
      </c>
      <c r="O17" s="183">
        <f t="shared" si="6"/>
        <v>1500</v>
      </c>
      <c r="P17" s="183">
        <f t="shared" si="6"/>
        <v>1500</v>
      </c>
      <c r="Q17" s="183">
        <f t="shared" si="6"/>
        <v>1500</v>
      </c>
      <c r="R17" s="183">
        <f t="shared" si="6"/>
        <v>1500</v>
      </c>
      <c r="S17" s="183">
        <f t="shared" si="6"/>
        <v>1500</v>
      </c>
    </row>
    <row r="18" spans="2:19" x14ac:dyDescent="0.35">
      <c r="B18" s="43"/>
      <c r="C18" s="44"/>
      <c r="D18" s="44"/>
      <c r="E18" s="44"/>
      <c r="F18" s="163"/>
      <c r="G18" s="186" t="s">
        <v>133</v>
      </c>
      <c r="H18" s="187"/>
      <c r="I18" s="187"/>
      <c r="J18" s="187"/>
      <c r="K18" s="187"/>
      <c r="L18" s="187">
        <f t="shared" ref="L18:S18" si="7">SUM(L15:L17)</f>
        <v>0</v>
      </c>
      <c r="M18" s="187">
        <f t="shared" si="7"/>
        <v>1000</v>
      </c>
      <c r="N18" s="187">
        <f t="shared" si="7"/>
        <v>1000</v>
      </c>
      <c r="O18" s="187">
        <f t="shared" si="7"/>
        <v>1500</v>
      </c>
      <c r="P18" s="187">
        <f t="shared" si="7"/>
        <v>1500</v>
      </c>
      <c r="Q18" s="187">
        <f t="shared" si="7"/>
        <v>1500</v>
      </c>
      <c r="R18" s="187">
        <f t="shared" si="7"/>
        <v>1500</v>
      </c>
      <c r="S18" s="187">
        <f t="shared" si="7"/>
        <v>1500</v>
      </c>
    </row>
    <row r="19" spans="2:19" ht="8.25" customHeight="1" x14ac:dyDescent="0.35"/>
    <row r="20" spans="2:19" x14ac:dyDescent="0.35">
      <c r="B20" s="41" t="s">
        <v>272</v>
      </c>
      <c r="C20" s="173"/>
      <c r="D20" s="173"/>
      <c r="E20" s="174"/>
      <c r="F20" s="47"/>
      <c r="G20" s="208" t="s">
        <v>119</v>
      </c>
      <c r="H20" s="307"/>
      <c r="I20" s="307"/>
      <c r="J20" s="307"/>
      <c r="K20" s="307"/>
      <c r="L20" s="302">
        <f>'Alexandre Paradis 2025 v2'!L20</f>
        <v>59</v>
      </c>
      <c r="M20" s="302">
        <f>'Alexandre Paradis 2025 v2'!M20</f>
        <v>51</v>
      </c>
      <c r="N20" s="302">
        <f>'Alexandre Paradis 2025 v2'!N20</f>
        <v>81</v>
      </c>
      <c r="O20" s="302">
        <f>'Alexandre Paradis 2025 v2'!O20</f>
        <v>0</v>
      </c>
      <c r="P20" s="302">
        <f>'Alexandre Paradis 2025 v2'!P20</f>
        <v>0</v>
      </c>
      <c r="Q20" s="302">
        <f>'Alexandre Paradis 2025 v2'!Q20</f>
        <v>0</v>
      </c>
      <c r="R20" s="302">
        <f>'Alexandre Paradis 2025 v2'!R20</f>
        <v>0</v>
      </c>
      <c r="S20" s="302">
        <f>'Alexandre Paradis 2025 v2'!S20</f>
        <v>0</v>
      </c>
    </row>
    <row r="21" spans="2:19" x14ac:dyDescent="0.35">
      <c r="B21" s="777"/>
      <c r="C21" s="176"/>
      <c r="D21" s="176"/>
      <c r="E21" s="177"/>
      <c r="F21" s="48"/>
      <c r="G21" s="209" t="s">
        <v>95</v>
      </c>
      <c r="H21" s="308"/>
      <c r="I21" s="308"/>
      <c r="J21" s="308"/>
      <c r="K21" s="308"/>
      <c r="L21" s="303">
        <f>'Alexandre Paradis 2025 v2'!L21</f>
        <v>56</v>
      </c>
      <c r="M21" s="303">
        <f>'Alexandre Paradis 2025 v2'!M21</f>
        <v>61</v>
      </c>
      <c r="N21" s="303">
        <f>'Alexandre Paradis 2025 v2'!N21</f>
        <v>59</v>
      </c>
      <c r="O21" s="303">
        <f>'Alexandre Paradis 2025 v2'!O21</f>
        <v>0</v>
      </c>
      <c r="P21" s="303">
        <f>'Alexandre Paradis 2025 v2'!P21</f>
        <v>0</v>
      </c>
      <c r="Q21" s="303">
        <f>'Alexandre Paradis 2025 v2'!Q21</f>
        <v>0</v>
      </c>
      <c r="R21" s="303">
        <f>'Alexandre Paradis 2025 v2'!R21</f>
        <v>0</v>
      </c>
      <c r="S21" s="303">
        <f>'Alexandre Paradis 2025 v2'!S21</f>
        <v>0</v>
      </c>
    </row>
    <row r="22" spans="2:19" x14ac:dyDescent="0.35">
      <c r="B22" s="775"/>
      <c r="C22" s="179" t="s">
        <v>129</v>
      </c>
      <c r="D22" s="179" t="s">
        <v>130</v>
      </c>
      <c r="E22" s="180" t="s">
        <v>131</v>
      </c>
      <c r="F22" s="48"/>
      <c r="G22" s="210" t="s">
        <v>37</v>
      </c>
      <c r="H22" s="181"/>
      <c r="I22" s="181"/>
      <c r="J22" s="181"/>
      <c r="K22" s="181"/>
      <c r="L22" s="181">
        <f t="shared" ref="L22:S22" si="8">IFERROR(ROUND(L20/L21,3)," - - -")</f>
        <v>1.054</v>
      </c>
      <c r="M22" s="181">
        <f t="shared" si="8"/>
        <v>0.83599999999999997</v>
      </c>
      <c r="N22" s="181">
        <f t="shared" si="8"/>
        <v>1.373</v>
      </c>
      <c r="O22" s="181" t="str">
        <f t="shared" si="8"/>
        <v xml:space="preserve"> - - -</v>
      </c>
      <c r="P22" s="181" t="str">
        <f t="shared" si="8"/>
        <v xml:space="preserve"> - - -</v>
      </c>
      <c r="Q22" s="181" t="str">
        <f t="shared" si="8"/>
        <v xml:space="preserve"> - - -</v>
      </c>
      <c r="R22" s="181" t="str">
        <f t="shared" si="8"/>
        <v xml:space="preserve"> - - -</v>
      </c>
      <c r="S22" s="181" t="str">
        <f t="shared" si="8"/>
        <v xml:space="preserve"> - - -</v>
      </c>
    </row>
    <row r="23" spans="2:19" x14ac:dyDescent="0.35">
      <c r="B23" s="775"/>
      <c r="C23" s="182">
        <v>0.9</v>
      </c>
      <c r="D23" s="182">
        <v>0.99990000000000001</v>
      </c>
      <c r="E23" s="202">
        <v>500</v>
      </c>
      <c r="F23" s="48"/>
      <c r="G23" s="209"/>
      <c r="H23" s="183"/>
      <c r="I23" s="183"/>
      <c r="J23" s="183"/>
      <c r="K23" s="183"/>
      <c r="L23" s="183">
        <f t="shared" ref="L23:S25" si="9">IF(AND(L$22&gt;=$C23,L$22&lt;=$D23),$E23,0)</f>
        <v>0</v>
      </c>
      <c r="M23" s="183">
        <f t="shared" si="9"/>
        <v>0</v>
      </c>
      <c r="N23" s="183">
        <f t="shared" si="9"/>
        <v>0</v>
      </c>
      <c r="O23" s="183">
        <f t="shared" si="9"/>
        <v>0</v>
      </c>
      <c r="P23" s="183">
        <f t="shared" si="9"/>
        <v>0</v>
      </c>
      <c r="Q23" s="183">
        <f t="shared" si="9"/>
        <v>0</v>
      </c>
      <c r="R23" s="183">
        <f t="shared" si="9"/>
        <v>0</v>
      </c>
      <c r="S23" s="183">
        <f t="shared" si="9"/>
        <v>0</v>
      </c>
    </row>
    <row r="24" spans="2:19" x14ac:dyDescent="0.35">
      <c r="B24" s="45"/>
      <c r="C24" s="182">
        <v>1</v>
      </c>
      <c r="D24" s="182">
        <v>1.1999</v>
      </c>
      <c r="E24" s="202">
        <v>1000</v>
      </c>
      <c r="F24" s="48"/>
      <c r="G24" s="209"/>
      <c r="H24" s="183"/>
      <c r="I24" s="183"/>
      <c r="J24" s="183"/>
      <c r="K24" s="183"/>
      <c r="L24" s="183">
        <f t="shared" si="9"/>
        <v>1000</v>
      </c>
      <c r="M24" s="183">
        <f t="shared" si="9"/>
        <v>0</v>
      </c>
      <c r="N24" s="183">
        <f t="shared" si="9"/>
        <v>0</v>
      </c>
      <c r="O24" s="183">
        <f t="shared" si="9"/>
        <v>0</v>
      </c>
      <c r="P24" s="183">
        <f t="shared" si="9"/>
        <v>0</v>
      </c>
      <c r="Q24" s="183">
        <f t="shared" si="9"/>
        <v>0</v>
      </c>
      <c r="R24" s="183">
        <f t="shared" si="9"/>
        <v>0</v>
      </c>
      <c r="S24" s="183">
        <f t="shared" si="9"/>
        <v>0</v>
      </c>
    </row>
    <row r="25" spans="2:19" x14ac:dyDescent="0.35">
      <c r="B25" s="45"/>
      <c r="C25" s="184">
        <v>1.2</v>
      </c>
      <c r="D25" s="185" t="s">
        <v>132</v>
      </c>
      <c r="E25" s="202">
        <v>1750</v>
      </c>
      <c r="F25" s="48"/>
      <c r="G25" s="209"/>
      <c r="H25" s="183"/>
      <c r="I25" s="183"/>
      <c r="J25" s="183"/>
      <c r="K25" s="183"/>
      <c r="L25" s="183">
        <f t="shared" si="9"/>
        <v>0</v>
      </c>
      <c r="M25" s="183">
        <f t="shared" si="9"/>
        <v>0</v>
      </c>
      <c r="N25" s="183">
        <f t="shared" si="9"/>
        <v>1750</v>
      </c>
      <c r="O25" s="183">
        <f t="shared" si="9"/>
        <v>1750</v>
      </c>
      <c r="P25" s="183">
        <f t="shared" si="9"/>
        <v>1750</v>
      </c>
      <c r="Q25" s="183">
        <f t="shared" si="9"/>
        <v>1750</v>
      </c>
      <c r="R25" s="183">
        <f t="shared" si="9"/>
        <v>1750</v>
      </c>
      <c r="S25" s="183">
        <f t="shared" si="9"/>
        <v>1750</v>
      </c>
    </row>
    <row r="26" spans="2:19" x14ac:dyDescent="0.35">
      <c r="B26" s="43"/>
      <c r="C26" s="44"/>
      <c r="D26" s="44"/>
      <c r="E26" s="44"/>
      <c r="F26" s="163"/>
      <c r="G26" s="211" t="s">
        <v>133</v>
      </c>
      <c r="H26" s="187"/>
      <c r="I26" s="187"/>
      <c r="J26" s="187"/>
      <c r="K26" s="187"/>
      <c r="L26" s="187">
        <f t="shared" ref="L26:S26" si="10">SUM(L23:L25)</f>
        <v>1000</v>
      </c>
      <c r="M26" s="187">
        <f t="shared" si="10"/>
        <v>0</v>
      </c>
      <c r="N26" s="187">
        <f t="shared" si="10"/>
        <v>1750</v>
      </c>
      <c r="O26" s="187">
        <f t="shared" si="10"/>
        <v>1750</v>
      </c>
      <c r="P26" s="187">
        <f t="shared" si="10"/>
        <v>1750</v>
      </c>
      <c r="Q26" s="187">
        <f t="shared" si="10"/>
        <v>1750</v>
      </c>
      <c r="R26" s="187">
        <f t="shared" si="10"/>
        <v>1750</v>
      </c>
      <c r="S26" s="187">
        <f t="shared" si="10"/>
        <v>1750</v>
      </c>
    </row>
    <row r="27" spans="2:19" ht="8.25" customHeight="1" x14ac:dyDescent="0.35"/>
    <row r="28" spans="2:19" x14ac:dyDescent="0.35">
      <c r="B28" s="41" t="s">
        <v>288</v>
      </c>
      <c r="C28" s="173"/>
      <c r="D28" s="173"/>
      <c r="E28" s="174"/>
      <c r="F28" s="47"/>
      <c r="G28" s="42"/>
      <c r="H28" s="321"/>
      <c r="I28" s="321"/>
      <c r="J28" s="321"/>
      <c r="K28" s="407"/>
      <c r="L28" s="321">
        <f>'Alexandre Paradis 2025 v2'!L28</f>
        <v>0.13</v>
      </c>
      <c r="M28" s="321">
        <f>'Alexandre Paradis 2025 v2'!M28</f>
        <v>0.05</v>
      </c>
      <c r="N28" s="321">
        <f>'Alexandre Paradis 2025 v2'!N28</f>
        <v>0.05</v>
      </c>
      <c r="O28" s="321">
        <f>'Alexandre Paradis 2025 v2'!O28</f>
        <v>0</v>
      </c>
      <c r="P28" s="321">
        <f>'Alexandre Paradis 2025 v2'!P28</f>
        <v>0</v>
      </c>
      <c r="Q28" s="321">
        <f>'Alexandre Paradis 2025 v2'!Q28</f>
        <v>0</v>
      </c>
      <c r="R28" s="321">
        <f>'Alexandre Paradis 2025 v2'!R28</f>
        <v>0</v>
      </c>
      <c r="S28" s="321">
        <f>'Alexandre Paradis 2025 v2'!S28</f>
        <v>0</v>
      </c>
    </row>
    <row r="29" spans="2:19" x14ac:dyDescent="0.35">
      <c r="B29" s="781" t="s">
        <v>289</v>
      </c>
      <c r="C29" s="179" t="s">
        <v>129</v>
      </c>
      <c r="D29" s="179" t="s">
        <v>130</v>
      </c>
      <c r="E29" s="180" t="s">
        <v>131</v>
      </c>
      <c r="F29" s="48"/>
      <c r="G29" s="157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</row>
    <row r="30" spans="2:19" x14ac:dyDescent="0.35">
      <c r="B30" s="781"/>
      <c r="C30" s="182">
        <v>1</v>
      </c>
      <c r="D30" s="182">
        <v>0.15</v>
      </c>
      <c r="E30" s="202">
        <v>0</v>
      </c>
      <c r="F30" s="48"/>
      <c r="H30" s="183"/>
      <c r="I30" s="183"/>
      <c r="J30" s="183"/>
      <c r="K30" s="183"/>
      <c r="L30" s="183">
        <f t="shared" ref="L30:S30" si="11">IF(AND(L28&lt;=$C30,L28&gt;=$D30),$E30,0)</f>
        <v>0</v>
      </c>
      <c r="M30" s="183">
        <f t="shared" si="11"/>
        <v>0</v>
      </c>
      <c r="N30" s="183">
        <f t="shared" si="11"/>
        <v>0</v>
      </c>
      <c r="O30" s="183">
        <f t="shared" si="11"/>
        <v>0</v>
      </c>
      <c r="P30" s="183">
        <f t="shared" si="11"/>
        <v>0</v>
      </c>
      <c r="Q30" s="183">
        <f t="shared" si="11"/>
        <v>0</v>
      </c>
      <c r="R30" s="183">
        <f t="shared" si="11"/>
        <v>0</v>
      </c>
      <c r="S30" s="183">
        <f t="shared" si="11"/>
        <v>0</v>
      </c>
    </row>
    <row r="31" spans="2:19" x14ac:dyDescent="0.35">
      <c r="B31" s="45"/>
      <c r="C31" s="182">
        <v>0.14899999999999999</v>
      </c>
      <c r="D31" s="182">
        <v>0.1</v>
      </c>
      <c r="E31" s="202">
        <v>1000</v>
      </c>
      <c r="F31" s="48"/>
      <c r="H31" s="183"/>
      <c r="I31" s="183"/>
      <c r="J31" s="183"/>
      <c r="K31" s="183"/>
      <c r="L31" s="183">
        <f t="shared" ref="L31:S31" si="12">IF(AND(L28&lt;=$C31,L28&gt;=$D31),$E31,0)</f>
        <v>1000</v>
      </c>
      <c r="M31" s="183">
        <f t="shared" si="12"/>
        <v>0</v>
      </c>
      <c r="N31" s="183">
        <f t="shared" si="12"/>
        <v>0</v>
      </c>
      <c r="O31" s="183">
        <f t="shared" si="12"/>
        <v>0</v>
      </c>
      <c r="P31" s="183">
        <f t="shared" si="12"/>
        <v>0</v>
      </c>
      <c r="Q31" s="183">
        <f t="shared" si="12"/>
        <v>0</v>
      </c>
      <c r="R31" s="183">
        <f t="shared" si="12"/>
        <v>0</v>
      </c>
      <c r="S31" s="183">
        <f t="shared" si="12"/>
        <v>0</v>
      </c>
    </row>
    <row r="32" spans="2:19" x14ac:dyDescent="0.35">
      <c r="B32" s="45"/>
      <c r="C32" s="184">
        <v>9.9000000000000005E-2</v>
      </c>
      <c r="D32" s="185" t="s">
        <v>290</v>
      </c>
      <c r="E32" s="202">
        <v>1500</v>
      </c>
      <c r="F32" s="48"/>
      <c r="H32" s="183"/>
      <c r="I32" s="183"/>
      <c r="J32" s="183"/>
      <c r="K32" s="183"/>
      <c r="L32" s="183">
        <f t="shared" ref="L32:S32" si="13">IF(AND(L28&lt;=$C32,L28&lt;=$D32),$E32,0)</f>
        <v>0</v>
      </c>
      <c r="M32" s="183">
        <f t="shared" si="13"/>
        <v>1500</v>
      </c>
      <c r="N32" s="183">
        <f t="shared" si="13"/>
        <v>1500</v>
      </c>
      <c r="O32" s="183">
        <f t="shared" si="13"/>
        <v>1500</v>
      </c>
      <c r="P32" s="183">
        <f t="shared" si="13"/>
        <v>1500</v>
      </c>
      <c r="Q32" s="183">
        <f t="shared" si="13"/>
        <v>1500</v>
      </c>
      <c r="R32" s="183">
        <f t="shared" si="13"/>
        <v>1500</v>
      </c>
      <c r="S32" s="183">
        <f t="shared" si="13"/>
        <v>1500</v>
      </c>
    </row>
    <row r="33" spans="2:19" x14ac:dyDescent="0.35">
      <c r="B33" s="43"/>
      <c r="C33" s="44"/>
      <c r="D33" s="44"/>
      <c r="E33" s="44"/>
      <c r="F33" s="163"/>
      <c r="G33" s="186" t="s">
        <v>133</v>
      </c>
      <c r="H33" s="187"/>
      <c r="I33" s="187"/>
      <c r="J33" s="187"/>
      <c r="K33" s="187"/>
      <c r="L33" s="187">
        <f t="shared" ref="L33:S33" si="14">SUM(L30:L32)</f>
        <v>1000</v>
      </c>
      <c r="M33" s="187">
        <f t="shared" si="14"/>
        <v>1500</v>
      </c>
      <c r="N33" s="187">
        <f t="shared" si="14"/>
        <v>1500</v>
      </c>
      <c r="O33" s="187">
        <f t="shared" si="14"/>
        <v>1500</v>
      </c>
      <c r="P33" s="187">
        <f t="shared" si="14"/>
        <v>1500</v>
      </c>
      <c r="Q33" s="187">
        <f t="shared" si="14"/>
        <v>1500</v>
      </c>
      <c r="R33" s="187">
        <f t="shared" si="14"/>
        <v>1500</v>
      </c>
      <c r="S33" s="187">
        <f t="shared" si="14"/>
        <v>1500</v>
      </c>
    </row>
    <row r="34" spans="2:19" ht="8.25" customHeight="1" x14ac:dyDescent="0.35"/>
    <row r="35" spans="2:19" x14ac:dyDescent="0.35">
      <c r="B35" s="41" t="s">
        <v>281</v>
      </c>
      <c r="C35" s="173"/>
      <c r="D35" s="173"/>
      <c r="E35" s="174"/>
      <c r="F35" s="47"/>
      <c r="G35" s="373" t="s">
        <v>37</v>
      </c>
      <c r="H35" s="321"/>
      <c r="I35" s="321"/>
      <c r="J35" s="321"/>
      <c r="K35" s="321"/>
      <c r="L35" s="321">
        <f>'Alexandre Paradis 2025 v2'!L35</f>
        <v>0.87729999999999997</v>
      </c>
      <c r="M35" s="321">
        <f>'Alexandre Paradis 2025 v2'!M35</f>
        <v>0.78</v>
      </c>
      <c r="N35" s="321">
        <f>'Alexandre Paradis 2025 v2'!N35</f>
        <v>0.93600000000000005</v>
      </c>
      <c r="O35" s="321">
        <f>'Alexandre Paradis 2025 v2'!O35</f>
        <v>0</v>
      </c>
      <c r="P35" s="321">
        <f>'Alexandre Paradis 2025 v2'!P35</f>
        <v>0</v>
      </c>
      <c r="Q35" s="321">
        <f>'Alexandre Paradis 2025 v2'!Q35</f>
        <v>0</v>
      </c>
      <c r="R35" s="321">
        <f>'Alexandre Paradis 2025 v2'!R35</f>
        <v>0</v>
      </c>
      <c r="S35" s="321">
        <f>'Alexandre Paradis 2025 v2'!S35</f>
        <v>0</v>
      </c>
    </row>
    <row r="36" spans="2:19" x14ac:dyDescent="0.35">
      <c r="B36" s="45"/>
      <c r="C36" s="179" t="s">
        <v>129</v>
      </c>
      <c r="D36" s="179" t="s">
        <v>130</v>
      </c>
      <c r="E36" s="180" t="s">
        <v>131</v>
      </c>
      <c r="F36" s="48"/>
      <c r="G36" s="210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</row>
    <row r="37" spans="2:19" x14ac:dyDescent="0.35">
      <c r="B37" s="45"/>
      <c r="C37" s="182">
        <v>0</v>
      </c>
      <c r="D37" s="182">
        <v>0.79990000000000006</v>
      </c>
      <c r="E37" s="202">
        <v>0</v>
      </c>
      <c r="F37" s="48"/>
      <c r="G37" s="209"/>
      <c r="H37" s="183"/>
      <c r="I37" s="183"/>
      <c r="J37" s="183"/>
      <c r="K37" s="183"/>
      <c r="L37" s="183">
        <f t="shared" ref="L37:S37" si="15">IF(AND(L35&gt;=$C37,L35&lt;=$D37),$E37,0)</f>
        <v>0</v>
      </c>
      <c r="M37" s="183">
        <f t="shared" si="15"/>
        <v>0</v>
      </c>
      <c r="N37" s="183">
        <f t="shared" si="15"/>
        <v>0</v>
      </c>
      <c r="O37" s="183">
        <f t="shared" si="15"/>
        <v>0</v>
      </c>
      <c r="P37" s="183">
        <f t="shared" si="15"/>
        <v>0</v>
      </c>
      <c r="Q37" s="183">
        <f t="shared" si="15"/>
        <v>0</v>
      </c>
      <c r="R37" s="183">
        <f t="shared" si="15"/>
        <v>0</v>
      </c>
      <c r="S37" s="183">
        <f t="shared" si="15"/>
        <v>0</v>
      </c>
    </row>
    <row r="38" spans="2:19" x14ac:dyDescent="0.35">
      <c r="B38" s="45"/>
      <c r="C38" s="182">
        <v>0.8</v>
      </c>
      <c r="D38" s="182">
        <v>0.88990000000000002</v>
      </c>
      <c r="E38" s="202">
        <v>500</v>
      </c>
      <c r="F38" s="48"/>
      <c r="G38" s="209"/>
      <c r="H38" s="183"/>
      <c r="I38" s="183"/>
      <c r="J38" s="183"/>
      <c r="K38" s="183"/>
      <c r="L38" s="183">
        <f t="shared" ref="L38:S38" si="16">IF(AND(L35&gt;=$C38,L35&lt;=$D38),$E38,0)</f>
        <v>500</v>
      </c>
      <c r="M38" s="183">
        <f t="shared" si="16"/>
        <v>0</v>
      </c>
      <c r="N38" s="183">
        <f t="shared" si="16"/>
        <v>0</v>
      </c>
      <c r="O38" s="183">
        <f t="shared" si="16"/>
        <v>0</v>
      </c>
      <c r="P38" s="183">
        <f t="shared" si="16"/>
        <v>0</v>
      </c>
      <c r="Q38" s="183">
        <f t="shared" si="16"/>
        <v>0</v>
      </c>
      <c r="R38" s="183">
        <f t="shared" si="16"/>
        <v>0</v>
      </c>
      <c r="S38" s="183">
        <f t="shared" si="16"/>
        <v>0</v>
      </c>
    </row>
    <row r="39" spans="2:19" x14ac:dyDescent="0.35">
      <c r="B39" s="45"/>
      <c r="C39" s="184">
        <v>0.89</v>
      </c>
      <c r="D39" s="185" t="s">
        <v>132</v>
      </c>
      <c r="E39" s="202">
        <v>1000</v>
      </c>
      <c r="F39" s="48"/>
      <c r="G39" s="374"/>
      <c r="H39" s="183"/>
      <c r="I39" s="183"/>
      <c r="J39" s="183"/>
      <c r="K39" s="183"/>
      <c r="L39" s="183">
        <f t="shared" ref="L39:S39" si="17">IF(AND(L35&gt;=$C39,L35&lt;=$D39),$E39,0)</f>
        <v>0</v>
      </c>
      <c r="M39" s="183">
        <f t="shared" si="17"/>
        <v>0</v>
      </c>
      <c r="N39" s="183">
        <f t="shared" si="17"/>
        <v>1000</v>
      </c>
      <c r="O39" s="183">
        <f t="shared" si="17"/>
        <v>0</v>
      </c>
      <c r="P39" s="183">
        <f t="shared" si="17"/>
        <v>0</v>
      </c>
      <c r="Q39" s="183">
        <f t="shared" si="17"/>
        <v>0</v>
      </c>
      <c r="R39" s="183">
        <f t="shared" si="17"/>
        <v>0</v>
      </c>
      <c r="S39" s="183">
        <f t="shared" si="17"/>
        <v>0</v>
      </c>
    </row>
    <row r="40" spans="2:19" x14ac:dyDescent="0.35">
      <c r="B40" s="43"/>
      <c r="C40" s="44"/>
      <c r="D40" s="44"/>
      <c r="E40" s="44"/>
      <c r="F40" s="163"/>
      <c r="G40" s="186" t="s">
        <v>133</v>
      </c>
      <c r="H40" s="187"/>
      <c r="I40" s="187"/>
      <c r="J40" s="187"/>
      <c r="K40" s="187"/>
      <c r="L40" s="187">
        <f t="shared" ref="L40:S40" si="18">SUM(L37:L39)</f>
        <v>500</v>
      </c>
      <c r="M40" s="187">
        <f t="shared" si="18"/>
        <v>0</v>
      </c>
      <c r="N40" s="187">
        <f t="shared" si="18"/>
        <v>1000</v>
      </c>
      <c r="O40" s="187">
        <f t="shared" si="18"/>
        <v>0</v>
      </c>
      <c r="P40" s="187">
        <f t="shared" si="18"/>
        <v>0</v>
      </c>
      <c r="Q40" s="187">
        <f t="shared" si="18"/>
        <v>0</v>
      </c>
      <c r="R40" s="187">
        <f t="shared" si="18"/>
        <v>0</v>
      </c>
      <c r="S40" s="187">
        <f t="shared" si="18"/>
        <v>0</v>
      </c>
    </row>
    <row r="41" spans="2:19" x14ac:dyDescent="0.35"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</row>
    <row r="42" spans="2:19" hidden="1" x14ac:dyDescent="0.35">
      <c r="G42" s="139" t="s">
        <v>285</v>
      </c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</row>
    <row r="44" spans="2:19" ht="15" thickBot="1" x14ac:dyDescent="0.4">
      <c r="E44" s="188"/>
      <c r="G44" s="188" t="s">
        <v>149</v>
      </c>
      <c r="H44" s="275"/>
      <c r="I44" s="275"/>
      <c r="J44" s="275"/>
      <c r="K44" s="275">
        <f>K10+K18+K33+K40+K26</f>
        <v>0</v>
      </c>
      <c r="L44" s="275">
        <f t="shared" ref="L44:S44" si="19">L10+L18+L33+L40+L26</f>
        <v>3000</v>
      </c>
      <c r="M44" s="275">
        <f t="shared" si="19"/>
        <v>2500</v>
      </c>
      <c r="N44" s="275">
        <f t="shared" si="19"/>
        <v>6250</v>
      </c>
      <c r="O44" s="275">
        <f t="shared" si="19"/>
        <v>6250</v>
      </c>
      <c r="P44" s="275">
        <f t="shared" si="19"/>
        <v>6250</v>
      </c>
      <c r="Q44" s="275">
        <f t="shared" si="19"/>
        <v>6250</v>
      </c>
      <c r="R44" s="275">
        <f t="shared" si="19"/>
        <v>6250</v>
      </c>
      <c r="S44" s="275">
        <f t="shared" si="19"/>
        <v>6250</v>
      </c>
    </row>
    <row r="45" spans="2:19" ht="15" thickTop="1" x14ac:dyDescent="0.35"/>
    <row r="47" spans="2:19" x14ac:dyDescent="0.35">
      <c r="B47" s="281" t="s">
        <v>274</v>
      </c>
    </row>
    <row r="48" spans="2:19" x14ac:dyDescent="0.35">
      <c r="B48" s="10" t="s">
        <v>275</v>
      </c>
      <c r="C48" s="173"/>
      <c r="D48" s="173"/>
      <c r="E48" s="174"/>
      <c r="F48" s="47"/>
      <c r="G48" s="208" t="s">
        <v>119</v>
      </c>
      <c r="S48" s="305"/>
    </row>
    <row r="49" spans="2:19" x14ac:dyDescent="0.35">
      <c r="B49" s="779"/>
      <c r="C49" s="179" t="s">
        <v>129</v>
      </c>
      <c r="D49" s="179" t="s">
        <v>130</v>
      </c>
      <c r="E49" s="180" t="s">
        <v>131</v>
      </c>
      <c r="F49" s="48"/>
      <c r="G49" s="210"/>
      <c r="S49" s="181"/>
    </row>
    <row r="50" spans="2:19" x14ac:dyDescent="0.35">
      <c r="B50" s="779"/>
      <c r="C50" s="206">
        <v>1</v>
      </c>
      <c r="D50" s="206">
        <v>10</v>
      </c>
      <c r="E50" s="202">
        <v>5000</v>
      </c>
      <c r="F50" s="48"/>
      <c r="G50" s="209"/>
      <c r="S50" s="183">
        <f>IF(AND(S$48&gt;=$C50,S$48&lt;=$D50),$E50,0)</f>
        <v>0</v>
      </c>
    </row>
    <row r="51" spans="2:19" x14ac:dyDescent="0.35">
      <c r="B51" s="45"/>
      <c r="C51" s="206">
        <v>11</v>
      </c>
      <c r="D51" s="206">
        <v>15</v>
      </c>
      <c r="E51" s="202">
        <v>2500</v>
      </c>
      <c r="F51" s="48"/>
      <c r="G51" s="209"/>
      <c r="S51" s="183">
        <f>IF(AND(S$48&gt;=$C51,S$48&lt;=$D51),$E51,0)</f>
        <v>0</v>
      </c>
    </row>
    <row r="52" spans="2:19" x14ac:dyDescent="0.35">
      <c r="B52" s="45"/>
      <c r="C52" s="206">
        <v>16</v>
      </c>
      <c r="D52" s="206">
        <v>20</v>
      </c>
      <c r="E52" s="202">
        <v>500</v>
      </c>
      <c r="F52" s="48"/>
      <c r="G52" s="209"/>
      <c r="S52" s="183">
        <f>IF(AND(S$48&gt;=$C52,S$48&lt;=$D52),$E52,0)</f>
        <v>0</v>
      </c>
    </row>
    <row r="53" spans="2:19" x14ac:dyDescent="0.35">
      <c r="B53" s="43"/>
      <c r="C53" s="44"/>
      <c r="D53" s="44"/>
      <c r="E53" s="44"/>
      <c r="F53" s="163"/>
      <c r="G53" s="211" t="s">
        <v>133</v>
      </c>
      <c r="S53" s="187">
        <f t="shared" ref="S53" si="20">SUM(S50:S52)</f>
        <v>0</v>
      </c>
    </row>
    <row r="55" spans="2:19" ht="15" thickBot="1" x14ac:dyDescent="0.4">
      <c r="G55" s="197" t="s">
        <v>140</v>
      </c>
      <c r="S55" s="199">
        <f>+S45+S53</f>
        <v>0</v>
      </c>
    </row>
    <row r="56" spans="2:19" ht="15" thickTop="1" x14ac:dyDescent="0.35"/>
  </sheetData>
  <mergeCells count="3">
    <mergeCell ref="B21:B23"/>
    <mergeCell ref="B29:B30"/>
    <mergeCell ref="B49:B50"/>
  </mergeCells>
  <pageMargins left="0.7" right="0.7" top="0.75" bottom="0.75" header="0.3" footer="0.3"/>
  <pageSetup scale="57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1:S46"/>
  <sheetViews>
    <sheetView zoomScale="85" zoomScaleNormal="85" workbookViewId="0">
      <selection activeCell="Q43" sqref="Q43"/>
    </sheetView>
  </sheetViews>
  <sheetFormatPr baseColWidth="10" defaultColWidth="11.453125" defaultRowHeight="14.5" x14ac:dyDescent="0.35"/>
  <cols>
    <col min="1" max="1" width="3.7265625" style="40" customWidth="1"/>
    <col min="2" max="2" width="30.54296875" style="40" bestFit="1" customWidth="1"/>
    <col min="3" max="4" width="10.7265625" style="40" customWidth="1"/>
    <col min="5" max="5" width="10.54296875" style="40" bestFit="1" customWidth="1"/>
    <col min="6" max="6" width="1.7265625" style="40" customWidth="1"/>
    <col min="7" max="7" width="11.453125" style="40"/>
    <col min="8" max="8" width="10.453125" style="40" hidden="1" customWidth="1"/>
    <col min="9" max="10" width="11.453125" style="40" hidden="1" customWidth="1"/>
    <col min="11" max="19" width="11.453125" style="40" customWidth="1"/>
    <col min="20" max="16384" width="11.453125" style="40"/>
  </cols>
  <sheetData>
    <row r="1" spans="2:19" x14ac:dyDescent="0.35">
      <c r="B1" s="300" t="s">
        <v>267</v>
      </c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</row>
    <row r="2" spans="2:19" ht="8.25" customHeight="1" x14ac:dyDescent="0.35"/>
    <row r="3" spans="2:19" x14ac:dyDescent="0.35">
      <c r="B3" s="170" t="s">
        <v>126</v>
      </c>
      <c r="C3" s="171"/>
      <c r="D3" s="171"/>
      <c r="H3" s="172">
        <v>45688</v>
      </c>
      <c r="I3" s="172">
        <v>45716</v>
      </c>
      <c r="J3" s="172">
        <v>45747</v>
      </c>
      <c r="K3" s="172">
        <v>45777</v>
      </c>
      <c r="L3" s="172">
        <v>45808</v>
      </c>
      <c r="M3" s="172">
        <v>45838</v>
      </c>
      <c r="N3" s="172">
        <v>45869</v>
      </c>
      <c r="O3" s="172">
        <v>45900</v>
      </c>
      <c r="P3" s="172">
        <v>45930</v>
      </c>
      <c r="Q3" s="172">
        <v>45961</v>
      </c>
      <c r="R3" s="172">
        <v>45991</v>
      </c>
      <c r="S3" s="172">
        <v>46022</v>
      </c>
    </row>
    <row r="4" spans="2:19" x14ac:dyDescent="0.35">
      <c r="B4" s="41" t="s">
        <v>144</v>
      </c>
      <c r="C4" s="173"/>
      <c r="D4" s="173"/>
      <c r="E4" s="174"/>
      <c r="F4" s="47"/>
      <c r="G4" s="42" t="s">
        <v>119</v>
      </c>
      <c r="H4" s="302">
        <v>88469</v>
      </c>
      <c r="I4" s="302">
        <v>57239</v>
      </c>
      <c r="J4" s="302">
        <v>108243</v>
      </c>
      <c r="K4" s="302">
        <v>115188</v>
      </c>
      <c r="L4" s="302">
        <v>0</v>
      </c>
      <c r="M4" s="302">
        <v>0</v>
      </c>
      <c r="N4" s="302">
        <v>0</v>
      </c>
      <c r="O4" s="302">
        <v>0</v>
      </c>
      <c r="P4" s="302">
        <v>0</v>
      </c>
      <c r="Q4" s="302">
        <v>0</v>
      </c>
      <c r="R4" s="302">
        <v>0</v>
      </c>
      <c r="S4" s="302">
        <v>0</v>
      </c>
    </row>
    <row r="5" spans="2:19" x14ac:dyDescent="0.35">
      <c r="B5" s="45" t="s">
        <v>269</v>
      </c>
      <c r="C5" s="176"/>
      <c r="D5" s="176"/>
      <c r="E5" s="177"/>
      <c r="F5" s="48"/>
      <c r="G5" s="40" t="s">
        <v>95</v>
      </c>
      <c r="H5" s="303">
        <v>79200</v>
      </c>
      <c r="I5" s="303">
        <v>95200</v>
      </c>
      <c r="J5" s="303">
        <v>102000</v>
      </c>
      <c r="K5" s="303">
        <v>109700</v>
      </c>
      <c r="L5" s="303">
        <v>0</v>
      </c>
      <c r="M5" s="303">
        <v>0</v>
      </c>
      <c r="N5" s="303">
        <v>0</v>
      </c>
      <c r="O5" s="303">
        <v>0</v>
      </c>
      <c r="P5" s="303">
        <v>0</v>
      </c>
      <c r="Q5" s="303">
        <v>0</v>
      </c>
      <c r="R5" s="303">
        <v>0</v>
      </c>
      <c r="S5" s="303">
        <v>0</v>
      </c>
    </row>
    <row r="6" spans="2:19" x14ac:dyDescent="0.35">
      <c r="B6" s="45"/>
      <c r="C6" s="179" t="s">
        <v>129</v>
      </c>
      <c r="D6" s="179" t="s">
        <v>130</v>
      </c>
      <c r="E6" s="180" t="s">
        <v>131</v>
      </c>
      <c r="F6" s="48"/>
      <c r="G6" s="157" t="s">
        <v>37</v>
      </c>
      <c r="H6" s="181">
        <f t="shared" ref="H6" si="0">IFERROR(ROUND(H4/H5,3)," - - -")</f>
        <v>1.117</v>
      </c>
      <c r="I6" s="181">
        <f t="shared" ref="I6:S6" si="1">IFERROR(ROUND(I4/I5,3)," - - -")</f>
        <v>0.60099999999999998</v>
      </c>
      <c r="J6" s="181">
        <f t="shared" si="1"/>
        <v>1.0609999999999999</v>
      </c>
      <c r="K6" s="181">
        <f t="shared" si="1"/>
        <v>1.05</v>
      </c>
      <c r="L6" s="181" t="str">
        <f t="shared" si="1"/>
        <v xml:space="preserve"> - - -</v>
      </c>
      <c r="M6" s="181" t="str">
        <f t="shared" si="1"/>
        <v xml:space="preserve"> - - -</v>
      </c>
      <c r="N6" s="181" t="str">
        <f t="shared" si="1"/>
        <v xml:space="preserve"> - - -</v>
      </c>
      <c r="O6" s="181" t="str">
        <f t="shared" si="1"/>
        <v xml:space="preserve"> - - -</v>
      </c>
      <c r="P6" s="181" t="str">
        <f t="shared" si="1"/>
        <v xml:space="preserve"> - - -</v>
      </c>
      <c r="Q6" s="181" t="str">
        <f t="shared" si="1"/>
        <v xml:space="preserve"> - - -</v>
      </c>
      <c r="R6" s="181" t="str">
        <f t="shared" si="1"/>
        <v xml:space="preserve"> - - -</v>
      </c>
      <c r="S6" s="181" t="str">
        <f t="shared" si="1"/>
        <v xml:space="preserve"> - - -</v>
      </c>
    </row>
    <row r="7" spans="2:19" x14ac:dyDescent="0.35">
      <c r="B7" s="45"/>
      <c r="C7" s="182">
        <v>0.9</v>
      </c>
      <c r="D7" s="182">
        <v>0.99990000000000001</v>
      </c>
      <c r="E7" s="202">
        <v>1000</v>
      </c>
      <c r="F7" s="48"/>
      <c r="H7" s="183">
        <f t="shared" ref="H7:S9" si="2">IF(AND(H$6&gt;=$C7,H$6&lt;=$D7),$E7,0)</f>
        <v>0</v>
      </c>
      <c r="I7" s="183">
        <f t="shared" si="2"/>
        <v>0</v>
      </c>
      <c r="J7" s="183">
        <f t="shared" si="2"/>
        <v>0</v>
      </c>
      <c r="K7" s="183">
        <f t="shared" si="2"/>
        <v>0</v>
      </c>
      <c r="L7" s="183">
        <f t="shared" si="2"/>
        <v>0</v>
      </c>
      <c r="M7" s="183">
        <f t="shared" si="2"/>
        <v>0</v>
      </c>
      <c r="N7" s="183">
        <f t="shared" si="2"/>
        <v>0</v>
      </c>
      <c r="O7" s="183">
        <f t="shared" si="2"/>
        <v>0</v>
      </c>
      <c r="P7" s="183">
        <f t="shared" si="2"/>
        <v>0</v>
      </c>
      <c r="Q7" s="183">
        <f t="shared" si="2"/>
        <v>0</v>
      </c>
      <c r="R7" s="183">
        <f t="shared" si="2"/>
        <v>0</v>
      </c>
      <c r="S7" s="183">
        <f t="shared" si="2"/>
        <v>0</v>
      </c>
    </row>
    <row r="8" spans="2:19" x14ac:dyDescent="0.35">
      <c r="B8" s="45"/>
      <c r="C8" s="182">
        <v>1</v>
      </c>
      <c r="D8" s="182">
        <v>1.0999000000000001</v>
      </c>
      <c r="E8" s="202">
        <v>1500</v>
      </c>
      <c r="F8" s="48"/>
      <c r="H8" s="183">
        <f t="shared" si="2"/>
        <v>0</v>
      </c>
      <c r="I8" s="183">
        <f t="shared" si="2"/>
        <v>0</v>
      </c>
      <c r="J8" s="183">
        <f t="shared" si="2"/>
        <v>1500</v>
      </c>
      <c r="K8" s="183">
        <f t="shared" si="2"/>
        <v>1500</v>
      </c>
      <c r="L8" s="183">
        <f t="shared" si="2"/>
        <v>0</v>
      </c>
      <c r="M8" s="183">
        <f t="shared" si="2"/>
        <v>0</v>
      </c>
      <c r="N8" s="183">
        <f t="shared" si="2"/>
        <v>0</v>
      </c>
      <c r="O8" s="183">
        <f t="shared" si="2"/>
        <v>0</v>
      </c>
      <c r="P8" s="183">
        <f t="shared" si="2"/>
        <v>0</v>
      </c>
      <c r="Q8" s="183">
        <f t="shared" si="2"/>
        <v>0</v>
      </c>
      <c r="R8" s="183">
        <f t="shared" si="2"/>
        <v>0</v>
      </c>
      <c r="S8" s="183">
        <f t="shared" si="2"/>
        <v>0</v>
      </c>
    </row>
    <row r="9" spans="2:19" x14ac:dyDescent="0.35">
      <c r="B9" s="45"/>
      <c r="C9" s="184">
        <v>1.1000000000000001</v>
      </c>
      <c r="D9" s="185" t="s">
        <v>132</v>
      </c>
      <c r="E9" s="202">
        <v>2000</v>
      </c>
      <c r="F9" s="48"/>
      <c r="H9" s="183">
        <f t="shared" si="2"/>
        <v>2000</v>
      </c>
      <c r="I9" s="183">
        <f t="shared" si="2"/>
        <v>0</v>
      </c>
      <c r="J9" s="183">
        <f t="shared" si="2"/>
        <v>0</v>
      </c>
      <c r="K9" s="183">
        <f t="shared" si="2"/>
        <v>0</v>
      </c>
      <c r="L9" s="183">
        <f t="shared" si="2"/>
        <v>2000</v>
      </c>
      <c r="M9" s="183">
        <f t="shared" si="2"/>
        <v>2000</v>
      </c>
      <c r="N9" s="183">
        <f t="shared" si="2"/>
        <v>2000</v>
      </c>
      <c r="O9" s="183">
        <f t="shared" si="2"/>
        <v>2000</v>
      </c>
      <c r="P9" s="183">
        <f t="shared" si="2"/>
        <v>2000</v>
      </c>
      <c r="Q9" s="183">
        <f t="shared" si="2"/>
        <v>2000</v>
      </c>
      <c r="R9" s="183">
        <f t="shared" si="2"/>
        <v>2000</v>
      </c>
      <c r="S9" s="183">
        <f t="shared" si="2"/>
        <v>2000</v>
      </c>
    </row>
    <row r="10" spans="2:19" x14ac:dyDescent="0.35">
      <c r="B10" s="43"/>
      <c r="C10" s="44"/>
      <c r="D10" s="44"/>
      <c r="E10" s="44"/>
      <c r="F10" s="163"/>
      <c r="G10" s="186" t="s">
        <v>133</v>
      </c>
      <c r="H10" s="187">
        <f t="shared" ref="H10" si="3">SUM(H7:H9)</f>
        <v>2000</v>
      </c>
      <c r="I10" s="187">
        <f t="shared" ref="I10:S10" si="4">SUM(I7:I9)</f>
        <v>0</v>
      </c>
      <c r="J10" s="187">
        <f t="shared" si="4"/>
        <v>1500</v>
      </c>
      <c r="K10" s="187">
        <f t="shared" si="4"/>
        <v>1500</v>
      </c>
      <c r="L10" s="187">
        <f t="shared" si="4"/>
        <v>2000</v>
      </c>
      <c r="M10" s="187">
        <f t="shared" si="4"/>
        <v>2000</v>
      </c>
      <c r="N10" s="187">
        <f t="shared" si="4"/>
        <v>2000</v>
      </c>
      <c r="O10" s="187">
        <f t="shared" si="4"/>
        <v>2000</v>
      </c>
      <c r="P10" s="187">
        <f t="shared" si="4"/>
        <v>2000</v>
      </c>
      <c r="Q10" s="187">
        <f t="shared" si="4"/>
        <v>2000</v>
      </c>
      <c r="R10" s="187">
        <f t="shared" si="4"/>
        <v>2000</v>
      </c>
      <c r="S10" s="187">
        <f t="shared" si="4"/>
        <v>2000</v>
      </c>
    </row>
    <row r="11" spans="2:19" ht="8.25" customHeight="1" x14ac:dyDescent="0.35">
      <c r="H11" s="146"/>
      <c r="I11" s="146"/>
      <c r="J11" s="146"/>
      <c r="K11" s="146"/>
      <c r="L11" s="146"/>
      <c r="M11" s="146"/>
      <c r="N11" s="146"/>
      <c r="O11" s="146"/>
      <c r="P11" s="146"/>
      <c r="Q11" s="146"/>
      <c r="R11" s="146"/>
      <c r="S11" s="146"/>
    </row>
    <row r="12" spans="2:19" x14ac:dyDescent="0.35">
      <c r="B12" s="41" t="s">
        <v>276</v>
      </c>
      <c r="C12" s="173"/>
      <c r="D12" s="173"/>
      <c r="E12" s="174"/>
      <c r="F12" s="47"/>
      <c r="G12" s="42" t="s">
        <v>119</v>
      </c>
      <c r="H12" s="307">
        <v>16</v>
      </c>
      <c r="I12" s="307">
        <v>11</v>
      </c>
      <c r="J12" s="307">
        <v>23</v>
      </c>
      <c r="K12" s="307">
        <v>26</v>
      </c>
      <c r="L12" s="307">
        <v>0</v>
      </c>
      <c r="M12" s="307">
        <v>0</v>
      </c>
      <c r="N12" s="307">
        <v>0</v>
      </c>
      <c r="O12" s="307">
        <v>0</v>
      </c>
      <c r="P12" s="307">
        <v>0</v>
      </c>
      <c r="Q12" s="307">
        <v>0</v>
      </c>
      <c r="R12" s="307">
        <v>0</v>
      </c>
      <c r="S12" s="307">
        <v>0</v>
      </c>
    </row>
    <row r="13" spans="2:19" x14ac:dyDescent="0.35">
      <c r="B13" s="45"/>
      <c r="C13" s="176"/>
      <c r="D13" s="176"/>
      <c r="E13" s="177"/>
      <c r="F13" s="48"/>
      <c r="G13" s="40" t="s">
        <v>95</v>
      </c>
      <c r="H13" s="308">
        <v>16</v>
      </c>
      <c r="I13" s="308">
        <v>16</v>
      </c>
      <c r="J13" s="308">
        <v>20</v>
      </c>
      <c r="K13" s="308">
        <v>20</v>
      </c>
      <c r="L13" s="308">
        <v>0</v>
      </c>
      <c r="M13" s="308">
        <v>0</v>
      </c>
      <c r="N13" s="308">
        <v>0</v>
      </c>
      <c r="O13" s="308">
        <v>0</v>
      </c>
      <c r="P13" s="308">
        <v>0</v>
      </c>
      <c r="Q13" s="308">
        <v>0</v>
      </c>
      <c r="R13" s="308">
        <v>0</v>
      </c>
      <c r="S13" s="308">
        <v>0</v>
      </c>
    </row>
    <row r="14" spans="2:19" x14ac:dyDescent="0.35">
      <c r="B14" s="45"/>
      <c r="C14" s="179" t="s">
        <v>129</v>
      </c>
      <c r="D14" s="179" t="s">
        <v>130</v>
      </c>
      <c r="E14" s="180" t="s">
        <v>131</v>
      </c>
      <c r="F14" s="48"/>
      <c r="G14" s="157" t="s">
        <v>37</v>
      </c>
      <c r="H14" s="181">
        <v>1.1000000000000001</v>
      </c>
      <c r="I14" s="181">
        <f t="shared" ref="I14:S14" si="5">IFERROR(ROUND(I12/I13,3)," - - -")</f>
        <v>0.68799999999999994</v>
      </c>
      <c r="J14" s="181">
        <f t="shared" si="5"/>
        <v>1.1499999999999999</v>
      </c>
      <c r="K14" s="181">
        <f t="shared" si="5"/>
        <v>1.3</v>
      </c>
      <c r="L14" s="181" t="str">
        <f t="shared" si="5"/>
        <v xml:space="preserve"> - - -</v>
      </c>
      <c r="M14" s="181" t="str">
        <f t="shared" si="5"/>
        <v xml:space="preserve"> - - -</v>
      </c>
      <c r="N14" s="181" t="str">
        <f t="shared" si="5"/>
        <v xml:space="preserve"> - - -</v>
      </c>
      <c r="O14" s="181" t="str">
        <f t="shared" si="5"/>
        <v xml:space="preserve"> - - -</v>
      </c>
      <c r="P14" s="181" t="str">
        <f t="shared" si="5"/>
        <v xml:space="preserve"> - - -</v>
      </c>
      <c r="Q14" s="181" t="str">
        <f t="shared" si="5"/>
        <v xml:space="preserve"> - - -</v>
      </c>
      <c r="R14" s="181" t="str">
        <f t="shared" si="5"/>
        <v xml:space="preserve"> - - -</v>
      </c>
      <c r="S14" s="181" t="str">
        <f t="shared" si="5"/>
        <v xml:space="preserve"> - - -</v>
      </c>
    </row>
    <row r="15" spans="2:19" x14ac:dyDescent="0.35">
      <c r="B15" s="45"/>
      <c r="C15" s="182">
        <v>0.9</v>
      </c>
      <c r="D15" s="182">
        <v>0.99990000000000001</v>
      </c>
      <c r="E15" s="202">
        <v>500</v>
      </c>
      <c r="F15" s="48"/>
      <c r="H15" s="183">
        <f>IF(AND(H14&gt;=$C15,H14&lt;=$D15),$E15,0)</f>
        <v>0</v>
      </c>
      <c r="I15" s="183">
        <f t="shared" ref="I15:S15" si="6">IF(AND(I14&gt;=$C15,I14&lt;=$D15),$E15,0)</f>
        <v>0</v>
      </c>
      <c r="J15" s="183">
        <f t="shared" si="6"/>
        <v>0</v>
      </c>
      <c r="K15" s="183">
        <f t="shared" si="6"/>
        <v>0</v>
      </c>
      <c r="L15" s="183">
        <f t="shared" si="6"/>
        <v>0</v>
      </c>
      <c r="M15" s="183">
        <f t="shared" si="6"/>
        <v>0</v>
      </c>
      <c r="N15" s="183">
        <f t="shared" si="6"/>
        <v>0</v>
      </c>
      <c r="O15" s="183">
        <f t="shared" si="6"/>
        <v>0</v>
      </c>
      <c r="P15" s="183">
        <f t="shared" si="6"/>
        <v>0</v>
      </c>
      <c r="Q15" s="183">
        <f t="shared" si="6"/>
        <v>0</v>
      </c>
      <c r="R15" s="183">
        <f t="shared" si="6"/>
        <v>0</v>
      </c>
      <c r="S15" s="183">
        <f t="shared" si="6"/>
        <v>0</v>
      </c>
    </row>
    <row r="16" spans="2:19" x14ac:dyDescent="0.35">
      <c r="B16" s="45"/>
      <c r="C16" s="182">
        <v>1</v>
      </c>
      <c r="D16" s="182">
        <v>1.0999000000000001</v>
      </c>
      <c r="E16" s="202">
        <v>1000</v>
      </c>
      <c r="F16" s="48"/>
      <c r="H16" s="183">
        <f>IF(AND(H14&gt;=$C16,H14&lt;=$D16),$E16,0)</f>
        <v>0</v>
      </c>
      <c r="I16" s="183">
        <f t="shared" ref="I16:S16" si="7">IF(AND(I14&gt;=$C16,I14&lt;=$D16),$E16,0)</f>
        <v>0</v>
      </c>
      <c r="J16" s="183">
        <f t="shared" si="7"/>
        <v>0</v>
      </c>
      <c r="K16" s="183">
        <f t="shared" si="7"/>
        <v>0</v>
      </c>
      <c r="L16" s="183">
        <f t="shared" si="7"/>
        <v>0</v>
      </c>
      <c r="M16" s="183">
        <f t="shared" si="7"/>
        <v>0</v>
      </c>
      <c r="N16" s="183">
        <f t="shared" si="7"/>
        <v>0</v>
      </c>
      <c r="O16" s="183">
        <f t="shared" si="7"/>
        <v>0</v>
      </c>
      <c r="P16" s="183">
        <f t="shared" si="7"/>
        <v>0</v>
      </c>
      <c r="Q16" s="183">
        <f t="shared" si="7"/>
        <v>0</v>
      </c>
      <c r="R16" s="183">
        <f t="shared" si="7"/>
        <v>0</v>
      </c>
      <c r="S16" s="183">
        <f t="shared" si="7"/>
        <v>0</v>
      </c>
    </row>
    <row r="17" spans="2:19" x14ac:dyDescent="0.35">
      <c r="B17" s="45"/>
      <c r="C17" s="184">
        <v>1.1000000000000001</v>
      </c>
      <c r="D17" s="185" t="s">
        <v>132</v>
      </c>
      <c r="E17" s="202">
        <v>1500</v>
      </c>
      <c r="F17" s="48"/>
      <c r="H17" s="183">
        <f>IF(AND(H14&gt;=$C17,H14&lt;=$D17),$E17,0)</f>
        <v>1500</v>
      </c>
      <c r="I17" s="183">
        <f t="shared" ref="I17:S17" si="8">IF(AND(I14&gt;=$C17,I14&lt;=$D17),$E17,0)</f>
        <v>0</v>
      </c>
      <c r="J17" s="183">
        <f t="shared" si="8"/>
        <v>1500</v>
      </c>
      <c r="K17" s="183">
        <f t="shared" si="8"/>
        <v>1500</v>
      </c>
      <c r="L17" s="183">
        <f t="shared" si="8"/>
        <v>1500</v>
      </c>
      <c r="M17" s="183">
        <f t="shared" si="8"/>
        <v>1500</v>
      </c>
      <c r="N17" s="183">
        <f t="shared" si="8"/>
        <v>1500</v>
      </c>
      <c r="O17" s="183">
        <f t="shared" si="8"/>
        <v>1500</v>
      </c>
      <c r="P17" s="183">
        <f t="shared" si="8"/>
        <v>1500</v>
      </c>
      <c r="Q17" s="183">
        <f t="shared" si="8"/>
        <v>1500</v>
      </c>
      <c r="R17" s="183">
        <f t="shared" si="8"/>
        <v>1500</v>
      </c>
      <c r="S17" s="183">
        <f t="shared" si="8"/>
        <v>1500</v>
      </c>
    </row>
    <row r="18" spans="2:19" x14ac:dyDescent="0.35">
      <c r="B18" s="43"/>
      <c r="C18" s="44"/>
      <c r="D18" s="44"/>
      <c r="E18" s="44"/>
      <c r="F18" s="163"/>
      <c r="G18" s="186" t="s">
        <v>133</v>
      </c>
      <c r="H18" s="187">
        <f t="shared" ref="H18" si="9">SUM(H15:H17)</f>
        <v>1500</v>
      </c>
      <c r="I18" s="187">
        <f t="shared" ref="I18:S18" si="10">SUM(I15:I17)</f>
        <v>0</v>
      </c>
      <c r="J18" s="187">
        <f t="shared" si="10"/>
        <v>1500</v>
      </c>
      <c r="K18" s="187">
        <f t="shared" si="10"/>
        <v>1500</v>
      </c>
      <c r="L18" s="187">
        <f t="shared" si="10"/>
        <v>1500</v>
      </c>
      <c r="M18" s="187">
        <f t="shared" si="10"/>
        <v>1500</v>
      </c>
      <c r="N18" s="187">
        <f t="shared" si="10"/>
        <v>1500</v>
      </c>
      <c r="O18" s="187">
        <f t="shared" si="10"/>
        <v>1500</v>
      </c>
      <c r="P18" s="187">
        <f t="shared" si="10"/>
        <v>1500</v>
      </c>
      <c r="Q18" s="187">
        <f t="shared" si="10"/>
        <v>1500</v>
      </c>
      <c r="R18" s="187">
        <f t="shared" si="10"/>
        <v>1500</v>
      </c>
      <c r="S18" s="187">
        <f t="shared" si="10"/>
        <v>1500</v>
      </c>
    </row>
    <row r="19" spans="2:19" ht="8.25" customHeight="1" x14ac:dyDescent="0.35"/>
    <row r="20" spans="2:19" x14ac:dyDescent="0.35">
      <c r="B20" s="41" t="s">
        <v>278</v>
      </c>
      <c r="C20" s="173"/>
      <c r="D20" s="173"/>
      <c r="E20" s="174"/>
      <c r="F20" s="47"/>
      <c r="G20" s="42"/>
      <c r="H20" s="305">
        <v>2</v>
      </c>
      <c r="I20" s="305">
        <v>3</v>
      </c>
      <c r="J20" s="305">
        <v>3</v>
      </c>
      <c r="K20" s="305">
        <v>2</v>
      </c>
      <c r="L20" s="305"/>
      <c r="M20" s="305"/>
      <c r="N20" s="305"/>
      <c r="O20" s="305"/>
      <c r="P20" s="305"/>
      <c r="Q20" s="305"/>
      <c r="R20" s="305"/>
      <c r="S20" s="305"/>
    </row>
    <row r="21" spans="2:19" x14ac:dyDescent="0.35">
      <c r="B21" s="376"/>
      <c r="C21" s="179" t="s">
        <v>129</v>
      </c>
      <c r="D21" s="179" t="s">
        <v>130</v>
      </c>
      <c r="E21" s="180" t="s">
        <v>131</v>
      </c>
      <c r="F21" s="48"/>
      <c r="G21" s="157"/>
      <c r="H21" s="181"/>
      <c r="I21" s="181"/>
      <c r="J21" s="181"/>
      <c r="K21" s="181"/>
      <c r="L21" s="181"/>
      <c r="M21" s="181"/>
      <c r="N21" s="181"/>
      <c r="O21" s="181"/>
      <c r="P21" s="181"/>
      <c r="Q21" s="181"/>
      <c r="R21" s="181"/>
      <c r="S21" s="181"/>
    </row>
    <row r="22" spans="2:19" x14ac:dyDescent="0.35">
      <c r="B22" s="45"/>
      <c r="C22" s="375">
        <v>1</v>
      </c>
      <c r="D22" s="375">
        <v>1</v>
      </c>
      <c r="E22" s="202">
        <v>250</v>
      </c>
      <c r="F22" s="48"/>
      <c r="H22" s="183">
        <f t="shared" ref="H22:R22" si="11">IF(AND(H20&gt;=$C22,H20&lt;=$D22),$E22,0)</f>
        <v>0</v>
      </c>
      <c r="I22" s="183">
        <f t="shared" si="11"/>
        <v>0</v>
      </c>
      <c r="J22" s="183">
        <f t="shared" si="11"/>
        <v>0</v>
      </c>
      <c r="K22" s="183">
        <f t="shared" si="11"/>
        <v>0</v>
      </c>
      <c r="L22" s="183">
        <f t="shared" si="11"/>
        <v>0</v>
      </c>
      <c r="M22" s="183">
        <f t="shared" si="11"/>
        <v>0</v>
      </c>
      <c r="N22" s="183">
        <f t="shared" si="11"/>
        <v>0</v>
      </c>
      <c r="O22" s="183">
        <f t="shared" si="11"/>
        <v>0</v>
      </c>
      <c r="P22" s="183">
        <f t="shared" si="11"/>
        <v>0</v>
      </c>
      <c r="Q22" s="183">
        <f t="shared" si="11"/>
        <v>0</v>
      </c>
      <c r="R22" s="183">
        <f t="shared" si="11"/>
        <v>0</v>
      </c>
      <c r="S22" s="183">
        <f t="shared" ref="S22" si="12">IF(AND(S20&gt;=$C22,S20&lt;=$D22),$E22,0)</f>
        <v>0</v>
      </c>
    </row>
    <row r="23" spans="2:19" x14ac:dyDescent="0.35">
      <c r="B23" s="45"/>
      <c r="C23" s="375">
        <v>2</v>
      </c>
      <c r="D23" s="375">
        <v>2</v>
      </c>
      <c r="E23" s="202">
        <v>750</v>
      </c>
      <c r="F23" s="48"/>
      <c r="H23" s="183">
        <f t="shared" ref="H23:R23" si="13">IF(AND(H20&gt;=$C23,H20&lt;=$D23),$E23,0)</f>
        <v>750</v>
      </c>
      <c r="I23" s="183">
        <f t="shared" si="13"/>
        <v>0</v>
      </c>
      <c r="J23" s="183">
        <f t="shared" si="13"/>
        <v>0</v>
      </c>
      <c r="K23" s="183">
        <f t="shared" si="13"/>
        <v>750</v>
      </c>
      <c r="L23" s="183">
        <f t="shared" si="13"/>
        <v>0</v>
      </c>
      <c r="M23" s="183">
        <f t="shared" si="13"/>
        <v>0</v>
      </c>
      <c r="N23" s="183">
        <f t="shared" si="13"/>
        <v>0</v>
      </c>
      <c r="O23" s="183">
        <f t="shared" si="13"/>
        <v>0</v>
      </c>
      <c r="P23" s="183">
        <f t="shared" si="13"/>
        <v>0</v>
      </c>
      <c r="Q23" s="183">
        <f t="shared" si="13"/>
        <v>0</v>
      </c>
      <c r="R23" s="183">
        <f t="shared" si="13"/>
        <v>0</v>
      </c>
      <c r="S23" s="183">
        <f t="shared" ref="S23" si="14">IF(AND(S20&gt;=$C23,S20&lt;=$D23),$E23,0)</f>
        <v>0</v>
      </c>
    </row>
    <row r="24" spans="2:19" x14ac:dyDescent="0.35">
      <c r="B24" s="45"/>
      <c r="C24" s="297">
        <v>3</v>
      </c>
      <c r="D24" s="185" t="s">
        <v>132</v>
      </c>
      <c r="E24" s="202">
        <v>1250</v>
      </c>
      <c r="F24" s="48"/>
      <c r="H24" s="183">
        <f t="shared" ref="H24:R24" si="15">IF(AND(H20&gt;=$C24,H20&lt;=$D24),$E24,0)</f>
        <v>0</v>
      </c>
      <c r="I24" s="183">
        <f t="shared" si="15"/>
        <v>1250</v>
      </c>
      <c r="J24" s="183">
        <f t="shared" si="15"/>
        <v>1250</v>
      </c>
      <c r="K24" s="183">
        <f t="shared" si="15"/>
        <v>0</v>
      </c>
      <c r="L24" s="183">
        <f t="shared" si="15"/>
        <v>0</v>
      </c>
      <c r="M24" s="183">
        <f t="shared" si="15"/>
        <v>0</v>
      </c>
      <c r="N24" s="183">
        <f t="shared" si="15"/>
        <v>0</v>
      </c>
      <c r="O24" s="183">
        <f t="shared" si="15"/>
        <v>0</v>
      </c>
      <c r="P24" s="183">
        <f t="shared" si="15"/>
        <v>0</v>
      </c>
      <c r="Q24" s="183">
        <f t="shared" si="15"/>
        <v>0</v>
      </c>
      <c r="R24" s="183">
        <f t="shared" si="15"/>
        <v>0</v>
      </c>
      <c r="S24" s="183">
        <f t="shared" ref="S24" si="16">IF(AND(S20&gt;=$C24,S20&lt;=$D24),$E24,0)</f>
        <v>0</v>
      </c>
    </row>
    <row r="25" spans="2:19" x14ac:dyDescent="0.35">
      <c r="B25" s="43"/>
      <c r="C25" s="44"/>
      <c r="D25" s="44"/>
      <c r="E25" s="44"/>
      <c r="F25" s="163"/>
      <c r="G25" s="186" t="s">
        <v>133</v>
      </c>
      <c r="H25" s="187">
        <f t="shared" ref="H25:R25" si="17">SUM(H22:H24)</f>
        <v>750</v>
      </c>
      <c r="I25" s="187">
        <f t="shared" si="17"/>
        <v>1250</v>
      </c>
      <c r="J25" s="187">
        <f t="shared" si="17"/>
        <v>1250</v>
      </c>
      <c r="K25" s="187">
        <f t="shared" si="17"/>
        <v>750</v>
      </c>
      <c r="L25" s="187">
        <f t="shared" si="17"/>
        <v>0</v>
      </c>
      <c r="M25" s="187">
        <f t="shared" si="17"/>
        <v>0</v>
      </c>
      <c r="N25" s="187">
        <f t="shared" si="17"/>
        <v>0</v>
      </c>
      <c r="O25" s="187">
        <f t="shared" si="17"/>
        <v>0</v>
      </c>
      <c r="P25" s="187">
        <f t="shared" si="17"/>
        <v>0</v>
      </c>
      <c r="Q25" s="187">
        <f t="shared" si="17"/>
        <v>0</v>
      </c>
      <c r="R25" s="187">
        <f t="shared" si="17"/>
        <v>0</v>
      </c>
      <c r="S25" s="187">
        <f t="shared" ref="S25" si="18">SUM(S22:S24)</f>
        <v>0</v>
      </c>
    </row>
    <row r="26" spans="2:19" ht="8.25" customHeight="1" x14ac:dyDescent="0.35"/>
    <row r="27" spans="2:19" x14ac:dyDescent="0.35">
      <c r="B27" s="41" t="s">
        <v>277</v>
      </c>
      <c r="C27" s="173"/>
      <c r="D27" s="173"/>
      <c r="E27" s="174"/>
      <c r="F27" s="47"/>
      <c r="G27" s="373" t="s">
        <v>37</v>
      </c>
      <c r="H27" s="321">
        <v>0.6</v>
      </c>
      <c r="I27" s="321">
        <v>0</v>
      </c>
      <c r="J27" s="321">
        <v>0</v>
      </c>
      <c r="K27" s="321">
        <v>0</v>
      </c>
      <c r="L27" s="321">
        <v>0</v>
      </c>
      <c r="M27" s="321">
        <v>0</v>
      </c>
      <c r="N27" s="321">
        <v>0</v>
      </c>
      <c r="O27" s="321">
        <v>0</v>
      </c>
      <c r="P27" s="321">
        <v>0</v>
      </c>
      <c r="Q27" s="321">
        <v>0</v>
      </c>
      <c r="R27" s="321">
        <v>0</v>
      </c>
      <c r="S27" s="321">
        <v>0</v>
      </c>
    </row>
    <row r="28" spans="2:19" x14ac:dyDescent="0.35">
      <c r="B28" s="45"/>
      <c r="C28" s="179" t="s">
        <v>129</v>
      </c>
      <c r="D28" s="179" t="s">
        <v>130</v>
      </c>
      <c r="E28" s="180" t="s">
        <v>131</v>
      </c>
      <c r="F28" s="48"/>
      <c r="G28" s="210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</row>
    <row r="29" spans="2:19" x14ac:dyDescent="0.35">
      <c r="B29" s="45"/>
      <c r="C29" s="182">
        <v>0</v>
      </c>
      <c r="D29" s="182">
        <v>0.79990000000000006</v>
      </c>
      <c r="E29" s="202">
        <v>0</v>
      </c>
      <c r="F29" s="48"/>
      <c r="G29" s="209"/>
      <c r="H29" s="183">
        <f t="shared" ref="H29:R29" si="19">IF(AND(H27&gt;=$C29,H27&lt;=$D29),$E29,0)</f>
        <v>0</v>
      </c>
      <c r="I29" s="183">
        <f t="shared" si="19"/>
        <v>0</v>
      </c>
      <c r="J29" s="183">
        <f t="shared" si="19"/>
        <v>0</v>
      </c>
      <c r="K29" s="183">
        <f t="shared" si="19"/>
        <v>0</v>
      </c>
      <c r="L29" s="183">
        <f t="shared" si="19"/>
        <v>0</v>
      </c>
      <c r="M29" s="183">
        <f t="shared" si="19"/>
        <v>0</v>
      </c>
      <c r="N29" s="183">
        <f t="shared" si="19"/>
        <v>0</v>
      </c>
      <c r="O29" s="183">
        <f t="shared" si="19"/>
        <v>0</v>
      </c>
      <c r="P29" s="183">
        <f t="shared" si="19"/>
        <v>0</v>
      </c>
      <c r="Q29" s="183">
        <f t="shared" si="19"/>
        <v>0</v>
      </c>
      <c r="R29" s="183">
        <f t="shared" si="19"/>
        <v>0</v>
      </c>
      <c r="S29" s="183">
        <f t="shared" ref="S29" si="20">IF(AND(S27&gt;=$C29,S27&lt;=$D29),$E29,0)</f>
        <v>0</v>
      </c>
    </row>
    <row r="30" spans="2:19" x14ac:dyDescent="0.35">
      <c r="B30" s="45"/>
      <c r="C30" s="182">
        <v>0.8</v>
      </c>
      <c r="D30" s="182">
        <v>0.85</v>
      </c>
      <c r="E30" s="202">
        <v>750</v>
      </c>
      <c r="F30" s="48"/>
      <c r="G30" s="209"/>
      <c r="H30" s="183">
        <f t="shared" ref="H30:R30" si="21">IF(AND(H27&gt;=$C30,H27&lt;=$D30),$E30,0)</f>
        <v>0</v>
      </c>
      <c r="I30" s="183">
        <f t="shared" si="21"/>
        <v>0</v>
      </c>
      <c r="J30" s="183">
        <f t="shared" si="21"/>
        <v>0</v>
      </c>
      <c r="K30" s="183">
        <f t="shared" si="21"/>
        <v>0</v>
      </c>
      <c r="L30" s="183">
        <f t="shared" si="21"/>
        <v>0</v>
      </c>
      <c r="M30" s="183">
        <f t="shared" si="21"/>
        <v>0</v>
      </c>
      <c r="N30" s="183">
        <f t="shared" si="21"/>
        <v>0</v>
      </c>
      <c r="O30" s="183">
        <f t="shared" si="21"/>
        <v>0</v>
      </c>
      <c r="P30" s="183">
        <f t="shared" si="21"/>
        <v>0</v>
      </c>
      <c r="Q30" s="183">
        <f t="shared" si="21"/>
        <v>0</v>
      </c>
      <c r="R30" s="183">
        <f t="shared" si="21"/>
        <v>0</v>
      </c>
      <c r="S30" s="183">
        <f t="shared" ref="S30" si="22">IF(AND(S27&gt;=$C30,S27&lt;=$D30),$E30,0)</f>
        <v>0</v>
      </c>
    </row>
    <row r="31" spans="2:19" x14ac:dyDescent="0.35">
      <c r="B31" s="45"/>
      <c r="C31" s="184">
        <v>0.85009999999999997</v>
      </c>
      <c r="D31" s="185" t="s">
        <v>132</v>
      </c>
      <c r="E31" s="202">
        <v>1000</v>
      </c>
      <c r="F31" s="48"/>
      <c r="G31" s="374"/>
      <c r="H31" s="183">
        <f t="shared" ref="H31:R31" si="23">IF(AND(H27&gt;=$C31,H27&lt;=$D31),$E31,0)</f>
        <v>0</v>
      </c>
      <c r="I31" s="183">
        <f t="shared" si="23"/>
        <v>0</v>
      </c>
      <c r="J31" s="183">
        <f t="shared" si="23"/>
        <v>0</v>
      </c>
      <c r="K31" s="183">
        <f t="shared" si="23"/>
        <v>0</v>
      </c>
      <c r="L31" s="183">
        <f t="shared" si="23"/>
        <v>0</v>
      </c>
      <c r="M31" s="183">
        <f t="shared" si="23"/>
        <v>0</v>
      </c>
      <c r="N31" s="183">
        <f t="shared" si="23"/>
        <v>0</v>
      </c>
      <c r="O31" s="183">
        <f t="shared" si="23"/>
        <v>0</v>
      </c>
      <c r="P31" s="183">
        <f t="shared" si="23"/>
        <v>0</v>
      </c>
      <c r="Q31" s="183">
        <f t="shared" si="23"/>
        <v>0</v>
      </c>
      <c r="R31" s="183">
        <f t="shared" si="23"/>
        <v>0</v>
      </c>
      <c r="S31" s="183">
        <f t="shared" ref="S31" si="24">IF(AND(S27&gt;=$C31,S27&lt;=$D31),$E31,0)</f>
        <v>0</v>
      </c>
    </row>
    <row r="32" spans="2:19" x14ac:dyDescent="0.35">
      <c r="B32" s="43"/>
      <c r="C32" s="44"/>
      <c r="D32" s="44"/>
      <c r="E32" s="44"/>
      <c r="F32" s="163"/>
      <c r="G32" s="186" t="s">
        <v>133</v>
      </c>
      <c r="H32" s="187">
        <f t="shared" ref="H32:R32" si="25">SUM(H29:H31)</f>
        <v>0</v>
      </c>
      <c r="I32" s="187">
        <f t="shared" si="25"/>
        <v>0</v>
      </c>
      <c r="J32" s="187">
        <f t="shared" si="25"/>
        <v>0</v>
      </c>
      <c r="K32" s="187">
        <f t="shared" si="25"/>
        <v>0</v>
      </c>
      <c r="L32" s="187">
        <f t="shared" si="25"/>
        <v>0</v>
      </c>
      <c r="M32" s="187">
        <f t="shared" si="25"/>
        <v>0</v>
      </c>
      <c r="N32" s="187">
        <f t="shared" si="25"/>
        <v>0</v>
      </c>
      <c r="O32" s="187">
        <f t="shared" si="25"/>
        <v>0</v>
      </c>
      <c r="P32" s="187">
        <f t="shared" si="25"/>
        <v>0</v>
      </c>
      <c r="Q32" s="187">
        <f t="shared" si="25"/>
        <v>0</v>
      </c>
      <c r="R32" s="187">
        <f t="shared" si="25"/>
        <v>0</v>
      </c>
      <c r="S32" s="187">
        <f t="shared" ref="S32" si="26">SUM(S29:S31)</f>
        <v>0</v>
      </c>
    </row>
    <row r="34" spans="2:19" ht="22.5" customHeight="1" thickBot="1" x14ac:dyDescent="0.4">
      <c r="E34" s="188"/>
      <c r="G34" s="188" t="s">
        <v>149</v>
      </c>
      <c r="H34" s="275">
        <f>H10+H18+H25+H32</f>
        <v>4250</v>
      </c>
      <c r="I34" s="275">
        <f t="shared" ref="I34:S34" si="27">I10+I18+I25</f>
        <v>1250</v>
      </c>
      <c r="J34" s="275">
        <f t="shared" si="27"/>
        <v>4250</v>
      </c>
      <c r="K34" s="275">
        <f t="shared" si="27"/>
        <v>3750</v>
      </c>
      <c r="L34" s="275">
        <f t="shared" si="27"/>
        <v>3500</v>
      </c>
      <c r="M34" s="275">
        <f t="shared" si="27"/>
        <v>3500</v>
      </c>
      <c r="N34" s="275">
        <f t="shared" si="27"/>
        <v>3500</v>
      </c>
      <c r="O34" s="275">
        <f t="shared" si="27"/>
        <v>3500</v>
      </c>
      <c r="P34" s="275">
        <f t="shared" si="27"/>
        <v>3500</v>
      </c>
      <c r="Q34" s="275">
        <f t="shared" si="27"/>
        <v>3500</v>
      </c>
      <c r="R34" s="275">
        <f t="shared" si="27"/>
        <v>3500</v>
      </c>
      <c r="S34" s="275">
        <f t="shared" si="27"/>
        <v>3500</v>
      </c>
    </row>
    <row r="35" spans="2:19" ht="15" thickTop="1" x14ac:dyDescent="0.35"/>
    <row r="37" spans="2:19" x14ac:dyDescent="0.35">
      <c r="B37" s="281" t="s">
        <v>274</v>
      </c>
    </row>
    <row r="38" spans="2:19" x14ac:dyDescent="0.35">
      <c r="B38" s="10" t="s">
        <v>275</v>
      </c>
      <c r="C38" s="173"/>
      <c r="D38" s="173"/>
      <c r="E38" s="174"/>
      <c r="F38" s="47"/>
      <c r="G38" s="208" t="s">
        <v>119</v>
      </c>
      <c r="S38" s="305"/>
    </row>
    <row r="39" spans="2:19" x14ac:dyDescent="0.35">
      <c r="B39" s="779"/>
      <c r="C39" s="179" t="s">
        <v>129</v>
      </c>
      <c r="D39" s="179" t="s">
        <v>130</v>
      </c>
      <c r="E39" s="180" t="s">
        <v>131</v>
      </c>
      <c r="F39" s="48"/>
      <c r="G39" s="210"/>
      <c r="S39" s="181"/>
    </row>
    <row r="40" spans="2:19" x14ac:dyDescent="0.35">
      <c r="B40" s="779"/>
      <c r="C40" s="206">
        <v>1</v>
      </c>
      <c r="D40" s="206">
        <v>10</v>
      </c>
      <c r="E40" s="202">
        <v>5000</v>
      </c>
      <c r="F40" s="48"/>
      <c r="G40" s="209"/>
      <c r="S40" s="183">
        <f>IF(AND(S$38&gt;=$C40,S$38&lt;=$D40),$E40,0)</f>
        <v>0</v>
      </c>
    </row>
    <row r="41" spans="2:19" x14ac:dyDescent="0.35">
      <c r="B41" s="45"/>
      <c r="C41" s="206">
        <v>11</v>
      </c>
      <c r="D41" s="206">
        <v>15</v>
      </c>
      <c r="E41" s="202">
        <v>2500</v>
      </c>
      <c r="F41" s="48"/>
      <c r="G41" s="209"/>
      <c r="S41" s="183">
        <f>IF(AND(S$38&gt;=$C41,S$38&lt;=$D41),$E41,0)</f>
        <v>0</v>
      </c>
    </row>
    <row r="42" spans="2:19" x14ac:dyDescent="0.35">
      <c r="B42" s="45"/>
      <c r="C42" s="206">
        <v>16</v>
      </c>
      <c r="D42" s="206">
        <v>28</v>
      </c>
      <c r="E42" s="202">
        <v>500</v>
      </c>
      <c r="F42" s="48"/>
      <c r="G42" s="209"/>
      <c r="S42" s="183">
        <f>IF(AND(S$38&gt;=$C42,S$38&lt;=$D42),$E42,0)</f>
        <v>0</v>
      </c>
    </row>
    <row r="43" spans="2:19" x14ac:dyDescent="0.35">
      <c r="B43" s="43"/>
      <c r="C43" s="44"/>
      <c r="D43" s="44"/>
      <c r="E43" s="44"/>
      <c r="F43" s="163"/>
      <c r="G43" s="211" t="s">
        <v>133</v>
      </c>
      <c r="S43" s="187">
        <f t="shared" ref="S43" si="28">SUM(S40:S42)</f>
        <v>0</v>
      </c>
    </row>
    <row r="45" spans="2:19" ht="15" thickBot="1" x14ac:dyDescent="0.4">
      <c r="G45" s="197" t="s">
        <v>140</v>
      </c>
      <c r="S45" s="199">
        <f>+S35+S43</f>
        <v>0</v>
      </c>
    </row>
    <row r="46" spans="2:19" ht="15" thickTop="1" x14ac:dyDescent="0.35"/>
  </sheetData>
  <mergeCells count="1">
    <mergeCell ref="B39:B40"/>
  </mergeCells>
  <pageMargins left="0.7" right="0.7" top="0.75" bottom="0.75" header="0.3" footer="0.3"/>
  <pageSetup scale="60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1:S31"/>
  <sheetViews>
    <sheetView zoomScale="85" zoomScaleNormal="85" workbookViewId="0">
      <selection activeCell="M1" sqref="M1:M1048576"/>
    </sheetView>
  </sheetViews>
  <sheetFormatPr baseColWidth="10" defaultColWidth="11.453125" defaultRowHeight="14.5" x14ac:dyDescent="0.35"/>
  <cols>
    <col min="1" max="1" width="3.7265625" style="40" customWidth="1"/>
    <col min="2" max="2" width="30.54296875" style="40" bestFit="1" customWidth="1"/>
    <col min="3" max="4" width="10.7265625" style="40" customWidth="1"/>
    <col min="5" max="5" width="10.54296875" style="40" bestFit="1" customWidth="1"/>
    <col min="6" max="6" width="1.7265625" style="40" customWidth="1"/>
    <col min="7" max="7" width="11.453125" style="40"/>
    <col min="8" max="8" width="10.453125" style="40" hidden="1" customWidth="1"/>
    <col min="9" max="13" width="11.453125" style="40" hidden="1" customWidth="1"/>
    <col min="14" max="19" width="11.453125" style="40" customWidth="1"/>
    <col min="20" max="16384" width="11.453125" style="40"/>
  </cols>
  <sheetData>
    <row r="1" spans="2:19" x14ac:dyDescent="0.35">
      <c r="B1" s="300" t="s">
        <v>720</v>
      </c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</row>
    <row r="2" spans="2:19" ht="8.25" customHeight="1" x14ac:dyDescent="0.35"/>
    <row r="3" spans="2:19" x14ac:dyDescent="0.35">
      <c r="B3" s="170" t="s">
        <v>126</v>
      </c>
      <c r="C3" s="171"/>
      <c r="D3" s="171"/>
      <c r="H3" s="172">
        <v>45688</v>
      </c>
      <c r="I3" s="172">
        <v>45716</v>
      </c>
      <c r="J3" s="172">
        <v>45747</v>
      </c>
      <c r="K3" s="172">
        <v>45777</v>
      </c>
      <c r="L3" s="172">
        <v>45808</v>
      </c>
      <c r="M3" s="172">
        <v>45838</v>
      </c>
      <c r="N3" s="172">
        <v>45869</v>
      </c>
      <c r="O3" s="172">
        <v>45900</v>
      </c>
      <c r="P3" s="172">
        <v>45930</v>
      </c>
      <c r="Q3" s="172">
        <v>45961</v>
      </c>
      <c r="R3" s="172">
        <v>45991</v>
      </c>
      <c r="S3" s="172">
        <v>46022</v>
      </c>
    </row>
    <row r="4" spans="2:19" ht="8.25" customHeight="1" x14ac:dyDescent="0.35"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</row>
    <row r="5" spans="2:19" x14ac:dyDescent="0.35">
      <c r="B5" s="41" t="s">
        <v>287</v>
      </c>
      <c r="C5" s="173"/>
      <c r="D5" s="173"/>
      <c r="E5" s="174"/>
      <c r="F5" s="47"/>
      <c r="G5" s="42" t="s">
        <v>119</v>
      </c>
      <c r="H5" s="307"/>
      <c r="I5" s="307"/>
      <c r="J5" s="307"/>
      <c r="K5" s="302"/>
      <c r="L5" s="302"/>
      <c r="M5" s="302">
        <v>144177</v>
      </c>
      <c r="N5" s="302">
        <f>'Alexandre Paradis 2025 v2'!N12</f>
        <v>133267</v>
      </c>
      <c r="O5" s="302">
        <f>'Alexandre Paradis 2025 v2'!O12</f>
        <v>0</v>
      </c>
      <c r="P5" s="302">
        <f>'Alexandre Paradis 2025 v2'!P12</f>
        <v>0</v>
      </c>
      <c r="Q5" s="302">
        <f>'Alexandre Paradis 2025 v2'!Q12</f>
        <v>0</v>
      </c>
      <c r="R5" s="302">
        <f>'Alexandre Paradis 2025 v2'!R12</f>
        <v>0</v>
      </c>
      <c r="S5" s="302">
        <f>'Alexandre Paradis 2025 v2'!S12</f>
        <v>0</v>
      </c>
    </row>
    <row r="6" spans="2:19" x14ac:dyDescent="0.35">
      <c r="B6" s="45" t="s">
        <v>269</v>
      </c>
      <c r="C6" s="176"/>
      <c r="D6" s="176"/>
      <c r="E6" s="177"/>
      <c r="F6" s="48"/>
      <c r="G6" s="40" t="s">
        <v>95</v>
      </c>
      <c r="H6" s="308"/>
      <c r="I6" s="308"/>
      <c r="J6" s="308"/>
      <c r="K6" s="303"/>
      <c r="L6" s="303"/>
      <c r="M6" s="303">
        <v>142300</v>
      </c>
      <c r="N6" s="303">
        <f>'Alexandre Paradis 2025 v2'!N13</f>
        <v>128700</v>
      </c>
      <c r="O6" s="303">
        <f>'Alexandre Paradis 2025 v2'!O13</f>
        <v>0</v>
      </c>
      <c r="P6" s="303">
        <f>'Alexandre Paradis 2025 v2'!P13</f>
        <v>0</v>
      </c>
      <c r="Q6" s="303">
        <f>'Alexandre Paradis 2025 v2'!Q13</f>
        <v>0</v>
      </c>
      <c r="R6" s="303">
        <f>'Alexandre Paradis 2025 v2'!R13</f>
        <v>0</v>
      </c>
      <c r="S6" s="303">
        <f>'Alexandre Paradis 2025 v2'!S13</f>
        <v>0</v>
      </c>
    </row>
    <row r="7" spans="2:19" x14ac:dyDescent="0.35">
      <c r="B7" s="45"/>
      <c r="C7" s="179" t="s">
        <v>129</v>
      </c>
      <c r="D7" s="179" t="s">
        <v>130</v>
      </c>
      <c r="E7" s="180" t="s">
        <v>131</v>
      </c>
      <c r="F7" s="48"/>
      <c r="G7" s="157" t="s">
        <v>37</v>
      </c>
      <c r="H7" s="181"/>
      <c r="I7" s="181"/>
      <c r="J7" s="181"/>
      <c r="K7" s="181"/>
      <c r="L7" s="181"/>
      <c r="M7" s="181">
        <f t="shared" ref="M7:S7" si="0">IFERROR(ROUND(M5/M6,3)," - - -")</f>
        <v>1.0129999999999999</v>
      </c>
      <c r="N7" s="181">
        <f t="shared" si="0"/>
        <v>1.0349999999999999</v>
      </c>
      <c r="O7" s="181" t="str">
        <f t="shared" si="0"/>
        <v xml:space="preserve"> - - -</v>
      </c>
      <c r="P7" s="181" t="str">
        <f t="shared" si="0"/>
        <v xml:space="preserve"> - - -</v>
      </c>
      <c r="Q7" s="181" t="str">
        <f t="shared" si="0"/>
        <v xml:space="preserve"> - - -</v>
      </c>
      <c r="R7" s="181" t="str">
        <f t="shared" si="0"/>
        <v xml:space="preserve"> - - -</v>
      </c>
      <c r="S7" s="181" t="str">
        <f t="shared" si="0"/>
        <v xml:space="preserve"> - - -</v>
      </c>
    </row>
    <row r="8" spans="2:19" x14ac:dyDescent="0.35">
      <c r="B8" s="45"/>
      <c r="C8" s="182">
        <v>0.85</v>
      </c>
      <c r="D8" s="182">
        <v>0.99990000000000001</v>
      </c>
      <c r="E8" s="202">
        <v>250</v>
      </c>
      <c r="F8" s="48"/>
      <c r="H8" s="183"/>
      <c r="I8" s="183"/>
      <c r="J8" s="183"/>
      <c r="K8" s="183"/>
      <c r="L8" s="183"/>
      <c r="M8" s="183">
        <f t="shared" ref="M8:S8" si="1">IF(AND(M7&gt;=$C8,M7&lt;=$D8),$E8,0)</f>
        <v>0</v>
      </c>
      <c r="N8" s="183">
        <f t="shared" si="1"/>
        <v>0</v>
      </c>
      <c r="O8" s="183">
        <f t="shared" si="1"/>
        <v>0</v>
      </c>
      <c r="P8" s="183">
        <f t="shared" si="1"/>
        <v>0</v>
      </c>
      <c r="Q8" s="183">
        <f t="shared" si="1"/>
        <v>0</v>
      </c>
      <c r="R8" s="183">
        <f t="shared" si="1"/>
        <v>0</v>
      </c>
      <c r="S8" s="183">
        <f t="shared" si="1"/>
        <v>0</v>
      </c>
    </row>
    <row r="9" spans="2:19" x14ac:dyDescent="0.35">
      <c r="B9" s="45"/>
      <c r="C9" s="182">
        <v>1</v>
      </c>
      <c r="D9" s="182">
        <v>1.0999000000000001</v>
      </c>
      <c r="E9" s="202">
        <v>750</v>
      </c>
      <c r="F9" s="48"/>
      <c r="H9" s="183"/>
      <c r="I9" s="183"/>
      <c r="J9" s="183"/>
      <c r="K9" s="183"/>
      <c r="L9" s="183"/>
      <c r="M9" s="183">
        <f t="shared" ref="M9:S9" si="2">IF(AND(M7&gt;=$C9,M7&lt;=$D9),$E9,0)</f>
        <v>750</v>
      </c>
      <c r="N9" s="183">
        <f t="shared" si="2"/>
        <v>750</v>
      </c>
      <c r="O9" s="183">
        <f t="shared" si="2"/>
        <v>0</v>
      </c>
      <c r="P9" s="183">
        <f t="shared" si="2"/>
        <v>0</v>
      </c>
      <c r="Q9" s="183">
        <f t="shared" si="2"/>
        <v>0</v>
      </c>
      <c r="R9" s="183">
        <f t="shared" si="2"/>
        <v>0</v>
      </c>
      <c r="S9" s="183">
        <f t="shared" si="2"/>
        <v>0</v>
      </c>
    </row>
    <row r="10" spans="2:19" x14ac:dyDescent="0.35">
      <c r="B10" s="45"/>
      <c r="C10" s="184">
        <v>1.1000000000000001</v>
      </c>
      <c r="D10" s="185" t="s">
        <v>132</v>
      </c>
      <c r="E10" s="202">
        <v>1250</v>
      </c>
      <c r="F10" s="48"/>
      <c r="H10" s="183"/>
      <c r="I10" s="183"/>
      <c r="J10" s="183"/>
      <c r="K10" s="183"/>
      <c r="L10" s="183"/>
      <c r="M10" s="183">
        <f t="shared" ref="M10:S10" si="3">IF(AND(M7&gt;=$C10,M7&lt;=$D10),$E10,0)</f>
        <v>0</v>
      </c>
      <c r="N10" s="183">
        <f t="shared" si="3"/>
        <v>0</v>
      </c>
      <c r="O10" s="183">
        <f t="shared" si="3"/>
        <v>1250</v>
      </c>
      <c r="P10" s="183">
        <f t="shared" si="3"/>
        <v>1250</v>
      </c>
      <c r="Q10" s="183">
        <f t="shared" si="3"/>
        <v>1250</v>
      </c>
      <c r="R10" s="183">
        <f t="shared" si="3"/>
        <v>1250</v>
      </c>
      <c r="S10" s="183">
        <f t="shared" si="3"/>
        <v>1250</v>
      </c>
    </row>
    <row r="11" spans="2:19" x14ac:dyDescent="0.35">
      <c r="B11" s="43"/>
      <c r="C11" s="44"/>
      <c r="D11" s="44"/>
      <c r="E11" s="44"/>
      <c r="F11" s="163"/>
      <c r="G11" s="186" t="s">
        <v>133</v>
      </c>
      <c r="H11" s="187"/>
      <c r="I11" s="187"/>
      <c r="J11" s="187"/>
      <c r="K11" s="187"/>
      <c r="L11" s="187"/>
      <c r="M11" s="187">
        <f t="shared" ref="M11:S11" si="4">SUM(M8:M10)</f>
        <v>750</v>
      </c>
      <c r="N11" s="187">
        <f t="shared" si="4"/>
        <v>750</v>
      </c>
      <c r="O11" s="187">
        <f t="shared" si="4"/>
        <v>1250</v>
      </c>
      <c r="P11" s="187">
        <f t="shared" si="4"/>
        <v>1250</v>
      </c>
      <c r="Q11" s="187">
        <f t="shared" si="4"/>
        <v>1250</v>
      </c>
      <c r="R11" s="187">
        <f t="shared" si="4"/>
        <v>1250</v>
      </c>
      <c r="S11" s="187">
        <f t="shared" si="4"/>
        <v>1250</v>
      </c>
    </row>
    <row r="12" spans="2:19" ht="8.25" customHeight="1" x14ac:dyDescent="0.35"/>
    <row r="13" spans="2:19" x14ac:dyDescent="0.35">
      <c r="B13" s="41" t="s">
        <v>722</v>
      </c>
      <c r="C13" s="173"/>
      <c r="D13" s="173"/>
      <c r="E13" s="174"/>
      <c r="F13" s="47"/>
      <c r="G13" s="208" t="s">
        <v>119</v>
      </c>
      <c r="H13" s="307"/>
      <c r="I13" s="307"/>
      <c r="J13" s="307"/>
      <c r="K13" s="307"/>
      <c r="L13" s="302"/>
      <c r="M13" s="408">
        <v>30</v>
      </c>
      <c r="N13" s="408">
        <v>26</v>
      </c>
      <c r="O13" s="409">
        <v>0</v>
      </c>
      <c r="P13" s="409">
        <v>0</v>
      </c>
      <c r="Q13" s="409">
        <v>0</v>
      </c>
      <c r="R13" s="409">
        <v>0</v>
      </c>
      <c r="S13" s="409">
        <v>0</v>
      </c>
    </row>
    <row r="14" spans="2:19" x14ac:dyDescent="0.35">
      <c r="B14" s="777"/>
      <c r="C14" s="176"/>
      <c r="D14" s="176"/>
      <c r="E14" s="177"/>
      <c r="F14" s="48"/>
      <c r="G14" s="209" t="s">
        <v>95</v>
      </c>
      <c r="H14" s="308"/>
      <c r="I14" s="308"/>
      <c r="J14" s="308"/>
      <c r="K14" s="308"/>
      <c r="L14" s="303"/>
      <c r="M14" s="409">
        <v>38</v>
      </c>
      <c r="N14" s="409">
        <v>20</v>
      </c>
      <c r="O14" s="409">
        <v>0</v>
      </c>
      <c r="P14" s="409">
        <v>0</v>
      </c>
      <c r="Q14" s="409">
        <v>0</v>
      </c>
      <c r="R14" s="409">
        <v>0</v>
      </c>
      <c r="S14" s="409">
        <v>0</v>
      </c>
    </row>
    <row r="15" spans="2:19" x14ac:dyDescent="0.35">
      <c r="B15" s="775"/>
      <c r="C15" s="179" t="s">
        <v>129</v>
      </c>
      <c r="D15" s="179" t="s">
        <v>130</v>
      </c>
      <c r="E15" s="180" t="s">
        <v>131</v>
      </c>
      <c r="F15" s="48"/>
      <c r="G15" s="210" t="s">
        <v>37</v>
      </c>
      <c r="H15" s="181"/>
      <c r="I15" s="181"/>
      <c r="J15" s="181"/>
      <c r="K15" s="181"/>
      <c r="L15" s="181"/>
      <c r="M15" s="181">
        <v>1</v>
      </c>
      <c r="N15" s="181">
        <f t="shared" ref="N15:S15" si="5">IFERROR(ROUND(N13/N14,3)," - - -")</f>
        <v>1.3</v>
      </c>
      <c r="O15" s="181" t="str">
        <f t="shared" si="5"/>
        <v xml:space="preserve"> - - -</v>
      </c>
      <c r="P15" s="181" t="str">
        <f t="shared" si="5"/>
        <v xml:space="preserve"> - - -</v>
      </c>
      <c r="Q15" s="181" t="str">
        <f t="shared" si="5"/>
        <v xml:space="preserve"> - - -</v>
      </c>
      <c r="R15" s="181" t="str">
        <f t="shared" si="5"/>
        <v xml:space="preserve"> - - -</v>
      </c>
      <c r="S15" s="181" t="str">
        <f t="shared" si="5"/>
        <v xml:space="preserve"> - - -</v>
      </c>
    </row>
    <row r="16" spans="2:19" x14ac:dyDescent="0.35">
      <c r="B16" s="775"/>
      <c r="C16" s="182">
        <v>0.9</v>
      </c>
      <c r="D16" s="182">
        <v>0.99990000000000001</v>
      </c>
      <c r="E16" s="202">
        <v>150</v>
      </c>
      <c r="F16" s="48"/>
      <c r="G16" s="209"/>
      <c r="H16" s="183"/>
      <c r="I16" s="183"/>
      <c r="J16" s="183"/>
      <c r="K16" s="183"/>
      <c r="L16" s="183"/>
      <c r="M16" s="183">
        <f t="shared" ref="M16:S18" si="6">IF(AND(M$15&gt;=$C16,M$15&lt;=$D16),$E16,0)</f>
        <v>0</v>
      </c>
      <c r="N16" s="183">
        <f t="shared" si="6"/>
        <v>0</v>
      </c>
      <c r="O16" s="183">
        <f t="shared" si="6"/>
        <v>0</v>
      </c>
      <c r="P16" s="183">
        <f t="shared" si="6"/>
        <v>0</v>
      </c>
      <c r="Q16" s="183">
        <f t="shared" si="6"/>
        <v>0</v>
      </c>
      <c r="R16" s="183">
        <f t="shared" si="6"/>
        <v>0</v>
      </c>
      <c r="S16" s="183">
        <f t="shared" si="6"/>
        <v>0</v>
      </c>
    </row>
    <row r="17" spans="2:19" x14ac:dyDescent="0.35">
      <c r="B17" s="45"/>
      <c r="C17" s="182">
        <v>1</v>
      </c>
      <c r="D17" s="182">
        <v>1.1999</v>
      </c>
      <c r="E17" s="202">
        <v>350</v>
      </c>
      <c r="F17" s="48"/>
      <c r="G17" s="209"/>
      <c r="H17" s="183"/>
      <c r="I17" s="183"/>
      <c r="J17" s="183"/>
      <c r="K17" s="183"/>
      <c r="L17" s="183"/>
      <c r="M17" s="183">
        <f t="shared" si="6"/>
        <v>350</v>
      </c>
      <c r="N17" s="183">
        <f t="shared" si="6"/>
        <v>0</v>
      </c>
      <c r="O17" s="183">
        <f t="shared" si="6"/>
        <v>0</v>
      </c>
      <c r="P17" s="183">
        <f t="shared" si="6"/>
        <v>0</v>
      </c>
      <c r="Q17" s="183">
        <f t="shared" si="6"/>
        <v>0</v>
      </c>
      <c r="R17" s="183">
        <f t="shared" si="6"/>
        <v>0</v>
      </c>
      <c r="S17" s="183">
        <f t="shared" si="6"/>
        <v>0</v>
      </c>
    </row>
    <row r="18" spans="2:19" x14ac:dyDescent="0.35">
      <c r="B18" s="45"/>
      <c r="C18" s="184">
        <v>1.2</v>
      </c>
      <c r="D18" s="185" t="s">
        <v>132</v>
      </c>
      <c r="E18" s="202">
        <v>500</v>
      </c>
      <c r="F18" s="48"/>
      <c r="G18" s="209"/>
      <c r="H18" s="183"/>
      <c r="I18" s="183"/>
      <c r="J18" s="183"/>
      <c r="K18" s="183"/>
      <c r="L18" s="183"/>
      <c r="M18" s="183">
        <f t="shared" si="6"/>
        <v>0</v>
      </c>
      <c r="N18" s="183">
        <f t="shared" si="6"/>
        <v>500</v>
      </c>
      <c r="O18" s="183">
        <f t="shared" si="6"/>
        <v>500</v>
      </c>
      <c r="P18" s="183">
        <f t="shared" si="6"/>
        <v>500</v>
      </c>
      <c r="Q18" s="183">
        <f t="shared" si="6"/>
        <v>500</v>
      </c>
      <c r="R18" s="183">
        <f t="shared" si="6"/>
        <v>500</v>
      </c>
      <c r="S18" s="183">
        <f t="shared" si="6"/>
        <v>500</v>
      </c>
    </row>
    <row r="19" spans="2:19" x14ac:dyDescent="0.35">
      <c r="B19" s="43"/>
      <c r="C19" s="44"/>
      <c r="D19" s="44"/>
      <c r="E19" s="44"/>
      <c r="F19" s="163"/>
      <c r="G19" s="211" t="s">
        <v>133</v>
      </c>
      <c r="H19" s="187"/>
      <c r="I19" s="187"/>
      <c r="J19" s="187"/>
      <c r="K19" s="187"/>
      <c r="L19" s="187"/>
      <c r="M19" s="187">
        <f t="shared" ref="M19:S19" si="7">SUM(M16:M18)</f>
        <v>350</v>
      </c>
      <c r="N19" s="187">
        <f t="shared" si="7"/>
        <v>500</v>
      </c>
      <c r="O19" s="187">
        <f t="shared" si="7"/>
        <v>500</v>
      </c>
      <c r="P19" s="187">
        <f t="shared" si="7"/>
        <v>500</v>
      </c>
      <c r="Q19" s="187">
        <f t="shared" si="7"/>
        <v>500</v>
      </c>
      <c r="R19" s="187">
        <f t="shared" si="7"/>
        <v>500</v>
      </c>
      <c r="S19" s="187">
        <f t="shared" si="7"/>
        <v>500</v>
      </c>
    </row>
    <row r="20" spans="2:19" ht="8.25" customHeight="1" x14ac:dyDescent="0.35"/>
    <row r="21" spans="2:19" x14ac:dyDescent="0.35">
      <c r="B21" s="41" t="s">
        <v>721</v>
      </c>
      <c r="C21" s="173"/>
      <c r="D21" s="173"/>
      <c r="E21" s="174"/>
      <c r="F21" s="47"/>
      <c r="G21" s="373" t="s">
        <v>37</v>
      </c>
      <c r="H21" s="321"/>
      <c r="I21" s="321"/>
      <c r="J21" s="321"/>
      <c r="K21" s="321"/>
      <c r="L21" s="321"/>
      <c r="M21" s="321">
        <v>0.85</v>
      </c>
      <c r="N21" s="321">
        <v>0.85</v>
      </c>
      <c r="O21" s="321">
        <f>'Alexandre Paradis 2025 v2'!O35</f>
        <v>0</v>
      </c>
      <c r="P21" s="321">
        <f>'Alexandre Paradis 2025 v2'!P35</f>
        <v>0</v>
      </c>
      <c r="Q21" s="321">
        <f>'Alexandre Paradis 2025 v2'!Q35</f>
        <v>0</v>
      </c>
      <c r="R21" s="321">
        <f>'Alexandre Paradis 2025 v2'!R35</f>
        <v>0</v>
      </c>
      <c r="S21" s="321">
        <f>'Alexandre Paradis 2025 v2'!S35</f>
        <v>0</v>
      </c>
    </row>
    <row r="22" spans="2:19" x14ac:dyDescent="0.35">
      <c r="B22" s="45"/>
      <c r="C22" s="179" t="s">
        <v>129</v>
      </c>
      <c r="D22" s="179" t="s">
        <v>130</v>
      </c>
      <c r="E22" s="180" t="s">
        <v>131</v>
      </c>
      <c r="F22" s="48"/>
      <c r="G22" s="210"/>
      <c r="H22" s="181"/>
      <c r="I22" s="181"/>
      <c r="J22" s="181"/>
      <c r="K22" s="181"/>
      <c r="L22" s="181"/>
      <c r="M22" s="181"/>
      <c r="N22" s="181"/>
      <c r="O22" s="181"/>
      <c r="P22" s="181"/>
      <c r="Q22" s="181"/>
      <c r="R22" s="181"/>
      <c r="S22" s="181"/>
    </row>
    <row r="23" spans="2:19" x14ac:dyDescent="0.35">
      <c r="B23" s="45"/>
      <c r="C23" s="182">
        <v>0</v>
      </c>
      <c r="D23" s="182">
        <v>0.79990000000000006</v>
      </c>
      <c r="E23" s="202">
        <v>0</v>
      </c>
      <c r="F23" s="48"/>
      <c r="G23" s="209"/>
      <c r="H23" s="183"/>
      <c r="I23" s="183"/>
      <c r="J23" s="183"/>
      <c r="K23" s="183"/>
      <c r="L23" s="183"/>
      <c r="M23" s="183">
        <f t="shared" ref="M23:S23" si="8">IF(AND(M21&gt;=$C23,M21&lt;=$D23),$E23,0)</f>
        <v>0</v>
      </c>
      <c r="N23" s="183">
        <f t="shared" si="8"/>
        <v>0</v>
      </c>
      <c r="O23" s="183">
        <f t="shared" si="8"/>
        <v>0</v>
      </c>
      <c r="P23" s="183">
        <f t="shared" si="8"/>
        <v>0</v>
      </c>
      <c r="Q23" s="183">
        <f t="shared" si="8"/>
        <v>0</v>
      </c>
      <c r="R23" s="183">
        <f t="shared" si="8"/>
        <v>0</v>
      </c>
      <c r="S23" s="183">
        <f t="shared" si="8"/>
        <v>0</v>
      </c>
    </row>
    <row r="24" spans="2:19" x14ac:dyDescent="0.35">
      <c r="B24" s="45"/>
      <c r="C24" s="182">
        <v>0.8</v>
      </c>
      <c r="D24" s="182">
        <v>0.88990000000000002</v>
      </c>
      <c r="E24" s="202">
        <v>100</v>
      </c>
      <c r="F24" s="48"/>
      <c r="G24" s="209"/>
      <c r="H24" s="183"/>
      <c r="I24" s="183"/>
      <c r="J24" s="183"/>
      <c r="K24" s="183"/>
      <c r="L24" s="183"/>
      <c r="M24" s="183">
        <f t="shared" ref="M24:S24" si="9">IF(AND(M21&gt;=$C24,M21&lt;=$D24),$E24,0)</f>
        <v>100</v>
      </c>
      <c r="N24" s="183">
        <f t="shared" si="9"/>
        <v>100</v>
      </c>
      <c r="O24" s="183">
        <f t="shared" si="9"/>
        <v>0</v>
      </c>
      <c r="P24" s="183">
        <f t="shared" si="9"/>
        <v>0</v>
      </c>
      <c r="Q24" s="183">
        <f t="shared" si="9"/>
        <v>0</v>
      </c>
      <c r="R24" s="183">
        <f t="shared" si="9"/>
        <v>0</v>
      </c>
      <c r="S24" s="183">
        <f t="shared" si="9"/>
        <v>0</v>
      </c>
    </row>
    <row r="25" spans="2:19" x14ac:dyDescent="0.35">
      <c r="B25" s="45"/>
      <c r="C25" s="184">
        <v>0.89</v>
      </c>
      <c r="D25" s="185" t="s">
        <v>132</v>
      </c>
      <c r="E25" s="202">
        <v>250</v>
      </c>
      <c r="F25" s="48"/>
      <c r="G25" s="374"/>
      <c r="H25" s="183"/>
      <c r="I25" s="183"/>
      <c r="J25" s="183"/>
      <c r="K25" s="183"/>
      <c r="L25" s="183"/>
      <c r="M25" s="183">
        <f t="shared" ref="M25:S25" si="10">IF(AND(M21&gt;=$C25,M21&lt;=$D25),$E25,0)</f>
        <v>0</v>
      </c>
      <c r="N25" s="183">
        <f t="shared" si="10"/>
        <v>0</v>
      </c>
      <c r="O25" s="183">
        <f t="shared" si="10"/>
        <v>0</v>
      </c>
      <c r="P25" s="183">
        <f t="shared" si="10"/>
        <v>0</v>
      </c>
      <c r="Q25" s="183">
        <f t="shared" si="10"/>
        <v>0</v>
      </c>
      <c r="R25" s="183">
        <f t="shared" si="10"/>
        <v>0</v>
      </c>
      <c r="S25" s="183">
        <f t="shared" si="10"/>
        <v>0</v>
      </c>
    </row>
    <row r="26" spans="2:19" x14ac:dyDescent="0.35">
      <c r="B26" s="43"/>
      <c r="C26" s="44"/>
      <c r="D26" s="44"/>
      <c r="E26" s="44"/>
      <c r="F26" s="163"/>
      <c r="G26" s="186" t="s">
        <v>133</v>
      </c>
      <c r="H26" s="187"/>
      <c r="I26" s="187"/>
      <c r="J26" s="187"/>
      <c r="K26" s="187"/>
      <c r="L26" s="187"/>
      <c r="M26" s="187">
        <f t="shared" ref="M26:S26" si="11">SUM(M23:M25)</f>
        <v>100</v>
      </c>
      <c r="N26" s="187">
        <f t="shared" si="11"/>
        <v>100</v>
      </c>
      <c r="O26" s="187">
        <f t="shared" si="11"/>
        <v>0</v>
      </c>
      <c r="P26" s="187">
        <f t="shared" si="11"/>
        <v>0</v>
      </c>
      <c r="Q26" s="187">
        <f t="shared" si="11"/>
        <v>0</v>
      </c>
      <c r="R26" s="187">
        <f t="shared" si="11"/>
        <v>0</v>
      </c>
      <c r="S26" s="187">
        <f t="shared" si="11"/>
        <v>0</v>
      </c>
    </row>
    <row r="27" spans="2:19" x14ac:dyDescent="0.35"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</row>
    <row r="28" spans="2:19" hidden="1" x14ac:dyDescent="0.35">
      <c r="G28" s="139" t="s">
        <v>285</v>
      </c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</row>
    <row r="30" spans="2:19" ht="15" thickBot="1" x14ac:dyDescent="0.4">
      <c r="E30" s="188"/>
      <c r="G30" s="188" t="s">
        <v>149</v>
      </c>
      <c r="H30" s="275"/>
      <c r="I30" s="275"/>
      <c r="J30" s="275"/>
      <c r="K30" s="275"/>
      <c r="L30" s="275"/>
      <c r="M30" s="275">
        <f>(M11+M19+M26)/4*3</f>
        <v>900</v>
      </c>
      <c r="N30" s="275">
        <f t="shared" ref="N30:S30" si="12">N11+N19+N26</f>
        <v>1350</v>
      </c>
      <c r="O30" s="275">
        <f t="shared" si="12"/>
        <v>1750</v>
      </c>
      <c r="P30" s="275">
        <f t="shared" si="12"/>
        <v>1750</v>
      </c>
      <c r="Q30" s="275">
        <f t="shared" si="12"/>
        <v>1750</v>
      </c>
      <c r="R30" s="275">
        <f t="shared" si="12"/>
        <v>1750</v>
      </c>
      <c r="S30" s="275">
        <f t="shared" si="12"/>
        <v>1750</v>
      </c>
    </row>
    <row r="31" spans="2:19" ht="15" thickTop="1" x14ac:dyDescent="0.35"/>
  </sheetData>
  <mergeCells count="1">
    <mergeCell ref="B14:B16"/>
  </mergeCells>
  <pageMargins left="0.7" right="0.7" top="0.75" bottom="0.75" header="0.3" footer="0.3"/>
  <pageSetup scale="57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1:W50"/>
  <sheetViews>
    <sheetView zoomScale="90" zoomScaleNormal="90" workbookViewId="0">
      <pane xSplit="7" ySplit="3" topLeftCell="H4" activePane="bottomRight" state="frozen"/>
      <selection pane="topRight" activeCell="H1" sqref="H1"/>
      <selection pane="bottomLeft" activeCell="A4" sqref="A4"/>
      <selection pane="bottomRight" activeCell="M1" sqref="M1:M1048576"/>
    </sheetView>
  </sheetViews>
  <sheetFormatPr baseColWidth="10" defaultColWidth="11.453125" defaultRowHeight="14.5" x14ac:dyDescent="0.35"/>
  <cols>
    <col min="1" max="1" width="3.7265625" style="40" customWidth="1"/>
    <col min="2" max="2" width="30.54296875" style="40" bestFit="1" customWidth="1"/>
    <col min="3" max="4" width="10.7265625" style="40" customWidth="1"/>
    <col min="5" max="5" width="10.54296875" style="40" bestFit="1" customWidth="1"/>
    <col min="6" max="6" width="1.7265625" style="40" customWidth="1"/>
    <col min="7" max="7" width="11.453125" style="40"/>
    <col min="8" max="8" width="10.453125" style="40" hidden="1" customWidth="1"/>
    <col min="9" max="9" width="11.453125" style="40" hidden="1" customWidth="1"/>
    <col min="10" max="10" width="11.7265625" style="40" hidden="1" customWidth="1"/>
    <col min="11" max="12" width="11.453125" style="40" hidden="1" customWidth="1"/>
    <col min="13" max="13" width="12.1796875" style="40" hidden="1" customWidth="1"/>
    <col min="14" max="15" width="11.453125" style="40" customWidth="1"/>
    <col min="16" max="16" width="12.1796875" style="40" customWidth="1"/>
    <col min="17" max="18" width="11.453125" style="40" customWidth="1"/>
    <col min="19" max="19" width="12.1796875" style="40" bestFit="1" customWidth="1"/>
    <col min="20" max="20" width="11.453125" style="40"/>
    <col min="21" max="21" width="16" style="40" bestFit="1" customWidth="1"/>
    <col min="22" max="16384" width="11.453125" style="40"/>
  </cols>
  <sheetData>
    <row r="1" spans="2:23" x14ac:dyDescent="0.35">
      <c r="B1" s="301" t="s">
        <v>235</v>
      </c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9"/>
    </row>
    <row r="2" spans="2:23" ht="8.25" customHeight="1" x14ac:dyDescent="0.35"/>
    <row r="3" spans="2:23" x14ac:dyDescent="0.35">
      <c r="B3" s="170" t="s">
        <v>126</v>
      </c>
      <c r="C3" s="171"/>
      <c r="D3" s="171"/>
      <c r="H3" s="172">
        <v>45688</v>
      </c>
      <c r="I3" s="172">
        <v>45716</v>
      </c>
      <c r="J3" s="172">
        <v>45747</v>
      </c>
      <c r="K3" s="172">
        <v>45777</v>
      </c>
      <c r="L3" s="172">
        <v>45808</v>
      </c>
      <c r="M3" s="172">
        <v>45838</v>
      </c>
      <c r="N3" s="172">
        <v>45869</v>
      </c>
      <c r="O3" s="172">
        <v>45900</v>
      </c>
      <c r="P3" s="172">
        <v>45930</v>
      </c>
      <c r="Q3" s="172">
        <v>45961</v>
      </c>
      <c r="R3" s="172">
        <v>45991</v>
      </c>
      <c r="S3" s="172">
        <v>46022</v>
      </c>
    </row>
    <row r="4" spans="2:23" x14ac:dyDescent="0.35">
      <c r="B4" s="41" t="s">
        <v>127</v>
      </c>
      <c r="C4" s="173"/>
      <c r="D4" s="173"/>
      <c r="E4" s="174"/>
      <c r="F4" s="47"/>
      <c r="G4" s="42" t="s">
        <v>119</v>
      </c>
      <c r="H4" s="302">
        <v>30183</v>
      </c>
      <c r="I4" s="302">
        <v>54294</v>
      </c>
      <c r="J4" s="302">
        <v>106190</v>
      </c>
      <c r="K4" s="302">
        <v>105484</v>
      </c>
      <c r="L4" s="302">
        <f>117247+19245</f>
        <v>136492</v>
      </c>
      <c r="M4" s="302">
        <v>104201</v>
      </c>
      <c r="N4" s="302">
        <v>132677</v>
      </c>
      <c r="O4" s="302">
        <v>0</v>
      </c>
      <c r="P4" s="302">
        <v>0</v>
      </c>
      <c r="Q4" s="302">
        <v>0</v>
      </c>
      <c r="R4" s="302">
        <v>0</v>
      </c>
      <c r="S4" s="302">
        <v>0</v>
      </c>
      <c r="W4" s="146"/>
    </row>
    <row r="5" spans="2:23" x14ac:dyDescent="0.35">
      <c r="B5" s="45" t="s">
        <v>238</v>
      </c>
      <c r="C5" s="176"/>
      <c r="D5" s="176"/>
      <c r="E5" s="177"/>
      <c r="F5" s="48"/>
      <c r="G5" s="40" t="s">
        <v>95</v>
      </c>
      <c r="H5" s="303">
        <v>23140</v>
      </c>
      <c r="I5" s="303">
        <v>14921</v>
      </c>
      <c r="J5" s="303">
        <v>33534</v>
      </c>
      <c r="K5" s="303">
        <v>134821</v>
      </c>
      <c r="L5" s="303">
        <v>111544</v>
      </c>
      <c r="M5" s="303">
        <v>88623</v>
      </c>
      <c r="N5" s="303">
        <v>85305</v>
      </c>
      <c r="O5" s="303">
        <v>0</v>
      </c>
      <c r="P5" s="303">
        <v>0</v>
      </c>
      <c r="Q5" s="303">
        <v>0</v>
      </c>
      <c r="R5" s="303">
        <v>0</v>
      </c>
      <c r="S5" s="303">
        <v>0</v>
      </c>
      <c r="W5" s="146"/>
    </row>
    <row r="6" spans="2:23" x14ac:dyDescent="0.35">
      <c r="B6" s="45"/>
      <c r="C6" s="179" t="s">
        <v>129</v>
      </c>
      <c r="D6" s="179" t="s">
        <v>130</v>
      </c>
      <c r="E6" s="180" t="s">
        <v>131</v>
      </c>
      <c r="F6" s="48"/>
      <c r="G6" s="157" t="s">
        <v>37</v>
      </c>
      <c r="H6" s="181">
        <f t="shared" ref="H6" si="0">IFERROR(ROUND(H4/H5,3)," - - -")</f>
        <v>1.304</v>
      </c>
      <c r="I6" s="181">
        <f t="shared" ref="I6:S6" si="1">IFERROR(ROUND(I4/I5,3)," - - -")</f>
        <v>3.6389999999999998</v>
      </c>
      <c r="J6" s="181">
        <f t="shared" si="1"/>
        <v>3.1669999999999998</v>
      </c>
      <c r="K6" s="181">
        <v>0.8</v>
      </c>
      <c r="L6" s="181">
        <f t="shared" si="1"/>
        <v>1.224</v>
      </c>
      <c r="M6" s="181">
        <f t="shared" si="1"/>
        <v>1.1759999999999999</v>
      </c>
      <c r="N6" s="181">
        <f t="shared" si="1"/>
        <v>1.5549999999999999</v>
      </c>
      <c r="O6" s="181" t="str">
        <f t="shared" si="1"/>
        <v xml:space="preserve"> - - -</v>
      </c>
      <c r="P6" s="181" t="str">
        <f t="shared" si="1"/>
        <v xml:space="preserve"> - - -</v>
      </c>
      <c r="Q6" s="181" t="str">
        <f t="shared" si="1"/>
        <v xml:space="preserve"> - - -</v>
      </c>
      <c r="R6" s="181" t="str">
        <f t="shared" si="1"/>
        <v xml:space="preserve"> - - -</v>
      </c>
      <c r="S6" s="181" t="str">
        <f t="shared" si="1"/>
        <v xml:space="preserve"> - - -</v>
      </c>
    </row>
    <row r="7" spans="2:23" x14ac:dyDescent="0.35">
      <c r="B7" s="45"/>
      <c r="C7" s="182">
        <v>0.8</v>
      </c>
      <c r="D7" s="182">
        <v>0.99990000000000001</v>
      </c>
      <c r="E7" s="202">
        <v>1720</v>
      </c>
      <c r="F7" s="48"/>
      <c r="H7" s="183">
        <f t="shared" ref="H7:S9" si="2">IF(AND(H$6&gt;=$C7,H$6&lt;=$D7),$E7,0)</f>
        <v>0</v>
      </c>
      <c r="I7" s="183">
        <f t="shared" si="2"/>
        <v>0</v>
      </c>
      <c r="J7" s="183">
        <f t="shared" si="2"/>
        <v>0</v>
      </c>
      <c r="K7" s="183">
        <f t="shared" si="2"/>
        <v>1720</v>
      </c>
      <c r="L7" s="183">
        <f t="shared" si="2"/>
        <v>0</v>
      </c>
      <c r="M7" s="183">
        <f t="shared" si="2"/>
        <v>0</v>
      </c>
      <c r="N7" s="183">
        <f t="shared" si="2"/>
        <v>0</v>
      </c>
      <c r="O7" s="183">
        <f t="shared" si="2"/>
        <v>0</v>
      </c>
      <c r="P7" s="183">
        <f t="shared" si="2"/>
        <v>0</v>
      </c>
      <c r="Q7" s="183">
        <f t="shared" si="2"/>
        <v>0</v>
      </c>
      <c r="R7" s="183">
        <f t="shared" si="2"/>
        <v>0</v>
      </c>
      <c r="S7" s="183">
        <f t="shared" si="2"/>
        <v>0</v>
      </c>
    </row>
    <row r="8" spans="2:23" x14ac:dyDescent="0.35">
      <c r="B8" s="45"/>
      <c r="C8" s="182">
        <v>1</v>
      </c>
      <c r="D8" s="182">
        <v>1.1999</v>
      </c>
      <c r="E8" s="202">
        <v>2150</v>
      </c>
      <c r="F8" s="48"/>
      <c r="H8" s="183">
        <f t="shared" si="2"/>
        <v>0</v>
      </c>
      <c r="I8" s="183">
        <f t="shared" si="2"/>
        <v>0</v>
      </c>
      <c r="J8" s="183">
        <f t="shared" si="2"/>
        <v>0</v>
      </c>
      <c r="K8" s="183">
        <f t="shared" si="2"/>
        <v>0</v>
      </c>
      <c r="L8" s="183">
        <f t="shared" si="2"/>
        <v>0</v>
      </c>
      <c r="M8" s="183">
        <f t="shared" si="2"/>
        <v>2150</v>
      </c>
      <c r="N8" s="183">
        <f t="shared" si="2"/>
        <v>0</v>
      </c>
      <c r="O8" s="183">
        <f t="shared" si="2"/>
        <v>0</v>
      </c>
      <c r="P8" s="183">
        <f t="shared" si="2"/>
        <v>0</v>
      </c>
      <c r="Q8" s="183">
        <f t="shared" si="2"/>
        <v>0</v>
      </c>
      <c r="R8" s="183">
        <f t="shared" si="2"/>
        <v>0</v>
      </c>
      <c r="S8" s="183">
        <f t="shared" si="2"/>
        <v>0</v>
      </c>
    </row>
    <row r="9" spans="2:23" x14ac:dyDescent="0.35">
      <c r="B9" s="45"/>
      <c r="C9" s="184">
        <v>1.2</v>
      </c>
      <c r="D9" s="185" t="s">
        <v>132</v>
      </c>
      <c r="E9" s="202">
        <v>2580</v>
      </c>
      <c r="F9" s="48"/>
      <c r="H9" s="183">
        <f t="shared" si="2"/>
        <v>2580</v>
      </c>
      <c r="I9" s="183">
        <f t="shared" si="2"/>
        <v>2580</v>
      </c>
      <c r="J9" s="183">
        <f t="shared" si="2"/>
        <v>2580</v>
      </c>
      <c r="K9" s="183">
        <f t="shared" si="2"/>
        <v>0</v>
      </c>
      <c r="L9" s="183">
        <f t="shared" si="2"/>
        <v>2580</v>
      </c>
      <c r="M9" s="183">
        <f t="shared" si="2"/>
        <v>0</v>
      </c>
      <c r="N9" s="183">
        <f t="shared" si="2"/>
        <v>2580</v>
      </c>
      <c r="O9" s="183">
        <f t="shared" si="2"/>
        <v>2580</v>
      </c>
      <c r="P9" s="183">
        <f t="shared" si="2"/>
        <v>2580</v>
      </c>
      <c r="Q9" s="183">
        <f t="shared" si="2"/>
        <v>2580</v>
      </c>
      <c r="R9" s="183">
        <f t="shared" si="2"/>
        <v>2580</v>
      </c>
      <c r="S9" s="183">
        <f t="shared" si="2"/>
        <v>2580</v>
      </c>
    </row>
    <row r="10" spans="2:23" x14ac:dyDescent="0.35">
      <c r="B10" s="43"/>
      <c r="C10" s="44"/>
      <c r="D10" s="44"/>
      <c r="E10" s="44"/>
      <c r="F10" s="163"/>
      <c r="G10" s="186" t="s">
        <v>133</v>
      </c>
      <c r="H10" s="187">
        <f>SUM(H7:H9)</f>
        <v>2580</v>
      </c>
      <c r="I10" s="187">
        <f t="shared" ref="I10:S10" si="3">SUM(I7:I9)</f>
        <v>2580</v>
      </c>
      <c r="J10" s="187">
        <f t="shared" si="3"/>
        <v>2580</v>
      </c>
      <c r="K10" s="187">
        <f t="shared" si="3"/>
        <v>1720</v>
      </c>
      <c r="L10" s="187">
        <f t="shared" si="3"/>
        <v>2580</v>
      </c>
      <c r="M10" s="187">
        <f t="shared" si="3"/>
        <v>2150</v>
      </c>
      <c r="N10" s="187">
        <f t="shared" si="3"/>
        <v>2580</v>
      </c>
      <c r="O10" s="187">
        <f t="shared" si="3"/>
        <v>2580</v>
      </c>
      <c r="P10" s="187">
        <f t="shared" si="3"/>
        <v>2580</v>
      </c>
      <c r="Q10" s="187">
        <f t="shared" si="3"/>
        <v>2580</v>
      </c>
      <c r="R10" s="187">
        <f t="shared" si="3"/>
        <v>2580</v>
      </c>
      <c r="S10" s="187">
        <f t="shared" si="3"/>
        <v>2580</v>
      </c>
    </row>
    <row r="11" spans="2:23" ht="8.25" customHeight="1" x14ac:dyDescent="0.35">
      <c r="H11" s="146"/>
      <c r="I11" s="146"/>
      <c r="J11" s="146"/>
      <c r="K11" s="146"/>
      <c r="L11" s="146"/>
      <c r="M11" s="146"/>
      <c r="N11" s="146"/>
      <c r="O11" s="146"/>
      <c r="P11" s="146"/>
      <c r="Q11" s="146"/>
      <c r="R11" s="146"/>
      <c r="S11" s="146"/>
    </row>
    <row r="12" spans="2:23" x14ac:dyDescent="0.35">
      <c r="B12" s="41" t="s">
        <v>134</v>
      </c>
      <c r="C12" s="173"/>
      <c r="D12" s="173"/>
      <c r="E12" s="174"/>
      <c r="F12" s="47"/>
      <c r="G12" s="42" t="s">
        <v>119</v>
      </c>
      <c r="H12" s="302">
        <v>184054</v>
      </c>
      <c r="I12" s="302">
        <v>178542</v>
      </c>
      <c r="J12" s="302">
        <v>219030</v>
      </c>
      <c r="K12" s="302">
        <v>273402</v>
      </c>
      <c r="L12" s="302">
        <v>284042</v>
      </c>
      <c r="M12" s="302">
        <v>226781</v>
      </c>
      <c r="N12" s="302">
        <v>241303</v>
      </c>
      <c r="O12" s="302">
        <v>0</v>
      </c>
      <c r="P12" s="302">
        <v>0</v>
      </c>
      <c r="Q12" s="302">
        <v>0</v>
      </c>
      <c r="R12" s="302">
        <v>0</v>
      </c>
      <c r="S12" s="302">
        <v>0</v>
      </c>
    </row>
    <row r="13" spans="2:23" x14ac:dyDescent="0.35">
      <c r="B13" s="45" t="s">
        <v>238</v>
      </c>
      <c r="C13" s="176"/>
      <c r="D13" s="176"/>
      <c r="E13" s="177"/>
      <c r="F13" s="48"/>
      <c r="G13" s="40" t="s">
        <v>95</v>
      </c>
      <c r="H13" s="303">
        <v>159257</v>
      </c>
      <c r="I13" s="303">
        <v>146481</v>
      </c>
      <c r="J13" s="303">
        <v>176957</v>
      </c>
      <c r="K13" s="303">
        <v>281294</v>
      </c>
      <c r="L13" s="303">
        <v>280442</v>
      </c>
      <c r="M13" s="303">
        <v>208358</v>
      </c>
      <c r="N13" s="303">
        <v>212693</v>
      </c>
      <c r="O13" s="303">
        <v>0</v>
      </c>
      <c r="P13" s="303">
        <v>0</v>
      </c>
      <c r="Q13" s="303">
        <v>0</v>
      </c>
      <c r="R13" s="303">
        <v>0</v>
      </c>
      <c r="S13" s="303">
        <v>0</v>
      </c>
    </row>
    <row r="14" spans="2:23" x14ac:dyDescent="0.35">
      <c r="B14" s="45"/>
      <c r="C14" s="179" t="s">
        <v>129</v>
      </c>
      <c r="D14" s="179" t="s">
        <v>130</v>
      </c>
      <c r="E14" s="180" t="s">
        <v>131</v>
      </c>
      <c r="F14" s="48"/>
      <c r="G14" s="157" t="s">
        <v>37</v>
      </c>
      <c r="H14" s="181">
        <f t="shared" ref="H14" si="4">IFERROR(ROUND(H12/H13,3)," - - -")</f>
        <v>1.1559999999999999</v>
      </c>
      <c r="I14" s="181">
        <f t="shared" ref="I14:S14" si="5">IFERROR(ROUND(I12/I13,3)," - - -")</f>
        <v>1.2190000000000001</v>
      </c>
      <c r="J14" s="181">
        <f t="shared" si="5"/>
        <v>1.238</v>
      </c>
      <c r="K14" s="181">
        <f t="shared" si="5"/>
        <v>0.97199999999999998</v>
      </c>
      <c r="L14" s="181">
        <f t="shared" si="5"/>
        <v>1.0129999999999999</v>
      </c>
      <c r="M14" s="181">
        <f t="shared" si="5"/>
        <v>1.0880000000000001</v>
      </c>
      <c r="N14" s="181">
        <f t="shared" si="5"/>
        <v>1.135</v>
      </c>
      <c r="O14" s="181" t="str">
        <f t="shared" si="5"/>
        <v xml:space="preserve"> - - -</v>
      </c>
      <c r="P14" s="181" t="str">
        <f t="shared" si="5"/>
        <v xml:space="preserve"> - - -</v>
      </c>
      <c r="Q14" s="181" t="str">
        <f t="shared" si="5"/>
        <v xml:space="preserve"> - - -</v>
      </c>
      <c r="R14" s="181" t="str">
        <f t="shared" si="5"/>
        <v xml:space="preserve"> - - -</v>
      </c>
      <c r="S14" s="181" t="str">
        <f t="shared" si="5"/>
        <v xml:space="preserve"> - - -</v>
      </c>
    </row>
    <row r="15" spans="2:23" x14ac:dyDescent="0.35">
      <c r="B15" s="45"/>
      <c r="C15" s="182">
        <v>0.8</v>
      </c>
      <c r="D15" s="182">
        <v>0.99990000000000001</v>
      </c>
      <c r="E15" s="202">
        <v>669</v>
      </c>
      <c r="F15" s="48"/>
      <c r="H15" s="183">
        <f t="shared" ref="H15:S17" si="6">IF(AND(H$14&gt;=$C15,H$14&lt;=$D15),$E15,0)</f>
        <v>0</v>
      </c>
      <c r="I15" s="183">
        <f t="shared" si="6"/>
        <v>0</v>
      </c>
      <c r="J15" s="183">
        <f t="shared" si="6"/>
        <v>0</v>
      </c>
      <c r="K15" s="183">
        <f t="shared" si="6"/>
        <v>669</v>
      </c>
      <c r="L15" s="183">
        <f t="shared" si="6"/>
        <v>0</v>
      </c>
      <c r="M15" s="183">
        <f t="shared" si="6"/>
        <v>0</v>
      </c>
      <c r="N15" s="183">
        <f t="shared" si="6"/>
        <v>0</v>
      </c>
      <c r="O15" s="183">
        <f t="shared" si="6"/>
        <v>0</v>
      </c>
      <c r="P15" s="183">
        <f t="shared" si="6"/>
        <v>0</v>
      </c>
      <c r="Q15" s="183">
        <f t="shared" si="6"/>
        <v>0</v>
      </c>
      <c r="R15" s="183">
        <f t="shared" si="6"/>
        <v>0</v>
      </c>
      <c r="S15" s="183">
        <f t="shared" si="6"/>
        <v>0</v>
      </c>
    </row>
    <row r="16" spans="2:23" x14ac:dyDescent="0.35">
      <c r="B16" s="45"/>
      <c r="C16" s="182">
        <v>1</v>
      </c>
      <c r="D16" s="182">
        <v>1.1999</v>
      </c>
      <c r="E16" s="202">
        <v>836</v>
      </c>
      <c r="F16" s="48"/>
      <c r="H16" s="183">
        <f t="shared" si="6"/>
        <v>836</v>
      </c>
      <c r="I16" s="183">
        <f t="shared" si="6"/>
        <v>0</v>
      </c>
      <c r="J16" s="183">
        <f t="shared" si="6"/>
        <v>0</v>
      </c>
      <c r="K16" s="183">
        <f t="shared" si="6"/>
        <v>0</v>
      </c>
      <c r="L16" s="183">
        <f t="shared" si="6"/>
        <v>836</v>
      </c>
      <c r="M16" s="183">
        <f t="shared" si="6"/>
        <v>836</v>
      </c>
      <c r="N16" s="183">
        <f t="shared" si="6"/>
        <v>836</v>
      </c>
      <c r="O16" s="183">
        <f t="shared" si="6"/>
        <v>0</v>
      </c>
      <c r="P16" s="183">
        <f t="shared" si="6"/>
        <v>0</v>
      </c>
      <c r="Q16" s="183">
        <f t="shared" si="6"/>
        <v>0</v>
      </c>
      <c r="R16" s="183">
        <f t="shared" si="6"/>
        <v>0</v>
      </c>
      <c r="S16" s="183">
        <f t="shared" si="6"/>
        <v>0</v>
      </c>
    </row>
    <row r="17" spans="2:19" x14ac:dyDescent="0.35">
      <c r="B17" s="45"/>
      <c r="C17" s="184">
        <v>1.2</v>
      </c>
      <c r="D17" s="185" t="s">
        <v>132</v>
      </c>
      <c r="E17" s="202">
        <v>1003</v>
      </c>
      <c r="F17" s="48"/>
      <c r="H17" s="183">
        <f t="shared" si="6"/>
        <v>0</v>
      </c>
      <c r="I17" s="183">
        <f t="shared" si="6"/>
        <v>1003</v>
      </c>
      <c r="J17" s="183">
        <f t="shared" si="6"/>
        <v>1003</v>
      </c>
      <c r="K17" s="183">
        <f t="shared" si="6"/>
        <v>0</v>
      </c>
      <c r="L17" s="183">
        <f t="shared" si="6"/>
        <v>0</v>
      </c>
      <c r="M17" s="183">
        <f t="shared" si="6"/>
        <v>0</v>
      </c>
      <c r="N17" s="183">
        <f t="shared" si="6"/>
        <v>0</v>
      </c>
      <c r="O17" s="183">
        <f t="shared" si="6"/>
        <v>1003</v>
      </c>
      <c r="P17" s="183">
        <f t="shared" si="6"/>
        <v>1003</v>
      </c>
      <c r="Q17" s="183">
        <f t="shared" si="6"/>
        <v>1003</v>
      </c>
      <c r="R17" s="183">
        <f t="shared" si="6"/>
        <v>1003</v>
      </c>
      <c r="S17" s="183">
        <f t="shared" si="6"/>
        <v>1003</v>
      </c>
    </row>
    <row r="18" spans="2:19" x14ac:dyDescent="0.35">
      <c r="B18" s="43"/>
      <c r="C18" s="44"/>
      <c r="D18" s="44"/>
      <c r="E18" s="44"/>
      <c r="F18" s="163"/>
      <c r="G18" s="186" t="s">
        <v>133</v>
      </c>
      <c r="H18" s="187">
        <f>SUM(H15:H17)</f>
        <v>836</v>
      </c>
      <c r="I18" s="187">
        <f t="shared" ref="I18:S18" si="7">SUM(I15:I17)</f>
        <v>1003</v>
      </c>
      <c r="J18" s="187">
        <f t="shared" si="7"/>
        <v>1003</v>
      </c>
      <c r="K18" s="187">
        <f t="shared" si="7"/>
        <v>669</v>
      </c>
      <c r="L18" s="187">
        <f t="shared" si="7"/>
        <v>836</v>
      </c>
      <c r="M18" s="187">
        <f t="shared" si="7"/>
        <v>836</v>
      </c>
      <c r="N18" s="187">
        <f t="shared" si="7"/>
        <v>836</v>
      </c>
      <c r="O18" s="187">
        <f t="shared" si="7"/>
        <v>1003</v>
      </c>
      <c r="P18" s="187">
        <f t="shared" si="7"/>
        <v>1003</v>
      </c>
      <c r="Q18" s="187">
        <f t="shared" si="7"/>
        <v>1003</v>
      </c>
      <c r="R18" s="187">
        <f t="shared" si="7"/>
        <v>1003</v>
      </c>
      <c r="S18" s="187">
        <f t="shared" si="7"/>
        <v>1003</v>
      </c>
    </row>
    <row r="19" spans="2:19" x14ac:dyDescent="0.35">
      <c r="B19" s="170"/>
    </row>
    <row r="20" spans="2:19" x14ac:dyDescent="0.35">
      <c r="B20" s="41" t="s">
        <v>135</v>
      </c>
      <c r="C20" s="173"/>
      <c r="D20" s="173"/>
      <c r="E20" s="174"/>
      <c r="F20" s="47"/>
      <c r="G20" s="42" t="s">
        <v>119</v>
      </c>
      <c r="H20" s="302">
        <v>112029</v>
      </c>
      <c r="I20" s="302">
        <v>104069</v>
      </c>
      <c r="J20" s="302">
        <v>122287</v>
      </c>
      <c r="K20" s="302">
        <v>109680</v>
      </c>
      <c r="L20" s="302">
        <f>124899+19245</f>
        <v>144144</v>
      </c>
      <c r="M20" s="302">
        <v>109381</v>
      </c>
      <c r="N20" s="302">
        <v>125087</v>
      </c>
      <c r="O20" s="302">
        <v>0</v>
      </c>
      <c r="P20" s="302">
        <v>0</v>
      </c>
      <c r="Q20" s="302">
        <v>0</v>
      </c>
      <c r="R20" s="302">
        <v>0</v>
      </c>
      <c r="S20" s="302">
        <v>0</v>
      </c>
    </row>
    <row r="21" spans="2:19" x14ac:dyDescent="0.35">
      <c r="B21" s="45" t="s">
        <v>238</v>
      </c>
      <c r="C21" s="176"/>
      <c r="D21" s="176"/>
      <c r="E21" s="177"/>
      <c r="F21" s="48"/>
      <c r="G21" s="40" t="s">
        <v>95</v>
      </c>
      <c r="H21" s="303">
        <v>106569</v>
      </c>
      <c r="I21" s="303">
        <v>95970</v>
      </c>
      <c r="J21" s="303">
        <v>94972</v>
      </c>
      <c r="K21" s="303">
        <v>129543</v>
      </c>
      <c r="L21" s="303">
        <v>131142</v>
      </c>
      <c r="M21" s="303">
        <v>118292</v>
      </c>
      <c r="N21" s="303">
        <v>114969</v>
      </c>
      <c r="O21" s="303">
        <v>0</v>
      </c>
      <c r="P21" s="303">
        <v>0</v>
      </c>
      <c r="Q21" s="303">
        <v>0</v>
      </c>
      <c r="R21" s="303">
        <v>0</v>
      </c>
      <c r="S21" s="303">
        <v>0</v>
      </c>
    </row>
    <row r="22" spans="2:19" x14ac:dyDescent="0.35">
      <c r="B22" s="45"/>
      <c r="C22" s="179" t="s">
        <v>129</v>
      </c>
      <c r="D22" s="179" t="s">
        <v>130</v>
      </c>
      <c r="E22" s="180" t="s">
        <v>131</v>
      </c>
      <c r="F22" s="48"/>
      <c r="G22" s="157" t="s">
        <v>37</v>
      </c>
      <c r="H22" s="181">
        <f t="shared" ref="H22" si="8">IFERROR(ROUND(H20/H21,3)," - - -")</f>
        <v>1.0509999999999999</v>
      </c>
      <c r="I22" s="181">
        <f t="shared" ref="I22:S22" si="9">IFERROR(ROUND(I20/I21,3)," - - -")</f>
        <v>1.0840000000000001</v>
      </c>
      <c r="J22" s="181">
        <f t="shared" si="9"/>
        <v>1.288</v>
      </c>
      <c r="K22" s="181">
        <f t="shared" si="9"/>
        <v>0.84699999999999998</v>
      </c>
      <c r="L22" s="181">
        <f t="shared" si="9"/>
        <v>1.099</v>
      </c>
      <c r="M22" s="181">
        <f t="shared" si="9"/>
        <v>0.92500000000000004</v>
      </c>
      <c r="N22" s="181">
        <f t="shared" si="9"/>
        <v>1.0880000000000001</v>
      </c>
      <c r="O22" s="181" t="str">
        <f t="shared" si="9"/>
        <v xml:space="preserve"> - - -</v>
      </c>
      <c r="P22" s="181" t="str">
        <f t="shared" si="9"/>
        <v xml:space="preserve"> - - -</v>
      </c>
      <c r="Q22" s="181" t="str">
        <f t="shared" si="9"/>
        <v xml:space="preserve"> - - -</v>
      </c>
      <c r="R22" s="181" t="str">
        <f t="shared" si="9"/>
        <v xml:space="preserve"> - - -</v>
      </c>
      <c r="S22" s="181" t="str">
        <f t="shared" si="9"/>
        <v xml:space="preserve"> - - -</v>
      </c>
    </row>
    <row r="23" spans="2:19" x14ac:dyDescent="0.35">
      <c r="B23" s="45"/>
      <c r="C23" s="182">
        <v>0.8</v>
      </c>
      <c r="D23" s="182">
        <v>0.99990000000000001</v>
      </c>
      <c r="E23" s="202">
        <v>669</v>
      </c>
      <c r="F23" s="48"/>
      <c r="H23" s="183">
        <f t="shared" ref="H23:S25" si="10">IF(AND(H$22&gt;=$C23,H$22&lt;=$D23),$E23,0)</f>
        <v>0</v>
      </c>
      <c r="I23" s="183">
        <f t="shared" si="10"/>
        <v>0</v>
      </c>
      <c r="J23" s="183">
        <f t="shared" si="10"/>
        <v>0</v>
      </c>
      <c r="K23" s="183">
        <f t="shared" si="10"/>
        <v>669</v>
      </c>
      <c r="L23" s="183">
        <f t="shared" si="10"/>
        <v>0</v>
      </c>
      <c r="M23" s="183">
        <f t="shared" si="10"/>
        <v>669</v>
      </c>
      <c r="N23" s="183">
        <f t="shared" si="10"/>
        <v>0</v>
      </c>
      <c r="O23" s="183">
        <f t="shared" si="10"/>
        <v>0</v>
      </c>
      <c r="P23" s="183">
        <f t="shared" si="10"/>
        <v>0</v>
      </c>
      <c r="Q23" s="183">
        <f t="shared" si="10"/>
        <v>0</v>
      </c>
      <c r="R23" s="183">
        <f t="shared" si="10"/>
        <v>0</v>
      </c>
      <c r="S23" s="183">
        <f t="shared" si="10"/>
        <v>0</v>
      </c>
    </row>
    <row r="24" spans="2:19" x14ac:dyDescent="0.35">
      <c r="B24" s="45"/>
      <c r="C24" s="182">
        <v>1</v>
      </c>
      <c r="D24" s="182">
        <v>1.1999</v>
      </c>
      <c r="E24" s="202">
        <v>836</v>
      </c>
      <c r="F24" s="48"/>
      <c r="H24" s="183">
        <f t="shared" si="10"/>
        <v>836</v>
      </c>
      <c r="I24" s="183">
        <f t="shared" si="10"/>
        <v>836</v>
      </c>
      <c r="J24" s="183">
        <f t="shared" si="10"/>
        <v>0</v>
      </c>
      <c r="K24" s="183">
        <f t="shared" si="10"/>
        <v>0</v>
      </c>
      <c r="L24" s="183">
        <f t="shared" si="10"/>
        <v>836</v>
      </c>
      <c r="M24" s="183">
        <f t="shared" si="10"/>
        <v>0</v>
      </c>
      <c r="N24" s="183">
        <f t="shared" si="10"/>
        <v>836</v>
      </c>
      <c r="O24" s="183">
        <f t="shared" si="10"/>
        <v>0</v>
      </c>
      <c r="P24" s="183">
        <f t="shared" si="10"/>
        <v>0</v>
      </c>
      <c r="Q24" s="183">
        <f t="shared" si="10"/>
        <v>0</v>
      </c>
      <c r="R24" s="183">
        <f t="shared" si="10"/>
        <v>0</v>
      </c>
      <c r="S24" s="183">
        <f t="shared" si="10"/>
        <v>0</v>
      </c>
    </row>
    <row r="25" spans="2:19" x14ac:dyDescent="0.35">
      <c r="B25" s="45"/>
      <c r="C25" s="184">
        <v>1.2</v>
      </c>
      <c r="D25" s="185" t="s">
        <v>132</v>
      </c>
      <c r="E25" s="202">
        <v>1003</v>
      </c>
      <c r="F25" s="48"/>
      <c r="H25" s="183">
        <f t="shared" si="10"/>
        <v>0</v>
      </c>
      <c r="I25" s="183">
        <f t="shared" si="10"/>
        <v>0</v>
      </c>
      <c r="J25" s="183">
        <f t="shared" si="10"/>
        <v>1003</v>
      </c>
      <c r="K25" s="183">
        <f t="shared" si="10"/>
        <v>0</v>
      </c>
      <c r="L25" s="183">
        <f t="shared" si="10"/>
        <v>0</v>
      </c>
      <c r="M25" s="183">
        <f t="shared" si="10"/>
        <v>0</v>
      </c>
      <c r="N25" s="183">
        <f t="shared" si="10"/>
        <v>0</v>
      </c>
      <c r="O25" s="183">
        <f t="shared" si="10"/>
        <v>1003</v>
      </c>
      <c r="P25" s="183">
        <f t="shared" si="10"/>
        <v>1003</v>
      </c>
      <c r="Q25" s="183">
        <f t="shared" si="10"/>
        <v>1003</v>
      </c>
      <c r="R25" s="183">
        <f t="shared" si="10"/>
        <v>1003</v>
      </c>
      <c r="S25" s="183">
        <f t="shared" si="10"/>
        <v>1003</v>
      </c>
    </row>
    <row r="26" spans="2:19" x14ac:dyDescent="0.35">
      <c r="B26" s="43"/>
      <c r="C26" s="44"/>
      <c r="D26" s="44"/>
      <c r="E26" s="44"/>
      <c r="F26" s="163"/>
      <c r="G26" s="186" t="s">
        <v>133</v>
      </c>
      <c r="H26" s="187">
        <f>SUM(H23:H25)</f>
        <v>836</v>
      </c>
      <c r="I26" s="187">
        <f t="shared" ref="I26:S26" si="11">SUM(I23:I25)</f>
        <v>836</v>
      </c>
      <c r="J26" s="187">
        <f t="shared" si="11"/>
        <v>1003</v>
      </c>
      <c r="K26" s="187">
        <f t="shared" si="11"/>
        <v>669</v>
      </c>
      <c r="L26" s="187">
        <f t="shared" si="11"/>
        <v>836</v>
      </c>
      <c r="M26" s="187">
        <f t="shared" si="11"/>
        <v>669</v>
      </c>
      <c r="N26" s="187">
        <f t="shared" si="11"/>
        <v>836</v>
      </c>
      <c r="O26" s="187">
        <f t="shared" si="11"/>
        <v>1003</v>
      </c>
      <c r="P26" s="187">
        <f t="shared" si="11"/>
        <v>1003</v>
      </c>
      <c r="Q26" s="187">
        <f t="shared" si="11"/>
        <v>1003</v>
      </c>
      <c r="R26" s="187">
        <f t="shared" si="11"/>
        <v>1003</v>
      </c>
      <c r="S26" s="187">
        <f t="shared" si="11"/>
        <v>1003</v>
      </c>
    </row>
    <row r="27" spans="2:19" x14ac:dyDescent="0.35"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</row>
    <row r="28" spans="2:19" hidden="1" x14ac:dyDescent="0.35">
      <c r="G28" s="188" t="s">
        <v>252</v>
      </c>
      <c r="H28" s="46"/>
      <c r="I28" s="46"/>
      <c r="J28" s="46"/>
      <c r="K28" s="320">
        <f>((I30-3511)+(J30-3511))*-1</f>
        <v>-1983</v>
      </c>
      <c r="L28" s="46"/>
      <c r="M28" s="46"/>
      <c r="N28" s="46"/>
      <c r="O28" s="46"/>
      <c r="P28" s="46"/>
      <c r="Q28" s="46"/>
      <c r="R28" s="46"/>
      <c r="S28" s="46"/>
    </row>
    <row r="29" spans="2:19" hidden="1" x14ac:dyDescent="0.35">
      <c r="G29" s="139" t="s">
        <v>260</v>
      </c>
      <c r="H29" s="46"/>
      <c r="I29" s="46"/>
      <c r="J29" s="46"/>
      <c r="K29" s="46"/>
      <c r="L29" s="46"/>
      <c r="M29" s="46">
        <v>1000</v>
      </c>
      <c r="N29" s="46"/>
      <c r="O29" s="46"/>
      <c r="P29" s="46"/>
      <c r="Q29" s="46"/>
      <c r="R29" s="46"/>
      <c r="S29" s="46"/>
    </row>
    <row r="30" spans="2:19" ht="15" thickBot="1" x14ac:dyDescent="0.4">
      <c r="G30" s="188" t="s">
        <v>136</v>
      </c>
      <c r="H30" s="275">
        <f>+H10+H18+H26</f>
        <v>4252</v>
      </c>
      <c r="I30" s="275">
        <f t="shared" ref="I30:S30" si="12">+I10+I18+I26</f>
        <v>4419</v>
      </c>
      <c r="J30" s="275">
        <f t="shared" si="12"/>
        <v>4586</v>
      </c>
      <c r="K30" s="275">
        <f t="shared" si="12"/>
        <v>3058</v>
      </c>
      <c r="L30" s="275">
        <f t="shared" si="12"/>
        <v>4252</v>
      </c>
      <c r="M30" s="275">
        <f t="shared" si="12"/>
        <v>3655</v>
      </c>
      <c r="N30" s="275">
        <f t="shared" si="12"/>
        <v>4252</v>
      </c>
      <c r="O30" s="275">
        <f t="shared" si="12"/>
        <v>4586</v>
      </c>
      <c r="P30" s="275">
        <f t="shared" si="12"/>
        <v>4586</v>
      </c>
      <c r="Q30" s="275">
        <f t="shared" si="12"/>
        <v>4586</v>
      </c>
      <c r="R30" s="275">
        <f t="shared" si="12"/>
        <v>4586</v>
      </c>
      <c r="S30" s="275">
        <f t="shared" si="12"/>
        <v>4586</v>
      </c>
    </row>
    <row r="31" spans="2:19" ht="15" thickTop="1" x14ac:dyDescent="0.35">
      <c r="B31" s="170" t="s">
        <v>137</v>
      </c>
      <c r="J31" s="146"/>
      <c r="K31" s="146"/>
    </row>
    <row r="32" spans="2:19" x14ac:dyDescent="0.35">
      <c r="B32" s="41" t="s">
        <v>138</v>
      </c>
      <c r="C32" s="173"/>
      <c r="D32" s="173"/>
      <c r="E32" s="174"/>
      <c r="F32" s="47"/>
      <c r="G32" s="47" t="s">
        <v>119</v>
      </c>
      <c r="H32" s="190"/>
      <c r="I32" s="191"/>
      <c r="J32" s="302">
        <v>131840</v>
      </c>
      <c r="K32" s="190"/>
      <c r="L32" s="191"/>
      <c r="M32" s="302">
        <v>111328</v>
      </c>
      <c r="N32" s="190"/>
      <c r="O32" s="191"/>
      <c r="P32" s="302">
        <v>0</v>
      </c>
      <c r="Q32" s="190"/>
      <c r="R32" s="191"/>
      <c r="S32" s="302">
        <v>0</v>
      </c>
    </row>
    <row r="33" spans="2:19" x14ac:dyDescent="0.35">
      <c r="B33" s="45" t="s">
        <v>238</v>
      </c>
      <c r="C33" s="176"/>
      <c r="D33" s="176"/>
      <c r="E33" s="177"/>
      <c r="F33" s="48"/>
      <c r="G33" s="48" t="s">
        <v>95</v>
      </c>
      <c r="H33" s="190"/>
      <c r="I33" s="191"/>
      <c r="J33" s="303">
        <v>132335</v>
      </c>
      <c r="K33" s="190"/>
      <c r="L33" s="191"/>
      <c r="M33" s="303">
        <v>80553</v>
      </c>
      <c r="N33" s="190"/>
      <c r="O33" s="191"/>
      <c r="P33" s="303">
        <v>0</v>
      </c>
      <c r="Q33" s="190"/>
      <c r="R33" s="191"/>
      <c r="S33" s="303">
        <v>0</v>
      </c>
    </row>
    <row r="34" spans="2:19" x14ac:dyDescent="0.35">
      <c r="B34" s="45"/>
      <c r="C34" s="179" t="s">
        <v>129</v>
      </c>
      <c r="D34" s="179" t="s">
        <v>130</v>
      </c>
      <c r="E34" s="180" t="s">
        <v>131</v>
      </c>
      <c r="F34" s="48"/>
      <c r="G34" s="294" t="s">
        <v>37</v>
      </c>
      <c r="H34" s="166"/>
      <c r="I34" s="192"/>
      <c r="J34" s="181">
        <v>1</v>
      </c>
      <c r="K34" s="166"/>
      <c r="L34" s="192"/>
      <c r="M34" s="181">
        <f t="shared" ref="M34" si="13">IFERROR(ROUND(M32/M33,3)," - - -")</f>
        <v>1.3819999999999999</v>
      </c>
      <c r="N34" s="166"/>
      <c r="O34" s="192"/>
      <c r="P34" s="181" t="str">
        <f t="shared" ref="P34" si="14">IFERROR(ROUND(P32/P33,3)," - - -")</f>
        <v xml:space="preserve"> - - -</v>
      </c>
      <c r="Q34" s="166"/>
      <c r="R34" s="192"/>
      <c r="S34" s="181" t="str">
        <f t="shared" ref="S34" si="15">IFERROR(ROUND(S32/S33,3)," - - -")</f>
        <v xml:space="preserve"> - - -</v>
      </c>
    </row>
    <row r="35" spans="2:19" x14ac:dyDescent="0.35">
      <c r="B35" s="45"/>
      <c r="C35" s="182">
        <v>0.8</v>
      </c>
      <c r="D35" s="182">
        <v>0.99990000000000001</v>
      </c>
      <c r="E35" s="202">
        <v>1147</v>
      </c>
      <c r="F35" s="48"/>
      <c r="G35" s="48"/>
      <c r="H35" s="193"/>
      <c r="I35" s="194"/>
      <c r="J35" s="183">
        <f>IF(AND(J$34&gt;=$C35,J$34&lt;=$D35),$E35,0)</f>
        <v>0</v>
      </c>
      <c r="K35" s="193"/>
      <c r="L35" s="194"/>
      <c r="M35" s="183">
        <f>IF(AND(M$34&gt;=$C35,M$34&lt;=$D35),$E35,0)</f>
        <v>0</v>
      </c>
      <c r="N35" s="193"/>
      <c r="O35" s="194"/>
      <c r="P35" s="183">
        <f>IF(AND(P$34&gt;=$C35,P$34&lt;=$D35),$E35,0)</f>
        <v>0</v>
      </c>
      <c r="Q35" s="193"/>
      <c r="R35" s="194"/>
      <c r="S35" s="183">
        <f>IF(AND(S$34&gt;=$C35,S$34&lt;=$D35),$E35,0)</f>
        <v>0</v>
      </c>
    </row>
    <row r="36" spans="2:19" x14ac:dyDescent="0.35">
      <c r="B36" s="45"/>
      <c r="C36" s="182">
        <v>1</v>
      </c>
      <c r="D36" s="182">
        <v>1.1999</v>
      </c>
      <c r="E36" s="202">
        <v>1433</v>
      </c>
      <c r="F36" s="48"/>
      <c r="G36" s="48"/>
      <c r="H36" s="193"/>
      <c r="I36" s="194"/>
      <c r="J36" s="183">
        <f>IF(AND(J$34&gt;=$C36,J$34&lt;=$D36),$E36,0)</f>
        <v>1433</v>
      </c>
      <c r="K36" s="193"/>
      <c r="L36" s="194"/>
      <c r="M36" s="183">
        <f>IF(AND(M$34&gt;=$C36,M$34&lt;=$D36),$E36,0)</f>
        <v>0</v>
      </c>
      <c r="N36" s="193"/>
      <c r="O36" s="194"/>
      <c r="P36" s="183">
        <f>IF(AND(P$34&gt;=$C36,P$34&lt;=$D36),$E36,0)</f>
        <v>0</v>
      </c>
      <c r="Q36" s="193"/>
      <c r="R36" s="194"/>
      <c r="S36" s="183">
        <f>IF(AND(S$34&gt;=$C36,S$34&lt;=$D36),$E36,0)</f>
        <v>0</v>
      </c>
    </row>
    <row r="37" spans="2:19" x14ac:dyDescent="0.35">
      <c r="B37" s="45"/>
      <c r="C37" s="184">
        <v>1.2</v>
      </c>
      <c r="D37" s="185" t="s">
        <v>132</v>
      </c>
      <c r="E37" s="202">
        <v>1720</v>
      </c>
      <c r="F37" s="48"/>
      <c r="G37" s="48"/>
      <c r="H37" s="193"/>
      <c r="I37" s="194"/>
      <c r="J37" s="183">
        <f>IF(AND(J$34&gt;=$C37,J$34&lt;=$D37),$E37,0)</f>
        <v>0</v>
      </c>
      <c r="K37" s="193"/>
      <c r="L37" s="194"/>
      <c r="M37" s="183">
        <f>IF(AND(M$34&gt;=$C37,M$34&lt;=$D37),$E37,0)</f>
        <v>1720</v>
      </c>
      <c r="N37" s="193"/>
      <c r="O37" s="194"/>
      <c r="P37" s="183">
        <f>IF(AND(P$34&gt;=$C37,P$34&lt;=$D37),$E37,0)</f>
        <v>1720</v>
      </c>
      <c r="Q37" s="193"/>
      <c r="R37" s="194"/>
      <c r="S37" s="183">
        <f>IF(AND(S$34&gt;=$C37,S$34&lt;=$D37),$E37,0)</f>
        <v>1720</v>
      </c>
    </row>
    <row r="38" spans="2:19" x14ac:dyDescent="0.35">
      <c r="B38" s="43"/>
      <c r="C38" s="44"/>
      <c r="D38" s="44"/>
      <c r="E38" s="44"/>
      <c r="F38" s="163"/>
      <c r="G38" s="211" t="s">
        <v>133</v>
      </c>
      <c r="H38" s="190"/>
      <c r="I38" s="191"/>
      <c r="J38" s="187">
        <f>SUM(J35:J37)</f>
        <v>1433</v>
      </c>
      <c r="K38" s="190"/>
      <c r="L38" s="191"/>
      <c r="M38" s="187">
        <f>SUM(M35:M37)</f>
        <v>1720</v>
      </c>
      <c r="N38" s="190"/>
      <c r="O38" s="191"/>
      <c r="P38" s="187">
        <f>SUM(P35:P37)</f>
        <v>1720</v>
      </c>
      <c r="Q38" s="190"/>
      <c r="R38" s="191"/>
      <c r="S38" s="187">
        <f>SUM(S35:S37)</f>
        <v>1720</v>
      </c>
    </row>
    <row r="40" spans="2:19" x14ac:dyDescent="0.35">
      <c r="B40" s="41" t="s">
        <v>279</v>
      </c>
      <c r="C40" s="173"/>
      <c r="D40" s="173"/>
      <c r="E40" s="174"/>
      <c r="F40" s="47"/>
      <c r="G40" s="47"/>
      <c r="H40" s="190"/>
      <c r="I40" s="191"/>
      <c r="J40" s="782">
        <v>0.9</v>
      </c>
      <c r="K40" s="190"/>
      <c r="L40" s="191"/>
      <c r="M40" s="782">
        <v>1</v>
      </c>
      <c r="N40" s="190"/>
      <c r="O40" s="191"/>
      <c r="P40" s="782">
        <v>0</v>
      </c>
      <c r="Q40" s="190"/>
      <c r="R40" s="191"/>
      <c r="S40" s="782">
        <v>0</v>
      </c>
    </row>
    <row r="41" spans="2:19" x14ac:dyDescent="0.35">
      <c r="B41" s="45"/>
      <c r="C41" s="179" t="s">
        <v>129</v>
      </c>
      <c r="D41" s="179" t="s">
        <v>130</v>
      </c>
      <c r="E41" s="180" t="s">
        <v>131</v>
      </c>
      <c r="F41" s="48"/>
      <c r="G41" s="294"/>
      <c r="H41" s="166"/>
      <c r="I41" s="192"/>
      <c r="J41" s="783"/>
      <c r="K41" s="166"/>
      <c r="L41" s="192"/>
      <c r="M41" s="783"/>
      <c r="N41" s="166"/>
      <c r="O41" s="192"/>
      <c r="P41" s="783"/>
      <c r="Q41" s="166"/>
      <c r="R41" s="192"/>
      <c r="S41" s="783"/>
    </row>
    <row r="42" spans="2:19" x14ac:dyDescent="0.35">
      <c r="B42" s="45"/>
      <c r="C42" s="182">
        <v>0.8</v>
      </c>
      <c r="D42" s="182">
        <v>0.84989999999999999</v>
      </c>
      <c r="E42" s="202">
        <v>1147</v>
      </c>
      <c r="F42" s="48"/>
      <c r="G42" s="48"/>
      <c r="H42" s="193"/>
      <c r="I42" s="194"/>
      <c r="J42" s="183">
        <f>IF(AND(J40&gt;=$C42,J40&lt;=$D42),$E42,0)</f>
        <v>0</v>
      </c>
      <c r="K42" s="193"/>
      <c r="L42" s="194"/>
      <c r="M42" s="183">
        <f>IF(AND(M40&gt;=$C42,M40&lt;=$D42),$E42,0)</f>
        <v>0</v>
      </c>
      <c r="N42" s="193"/>
      <c r="O42" s="194"/>
      <c r="P42" s="183">
        <f>IF(AND(P40&gt;=$C42,P40&lt;=$D42),$E42,0)</f>
        <v>0</v>
      </c>
      <c r="Q42" s="193"/>
      <c r="R42" s="194"/>
      <c r="S42" s="183">
        <f>IF(AND(S40&gt;=$C42,S40&lt;=$D42),$E42,0)</f>
        <v>0</v>
      </c>
    </row>
    <row r="43" spans="2:19" x14ac:dyDescent="0.35">
      <c r="B43" s="45"/>
      <c r="C43" s="182">
        <v>0.85</v>
      </c>
      <c r="D43" s="182">
        <v>0.89990000000000003</v>
      </c>
      <c r="E43" s="202">
        <v>1433</v>
      </c>
      <c r="F43" s="48"/>
      <c r="G43" s="48"/>
      <c r="H43" s="193"/>
      <c r="I43" s="194"/>
      <c r="J43" s="183">
        <f>IF(AND(J40&gt;=$C43,J40&lt;=$D43),$E43,0)</f>
        <v>0</v>
      </c>
      <c r="K43" s="193"/>
      <c r="L43" s="194"/>
      <c r="M43" s="183">
        <f>IF(AND(M40&gt;=$C43,M40&lt;=$D43),$E43,0)</f>
        <v>0</v>
      </c>
      <c r="N43" s="193"/>
      <c r="O43" s="194"/>
      <c r="P43" s="183">
        <f>IF(AND(P40&gt;=$C43,P40&lt;=$D43),$E43,0)</f>
        <v>0</v>
      </c>
      <c r="Q43" s="193"/>
      <c r="R43" s="194"/>
      <c r="S43" s="183">
        <f>IF(AND(S40&gt;=$C43,S40&lt;=$D43),$E43,0)</f>
        <v>0</v>
      </c>
    </row>
    <row r="44" spans="2:19" x14ac:dyDescent="0.35">
      <c r="B44" s="45"/>
      <c r="C44" s="184">
        <v>0.9</v>
      </c>
      <c r="D44" s="185" t="s">
        <v>132</v>
      </c>
      <c r="E44" s="202">
        <v>1720</v>
      </c>
      <c r="F44" s="48"/>
      <c r="G44" s="48"/>
      <c r="H44" s="193"/>
      <c r="I44" s="194"/>
      <c r="J44" s="183">
        <f>IF(AND(J40&gt;=$C44,J40&lt;=$D44),$E44,0)</f>
        <v>1720</v>
      </c>
      <c r="K44" s="193"/>
      <c r="L44" s="194"/>
      <c r="M44" s="183">
        <f>IF(AND(M40&gt;=$C44,M40&lt;=$D44),$E44,0)</f>
        <v>1720</v>
      </c>
      <c r="N44" s="193"/>
      <c r="O44" s="194"/>
      <c r="P44" s="183">
        <f>IF(AND(P40&gt;=$C44,P40&lt;=$D44),$E44,0)</f>
        <v>0</v>
      </c>
      <c r="Q44" s="193"/>
      <c r="R44" s="194"/>
      <c r="S44" s="183">
        <f>IF(AND(S40&gt;=$C44,S40&lt;=$D44),$E44,0)</f>
        <v>0</v>
      </c>
    </row>
    <row r="45" spans="2:19" x14ac:dyDescent="0.35">
      <c r="B45" s="43"/>
      <c r="C45" s="44"/>
      <c r="D45" s="44"/>
      <c r="E45" s="44"/>
      <c r="F45" s="163"/>
      <c r="G45" s="211" t="s">
        <v>133</v>
      </c>
      <c r="H45" s="190"/>
      <c r="I45" s="191"/>
      <c r="J45" s="187">
        <f t="shared" ref="J45" si="16">SUM(J42:J44)</f>
        <v>1720</v>
      </c>
      <c r="K45" s="190"/>
      <c r="L45" s="191"/>
      <c r="M45" s="187">
        <f t="shared" ref="M45" si="17">SUM(M42:M44)</f>
        <v>1720</v>
      </c>
      <c r="N45" s="190"/>
      <c r="O45" s="191"/>
      <c r="P45" s="187">
        <f t="shared" ref="P45" si="18">SUM(P42:P44)</f>
        <v>0</v>
      </c>
      <c r="Q45" s="190"/>
      <c r="R45" s="191"/>
      <c r="S45" s="187">
        <f t="shared" ref="S45" si="19">SUM(S42:S44)</f>
        <v>0</v>
      </c>
    </row>
    <row r="46" spans="2:19" x14ac:dyDescent="0.35"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</row>
    <row r="47" spans="2:19" ht="15" thickBot="1" x14ac:dyDescent="0.4">
      <c r="G47" s="188" t="s">
        <v>139</v>
      </c>
      <c r="H47" s="377"/>
      <c r="I47" s="377"/>
      <c r="J47" s="275">
        <f>+J38+J45</f>
        <v>3153</v>
      </c>
      <c r="K47" s="381"/>
      <c r="L47" s="381"/>
      <c r="M47" s="275">
        <f>+M38+M45</f>
        <v>3440</v>
      </c>
      <c r="N47" s="381"/>
      <c r="O47" s="381"/>
      <c r="P47" s="275">
        <f>+P38+P45</f>
        <v>1720</v>
      </c>
      <c r="Q47" s="381"/>
      <c r="R47" s="381"/>
      <c r="S47" s="275">
        <f>+S38+S45</f>
        <v>1720</v>
      </c>
    </row>
    <row r="48" spans="2:19" ht="15" thickTop="1" x14ac:dyDescent="0.35">
      <c r="G48" s="378"/>
      <c r="H48" s="378"/>
      <c r="I48" s="378"/>
      <c r="J48" s="381"/>
      <c r="K48" s="381"/>
      <c r="L48" s="381"/>
      <c r="M48" s="381"/>
      <c r="N48" s="381"/>
      <c r="O48" s="381"/>
      <c r="P48" s="381"/>
      <c r="Q48" s="381"/>
      <c r="R48" s="381"/>
      <c r="S48" s="381"/>
    </row>
    <row r="49" spans="7:19" ht="15" thickBot="1" x14ac:dyDescent="0.4">
      <c r="G49" s="379" t="s">
        <v>140</v>
      </c>
      <c r="H49" s="380"/>
      <c r="I49" s="378"/>
      <c r="J49" s="382">
        <f>+J30+J47</f>
        <v>7739</v>
      </c>
      <c r="K49" s="383"/>
      <c r="L49" s="383"/>
      <c r="M49" s="382">
        <f>+M30+M47</f>
        <v>7095</v>
      </c>
      <c r="N49" s="383"/>
      <c r="O49" s="383"/>
      <c r="P49" s="382">
        <f>+P30+P47</f>
        <v>6306</v>
      </c>
      <c r="Q49" s="383"/>
      <c r="R49" s="383"/>
      <c r="S49" s="382">
        <f>+S30+S47</f>
        <v>6306</v>
      </c>
    </row>
    <row r="50" spans="7:19" ht="15" thickTop="1" x14ac:dyDescent="0.35"/>
  </sheetData>
  <mergeCells count="4">
    <mergeCell ref="J40:J41"/>
    <mergeCell ref="M40:M41"/>
    <mergeCell ref="P40:P41"/>
    <mergeCell ref="S40:S41"/>
  </mergeCells>
  <pageMargins left="0.7" right="0.7" top="0.75" bottom="0.75" header="0.3" footer="0.3"/>
  <pageSetup scale="44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1:X37"/>
  <sheetViews>
    <sheetView showGridLines="0" tabSelected="1" zoomScale="90" zoomScaleNormal="90" workbookViewId="0">
      <pane ySplit="3" topLeftCell="A4" activePane="bottomLeft" state="frozen"/>
      <selection pane="bottomLeft" activeCell="N35" sqref="N35"/>
    </sheetView>
  </sheetViews>
  <sheetFormatPr baseColWidth="10" defaultColWidth="11.453125" defaultRowHeight="14.5" x14ac:dyDescent="0.35"/>
  <cols>
    <col min="1" max="1" width="3.7265625" style="40" customWidth="1"/>
    <col min="2" max="2" width="30.54296875" style="40" bestFit="1" customWidth="1"/>
    <col min="3" max="4" width="10.7265625" style="40" customWidth="1"/>
    <col min="5" max="5" width="10.54296875" style="40" bestFit="1" customWidth="1"/>
    <col min="6" max="6" width="1.7265625" style="40" customWidth="1"/>
    <col min="7" max="7" width="11.453125" style="40"/>
    <col min="8" max="8" width="11.26953125" style="40" hidden="1" customWidth="1"/>
    <col min="9" max="13" width="11.453125" style="40" hidden="1" customWidth="1"/>
    <col min="14" max="19" width="11.453125" style="40" customWidth="1"/>
    <col min="20" max="20" width="4" style="40" customWidth="1"/>
    <col min="21" max="16384" width="11.453125" style="40"/>
  </cols>
  <sheetData>
    <row r="1" spans="2:21" x14ac:dyDescent="0.35">
      <c r="B1" s="301" t="s">
        <v>118</v>
      </c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9"/>
    </row>
    <row r="2" spans="2:21" ht="8.25" customHeight="1" x14ac:dyDescent="0.35"/>
    <row r="3" spans="2:21" x14ac:dyDescent="0.35">
      <c r="B3" s="170" t="s">
        <v>126</v>
      </c>
      <c r="C3" s="171"/>
      <c r="D3" s="171"/>
      <c r="H3" s="172">
        <v>45688</v>
      </c>
      <c r="I3" s="172">
        <v>45716</v>
      </c>
      <c r="J3" s="172">
        <v>45747</v>
      </c>
      <c r="K3" s="172">
        <v>45777</v>
      </c>
      <c r="L3" s="172">
        <v>45808</v>
      </c>
      <c r="M3" s="172">
        <v>45838</v>
      </c>
      <c r="N3" s="172">
        <v>45869</v>
      </c>
      <c r="O3" s="172">
        <v>45900</v>
      </c>
      <c r="P3" s="172">
        <v>45930</v>
      </c>
      <c r="Q3" s="172">
        <v>45961</v>
      </c>
      <c r="R3" s="172">
        <v>45991</v>
      </c>
      <c r="S3" s="172">
        <v>46022</v>
      </c>
    </row>
    <row r="4" spans="2:21" x14ac:dyDescent="0.35">
      <c r="B4" s="41" t="s">
        <v>159</v>
      </c>
      <c r="C4" s="173"/>
      <c r="D4" s="212"/>
      <c r="E4" s="174"/>
      <c r="F4" s="47"/>
      <c r="G4" s="42" t="s">
        <v>119</v>
      </c>
      <c r="H4" s="302">
        <v>30183</v>
      </c>
      <c r="I4" s="302">
        <v>22522</v>
      </c>
      <c r="J4" s="302">
        <v>46946</v>
      </c>
      <c r="K4" s="302">
        <v>29786</v>
      </c>
      <c r="L4" s="302">
        <f>38705+19245</f>
        <v>57950</v>
      </c>
      <c r="M4" s="302">
        <v>41114</v>
      </c>
      <c r="N4" s="302">
        <v>55295</v>
      </c>
      <c r="O4" s="302">
        <v>0</v>
      </c>
      <c r="P4" s="302">
        <v>0</v>
      </c>
      <c r="Q4" s="302">
        <v>0</v>
      </c>
      <c r="R4" s="302">
        <v>0</v>
      </c>
      <c r="S4" s="302">
        <v>0</v>
      </c>
      <c r="U4" s="40" t="s">
        <v>214</v>
      </c>
    </row>
    <row r="5" spans="2:21" x14ac:dyDescent="0.35">
      <c r="B5" s="45" t="s">
        <v>269</v>
      </c>
      <c r="C5" s="176"/>
      <c r="D5" s="213"/>
      <c r="E5" s="177"/>
      <c r="F5" s="48"/>
      <c r="G5" s="40" t="s">
        <v>95</v>
      </c>
      <c r="H5" s="303">
        <v>23140</v>
      </c>
      <c r="I5" s="303">
        <v>24513</v>
      </c>
      <c r="J5" s="303">
        <v>22324</v>
      </c>
      <c r="K5" s="303">
        <v>52865</v>
      </c>
      <c r="L5" s="303">
        <v>45830</v>
      </c>
      <c r="M5" s="303">
        <v>46383</v>
      </c>
      <c r="N5" s="303">
        <v>43289</v>
      </c>
      <c r="O5" s="303">
        <v>0</v>
      </c>
      <c r="P5" s="303">
        <v>0</v>
      </c>
      <c r="Q5" s="303">
        <v>0</v>
      </c>
      <c r="R5" s="303">
        <v>0</v>
      </c>
      <c r="S5" s="303">
        <v>0</v>
      </c>
      <c r="U5" s="40" t="s">
        <v>215</v>
      </c>
    </row>
    <row r="6" spans="2:21" x14ac:dyDescent="0.35">
      <c r="B6" s="45"/>
      <c r="C6" s="179" t="s">
        <v>129</v>
      </c>
      <c r="D6" s="179" t="s">
        <v>130</v>
      </c>
      <c r="E6" s="180" t="s">
        <v>131</v>
      </c>
      <c r="F6" s="48"/>
      <c r="G6" s="157" t="s">
        <v>37</v>
      </c>
      <c r="H6" s="181">
        <f>IFERROR(ROUND(H4/H5,3)," - - -")</f>
        <v>1.304</v>
      </c>
      <c r="I6" s="181">
        <f t="shared" ref="I6:S6" si="0">IFERROR(ROUND(I4/I5,3)," - - -")</f>
        <v>0.91900000000000004</v>
      </c>
      <c r="J6" s="181">
        <f t="shared" si="0"/>
        <v>2.1030000000000002</v>
      </c>
      <c r="K6" s="181">
        <f t="shared" si="0"/>
        <v>0.56299999999999994</v>
      </c>
      <c r="L6" s="181">
        <f t="shared" si="0"/>
        <v>1.264</v>
      </c>
      <c r="M6" s="181">
        <v>0.9</v>
      </c>
      <c r="N6" s="181">
        <f t="shared" si="0"/>
        <v>1.2769999999999999</v>
      </c>
      <c r="O6" s="181" t="str">
        <f t="shared" si="0"/>
        <v xml:space="preserve"> - - -</v>
      </c>
      <c r="P6" s="181" t="str">
        <f t="shared" si="0"/>
        <v xml:space="preserve"> - - -</v>
      </c>
      <c r="Q6" s="181" t="str">
        <f t="shared" si="0"/>
        <v xml:space="preserve"> - - -</v>
      </c>
      <c r="R6" s="181" t="str">
        <f t="shared" si="0"/>
        <v xml:space="preserve"> - - -</v>
      </c>
      <c r="S6" s="181" t="str">
        <f t="shared" si="0"/>
        <v xml:space="preserve"> - - -</v>
      </c>
    </row>
    <row r="7" spans="2:21" x14ac:dyDescent="0.35">
      <c r="B7" s="45"/>
      <c r="C7" s="182">
        <v>0.9</v>
      </c>
      <c r="D7" s="182">
        <v>0.99990000000000001</v>
      </c>
      <c r="E7" s="279">
        <f>ROUND(4000/12,2)</f>
        <v>333.33</v>
      </c>
      <c r="F7" s="48"/>
      <c r="H7" s="183">
        <f>IF(AND(H$6&gt;=$C7,H$6&lt;=$D7),($E7+((($E8-$E7)*(H$6-$C7))/($D7-$C7))),0)</f>
        <v>0</v>
      </c>
      <c r="I7" s="183">
        <f t="shared" ref="I7:S8" si="1">IF(AND(I$6&gt;=$C7,I$6&lt;=$D7),($E7+((($E8-$E7)*(I$6-$C7))/($D7-$C7))),0)</f>
        <v>365.02899899899899</v>
      </c>
      <c r="J7" s="183">
        <f t="shared" si="1"/>
        <v>0</v>
      </c>
      <c r="K7" s="183">
        <f t="shared" si="1"/>
        <v>0</v>
      </c>
      <c r="L7" s="183">
        <f t="shared" si="1"/>
        <v>0</v>
      </c>
      <c r="M7" s="183">
        <f t="shared" si="1"/>
        <v>333.33</v>
      </c>
      <c r="N7" s="183">
        <f t="shared" si="1"/>
        <v>0</v>
      </c>
      <c r="O7" s="183">
        <f t="shared" si="1"/>
        <v>0</v>
      </c>
      <c r="P7" s="183">
        <f t="shared" si="1"/>
        <v>0</v>
      </c>
      <c r="Q7" s="183">
        <f t="shared" si="1"/>
        <v>0</v>
      </c>
      <c r="R7" s="183">
        <f t="shared" si="1"/>
        <v>0</v>
      </c>
      <c r="S7" s="183">
        <f t="shared" si="1"/>
        <v>0</v>
      </c>
    </row>
    <row r="8" spans="2:21" x14ac:dyDescent="0.35">
      <c r="B8" s="45"/>
      <c r="C8" s="182">
        <v>1</v>
      </c>
      <c r="D8" s="182">
        <v>1.1999</v>
      </c>
      <c r="E8" s="279">
        <f>ROUND(6000/12,2)</f>
        <v>500</v>
      </c>
      <c r="F8" s="48"/>
      <c r="H8" s="183">
        <f>IF(AND(H$6&gt;=$C8,H$6&lt;=$D8),($E8+((($E9-$E8)*(H$6-$C8))/($D8-$C8))),0)</f>
        <v>0</v>
      </c>
      <c r="I8" s="183">
        <f t="shared" si="1"/>
        <v>0</v>
      </c>
      <c r="J8" s="183">
        <f t="shared" si="1"/>
        <v>0</v>
      </c>
      <c r="K8" s="183">
        <f t="shared" si="1"/>
        <v>0</v>
      </c>
      <c r="L8" s="183">
        <f t="shared" si="1"/>
        <v>0</v>
      </c>
      <c r="M8" s="183">
        <f t="shared" si="1"/>
        <v>0</v>
      </c>
      <c r="N8" s="183">
        <f t="shared" si="1"/>
        <v>0</v>
      </c>
      <c r="O8" s="183">
        <f t="shared" si="1"/>
        <v>0</v>
      </c>
      <c r="P8" s="183">
        <f t="shared" si="1"/>
        <v>0</v>
      </c>
      <c r="Q8" s="183">
        <f t="shared" si="1"/>
        <v>0</v>
      </c>
      <c r="R8" s="183">
        <f t="shared" si="1"/>
        <v>0</v>
      </c>
      <c r="S8" s="183">
        <f t="shared" si="1"/>
        <v>0</v>
      </c>
    </row>
    <row r="9" spans="2:21" x14ac:dyDescent="0.35">
      <c r="B9" s="45"/>
      <c r="C9" s="184">
        <v>1.2</v>
      </c>
      <c r="D9" s="185" t="s">
        <v>132</v>
      </c>
      <c r="E9" s="279">
        <f>ROUND(8000/12,2)</f>
        <v>666.67</v>
      </c>
      <c r="F9" s="48"/>
      <c r="H9" s="183">
        <f t="shared" ref="H9:S9" si="2">IF(AND(H$6&gt;=$C9,H$6&lt;=$D9),$E9,0)</f>
        <v>666.67</v>
      </c>
      <c r="I9" s="183">
        <f t="shared" si="2"/>
        <v>0</v>
      </c>
      <c r="J9" s="183">
        <f t="shared" si="2"/>
        <v>666.67</v>
      </c>
      <c r="K9" s="183">
        <f t="shared" si="2"/>
        <v>0</v>
      </c>
      <c r="L9" s="183">
        <f t="shared" si="2"/>
        <v>666.67</v>
      </c>
      <c r="M9" s="183">
        <f t="shared" si="2"/>
        <v>0</v>
      </c>
      <c r="N9" s="183">
        <f t="shared" si="2"/>
        <v>666.67</v>
      </c>
      <c r="O9" s="183">
        <f t="shared" si="2"/>
        <v>666.67</v>
      </c>
      <c r="P9" s="183">
        <f t="shared" si="2"/>
        <v>666.67</v>
      </c>
      <c r="Q9" s="183">
        <f t="shared" si="2"/>
        <v>666.67</v>
      </c>
      <c r="R9" s="183">
        <f t="shared" si="2"/>
        <v>666.67</v>
      </c>
      <c r="S9" s="183">
        <f t="shared" si="2"/>
        <v>666.67</v>
      </c>
    </row>
    <row r="10" spans="2:21" x14ac:dyDescent="0.35">
      <c r="B10" s="43"/>
      <c r="C10" s="44"/>
      <c r="D10" s="44"/>
      <c r="E10" s="44"/>
      <c r="F10" s="163"/>
      <c r="G10" s="186" t="s">
        <v>133</v>
      </c>
      <c r="H10" s="187">
        <f t="shared" ref="H10" si="3">SUM(H7:H9)</f>
        <v>666.67</v>
      </c>
      <c r="I10" s="187">
        <f t="shared" ref="I10:S10" si="4">SUM(I7:I9)</f>
        <v>365.02899899899899</v>
      </c>
      <c r="J10" s="187">
        <f t="shared" si="4"/>
        <v>666.67</v>
      </c>
      <c r="K10" s="187">
        <f t="shared" si="4"/>
        <v>0</v>
      </c>
      <c r="L10" s="187">
        <f t="shared" si="4"/>
        <v>666.67</v>
      </c>
      <c r="M10" s="187">
        <f t="shared" si="4"/>
        <v>333.33</v>
      </c>
      <c r="N10" s="187">
        <f t="shared" si="4"/>
        <v>666.67</v>
      </c>
      <c r="O10" s="187">
        <f t="shared" si="4"/>
        <v>666.67</v>
      </c>
      <c r="P10" s="187">
        <f t="shared" si="4"/>
        <v>666.67</v>
      </c>
      <c r="Q10" s="187">
        <f t="shared" si="4"/>
        <v>666.67</v>
      </c>
      <c r="R10" s="187">
        <f t="shared" si="4"/>
        <v>666.67</v>
      </c>
      <c r="S10" s="187">
        <f t="shared" si="4"/>
        <v>666.67</v>
      </c>
    </row>
    <row r="11" spans="2:21" ht="7.5" customHeight="1" x14ac:dyDescent="0.35">
      <c r="H11" s="146"/>
      <c r="I11" s="146"/>
      <c r="J11" s="146"/>
      <c r="K11" s="146"/>
      <c r="L11" s="146"/>
      <c r="M11" s="146"/>
      <c r="N11" s="146"/>
      <c r="O11" s="146"/>
      <c r="P11" s="146"/>
      <c r="Q11" s="146"/>
      <c r="R11" s="146"/>
      <c r="S11" s="146"/>
    </row>
    <row r="12" spans="2:21" x14ac:dyDescent="0.35">
      <c r="B12" s="41" t="s">
        <v>201</v>
      </c>
      <c r="C12" s="173"/>
      <c r="D12" s="173"/>
      <c r="E12" s="174"/>
      <c r="F12" s="47"/>
      <c r="G12" s="42" t="s">
        <v>119</v>
      </c>
      <c r="H12" s="302">
        <v>197837</v>
      </c>
      <c r="I12" s="302">
        <v>198782</v>
      </c>
      <c r="J12" s="302">
        <v>219537</v>
      </c>
      <c r="K12" s="302">
        <v>185451</v>
      </c>
      <c r="L12" s="302">
        <v>196342</v>
      </c>
      <c r="M12" s="302">
        <v>164153</v>
      </c>
      <c r="N12" s="302">
        <v>186493</v>
      </c>
      <c r="O12" s="302">
        <v>0</v>
      </c>
      <c r="P12" s="302">
        <v>0</v>
      </c>
      <c r="Q12" s="302">
        <v>0</v>
      </c>
      <c r="R12" s="302">
        <v>0</v>
      </c>
      <c r="S12" s="302">
        <v>0</v>
      </c>
      <c r="U12" s="40" t="s">
        <v>216</v>
      </c>
    </row>
    <row r="13" spans="2:21" x14ac:dyDescent="0.35">
      <c r="B13" s="45" t="s">
        <v>269</v>
      </c>
      <c r="C13" s="176"/>
      <c r="D13" s="213"/>
      <c r="E13" s="177"/>
      <c r="F13" s="48"/>
      <c r="G13" s="40" t="s">
        <v>95</v>
      </c>
      <c r="H13" s="303">
        <v>181815</v>
      </c>
      <c r="I13" s="303">
        <v>149848</v>
      </c>
      <c r="J13" s="303">
        <v>133864</v>
      </c>
      <c r="K13" s="303">
        <v>181815</v>
      </c>
      <c r="L13" s="303">
        <v>153843</v>
      </c>
      <c r="M13" s="303">
        <v>141856</v>
      </c>
      <c r="N13" s="303">
        <v>153843</v>
      </c>
      <c r="O13" s="303">
        <v>0</v>
      </c>
      <c r="P13" s="303">
        <v>0</v>
      </c>
      <c r="Q13" s="303">
        <v>0</v>
      </c>
      <c r="R13" s="303">
        <v>0</v>
      </c>
      <c r="S13" s="303">
        <v>0</v>
      </c>
      <c r="U13" s="40" t="s">
        <v>217</v>
      </c>
    </row>
    <row r="14" spans="2:21" x14ac:dyDescent="0.35">
      <c r="B14" s="45"/>
      <c r="C14" s="179" t="s">
        <v>129</v>
      </c>
      <c r="D14" s="179" t="s">
        <v>130</v>
      </c>
      <c r="E14" s="214" t="s">
        <v>131</v>
      </c>
      <c r="F14" s="48"/>
      <c r="G14" s="157" t="s">
        <v>37</v>
      </c>
      <c r="H14" s="181">
        <f>IFERROR(ROUND(H12/H13,3)," - - -")</f>
        <v>1.0880000000000001</v>
      </c>
      <c r="I14" s="181">
        <f t="shared" ref="I14:M14" si="5">IFERROR(ROUND(I12/I13,3)," - - -")</f>
        <v>1.327</v>
      </c>
      <c r="J14" s="181">
        <f t="shared" si="5"/>
        <v>1.64</v>
      </c>
      <c r="K14" s="181">
        <f t="shared" si="5"/>
        <v>1.02</v>
      </c>
      <c r="L14" s="181">
        <f t="shared" si="5"/>
        <v>1.276</v>
      </c>
      <c r="M14" s="181">
        <f t="shared" si="5"/>
        <v>1.157</v>
      </c>
      <c r="N14" s="181">
        <f t="shared" ref="N14:S14" si="6">IFERROR(ROUND(N12/N13,3)," - - -")</f>
        <v>1.212</v>
      </c>
      <c r="O14" s="181" t="str">
        <f t="shared" si="6"/>
        <v xml:space="preserve"> - - -</v>
      </c>
      <c r="P14" s="181" t="str">
        <f t="shared" si="6"/>
        <v xml:space="preserve"> - - -</v>
      </c>
      <c r="Q14" s="181" t="str">
        <f t="shared" si="6"/>
        <v xml:space="preserve"> - - -</v>
      </c>
      <c r="R14" s="181" t="str">
        <f t="shared" si="6"/>
        <v xml:space="preserve"> - - -</v>
      </c>
      <c r="S14" s="181" t="str">
        <f t="shared" si="6"/>
        <v xml:space="preserve"> - - -</v>
      </c>
    </row>
    <row r="15" spans="2:21" x14ac:dyDescent="0.35">
      <c r="B15" s="45"/>
      <c r="C15" s="182">
        <v>0.9</v>
      </c>
      <c r="D15" s="182">
        <v>0.99990000000000001</v>
      </c>
      <c r="E15" s="215">
        <f>ROUND(2500/12,2)</f>
        <v>208.33</v>
      </c>
      <c r="F15" s="48"/>
      <c r="H15" s="183">
        <f>IF(AND(H$14&gt;=$C15,H$14&lt;=$D15),($E15+((($E16-$E15)*(H$14-$C15))/($D15-$C15))),0)</f>
        <v>0</v>
      </c>
      <c r="I15" s="183">
        <f t="shared" ref="I15:L15" si="7">IF(AND(I$14&gt;=$C15,I$14&lt;=$D15),($E15+((($E16-$E15)*(I$14-$C15))/($D15-$C15))),0)</f>
        <v>0</v>
      </c>
      <c r="J15" s="183">
        <f t="shared" si="7"/>
        <v>0</v>
      </c>
      <c r="K15" s="183">
        <f t="shared" si="7"/>
        <v>0</v>
      </c>
      <c r="L15" s="183">
        <f t="shared" si="7"/>
        <v>0</v>
      </c>
      <c r="M15" s="183">
        <f>IF(AND(M$14&gt;=$C15,M$14&lt;=$D15),($E15+((($E16-$E15)*(M$14-$C15))/($D15-$C15))),0)</f>
        <v>0</v>
      </c>
      <c r="N15" s="183">
        <f t="shared" ref="N15:S16" si="8">IF(AND(N$14&gt;=$C15,N$14&lt;=$D15),($E15+((($E16-$E15)*(N$14-$C15))/($D15-$C15))),0)</f>
        <v>0</v>
      </c>
      <c r="O15" s="183">
        <f t="shared" si="8"/>
        <v>0</v>
      </c>
      <c r="P15" s="183">
        <f t="shared" si="8"/>
        <v>0</v>
      </c>
      <c r="Q15" s="183">
        <f t="shared" si="8"/>
        <v>0</v>
      </c>
      <c r="R15" s="183">
        <f t="shared" si="8"/>
        <v>0</v>
      </c>
      <c r="S15" s="183">
        <f t="shared" si="8"/>
        <v>0</v>
      </c>
    </row>
    <row r="16" spans="2:21" x14ac:dyDescent="0.35">
      <c r="B16" s="45"/>
      <c r="C16" s="182">
        <v>1</v>
      </c>
      <c r="D16" s="182">
        <v>1.1999</v>
      </c>
      <c r="E16" s="215">
        <f>ROUND(3750/12,2)</f>
        <v>312.5</v>
      </c>
      <c r="F16" s="48"/>
      <c r="H16" s="183">
        <f t="shared" ref="H16:L16" si="9">IF(AND(H$14&gt;=$C16,H$14&lt;=$D16),($E16+((($E17-$E16)*(H$14-$C16))/($D16-$C16))),0)</f>
        <v>358.35772886443226</v>
      </c>
      <c r="I16" s="183">
        <f t="shared" si="9"/>
        <v>0</v>
      </c>
      <c r="J16" s="183">
        <f t="shared" si="9"/>
        <v>0</v>
      </c>
      <c r="K16" s="183">
        <f t="shared" si="9"/>
        <v>322.92221110555278</v>
      </c>
      <c r="L16" s="183">
        <f t="shared" si="9"/>
        <v>0</v>
      </c>
      <c r="M16" s="183">
        <f>IF(AND(M$14&gt;=$C16,M$14&lt;=$D16),($E16+((($E17-$E16)*(M$14-$C16))/($D16-$C16))),0)</f>
        <v>394.31435717858932</v>
      </c>
      <c r="N16" s="183">
        <f t="shared" si="8"/>
        <v>0</v>
      </c>
      <c r="O16" s="183">
        <f t="shared" si="8"/>
        <v>0</v>
      </c>
      <c r="P16" s="183">
        <f t="shared" si="8"/>
        <v>0</v>
      </c>
      <c r="Q16" s="183">
        <f t="shared" si="8"/>
        <v>0</v>
      </c>
      <c r="R16" s="183">
        <f t="shared" si="8"/>
        <v>0</v>
      </c>
      <c r="S16" s="183">
        <f t="shared" si="8"/>
        <v>0</v>
      </c>
    </row>
    <row r="17" spans="2:21" x14ac:dyDescent="0.35">
      <c r="B17" s="45"/>
      <c r="C17" s="184">
        <v>1.2</v>
      </c>
      <c r="D17" s="185" t="s">
        <v>132</v>
      </c>
      <c r="E17" s="215">
        <f>ROUND(5000/12,2)</f>
        <v>416.67</v>
      </c>
      <c r="F17" s="48"/>
      <c r="H17" s="183">
        <f>IF(AND(H$14&gt;=$C17,H$14&lt;=$D17),$E17,0)</f>
        <v>0</v>
      </c>
      <c r="I17" s="183">
        <f t="shared" ref="I17:L17" si="10">IF(AND(I$14&gt;=$C17,I$14&lt;=$D17),$E17,0)</f>
        <v>416.67</v>
      </c>
      <c r="J17" s="183">
        <f t="shared" si="10"/>
        <v>416.67</v>
      </c>
      <c r="K17" s="183">
        <f t="shared" si="10"/>
        <v>0</v>
      </c>
      <c r="L17" s="183">
        <f t="shared" si="10"/>
        <v>416.67</v>
      </c>
      <c r="M17" s="183">
        <f>IF(AND(M$14&gt;=$C17,M$14&lt;=$D17),$E17,0)</f>
        <v>0</v>
      </c>
      <c r="N17" s="183">
        <f t="shared" ref="N17:S17" si="11">IF(AND(N$14&gt;=$C17,N$14&lt;=$D17),$E17,0)</f>
        <v>416.67</v>
      </c>
      <c r="O17" s="183">
        <f t="shared" si="11"/>
        <v>416.67</v>
      </c>
      <c r="P17" s="183">
        <f t="shared" si="11"/>
        <v>416.67</v>
      </c>
      <c r="Q17" s="183">
        <f t="shared" si="11"/>
        <v>416.67</v>
      </c>
      <c r="R17" s="183">
        <f t="shared" si="11"/>
        <v>416.67</v>
      </c>
      <c r="S17" s="183">
        <f t="shared" si="11"/>
        <v>416.67</v>
      </c>
    </row>
    <row r="18" spans="2:21" x14ac:dyDescent="0.35">
      <c r="B18" s="43"/>
      <c r="C18" s="44"/>
      <c r="D18" s="44"/>
      <c r="E18" s="44"/>
      <c r="F18" s="163"/>
      <c r="G18" s="186" t="s">
        <v>133</v>
      </c>
      <c r="H18" s="187">
        <f t="shared" ref="H18" si="12">SUM(H15:H17)</f>
        <v>358.35772886443226</v>
      </c>
      <c r="I18" s="187">
        <f t="shared" ref="I18:M18" si="13">SUM(I15:I17)</f>
        <v>416.67</v>
      </c>
      <c r="J18" s="187">
        <f t="shared" si="13"/>
        <v>416.67</v>
      </c>
      <c r="K18" s="187">
        <f t="shared" si="13"/>
        <v>322.92221110555278</v>
      </c>
      <c r="L18" s="187">
        <f t="shared" si="13"/>
        <v>416.67</v>
      </c>
      <c r="M18" s="187">
        <f t="shared" si="13"/>
        <v>394.31435717858932</v>
      </c>
      <c r="N18" s="187">
        <f t="shared" ref="N18:S18" si="14">SUM(N15:N17)</f>
        <v>416.67</v>
      </c>
      <c r="O18" s="187">
        <f t="shared" si="14"/>
        <v>416.67</v>
      </c>
      <c r="P18" s="187">
        <f t="shared" si="14"/>
        <v>416.67</v>
      </c>
      <c r="Q18" s="187">
        <f t="shared" si="14"/>
        <v>416.67</v>
      </c>
      <c r="R18" s="187">
        <f t="shared" si="14"/>
        <v>416.67</v>
      </c>
      <c r="S18" s="187">
        <f t="shared" si="14"/>
        <v>416.67</v>
      </c>
    </row>
    <row r="19" spans="2:21" ht="7.5" customHeight="1" x14ac:dyDescent="0.35">
      <c r="B19" s="170"/>
    </row>
    <row r="20" spans="2:21" x14ac:dyDescent="0.35">
      <c r="B20" s="41" t="s">
        <v>161</v>
      </c>
      <c r="C20" s="173"/>
      <c r="D20" s="173"/>
      <c r="E20" s="174"/>
      <c r="F20" s="47"/>
      <c r="G20" s="42" t="s">
        <v>119</v>
      </c>
      <c r="H20" s="302">
        <v>197837</v>
      </c>
      <c r="I20" s="302">
        <v>49339</v>
      </c>
      <c r="J20" s="302">
        <v>28787</v>
      </c>
      <c r="K20" s="302">
        <v>42082</v>
      </c>
      <c r="L20" s="302">
        <v>41058</v>
      </c>
      <c r="M20" s="302">
        <v>28188</v>
      </c>
      <c r="N20" s="302">
        <v>32612</v>
      </c>
      <c r="O20" s="302">
        <v>0</v>
      </c>
      <c r="P20" s="302">
        <v>0</v>
      </c>
      <c r="Q20" s="302">
        <v>0</v>
      </c>
      <c r="R20" s="302">
        <v>0</v>
      </c>
      <c r="S20" s="302">
        <v>0</v>
      </c>
      <c r="U20" s="40" t="s">
        <v>218</v>
      </c>
    </row>
    <row r="21" spans="2:21" x14ac:dyDescent="0.35">
      <c r="B21" s="45" t="s">
        <v>269</v>
      </c>
      <c r="C21" s="176"/>
      <c r="D21" s="213"/>
      <c r="E21" s="177"/>
      <c r="F21" s="48"/>
      <c r="G21" s="40" t="s">
        <v>95</v>
      </c>
      <c r="H21" s="303">
        <v>181815</v>
      </c>
      <c r="I21" s="303">
        <v>51783</v>
      </c>
      <c r="J21" s="303">
        <v>28769</v>
      </c>
      <c r="K21" s="303">
        <v>28769</v>
      </c>
      <c r="L21" s="303">
        <v>28769</v>
      </c>
      <c r="M21" s="303">
        <v>23015</v>
      </c>
      <c r="N21" s="303">
        <v>23015</v>
      </c>
      <c r="O21" s="303">
        <v>0</v>
      </c>
      <c r="P21" s="303">
        <v>0</v>
      </c>
      <c r="Q21" s="303">
        <v>0</v>
      </c>
      <c r="R21" s="303">
        <v>0</v>
      </c>
      <c r="S21" s="303">
        <v>0</v>
      </c>
      <c r="U21" s="40" t="s">
        <v>219</v>
      </c>
    </row>
    <row r="22" spans="2:21" x14ac:dyDescent="0.35">
      <c r="B22" s="45"/>
      <c r="C22" s="179" t="s">
        <v>129</v>
      </c>
      <c r="D22" s="179" t="s">
        <v>130</v>
      </c>
      <c r="E22" s="214" t="s">
        <v>131</v>
      </c>
      <c r="F22" s="48"/>
      <c r="G22" s="157" t="s">
        <v>37</v>
      </c>
      <c r="H22" s="181">
        <f>IFERROR(ROUND(H20/H21,3)," - - -")</f>
        <v>1.0880000000000001</v>
      </c>
      <c r="I22" s="181">
        <f t="shared" ref="I22:S22" si="15">IFERROR(ROUND(I20/I21,3)," - - -")</f>
        <v>0.95299999999999996</v>
      </c>
      <c r="J22" s="181">
        <f t="shared" si="15"/>
        <v>1.0009999999999999</v>
      </c>
      <c r="K22" s="181">
        <f t="shared" si="15"/>
        <v>1.4630000000000001</v>
      </c>
      <c r="L22" s="181">
        <f t="shared" si="15"/>
        <v>1.427</v>
      </c>
      <c r="M22" s="181">
        <f t="shared" si="15"/>
        <v>1.2250000000000001</v>
      </c>
      <c r="N22" s="181">
        <f t="shared" si="15"/>
        <v>1.417</v>
      </c>
      <c r="O22" s="181" t="str">
        <f t="shared" si="15"/>
        <v xml:space="preserve"> - - -</v>
      </c>
      <c r="P22" s="181" t="str">
        <f t="shared" si="15"/>
        <v xml:space="preserve"> - - -</v>
      </c>
      <c r="Q22" s="181" t="str">
        <f t="shared" si="15"/>
        <v xml:space="preserve"> - - -</v>
      </c>
      <c r="R22" s="181" t="str">
        <f t="shared" si="15"/>
        <v xml:space="preserve"> - - -</v>
      </c>
      <c r="S22" s="181" t="str">
        <f t="shared" si="15"/>
        <v xml:space="preserve"> - - -</v>
      </c>
    </row>
    <row r="23" spans="2:21" x14ac:dyDescent="0.35">
      <c r="B23" s="45"/>
      <c r="C23" s="182">
        <v>0.9</v>
      </c>
      <c r="D23" s="182">
        <v>0.99990000000000001</v>
      </c>
      <c r="E23" s="215">
        <f>ROUND(2500/12,2)</f>
        <v>208.33</v>
      </c>
      <c r="F23" s="48"/>
      <c r="H23" s="183">
        <f>IF(AND(H$22&gt;=$C23,H$22&lt;=$D23),($E23+((($E24-$E23)*(H$22-$C23))/($D23-$C23))),0)</f>
        <v>0</v>
      </c>
      <c r="I23" s="183">
        <f t="shared" ref="I23:S23" si="16">IF(AND(I$22&gt;=$C23,I$22&lt;=$D23),($E23+((($E24-$E23)*(I$22-$C23))/($D23-$C23))),0)</f>
        <v>263.5953653653653</v>
      </c>
      <c r="J23" s="183">
        <f t="shared" si="16"/>
        <v>0</v>
      </c>
      <c r="K23" s="183">
        <f t="shared" si="16"/>
        <v>0</v>
      </c>
      <c r="L23" s="183">
        <f t="shared" si="16"/>
        <v>0</v>
      </c>
      <c r="M23" s="183">
        <f t="shared" si="16"/>
        <v>0</v>
      </c>
      <c r="N23" s="183">
        <f t="shared" si="16"/>
        <v>0</v>
      </c>
      <c r="O23" s="183">
        <f t="shared" si="16"/>
        <v>0</v>
      </c>
      <c r="P23" s="183">
        <f t="shared" si="16"/>
        <v>0</v>
      </c>
      <c r="Q23" s="183">
        <f t="shared" si="16"/>
        <v>0</v>
      </c>
      <c r="R23" s="183">
        <f t="shared" si="16"/>
        <v>0</v>
      </c>
      <c r="S23" s="183">
        <f t="shared" si="16"/>
        <v>0</v>
      </c>
    </row>
    <row r="24" spans="2:21" x14ac:dyDescent="0.35">
      <c r="B24" s="45"/>
      <c r="C24" s="182">
        <v>1</v>
      </c>
      <c r="D24" s="182">
        <v>1.1999</v>
      </c>
      <c r="E24" s="215">
        <f>ROUND(3750/12,2)</f>
        <v>312.5</v>
      </c>
      <c r="F24" s="48"/>
      <c r="H24" s="183">
        <f t="shared" ref="H24:S24" si="17">IF(AND(H$22&gt;=$C24,H$22&lt;=$D24),($E24+((($E25-$E24)*(H$22-$C24))/($D24-$C24))),0)</f>
        <v>358.35772886443226</v>
      </c>
      <c r="I24" s="183">
        <f t="shared" si="17"/>
        <v>0</v>
      </c>
      <c r="J24" s="183">
        <f t="shared" si="17"/>
        <v>313.02111055527757</v>
      </c>
      <c r="K24" s="183">
        <f t="shared" si="17"/>
        <v>0</v>
      </c>
      <c r="L24" s="183">
        <f t="shared" si="17"/>
        <v>0</v>
      </c>
      <c r="M24" s="183">
        <f t="shared" si="17"/>
        <v>0</v>
      </c>
      <c r="N24" s="183">
        <f t="shared" si="17"/>
        <v>0</v>
      </c>
      <c r="O24" s="183">
        <f t="shared" si="17"/>
        <v>0</v>
      </c>
      <c r="P24" s="183">
        <f t="shared" si="17"/>
        <v>0</v>
      </c>
      <c r="Q24" s="183">
        <f t="shared" si="17"/>
        <v>0</v>
      </c>
      <c r="R24" s="183">
        <f t="shared" si="17"/>
        <v>0</v>
      </c>
      <c r="S24" s="183">
        <f t="shared" si="17"/>
        <v>0</v>
      </c>
    </row>
    <row r="25" spans="2:21" x14ac:dyDescent="0.35">
      <c r="B25" s="45"/>
      <c r="C25" s="184">
        <v>1.2</v>
      </c>
      <c r="D25" s="185" t="s">
        <v>132</v>
      </c>
      <c r="E25" s="215">
        <f>ROUND(5000/12,2)</f>
        <v>416.67</v>
      </c>
      <c r="F25" s="48"/>
      <c r="H25" s="183">
        <f>IF(AND(H$22&gt;=$C25,H$22&lt;=$D25),$E25,0)</f>
        <v>0</v>
      </c>
      <c r="I25" s="183">
        <f t="shared" ref="I25:S25" si="18">IF(AND(I$22&gt;=$C25,I$22&lt;=$D25),$E25,0)</f>
        <v>0</v>
      </c>
      <c r="J25" s="183">
        <f t="shared" si="18"/>
        <v>0</v>
      </c>
      <c r="K25" s="183">
        <f t="shared" si="18"/>
        <v>416.67</v>
      </c>
      <c r="L25" s="183">
        <f t="shared" si="18"/>
        <v>416.67</v>
      </c>
      <c r="M25" s="183">
        <f t="shared" si="18"/>
        <v>416.67</v>
      </c>
      <c r="N25" s="183">
        <f t="shared" si="18"/>
        <v>416.67</v>
      </c>
      <c r="O25" s="183">
        <f t="shared" si="18"/>
        <v>416.67</v>
      </c>
      <c r="P25" s="183">
        <f t="shared" si="18"/>
        <v>416.67</v>
      </c>
      <c r="Q25" s="183">
        <f t="shared" si="18"/>
        <v>416.67</v>
      </c>
      <c r="R25" s="183">
        <f t="shared" si="18"/>
        <v>416.67</v>
      </c>
      <c r="S25" s="183">
        <f t="shared" si="18"/>
        <v>416.67</v>
      </c>
    </row>
    <row r="26" spans="2:21" x14ac:dyDescent="0.35">
      <c r="B26" s="43"/>
      <c r="C26" s="44"/>
      <c r="D26" s="44"/>
      <c r="E26" s="44"/>
      <c r="F26" s="163"/>
      <c r="G26" s="186" t="s">
        <v>133</v>
      </c>
      <c r="H26" s="187">
        <f t="shared" ref="H26" si="19">SUM(H23:H25)</f>
        <v>358.35772886443226</v>
      </c>
      <c r="I26" s="187">
        <f t="shared" ref="I26:S26" si="20">SUM(I23:I25)</f>
        <v>263.5953653653653</v>
      </c>
      <c r="J26" s="187">
        <f t="shared" si="20"/>
        <v>313.02111055527757</v>
      </c>
      <c r="K26" s="187">
        <f t="shared" si="20"/>
        <v>416.67</v>
      </c>
      <c r="L26" s="187">
        <f t="shared" si="20"/>
        <v>416.67</v>
      </c>
      <c r="M26" s="187">
        <f t="shared" si="20"/>
        <v>416.67</v>
      </c>
      <c r="N26" s="187">
        <f t="shared" si="20"/>
        <v>416.67</v>
      </c>
      <c r="O26" s="187">
        <f t="shared" si="20"/>
        <v>416.67</v>
      </c>
      <c r="P26" s="187">
        <f t="shared" si="20"/>
        <v>416.67</v>
      </c>
      <c r="Q26" s="187">
        <f t="shared" si="20"/>
        <v>416.67</v>
      </c>
      <c r="R26" s="187">
        <f t="shared" si="20"/>
        <v>416.67</v>
      </c>
      <c r="S26" s="187">
        <f t="shared" si="20"/>
        <v>416.67</v>
      </c>
    </row>
    <row r="27" spans="2:21" ht="7.5" customHeight="1" x14ac:dyDescent="0.35"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</row>
    <row r="28" spans="2:21" x14ac:dyDescent="0.35">
      <c r="B28" s="41" t="s">
        <v>164</v>
      </c>
      <c r="C28" s="173"/>
      <c r="D28" s="173"/>
      <c r="E28" s="174"/>
      <c r="F28" s="47"/>
      <c r="G28" s="42" t="s">
        <v>162</v>
      </c>
      <c r="H28" s="302">
        <v>9267</v>
      </c>
      <c r="I28" s="302">
        <v>16799.3</v>
      </c>
      <c r="J28" s="302">
        <v>13400.71</v>
      </c>
      <c r="K28" s="302">
        <v>27566.25</v>
      </c>
      <c r="L28" s="302">
        <v>17225.32</v>
      </c>
      <c r="M28" s="302">
        <v>15489.9</v>
      </c>
      <c r="N28" s="302">
        <v>16117</v>
      </c>
      <c r="O28" s="302">
        <v>0</v>
      </c>
      <c r="P28" s="302">
        <v>0</v>
      </c>
      <c r="Q28" s="302">
        <v>0</v>
      </c>
      <c r="R28" s="302">
        <v>0</v>
      </c>
      <c r="S28" s="302">
        <v>0</v>
      </c>
    </row>
    <row r="29" spans="2:21" x14ac:dyDescent="0.35">
      <c r="B29" s="45" t="s">
        <v>269</v>
      </c>
      <c r="C29" s="176"/>
      <c r="D29" s="176"/>
      <c r="E29" s="177"/>
      <c r="F29" s="48"/>
      <c r="G29" s="40" t="s">
        <v>115</v>
      </c>
      <c r="H29" s="308">
        <f>'Sebastien Fleury 2025'!H20</f>
        <v>58</v>
      </c>
      <c r="I29" s="308">
        <f>'Sebastien Fleury 2025'!I20</f>
        <v>38</v>
      </c>
      <c r="J29" s="308">
        <f>'Sebastien Fleury 2025'!J20</f>
        <v>53</v>
      </c>
      <c r="K29" s="308">
        <f>'Sebastien Fleury 2025'!K20</f>
        <v>60</v>
      </c>
      <c r="L29" s="308">
        <f>'Alexandre Paradis 2025 v2'!L20</f>
        <v>59</v>
      </c>
      <c r="M29" s="308">
        <f>'Alexandre Paradis 2025 v2'!M20</f>
        <v>51</v>
      </c>
      <c r="N29" s="308">
        <f>'Alexandre Paradis 2025 v2'!N20</f>
        <v>81</v>
      </c>
      <c r="O29" s="308">
        <f>'Alexandre Paradis 2025 v2'!O20</f>
        <v>0</v>
      </c>
      <c r="P29" s="308">
        <f>'Alexandre Paradis 2025 v2'!P20</f>
        <v>0</v>
      </c>
      <c r="Q29" s="308">
        <f>'Alexandre Paradis 2025 v2'!Q20</f>
        <v>0</v>
      </c>
      <c r="R29" s="308">
        <f>'Alexandre Paradis 2025 v2'!R20</f>
        <v>0</v>
      </c>
      <c r="S29" s="308">
        <f>'Alexandre Paradis 2025 v2'!S20</f>
        <v>0</v>
      </c>
    </row>
    <row r="30" spans="2:21" x14ac:dyDescent="0.35">
      <c r="B30" s="45"/>
      <c r="C30" s="179" t="s">
        <v>129</v>
      </c>
      <c r="D30" s="179" t="s">
        <v>130</v>
      </c>
      <c r="E30" s="180" t="s">
        <v>131</v>
      </c>
      <c r="F30" s="48"/>
      <c r="G30" s="157" t="s">
        <v>163</v>
      </c>
      <c r="H30" s="299">
        <f t="shared" ref="H30" si="21">IFERROR(ROUND(H28/H29,3)," - - -")</f>
        <v>159.77600000000001</v>
      </c>
      <c r="I30" s="217">
        <f t="shared" ref="I30:S30" si="22">IFERROR(ROUND(I28/I29,3)," - - -")</f>
        <v>442.08699999999999</v>
      </c>
      <c r="J30" s="217">
        <f>IFERROR(ROUND(J28/J29,3)," - - -")</f>
        <v>252.84399999999999</v>
      </c>
      <c r="K30" s="299">
        <f t="shared" si="22"/>
        <v>459.43799999999999</v>
      </c>
      <c r="L30" s="217">
        <f t="shared" si="22"/>
        <v>291.95499999999998</v>
      </c>
      <c r="M30" s="217">
        <f t="shared" si="22"/>
        <v>303.72399999999999</v>
      </c>
      <c r="N30" s="217">
        <f t="shared" si="22"/>
        <v>198.97499999999999</v>
      </c>
      <c r="O30" s="217" t="str">
        <f t="shared" si="22"/>
        <v xml:space="preserve"> - - -</v>
      </c>
      <c r="P30" s="326" t="str">
        <f t="shared" si="22"/>
        <v xml:space="preserve"> - - -</v>
      </c>
      <c r="Q30" s="326" t="str">
        <f t="shared" si="22"/>
        <v xml:space="preserve"> - - -</v>
      </c>
      <c r="R30" s="326" t="str">
        <f t="shared" si="22"/>
        <v xml:space="preserve"> - - -</v>
      </c>
      <c r="S30" s="217" t="str">
        <f t="shared" si="22"/>
        <v xml:space="preserve"> - - -</v>
      </c>
    </row>
    <row r="31" spans="2:21" x14ac:dyDescent="0.35">
      <c r="B31" s="45"/>
      <c r="C31" s="289">
        <v>300</v>
      </c>
      <c r="D31" s="289">
        <v>374.99</v>
      </c>
      <c r="E31" s="215">
        <f>ROUND(750/12,2)</f>
        <v>62.5</v>
      </c>
      <c r="F31" s="48"/>
      <c r="H31" s="183">
        <f t="shared" ref="H31:S33" si="23">IF(AND(H$30&gt;=$C31,H$30&lt;=$D31),$E31,0)</f>
        <v>0</v>
      </c>
      <c r="I31" s="183">
        <f t="shared" si="23"/>
        <v>0</v>
      </c>
      <c r="J31" s="183">
        <f t="shared" si="23"/>
        <v>0</v>
      </c>
      <c r="K31" s="183">
        <f t="shared" si="23"/>
        <v>0</v>
      </c>
      <c r="L31" s="183">
        <f t="shared" si="23"/>
        <v>0</v>
      </c>
      <c r="M31" s="183">
        <f t="shared" si="23"/>
        <v>62.5</v>
      </c>
      <c r="N31" s="183">
        <f t="shared" si="23"/>
        <v>0</v>
      </c>
      <c r="O31" s="183">
        <f t="shared" si="23"/>
        <v>0</v>
      </c>
      <c r="P31" s="183">
        <f t="shared" si="23"/>
        <v>0</v>
      </c>
      <c r="Q31" s="183">
        <f t="shared" si="23"/>
        <v>0</v>
      </c>
      <c r="R31" s="183">
        <f t="shared" si="23"/>
        <v>0</v>
      </c>
      <c r="S31" s="183">
        <f t="shared" si="23"/>
        <v>0</v>
      </c>
    </row>
    <row r="32" spans="2:21" x14ac:dyDescent="0.35">
      <c r="B32" s="45"/>
      <c r="C32" s="289">
        <v>375</v>
      </c>
      <c r="D32" s="289">
        <v>524.99</v>
      </c>
      <c r="E32" s="215">
        <f>ROUND(1500/12,2)</f>
        <v>125</v>
      </c>
      <c r="F32" s="48"/>
      <c r="H32" s="183">
        <f t="shared" si="23"/>
        <v>0</v>
      </c>
      <c r="I32" s="183">
        <f t="shared" si="23"/>
        <v>125</v>
      </c>
      <c r="J32" s="183">
        <f t="shared" si="23"/>
        <v>0</v>
      </c>
      <c r="K32" s="183">
        <f t="shared" si="23"/>
        <v>125</v>
      </c>
      <c r="L32" s="183">
        <f t="shared" si="23"/>
        <v>0</v>
      </c>
      <c r="M32" s="183">
        <f t="shared" si="23"/>
        <v>0</v>
      </c>
      <c r="N32" s="183">
        <f t="shared" si="23"/>
        <v>0</v>
      </c>
      <c r="O32" s="183">
        <f t="shared" si="23"/>
        <v>0</v>
      </c>
      <c r="P32" s="183">
        <f t="shared" si="23"/>
        <v>0</v>
      </c>
      <c r="Q32" s="183">
        <f t="shared" si="23"/>
        <v>0</v>
      </c>
      <c r="R32" s="183">
        <f t="shared" si="23"/>
        <v>0</v>
      </c>
      <c r="S32" s="183">
        <f t="shared" si="23"/>
        <v>0</v>
      </c>
    </row>
    <row r="33" spans="2:24" x14ac:dyDescent="0.35">
      <c r="B33" s="45"/>
      <c r="C33" s="295">
        <v>525</v>
      </c>
      <c r="D33" s="296" t="s">
        <v>132</v>
      </c>
      <c r="E33" s="215">
        <f>ROUND(2500/12,2)</f>
        <v>208.33</v>
      </c>
      <c r="F33" s="48"/>
      <c r="H33" s="183">
        <f t="shared" si="23"/>
        <v>0</v>
      </c>
      <c r="I33" s="183">
        <f t="shared" si="23"/>
        <v>0</v>
      </c>
      <c r="J33" s="183">
        <f t="shared" si="23"/>
        <v>0</v>
      </c>
      <c r="K33" s="183">
        <f t="shared" si="23"/>
        <v>0</v>
      </c>
      <c r="L33" s="183">
        <f t="shared" si="23"/>
        <v>0</v>
      </c>
      <c r="M33" s="183">
        <f t="shared" si="23"/>
        <v>0</v>
      </c>
      <c r="N33" s="183">
        <f t="shared" si="23"/>
        <v>0</v>
      </c>
      <c r="O33" s="183">
        <f t="shared" si="23"/>
        <v>208.33</v>
      </c>
      <c r="P33" s="183">
        <f t="shared" si="23"/>
        <v>208.33</v>
      </c>
      <c r="Q33" s="183">
        <f t="shared" si="23"/>
        <v>208.33</v>
      </c>
      <c r="R33" s="183">
        <f t="shared" si="23"/>
        <v>208.33</v>
      </c>
      <c r="S33" s="183">
        <f t="shared" si="23"/>
        <v>208.33</v>
      </c>
    </row>
    <row r="34" spans="2:24" x14ac:dyDescent="0.35">
      <c r="B34" s="43"/>
      <c r="C34" s="44"/>
      <c r="D34" s="44"/>
      <c r="E34" s="44"/>
      <c r="F34" s="163"/>
      <c r="G34" s="186" t="s">
        <v>133</v>
      </c>
      <c r="H34" s="216">
        <f t="shared" ref="H34" si="24">SUM(H31:H33)</f>
        <v>0</v>
      </c>
      <c r="I34" s="216">
        <f t="shared" ref="I34:S34" si="25">SUM(I31:I33)</f>
        <v>125</v>
      </c>
      <c r="J34" s="216">
        <f t="shared" si="25"/>
        <v>0</v>
      </c>
      <c r="K34" s="216">
        <f t="shared" si="25"/>
        <v>125</v>
      </c>
      <c r="L34" s="216">
        <f t="shared" si="25"/>
        <v>0</v>
      </c>
      <c r="M34" s="216">
        <f t="shared" si="25"/>
        <v>62.5</v>
      </c>
      <c r="N34" s="216">
        <v>0</v>
      </c>
      <c r="O34" s="216">
        <f t="shared" si="25"/>
        <v>208.33</v>
      </c>
      <c r="P34" s="216">
        <f t="shared" si="25"/>
        <v>208.33</v>
      </c>
      <c r="Q34" s="216">
        <f t="shared" si="25"/>
        <v>208.33</v>
      </c>
      <c r="R34" s="216">
        <f t="shared" si="25"/>
        <v>208.33</v>
      </c>
      <c r="S34" s="216">
        <f t="shared" si="25"/>
        <v>208.33</v>
      </c>
    </row>
    <row r="35" spans="2:24" x14ac:dyDescent="0.35">
      <c r="V35" s="198"/>
    </row>
    <row r="36" spans="2:24" ht="15" thickBot="1" x14ac:dyDescent="0.4">
      <c r="G36" s="197" t="s">
        <v>140</v>
      </c>
      <c r="H36" s="273">
        <f t="shared" ref="H36:I36" si="26">+H34+H26+H18+H10</f>
        <v>1383.3854577288644</v>
      </c>
      <c r="I36" s="273">
        <f t="shared" si="26"/>
        <v>1170.2943643643644</v>
      </c>
      <c r="J36" s="273">
        <f>+J34+J26+J18+J10</f>
        <v>1396.3611105552777</v>
      </c>
      <c r="K36" s="273">
        <f t="shared" ref="K36:S36" si="27">+K34+K26+K18+K10</f>
        <v>864.59221110555291</v>
      </c>
      <c r="L36" s="273">
        <f t="shared" si="27"/>
        <v>1500.01</v>
      </c>
      <c r="M36" s="273">
        <f t="shared" si="27"/>
        <v>1206.8143571785893</v>
      </c>
      <c r="N36" s="273">
        <f t="shared" si="27"/>
        <v>1500.01</v>
      </c>
      <c r="O36" s="273">
        <f t="shared" si="27"/>
        <v>1708.3400000000001</v>
      </c>
      <c r="P36" s="273">
        <f t="shared" si="27"/>
        <v>1708.3400000000001</v>
      </c>
      <c r="Q36" s="273">
        <f t="shared" ref="Q36" si="28">+Q34+Q26+Q18+Q10</f>
        <v>1708.3400000000001</v>
      </c>
      <c r="R36" s="273">
        <f t="shared" si="27"/>
        <v>1708.3400000000001</v>
      </c>
      <c r="S36" s="273">
        <f t="shared" si="27"/>
        <v>1708.3400000000001</v>
      </c>
      <c r="X36" s="292"/>
    </row>
    <row r="37" spans="2:24" ht="15" thickTop="1" x14ac:dyDescent="0.35"/>
  </sheetData>
  <pageMargins left="0.7" right="0.7" top="0.75" bottom="0.75" header="0.3" footer="0.3"/>
  <pageSetup scale="60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BJ693"/>
  <sheetViews>
    <sheetView topLeftCell="C62" zoomScale="80" zoomScaleNormal="80" workbookViewId="0">
      <selection activeCell="E103" sqref="E103"/>
    </sheetView>
  </sheetViews>
  <sheetFormatPr baseColWidth="10" defaultColWidth="14.453125" defaultRowHeight="15" customHeight="1" x14ac:dyDescent="0.35"/>
  <cols>
    <col min="1" max="1" width="11.81640625" hidden="1" customWidth="1"/>
    <col min="2" max="2" width="25" hidden="1" customWidth="1"/>
    <col min="3" max="3" width="35.7265625" customWidth="1"/>
    <col min="4" max="4" width="18.81640625" customWidth="1"/>
    <col min="5" max="5" width="16.7265625" customWidth="1"/>
    <col min="6" max="6" width="16" customWidth="1"/>
    <col min="7" max="7" width="20.26953125" hidden="1" customWidth="1"/>
    <col min="8" max="8" width="17.26953125" hidden="1" customWidth="1"/>
    <col min="9" max="9" width="16" hidden="1" customWidth="1"/>
    <col min="10" max="10" width="17.81640625" customWidth="1"/>
    <col min="11" max="11" width="17.7265625" customWidth="1"/>
    <col min="12" max="12" width="17" customWidth="1"/>
    <col min="13" max="14" width="18.54296875" customWidth="1"/>
    <col min="15" max="15" width="17.7265625" customWidth="1"/>
    <col min="16" max="16" width="16.7265625" customWidth="1"/>
    <col min="17" max="17" width="17" bestFit="1" customWidth="1"/>
    <col min="18" max="18" width="16.81640625" customWidth="1"/>
    <col min="19" max="19" width="21.7265625" customWidth="1"/>
    <col min="20" max="20" width="5.26953125" customWidth="1"/>
    <col min="21" max="21" width="36.26953125" customWidth="1"/>
    <col min="22" max="22" width="38.81640625" customWidth="1"/>
    <col min="23" max="23" width="14" customWidth="1"/>
    <col min="24" max="24" width="15.7265625" customWidth="1"/>
    <col min="25" max="25" width="17.26953125" customWidth="1"/>
    <col min="26" max="26" width="17.1796875" customWidth="1"/>
    <col min="27" max="27" width="12.7265625" hidden="1" customWidth="1"/>
    <col min="28" max="28" width="10.7265625" hidden="1" customWidth="1"/>
    <col min="29" max="29" width="16.54296875" hidden="1" customWidth="1"/>
    <col min="30" max="30" width="15.453125" customWidth="1"/>
    <col min="31" max="31" width="16.26953125" customWidth="1"/>
    <col min="32" max="32" width="16.1796875" customWidth="1"/>
    <col min="33" max="33" width="10.26953125" customWidth="1"/>
    <col min="34" max="34" width="15.453125" customWidth="1"/>
    <col min="35" max="35" width="13.1796875" bestFit="1" customWidth="1"/>
    <col min="36" max="36" width="12.453125" customWidth="1"/>
    <col min="37" max="37" width="13" customWidth="1"/>
    <col min="38" max="38" width="14.54296875" customWidth="1"/>
    <col min="39" max="39" width="10.26953125" customWidth="1"/>
    <col min="40" max="40" width="13.1796875" bestFit="1" customWidth="1"/>
    <col min="41" max="41" width="16.81640625" customWidth="1"/>
    <col min="42" max="42" width="12.54296875" customWidth="1"/>
    <col min="43" max="43" width="55.26953125" customWidth="1"/>
    <col min="44" max="62" width="12.54296875" customWidth="1"/>
  </cols>
  <sheetData>
    <row r="1" spans="1:40" ht="35.5" thickBot="1" x14ac:dyDescent="0.75">
      <c r="B1" s="410"/>
      <c r="C1" s="411" t="s">
        <v>706</v>
      </c>
      <c r="D1" s="412"/>
      <c r="E1" s="413"/>
      <c r="F1" s="412"/>
      <c r="G1" s="412"/>
      <c r="H1" s="410"/>
      <c r="I1" s="412"/>
      <c r="J1" s="410"/>
      <c r="K1" s="414" t="s">
        <v>291</v>
      </c>
      <c r="L1" s="412"/>
      <c r="M1" s="412"/>
      <c r="N1" s="415"/>
      <c r="O1" s="411"/>
      <c r="P1" s="416"/>
      <c r="Q1" s="411"/>
      <c r="R1" s="416"/>
      <c r="S1" s="417" t="s">
        <v>723</v>
      </c>
      <c r="T1" s="412" t="s">
        <v>292</v>
      </c>
      <c r="U1" s="410"/>
      <c r="V1" s="410"/>
      <c r="W1" s="410"/>
      <c r="X1" s="410"/>
      <c r="Y1" s="410"/>
      <c r="Z1" s="410"/>
      <c r="AA1" s="410"/>
      <c r="AB1" s="410"/>
      <c r="AC1" s="410"/>
      <c r="AD1" s="410"/>
      <c r="AE1" s="410"/>
      <c r="AF1" s="410"/>
      <c r="AG1" s="410"/>
      <c r="AH1" s="410"/>
      <c r="AI1" s="410"/>
      <c r="AJ1" s="410"/>
      <c r="AK1" s="410"/>
      <c r="AL1" s="410"/>
      <c r="AM1" s="410"/>
      <c r="AN1" s="410"/>
    </row>
    <row r="2" spans="1:40" ht="15" customHeight="1" thickTop="1" thickBot="1" x14ac:dyDescent="0.4">
      <c r="B2" s="418"/>
      <c r="C2" s="419"/>
      <c r="D2" s="420" t="s">
        <v>293</v>
      </c>
      <c r="E2" s="420" t="s">
        <v>294</v>
      </c>
      <c r="F2" s="420" t="s">
        <v>295</v>
      </c>
      <c r="G2" s="420"/>
      <c r="H2" s="420"/>
      <c r="I2" s="420"/>
      <c r="J2" s="420" t="s">
        <v>296</v>
      </c>
      <c r="K2" s="420"/>
      <c r="L2" s="420" t="s">
        <v>297</v>
      </c>
      <c r="M2" s="421"/>
      <c r="N2" s="421"/>
      <c r="O2" s="420" t="s">
        <v>293</v>
      </c>
      <c r="P2" s="420" t="s">
        <v>294</v>
      </c>
      <c r="Q2" s="420" t="s">
        <v>295</v>
      </c>
      <c r="R2" s="421"/>
      <c r="S2" s="421"/>
      <c r="T2" s="421"/>
      <c r="U2" s="421"/>
      <c r="V2" s="422" t="s">
        <v>298</v>
      </c>
      <c r="W2" s="423"/>
    </row>
    <row r="3" spans="1:40" ht="20.5" thickTop="1" x14ac:dyDescent="0.4">
      <c r="B3" s="424"/>
      <c r="C3" s="425"/>
      <c r="D3" s="787" t="s">
        <v>299</v>
      </c>
      <c r="E3" s="788"/>
      <c r="F3" s="789"/>
      <c r="G3" s="790"/>
      <c r="H3" s="788"/>
      <c r="I3" s="789"/>
      <c r="J3" s="790" t="s">
        <v>300</v>
      </c>
      <c r="K3" s="788"/>
      <c r="L3" s="789"/>
      <c r="M3" s="790" t="s">
        <v>301</v>
      </c>
      <c r="N3" s="789"/>
      <c r="O3" s="787" t="s">
        <v>302</v>
      </c>
      <c r="P3" s="788"/>
      <c r="Q3" s="789"/>
      <c r="R3" s="790" t="s">
        <v>303</v>
      </c>
      <c r="S3" s="789"/>
      <c r="T3" s="424"/>
      <c r="U3" s="424"/>
      <c r="V3" s="426" t="s">
        <v>304</v>
      </c>
      <c r="W3" s="427">
        <v>0.45</v>
      </c>
      <c r="X3" s="424"/>
      <c r="Y3" s="424"/>
      <c r="Z3" s="424"/>
      <c r="AA3" s="424"/>
      <c r="AB3" s="424"/>
      <c r="AC3" s="424"/>
      <c r="AD3" s="424"/>
      <c r="AE3" s="424"/>
      <c r="AF3" s="424"/>
      <c r="AG3" s="424"/>
      <c r="AH3" s="424"/>
      <c r="AI3" s="424"/>
      <c r="AJ3" s="424"/>
      <c r="AK3" s="424"/>
      <c r="AL3" s="424"/>
      <c r="AM3" s="424"/>
      <c r="AN3" s="424"/>
    </row>
    <row r="4" spans="1:40" ht="20" x14ac:dyDescent="0.4">
      <c r="B4" s="424"/>
      <c r="C4" s="428"/>
      <c r="D4" s="429" t="s">
        <v>305</v>
      </c>
      <c r="E4" s="430" t="s">
        <v>23</v>
      </c>
      <c r="F4" s="431" t="s">
        <v>24</v>
      </c>
      <c r="G4" s="432"/>
      <c r="H4" s="430"/>
      <c r="I4" s="431"/>
      <c r="J4" s="432" t="s">
        <v>306</v>
      </c>
      <c r="K4" s="430" t="s">
        <v>307</v>
      </c>
      <c r="L4" s="431" t="s">
        <v>24</v>
      </c>
      <c r="M4" s="432" t="s">
        <v>306</v>
      </c>
      <c r="N4" s="431" t="s">
        <v>24</v>
      </c>
      <c r="O4" s="430" t="s">
        <v>305</v>
      </c>
      <c r="P4" s="430" t="s">
        <v>23</v>
      </c>
      <c r="Q4" s="431" t="s">
        <v>24</v>
      </c>
      <c r="R4" s="432" t="s">
        <v>306</v>
      </c>
      <c r="S4" s="431" t="s">
        <v>24</v>
      </c>
      <c r="T4" s="424"/>
      <c r="U4" s="424"/>
      <c r="V4" s="426" t="s">
        <v>308</v>
      </c>
      <c r="W4" s="427">
        <v>0.1</v>
      </c>
      <c r="X4" s="424"/>
      <c r="Y4" s="424"/>
      <c r="Z4" s="424"/>
      <c r="AA4" s="424"/>
      <c r="AB4" s="424"/>
      <c r="AC4" s="424"/>
      <c r="AD4" s="424"/>
      <c r="AE4" s="424"/>
      <c r="AF4" s="424"/>
      <c r="AG4" s="424"/>
      <c r="AH4" s="424"/>
      <c r="AI4" s="424"/>
      <c r="AJ4" s="424"/>
      <c r="AK4" s="424"/>
      <c r="AL4" s="424"/>
      <c r="AM4" s="424"/>
      <c r="AN4" s="424"/>
    </row>
    <row r="5" spans="1:40" ht="20" x14ac:dyDescent="0.4">
      <c r="A5" s="433" t="s">
        <v>309</v>
      </c>
      <c r="B5" s="424" t="s">
        <v>291</v>
      </c>
      <c r="C5" s="434" t="s">
        <v>310</v>
      </c>
      <c r="D5" s="435"/>
      <c r="E5" s="435"/>
      <c r="F5" s="436">
        <v>3782098.1621498531</v>
      </c>
      <c r="G5" s="435"/>
      <c r="H5" s="435"/>
      <c r="I5" s="437"/>
      <c r="J5" s="434"/>
      <c r="K5" s="438"/>
      <c r="L5" s="436">
        <v>4089468.2600000007</v>
      </c>
      <c r="M5" s="439"/>
      <c r="N5" s="440"/>
      <c r="O5" s="434"/>
      <c r="P5" s="438"/>
      <c r="Q5" s="436">
        <v>4524162.07</v>
      </c>
      <c r="R5" s="439"/>
      <c r="S5" s="440"/>
      <c r="T5" s="424"/>
      <c r="U5" s="424"/>
      <c r="V5" s="426" t="s">
        <v>311</v>
      </c>
      <c r="W5" s="427">
        <v>0.22500000000000001</v>
      </c>
      <c r="X5" s="424"/>
      <c r="Y5" s="424"/>
      <c r="Z5" s="424"/>
      <c r="AA5" s="424"/>
      <c r="AB5" s="424"/>
      <c r="AC5" s="424"/>
      <c r="AD5" s="424"/>
      <c r="AE5" s="424"/>
      <c r="AF5" s="424"/>
      <c r="AG5" s="424"/>
      <c r="AH5" s="424"/>
      <c r="AI5" s="424"/>
      <c r="AJ5" s="424"/>
      <c r="AK5" s="424"/>
      <c r="AL5" s="424"/>
      <c r="AM5" s="424"/>
      <c r="AN5" s="424"/>
    </row>
    <row r="6" spans="1:40" ht="20" x14ac:dyDescent="0.4">
      <c r="A6" s="433" t="s">
        <v>312</v>
      </c>
      <c r="B6" s="424" t="s">
        <v>291</v>
      </c>
      <c r="C6" s="441" t="s">
        <v>313</v>
      </c>
      <c r="D6" s="442">
        <v>19</v>
      </c>
      <c r="E6" s="442">
        <v>1953.6491683802797</v>
      </c>
      <c r="F6" s="442">
        <v>37119.334199225312</v>
      </c>
      <c r="G6" s="443"/>
      <c r="H6" s="442"/>
      <c r="I6" s="442"/>
      <c r="J6" s="443">
        <v>13</v>
      </c>
      <c r="K6" s="442">
        <v>1905.2107692307695</v>
      </c>
      <c r="L6" s="444">
        <v>24767.740000000005</v>
      </c>
      <c r="M6" s="443">
        <v>-6</v>
      </c>
      <c r="N6" s="444">
        <v>-12351.594199225307</v>
      </c>
      <c r="O6" s="443">
        <v>23</v>
      </c>
      <c r="P6" s="442">
        <v>1942.4756521739087</v>
      </c>
      <c r="Q6" s="444">
        <v>44676.9399999999</v>
      </c>
      <c r="R6" s="443">
        <v>-10</v>
      </c>
      <c r="S6" s="444">
        <v>-19909.199999999895</v>
      </c>
      <c r="T6" s="424"/>
      <c r="U6" s="424"/>
      <c r="V6" s="426" t="s">
        <v>314</v>
      </c>
      <c r="W6" s="427">
        <v>2.5000000000000001E-2</v>
      </c>
      <c r="X6" s="424"/>
      <c r="Y6" s="424"/>
      <c r="Z6" s="424"/>
      <c r="AA6" s="424"/>
      <c r="AB6" s="424"/>
      <c r="AC6" s="424"/>
      <c r="AD6" s="424"/>
      <c r="AE6" s="424"/>
      <c r="AF6" s="424"/>
      <c r="AG6" s="424"/>
      <c r="AH6" s="424"/>
      <c r="AI6" s="424"/>
      <c r="AJ6" s="424"/>
      <c r="AK6" s="424"/>
      <c r="AL6" s="424"/>
      <c r="AM6" s="424"/>
      <c r="AN6" s="424"/>
    </row>
    <row r="7" spans="1:40" ht="20" x14ac:dyDescent="0.4">
      <c r="A7" s="433" t="s">
        <v>315</v>
      </c>
      <c r="B7" s="424" t="s">
        <v>291</v>
      </c>
      <c r="C7" s="441" t="s">
        <v>316</v>
      </c>
      <c r="D7" s="442">
        <v>50</v>
      </c>
      <c r="E7" s="442">
        <v>2435.9046775963693</v>
      </c>
      <c r="F7" s="442">
        <v>121795.23387981846</v>
      </c>
      <c r="G7" s="443"/>
      <c r="H7" s="442"/>
      <c r="I7" s="442"/>
      <c r="J7" s="443">
        <v>63</v>
      </c>
      <c r="K7" s="442">
        <v>2276.0850793650839</v>
      </c>
      <c r="L7" s="444">
        <v>143393.36000000028</v>
      </c>
      <c r="M7" s="443">
        <v>13</v>
      </c>
      <c r="N7" s="444">
        <v>21598.126120181812</v>
      </c>
      <c r="O7" s="443">
        <v>54</v>
      </c>
      <c r="P7" s="442">
        <v>2267.4683333333151</v>
      </c>
      <c r="Q7" s="444">
        <v>122443.289999999</v>
      </c>
      <c r="R7" s="443">
        <v>9</v>
      </c>
      <c r="S7" s="444">
        <v>20950.070000001273</v>
      </c>
      <c r="T7" s="424"/>
      <c r="U7" s="424"/>
      <c r="V7" s="426" t="s">
        <v>317</v>
      </c>
      <c r="W7" s="427">
        <v>0.2</v>
      </c>
      <c r="X7" s="424"/>
      <c r="Y7" s="424"/>
      <c r="Z7" s="424"/>
      <c r="AA7" s="424"/>
      <c r="AB7" s="424"/>
      <c r="AC7" s="424"/>
      <c r="AD7" s="424"/>
      <c r="AE7" s="424"/>
      <c r="AF7" s="424"/>
      <c r="AG7" s="424"/>
      <c r="AH7" s="424"/>
      <c r="AI7" s="424"/>
      <c r="AJ7" s="424"/>
      <c r="AK7" s="424"/>
      <c r="AL7" s="424"/>
      <c r="AM7" s="424"/>
      <c r="AN7" s="424"/>
    </row>
    <row r="8" spans="1:40" ht="20.5" thickBot="1" x14ac:dyDescent="0.45">
      <c r="A8" s="433" t="s">
        <v>318</v>
      </c>
      <c r="B8" s="424" t="s">
        <v>291</v>
      </c>
      <c r="C8" s="441" t="s">
        <v>319</v>
      </c>
      <c r="D8" s="442">
        <v>0</v>
      </c>
      <c r="E8" s="442">
        <v>0</v>
      </c>
      <c r="F8" s="442">
        <v>0</v>
      </c>
      <c r="G8" s="443"/>
      <c r="H8" s="442"/>
      <c r="I8" s="442"/>
      <c r="J8" s="443">
        <v>0</v>
      </c>
      <c r="K8" s="442">
        <v>0</v>
      </c>
      <c r="L8" s="444">
        <v>0</v>
      </c>
      <c r="M8" s="443">
        <v>0</v>
      </c>
      <c r="N8" s="444">
        <v>0</v>
      </c>
      <c r="O8" s="443">
        <v>0</v>
      </c>
      <c r="P8" s="442">
        <v>0</v>
      </c>
      <c r="Q8" s="444">
        <v>0</v>
      </c>
      <c r="R8" s="443">
        <v>0</v>
      </c>
      <c r="S8" s="444">
        <v>0</v>
      </c>
      <c r="T8" s="424"/>
      <c r="U8" s="424"/>
      <c r="V8" s="445"/>
      <c r="W8" s="446">
        <v>1</v>
      </c>
      <c r="X8" s="424"/>
      <c r="Y8" s="424"/>
      <c r="Z8" s="424"/>
      <c r="AA8" s="424"/>
      <c r="AB8" s="424"/>
      <c r="AC8" s="424"/>
      <c r="AD8" s="424"/>
      <c r="AE8" s="424"/>
      <c r="AF8" s="424"/>
      <c r="AG8" s="424"/>
      <c r="AH8" s="424"/>
      <c r="AI8" s="424"/>
      <c r="AJ8" s="424"/>
      <c r="AK8" s="424"/>
      <c r="AL8" s="424"/>
      <c r="AM8" s="424"/>
      <c r="AN8" s="424"/>
    </row>
    <row r="9" spans="1:40" ht="20.5" thickTop="1" x14ac:dyDescent="0.4">
      <c r="A9" s="433" t="s">
        <v>320</v>
      </c>
      <c r="B9" s="424" t="s">
        <v>291</v>
      </c>
      <c r="C9" s="441" t="s">
        <v>321</v>
      </c>
      <c r="D9" s="442">
        <v>0</v>
      </c>
      <c r="E9" s="442">
        <v>0</v>
      </c>
      <c r="F9" s="442">
        <v>0</v>
      </c>
      <c r="G9" s="443"/>
      <c r="H9" s="442"/>
      <c r="I9" s="442"/>
      <c r="J9" s="443">
        <v>0</v>
      </c>
      <c r="K9" s="442">
        <v>0</v>
      </c>
      <c r="L9" s="444">
        <v>0</v>
      </c>
      <c r="M9" s="443">
        <v>0</v>
      </c>
      <c r="N9" s="444">
        <v>0</v>
      </c>
      <c r="O9" s="443">
        <v>0</v>
      </c>
      <c r="P9" s="442">
        <v>0</v>
      </c>
      <c r="Q9" s="444">
        <v>0</v>
      </c>
      <c r="R9" s="443">
        <v>0</v>
      </c>
      <c r="S9" s="444">
        <v>0</v>
      </c>
      <c r="T9" s="424"/>
      <c r="U9" s="424"/>
      <c r="V9" s="424"/>
      <c r="W9" s="424"/>
      <c r="X9" s="424"/>
      <c r="Y9" s="424"/>
      <c r="Z9" s="424"/>
      <c r="AA9" s="424"/>
      <c r="AB9" s="424"/>
      <c r="AC9" s="424"/>
      <c r="AD9" s="424"/>
      <c r="AE9" s="424"/>
      <c r="AF9" s="424"/>
      <c r="AG9" s="424"/>
      <c r="AH9" s="424"/>
      <c r="AI9" s="424"/>
      <c r="AJ9" s="424"/>
      <c r="AK9" s="424"/>
      <c r="AL9" s="424"/>
      <c r="AM9" s="424"/>
      <c r="AN9" s="424"/>
    </row>
    <row r="10" spans="1:40" ht="20.25" hidden="1" customHeight="1" x14ac:dyDescent="0.4">
      <c r="A10" s="433" t="s">
        <v>322</v>
      </c>
      <c r="B10" s="424" t="s">
        <v>291</v>
      </c>
      <c r="C10" s="441" t="s">
        <v>323</v>
      </c>
      <c r="D10" s="442">
        <v>0</v>
      </c>
      <c r="E10" s="442">
        <v>0</v>
      </c>
      <c r="F10" s="442">
        <v>0</v>
      </c>
      <c r="G10" s="443"/>
      <c r="H10" s="442"/>
      <c r="I10" s="442"/>
      <c r="J10" s="443">
        <v>0</v>
      </c>
      <c r="K10" s="442">
        <v>0</v>
      </c>
      <c r="L10" s="444">
        <v>0</v>
      </c>
      <c r="M10" s="443">
        <v>0</v>
      </c>
      <c r="N10" s="444">
        <v>0</v>
      </c>
      <c r="O10" s="443">
        <v>0</v>
      </c>
      <c r="P10" s="442">
        <v>0</v>
      </c>
      <c r="Q10" s="444">
        <v>0</v>
      </c>
      <c r="R10" s="443">
        <v>0</v>
      </c>
      <c r="S10" s="444">
        <v>0</v>
      </c>
      <c r="T10" s="424"/>
      <c r="U10" s="424"/>
      <c r="V10" s="424"/>
      <c r="W10" s="424"/>
      <c r="X10" s="424"/>
      <c r="Y10" s="424"/>
      <c r="Z10" s="424"/>
      <c r="AA10" s="424"/>
      <c r="AB10" s="424"/>
      <c r="AC10" s="424"/>
      <c r="AD10" s="424"/>
      <c r="AE10" s="424"/>
      <c r="AF10" s="424"/>
      <c r="AG10" s="424"/>
      <c r="AH10" s="424"/>
      <c r="AI10" s="424"/>
      <c r="AJ10" s="424"/>
      <c r="AK10" s="424"/>
      <c r="AL10" s="424"/>
      <c r="AM10" s="424"/>
      <c r="AN10" s="424"/>
    </row>
    <row r="11" spans="1:40" ht="20.25" hidden="1" customHeight="1" x14ac:dyDescent="0.4">
      <c r="A11" s="433" t="s">
        <v>322</v>
      </c>
      <c r="B11" s="424" t="s">
        <v>291</v>
      </c>
      <c r="C11" s="441" t="s">
        <v>323</v>
      </c>
      <c r="D11" s="442">
        <v>0</v>
      </c>
      <c r="E11" s="442">
        <v>0</v>
      </c>
      <c r="F11" s="442">
        <v>0</v>
      </c>
      <c r="G11" s="443"/>
      <c r="H11" s="442"/>
      <c r="I11" s="442"/>
      <c r="J11" s="443">
        <v>0</v>
      </c>
      <c r="K11" s="442">
        <v>0</v>
      </c>
      <c r="L11" s="444">
        <v>0</v>
      </c>
      <c r="M11" s="443">
        <v>0</v>
      </c>
      <c r="N11" s="444">
        <v>0</v>
      </c>
      <c r="O11" s="443">
        <v>0</v>
      </c>
      <c r="P11" s="442">
        <v>0</v>
      </c>
      <c r="Q11" s="444">
        <v>0</v>
      </c>
      <c r="R11" s="443">
        <v>0</v>
      </c>
      <c r="S11" s="444">
        <v>0</v>
      </c>
      <c r="T11" s="424"/>
      <c r="U11" s="424"/>
      <c r="V11" s="424"/>
      <c r="W11" s="424"/>
      <c r="X11" s="424"/>
      <c r="Y11" s="424"/>
      <c r="Z11" s="424"/>
      <c r="AA11" s="424"/>
      <c r="AB11" s="424"/>
      <c r="AC11" s="424"/>
      <c r="AD11" s="424"/>
      <c r="AE11" s="424"/>
      <c r="AF11" s="424"/>
      <c r="AG11" s="424"/>
      <c r="AH11" s="424"/>
      <c r="AI11" s="424"/>
      <c r="AJ11" s="424"/>
      <c r="AK11" s="424"/>
      <c r="AL11" s="424"/>
      <c r="AM11" s="424"/>
      <c r="AN11" s="424"/>
    </row>
    <row r="12" spans="1:40" ht="20.25" hidden="1" customHeight="1" x14ac:dyDescent="0.4">
      <c r="A12" s="433" t="s">
        <v>322</v>
      </c>
      <c r="B12" s="424" t="s">
        <v>291</v>
      </c>
      <c r="C12" s="441" t="s">
        <v>323</v>
      </c>
      <c r="D12" s="442">
        <v>0</v>
      </c>
      <c r="E12" s="442">
        <v>0</v>
      </c>
      <c r="F12" s="442">
        <v>0</v>
      </c>
      <c r="G12" s="443"/>
      <c r="H12" s="442"/>
      <c r="I12" s="442"/>
      <c r="J12" s="443">
        <v>0</v>
      </c>
      <c r="K12" s="442">
        <v>0</v>
      </c>
      <c r="L12" s="444">
        <v>0</v>
      </c>
      <c r="M12" s="443">
        <v>0</v>
      </c>
      <c r="N12" s="444">
        <v>0</v>
      </c>
      <c r="O12" s="443">
        <v>0</v>
      </c>
      <c r="P12" s="442">
        <v>0</v>
      </c>
      <c r="Q12" s="444">
        <v>0</v>
      </c>
      <c r="R12" s="443">
        <v>0</v>
      </c>
      <c r="S12" s="444">
        <v>0</v>
      </c>
      <c r="T12" s="424"/>
      <c r="U12" s="424"/>
      <c r="V12" s="424"/>
      <c r="W12" s="424"/>
      <c r="X12" s="424"/>
      <c r="Y12" s="424"/>
      <c r="Z12" s="424"/>
      <c r="AA12" s="424"/>
      <c r="AB12" s="424"/>
      <c r="AC12" s="424"/>
      <c r="AD12" s="424"/>
      <c r="AE12" s="424"/>
      <c r="AF12" s="424"/>
      <c r="AG12" s="424"/>
      <c r="AH12" s="424"/>
      <c r="AI12" s="424"/>
      <c r="AJ12" s="424"/>
      <c r="AK12" s="424"/>
      <c r="AL12" s="424"/>
      <c r="AM12" s="424"/>
      <c r="AN12" s="424"/>
    </row>
    <row r="13" spans="1:40" ht="20" x14ac:dyDescent="0.4">
      <c r="A13" s="433" t="s">
        <v>324</v>
      </c>
      <c r="B13" s="424" t="s">
        <v>291</v>
      </c>
      <c r="C13" s="447" t="s">
        <v>25</v>
      </c>
      <c r="D13" s="448">
        <v>69</v>
      </c>
      <c r="E13" s="448">
        <v>2303.109682304982</v>
      </c>
      <c r="F13" s="449">
        <v>158914.56807904376</v>
      </c>
      <c r="G13" s="450"/>
      <c r="H13" s="448"/>
      <c r="I13" s="449"/>
      <c r="J13" s="450">
        <v>76</v>
      </c>
      <c r="K13" s="448">
        <v>2212.6460526315823</v>
      </c>
      <c r="L13" s="449">
        <v>168161.10000000027</v>
      </c>
      <c r="M13" s="450">
        <v>7</v>
      </c>
      <c r="N13" s="449">
        <v>9246.5319209565059</v>
      </c>
      <c r="O13" s="450">
        <v>77</v>
      </c>
      <c r="P13" s="448">
        <v>2170.3925974025833</v>
      </c>
      <c r="Q13" s="449">
        <v>167120.2299999989</v>
      </c>
      <c r="R13" s="450">
        <v>-1</v>
      </c>
      <c r="S13" s="449">
        <v>1040.8700000013778</v>
      </c>
      <c r="T13" s="424"/>
      <c r="U13" s="424"/>
      <c r="V13" s="424"/>
      <c r="W13" s="424"/>
      <c r="X13" s="424"/>
      <c r="Y13" s="424"/>
      <c r="Z13" s="424"/>
      <c r="AA13" s="424"/>
      <c r="AB13" s="424"/>
      <c r="AC13" s="424"/>
      <c r="AD13" s="424"/>
      <c r="AE13" s="424"/>
      <c r="AF13" s="424"/>
      <c r="AG13" s="424"/>
      <c r="AH13" s="424"/>
      <c r="AI13" s="424"/>
      <c r="AJ13" s="424"/>
      <c r="AK13" s="424"/>
      <c r="AL13" s="424"/>
      <c r="AM13" s="424"/>
      <c r="AN13" s="424"/>
    </row>
    <row r="14" spans="1:40" ht="20" x14ac:dyDescent="0.4">
      <c r="A14" s="433" t="s">
        <v>291</v>
      </c>
      <c r="B14" s="424" t="s">
        <v>291</v>
      </c>
      <c r="C14" s="441"/>
      <c r="D14" s="424"/>
      <c r="E14" s="442"/>
      <c r="F14" s="451"/>
      <c r="G14" s="441"/>
      <c r="H14" s="442"/>
      <c r="I14" s="451"/>
      <c r="J14" s="441"/>
      <c r="K14" s="442"/>
      <c r="L14" s="451"/>
      <c r="M14" s="452">
        <v>0.10144927536231885</v>
      </c>
      <c r="N14" s="453">
        <v>5.8185552355132737E-2</v>
      </c>
      <c r="O14" s="441"/>
      <c r="P14" s="442"/>
      <c r="Q14" s="451"/>
      <c r="R14" s="452">
        <v>-1.2987012987012988E-2</v>
      </c>
      <c r="S14" s="453">
        <v>6.2282705092099539E-3</v>
      </c>
      <c r="T14" s="424"/>
      <c r="U14" s="424"/>
      <c r="V14" s="424"/>
      <c r="W14" s="442"/>
      <c r="X14" s="442"/>
      <c r="Y14" s="424"/>
      <c r="Z14" s="424"/>
      <c r="AA14" s="424"/>
      <c r="AB14" s="424"/>
      <c r="AC14" s="424"/>
      <c r="AD14" s="424">
        <v>20</v>
      </c>
      <c r="AE14" s="424">
        <v>1000</v>
      </c>
      <c r="AF14" s="424">
        <v>20000</v>
      </c>
      <c r="AG14" s="424"/>
      <c r="AH14" s="424"/>
      <c r="AI14" s="424"/>
      <c r="AJ14" s="424"/>
      <c r="AK14" s="424"/>
      <c r="AL14" s="424"/>
      <c r="AM14" s="424"/>
      <c r="AN14" s="424"/>
    </row>
    <row r="15" spans="1:40" ht="20" x14ac:dyDescent="0.4">
      <c r="A15" s="433" t="s">
        <v>325</v>
      </c>
      <c r="B15" s="424" t="s">
        <v>291</v>
      </c>
      <c r="C15" s="454" t="s">
        <v>326</v>
      </c>
      <c r="D15" s="438">
        <v>4</v>
      </c>
      <c r="E15" s="438">
        <v>1534.7521433415677</v>
      </c>
      <c r="F15" s="436">
        <v>6139.0085733662709</v>
      </c>
      <c r="G15" s="455"/>
      <c r="H15" s="438"/>
      <c r="I15" s="436"/>
      <c r="J15" s="456">
        <v>5</v>
      </c>
      <c r="K15" s="457">
        <v>1374.5080000000016</v>
      </c>
      <c r="L15" s="457">
        <v>6872.5400000000081</v>
      </c>
      <c r="M15" s="455">
        <v>1</v>
      </c>
      <c r="N15" s="436">
        <v>733.53142663373728</v>
      </c>
      <c r="O15" s="456">
        <v>3</v>
      </c>
      <c r="P15" s="457">
        <v>913.28999999999667</v>
      </c>
      <c r="Q15" s="457">
        <v>2739.8699999999899</v>
      </c>
      <c r="R15" s="455">
        <v>2</v>
      </c>
      <c r="S15" s="436">
        <v>4132.6700000000183</v>
      </c>
      <c r="T15" s="424"/>
      <c r="U15" s="433"/>
      <c r="V15" s="442"/>
      <c r="W15" s="424"/>
      <c r="X15" s="424"/>
      <c r="Y15" s="424"/>
      <c r="Z15" s="424"/>
      <c r="AA15" s="424"/>
      <c r="AB15" s="424"/>
      <c r="AC15" s="424"/>
      <c r="AD15" s="424">
        <v>25</v>
      </c>
      <c r="AE15" s="424">
        <v>800</v>
      </c>
      <c r="AF15" s="424">
        <v>20000</v>
      </c>
      <c r="AG15" s="424"/>
      <c r="AH15" s="424"/>
      <c r="AI15" s="424"/>
      <c r="AJ15" s="424"/>
      <c r="AK15" s="424"/>
      <c r="AL15" s="424"/>
      <c r="AM15" s="424"/>
      <c r="AN15" s="424"/>
    </row>
    <row r="16" spans="1:40" ht="20" x14ac:dyDescent="0.4">
      <c r="A16" s="433" t="s">
        <v>291</v>
      </c>
      <c r="B16" s="424" t="s">
        <v>291</v>
      </c>
      <c r="C16" s="441"/>
      <c r="D16" s="424"/>
      <c r="E16" s="442"/>
      <c r="F16" s="451"/>
      <c r="G16" s="441"/>
      <c r="H16" s="442"/>
      <c r="I16" s="451"/>
      <c r="J16" s="441"/>
      <c r="K16" s="442"/>
      <c r="L16" s="444"/>
      <c r="M16" s="458"/>
      <c r="N16" s="459"/>
      <c r="O16" s="441"/>
      <c r="P16" s="442"/>
      <c r="Q16" s="444"/>
      <c r="R16" s="458"/>
      <c r="S16" s="459"/>
      <c r="T16" s="424"/>
      <c r="U16" s="424"/>
      <c r="V16" s="424"/>
      <c r="W16" s="424"/>
      <c r="X16" s="424"/>
      <c r="Y16" s="424"/>
      <c r="Z16" s="424"/>
      <c r="AA16" s="424"/>
      <c r="AB16" s="424"/>
      <c r="AC16" s="424"/>
      <c r="AD16" s="424"/>
      <c r="AE16" s="424"/>
      <c r="AF16" s="424"/>
      <c r="AG16" s="424"/>
      <c r="AH16" s="424"/>
      <c r="AI16" s="424"/>
      <c r="AJ16" s="424"/>
      <c r="AK16" s="424"/>
      <c r="AL16" s="424"/>
      <c r="AM16" s="424"/>
      <c r="AN16" s="424"/>
    </row>
    <row r="17" spans="1:40" ht="20" x14ac:dyDescent="0.4">
      <c r="A17" s="433" t="s">
        <v>327</v>
      </c>
      <c r="B17" s="424" t="s">
        <v>291</v>
      </c>
      <c r="C17" s="460" t="s">
        <v>27</v>
      </c>
      <c r="D17" s="442">
        <v>2</v>
      </c>
      <c r="E17" s="442">
        <v>2393.8521192147828</v>
      </c>
      <c r="F17" s="442">
        <v>4787.7042384295655</v>
      </c>
      <c r="G17" s="443"/>
      <c r="H17" s="442"/>
      <c r="I17" s="442"/>
      <c r="J17" s="455">
        <v>0</v>
      </c>
      <c r="K17" s="442">
        <v>0</v>
      </c>
      <c r="L17" s="444">
        <v>0</v>
      </c>
      <c r="M17" s="455">
        <v>-2</v>
      </c>
      <c r="N17" s="444">
        <v>-4787.7042384295655</v>
      </c>
      <c r="O17" s="455">
        <v>5</v>
      </c>
      <c r="P17" s="442">
        <v>2550.9160000000002</v>
      </c>
      <c r="Q17" s="444">
        <v>12754.58</v>
      </c>
      <c r="R17" s="443">
        <v>-5</v>
      </c>
      <c r="S17" s="444">
        <v>-12754.58</v>
      </c>
      <c r="T17" s="424"/>
      <c r="U17" s="421"/>
      <c r="V17" s="461"/>
      <c r="W17" s="424"/>
      <c r="X17" s="424"/>
      <c r="Y17" s="424"/>
      <c r="Z17" s="424"/>
      <c r="AA17" s="442"/>
      <c r="AB17" s="424"/>
      <c r="AC17" s="424"/>
      <c r="AD17" s="424"/>
      <c r="AE17" s="424"/>
      <c r="AF17" s="424"/>
      <c r="AG17" s="424"/>
      <c r="AH17" s="424"/>
      <c r="AI17" s="424"/>
      <c r="AJ17" s="424"/>
      <c r="AK17" s="424"/>
      <c r="AL17" s="424"/>
      <c r="AM17" s="424"/>
      <c r="AN17" s="424"/>
    </row>
    <row r="18" spans="1:40" ht="20" x14ac:dyDescent="0.4">
      <c r="A18" s="433" t="s">
        <v>291</v>
      </c>
      <c r="B18" s="424" t="s">
        <v>291</v>
      </c>
      <c r="C18" s="447"/>
      <c r="D18" s="462"/>
      <c r="E18" s="462"/>
      <c r="F18" s="463"/>
      <c r="G18" s="464"/>
      <c r="H18" s="462"/>
      <c r="I18" s="463"/>
      <c r="J18" s="443"/>
      <c r="K18" s="462"/>
      <c r="L18" s="463"/>
      <c r="M18" s="443"/>
      <c r="N18" s="463"/>
      <c r="O18" s="443"/>
      <c r="P18" s="462"/>
      <c r="Q18" s="463"/>
      <c r="R18" s="464"/>
      <c r="S18" s="463"/>
      <c r="T18" s="424"/>
      <c r="U18" s="424"/>
      <c r="W18" s="424"/>
      <c r="X18" s="424"/>
      <c r="Y18" s="424"/>
      <c r="Z18" s="424"/>
      <c r="AA18" s="424"/>
      <c r="AB18" s="424"/>
      <c r="AC18" s="424"/>
      <c r="AD18" s="424"/>
      <c r="AE18" s="424"/>
      <c r="AF18" s="424"/>
      <c r="AG18" s="424"/>
      <c r="AH18" s="424"/>
      <c r="AI18" s="424"/>
      <c r="AJ18" s="424"/>
      <c r="AK18" s="424"/>
      <c r="AL18" s="424"/>
      <c r="AM18" s="424"/>
      <c r="AN18" s="424"/>
    </row>
    <row r="19" spans="1:40" ht="20" x14ac:dyDescent="0.4">
      <c r="A19" s="433" t="s">
        <v>328</v>
      </c>
      <c r="B19" s="424" t="s">
        <v>291</v>
      </c>
      <c r="C19" s="454" t="s">
        <v>28</v>
      </c>
      <c r="D19" s="442">
        <v>0</v>
      </c>
      <c r="E19" s="442">
        <v>0</v>
      </c>
      <c r="F19" s="442">
        <v>7650</v>
      </c>
      <c r="G19" s="443"/>
      <c r="H19" s="442"/>
      <c r="I19" s="442"/>
      <c r="J19" s="455"/>
      <c r="K19" s="442"/>
      <c r="L19" s="444">
        <v>12602.349999999977</v>
      </c>
      <c r="M19" s="443"/>
      <c r="N19" s="444">
        <v>4952.3499999999767</v>
      </c>
      <c r="O19" s="455"/>
      <c r="P19" s="442"/>
      <c r="Q19" s="444">
        <v>10000</v>
      </c>
      <c r="R19" s="443">
        <v>0</v>
      </c>
      <c r="S19" s="444">
        <v>2602.3499999999767</v>
      </c>
      <c r="T19" s="424"/>
      <c r="W19" s="442"/>
      <c r="X19" s="465"/>
      <c r="Y19" s="424"/>
      <c r="Z19" s="424"/>
      <c r="AA19" s="424"/>
      <c r="AB19" s="424"/>
      <c r="AC19" s="424"/>
      <c r="AD19" s="424"/>
      <c r="AE19" s="424"/>
      <c r="AF19" s="424"/>
      <c r="AG19" s="424"/>
      <c r="AH19" s="424"/>
      <c r="AI19" s="424"/>
      <c r="AJ19" s="424"/>
      <c r="AK19" s="424"/>
      <c r="AL19" s="424"/>
      <c r="AM19" s="424"/>
      <c r="AN19" s="424"/>
    </row>
    <row r="20" spans="1:40" ht="20" x14ac:dyDescent="0.4">
      <c r="A20" s="433" t="s">
        <v>291</v>
      </c>
      <c r="B20" s="424" t="s">
        <v>291</v>
      </c>
      <c r="C20" s="447"/>
      <c r="D20" s="462"/>
      <c r="E20" s="462"/>
      <c r="F20" s="463"/>
      <c r="G20" s="464"/>
      <c r="H20" s="462"/>
      <c r="I20" s="463"/>
      <c r="J20" s="443"/>
      <c r="K20" s="462"/>
      <c r="L20" s="463"/>
      <c r="M20" s="464"/>
      <c r="N20" s="463"/>
      <c r="O20" s="443"/>
      <c r="P20" s="462"/>
      <c r="Q20" s="463"/>
      <c r="R20" s="464"/>
      <c r="S20" s="463"/>
      <c r="T20" s="424"/>
      <c r="U20" s="424"/>
      <c r="W20" s="442"/>
      <c r="X20" s="465"/>
      <c r="Y20" s="424"/>
      <c r="Z20" s="424"/>
      <c r="AA20" s="424"/>
      <c r="AB20" s="424"/>
      <c r="AC20" s="424"/>
      <c r="AD20" s="424"/>
      <c r="AE20" s="424"/>
      <c r="AF20" s="424"/>
      <c r="AG20" s="424"/>
      <c r="AH20" s="424"/>
      <c r="AI20" s="424"/>
      <c r="AJ20" s="424"/>
      <c r="AK20" s="424"/>
      <c r="AL20" s="424"/>
      <c r="AM20" s="424"/>
      <c r="AN20" s="424"/>
    </row>
    <row r="21" spans="1:40" ht="15.75" customHeight="1" x14ac:dyDescent="0.4">
      <c r="A21" s="433" t="s">
        <v>329</v>
      </c>
      <c r="B21" s="424" t="s">
        <v>291</v>
      </c>
      <c r="C21" s="441" t="s">
        <v>330</v>
      </c>
      <c r="D21" s="442">
        <v>0</v>
      </c>
      <c r="E21" s="442">
        <v>0</v>
      </c>
      <c r="F21" s="442">
        <v>3650</v>
      </c>
      <c r="G21" s="443"/>
      <c r="H21" s="442"/>
      <c r="I21" s="442"/>
      <c r="J21" s="443"/>
      <c r="K21" s="442">
        <v>7.4635802469135797</v>
      </c>
      <c r="L21" s="444">
        <v>604.54999999999995</v>
      </c>
      <c r="M21" s="443"/>
      <c r="N21" s="444">
        <v>-3045.45</v>
      </c>
      <c r="O21" s="443"/>
      <c r="P21" s="442"/>
      <c r="Q21" s="444">
        <v>0</v>
      </c>
      <c r="R21" s="443">
        <v>-7.4635802469135797</v>
      </c>
      <c r="S21" s="444">
        <v>604.54999999999995</v>
      </c>
      <c r="T21" s="424"/>
      <c r="U21" s="424"/>
      <c r="W21" s="424"/>
      <c r="X21" s="465"/>
      <c r="Y21" s="424"/>
      <c r="Z21" s="424"/>
      <c r="AA21" s="424"/>
      <c r="AB21" s="424"/>
      <c r="AC21" s="424"/>
      <c r="AD21" s="424"/>
      <c r="AE21" s="424"/>
      <c r="AF21" s="424"/>
      <c r="AG21" s="424"/>
      <c r="AH21" s="424"/>
      <c r="AI21" s="424"/>
      <c r="AJ21" s="424"/>
      <c r="AK21" s="424"/>
      <c r="AL21" s="424"/>
      <c r="AM21" s="424"/>
      <c r="AN21" s="424"/>
    </row>
    <row r="22" spans="1:40" ht="18" customHeight="1" x14ac:dyDescent="0.4">
      <c r="A22" s="433" t="s">
        <v>331</v>
      </c>
      <c r="B22" s="424" t="s">
        <v>291</v>
      </c>
      <c r="C22" s="441" t="s">
        <v>332</v>
      </c>
      <c r="D22" s="442">
        <v>0</v>
      </c>
      <c r="E22" s="442">
        <v>0</v>
      </c>
      <c r="F22" s="442">
        <v>67890</v>
      </c>
      <c r="G22" s="443"/>
      <c r="H22" s="442"/>
      <c r="I22" s="442"/>
      <c r="J22" s="443"/>
      <c r="K22" s="442">
        <v>985.36333333333323</v>
      </c>
      <c r="L22" s="444">
        <v>79814.429999999993</v>
      </c>
      <c r="M22" s="443"/>
      <c r="N22" s="444">
        <v>11924.429999999993</v>
      </c>
      <c r="O22" s="443"/>
      <c r="P22" s="442"/>
      <c r="Q22" s="444">
        <v>60986.879999999997</v>
      </c>
      <c r="R22" s="443">
        <v>-985.36333333333323</v>
      </c>
      <c r="S22" s="444">
        <v>18827.549999999996</v>
      </c>
      <c r="T22" s="424"/>
      <c r="U22" s="424"/>
      <c r="V22" s="424"/>
      <c r="W22" s="424"/>
      <c r="X22" s="424"/>
      <c r="Y22" s="424"/>
      <c r="Z22" s="424"/>
      <c r="AA22" s="424"/>
      <c r="AB22" s="424"/>
      <c r="AC22" s="424"/>
      <c r="AD22" s="424"/>
      <c r="AE22" s="424"/>
      <c r="AF22" s="424"/>
      <c r="AG22" s="424"/>
      <c r="AH22" s="424"/>
      <c r="AI22" s="424"/>
      <c r="AJ22" s="424"/>
      <c r="AK22" s="424"/>
      <c r="AL22" s="424"/>
      <c r="AM22" s="424"/>
      <c r="AN22" s="424"/>
    </row>
    <row r="23" spans="1:40" ht="19.5" customHeight="1" x14ac:dyDescent="0.4">
      <c r="A23" s="433" t="s">
        <v>333</v>
      </c>
      <c r="B23" s="424" t="s">
        <v>291</v>
      </c>
      <c r="C23" s="441" t="s">
        <v>334</v>
      </c>
      <c r="D23" s="442">
        <v>0</v>
      </c>
      <c r="E23" s="442">
        <v>0</v>
      </c>
      <c r="F23" s="442">
        <v>1460</v>
      </c>
      <c r="G23" s="443"/>
      <c r="H23" s="442"/>
      <c r="I23" s="442"/>
      <c r="J23" s="443"/>
      <c r="K23" s="442">
        <v>2.3029629629629627</v>
      </c>
      <c r="L23" s="444">
        <v>186.54</v>
      </c>
      <c r="M23" s="455"/>
      <c r="N23" s="444">
        <v>-1273.46</v>
      </c>
      <c r="O23" s="443"/>
      <c r="P23" s="442"/>
      <c r="Q23" s="444">
        <v>569.82000000000005</v>
      </c>
      <c r="R23" s="443">
        <v>-2.3029629629629627</v>
      </c>
      <c r="S23" s="444">
        <v>-383.28000000000009</v>
      </c>
      <c r="T23" s="424"/>
      <c r="U23" s="424"/>
      <c r="V23" s="424"/>
      <c r="W23" s="424"/>
      <c r="X23" s="424"/>
      <c r="Y23" s="424"/>
      <c r="Z23" s="424"/>
      <c r="AA23" s="424"/>
      <c r="AB23" s="424"/>
      <c r="AC23" s="424"/>
      <c r="AD23" s="424"/>
      <c r="AE23" s="424"/>
      <c r="AF23" s="424"/>
      <c r="AG23" s="424"/>
      <c r="AH23" s="424"/>
      <c r="AI23" s="424"/>
      <c r="AJ23" s="424"/>
      <c r="AK23" s="424"/>
      <c r="AL23" s="424"/>
      <c r="AM23" s="424"/>
      <c r="AN23" s="424"/>
    </row>
    <row r="24" spans="1:40" ht="18" customHeight="1" x14ac:dyDescent="0.4">
      <c r="A24" s="433" t="s">
        <v>335</v>
      </c>
      <c r="B24" s="424" t="s">
        <v>291</v>
      </c>
      <c r="C24" s="447" t="s">
        <v>29</v>
      </c>
      <c r="D24" s="448">
        <v>73</v>
      </c>
      <c r="E24" s="448">
        <v>1000</v>
      </c>
      <c r="F24" s="449">
        <v>73000</v>
      </c>
      <c r="G24" s="450"/>
      <c r="H24" s="448"/>
      <c r="I24" s="449"/>
      <c r="J24" s="450">
        <v>81</v>
      </c>
      <c r="K24" s="448">
        <v>995.12987654320978</v>
      </c>
      <c r="L24" s="449">
        <v>80605.51999999999</v>
      </c>
      <c r="M24" s="466">
        <v>8</v>
      </c>
      <c r="N24" s="449">
        <v>7605.5199999999895</v>
      </c>
      <c r="O24" s="450">
        <v>80</v>
      </c>
      <c r="P24" s="448">
        <v>769.45875000000001</v>
      </c>
      <c r="Q24" s="449">
        <v>61556.7</v>
      </c>
      <c r="R24" s="464"/>
      <c r="S24" s="449">
        <v>19048.819999999992</v>
      </c>
      <c r="T24" s="424"/>
      <c r="U24" s="424"/>
      <c r="V24" s="424"/>
      <c r="W24" s="424"/>
      <c r="X24" s="424"/>
      <c r="Y24" s="424"/>
      <c r="Z24" s="424"/>
      <c r="AA24" s="424"/>
      <c r="AB24" s="424"/>
      <c r="AC24" s="424"/>
      <c r="AD24" s="424"/>
      <c r="AE24" s="424"/>
      <c r="AF24" s="424"/>
      <c r="AG24" s="424"/>
      <c r="AH24" s="424"/>
      <c r="AI24" s="424"/>
      <c r="AJ24" s="424"/>
      <c r="AK24" s="424"/>
      <c r="AL24" s="424"/>
      <c r="AM24" s="424"/>
      <c r="AN24" s="424"/>
    </row>
    <row r="25" spans="1:40" ht="15.75" customHeight="1" x14ac:dyDescent="0.4">
      <c r="A25" s="433" t="s">
        <v>291</v>
      </c>
      <c r="B25" s="424" t="s">
        <v>291</v>
      </c>
      <c r="C25" s="441"/>
      <c r="D25" s="424"/>
      <c r="E25" s="424"/>
      <c r="F25" s="467"/>
      <c r="G25" s="441"/>
      <c r="H25" s="424"/>
      <c r="I25" s="467"/>
      <c r="J25" s="441"/>
      <c r="K25" s="424"/>
      <c r="L25" s="467"/>
      <c r="M25" s="458"/>
      <c r="N25" s="459">
        <v>0.10418520547945191</v>
      </c>
      <c r="O25" s="441"/>
      <c r="P25" s="424"/>
      <c r="Q25" s="467"/>
      <c r="R25" s="468"/>
      <c r="S25" s="459">
        <v>0.30945161127870718</v>
      </c>
      <c r="T25" s="424"/>
      <c r="U25" s="424"/>
      <c r="V25" s="424"/>
      <c r="W25" s="424"/>
      <c r="X25" s="424"/>
      <c r="Y25" s="424"/>
      <c r="Z25" s="424"/>
      <c r="AA25" s="424"/>
      <c r="AB25" s="424"/>
      <c r="AC25" s="424"/>
      <c r="AD25" s="424"/>
      <c r="AE25" s="424"/>
      <c r="AF25" s="424"/>
      <c r="AG25" s="424"/>
      <c r="AH25" s="424"/>
      <c r="AI25" s="424"/>
      <c r="AJ25" s="424"/>
      <c r="AK25" s="424"/>
      <c r="AL25" s="424"/>
      <c r="AM25" s="424"/>
      <c r="AN25" s="424"/>
    </row>
    <row r="26" spans="1:40" ht="15.75" customHeight="1" thickBot="1" x14ac:dyDescent="0.45">
      <c r="A26" s="433" t="s">
        <v>291</v>
      </c>
      <c r="B26" s="424" t="s">
        <v>291</v>
      </c>
      <c r="C26" s="441"/>
      <c r="D26" s="424"/>
      <c r="E26" s="424"/>
      <c r="F26" s="451"/>
      <c r="G26" s="441"/>
      <c r="H26" s="424"/>
      <c r="I26" s="451"/>
      <c r="J26" s="441"/>
      <c r="K26" s="424"/>
      <c r="L26" s="451"/>
      <c r="M26" s="441"/>
      <c r="N26" s="451"/>
      <c r="O26" s="441"/>
      <c r="P26" s="424"/>
      <c r="Q26" s="451"/>
      <c r="R26" s="441"/>
      <c r="S26" s="451"/>
      <c r="T26" s="424"/>
      <c r="U26" s="424"/>
      <c r="V26" s="424"/>
      <c r="W26" s="424"/>
      <c r="X26" s="424"/>
      <c r="Y26" s="424"/>
      <c r="Z26" s="424"/>
      <c r="AA26" s="424"/>
      <c r="AB26" s="424"/>
      <c r="AC26" s="424"/>
      <c r="AD26" s="424"/>
      <c r="AE26" s="424"/>
      <c r="AF26" s="424"/>
      <c r="AG26" s="424"/>
      <c r="AH26" s="424"/>
      <c r="AI26" s="424"/>
      <c r="AJ26" s="424"/>
      <c r="AK26" s="424"/>
      <c r="AL26" s="424"/>
      <c r="AM26" s="424"/>
      <c r="AN26" s="424"/>
    </row>
    <row r="27" spans="1:40" ht="18" customHeight="1" thickTop="1" x14ac:dyDescent="0.4">
      <c r="A27" s="433" t="s">
        <v>336</v>
      </c>
      <c r="B27" s="424" t="s">
        <v>291</v>
      </c>
      <c r="C27" s="469" t="s">
        <v>337</v>
      </c>
      <c r="D27" s="470">
        <v>75</v>
      </c>
      <c r="E27" s="471">
        <v>3339.8837452111948</v>
      </c>
      <c r="F27" s="472">
        <v>250491.28089083961</v>
      </c>
      <c r="G27" s="473"/>
      <c r="H27" s="471"/>
      <c r="I27" s="472"/>
      <c r="J27" s="473">
        <v>81</v>
      </c>
      <c r="K27" s="471">
        <v>3311.6235802469164</v>
      </c>
      <c r="L27" s="472">
        <v>268241.51000000024</v>
      </c>
      <c r="M27" s="473">
        <v>6</v>
      </c>
      <c r="N27" s="472">
        <v>17750.229109160631</v>
      </c>
      <c r="O27" s="473">
        <v>85</v>
      </c>
      <c r="P27" s="471">
        <v>2990.2515294117516</v>
      </c>
      <c r="Q27" s="472">
        <v>254171.3799999989</v>
      </c>
      <c r="R27" s="473">
        <v>-4</v>
      </c>
      <c r="S27" s="472">
        <v>14070.130000001343</v>
      </c>
      <c r="T27" s="424"/>
      <c r="U27" s="424"/>
      <c r="V27" s="424"/>
      <c r="W27" s="424"/>
      <c r="X27" s="424"/>
      <c r="Y27" s="424"/>
      <c r="Z27" s="424"/>
      <c r="AA27" s="424"/>
      <c r="AB27" s="424"/>
      <c r="AC27" s="424"/>
      <c r="AD27" s="424"/>
      <c r="AE27" s="424"/>
      <c r="AF27" s="424"/>
      <c r="AG27" s="424"/>
      <c r="AH27" s="424"/>
      <c r="AI27" s="424"/>
      <c r="AJ27" s="424"/>
      <c r="AK27" s="424"/>
      <c r="AL27" s="424"/>
      <c r="AM27" s="424"/>
      <c r="AN27" s="424"/>
    </row>
    <row r="28" spans="1:40" ht="22.5" customHeight="1" thickBot="1" x14ac:dyDescent="0.45">
      <c r="A28" s="433" t="s">
        <v>291</v>
      </c>
      <c r="B28" s="424" t="s">
        <v>291</v>
      </c>
      <c r="C28" s="474"/>
      <c r="D28" s="475"/>
      <c r="E28" s="475"/>
      <c r="F28" s="476"/>
      <c r="G28" s="474"/>
      <c r="H28" s="475"/>
      <c r="I28" s="476"/>
      <c r="J28" s="474"/>
      <c r="K28" s="477"/>
      <c r="L28" s="387">
        <v>1.0708616645099751</v>
      </c>
      <c r="M28" s="478">
        <v>0.08</v>
      </c>
      <c r="N28" s="479">
        <v>7.0861664509975178E-2</v>
      </c>
      <c r="O28" s="474"/>
      <c r="P28" s="475"/>
      <c r="Q28" s="476"/>
      <c r="R28" s="478">
        <v>-4.7058823529411764E-2</v>
      </c>
      <c r="S28" s="479">
        <v>5.5356861972427437E-2</v>
      </c>
      <c r="T28" s="424"/>
      <c r="U28" s="424"/>
      <c r="V28" s="424"/>
      <c r="W28" s="424"/>
      <c r="X28" s="424"/>
      <c r="Y28" s="424"/>
      <c r="Z28" s="424"/>
      <c r="AA28" s="424"/>
      <c r="AB28" s="424"/>
      <c r="AC28" s="424"/>
      <c r="AD28" s="424"/>
      <c r="AE28" s="424"/>
      <c r="AF28" s="424"/>
      <c r="AG28" s="424"/>
      <c r="AH28" s="424"/>
      <c r="AI28" s="424"/>
      <c r="AJ28" s="424"/>
      <c r="AK28" s="424"/>
      <c r="AL28" s="424"/>
      <c r="AM28" s="424"/>
      <c r="AN28" s="424"/>
    </row>
    <row r="29" spans="1:40" ht="15.75" customHeight="1" thickTop="1" x14ac:dyDescent="0.4">
      <c r="A29" s="433" t="s">
        <v>291</v>
      </c>
      <c r="B29" s="424" t="s">
        <v>291</v>
      </c>
      <c r="C29" s="460"/>
      <c r="D29" s="480"/>
      <c r="E29" s="480"/>
      <c r="F29" s="481"/>
      <c r="G29" s="460"/>
      <c r="H29" s="480"/>
      <c r="I29" s="481"/>
      <c r="J29" s="460"/>
      <c r="K29" s="480"/>
      <c r="L29" s="481"/>
      <c r="M29" s="458"/>
      <c r="N29" s="459"/>
      <c r="O29" s="460"/>
      <c r="P29" s="480"/>
      <c r="Q29" s="481"/>
      <c r="R29" s="458"/>
      <c r="S29" s="459"/>
      <c r="T29" s="424"/>
      <c r="U29" s="482"/>
      <c r="V29" s="424"/>
      <c r="W29" s="424"/>
      <c r="X29" s="424"/>
      <c r="Y29" s="424"/>
      <c r="Z29" s="424"/>
      <c r="AA29" s="424"/>
      <c r="AB29" s="424"/>
      <c r="AC29" s="424"/>
      <c r="AD29" s="424"/>
      <c r="AE29" s="424"/>
      <c r="AF29" s="424"/>
      <c r="AG29" s="424"/>
      <c r="AH29" s="424"/>
      <c r="AI29" s="424"/>
      <c r="AJ29" s="424"/>
      <c r="AK29" s="424"/>
      <c r="AL29" s="424"/>
      <c r="AM29" s="424"/>
      <c r="AN29" s="424"/>
    </row>
    <row r="30" spans="1:40" ht="15.75" customHeight="1" x14ac:dyDescent="0.4">
      <c r="A30" s="433" t="s">
        <v>338</v>
      </c>
      <c r="B30" s="424" t="s">
        <v>291</v>
      </c>
      <c r="C30" s="483" t="s">
        <v>339</v>
      </c>
      <c r="D30" s="424"/>
      <c r="E30" s="484"/>
      <c r="F30" s="467"/>
      <c r="G30" s="441"/>
      <c r="H30" s="484"/>
      <c r="I30" s="467"/>
      <c r="J30" s="441"/>
      <c r="K30" s="484"/>
      <c r="L30" s="451"/>
      <c r="M30" s="441"/>
      <c r="N30" s="451"/>
      <c r="O30" s="441"/>
      <c r="P30" s="484"/>
      <c r="Q30" s="451"/>
      <c r="R30" s="441"/>
      <c r="S30" s="451"/>
      <c r="T30" s="424"/>
      <c r="U30" s="424"/>
      <c r="V30" s="424"/>
      <c r="W30" s="424"/>
      <c r="X30" s="424"/>
      <c r="Y30" s="424"/>
      <c r="Z30" s="424"/>
      <c r="AA30" s="424"/>
      <c r="AB30" s="424"/>
      <c r="AC30" s="424"/>
      <c r="AD30" s="424"/>
      <c r="AE30" s="424"/>
      <c r="AF30" s="424"/>
      <c r="AG30" s="424"/>
      <c r="AH30" s="424"/>
      <c r="AI30" s="424"/>
      <c r="AJ30" s="424"/>
      <c r="AK30" s="424"/>
      <c r="AL30" s="424"/>
      <c r="AM30" s="424"/>
      <c r="AN30" s="424"/>
    </row>
    <row r="31" spans="1:40" ht="15.75" customHeight="1" x14ac:dyDescent="0.4">
      <c r="A31" s="433" t="s">
        <v>340</v>
      </c>
      <c r="B31" s="424" t="s">
        <v>291</v>
      </c>
      <c r="C31" s="441" t="s">
        <v>42</v>
      </c>
      <c r="D31" s="485">
        <v>0.32512203902136383</v>
      </c>
      <c r="E31" s="482">
        <v>735.10349847945918</v>
      </c>
      <c r="F31" s="442">
        <v>53662.555389000518</v>
      </c>
      <c r="G31" s="486"/>
      <c r="H31" s="482"/>
      <c r="I31" s="442"/>
      <c r="J31" s="486">
        <v>0.2987177779082919</v>
      </c>
      <c r="K31" s="482">
        <v>645.50197530864205</v>
      </c>
      <c r="L31" s="442">
        <v>52285.66</v>
      </c>
      <c r="M31" s="441"/>
      <c r="N31" s="467">
        <v>-1376.8953890005141</v>
      </c>
      <c r="O31" s="388">
        <v>0.31203959068351106</v>
      </c>
      <c r="P31" s="482">
        <v>712.28762500000005</v>
      </c>
      <c r="Q31" s="444">
        <v>56983.01</v>
      </c>
      <c r="R31" s="441"/>
      <c r="S31" s="467">
        <v>-4697.3499999999985</v>
      </c>
      <c r="T31" s="424"/>
      <c r="U31" s="424"/>
      <c r="V31" s="424"/>
      <c r="W31" s="424"/>
      <c r="X31" s="424"/>
      <c r="Y31" s="424"/>
      <c r="Z31" s="424"/>
      <c r="AA31" s="424"/>
      <c r="AB31" s="424"/>
      <c r="AC31" s="424"/>
      <c r="AD31" s="424"/>
      <c r="AE31" s="424"/>
      <c r="AF31" s="424"/>
      <c r="AG31" s="424"/>
      <c r="AH31" s="424"/>
      <c r="AI31" s="424"/>
      <c r="AJ31" s="424"/>
      <c r="AK31" s="424"/>
      <c r="AL31" s="424"/>
      <c r="AM31" s="424"/>
      <c r="AN31" s="424"/>
    </row>
    <row r="32" spans="1:40" ht="15.75" customHeight="1" x14ac:dyDescent="0.4">
      <c r="A32" s="433" t="s">
        <v>341</v>
      </c>
      <c r="B32" s="424" t="s">
        <v>291</v>
      </c>
      <c r="C32" s="434" t="s">
        <v>43</v>
      </c>
      <c r="D32" s="487">
        <v>0.28000000000000003</v>
      </c>
      <c r="E32" s="488">
        <v>280.00000000000006</v>
      </c>
      <c r="F32" s="436">
        <v>20440.000000000004</v>
      </c>
      <c r="G32" s="489"/>
      <c r="H32" s="488"/>
      <c r="I32" s="436"/>
      <c r="J32" s="489">
        <v>0.25000198497571885</v>
      </c>
      <c r="K32" s="488">
        <v>248.78444444444446</v>
      </c>
      <c r="L32" s="436">
        <v>20151.54</v>
      </c>
      <c r="M32" s="434"/>
      <c r="N32" s="490">
        <v>-288.46000000000276</v>
      </c>
      <c r="O32" s="389">
        <v>0.26999709211182538</v>
      </c>
      <c r="P32" s="488">
        <v>207.75162500000002</v>
      </c>
      <c r="Q32" s="436">
        <v>16620.13</v>
      </c>
      <c r="R32" s="434"/>
      <c r="S32" s="490">
        <v>3531.41</v>
      </c>
      <c r="T32" s="424"/>
      <c r="Z32" s="424"/>
      <c r="AA32" s="424"/>
      <c r="AB32" s="424"/>
      <c r="AC32" s="424"/>
      <c r="AD32" s="424"/>
      <c r="AE32" s="424"/>
      <c r="AF32" s="424"/>
      <c r="AG32" s="424"/>
      <c r="AH32" s="424"/>
      <c r="AI32" s="424"/>
      <c r="AJ32" s="424"/>
      <c r="AK32" s="424"/>
      <c r="AL32" s="424"/>
      <c r="AM32" s="424"/>
      <c r="AN32" s="424"/>
    </row>
    <row r="33" spans="1:40" ht="15.75" customHeight="1" x14ac:dyDescent="0.4">
      <c r="A33" s="433" t="s">
        <v>342</v>
      </c>
      <c r="B33" s="424" t="s">
        <v>291</v>
      </c>
      <c r="C33" s="441" t="s">
        <v>44</v>
      </c>
      <c r="D33" s="491"/>
      <c r="E33" s="482">
        <v>115</v>
      </c>
      <c r="F33" s="442">
        <v>8395</v>
      </c>
      <c r="G33" s="492"/>
      <c r="H33" s="482"/>
      <c r="I33" s="442"/>
      <c r="J33" s="441"/>
      <c r="K33" s="482">
        <v>112.60814814814815</v>
      </c>
      <c r="L33" s="442">
        <v>9121.26</v>
      </c>
      <c r="M33" s="441"/>
      <c r="N33" s="467">
        <v>726.26000000000022</v>
      </c>
      <c r="O33" s="441"/>
      <c r="P33" s="482">
        <v>95.092999999999989</v>
      </c>
      <c r="Q33" s="444">
        <v>7607.44</v>
      </c>
      <c r="R33" s="441"/>
      <c r="S33" s="467">
        <v>1513.8200000000006</v>
      </c>
      <c r="T33" s="424"/>
      <c r="U33" s="493"/>
      <c r="Z33" s="424"/>
      <c r="AA33" s="424"/>
      <c r="AB33" s="424"/>
      <c r="AC33" s="424"/>
      <c r="AD33" s="424"/>
      <c r="AE33" s="424"/>
      <c r="AF33" s="424"/>
      <c r="AG33" s="424"/>
      <c r="AH33" s="424"/>
      <c r="AI33" s="424"/>
      <c r="AJ33" s="424"/>
      <c r="AK33" s="424"/>
      <c r="AL33" s="424"/>
      <c r="AM33" s="424"/>
      <c r="AN33" s="424"/>
    </row>
    <row r="34" spans="1:40" ht="15.75" customHeight="1" x14ac:dyDescent="0.4">
      <c r="A34" s="433" t="s">
        <v>343</v>
      </c>
      <c r="B34" s="424" t="s">
        <v>291</v>
      </c>
      <c r="C34" s="441" t="s">
        <v>344</v>
      </c>
      <c r="D34" s="491"/>
      <c r="E34" s="482">
        <v>10</v>
      </c>
      <c r="F34" s="442">
        <v>730</v>
      </c>
      <c r="G34" s="492"/>
      <c r="H34" s="482"/>
      <c r="I34" s="442"/>
      <c r="J34" s="441"/>
      <c r="K34" s="482">
        <v>0</v>
      </c>
      <c r="L34" s="442">
        <v>0</v>
      </c>
      <c r="M34" s="441"/>
      <c r="N34" s="467">
        <v>-730</v>
      </c>
      <c r="O34" s="441"/>
      <c r="P34" s="482">
        <v>33.065624999999997</v>
      </c>
      <c r="Q34" s="444">
        <v>2645.25</v>
      </c>
      <c r="R34" s="441"/>
      <c r="S34" s="467">
        <v>-2645.25</v>
      </c>
      <c r="T34" s="424"/>
      <c r="Z34" s="424"/>
      <c r="AA34" s="424"/>
      <c r="AB34" s="424"/>
      <c r="AC34" s="424"/>
      <c r="AD34" s="424"/>
      <c r="AE34" s="424"/>
      <c r="AF34" s="424"/>
      <c r="AG34" s="424"/>
      <c r="AH34" s="424"/>
      <c r="AI34" s="424"/>
      <c r="AJ34" s="424"/>
      <c r="AK34" s="424"/>
      <c r="AL34" s="424"/>
      <c r="AM34" s="424"/>
      <c r="AN34" s="424"/>
    </row>
    <row r="35" spans="1:40" ht="15.75" customHeight="1" x14ac:dyDescent="0.4">
      <c r="A35" s="433" t="s">
        <v>345</v>
      </c>
      <c r="B35" s="424" t="s">
        <v>291</v>
      </c>
      <c r="C35" s="434" t="s">
        <v>346</v>
      </c>
      <c r="D35" s="494"/>
      <c r="E35" s="488">
        <v>120.75</v>
      </c>
      <c r="F35" s="436">
        <v>8814.75</v>
      </c>
      <c r="G35" s="495"/>
      <c r="H35" s="488"/>
      <c r="I35" s="436"/>
      <c r="J35" s="434"/>
      <c r="K35" s="488">
        <v>43.995185185185186</v>
      </c>
      <c r="L35" s="436">
        <v>3563.61</v>
      </c>
      <c r="M35" s="434"/>
      <c r="N35" s="490">
        <v>-5251.1399999999994</v>
      </c>
      <c r="O35" s="434"/>
      <c r="P35" s="488">
        <v>79.675375000000003</v>
      </c>
      <c r="Q35" s="444">
        <v>6374.03</v>
      </c>
      <c r="R35" s="434"/>
      <c r="S35" s="490">
        <v>-2810.4199999999996</v>
      </c>
      <c r="T35" s="424"/>
      <c r="Z35" s="424"/>
      <c r="AA35" s="424"/>
      <c r="AB35" s="424"/>
      <c r="AC35" s="424"/>
      <c r="AD35" s="424"/>
      <c r="AE35" s="424"/>
      <c r="AF35" s="424"/>
      <c r="AG35" s="424"/>
      <c r="AH35" s="424"/>
      <c r="AI35" s="424"/>
      <c r="AJ35" s="424"/>
      <c r="AK35" s="424"/>
      <c r="AL35" s="424"/>
      <c r="AM35" s="424"/>
      <c r="AN35" s="424"/>
    </row>
    <row r="36" spans="1:40" ht="15.75" customHeight="1" x14ac:dyDescent="0.4">
      <c r="A36" s="433" t="s">
        <v>347</v>
      </c>
      <c r="B36" s="424" t="s">
        <v>291</v>
      </c>
      <c r="C36" s="441" t="s">
        <v>348</v>
      </c>
      <c r="D36" s="491"/>
      <c r="E36" s="482">
        <v>57.013698630136986</v>
      </c>
      <c r="F36" s="442">
        <v>4162</v>
      </c>
      <c r="G36" s="492"/>
      <c r="H36" s="482"/>
      <c r="I36" s="442"/>
      <c r="J36" s="441"/>
      <c r="K36" s="482">
        <v>45.389259259259269</v>
      </c>
      <c r="L36" s="496">
        <v>3676.5300000000007</v>
      </c>
      <c r="M36" s="424"/>
      <c r="N36" s="467">
        <v>-485.46999999999935</v>
      </c>
      <c r="O36" s="441"/>
      <c r="P36" s="482">
        <v>39.759500000000003</v>
      </c>
      <c r="Q36" s="463">
        <v>3180.76</v>
      </c>
      <c r="R36" s="441"/>
      <c r="S36" s="467">
        <v>495.77000000000044</v>
      </c>
      <c r="T36" s="424"/>
      <c r="U36" s="433"/>
      <c r="Z36" s="424"/>
      <c r="AA36" s="424"/>
      <c r="AB36" s="424"/>
      <c r="AC36" s="424"/>
      <c r="AD36" s="424"/>
      <c r="AE36" s="424"/>
      <c r="AF36" s="424"/>
      <c r="AG36" s="424"/>
      <c r="AH36" s="424"/>
      <c r="AI36" s="424"/>
      <c r="AJ36" s="424"/>
      <c r="AK36" s="424"/>
      <c r="AL36" s="424"/>
      <c r="AM36" s="424"/>
      <c r="AN36" s="424"/>
    </row>
    <row r="37" spans="1:40" ht="15.75" customHeight="1" x14ac:dyDescent="0.4">
      <c r="A37" s="433" t="s">
        <v>349</v>
      </c>
      <c r="B37" s="424" t="s">
        <v>291</v>
      </c>
      <c r="C37" s="441" t="s">
        <v>47</v>
      </c>
      <c r="D37" s="491"/>
      <c r="E37" s="482">
        <v>560.02012568812097</v>
      </c>
      <c r="F37" s="442">
        <v>40881.469175232829</v>
      </c>
      <c r="G37" s="492"/>
      <c r="H37" s="482"/>
      <c r="I37" s="442"/>
      <c r="J37" s="441"/>
      <c r="K37" s="482">
        <v>273.39222222222224</v>
      </c>
      <c r="L37" s="497">
        <v>22144.77</v>
      </c>
      <c r="M37" s="424"/>
      <c r="N37" s="467">
        <v>-18736.699175232829</v>
      </c>
      <c r="O37" s="441"/>
      <c r="P37" s="482">
        <v>565.70337499999994</v>
      </c>
      <c r="Q37" s="444">
        <v>45256.27</v>
      </c>
      <c r="R37" s="441"/>
      <c r="S37" s="467">
        <v>-23111.499999999996</v>
      </c>
      <c r="T37" s="424"/>
      <c r="U37" s="433"/>
      <c r="Z37" s="424"/>
      <c r="AA37" s="424"/>
      <c r="AB37" s="424"/>
      <c r="AC37" s="424"/>
      <c r="AD37" s="424"/>
      <c r="AE37" s="424"/>
      <c r="AF37" s="424"/>
      <c r="AG37" s="424"/>
      <c r="AH37" s="424"/>
      <c r="AI37" s="424"/>
      <c r="AJ37" s="424"/>
      <c r="AK37" s="424"/>
      <c r="AL37" s="424"/>
      <c r="AM37" s="424"/>
      <c r="AN37" s="424"/>
    </row>
    <row r="38" spans="1:40" ht="15.75" hidden="1" customHeight="1" x14ac:dyDescent="0.4">
      <c r="A38" s="433" t="s">
        <v>322</v>
      </c>
      <c r="B38" s="424" t="s">
        <v>291</v>
      </c>
      <c r="C38" s="441" t="s">
        <v>323</v>
      </c>
      <c r="D38" s="491"/>
      <c r="E38" s="482">
        <v>0</v>
      </c>
      <c r="F38" s="442">
        <v>0</v>
      </c>
      <c r="G38" s="492"/>
      <c r="H38" s="482"/>
      <c r="I38" s="442"/>
      <c r="J38" s="441"/>
      <c r="K38" s="482">
        <v>0</v>
      </c>
      <c r="L38" s="497">
        <v>0</v>
      </c>
      <c r="M38" s="424"/>
      <c r="N38" s="467">
        <v>0</v>
      </c>
      <c r="O38" s="441"/>
      <c r="P38" s="482">
        <v>0</v>
      </c>
      <c r="Q38" s="444">
        <v>0</v>
      </c>
      <c r="R38" s="441"/>
      <c r="S38" s="467">
        <v>0</v>
      </c>
      <c r="T38" s="424"/>
      <c r="U38" s="424"/>
      <c r="V38" s="424"/>
      <c r="W38" s="424"/>
      <c r="X38" s="424"/>
      <c r="Y38" s="424"/>
      <c r="Z38" s="424"/>
      <c r="AA38" s="424"/>
      <c r="AB38" s="424"/>
      <c r="AC38" s="424"/>
      <c r="AD38" s="424"/>
      <c r="AE38" s="424"/>
      <c r="AF38" s="424"/>
      <c r="AG38" s="424"/>
      <c r="AH38" s="424"/>
      <c r="AI38" s="424"/>
      <c r="AJ38" s="424"/>
      <c r="AK38" s="424"/>
      <c r="AL38" s="424"/>
      <c r="AM38" s="424"/>
      <c r="AN38" s="424"/>
    </row>
    <row r="39" spans="1:40" ht="15.75" hidden="1" customHeight="1" x14ac:dyDescent="0.4">
      <c r="A39" s="433" t="s">
        <v>322</v>
      </c>
      <c r="B39" s="424" t="s">
        <v>291</v>
      </c>
      <c r="C39" s="441" t="s">
        <v>323</v>
      </c>
      <c r="D39" s="491"/>
      <c r="E39" s="482">
        <v>0</v>
      </c>
      <c r="F39" s="442">
        <v>0</v>
      </c>
      <c r="G39" s="492"/>
      <c r="H39" s="482"/>
      <c r="I39" s="442"/>
      <c r="J39" s="441"/>
      <c r="K39" s="482">
        <v>0</v>
      </c>
      <c r="L39" s="497">
        <v>0</v>
      </c>
      <c r="M39" s="424"/>
      <c r="N39" s="467">
        <v>0</v>
      </c>
      <c r="O39" s="441"/>
      <c r="P39" s="482">
        <v>0</v>
      </c>
      <c r="Q39" s="444">
        <v>0</v>
      </c>
      <c r="R39" s="441"/>
      <c r="S39" s="467">
        <v>0</v>
      </c>
      <c r="T39" s="424"/>
      <c r="U39" s="424"/>
      <c r="V39" s="424"/>
      <c r="W39" s="424"/>
      <c r="X39" s="424"/>
      <c r="Y39" s="424"/>
      <c r="Z39" s="424"/>
      <c r="AA39" s="424"/>
      <c r="AB39" s="424"/>
      <c r="AC39" s="424"/>
      <c r="AD39" s="424"/>
      <c r="AE39" s="424"/>
      <c r="AF39" s="424"/>
      <c r="AG39" s="424"/>
      <c r="AH39" s="424"/>
      <c r="AI39" s="424"/>
      <c r="AJ39" s="424"/>
      <c r="AK39" s="424"/>
      <c r="AL39" s="424"/>
      <c r="AM39" s="424"/>
      <c r="AN39" s="424"/>
    </row>
    <row r="40" spans="1:40" ht="15.75" hidden="1" customHeight="1" x14ac:dyDescent="0.4">
      <c r="A40" s="433" t="s">
        <v>322</v>
      </c>
      <c r="B40" s="424" t="s">
        <v>291</v>
      </c>
      <c r="C40" s="441" t="s">
        <v>323</v>
      </c>
      <c r="D40" s="491"/>
      <c r="E40" s="482">
        <v>0</v>
      </c>
      <c r="F40" s="442">
        <v>0</v>
      </c>
      <c r="G40" s="492"/>
      <c r="H40" s="482"/>
      <c r="I40" s="442"/>
      <c r="J40" s="441"/>
      <c r="K40" s="482">
        <v>0</v>
      </c>
      <c r="L40" s="498">
        <v>0</v>
      </c>
      <c r="M40" s="424"/>
      <c r="N40" s="467">
        <v>0</v>
      </c>
      <c r="O40" s="441"/>
      <c r="P40" s="482">
        <v>0</v>
      </c>
      <c r="Q40" s="444">
        <v>0</v>
      </c>
      <c r="R40" s="441"/>
      <c r="S40" s="467">
        <v>0</v>
      </c>
      <c r="T40" s="424"/>
      <c r="U40" s="424"/>
      <c r="V40" s="424"/>
      <c r="W40" s="424"/>
      <c r="X40" s="424"/>
      <c r="Y40" s="424"/>
      <c r="Z40" s="424"/>
      <c r="AA40" s="424"/>
      <c r="AB40" s="424"/>
      <c r="AC40" s="424"/>
      <c r="AD40" s="424"/>
      <c r="AE40" s="424"/>
      <c r="AF40" s="424"/>
      <c r="AG40" s="424"/>
      <c r="AH40" s="424"/>
      <c r="AI40" s="424"/>
      <c r="AJ40" s="424"/>
      <c r="AK40" s="424"/>
      <c r="AL40" s="424"/>
      <c r="AM40" s="424"/>
      <c r="AN40" s="424"/>
    </row>
    <row r="41" spans="1:40" ht="15.75" customHeight="1" x14ac:dyDescent="0.4">
      <c r="A41" s="433" t="s">
        <v>350</v>
      </c>
      <c r="B41" s="424" t="s">
        <v>291</v>
      </c>
      <c r="C41" s="499" t="s">
        <v>351</v>
      </c>
      <c r="D41" s="500" t="s">
        <v>352</v>
      </c>
      <c r="E41" s="501">
        <v>0.54726764970303821</v>
      </c>
      <c r="F41" s="502">
        <v>137085.77456423335</v>
      </c>
      <c r="G41" s="503"/>
      <c r="H41" s="501"/>
      <c r="I41" s="502"/>
      <c r="J41" s="503" t="s">
        <v>352</v>
      </c>
      <c r="K41" s="501">
        <v>0.41359508451917049</v>
      </c>
      <c r="L41" s="502">
        <v>110943.37000000001</v>
      </c>
      <c r="M41" s="504"/>
      <c r="N41" s="502">
        <v>-26142.404564233337</v>
      </c>
      <c r="O41" s="503" t="s">
        <v>352</v>
      </c>
      <c r="P41" s="501">
        <v>0.54556453208854827</v>
      </c>
      <c r="Q41" s="505">
        <v>138666.88999999998</v>
      </c>
      <c r="R41" s="506"/>
      <c r="S41" s="502">
        <v>-27723.519999999975</v>
      </c>
      <c r="T41" s="424"/>
      <c r="U41" s="424"/>
      <c r="V41" s="424"/>
      <c r="W41" s="424"/>
      <c r="X41" s="424"/>
      <c r="Y41" s="424"/>
      <c r="Z41" s="424"/>
      <c r="AA41" s="424"/>
      <c r="AB41" s="424"/>
      <c r="AC41" s="424"/>
      <c r="AD41" s="424"/>
      <c r="AE41" s="424"/>
      <c r="AF41" s="424"/>
      <c r="AG41" s="424"/>
      <c r="AH41" s="424"/>
      <c r="AI41" s="424"/>
      <c r="AJ41" s="424"/>
      <c r="AK41" s="424"/>
      <c r="AL41" s="424"/>
      <c r="AM41" s="424"/>
      <c r="AN41" s="424"/>
    </row>
    <row r="42" spans="1:40" ht="15.75" customHeight="1" x14ac:dyDescent="0.4">
      <c r="A42" s="433" t="s">
        <v>353</v>
      </c>
      <c r="B42" s="424" t="s">
        <v>291</v>
      </c>
      <c r="C42" s="507" t="s">
        <v>50</v>
      </c>
      <c r="D42" s="424"/>
      <c r="E42" s="424"/>
      <c r="F42" s="442">
        <v>24486.465384615389</v>
      </c>
      <c r="G42" s="441"/>
      <c r="H42" s="424"/>
      <c r="I42" s="442"/>
      <c r="J42" s="441"/>
      <c r="K42" s="424"/>
      <c r="L42" s="444">
        <v>9795.9699999999993</v>
      </c>
      <c r="M42" s="441"/>
      <c r="N42" s="467">
        <v>-14690.495384615389</v>
      </c>
      <c r="O42" s="441"/>
      <c r="P42" s="390">
        <v>6.2411747538216419E-2</v>
      </c>
      <c r="Q42" s="444">
        <v>15863.28</v>
      </c>
      <c r="R42" s="441"/>
      <c r="S42" s="467">
        <v>-6067.3100000000013</v>
      </c>
      <c r="T42" s="424"/>
      <c r="U42" s="424"/>
      <c r="V42" s="424"/>
      <c r="W42" s="424"/>
      <c r="X42" s="424"/>
      <c r="Y42" s="424"/>
      <c r="Z42" s="424"/>
      <c r="AA42" s="424"/>
      <c r="AB42" s="424"/>
      <c r="AC42" s="424"/>
      <c r="AD42" s="424"/>
      <c r="AE42" s="424"/>
      <c r="AF42" s="424"/>
      <c r="AG42" s="424"/>
      <c r="AH42" s="424"/>
      <c r="AI42" s="424"/>
      <c r="AJ42" s="424"/>
      <c r="AK42" s="424"/>
      <c r="AL42" s="424"/>
      <c r="AM42" s="424"/>
      <c r="AN42" s="424"/>
    </row>
    <row r="43" spans="1:40" ht="15.75" customHeight="1" x14ac:dyDescent="0.4">
      <c r="A43" s="433" t="s">
        <v>354</v>
      </c>
      <c r="B43" s="424" t="s">
        <v>291</v>
      </c>
      <c r="C43" s="508" t="s">
        <v>355</v>
      </c>
      <c r="D43" s="491"/>
      <c r="E43" s="424"/>
      <c r="F43" s="436">
        <v>13904.219076923078</v>
      </c>
      <c r="G43" s="492"/>
      <c r="H43" s="424"/>
      <c r="I43" s="436"/>
      <c r="J43" s="441"/>
      <c r="K43" s="424"/>
      <c r="L43" s="444">
        <v>11846.53</v>
      </c>
      <c r="M43" s="441"/>
      <c r="N43" s="467">
        <v>-2057.6890769230777</v>
      </c>
      <c r="O43" s="441"/>
      <c r="P43" s="424"/>
      <c r="Q43" s="444">
        <v>8318.4599999999991</v>
      </c>
      <c r="R43" s="441"/>
      <c r="S43" s="467">
        <v>3528.0700000000015</v>
      </c>
      <c r="T43" s="424"/>
      <c r="U43" s="424"/>
      <c r="V43" s="424"/>
      <c r="W43" s="424"/>
      <c r="X43" s="424"/>
      <c r="Y43" s="424"/>
      <c r="Z43" s="424"/>
      <c r="AA43" s="424"/>
      <c r="AB43" s="424"/>
      <c r="AC43" s="424"/>
      <c r="AD43" s="424"/>
      <c r="AE43" s="424"/>
      <c r="AF43" s="424"/>
      <c r="AG43" s="424"/>
      <c r="AH43" s="424"/>
      <c r="AI43" s="424"/>
      <c r="AJ43" s="424"/>
      <c r="AK43" s="424"/>
      <c r="AL43" s="424"/>
      <c r="AM43" s="424"/>
      <c r="AN43" s="424"/>
    </row>
    <row r="44" spans="1:40" ht="15.75" customHeight="1" x14ac:dyDescent="0.4">
      <c r="A44" s="433" t="s">
        <v>356</v>
      </c>
      <c r="B44" s="424" t="s">
        <v>291</v>
      </c>
      <c r="C44" s="507" t="s">
        <v>51</v>
      </c>
      <c r="D44" s="509"/>
      <c r="E44" s="510"/>
      <c r="F44" s="442">
        <v>315.55384615384617</v>
      </c>
      <c r="G44" s="511"/>
      <c r="H44" s="510"/>
      <c r="I44" s="442"/>
      <c r="J44" s="428"/>
      <c r="K44" s="510"/>
      <c r="L44" s="463">
        <v>1963.25</v>
      </c>
      <c r="M44" s="428"/>
      <c r="N44" s="512">
        <v>1647.6961538461537</v>
      </c>
      <c r="O44" s="428"/>
      <c r="P44" s="510"/>
      <c r="Q44" s="463">
        <v>2420.59</v>
      </c>
      <c r="R44" s="428"/>
      <c r="S44" s="512">
        <v>-457.34000000000015</v>
      </c>
      <c r="T44" s="424"/>
      <c r="U44" s="424"/>
      <c r="V44" s="424"/>
      <c r="W44" s="424"/>
      <c r="X44" s="424"/>
      <c r="Y44" s="424"/>
      <c r="Z44" s="424"/>
      <c r="AA44" s="424"/>
      <c r="AB44" s="424"/>
      <c r="AC44" s="424"/>
      <c r="AD44" s="424"/>
      <c r="AE44" s="424"/>
      <c r="AF44" s="424"/>
      <c r="AG44" s="424"/>
      <c r="AH44" s="424"/>
      <c r="AI44" s="424"/>
      <c r="AJ44" s="424"/>
      <c r="AK44" s="424"/>
      <c r="AL44" s="424"/>
      <c r="AM44" s="424"/>
      <c r="AN44" s="424"/>
    </row>
    <row r="45" spans="1:40" ht="15.75" customHeight="1" x14ac:dyDescent="0.4">
      <c r="A45" s="433" t="s">
        <v>357</v>
      </c>
      <c r="B45" s="424" t="s">
        <v>291</v>
      </c>
      <c r="C45" s="507" t="s">
        <v>358</v>
      </c>
      <c r="D45" s="491"/>
      <c r="E45" s="424"/>
      <c r="F45" s="442">
        <v>0</v>
      </c>
      <c r="G45" s="492"/>
      <c r="H45" s="424"/>
      <c r="I45" s="442"/>
      <c r="J45" s="441"/>
      <c r="K45" s="424"/>
      <c r="L45" s="444">
        <v>0</v>
      </c>
      <c r="M45" s="441"/>
      <c r="N45" s="467">
        <v>0</v>
      </c>
      <c r="O45" s="441"/>
      <c r="P45" s="424"/>
      <c r="Q45" s="444">
        <v>0</v>
      </c>
      <c r="R45" s="441"/>
      <c r="S45" s="467">
        <v>0</v>
      </c>
      <c r="T45" s="424"/>
      <c r="U45" s="424"/>
      <c r="V45" s="424"/>
      <c r="W45" s="424"/>
      <c r="X45" s="424"/>
      <c r="Y45" s="424"/>
      <c r="Z45" s="424"/>
      <c r="AA45" s="424"/>
      <c r="AB45" s="424"/>
      <c r="AC45" s="424"/>
      <c r="AD45" s="424"/>
      <c r="AE45" s="424"/>
      <c r="AF45" s="424"/>
      <c r="AG45" s="424"/>
      <c r="AH45" s="424"/>
      <c r="AI45" s="424"/>
      <c r="AJ45" s="424"/>
      <c r="AK45" s="424"/>
      <c r="AL45" s="424"/>
      <c r="AM45" s="424"/>
      <c r="AN45" s="424"/>
    </row>
    <row r="46" spans="1:40" ht="15.75" hidden="1" customHeight="1" x14ac:dyDescent="0.4">
      <c r="A46" s="433" t="s">
        <v>322</v>
      </c>
      <c r="B46" s="424" t="s">
        <v>291</v>
      </c>
      <c r="C46" s="507" t="s">
        <v>323</v>
      </c>
      <c r="D46" s="491"/>
      <c r="E46" s="424"/>
      <c r="F46" s="442">
        <v>0</v>
      </c>
      <c r="G46" s="492"/>
      <c r="H46" s="424"/>
      <c r="I46" s="442"/>
      <c r="J46" s="441"/>
      <c r="K46" s="424"/>
      <c r="L46" s="444">
        <v>0</v>
      </c>
      <c r="M46" s="441"/>
      <c r="N46" s="467">
        <v>0</v>
      </c>
      <c r="O46" s="441"/>
      <c r="P46" s="424"/>
      <c r="Q46" s="444">
        <v>0</v>
      </c>
      <c r="R46" s="441"/>
      <c r="S46" s="467">
        <v>0</v>
      </c>
      <c r="T46" s="424"/>
      <c r="U46" s="424"/>
      <c r="V46" s="424"/>
      <c r="W46" s="424"/>
      <c r="X46" s="424"/>
      <c r="Y46" s="424"/>
      <c r="Z46" s="424"/>
      <c r="AA46" s="424"/>
      <c r="AB46" s="424"/>
      <c r="AC46" s="424"/>
      <c r="AD46" s="424"/>
      <c r="AE46" s="424"/>
      <c r="AF46" s="424"/>
      <c r="AG46" s="424"/>
      <c r="AH46" s="424"/>
      <c r="AI46" s="424"/>
      <c r="AJ46" s="424"/>
      <c r="AK46" s="424"/>
      <c r="AL46" s="424"/>
      <c r="AM46" s="424"/>
      <c r="AN46" s="424"/>
    </row>
    <row r="47" spans="1:40" ht="15.75" hidden="1" customHeight="1" x14ac:dyDescent="0.4">
      <c r="A47" s="433" t="s">
        <v>322</v>
      </c>
      <c r="B47" s="424" t="s">
        <v>291</v>
      </c>
      <c r="C47" s="507" t="s">
        <v>323</v>
      </c>
      <c r="D47" s="491"/>
      <c r="E47" s="424"/>
      <c r="F47" s="442">
        <v>0</v>
      </c>
      <c r="G47" s="492"/>
      <c r="H47" s="424"/>
      <c r="I47" s="442"/>
      <c r="J47" s="441"/>
      <c r="K47" s="424"/>
      <c r="L47" s="444">
        <v>0</v>
      </c>
      <c r="M47" s="441"/>
      <c r="N47" s="467">
        <v>0</v>
      </c>
      <c r="O47" s="441"/>
      <c r="P47" s="424"/>
      <c r="Q47" s="444">
        <v>0</v>
      </c>
      <c r="R47" s="441"/>
      <c r="S47" s="467">
        <v>0</v>
      </c>
      <c r="T47" s="424"/>
      <c r="U47" s="424"/>
      <c r="V47" s="424"/>
      <c r="W47" s="424"/>
      <c r="X47" s="424"/>
      <c r="Y47" s="424"/>
      <c r="Z47" s="424"/>
      <c r="AA47" s="424"/>
      <c r="AB47" s="424"/>
      <c r="AC47" s="424"/>
      <c r="AD47" s="424"/>
      <c r="AE47" s="424"/>
      <c r="AF47" s="424"/>
      <c r="AG47" s="424"/>
      <c r="AH47" s="424"/>
      <c r="AI47" s="424"/>
      <c r="AJ47" s="424"/>
      <c r="AK47" s="424"/>
      <c r="AL47" s="424"/>
      <c r="AM47" s="424"/>
      <c r="AN47" s="424"/>
    </row>
    <row r="48" spans="1:40" ht="15.75" hidden="1" customHeight="1" x14ac:dyDescent="0.4">
      <c r="A48" s="433" t="s">
        <v>322</v>
      </c>
      <c r="B48" s="424" t="s">
        <v>291</v>
      </c>
      <c r="C48" s="507" t="s">
        <v>323</v>
      </c>
      <c r="D48" s="491"/>
      <c r="E48" s="424"/>
      <c r="F48" s="442">
        <v>0</v>
      </c>
      <c r="G48" s="492"/>
      <c r="H48" s="424"/>
      <c r="I48" s="442"/>
      <c r="J48" s="441"/>
      <c r="K48" s="424"/>
      <c r="L48" s="444">
        <v>0</v>
      </c>
      <c r="M48" s="441"/>
      <c r="N48" s="467">
        <v>0</v>
      </c>
      <c r="O48" s="441"/>
      <c r="P48" s="424"/>
      <c r="Q48" s="444">
        <v>0</v>
      </c>
      <c r="R48" s="441"/>
      <c r="S48" s="467">
        <v>0</v>
      </c>
      <c r="T48" s="424"/>
      <c r="U48" s="424"/>
      <c r="V48" s="424"/>
      <c r="W48" s="424"/>
      <c r="X48" s="424"/>
      <c r="Y48" s="424"/>
      <c r="Z48" s="424"/>
      <c r="AA48" s="424"/>
      <c r="AB48" s="424"/>
      <c r="AC48" s="424"/>
      <c r="AD48" s="424"/>
      <c r="AE48" s="424"/>
      <c r="AF48" s="424"/>
      <c r="AG48" s="424"/>
      <c r="AH48" s="424"/>
      <c r="AI48" s="424"/>
      <c r="AJ48" s="424"/>
      <c r="AK48" s="424"/>
      <c r="AL48" s="424"/>
      <c r="AM48" s="424"/>
      <c r="AN48" s="424"/>
    </row>
    <row r="49" spans="1:40" ht="15.75" customHeight="1" x14ac:dyDescent="0.4">
      <c r="A49" s="433" t="s">
        <v>359</v>
      </c>
      <c r="B49" s="424" t="s">
        <v>291</v>
      </c>
      <c r="C49" s="508" t="s">
        <v>52</v>
      </c>
      <c r="D49" s="491"/>
      <c r="E49" s="424"/>
      <c r="F49" s="436">
        <v>11796.070671764297</v>
      </c>
      <c r="G49" s="492"/>
      <c r="H49" s="424"/>
      <c r="I49" s="436"/>
      <c r="J49" s="441"/>
      <c r="K49" s="424"/>
      <c r="L49" s="436">
        <v>10866.84</v>
      </c>
      <c r="M49" s="441"/>
      <c r="N49" s="467">
        <v>-929.23067176429686</v>
      </c>
      <c r="O49" s="441"/>
      <c r="P49" s="424"/>
      <c r="Q49" s="436">
        <v>10664.1</v>
      </c>
      <c r="R49" s="441"/>
      <c r="S49" s="467">
        <v>202.73999999999978</v>
      </c>
      <c r="T49" s="424"/>
      <c r="U49" s="424"/>
      <c r="V49" s="424"/>
      <c r="W49" s="424"/>
      <c r="X49" s="421"/>
      <c r="Y49" s="424"/>
      <c r="Z49" s="424"/>
      <c r="AA49" s="424"/>
      <c r="AB49" s="424"/>
      <c r="AC49" s="424"/>
      <c r="AD49" s="424"/>
      <c r="AE49" s="424"/>
      <c r="AF49" s="424"/>
      <c r="AG49" s="424"/>
      <c r="AH49" s="424"/>
      <c r="AI49" s="424"/>
      <c r="AJ49" s="424"/>
      <c r="AK49" s="424"/>
      <c r="AL49" s="424"/>
      <c r="AM49" s="424"/>
      <c r="AN49" s="424"/>
    </row>
    <row r="50" spans="1:40" ht="15.75" customHeight="1" x14ac:dyDescent="0.4">
      <c r="A50" s="433" t="s">
        <v>360</v>
      </c>
      <c r="B50" s="424" t="s">
        <v>291</v>
      </c>
      <c r="C50" s="507" t="s">
        <v>53</v>
      </c>
      <c r="D50" s="509"/>
      <c r="E50" s="510"/>
      <c r="F50" s="442">
        <v>14342.359054656152</v>
      </c>
      <c r="G50" s="511"/>
      <c r="H50" s="510"/>
      <c r="I50" s="442"/>
      <c r="J50" s="428"/>
      <c r="K50" s="510"/>
      <c r="L50" s="444">
        <v>13752.02</v>
      </c>
      <c r="M50" s="428"/>
      <c r="N50" s="512">
        <v>-590.33905465615135</v>
      </c>
      <c r="O50" s="428"/>
      <c r="P50" s="510"/>
      <c r="Q50" s="444">
        <v>12553.25</v>
      </c>
      <c r="R50" s="428"/>
      <c r="S50" s="512">
        <v>1198.7700000000004</v>
      </c>
      <c r="T50" s="424"/>
      <c r="U50" s="424"/>
      <c r="V50" s="424"/>
      <c r="W50" s="424"/>
      <c r="X50" s="421"/>
      <c r="Y50" s="424"/>
      <c r="Z50" s="424"/>
      <c r="AA50" s="424"/>
      <c r="AB50" s="424"/>
      <c r="AC50" s="424"/>
      <c r="AD50" s="424"/>
      <c r="AE50" s="424"/>
      <c r="AF50" s="424"/>
      <c r="AG50" s="424"/>
      <c r="AH50" s="424"/>
      <c r="AI50" s="424"/>
      <c r="AJ50" s="424"/>
      <c r="AK50" s="424"/>
      <c r="AL50" s="424"/>
      <c r="AM50" s="424"/>
      <c r="AN50" s="424"/>
    </row>
    <row r="51" spans="1:40" ht="15.75" customHeight="1" x14ac:dyDescent="0.4">
      <c r="A51" s="433" t="s">
        <v>361</v>
      </c>
      <c r="B51" s="424" t="s">
        <v>291</v>
      </c>
      <c r="C51" s="507" t="s">
        <v>54</v>
      </c>
      <c r="D51" s="491"/>
      <c r="E51" s="424"/>
      <c r="F51" s="442">
        <v>7389.4328172902333</v>
      </c>
      <c r="G51" s="492"/>
      <c r="H51" s="424"/>
      <c r="I51" s="442"/>
      <c r="J51" s="441"/>
      <c r="K51" s="424"/>
      <c r="L51" s="444">
        <v>7178.18</v>
      </c>
      <c r="M51" s="441"/>
      <c r="N51" s="467">
        <v>-211.252817290233</v>
      </c>
      <c r="O51" s="441"/>
      <c r="P51" s="424"/>
      <c r="Q51" s="444">
        <v>7041.73</v>
      </c>
      <c r="R51" s="441"/>
      <c r="S51" s="467">
        <v>136.45000000000073</v>
      </c>
      <c r="T51" s="424"/>
      <c r="U51" s="424"/>
      <c r="V51" s="424"/>
      <c r="W51" s="424"/>
      <c r="X51" s="421"/>
      <c r="Y51" s="424"/>
      <c r="Z51" s="424"/>
      <c r="AA51" s="424"/>
      <c r="AB51" s="424"/>
      <c r="AC51" s="424"/>
      <c r="AD51" s="424"/>
      <c r="AE51" s="424"/>
      <c r="AF51" s="424"/>
      <c r="AG51" s="424"/>
      <c r="AH51" s="424"/>
      <c r="AI51" s="424"/>
      <c r="AJ51" s="424"/>
      <c r="AK51" s="424"/>
      <c r="AL51" s="424"/>
      <c r="AM51" s="424"/>
      <c r="AN51" s="424"/>
    </row>
    <row r="52" spans="1:40" ht="15.75" customHeight="1" x14ac:dyDescent="0.4">
      <c r="A52" s="433" t="s">
        <v>362</v>
      </c>
      <c r="B52" s="424" t="s">
        <v>291</v>
      </c>
      <c r="C52" s="507" t="s">
        <v>55</v>
      </c>
      <c r="D52" s="491"/>
      <c r="E52" s="424"/>
      <c r="F52" s="442">
        <v>3221.8342803937726</v>
      </c>
      <c r="G52" s="492"/>
      <c r="H52" s="424"/>
      <c r="I52" s="442"/>
      <c r="J52" s="441"/>
      <c r="K52" s="424"/>
      <c r="L52" s="444">
        <v>3241.11</v>
      </c>
      <c r="M52" s="441"/>
      <c r="N52" s="467">
        <v>19.27571960622754</v>
      </c>
      <c r="O52" s="441"/>
      <c r="P52" s="424"/>
      <c r="Q52" s="444">
        <v>1892.71</v>
      </c>
      <c r="R52" s="441"/>
      <c r="S52" s="467">
        <v>1348.4</v>
      </c>
      <c r="T52" s="424"/>
      <c r="U52" s="424"/>
      <c r="V52" s="424"/>
      <c r="W52" s="424"/>
      <c r="X52" s="421"/>
      <c r="Y52" s="424"/>
      <c r="Z52" s="424"/>
      <c r="AA52" s="424"/>
      <c r="AB52" s="424"/>
      <c r="AC52" s="424"/>
      <c r="AD52" s="424"/>
      <c r="AE52" s="424"/>
      <c r="AF52" s="424"/>
      <c r="AG52" s="424"/>
      <c r="AH52" s="424"/>
      <c r="AI52" s="424"/>
      <c r="AJ52" s="424"/>
      <c r="AK52" s="424"/>
      <c r="AL52" s="424"/>
      <c r="AM52" s="424"/>
      <c r="AN52" s="424"/>
    </row>
    <row r="53" spans="1:40" ht="15.75" hidden="1" customHeight="1" x14ac:dyDescent="0.4">
      <c r="A53" s="433" t="s">
        <v>322</v>
      </c>
      <c r="B53" s="424" t="s">
        <v>291</v>
      </c>
      <c r="C53" s="441" t="s">
        <v>323</v>
      </c>
      <c r="D53" s="494" t="e">
        <v>#N/A</v>
      </c>
      <c r="E53" s="513"/>
      <c r="F53" s="442">
        <v>0</v>
      </c>
      <c r="G53" s="495"/>
      <c r="H53" s="513"/>
      <c r="I53" s="442"/>
      <c r="J53" s="434"/>
      <c r="K53" s="513"/>
      <c r="L53" s="444">
        <v>0</v>
      </c>
      <c r="M53" s="434"/>
      <c r="N53" s="490">
        <v>0</v>
      </c>
      <c r="O53" s="434"/>
      <c r="P53" s="513"/>
      <c r="Q53" s="444">
        <v>0</v>
      </c>
      <c r="R53" s="434"/>
      <c r="S53" s="490">
        <v>0</v>
      </c>
      <c r="T53" s="424"/>
      <c r="U53" s="424"/>
      <c r="V53" s="424"/>
      <c r="W53" s="424"/>
      <c r="X53" s="421"/>
      <c r="Y53" s="424"/>
      <c r="Z53" s="424"/>
      <c r="AA53" s="424"/>
      <c r="AB53" s="424"/>
      <c r="AC53" s="424"/>
      <c r="AD53" s="424"/>
      <c r="AE53" s="424"/>
      <c r="AF53" s="424"/>
      <c r="AG53" s="424"/>
      <c r="AH53" s="424"/>
      <c r="AI53" s="424"/>
      <c r="AJ53" s="424"/>
      <c r="AK53" s="424"/>
      <c r="AL53" s="424"/>
      <c r="AM53" s="424"/>
      <c r="AN53" s="424"/>
    </row>
    <row r="54" spans="1:40" ht="15.75" customHeight="1" x14ac:dyDescent="0.4">
      <c r="A54" s="433" t="s">
        <v>363</v>
      </c>
      <c r="B54" s="424" t="s">
        <v>291</v>
      </c>
      <c r="C54" s="499" t="s">
        <v>364</v>
      </c>
      <c r="D54" s="500" t="s">
        <v>352</v>
      </c>
      <c r="E54" s="501">
        <v>0.30123178285267083</v>
      </c>
      <c r="F54" s="502">
        <v>75455.935131796767</v>
      </c>
      <c r="G54" s="503"/>
      <c r="H54" s="501"/>
      <c r="I54" s="502"/>
      <c r="J54" s="503" t="s">
        <v>352</v>
      </c>
      <c r="K54" s="501">
        <v>0.21862350834514743</v>
      </c>
      <c r="L54" s="502">
        <v>58643.9</v>
      </c>
      <c r="M54" s="506"/>
      <c r="N54" s="502">
        <v>-16812.035131796769</v>
      </c>
      <c r="O54" s="503" t="s">
        <v>352</v>
      </c>
      <c r="P54" s="501">
        <v>0.23115946413793817</v>
      </c>
      <c r="Q54" s="502">
        <v>58754.12</v>
      </c>
      <c r="R54" s="506"/>
      <c r="S54" s="502">
        <v>-110.21999999999889</v>
      </c>
      <c r="T54" s="482"/>
      <c r="U54" s="424"/>
      <c r="V54" s="424"/>
      <c r="W54" s="424"/>
      <c r="X54" s="421"/>
      <c r="Y54" s="424"/>
      <c r="Z54" s="424"/>
      <c r="AA54" s="424"/>
      <c r="AB54" s="424"/>
      <c r="AC54" s="424"/>
      <c r="AD54" s="424"/>
      <c r="AE54" s="424"/>
      <c r="AF54" s="424"/>
      <c r="AG54" s="424"/>
      <c r="AH54" s="424"/>
      <c r="AI54" s="424"/>
      <c r="AJ54" s="424"/>
      <c r="AK54" s="424"/>
      <c r="AL54" s="424"/>
      <c r="AM54" s="424"/>
      <c r="AN54" s="424"/>
    </row>
    <row r="55" spans="1:40" ht="15.75" hidden="1" customHeight="1" x14ac:dyDescent="0.4">
      <c r="A55" s="433" t="s">
        <v>365</v>
      </c>
      <c r="B55" s="424" t="s">
        <v>291</v>
      </c>
      <c r="C55" s="441" t="s">
        <v>366</v>
      </c>
      <c r="D55" s="491"/>
      <c r="E55" s="424"/>
      <c r="F55" s="442">
        <v>0</v>
      </c>
      <c r="G55" s="492"/>
      <c r="H55" s="424"/>
      <c r="I55" s="442"/>
      <c r="J55" s="441"/>
      <c r="K55" s="424"/>
      <c r="L55" s="444">
        <v>0</v>
      </c>
      <c r="M55" s="441"/>
      <c r="N55" s="467">
        <v>0</v>
      </c>
      <c r="O55" s="441"/>
      <c r="P55" s="424"/>
      <c r="Q55" s="444">
        <v>0</v>
      </c>
      <c r="R55" s="441"/>
      <c r="S55" s="467">
        <v>0</v>
      </c>
      <c r="T55" s="482"/>
      <c r="U55" s="424"/>
      <c r="V55" s="424"/>
      <c r="W55" s="424"/>
      <c r="X55" s="421"/>
      <c r="Y55" s="424"/>
      <c r="Z55" s="424"/>
      <c r="AA55" s="424"/>
      <c r="AB55" s="424"/>
      <c r="AC55" s="424"/>
      <c r="AD55" s="424"/>
      <c r="AE55" s="424"/>
      <c r="AF55" s="424"/>
      <c r="AG55" s="424"/>
      <c r="AH55" s="424"/>
      <c r="AI55" s="424"/>
      <c r="AJ55" s="424"/>
      <c r="AK55" s="424"/>
      <c r="AL55" s="424"/>
      <c r="AM55" s="424"/>
      <c r="AN55" s="424"/>
    </row>
    <row r="56" spans="1:40" ht="15.75" hidden="1" customHeight="1" x14ac:dyDescent="0.4">
      <c r="A56" s="433" t="s">
        <v>367</v>
      </c>
      <c r="B56" s="424" t="s">
        <v>291</v>
      </c>
      <c r="C56" s="441" t="s">
        <v>368</v>
      </c>
      <c r="D56" s="491"/>
      <c r="E56" s="424"/>
      <c r="F56" s="442">
        <v>0</v>
      </c>
      <c r="G56" s="492"/>
      <c r="H56" s="424"/>
      <c r="I56" s="442"/>
      <c r="J56" s="441"/>
      <c r="K56" s="424"/>
      <c r="L56" s="444">
        <v>0</v>
      </c>
      <c r="M56" s="441"/>
      <c r="N56" s="467">
        <v>0</v>
      </c>
      <c r="O56" s="441"/>
      <c r="P56" s="424"/>
      <c r="Q56" s="444">
        <v>0</v>
      </c>
      <c r="R56" s="441"/>
      <c r="S56" s="467">
        <v>0</v>
      </c>
      <c r="T56" s="482"/>
      <c r="U56" s="424"/>
      <c r="V56" s="424"/>
      <c r="W56" s="424"/>
      <c r="X56" s="421"/>
      <c r="Y56" s="424"/>
      <c r="Z56" s="424"/>
      <c r="AA56" s="424"/>
      <c r="AB56" s="424"/>
      <c r="AC56" s="424"/>
      <c r="AD56" s="424"/>
      <c r="AE56" s="424"/>
      <c r="AF56" s="424"/>
      <c r="AG56" s="424"/>
      <c r="AH56" s="424"/>
      <c r="AI56" s="424"/>
      <c r="AJ56" s="424"/>
      <c r="AK56" s="424"/>
      <c r="AL56" s="424"/>
      <c r="AM56" s="424"/>
      <c r="AN56" s="424"/>
    </row>
    <row r="57" spans="1:40" ht="15.75" customHeight="1" x14ac:dyDescent="0.4">
      <c r="A57" s="433" t="s">
        <v>369</v>
      </c>
      <c r="B57" s="424" t="s">
        <v>291</v>
      </c>
      <c r="C57" s="434" t="s">
        <v>370</v>
      </c>
      <c r="D57" s="494"/>
      <c r="E57" s="513"/>
      <c r="F57" s="436">
        <v>8952.5479333333333</v>
      </c>
      <c r="G57" s="495"/>
      <c r="H57" s="513"/>
      <c r="I57" s="436"/>
      <c r="J57" s="434"/>
      <c r="K57" s="513"/>
      <c r="L57" s="436">
        <v>7490.62</v>
      </c>
      <c r="M57" s="434"/>
      <c r="N57" s="490">
        <v>-1461.9279333333334</v>
      </c>
      <c r="O57" s="434"/>
      <c r="P57" s="513"/>
      <c r="Q57" s="436">
        <v>9199.43</v>
      </c>
      <c r="R57" s="434"/>
      <c r="S57" s="490">
        <v>-1708.8100000000004</v>
      </c>
      <c r="T57" s="514"/>
      <c r="U57" s="424"/>
      <c r="V57" s="424"/>
      <c r="W57" s="424"/>
      <c r="X57" s="421"/>
      <c r="Y57" s="424"/>
      <c r="Z57" s="424"/>
      <c r="AA57" s="424"/>
      <c r="AB57" s="424"/>
      <c r="AC57" s="424"/>
      <c r="AD57" s="424"/>
      <c r="AE57" s="424"/>
      <c r="AF57" s="424"/>
      <c r="AG57" s="424"/>
      <c r="AH57" s="424"/>
      <c r="AI57" s="424"/>
      <c r="AJ57" s="424"/>
      <c r="AK57" s="424"/>
      <c r="AL57" s="424"/>
      <c r="AM57" s="424"/>
      <c r="AN57" s="424"/>
    </row>
    <row r="58" spans="1:40" ht="15.75" customHeight="1" x14ac:dyDescent="0.4">
      <c r="A58" s="433" t="s">
        <v>371</v>
      </c>
      <c r="B58" s="424" t="s">
        <v>291</v>
      </c>
      <c r="C58" s="441" t="s">
        <v>60</v>
      </c>
      <c r="D58" s="491"/>
      <c r="E58" s="424"/>
      <c r="F58" s="442">
        <v>7960.9947585155569</v>
      </c>
      <c r="G58" s="492"/>
      <c r="H58" s="424"/>
      <c r="I58" s="442"/>
      <c r="J58" s="441"/>
      <c r="K58" s="424"/>
      <c r="L58" s="444">
        <v>7652.37</v>
      </c>
      <c r="M58" s="441"/>
      <c r="N58" s="467">
        <v>-308.62475851555701</v>
      </c>
      <c r="O58" s="441"/>
      <c r="P58" s="424"/>
      <c r="Q58" s="444">
        <v>5972.42</v>
      </c>
      <c r="R58" s="441"/>
      <c r="S58" s="467">
        <v>1679.9499999999998</v>
      </c>
      <c r="T58" s="482"/>
      <c r="U58" s="424"/>
      <c r="V58" s="424"/>
      <c r="W58" s="424"/>
      <c r="X58" s="424"/>
      <c r="Y58" s="424"/>
      <c r="Z58" s="424"/>
      <c r="AA58" s="424"/>
      <c r="AB58" s="424"/>
      <c r="AC58" s="424"/>
      <c r="AD58" s="424"/>
      <c r="AE58" s="424"/>
      <c r="AF58" s="424"/>
      <c r="AG58" s="424"/>
      <c r="AH58" s="424"/>
      <c r="AI58" s="424"/>
      <c r="AJ58" s="424"/>
      <c r="AK58" s="424"/>
      <c r="AL58" s="424"/>
      <c r="AM58" s="424"/>
      <c r="AN58" s="424"/>
    </row>
    <row r="59" spans="1:40" ht="15.75" customHeight="1" x14ac:dyDescent="0.4">
      <c r="A59" s="433" t="s">
        <v>372</v>
      </c>
      <c r="B59" s="424" t="s">
        <v>291</v>
      </c>
      <c r="C59" s="441" t="s">
        <v>373</v>
      </c>
      <c r="D59" s="491"/>
      <c r="E59" s="424"/>
      <c r="F59" s="442">
        <v>1266.6975008629806</v>
      </c>
      <c r="G59" s="492"/>
      <c r="H59" s="424"/>
      <c r="I59" s="442"/>
      <c r="J59" s="441"/>
      <c r="K59" s="424"/>
      <c r="L59" s="444">
        <v>1293.58</v>
      </c>
      <c r="M59" s="441"/>
      <c r="N59" s="467">
        <v>26.882499137019295</v>
      </c>
      <c r="O59" s="441"/>
      <c r="P59" s="424"/>
      <c r="Q59" s="444">
        <v>1613.78</v>
      </c>
      <c r="R59" s="441"/>
      <c r="S59" s="467">
        <v>-320.20000000000005</v>
      </c>
      <c r="T59" s="424"/>
      <c r="U59" s="424"/>
      <c r="V59" s="424"/>
      <c r="W59" s="424"/>
      <c r="X59" s="424"/>
      <c r="Y59" s="424"/>
      <c r="Z59" s="424"/>
      <c r="AA59" s="424"/>
      <c r="AB59" s="424"/>
      <c r="AC59" s="424"/>
      <c r="AD59" s="424"/>
      <c r="AE59" s="424"/>
      <c r="AF59" s="424"/>
      <c r="AG59" s="424"/>
      <c r="AH59" s="424"/>
      <c r="AI59" s="424"/>
      <c r="AJ59" s="424"/>
      <c r="AK59" s="424"/>
      <c r="AL59" s="424"/>
      <c r="AM59" s="424"/>
      <c r="AN59" s="424"/>
    </row>
    <row r="60" spans="1:40" ht="15.75" customHeight="1" x14ac:dyDescent="0.4">
      <c r="A60" s="433" t="s">
        <v>374</v>
      </c>
      <c r="B60" s="424" t="s">
        <v>291</v>
      </c>
      <c r="C60" s="434" t="s">
        <v>375</v>
      </c>
      <c r="D60" s="494"/>
      <c r="E60" s="513"/>
      <c r="F60" s="436">
        <v>7215.7407235875298</v>
      </c>
      <c r="G60" s="495"/>
      <c r="H60" s="513"/>
      <c r="I60" s="436"/>
      <c r="J60" s="434"/>
      <c r="K60" s="513"/>
      <c r="L60" s="436">
        <v>8436.09</v>
      </c>
      <c r="M60" s="434"/>
      <c r="N60" s="490">
        <v>1220.3492764124703</v>
      </c>
      <c r="O60" s="434"/>
      <c r="P60" s="513"/>
      <c r="Q60" s="436">
        <v>7694.41</v>
      </c>
      <c r="R60" s="434"/>
      <c r="S60" s="490">
        <v>741.68000000000029</v>
      </c>
      <c r="T60" s="424"/>
      <c r="U60" s="421"/>
      <c r="V60" s="424"/>
      <c r="W60" s="424"/>
      <c r="X60" s="424"/>
      <c r="Y60" s="424"/>
      <c r="Z60" s="424"/>
      <c r="AA60" s="424"/>
      <c r="AB60" s="424"/>
      <c r="AC60" s="424"/>
      <c r="AD60" s="424"/>
      <c r="AE60" s="424"/>
      <c r="AF60" s="424"/>
      <c r="AG60" s="424"/>
      <c r="AH60" s="424"/>
      <c r="AI60" s="424"/>
      <c r="AJ60" s="424"/>
      <c r="AK60" s="424"/>
      <c r="AL60" s="424"/>
      <c r="AM60" s="424"/>
      <c r="AN60" s="424"/>
    </row>
    <row r="61" spans="1:40" ht="15.75" customHeight="1" x14ac:dyDescent="0.4">
      <c r="A61" s="433" t="s">
        <v>376</v>
      </c>
      <c r="B61" s="424" t="s">
        <v>291</v>
      </c>
      <c r="C61" s="441" t="s">
        <v>377</v>
      </c>
      <c r="D61" s="491"/>
      <c r="E61" s="424"/>
      <c r="F61" s="442">
        <v>97.257333333333349</v>
      </c>
      <c r="G61" s="492"/>
      <c r="H61" s="424"/>
      <c r="I61" s="442"/>
      <c r="J61" s="441"/>
      <c r="K61" s="424"/>
      <c r="L61" s="444">
        <v>0</v>
      </c>
      <c r="M61" s="441"/>
      <c r="N61" s="467">
        <v>-97.257333333333349</v>
      </c>
      <c r="O61" s="441"/>
      <c r="P61" s="424"/>
      <c r="Q61" s="444">
        <v>97.12</v>
      </c>
      <c r="R61" s="441"/>
      <c r="S61" s="467">
        <v>-97.12</v>
      </c>
      <c r="T61" s="424"/>
      <c r="U61" s="424"/>
      <c r="V61" s="424"/>
      <c r="W61" s="424"/>
      <c r="X61" s="424"/>
      <c r="Y61" s="424"/>
      <c r="Z61" s="424"/>
      <c r="AA61" s="424"/>
      <c r="AB61" s="424"/>
      <c r="AC61" s="424"/>
      <c r="AD61" s="424"/>
      <c r="AE61" s="424"/>
      <c r="AF61" s="424"/>
      <c r="AG61" s="424"/>
      <c r="AH61" s="424"/>
      <c r="AI61" s="424"/>
      <c r="AJ61" s="424"/>
      <c r="AK61" s="424"/>
      <c r="AL61" s="424"/>
      <c r="AM61" s="424"/>
      <c r="AN61" s="424"/>
    </row>
    <row r="62" spans="1:40" ht="15.75" customHeight="1" x14ac:dyDescent="0.4">
      <c r="A62" s="433" t="s">
        <v>378</v>
      </c>
      <c r="B62" s="424" t="s">
        <v>291</v>
      </c>
      <c r="C62" s="441" t="s">
        <v>379</v>
      </c>
      <c r="D62" s="491"/>
      <c r="E62" s="424"/>
      <c r="F62" s="442">
        <v>28.333333333333332</v>
      </c>
      <c r="G62" s="492"/>
      <c r="H62" s="424"/>
      <c r="I62" s="442"/>
      <c r="J62" s="441"/>
      <c r="K62" s="424"/>
      <c r="L62" s="444">
        <v>0</v>
      </c>
      <c r="M62" s="441"/>
      <c r="N62" s="467">
        <v>-28.333333333333332</v>
      </c>
      <c r="O62" s="441"/>
      <c r="P62" s="424"/>
      <c r="Q62" s="444">
        <v>0</v>
      </c>
      <c r="R62" s="441"/>
      <c r="S62" s="467">
        <v>0</v>
      </c>
      <c r="T62" s="424"/>
      <c r="U62" s="424"/>
      <c r="V62" s="424"/>
      <c r="W62" s="424"/>
      <c r="X62" s="424"/>
      <c r="Y62" s="424"/>
      <c r="Z62" s="424"/>
      <c r="AA62" s="424"/>
      <c r="AB62" s="424"/>
      <c r="AC62" s="424"/>
      <c r="AD62" s="424"/>
      <c r="AE62" s="424"/>
      <c r="AF62" s="424"/>
      <c r="AG62" s="424"/>
      <c r="AH62" s="424"/>
      <c r="AI62" s="424"/>
      <c r="AJ62" s="424"/>
      <c r="AK62" s="424"/>
      <c r="AL62" s="424"/>
      <c r="AM62" s="424"/>
      <c r="AN62" s="424"/>
    </row>
    <row r="63" spans="1:40" ht="15.75" customHeight="1" x14ac:dyDescent="0.4">
      <c r="A63" s="433" t="s">
        <v>380</v>
      </c>
      <c r="B63" s="424" t="s">
        <v>291</v>
      </c>
      <c r="C63" s="441" t="s">
        <v>381</v>
      </c>
      <c r="D63" s="491"/>
      <c r="E63" s="424"/>
      <c r="F63" s="442">
        <v>741.43089466911999</v>
      </c>
      <c r="G63" s="492"/>
      <c r="H63" s="424"/>
      <c r="I63" s="442"/>
      <c r="J63" s="441"/>
      <c r="K63" s="424"/>
      <c r="L63" s="444">
        <v>218.53</v>
      </c>
      <c r="M63" s="441"/>
      <c r="N63" s="467">
        <v>-522.90089466912002</v>
      </c>
      <c r="O63" s="441"/>
      <c r="P63" s="424"/>
      <c r="Q63" s="444">
        <v>356.55</v>
      </c>
      <c r="R63" s="441"/>
      <c r="S63" s="467">
        <v>-138.02000000000001</v>
      </c>
      <c r="T63" s="424"/>
      <c r="U63" s="424"/>
      <c r="V63" s="424"/>
      <c r="W63" s="424"/>
      <c r="X63" s="424"/>
      <c r="Y63" s="424"/>
      <c r="Z63" s="424"/>
      <c r="AA63" s="424"/>
      <c r="AB63" s="424"/>
      <c r="AC63" s="424"/>
      <c r="AD63" s="424"/>
      <c r="AE63" s="424"/>
      <c r="AF63" s="424"/>
      <c r="AG63" s="424"/>
      <c r="AH63" s="424"/>
      <c r="AI63" s="424"/>
      <c r="AJ63" s="424"/>
      <c r="AK63" s="424"/>
      <c r="AL63" s="424"/>
      <c r="AM63" s="424"/>
      <c r="AN63" s="424"/>
    </row>
    <row r="64" spans="1:40" ht="15.75" customHeight="1" x14ac:dyDescent="0.4">
      <c r="A64" s="433" t="s">
        <v>382</v>
      </c>
      <c r="B64" s="424" t="s">
        <v>291</v>
      </c>
      <c r="C64" s="441" t="s">
        <v>383</v>
      </c>
      <c r="D64" s="491"/>
      <c r="E64" s="424"/>
      <c r="F64" s="442">
        <v>344.80198491798222</v>
      </c>
      <c r="G64" s="492"/>
      <c r="H64" s="424"/>
      <c r="I64" s="442"/>
      <c r="J64" s="441"/>
      <c r="K64" s="424"/>
      <c r="L64" s="444">
        <v>355.13</v>
      </c>
      <c r="M64" s="441"/>
      <c r="N64" s="467">
        <v>10.328015082017771</v>
      </c>
      <c r="O64" s="441"/>
      <c r="P64" s="424"/>
      <c r="Q64" s="444">
        <v>330.97</v>
      </c>
      <c r="R64" s="441"/>
      <c r="S64" s="467">
        <v>24.159999999999968</v>
      </c>
      <c r="T64" s="424"/>
      <c r="U64" s="424"/>
      <c r="V64" s="424"/>
      <c r="W64" s="424"/>
      <c r="X64" s="424"/>
      <c r="Y64" s="424"/>
      <c r="Z64" s="424"/>
      <c r="AA64" s="424"/>
      <c r="AB64" s="424"/>
      <c r="AC64" s="424"/>
      <c r="AD64" s="424"/>
      <c r="AE64" s="424"/>
      <c r="AF64" s="424"/>
      <c r="AG64" s="424"/>
      <c r="AH64" s="424"/>
      <c r="AI64" s="424"/>
      <c r="AJ64" s="424"/>
      <c r="AK64" s="424"/>
      <c r="AL64" s="424"/>
      <c r="AM64" s="424"/>
      <c r="AN64" s="424"/>
    </row>
    <row r="65" spans="1:40" ht="15.75" customHeight="1" x14ac:dyDescent="0.4">
      <c r="A65" s="433" t="s">
        <v>384</v>
      </c>
      <c r="B65" s="424" t="s">
        <v>291</v>
      </c>
      <c r="C65" s="441" t="s">
        <v>385</v>
      </c>
      <c r="D65" s="491"/>
      <c r="E65" s="424"/>
      <c r="F65" s="442">
        <v>102.82239536841776</v>
      </c>
      <c r="G65" s="492"/>
      <c r="H65" s="424"/>
      <c r="I65" s="442"/>
      <c r="J65" s="441"/>
      <c r="K65" s="424"/>
      <c r="L65" s="444">
        <v>54.6</v>
      </c>
      <c r="M65" s="441"/>
      <c r="N65" s="467">
        <v>-48.222395368417757</v>
      </c>
      <c r="O65" s="441"/>
      <c r="P65" s="424"/>
      <c r="Q65" s="444">
        <v>32.96</v>
      </c>
      <c r="R65" s="441"/>
      <c r="S65" s="467">
        <v>21.64</v>
      </c>
      <c r="T65" s="424"/>
      <c r="U65" s="424"/>
      <c r="V65" s="424"/>
      <c r="W65" s="424"/>
      <c r="X65" s="424"/>
      <c r="Y65" s="424"/>
      <c r="Z65" s="424"/>
      <c r="AA65" s="424"/>
      <c r="AB65" s="424"/>
      <c r="AC65" s="424"/>
      <c r="AD65" s="424"/>
      <c r="AE65" s="424"/>
      <c r="AF65" s="424"/>
      <c r="AG65" s="424"/>
      <c r="AH65" s="424"/>
      <c r="AI65" s="424"/>
      <c r="AJ65" s="424"/>
      <c r="AK65" s="424"/>
      <c r="AL65" s="424"/>
      <c r="AM65" s="424"/>
      <c r="AN65" s="424"/>
    </row>
    <row r="66" spans="1:40" ht="15.75" customHeight="1" x14ac:dyDescent="0.4">
      <c r="A66" s="433" t="s">
        <v>386</v>
      </c>
      <c r="B66" s="424" t="s">
        <v>291</v>
      </c>
      <c r="C66" s="441" t="s">
        <v>387</v>
      </c>
      <c r="D66" s="491"/>
      <c r="E66" s="424"/>
      <c r="F66" s="442">
        <v>201.17038516793778</v>
      </c>
      <c r="G66" s="492"/>
      <c r="H66" s="424"/>
      <c r="I66" s="442"/>
      <c r="J66" s="441"/>
      <c r="K66" s="424"/>
      <c r="L66" s="444">
        <v>62.72</v>
      </c>
      <c r="M66" s="441"/>
      <c r="N66" s="467">
        <v>-138.45038516793778</v>
      </c>
      <c r="O66" s="441"/>
      <c r="P66" s="424"/>
      <c r="Q66" s="444">
        <v>188.48</v>
      </c>
      <c r="R66" s="441"/>
      <c r="S66" s="467">
        <v>-125.75999999999999</v>
      </c>
      <c r="T66" s="424"/>
      <c r="U66" s="424"/>
      <c r="V66" s="424"/>
      <c r="W66" s="424"/>
      <c r="X66" s="424"/>
      <c r="Y66" s="424"/>
      <c r="Z66" s="424"/>
      <c r="AA66" s="424"/>
      <c r="AB66" s="424"/>
      <c r="AC66" s="424"/>
      <c r="AD66" s="424"/>
      <c r="AE66" s="424"/>
      <c r="AF66" s="424"/>
      <c r="AG66" s="424"/>
      <c r="AH66" s="424"/>
      <c r="AI66" s="424"/>
      <c r="AJ66" s="424"/>
      <c r="AK66" s="424"/>
      <c r="AL66" s="424"/>
      <c r="AM66" s="424"/>
      <c r="AN66" s="424"/>
    </row>
    <row r="67" spans="1:40" ht="15.75" customHeight="1" x14ac:dyDescent="0.4">
      <c r="A67" s="433" t="s">
        <v>388</v>
      </c>
      <c r="B67" s="424" t="s">
        <v>291</v>
      </c>
      <c r="C67" s="441" t="s">
        <v>389</v>
      </c>
      <c r="D67" s="491"/>
      <c r="E67" s="424"/>
      <c r="F67" s="442">
        <v>1934.7062499999995</v>
      </c>
      <c r="G67" s="492"/>
      <c r="H67" s="424"/>
      <c r="I67" s="442"/>
      <c r="J67" s="441"/>
      <c r="K67" s="424"/>
      <c r="L67" s="444">
        <v>2528.0700000000002</v>
      </c>
      <c r="M67" s="441"/>
      <c r="N67" s="467">
        <v>593.36375000000066</v>
      </c>
      <c r="O67" s="441"/>
      <c r="P67" s="424"/>
      <c r="Q67" s="444">
        <v>3488.07</v>
      </c>
      <c r="R67" s="441"/>
      <c r="S67" s="467">
        <v>-960</v>
      </c>
      <c r="T67" s="424"/>
      <c r="U67" s="433"/>
      <c r="X67" s="424"/>
      <c r="Y67" s="424"/>
      <c r="Z67" s="424"/>
      <c r="AA67" s="424"/>
      <c r="AB67" s="424"/>
      <c r="AC67" s="424"/>
      <c r="AD67" s="424"/>
      <c r="AE67" s="424"/>
      <c r="AF67" s="424"/>
      <c r="AG67" s="424"/>
      <c r="AH67" s="424"/>
      <c r="AI67" s="424"/>
      <c r="AJ67" s="424"/>
      <c r="AK67" s="424"/>
      <c r="AL67" s="424"/>
      <c r="AM67" s="424"/>
      <c r="AN67" s="424"/>
    </row>
    <row r="68" spans="1:40" ht="15.75" customHeight="1" x14ac:dyDescent="0.4">
      <c r="A68" s="433" t="s">
        <v>390</v>
      </c>
      <c r="B68" s="424" t="s">
        <v>291</v>
      </c>
      <c r="C68" s="441" t="s">
        <v>391</v>
      </c>
      <c r="D68" s="491"/>
      <c r="E68" s="424"/>
      <c r="F68" s="442">
        <v>3605.8793737115443</v>
      </c>
      <c r="G68" s="492"/>
      <c r="H68" s="424"/>
      <c r="I68" s="442"/>
      <c r="J68" s="441"/>
      <c r="K68" s="424"/>
      <c r="L68" s="444">
        <v>3902.37</v>
      </c>
      <c r="M68" s="441"/>
      <c r="N68" s="467">
        <v>296.49062628845559</v>
      </c>
      <c r="O68" s="441"/>
      <c r="P68" s="424"/>
      <c r="Q68" s="444">
        <v>3718.78</v>
      </c>
      <c r="R68" s="441"/>
      <c r="S68" s="467">
        <v>183.58999999999969</v>
      </c>
      <c r="T68" s="424"/>
      <c r="X68" s="424"/>
      <c r="Y68" s="424"/>
      <c r="Z68" s="424"/>
      <c r="AA68" s="424"/>
      <c r="AB68" s="424"/>
      <c r="AC68" s="424"/>
      <c r="AD68" s="424"/>
      <c r="AE68" s="424"/>
      <c r="AF68" s="424"/>
      <c r="AG68" s="424"/>
      <c r="AH68" s="424"/>
      <c r="AI68" s="424"/>
      <c r="AJ68" s="424"/>
      <c r="AK68" s="424"/>
      <c r="AL68" s="424"/>
      <c r="AM68" s="424"/>
      <c r="AN68" s="424"/>
    </row>
    <row r="69" spans="1:40" ht="15.75" hidden="1" customHeight="1" x14ac:dyDescent="0.4">
      <c r="A69" s="433" t="s">
        <v>322</v>
      </c>
      <c r="B69" s="424" t="s">
        <v>291</v>
      </c>
      <c r="C69" s="441" t="s">
        <v>323</v>
      </c>
      <c r="D69" s="491"/>
      <c r="E69" s="424"/>
      <c r="F69" s="442">
        <v>0</v>
      </c>
      <c r="G69" s="492"/>
      <c r="H69" s="424"/>
      <c r="I69" s="442"/>
      <c r="J69" s="441"/>
      <c r="K69" s="424"/>
      <c r="L69" s="444"/>
      <c r="M69" s="441"/>
      <c r="N69" s="467">
        <v>0</v>
      </c>
      <c r="O69" s="441"/>
      <c r="P69" s="424"/>
      <c r="Q69" s="444">
        <v>0</v>
      </c>
      <c r="R69" s="441"/>
      <c r="S69" s="467">
        <v>0</v>
      </c>
      <c r="T69" s="424"/>
      <c r="X69" s="424"/>
      <c r="Y69" s="424"/>
      <c r="Z69" s="424"/>
      <c r="AA69" s="424"/>
      <c r="AB69" s="424"/>
      <c r="AC69" s="424"/>
      <c r="AD69" s="424"/>
      <c r="AE69" s="424"/>
      <c r="AF69" s="424"/>
      <c r="AG69" s="424"/>
      <c r="AH69" s="424"/>
      <c r="AI69" s="424"/>
      <c r="AJ69" s="424"/>
      <c r="AK69" s="424"/>
      <c r="AL69" s="424"/>
      <c r="AM69" s="424"/>
      <c r="AN69" s="424"/>
    </row>
    <row r="70" spans="1:40" ht="15.75" hidden="1" customHeight="1" x14ac:dyDescent="0.4">
      <c r="A70" s="433" t="s">
        <v>322</v>
      </c>
      <c r="B70" s="424" t="s">
        <v>291</v>
      </c>
      <c r="C70" s="441" t="s">
        <v>323</v>
      </c>
      <c r="D70" s="491"/>
      <c r="E70" s="424"/>
      <c r="F70" s="442">
        <v>0</v>
      </c>
      <c r="G70" s="492"/>
      <c r="H70" s="424"/>
      <c r="I70" s="442"/>
      <c r="J70" s="441"/>
      <c r="K70" s="424"/>
      <c r="L70" s="444">
        <v>0</v>
      </c>
      <c r="M70" s="441"/>
      <c r="N70" s="467">
        <v>0</v>
      </c>
      <c r="O70" s="441"/>
      <c r="P70" s="424"/>
      <c r="Q70" s="444">
        <v>0</v>
      </c>
      <c r="R70" s="441"/>
      <c r="S70" s="467">
        <v>0</v>
      </c>
      <c r="T70" s="424"/>
      <c r="X70" s="424"/>
      <c r="Y70" s="424"/>
      <c r="Z70" s="424"/>
      <c r="AA70" s="424"/>
      <c r="AB70" s="424"/>
      <c r="AC70" s="424"/>
      <c r="AD70" s="424"/>
      <c r="AE70" s="424"/>
      <c r="AF70" s="424"/>
      <c r="AG70" s="424"/>
      <c r="AH70" s="424"/>
      <c r="AI70" s="424"/>
      <c r="AJ70" s="424"/>
      <c r="AK70" s="424"/>
      <c r="AL70" s="424"/>
      <c r="AM70" s="424"/>
      <c r="AN70" s="424"/>
    </row>
    <row r="71" spans="1:40" ht="15.75" hidden="1" customHeight="1" x14ac:dyDescent="0.4">
      <c r="A71" s="433" t="s">
        <v>322</v>
      </c>
      <c r="B71" s="424" t="s">
        <v>291</v>
      </c>
      <c r="C71" s="441" t="s">
        <v>323</v>
      </c>
      <c r="D71" s="491"/>
      <c r="E71" s="424"/>
      <c r="F71" s="442">
        <v>0</v>
      </c>
      <c r="G71" s="492"/>
      <c r="H71" s="424"/>
      <c r="I71" s="442"/>
      <c r="J71" s="441"/>
      <c r="K71" s="424"/>
      <c r="L71" s="444">
        <v>0</v>
      </c>
      <c r="M71" s="441"/>
      <c r="N71" s="467">
        <v>0</v>
      </c>
      <c r="O71" s="441"/>
      <c r="P71" s="424"/>
      <c r="Q71" s="444">
        <v>0</v>
      </c>
      <c r="R71" s="441"/>
      <c r="S71" s="467">
        <v>0</v>
      </c>
      <c r="T71" s="424"/>
      <c r="X71" s="424"/>
      <c r="Y71" s="424"/>
      <c r="Z71" s="424"/>
      <c r="AA71" s="424"/>
      <c r="AB71" s="424"/>
      <c r="AC71" s="424"/>
      <c r="AD71" s="424"/>
      <c r="AE71" s="424"/>
      <c r="AF71" s="424"/>
      <c r="AG71" s="424"/>
      <c r="AH71" s="424"/>
      <c r="AI71" s="424"/>
      <c r="AJ71" s="424"/>
      <c r="AK71" s="424"/>
      <c r="AL71" s="424"/>
      <c r="AM71" s="424"/>
      <c r="AN71" s="424"/>
    </row>
    <row r="72" spans="1:40" ht="15.75" customHeight="1" x14ac:dyDescent="0.4">
      <c r="A72" s="433" t="s">
        <v>392</v>
      </c>
      <c r="B72" s="424" t="s">
        <v>291</v>
      </c>
      <c r="C72" s="499" t="s">
        <v>393</v>
      </c>
      <c r="D72" s="500" t="s">
        <v>352</v>
      </c>
      <c r="E72" s="501">
        <v>0.12955494000185713</v>
      </c>
      <c r="F72" s="502">
        <v>32452.382866801068</v>
      </c>
      <c r="G72" s="503"/>
      <c r="H72" s="501"/>
      <c r="I72" s="502"/>
      <c r="J72" s="503" t="s">
        <v>352</v>
      </c>
      <c r="K72" s="501">
        <v>0.11927341148653678</v>
      </c>
      <c r="L72" s="502">
        <v>31994.079999999998</v>
      </c>
      <c r="M72" s="506"/>
      <c r="N72" s="502">
        <v>-458.30286680106883</v>
      </c>
      <c r="O72" s="503" t="s">
        <v>352</v>
      </c>
      <c r="P72" s="501">
        <v>0.12862569341992847</v>
      </c>
      <c r="Q72" s="502">
        <v>32692.969999999998</v>
      </c>
      <c r="R72" s="506"/>
      <c r="S72" s="502">
        <v>-698.89000000000067</v>
      </c>
      <c r="T72" s="424"/>
      <c r="X72" s="424"/>
      <c r="Y72" s="424"/>
      <c r="Z72" s="424"/>
      <c r="AA72" s="424"/>
      <c r="AB72" s="424"/>
      <c r="AC72" s="424"/>
      <c r="AD72" s="424"/>
      <c r="AE72" s="424"/>
      <c r="AF72" s="424"/>
      <c r="AG72" s="424"/>
      <c r="AH72" s="424"/>
      <c r="AI72" s="424"/>
      <c r="AJ72" s="424"/>
      <c r="AK72" s="424"/>
      <c r="AL72" s="424"/>
      <c r="AM72" s="424"/>
      <c r="AN72" s="424"/>
    </row>
    <row r="73" spans="1:40" ht="15.75" customHeight="1" x14ac:dyDescent="0.4">
      <c r="A73" s="433" t="s">
        <v>291</v>
      </c>
      <c r="B73" s="424" t="s">
        <v>291</v>
      </c>
      <c r="C73" s="434"/>
      <c r="D73" s="494"/>
      <c r="E73" s="513"/>
      <c r="F73" s="467"/>
      <c r="G73" s="495"/>
      <c r="H73" s="513"/>
      <c r="I73" s="467"/>
      <c r="J73" s="434"/>
      <c r="K73" s="513"/>
      <c r="L73" s="490"/>
      <c r="M73" s="434"/>
      <c r="N73" s="490"/>
      <c r="O73" s="434"/>
      <c r="P73" s="513"/>
      <c r="Q73" s="490"/>
      <c r="R73" s="434"/>
      <c r="S73" s="490"/>
      <c r="T73" s="424"/>
      <c r="U73" s="424"/>
      <c r="V73" s="424"/>
      <c r="W73" s="424"/>
      <c r="X73" s="424"/>
      <c r="Y73" s="424"/>
      <c r="Z73" s="424"/>
      <c r="AA73" s="424"/>
      <c r="AB73" s="424"/>
      <c r="AC73" s="424"/>
      <c r="AD73" s="424"/>
      <c r="AE73" s="424"/>
      <c r="AF73" s="424"/>
      <c r="AG73" s="424"/>
      <c r="AH73" s="424"/>
      <c r="AI73" s="424"/>
      <c r="AJ73" s="424"/>
      <c r="AK73" s="424"/>
      <c r="AL73" s="424"/>
      <c r="AM73" s="424"/>
      <c r="AN73" s="424"/>
    </row>
    <row r="74" spans="1:40" ht="15.75" customHeight="1" x14ac:dyDescent="0.4">
      <c r="A74" s="433" t="s">
        <v>394</v>
      </c>
      <c r="B74" s="424" t="s">
        <v>291</v>
      </c>
      <c r="C74" s="499" t="s">
        <v>395</v>
      </c>
      <c r="D74" s="500" t="s">
        <v>352</v>
      </c>
      <c r="E74" s="501">
        <v>0.97805437255756611</v>
      </c>
      <c r="F74" s="502">
        <v>244994.09256283118</v>
      </c>
      <c r="G74" s="503"/>
      <c r="H74" s="501"/>
      <c r="I74" s="502"/>
      <c r="J74" s="503" t="s">
        <v>352</v>
      </c>
      <c r="K74" s="501">
        <v>0.75149200435085461</v>
      </c>
      <c r="L74" s="502">
        <v>201581.35</v>
      </c>
      <c r="M74" s="506"/>
      <c r="N74" s="515">
        <v>-43412.742562831176</v>
      </c>
      <c r="O74" s="503" t="s">
        <v>352</v>
      </c>
      <c r="P74" s="501">
        <v>0.90534968964641482</v>
      </c>
      <c r="Q74" s="502">
        <v>230113.97999999998</v>
      </c>
      <c r="R74" s="506"/>
      <c r="S74" s="515">
        <v>-28532.629999999976</v>
      </c>
      <c r="T74" s="424"/>
      <c r="U74" s="424"/>
      <c r="V74" s="424"/>
      <c r="W74" s="424"/>
      <c r="X74" s="424"/>
      <c r="Y74" s="424"/>
      <c r="Z74" s="424"/>
      <c r="AA74" s="424"/>
      <c r="AB74" s="424"/>
      <c r="AC74" s="424"/>
      <c r="AD74" s="424"/>
      <c r="AE74" s="424"/>
      <c r="AF74" s="424"/>
      <c r="AG74" s="424"/>
      <c r="AH74" s="424"/>
      <c r="AI74" s="424"/>
      <c r="AJ74" s="424"/>
      <c r="AK74" s="424"/>
      <c r="AL74" s="424"/>
      <c r="AM74" s="424"/>
      <c r="AN74" s="424"/>
    </row>
    <row r="75" spans="1:40" ht="15.75" customHeight="1" x14ac:dyDescent="0.4">
      <c r="A75" s="433" t="s">
        <v>396</v>
      </c>
      <c r="B75" s="424" t="s">
        <v>291</v>
      </c>
      <c r="C75" s="441" t="s">
        <v>397</v>
      </c>
      <c r="D75" s="491"/>
      <c r="E75" s="424"/>
      <c r="F75" s="442">
        <v>0</v>
      </c>
      <c r="G75" s="492"/>
      <c r="H75" s="424"/>
      <c r="I75" s="442"/>
      <c r="J75" s="441"/>
      <c r="K75" s="424"/>
      <c r="L75" s="444">
        <v>0</v>
      </c>
      <c r="M75" s="441"/>
      <c r="N75" s="467">
        <v>0</v>
      </c>
      <c r="O75" s="441"/>
      <c r="P75" s="424"/>
      <c r="Q75" s="444">
        <v>18100</v>
      </c>
      <c r="R75" s="441"/>
      <c r="S75" s="467"/>
      <c r="T75" s="424"/>
      <c r="U75" s="424"/>
      <c r="V75" s="424"/>
      <c r="W75" s="424"/>
      <c r="X75" s="424"/>
      <c r="Y75" s="424"/>
      <c r="Z75" s="424"/>
      <c r="AA75" s="424"/>
      <c r="AB75" s="424"/>
      <c r="AC75" s="424"/>
      <c r="AD75" s="424"/>
      <c r="AE75" s="424"/>
      <c r="AF75" s="424"/>
      <c r="AG75" s="424"/>
      <c r="AH75" s="424"/>
      <c r="AI75" s="424"/>
      <c r="AJ75" s="424"/>
      <c r="AK75" s="424"/>
      <c r="AL75" s="424"/>
      <c r="AM75" s="424"/>
      <c r="AN75" s="424"/>
    </row>
    <row r="76" spans="1:40" ht="15.75" customHeight="1" x14ac:dyDescent="0.4">
      <c r="A76" s="433" t="s">
        <v>398</v>
      </c>
      <c r="B76" s="424" t="s">
        <v>291</v>
      </c>
      <c r="C76" s="441" t="s">
        <v>399</v>
      </c>
      <c r="D76" s="491"/>
      <c r="E76" s="424"/>
      <c r="F76" s="442">
        <v>0</v>
      </c>
      <c r="G76" s="492"/>
      <c r="H76" s="424"/>
      <c r="I76" s="442"/>
      <c r="J76" s="441"/>
      <c r="K76" s="424"/>
      <c r="L76" s="444">
        <v>0</v>
      </c>
      <c r="M76" s="441"/>
      <c r="N76" s="467">
        <v>0</v>
      </c>
      <c r="O76" s="441"/>
      <c r="P76" s="424"/>
      <c r="Q76" s="444">
        <v>0</v>
      </c>
      <c r="R76" s="441"/>
      <c r="S76" s="467">
        <v>0</v>
      </c>
      <c r="T76" s="424"/>
      <c r="U76" s="424"/>
      <c r="V76" s="424"/>
      <c r="W76" s="424"/>
      <c r="X76" s="424"/>
      <c r="Y76" s="424"/>
      <c r="Z76" s="424"/>
      <c r="AA76" s="424"/>
      <c r="AB76" s="424"/>
      <c r="AC76" s="424"/>
      <c r="AD76" s="424"/>
      <c r="AE76" s="424"/>
      <c r="AF76" s="424"/>
      <c r="AG76" s="424"/>
      <c r="AH76" s="424"/>
      <c r="AI76" s="424"/>
      <c r="AJ76" s="424"/>
      <c r="AK76" s="424"/>
      <c r="AL76" s="424"/>
      <c r="AM76" s="424"/>
      <c r="AN76" s="424"/>
    </row>
    <row r="77" spans="1:40" ht="15.75" customHeight="1" x14ac:dyDescent="0.4">
      <c r="A77" s="433" t="s">
        <v>400</v>
      </c>
      <c r="B77" s="424" t="s">
        <v>291</v>
      </c>
      <c r="C77" s="441" t="s">
        <v>401</v>
      </c>
      <c r="D77" s="491"/>
      <c r="E77" s="424"/>
      <c r="F77" s="442">
        <v>0</v>
      </c>
      <c r="G77" s="492"/>
      <c r="H77" s="424"/>
      <c r="I77" s="442"/>
      <c r="J77" s="441"/>
      <c r="K77" s="424"/>
      <c r="L77" s="444">
        <v>0</v>
      </c>
      <c r="M77" s="441"/>
      <c r="N77" s="467">
        <v>0</v>
      </c>
      <c r="O77" s="441"/>
      <c r="P77" s="424"/>
      <c r="Q77" s="444">
        <v>0</v>
      </c>
      <c r="R77" s="441"/>
      <c r="S77" s="467">
        <v>0</v>
      </c>
      <c r="T77" s="424"/>
      <c r="U77" s="424"/>
      <c r="V77" s="424"/>
      <c r="W77" s="424"/>
      <c r="X77" s="424"/>
      <c r="Y77" s="424"/>
      <c r="Z77" s="424"/>
      <c r="AA77" s="424"/>
      <c r="AB77" s="424"/>
      <c r="AC77" s="424"/>
      <c r="AD77" s="424"/>
      <c r="AE77" s="424"/>
      <c r="AF77" s="424"/>
      <c r="AG77" s="424"/>
      <c r="AH77" s="424"/>
      <c r="AI77" s="424"/>
      <c r="AJ77" s="424"/>
      <c r="AK77" s="424"/>
      <c r="AL77" s="424"/>
      <c r="AM77" s="424"/>
      <c r="AN77" s="424"/>
    </row>
    <row r="78" spans="1:40" ht="15.75" customHeight="1" x14ac:dyDescent="0.4">
      <c r="A78" s="433" t="s">
        <v>402</v>
      </c>
      <c r="B78" s="424" t="s">
        <v>291</v>
      </c>
      <c r="C78" s="441" t="s">
        <v>403</v>
      </c>
      <c r="D78" s="491"/>
      <c r="E78" s="391">
        <v>1407.2459151788062</v>
      </c>
      <c r="F78" s="442">
        <v>105543.44363841046</v>
      </c>
      <c r="G78" s="492"/>
      <c r="H78" s="424"/>
      <c r="I78" s="442"/>
      <c r="J78" s="392">
        <v>0.8319099307551383</v>
      </c>
      <c r="K78" s="391">
        <v>1170.7018518518519</v>
      </c>
      <c r="L78" s="444">
        <v>94826.85</v>
      </c>
      <c r="M78" s="441"/>
      <c r="N78" s="467">
        <v>-10716.593638410457</v>
      </c>
      <c r="O78" s="441"/>
      <c r="P78" s="424"/>
      <c r="Q78" s="444">
        <v>127510</v>
      </c>
      <c r="R78" s="441"/>
      <c r="S78" s="467">
        <v>-32683.149999999994</v>
      </c>
      <c r="T78" s="424"/>
      <c r="U78" s="424"/>
      <c r="V78" s="424"/>
      <c r="W78" s="424"/>
      <c r="X78" s="424"/>
      <c r="Y78" s="424"/>
      <c r="Z78" s="424"/>
      <c r="AA78" s="424"/>
      <c r="AB78" s="424"/>
      <c r="AC78" s="424"/>
      <c r="AD78" s="424"/>
      <c r="AE78" s="424"/>
      <c r="AF78" s="424"/>
      <c r="AG78" s="424"/>
      <c r="AH78" s="424"/>
      <c r="AI78" s="424"/>
      <c r="AJ78" s="424"/>
      <c r="AK78" s="424"/>
      <c r="AL78" s="424"/>
      <c r="AM78" s="424"/>
      <c r="AN78" s="424"/>
    </row>
    <row r="79" spans="1:40" ht="15.75" hidden="1" customHeight="1" x14ac:dyDescent="0.4">
      <c r="A79" s="433" t="s">
        <v>322</v>
      </c>
      <c r="B79" s="424" t="s">
        <v>291</v>
      </c>
      <c r="C79" s="441" t="s">
        <v>323</v>
      </c>
      <c r="D79" s="491"/>
      <c r="E79" s="424"/>
      <c r="F79" s="442">
        <v>0</v>
      </c>
      <c r="G79" s="492"/>
      <c r="H79" s="424"/>
      <c r="I79" s="442"/>
      <c r="J79" s="441"/>
      <c r="K79" s="424"/>
      <c r="L79" s="444">
        <v>0</v>
      </c>
      <c r="M79" s="441"/>
      <c r="N79" s="467">
        <v>0</v>
      </c>
      <c r="O79" s="441"/>
      <c r="P79" s="424"/>
      <c r="Q79" s="444">
        <v>0</v>
      </c>
      <c r="R79" s="441"/>
      <c r="S79" s="467">
        <v>0</v>
      </c>
      <c r="T79" s="424"/>
      <c r="U79" s="424"/>
      <c r="V79" s="424"/>
      <c r="W79" s="424"/>
      <c r="X79" s="424"/>
      <c r="Y79" s="424"/>
      <c r="Z79" s="424"/>
      <c r="AA79" s="424"/>
      <c r="AB79" s="424"/>
      <c r="AC79" s="424"/>
      <c r="AD79" s="424"/>
      <c r="AE79" s="424"/>
      <c r="AF79" s="424"/>
      <c r="AG79" s="424"/>
      <c r="AH79" s="424"/>
      <c r="AI79" s="424"/>
      <c r="AJ79" s="424"/>
      <c r="AK79" s="424"/>
      <c r="AL79" s="424"/>
      <c r="AM79" s="424"/>
      <c r="AN79" s="424"/>
    </row>
    <row r="80" spans="1:40" ht="15.75" hidden="1" customHeight="1" x14ac:dyDescent="0.4">
      <c r="A80" s="433" t="s">
        <v>322</v>
      </c>
      <c r="B80" s="424" t="s">
        <v>291</v>
      </c>
      <c r="C80" s="441" t="s">
        <v>323</v>
      </c>
      <c r="D80" s="491"/>
      <c r="E80" s="424"/>
      <c r="F80" s="442">
        <v>0</v>
      </c>
      <c r="G80" s="492"/>
      <c r="H80" s="424"/>
      <c r="I80" s="442"/>
      <c r="J80" s="441"/>
      <c r="K80" s="424"/>
      <c r="L80" s="444">
        <v>0</v>
      </c>
      <c r="M80" s="441"/>
      <c r="N80" s="467">
        <v>0</v>
      </c>
      <c r="O80" s="441"/>
      <c r="P80" s="424"/>
      <c r="Q80" s="444">
        <v>0</v>
      </c>
      <c r="R80" s="441"/>
      <c r="S80" s="467">
        <v>0</v>
      </c>
      <c r="T80" s="424"/>
      <c r="U80" s="424"/>
      <c r="V80" s="424"/>
      <c r="W80" s="424"/>
      <c r="X80" s="424"/>
      <c r="Y80" s="424"/>
      <c r="Z80" s="424"/>
      <c r="AA80" s="424"/>
      <c r="AB80" s="424"/>
      <c r="AC80" s="424"/>
      <c r="AD80" s="424"/>
      <c r="AE80" s="424"/>
      <c r="AF80" s="424"/>
      <c r="AG80" s="424"/>
      <c r="AH80" s="424"/>
      <c r="AI80" s="424"/>
      <c r="AJ80" s="424"/>
      <c r="AK80" s="424"/>
      <c r="AL80" s="424"/>
      <c r="AM80" s="424"/>
      <c r="AN80" s="424"/>
    </row>
    <row r="81" spans="1:40" ht="15.75" hidden="1" customHeight="1" x14ac:dyDescent="0.4">
      <c r="A81" s="433" t="s">
        <v>322</v>
      </c>
      <c r="B81" s="424" t="s">
        <v>291</v>
      </c>
      <c r="C81" s="441" t="s">
        <v>323</v>
      </c>
      <c r="D81" s="491"/>
      <c r="E81" s="424"/>
      <c r="F81" s="442">
        <v>0</v>
      </c>
      <c r="G81" s="492"/>
      <c r="H81" s="424"/>
      <c r="I81" s="442"/>
      <c r="J81" s="441"/>
      <c r="K81" s="424"/>
      <c r="L81" s="444">
        <v>0</v>
      </c>
      <c r="M81" s="441"/>
      <c r="N81" s="467">
        <v>0</v>
      </c>
      <c r="O81" s="441"/>
      <c r="P81" s="424"/>
      <c r="Q81" s="444">
        <v>0</v>
      </c>
      <c r="R81" s="441"/>
      <c r="S81" s="467">
        <v>0</v>
      </c>
      <c r="T81" s="424"/>
      <c r="U81" s="424"/>
      <c r="V81" s="424"/>
      <c r="W81" s="424"/>
      <c r="X81" s="424"/>
      <c r="Y81" s="424"/>
      <c r="Z81" s="424"/>
      <c r="AA81" s="424"/>
      <c r="AB81" s="424"/>
      <c r="AC81" s="424"/>
      <c r="AD81" s="424"/>
      <c r="AE81" s="424"/>
      <c r="AF81" s="424"/>
      <c r="AG81" s="424"/>
      <c r="AH81" s="424"/>
      <c r="AI81" s="424"/>
      <c r="AJ81" s="424"/>
      <c r="AK81" s="424"/>
      <c r="AL81" s="424"/>
      <c r="AM81" s="424"/>
      <c r="AN81" s="424"/>
    </row>
    <row r="82" spans="1:40" ht="15.75" customHeight="1" x14ac:dyDescent="0.4">
      <c r="A82" s="516" t="s">
        <v>404</v>
      </c>
      <c r="B82" s="517" t="s">
        <v>291</v>
      </c>
      <c r="C82" s="441" t="s">
        <v>405</v>
      </c>
      <c r="D82" s="393">
        <v>0.94999999999999984</v>
      </c>
      <c r="E82" s="518">
        <v>474.0499999999999</v>
      </c>
      <c r="F82" s="442">
        <v>34605.649999999994</v>
      </c>
      <c r="G82" s="492"/>
      <c r="H82" s="424"/>
      <c r="I82" s="442"/>
      <c r="J82" s="394">
        <v>1.0326613533364588</v>
      </c>
      <c r="K82" s="518">
        <v>489.48148148148147</v>
      </c>
      <c r="L82" s="444">
        <v>39648</v>
      </c>
      <c r="M82" s="441"/>
      <c r="N82" s="467">
        <v>5042.3500000000058</v>
      </c>
      <c r="O82" s="441"/>
      <c r="P82" s="424"/>
      <c r="Q82" s="444">
        <v>35590</v>
      </c>
      <c r="R82" s="441"/>
      <c r="S82" s="467">
        <v>4058</v>
      </c>
      <c r="T82" s="424"/>
      <c r="U82" s="424"/>
      <c r="V82" s="424"/>
      <c r="W82" s="424"/>
      <c r="X82" s="424"/>
      <c r="Y82" s="424"/>
      <c r="Z82" s="424"/>
      <c r="AA82" s="424"/>
      <c r="AB82" s="424"/>
      <c r="AC82" s="424"/>
      <c r="AD82" s="424"/>
      <c r="AE82" s="424"/>
      <c r="AF82" s="424"/>
      <c r="AG82" s="424"/>
      <c r="AH82" s="424"/>
      <c r="AI82" s="424"/>
      <c r="AJ82" s="424"/>
      <c r="AK82" s="424"/>
      <c r="AL82" s="424"/>
      <c r="AM82" s="424"/>
      <c r="AN82" s="424"/>
    </row>
    <row r="83" spans="1:40" ht="15.75" customHeight="1" x14ac:dyDescent="0.4">
      <c r="A83" s="433" t="s">
        <v>406</v>
      </c>
      <c r="B83" s="424" t="s">
        <v>291</v>
      </c>
      <c r="C83" s="499" t="s">
        <v>407</v>
      </c>
      <c r="D83" s="500"/>
      <c r="E83" s="501"/>
      <c r="F83" s="502">
        <v>140149.09363841044</v>
      </c>
      <c r="G83" s="503"/>
      <c r="H83" s="501"/>
      <c r="I83" s="502"/>
      <c r="J83" s="503"/>
      <c r="K83" s="501"/>
      <c r="L83" s="502">
        <v>134474.85</v>
      </c>
      <c r="M83" s="506"/>
      <c r="N83" s="502">
        <v>-5674.2436384104512</v>
      </c>
      <c r="O83" s="503"/>
      <c r="P83" s="501"/>
      <c r="Q83" s="502">
        <v>181200</v>
      </c>
      <c r="R83" s="506"/>
      <c r="S83" s="502">
        <v>-28625.149999999994</v>
      </c>
      <c r="T83" s="424"/>
      <c r="U83" s="424"/>
      <c r="V83" s="424"/>
      <c r="W83" s="424"/>
      <c r="X83" s="424"/>
      <c r="Y83" s="424"/>
      <c r="Z83" s="424"/>
      <c r="AA83" s="424"/>
      <c r="AB83" s="424"/>
      <c r="AC83" s="424"/>
      <c r="AD83" s="424"/>
      <c r="AE83" s="424"/>
      <c r="AF83" s="424"/>
      <c r="AG83" s="424"/>
      <c r="AH83" s="424"/>
      <c r="AI83" s="424"/>
      <c r="AJ83" s="424"/>
      <c r="AK83" s="424"/>
      <c r="AL83" s="424"/>
      <c r="AM83" s="424"/>
      <c r="AN83" s="424"/>
    </row>
    <row r="84" spans="1:40" ht="15.75" customHeight="1" x14ac:dyDescent="0.4">
      <c r="A84" s="433" t="s">
        <v>291</v>
      </c>
      <c r="B84" s="424" t="s">
        <v>291</v>
      </c>
      <c r="C84" s="519"/>
      <c r="D84" s="520"/>
      <c r="E84" s="521"/>
      <c r="F84" s="522"/>
      <c r="G84" s="523"/>
      <c r="H84" s="521"/>
      <c r="I84" s="522"/>
      <c r="J84" s="524"/>
      <c r="K84" s="525"/>
      <c r="L84" s="522"/>
      <c r="M84" s="524"/>
      <c r="N84" s="526"/>
      <c r="O84" s="524"/>
      <c r="P84" s="525"/>
      <c r="Q84" s="522"/>
      <c r="R84" s="524"/>
      <c r="S84" s="526"/>
      <c r="T84" s="424"/>
      <c r="U84" s="424"/>
      <c r="V84" s="424"/>
      <c r="W84" s="424"/>
      <c r="X84" s="424"/>
      <c r="Y84" s="424"/>
      <c r="Z84" s="424"/>
      <c r="AA84" s="424"/>
      <c r="AB84" s="424"/>
      <c r="AC84" s="424"/>
      <c r="AD84" s="424"/>
      <c r="AE84" s="424"/>
      <c r="AF84" s="424"/>
      <c r="AG84" s="424"/>
      <c r="AH84" s="424"/>
      <c r="AI84" s="424"/>
      <c r="AJ84" s="424"/>
      <c r="AK84" s="424"/>
      <c r="AL84" s="424"/>
      <c r="AM84" s="424"/>
      <c r="AN84" s="424"/>
    </row>
    <row r="85" spans="1:40" ht="22.5" customHeight="1" thickBot="1" x14ac:dyDescent="0.45">
      <c r="A85" s="433" t="s">
        <v>408</v>
      </c>
      <c r="B85" s="424" t="s">
        <v>291</v>
      </c>
      <c r="C85" s="527" t="s">
        <v>409</v>
      </c>
      <c r="D85" s="528"/>
      <c r="E85" s="529"/>
      <c r="F85" s="530">
        <v>145646.28196641887</v>
      </c>
      <c r="G85" s="531"/>
      <c r="H85" s="529"/>
      <c r="I85" s="530"/>
      <c r="J85" s="531"/>
      <c r="K85" s="528"/>
      <c r="L85" s="530">
        <v>201135.01000000024</v>
      </c>
      <c r="M85" s="531"/>
      <c r="N85" s="530">
        <v>55488.728033581356</v>
      </c>
      <c r="O85" s="531"/>
      <c r="P85" s="395">
        <v>4.5369152745670514E-2</v>
      </c>
      <c r="Q85" s="530">
        <v>205257.39999999892</v>
      </c>
      <c r="R85" s="531"/>
      <c r="S85" s="530">
        <v>13977.610000001325</v>
      </c>
      <c r="T85" s="424"/>
      <c r="U85" s="424"/>
      <c r="V85" s="424"/>
      <c r="W85" s="424"/>
      <c r="X85" s="424"/>
      <c r="Y85" s="424"/>
      <c r="Z85" s="424"/>
      <c r="AA85" s="424"/>
      <c r="AB85" s="424"/>
      <c r="AC85" s="424"/>
      <c r="AD85" s="424"/>
      <c r="AE85" s="424"/>
      <c r="AF85" s="424"/>
      <c r="AG85" s="424"/>
      <c r="AH85" s="424"/>
      <c r="AI85" s="424"/>
      <c r="AJ85" s="424"/>
      <c r="AK85" s="424"/>
      <c r="AL85" s="424"/>
      <c r="AM85" s="424"/>
      <c r="AN85" s="424"/>
    </row>
    <row r="86" spans="1:40" ht="15.75" customHeight="1" thickTop="1" x14ac:dyDescent="0.45">
      <c r="B86" s="532"/>
      <c r="C86" s="532"/>
      <c r="D86" s="532"/>
      <c r="E86" s="532"/>
      <c r="F86" s="532"/>
      <c r="G86" s="532"/>
      <c r="H86" s="532"/>
      <c r="I86" s="532"/>
      <c r="J86" s="533"/>
      <c r="K86" s="532"/>
      <c r="L86" s="396"/>
      <c r="M86" s="532"/>
      <c r="N86" s="532"/>
      <c r="O86" s="532"/>
      <c r="P86" s="532"/>
      <c r="Q86" s="532"/>
      <c r="R86" s="532"/>
      <c r="S86" s="532"/>
      <c r="T86" s="532"/>
      <c r="U86" s="532"/>
      <c r="V86" s="532"/>
      <c r="W86" s="532"/>
      <c r="X86" s="532"/>
      <c r="Y86" s="532"/>
      <c r="Z86" s="532"/>
      <c r="AA86" s="532"/>
      <c r="AB86" s="532"/>
      <c r="AC86" s="532"/>
      <c r="AD86" s="532"/>
      <c r="AE86" s="532"/>
      <c r="AF86" s="532"/>
      <c r="AG86" s="532"/>
      <c r="AH86" s="532"/>
      <c r="AI86" s="532"/>
      <c r="AJ86" s="532"/>
      <c r="AK86" s="532"/>
      <c r="AL86" s="532"/>
      <c r="AM86" s="532"/>
      <c r="AN86" s="532"/>
    </row>
    <row r="87" spans="1:40" ht="12.75" customHeight="1" x14ac:dyDescent="0.45">
      <c r="B87" s="532"/>
      <c r="C87" s="532"/>
      <c r="D87" s="532"/>
      <c r="E87" s="532"/>
      <c r="F87" s="532"/>
      <c r="G87" s="532"/>
      <c r="H87" s="532"/>
      <c r="I87" s="534"/>
      <c r="J87" s="532"/>
      <c r="K87" s="532"/>
      <c r="L87" s="532"/>
      <c r="M87" s="532"/>
      <c r="N87" s="532"/>
      <c r="O87" s="532"/>
      <c r="P87" s="532"/>
      <c r="Q87" s="532"/>
      <c r="R87" s="532"/>
      <c r="S87" s="532"/>
      <c r="T87" s="532"/>
      <c r="U87" s="532"/>
      <c r="V87" s="532"/>
      <c r="W87" s="532"/>
      <c r="X87" s="532"/>
      <c r="Y87" s="532"/>
      <c r="Z87" s="532"/>
      <c r="AA87" s="532"/>
      <c r="AB87" s="532"/>
      <c r="AC87" s="532"/>
      <c r="AD87" s="532"/>
      <c r="AE87" s="532"/>
      <c r="AF87" s="532"/>
      <c r="AG87" s="532"/>
      <c r="AH87" s="532"/>
      <c r="AI87" s="532"/>
      <c r="AJ87" s="532"/>
      <c r="AK87" s="532"/>
      <c r="AL87" s="532"/>
      <c r="AM87" s="532"/>
      <c r="AN87" s="532"/>
    </row>
    <row r="88" spans="1:40" ht="15.75" hidden="1" customHeight="1" x14ac:dyDescent="0.35">
      <c r="B88" s="418"/>
      <c r="C88" s="421"/>
      <c r="D88" s="421"/>
      <c r="E88" s="421"/>
      <c r="F88" s="421"/>
      <c r="G88" s="421"/>
      <c r="H88" s="421"/>
      <c r="I88" s="421"/>
      <c r="J88" s="421"/>
      <c r="K88" s="421"/>
      <c r="L88" s="421"/>
      <c r="M88" s="421"/>
      <c r="N88" s="421"/>
      <c r="O88" s="421"/>
      <c r="P88" s="421"/>
      <c r="Q88" s="421"/>
      <c r="R88" s="421"/>
      <c r="S88" s="421"/>
      <c r="T88" s="421"/>
      <c r="U88" s="421"/>
    </row>
    <row r="89" spans="1:40" ht="33" customHeight="1" x14ac:dyDescent="0.7">
      <c r="B89" s="410"/>
      <c r="C89" s="535" t="s">
        <v>706</v>
      </c>
      <c r="D89" s="412"/>
      <c r="E89" s="412"/>
      <c r="F89" s="412"/>
      <c r="G89" s="412"/>
      <c r="H89" s="410"/>
      <c r="I89" s="410"/>
      <c r="J89" s="410"/>
      <c r="K89" s="414" t="s">
        <v>410</v>
      </c>
      <c r="L89" s="412"/>
      <c r="M89" s="412"/>
      <c r="N89" s="410"/>
      <c r="O89" s="410"/>
      <c r="P89" s="412"/>
      <c r="Q89" s="410"/>
      <c r="R89" s="412"/>
      <c r="S89" s="536" t="s">
        <v>723</v>
      </c>
      <c r="T89" s="410"/>
      <c r="U89" s="410"/>
      <c r="V89" s="410"/>
      <c r="W89" s="410"/>
      <c r="X89" s="410"/>
      <c r="Y89" s="410"/>
      <c r="Z89" s="410"/>
      <c r="AA89" s="410"/>
      <c r="AB89" s="410"/>
      <c r="AC89" s="410"/>
      <c r="AD89" s="410"/>
      <c r="AE89" s="410"/>
      <c r="AF89" s="410"/>
      <c r="AG89" s="410"/>
      <c r="AH89" s="410"/>
      <c r="AI89" s="410"/>
      <c r="AJ89" s="410"/>
      <c r="AK89" s="410"/>
      <c r="AL89" s="410"/>
      <c r="AM89" s="410"/>
      <c r="AN89" s="410"/>
    </row>
    <row r="90" spans="1:40" ht="15.75" customHeight="1" thickBot="1" x14ac:dyDescent="0.4">
      <c r="B90" s="418"/>
      <c r="C90" s="419"/>
      <c r="D90" s="421"/>
      <c r="E90" s="421"/>
      <c r="F90" s="421"/>
      <c r="G90" s="421"/>
      <c r="H90" s="421"/>
      <c r="I90" s="421"/>
      <c r="J90" s="421"/>
      <c r="K90" s="421"/>
      <c r="L90" s="421"/>
      <c r="M90" s="421"/>
      <c r="N90" s="421"/>
      <c r="O90" s="421"/>
      <c r="P90" s="421"/>
      <c r="Q90" s="421"/>
      <c r="R90" s="421"/>
      <c r="S90" s="421"/>
      <c r="T90" s="421"/>
      <c r="U90" s="421"/>
    </row>
    <row r="91" spans="1:40" ht="15.75" customHeight="1" thickTop="1" x14ac:dyDescent="0.4">
      <c r="B91" s="424"/>
      <c r="C91" s="425"/>
      <c r="D91" s="787" t="s">
        <v>299</v>
      </c>
      <c r="E91" s="788"/>
      <c r="F91" s="789"/>
      <c r="G91" s="790"/>
      <c r="H91" s="788"/>
      <c r="I91" s="789"/>
      <c r="J91" s="790" t="s">
        <v>300</v>
      </c>
      <c r="K91" s="788"/>
      <c r="L91" s="789"/>
      <c r="M91" s="790" t="s">
        <v>301</v>
      </c>
      <c r="N91" s="789"/>
      <c r="O91" s="787" t="s">
        <v>302</v>
      </c>
      <c r="P91" s="788"/>
      <c r="Q91" s="789"/>
      <c r="R91" s="790" t="s">
        <v>303</v>
      </c>
      <c r="S91" s="789"/>
      <c r="T91" s="424"/>
      <c r="U91" s="424"/>
      <c r="V91" s="424"/>
      <c r="W91" s="424"/>
      <c r="X91" s="424"/>
      <c r="Y91" s="424"/>
      <c r="Z91" s="424"/>
      <c r="AA91" s="424"/>
      <c r="AB91" s="424"/>
      <c r="AC91" s="424"/>
      <c r="AD91" s="424"/>
      <c r="AE91" s="424"/>
      <c r="AF91" s="424"/>
      <c r="AG91" s="424"/>
      <c r="AH91" s="424"/>
      <c r="AI91" s="424"/>
      <c r="AJ91" s="424"/>
      <c r="AK91" s="424"/>
      <c r="AL91" s="424"/>
      <c r="AM91" s="424"/>
      <c r="AN91" s="424"/>
    </row>
    <row r="92" spans="1:40" ht="15.75" customHeight="1" x14ac:dyDescent="0.4">
      <c r="B92" s="424"/>
      <c r="C92" s="441"/>
      <c r="D92" s="429" t="s">
        <v>305</v>
      </c>
      <c r="E92" s="430" t="s">
        <v>23</v>
      </c>
      <c r="F92" s="431" t="s">
        <v>24</v>
      </c>
      <c r="G92" s="432"/>
      <c r="H92" s="430"/>
      <c r="I92" s="431"/>
      <c r="J92" s="432" t="s">
        <v>306</v>
      </c>
      <c r="K92" s="430" t="s">
        <v>307</v>
      </c>
      <c r="L92" s="431" t="s">
        <v>24</v>
      </c>
      <c r="M92" s="432" t="s">
        <v>306</v>
      </c>
      <c r="N92" s="431" t="s">
        <v>24</v>
      </c>
      <c r="O92" s="430" t="s">
        <v>305</v>
      </c>
      <c r="P92" s="430" t="s">
        <v>23</v>
      </c>
      <c r="Q92" s="431" t="s">
        <v>24</v>
      </c>
      <c r="R92" s="432" t="s">
        <v>306</v>
      </c>
      <c r="S92" s="431" t="s">
        <v>24</v>
      </c>
      <c r="T92" s="424"/>
      <c r="U92" s="424"/>
      <c r="V92" s="424"/>
      <c r="W92" s="424"/>
      <c r="X92" s="424"/>
      <c r="Y92" s="424"/>
      <c r="Z92" s="424"/>
      <c r="AA92" s="424"/>
      <c r="AB92" s="424"/>
      <c r="AC92" s="424"/>
      <c r="AD92" s="424"/>
      <c r="AE92" s="424"/>
      <c r="AF92" s="424"/>
      <c r="AG92" s="424"/>
      <c r="AH92" s="424"/>
      <c r="AI92" s="424"/>
      <c r="AJ92" s="424"/>
      <c r="AK92" s="424"/>
      <c r="AL92" s="424"/>
      <c r="AM92" s="424"/>
      <c r="AN92" s="424"/>
    </row>
    <row r="93" spans="1:40" ht="24" customHeight="1" x14ac:dyDescent="0.4">
      <c r="A93" s="433" t="s">
        <v>411</v>
      </c>
      <c r="B93" s="424" t="s">
        <v>410</v>
      </c>
      <c r="C93" s="434" t="s">
        <v>310</v>
      </c>
      <c r="D93" s="438"/>
      <c r="E93" s="438"/>
      <c r="F93" s="436">
        <v>1699373.0791515762</v>
      </c>
      <c r="G93" s="455"/>
      <c r="H93" s="438"/>
      <c r="I93" s="436"/>
      <c r="J93" s="434"/>
      <c r="K93" s="438"/>
      <c r="L93" s="436">
        <v>1735831.76</v>
      </c>
      <c r="M93" s="537"/>
      <c r="N93" s="538"/>
      <c r="O93" s="434"/>
      <c r="P93" s="438"/>
      <c r="Q93" s="436">
        <v>1416483.5799999901</v>
      </c>
      <c r="R93" s="537"/>
      <c r="S93" s="538"/>
      <c r="T93" s="424"/>
      <c r="U93" s="424"/>
      <c r="V93" s="424"/>
      <c r="W93" s="424"/>
      <c r="X93" s="424"/>
      <c r="Y93" s="424"/>
      <c r="Z93" s="424"/>
      <c r="AA93" s="424"/>
      <c r="AB93" s="424"/>
      <c r="AC93" s="424"/>
      <c r="AD93" s="424"/>
      <c r="AE93" s="424"/>
      <c r="AF93" s="424"/>
      <c r="AG93" s="424"/>
      <c r="AH93" s="424"/>
      <c r="AI93" s="424"/>
      <c r="AJ93" s="424"/>
      <c r="AK93" s="424"/>
      <c r="AL93" s="424"/>
      <c r="AM93" s="424"/>
      <c r="AN93" s="424"/>
    </row>
    <row r="94" spans="1:40" ht="21.75" customHeight="1" x14ac:dyDescent="0.4">
      <c r="A94" s="433" t="s">
        <v>412</v>
      </c>
      <c r="B94" s="424" t="s">
        <v>410</v>
      </c>
      <c r="C94" s="441" t="s">
        <v>413</v>
      </c>
      <c r="D94" s="442">
        <v>26</v>
      </c>
      <c r="E94" s="442">
        <v>1400</v>
      </c>
      <c r="F94" s="442">
        <v>36400</v>
      </c>
      <c r="G94" s="443"/>
      <c r="H94" s="442"/>
      <c r="I94" s="442"/>
      <c r="J94" s="443">
        <v>28</v>
      </c>
      <c r="K94" s="442">
        <v>1004.9228571428559</v>
      </c>
      <c r="L94" s="444">
        <v>28137.839999999967</v>
      </c>
      <c r="M94" s="443">
        <v>2</v>
      </c>
      <c r="N94" s="444">
        <v>-8262.1600000000326</v>
      </c>
      <c r="O94" s="443">
        <v>25</v>
      </c>
      <c r="P94" s="442">
        <v>1627.894399999996</v>
      </c>
      <c r="Q94" s="444">
        <v>40697.359999999899</v>
      </c>
      <c r="R94" s="443">
        <v>3</v>
      </c>
      <c r="S94" s="444">
        <v>-12559.519999999931</v>
      </c>
      <c r="T94" s="424"/>
      <c r="U94" s="424"/>
      <c r="V94" s="424"/>
      <c r="W94" s="424"/>
      <c r="X94" s="424"/>
      <c r="Y94" s="424"/>
      <c r="Z94" s="424"/>
      <c r="AA94" s="424"/>
      <c r="AB94" s="424"/>
      <c r="AC94" s="424"/>
      <c r="AD94" s="424"/>
      <c r="AE94" s="424"/>
      <c r="AF94" s="424"/>
      <c r="AG94" s="424"/>
      <c r="AH94" s="424"/>
      <c r="AI94" s="424"/>
      <c r="AJ94" s="424"/>
      <c r="AK94" s="424"/>
      <c r="AL94" s="424"/>
      <c r="AM94" s="424"/>
      <c r="AN94" s="424"/>
    </row>
    <row r="95" spans="1:40" ht="18.75" customHeight="1" x14ac:dyDescent="0.5">
      <c r="A95" s="433" t="s">
        <v>414</v>
      </c>
      <c r="B95" s="424" t="s">
        <v>410</v>
      </c>
      <c r="C95" s="441" t="s">
        <v>415</v>
      </c>
      <c r="D95" s="442">
        <v>3</v>
      </c>
      <c r="E95" s="442">
        <v>1800</v>
      </c>
      <c r="F95" s="442">
        <v>5400</v>
      </c>
      <c r="G95" s="443"/>
      <c r="H95" s="442"/>
      <c r="I95" s="442"/>
      <c r="J95" s="443">
        <v>0</v>
      </c>
      <c r="K95" s="442">
        <v>0</v>
      </c>
      <c r="L95" s="444">
        <v>0</v>
      </c>
      <c r="M95" s="443">
        <v>-3</v>
      </c>
      <c r="N95" s="444">
        <v>-5400</v>
      </c>
      <c r="O95" s="443">
        <v>5</v>
      </c>
      <c r="P95" s="442">
        <v>1346.9039999999982</v>
      </c>
      <c r="Q95" s="444">
        <v>6734.5199999999904</v>
      </c>
      <c r="R95" s="443">
        <v>-5</v>
      </c>
      <c r="S95" s="444">
        <v>-6734.5199999999904</v>
      </c>
      <c r="T95" s="424"/>
      <c r="U95" s="424"/>
      <c r="V95" s="539"/>
      <c r="W95" s="424"/>
      <c r="X95" s="424"/>
      <c r="Y95" s="424"/>
      <c r="Z95" s="424"/>
      <c r="AA95" s="424"/>
      <c r="AB95" s="424"/>
      <c r="AC95" s="424"/>
      <c r="AD95" s="424"/>
      <c r="AE95" s="424"/>
      <c r="AF95" s="424"/>
      <c r="AG95" s="424"/>
      <c r="AH95" s="424"/>
      <c r="AI95" s="424"/>
      <c r="AJ95" s="424"/>
      <c r="AK95" s="424"/>
      <c r="AL95" s="424"/>
      <c r="AM95" s="424"/>
      <c r="AN95" s="424"/>
    </row>
    <row r="96" spans="1:40" ht="18.75" customHeight="1" x14ac:dyDescent="0.5">
      <c r="A96" s="433" t="s">
        <v>715</v>
      </c>
      <c r="B96" s="424" t="s">
        <v>410</v>
      </c>
      <c r="C96" s="441" t="s">
        <v>416</v>
      </c>
      <c r="D96" s="442">
        <v>5</v>
      </c>
      <c r="E96" s="438">
        <v>1500</v>
      </c>
      <c r="F96" s="442">
        <v>7500</v>
      </c>
      <c r="G96" s="443"/>
      <c r="H96" s="442"/>
      <c r="I96" s="442"/>
      <c r="J96" s="443">
        <v>0</v>
      </c>
      <c r="K96" s="442">
        <v>0</v>
      </c>
      <c r="L96" s="444">
        <v>0</v>
      </c>
      <c r="M96" s="443">
        <v>-5</v>
      </c>
      <c r="N96" s="444">
        <v>-7500</v>
      </c>
      <c r="O96" s="443">
        <v>0</v>
      </c>
      <c r="P96" s="442">
        <v>0</v>
      </c>
      <c r="Q96" s="444">
        <v>0</v>
      </c>
      <c r="R96" s="443">
        <v>0</v>
      </c>
      <c r="S96" s="444">
        <v>0</v>
      </c>
      <c r="T96" s="424"/>
      <c r="U96" s="424"/>
      <c r="V96" s="539"/>
      <c r="W96" s="424"/>
      <c r="X96" s="424"/>
      <c r="Y96" s="424"/>
      <c r="Z96" s="424"/>
      <c r="AA96" s="424"/>
      <c r="AB96" s="424"/>
      <c r="AC96" s="424"/>
      <c r="AD96" s="424"/>
      <c r="AE96" s="424"/>
      <c r="AF96" s="424"/>
      <c r="AG96" s="424"/>
      <c r="AH96" s="424"/>
      <c r="AI96" s="424"/>
      <c r="AJ96" s="424"/>
      <c r="AK96" s="424"/>
      <c r="AL96" s="424"/>
      <c r="AM96" s="424"/>
      <c r="AN96" s="424"/>
    </row>
    <row r="97" spans="1:40" ht="15.75" customHeight="1" x14ac:dyDescent="0.4">
      <c r="A97" s="433" t="s">
        <v>716</v>
      </c>
      <c r="B97" s="424" t="s">
        <v>410</v>
      </c>
      <c r="C97" s="447" t="s">
        <v>417</v>
      </c>
      <c r="D97" s="448">
        <v>34</v>
      </c>
      <c r="E97" s="442">
        <v>1450</v>
      </c>
      <c r="F97" s="449">
        <v>49300</v>
      </c>
      <c r="G97" s="450"/>
      <c r="H97" s="448"/>
      <c r="I97" s="449"/>
      <c r="J97" s="450">
        <v>28</v>
      </c>
      <c r="K97" s="448">
        <v>1004.9228571428559</v>
      </c>
      <c r="L97" s="449">
        <v>28137.839999999967</v>
      </c>
      <c r="M97" s="450">
        <v>-6</v>
      </c>
      <c r="N97" s="449">
        <v>-21162.160000000033</v>
      </c>
      <c r="O97" s="450">
        <v>30</v>
      </c>
      <c r="P97" s="448">
        <v>1581.0626666666628</v>
      </c>
      <c r="Q97" s="449">
        <v>47431.879999999888</v>
      </c>
      <c r="R97" s="450">
        <v>-2</v>
      </c>
      <c r="S97" s="449">
        <v>-19294.039999999921</v>
      </c>
      <c r="T97" s="424"/>
      <c r="U97" s="424"/>
      <c r="V97" s="424"/>
      <c r="W97" s="424"/>
      <c r="X97" s="424"/>
      <c r="Y97" s="424"/>
      <c r="Z97" s="424"/>
      <c r="AA97" s="424"/>
      <c r="AB97" s="424"/>
      <c r="AC97" s="482"/>
      <c r="AD97" s="424"/>
      <c r="AE97" s="424"/>
      <c r="AF97" s="482"/>
      <c r="AG97" s="424"/>
      <c r="AH97" s="424"/>
      <c r="AI97" s="424"/>
      <c r="AJ97" s="424"/>
      <c r="AK97" s="424"/>
      <c r="AL97" s="424"/>
      <c r="AM97" s="424"/>
      <c r="AN97" s="424"/>
    </row>
    <row r="98" spans="1:40" ht="15.75" customHeight="1" x14ac:dyDescent="0.4">
      <c r="A98" s="433" t="s">
        <v>410</v>
      </c>
      <c r="B98" s="424" t="s">
        <v>410</v>
      </c>
      <c r="C98" s="441"/>
      <c r="D98" s="424"/>
      <c r="E98" s="442">
        <v>0</v>
      </c>
      <c r="F98" s="451"/>
      <c r="G98" s="441"/>
      <c r="H98" s="424"/>
      <c r="I98" s="451"/>
      <c r="J98" s="441"/>
      <c r="K98" s="424"/>
      <c r="L98" s="451"/>
      <c r="M98" s="540">
        <v>-0.17647058823529413</v>
      </c>
      <c r="N98" s="541">
        <v>-0.42925273833671468</v>
      </c>
      <c r="O98" s="441"/>
      <c r="P98" s="424">
        <v>0</v>
      </c>
      <c r="Q98" s="451"/>
      <c r="R98" s="540">
        <v>-6.6666666666666666E-2</v>
      </c>
      <c r="S98" s="541">
        <v>-0.40677367205347892</v>
      </c>
      <c r="T98" s="424"/>
      <c r="U98" s="424"/>
      <c r="V98" s="424"/>
      <c r="W98" s="424"/>
      <c r="X98" s="424"/>
      <c r="Y98" s="424"/>
      <c r="Z98" s="424"/>
      <c r="AA98" s="424"/>
      <c r="AB98" s="424"/>
      <c r="AC98" s="424"/>
      <c r="AD98" s="424"/>
      <c r="AE98" s="424"/>
      <c r="AF98" s="424"/>
      <c r="AG98" s="424"/>
      <c r="AH98" s="424"/>
      <c r="AI98" s="424"/>
      <c r="AJ98" s="424"/>
      <c r="AK98" s="424"/>
      <c r="AL98" s="424"/>
      <c r="AM98" s="424"/>
      <c r="AN98" s="424"/>
    </row>
    <row r="99" spans="1:40" ht="15.75" customHeight="1" x14ac:dyDescent="0.4">
      <c r="A99" s="433" t="s">
        <v>410</v>
      </c>
      <c r="B99" s="424" t="s">
        <v>410</v>
      </c>
      <c r="C99" s="441"/>
      <c r="D99" s="442">
        <v>0</v>
      </c>
      <c r="E99" s="442">
        <v>0</v>
      </c>
      <c r="F99" s="442">
        <v>0</v>
      </c>
      <c r="G99" s="443"/>
      <c r="H99" s="442"/>
      <c r="I99" s="442"/>
      <c r="J99" s="443"/>
      <c r="K99" s="442"/>
      <c r="L99" s="444"/>
      <c r="M99" s="443"/>
      <c r="N99" s="444"/>
      <c r="O99" s="443"/>
      <c r="P99" s="442"/>
      <c r="Q99" s="444"/>
      <c r="R99" s="443"/>
      <c r="S99" s="444"/>
      <c r="T99" s="424"/>
      <c r="U99" s="424"/>
      <c r="V99" s="424"/>
      <c r="W99" s="442"/>
      <c r="X99" s="442"/>
      <c r="Y99" s="424"/>
      <c r="Z99" s="424"/>
      <c r="AA99" s="424"/>
      <c r="AB99" s="424"/>
      <c r="AC99" s="424"/>
      <c r="AD99" s="424"/>
      <c r="AE99" s="424"/>
      <c r="AF99" s="424"/>
      <c r="AG99" s="424"/>
      <c r="AH99" s="424"/>
      <c r="AI99" s="424"/>
      <c r="AJ99" s="424"/>
      <c r="AK99" s="424"/>
      <c r="AL99" s="424"/>
      <c r="AM99" s="424"/>
      <c r="AN99" s="424"/>
    </row>
    <row r="100" spans="1:40" ht="15.75" customHeight="1" x14ac:dyDescent="0.4">
      <c r="A100" s="433" t="s">
        <v>418</v>
      </c>
      <c r="B100" s="424" t="s">
        <v>410</v>
      </c>
      <c r="C100" s="441" t="s">
        <v>419</v>
      </c>
      <c r="D100" s="442">
        <v>37</v>
      </c>
      <c r="E100" s="442">
        <v>400</v>
      </c>
      <c r="F100" s="442">
        <v>14800</v>
      </c>
      <c r="G100" s="443"/>
      <c r="H100" s="442"/>
      <c r="I100" s="442"/>
      <c r="J100" s="443">
        <v>51</v>
      </c>
      <c r="K100" s="442">
        <v>737.09647058823612</v>
      </c>
      <c r="L100" s="444">
        <v>37591.920000000042</v>
      </c>
      <c r="M100" s="443">
        <v>14</v>
      </c>
      <c r="N100" s="444">
        <v>22791.920000000042</v>
      </c>
      <c r="O100" s="443">
        <v>37</v>
      </c>
      <c r="P100" s="442">
        <v>-125.19594594594595</v>
      </c>
      <c r="Q100" s="444">
        <v>-4632.25</v>
      </c>
      <c r="R100" s="443">
        <v>14</v>
      </c>
      <c r="S100" s="444">
        <v>42224.170000000042</v>
      </c>
      <c r="T100" s="424"/>
      <c r="U100" s="442"/>
      <c r="V100" s="424"/>
      <c r="W100" s="424"/>
      <c r="X100" s="424"/>
      <c r="Y100" s="424"/>
      <c r="Z100" s="424"/>
      <c r="AA100" s="424"/>
      <c r="AB100" s="424"/>
      <c r="AC100" s="482"/>
      <c r="AD100" s="424"/>
      <c r="AE100" s="424"/>
      <c r="AF100" s="542"/>
      <c r="AG100" s="424"/>
      <c r="AH100" s="424"/>
      <c r="AI100" s="424"/>
      <c r="AJ100" s="424"/>
      <c r="AK100" s="424"/>
      <c r="AL100" s="424"/>
      <c r="AM100" s="424"/>
      <c r="AN100" s="424"/>
    </row>
    <row r="101" spans="1:40" ht="15.75" customHeight="1" x14ac:dyDescent="0.4">
      <c r="A101" s="433" t="s">
        <v>410</v>
      </c>
      <c r="B101" s="424" t="s">
        <v>410</v>
      </c>
      <c r="C101" s="434"/>
      <c r="D101" s="438"/>
      <c r="E101" s="438"/>
      <c r="F101" s="436"/>
      <c r="G101" s="455"/>
      <c r="H101" s="438"/>
      <c r="I101" s="436"/>
      <c r="J101" s="455"/>
      <c r="K101" s="438"/>
      <c r="L101" s="436"/>
      <c r="M101" s="456"/>
      <c r="N101" s="543"/>
      <c r="O101" s="455"/>
      <c r="P101" s="438"/>
      <c r="Q101" s="436"/>
      <c r="R101" s="456"/>
      <c r="S101" s="543"/>
      <c r="T101" s="424"/>
      <c r="U101" s="424"/>
      <c r="V101" s="424"/>
      <c r="W101" s="442"/>
      <c r="X101" s="424"/>
      <c r="Y101" s="424"/>
      <c r="Z101" s="424"/>
      <c r="AA101" s="424"/>
      <c r="AB101" s="424"/>
      <c r="AC101" s="424"/>
      <c r="AD101" s="424"/>
      <c r="AE101" s="424"/>
      <c r="AF101" s="542"/>
      <c r="AG101" s="424"/>
      <c r="AH101" s="424"/>
      <c r="AI101" s="424"/>
      <c r="AJ101" s="424"/>
      <c r="AK101" s="424"/>
      <c r="AL101" s="424"/>
      <c r="AM101" s="424"/>
      <c r="AN101" s="424"/>
    </row>
    <row r="102" spans="1:40" ht="15.75" customHeight="1" x14ac:dyDescent="0.4">
      <c r="A102" s="433" t="s">
        <v>420</v>
      </c>
      <c r="B102" s="424" t="s">
        <v>410</v>
      </c>
      <c r="C102" s="441" t="s">
        <v>330</v>
      </c>
      <c r="D102" s="442">
        <v>0</v>
      </c>
      <c r="E102" s="442">
        <v>0</v>
      </c>
      <c r="F102" s="444">
        <v>20400</v>
      </c>
      <c r="G102" s="443"/>
      <c r="H102" s="442"/>
      <c r="I102" s="442"/>
      <c r="J102" s="443"/>
      <c r="K102" s="442">
        <v>450.1742857142857</v>
      </c>
      <c r="L102" s="444">
        <v>12604.88</v>
      </c>
      <c r="M102" s="443"/>
      <c r="N102" s="444">
        <v>-7795.1200000000008</v>
      </c>
      <c r="O102" s="443"/>
      <c r="P102" s="442"/>
      <c r="Q102" s="444">
        <v>8266.65</v>
      </c>
      <c r="R102" s="443">
        <v>-450.1742857142857</v>
      </c>
      <c r="S102" s="444">
        <v>4338.2299999999996</v>
      </c>
      <c r="T102" s="424"/>
      <c r="U102" s="424"/>
      <c r="V102" s="424"/>
      <c r="W102" s="424"/>
      <c r="X102" s="424"/>
      <c r="Y102" s="424"/>
      <c r="Z102" s="424"/>
      <c r="AA102" s="424"/>
      <c r="AB102" s="424"/>
      <c r="AC102" s="424"/>
      <c r="AD102" s="424"/>
      <c r="AE102" s="424"/>
      <c r="AF102" s="424"/>
      <c r="AG102" s="424"/>
      <c r="AH102" s="424"/>
      <c r="AI102" s="424"/>
      <c r="AJ102" s="424"/>
      <c r="AK102" s="424"/>
      <c r="AL102" s="424"/>
      <c r="AM102" s="424"/>
      <c r="AN102" s="424"/>
    </row>
    <row r="103" spans="1:40" ht="15.75" customHeight="1" x14ac:dyDescent="0.4">
      <c r="A103" s="433" t="s">
        <v>421</v>
      </c>
      <c r="B103" s="424" t="s">
        <v>410</v>
      </c>
      <c r="C103" s="441" t="s">
        <v>332</v>
      </c>
      <c r="D103" s="442">
        <v>0</v>
      </c>
      <c r="E103" s="442">
        <v>0</v>
      </c>
      <c r="F103" s="444">
        <v>42500</v>
      </c>
      <c r="G103" s="443"/>
      <c r="H103" s="442"/>
      <c r="I103" s="442"/>
      <c r="J103" s="443"/>
      <c r="K103" s="442">
        <v>1933.1910714285714</v>
      </c>
      <c r="L103" s="444">
        <v>54129.35</v>
      </c>
      <c r="M103" s="443"/>
      <c r="N103" s="444">
        <v>11629.349999999999</v>
      </c>
      <c r="O103" s="443"/>
      <c r="P103" s="442"/>
      <c r="Q103" s="444">
        <v>46940.15</v>
      </c>
      <c r="R103" s="443">
        <v>-1933.1910714285714</v>
      </c>
      <c r="S103" s="444">
        <v>7189.1999999999971</v>
      </c>
      <c r="T103" s="424"/>
      <c r="U103" s="424"/>
      <c r="V103" s="424"/>
      <c r="W103" s="424"/>
      <c r="X103" s="424"/>
      <c r="Y103" s="424"/>
      <c r="Z103" s="424"/>
      <c r="AA103" s="424"/>
      <c r="AB103" s="424"/>
      <c r="AC103" s="424"/>
      <c r="AD103" s="424"/>
      <c r="AE103" s="424"/>
      <c r="AF103" s="424"/>
      <c r="AG103" s="424"/>
      <c r="AH103" s="424"/>
      <c r="AI103" s="424"/>
      <c r="AJ103" s="424"/>
      <c r="AK103" s="424"/>
      <c r="AL103" s="424"/>
      <c r="AM103" s="424"/>
      <c r="AN103" s="424"/>
    </row>
    <row r="104" spans="1:40" ht="15.75" customHeight="1" x14ac:dyDescent="0.4">
      <c r="A104" s="433" t="s">
        <v>422</v>
      </c>
      <c r="B104" s="424" t="s">
        <v>410</v>
      </c>
      <c r="C104" s="441" t="s">
        <v>334</v>
      </c>
      <c r="D104" s="442">
        <v>0</v>
      </c>
      <c r="E104" s="438">
        <v>0</v>
      </c>
      <c r="F104" s="444">
        <v>1700</v>
      </c>
      <c r="G104" s="443"/>
      <c r="H104" s="438"/>
      <c r="I104" s="442"/>
      <c r="J104" s="443"/>
      <c r="K104" s="438">
        <v>28.672142857142859</v>
      </c>
      <c r="L104" s="444">
        <v>802.82</v>
      </c>
      <c r="M104" s="455"/>
      <c r="N104" s="444">
        <v>-897.18</v>
      </c>
      <c r="O104" s="443"/>
      <c r="P104" s="438"/>
      <c r="Q104" s="444">
        <v>2036.84</v>
      </c>
      <c r="R104" s="443">
        <v>-28.672142857142859</v>
      </c>
      <c r="S104" s="444">
        <v>-1234.02</v>
      </c>
      <c r="T104" s="424"/>
      <c r="U104" s="424"/>
      <c r="V104" s="424"/>
      <c r="W104" s="424"/>
      <c r="X104" s="424"/>
      <c r="Y104" s="424"/>
      <c r="Z104" s="424"/>
      <c r="AA104" s="424"/>
      <c r="AB104" s="424"/>
      <c r="AC104" s="424"/>
      <c r="AD104" s="424"/>
      <c r="AE104" s="424"/>
      <c r="AF104" s="424"/>
      <c r="AG104" s="424"/>
      <c r="AH104" s="424"/>
      <c r="AI104" s="424"/>
      <c r="AJ104" s="424"/>
      <c r="AK104" s="424"/>
      <c r="AL104" s="424"/>
      <c r="AM104" s="424"/>
      <c r="AN104" s="424"/>
    </row>
    <row r="105" spans="1:40" ht="15.75" customHeight="1" x14ac:dyDescent="0.4">
      <c r="A105" s="433" t="s">
        <v>423</v>
      </c>
      <c r="B105" s="424" t="s">
        <v>410</v>
      </c>
      <c r="C105" s="447" t="s">
        <v>29</v>
      </c>
      <c r="D105" s="448">
        <v>34</v>
      </c>
      <c r="E105" s="442">
        <v>1900</v>
      </c>
      <c r="F105" s="449">
        <v>64600</v>
      </c>
      <c r="G105" s="450"/>
      <c r="H105" s="448"/>
      <c r="I105" s="449"/>
      <c r="J105" s="450">
        <v>28</v>
      </c>
      <c r="K105" s="448">
        <v>2412.0374999999999</v>
      </c>
      <c r="L105" s="449">
        <v>67537.05</v>
      </c>
      <c r="M105" s="443">
        <v>-6</v>
      </c>
      <c r="N105" s="449">
        <v>2937.0500000000029</v>
      </c>
      <c r="O105" s="450">
        <v>30</v>
      </c>
      <c r="P105" s="448">
        <v>1908.1213333333333</v>
      </c>
      <c r="Q105" s="449">
        <v>57243.64</v>
      </c>
      <c r="R105" s="464"/>
      <c r="S105" s="449">
        <v>10293.410000000003</v>
      </c>
      <c r="T105" s="424"/>
      <c r="U105" s="424"/>
      <c r="V105" s="424"/>
      <c r="W105" s="424"/>
      <c r="X105" s="424"/>
      <c r="Y105" s="424"/>
      <c r="Z105" s="424"/>
      <c r="AA105" s="424"/>
      <c r="AB105" s="424"/>
      <c r="AC105" s="424"/>
      <c r="AD105" s="424"/>
      <c r="AE105" s="424"/>
      <c r="AF105" s="424"/>
      <c r="AG105" s="424"/>
      <c r="AH105" s="424"/>
      <c r="AI105" s="424"/>
      <c r="AJ105" s="424"/>
      <c r="AK105" s="424"/>
      <c r="AL105" s="424"/>
      <c r="AM105" s="424"/>
      <c r="AN105" s="424"/>
    </row>
    <row r="106" spans="1:40" ht="15.75" customHeight="1" x14ac:dyDescent="0.4">
      <c r="A106" s="433" t="s">
        <v>410</v>
      </c>
      <c r="B106" s="424" t="s">
        <v>410</v>
      </c>
      <c r="C106" s="441"/>
      <c r="D106" s="424"/>
      <c r="E106" s="424"/>
      <c r="F106" s="467"/>
      <c r="G106" s="441"/>
      <c r="H106" s="544"/>
      <c r="I106" s="467"/>
      <c r="J106" s="441"/>
      <c r="K106" s="424"/>
      <c r="L106" s="467"/>
      <c r="M106" s="458"/>
      <c r="N106" s="459">
        <v>4.5465170278637813E-2</v>
      </c>
      <c r="O106" s="441"/>
      <c r="P106" s="424"/>
      <c r="Q106" s="467"/>
      <c r="R106" s="468"/>
      <c r="S106" s="459">
        <v>0.17981753082089125</v>
      </c>
      <c r="T106" s="424"/>
      <c r="U106" s="424"/>
      <c r="V106" s="424"/>
      <c r="W106" s="424"/>
      <c r="X106" s="424"/>
      <c r="Y106" s="424"/>
      <c r="Z106" s="424"/>
      <c r="AA106" s="424"/>
      <c r="AB106" s="424"/>
      <c r="AC106" s="424"/>
      <c r="AD106" s="424"/>
      <c r="AE106" s="424"/>
      <c r="AF106" s="424"/>
      <c r="AG106" s="424"/>
      <c r="AH106" s="424"/>
      <c r="AI106" s="424"/>
      <c r="AJ106" s="424"/>
      <c r="AK106" s="424"/>
      <c r="AL106" s="424"/>
      <c r="AM106" s="424"/>
      <c r="AN106" s="424"/>
    </row>
    <row r="107" spans="1:40" ht="15.75" customHeight="1" thickBot="1" x14ac:dyDescent="0.45">
      <c r="A107" s="433" t="s">
        <v>410</v>
      </c>
      <c r="B107" s="424" t="s">
        <v>410</v>
      </c>
      <c r="C107" s="441"/>
      <c r="D107" s="424"/>
      <c r="E107" s="424"/>
      <c r="F107" s="467"/>
      <c r="G107" s="441"/>
      <c r="H107" s="544"/>
      <c r="I107" s="467"/>
      <c r="J107" s="441"/>
      <c r="K107" s="424"/>
      <c r="L107" s="467"/>
      <c r="M107" s="458"/>
      <c r="N107" s="459"/>
      <c r="O107" s="441"/>
      <c r="P107" s="424"/>
      <c r="Q107" s="467"/>
      <c r="R107" s="468"/>
      <c r="S107" s="459"/>
      <c r="T107" s="424"/>
      <c r="U107" s="424"/>
      <c r="V107" s="424"/>
      <c r="W107" s="424"/>
      <c r="X107" s="424"/>
      <c r="Y107" s="424"/>
      <c r="Z107" s="424"/>
      <c r="AA107" s="424"/>
      <c r="AB107" s="424"/>
      <c r="AC107" s="424"/>
      <c r="AD107" s="424"/>
      <c r="AE107" s="424"/>
      <c r="AF107" s="424"/>
      <c r="AG107" s="424"/>
      <c r="AH107" s="424"/>
      <c r="AI107" s="424"/>
      <c r="AJ107" s="424"/>
      <c r="AK107" s="424"/>
      <c r="AL107" s="424"/>
      <c r="AM107" s="424"/>
      <c r="AN107" s="424"/>
    </row>
    <row r="108" spans="1:40" ht="23.25" customHeight="1" thickTop="1" x14ac:dyDescent="0.4">
      <c r="A108" s="433" t="s">
        <v>424</v>
      </c>
      <c r="B108" s="424" t="s">
        <v>410</v>
      </c>
      <c r="C108" s="469" t="s">
        <v>425</v>
      </c>
      <c r="D108" s="470">
        <v>71</v>
      </c>
      <c r="E108" s="471">
        <v>1812.6760563380283</v>
      </c>
      <c r="F108" s="472">
        <v>128700</v>
      </c>
      <c r="G108" s="473"/>
      <c r="H108" s="545"/>
      <c r="I108" s="472"/>
      <c r="J108" s="473">
        <v>79</v>
      </c>
      <c r="K108" s="471">
        <v>1686.9216455696203</v>
      </c>
      <c r="L108" s="472">
        <v>133266.81</v>
      </c>
      <c r="M108" s="473">
        <v>8</v>
      </c>
      <c r="N108" s="472">
        <v>4566.8099999999977</v>
      </c>
      <c r="O108" s="473">
        <v>67</v>
      </c>
      <c r="P108" s="471">
        <v>1493.1831343283566</v>
      </c>
      <c r="Q108" s="472">
        <v>100043.26999999989</v>
      </c>
      <c r="R108" s="473">
        <v>12</v>
      </c>
      <c r="S108" s="472">
        <v>33223.54000000011</v>
      </c>
      <c r="T108" s="424"/>
      <c r="U108" s="424"/>
      <c r="V108" s="424"/>
      <c r="W108" s="424"/>
      <c r="X108" s="424"/>
      <c r="Y108" s="424"/>
      <c r="Z108" s="424"/>
      <c r="AA108" s="424"/>
      <c r="AB108" s="424"/>
      <c r="AC108" s="424"/>
      <c r="AD108" s="424"/>
      <c r="AE108" s="424"/>
      <c r="AF108" s="424"/>
      <c r="AG108" s="424"/>
      <c r="AH108" s="424"/>
      <c r="AI108" s="424"/>
      <c r="AJ108" s="424"/>
      <c r="AK108" s="424"/>
      <c r="AL108" s="424"/>
      <c r="AM108" s="424"/>
      <c r="AN108" s="424"/>
    </row>
    <row r="109" spans="1:40" ht="19.5" customHeight="1" thickBot="1" x14ac:dyDescent="0.45">
      <c r="A109" s="433" t="s">
        <v>410</v>
      </c>
      <c r="B109" s="424" t="s">
        <v>410</v>
      </c>
      <c r="C109" s="474"/>
      <c r="D109" s="475"/>
      <c r="E109" s="475"/>
      <c r="F109" s="476"/>
      <c r="G109" s="474"/>
      <c r="H109" s="475"/>
      <c r="I109" s="476"/>
      <c r="J109" s="474"/>
      <c r="K109" s="475"/>
      <c r="L109" s="387">
        <v>1.0354841491841491</v>
      </c>
      <c r="M109" s="478">
        <v>0.11267605633802817</v>
      </c>
      <c r="N109" s="479">
        <v>3.5484149184149168E-2</v>
      </c>
      <c r="O109" s="474"/>
      <c r="P109" s="475"/>
      <c r="Q109" s="476"/>
      <c r="R109" s="546">
        <v>5.583333333333333</v>
      </c>
      <c r="S109" s="547">
        <v>0.33209170391971543</v>
      </c>
      <c r="T109" s="424"/>
      <c r="U109" s="424"/>
      <c r="V109" s="424"/>
      <c r="W109" s="424"/>
      <c r="X109" s="424"/>
      <c r="Y109" s="424"/>
      <c r="Z109" s="424"/>
      <c r="AA109" s="424"/>
      <c r="AB109" s="424"/>
      <c r="AC109" s="424"/>
      <c r="AD109" s="424"/>
      <c r="AE109" s="424"/>
      <c r="AF109" s="424"/>
      <c r="AG109" s="424"/>
      <c r="AH109" s="424"/>
      <c r="AI109" s="424"/>
      <c r="AJ109" s="424"/>
      <c r="AK109" s="424"/>
      <c r="AL109" s="424"/>
      <c r="AM109" s="424"/>
      <c r="AN109" s="424"/>
    </row>
    <row r="110" spans="1:40" ht="15.75" customHeight="1" thickTop="1" x14ac:dyDescent="0.4">
      <c r="A110" s="433" t="s">
        <v>410</v>
      </c>
      <c r="B110" s="424" t="s">
        <v>410</v>
      </c>
      <c r="C110" s="460"/>
      <c r="D110" s="480"/>
      <c r="E110" s="480"/>
      <c r="F110" s="481"/>
      <c r="G110" s="460"/>
      <c r="H110" s="480"/>
      <c r="I110" s="481"/>
      <c r="J110" s="460"/>
      <c r="K110" s="480"/>
      <c r="L110" s="481"/>
      <c r="M110" s="458"/>
      <c r="N110" s="459"/>
      <c r="O110" s="460"/>
      <c r="P110" s="480"/>
      <c r="Q110" s="481"/>
      <c r="R110" s="458"/>
      <c r="S110" s="459"/>
      <c r="T110" s="424"/>
      <c r="U110" s="424"/>
      <c r="V110" s="424"/>
      <c r="W110" s="424"/>
      <c r="X110" s="424"/>
      <c r="Y110" s="424"/>
      <c r="Z110" s="424"/>
      <c r="AA110" s="424"/>
      <c r="AB110" s="424"/>
      <c r="AC110" s="424"/>
      <c r="AD110" s="424"/>
      <c r="AE110" s="424"/>
      <c r="AF110" s="424"/>
      <c r="AG110" s="424"/>
      <c r="AH110" s="424"/>
      <c r="AI110" s="424"/>
      <c r="AJ110" s="424"/>
      <c r="AK110" s="424"/>
      <c r="AL110" s="424"/>
      <c r="AM110" s="424"/>
      <c r="AN110" s="424"/>
    </row>
    <row r="111" spans="1:40" ht="15.75" customHeight="1" x14ac:dyDescent="0.4">
      <c r="A111" s="433" t="s">
        <v>426</v>
      </c>
      <c r="B111" s="424" t="s">
        <v>410</v>
      </c>
      <c r="C111" s="483" t="s">
        <v>339</v>
      </c>
      <c r="D111" s="424"/>
      <c r="E111" s="484"/>
      <c r="F111" s="467"/>
      <c r="G111" s="441"/>
      <c r="H111" s="484"/>
      <c r="I111" s="467"/>
      <c r="J111" s="441"/>
      <c r="K111" s="484"/>
      <c r="L111" s="451"/>
      <c r="M111" s="441"/>
      <c r="N111" s="451"/>
      <c r="O111" s="441"/>
      <c r="P111" s="484"/>
      <c r="Q111" s="451"/>
      <c r="R111" s="441"/>
      <c r="S111" s="451"/>
      <c r="T111" s="424"/>
      <c r="U111" s="424"/>
      <c r="V111" s="424"/>
      <c r="W111" s="424"/>
      <c r="X111" s="424"/>
      <c r="Y111" s="424"/>
      <c r="Z111" s="424"/>
      <c r="AA111" s="424"/>
      <c r="AB111" s="424"/>
      <c r="AC111" s="424"/>
      <c r="AD111" s="424"/>
      <c r="AE111" s="424"/>
      <c r="AF111" s="424"/>
      <c r="AG111" s="424"/>
      <c r="AH111" s="424"/>
      <c r="AI111" s="424"/>
      <c r="AJ111" s="424"/>
      <c r="AK111" s="424"/>
      <c r="AL111" s="424"/>
      <c r="AM111" s="424"/>
      <c r="AN111" s="424"/>
    </row>
    <row r="112" spans="1:40" ht="15.75" customHeight="1" x14ac:dyDescent="0.4">
      <c r="A112" s="433" t="s">
        <v>427</v>
      </c>
      <c r="B112" s="424" t="s">
        <v>410</v>
      </c>
      <c r="C112" s="441" t="s">
        <v>42</v>
      </c>
      <c r="D112" s="548">
        <v>0.33761064608016272</v>
      </c>
      <c r="E112" s="482">
        <v>489.53543681623597</v>
      </c>
      <c r="F112" s="442">
        <v>16644.204851752023</v>
      </c>
      <c r="G112" s="486"/>
      <c r="H112" s="482"/>
      <c r="I112" s="442"/>
      <c r="J112" s="486">
        <v>0.42676694444207564</v>
      </c>
      <c r="K112" s="482">
        <v>428.86785714285713</v>
      </c>
      <c r="L112" s="444">
        <v>12008.3</v>
      </c>
      <c r="M112" s="441"/>
      <c r="N112" s="467">
        <v>-4635.9048517520241</v>
      </c>
      <c r="O112" s="388">
        <v>0.31708926570062235</v>
      </c>
      <c r="P112" s="482">
        <v>501.33799999999997</v>
      </c>
      <c r="Q112" s="444">
        <v>15040.14</v>
      </c>
      <c r="R112" s="441"/>
      <c r="S112" s="467">
        <v>-3031.84</v>
      </c>
      <c r="T112" s="424"/>
      <c r="U112" s="424"/>
      <c r="V112" s="424"/>
      <c r="W112" s="424"/>
      <c r="X112" s="424"/>
      <c r="Y112" s="424"/>
      <c r="Z112" s="424"/>
      <c r="AA112" s="424"/>
      <c r="AB112" s="424"/>
      <c r="AC112" s="424"/>
      <c r="AD112" s="424"/>
      <c r="AE112" s="424"/>
      <c r="AF112" s="424"/>
      <c r="AG112" s="424"/>
      <c r="AH112" s="424"/>
      <c r="AI112" s="424"/>
      <c r="AJ112" s="424"/>
      <c r="AK112" s="424"/>
      <c r="AL112" s="424"/>
      <c r="AM112" s="424"/>
      <c r="AN112" s="424"/>
    </row>
    <row r="113" spans="1:40" ht="15.75" customHeight="1" x14ac:dyDescent="0.4">
      <c r="A113" s="433" t="s">
        <v>428</v>
      </c>
      <c r="B113" s="424" t="s">
        <v>410</v>
      </c>
      <c r="C113" s="434" t="s">
        <v>43</v>
      </c>
      <c r="D113" s="397">
        <v>0.3</v>
      </c>
      <c r="E113" s="488">
        <v>570</v>
      </c>
      <c r="F113" s="436">
        <v>19380</v>
      </c>
      <c r="G113" s="489"/>
      <c r="H113" s="488"/>
      <c r="I113" s="436"/>
      <c r="J113" s="489">
        <v>0.29856708280862132</v>
      </c>
      <c r="K113" s="488">
        <v>720.15499999999997</v>
      </c>
      <c r="L113" s="444">
        <v>20164.34</v>
      </c>
      <c r="M113" s="434"/>
      <c r="N113" s="490">
        <v>784.34000000000015</v>
      </c>
      <c r="O113" s="389">
        <v>0.25539010083332792</v>
      </c>
      <c r="P113" s="488">
        <v>572.44533333333334</v>
      </c>
      <c r="Q113" s="444">
        <v>17173.36</v>
      </c>
      <c r="R113" s="434"/>
      <c r="S113" s="490">
        <v>2990.9799999999996</v>
      </c>
      <c r="T113" s="424"/>
      <c r="U113" s="424"/>
      <c r="V113" s="424"/>
      <c r="W113" s="424"/>
      <c r="X113" s="424"/>
      <c r="Y113" s="424"/>
      <c r="Z113" s="424"/>
      <c r="AA113" s="424"/>
      <c r="AB113" s="424"/>
      <c r="AC113" s="424"/>
      <c r="AD113" s="424"/>
      <c r="AE113" s="424"/>
      <c r="AF113" s="424"/>
      <c r="AG113" s="424"/>
      <c r="AH113" s="424"/>
      <c r="AI113" s="424"/>
      <c r="AJ113" s="424"/>
      <c r="AK113" s="424"/>
      <c r="AL113" s="424"/>
      <c r="AM113" s="424"/>
      <c r="AN113" s="424"/>
    </row>
    <row r="114" spans="1:40" ht="15.75" customHeight="1" x14ac:dyDescent="0.4">
      <c r="A114" s="433" t="s">
        <v>429</v>
      </c>
      <c r="B114" s="424" t="s">
        <v>410</v>
      </c>
      <c r="C114" s="441" t="s">
        <v>44</v>
      </c>
      <c r="D114" s="491"/>
      <c r="E114" s="482">
        <v>8</v>
      </c>
      <c r="F114" s="442">
        <v>272</v>
      </c>
      <c r="G114" s="492"/>
      <c r="H114" s="482"/>
      <c r="I114" s="442"/>
      <c r="J114" s="441"/>
      <c r="K114" s="482">
        <v>-62.661071428571425</v>
      </c>
      <c r="L114" s="463">
        <v>-1754.51</v>
      </c>
      <c r="M114" s="441"/>
      <c r="N114" s="467">
        <v>-2026.51</v>
      </c>
      <c r="O114" s="441"/>
      <c r="P114" s="482">
        <v>-42.933</v>
      </c>
      <c r="Q114" s="463">
        <v>-1287.99</v>
      </c>
      <c r="R114" s="441"/>
      <c r="S114" s="467">
        <v>-466.52</v>
      </c>
      <c r="T114" s="424"/>
      <c r="U114" s="421"/>
      <c r="V114" s="424"/>
      <c r="W114" s="442"/>
      <c r="X114" s="424"/>
      <c r="Y114" s="424"/>
      <c r="Z114" s="424"/>
      <c r="AA114" s="424"/>
      <c r="AB114" s="424"/>
      <c r="AC114" s="424"/>
      <c r="AD114" s="424"/>
      <c r="AE114" s="424"/>
      <c r="AF114" s="424"/>
      <c r="AG114" s="424"/>
      <c r="AH114" s="424"/>
      <c r="AI114" s="424"/>
      <c r="AJ114" s="424"/>
      <c r="AK114" s="424"/>
      <c r="AL114" s="424"/>
      <c r="AM114" s="424"/>
      <c r="AN114" s="424"/>
    </row>
    <row r="115" spans="1:40" ht="15.75" customHeight="1" x14ac:dyDescent="0.4">
      <c r="A115" s="433" t="s">
        <v>430</v>
      </c>
      <c r="B115" s="424" t="s">
        <v>410</v>
      </c>
      <c r="C115" s="441" t="s">
        <v>344</v>
      </c>
      <c r="D115" s="491"/>
      <c r="E115" s="482">
        <v>45</v>
      </c>
      <c r="F115" s="442">
        <v>1530</v>
      </c>
      <c r="G115" s="492"/>
      <c r="H115" s="482"/>
      <c r="I115" s="442"/>
      <c r="J115" s="441"/>
      <c r="K115" s="482">
        <v>177.98464285714286</v>
      </c>
      <c r="L115" s="444">
        <v>4983.57</v>
      </c>
      <c r="M115" s="441"/>
      <c r="N115" s="467">
        <v>3453.5699999999997</v>
      </c>
      <c r="O115" s="441"/>
      <c r="P115" s="482">
        <v>88.436999999999998</v>
      </c>
      <c r="Q115" s="444">
        <v>2653.11</v>
      </c>
      <c r="R115" s="441"/>
      <c r="S115" s="467">
        <v>2330.4599999999996</v>
      </c>
      <c r="T115" s="424"/>
      <c r="U115" s="424"/>
      <c r="V115" s="424"/>
      <c r="W115" s="442"/>
      <c r="X115" s="424"/>
      <c r="Y115" s="424"/>
      <c r="Z115" s="424"/>
      <c r="AA115" s="424"/>
      <c r="AB115" s="424"/>
      <c r="AC115" s="424"/>
      <c r="AD115" s="424"/>
      <c r="AE115" s="424"/>
      <c r="AF115" s="424"/>
      <c r="AG115" s="424"/>
      <c r="AH115" s="424"/>
      <c r="AI115" s="424"/>
      <c r="AJ115" s="424"/>
      <c r="AK115" s="424"/>
      <c r="AL115" s="424"/>
      <c r="AM115" s="424"/>
      <c r="AN115" s="424"/>
    </row>
    <row r="116" spans="1:40" ht="15.75" customHeight="1" x14ac:dyDescent="0.4">
      <c r="A116" s="433" t="s">
        <v>431</v>
      </c>
      <c r="B116" s="424" t="s">
        <v>410</v>
      </c>
      <c r="C116" s="434" t="s">
        <v>346</v>
      </c>
      <c r="D116" s="494"/>
      <c r="E116" s="488">
        <v>160</v>
      </c>
      <c r="F116" s="436">
        <v>5440</v>
      </c>
      <c r="G116" s="495"/>
      <c r="H116" s="488"/>
      <c r="I116" s="436"/>
      <c r="J116" s="434"/>
      <c r="K116" s="488">
        <v>134.48499999999999</v>
      </c>
      <c r="L116" s="436">
        <v>3765.58</v>
      </c>
      <c r="M116" s="434"/>
      <c r="N116" s="490">
        <v>-1674.42</v>
      </c>
      <c r="O116" s="434"/>
      <c r="P116" s="488">
        <v>159.28566666666666</v>
      </c>
      <c r="Q116" s="436">
        <v>4778.57</v>
      </c>
      <c r="R116" s="434"/>
      <c r="S116" s="490">
        <v>-1012.9899999999998</v>
      </c>
      <c r="T116" s="424"/>
      <c r="U116" s="421"/>
      <c r="V116" s="424"/>
      <c r="W116" s="442"/>
      <c r="X116" s="424"/>
      <c r="Y116" s="424"/>
      <c r="Z116" s="424"/>
      <c r="AA116" s="424"/>
      <c r="AB116" s="424"/>
      <c r="AC116" s="424"/>
      <c r="AD116" s="424"/>
      <c r="AE116" s="424"/>
      <c r="AF116" s="424"/>
      <c r="AG116" s="424"/>
      <c r="AH116" s="424"/>
      <c r="AI116" s="424"/>
      <c r="AJ116" s="424"/>
      <c r="AK116" s="424"/>
      <c r="AL116" s="424"/>
      <c r="AM116" s="424"/>
      <c r="AN116" s="424"/>
    </row>
    <row r="117" spans="1:40" ht="19.5" customHeight="1" x14ac:dyDescent="0.4">
      <c r="A117" s="433" t="s">
        <v>432</v>
      </c>
      <c r="B117" s="424" t="s">
        <v>410</v>
      </c>
      <c r="C117" s="441" t="s">
        <v>348</v>
      </c>
      <c r="D117" s="491"/>
      <c r="E117" s="482">
        <v>349.47058823529414</v>
      </c>
      <c r="F117" s="442">
        <v>11882</v>
      </c>
      <c r="G117" s="492"/>
      <c r="H117" s="482"/>
      <c r="I117" s="442"/>
      <c r="J117" s="441"/>
      <c r="K117" s="482">
        <v>328.2689285714286</v>
      </c>
      <c r="L117" s="444">
        <v>9191.5300000000007</v>
      </c>
      <c r="M117" s="441"/>
      <c r="N117" s="467">
        <v>-2690.4699999999993</v>
      </c>
      <c r="O117" s="441"/>
      <c r="P117" s="482">
        <v>417.98833333333334</v>
      </c>
      <c r="Q117" s="444">
        <v>12539.65</v>
      </c>
      <c r="R117" s="441"/>
      <c r="S117" s="467">
        <v>-3348.119999999999</v>
      </c>
      <c r="T117" s="424"/>
      <c r="U117" s="424"/>
      <c r="V117" s="424"/>
      <c r="W117" s="442"/>
      <c r="Z117" s="424"/>
      <c r="AA117" s="424"/>
      <c r="AB117" s="424"/>
      <c r="AC117" s="424"/>
      <c r="AD117" s="424"/>
      <c r="AE117" s="424"/>
      <c r="AF117" s="424"/>
      <c r="AG117" s="424"/>
      <c r="AH117" s="424"/>
      <c r="AI117" s="424"/>
      <c r="AJ117" s="424"/>
      <c r="AK117" s="424"/>
      <c r="AL117" s="424"/>
      <c r="AM117" s="424"/>
      <c r="AN117" s="424"/>
    </row>
    <row r="118" spans="1:40" ht="15.75" customHeight="1" x14ac:dyDescent="0.4">
      <c r="A118" s="433" t="s">
        <v>433</v>
      </c>
      <c r="B118" s="424" t="s">
        <v>410</v>
      </c>
      <c r="C118" s="441" t="s">
        <v>47</v>
      </c>
      <c r="D118" s="491"/>
      <c r="E118" s="482">
        <v>212.98410404624275</v>
      </c>
      <c r="F118" s="442">
        <v>7241.4595375722538</v>
      </c>
      <c r="G118" s="492"/>
      <c r="H118" s="482"/>
      <c r="I118" s="442"/>
      <c r="J118" s="441"/>
      <c r="K118" s="482">
        <v>145.15642857142856</v>
      </c>
      <c r="L118" s="444">
        <v>4064.38</v>
      </c>
      <c r="M118" s="441"/>
      <c r="N118" s="467">
        <v>-3177.0795375722537</v>
      </c>
      <c r="O118" s="441"/>
      <c r="P118" s="482">
        <v>125.85100000000001</v>
      </c>
      <c r="Q118" s="444">
        <v>3775.53</v>
      </c>
      <c r="R118" s="441"/>
      <c r="S118" s="467">
        <v>288.84999999999991</v>
      </c>
      <c r="T118" s="424"/>
      <c r="U118" s="424"/>
      <c r="V118" s="424"/>
      <c r="W118" s="442"/>
      <c r="X118" s="424"/>
      <c r="Y118" s="424"/>
      <c r="Z118" s="424"/>
      <c r="AA118" s="424"/>
      <c r="AB118" s="424"/>
      <c r="AC118" s="424"/>
      <c r="AD118" s="424"/>
      <c r="AE118" s="424"/>
      <c r="AF118" s="424"/>
      <c r="AG118" s="424"/>
      <c r="AH118" s="424"/>
      <c r="AI118" s="424"/>
      <c r="AJ118" s="424"/>
      <c r="AK118" s="424"/>
      <c r="AL118" s="424"/>
      <c r="AM118" s="424"/>
      <c r="AN118" s="424"/>
    </row>
    <row r="119" spans="1:40" ht="15.75" hidden="1" customHeight="1" x14ac:dyDescent="0.4">
      <c r="A119" s="433" t="s">
        <v>434</v>
      </c>
      <c r="B119" s="424" t="s">
        <v>410</v>
      </c>
      <c r="C119" s="441" t="s">
        <v>323</v>
      </c>
      <c r="D119" s="491"/>
      <c r="E119" s="482">
        <v>0</v>
      </c>
      <c r="F119" s="442">
        <v>0</v>
      </c>
      <c r="G119" s="492"/>
      <c r="H119" s="482"/>
      <c r="I119" s="442"/>
      <c r="J119" s="441"/>
      <c r="K119" s="482">
        <v>0</v>
      </c>
      <c r="L119" s="444">
        <v>0</v>
      </c>
      <c r="M119" s="441"/>
      <c r="N119" s="467">
        <v>0</v>
      </c>
      <c r="O119" s="441"/>
      <c r="P119" s="482">
        <v>0</v>
      </c>
      <c r="Q119" s="444">
        <v>0</v>
      </c>
      <c r="R119" s="441"/>
      <c r="S119" s="467">
        <v>0</v>
      </c>
      <c r="T119" s="424"/>
      <c r="U119" s="424"/>
      <c r="V119" s="424"/>
      <c r="W119" s="424"/>
      <c r="X119" s="424"/>
      <c r="Y119" s="424"/>
      <c r="Z119" s="424"/>
      <c r="AA119" s="424"/>
      <c r="AB119" s="424"/>
      <c r="AC119" s="424"/>
      <c r="AD119" s="424"/>
      <c r="AE119" s="424"/>
      <c r="AF119" s="424"/>
      <c r="AG119" s="424"/>
      <c r="AH119" s="424"/>
      <c r="AI119" s="424"/>
      <c r="AJ119" s="424"/>
      <c r="AK119" s="424"/>
      <c r="AL119" s="424"/>
      <c r="AM119" s="424"/>
      <c r="AN119" s="424"/>
    </row>
    <row r="120" spans="1:40" ht="15.75" hidden="1" customHeight="1" x14ac:dyDescent="0.4">
      <c r="A120" s="433" t="s">
        <v>434</v>
      </c>
      <c r="B120" s="424" t="s">
        <v>410</v>
      </c>
      <c r="C120" s="441" t="s">
        <v>323</v>
      </c>
      <c r="D120" s="491"/>
      <c r="E120" s="482">
        <v>0</v>
      </c>
      <c r="F120" s="442">
        <v>0</v>
      </c>
      <c r="G120" s="492"/>
      <c r="H120" s="482"/>
      <c r="I120" s="442"/>
      <c r="J120" s="441"/>
      <c r="K120" s="482">
        <v>0</v>
      </c>
      <c r="L120" s="444">
        <v>0</v>
      </c>
      <c r="M120" s="441"/>
      <c r="N120" s="467">
        <v>0</v>
      </c>
      <c r="O120" s="441"/>
      <c r="P120" s="482">
        <v>0</v>
      </c>
      <c r="Q120" s="444">
        <v>0</v>
      </c>
      <c r="R120" s="441"/>
      <c r="S120" s="467">
        <v>0</v>
      </c>
      <c r="T120" s="424"/>
      <c r="U120" s="424"/>
      <c r="V120" s="424"/>
      <c r="W120" s="424"/>
      <c r="X120" s="424"/>
      <c r="Y120" s="424"/>
      <c r="Z120" s="424"/>
      <c r="AA120" s="424"/>
      <c r="AB120" s="424"/>
      <c r="AC120" s="424"/>
      <c r="AD120" s="424"/>
      <c r="AE120" s="424"/>
      <c r="AF120" s="424"/>
      <c r="AG120" s="424"/>
      <c r="AH120" s="424"/>
      <c r="AI120" s="424"/>
      <c r="AJ120" s="424"/>
      <c r="AK120" s="424"/>
      <c r="AL120" s="424"/>
      <c r="AM120" s="424"/>
      <c r="AN120" s="424"/>
    </row>
    <row r="121" spans="1:40" ht="15.75" hidden="1" customHeight="1" x14ac:dyDescent="0.4">
      <c r="A121" s="433" t="s">
        <v>434</v>
      </c>
      <c r="B121" s="424" t="s">
        <v>410</v>
      </c>
      <c r="C121" s="441" t="s">
        <v>323</v>
      </c>
      <c r="D121" s="491"/>
      <c r="E121" s="482">
        <v>0</v>
      </c>
      <c r="F121" s="442">
        <v>0</v>
      </c>
      <c r="G121" s="492"/>
      <c r="H121" s="482"/>
      <c r="I121" s="442"/>
      <c r="J121" s="441"/>
      <c r="K121" s="482">
        <v>0</v>
      </c>
      <c r="L121" s="444">
        <v>0</v>
      </c>
      <c r="M121" s="441"/>
      <c r="N121" s="467">
        <v>0</v>
      </c>
      <c r="O121" s="441"/>
      <c r="P121" s="482">
        <v>0</v>
      </c>
      <c r="Q121" s="444">
        <v>0</v>
      </c>
      <c r="R121" s="441"/>
      <c r="S121" s="467">
        <v>0</v>
      </c>
      <c r="T121" s="424"/>
      <c r="U121" s="424"/>
      <c r="V121" s="424"/>
      <c r="W121" s="424"/>
      <c r="X121" s="424"/>
      <c r="Y121" s="424"/>
      <c r="Z121" s="424"/>
      <c r="AA121" s="424"/>
      <c r="AB121" s="424"/>
      <c r="AC121" s="424"/>
      <c r="AD121" s="424"/>
      <c r="AE121" s="424"/>
      <c r="AF121" s="424"/>
      <c r="AG121" s="424"/>
      <c r="AH121" s="424"/>
      <c r="AI121" s="424"/>
      <c r="AJ121" s="424"/>
      <c r="AK121" s="424"/>
      <c r="AL121" s="424"/>
      <c r="AM121" s="424"/>
      <c r="AN121" s="424"/>
    </row>
    <row r="122" spans="1:40" ht="15.75" customHeight="1" x14ac:dyDescent="0.4">
      <c r="A122" s="433" t="s">
        <v>435</v>
      </c>
      <c r="B122" s="424" t="s">
        <v>410</v>
      </c>
      <c r="C122" s="499" t="s">
        <v>351</v>
      </c>
      <c r="D122" s="500" t="s">
        <v>352</v>
      </c>
      <c r="E122" s="501">
        <v>0.48476817707322672</v>
      </c>
      <c r="F122" s="502">
        <v>62389.66438932428</v>
      </c>
      <c r="G122" s="503"/>
      <c r="H122" s="501"/>
      <c r="I122" s="502"/>
      <c r="J122" s="503" t="s">
        <v>352</v>
      </c>
      <c r="K122" s="501">
        <v>0.39337018722065903</v>
      </c>
      <c r="L122" s="502">
        <v>52423.189999999995</v>
      </c>
      <c r="M122" s="506"/>
      <c r="N122" s="502">
        <v>-9966.4743893242849</v>
      </c>
      <c r="O122" s="503" t="s">
        <v>352</v>
      </c>
      <c r="P122" s="501">
        <v>0.54648723497342755</v>
      </c>
      <c r="Q122" s="502">
        <v>54672.369999999995</v>
      </c>
      <c r="R122" s="506"/>
      <c r="S122" s="502">
        <v>-2249.1800000000003</v>
      </c>
      <c r="T122" s="424"/>
      <c r="U122" s="424"/>
      <c r="X122" s="424"/>
      <c r="Y122" s="424"/>
      <c r="Z122" s="424"/>
      <c r="AA122" s="424"/>
      <c r="AB122" s="424"/>
      <c r="AC122" s="424"/>
      <c r="AD122" s="424"/>
      <c r="AE122" s="424"/>
      <c r="AF122" s="424"/>
      <c r="AG122" s="424"/>
      <c r="AH122" s="424"/>
      <c r="AI122" s="424"/>
      <c r="AJ122" s="424"/>
      <c r="AK122" s="424"/>
      <c r="AL122" s="424"/>
      <c r="AM122" s="424"/>
      <c r="AN122" s="424"/>
    </row>
    <row r="123" spans="1:40" ht="15.75" customHeight="1" x14ac:dyDescent="0.4">
      <c r="A123" s="433" t="s">
        <v>436</v>
      </c>
      <c r="B123" s="424" t="s">
        <v>410</v>
      </c>
      <c r="C123" s="507" t="s">
        <v>50</v>
      </c>
      <c r="D123" s="424"/>
      <c r="E123" s="424"/>
      <c r="F123" s="442">
        <v>9202.1205128205147</v>
      </c>
      <c r="G123" s="441"/>
      <c r="H123" s="424"/>
      <c r="I123" s="442"/>
      <c r="J123" s="441"/>
      <c r="K123" s="424"/>
      <c r="L123" s="444">
        <v>8217.24</v>
      </c>
      <c r="M123" s="441"/>
      <c r="N123" s="467">
        <v>-984.88051282051492</v>
      </c>
      <c r="O123" s="441"/>
      <c r="P123" s="424"/>
      <c r="Q123" s="444">
        <v>11356.48</v>
      </c>
      <c r="R123" s="441"/>
      <c r="S123" s="467">
        <v>-3139.24</v>
      </c>
      <c r="T123" s="424"/>
      <c r="U123" s="424"/>
      <c r="V123" s="424"/>
      <c r="W123" s="424"/>
      <c r="X123" s="424"/>
      <c r="Y123" s="424"/>
      <c r="Z123" s="424"/>
      <c r="AA123" s="424"/>
      <c r="AB123" s="424"/>
      <c r="AC123" s="424"/>
      <c r="AD123" s="424"/>
      <c r="AE123" s="424"/>
      <c r="AF123" s="424"/>
      <c r="AG123" s="424"/>
      <c r="AH123" s="424"/>
      <c r="AI123" s="424"/>
      <c r="AJ123" s="424"/>
      <c r="AK123" s="424"/>
      <c r="AL123" s="424"/>
      <c r="AM123" s="424"/>
      <c r="AN123" s="424"/>
    </row>
    <row r="124" spans="1:40" ht="15.75" customHeight="1" x14ac:dyDescent="0.4">
      <c r="A124" s="433" t="s">
        <v>437</v>
      </c>
      <c r="B124" s="424" t="s">
        <v>410</v>
      </c>
      <c r="C124" s="508" t="s">
        <v>355</v>
      </c>
      <c r="D124" s="491"/>
      <c r="E124" s="424"/>
      <c r="F124" s="436">
        <v>8529.65846153846</v>
      </c>
      <c r="G124" s="492"/>
      <c r="H124" s="424"/>
      <c r="I124" s="436"/>
      <c r="J124" s="441"/>
      <c r="K124" s="424"/>
      <c r="L124" s="436">
        <v>1911.65</v>
      </c>
      <c r="M124" s="441"/>
      <c r="N124" s="467">
        <v>-6618.0084615384603</v>
      </c>
      <c r="O124" s="441"/>
      <c r="P124" s="424"/>
      <c r="Q124" s="436">
        <v>1797.53</v>
      </c>
      <c r="R124" s="441"/>
      <c r="S124" s="467">
        <v>114.12000000000012</v>
      </c>
      <c r="T124" s="424"/>
      <c r="U124" s="424"/>
      <c r="V124" s="424"/>
      <c r="W124" s="424"/>
      <c r="X124" s="424"/>
      <c r="Y124" s="424"/>
      <c r="Z124" s="424"/>
      <c r="AA124" s="424"/>
      <c r="AB124" s="424"/>
      <c r="AC124" s="424"/>
      <c r="AD124" s="424"/>
      <c r="AE124" s="424"/>
      <c r="AF124" s="424"/>
      <c r="AG124" s="424"/>
      <c r="AH124" s="424"/>
      <c r="AI124" s="424"/>
      <c r="AJ124" s="424"/>
      <c r="AK124" s="424"/>
      <c r="AL124" s="424"/>
      <c r="AM124" s="424"/>
      <c r="AN124" s="424"/>
    </row>
    <row r="125" spans="1:40" ht="15.75" customHeight="1" x14ac:dyDescent="0.4">
      <c r="A125" s="433" t="s">
        <v>438</v>
      </c>
      <c r="B125" s="424" t="s">
        <v>410</v>
      </c>
      <c r="C125" s="507" t="s">
        <v>51</v>
      </c>
      <c r="D125" s="509"/>
      <c r="E125" s="510"/>
      <c r="F125" s="442">
        <v>3344.8923076923074</v>
      </c>
      <c r="G125" s="511"/>
      <c r="H125" s="510"/>
      <c r="I125" s="442"/>
      <c r="J125" s="428"/>
      <c r="K125" s="510"/>
      <c r="L125" s="444">
        <v>5511.25</v>
      </c>
      <c r="M125" s="428"/>
      <c r="N125" s="512">
        <v>2166.3576923076926</v>
      </c>
      <c r="O125" s="428"/>
      <c r="P125" s="510"/>
      <c r="Q125" s="444">
        <v>5422.58</v>
      </c>
      <c r="R125" s="428"/>
      <c r="S125" s="512">
        <v>88.670000000000073</v>
      </c>
      <c r="T125" s="424"/>
      <c r="U125" s="424"/>
      <c r="V125" s="424"/>
      <c r="W125" s="424"/>
      <c r="X125" s="424"/>
      <c r="Y125" s="424"/>
      <c r="Z125" s="424"/>
      <c r="AA125" s="424"/>
      <c r="AB125" s="424"/>
      <c r="AC125" s="424"/>
      <c r="AD125" s="424"/>
      <c r="AE125" s="424"/>
      <c r="AF125" s="424"/>
      <c r="AG125" s="424"/>
      <c r="AH125" s="424"/>
      <c r="AI125" s="424"/>
      <c r="AJ125" s="424"/>
      <c r="AK125" s="424"/>
      <c r="AL125" s="424"/>
      <c r="AM125" s="424"/>
      <c r="AN125" s="424"/>
    </row>
    <row r="126" spans="1:40" ht="15.75" customHeight="1" x14ac:dyDescent="0.4">
      <c r="A126" s="433" t="s">
        <v>439</v>
      </c>
      <c r="B126" s="424" t="s">
        <v>410</v>
      </c>
      <c r="C126" s="507" t="s">
        <v>358</v>
      </c>
      <c r="D126" s="491"/>
      <c r="E126" s="424"/>
      <c r="F126" s="442">
        <v>0</v>
      </c>
      <c r="G126" s="492"/>
      <c r="H126" s="424"/>
      <c r="I126" s="442"/>
      <c r="J126" s="441"/>
      <c r="K126" s="424"/>
      <c r="L126" s="444">
        <v>0</v>
      </c>
      <c r="M126" s="441"/>
      <c r="N126" s="467">
        <v>0</v>
      </c>
      <c r="O126" s="441"/>
      <c r="P126" s="424"/>
      <c r="Q126" s="444">
        <v>0</v>
      </c>
      <c r="R126" s="441"/>
      <c r="S126" s="467">
        <v>0</v>
      </c>
      <c r="T126" s="424"/>
      <c r="U126" s="424"/>
      <c r="V126" s="424"/>
      <c r="W126" s="424"/>
      <c r="X126" s="424"/>
      <c r="Y126" s="424"/>
      <c r="Z126" s="424"/>
      <c r="AA126" s="424"/>
      <c r="AB126" s="424"/>
      <c r="AC126" s="424"/>
      <c r="AD126" s="424"/>
      <c r="AE126" s="424"/>
      <c r="AF126" s="424"/>
      <c r="AG126" s="424"/>
      <c r="AH126" s="424"/>
      <c r="AI126" s="424"/>
      <c r="AJ126" s="424"/>
      <c r="AK126" s="424"/>
      <c r="AL126" s="424"/>
      <c r="AM126" s="424"/>
      <c r="AN126" s="424"/>
    </row>
    <row r="127" spans="1:40" ht="15.75" hidden="1" customHeight="1" x14ac:dyDescent="0.4">
      <c r="A127" s="433" t="s">
        <v>434</v>
      </c>
      <c r="B127" s="424" t="s">
        <v>410</v>
      </c>
      <c r="C127" s="507" t="s">
        <v>323</v>
      </c>
      <c r="D127" s="491"/>
      <c r="E127" s="424"/>
      <c r="F127" s="442">
        <v>0</v>
      </c>
      <c r="G127" s="492"/>
      <c r="H127" s="424"/>
      <c r="I127" s="442"/>
      <c r="J127" s="441"/>
      <c r="K127" s="424"/>
      <c r="L127" s="444">
        <v>0</v>
      </c>
      <c r="M127" s="441"/>
      <c r="N127" s="467">
        <v>0</v>
      </c>
      <c r="O127" s="441"/>
      <c r="P127" s="424"/>
      <c r="Q127" s="444">
        <v>0</v>
      </c>
      <c r="R127" s="441"/>
      <c r="S127" s="467">
        <v>0</v>
      </c>
      <c r="T127" s="424"/>
      <c r="U127" s="424"/>
      <c r="V127" s="424"/>
      <c r="W127" s="424"/>
      <c r="X127" s="424"/>
      <c r="Y127" s="424"/>
      <c r="Z127" s="424"/>
      <c r="AA127" s="424"/>
      <c r="AB127" s="424"/>
      <c r="AC127" s="424"/>
      <c r="AD127" s="424"/>
      <c r="AE127" s="424"/>
      <c r="AF127" s="424"/>
      <c r="AG127" s="424"/>
      <c r="AH127" s="424"/>
      <c r="AI127" s="424"/>
      <c r="AJ127" s="424"/>
      <c r="AK127" s="424"/>
      <c r="AL127" s="424"/>
      <c r="AM127" s="424"/>
      <c r="AN127" s="424"/>
    </row>
    <row r="128" spans="1:40" ht="15.75" hidden="1" customHeight="1" x14ac:dyDescent="0.4">
      <c r="A128" s="433" t="s">
        <v>434</v>
      </c>
      <c r="B128" s="424" t="s">
        <v>410</v>
      </c>
      <c r="C128" s="507" t="s">
        <v>323</v>
      </c>
      <c r="D128" s="491"/>
      <c r="E128" s="424"/>
      <c r="F128" s="442">
        <v>0</v>
      </c>
      <c r="G128" s="492"/>
      <c r="H128" s="424"/>
      <c r="I128" s="442"/>
      <c r="J128" s="441"/>
      <c r="K128" s="424"/>
      <c r="L128" s="444">
        <v>0</v>
      </c>
      <c r="M128" s="441"/>
      <c r="N128" s="467">
        <v>0</v>
      </c>
      <c r="O128" s="441"/>
      <c r="P128" s="424"/>
      <c r="Q128" s="444">
        <v>0</v>
      </c>
      <c r="R128" s="441"/>
      <c r="S128" s="467">
        <v>0</v>
      </c>
      <c r="T128" s="424"/>
      <c r="U128" s="424"/>
      <c r="V128" s="424"/>
      <c r="W128" s="424"/>
      <c r="X128" s="424"/>
      <c r="Y128" s="424"/>
      <c r="Z128" s="424"/>
      <c r="AA128" s="424"/>
      <c r="AB128" s="424"/>
      <c r="AC128" s="424"/>
      <c r="AD128" s="424"/>
      <c r="AE128" s="424"/>
      <c r="AF128" s="424"/>
      <c r="AG128" s="424"/>
      <c r="AH128" s="424"/>
      <c r="AI128" s="424"/>
      <c r="AJ128" s="424"/>
      <c r="AK128" s="424"/>
      <c r="AL128" s="424"/>
      <c r="AM128" s="424"/>
      <c r="AN128" s="424"/>
    </row>
    <row r="129" spans="1:40" ht="15.75" hidden="1" customHeight="1" x14ac:dyDescent="0.4">
      <c r="A129" s="433" t="s">
        <v>434</v>
      </c>
      <c r="B129" s="424" t="s">
        <v>410</v>
      </c>
      <c r="C129" s="507" t="s">
        <v>323</v>
      </c>
      <c r="D129" s="491"/>
      <c r="E129" s="424"/>
      <c r="F129" s="442">
        <v>0</v>
      </c>
      <c r="G129" s="492"/>
      <c r="H129" s="424"/>
      <c r="I129" s="442"/>
      <c r="J129" s="441"/>
      <c r="K129" s="424"/>
      <c r="L129" s="444">
        <v>0</v>
      </c>
      <c r="M129" s="441"/>
      <c r="N129" s="467">
        <v>0</v>
      </c>
      <c r="O129" s="441"/>
      <c r="P129" s="424"/>
      <c r="Q129" s="444">
        <v>0</v>
      </c>
      <c r="R129" s="441"/>
      <c r="S129" s="467">
        <v>0</v>
      </c>
      <c r="T129" s="424"/>
      <c r="U129" s="424"/>
      <c r="V129" s="424"/>
      <c r="W129" s="424"/>
      <c r="X129" s="424"/>
      <c r="Y129" s="424"/>
      <c r="Z129" s="424"/>
      <c r="AA129" s="424"/>
      <c r="AB129" s="424"/>
      <c r="AC129" s="424"/>
      <c r="AD129" s="424"/>
      <c r="AE129" s="424"/>
      <c r="AF129" s="424"/>
      <c r="AG129" s="424"/>
      <c r="AH129" s="424"/>
      <c r="AI129" s="424"/>
      <c r="AJ129" s="424"/>
      <c r="AK129" s="424"/>
      <c r="AL129" s="424"/>
      <c r="AM129" s="424"/>
      <c r="AN129" s="424"/>
    </row>
    <row r="130" spans="1:40" ht="15.75" customHeight="1" x14ac:dyDescent="0.4">
      <c r="A130" s="433" t="s">
        <v>440</v>
      </c>
      <c r="B130" s="424" t="s">
        <v>410</v>
      </c>
      <c r="C130" s="508" t="s">
        <v>52</v>
      </c>
      <c r="D130" s="491"/>
      <c r="E130" s="424"/>
      <c r="F130" s="442">
        <v>7574.3371712820526</v>
      </c>
      <c r="G130" s="492"/>
      <c r="H130" s="424"/>
      <c r="I130" s="442"/>
      <c r="J130" s="441"/>
      <c r="K130" s="424"/>
      <c r="L130" s="444">
        <v>7271.51</v>
      </c>
      <c r="M130" s="441"/>
      <c r="N130" s="467">
        <v>-302.8271712820524</v>
      </c>
      <c r="O130" s="441"/>
      <c r="P130" s="424"/>
      <c r="Q130" s="444">
        <v>7069.51</v>
      </c>
      <c r="R130" s="441"/>
      <c r="S130" s="467">
        <v>202</v>
      </c>
      <c r="T130" s="424"/>
      <c r="U130" s="424"/>
      <c r="V130" s="424"/>
      <c r="W130" s="424"/>
      <c r="X130" s="424"/>
      <c r="Y130" s="424"/>
      <c r="Z130" s="424"/>
      <c r="AA130" s="424"/>
      <c r="AB130" s="424"/>
      <c r="AC130" s="424"/>
      <c r="AD130" s="424"/>
      <c r="AE130" s="424"/>
      <c r="AF130" s="424"/>
      <c r="AG130" s="424"/>
      <c r="AH130" s="424"/>
      <c r="AI130" s="424"/>
      <c r="AJ130" s="424"/>
      <c r="AK130" s="424"/>
      <c r="AL130" s="424"/>
      <c r="AM130" s="424"/>
      <c r="AN130" s="424"/>
    </row>
    <row r="131" spans="1:40" ht="15.75" customHeight="1" x14ac:dyDescent="0.4">
      <c r="A131" s="433" t="s">
        <v>441</v>
      </c>
      <c r="B131" s="424" t="s">
        <v>410</v>
      </c>
      <c r="C131" s="507" t="s">
        <v>53</v>
      </c>
      <c r="D131" s="509"/>
      <c r="E131" s="510"/>
      <c r="F131" s="462">
        <v>9209.3262523076937</v>
      </c>
      <c r="G131" s="511"/>
      <c r="H131" s="510"/>
      <c r="I131" s="462"/>
      <c r="J131" s="428"/>
      <c r="K131" s="510"/>
      <c r="L131" s="463">
        <v>8415.69</v>
      </c>
      <c r="M131" s="428"/>
      <c r="N131" s="512">
        <v>-793.63625230769321</v>
      </c>
      <c r="O131" s="428"/>
      <c r="P131" s="510"/>
      <c r="Q131" s="463">
        <v>5534.23</v>
      </c>
      <c r="R131" s="428"/>
      <c r="S131" s="512">
        <v>2881.4600000000009</v>
      </c>
      <c r="T131" s="424"/>
      <c r="U131" s="424"/>
      <c r="V131" s="424"/>
      <c r="W131" s="424"/>
      <c r="X131" s="424"/>
      <c r="Y131" s="424"/>
      <c r="Z131" s="424"/>
      <c r="AA131" s="424"/>
      <c r="AB131" s="424"/>
      <c r="AC131" s="424"/>
      <c r="AD131" s="424"/>
      <c r="AE131" s="424"/>
      <c r="AF131" s="424"/>
      <c r="AG131" s="424"/>
      <c r="AH131" s="424"/>
      <c r="AI131" s="424"/>
      <c r="AJ131" s="424"/>
      <c r="AK131" s="424"/>
      <c r="AL131" s="424"/>
      <c r="AM131" s="424"/>
      <c r="AN131" s="424"/>
    </row>
    <row r="132" spans="1:40" ht="15.75" customHeight="1" x14ac:dyDescent="0.4">
      <c r="A132" s="433" t="s">
        <v>442</v>
      </c>
      <c r="B132" s="424" t="s">
        <v>410</v>
      </c>
      <c r="C132" s="507" t="s">
        <v>54</v>
      </c>
      <c r="D132" s="491"/>
      <c r="E132" s="424"/>
      <c r="F132" s="442">
        <v>4744.805047384616</v>
      </c>
      <c r="G132" s="492"/>
      <c r="H132" s="424"/>
      <c r="I132" s="442"/>
      <c r="J132" s="441"/>
      <c r="K132" s="424"/>
      <c r="L132" s="444">
        <v>3747.7599999999998</v>
      </c>
      <c r="M132" s="441"/>
      <c r="N132" s="467">
        <v>-997.04504738461628</v>
      </c>
      <c r="O132" s="441"/>
      <c r="P132" s="424"/>
      <c r="Q132" s="444">
        <v>1332.74</v>
      </c>
      <c r="R132" s="441"/>
      <c r="S132" s="467">
        <v>2415.0199999999995</v>
      </c>
      <c r="T132" s="424"/>
      <c r="U132" s="424"/>
      <c r="V132" s="424"/>
      <c r="W132" s="424"/>
      <c r="X132" s="424"/>
      <c r="Y132" s="424"/>
      <c r="Z132" s="424"/>
      <c r="AA132" s="424"/>
      <c r="AB132" s="424"/>
      <c r="AC132" s="424"/>
      <c r="AD132" s="424"/>
      <c r="AE132" s="424"/>
      <c r="AF132" s="424"/>
      <c r="AG132" s="424"/>
      <c r="AH132" s="424"/>
      <c r="AI132" s="424"/>
      <c r="AJ132" s="424"/>
      <c r="AK132" s="424"/>
      <c r="AL132" s="424"/>
      <c r="AM132" s="424"/>
      <c r="AN132" s="424"/>
    </row>
    <row r="133" spans="1:40" ht="15.75" customHeight="1" x14ac:dyDescent="0.4">
      <c r="A133" s="433" t="s">
        <v>443</v>
      </c>
      <c r="B133" s="424" t="s">
        <v>410</v>
      </c>
      <c r="C133" s="507" t="s">
        <v>55</v>
      </c>
      <c r="D133" s="491"/>
      <c r="E133" s="424"/>
      <c r="F133" s="442">
        <v>2068.7616943589746</v>
      </c>
      <c r="G133" s="492"/>
      <c r="H133" s="424"/>
      <c r="I133" s="442"/>
      <c r="J133" s="441"/>
      <c r="K133" s="424"/>
      <c r="L133" s="444">
        <v>805.56</v>
      </c>
      <c r="M133" s="441"/>
      <c r="N133" s="467">
        <v>-1263.2016943589747</v>
      </c>
      <c r="O133" s="441"/>
      <c r="P133" s="424"/>
      <c r="Q133" s="444">
        <v>970.23</v>
      </c>
      <c r="R133" s="441"/>
      <c r="S133" s="467">
        <v>-164.67000000000007</v>
      </c>
      <c r="T133" s="424"/>
      <c r="U133" s="424"/>
      <c r="V133" s="424"/>
      <c r="W133" s="424"/>
      <c r="X133" s="424"/>
      <c r="Y133" s="424"/>
      <c r="Z133" s="424"/>
      <c r="AA133" s="424"/>
      <c r="AB133" s="424"/>
      <c r="AC133" s="424"/>
      <c r="AD133" s="424"/>
      <c r="AE133" s="424"/>
      <c r="AF133" s="424"/>
      <c r="AG133" s="424"/>
      <c r="AH133" s="424"/>
      <c r="AI133" s="424"/>
      <c r="AJ133" s="424"/>
      <c r="AK133" s="424"/>
      <c r="AL133" s="424"/>
      <c r="AM133" s="424"/>
      <c r="AN133" s="424"/>
    </row>
    <row r="134" spans="1:40" ht="15.75" hidden="1" customHeight="1" x14ac:dyDescent="0.4">
      <c r="A134" s="433" t="s">
        <v>434</v>
      </c>
      <c r="B134" s="424" t="s">
        <v>410</v>
      </c>
      <c r="C134" s="441" t="s">
        <v>323</v>
      </c>
      <c r="D134" s="494"/>
      <c r="E134" s="513"/>
      <c r="F134" s="442">
        <v>0</v>
      </c>
      <c r="G134" s="495"/>
      <c r="H134" s="513"/>
      <c r="I134" s="442"/>
      <c r="J134" s="434"/>
      <c r="K134" s="513"/>
      <c r="L134" s="444">
        <v>0</v>
      </c>
      <c r="M134" s="434"/>
      <c r="N134" s="490">
        <v>0</v>
      </c>
      <c r="O134" s="434"/>
      <c r="P134" s="513"/>
      <c r="Q134" s="444">
        <v>0</v>
      </c>
      <c r="R134" s="434"/>
      <c r="S134" s="490">
        <v>0</v>
      </c>
      <c r="T134" s="424"/>
      <c r="U134" s="424"/>
      <c r="V134" s="424"/>
      <c r="W134" s="424"/>
      <c r="X134" s="424"/>
      <c r="Y134" s="424"/>
      <c r="Z134" s="424"/>
      <c r="AA134" s="424"/>
      <c r="AB134" s="424"/>
      <c r="AC134" s="424"/>
      <c r="AD134" s="424"/>
      <c r="AE134" s="424"/>
      <c r="AF134" s="424"/>
      <c r="AG134" s="424"/>
      <c r="AH134" s="424"/>
      <c r="AI134" s="424"/>
      <c r="AJ134" s="424"/>
      <c r="AK134" s="424"/>
      <c r="AL134" s="424"/>
      <c r="AM134" s="424"/>
      <c r="AN134" s="424"/>
    </row>
    <row r="135" spans="1:40" ht="15.75" customHeight="1" x14ac:dyDescent="0.4">
      <c r="A135" s="433" t="s">
        <v>444</v>
      </c>
      <c r="B135" s="424" t="s">
        <v>410</v>
      </c>
      <c r="C135" s="499" t="s">
        <v>364</v>
      </c>
      <c r="D135" s="500" t="s">
        <v>352</v>
      </c>
      <c r="E135" s="501">
        <v>0.34711656136273983</v>
      </c>
      <c r="F135" s="502">
        <v>44673.901447384618</v>
      </c>
      <c r="G135" s="503"/>
      <c r="H135" s="501"/>
      <c r="I135" s="502"/>
      <c r="J135" s="503" t="s">
        <v>352</v>
      </c>
      <c r="K135" s="501">
        <v>0.26923928020787774</v>
      </c>
      <c r="L135" s="502">
        <v>35880.660000000003</v>
      </c>
      <c r="M135" s="549"/>
      <c r="N135" s="515">
        <v>-8793.2414473846147</v>
      </c>
      <c r="O135" s="503" t="s">
        <v>352</v>
      </c>
      <c r="P135" s="501">
        <v>0.33468818042433079</v>
      </c>
      <c r="Q135" s="502">
        <v>33483.300000000003</v>
      </c>
      <c r="R135" s="549"/>
      <c r="S135" s="515">
        <v>2397.3600000000006</v>
      </c>
      <c r="T135" s="424"/>
      <c r="U135" s="424"/>
      <c r="V135" s="424"/>
      <c r="W135" s="424"/>
      <c r="X135" s="424"/>
      <c r="Y135" s="424"/>
      <c r="Z135" s="424"/>
      <c r="AA135" s="424"/>
      <c r="AB135" s="424"/>
      <c r="AC135" s="424"/>
      <c r="AD135" s="424"/>
      <c r="AE135" s="424"/>
      <c r="AF135" s="424"/>
      <c r="AG135" s="424"/>
      <c r="AH135" s="424"/>
      <c r="AI135" s="424"/>
      <c r="AJ135" s="424"/>
      <c r="AK135" s="424"/>
      <c r="AL135" s="424"/>
      <c r="AM135" s="424"/>
      <c r="AN135" s="424"/>
    </row>
    <row r="136" spans="1:40" ht="15.75" hidden="1" customHeight="1" x14ac:dyDescent="0.4">
      <c r="A136" s="433" t="s">
        <v>445</v>
      </c>
      <c r="B136" s="424" t="s">
        <v>410</v>
      </c>
      <c r="C136" s="441" t="s">
        <v>366</v>
      </c>
      <c r="D136" s="491"/>
      <c r="E136" s="424"/>
      <c r="F136" s="442">
        <v>0</v>
      </c>
      <c r="G136" s="492"/>
      <c r="H136" s="424"/>
      <c r="I136" s="442"/>
      <c r="J136" s="441"/>
      <c r="K136" s="424"/>
      <c r="L136" s="444">
        <v>0</v>
      </c>
      <c r="M136" s="441"/>
      <c r="N136" s="467">
        <v>0</v>
      </c>
      <c r="O136" s="441"/>
      <c r="P136" s="424"/>
      <c r="Q136" s="444">
        <v>0</v>
      </c>
      <c r="R136" s="441"/>
      <c r="S136" s="467">
        <v>0</v>
      </c>
      <c r="T136" s="424"/>
      <c r="U136" s="424"/>
      <c r="V136" s="424"/>
      <c r="W136" s="424"/>
      <c r="X136" s="424"/>
      <c r="Y136" s="424"/>
      <c r="Z136" s="424"/>
      <c r="AA136" s="424"/>
      <c r="AB136" s="424"/>
      <c r="AC136" s="424"/>
      <c r="AD136" s="424"/>
      <c r="AE136" s="424"/>
      <c r="AF136" s="424"/>
      <c r="AG136" s="424"/>
      <c r="AH136" s="424"/>
      <c r="AI136" s="424"/>
      <c r="AJ136" s="424"/>
      <c r="AK136" s="424"/>
      <c r="AL136" s="424"/>
      <c r="AM136" s="424"/>
      <c r="AN136" s="424"/>
    </row>
    <row r="137" spans="1:40" ht="15.75" hidden="1" customHeight="1" x14ac:dyDescent="0.4">
      <c r="A137" s="433" t="s">
        <v>446</v>
      </c>
      <c r="B137" s="424" t="s">
        <v>410</v>
      </c>
      <c r="C137" s="441" t="s">
        <v>368</v>
      </c>
      <c r="D137" s="491"/>
      <c r="E137" s="424"/>
      <c r="F137" s="442">
        <v>0</v>
      </c>
      <c r="G137" s="492"/>
      <c r="H137" s="424"/>
      <c r="I137" s="442"/>
      <c r="J137" s="441"/>
      <c r="K137" s="424"/>
      <c r="L137" s="444">
        <v>0</v>
      </c>
      <c r="M137" s="441"/>
      <c r="N137" s="467">
        <v>0</v>
      </c>
      <c r="O137" s="441"/>
      <c r="P137" s="424"/>
      <c r="Q137" s="444">
        <v>0</v>
      </c>
      <c r="R137" s="441"/>
      <c r="S137" s="467">
        <v>0</v>
      </c>
      <c r="T137" s="424"/>
      <c r="U137" s="424"/>
      <c r="V137" s="424"/>
      <c r="W137" s="424"/>
      <c r="X137" s="424"/>
      <c r="Y137" s="424"/>
      <c r="Z137" s="424"/>
      <c r="AA137" s="424"/>
      <c r="AB137" s="424"/>
      <c r="AC137" s="424"/>
      <c r="AD137" s="424"/>
      <c r="AE137" s="424"/>
      <c r="AF137" s="424"/>
      <c r="AG137" s="424"/>
      <c r="AH137" s="424"/>
      <c r="AI137" s="424"/>
      <c r="AJ137" s="424"/>
      <c r="AK137" s="424"/>
      <c r="AL137" s="424"/>
      <c r="AM137" s="424"/>
      <c r="AN137" s="424"/>
    </row>
    <row r="138" spans="1:40" ht="15.75" customHeight="1" x14ac:dyDescent="0.4">
      <c r="A138" s="433" t="s">
        <v>447</v>
      </c>
      <c r="B138" s="424" t="s">
        <v>410</v>
      </c>
      <c r="C138" s="434" t="s">
        <v>370</v>
      </c>
      <c r="D138" s="494"/>
      <c r="E138" s="513"/>
      <c r="F138" s="436">
        <v>1284.1532888888889</v>
      </c>
      <c r="G138" s="495"/>
      <c r="H138" s="513"/>
      <c r="I138" s="436"/>
      <c r="J138" s="434"/>
      <c r="K138" s="513"/>
      <c r="L138" s="436">
        <v>1424.94</v>
      </c>
      <c r="M138" s="434"/>
      <c r="N138" s="490">
        <v>140.78671111111112</v>
      </c>
      <c r="O138" s="434"/>
      <c r="P138" s="513"/>
      <c r="Q138" s="436">
        <v>673.78</v>
      </c>
      <c r="R138" s="434"/>
      <c r="S138" s="490">
        <v>751.16000000000008</v>
      </c>
      <c r="T138" s="424"/>
      <c r="U138" s="421"/>
      <c r="V138" s="424"/>
      <c r="W138" s="424"/>
      <c r="X138" s="424"/>
      <c r="Y138" s="424"/>
      <c r="Z138" s="424"/>
      <c r="AA138" s="424"/>
      <c r="AB138" s="424"/>
      <c r="AC138" s="424"/>
      <c r="AD138" s="424"/>
      <c r="AE138" s="424"/>
      <c r="AF138" s="424"/>
      <c r="AG138" s="424"/>
      <c r="AH138" s="424"/>
      <c r="AI138" s="424"/>
      <c r="AJ138" s="424"/>
      <c r="AK138" s="424"/>
      <c r="AL138" s="424"/>
      <c r="AM138" s="424"/>
      <c r="AN138" s="424"/>
    </row>
    <row r="139" spans="1:40" ht="15.75" customHeight="1" x14ac:dyDescent="0.4">
      <c r="A139" s="433" t="s">
        <v>448</v>
      </c>
      <c r="B139" s="424" t="s">
        <v>410</v>
      </c>
      <c r="C139" s="441" t="s">
        <v>60</v>
      </c>
      <c r="D139" s="491"/>
      <c r="E139" s="424"/>
      <c r="F139" s="442">
        <v>3757.6856226933323</v>
      </c>
      <c r="G139" s="492"/>
      <c r="H139" s="424"/>
      <c r="I139" s="442"/>
      <c r="J139" s="441"/>
      <c r="K139" s="424"/>
      <c r="L139" s="444">
        <v>4055.32</v>
      </c>
      <c r="M139" s="441"/>
      <c r="N139" s="467">
        <v>297.63437730666783</v>
      </c>
      <c r="O139" s="441"/>
      <c r="P139" s="424"/>
      <c r="Q139" s="444">
        <v>2790.26</v>
      </c>
      <c r="R139" s="441"/>
      <c r="S139" s="467">
        <v>1265.06</v>
      </c>
      <c r="T139" s="424"/>
      <c r="U139" s="424"/>
      <c r="V139" s="424"/>
      <c r="W139" s="424"/>
      <c r="X139" s="424"/>
      <c r="Y139" s="424"/>
      <c r="Z139" s="424"/>
      <c r="AA139" s="424"/>
      <c r="AB139" s="424"/>
      <c r="AC139" s="424"/>
      <c r="AD139" s="424"/>
      <c r="AE139" s="424"/>
      <c r="AF139" s="424"/>
      <c r="AG139" s="424"/>
      <c r="AH139" s="424"/>
      <c r="AI139" s="424"/>
      <c r="AJ139" s="424"/>
      <c r="AK139" s="424"/>
      <c r="AL139" s="424"/>
      <c r="AM139" s="424"/>
      <c r="AN139" s="424"/>
    </row>
    <row r="140" spans="1:40" ht="15.75" customHeight="1" x14ac:dyDescent="0.4">
      <c r="A140" s="433" t="s">
        <v>449</v>
      </c>
      <c r="B140" s="424" t="s">
        <v>410</v>
      </c>
      <c r="C140" s="441" t="s">
        <v>373</v>
      </c>
      <c r="D140" s="491"/>
      <c r="E140" s="424"/>
      <c r="F140" s="442">
        <v>555.6702437740496</v>
      </c>
      <c r="G140" s="492"/>
      <c r="H140" s="424"/>
      <c r="I140" s="442"/>
      <c r="J140" s="441"/>
      <c r="K140" s="424"/>
      <c r="L140" s="444">
        <v>307.99</v>
      </c>
      <c r="M140" s="441"/>
      <c r="N140" s="467">
        <v>-247.68024377404959</v>
      </c>
      <c r="O140" s="441"/>
      <c r="P140" s="424"/>
      <c r="Q140" s="444">
        <v>703.86</v>
      </c>
      <c r="R140" s="441"/>
      <c r="S140" s="467">
        <v>-395.87</v>
      </c>
      <c r="T140" s="548"/>
      <c r="U140" s="424"/>
      <c r="V140" s="424"/>
      <c r="W140" s="424"/>
      <c r="X140" s="424"/>
      <c r="Y140" s="424"/>
      <c r="Z140" s="424"/>
      <c r="AA140" s="424"/>
      <c r="AB140" s="424"/>
      <c r="AC140" s="424"/>
      <c r="AD140" s="424"/>
      <c r="AE140" s="424"/>
      <c r="AF140" s="424"/>
      <c r="AG140" s="424"/>
      <c r="AH140" s="424"/>
      <c r="AI140" s="424"/>
      <c r="AJ140" s="424"/>
      <c r="AK140" s="424"/>
      <c r="AL140" s="424"/>
      <c r="AM140" s="424"/>
      <c r="AN140" s="424"/>
    </row>
    <row r="141" spans="1:40" ht="15.75" customHeight="1" x14ac:dyDescent="0.4">
      <c r="A141" s="433" t="s">
        <v>450</v>
      </c>
      <c r="B141" s="424" t="s">
        <v>410</v>
      </c>
      <c r="C141" s="434" t="s">
        <v>375</v>
      </c>
      <c r="D141" s="494"/>
      <c r="E141" s="513"/>
      <c r="F141" s="436">
        <v>1398.8494640536576</v>
      </c>
      <c r="G141" s="495"/>
      <c r="H141" s="513"/>
      <c r="I141" s="436"/>
      <c r="J141" s="434"/>
      <c r="K141" s="513"/>
      <c r="L141" s="436">
        <v>2003.58</v>
      </c>
      <c r="M141" s="434"/>
      <c r="N141" s="490">
        <v>604.73053594634234</v>
      </c>
      <c r="O141" s="434"/>
      <c r="P141" s="513"/>
      <c r="Q141" s="436">
        <v>1512.86</v>
      </c>
      <c r="R141" s="434"/>
      <c r="S141" s="490">
        <v>490.72</v>
      </c>
      <c r="T141" s="424"/>
      <c r="U141" s="424"/>
      <c r="V141" s="424"/>
      <c r="W141" s="424"/>
      <c r="X141" s="424"/>
      <c r="Y141" s="424"/>
      <c r="Z141" s="424"/>
      <c r="AA141" s="424"/>
      <c r="AB141" s="424"/>
      <c r="AC141" s="424"/>
      <c r="AD141" s="424"/>
      <c r="AE141" s="424"/>
      <c r="AF141" s="424"/>
      <c r="AG141" s="424"/>
      <c r="AH141" s="424"/>
      <c r="AI141" s="424"/>
      <c r="AJ141" s="424"/>
      <c r="AK141" s="424"/>
      <c r="AL141" s="424"/>
      <c r="AM141" s="424"/>
      <c r="AN141" s="424"/>
    </row>
    <row r="142" spans="1:40" ht="15.75" customHeight="1" x14ac:dyDescent="0.4">
      <c r="A142" s="433" t="s">
        <v>451</v>
      </c>
      <c r="B142" s="424" t="s">
        <v>410</v>
      </c>
      <c r="C142" s="441" t="s">
        <v>377</v>
      </c>
      <c r="D142" s="491"/>
      <c r="E142" s="424"/>
      <c r="F142" s="442">
        <v>83.885533333333328</v>
      </c>
      <c r="G142" s="492"/>
      <c r="H142" s="424"/>
      <c r="I142" s="442"/>
      <c r="J142" s="441"/>
      <c r="K142" s="424"/>
      <c r="L142" s="444">
        <v>0</v>
      </c>
      <c r="M142" s="441"/>
      <c r="N142" s="467">
        <v>-83.885533333333328</v>
      </c>
      <c r="O142" s="441"/>
      <c r="P142" s="424"/>
      <c r="Q142" s="444">
        <v>259.11</v>
      </c>
      <c r="R142" s="441"/>
      <c r="S142" s="467">
        <v>-259.11</v>
      </c>
      <c r="T142" s="424"/>
      <c r="U142" s="424"/>
      <c r="V142" s="424"/>
      <c r="W142" s="424"/>
      <c r="X142" s="424"/>
      <c r="Y142" s="424"/>
      <c r="Z142" s="424"/>
      <c r="AA142" s="424"/>
      <c r="AB142" s="424"/>
      <c r="AC142" s="424"/>
      <c r="AD142" s="424"/>
      <c r="AE142" s="424"/>
      <c r="AF142" s="424"/>
      <c r="AG142" s="424"/>
      <c r="AH142" s="424"/>
      <c r="AI142" s="424"/>
      <c r="AJ142" s="424"/>
      <c r="AK142" s="424"/>
      <c r="AL142" s="424"/>
      <c r="AM142" s="424"/>
      <c r="AN142" s="424"/>
    </row>
    <row r="143" spans="1:40" ht="15.75" customHeight="1" x14ac:dyDescent="0.4">
      <c r="A143" s="433" t="s">
        <v>452</v>
      </c>
      <c r="B143" s="424" t="s">
        <v>410</v>
      </c>
      <c r="C143" s="441" t="s">
        <v>379</v>
      </c>
      <c r="D143" s="491"/>
      <c r="E143" s="424"/>
      <c r="F143" s="442">
        <v>28.333333333333332</v>
      </c>
      <c r="G143" s="492"/>
      <c r="H143" s="424"/>
      <c r="I143" s="442"/>
      <c r="J143" s="441"/>
      <c r="K143" s="424"/>
      <c r="L143" s="444">
        <v>0</v>
      </c>
      <c r="M143" s="441"/>
      <c r="N143" s="467">
        <v>-28.333333333333332</v>
      </c>
      <c r="O143" s="441"/>
      <c r="P143" s="424"/>
      <c r="Q143" s="444">
        <v>0</v>
      </c>
      <c r="R143" s="441"/>
      <c r="S143" s="467">
        <v>0</v>
      </c>
      <c r="T143" s="424"/>
      <c r="U143" s="424"/>
      <c r="V143" s="424"/>
      <c r="W143" s="424"/>
      <c r="X143" s="424"/>
      <c r="Y143" s="424"/>
      <c r="Z143" s="424"/>
      <c r="AA143" s="424"/>
      <c r="AB143" s="424"/>
      <c r="AC143" s="424"/>
      <c r="AD143" s="424"/>
      <c r="AE143" s="424"/>
      <c r="AF143" s="424"/>
      <c r="AG143" s="424"/>
      <c r="AH143" s="424"/>
      <c r="AI143" s="424"/>
      <c r="AJ143" s="424"/>
      <c r="AK143" s="424"/>
      <c r="AL143" s="424"/>
      <c r="AM143" s="424"/>
      <c r="AN143" s="424"/>
    </row>
    <row r="144" spans="1:40" ht="15.75" customHeight="1" x14ac:dyDescent="0.4">
      <c r="A144" s="433" t="s">
        <v>453</v>
      </c>
      <c r="B144" s="424" t="s">
        <v>410</v>
      </c>
      <c r="C144" s="441" t="s">
        <v>381</v>
      </c>
      <c r="D144" s="491"/>
      <c r="E144" s="424"/>
      <c r="F144" s="442">
        <v>323.61939737591996</v>
      </c>
      <c r="G144" s="492"/>
      <c r="H144" s="424"/>
      <c r="I144" s="442"/>
      <c r="J144" s="441"/>
      <c r="K144" s="424"/>
      <c r="L144" s="444">
        <v>81.94</v>
      </c>
      <c r="M144" s="441"/>
      <c r="N144" s="467">
        <v>-241.67939737591996</v>
      </c>
      <c r="O144" s="441"/>
      <c r="P144" s="424"/>
      <c r="Q144" s="444">
        <v>133.69999999999999</v>
      </c>
      <c r="R144" s="441"/>
      <c r="S144" s="467">
        <v>-51.759999999999991</v>
      </c>
      <c r="T144" s="424"/>
      <c r="U144" s="424"/>
      <c r="V144" s="424"/>
      <c r="W144" s="424"/>
      <c r="X144" s="424"/>
      <c r="Y144" s="424"/>
      <c r="Z144" s="424"/>
      <c r="AA144" s="424"/>
      <c r="AB144" s="424"/>
      <c r="AC144" s="424"/>
      <c r="AD144" s="424"/>
      <c r="AE144" s="424"/>
      <c r="AF144" s="424"/>
      <c r="AG144" s="424"/>
      <c r="AH144" s="424"/>
      <c r="AI144" s="424"/>
      <c r="AJ144" s="424"/>
      <c r="AK144" s="424"/>
      <c r="AL144" s="424"/>
      <c r="AM144" s="424"/>
      <c r="AN144" s="424"/>
    </row>
    <row r="145" spans="1:40" ht="15.75" customHeight="1" x14ac:dyDescent="0.4">
      <c r="A145" s="433" t="s">
        <v>454</v>
      </c>
      <c r="B145" s="424" t="s">
        <v>410</v>
      </c>
      <c r="C145" s="441" t="s">
        <v>383</v>
      </c>
      <c r="D145" s="491"/>
      <c r="E145" s="424"/>
      <c r="F145" s="442">
        <v>62.764554844243328</v>
      </c>
      <c r="G145" s="492"/>
      <c r="H145" s="424"/>
      <c r="I145" s="442"/>
      <c r="J145" s="441"/>
      <c r="K145" s="424"/>
      <c r="L145" s="444">
        <v>66.8</v>
      </c>
      <c r="M145" s="441"/>
      <c r="N145" s="467">
        <v>4.0354451557566691</v>
      </c>
      <c r="O145" s="441"/>
      <c r="P145" s="424"/>
      <c r="Q145" s="444">
        <v>45.06</v>
      </c>
      <c r="R145" s="441"/>
      <c r="S145" s="467">
        <v>21.739999999999995</v>
      </c>
      <c r="T145" s="424"/>
      <c r="U145" s="424"/>
      <c r="V145" s="424"/>
      <c r="W145" s="424"/>
      <c r="X145" s="424"/>
      <c r="Y145" s="424"/>
      <c r="Z145" s="424"/>
      <c r="AA145" s="424"/>
      <c r="AB145" s="424"/>
      <c r="AC145" s="424"/>
      <c r="AD145" s="424"/>
      <c r="AE145" s="424"/>
      <c r="AF145" s="424"/>
      <c r="AG145" s="424"/>
      <c r="AH145" s="424"/>
      <c r="AI145" s="424"/>
      <c r="AJ145" s="424"/>
      <c r="AK145" s="424"/>
      <c r="AL145" s="424"/>
      <c r="AM145" s="424"/>
      <c r="AN145" s="424"/>
    </row>
    <row r="146" spans="1:40" ht="15.75" customHeight="1" x14ac:dyDescent="0.4">
      <c r="A146" s="433" t="s">
        <v>455</v>
      </c>
      <c r="B146" s="424" t="s">
        <v>410</v>
      </c>
      <c r="C146" s="441" t="s">
        <v>385</v>
      </c>
      <c r="D146" s="491"/>
      <c r="E146" s="424"/>
      <c r="F146" s="442">
        <v>48.216844138156659</v>
      </c>
      <c r="G146" s="492"/>
      <c r="H146" s="424"/>
      <c r="I146" s="442"/>
      <c r="J146" s="441"/>
      <c r="K146" s="424"/>
      <c r="L146" s="444">
        <v>20.48</v>
      </c>
      <c r="M146" s="441"/>
      <c r="N146" s="467">
        <v>-27.736844138156659</v>
      </c>
      <c r="O146" s="441"/>
      <c r="P146" s="424"/>
      <c r="Q146" s="444">
        <v>12.36</v>
      </c>
      <c r="R146" s="441"/>
      <c r="S146" s="467">
        <v>8.120000000000001</v>
      </c>
      <c r="T146" s="424"/>
      <c r="U146" s="424"/>
      <c r="V146" s="424"/>
      <c r="W146" s="424"/>
      <c r="X146" s="424"/>
      <c r="Y146" s="424"/>
      <c r="Z146" s="424"/>
      <c r="AA146" s="424"/>
      <c r="AB146" s="424"/>
      <c r="AC146" s="424"/>
      <c r="AD146" s="424"/>
      <c r="AE146" s="424"/>
      <c r="AF146" s="424"/>
      <c r="AG146" s="424"/>
      <c r="AH146" s="424"/>
      <c r="AI146" s="424"/>
      <c r="AJ146" s="424"/>
      <c r="AK146" s="424"/>
      <c r="AL146" s="424"/>
      <c r="AM146" s="424"/>
      <c r="AN146" s="424"/>
    </row>
    <row r="147" spans="1:40" ht="15.75" customHeight="1" x14ac:dyDescent="0.4">
      <c r="A147" s="433" t="s">
        <v>456</v>
      </c>
      <c r="B147" s="424" t="s">
        <v>410</v>
      </c>
      <c r="C147" s="441" t="s">
        <v>387</v>
      </c>
      <c r="D147" s="491"/>
      <c r="E147" s="424"/>
      <c r="F147" s="442">
        <v>107.35161743797669</v>
      </c>
      <c r="G147" s="492"/>
      <c r="H147" s="424"/>
      <c r="I147" s="442"/>
      <c r="J147" s="441"/>
      <c r="K147" s="424"/>
      <c r="L147" s="444">
        <v>23.52</v>
      </c>
      <c r="M147" s="441"/>
      <c r="N147" s="467">
        <v>-83.831617437976689</v>
      </c>
      <c r="O147" s="441"/>
      <c r="P147" s="424"/>
      <c r="Q147" s="444">
        <v>70.680000000000007</v>
      </c>
      <c r="R147" s="441"/>
      <c r="S147" s="467">
        <v>-47.160000000000011</v>
      </c>
      <c r="T147" s="424"/>
      <c r="U147" s="424"/>
      <c r="V147" s="424"/>
      <c r="W147" s="424"/>
      <c r="X147" s="424"/>
      <c r="Y147" s="424"/>
      <c r="Z147" s="424"/>
      <c r="AA147" s="424"/>
      <c r="AB147" s="424"/>
      <c r="AC147" s="424"/>
      <c r="AD147" s="424"/>
      <c r="AE147" s="424"/>
      <c r="AF147" s="424"/>
      <c r="AG147" s="424"/>
      <c r="AH147" s="424"/>
      <c r="AI147" s="424"/>
      <c r="AJ147" s="424"/>
      <c r="AK147" s="424"/>
      <c r="AL147" s="424"/>
      <c r="AM147" s="424"/>
      <c r="AN147" s="424"/>
    </row>
    <row r="148" spans="1:40" ht="15.75" customHeight="1" x14ac:dyDescent="0.4">
      <c r="A148" s="433" t="s">
        <v>457</v>
      </c>
      <c r="B148" s="424" t="s">
        <v>410</v>
      </c>
      <c r="C148" s="441" t="s">
        <v>389</v>
      </c>
      <c r="D148" s="491"/>
      <c r="E148" s="424"/>
      <c r="F148" s="442">
        <v>218.46437169698484</v>
      </c>
      <c r="G148" s="492"/>
      <c r="H148" s="424"/>
      <c r="I148" s="442"/>
      <c r="J148" s="441"/>
      <c r="K148" s="424"/>
      <c r="L148" s="444">
        <v>1426.22</v>
      </c>
      <c r="M148" s="441"/>
      <c r="N148" s="467">
        <v>1207.7556283030151</v>
      </c>
      <c r="O148" s="441"/>
      <c r="P148" s="424"/>
      <c r="Q148" s="444">
        <v>38.28</v>
      </c>
      <c r="R148" s="441"/>
      <c r="S148" s="467">
        <v>1387.94</v>
      </c>
      <c r="T148" s="424"/>
      <c r="X148" s="424"/>
      <c r="Y148" s="424"/>
      <c r="Z148" s="424"/>
      <c r="AA148" s="424"/>
      <c r="AB148" s="424"/>
      <c r="AC148" s="424"/>
      <c r="AD148" s="424"/>
      <c r="AE148" s="424"/>
      <c r="AF148" s="424"/>
      <c r="AG148" s="424"/>
      <c r="AH148" s="424"/>
      <c r="AI148" s="424"/>
      <c r="AJ148" s="424"/>
      <c r="AK148" s="424"/>
      <c r="AL148" s="424"/>
      <c r="AM148" s="424"/>
      <c r="AN148" s="424"/>
    </row>
    <row r="149" spans="1:40" ht="15.75" customHeight="1" x14ac:dyDescent="0.4">
      <c r="A149" s="433" t="s">
        <v>458</v>
      </c>
      <c r="B149" s="424" t="s">
        <v>410</v>
      </c>
      <c r="C149" s="441" t="s">
        <v>391</v>
      </c>
      <c r="D149" s="491"/>
      <c r="E149" s="424"/>
      <c r="F149" s="442">
        <v>820.93352030523874</v>
      </c>
      <c r="G149" s="492"/>
      <c r="H149" s="424"/>
      <c r="I149" s="442"/>
      <c r="J149" s="441"/>
      <c r="K149" s="424"/>
      <c r="L149" s="444">
        <v>867.2</v>
      </c>
      <c r="M149" s="441"/>
      <c r="N149" s="467">
        <v>46.266479694761301</v>
      </c>
      <c r="O149" s="441"/>
      <c r="P149" s="424"/>
      <c r="Q149" s="444">
        <v>855.99</v>
      </c>
      <c r="R149" s="441"/>
      <c r="S149" s="467">
        <v>11.210000000000036</v>
      </c>
      <c r="T149" s="482"/>
      <c r="X149" s="424"/>
      <c r="Y149" s="424"/>
      <c r="Z149" s="424"/>
      <c r="AA149" s="424"/>
      <c r="AB149" s="424"/>
      <c r="AC149" s="424"/>
      <c r="AD149" s="424"/>
      <c r="AE149" s="424"/>
      <c r="AF149" s="424"/>
      <c r="AG149" s="424"/>
      <c r="AH149" s="424"/>
      <c r="AI149" s="424"/>
      <c r="AJ149" s="424"/>
      <c r="AK149" s="424"/>
      <c r="AL149" s="424"/>
      <c r="AM149" s="424"/>
      <c r="AN149" s="424"/>
    </row>
    <row r="150" spans="1:40" ht="15.75" hidden="1" customHeight="1" x14ac:dyDescent="0.4">
      <c r="A150" s="433" t="s">
        <v>434</v>
      </c>
      <c r="B150" s="424" t="s">
        <v>410</v>
      </c>
      <c r="C150" s="441" t="s">
        <v>323</v>
      </c>
      <c r="D150" s="491"/>
      <c r="E150" s="424"/>
      <c r="F150" s="442">
        <v>0</v>
      </c>
      <c r="G150" s="492"/>
      <c r="H150" s="424"/>
      <c r="I150" s="442"/>
      <c r="J150" s="441"/>
      <c r="K150" s="424"/>
      <c r="L150" s="444">
        <v>0</v>
      </c>
      <c r="M150" s="441"/>
      <c r="N150" s="467">
        <v>0</v>
      </c>
      <c r="O150" s="441"/>
      <c r="P150" s="424"/>
      <c r="Q150" s="444">
        <v>0</v>
      </c>
      <c r="R150" s="441"/>
      <c r="S150" s="467">
        <v>0</v>
      </c>
      <c r="T150" s="424"/>
      <c r="X150" s="424"/>
      <c r="Y150" s="424"/>
      <c r="Z150" s="424"/>
      <c r="AA150" s="424"/>
      <c r="AB150" s="424"/>
      <c r="AC150" s="424"/>
      <c r="AD150" s="424"/>
      <c r="AE150" s="424"/>
      <c r="AF150" s="424"/>
      <c r="AG150" s="424"/>
      <c r="AH150" s="424"/>
      <c r="AI150" s="424"/>
      <c r="AJ150" s="424"/>
      <c r="AK150" s="424"/>
      <c r="AL150" s="424"/>
      <c r="AM150" s="424"/>
      <c r="AN150" s="424"/>
    </row>
    <row r="151" spans="1:40" ht="15.75" hidden="1" customHeight="1" x14ac:dyDescent="0.4">
      <c r="A151" s="433" t="s">
        <v>434</v>
      </c>
      <c r="B151" s="424" t="s">
        <v>410</v>
      </c>
      <c r="C151" s="441" t="s">
        <v>323</v>
      </c>
      <c r="D151" s="491"/>
      <c r="E151" s="424"/>
      <c r="F151" s="442">
        <v>0</v>
      </c>
      <c r="G151" s="492"/>
      <c r="H151" s="424"/>
      <c r="I151" s="442"/>
      <c r="J151" s="441"/>
      <c r="K151" s="424"/>
      <c r="L151" s="444">
        <v>0</v>
      </c>
      <c r="M151" s="441"/>
      <c r="N151" s="467">
        <v>0</v>
      </c>
      <c r="O151" s="441"/>
      <c r="P151" s="424"/>
      <c r="Q151" s="444">
        <v>0</v>
      </c>
      <c r="R151" s="441"/>
      <c r="S151" s="467">
        <v>0</v>
      </c>
      <c r="T151" s="424"/>
      <c r="X151" s="424"/>
      <c r="Y151" s="424"/>
      <c r="Z151" s="424"/>
      <c r="AA151" s="424"/>
      <c r="AB151" s="424"/>
      <c r="AC151" s="424"/>
      <c r="AD151" s="424"/>
      <c r="AE151" s="424"/>
      <c r="AF151" s="424"/>
      <c r="AG151" s="424"/>
      <c r="AH151" s="424"/>
      <c r="AI151" s="424"/>
      <c r="AJ151" s="424"/>
      <c r="AK151" s="424"/>
      <c r="AL151" s="424"/>
      <c r="AM151" s="424"/>
      <c r="AN151" s="424"/>
    </row>
    <row r="152" spans="1:40" ht="15.75" hidden="1" customHeight="1" x14ac:dyDescent="0.4">
      <c r="A152" s="433" t="s">
        <v>434</v>
      </c>
      <c r="B152" s="424" t="s">
        <v>410</v>
      </c>
      <c r="C152" s="441" t="s">
        <v>323</v>
      </c>
      <c r="D152" s="491"/>
      <c r="E152" s="424"/>
      <c r="F152" s="442">
        <v>0</v>
      </c>
      <c r="G152" s="492"/>
      <c r="H152" s="424"/>
      <c r="I152" s="442"/>
      <c r="J152" s="441"/>
      <c r="K152" s="424"/>
      <c r="L152" s="444">
        <v>0</v>
      </c>
      <c r="M152" s="441"/>
      <c r="N152" s="467">
        <v>0</v>
      </c>
      <c r="O152" s="441"/>
      <c r="P152" s="424"/>
      <c r="Q152" s="444">
        <v>0</v>
      </c>
      <c r="R152" s="441"/>
      <c r="S152" s="467">
        <v>0</v>
      </c>
      <c r="T152" s="482"/>
      <c r="X152" s="424"/>
      <c r="Y152" s="424"/>
      <c r="Z152" s="424"/>
      <c r="AA152" s="424"/>
      <c r="AB152" s="424"/>
      <c r="AC152" s="424"/>
      <c r="AD152" s="424"/>
      <c r="AE152" s="424"/>
      <c r="AF152" s="424"/>
      <c r="AG152" s="424"/>
      <c r="AH152" s="424"/>
      <c r="AI152" s="424"/>
      <c r="AJ152" s="424"/>
      <c r="AK152" s="424"/>
      <c r="AL152" s="424"/>
      <c r="AM152" s="424"/>
      <c r="AN152" s="424"/>
    </row>
    <row r="153" spans="1:40" ht="15.75" customHeight="1" x14ac:dyDescent="0.4">
      <c r="A153" s="433" t="s">
        <v>459</v>
      </c>
      <c r="B153" s="424" t="s">
        <v>410</v>
      </c>
      <c r="C153" s="499" t="s">
        <v>393</v>
      </c>
      <c r="D153" s="500" t="s">
        <v>352</v>
      </c>
      <c r="E153" s="501">
        <v>6.75208064636761E-2</v>
      </c>
      <c r="F153" s="502">
        <v>8689.9277918751141</v>
      </c>
      <c r="G153" s="503"/>
      <c r="H153" s="501"/>
      <c r="I153" s="502"/>
      <c r="J153" s="503" t="s">
        <v>352</v>
      </c>
      <c r="K153" s="501">
        <v>7.7123403794238043E-2</v>
      </c>
      <c r="L153" s="502">
        <v>10277.99</v>
      </c>
      <c r="M153" s="506"/>
      <c r="N153" s="502">
        <v>1588.0622081248857</v>
      </c>
      <c r="O153" s="503" t="s">
        <v>352</v>
      </c>
      <c r="P153" s="501">
        <v>7.0928709147551922E-2</v>
      </c>
      <c r="Q153" s="502">
        <v>7095.9399999999987</v>
      </c>
      <c r="R153" s="506"/>
      <c r="S153" s="502">
        <v>3182.0500000000011</v>
      </c>
      <c r="T153" s="514"/>
      <c r="X153" s="424"/>
      <c r="Y153" s="424"/>
      <c r="Z153" s="424"/>
      <c r="AA153" s="424"/>
      <c r="AB153" s="424"/>
      <c r="AC153" s="424"/>
      <c r="AD153" s="424"/>
      <c r="AE153" s="424"/>
      <c r="AF153" s="424"/>
      <c r="AG153" s="424"/>
      <c r="AH153" s="424"/>
      <c r="AI153" s="424"/>
      <c r="AJ153" s="424"/>
      <c r="AK153" s="424"/>
      <c r="AL153" s="424"/>
      <c r="AM153" s="424"/>
      <c r="AN153" s="424"/>
    </row>
    <row r="154" spans="1:40" ht="15.75" customHeight="1" x14ac:dyDescent="0.4">
      <c r="A154" s="433" t="s">
        <v>410</v>
      </c>
      <c r="B154" s="424" t="s">
        <v>410</v>
      </c>
      <c r="C154" s="434"/>
      <c r="D154" s="494"/>
      <c r="E154" s="513"/>
      <c r="F154" s="467"/>
      <c r="G154" s="495"/>
      <c r="H154" s="513"/>
      <c r="I154" s="467"/>
      <c r="J154" s="434"/>
      <c r="K154" s="513"/>
      <c r="L154" s="490"/>
      <c r="M154" s="434"/>
      <c r="N154" s="490"/>
      <c r="O154" s="434"/>
      <c r="P154" s="513"/>
      <c r="Q154" s="490"/>
      <c r="R154" s="434"/>
      <c r="S154" s="490"/>
      <c r="T154" s="514"/>
      <c r="U154" s="424"/>
      <c r="V154" s="424"/>
      <c r="W154" s="424"/>
      <c r="X154" s="424"/>
      <c r="Y154" s="424"/>
      <c r="Z154" s="424"/>
      <c r="AA154" s="424"/>
      <c r="AB154" s="424"/>
      <c r="AC154" s="424"/>
      <c r="AD154" s="424"/>
      <c r="AE154" s="424"/>
      <c r="AF154" s="424"/>
      <c r="AG154" s="424"/>
      <c r="AH154" s="424"/>
      <c r="AI154" s="424"/>
      <c r="AJ154" s="424"/>
      <c r="AK154" s="424"/>
      <c r="AL154" s="424"/>
      <c r="AM154" s="424"/>
      <c r="AN154" s="424"/>
    </row>
    <row r="155" spans="1:40" ht="15.75" customHeight="1" x14ac:dyDescent="0.4">
      <c r="A155" s="433" t="s">
        <v>460</v>
      </c>
      <c r="B155" s="424" t="s">
        <v>410</v>
      </c>
      <c r="C155" s="499" t="s">
        <v>395</v>
      </c>
      <c r="D155" s="500" t="s">
        <v>352</v>
      </c>
      <c r="E155" s="501">
        <v>0.89940554489964275</v>
      </c>
      <c r="F155" s="502">
        <v>115753.49362858402</v>
      </c>
      <c r="G155" s="503"/>
      <c r="H155" s="501"/>
      <c r="I155" s="502"/>
      <c r="J155" s="503" t="s">
        <v>352</v>
      </c>
      <c r="K155" s="501">
        <v>0.73973287122277487</v>
      </c>
      <c r="L155" s="502">
        <v>98581.840000000011</v>
      </c>
      <c r="M155" s="506"/>
      <c r="N155" s="515">
        <v>-17171.653628584012</v>
      </c>
      <c r="O155" s="503" t="s">
        <v>352</v>
      </c>
      <c r="P155" s="501">
        <v>0.95210412454531035</v>
      </c>
      <c r="Q155" s="502">
        <v>95251.61</v>
      </c>
      <c r="R155" s="506"/>
      <c r="S155" s="515">
        <v>3330.2300000000105</v>
      </c>
      <c r="T155" s="514"/>
      <c r="U155" s="424"/>
      <c r="V155" s="424"/>
      <c r="W155" s="424"/>
      <c r="X155" s="424"/>
      <c r="Y155" s="424"/>
      <c r="Z155" s="424"/>
      <c r="AA155" s="424"/>
      <c r="AB155" s="424"/>
      <c r="AC155" s="424"/>
      <c r="AD155" s="424"/>
      <c r="AE155" s="424"/>
      <c r="AF155" s="424"/>
      <c r="AG155" s="424"/>
      <c r="AH155" s="424"/>
      <c r="AI155" s="424"/>
      <c r="AJ155" s="424"/>
      <c r="AK155" s="424"/>
      <c r="AL155" s="424"/>
      <c r="AM155" s="424"/>
      <c r="AN155" s="424"/>
    </row>
    <row r="156" spans="1:40" ht="15.75" customHeight="1" x14ac:dyDescent="0.4">
      <c r="A156" s="433" t="s">
        <v>461</v>
      </c>
      <c r="B156" s="424" t="s">
        <v>410</v>
      </c>
      <c r="C156" s="441" t="s">
        <v>462</v>
      </c>
      <c r="D156" s="550"/>
      <c r="E156" s="551"/>
      <c r="F156" s="442">
        <v>0</v>
      </c>
      <c r="G156" s="552"/>
      <c r="H156" s="551"/>
      <c r="I156" s="442"/>
      <c r="J156" s="552"/>
      <c r="K156" s="551"/>
      <c r="L156" s="444">
        <v>0</v>
      </c>
      <c r="M156" s="441"/>
      <c r="N156" s="467">
        <v>0</v>
      </c>
      <c r="O156" s="552"/>
      <c r="P156" s="551"/>
      <c r="Q156" s="444">
        <v>0</v>
      </c>
      <c r="R156" s="441"/>
      <c r="S156" s="467">
        <v>0</v>
      </c>
      <c r="T156" s="514"/>
      <c r="U156" s="424"/>
      <c r="V156" s="424"/>
      <c r="W156" s="424"/>
      <c r="X156" s="424"/>
      <c r="Y156" s="424"/>
      <c r="Z156" s="424"/>
      <c r="AA156" s="424"/>
      <c r="AB156" s="424"/>
      <c r="AC156" s="424"/>
      <c r="AD156" s="424"/>
      <c r="AE156" s="424"/>
      <c r="AF156" s="424"/>
      <c r="AG156" s="424"/>
      <c r="AH156" s="424"/>
      <c r="AI156" s="424"/>
      <c r="AJ156" s="424"/>
      <c r="AK156" s="424"/>
      <c r="AL156" s="424"/>
      <c r="AM156" s="424"/>
      <c r="AN156" s="424"/>
    </row>
    <row r="157" spans="1:40" ht="15.75" customHeight="1" x14ac:dyDescent="0.4">
      <c r="A157" s="433" t="s">
        <v>463</v>
      </c>
      <c r="B157" s="424" t="s">
        <v>410</v>
      </c>
      <c r="C157" s="441" t="s">
        <v>464</v>
      </c>
      <c r="D157" s="550"/>
      <c r="E157" s="551"/>
      <c r="F157" s="442">
        <v>0</v>
      </c>
      <c r="G157" s="552"/>
      <c r="H157" s="551"/>
      <c r="I157" s="442"/>
      <c r="J157" s="552"/>
      <c r="K157" s="551"/>
      <c r="L157" s="444">
        <v>0</v>
      </c>
      <c r="M157" s="441"/>
      <c r="N157" s="467">
        <v>0</v>
      </c>
      <c r="O157" s="552"/>
      <c r="P157" s="551"/>
      <c r="Q157" s="444">
        <v>0</v>
      </c>
      <c r="R157" s="441"/>
      <c r="S157" s="467">
        <v>0</v>
      </c>
      <c r="T157" s="514"/>
      <c r="U157" s="424"/>
      <c r="V157" s="424"/>
      <c r="W157" s="424"/>
      <c r="X157" s="424"/>
      <c r="Y157" s="424"/>
      <c r="Z157" s="424"/>
      <c r="AA157" s="424"/>
      <c r="AB157" s="424"/>
      <c r="AC157" s="424"/>
      <c r="AD157" s="424"/>
      <c r="AE157" s="424"/>
      <c r="AF157" s="424"/>
      <c r="AG157" s="424"/>
      <c r="AH157" s="424"/>
      <c r="AI157" s="424"/>
      <c r="AJ157" s="424"/>
      <c r="AK157" s="424"/>
      <c r="AL157" s="424"/>
      <c r="AM157" s="424"/>
      <c r="AN157" s="424"/>
    </row>
    <row r="158" spans="1:40" ht="15.75" customHeight="1" x14ac:dyDescent="0.4">
      <c r="A158" s="433" t="s">
        <v>465</v>
      </c>
      <c r="B158" s="424" t="s">
        <v>410</v>
      </c>
      <c r="C158" s="441" t="s">
        <v>466</v>
      </c>
      <c r="D158" s="491"/>
      <c r="E158" s="424"/>
      <c r="F158" s="442">
        <v>0</v>
      </c>
      <c r="G158" s="492"/>
      <c r="H158" s="424"/>
      <c r="I158" s="442"/>
      <c r="J158" s="441"/>
      <c r="K158" s="424"/>
      <c r="L158" s="444">
        <v>0</v>
      </c>
      <c r="M158" s="441"/>
      <c r="N158" s="467">
        <v>0</v>
      </c>
      <c r="O158" s="441"/>
      <c r="P158" s="424"/>
      <c r="Q158" s="444">
        <v>0</v>
      </c>
      <c r="R158" s="441"/>
      <c r="S158" s="467">
        <v>0</v>
      </c>
      <c r="T158" s="514"/>
      <c r="U158" s="424"/>
      <c r="V158" s="424"/>
      <c r="W158" s="424"/>
      <c r="X158" s="424"/>
      <c r="Y158" s="424"/>
      <c r="Z158" s="424"/>
      <c r="AA158" s="424"/>
      <c r="AB158" s="424"/>
      <c r="AC158" s="424"/>
      <c r="AD158" s="424"/>
      <c r="AE158" s="424"/>
      <c r="AF158" s="424"/>
      <c r="AG158" s="424"/>
      <c r="AH158" s="424"/>
      <c r="AI158" s="424"/>
      <c r="AJ158" s="424"/>
      <c r="AK158" s="424"/>
      <c r="AL158" s="424"/>
      <c r="AM158" s="424"/>
      <c r="AN158" s="424"/>
    </row>
    <row r="159" spans="1:40" ht="15.75" customHeight="1" x14ac:dyDescent="0.4">
      <c r="A159" s="433" t="s">
        <v>467</v>
      </c>
      <c r="B159" s="424" t="s">
        <v>410</v>
      </c>
      <c r="C159" s="441" t="s">
        <v>405</v>
      </c>
      <c r="D159" s="398">
        <v>0.7996835443037974</v>
      </c>
      <c r="E159" s="518">
        <v>379.04999999999995</v>
      </c>
      <c r="F159" s="442">
        <v>12887.699999999999</v>
      </c>
      <c r="G159" s="492"/>
      <c r="H159" s="424"/>
      <c r="I159" s="442"/>
      <c r="J159" s="394">
        <v>0.94213381555153708</v>
      </c>
      <c r="K159" s="518">
        <v>446.57142857142856</v>
      </c>
      <c r="L159" s="444">
        <v>12504</v>
      </c>
      <c r="M159" s="441"/>
      <c r="N159" s="467">
        <v>-383.69999999999891</v>
      </c>
      <c r="O159" s="441"/>
      <c r="P159" s="424"/>
      <c r="Q159" s="444">
        <v>12594</v>
      </c>
      <c r="R159" s="441"/>
      <c r="S159" s="467">
        <v>-90</v>
      </c>
      <c r="T159" s="514"/>
      <c r="U159" s="424"/>
      <c r="V159" s="424"/>
      <c r="W159" s="424"/>
      <c r="X159" s="424"/>
      <c r="Y159" s="424"/>
      <c r="Z159" s="424"/>
      <c r="AA159" s="424"/>
      <c r="AB159" s="424"/>
      <c r="AC159" s="424"/>
      <c r="AD159" s="424"/>
      <c r="AE159" s="424"/>
      <c r="AF159" s="424"/>
      <c r="AG159" s="424"/>
      <c r="AH159" s="424"/>
      <c r="AI159" s="424"/>
      <c r="AJ159" s="424"/>
      <c r="AK159" s="424"/>
      <c r="AL159" s="424"/>
      <c r="AM159" s="424"/>
      <c r="AN159" s="424"/>
    </row>
    <row r="160" spans="1:40" ht="15.75" hidden="1" customHeight="1" x14ac:dyDescent="0.4">
      <c r="A160" s="433" t="s">
        <v>434</v>
      </c>
      <c r="B160" s="424" t="s">
        <v>410</v>
      </c>
      <c r="C160" s="441" t="s">
        <v>323</v>
      </c>
      <c r="D160" s="491"/>
      <c r="E160" s="424"/>
      <c r="F160" s="442">
        <v>0</v>
      </c>
      <c r="G160" s="492"/>
      <c r="H160" s="424"/>
      <c r="I160" s="442"/>
      <c r="J160" s="441"/>
      <c r="K160" s="424"/>
      <c r="L160" s="444">
        <v>0</v>
      </c>
      <c r="M160" s="441"/>
      <c r="N160" s="467">
        <v>0</v>
      </c>
      <c r="O160" s="441"/>
      <c r="P160" s="424"/>
      <c r="Q160" s="444">
        <v>0</v>
      </c>
      <c r="R160" s="441"/>
      <c r="S160" s="467">
        <v>0</v>
      </c>
      <c r="T160" s="514"/>
      <c r="U160" s="424"/>
      <c r="V160" s="424"/>
      <c r="W160" s="424"/>
      <c r="X160" s="424"/>
      <c r="Y160" s="424"/>
      <c r="Z160" s="424"/>
      <c r="AA160" s="424"/>
      <c r="AB160" s="424"/>
      <c r="AC160" s="424"/>
      <c r="AD160" s="424"/>
      <c r="AE160" s="424"/>
      <c r="AF160" s="424"/>
      <c r="AG160" s="424"/>
      <c r="AH160" s="424"/>
      <c r="AI160" s="424"/>
      <c r="AJ160" s="424"/>
      <c r="AK160" s="424"/>
      <c r="AL160" s="424"/>
      <c r="AM160" s="424"/>
      <c r="AN160" s="424"/>
    </row>
    <row r="161" spans="1:40" ht="15.75" hidden="1" customHeight="1" x14ac:dyDescent="0.4">
      <c r="A161" s="433" t="s">
        <v>434</v>
      </c>
      <c r="B161" s="424" t="s">
        <v>410</v>
      </c>
      <c r="C161" s="441" t="s">
        <v>323</v>
      </c>
      <c r="D161" s="491"/>
      <c r="E161" s="424"/>
      <c r="F161" s="442">
        <v>0</v>
      </c>
      <c r="G161" s="492"/>
      <c r="H161" s="424"/>
      <c r="I161" s="442"/>
      <c r="J161" s="441"/>
      <c r="K161" s="424"/>
      <c r="L161" s="444">
        <v>0</v>
      </c>
      <c r="M161" s="441"/>
      <c r="N161" s="467">
        <v>0</v>
      </c>
      <c r="O161" s="441"/>
      <c r="P161" s="424"/>
      <c r="Q161" s="444">
        <v>0</v>
      </c>
      <c r="R161" s="441"/>
      <c r="S161" s="467">
        <v>0</v>
      </c>
      <c r="T161" s="514"/>
      <c r="U161" s="424"/>
      <c r="V161" s="424"/>
      <c r="W161" s="424"/>
      <c r="X161" s="424"/>
      <c r="Y161" s="424"/>
      <c r="Z161" s="424"/>
      <c r="AA161" s="424"/>
      <c r="AB161" s="424"/>
      <c r="AC161" s="424"/>
      <c r="AD161" s="424"/>
      <c r="AE161" s="424"/>
      <c r="AF161" s="424"/>
      <c r="AG161" s="424"/>
      <c r="AH161" s="424"/>
      <c r="AI161" s="424"/>
      <c r="AJ161" s="424"/>
      <c r="AK161" s="424"/>
      <c r="AL161" s="424"/>
      <c r="AM161" s="424"/>
      <c r="AN161" s="424"/>
    </row>
    <row r="162" spans="1:40" ht="15.75" hidden="1" customHeight="1" x14ac:dyDescent="0.4">
      <c r="A162" s="433" t="s">
        <v>434</v>
      </c>
      <c r="B162" s="424" t="s">
        <v>410</v>
      </c>
      <c r="C162" s="434" t="s">
        <v>323</v>
      </c>
      <c r="D162" s="494"/>
      <c r="E162" s="513"/>
      <c r="F162" s="442">
        <v>0</v>
      </c>
      <c r="G162" s="492"/>
      <c r="H162" s="424"/>
      <c r="I162" s="442"/>
      <c r="J162" s="441"/>
      <c r="K162" s="424"/>
      <c r="L162" s="444">
        <v>0</v>
      </c>
      <c r="M162" s="441"/>
      <c r="N162" s="467">
        <v>0</v>
      </c>
      <c r="O162" s="441"/>
      <c r="P162" s="424"/>
      <c r="Q162" s="444">
        <v>0</v>
      </c>
      <c r="R162" s="441"/>
      <c r="S162" s="467">
        <v>0</v>
      </c>
      <c r="T162" s="514"/>
      <c r="U162" s="424"/>
      <c r="V162" s="424"/>
      <c r="W162" s="424"/>
      <c r="X162" s="424"/>
      <c r="Y162" s="424"/>
      <c r="Z162" s="424"/>
      <c r="AA162" s="424"/>
      <c r="AB162" s="424"/>
      <c r="AC162" s="424"/>
      <c r="AD162" s="424"/>
      <c r="AE162" s="424"/>
      <c r="AF162" s="424"/>
      <c r="AG162" s="424"/>
      <c r="AH162" s="424"/>
      <c r="AI162" s="424"/>
      <c r="AJ162" s="424"/>
      <c r="AK162" s="424"/>
      <c r="AL162" s="424"/>
      <c r="AM162" s="424"/>
      <c r="AN162" s="424"/>
    </row>
    <row r="163" spans="1:40" ht="15.75" customHeight="1" x14ac:dyDescent="0.4">
      <c r="B163" s="424"/>
      <c r="C163" s="499" t="s">
        <v>407</v>
      </c>
      <c r="D163" s="500"/>
      <c r="E163" s="501"/>
      <c r="F163" s="502">
        <v>12887.699999999999</v>
      </c>
      <c r="G163" s="503"/>
      <c r="H163" s="501"/>
      <c r="I163" s="502"/>
      <c r="J163" s="503"/>
      <c r="K163" s="501"/>
      <c r="L163" s="502">
        <v>12504</v>
      </c>
      <c r="M163" s="506"/>
      <c r="N163" s="502">
        <v>-383.69999999999891</v>
      </c>
      <c r="O163" s="503"/>
      <c r="P163" s="501"/>
      <c r="Q163" s="502">
        <v>12594</v>
      </c>
      <c r="R163" s="506"/>
      <c r="S163" s="502">
        <v>-90</v>
      </c>
      <c r="T163" s="514"/>
      <c r="U163" s="424"/>
      <c r="V163" s="424"/>
      <c r="W163" s="424"/>
      <c r="X163" s="424"/>
      <c r="Y163" s="424"/>
      <c r="Z163" s="424"/>
      <c r="AA163" s="424"/>
      <c r="AB163" s="424"/>
      <c r="AC163" s="424"/>
      <c r="AD163" s="424"/>
      <c r="AE163" s="424"/>
      <c r="AF163" s="424"/>
      <c r="AG163" s="424"/>
      <c r="AH163" s="424"/>
      <c r="AI163" s="424"/>
      <c r="AJ163" s="424"/>
      <c r="AK163" s="424"/>
      <c r="AL163" s="424"/>
      <c r="AM163" s="424"/>
      <c r="AN163" s="424"/>
    </row>
    <row r="164" spans="1:40" ht="15.75" customHeight="1" x14ac:dyDescent="0.4">
      <c r="B164" s="424"/>
      <c r="C164" s="441"/>
      <c r="D164" s="491"/>
      <c r="E164" s="424"/>
      <c r="F164" s="467"/>
      <c r="G164" s="492"/>
      <c r="H164" s="424"/>
      <c r="I164" s="467"/>
      <c r="J164" s="441"/>
      <c r="K164" s="424"/>
      <c r="L164" s="467"/>
      <c r="M164" s="441"/>
      <c r="N164" s="467"/>
      <c r="O164" s="441"/>
      <c r="P164" s="424"/>
      <c r="Q164" s="467"/>
      <c r="R164" s="441"/>
      <c r="S164" s="467"/>
      <c r="T164" s="551"/>
      <c r="U164" s="424"/>
      <c r="V164" s="424"/>
      <c r="W164" s="424"/>
      <c r="X164" s="424"/>
      <c r="Y164" s="424"/>
      <c r="Z164" s="424"/>
      <c r="AA164" s="424"/>
      <c r="AB164" s="424"/>
      <c r="AC164" s="424"/>
      <c r="AD164" s="424"/>
      <c r="AE164" s="424"/>
      <c r="AF164" s="424"/>
      <c r="AG164" s="424"/>
      <c r="AH164" s="424"/>
      <c r="AI164" s="424"/>
      <c r="AJ164" s="424"/>
      <c r="AK164" s="424"/>
      <c r="AL164" s="424"/>
      <c r="AM164" s="424"/>
      <c r="AN164" s="424"/>
    </row>
    <row r="165" spans="1:40" ht="15.75" customHeight="1" thickBot="1" x14ac:dyDescent="0.45">
      <c r="B165" s="424"/>
      <c r="C165" s="527" t="s">
        <v>409</v>
      </c>
      <c r="D165" s="553"/>
      <c r="E165" s="528"/>
      <c r="F165" s="530">
        <v>25834.206371415974</v>
      </c>
      <c r="G165" s="554"/>
      <c r="H165" s="528"/>
      <c r="I165" s="530"/>
      <c r="J165" s="527"/>
      <c r="K165" s="529"/>
      <c r="L165" s="530">
        <v>47188.969999999987</v>
      </c>
      <c r="M165" s="527"/>
      <c r="N165" s="530">
        <v>21354.763628584013</v>
      </c>
      <c r="O165" s="527"/>
      <c r="P165" s="395">
        <v>1.227381682744251E-2</v>
      </c>
      <c r="Q165" s="530">
        <v>17385.659999999887</v>
      </c>
      <c r="R165" s="527"/>
      <c r="S165" s="530">
        <v>29803.3100000001</v>
      </c>
      <c r="T165" s="482"/>
      <c r="U165" s="424"/>
      <c r="V165" s="424"/>
      <c r="W165" s="424"/>
      <c r="X165" s="424"/>
      <c r="Y165" s="424"/>
      <c r="Z165" s="424"/>
      <c r="AA165" s="424"/>
      <c r="AB165" s="424"/>
      <c r="AC165" s="424"/>
      <c r="AD165" s="424"/>
      <c r="AE165" s="424"/>
      <c r="AF165" s="424"/>
      <c r="AG165" s="424"/>
      <c r="AH165" s="424"/>
      <c r="AI165" s="424"/>
      <c r="AJ165" s="424"/>
      <c r="AK165" s="424"/>
      <c r="AL165" s="424"/>
      <c r="AM165" s="424"/>
      <c r="AN165" s="424"/>
    </row>
    <row r="166" spans="1:40" ht="15.75" customHeight="1" thickTop="1" x14ac:dyDescent="0.4">
      <c r="B166" s="424"/>
      <c r="C166" s="421"/>
      <c r="D166" s="421"/>
      <c r="E166" s="421"/>
      <c r="F166" s="555"/>
      <c r="G166" s="421"/>
      <c r="H166" s="421"/>
      <c r="I166" s="421"/>
      <c r="J166" s="421"/>
      <c r="K166" s="421"/>
      <c r="L166" s="555"/>
      <c r="M166" s="421"/>
      <c r="N166" s="421"/>
      <c r="O166" s="421"/>
      <c r="P166" s="421"/>
      <c r="Q166" s="421"/>
      <c r="R166" s="421"/>
      <c r="S166" s="421"/>
      <c r="T166" s="555"/>
      <c r="U166" s="421"/>
      <c r="V166" s="424"/>
      <c r="W166" s="424"/>
      <c r="X166" s="424"/>
      <c r="Y166" s="424"/>
      <c r="Z166" s="424"/>
      <c r="AA166" s="424"/>
      <c r="AB166" s="424"/>
      <c r="AC166" s="424"/>
      <c r="AD166" s="424"/>
      <c r="AE166" s="424"/>
      <c r="AF166" s="424"/>
      <c r="AG166" s="424"/>
      <c r="AH166" s="424"/>
      <c r="AI166" s="424"/>
      <c r="AJ166" s="424"/>
      <c r="AK166" s="424"/>
      <c r="AL166" s="424"/>
      <c r="AM166" s="424"/>
      <c r="AN166" s="424"/>
    </row>
    <row r="167" spans="1:40" ht="8.25" customHeight="1" x14ac:dyDescent="0.4">
      <c r="B167" s="424"/>
      <c r="C167" s="421"/>
      <c r="D167" s="421"/>
      <c r="E167" s="421"/>
      <c r="F167" s="421"/>
      <c r="G167" s="421"/>
      <c r="H167" s="421"/>
      <c r="I167" s="421"/>
      <c r="J167" s="421"/>
      <c r="K167" s="421"/>
      <c r="L167" s="421"/>
      <c r="M167" s="421"/>
      <c r="N167" s="421"/>
      <c r="O167" s="421"/>
      <c r="P167" s="421"/>
      <c r="Q167" s="421"/>
      <c r="R167" s="421"/>
      <c r="S167" s="421"/>
      <c r="T167" s="555"/>
      <c r="U167" s="421"/>
      <c r="V167" s="421"/>
      <c r="W167" s="421"/>
      <c r="X167" s="421"/>
      <c r="Y167" s="421"/>
      <c r="Z167" s="421"/>
      <c r="AA167" s="421"/>
      <c r="AB167" s="421"/>
      <c r="AC167" s="421"/>
      <c r="AD167" s="421"/>
      <c r="AE167" s="421"/>
      <c r="AF167" s="421"/>
      <c r="AG167" s="421"/>
      <c r="AH167" s="421"/>
      <c r="AI167" s="421"/>
      <c r="AJ167" s="421"/>
      <c r="AK167" s="421"/>
      <c r="AL167" s="421"/>
      <c r="AM167" s="421"/>
      <c r="AN167" s="421"/>
    </row>
    <row r="168" spans="1:40" ht="33.75" customHeight="1" x14ac:dyDescent="0.7">
      <c r="B168" s="424"/>
      <c r="C168" s="535" t="s">
        <v>706</v>
      </c>
      <c r="D168" s="412"/>
      <c r="E168" s="412"/>
      <c r="F168" s="412"/>
      <c r="G168" s="412"/>
      <c r="H168" s="410"/>
      <c r="I168" s="410"/>
      <c r="J168" s="410"/>
      <c r="K168" s="414" t="s">
        <v>248</v>
      </c>
      <c r="L168" s="412"/>
      <c r="M168" s="412"/>
      <c r="N168" s="410"/>
      <c r="O168" s="410"/>
      <c r="P168" s="412"/>
      <c r="Q168" s="410"/>
      <c r="R168" s="412"/>
      <c r="S168" s="536" t="s">
        <v>723</v>
      </c>
      <c r="T168" s="412"/>
      <c r="U168" s="410"/>
      <c r="V168" s="421"/>
      <c r="W168" s="421"/>
      <c r="X168" s="421"/>
      <c r="Y168" s="421"/>
      <c r="Z168" s="421"/>
      <c r="AA168" s="421"/>
      <c r="AB168" s="421"/>
      <c r="AC168" s="421"/>
      <c r="AD168" s="421"/>
      <c r="AE168" s="421"/>
      <c r="AF168" s="421"/>
      <c r="AG168" s="421"/>
      <c r="AH168" s="421"/>
      <c r="AI168" s="421"/>
      <c r="AJ168" s="421"/>
      <c r="AK168" s="421"/>
      <c r="AL168" s="421"/>
      <c r="AM168" s="421"/>
      <c r="AN168" s="421"/>
    </row>
    <row r="169" spans="1:40" ht="15.75" customHeight="1" thickBot="1" x14ac:dyDescent="0.75">
      <c r="B169" s="424"/>
      <c r="C169" s="419"/>
      <c r="D169" s="421"/>
      <c r="E169" s="421"/>
      <c r="F169" s="421"/>
      <c r="G169" s="421"/>
      <c r="H169" s="421"/>
      <c r="I169" s="421"/>
      <c r="J169" s="421"/>
      <c r="K169" s="421"/>
      <c r="L169" s="421"/>
      <c r="M169" s="421"/>
      <c r="N169" s="421"/>
      <c r="O169" s="421"/>
      <c r="P169" s="421"/>
      <c r="Q169" s="421"/>
      <c r="R169" s="421"/>
      <c r="S169" s="421"/>
      <c r="T169" s="421"/>
      <c r="U169" s="421"/>
      <c r="V169" s="410"/>
      <c r="W169" s="410"/>
      <c r="X169" s="410"/>
      <c r="Y169" s="410"/>
      <c r="Z169" s="410"/>
      <c r="AA169" s="410"/>
      <c r="AB169" s="410"/>
      <c r="AC169" s="410"/>
      <c r="AD169" s="410"/>
      <c r="AE169" s="410"/>
      <c r="AF169" s="410"/>
      <c r="AG169" s="410"/>
      <c r="AH169" s="410"/>
      <c r="AI169" s="410"/>
      <c r="AJ169" s="410"/>
      <c r="AK169" s="410"/>
      <c r="AL169" s="410"/>
      <c r="AM169" s="410"/>
      <c r="AN169" s="410"/>
    </row>
    <row r="170" spans="1:40" ht="15.75" customHeight="1" thickTop="1" x14ac:dyDescent="0.4">
      <c r="B170" s="424"/>
      <c r="C170" s="425"/>
      <c r="D170" s="787" t="s">
        <v>299</v>
      </c>
      <c r="E170" s="788"/>
      <c r="F170" s="789"/>
      <c r="G170" s="790"/>
      <c r="H170" s="788"/>
      <c r="I170" s="789"/>
      <c r="J170" s="790" t="s">
        <v>300</v>
      </c>
      <c r="K170" s="788"/>
      <c r="L170" s="789"/>
      <c r="M170" s="790" t="s">
        <v>301</v>
      </c>
      <c r="N170" s="789"/>
      <c r="O170" s="787" t="s">
        <v>302</v>
      </c>
      <c r="P170" s="788"/>
      <c r="Q170" s="789"/>
      <c r="R170" s="790" t="s">
        <v>303</v>
      </c>
      <c r="S170" s="789"/>
      <c r="T170" s="550"/>
      <c r="AA170" s="421"/>
      <c r="AB170" s="421"/>
      <c r="AC170" s="421"/>
      <c r="AD170" s="421"/>
      <c r="AE170" s="421"/>
      <c r="AF170" s="421"/>
      <c r="AG170" s="421"/>
      <c r="AH170" s="421"/>
      <c r="AI170" s="421"/>
      <c r="AJ170" s="421"/>
      <c r="AK170" s="421"/>
      <c r="AL170" s="421"/>
      <c r="AM170" s="421"/>
      <c r="AN170" s="421"/>
    </row>
    <row r="171" spans="1:40" ht="15.75" customHeight="1" x14ac:dyDescent="0.4">
      <c r="A171" s="433" t="s">
        <v>248</v>
      </c>
      <c r="B171" s="424" t="s">
        <v>248</v>
      </c>
      <c r="C171" s="441"/>
      <c r="D171" s="484" t="s">
        <v>22</v>
      </c>
      <c r="E171" s="484" t="s">
        <v>468</v>
      </c>
      <c r="F171" s="556" t="s">
        <v>24</v>
      </c>
      <c r="G171" s="557"/>
      <c r="H171" s="484"/>
      <c r="I171" s="556"/>
      <c r="J171" s="557" t="s">
        <v>22</v>
      </c>
      <c r="K171" s="484" t="s">
        <v>468</v>
      </c>
      <c r="L171" s="556" t="s">
        <v>24</v>
      </c>
      <c r="M171" s="557" t="s">
        <v>469</v>
      </c>
      <c r="N171" s="556" t="s">
        <v>470</v>
      </c>
      <c r="O171" s="484" t="s">
        <v>22</v>
      </c>
      <c r="P171" s="484" t="s">
        <v>468</v>
      </c>
      <c r="Q171" s="556" t="s">
        <v>24</v>
      </c>
      <c r="R171" s="557" t="s">
        <v>471</v>
      </c>
      <c r="S171" s="556" t="s">
        <v>24</v>
      </c>
      <c r="T171" s="484"/>
      <c r="AA171" s="424"/>
      <c r="AB171" s="424"/>
      <c r="AC171" s="424"/>
      <c r="AD171" s="424"/>
      <c r="AE171" s="424"/>
      <c r="AF171" s="424"/>
      <c r="AG171" s="424"/>
      <c r="AH171" s="424"/>
      <c r="AI171" s="424"/>
      <c r="AJ171" s="424"/>
      <c r="AK171" s="424"/>
      <c r="AL171" s="424"/>
      <c r="AM171" s="424"/>
      <c r="AN171" s="424"/>
    </row>
    <row r="172" spans="1:40" ht="15.75" customHeight="1" x14ac:dyDescent="0.4">
      <c r="A172" s="433" t="s">
        <v>472</v>
      </c>
      <c r="B172" s="424" t="s">
        <v>248</v>
      </c>
      <c r="C172" s="441" t="s">
        <v>473</v>
      </c>
      <c r="D172" s="482">
        <v>419.72</v>
      </c>
      <c r="E172" s="482">
        <v>142704.80000000002</v>
      </c>
      <c r="F172" s="482">
        <v>111309.74400000002</v>
      </c>
      <c r="G172" s="468"/>
      <c r="H172" s="482"/>
      <c r="I172" s="482"/>
      <c r="J172" s="468">
        <v>402</v>
      </c>
      <c r="K172" s="442">
        <v>136183.58000000002</v>
      </c>
      <c r="L172" s="444">
        <v>107609.11000000002</v>
      </c>
      <c r="M172" s="486">
        <v>-4.5697271570402681E-2</v>
      </c>
      <c r="N172" s="467">
        <v>-3700.6340000000055</v>
      </c>
      <c r="O172" s="468">
        <v>332</v>
      </c>
      <c r="P172" s="442">
        <v>128489.54</v>
      </c>
      <c r="Q172" s="444">
        <v>104017.37</v>
      </c>
      <c r="R172" s="486">
        <v>1.2108433734939759</v>
      </c>
      <c r="S172" s="467">
        <v>3591.7400000000198</v>
      </c>
      <c r="T172" s="482"/>
      <c r="AA172" s="424"/>
      <c r="AB172" s="424"/>
      <c r="AC172" s="424"/>
      <c r="AD172" s="424"/>
      <c r="AE172" s="424"/>
      <c r="AF172" s="424"/>
      <c r="AG172" s="424"/>
      <c r="AH172" s="424"/>
      <c r="AI172" s="424"/>
      <c r="AJ172" s="424"/>
      <c r="AK172" s="424"/>
      <c r="AL172" s="424"/>
      <c r="AM172" s="424"/>
      <c r="AN172" s="424"/>
    </row>
    <row r="173" spans="1:40" ht="15.75" customHeight="1" x14ac:dyDescent="0.4">
      <c r="A173" s="433" t="s">
        <v>474</v>
      </c>
      <c r="B173" s="424" t="s">
        <v>248</v>
      </c>
      <c r="C173" s="441" t="s">
        <v>475</v>
      </c>
      <c r="D173" s="482"/>
      <c r="E173" s="544"/>
      <c r="F173" s="558">
        <v>0.78</v>
      </c>
      <c r="G173" s="468"/>
      <c r="H173" s="544"/>
      <c r="I173" s="558"/>
      <c r="J173" s="468"/>
      <c r="K173" s="424"/>
      <c r="L173" s="558">
        <v>0.79017683335979272</v>
      </c>
      <c r="M173" s="486"/>
      <c r="N173" s="467"/>
      <c r="O173" s="468"/>
      <c r="P173" s="424"/>
      <c r="Q173" s="558">
        <v>0.80953959365096961</v>
      </c>
      <c r="R173" s="468"/>
      <c r="S173" s="467"/>
      <c r="T173" s="482"/>
      <c r="AA173" s="424"/>
      <c r="AB173" s="424"/>
      <c r="AC173" s="424"/>
      <c r="AD173" s="424"/>
      <c r="AE173" s="424"/>
      <c r="AF173" s="424"/>
      <c r="AG173" s="424"/>
      <c r="AH173" s="424"/>
      <c r="AI173" s="424"/>
      <c r="AJ173" s="424"/>
      <c r="AK173" s="424"/>
      <c r="AL173" s="424"/>
      <c r="AM173" s="424"/>
      <c r="AN173" s="424"/>
    </row>
    <row r="174" spans="1:40" ht="15.75" customHeight="1" x14ac:dyDescent="0.4">
      <c r="A174" s="433" t="s">
        <v>248</v>
      </c>
      <c r="B174" s="424" t="s">
        <v>248</v>
      </c>
      <c r="C174" s="434"/>
      <c r="D174" s="488"/>
      <c r="E174" s="559">
        <v>340</v>
      </c>
      <c r="F174" s="560"/>
      <c r="G174" s="561"/>
      <c r="H174" s="559"/>
      <c r="I174" s="560"/>
      <c r="J174" s="561"/>
      <c r="K174" s="559">
        <v>338.76512437810948</v>
      </c>
      <c r="L174" s="560"/>
      <c r="M174" s="489"/>
      <c r="N174" s="490"/>
      <c r="O174" s="561"/>
      <c r="P174" s="559">
        <v>387.01668674698794</v>
      </c>
      <c r="Q174" s="560"/>
      <c r="R174" s="561"/>
      <c r="S174" s="490"/>
      <c r="T174" s="482"/>
      <c r="AA174" s="424"/>
      <c r="AB174" s="424"/>
      <c r="AC174" s="424"/>
      <c r="AD174" s="424"/>
      <c r="AE174" s="424"/>
      <c r="AF174" s="424"/>
      <c r="AG174" s="424"/>
      <c r="AH174" s="424"/>
      <c r="AI174" s="424"/>
      <c r="AJ174" s="424"/>
      <c r="AK174" s="424"/>
      <c r="AL174" s="424"/>
      <c r="AM174" s="424"/>
      <c r="AN174" s="424"/>
    </row>
    <row r="175" spans="1:40" ht="18" customHeight="1" x14ac:dyDescent="0.4">
      <c r="A175" s="433" t="s">
        <v>476</v>
      </c>
      <c r="B175" s="424" t="s">
        <v>248</v>
      </c>
      <c r="C175" s="428" t="s">
        <v>477</v>
      </c>
      <c r="D175" s="562">
        <v>149.33000000000001</v>
      </c>
      <c r="E175" s="482">
        <v>40319.1</v>
      </c>
      <c r="F175" s="482">
        <v>25804.223999999998</v>
      </c>
      <c r="G175" s="563"/>
      <c r="H175" s="482"/>
      <c r="I175" s="482"/>
      <c r="J175" s="563">
        <v>211</v>
      </c>
      <c r="K175" s="462">
        <v>68514.11</v>
      </c>
      <c r="L175" s="444">
        <v>42536.59</v>
      </c>
      <c r="M175" s="486">
        <v>0.69929661128348608</v>
      </c>
      <c r="N175" s="512">
        <v>16732.365999999998</v>
      </c>
      <c r="O175" s="563">
        <v>127</v>
      </c>
      <c r="P175" s="462">
        <v>43175.59</v>
      </c>
      <c r="Q175" s="444">
        <v>29221.799999999901</v>
      </c>
      <c r="R175" s="486">
        <v>1.6614173228346456</v>
      </c>
      <c r="S175" s="467">
        <v>13314.790000000095</v>
      </c>
      <c r="T175" s="482"/>
      <c r="U175" s="424"/>
      <c r="V175" s="442"/>
      <c r="W175" s="424"/>
      <c r="AA175" s="424"/>
      <c r="AB175" s="424"/>
      <c r="AC175" s="424"/>
      <c r="AD175" s="424"/>
      <c r="AE175" s="424"/>
      <c r="AF175" s="424"/>
      <c r="AG175" s="424"/>
      <c r="AH175" s="424"/>
      <c r="AI175" s="424"/>
      <c r="AJ175" s="424"/>
      <c r="AK175" s="424"/>
      <c r="AL175" s="424"/>
      <c r="AM175" s="424"/>
      <c r="AN175" s="424"/>
    </row>
    <row r="176" spans="1:40" ht="15.75" customHeight="1" x14ac:dyDescent="0.4">
      <c r="A176" s="433" t="s">
        <v>474</v>
      </c>
      <c r="B176" s="424" t="s">
        <v>248</v>
      </c>
      <c r="C176" s="441" t="s">
        <v>475</v>
      </c>
      <c r="D176" s="424"/>
      <c r="E176" s="424"/>
      <c r="F176" s="558">
        <v>0.64</v>
      </c>
      <c r="G176" s="441"/>
      <c r="H176" s="424"/>
      <c r="I176" s="558"/>
      <c r="J176" s="441"/>
      <c r="K176" s="424"/>
      <c r="L176" s="558">
        <v>0.62084423193996097</v>
      </c>
      <c r="M176" s="458"/>
      <c r="N176" s="459"/>
      <c r="O176" s="441"/>
      <c r="P176" s="424"/>
      <c r="Q176" s="558">
        <v>0.67681298622670594</v>
      </c>
      <c r="R176" s="458"/>
      <c r="S176" s="459"/>
      <c r="T176" s="424"/>
      <c r="U176" s="424"/>
      <c r="V176" s="442"/>
      <c r="W176" s="564"/>
      <c r="AA176" s="424"/>
      <c r="AB176" s="424"/>
      <c r="AC176" s="424"/>
      <c r="AD176" s="424"/>
      <c r="AE176" s="424"/>
      <c r="AF176" s="424"/>
      <c r="AG176" s="424"/>
      <c r="AH176" s="424"/>
      <c r="AI176" s="424"/>
      <c r="AJ176" s="424"/>
      <c r="AK176" s="424"/>
      <c r="AL176" s="424"/>
      <c r="AM176" s="424"/>
      <c r="AN176" s="424"/>
    </row>
    <row r="177" spans="1:40" ht="15.75" customHeight="1" x14ac:dyDescent="0.4">
      <c r="A177" s="433" t="s">
        <v>248</v>
      </c>
      <c r="B177" s="424" t="s">
        <v>248</v>
      </c>
      <c r="C177" s="434"/>
      <c r="D177" s="513"/>
      <c r="E177" s="559">
        <v>269.99999999999994</v>
      </c>
      <c r="F177" s="560"/>
      <c r="G177" s="561"/>
      <c r="H177" s="559"/>
      <c r="I177" s="560"/>
      <c r="J177" s="561"/>
      <c r="K177" s="559">
        <v>324.71142180094785</v>
      </c>
      <c r="L177" s="560"/>
      <c r="M177" s="489"/>
      <c r="N177" s="490"/>
      <c r="O177" s="561"/>
      <c r="P177" s="559">
        <v>339.96527559055113</v>
      </c>
      <c r="Q177" s="560"/>
      <c r="R177" s="565"/>
      <c r="S177" s="566"/>
      <c r="T177" s="424"/>
      <c r="AA177" s="424"/>
      <c r="AB177" s="424"/>
      <c r="AC177" s="424"/>
      <c r="AD177" s="424"/>
      <c r="AE177" s="424"/>
      <c r="AF177" s="424"/>
      <c r="AG177" s="424"/>
      <c r="AH177" s="424"/>
      <c r="AI177" s="424"/>
      <c r="AJ177" s="424"/>
      <c r="AK177" s="424"/>
      <c r="AL177" s="424"/>
      <c r="AM177" s="424"/>
      <c r="AN177" s="424"/>
    </row>
    <row r="178" spans="1:40" ht="15.75" customHeight="1" x14ac:dyDescent="0.4">
      <c r="A178" s="433" t="s">
        <v>478</v>
      </c>
      <c r="B178" s="424" t="s">
        <v>248</v>
      </c>
      <c r="C178" s="441" t="s">
        <v>479</v>
      </c>
      <c r="D178" s="482">
        <v>272.07</v>
      </c>
      <c r="E178" s="482">
        <v>83530.931399999987</v>
      </c>
      <c r="F178" s="482">
        <v>61812.889235999988</v>
      </c>
      <c r="G178" s="468"/>
      <c r="H178" s="482"/>
      <c r="I178" s="482"/>
      <c r="J178" s="468">
        <v>249</v>
      </c>
      <c r="K178" s="462">
        <v>93153.12000000001</v>
      </c>
      <c r="L178" s="444">
        <v>74412.23000000001</v>
      </c>
      <c r="M178" s="486">
        <v>0.11519311994646363</v>
      </c>
      <c r="N178" s="467">
        <v>12599.340764000022</v>
      </c>
      <c r="O178" s="468">
        <v>231</v>
      </c>
      <c r="P178" s="462">
        <v>78242.6899999999</v>
      </c>
      <c r="Q178" s="444">
        <v>57114.249999999898</v>
      </c>
      <c r="R178" s="486">
        <v>1.0779220779220779</v>
      </c>
      <c r="S178" s="467">
        <v>17297.980000000112</v>
      </c>
      <c r="T178" s="482"/>
      <c r="AA178" s="424"/>
      <c r="AB178" s="424"/>
      <c r="AC178" s="424"/>
      <c r="AD178" s="424"/>
      <c r="AE178" s="424"/>
      <c r="AF178" s="424"/>
      <c r="AG178" s="424"/>
      <c r="AH178" s="424"/>
      <c r="AI178" s="424"/>
      <c r="AJ178" s="424"/>
      <c r="AK178" s="424"/>
      <c r="AL178" s="424"/>
      <c r="AM178" s="424"/>
      <c r="AN178" s="424"/>
    </row>
    <row r="179" spans="1:40" ht="15.75" customHeight="1" x14ac:dyDescent="0.4">
      <c r="A179" s="433" t="s">
        <v>474</v>
      </c>
      <c r="B179" s="424" t="s">
        <v>248</v>
      </c>
      <c r="C179" s="441" t="s">
        <v>475</v>
      </c>
      <c r="D179" s="482"/>
      <c r="E179" s="544"/>
      <c r="F179" s="558">
        <v>0.74</v>
      </c>
      <c r="G179" s="468"/>
      <c r="H179" s="544"/>
      <c r="I179" s="558"/>
      <c r="J179" s="468"/>
      <c r="K179" s="544"/>
      <c r="L179" s="558">
        <v>0.79881629300231705</v>
      </c>
      <c r="M179" s="486"/>
      <c r="N179" s="467">
        <v>5.8816293002317055E-2</v>
      </c>
      <c r="O179" s="468"/>
      <c r="P179" s="544"/>
      <c r="Q179" s="558">
        <v>0.72996276073841493</v>
      </c>
      <c r="R179" s="468">
        <v>0</v>
      </c>
      <c r="S179" s="467"/>
      <c r="T179" s="482"/>
      <c r="AA179" s="424"/>
      <c r="AB179" s="424"/>
      <c r="AC179" s="424"/>
      <c r="AD179" s="424"/>
      <c r="AE179" s="424"/>
      <c r="AF179" s="424"/>
      <c r="AG179" s="424"/>
      <c r="AH179" s="424"/>
      <c r="AI179" s="424"/>
      <c r="AJ179" s="424"/>
      <c r="AK179" s="424"/>
      <c r="AL179" s="424"/>
      <c r="AM179" s="424"/>
      <c r="AN179" s="424"/>
    </row>
    <row r="180" spans="1:40" ht="15.75" customHeight="1" x14ac:dyDescent="0.4">
      <c r="A180" s="433" t="s">
        <v>248</v>
      </c>
      <c r="B180" s="424" t="s">
        <v>248</v>
      </c>
      <c r="C180" s="441"/>
      <c r="D180" s="482"/>
      <c r="E180" s="559">
        <v>307.02</v>
      </c>
      <c r="F180" s="560"/>
      <c r="G180" s="561"/>
      <c r="H180" s="559"/>
      <c r="I180" s="560"/>
      <c r="J180" s="561"/>
      <c r="K180" s="559">
        <v>374.10891566265065</v>
      </c>
      <c r="L180" s="560"/>
      <c r="M180" s="489"/>
      <c r="N180" s="490"/>
      <c r="O180" s="561"/>
      <c r="P180" s="559">
        <v>338.71294372294329</v>
      </c>
      <c r="Q180" s="558"/>
      <c r="R180" s="561"/>
      <c r="S180" s="467"/>
      <c r="T180" s="482"/>
      <c r="U180" s="461"/>
      <c r="AA180" s="424"/>
      <c r="AB180" s="424"/>
      <c r="AC180" s="424"/>
      <c r="AD180" s="424"/>
      <c r="AE180" s="424"/>
      <c r="AF180" s="424"/>
      <c r="AG180" s="424"/>
      <c r="AH180" s="424"/>
      <c r="AI180" s="424"/>
      <c r="AJ180" s="424"/>
      <c r="AK180" s="424"/>
      <c r="AL180" s="424"/>
      <c r="AM180" s="424"/>
      <c r="AN180" s="424"/>
    </row>
    <row r="181" spans="1:40" ht="15.75" customHeight="1" x14ac:dyDescent="0.4">
      <c r="A181" s="433" t="s">
        <v>480</v>
      </c>
      <c r="B181" s="424" t="s">
        <v>248</v>
      </c>
      <c r="C181" s="428" t="s">
        <v>481</v>
      </c>
      <c r="D181" s="562">
        <v>39.564</v>
      </c>
      <c r="E181" s="482">
        <v>10682.28</v>
      </c>
      <c r="F181" s="482">
        <v>8011.7100000000009</v>
      </c>
      <c r="G181" s="563"/>
      <c r="H181" s="482"/>
      <c r="I181" s="482"/>
      <c r="J181" s="563">
        <v>0</v>
      </c>
      <c r="K181" s="462">
        <v>8246.2000000000007</v>
      </c>
      <c r="L181" s="463">
        <v>6572.43</v>
      </c>
      <c r="M181" s="567">
        <v>-0.22804869372456066</v>
      </c>
      <c r="N181" s="512">
        <v>-1439.2800000000007</v>
      </c>
      <c r="O181" s="563">
        <v>0</v>
      </c>
      <c r="P181" s="462">
        <v>9823.68</v>
      </c>
      <c r="Q181" s="463">
        <v>8360.49</v>
      </c>
      <c r="R181" s="486">
        <v>0</v>
      </c>
      <c r="S181" s="512">
        <v>-1788.0599999999995</v>
      </c>
      <c r="T181" s="482"/>
      <c r="U181" s="461"/>
      <c r="AA181" s="424"/>
      <c r="AB181" s="424"/>
      <c r="AC181" s="424"/>
      <c r="AD181" s="424"/>
      <c r="AE181" s="424"/>
      <c r="AF181" s="424"/>
      <c r="AG181" s="424"/>
      <c r="AH181" s="424"/>
      <c r="AI181" s="424"/>
      <c r="AJ181" s="424"/>
      <c r="AK181" s="424"/>
      <c r="AL181" s="424"/>
      <c r="AM181" s="424"/>
      <c r="AN181" s="424"/>
    </row>
    <row r="182" spans="1:40" ht="15.75" customHeight="1" x14ac:dyDescent="0.4">
      <c r="A182" s="433" t="s">
        <v>474</v>
      </c>
      <c r="B182" s="424" t="s">
        <v>248</v>
      </c>
      <c r="C182" s="441" t="s">
        <v>475</v>
      </c>
      <c r="D182" s="480"/>
      <c r="E182" s="568"/>
      <c r="F182" s="558">
        <v>0.75</v>
      </c>
      <c r="G182" s="460"/>
      <c r="H182" s="568"/>
      <c r="I182" s="558"/>
      <c r="J182" s="569"/>
      <c r="K182" s="568">
        <v>0</v>
      </c>
      <c r="L182" s="558">
        <v>0.79702529650020615</v>
      </c>
      <c r="M182" s="468">
        <v>0</v>
      </c>
      <c r="N182" s="570"/>
      <c r="O182" s="569"/>
      <c r="P182" s="568"/>
      <c r="Q182" s="558">
        <v>0.85105479820189578</v>
      </c>
      <c r="R182" s="441"/>
      <c r="S182" s="570"/>
      <c r="T182" s="514"/>
      <c r="U182" s="461"/>
      <c r="AA182" s="424"/>
      <c r="AB182" s="424"/>
      <c r="AC182" s="424"/>
      <c r="AD182" s="424"/>
      <c r="AE182" s="424"/>
      <c r="AF182" s="424"/>
      <c r="AG182" s="424"/>
      <c r="AH182" s="424"/>
      <c r="AI182" s="424"/>
      <c r="AJ182" s="424"/>
      <c r="AK182" s="424"/>
      <c r="AL182" s="424"/>
      <c r="AM182" s="424"/>
      <c r="AN182" s="424"/>
    </row>
    <row r="183" spans="1:40" ht="15.75" customHeight="1" x14ac:dyDescent="0.4">
      <c r="A183" s="433" t="s">
        <v>248</v>
      </c>
      <c r="B183" s="424" t="s">
        <v>248</v>
      </c>
      <c r="C183" s="434"/>
      <c r="D183" s="571"/>
      <c r="E183" s="572"/>
      <c r="F183" s="560"/>
      <c r="G183" s="454"/>
      <c r="H183" s="572"/>
      <c r="I183" s="560"/>
      <c r="J183" s="573"/>
      <c r="K183" s="438"/>
      <c r="L183" s="560"/>
      <c r="M183" s="561"/>
      <c r="N183" s="574"/>
      <c r="O183" s="573"/>
      <c r="P183" s="438">
        <v>0</v>
      </c>
      <c r="Q183" s="560"/>
      <c r="R183" s="434"/>
      <c r="S183" s="574"/>
      <c r="T183" s="514"/>
      <c r="AA183" s="424"/>
      <c r="AB183" s="424"/>
      <c r="AC183" s="424"/>
      <c r="AD183" s="424"/>
      <c r="AE183" s="424"/>
      <c r="AF183" s="424"/>
      <c r="AG183" s="424"/>
      <c r="AH183" s="424"/>
      <c r="AI183" s="424"/>
      <c r="AJ183" s="424"/>
      <c r="AK183" s="424"/>
      <c r="AL183" s="424"/>
      <c r="AM183" s="424"/>
      <c r="AN183" s="424"/>
    </row>
    <row r="184" spans="1:40" ht="26.25" customHeight="1" thickBot="1" x14ac:dyDescent="0.45">
      <c r="A184" s="433" t="s">
        <v>482</v>
      </c>
      <c r="B184" s="424" t="s">
        <v>248</v>
      </c>
      <c r="C184" s="441" t="s">
        <v>483</v>
      </c>
      <c r="D184" s="424"/>
      <c r="E184" s="424"/>
      <c r="F184" s="467">
        <v>-3339.351196293635</v>
      </c>
      <c r="G184" s="441"/>
      <c r="H184" s="482"/>
      <c r="I184" s="482"/>
      <c r="J184" s="468"/>
      <c r="K184" s="482"/>
      <c r="L184" s="482">
        <v>-1154.1300000000001</v>
      </c>
      <c r="M184" s="569"/>
      <c r="N184" s="467">
        <v>2185.2211962936349</v>
      </c>
      <c r="O184" s="468"/>
      <c r="P184" s="482"/>
      <c r="Q184" s="444">
        <v>-1170.23</v>
      </c>
      <c r="R184" s="575"/>
      <c r="S184" s="467">
        <v>16.099999999999909</v>
      </c>
      <c r="T184" s="424"/>
      <c r="U184" s="424"/>
      <c r="V184" s="424"/>
      <c r="W184" s="424"/>
      <c r="X184" s="424"/>
      <c r="Y184" s="424"/>
      <c r="Z184" s="424"/>
      <c r="AA184" s="424"/>
      <c r="AB184" s="424"/>
      <c r="AC184" s="424"/>
      <c r="AD184" s="424"/>
      <c r="AE184" s="424"/>
      <c r="AF184" s="424"/>
      <c r="AG184" s="424"/>
      <c r="AH184" s="424"/>
      <c r="AI184" s="424"/>
      <c r="AJ184" s="424"/>
      <c r="AK184" s="424"/>
      <c r="AL184" s="424"/>
      <c r="AM184" s="424"/>
      <c r="AN184" s="424"/>
    </row>
    <row r="185" spans="1:40" ht="15.75" customHeight="1" thickTop="1" x14ac:dyDescent="0.4">
      <c r="A185" s="433" t="s">
        <v>484</v>
      </c>
      <c r="B185" s="424" t="s">
        <v>248</v>
      </c>
      <c r="C185" s="576" t="s">
        <v>485</v>
      </c>
      <c r="D185" s="577">
        <v>880.68400000000008</v>
      </c>
      <c r="E185" s="577">
        <v>277237.11140000005</v>
      </c>
      <c r="F185" s="578">
        <v>203599.21603970637</v>
      </c>
      <c r="G185" s="579"/>
      <c r="H185" s="577"/>
      <c r="I185" s="578"/>
      <c r="J185" s="579">
        <v>862</v>
      </c>
      <c r="K185" s="577">
        <v>306097.01</v>
      </c>
      <c r="L185" s="578">
        <v>229976.23</v>
      </c>
      <c r="M185" s="580">
        <v>0.10409825168882478</v>
      </c>
      <c r="N185" s="578">
        <v>26377.01396029364</v>
      </c>
      <c r="O185" s="579">
        <v>690</v>
      </c>
      <c r="P185" s="577">
        <v>259731.49999999988</v>
      </c>
      <c r="Q185" s="578">
        <v>197543.67999999979</v>
      </c>
      <c r="R185" s="458">
        <v>1.2492753623188406</v>
      </c>
      <c r="S185" s="578">
        <v>32432.550000000221</v>
      </c>
      <c r="T185" s="514"/>
      <c r="U185" s="424"/>
      <c r="V185" s="424"/>
      <c r="W185" s="424"/>
      <c r="X185" s="424"/>
      <c r="Y185" s="424"/>
      <c r="Z185" s="424"/>
      <c r="AA185" s="424"/>
      <c r="AB185" s="424"/>
      <c r="AC185" s="424"/>
      <c r="AD185" s="424"/>
      <c r="AE185" s="424"/>
      <c r="AF185" s="424"/>
      <c r="AG185" s="424"/>
      <c r="AH185" s="424"/>
      <c r="AI185" s="424"/>
      <c r="AJ185" s="424"/>
      <c r="AK185" s="424"/>
      <c r="AL185" s="424"/>
      <c r="AM185" s="424"/>
      <c r="AN185" s="424"/>
    </row>
    <row r="186" spans="1:40" ht="15.75" customHeight="1" x14ac:dyDescent="0.4">
      <c r="A186" s="433" t="s">
        <v>486</v>
      </c>
      <c r="B186" s="424" t="s">
        <v>248</v>
      </c>
      <c r="C186" s="581" t="s">
        <v>487</v>
      </c>
      <c r="D186" s="582"/>
      <c r="E186" s="583"/>
      <c r="F186" s="584">
        <v>0.73438658703218018</v>
      </c>
      <c r="G186" s="585"/>
      <c r="H186" s="583"/>
      <c r="I186" s="459"/>
      <c r="J186" s="585"/>
      <c r="K186" s="583">
        <v>355.100939675174</v>
      </c>
      <c r="L186" s="459">
        <v>0.75131811970329276</v>
      </c>
      <c r="M186" s="585"/>
      <c r="N186" s="584">
        <v>0.12955361259912482</v>
      </c>
      <c r="O186" s="585"/>
      <c r="P186" s="583">
        <v>376.42246376811579</v>
      </c>
      <c r="Q186" s="459">
        <v>0.76056881818339273</v>
      </c>
      <c r="R186" s="585"/>
      <c r="S186" s="459">
        <v>0.16417913243288904</v>
      </c>
      <c r="T186" s="514"/>
      <c r="U186" s="424"/>
      <c r="V186" s="424"/>
      <c r="W186" s="424"/>
      <c r="X186" s="424"/>
      <c r="Y186" s="424"/>
      <c r="Z186" s="424"/>
      <c r="AA186" s="424"/>
      <c r="AB186" s="424"/>
      <c r="AC186" s="424"/>
      <c r="AD186" s="424"/>
      <c r="AE186" s="424"/>
      <c r="AF186" s="424"/>
      <c r="AG186" s="424"/>
      <c r="AH186" s="424"/>
      <c r="AI186" s="424"/>
      <c r="AJ186" s="424"/>
      <c r="AK186" s="424"/>
      <c r="AL186" s="424"/>
      <c r="AM186" s="424"/>
      <c r="AN186" s="424"/>
    </row>
    <row r="187" spans="1:40" ht="15.75" customHeight="1" x14ac:dyDescent="0.4">
      <c r="A187" s="433" t="s">
        <v>248</v>
      </c>
      <c r="B187" s="424" t="s">
        <v>248</v>
      </c>
      <c r="C187" s="447"/>
      <c r="D187" s="586"/>
      <c r="E187" s="587"/>
      <c r="F187" s="588"/>
      <c r="G187" s="589"/>
      <c r="H187" s="587"/>
      <c r="I187" s="588"/>
      <c r="J187" s="589"/>
      <c r="K187" s="587"/>
      <c r="L187" s="588"/>
      <c r="M187" s="589"/>
      <c r="N187" s="588"/>
      <c r="O187" s="589"/>
      <c r="P187" s="587"/>
      <c r="Q187" s="588"/>
      <c r="R187" s="589"/>
      <c r="S187" s="588"/>
      <c r="T187" s="514"/>
      <c r="U187" s="424"/>
      <c r="V187" s="424"/>
      <c r="W187" s="424"/>
      <c r="X187" s="424"/>
      <c r="Y187" s="424"/>
      <c r="Z187" s="424"/>
      <c r="AA187" s="424"/>
      <c r="AB187" s="424"/>
      <c r="AC187" s="424"/>
      <c r="AD187" s="424"/>
      <c r="AE187" s="424"/>
      <c r="AF187" s="424"/>
      <c r="AG187" s="424"/>
      <c r="AH187" s="424"/>
      <c r="AI187" s="424"/>
      <c r="AJ187" s="424"/>
      <c r="AK187" s="424"/>
      <c r="AL187" s="424"/>
      <c r="AM187" s="424"/>
      <c r="AN187" s="424"/>
    </row>
    <row r="188" spans="1:40" ht="19.5" customHeight="1" x14ac:dyDescent="0.4">
      <c r="A188" s="433" t="s">
        <v>488</v>
      </c>
      <c r="B188" s="424" t="s">
        <v>248</v>
      </c>
      <c r="C188" s="441" t="s">
        <v>489</v>
      </c>
      <c r="D188" s="482"/>
      <c r="E188" s="482">
        <v>19093.32</v>
      </c>
      <c r="F188" s="482">
        <v>3360.4243199999996</v>
      </c>
      <c r="G188" s="468"/>
      <c r="H188" s="482"/>
      <c r="I188" s="482"/>
      <c r="J188" s="468"/>
      <c r="K188" s="442">
        <v>22735.489999999998</v>
      </c>
      <c r="L188" s="444">
        <v>4126.4599999999991</v>
      </c>
      <c r="M188" s="486">
        <v>0.19075624354486273</v>
      </c>
      <c r="N188" s="467">
        <v>766.0356799999995</v>
      </c>
      <c r="O188" s="468"/>
      <c r="P188" s="442">
        <v>23727.87</v>
      </c>
      <c r="Q188" s="444">
        <v>4904.13</v>
      </c>
      <c r="R188" s="486">
        <v>0</v>
      </c>
      <c r="S188" s="467">
        <v>-777.67000000000098</v>
      </c>
      <c r="T188" s="514"/>
      <c r="U188" s="424"/>
      <c r="V188" s="424"/>
      <c r="W188" s="424"/>
      <c r="X188" s="424"/>
      <c r="Y188" s="424"/>
      <c r="Z188" s="424"/>
      <c r="AA188" s="424"/>
      <c r="AB188" s="424"/>
      <c r="AC188" s="424"/>
      <c r="AD188" s="424"/>
      <c r="AE188" s="424"/>
      <c r="AF188" s="424"/>
      <c r="AG188" s="424"/>
      <c r="AH188" s="424"/>
      <c r="AI188" s="424"/>
      <c r="AJ188" s="424"/>
      <c r="AK188" s="424"/>
      <c r="AL188" s="424"/>
      <c r="AM188" s="424"/>
      <c r="AN188" s="424"/>
    </row>
    <row r="189" spans="1:40" ht="21" customHeight="1" x14ac:dyDescent="0.4">
      <c r="A189" s="433" t="s">
        <v>474</v>
      </c>
      <c r="B189" s="424" t="s">
        <v>248</v>
      </c>
      <c r="C189" s="441" t="s">
        <v>475</v>
      </c>
      <c r="D189" s="424"/>
      <c r="E189" s="544"/>
      <c r="F189" s="558">
        <v>0.17599999999999999</v>
      </c>
      <c r="G189" s="441"/>
      <c r="H189" s="544"/>
      <c r="I189" s="558"/>
      <c r="J189" s="569"/>
      <c r="K189" s="568"/>
      <c r="L189" s="558">
        <v>0.18149861735990733</v>
      </c>
      <c r="M189" s="569"/>
      <c r="N189" s="570"/>
      <c r="O189" s="569"/>
      <c r="P189" s="568"/>
      <c r="Q189" s="558">
        <v>0.20668226857277963</v>
      </c>
      <c r="R189" s="569"/>
      <c r="S189" s="570"/>
      <c r="T189" s="514"/>
      <c r="U189" s="424"/>
      <c r="V189" s="424"/>
      <c r="W189" s="424"/>
      <c r="X189" s="424"/>
      <c r="Y189" s="424"/>
      <c r="Z189" s="424"/>
      <c r="AA189" s="424"/>
      <c r="AB189" s="424"/>
      <c r="AC189" s="424"/>
      <c r="AD189" s="424"/>
      <c r="AE189" s="424"/>
      <c r="AF189" s="424"/>
      <c r="AG189" s="424"/>
      <c r="AH189" s="424"/>
      <c r="AI189" s="424"/>
      <c r="AJ189" s="424"/>
      <c r="AK189" s="424"/>
      <c r="AL189" s="424"/>
      <c r="AM189" s="424"/>
      <c r="AN189" s="424"/>
    </row>
    <row r="190" spans="1:40" ht="15.75" customHeight="1" x14ac:dyDescent="0.4">
      <c r="A190" s="433" t="s">
        <v>248</v>
      </c>
      <c r="B190" s="424" t="s">
        <v>248</v>
      </c>
      <c r="C190" s="441"/>
      <c r="D190" s="424"/>
      <c r="E190" s="544"/>
      <c r="F190" s="558"/>
      <c r="G190" s="441"/>
      <c r="H190" s="544"/>
      <c r="I190" s="558"/>
      <c r="J190" s="569"/>
      <c r="K190" s="568"/>
      <c r="L190" s="558"/>
      <c r="M190" s="569"/>
      <c r="N190" s="570"/>
      <c r="O190" s="569"/>
      <c r="P190" s="568"/>
      <c r="Q190" s="558"/>
      <c r="R190" s="569"/>
      <c r="S190" s="570"/>
      <c r="T190" s="514"/>
      <c r="U190" s="424"/>
      <c r="V190" s="424"/>
      <c r="W190" s="424"/>
      <c r="X190" s="424"/>
      <c r="Y190" s="424"/>
      <c r="Z190" s="424"/>
      <c r="AA190" s="424"/>
      <c r="AB190" s="424"/>
      <c r="AC190" s="424"/>
      <c r="AD190" s="424"/>
      <c r="AE190" s="424"/>
      <c r="AF190" s="424"/>
      <c r="AG190" s="424"/>
      <c r="AH190" s="424"/>
      <c r="AI190" s="424"/>
      <c r="AJ190" s="424"/>
      <c r="AK190" s="424"/>
      <c r="AL190" s="424"/>
      <c r="AM190" s="424"/>
      <c r="AN190" s="424"/>
    </row>
    <row r="191" spans="1:40" ht="15.75" customHeight="1" x14ac:dyDescent="0.4">
      <c r="A191" s="433" t="s">
        <v>490</v>
      </c>
      <c r="B191" s="424" t="s">
        <v>248</v>
      </c>
      <c r="C191" s="441" t="s">
        <v>491</v>
      </c>
      <c r="D191" s="424"/>
      <c r="E191" s="482">
        <v>8190</v>
      </c>
      <c r="F191" s="482">
        <v>5733</v>
      </c>
      <c r="G191" s="441"/>
      <c r="H191" s="482"/>
      <c r="I191" s="482"/>
      <c r="J191" s="468">
        <v>47</v>
      </c>
      <c r="K191" s="442">
        <v>8810.2999999999993</v>
      </c>
      <c r="L191" s="444">
        <v>7200.49</v>
      </c>
      <c r="M191" s="486">
        <v>7.5738705738705656E-2</v>
      </c>
      <c r="N191" s="467">
        <v>1467.4899999999998</v>
      </c>
      <c r="O191" s="569"/>
      <c r="P191" s="442">
        <v>6372.75</v>
      </c>
      <c r="Q191" s="444">
        <v>4669.1499999999996</v>
      </c>
      <c r="R191" s="569"/>
      <c r="S191" s="570"/>
      <c r="T191" s="514"/>
      <c r="U191" s="424"/>
      <c r="V191" s="424"/>
      <c r="W191" s="424"/>
      <c r="X191" s="424"/>
      <c r="Y191" s="424"/>
      <c r="Z191" s="424"/>
      <c r="AA191" s="424"/>
      <c r="AB191" s="424"/>
      <c r="AC191" s="424"/>
      <c r="AD191" s="424"/>
      <c r="AE191" s="424"/>
      <c r="AF191" s="424"/>
      <c r="AG191" s="424"/>
      <c r="AH191" s="424"/>
      <c r="AI191" s="424"/>
      <c r="AJ191" s="424"/>
      <c r="AK191" s="424"/>
      <c r="AL191" s="424"/>
      <c r="AM191" s="424"/>
      <c r="AN191" s="424"/>
    </row>
    <row r="192" spans="1:40" ht="15.75" customHeight="1" x14ac:dyDescent="0.4">
      <c r="A192" s="433" t="s">
        <v>474</v>
      </c>
      <c r="B192" s="424" t="s">
        <v>248</v>
      </c>
      <c r="C192" s="441" t="s">
        <v>475</v>
      </c>
      <c r="D192" s="424"/>
      <c r="E192" s="544"/>
      <c r="F192" s="558">
        <v>0.7</v>
      </c>
      <c r="G192" s="441"/>
      <c r="H192" s="544"/>
      <c r="I192" s="558"/>
      <c r="J192" s="569"/>
      <c r="K192" s="568"/>
      <c r="L192" s="558">
        <v>0.81728090984415969</v>
      </c>
      <c r="M192" s="569"/>
      <c r="N192" s="570"/>
      <c r="O192" s="569"/>
      <c r="P192" s="568"/>
      <c r="Q192" s="558">
        <v>0.73267427719587297</v>
      </c>
      <c r="R192" s="569"/>
      <c r="S192" s="570"/>
      <c r="T192" s="514"/>
      <c r="U192" s="442"/>
      <c r="V192" s="424"/>
      <c r="W192" s="424"/>
      <c r="X192" s="424"/>
      <c r="Y192" s="424"/>
      <c r="Z192" s="424"/>
      <c r="AA192" s="424"/>
      <c r="AB192" s="424"/>
      <c r="AC192" s="424"/>
      <c r="AD192" s="424"/>
      <c r="AE192" s="424"/>
      <c r="AF192" s="424"/>
      <c r="AG192" s="424"/>
      <c r="AH192" s="424"/>
      <c r="AI192" s="424"/>
      <c r="AJ192" s="424"/>
      <c r="AK192" s="424"/>
      <c r="AL192" s="424"/>
      <c r="AM192" s="424"/>
      <c r="AN192" s="424"/>
    </row>
    <row r="193" spans="1:40" ht="15.75" customHeight="1" thickBot="1" x14ac:dyDescent="0.45">
      <c r="A193" s="433" t="s">
        <v>248</v>
      </c>
      <c r="B193" s="424" t="s">
        <v>248</v>
      </c>
      <c r="C193" s="590"/>
      <c r="D193" s="591"/>
      <c r="E193" s="592"/>
      <c r="F193" s="593"/>
      <c r="G193" s="594"/>
      <c r="H193" s="592"/>
      <c r="I193" s="593"/>
      <c r="J193" s="594"/>
      <c r="K193" s="592"/>
      <c r="L193" s="593"/>
      <c r="M193" s="594"/>
      <c r="N193" s="593"/>
      <c r="O193" s="594"/>
      <c r="P193" s="592"/>
      <c r="Q193" s="593"/>
      <c r="R193" s="594"/>
      <c r="S193" s="593"/>
      <c r="T193" s="514"/>
      <c r="U193" s="424"/>
      <c r="V193" s="424"/>
      <c r="W193" s="424"/>
      <c r="X193" s="424"/>
      <c r="Y193" s="424"/>
      <c r="Z193" s="424"/>
      <c r="AA193" s="424"/>
      <c r="AB193" s="424"/>
      <c r="AC193" s="424"/>
      <c r="AD193" s="424"/>
      <c r="AE193" s="424"/>
      <c r="AF193" s="424"/>
      <c r="AG193" s="424"/>
      <c r="AH193" s="424"/>
      <c r="AI193" s="424"/>
      <c r="AJ193" s="424"/>
      <c r="AK193" s="424"/>
      <c r="AL193" s="424"/>
      <c r="AM193" s="424"/>
      <c r="AN193" s="424"/>
    </row>
    <row r="194" spans="1:40" ht="24.75" customHeight="1" thickTop="1" x14ac:dyDescent="0.4">
      <c r="A194" s="433" t="s">
        <v>492</v>
      </c>
      <c r="B194" s="424" t="s">
        <v>248</v>
      </c>
      <c r="C194" s="469" t="s">
        <v>493</v>
      </c>
      <c r="D194" s="470"/>
      <c r="E194" s="470">
        <v>304520.43140000006</v>
      </c>
      <c r="F194" s="472">
        <v>212692.64035970636</v>
      </c>
      <c r="G194" s="473"/>
      <c r="H194" s="470"/>
      <c r="I194" s="472"/>
      <c r="J194" s="473"/>
      <c r="K194" s="470">
        <v>337642.8</v>
      </c>
      <c r="L194" s="472">
        <v>241303.18</v>
      </c>
      <c r="M194" s="595">
        <v>1.621886727948274E-2</v>
      </c>
      <c r="N194" s="472">
        <v>28610.539640293631</v>
      </c>
      <c r="O194" s="473"/>
      <c r="P194" s="470">
        <v>289832.11999999988</v>
      </c>
      <c r="Q194" s="472">
        <v>207116.95999999979</v>
      </c>
      <c r="R194" s="595"/>
      <c r="S194" s="472">
        <v>34186.220000000205</v>
      </c>
      <c r="T194" s="514"/>
      <c r="U194" s="398"/>
      <c r="V194" s="424"/>
      <c r="W194" s="424"/>
      <c r="X194" s="424"/>
      <c r="Y194" s="424"/>
      <c r="Z194" s="424"/>
      <c r="AA194" s="424"/>
      <c r="AB194" s="424"/>
      <c r="AC194" s="424"/>
      <c r="AD194" s="424"/>
      <c r="AE194" s="424"/>
      <c r="AF194" s="424"/>
      <c r="AG194" s="424"/>
      <c r="AH194" s="424"/>
      <c r="AI194" s="424"/>
      <c r="AJ194" s="424"/>
      <c r="AK194" s="424"/>
      <c r="AL194" s="424"/>
      <c r="AM194" s="424"/>
      <c r="AN194" s="424"/>
    </row>
    <row r="195" spans="1:40" ht="24" customHeight="1" thickBot="1" x14ac:dyDescent="0.45">
      <c r="A195" s="433" t="s">
        <v>248</v>
      </c>
      <c r="B195" s="424" t="s">
        <v>248</v>
      </c>
      <c r="C195" s="474"/>
      <c r="D195" s="475"/>
      <c r="E195" s="475"/>
      <c r="F195" s="479">
        <v>0.69845113308776929</v>
      </c>
      <c r="G195" s="474"/>
      <c r="H195" s="475"/>
      <c r="I195" s="479"/>
      <c r="J195" s="474"/>
      <c r="K195" s="475"/>
      <c r="L195" s="479">
        <v>0.71467000036725203</v>
      </c>
      <c r="M195" s="478"/>
      <c r="N195" s="479">
        <v>0.13451588918124957</v>
      </c>
      <c r="O195" s="474"/>
      <c r="P195" s="475"/>
      <c r="Q195" s="479">
        <v>0.71461009911530815</v>
      </c>
      <c r="R195" s="478"/>
      <c r="S195" s="479">
        <v>7.0584925739083921</v>
      </c>
      <c r="T195" s="480"/>
      <c r="U195" s="424"/>
      <c r="V195" s="424"/>
      <c r="W195" s="424"/>
      <c r="X195" s="424"/>
      <c r="Y195" s="424"/>
      <c r="Z195" s="424"/>
      <c r="AA195" s="424"/>
      <c r="AB195" s="424"/>
      <c r="AC195" s="424"/>
      <c r="AD195" s="424"/>
      <c r="AE195" s="424"/>
      <c r="AF195" s="424"/>
      <c r="AG195" s="424"/>
      <c r="AH195" s="424"/>
      <c r="AI195" s="424"/>
      <c r="AJ195" s="424"/>
      <c r="AK195" s="424"/>
      <c r="AL195" s="424"/>
      <c r="AM195" s="424"/>
      <c r="AN195" s="424"/>
    </row>
    <row r="196" spans="1:40" ht="15.75" customHeight="1" thickTop="1" x14ac:dyDescent="0.4">
      <c r="A196" s="433" t="s">
        <v>248</v>
      </c>
      <c r="B196" s="424" t="s">
        <v>248</v>
      </c>
      <c r="C196" s="460"/>
      <c r="D196" s="480"/>
      <c r="E196" s="480"/>
      <c r="F196" s="459"/>
      <c r="G196" s="460"/>
      <c r="H196" s="480"/>
      <c r="I196" s="459"/>
      <c r="J196" s="460"/>
      <c r="K196" s="514"/>
      <c r="L196" s="459"/>
      <c r="M196" s="458"/>
      <c r="N196" s="459"/>
      <c r="O196" s="460"/>
      <c r="P196" s="480"/>
      <c r="Q196" s="459"/>
      <c r="R196" s="458"/>
      <c r="S196" s="459"/>
      <c r="T196" s="480"/>
      <c r="U196" s="424"/>
      <c r="V196" s="424"/>
      <c r="W196" s="424"/>
      <c r="X196" s="424"/>
      <c r="Y196" s="424"/>
      <c r="Z196" s="424"/>
      <c r="AA196" s="424"/>
      <c r="AB196" s="424"/>
      <c r="AC196" s="424"/>
      <c r="AD196" s="424"/>
      <c r="AE196" s="424"/>
      <c r="AF196" s="424"/>
      <c r="AG196" s="424"/>
      <c r="AH196" s="424"/>
      <c r="AI196" s="424"/>
      <c r="AJ196" s="424"/>
      <c r="AK196" s="424"/>
      <c r="AL196" s="424"/>
      <c r="AM196" s="424"/>
      <c r="AN196" s="424"/>
    </row>
    <row r="197" spans="1:40" ht="15.75" customHeight="1" x14ac:dyDescent="0.4">
      <c r="A197" s="433" t="s">
        <v>494</v>
      </c>
      <c r="B197" s="424" t="s">
        <v>248</v>
      </c>
      <c r="C197" s="483" t="s">
        <v>339</v>
      </c>
      <c r="D197" s="424"/>
      <c r="E197" s="424"/>
      <c r="F197" s="467"/>
      <c r="G197" s="441"/>
      <c r="H197" s="424"/>
      <c r="I197" s="467"/>
      <c r="J197" s="441"/>
      <c r="K197" s="424"/>
      <c r="L197" s="451"/>
      <c r="M197" s="441"/>
      <c r="N197" s="451"/>
      <c r="O197" s="441"/>
      <c r="P197" s="424"/>
      <c r="Q197" s="451"/>
      <c r="R197" s="441"/>
      <c r="S197" s="451"/>
      <c r="T197" s="424"/>
      <c r="U197" s="424"/>
      <c r="V197" s="424"/>
      <c r="W197" s="424"/>
      <c r="X197" s="424"/>
      <c r="Y197" s="424"/>
      <c r="Z197" s="424"/>
      <c r="AA197" s="424"/>
      <c r="AB197" s="424"/>
      <c r="AC197" s="424"/>
      <c r="AD197" s="424"/>
      <c r="AE197" s="424"/>
      <c r="AF197" s="424"/>
      <c r="AG197" s="424"/>
      <c r="AH197" s="424"/>
      <c r="AI197" s="424"/>
      <c r="AJ197" s="424"/>
      <c r="AK197" s="424"/>
      <c r="AL197" s="424"/>
      <c r="AM197" s="424"/>
      <c r="AN197" s="424"/>
    </row>
    <row r="198" spans="1:40" ht="15.75" customHeight="1" x14ac:dyDescent="0.4">
      <c r="A198" s="433" t="s">
        <v>495</v>
      </c>
      <c r="B198" s="424" t="s">
        <v>248</v>
      </c>
      <c r="C198" s="507" t="s">
        <v>50</v>
      </c>
      <c r="D198" s="424"/>
      <c r="E198" s="424"/>
      <c r="F198" s="442">
        <v>15681.80576923077</v>
      </c>
      <c r="G198" s="441"/>
      <c r="H198" s="424"/>
      <c r="I198" s="442"/>
      <c r="J198" s="441"/>
      <c r="K198" s="424"/>
      <c r="L198" s="444">
        <v>10797.82</v>
      </c>
      <c r="M198" s="441"/>
      <c r="N198" s="444">
        <v>-4883.9857692307705</v>
      </c>
      <c r="O198" s="441"/>
      <c r="P198" s="424"/>
      <c r="Q198" s="444">
        <v>11834.22</v>
      </c>
      <c r="R198" s="441"/>
      <c r="S198" s="444">
        <v>-1036.3999999999996</v>
      </c>
      <c r="T198" s="424"/>
      <c r="U198" s="424"/>
      <c r="V198" s="424"/>
      <c r="W198" s="424"/>
      <c r="X198" s="424"/>
      <c r="Y198" s="424"/>
      <c r="Z198" s="424"/>
      <c r="AA198" s="424"/>
      <c r="AB198" s="424"/>
      <c r="AC198" s="424"/>
      <c r="AD198" s="424"/>
      <c r="AE198" s="424"/>
      <c r="AF198" s="424"/>
      <c r="AG198" s="424"/>
      <c r="AH198" s="424"/>
      <c r="AI198" s="424"/>
      <c r="AJ198" s="424"/>
      <c r="AK198" s="424"/>
      <c r="AL198" s="424"/>
      <c r="AM198" s="424"/>
      <c r="AN198" s="424"/>
    </row>
    <row r="199" spans="1:40" ht="15.75" customHeight="1" x14ac:dyDescent="0.4">
      <c r="A199" s="433" t="s">
        <v>496</v>
      </c>
      <c r="B199" s="424" t="s">
        <v>248</v>
      </c>
      <c r="C199" s="508" t="s">
        <v>355</v>
      </c>
      <c r="D199" s="491"/>
      <c r="E199" s="424"/>
      <c r="F199" s="436">
        <v>8357.6063384615391</v>
      </c>
      <c r="G199" s="492"/>
      <c r="H199" s="424"/>
      <c r="I199" s="436"/>
      <c r="J199" s="441"/>
      <c r="K199" s="424"/>
      <c r="L199" s="444">
        <v>8258.5</v>
      </c>
      <c r="M199" s="441"/>
      <c r="N199" s="444">
        <v>-99.106338461539053</v>
      </c>
      <c r="O199" s="441"/>
      <c r="P199" s="424"/>
      <c r="Q199" s="444">
        <v>8017.89</v>
      </c>
      <c r="R199" s="441"/>
      <c r="S199" s="467">
        <v>240.60999999999967</v>
      </c>
      <c r="T199" s="424"/>
      <c r="U199" s="424"/>
      <c r="V199" s="424"/>
      <c r="W199" s="424"/>
      <c r="X199" s="424"/>
      <c r="Y199" s="424"/>
      <c r="Z199" s="424"/>
      <c r="AA199" s="424"/>
      <c r="AB199" s="424"/>
      <c r="AC199" s="424"/>
      <c r="AD199" s="424"/>
      <c r="AE199" s="424"/>
      <c r="AF199" s="424"/>
      <c r="AG199" s="424"/>
      <c r="AH199" s="424"/>
      <c r="AI199" s="424"/>
      <c r="AJ199" s="424"/>
      <c r="AK199" s="424"/>
      <c r="AL199" s="424"/>
      <c r="AM199" s="424"/>
      <c r="AN199" s="424"/>
    </row>
    <row r="200" spans="1:40" ht="20" x14ac:dyDescent="0.4">
      <c r="A200" s="433" t="s">
        <v>497</v>
      </c>
      <c r="B200" s="424" t="s">
        <v>248</v>
      </c>
      <c r="C200" s="507" t="s">
        <v>51</v>
      </c>
      <c r="D200" s="509"/>
      <c r="E200" s="510"/>
      <c r="F200" s="442">
        <v>15667.776923076923</v>
      </c>
      <c r="G200" s="511"/>
      <c r="H200" s="510"/>
      <c r="I200" s="442"/>
      <c r="J200" s="428"/>
      <c r="K200" s="510"/>
      <c r="L200" s="463">
        <v>14236.65</v>
      </c>
      <c r="M200" s="428"/>
      <c r="N200" s="463">
        <v>-1431.126923076923</v>
      </c>
      <c r="O200" s="428"/>
      <c r="P200" s="510"/>
      <c r="Q200" s="463">
        <v>13760.3</v>
      </c>
      <c r="R200" s="428"/>
      <c r="S200" s="512">
        <v>476.35000000000036</v>
      </c>
      <c r="T200" s="424"/>
      <c r="U200" s="424"/>
      <c r="V200" s="424"/>
      <c r="W200" s="424"/>
      <c r="X200" s="424"/>
      <c r="Y200" s="424"/>
      <c r="Z200" s="424"/>
      <c r="AA200" s="424"/>
      <c r="AB200" s="424"/>
      <c r="AC200" s="424"/>
      <c r="AD200" s="424"/>
      <c r="AE200" s="424"/>
      <c r="AF200" s="424"/>
      <c r="AG200" s="424"/>
      <c r="AH200" s="424"/>
      <c r="AI200" s="424"/>
      <c r="AJ200" s="424"/>
      <c r="AK200" s="424"/>
      <c r="AL200" s="424"/>
      <c r="AM200" s="424"/>
      <c r="AN200" s="424"/>
    </row>
    <row r="201" spans="1:40" ht="20" x14ac:dyDescent="0.4">
      <c r="A201" s="433" t="s">
        <v>498</v>
      </c>
      <c r="B201" s="424" t="s">
        <v>248</v>
      </c>
      <c r="C201" s="507" t="s">
        <v>358</v>
      </c>
      <c r="D201" s="491"/>
      <c r="E201" s="390">
        <v>0.18699909804122805</v>
      </c>
      <c r="F201" s="442">
        <v>26685.668886153846</v>
      </c>
      <c r="G201" s="492"/>
      <c r="H201" s="424"/>
      <c r="I201" s="442"/>
      <c r="J201" s="441"/>
      <c r="K201" s="399">
        <v>0.17210466930007273</v>
      </c>
      <c r="L201" s="444">
        <v>23437.83</v>
      </c>
      <c r="M201" s="441"/>
      <c r="N201" s="444">
        <v>-3247.8388861538442</v>
      </c>
      <c r="O201" s="441"/>
      <c r="P201" s="424"/>
      <c r="Q201" s="444">
        <v>25122.77</v>
      </c>
      <c r="R201" s="441"/>
      <c r="S201" s="467">
        <v>-1684.9399999999987</v>
      </c>
      <c r="T201" s="424"/>
      <c r="U201" s="424"/>
      <c r="V201" s="424"/>
      <c r="W201" s="424"/>
      <c r="X201" s="424"/>
      <c r="Y201" s="424"/>
      <c r="Z201" s="424"/>
      <c r="AA201" s="424"/>
      <c r="AB201" s="424"/>
      <c r="AC201" s="424"/>
      <c r="AD201" s="424"/>
      <c r="AE201" s="424"/>
      <c r="AF201" s="424"/>
      <c r="AG201" s="424"/>
      <c r="AH201" s="424"/>
      <c r="AI201" s="424"/>
      <c r="AJ201" s="424"/>
      <c r="AK201" s="424"/>
      <c r="AL201" s="424"/>
      <c r="AM201" s="424"/>
      <c r="AN201" s="424"/>
    </row>
    <row r="202" spans="1:40" ht="15.75" hidden="1" customHeight="1" x14ac:dyDescent="0.4">
      <c r="A202" s="433" t="s">
        <v>499</v>
      </c>
      <c r="B202" s="424" t="s">
        <v>248</v>
      </c>
      <c r="C202" s="441" t="s">
        <v>323</v>
      </c>
      <c r="D202" s="491"/>
      <c r="E202" s="424"/>
      <c r="F202" s="442">
        <v>0</v>
      </c>
      <c r="G202" s="492"/>
      <c r="H202" s="424"/>
      <c r="I202" s="442"/>
      <c r="J202" s="441"/>
      <c r="K202" s="424"/>
      <c r="L202" s="444">
        <v>0</v>
      </c>
      <c r="M202" s="441"/>
      <c r="N202" s="444">
        <v>0</v>
      </c>
      <c r="O202" s="441"/>
      <c r="P202" s="424"/>
      <c r="Q202" s="444">
        <v>0</v>
      </c>
      <c r="R202" s="441"/>
      <c r="S202" s="467">
        <v>0</v>
      </c>
      <c r="T202" s="424"/>
      <c r="U202" s="424"/>
      <c r="V202" s="424"/>
      <c r="W202" s="424"/>
      <c r="X202" s="424"/>
      <c r="Y202" s="424"/>
      <c r="Z202" s="424"/>
      <c r="AA202" s="424"/>
      <c r="AB202" s="424"/>
      <c r="AC202" s="424"/>
      <c r="AD202" s="424"/>
      <c r="AE202" s="424"/>
      <c r="AF202" s="424"/>
      <c r="AG202" s="424"/>
      <c r="AH202" s="424"/>
      <c r="AI202" s="424"/>
      <c r="AJ202" s="424"/>
      <c r="AK202" s="424"/>
      <c r="AL202" s="424"/>
      <c r="AM202" s="424"/>
      <c r="AN202" s="424"/>
    </row>
    <row r="203" spans="1:40" ht="15.75" hidden="1" customHeight="1" x14ac:dyDescent="0.4">
      <c r="A203" s="433" t="s">
        <v>499</v>
      </c>
      <c r="B203" s="424" t="s">
        <v>248</v>
      </c>
      <c r="C203" s="441" t="s">
        <v>323</v>
      </c>
      <c r="D203" s="491"/>
      <c r="E203" s="424"/>
      <c r="F203" s="442">
        <v>0</v>
      </c>
      <c r="G203" s="492"/>
      <c r="H203" s="424"/>
      <c r="I203" s="442"/>
      <c r="J203" s="441"/>
      <c r="K203" s="424"/>
      <c r="L203" s="444">
        <v>0</v>
      </c>
      <c r="M203" s="441"/>
      <c r="N203" s="444">
        <v>0</v>
      </c>
      <c r="O203" s="441"/>
      <c r="P203" s="424"/>
      <c r="Q203" s="444">
        <v>0</v>
      </c>
      <c r="R203" s="441"/>
      <c r="S203" s="467">
        <v>0</v>
      </c>
      <c r="T203" s="424"/>
      <c r="U203" s="424"/>
      <c r="V203" s="424"/>
      <c r="W203" s="424"/>
      <c r="X203" s="424"/>
      <c r="Y203" s="424"/>
      <c r="Z203" s="424"/>
      <c r="AA203" s="424"/>
      <c r="AB203" s="424"/>
      <c r="AC203" s="424"/>
      <c r="AD203" s="424"/>
      <c r="AE203" s="424"/>
      <c r="AF203" s="424"/>
      <c r="AG203" s="424"/>
      <c r="AH203" s="424"/>
      <c r="AI203" s="424"/>
      <c r="AJ203" s="424"/>
      <c r="AK203" s="424"/>
      <c r="AL203" s="424"/>
      <c r="AM203" s="424"/>
      <c r="AN203" s="424"/>
    </row>
    <row r="204" spans="1:40" ht="15.75" hidden="1" customHeight="1" x14ac:dyDescent="0.4">
      <c r="A204" s="433" t="s">
        <v>499</v>
      </c>
      <c r="B204" s="424" t="s">
        <v>248</v>
      </c>
      <c r="C204" s="441" t="s">
        <v>323</v>
      </c>
      <c r="D204" s="491"/>
      <c r="E204" s="424"/>
      <c r="F204" s="442">
        <v>0</v>
      </c>
      <c r="G204" s="492"/>
      <c r="H204" s="424"/>
      <c r="I204" s="442"/>
      <c r="J204" s="441"/>
      <c r="K204" s="424"/>
      <c r="L204" s="444">
        <v>0</v>
      </c>
      <c r="M204" s="441"/>
      <c r="N204" s="444">
        <v>0</v>
      </c>
      <c r="O204" s="441"/>
      <c r="P204" s="424"/>
      <c r="Q204" s="444">
        <v>0</v>
      </c>
      <c r="R204" s="441"/>
      <c r="S204" s="467">
        <v>0</v>
      </c>
      <c r="T204" s="424"/>
      <c r="U204" s="424"/>
      <c r="V204" s="424"/>
      <c r="W204" s="424"/>
      <c r="X204" s="424"/>
      <c r="Y204" s="424"/>
      <c r="Z204" s="424"/>
      <c r="AA204" s="424"/>
      <c r="AB204" s="424"/>
      <c r="AC204" s="424"/>
      <c r="AD204" s="424"/>
      <c r="AE204" s="424"/>
      <c r="AF204" s="424"/>
      <c r="AG204" s="424"/>
      <c r="AH204" s="424"/>
      <c r="AI204" s="424"/>
      <c r="AJ204" s="424"/>
      <c r="AK204" s="424"/>
      <c r="AL204" s="424"/>
      <c r="AM204" s="424"/>
      <c r="AN204" s="424"/>
    </row>
    <row r="205" spans="1:40" ht="20" x14ac:dyDescent="0.4">
      <c r="A205" s="433" t="s">
        <v>500</v>
      </c>
      <c r="B205" s="424" t="s">
        <v>248</v>
      </c>
      <c r="C205" s="508" t="s">
        <v>52</v>
      </c>
      <c r="D205" s="491"/>
      <c r="E205" s="424"/>
      <c r="F205" s="442">
        <v>16264.186953694872</v>
      </c>
      <c r="G205" s="492"/>
      <c r="H205" s="424"/>
      <c r="I205" s="442"/>
      <c r="J205" s="441"/>
      <c r="K205" s="424"/>
      <c r="L205" s="444">
        <v>15719.95</v>
      </c>
      <c r="M205" s="441"/>
      <c r="N205" s="444">
        <v>-544.23695369487177</v>
      </c>
      <c r="O205" s="441"/>
      <c r="P205" s="424"/>
      <c r="Q205" s="444">
        <v>16428.09</v>
      </c>
      <c r="R205" s="441"/>
      <c r="S205" s="467">
        <v>-708.13999999999942</v>
      </c>
      <c r="T205" s="424"/>
      <c r="U205" s="424"/>
      <c r="V205" s="424"/>
      <c r="W205" s="424"/>
      <c r="X205" s="424"/>
      <c r="Y205" s="424"/>
      <c r="Z205" s="424"/>
      <c r="AA205" s="424"/>
      <c r="AB205" s="424"/>
      <c r="AC205" s="424"/>
      <c r="AD205" s="424"/>
      <c r="AE205" s="424"/>
      <c r="AF205" s="424"/>
      <c r="AG205" s="424"/>
      <c r="AH205" s="424"/>
      <c r="AI205" s="424"/>
      <c r="AJ205" s="424"/>
      <c r="AK205" s="424"/>
      <c r="AL205" s="424"/>
      <c r="AM205" s="424"/>
      <c r="AN205" s="424"/>
    </row>
    <row r="206" spans="1:40" ht="15.75" customHeight="1" x14ac:dyDescent="0.4">
      <c r="A206" s="433" t="s">
        <v>501</v>
      </c>
      <c r="B206" s="424" t="s">
        <v>248</v>
      </c>
      <c r="C206" s="507" t="s">
        <v>53</v>
      </c>
      <c r="D206" s="509"/>
      <c r="E206" s="510"/>
      <c r="F206" s="463">
        <v>19774.9585868713</v>
      </c>
      <c r="G206" s="511"/>
      <c r="H206" s="510"/>
      <c r="I206" s="463"/>
      <c r="J206" s="428"/>
      <c r="K206" s="510"/>
      <c r="L206" s="463">
        <v>19588.689999999999</v>
      </c>
      <c r="M206" s="428"/>
      <c r="N206" s="463">
        <v>-186.26858687130152</v>
      </c>
      <c r="O206" s="428"/>
      <c r="P206" s="510"/>
      <c r="Q206" s="463">
        <v>19262.22</v>
      </c>
      <c r="R206" s="428"/>
      <c r="S206" s="512">
        <v>326.46999999999753</v>
      </c>
      <c r="T206" s="424"/>
      <c r="U206" s="424"/>
      <c r="V206" s="424"/>
      <c r="W206" s="424"/>
      <c r="X206" s="424"/>
      <c r="Y206" s="424"/>
      <c r="Z206" s="424"/>
      <c r="AA206" s="424"/>
      <c r="AB206" s="424"/>
      <c r="AC206" s="424"/>
      <c r="AD206" s="424"/>
      <c r="AE206" s="424"/>
      <c r="AF206" s="424"/>
      <c r="AG206" s="424"/>
      <c r="AH206" s="424"/>
      <c r="AI206" s="424"/>
      <c r="AJ206" s="424"/>
      <c r="AK206" s="424"/>
      <c r="AL206" s="424"/>
      <c r="AM206" s="424"/>
      <c r="AN206" s="424"/>
    </row>
    <row r="207" spans="1:40" ht="15.75" customHeight="1" x14ac:dyDescent="0.4">
      <c r="A207" s="433" t="s">
        <v>502</v>
      </c>
      <c r="B207" s="424" t="s">
        <v>248</v>
      </c>
      <c r="C207" s="507" t="s">
        <v>54</v>
      </c>
      <c r="D207" s="491"/>
      <c r="E207" s="424"/>
      <c r="F207" s="442">
        <v>10188.402576279343</v>
      </c>
      <c r="G207" s="492"/>
      <c r="H207" s="424"/>
      <c r="I207" s="442"/>
      <c r="J207" s="441"/>
      <c r="K207" s="424"/>
      <c r="L207" s="444">
        <v>9363.9599999999991</v>
      </c>
      <c r="M207" s="441"/>
      <c r="N207" s="444">
        <v>-824.44257627934348</v>
      </c>
      <c r="O207" s="441"/>
      <c r="P207" s="424"/>
      <c r="Q207" s="444">
        <v>11101.57</v>
      </c>
      <c r="R207" s="441"/>
      <c r="S207" s="467">
        <v>-1737.6100000000006</v>
      </c>
      <c r="T207" s="424"/>
      <c r="U207" s="424"/>
      <c r="V207" s="424"/>
      <c r="W207" s="424"/>
      <c r="X207" s="424"/>
      <c r="Y207" s="424"/>
      <c r="Z207" s="424"/>
      <c r="AA207" s="424"/>
      <c r="AB207" s="424"/>
      <c r="AC207" s="424"/>
      <c r="AD207" s="424"/>
      <c r="AE207" s="424"/>
      <c r="AF207" s="424"/>
      <c r="AG207" s="424"/>
      <c r="AH207" s="424"/>
      <c r="AI207" s="424"/>
      <c r="AJ207" s="424"/>
      <c r="AK207" s="424"/>
      <c r="AL207" s="424"/>
      <c r="AM207" s="424"/>
      <c r="AN207" s="424"/>
    </row>
    <row r="208" spans="1:40" ht="15.75" customHeight="1" x14ac:dyDescent="0.4">
      <c r="A208" s="433" t="s">
        <v>503</v>
      </c>
      <c r="B208" s="424" t="s">
        <v>248</v>
      </c>
      <c r="C208" s="507" t="s">
        <v>55</v>
      </c>
      <c r="D208" s="491"/>
      <c r="E208" s="424"/>
      <c r="F208" s="442">
        <v>4442.2008419783351</v>
      </c>
      <c r="G208" s="492"/>
      <c r="H208" s="424"/>
      <c r="I208" s="442"/>
      <c r="J208" s="441"/>
      <c r="K208" s="424"/>
      <c r="L208" s="444">
        <v>4356.6099999999997</v>
      </c>
      <c r="M208" s="441"/>
      <c r="N208" s="444">
        <v>-85.590841978335447</v>
      </c>
      <c r="O208" s="441"/>
      <c r="P208" s="424"/>
      <c r="Q208" s="444">
        <v>3705.23</v>
      </c>
      <c r="R208" s="441"/>
      <c r="S208" s="467">
        <v>651.37999999999965</v>
      </c>
      <c r="T208" s="424"/>
      <c r="U208" s="424"/>
      <c r="V208" s="424"/>
      <c r="W208" s="424"/>
      <c r="X208" s="424"/>
      <c r="Y208" s="424"/>
      <c r="Z208" s="424"/>
      <c r="AA208" s="424"/>
      <c r="AB208" s="424"/>
      <c r="AC208" s="424"/>
      <c r="AD208" s="424"/>
      <c r="AE208" s="424"/>
      <c r="AF208" s="424"/>
      <c r="AG208" s="424"/>
      <c r="AH208" s="424"/>
      <c r="AI208" s="424"/>
      <c r="AJ208" s="424"/>
      <c r="AK208" s="424"/>
      <c r="AL208" s="424"/>
      <c r="AM208" s="424"/>
      <c r="AN208" s="424"/>
    </row>
    <row r="209" spans="1:40" ht="15.75" hidden="1" customHeight="1" x14ac:dyDescent="0.4">
      <c r="A209" s="433" t="s">
        <v>499</v>
      </c>
      <c r="B209" s="424" t="s">
        <v>248</v>
      </c>
      <c r="C209" s="441" t="s">
        <v>323</v>
      </c>
      <c r="D209" s="494"/>
      <c r="E209" s="513"/>
      <c r="F209" s="442">
        <v>0</v>
      </c>
      <c r="G209" s="495"/>
      <c r="H209" s="513"/>
      <c r="I209" s="442"/>
      <c r="J209" s="434"/>
      <c r="K209" s="513"/>
      <c r="L209" s="444">
        <v>0</v>
      </c>
      <c r="M209" s="434"/>
      <c r="N209" s="444">
        <v>0</v>
      </c>
      <c r="O209" s="434"/>
      <c r="P209" s="513"/>
      <c r="Q209" s="444">
        <v>0</v>
      </c>
      <c r="R209" s="434"/>
      <c r="S209" s="490">
        <v>0</v>
      </c>
      <c r="T209" s="424"/>
      <c r="U209" s="424"/>
      <c r="V209" s="424"/>
      <c r="W209" s="424"/>
      <c r="X209" s="424"/>
      <c r="Y209" s="424"/>
      <c r="Z209" s="424"/>
      <c r="AA209" s="424"/>
      <c r="AB209" s="424"/>
      <c r="AC209" s="424"/>
      <c r="AD209" s="424"/>
      <c r="AE209" s="424"/>
      <c r="AF209" s="424"/>
      <c r="AG209" s="424"/>
      <c r="AH209" s="424"/>
      <c r="AI209" s="424"/>
      <c r="AJ209" s="424"/>
      <c r="AK209" s="424"/>
      <c r="AL209" s="424"/>
      <c r="AM209" s="424"/>
      <c r="AN209" s="424"/>
    </row>
    <row r="210" spans="1:40" ht="15.75" customHeight="1" x14ac:dyDescent="0.4">
      <c r="A210" s="433" t="s">
        <v>504</v>
      </c>
      <c r="B210" s="424" t="s">
        <v>248</v>
      </c>
      <c r="C210" s="499" t="s">
        <v>364</v>
      </c>
      <c r="D210" s="500" t="s">
        <v>505</v>
      </c>
      <c r="E210" s="501">
        <v>0.5503839092775864</v>
      </c>
      <c r="F210" s="502">
        <v>117062.60687574693</v>
      </c>
      <c r="G210" s="503"/>
      <c r="H210" s="501"/>
      <c r="I210" s="502"/>
      <c r="J210" s="503" t="s">
        <v>505</v>
      </c>
      <c r="K210" s="501">
        <v>0.43828684727652573</v>
      </c>
      <c r="L210" s="502">
        <v>105760.01</v>
      </c>
      <c r="M210" s="549"/>
      <c r="N210" s="502">
        <v>-11302.596875746938</v>
      </c>
      <c r="O210" s="503" t="s">
        <v>505</v>
      </c>
      <c r="P210" s="501">
        <v>0.52739423174229727</v>
      </c>
      <c r="Q210" s="502">
        <v>109232.29</v>
      </c>
      <c r="R210" s="549"/>
      <c r="S210" s="515">
        <v>-3472.2799999999988</v>
      </c>
      <c r="T210" s="424"/>
      <c r="U210" s="424"/>
      <c r="V210" s="424"/>
      <c r="W210" s="424"/>
      <c r="X210" s="424"/>
      <c r="Y210" s="424"/>
      <c r="Z210" s="424"/>
      <c r="AA210" s="424"/>
      <c r="AB210" s="424"/>
      <c r="AC210" s="424"/>
      <c r="AD210" s="424"/>
      <c r="AE210" s="424"/>
      <c r="AF210" s="424"/>
      <c r="AG210" s="424"/>
      <c r="AH210" s="424"/>
      <c r="AI210" s="424"/>
      <c r="AJ210" s="424"/>
      <c r="AK210" s="424"/>
      <c r="AL210" s="424"/>
      <c r="AM210" s="424"/>
      <c r="AN210" s="424"/>
    </row>
    <row r="211" spans="1:40" ht="15.75" customHeight="1" x14ac:dyDescent="0.4">
      <c r="A211" s="433" t="s">
        <v>506</v>
      </c>
      <c r="B211" s="424" t="s">
        <v>248</v>
      </c>
      <c r="C211" s="441" t="s">
        <v>366</v>
      </c>
      <c r="D211" s="491"/>
      <c r="E211" s="424"/>
      <c r="F211" s="442">
        <v>9556.1841615752273</v>
      </c>
      <c r="G211" s="492"/>
      <c r="H211" s="424"/>
      <c r="I211" s="442"/>
      <c r="J211" s="441"/>
      <c r="K211" s="424"/>
      <c r="L211" s="444">
        <v>10953.22</v>
      </c>
      <c r="M211" s="441"/>
      <c r="N211" s="467">
        <v>1397.035838424772</v>
      </c>
      <c r="O211" s="441"/>
      <c r="P211" s="424"/>
      <c r="Q211" s="444">
        <v>10338.09</v>
      </c>
      <c r="R211" s="441"/>
      <c r="S211" s="467">
        <v>615.1299999999992</v>
      </c>
      <c r="T211" s="424"/>
      <c r="U211" s="424"/>
      <c r="V211" s="424"/>
      <c r="W211" s="424"/>
      <c r="X211" s="424"/>
      <c r="Y211" s="424"/>
      <c r="Z211" s="424"/>
      <c r="AA211" s="424"/>
      <c r="AB211" s="424"/>
      <c r="AC211" s="424"/>
      <c r="AD211" s="424"/>
      <c r="AE211" s="424"/>
      <c r="AF211" s="424"/>
      <c r="AG211" s="424"/>
      <c r="AH211" s="424"/>
      <c r="AI211" s="424"/>
      <c r="AJ211" s="424"/>
      <c r="AK211" s="424"/>
      <c r="AL211" s="424"/>
      <c r="AM211" s="424"/>
      <c r="AN211" s="424"/>
    </row>
    <row r="212" spans="1:40" ht="15.75" customHeight="1" x14ac:dyDescent="0.4">
      <c r="A212" s="433" t="s">
        <v>507</v>
      </c>
      <c r="B212" s="424" t="s">
        <v>248</v>
      </c>
      <c r="C212" s="441" t="s">
        <v>368</v>
      </c>
      <c r="D212" s="491"/>
      <c r="E212" s="424"/>
      <c r="F212" s="442">
        <v>3422.1774033237093</v>
      </c>
      <c r="G212" s="492"/>
      <c r="H212" s="424"/>
      <c r="I212" s="442"/>
      <c r="J212" s="441"/>
      <c r="K212" s="424"/>
      <c r="L212" s="444">
        <v>1302.06</v>
      </c>
      <c r="M212" s="441"/>
      <c r="N212" s="467">
        <v>-2120.1174033237094</v>
      </c>
      <c r="O212" s="441"/>
      <c r="P212" s="424"/>
      <c r="Q212" s="444">
        <v>5248.5599999999904</v>
      </c>
      <c r="R212" s="441"/>
      <c r="S212" s="467">
        <v>-3946.4999999999905</v>
      </c>
      <c r="T212" s="424"/>
      <c r="U212" s="433"/>
      <c r="V212" s="424"/>
      <c r="W212" s="424"/>
      <c r="X212" s="424"/>
      <c r="Y212" s="424"/>
      <c r="Z212" s="424"/>
      <c r="AA212" s="424"/>
      <c r="AB212" s="424"/>
      <c r="AC212" s="424"/>
      <c r="AD212" s="424"/>
      <c r="AE212" s="424"/>
      <c r="AF212" s="424"/>
      <c r="AG212" s="424"/>
      <c r="AH212" s="424"/>
      <c r="AI212" s="424"/>
      <c r="AJ212" s="424"/>
      <c r="AK212" s="424"/>
      <c r="AL212" s="424"/>
      <c r="AM212" s="424"/>
      <c r="AN212" s="424"/>
    </row>
    <row r="213" spans="1:40" ht="15.75" customHeight="1" x14ac:dyDescent="0.4">
      <c r="A213" s="433" t="s">
        <v>508</v>
      </c>
      <c r="B213" s="424" t="s">
        <v>248</v>
      </c>
      <c r="C213" s="434" t="s">
        <v>370</v>
      </c>
      <c r="D213" s="494"/>
      <c r="E213" s="513"/>
      <c r="F213" s="436">
        <v>11083.739355555555</v>
      </c>
      <c r="G213" s="495"/>
      <c r="H213" s="513"/>
      <c r="I213" s="436"/>
      <c r="J213" s="434"/>
      <c r="K213" s="513"/>
      <c r="L213" s="444">
        <v>12916.71</v>
      </c>
      <c r="M213" s="434"/>
      <c r="N213" s="490">
        <v>1832.9706444444437</v>
      </c>
      <c r="O213" s="434"/>
      <c r="P213" s="513"/>
      <c r="Q213" s="444">
        <v>15457.5</v>
      </c>
      <c r="R213" s="434"/>
      <c r="S213" s="490">
        <v>-2540.7900000000009</v>
      </c>
      <c r="T213" s="424"/>
      <c r="U213" s="424"/>
      <c r="V213" s="424"/>
      <c r="W213" s="424"/>
      <c r="X213" s="424"/>
      <c r="Y213" s="424"/>
      <c r="Z213" s="424"/>
      <c r="AA213" s="424"/>
      <c r="AB213" s="424"/>
      <c r="AC213" s="424"/>
      <c r="AD213" s="424"/>
      <c r="AE213" s="424"/>
      <c r="AF213" s="424"/>
      <c r="AG213" s="424"/>
      <c r="AH213" s="424"/>
      <c r="AI213" s="424"/>
      <c r="AJ213" s="424"/>
      <c r="AK213" s="424"/>
      <c r="AL213" s="424"/>
      <c r="AM213" s="424"/>
      <c r="AN213" s="424"/>
    </row>
    <row r="214" spans="1:40" ht="15.75" customHeight="1" x14ac:dyDescent="0.4">
      <c r="A214" s="433" t="s">
        <v>509</v>
      </c>
      <c r="B214" s="424" t="s">
        <v>248</v>
      </c>
      <c r="C214" s="441" t="s">
        <v>60</v>
      </c>
      <c r="D214" s="491"/>
      <c r="E214" s="424"/>
      <c r="F214" s="442">
        <v>4783.316137386666</v>
      </c>
      <c r="G214" s="492"/>
      <c r="H214" s="424"/>
      <c r="I214" s="442"/>
      <c r="J214" s="441"/>
      <c r="K214" s="424"/>
      <c r="L214" s="463">
        <v>5080.0200000000004</v>
      </c>
      <c r="M214" s="441"/>
      <c r="N214" s="467">
        <v>296.70386261333442</v>
      </c>
      <c r="O214" s="441"/>
      <c r="P214" s="424"/>
      <c r="Q214" s="463">
        <v>4412.6099999999997</v>
      </c>
      <c r="R214" s="441"/>
      <c r="S214" s="467">
        <v>667.41000000000076</v>
      </c>
      <c r="T214" s="424"/>
      <c r="U214" s="424"/>
      <c r="V214" s="424"/>
      <c r="W214" s="424"/>
      <c r="X214" s="424"/>
      <c r="Y214" s="424"/>
      <c r="Z214" s="424"/>
      <c r="AA214" s="424"/>
      <c r="AB214" s="424"/>
      <c r="AC214" s="424"/>
      <c r="AD214" s="424"/>
      <c r="AE214" s="424"/>
      <c r="AF214" s="424"/>
      <c r="AG214" s="424"/>
      <c r="AH214" s="424"/>
      <c r="AI214" s="424"/>
      <c r="AJ214" s="424"/>
      <c r="AK214" s="424"/>
      <c r="AL214" s="424"/>
      <c r="AM214" s="424"/>
      <c r="AN214" s="424"/>
    </row>
    <row r="215" spans="1:40" ht="15.75" customHeight="1" x14ac:dyDescent="0.4">
      <c r="A215" s="433" t="s">
        <v>510</v>
      </c>
      <c r="B215" s="424" t="s">
        <v>248</v>
      </c>
      <c r="C215" s="441" t="s">
        <v>373</v>
      </c>
      <c r="D215" s="491"/>
      <c r="E215" s="424"/>
      <c r="F215" s="442">
        <v>1050.8751805936904</v>
      </c>
      <c r="G215" s="492"/>
      <c r="H215" s="424"/>
      <c r="I215" s="442"/>
      <c r="J215" s="441"/>
      <c r="K215" s="424"/>
      <c r="L215" s="444">
        <v>669.31</v>
      </c>
      <c r="M215" s="441"/>
      <c r="N215" s="467">
        <v>-381.56518059369046</v>
      </c>
      <c r="O215" s="441"/>
      <c r="P215" s="424"/>
      <c r="Q215" s="444">
        <v>1503.97</v>
      </c>
      <c r="R215" s="441"/>
      <c r="S215" s="467">
        <v>-834.66000000000008</v>
      </c>
      <c r="T215" s="424"/>
      <c r="U215" s="424"/>
      <c r="V215" s="424"/>
      <c r="W215" s="424"/>
      <c r="X215" s="424"/>
      <c r="Y215" s="424"/>
      <c r="Z215" s="424"/>
      <c r="AA215" s="424"/>
      <c r="AB215" s="424"/>
      <c r="AC215" s="424"/>
      <c r="AD215" s="424"/>
      <c r="AE215" s="424"/>
      <c r="AF215" s="424"/>
      <c r="AG215" s="424"/>
      <c r="AH215" s="424"/>
      <c r="AI215" s="424"/>
      <c r="AJ215" s="424"/>
      <c r="AK215" s="424"/>
      <c r="AL215" s="424"/>
      <c r="AM215" s="424"/>
      <c r="AN215" s="424"/>
    </row>
    <row r="216" spans="1:40" ht="15.75" customHeight="1" x14ac:dyDescent="0.4">
      <c r="A216" s="433" t="s">
        <v>511</v>
      </c>
      <c r="B216" s="424" t="s">
        <v>248</v>
      </c>
      <c r="C216" s="434" t="s">
        <v>375</v>
      </c>
      <c r="D216" s="494"/>
      <c r="E216" s="513"/>
      <c r="F216" s="436">
        <v>11128.231788350371</v>
      </c>
      <c r="G216" s="495"/>
      <c r="H216" s="513"/>
      <c r="I216" s="436"/>
      <c r="J216" s="434"/>
      <c r="K216" s="513"/>
      <c r="L216" s="444">
        <v>18251.97</v>
      </c>
      <c r="M216" s="434"/>
      <c r="N216" s="490">
        <v>7123.7382116496301</v>
      </c>
      <c r="O216" s="434"/>
      <c r="P216" s="513"/>
      <c r="Q216" s="444">
        <v>10931.7</v>
      </c>
      <c r="R216" s="434"/>
      <c r="S216" s="490">
        <v>7320.27</v>
      </c>
      <c r="T216" s="424"/>
      <c r="U216" s="421"/>
      <c r="V216" s="424"/>
      <c r="W216" s="424"/>
      <c r="X216" s="424"/>
      <c r="Y216" s="424"/>
      <c r="Z216" s="424"/>
      <c r="AA216" s="424"/>
      <c r="AB216" s="424"/>
      <c r="AC216" s="424"/>
      <c r="AD216" s="424"/>
      <c r="AE216" s="424"/>
      <c r="AF216" s="424"/>
      <c r="AG216" s="424"/>
      <c r="AH216" s="424"/>
      <c r="AI216" s="424"/>
      <c r="AJ216" s="424"/>
      <c r="AK216" s="424"/>
      <c r="AL216" s="424"/>
      <c r="AM216" s="424"/>
      <c r="AN216" s="424"/>
    </row>
    <row r="217" spans="1:40" ht="15.75" customHeight="1" x14ac:dyDescent="0.4">
      <c r="A217" s="433" t="s">
        <v>512</v>
      </c>
      <c r="B217" s="424" t="s">
        <v>248</v>
      </c>
      <c r="C217" s="441" t="s">
        <v>513</v>
      </c>
      <c r="D217" s="491"/>
      <c r="E217" s="424"/>
      <c r="F217" s="442"/>
      <c r="G217" s="492"/>
      <c r="H217" s="424"/>
      <c r="I217" s="442"/>
      <c r="J217" s="441"/>
      <c r="K217" s="424"/>
      <c r="L217" s="463">
        <v>0</v>
      </c>
      <c r="M217" s="441"/>
      <c r="N217" s="467">
        <v>0</v>
      </c>
      <c r="O217" s="441"/>
      <c r="P217" s="424"/>
      <c r="Q217" s="463">
        <v>0</v>
      </c>
      <c r="R217" s="441"/>
      <c r="S217" s="467">
        <v>0</v>
      </c>
      <c r="T217" s="424"/>
      <c r="U217" s="424"/>
      <c r="V217" s="424"/>
      <c r="W217" s="424"/>
      <c r="X217" s="424"/>
      <c r="Y217" s="424"/>
      <c r="Z217" s="424"/>
      <c r="AA217" s="424"/>
      <c r="AB217" s="424"/>
      <c r="AC217" s="424"/>
      <c r="AD217" s="424"/>
      <c r="AE217" s="424"/>
      <c r="AF217" s="424"/>
      <c r="AG217" s="424"/>
      <c r="AH217" s="424"/>
      <c r="AI217" s="424"/>
      <c r="AJ217" s="424"/>
      <c r="AK217" s="424"/>
      <c r="AL217" s="424"/>
      <c r="AM217" s="424"/>
      <c r="AN217" s="424"/>
    </row>
    <row r="218" spans="1:40" ht="15.75" customHeight="1" x14ac:dyDescent="0.4">
      <c r="A218" s="433" t="s">
        <v>514</v>
      </c>
      <c r="B218" s="424" t="s">
        <v>248</v>
      </c>
      <c r="C218" s="441" t="s">
        <v>377</v>
      </c>
      <c r="D218" s="491"/>
      <c r="E218" s="424"/>
      <c r="F218" s="442">
        <v>4769.9204222222234</v>
      </c>
      <c r="G218" s="492"/>
      <c r="H218" s="424"/>
      <c r="I218" s="442"/>
      <c r="J218" s="441"/>
      <c r="K218" s="424"/>
      <c r="L218" s="444">
        <v>3095.58</v>
      </c>
      <c r="M218" s="441"/>
      <c r="N218" s="467">
        <v>-1674.3404222222234</v>
      </c>
      <c r="O218" s="441"/>
      <c r="P218" s="424"/>
      <c r="Q218" s="444">
        <v>3252.8</v>
      </c>
      <c r="R218" s="441"/>
      <c r="S218" s="467">
        <v>-157.22000000000025</v>
      </c>
      <c r="T218" s="424"/>
      <c r="U218" s="424"/>
      <c r="V218" s="424"/>
      <c r="W218" s="424"/>
      <c r="X218" s="424"/>
      <c r="Y218" s="424"/>
      <c r="Z218" s="424"/>
      <c r="AA218" s="424"/>
      <c r="AB218" s="424"/>
      <c r="AC218" s="424"/>
      <c r="AD218" s="424"/>
      <c r="AE218" s="424"/>
      <c r="AF218" s="424"/>
      <c r="AG218" s="424"/>
      <c r="AH218" s="424"/>
      <c r="AI218" s="424"/>
      <c r="AJ218" s="424"/>
      <c r="AK218" s="424"/>
      <c r="AL218" s="424"/>
      <c r="AM218" s="424"/>
      <c r="AN218" s="424"/>
    </row>
    <row r="219" spans="1:40" ht="15.75" customHeight="1" x14ac:dyDescent="0.4">
      <c r="A219" s="433" t="s">
        <v>515</v>
      </c>
      <c r="B219" s="424" t="s">
        <v>248</v>
      </c>
      <c r="C219" s="441" t="s">
        <v>379</v>
      </c>
      <c r="D219" s="491"/>
      <c r="E219" s="424"/>
      <c r="F219" s="442">
        <v>1220.4654067864171</v>
      </c>
      <c r="G219" s="492"/>
      <c r="H219" s="424"/>
      <c r="I219" s="442"/>
      <c r="J219" s="441"/>
      <c r="K219" s="424"/>
      <c r="L219" s="444">
        <v>699.73</v>
      </c>
      <c r="M219" s="441"/>
      <c r="N219" s="467">
        <v>-520.73540678641712</v>
      </c>
      <c r="O219" s="441"/>
      <c r="P219" s="424"/>
      <c r="Q219" s="444">
        <v>1654</v>
      </c>
      <c r="R219" s="441"/>
      <c r="S219" s="467">
        <v>-954.27</v>
      </c>
      <c r="T219" s="424"/>
      <c r="U219" s="424"/>
      <c r="V219" s="424"/>
      <c r="W219" s="424"/>
      <c r="X219" s="424"/>
      <c r="Y219" s="424"/>
      <c r="Z219" s="424"/>
      <c r="AA219" s="424"/>
      <c r="AB219" s="424"/>
      <c r="AC219" s="424"/>
      <c r="AD219" s="424"/>
      <c r="AE219" s="424"/>
      <c r="AF219" s="424"/>
      <c r="AG219" s="424"/>
      <c r="AH219" s="424"/>
      <c r="AI219" s="424"/>
      <c r="AJ219" s="424"/>
      <c r="AK219" s="424"/>
      <c r="AL219" s="424"/>
      <c r="AM219" s="424"/>
      <c r="AN219" s="424"/>
    </row>
    <row r="220" spans="1:40" ht="15.75" customHeight="1" x14ac:dyDescent="0.4">
      <c r="A220" s="433" t="s">
        <v>516</v>
      </c>
      <c r="B220" s="424" t="s">
        <v>248</v>
      </c>
      <c r="C220" s="441" t="s">
        <v>381</v>
      </c>
      <c r="D220" s="491"/>
      <c r="E220" s="424"/>
      <c r="F220" s="442">
        <v>833.0541497518401</v>
      </c>
      <c r="G220" s="492"/>
      <c r="H220" s="424"/>
      <c r="I220" s="442"/>
      <c r="J220" s="441"/>
      <c r="K220" s="424"/>
      <c r="L220" s="444">
        <v>2994.06</v>
      </c>
      <c r="M220" s="441"/>
      <c r="N220" s="467">
        <v>2161.0058502481597</v>
      </c>
      <c r="O220" s="441"/>
      <c r="P220" s="424"/>
      <c r="Q220" s="444">
        <v>695.18</v>
      </c>
      <c r="R220" s="441"/>
      <c r="S220" s="467">
        <v>2298.88</v>
      </c>
      <c r="T220" s="424"/>
      <c r="U220" s="424"/>
      <c r="V220" s="424"/>
      <c r="W220" s="424"/>
      <c r="X220" s="424"/>
      <c r="Y220" s="424"/>
      <c r="Z220" s="424"/>
      <c r="AA220" s="424"/>
      <c r="AB220" s="424"/>
      <c r="AC220" s="424"/>
      <c r="AD220" s="424"/>
      <c r="AE220" s="424"/>
      <c r="AF220" s="424"/>
      <c r="AG220" s="424"/>
      <c r="AH220" s="424"/>
      <c r="AI220" s="424"/>
      <c r="AJ220" s="424"/>
      <c r="AK220" s="424"/>
      <c r="AL220" s="424"/>
      <c r="AM220" s="424"/>
      <c r="AN220" s="424"/>
    </row>
    <row r="221" spans="1:40" ht="15.75" customHeight="1" x14ac:dyDescent="0.4">
      <c r="A221" s="433" t="s">
        <v>517</v>
      </c>
      <c r="B221" s="424" t="s">
        <v>248</v>
      </c>
      <c r="C221" s="441" t="s">
        <v>383</v>
      </c>
      <c r="D221" s="491"/>
      <c r="E221" s="424"/>
      <c r="F221" s="442">
        <v>179.20450168848672</v>
      </c>
      <c r="G221" s="492"/>
      <c r="H221" s="424"/>
      <c r="I221" s="442"/>
      <c r="J221" s="441"/>
      <c r="K221" s="424"/>
      <c r="L221" s="444">
        <v>161.29</v>
      </c>
      <c r="M221" s="441"/>
      <c r="N221" s="467">
        <v>-17.914501688486723</v>
      </c>
      <c r="O221" s="441"/>
      <c r="P221" s="424"/>
      <c r="Q221" s="444">
        <v>127.04</v>
      </c>
      <c r="R221" s="441"/>
      <c r="S221" s="467">
        <v>34.249999999999986</v>
      </c>
      <c r="T221" s="424"/>
      <c r="U221" s="424"/>
      <c r="V221" s="424"/>
      <c r="W221" s="424"/>
      <c r="X221" s="424"/>
      <c r="Y221" s="424"/>
      <c r="Z221" s="424"/>
      <c r="AA221" s="424"/>
      <c r="AB221" s="424"/>
      <c r="AC221" s="424"/>
      <c r="AD221" s="424"/>
      <c r="AE221" s="424"/>
      <c r="AF221" s="424"/>
      <c r="AG221" s="424"/>
      <c r="AH221" s="424"/>
      <c r="AI221" s="424"/>
      <c r="AJ221" s="424"/>
      <c r="AK221" s="424"/>
      <c r="AL221" s="424"/>
      <c r="AM221" s="424"/>
      <c r="AN221" s="424"/>
    </row>
    <row r="222" spans="1:40" ht="15.75" customHeight="1" x14ac:dyDescent="0.4">
      <c r="A222" s="433" t="s">
        <v>518</v>
      </c>
      <c r="B222" s="424" t="s">
        <v>248</v>
      </c>
      <c r="C222" s="441" t="s">
        <v>385</v>
      </c>
      <c r="D222" s="491"/>
      <c r="E222" s="424"/>
      <c r="F222" s="442">
        <v>92.790571276313315</v>
      </c>
      <c r="G222" s="492"/>
      <c r="H222" s="424"/>
      <c r="I222" s="442"/>
      <c r="J222" s="441"/>
      <c r="K222" s="424"/>
      <c r="L222" s="444">
        <v>40.950000000000003</v>
      </c>
      <c r="M222" s="441"/>
      <c r="N222" s="467">
        <v>-51.840571276313312</v>
      </c>
      <c r="O222" s="441"/>
      <c r="P222" s="424"/>
      <c r="Q222" s="444">
        <v>24.72</v>
      </c>
      <c r="R222" s="441"/>
      <c r="S222" s="467">
        <v>16.230000000000004</v>
      </c>
      <c r="T222" s="424"/>
      <c r="U222" s="424"/>
      <c r="V222" s="424"/>
      <c r="W222" s="424"/>
      <c r="X222" s="424"/>
      <c r="Y222" s="424"/>
      <c r="Z222" s="424"/>
      <c r="AA222" s="424"/>
      <c r="AB222" s="424"/>
      <c r="AC222" s="424"/>
      <c r="AD222" s="424"/>
      <c r="AE222" s="424"/>
      <c r="AF222" s="424"/>
      <c r="AG222" s="424"/>
      <c r="AH222" s="424"/>
      <c r="AI222" s="424"/>
      <c r="AJ222" s="424"/>
      <c r="AK222" s="424"/>
      <c r="AL222" s="424"/>
      <c r="AM222" s="424"/>
      <c r="AN222" s="424"/>
    </row>
    <row r="223" spans="1:40" ht="15.75" customHeight="1" x14ac:dyDescent="0.4">
      <c r="A223" s="433" t="s">
        <v>519</v>
      </c>
      <c r="B223" s="424" t="s">
        <v>248</v>
      </c>
      <c r="C223" s="441" t="s">
        <v>387</v>
      </c>
      <c r="D223" s="491"/>
      <c r="E223" s="424"/>
      <c r="F223" s="442">
        <v>152.45095187595334</v>
      </c>
      <c r="G223" s="492"/>
      <c r="H223" s="424"/>
      <c r="I223" s="442"/>
      <c r="J223" s="441"/>
      <c r="K223" s="424"/>
      <c r="L223" s="444">
        <v>47.04</v>
      </c>
      <c r="M223" s="441"/>
      <c r="N223" s="467">
        <v>-105.41095187595334</v>
      </c>
      <c r="O223" s="441"/>
      <c r="P223" s="424"/>
      <c r="Q223" s="444">
        <v>141.38</v>
      </c>
      <c r="R223" s="441"/>
      <c r="S223" s="467">
        <v>-94.34</v>
      </c>
      <c r="T223" s="424"/>
      <c r="U223" s="424"/>
      <c r="V223" s="424"/>
      <c r="W223" s="424"/>
      <c r="X223" s="424"/>
      <c r="Y223" s="424"/>
      <c r="Z223" s="424"/>
      <c r="AA223" s="424"/>
      <c r="AB223" s="424"/>
      <c r="AC223" s="424"/>
      <c r="AD223" s="424"/>
      <c r="AE223" s="424"/>
      <c r="AF223" s="424"/>
      <c r="AG223" s="424"/>
      <c r="AH223" s="424"/>
      <c r="AI223" s="424"/>
      <c r="AJ223" s="424"/>
      <c r="AK223" s="424"/>
      <c r="AL223" s="424"/>
      <c r="AM223" s="424"/>
      <c r="AN223" s="424"/>
    </row>
    <row r="224" spans="1:40" ht="15.75" customHeight="1" x14ac:dyDescent="0.4">
      <c r="A224" s="433" t="s">
        <v>520</v>
      </c>
      <c r="B224" s="424" t="s">
        <v>248</v>
      </c>
      <c r="C224" s="441" t="s">
        <v>389</v>
      </c>
      <c r="D224" s="491"/>
      <c r="E224" s="424"/>
      <c r="F224" s="442">
        <v>3066.5133988524863</v>
      </c>
      <c r="G224" s="492"/>
      <c r="H224" s="424"/>
      <c r="I224" s="442"/>
      <c r="J224" s="441"/>
      <c r="K224" s="424"/>
      <c r="L224" s="444">
        <v>1328.27</v>
      </c>
      <c r="M224" s="441"/>
      <c r="N224" s="467">
        <v>-1738.2433988524863</v>
      </c>
      <c r="O224" s="441"/>
      <c r="P224" s="424"/>
      <c r="Q224" s="444">
        <v>2955.15</v>
      </c>
      <c r="R224" s="441"/>
      <c r="S224" s="467">
        <v>-1626.88</v>
      </c>
      <c r="T224" s="424"/>
      <c r="X224" s="424"/>
      <c r="Y224" s="424"/>
      <c r="Z224" s="424"/>
      <c r="AA224" s="424"/>
      <c r="AB224" s="424"/>
      <c r="AC224" s="424"/>
      <c r="AD224" s="424"/>
      <c r="AE224" s="424"/>
      <c r="AF224" s="424"/>
      <c r="AG224" s="424"/>
      <c r="AH224" s="424"/>
      <c r="AI224" s="424"/>
      <c r="AJ224" s="424"/>
      <c r="AK224" s="424"/>
      <c r="AL224" s="424"/>
      <c r="AM224" s="424"/>
      <c r="AN224" s="424"/>
    </row>
    <row r="225" spans="1:40" ht="15.75" customHeight="1" x14ac:dyDescent="0.4">
      <c r="A225" s="433" t="s">
        <v>521</v>
      </c>
      <c r="B225" s="424" t="s">
        <v>248</v>
      </c>
      <c r="C225" s="441" t="s">
        <v>391</v>
      </c>
      <c r="D225" s="491"/>
      <c r="E225" s="424"/>
      <c r="F225" s="442">
        <v>1895.3289853790277</v>
      </c>
      <c r="G225" s="492"/>
      <c r="H225" s="424"/>
      <c r="I225" s="442"/>
      <c r="J225" s="441"/>
      <c r="K225" s="424"/>
      <c r="L225" s="444">
        <v>1951.19</v>
      </c>
      <c r="M225" s="441"/>
      <c r="N225" s="467">
        <v>55.861014620972355</v>
      </c>
      <c r="O225" s="441"/>
      <c r="P225" s="424"/>
      <c r="Q225" s="444">
        <v>1859.4</v>
      </c>
      <c r="R225" s="441"/>
      <c r="S225" s="467">
        <v>91.789999999999964</v>
      </c>
      <c r="T225" s="424"/>
      <c r="X225" s="424"/>
      <c r="Y225" s="424"/>
      <c r="Z225" s="424"/>
      <c r="AA225" s="424"/>
      <c r="AB225" s="424"/>
      <c r="AC225" s="424"/>
      <c r="AD225" s="424"/>
      <c r="AE225" s="424"/>
      <c r="AF225" s="424"/>
      <c r="AG225" s="424"/>
      <c r="AH225" s="424"/>
      <c r="AI225" s="424"/>
      <c r="AJ225" s="424"/>
      <c r="AK225" s="424"/>
      <c r="AL225" s="424"/>
      <c r="AM225" s="424"/>
      <c r="AN225" s="424"/>
    </row>
    <row r="226" spans="1:40" ht="15.75" hidden="1" customHeight="1" x14ac:dyDescent="0.4">
      <c r="A226" s="433" t="s">
        <v>499</v>
      </c>
      <c r="B226" s="424" t="s">
        <v>248</v>
      </c>
      <c r="C226" s="441" t="s">
        <v>323</v>
      </c>
      <c r="D226" s="491"/>
      <c r="E226" s="424"/>
      <c r="F226" s="442">
        <v>0</v>
      </c>
      <c r="G226" s="492"/>
      <c r="H226" s="424"/>
      <c r="I226" s="442"/>
      <c r="J226" s="441"/>
      <c r="K226" s="424"/>
      <c r="L226" s="444">
        <v>0</v>
      </c>
      <c r="M226" s="441"/>
      <c r="N226" s="467">
        <v>0</v>
      </c>
      <c r="O226" s="441"/>
      <c r="P226" s="424"/>
      <c r="Q226" s="444">
        <v>0</v>
      </c>
      <c r="R226" s="441"/>
      <c r="S226" s="467">
        <v>0</v>
      </c>
      <c r="T226" s="424"/>
      <c r="U226" s="424"/>
      <c r="V226" s="424"/>
      <c r="W226" s="424"/>
      <c r="X226" s="424"/>
      <c r="Y226" s="424"/>
      <c r="Z226" s="424"/>
      <c r="AA226" s="424"/>
      <c r="AB226" s="424"/>
      <c r="AC226" s="424"/>
      <c r="AD226" s="424"/>
      <c r="AE226" s="424"/>
      <c r="AF226" s="424"/>
      <c r="AG226" s="424"/>
      <c r="AH226" s="424"/>
      <c r="AI226" s="424"/>
      <c r="AJ226" s="424"/>
      <c r="AK226" s="424"/>
      <c r="AL226" s="424"/>
      <c r="AM226" s="424"/>
      <c r="AN226" s="424"/>
    </row>
    <row r="227" spans="1:40" ht="15.75" hidden="1" customHeight="1" x14ac:dyDescent="0.4">
      <c r="A227" s="433" t="s">
        <v>499</v>
      </c>
      <c r="B227" s="424" t="s">
        <v>248</v>
      </c>
      <c r="C227" s="441" t="s">
        <v>323</v>
      </c>
      <c r="D227" s="491"/>
      <c r="E227" s="424"/>
      <c r="F227" s="442">
        <v>0</v>
      </c>
      <c r="G227" s="492"/>
      <c r="H227" s="424"/>
      <c r="I227" s="442"/>
      <c r="J227" s="441"/>
      <c r="K227" s="424"/>
      <c r="L227" s="444">
        <v>0</v>
      </c>
      <c r="M227" s="441"/>
      <c r="N227" s="467">
        <v>0</v>
      </c>
      <c r="O227" s="441"/>
      <c r="P227" s="424"/>
      <c r="Q227" s="444">
        <v>0</v>
      </c>
      <c r="R227" s="441"/>
      <c r="S227" s="467">
        <v>0</v>
      </c>
      <c r="T227" s="424"/>
      <c r="U227" s="424"/>
      <c r="V227" s="424"/>
      <c r="W227" s="424"/>
      <c r="X227" s="424"/>
      <c r="Y227" s="424"/>
      <c r="Z227" s="424"/>
      <c r="AA227" s="424"/>
      <c r="AB227" s="424"/>
      <c r="AC227" s="424"/>
      <c r="AD227" s="424"/>
      <c r="AE227" s="424"/>
      <c r="AF227" s="424"/>
      <c r="AG227" s="424"/>
      <c r="AH227" s="424"/>
      <c r="AI227" s="424"/>
      <c r="AJ227" s="424"/>
      <c r="AK227" s="424"/>
      <c r="AL227" s="424"/>
      <c r="AM227" s="424"/>
      <c r="AN227" s="424"/>
    </row>
    <row r="228" spans="1:40" ht="15.75" hidden="1" customHeight="1" x14ac:dyDescent="0.4">
      <c r="A228" s="433" t="s">
        <v>499</v>
      </c>
      <c r="B228" s="424" t="s">
        <v>248</v>
      </c>
      <c r="C228" s="441" t="s">
        <v>323</v>
      </c>
      <c r="D228" s="491"/>
      <c r="E228" s="424"/>
      <c r="F228" s="442">
        <v>0</v>
      </c>
      <c r="G228" s="492"/>
      <c r="H228" s="424"/>
      <c r="I228" s="442"/>
      <c r="J228" s="441"/>
      <c r="K228" s="424"/>
      <c r="L228" s="444">
        <v>0</v>
      </c>
      <c r="M228" s="441"/>
      <c r="N228" s="467">
        <v>0</v>
      </c>
      <c r="O228" s="441"/>
      <c r="P228" s="424"/>
      <c r="Q228" s="444">
        <v>0</v>
      </c>
      <c r="R228" s="441"/>
      <c r="S228" s="467">
        <v>0</v>
      </c>
      <c r="T228" s="424"/>
      <c r="U228" s="424"/>
      <c r="V228" s="424"/>
      <c r="W228" s="424"/>
      <c r="X228" s="424"/>
      <c r="Y228" s="424"/>
      <c r="Z228" s="424"/>
      <c r="AA228" s="424"/>
      <c r="AB228" s="424"/>
      <c r="AC228" s="424"/>
      <c r="AD228" s="424"/>
      <c r="AE228" s="424"/>
      <c r="AF228" s="424"/>
      <c r="AG228" s="424"/>
      <c r="AH228" s="424"/>
      <c r="AI228" s="424"/>
      <c r="AJ228" s="424"/>
      <c r="AK228" s="424"/>
      <c r="AL228" s="424"/>
      <c r="AM228" s="424"/>
      <c r="AN228" s="424"/>
    </row>
    <row r="229" spans="1:40" ht="15.75" customHeight="1" x14ac:dyDescent="0.4">
      <c r="B229" s="424"/>
      <c r="C229" s="499" t="s">
        <v>393</v>
      </c>
      <c r="D229" s="500" t="s">
        <v>505</v>
      </c>
      <c r="E229" s="501">
        <v>0.25028723290372462</v>
      </c>
      <c r="F229" s="502">
        <v>53234.252414617971</v>
      </c>
      <c r="G229" s="503"/>
      <c r="H229" s="501"/>
      <c r="I229" s="502"/>
      <c r="J229" s="503" t="s">
        <v>505</v>
      </c>
      <c r="K229" s="501">
        <v>0.24654213011200268</v>
      </c>
      <c r="L229" s="502">
        <v>59491.4</v>
      </c>
      <c r="M229" s="506"/>
      <c r="N229" s="502">
        <v>6257.1475853820302</v>
      </c>
      <c r="O229" s="503" t="s">
        <v>505</v>
      </c>
      <c r="P229" s="501">
        <v>0.28294206326705479</v>
      </c>
      <c r="Q229" s="502">
        <v>58602.1</v>
      </c>
      <c r="R229" s="506"/>
      <c r="S229" s="502">
        <v>889.30000000000291</v>
      </c>
      <c r="T229" s="424"/>
      <c r="U229" s="424"/>
      <c r="V229" s="424"/>
      <c r="W229" s="424"/>
      <c r="X229" s="424"/>
      <c r="Y229" s="424"/>
      <c r="Z229" s="424"/>
      <c r="AA229" s="424"/>
      <c r="AB229" s="424"/>
      <c r="AC229" s="424"/>
      <c r="AD229" s="424"/>
      <c r="AE229" s="424"/>
      <c r="AF229" s="424"/>
      <c r="AG229" s="424"/>
      <c r="AH229" s="424"/>
      <c r="AI229" s="424"/>
      <c r="AJ229" s="424"/>
      <c r="AK229" s="424"/>
      <c r="AL229" s="424"/>
      <c r="AM229" s="424"/>
      <c r="AN229" s="424"/>
    </row>
    <row r="230" spans="1:40" ht="15.75" customHeight="1" x14ac:dyDescent="0.4">
      <c r="B230" s="424"/>
      <c r="C230" s="434"/>
      <c r="D230" s="494"/>
      <c r="E230" s="513"/>
      <c r="F230" s="467"/>
      <c r="G230" s="495"/>
      <c r="H230" s="513"/>
      <c r="I230" s="467"/>
      <c r="J230" s="434"/>
      <c r="K230" s="513"/>
      <c r="L230" s="490"/>
      <c r="M230" s="434"/>
      <c r="N230" s="490"/>
      <c r="O230" s="434"/>
      <c r="P230" s="513"/>
      <c r="Q230" s="490"/>
      <c r="R230" s="434"/>
      <c r="S230" s="490"/>
      <c r="T230" s="424"/>
      <c r="U230" s="424"/>
      <c r="V230" s="424"/>
      <c r="W230" s="424"/>
      <c r="X230" s="424"/>
      <c r="Y230" s="424"/>
      <c r="Z230" s="424"/>
      <c r="AA230" s="424"/>
      <c r="AB230" s="424"/>
      <c r="AC230" s="424"/>
      <c r="AD230" s="424"/>
      <c r="AE230" s="424"/>
      <c r="AF230" s="424"/>
      <c r="AG230" s="424"/>
      <c r="AH230" s="424"/>
      <c r="AI230" s="424"/>
      <c r="AJ230" s="424"/>
      <c r="AK230" s="424"/>
      <c r="AL230" s="424"/>
      <c r="AM230" s="424"/>
      <c r="AN230" s="424"/>
    </row>
    <row r="231" spans="1:40" ht="15.75" customHeight="1" x14ac:dyDescent="0.4">
      <c r="B231" s="424"/>
      <c r="C231" s="499" t="s">
        <v>395</v>
      </c>
      <c r="D231" s="500" t="s">
        <v>352</v>
      </c>
      <c r="E231" s="501">
        <v>0.80067114218131097</v>
      </c>
      <c r="F231" s="502">
        <v>170296.8592903649</v>
      </c>
      <c r="G231" s="503"/>
      <c r="H231" s="501"/>
      <c r="I231" s="502"/>
      <c r="J231" s="503" t="s">
        <v>352</v>
      </c>
      <c r="K231" s="501">
        <v>0.68482897738852844</v>
      </c>
      <c r="L231" s="502">
        <v>165251.41</v>
      </c>
      <c r="M231" s="506"/>
      <c r="N231" s="515">
        <v>-5045.4492903648934</v>
      </c>
      <c r="O231" s="503" t="s">
        <v>352</v>
      </c>
      <c r="P231" s="501">
        <v>0.810336295009352</v>
      </c>
      <c r="Q231" s="502">
        <v>167834.38999999998</v>
      </c>
      <c r="R231" s="506"/>
      <c r="S231" s="515">
        <v>-2582.9799999999814</v>
      </c>
      <c r="T231" s="424"/>
      <c r="U231" s="424"/>
      <c r="V231" s="424"/>
      <c r="W231" s="424"/>
      <c r="X231" s="424"/>
      <c r="Y231" s="424"/>
      <c r="Z231" s="424"/>
      <c r="AA231" s="424"/>
      <c r="AB231" s="424"/>
      <c r="AC231" s="424"/>
      <c r="AD231" s="424"/>
      <c r="AE231" s="424"/>
      <c r="AF231" s="424"/>
      <c r="AG231" s="424"/>
      <c r="AH231" s="424"/>
      <c r="AI231" s="424"/>
      <c r="AJ231" s="424"/>
      <c r="AK231" s="424"/>
      <c r="AL231" s="424"/>
      <c r="AM231" s="424"/>
      <c r="AN231" s="424"/>
    </row>
    <row r="232" spans="1:40" ht="15.75" customHeight="1" x14ac:dyDescent="0.4">
      <c r="B232" s="424"/>
      <c r="C232" s="441"/>
      <c r="D232" s="491"/>
      <c r="E232" s="424"/>
      <c r="F232" s="467"/>
      <c r="G232" s="492"/>
      <c r="H232" s="424"/>
      <c r="I232" s="467"/>
      <c r="J232" s="441"/>
      <c r="K232" s="424"/>
      <c r="L232" s="467"/>
      <c r="M232" s="441"/>
      <c r="N232" s="467">
        <v>0</v>
      </c>
      <c r="O232" s="441"/>
      <c r="P232" s="424"/>
      <c r="Q232" s="467"/>
      <c r="R232" s="441"/>
      <c r="S232" s="467"/>
      <c r="T232" s="424"/>
      <c r="U232" s="424"/>
      <c r="V232" s="424"/>
      <c r="W232" s="424"/>
      <c r="X232" s="424"/>
      <c r="Y232" s="424"/>
      <c r="Z232" s="424"/>
      <c r="AA232" s="424"/>
      <c r="AB232" s="424"/>
      <c r="AC232" s="424"/>
      <c r="AD232" s="424"/>
      <c r="AE232" s="424"/>
      <c r="AF232" s="424"/>
      <c r="AG232" s="424"/>
      <c r="AH232" s="424"/>
      <c r="AI232" s="424"/>
      <c r="AJ232" s="424"/>
      <c r="AK232" s="424"/>
      <c r="AL232" s="424"/>
      <c r="AM232" s="424"/>
      <c r="AN232" s="424"/>
    </row>
    <row r="233" spans="1:40" ht="15.75" customHeight="1" thickBot="1" x14ac:dyDescent="0.45">
      <c r="B233" s="424"/>
      <c r="C233" s="527" t="s">
        <v>409</v>
      </c>
      <c r="D233" s="553"/>
      <c r="E233" s="528"/>
      <c r="F233" s="530">
        <v>42395.781069341465</v>
      </c>
      <c r="G233" s="554"/>
      <c r="H233" s="528"/>
      <c r="I233" s="530"/>
      <c r="J233" s="527"/>
      <c r="K233" s="529"/>
      <c r="L233" s="530">
        <v>76051.76999999999</v>
      </c>
      <c r="M233" s="527"/>
      <c r="N233" s="530">
        <v>33655.988930658525</v>
      </c>
      <c r="O233" s="527"/>
      <c r="P233" s="395">
        <v>0.13553559902194354</v>
      </c>
      <c r="Q233" s="530">
        <v>39282.569999999803</v>
      </c>
      <c r="R233" s="527"/>
      <c r="S233" s="530">
        <v>36769.200000000186</v>
      </c>
      <c r="T233" s="424"/>
      <c r="U233" s="424"/>
      <c r="V233" s="424"/>
      <c r="W233" s="424"/>
      <c r="X233" s="424"/>
      <c r="Y233" s="424"/>
      <c r="Z233" s="424"/>
      <c r="AA233" s="424"/>
      <c r="AB233" s="424"/>
      <c r="AC233" s="424"/>
      <c r="AD233" s="424"/>
      <c r="AE233" s="424"/>
      <c r="AF233" s="424"/>
      <c r="AG233" s="424"/>
      <c r="AH233" s="424"/>
      <c r="AI233" s="424"/>
      <c r="AJ233" s="424"/>
      <c r="AK233" s="424"/>
      <c r="AL233" s="424"/>
      <c r="AM233" s="424"/>
      <c r="AN233" s="424"/>
    </row>
    <row r="234" spans="1:40" ht="15.75" customHeight="1" thickTop="1" x14ac:dyDescent="0.4">
      <c r="B234" s="424"/>
      <c r="C234" s="424"/>
      <c r="D234" s="424"/>
      <c r="E234" s="424"/>
      <c r="F234" s="424"/>
      <c r="G234" s="424"/>
      <c r="H234" s="424"/>
      <c r="I234" s="424"/>
      <c r="J234" s="424"/>
      <c r="K234" s="424"/>
      <c r="L234" s="482"/>
      <c r="M234" s="482"/>
      <c r="N234" s="424"/>
      <c r="O234" s="482"/>
      <c r="P234" s="424"/>
      <c r="Q234" s="482"/>
      <c r="R234" s="424"/>
      <c r="S234" s="424"/>
      <c r="T234" s="424"/>
      <c r="U234" s="424"/>
      <c r="V234" s="424"/>
      <c r="W234" s="424"/>
      <c r="X234" s="424"/>
      <c r="Y234" s="424"/>
      <c r="Z234" s="424"/>
      <c r="AA234" s="424"/>
      <c r="AB234" s="424"/>
      <c r="AC234" s="424"/>
      <c r="AD234" s="424"/>
      <c r="AE234" s="424"/>
      <c r="AF234" s="424"/>
      <c r="AG234" s="424"/>
      <c r="AH234" s="424"/>
      <c r="AI234" s="424"/>
      <c r="AJ234" s="424"/>
      <c r="AK234" s="424"/>
      <c r="AL234" s="424"/>
      <c r="AM234" s="424"/>
      <c r="AN234" s="424"/>
    </row>
    <row r="235" spans="1:40" ht="15.75" customHeight="1" x14ac:dyDescent="0.4">
      <c r="B235" s="424"/>
      <c r="C235" s="421"/>
      <c r="D235" s="421"/>
      <c r="E235" s="421"/>
      <c r="F235" s="421"/>
      <c r="G235" s="421"/>
      <c r="H235" s="421"/>
      <c r="I235" s="421"/>
      <c r="J235" s="421"/>
      <c r="K235" s="421"/>
      <c r="L235" s="555"/>
      <c r="M235" s="555"/>
      <c r="N235" s="421"/>
      <c r="O235" s="555"/>
      <c r="P235" s="421"/>
      <c r="Q235" s="555"/>
      <c r="R235" s="421"/>
      <c r="S235" s="421"/>
      <c r="T235" s="421"/>
      <c r="U235" s="421"/>
      <c r="V235" s="424"/>
      <c r="W235" s="424"/>
      <c r="X235" s="424"/>
      <c r="Y235" s="424"/>
      <c r="Z235" s="424"/>
      <c r="AA235" s="424"/>
      <c r="AB235" s="424"/>
      <c r="AC235" s="424"/>
      <c r="AD235" s="424"/>
      <c r="AE235" s="424"/>
      <c r="AF235" s="424"/>
      <c r="AG235" s="424"/>
      <c r="AH235" s="424"/>
      <c r="AI235" s="424"/>
      <c r="AJ235" s="424"/>
      <c r="AK235" s="424"/>
      <c r="AL235" s="424"/>
      <c r="AM235" s="424"/>
      <c r="AN235" s="424"/>
    </row>
    <row r="236" spans="1:40" ht="33" customHeight="1" x14ac:dyDescent="0.7">
      <c r="B236" s="424"/>
      <c r="C236" s="535" t="s">
        <v>706</v>
      </c>
      <c r="D236" s="412"/>
      <c r="E236" s="412"/>
      <c r="F236" s="412"/>
      <c r="G236" s="412"/>
      <c r="H236" s="410"/>
      <c r="I236" s="410"/>
      <c r="J236" s="410"/>
      <c r="K236" s="414" t="s">
        <v>522</v>
      </c>
      <c r="L236" s="412"/>
      <c r="M236" s="412"/>
      <c r="N236" s="410"/>
      <c r="O236" s="410"/>
      <c r="P236" s="412"/>
      <c r="Q236" s="410"/>
      <c r="R236" s="412"/>
      <c r="S236" s="536" t="s">
        <v>723</v>
      </c>
      <c r="T236" s="412"/>
      <c r="U236" s="410"/>
      <c r="V236" s="421"/>
      <c r="W236" s="421"/>
      <c r="X236" s="421"/>
      <c r="Y236" s="421"/>
      <c r="Z236" s="421"/>
      <c r="AA236" s="421"/>
      <c r="AB236" s="421"/>
      <c r="AC236" s="421"/>
      <c r="AD236" s="421"/>
      <c r="AE236" s="421"/>
      <c r="AF236" s="421"/>
      <c r="AG236" s="421"/>
      <c r="AH236" s="421"/>
      <c r="AI236" s="421"/>
      <c r="AJ236" s="421"/>
      <c r="AK236" s="421"/>
      <c r="AL236" s="421"/>
      <c r="AM236" s="421"/>
      <c r="AN236" s="421"/>
    </row>
    <row r="237" spans="1:40" ht="24" customHeight="1" thickBot="1" x14ac:dyDescent="0.75">
      <c r="B237" s="424"/>
      <c r="C237" s="419"/>
      <c r="D237" s="421"/>
      <c r="E237" s="421"/>
      <c r="F237" s="421"/>
      <c r="G237" s="421"/>
      <c r="H237" s="421"/>
      <c r="I237" s="421"/>
      <c r="J237" s="421"/>
      <c r="K237" s="421"/>
      <c r="L237" s="421"/>
      <c r="M237" s="421"/>
      <c r="N237" s="421"/>
      <c r="O237" s="421"/>
      <c r="P237" s="421"/>
      <c r="Q237" s="421"/>
      <c r="R237" s="421"/>
      <c r="S237" s="421"/>
      <c r="T237" s="421"/>
      <c r="U237" s="421"/>
      <c r="V237" s="410"/>
      <c r="W237" s="410"/>
      <c r="X237" s="410"/>
      <c r="Y237" s="410"/>
      <c r="Z237" s="410"/>
      <c r="AA237" s="410"/>
      <c r="AB237" s="410"/>
      <c r="AC237" s="410"/>
      <c r="AD237" s="410"/>
      <c r="AE237" s="410"/>
      <c r="AF237" s="410"/>
      <c r="AG237" s="410"/>
      <c r="AH237" s="410"/>
      <c r="AI237" s="410"/>
      <c r="AJ237" s="410"/>
      <c r="AK237" s="410"/>
      <c r="AL237" s="410"/>
      <c r="AM237" s="410"/>
      <c r="AN237" s="410"/>
    </row>
    <row r="238" spans="1:40" ht="15.75" customHeight="1" thickTop="1" x14ac:dyDescent="0.4">
      <c r="B238" s="424"/>
      <c r="C238" s="425"/>
      <c r="D238" s="787" t="s">
        <v>299</v>
      </c>
      <c r="E238" s="788"/>
      <c r="F238" s="789"/>
      <c r="G238" s="790"/>
      <c r="H238" s="788"/>
      <c r="I238" s="789"/>
      <c r="J238" s="790" t="s">
        <v>300</v>
      </c>
      <c r="K238" s="788"/>
      <c r="L238" s="789"/>
      <c r="M238" s="790" t="s">
        <v>301</v>
      </c>
      <c r="N238" s="789"/>
      <c r="O238" s="787" t="s">
        <v>302</v>
      </c>
      <c r="P238" s="788"/>
      <c r="Q238" s="789"/>
      <c r="R238" s="790" t="s">
        <v>303</v>
      </c>
      <c r="S238" s="789"/>
      <c r="T238" s="550"/>
      <c r="U238" s="424"/>
      <c r="V238" s="421"/>
      <c r="W238" s="421"/>
      <c r="X238" s="421"/>
      <c r="Y238" s="421"/>
      <c r="Z238" s="421"/>
      <c r="AA238" s="421"/>
      <c r="AB238" s="421"/>
      <c r="AC238" s="421"/>
      <c r="AD238" s="421"/>
      <c r="AE238" s="421"/>
      <c r="AF238" s="421"/>
      <c r="AG238" s="421"/>
      <c r="AH238" s="421"/>
      <c r="AI238" s="421"/>
      <c r="AJ238" s="421"/>
      <c r="AK238" s="421"/>
      <c r="AL238" s="421"/>
      <c r="AM238" s="421"/>
      <c r="AN238" s="421"/>
    </row>
    <row r="239" spans="1:40" ht="15.75" customHeight="1" x14ac:dyDescent="0.4">
      <c r="A239" s="433" t="s">
        <v>522</v>
      </c>
      <c r="B239" s="424" t="s">
        <v>522</v>
      </c>
      <c r="C239" s="441"/>
      <c r="D239" s="484" t="s">
        <v>22</v>
      </c>
      <c r="E239" s="484" t="s">
        <v>468</v>
      </c>
      <c r="F239" s="556" t="s">
        <v>24</v>
      </c>
      <c r="G239" s="557"/>
      <c r="H239" s="484"/>
      <c r="I239" s="556"/>
      <c r="J239" s="557" t="s">
        <v>22</v>
      </c>
      <c r="K239" s="484" t="s">
        <v>468</v>
      </c>
      <c r="L239" s="556" t="s">
        <v>24</v>
      </c>
      <c r="M239" s="557" t="s">
        <v>22</v>
      </c>
      <c r="N239" s="556" t="s">
        <v>470</v>
      </c>
      <c r="O239" s="484" t="s">
        <v>22</v>
      </c>
      <c r="P239" s="484" t="s">
        <v>468</v>
      </c>
      <c r="Q239" s="556" t="s">
        <v>24</v>
      </c>
      <c r="R239" s="557" t="s">
        <v>471</v>
      </c>
      <c r="S239" s="556" t="s">
        <v>24</v>
      </c>
      <c r="T239" s="484"/>
      <c r="U239" s="424"/>
      <c r="V239" s="424"/>
      <c r="W239" s="424"/>
      <c r="X239" s="424"/>
      <c r="Y239" s="424"/>
      <c r="Z239" s="424"/>
      <c r="AA239" s="424"/>
      <c r="AB239" s="424"/>
      <c r="AC239" s="424"/>
      <c r="AD239" s="424"/>
      <c r="AE239" s="424"/>
      <c r="AF239" s="424"/>
      <c r="AG239" s="424"/>
      <c r="AH239" s="424"/>
      <c r="AI239" s="424"/>
      <c r="AJ239" s="424"/>
      <c r="AK239" s="424"/>
      <c r="AL239" s="424"/>
      <c r="AM239" s="424"/>
      <c r="AN239" s="424"/>
    </row>
    <row r="240" spans="1:40" ht="15.75" customHeight="1" x14ac:dyDescent="0.4">
      <c r="A240" s="433" t="s">
        <v>522</v>
      </c>
      <c r="B240" s="424" t="s">
        <v>522</v>
      </c>
      <c r="C240" s="441"/>
      <c r="D240" s="484"/>
      <c r="E240" s="484"/>
      <c r="F240" s="556"/>
      <c r="G240" s="557"/>
      <c r="H240" s="484"/>
      <c r="I240" s="556"/>
      <c r="J240" s="557"/>
      <c r="K240" s="442"/>
      <c r="L240" s="444"/>
      <c r="M240" s="557"/>
      <c r="N240" s="556"/>
      <c r="O240" s="484"/>
      <c r="P240" s="484"/>
      <c r="Q240" s="556"/>
      <c r="R240" s="557"/>
      <c r="S240" s="556"/>
      <c r="T240" s="484"/>
      <c r="U240" s="424"/>
      <c r="V240" s="424"/>
      <c r="W240" s="424"/>
      <c r="X240" s="424"/>
      <c r="Y240" s="424"/>
      <c r="Z240" s="424"/>
      <c r="AA240" s="424"/>
      <c r="AB240" s="424"/>
      <c r="AC240" s="424"/>
      <c r="AD240" s="424"/>
      <c r="AE240" s="424"/>
      <c r="AF240" s="424"/>
      <c r="AG240" s="424"/>
      <c r="AH240" s="424"/>
      <c r="AI240" s="424"/>
      <c r="AJ240" s="424"/>
      <c r="AK240" s="424"/>
      <c r="AL240" s="424"/>
      <c r="AM240" s="424"/>
      <c r="AN240" s="424"/>
    </row>
    <row r="241" spans="1:40" ht="15.75" customHeight="1" x14ac:dyDescent="0.4">
      <c r="A241" s="433" t="s">
        <v>523</v>
      </c>
      <c r="B241" s="424" t="s">
        <v>522</v>
      </c>
      <c r="C241" s="441" t="s">
        <v>524</v>
      </c>
      <c r="D241" s="596">
        <v>0</v>
      </c>
      <c r="E241" s="482">
        <v>48000</v>
      </c>
      <c r="F241" s="482">
        <v>10560</v>
      </c>
      <c r="G241" s="597"/>
      <c r="H241" s="482"/>
      <c r="I241" s="482"/>
      <c r="J241" s="468">
        <v>14</v>
      </c>
      <c r="K241" s="442">
        <v>50617.07</v>
      </c>
      <c r="L241" s="444">
        <v>9648.5899999999965</v>
      </c>
      <c r="M241" s="486">
        <v>5.452229166666666E-2</v>
      </c>
      <c r="N241" s="467">
        <v>-911.41000000000349</v>
      </c>
      <c r="O241" s="468">
        <v>0</v>
      </c>
      <c r="P241" s="442">
        <v>866.04</v>
      </c>
      <c r="Q241" s="444">
        <v>866.04</v>
      </c>
      <c r="R241" s="486">
        <v>0</v>
      </c>
      <c r="S241" s="467">
        <v>8782.5499999999956</v>
      </c>
      <c r="T241" s="484"/>
      <c r="U241" s="424"/>
      <c r="V241" s="424"/>
      <c r="W241" s="424"/>
      <c r="X241" s="424"/>
      <c r="Y241" s="424"/>
      <c r="Z241" s="424"/>
      <c r="AA241" s="424"/>
      <c r="AB241" s="424"/>
      <c r="AC241" s="424"/>
      <c r="AD241" s="424"/>
      <c r="AE241" s="424"/>
      <c r="AF241" s="424"/>
      <c r="AG241" s="424"/>
      <c r="AH241" s="424"/>
      <c r="AI241" s="424"/>
      <c r="AJ241" s="424"/>
      <c r="AK241" s="424"/>
      <c r="AL241" s="424"/>
      <c r="AM241" s="424"/>
      <c r="AN241" s="424"/>
    </row>
    <row r="242" spans="1:40" ht="15.75" customHeight="1" x14ac:dyDescent="0.4">
      <c r="A242" s="433" t="s">
        <v>525</v>
      </c>
      <c r="B242" s="424" t="s">
        <v>522</v>
      </c>
      <c r="C242" s="441" t="s">
        <v>475</v>
      </c>
      <c r="D242" s="484"/>
      <c r="E242" s="544"/>
      <c r="F242" s="558">
        <v>0.22</v>
      </c>
      <c r="G242" s="441"/>
      <c r="H242" s="544"/>
      <c r="I242" s="558"/>
      <c r="J242" s="468"/>
      <c r="K242" s="424"/>
      <c r="L242" s="558">
        <v>0.19061929108105224</v>
      </c>
      <c r="M242" s="486"/>
      <c r="N242" s="467">
        <v>-16716.281948897114</v>
      </c>
      <c r="O242" s="468"/>
      <c r="P242" s="424"/>
      <c r="Q242" s="558">
        <v>1</v>
      </c>
      <c r="R242" s="468"/>
      <c r="S242" s="467">
        <v>0</v>
      </c>
      <c r="T242" s="484"/>
      <c r="U242" s="424"/>
      <c r="V242" s="424"/>
      <c r="W242" s="424"/>
      <c r="X242" s="424"/>
      <c r="Y242" s="424"/>
      <c r="Z242" s="424"/>
      <c r="AA242" s="424"/>
      <c r="AB242" s="424"/>
      <c r="AC242" s="424"/>
      <c r="AD242" s="424"/>
      <c r="AE242" s="424"/>
      <c r="AF242" s="424"/>
      <c r="AG242" s="424"/>
      <c r="AH242" s="424"/>
      <c r="AI242" s="424"/>
      <c r="AJ242" s="424"/>
      <c r="AK242" s="424"/>
      <c r="AL242" s="424"/>
      <c r="AM242" s="424"/>
      <c r="AN242" s="424"/>
    </row>
    <row r="243" spans="1:40" ht="15.75" customHeight="1" x14ac:dyDescent="0.4">
      <c r="A243" s="433" t="s">
        <v>522</v>
      </c>
      <c r="B243" s="424" t="s">
        <v>522</v>
      </c>
      <c r="C243" s="441"/>
      <c r="D243" s="484"/>
      <c r="E243" s="598"/>
      <c r="F243" s="538"/>
      <c r="G243" s="557"/>
      <c r="H243" s="598"/>
      <c r="I243" s="538"/>
      <c r="J243" s="557"/>
      <c r="K243" s="484"/>
      <c r="L243" s="556"/>
      <c r="M243" s="557"/>
      <c r="N243" s="556"/>
      <c r="O243" s="557"/>
      <c r="P243" s="484"/>
      <c r="Q243" s="556"/>
      <c r="R243" s="537"/>
      <c r="S243" s="556"/>
      <c r="T243" s="484"/>
      <c r="U243" s="424"/>
      <c r="V243" s="424"/>
      <c r="W243" s="424"/>
      <c r="X243" s="424"/>
      <c r="Y243" s="424"/>
      <c r="Z243" s="424"/>
      <c r="AA243" s="424"/>
      <c r="AB243" s="424"/>
      <c r="AC243" s="424"/>
      <c r="AD243" s="424"/>
      <c r="AE243" s="424"/>
      <c r="AF243" s="424"/>
      <c r="AG243" s="424"/>
      <c r="AH243" s="424"/>
      <c r="AI243" s="424"/>
      <c r="AJ243" s="424"/>
      <c r="AK243" s="424"/>
      <c r="AL243" s="424"/>
      <c r="AM243" s="424"/>
      <c r="AN243" s="424"/>
    </row>
    <row r="244" spans="1:40" ht="15.75" customHeight="1" x14ac:dyDescent="0.4">
      <c r="A244" s="433" t="s">
        <v>526</v>
      </c>
      <c r="B244" s="424" t="s">
        <v>522</v>
      </c>
      <c r="C244" s="428" t="s">
        <v>527</v>
      </c>
      <c r="D244" s="562">
        <v>0</v>
      </c>
      <c r="E244" s="482">
        <v>0</v>
      </c>
      <c r="F244" s="482">
        <v>0</v>
      </c>
      <c r="G244" s="599"/>
      <c r="H244" s="482"/>
      <c r="I244" s="482"/>
      <c r="J244" s="563">
        <v>0</v>
      </c>
      <c r="K244" s="462">
        <v>0</v>
      </c>
      <c r="L244" s="463">
        <v>0</v>
      </c>
      <c r="M244" s="567">
        <v>0</v>
      </c>
      <c r="N244" s="512">
        <v>0</v>
      </c>
      <c r="O244" s="563">
        <v>0</v>
      </c>
      <c r="P244" s="462">
        <v>0</v>
      </c>
      <c r="Q244" s="463">
        <v>0</v>
      </c>
      <c r="R244" s="486">
        <v>0</v>
      </c>
      <c r="S244" s="512">
        <v>0</v>
      </c>
      <c r="T244" s="548"/>
      <c r="U244" s="424"/>
      <c r="V244" s="424"/>
      <c r="W244" s="424"/>
      <c r="X244" s="424"/>
      <c r="Y244" s="424"/>
      <c r="Z244" s="424"/>
      <c r="AA244" s="424"/>
      <c r="AB244" s="424"/>
      <c r="AC244" s="424"/>
      <c r="AD244" s="424"/>
      <c r="AE244" s="424"/>
      <c r="AF244" s="424"/>
      <c r="AG244" s="424"/>
      <c r="AH244" s="424"/>
      <c r="AI244" s="424"/>
      <c r="AJ244" s="424"/>
      <c r="AK244" s="424"/>
      <c r="AL244" s="424"/>
      <c r="AM244" s="424"/>
      <c r="AN244" s="424"/>
    </row>
    <row r="245" spans="1:40" ht="15.75" customHeight="1" x14ac:dyDescent="0.4">
      <c r="A245" s="433" t="s">
        <v>525</v>
      </c>
      <c r="B245" s="424" t="s">
        <v>522</v>
      </c>
      <c r="C245" s="441" t="s">
        <v>475</v>
      </c>
      <c r="D245" s="424"/>
      <c r="E245" s="544"/>
      <c r="F245" s="558" t="e">
        <v>#DIV/0!</v>
      </c>
      <c r="G245" s="441"/>
      <c r="H245" s="544"/>
      <c r="I245" s="558"/>
      <c r="J245" s="468"/>
      <c r="K245" s="424"/>
      <c r="L245" s="558">
        <v>0</v>
      </c>
      <c r="M245" s="486"/>
      <c r="N245" s="467">
        <v>0</v>
      </c>
      <c r="O245" s="468"/>
      <c r="P245" s="424"/>
      <c r="Q245" s="558">
        <v>0</v>
      </c>
      <c r="R245" s="468"/>
      <c r="S245" s="467">
        <v>0</v>
      </c>
      <c r="T245" s="548"/>
      <c r="U245" s="424"/>
      <c r="V245" s="424"/>
      <c r="W245" s="424"/>
      <c r="X245" s="424"/>
      <c r="Y245" s="424"/>
      <c r="Z245" s="424"/>
      <c r="AA245" s="424"/>
      <c r="AB245" s="424"/>
      <c r="AC245" s="424"/>
      <c r="AD245" s="424"/>
      <c r="AE245" s="424"/>
      <c r="AF245" s="424"/>
      <c r="AG245" s="424"/>
      <c r="AH245" s="424"/>
      <c r="AI245" s="424"/>
      <c r="AJ245" s="424"/>
      <c r="AK245" s="424"/>
      <c r="AL245" s="424"/>
      <c r="AM245" s="424"/>
      <c r="AN245" s="424"/>
    </row>
    <row r="246" spans="1:40" ht="15.75" customHeight="1" x14ac:dyDescent="0.4">
      <c r="A246" s="433" t="s">
        <v>522</v>
      </c>
      <c r="B246" s="424" t="s">
        <v>522</v>
      </c>
      <c r="C246" s="434"/>
      <c r="D246" s="513"/>
      <c r="E246" s="600"/>
      <c r="F246" s="560"/>
      <c r="G246" s="434"/>
      <c r="H246" s="600"/>
      <c r="I246" s="560"/>
      <c r="J246" s="561"/>
      <c r="K246" s="601"/>
      <c r="L246" s="560"/>
      <c r="M246" s="489"/>
      <c r="N246" s="490"/>
      <c r="O246" s="561"/>
      <c r="P246" s="601"/>
      <c r="Q246" s="560"/>
      <c r="R246" s="561"/>
      <c r="S246" s="490"/>
      <c r="T246" s="548"/>
      <c r="U246" s="424"/>
      <c r="V246" s="424"/>
      <c r="W246" s="424"/>
      <c r="X246" s="424"/>
      <c r="Y246" s="424"/>
      <c r="Z246" s="424"/>
      <c r="AA246" s="424"/>
      <c r="AB246" s="424"/>
      <c r="AC246" s="424"/>
      <c r="AD246" s="424"/>
      <c r="AE246" s="424"/>
      <c r="AF246" s="424"/>
      <c r="AG246" s="424"/>
      <c r="AH246" s="424"/>
      <c r="AI246" s="424"/>
      <c r="AJ246" s="424"/>
      <c r="AK246" s="424"/>
      <c r="AL246" s="424"/>
      <c r="AM246" s="424"/>
      <c r="AN246" s="424"/>
    </row>
    <row r="247" spans="1:40" ht="15.75" customHeight="1" x14ac:dyDescent="0.4">
      <c r="A247" s="433" t="s">
        <v>528</v>
      </c>
      <c r="B247" s="424" t="s">
        <v>522</v>
      </c>
      <c r="C247" s="428" t="s">
        <v>529</v>
      </c>
      <c r="D247" s="562">
        <v>0</v>
      </c>
      <c r="E247" s="482">
        <v>0</v>
      </c>
      <c r="F247" s="482">
        <v>0</v>
      </c>
      <c r="G247" s="563"/>
      <c r="H247" s="482"/>
      <c r="I247" s="482"/>
      <c r="J247" s="563">
        <v>0</v>
      </c>
      <c r="K247" s="442">
        <v>0</v>
      </c>
      <c r="L247" s="444">
        <v>0</v>
      </c>
      <c r="M247" s="486">
        <v>0</v>
      </c>
      <c r="N247" s="512">
        <v>0</v>
      </c>
      <c r="O247" s="563">
        <v>0</v>
      </c>
      <c r="P247" s="442">
        <v>0</v>
      </c>
      <c r="Q247" s="444">
        <v>0</v>
      </c>
      <c r="R247" s="486">
        <v>0</v>
      </c>
      <c r="S247" s="467">
        <v>0</v>
      </c>
      <c r="T247" s="548"/>
      <c r="U247" s="424"/>
      <c r="V247" s="424"/>
      <c r="W247" s="424"/>
      <c r="X247" s="424"/>
      <c r="Y247" s="424"/>
      <c r="Z247" s="424"/>
      <c r="AA247" s="424"/>
      <c r="AB247" s="424"/>
      <c r="AC247" s="424"/>
      <c r="AD247" s="424"/>
      <c r="AE247" s="424"/>
      <c r="AF247" s="424"/>
      <c r="AG247" s="424"/>
      <c r="AH247" s="424"/>
      <c r="AI247" s="424"/>
      <c r="AJ247" s="424"/>
      <c r="AK247" s="424"/>
      <c r="AL247" s="424"/>
      <c r="AM247" s="424"/>
      <c r="AN247" s="424"/>
    </row>
    <row r="248" spans="1:40" ht="15.75" customHeight="1" x14ac:dyDescent="0.4">
      <c r="A248" s="433" t="s">
        <v>525</v>
      </c>
      <c r="B248" s="424" t="s">
        <v>522</v>
      </c>
      <c r="C248" s="441" t="s">
        <v>475</v>
      </c>
      <c r="D248" s="424"/>
      <c r="E248" s="424"/>
      <c r="F248" s="558" t="e">
        <v>#DIV/0!</v>
      </c>
      <c r="G248" s="441"/>
      <c r="H248" s="424"/>
      <c r="I248" s="558"/>
      <c r="J248" s="441"/>
      <c r="K248" s="424"/>
      <c r="L248" s="558">
        <v>0</v>
      </c>
      <c r="M248" s="458"/>
      <c r="N248" s="459">
        <v>0</v>
      </c>
      <c r="O248" s="441"/>
      <c r="P248" s="424"/>
      <c r="Q248" s="558">
        <v>0</v>
      </c>
      <c r="R248" s="458"/>
      <c r="S248" s="459">
        <v>0</v>
      </c>
      <c r="T248" s="548"/>
      <c r="U248" s="424"/>
      <c r="V248" s="424"/>
      <c r="W248" s="424"/>
      <c r="X248" s="424"/>
      <c r="Y248" s="424"/>
      <c r="Z248" s="424"/>
      <c r="AA248" s="424"/>
      <c r="AB248" s="424"/>
      <c r="AC248" s="424"/>
      <c r="AD248" s="424"/>
      <c r="AE248" s="424"/>
      <c r="AF248" s="424"/>
      <c r="AG248" s="424"/>
      <c r="AH248" s="424"/>
      <c r="AI248" s="424"/>
      <c r="AJ248" s="424"/>
      <c r="AK248" s="424"/>
      <c r="AL248" s="424"/>
      <c r="AM248" s="424"/>
      <c r="AN248" s="424"/>
    </row>
    <row r="249" spans="1:40" ht="15.75" customHeight="1" thickBot="1" x14ac:dyDescent="0.45">
      <c r="A249" s="433" t="s">
        <v>522</v>
      </c>
      <c r="B249" s="424" t="s">
        <v>522</v>
      </c>
      <c r="C249" s="441"/>
      <c r="D249" s="424"/>
      <c r="E249" s="424"/>
      <c r="F249" s="558"/>
      <c r="G249" s="441"/>
      <c r="H249" s="424"/>
      <c r="I249" s="558"/>
      <c r="J249" s="441"/>
      <c r="K249" s="424"/>
      <c r="L249" s="558"/>
      <c r="M249" s="458"/>
      <c r="N249" s="459"/>
      <c r="O249" s="441"/>
      <c r="P249" s="424"/>
      <c r="Q249" s="558"/>
      <c r="R249" s="458"/>
      <c r="S249" s="459"/>
      <c r="T249" s="548"/>
      <c r="U249" s="424"/>
      <c r="V249" s="424"/>
      <c r="W249" s="424"/>
      <c r="X249" s="424"/>
      <c r="Y249" s="424"/>
      <c r="Z249" s="424"/>
      <c r="AA249" s="424"/>
      <c r="AB249" s="424"/>
      <c r="AC249" s="424"/>
      <c r="AD249" s="424"/>
      <c r="AE249" s="424"/>
      <c r="AF249" s="424"/>
      <c r="AG249" s="424"/>
      <c r="AH249" s="424"/>
      <c r="AI249" s="424"/>
      <c r="AJ249" s="424"/>
      <c r="AK249" s="424"/>
      <c r="AL249" s="424"/>
      <c r="AM249" s="424"/>
      <c r="AN249" s="424"/>
    </row>
    <row r="250" spans="1:40" ht="15.75" customHeight="1" thickTop="1" x14ac:dyDescent="0.4">
      <c r="A250" s="433" t="s">
        <v>530</v>
      </c>
      <c r="B250" s="424" t="s">
        <v>522</v>
      </c>
      <c r="C250" s="469" t="s">
        <v>493</v>
      </c>
      <c r="D250" s="470"/>
      <c r="E250" s="470">
        <v>48000</v>
      </c>
      <c r="F250" s="472">
        <v>10560</v>
      </c>
      <c r="G250" s="473"/>
      <c r="H250" s="470"/>
      <c r="I250" s="472"/>
      <c r="J250" s="473"/>
      <c r="K250" s="470">
        <v>50617.07</v>
      </c>
      <c r="L250" s="472">
        <v>9648.5899999999965</v>
      </c>
      <c r="M250" s="595">
        <v>-2.9380708918947757E-2</v>
      </c>
      <c r="N250" s="472">
        <v>-911.41000000000349</v>
      </c>
      <c r="O250" s="473"/>
      <c r="P250" s="470">
        <v>866.04</v>
      </c>
      <c r="Q250" s="472">
        <v>866.04</v>
      </c>
      <c r="R250" s="602">
        <v>-0.80938070891894776</v>
      </c>
      <c r="S250" s="472">
        <v>8782.5499999999956</v>
      </c>
      <c r="T250" s="548"/>
      <c r="U250" s="424"/>
      <c r="V250" s="424"/>
      <c r="W250" s="424"/>
      <c r="X250" s="424"/>
      <c r="Y250" s="424"/>
      <c r="Z250" s="424"/>
      <c r="AA250" s="424"/>
      <c r="AB250" s="424"/>
      <c r="AC250" s="424"/>
      <c r="AD250" s="424"/>
      <c r="AE250" s="424"/>
      <c r="AF250" s="424"/>
      <c r="AG250" s="424"/>
      <c r="AH250" s="424"/>
      <c r="AI250" s="424"/>
      <c r="AJ250" s="424"/>
      <c r="AK250" s="424"/>
      <c r="AL250" s="424"/>
      <c r="AM250" s="424"/>
      <c r="AN250" s="424"/>
    </row>
    <row r="251" spans="1:40" ht="23.25" customHeight="1" thickBot="1" x14ac:dyDescent="0.45">
      <c r="A251" s="433" t="s">
        <v>522</v>
      </c>
      <c r="B251" s="424" t="s">
        <v>522</v>
      </c>
      <c r="C251" s="474"/>
      <c r="D251" s="475"/>
      <c r="E251" s="475"/>
      <c r="F251" s="479">
        <v>0.22</v>
      </c>
      <c r="G251" s="474"/>
      <c r="H251" s="475"/>
      <c r="I251" s="479"/>
      <c r="J251" s="474"/>
      <c r="K251" s="475"/>
      <c r="L251" s="479">
        <v>0.19061929108105224</v>
      </c>
      <c r="M251" s="478"/>
      <c r="N251" s="479">
        <v>-8.6307765151515475E-2</v>
      </c>
      <c r="O251" s="474"/>
      <c r="P251" s="475"/>
      <c r="Q251" s="479">
        <v>1</v>
      </c>
      <c r="R251" s="478"/>
      <c r="S251" s="479">
        <v>10.141044293566113</v>
      </c>
      <c r="T251" s="548"/>
      <c r="U251" s="424"/>
      <c r="V251" s="424"/>
      <c r="W251" s="424"/>
      <c r="X251" s="424"/>
      <c r="Y251" s="424"/>
      <c r="Z251" s="424"/>
      <c r="AA251" s="424"/>
      <c r="AB251" s="424"/>
      <c r="AC251" s="424"/>
      <c r="AD251" s="424"/>
      <c r="AE251" s="424"/>
      <c r="AF251" s="424"/>
      <c r="AG251" s="424"/>
      <c r="AH251" s="424"/>
      <c r="AI251" s="424"/>
      <c r="AJ251" s="424"/>
      <c r="AK251" s="424"/>
      <c r="AL251" s="424"/>
      <c r="AM251" s="424"/>
      <c r="AN251" s="424"/>
    </row>
    <row r="252" spans="1:40" ht="15.75" customHeight="1" thickTop="1" x14ac:dyDescent="0.4">
      <c r="A252" s="433" t="s">
        <v>522</v>
      </c>
      <c r="B252" s="424" t="s">
        <v>522</v>
      </c>
      <c r="C252" s="441"/>
      <c r="D252" s="424"/>
      <c r="E252" s="424"/>
      <c r="F252" s="467"/>
      <c r="G252" s="441"/>
      <c r="H252" s="424"/>
      <c r="I252" s="467"/>
      <c r="J252" s="441"/>
      <c r="K252" s="424"/>
      <c r="L252" s="451"/>
      <c r="M252" s="441"/>
      <c r="N252" s="451"/>
      <c r="O252" s="441"/>
      <c r="P252" s="424"/>
      <c r="Q252" s="451"/>
      <c r="R252" s="441"/>
      <c r="S252" s="451"/>
      <c r="T252" s="424"/>
      <c r="U252" s="424"/>
      <c r="V252" s="424"/>
      <c r="W252" s="424"/>
      <c r="X252" s="424"/>
      <c r="Y252" s="424"/>
      <c r="Z252" s="424"/>
      <c r="AA252" s="424"/>
      <c r="AB252" s="424"/>
      <c r="AC252" s="424"/>
      <c r="AD252" s="424"/>
      <c r="AE252" s="424"/>
      <c r="AF252" s="424"/>
      <c r="AG252" s="424"/>
      <c r="AH252" s="424"/>
      <c r="AI252" s="424"/>
      <c r="AJ252" s="424"/>
      <c r="AK252" s="424"/>
      <c r="AL252" s="424"/>
      <c r="AM252" s="424"/>
      <c r="AN252" s="424"/>
    </row>
    <row r="253" spans="1:40" ht="15.75" customHeight="1" x14ac:dyDescent="0.4">
      <c r="A253" s="433" t="s">
        <v>531</v>
      </c>
      <c r="B253" s="424" t="s">
        <v>522</v>
      </c>
      <c r="C253" s="483" t="s">
        <v>339</v>
      </c>
      <c r="D253" s="424"/>
      <c r="E253" s="424"/>
      <c r="F253" s="467"/>
      <c r="G253" s="441"/>
      <c r="H253" s="424"/>
      <c r="I253" s="467"/>
      <c r="J253" s="441"/>
      <c r="K253" s="424"/>
      <c r="L253" s="451"/>
      <c r="M253" s="441"/>
      <c r="N253" s="451"/>
      <c r="O253" s="441"/>
      <c r="P253" s="424"/>
      <c r="Q253" s="451"/>
      <c r="R253" s="441"/>
      <c r="S253" s="451"/>
      <c r="T253" s="424"/>
      <c r="U253" s="424"/>
      <c r="V253" s="424"/>
      <c r="W253" s="424"/>
      <c r="X253" s="424"/>
      <c r="Y253" s="424"/>
      <c r="Z253" s="424"/>
      <c r="AA253" s="424"/>
      <c r="AB253" s="424"/>
      <c r="AC253" s="424"/>
      <c r="AD253" s="424"/>
      <c r="AE253" s="424"/>
      <c r="AF253" s="424"/>
      <c r="AG253" s="424"/>
      <c r="AH253" s="424"/>
      <c r="AI253" s="424"/>
      <c r="AJ253" s="424"/>
      <c r="AK253" s="424"/>
      <c r="AL253" s="424"/>
      <c r="AM253" s="424"/>
      <c r="AN253" s="424"/>
    </row>
    <row r="254" spans="1:40" ht="15.75" customHeight="1" x14ac:dyDescent="0.4">
      <c r="A254" s="433" t="s">
        <v>532</v>
      </c>
      <c r="B254" s="424" t="s">
        <v>522</v>
      </c>
      <c r="C254" s="507" t="s">
        <v>50</v>
      </c>
      <c r="D254" s="424"/>
      <c r="E254" s="424"/>
      <c r="F254" s="442">
        <v>297.32500000000005</v>
      </c>
      <c r="G254" s="441"/>
      <c r="H254" s="424"/>
      <c r="I254" s="442"/>
      <c r="J254" s="441"/>
      <c r="K254" s="424"/>
      <c r="L254" s="444">
        <v>901.88</v>
      </c>
      <c r="M254" s="441"/>
      <c r="N254" s="467">
        <v>604.55499999999995</v>
      </c>
      <c r="O254" s="441"/>
      <c r="P254" s="424"/>
      <c r="Q254" s="444">
        <v>901.88</v>
      </c>
      <c r="R254" s="441"/>
      <c r="S254" s="444">
        <v>0</v>
      </c>
      <c r="T254" s="424"/>
      <c r="U254" s="424"/>
      <c r="V254" s="424"/>
      <c r="W254" s="424"/>
      <c r="X254" s="424"/>
      <c r="Y254" s="424"/>
      <c r="Z254" s="424"/>
      <c r="AA254" s="424"/>
      <c r="AB254" s="424"/>
      <c r="AC254" s="424"/>
      <c r="AD254" s="424"/>
      <c r="AE254" s="424"/>
      <c r="AF254" s="424"/>
      <c r="AG254" s="424"/>
      <c r="AH254" s="424"/>
      <c r="AI254" s="424"/>
      <c r="AJ254" s="424"/>
      <c r="AK254" s="424"/>
      <c r="AL254" s="424"/>
      <c r="AM254" s="424"/>
      <c r="AN254" s="424"/>
    </row>
    <row r="255" spans="1:40" ht="15.75" customHeight="1" x14ac:dyDescent="0.4">
      <c r="A255" s="433" t="s">
        <v>533</v>
      </c>
      <c r="B255" s="424" t="s">
        <v>522</v>
      </c>
      <c r="C255" s="508" t="s">
        <v>355</v>
      </c>
      <c r="D255" s="491"/>
      <c r="E255" s="424"/>
      <c r="F255" s="436">
        <v>4847.8046153846153</v>
      </c>
      <c r="G255" s="492"/>
      <c r="H255" s="424"/>
      <c r="I255" s="436"/>
      <c r="J255" s="441"/>
      <c r="K255" s="424"/>
      <c r="L255" s="444">
        <v>1523.66</v>
      </c>
      <c r="M255" s="441"/>
      <c r="N255" s="467">
        <v>-3324.1446153846155</v>
      </c>
      <c r="O255" s="441"/>
      <c r="P255" s="424"/>
      <c r="Q255" s="444">
        <v>2105.37</v>
      </c>
      <c r="R255" s="441"/>
      <c r="S255" s="467">
        <v>-581.70999999999981</v>
      </c>
      <c r="T255" s="424"/>
      <c r="U255" s="424"/>
      <c r="V255" s="424"/>
      <c r="W255" s="424"/>
      <c r="X255" s="424"/>
      <c r="Y255" s="424"/>
      <c r="Z255" s="424"/>
      <c r="AA255" s="424"/>
      <c r="AB255" s="424"/>
      <c r="AC255" s="424"/>
      <c r="AD255" s="424"/>
      <c r="AE255" s="424"/>
      <c r="AF255" s="424"/>
      <c r="AG255" s="424"/>
      <c r="AH255" s="424"/>
      <c r="AI255" s="424"/>
      <c r="AJ255" s="424"/>
      <c r="AK255" s="424"/>
      <c r="AL255" s="424"/>
      <c r="AM255" s="424"/>
      <c r="AN255" s="424"/>
    </row>
    <row r="256" spans="1:40" ht="15.75" customHeight="1" x14ac:dyDescent="0.4">
      <c r="A256" s="433" t="s">
        <v>534</v>
      </c>
      <c r="B256" s="424" t="s">
        <v>522</v>
      </c>
      <c r="C256" s="507" t="s">
        <v>51</v>
      </c>
      <c r="D256" s="509"/>
      <c r="E256" s="510"/>
      <c r="F256" s="442">
        <v>17.530769230769231</v>
      </c>
      <c r="G256" s="511"/>
      <c r="H256" s="510"/>
      <c r="I256" s="442"/>
      <c r="J256" s="428"/>
      <c r="K256" s="510"/>
      <c r="L256" s="463">
        <v>0.08</v>
      </c>
      <c r="M256" s="428"/>
      <c r="N256" s="512">
        <v>-17.450769230769232</v>
      </c>
      <c r="O256" s="428"/>
      <c r="P256" s="510"/>
      <c r="Q256" s="463">
        <v>0.08</v>
      </c>
      <c r="R256" s="428"/>
      <c r="S256" s="512">
        <v>0</v>
      </c>
      <c r="T256" s="424"/>
      <c r="U256" s="424"/>
      <c r="V256" s="424"/>
      <c r="W256" s="424"/>
      <c r="X256" s="424"/>
      <c r="Y256" s="424"/>
      <c r="Z256" s="424"/>
      <c r="AA256" s="424"/>
      <c r="AB256" s="424"/>
      <c r="AC256" s="424"/>
      <c r="AD256" s="424"/>
      <c r="AE256" s="424"/>
      <c r="AF256" s="424"/>
      <c r="AG256" s="424"/>
      <c r="AH256" s="424"/>
      <c r="AI256" s="424"/>
      <c r="AJ256" s="424"/>
      <c r="AK256" s="424"/>
      <c r="AL256" s="424"/>
      <c r="AM256" s="424"/>
      <c r="AN256" s="424"/>
    </row>
    <row r="257" spans="1:40" ht="15.75" customHeight="1" x14ac:dyDescent="0.4">
      <c r="A257" s="433" t="s">
        <v>535</v>
      </c>
      <c r="B257" s="424" t="s">
        <v>522</v>
      </c>
      <c r="C257" s="507" t="s">
        <v>358</v>
      </c>
      <c r="D257" s="491"/>
      <c r="E257" s="424"/>
      <c r="F257" s="442">
        <v>0</v>
      </c>
      <c r="G257" s="492"/>
      <c r="H257" s="424"/>
      <c r="I257" s="442"/>
      <c r="J257" s="441"/>
      <c r="K257" s="424"/>
      <c r="L257" s="444">
        <v>0</v>
      </c>
      <c r="M257" s="441"/>
      <c r="N257" s="467">
        <v>0</v>
      </c>
      <c r="O257" s="441"/>
      <c r="P257" s="424"/>
      <c r="Q257" s="444">
        <v>0</v>
      </c>
      <c r="R257" s="441"/>
      <c r="S257" s="467">
        <v>0</v>
      </c>
      <c r="T257" s="424"/>
      <c r="U257" s="424"/>
      <c r="V257" s="424"/>
      <c r="W257" s="424"/>
      <c r="X257" s="424"/>
      <c r="Y257" s="424"/>
      <c r="Z257" s="424"/>
      <c r="AA257" s="424"/>
      <c r="AB257" s="424"/>
      <c r="AC257" s="424"/>
      <c r="AD257" s="424"/>
      <c r="AE257" s="424"/>
      <c r="AF257" s="424"/>
      <c r="AG257" s="424"/>
      <c r="AH257" s="424"/>
      <c r="AI257" s="424"/>
      <c r="AJ257" s="424"/>
      <c r="AK257" s="424"/>
      <c r="AL257" s="424"/>
      <c r="AM257" s="424"/>
      <c r="AN257" s="424"/>
    </row>
    <row r="258" spans="1:40" ht="15.75" hidden="1" customHeight="1" x14ac:dyDescent="0.4">
      <c r="A258" s="433" t="s">
        <v>536</v>
      </c>
      <c r="B258" s="424" t="s">
        <v>522</v>
      </c>
      <c r="C258" s="441" t="s">
        <v>323</v>
      </c>
      <c r="D258" s="491"/>
      <c r="E258" s="424"/>
      <c r="F258" s="442">
        <v>0</v>
      </c>
      <c r="G258" s="492"/>
      <c r="H258" s="424"/>
      <c r="I258" s="442"/>
      <c r="J258" s="441"/>
      <c r="K258" s="424"/>
      <c r="L258" s="444">
        <v>0</v>
      </c>
      <c r="M258" s="441"/>
      <c r="N258" s="467">
        <v>0</v>
      </c>
      <c r="O258" s="441"/>
      <c r="P258" s="424"/>
      <c r="Q258" s="444">
        <v>0</v>
      </c>
      <c r="R258" s="441"/>
      <c r="S258" s="467">
        <v>0</v>
      </c>
      <c r="T258" s="424"/>
      <c r="U258" s="424"/>
      <c r="V258" s="424"/>
      <c r="W258" s="424"/>
      <c r="X258" s="424"/>
      <c r="Y258" s="424"/>
      <c r="Z258" s="424"/>
      <c r="AA258" s="424"/>
      <c r="AB258" s="424"/>
      <c r="AC258" s="424"/>
      <c r="AD258" s="424"/>
      <c r="AE258" s="424"/>
      <c r="AF258" s="424"/>
      <c r="AG258" s="424"/>
      <c r="AH258" s="424"/>
      <c r="AI258" s="424"/>
      <c r="AJ258" s="424"/>
      <c r="AK258" s="424"/>
      <c r="AL258" s="424"/>
      <c r="AM258" s="424"/>
      <c r="AN258" s="424"/>
    </row>
    <row r="259" spans="1:40" ht="15.75" hidden="1" customHeight="1" x14ac:dyDescent="0.4">
      <c r="A259" s="433" t="s">
        <v>536</v>
      </c>
      <c r="B259" s="424" t="s">
        <v>522</v>
      </c>
      <c r="C259" s="441" t="s">
        <v>323</v>
      </c>
      <c r="D259" s="491"/>
      <c r="E259" s="424"/>
      <c r="F259" s="442">
        <v>0</v>
      </c>
      <c r="G259" s="492"/>
      <c r="H259" s="424"/>
      <c r="I259" s="442"/>
      <c r="J259" s="441"/>
      <c r="K259" s="424"/>
      <c r="L259" s="444">
        <v>0</v>
      </c>
      <c r="M259" s="441"/>
      <c r="N259" s="467">
        <v>0</v>
      </c>
      <c r="O259" s="441"/>
      <c r="P259" s="424"/>
      <c r="Q259" s="444">
        <v>0</v>
      </c>
      <c r="R259" s="441"/>
      <c r="S259" s="467">
        <v>0</v>
      </c>
      <c r="T259" s="424"/>
      <c r="U259" s="424"/>
      <c r="V259" s="424"/>
      <c r="W259" s="424"/>
      <c r="X259" s="424"/>
      <c r="Y259" s="424"/>
      <c r="Z259" s="424"/>
      <c r="AA259" s="424"/>
      <c r="AB259" s="424"/>
      <c r="AC259" s="424"/>
      <c r="AD259" s="424"/>
      <c r="AE259" s="424"/>
      <c r="AF259" s="424"/>
      <c r="AG259" s="424"/>
      <c r="AH259" s="424"/>
      <c r="AI259" s="424"/>
      <c r="AJ259" s="424"/>
      <c r="AK259" s="424"/>
      <c r="AL259" s="424"/>
      <c r="AM259" s="424"/>
      <c r="AN259" s="424"/>
    </row>
    <row r="260" spans="1:40" ht="15.75" hidden="1" customHeight="1" x14ac:dyDescent="0.4">
      <c r="A260" s="433" t="s">
        <v>536</v>
      </c>
      <c r="B260" s="424" t="s">
        <v>522</v>
      </c>
      <c r="C260" s="441" t="s">
        <v>323</v>
      </c>
      <c r="D260" s="491"/>
      <c r="E260" s="424"/>
      <c r="F260" s="442">
        <v>0</v>
      </c>
      <c r="G260" s="492"/>
      <c r="H260" s="424"/>
      <c r="I260" s="442"/>
      <c r="J260" s="441"/>
      <c r="K260" s="424"/>
      <c r="L260" s="444">
        <v>0</v>
      </c>
      <c r="M260" s="441"/>
      <c r="N260" s="467">
        <v>0</v>
      </c>
      <c r="O260" s="441"/>
      <c r="P260" s="424"/>
      <c r="Q260" s="444">
        <v>0</v>
      </c>
      <c r="R260" s="441"/>
      <c r="S260" s="467">
        <v>0</v>
      </c>
      <c r="T260" s="424"/>
      <c r="U260" s="424"/>
      <c r="V260" s="424"/>
      <c r="W260" s="424"/>
      <c r="X260" s="424"/>
      <c r="Y260" s="424"/>
      <c r="Z260" s="424"/>
      <c r="AA260" s="424"/>
      <c r="AB260" s="424"/>
      <c r="AC260" s="424"/>
      <c r="AD260" s="424"/>
      <c r="AE260" s="424"/>
      <c r="AF260" s="424"/>
      <c r="AG260" s="424"/>
      <c r="AH260" s="424"/>
      <c r="AI260" s="424"/>
      <c r="AJ260" s="424"/>
      <c r="AK260" s="424"/>
      <c r="AL260" s="424"/>
      <c r="AM260" s="424"/>
      <c r="AN260" s="424"/>
    </row>
    <row r="261" spans="1:40" ht="15.75" customHeight="1" x14ac:dyDescent="0.4">
      <c r="A261" s="433" t="s">
        <v>537</v>
      </c>
      <c r="B261" s="424" t="s">
        <v>522</v>
      </c>
      <c r="C261" s="508" t="s">
        <v>52</v>
      </c>
      <c r="D261" s="491"/>
      <c r="E261" s="424"/>
      <c r="F261" s="436">
        <v>619.8155113461537</v>
      </c>
      <c r="G261" s="492"/>
      <c r="H261" s="424"/>
      <c r="I261" s="436"/>
      <c r="J261" s="441"/>
      <c r="K261" s="424"/>
      <c r="L261" s="444">
        <v>810.54</v>
      </c>
      <c r="M261" s="441"/>
      <c r="N261" s="467">
        <v>190.72448865384627</v>
      </c>
      <c r="O261" s="441"/>
      <c r="P261" s="424"/>
      <c r="Q261" s="444">
        <v>226.46</v>
      </c>
      <c r="R261" s="441"/>
      <c r="S261" s="467">
        <v>584.07999999999993</v>
      </c>
      <c r="T261" s="424"/>
      <c r="U261" s="424"/>
      <c r="V261" s="424"/>
      <c r="W261" s="424"/>
      <c r="X261" s="424"/>
      <c r="Y261" s="424"/>
      <c r="Z261" s="424"/>
      <c r="AA261" s="424"/>
      <c r="AB261" s="424"/>
      <c r="AC261" s="424"/>
      <c r="AD261" s="424"/>
      <c r="AE261" s="424"/>
      <c r="AF261" s="424"/>
      <c r="AG261" s="424"/>
      <c r="AH261" s="424"/>
      <c r="AI261" s="424"/>
      <c r="AJ261" s="424"/>
      <c r="AK261" s="424"/>
      <c r="AL261" s="424"/>
      <c r="AM261" s="424"/>
      <c r="AN261" s="424"/>
    </row>
    <row r="262" spans="1:40" ht="15.75" customHeight="1" x14ac:dyDescent="0.4">
      <c r="A262" s="433" t="s">
        <v>538</v>
      </c>
      <c r="B262" s="424" t="s">
        <v>522</v>
      </c>
      <c r="C262" s="507" t="s">
        <v>53</v>
      </c>
      <c r="D262" s="509"/>
      <c r="E262" s="510"/>
      <c r="F262" s="442">
        <v>753.60828692307689</v>
      </c>
      <c r="G262" s="511"/>
      <c r="H262" s="510"/>
      <c r="I262" s="442"/>
      <c r="J262" s="428"/>
      <c r="K262" s="510"/>
      <c r="L262" s="463">
        <v>1273.5999999999999</v>
      </c>
      <c r="M262" s="428"/>
      <c r="N262" s="512">
        <v>519.99171307692302</v>
      </c>
      <c r="O262" s="428"/>
      <c r="P262" s="510"/>
      <c r="Q262" s="463">
        <v>1014.72</v>
      </c>
      <c r="R262" s="428"/>
      <c r="S262" s="512">
        <v>258.87999999999988</v>
      </c>
      <c r="T262" s="424"/>
      <c r="U262" s="424"/>
      <c r="V262" s="424"/>
      <c r="W262" s="424"/>
      <c r="X262" s="424"/>
      <c r="Y262" s="424"/>
      <c r="Z262" s="424"/>
      <c r="AA262" s="424"/>
      <c r="AB262" s="424"/>
      <c r="AC262" s="424"/>
      <c r="AD262" s="424"/>
      <c r="AE262" s="424"/>
      <c r="AF262" s="424"/>
      <c r="AG262" s="424"/>
      <c r="AH262" s="424"/>
      <c r="AI262" s="424"/>
      <c r="AJ262" s="424"/>
      <c r="AK262" s="424"/>
      <c r="AL262" s="424"/>
      <c r="AM262" s="424"/>
      <c r="AN262" s="424"/>
    </row>
    <row r="263" spans="1:40" ht="15.75" customHeight="1" x14ac:dyDescent="0.4">
      <c r="A263" s="433" t="s">
        <v>539</v>
      </c>
      <c r="B263" s="424" t="s">
        <v>522</v>
      </c>
      <c r="C263" s="507" t="s">
        <v>54</v>
      </c>
      <c r="D263" s="491"/>
      <c r="E263" s="424"/>
      <c r="F263" s="442">
        <v>388.27209565384607</v>
      </c>
      <c r="G263" s="492"/>
      <c r="H263" s="424"/>
      <c r="I263" s="442"/>
      <c r="J263" s="441"/>
      <c r="K263" s="424"/>
      <c r="L263" s="444">
        <v>111.41</v>
      </c>
      <c r="M263" s="441"/>
      <c r="N263" s="467">
        <v>-276.86209565384604</v>
      </c>
      <c r="O263" s="441"/>
      <c r="P263" s="424"/>
      <c r="Q263" s="444">
        <v>112.9</v>
      </c>
      <c r="R263" s="441"/>
      <c r="S263" s="467">
        <v>-1.4900000000000091</v>
      </c>
      <c r="T263" s="424"/>
      <c r="U263" s="424"/>
      <c r="V263" s="424"/>
      <c r="W263" s="424"/>
      <c r="X263" s="424"/>
      <c r="Y263" s="424"/>
      <c r="Z263" s="424"/>
      <c r="AA263" s="424"/>
      <c r="AB263" s="424"/>
      <c r="AC263" s="424"/>
      <c r="AD263" s="424"/>
      <c r="AE263" s="424"/>
      <c r="AF263" s="424"/>
      <c r="AG263" s="424"/>
      <c r="AH263" s="424"/>
      <c r="AI263" s="424"/>
      <c r="AJ263" s="424"/>
      <c r="AK263" s="424"/>
      <c r="AL263" s="424"/>
      <c r="AM263" s="424"/>
      <c r="AN263" s="424"/>
    </row>
    <row r="264" spans="1:40" ht="15.75" customHeight="1" x14ac:dyDescent="0.4">
      <c r="A264" s="433" t="s">
        <v>540</v>
      </c>
      <c r="B264" s="424" t="s">
        <v>522</v>
      </c>
      <c r="C264" s="507" t="s">
        <v>55</v>
      </c>
      <c r="D264" s="491"/>
      <c r="E264" s="424"/>
      <c r="F264" s="442">
        <v>169.28881807692304</v>
      </c>
      <c r="G264" s="492"/>
      <c r="H264" s="424"/>
      <c r="I264" s="442"/>
      <c r="J264" s="441"/>
      <c r="K264" s="424"/>
      <c r="L264" s="444">
        <v>299.07</v>
      </c>
      <c r="M264" s="441"/>
      <c r="N264" s="467">
        <v>129.78118192307696</v>
      </c>
      <c r="O264" s="441"/>
      <c r="P264" s="424"/>
      <c r="Q264" s="444">
        <v>83.33</v>
      </c>
      <c r="R264" s="441"/>
      <c r="S264" s="467">
        <v>215.74</v>
      </c>
      <c r="T264" s="424"/>
      <c r="U264" s="424"/>
      <c r="V264" s="424"/>
      <c r="W264" s="424"/>
      <c r="X264" s="424"/>
      <c r="Y264" s="424"/>
      <c r="Z264" s="424"/>
      <c r="AA264" s="424"/>
      <c r="AB264" s="424"/>
      <c r="AC264" s="424"/>
      <c r="AD264" s="424"/>
      <c r="AE264" s="424"/>
      <c r="AF264" s="424"/>
      <c r="AG264" s="424"/>
      <c r="AH264" s="424"/>
      <c r="AI264" s="424"/>
      <c r="AJ264" s="424"/>
      <c r="AK264" s="424"/>
      <c r="AL264" s="424"/>
      <c r="AM264" s="424"/>
      <c r="AN264" s="424"/>
    </row>
    <row r="265" spans="1:40" ht="15.75" hidden="1" customHeight="1" x14ac:dyDescent="0.4">
      <c r="A265" s="433" t="s">
        <v>536</v>
      </c>
      <c r="B265" s="424" t="s">
        <v>522</v>
      </c>
      <c r="C265" s="441" t="s">
        <v>323</v>
      </c>
      <c r="D265" s="494"/>
      <c r="E265" s="513"/>
      <c r="F265" s="442">
        <v>0</v>
      </c>
      <c r="G265" s="495"/>
      <c r="H265" s="513"/>
      <c r="I265" s="442"/>
      <c r="J265" s="434"/>
      <c r="K265" s="513"/>
      <c r="L265" s="444">
        <v>0</v>
      </c>
      <c r="M265" s="434"/>
      <c r="N265" s="490">
        <v>0</v>
      </c>
      <c r="O265" s="434"/>
      <c r="P265" s="513"/>
      <c r="Q265" s="444">
        <v>0</v>
      </c>
      <c r="R265" s="434"/>
      <c r="S265" s="490">
        <v>0</v>
      </c>
      <c r="T265" s="424"/>
      <c r="U265" s="424"/>
      <c r="V265" s="424"/>
      <c r="W265" s="424"/>
      <c r="X265" s="424"/>
      <c r="Y265" s="424"/>
      <c r="Z265" s="424"/>
      <c r="AA265" s="424"/>
      <c r="AB265" s="424"/>
      <c r="AC265" s="424"/>
      <c r="AD265" s="424"/>
      <c r="AE265" s="424"/>
      <c r="AF265" s="424"/>
      <c r="AG265" s="424"/>
      <c r="AH265" s="424"/>
      <c r="AI265" s="424"/>
      <c r="AJ265" s="424"/>
      <c r="AK265" s="424"/>
      <c r="AL265" s="424"/>
      <c r="AM265" s="424"/>
      <c r="AN265" s="424"/>
    </row>
    <row r="266" spans="1:40" ht="15.75" customHeight="1" x14ac:dyDescent="0.4">
      <c r="A266" s="433" t="s">
        <v>541</v>
      </c>
      <c r="B266" s="424" t="s">
        <v>522</v>
      </c>
      <c r="C266" s="499" t="s">
        <v>364</v>
      </c>
      <c r="D266" s="500" t="s">
        <v>352</v>
      </c>
      <c r="E266" s="501">
        <v>0.67174669475524462</v>
      </c>
      <c r="F266" s="502">
        <v>7093.6450966153834</v>
      </c>
      <c r="G266" s="503"/>
      <c r="H266" s="501"/>
      <c r="I266" s="502"/>
      <c r="J266" s="503" t="s">
        <v>352</v>
      </c>
      <c r="K266" s="501">
        <v>0.50994393999537768</v>
      </c>
      <c r="L266" s="502">
        <v>4920.24</v>
      </c>
      <c r="M266" s="549"/>
      <c r="N266" s="515">
        <v>-2173.4050966153836</v>
      </c>
      <c r="O266" s="503" t="s">
        <v>352</v>
      </c>
      <c r="P266" s="501">
        <v>0</v>
      </c>
      <c r="Q266" s="502">
        <v>4444.74</v>
      </c>
      <c r="R266" s="549"/>
      <c r="S266" s="515">
        <v>475.5</v>
      </c>
      <c r="T266" s="424"/>
      <c r="U266" s="424"/>
      <c r="V266" s="424"/>
      <c r="W266" s="424"/>
      <c r="X266" s="424"/>
      <c r="Y266" s="424"/>
      <c r="Z266" s="424"/>
      <c r="AA266" s="424"/>
      <c r="AB266" s="424"/>
      <c r="AC266" s="424"/>
      <c r="AD266" s="424"/>
      <c r="AE266" s="424"/>
      <c r="AF266" s="424"/>
      <c r="AG266" s="424"/>
      <c r="AH266" s="424"/>
      <c r="AI266" s="424"/>
      <c r="AJ266" s="424"/>
      <c r="AK266" s="424"/>
      <c r="AL266" s="424"/>
      <c r="AM266" s="424"/>
      <c r="AN266" s="424"/>
    </row>
    <row r="267" spans="1:40" ht="15.75" customHeight="1" x14ac:dyDescent="0.4">
      <c r="A267" s="433" t="s">
        <v>542</v>
      </c>
      <c r="B267" s="424" t="s">
        <v>522</v>
      </c>
      <c r="C267" s="603" t="s">
        <v>366</v>
      </c>
      <c r="D267" s="491"/>
      <c r="E267" s="424"/>
      <c r="F267" s="442">
        <v>48.333333333333336</v>
      </c>
      <c r="G267" s="492"/>
      <c r="H267" s="424"/>
      <c r="I267" s="442"/>
      <c r="J267" s="441"/>
      <c r="K267" s="424"/>
      <c r="L267" s="444">
        <v>89.88</v>
      </c>
      <c r="M267" s="441"/>
      <c r="N267" s="467">
        <v>41.54666666666666</v>
      </c>
      <c r="O267" s="441"/>
      <c r="P267" s="424"/>
      <c r="Q267" s="467">
        <v>79.41</v>
      </c>
      <c r="R267" s="441"/>
      <c r="S267" s="467">
        <v>10.469999999999999</v>
      </c>
      <c r="T267" s="424"/>
      <c r="U267" s="424"/>
      <c r="V267" s="424"/>
      <c r="W267" s="424"/>
      <c r="X267" s="424"/>
      <c r="Y267" s="424"/>
      <c r="Z267" s="424"/>
      <c r="AA267" s="424"/>
      <c r="AB267" s="424"/>
      <c r="AC267" s="424"/>
      <c r="AD267" s="424"/>
      <c r="AE267" s="424"/>
      <c r="AF267" s="424"/>
      <c r="AG267" s="424"/>
      <c r="AH267" s="424"/>
      <c r="AI267" s="424"/>
      <c r="AJ267" s="424"/>
      <c r="AK267" s="424"/>
      <c r="AL267" s="424"/>
      <c r="AM267" s="424"/>
      <c r="AN267" s="424"/>
    </row>
    <row r="268" spans="1:40" ht="15.75" customHeight="1" x14ac:dyDescent="0.4">
      <c r="A268" s="433" t="s">
        <v>543</v>
      </c>
      <c r="B268" s="424" t="s">
        <v>522</v>
      </c>
      <c r="C268" s="507" t="s">
        <v>368</v>
      </c>
      <c r="D268" s="491"/>
      <c r="E268" s="424"/>
      <c r="F268" s="442">
        <v>561.67798128057109</v>
      </c>
      <c r="G268" s="492"/>
      <c r="H268" s="424"/>
      <c r="I268" s="442"/>
      <c r="J268" s="441"/>
      <c r="K268" s="424"/>
      <c r="L268" s="444">
        <v>0</v>
      </c>
      <c r="M268" s="441"/>
      <c r="N268" s="467">
        <v>-561.67798128057109</v>
      </c>
      <c r="O268" s="441"/>
      <c r="P268" s="424"/>
      <c r="Q268" s="467">
        <v>1150</v>
      </c>
      <c r="R268" s="441"/>
      <c r="S268" s="467">
        <v>-1150</v>
      </c>
      <c r="T268" s="424"/>
      <c r="U268" s="433"/>
      <c r="V268" s="424"/>
      <c r="W268" s="424"/>
      <c r="X268" s="424"/>
      <c r="Y268" s="424"/>
      <c r="Z268" s="424"/>
      <c r="AA268" s="424"/>
      <c r="AB268" s="424"/>
      <c r="AC268" s="424"/>
      <c r="AD268" s="424"/>
      <c r="AE268" s="424"/>
      <c r="AF268" s="424"/>
      <c r="AG268" s="424"/>
      <c r="AH268" s="424"/>
      <c r="AI268" s="424"/>
      <c r="AJ268" s="424"/>
      <c r="AK268" s="424"/>
      <c r="AL268" s="424"/>
      <c r="AM268" s="424"/>
      <c r="AN268" s="424"/>
    </row>
    <row r="269" spans="1:40" ht="15.75" customHeight="1" x14ac:dyDescent="0.4">
      <c r="A269" s="433" t="s">
        <v>544</v>
      </c>
      <c r="B269" s="424" t="s">
        <v>522</v>
      </c>
      <c r="C269" s="508" t="s">
        <v>370</v>
      </c>
      <c r="D269" s="494"/>
      <c r="E269" s="513"/>
      <c r="F269" s="436">
        <v>124.50360000000001</v>
      </c>
      <c r="G269" s="495"/>
      <c r="H269" s="513"/>
      <c r="I269" s="436"/>
      <c r="J269" s="434"/>
      <c r="K269" s="513"/>
      <c r="L269" s="444">
        <v>157.77000000000001</v>
      </c>
      <c r="M269" s="434"/>
      <c r="N269" s="490">
        <v>33.266400000000004</v>
      </c>
      <c r="O269" s="434"/>
      <c r="P269" s="513"/>
      <c r="Q269" s="490">
        <v>157.77000000000001</v>
      </c>
      <c r="R269" s="434"/>
      <c r="S269" s="490">
        <v>0</v>
      </c>
      <c r="T269" s="424"/>
      <c r="U269" s="424" t="s">
        <v>292</v>
      </c>
      <c r="V269" s="424"/>
      <c r="W269" s="424"/>
      <c r="X269" s="424"/>
      <c r="Y269" s="424"/>
      <c r="Z269" s="424"/>
      <c r="AA269" s="424"/>
      <c r="AB269" s="424"/>
      <c r="AC269" s="424"/>
      <c r="AD269" s="424"/>
      <c r="AE269" s="424"/>
      <c r="AF269" s="424"/>
      <c r="AG269" s="424"/>
      <c r="AH269" s="424"/>
      <c r="AI269" s="424"/>
      <c r="AJ269" s="424"/>
      <c r="AK269" s="424"/>
      <c r="AL269" s="424"/>
      <c r="AM269" s="424"/>
      <c r="AN269" s="424"/>
    </row>
    <row r="270" spans="1:40" ht="15.75" customHeight="1" x14ac:dyDescent="0.4">
      <c r="A270" s="433" t="s">
        <v>545</v>
      </c>
      <c r="B270" s="424" t="s">
        <v>522</v>
      </c>
      <c r="C270" s="507" t="s">
        <v>60</v>
      </c>
      <c r="D270" s="491"/>
      <c r="E270" s="424"/>
      <c r="F270" s="442">
        <v>1450.4268862377776</v>
      </c>
      <c r="G270" s="492"/>
      <c r="H270" s="424"/>
      <c r="I270" s="442"/>
      <c r="J270" s="441"/>
      <c r="K270" s="424"/>
      <c r="L270" s="463">
        <v>1544.79</v>
      </c>
      <c r="M270" s="441"/>
      <c r="N270" s="467">
        <v>94.363113762222383</v>
      </c>
      <c r="O270" s="441"/>
      <c r="P270" s="424"/>
      <c r="Q270" s="467">
        <v>118.65</v>
      </c>
      <c r="R270" s="441"/>
      <c r="S270" s="467">
        <v>1426.1399999999999</v>
      </c>
      <c r="T270" s="424"/>
      <c r="U270" s="424"/>
      <c r="V270" s="424"/>
      <c r="W270" s="424"/>
      <c r="X270" s="424"/>
      <c r="Y270" s="424"/>
      <c r="Z270" s="424"/>
      <c r="AA270" s="424"/>
      <c r="AB270" s="424"/>
      <c r="AC270" s="424"/>
      <c r="AD270" s="424"/>
      <c r="AE270" s="424"/>
      <c r="AF270" s="424"/>
      <c r="AG270" s="424"/>
      <c r="AH270" s="424"/>
      <c r="AI270" s="424"/>
      <c r="AJ270" s="424"/>
      <c r="AK270" s="424"/>
      <c r="AL270" s="424"/>
      <c r="AM270" s="424"/>
      <c r="AN270" s="424"/>
    </row>
    <row r="271" spans="1:40" ht="15.75" customHeight="1" x14ac:dyDescent="0.4">
      <c r="A271" s="433" t="s">
        <v>546</v>
      </c>
      <c r="B271" s="424" t="s">
        <v>522</v>
      </c>
      <c r="C271" s="507" t="s">
        <v>373</v>
      </c>
      <c r="D271" s="491"/>
      <c r="E271" s="424"/>
      <c r="F271" s="442">
        <v>214.03823837858201</v>
      </c>
      <c r="G271" s="492"/>
      <c r="H271" s="424"/>
      <c r="I271" s="442"/>
      <c r="J271" s="441"/>
      <c r="K271" s="424"/>
      <c r="L271" s="444">
        <v>179.64</v>
      </c>
      <c r="M271" s="441"/>
      <c r="N271" s="467">
        <v>-34.398238378582022</v>
      </c>
      <c r="O271" s="441"/>
      <c r="P271" s="424"/>
      <c r="Q271" s="467">
        <v>280.61</v>
      </c>
      <c r="R271" s="441"/>
      <c r="S271" s="467">
        <v>-100.97000000000003</v>
      </c>
      <c r="T271" s="424"/>
      <c r="U271" s="424"/>
      <c r="V271" s="424"/>
      <c r="W271" s="424"/>
      <c r="X271" s="424"/>
      <c r="Y271" s="424"/>
      <c r="Z271" s="424"/>
      <c r="AA271" s="424"/>
      <c r="AB271" s="424"/>
      <c r="AC271" s="424"/>
      <c r="AD271" s="424"/>
      <c r="AE271" s="424"/>
      <c r="AF271" s="424"/>
      <c r="AG271" s="424"/>
      <c r="AH271" s="424"/>
      <c r="AI271" s="424"/>
      <c r="AJ271" s="424"/>
      <c r="AK271" s="424"/>
      <c r="AL271" s="424"/>
      <c r="AM271" s="424"/>
      <c r="AN271" s="424"/>
    </row>
    <row r="272" spans="1:40" ht="15.75" customHeight="1" x14ac:dyDescent="0.4">
      <c r="A272" s="433" t="s">
        <v>547</v>
      </c>
      <c r="B272" s="424" t="s">
        <v>522</v>
      </c>
      <c r="C272" s="507" t="s">
        <v>375</v>
      </c>
      <c r="D272" s="494"/>
      <c r="E272" s="513"/>
      <c r="F272" s="436">
        <v>687.14674435248071</v>
      </c>
      <c r="G272" s="495"/>
      <c r="H272" s="513"/>
      <c r="I272" s="436"/>
      <c r="J272" s="434"/>
      <c r="K272" s="513"/>
      <c r="L272" s="444">
        <v>987.01</v>
      </c>
      <c r="M272" s="434"/>
      <c r="N272" s="490">
        <v>299.86325564751928</v>
      </c>
      <c r="O272" s="434"/>
      <c r="P272" s="513"/>
      <c r="Q272" s="490">
        <v>824.74</v>
      </c>
      <c r="R272" s="434"/>
      <c r="S272" s="490">
        <v>162.26999999999998</v>
      </c>
      <c r="T272" s="424"/>
      <c r="U272" s="424"/>
      <c r="V272" s="424"/>
      <c r="W272" s="424"/>
      <c r="X272" s="424"/>
      <c r="Y272" s="424"/>
      <c r="Z272" s="424"/>
      <c r="AA272" s="424"/>
      <c r="AB272" s="424"/>
      <c r="AC272" s="424"/>
      <c r="AD272" s="424"/>
      <c r="AE272" s="424"/>
      <c r="AF272" s="424"/>
      <c r="AG272" s="424"/>
      <c r="AH272" s="424"/>
      <c r="AI272" s="424"/>
      <c r="AJ272" s="424"/>
      <c r="AK272" s="424"/>
      <c r="AL272" s="424"/>
      <c r="AM272" s="424"/>
      <c r="AN272" s="424"/>
    </row>
    <row r="273" spans="1:40" ht="15.75" customHeight="1" x14ac:dyDescent="0.4">
      <c r="A273" s="433" t="s">
        <v>548</v>
      </c>
      <c r="B273" s="424" t="s">
        <v>522</v>
      </c>
      <c r="C273" s="603" t="s">
        <v>513</v>
      </c>
      <c r="D273" s="491"/>
      <c r="E273" s="424"/>
      <c r="F273" s="442"/>
      <c r="G273" s="492"/>
      <c r="H273" s="424"/>
      <c r="I273" s="442"/>
      <c r="J273" s="441"/>
      <c r="K273" s="424"/>
      <c r="L273" s="463">
        <v>0</v>
      </c>
      <c r="M273" s="441"/>
      <c r="N273" s="467">
        <v>0</v>
      </c>
      <c r="O273" s="441"/>
      <c r="P273" s="424"/>
      <c r="Q273" s="467">
        <v>0</v>
      </c>
      <c r="R273" s="441"/>
      <c r="S273" s="467">
        <v>0</v>
      </c>
      <c r="T273" s="424"/>
      <c r="U273" s="424"/>
      <c r="V273" s="424"/>
      <c r="W273" s="424"/>
      <c r="X273" s="424"/>
      <c r="Y273" s="424"/>
      <c r="Z273" s="424"/>
      <c r="AA273" s="424"/>
      <c r="AB273" s="424"/>
      <c r="AC273" s="424"/>
      <c r="AD273" s="424"/>
      <c r="AE273" s="424"/>
      <c r="AF273" s="424"/>
      <c r="AG273" s="424"/>
      <c r="AH273" s="424"/>
      <c r="AI273" s="424"/>
      <c r="AJ273" s="424"/>
      <c r="AK273" s="424"/>
      <c r="AL273" s="424"/>
      <c r="AM273" s="424"/>
      <c r="AN273" s="424"/>
    </row>
    <row r="274" spans="1:40" ht="15.75" customHeight="1" x14ac:dyDescent="0.4">
      <c r="A274" s="433" t="s">
        <v>549</v>
      </c>
      <c r="B274" s="424" t="s">
        <v>522</v>
      </c>
      <c r="C274" s="507" t="s">
        <v>377</v>
      </c>
      <c r="D274" s="491"/>
      <c r="E274" s="424"/>
      <c r="F274" s="442">
        <v>45.951533333333337</v>
      </c>
      <c r="G274" s="492"/>
      <c r="H274" s="424"/>
      <c r="I274" s="442"/>
      <c r="J274" s="441"/>
      <c r="K274" s="424"/>
      <c r="L274" s="444">
        <v>0</v>
      </c>
      <c r="M274" s="441"/>
      <c r="N274" s="467">
        <v>-45.951533333333337</v>
      </c>
      <c r="O274" s="441"/>
      <c r="P274" s="424"/>
      <c r="Q274" s="467">
        <v>2.8</v>
      </c>
      <c r="R274" s="441"/>
      <c r="S274" s="467">
        <v>-2.8</v>
      </c>
      <c r="T274" s="424"/>
      <c r="U274" s="424"/>
      <c r="V274" s="424"/>
      <c r="W274" s="424"/>
      <c r="X274" s="424"/>
      <c r="Y274" s="424"/>
      <c r="Z274" s="424"/>
      <c r="AA274" s="424"/>
      <c r="AB274" s="424"/>
      <c r="AC274" s="424"/>
      <c r="AD274" s="424"/>
      <c r="AE274" s="424"/>
      <c r="AF274" s="424"/>
      <c r="AG274" s="424"/>
      <c r="AH274" s="424"/>
      <c r="AI274" s="424"/>
      <c r="AJ274" s="424"/>
      <c r="AK274" s="424"/>
      <c r="AL274" s="424"/>
      <c r="AM274" s="424"/>
      <c r="AN274" s="424"/>
    </row>
    <row r="275" spans="1:40" ht="15.75" customHeight="1" x14ac:dyDescent="0.4">
      <c r="A275" s="433" t="s">
        <v>550</v>
      </c>
      <c r="B275" s="424" t="s">
        <v>522</v>
      </c>
      <c r="C275" s="507" t="s">
        <v>379</v>
      </c>
      <c r="D275" s="491"/>
      <c r="E275" s="424"/>
      <c r="F275" s="442">
        <v>28.333333333333332</v>
      </c>
      <c r="G275" s="492"/>
      <c r="H275" s="424"/>
      <c r="I275" s="442"/>
      <c r="J275" s="441"/>
      <c r="K275" s="424"/>
      <c r="L275" s="444">
        <v>0</v>
      </c>
      <c r="M275" s="441"/>
      <c r="N275" s="467">
        <v>-28.333333333333332</v>
      </c>
      <c r="O275" s="441"/>
      <c r="P275" s="424"/>
      <c r="Q275" s="467">
        <v>0</v>
      </c>
      <c r="R275" s="441"/>
      <c r="S275" s="467">
        <v>0</v>
      </c>
      <c r="T275" s="424"/>
      <c r="U275" s="424"/>
      <c r="V275" s="424"/>
      <c r="W275" s="424"/>
      <c r="X275" s="424"/>
      <c r="Y275" s="424"/>
      <c r="Z275" s="424"/>
      <c r="AA275" s="424"/>
      <c r="AB275" s="424"/>
      <c r="AC275" s="424"/>
      <c r="AD275" s="424"/>
      <c r="AE275" s="424"/>
      <c r="AF275" s="424"/>
      <c r="AG275" s="424"/>
      <c r="AH275" s="424"/>
      <c r="AI275" s="424"/>
      <c r="AJ275" s="424"/>
      <c r="AK275" s="424"/>
      <c r="AL275" s="424"/>
      <c r="AM275" s="424"/>
      <c r="AN275" s="424"/>
    </row>
    <row r="276" spans="1:40" ht="15.75" customHeight="1" x14ac:dyDescent="0.4">
      <c r="A276" s="433" t="s">
        <v>551</v>
      </c>
      <c r="B276" s="424" t="s">
        <v>522</v>
      </c>
      <c r="C276" s="507" t="s">
        <v>381</v>
      </c>
      <c r="D276" s="491"/>
      <c r="E276" s="424"/>
      <c r="F276" s="442">
        <v>146.23689705261995</v>
      </c>
      <c r="G276" s="492"/>
      <c r="H276" s="424"/>
      <c r="I276" s="442"/>
      <c r="J276" s="441"/>
      <c r="K276" s="424"/>
      <c r="L276" s="444">
        <v>47.8</v>
      </c>
      <c r="M276" s="441"/>
      <c r="N276" s="467">
        <v>-98.436897052619955</v>
      </c>
      <c r="O276" s="441"/>
      <c r="P276" s="424"/>
      <c r="Q276" s="467">
        <v>77.989999999999995</v>
      </c>
      <c r="R276" s="441"/>
      <c r="S276" s="467">
        <v>-30.189999999999998</v>
      </c>
      <c r="T276" s="424"/>
      <c r="U276" s="424"/>
      <c r="V276" s="424"/>
      <c r="W276" s="424"/>
      <c r="X276" s="424"/>
      <c r="Y276" s="424"/>
      <c r="Z276" s="424"/>
      <c r="AA276" s="424"/>
      <c r="AB276" s="424"/>
      <c r="AC276" s="424"/>
      <c r="AD276" s="424"/>
      <c r="AE276" s="424"/>
      <c r="AF276" s="424"/>
      <c r="AG276" s="424"/>
      <c r="AH276" s="424"/>
      <c r="AI276" s="424"/>
      <c r="AJ276" s="424"/>
      <c r="AK276" s="424"/>
      <c r="AL276" s="424"/>
      <c r="AM276" s="424"/>
      <c r="AN276" s="424"/>
    </row>
    <row r="277" spans="1:40" ht="15.75" customHeight="1" x14ac:dyDescent="0.4">
      <c r="A277" s="433" t="s">
        <v>552</v>
      </c>
      <c r="B277" s="424" t="s">
        <v>522</v>
      </c>
      <c r="C277" s="507" t="s">
        <v>383</v>
      </c>
      <c r="D277" s="491"/>
      <c r="E277" s="424"/>
      <c r="F277" s="442">
        <v>32.368975325808613</v>
      </c>
      <c r="G277" s="492"/>
      <c r="H277" s="424"/>
      <c r="I277" s="442"/>
      <c r="J277" s="441"/>
      <c r="K277" s="424"/>
      <c r="L277" s="444">
        <v>17.43</v>
      </c>
      <c r="M277" s="441"/>
      <c r="N277" s="467">
        <v>-14.938975325808613</v>
      </c>
      <c r="O277" s="441"/>
      <c r="P277" s="424"/>
      <c r="Q277" s="467">
        <v>26.3</v>
      </c>
      <c r="R277" s="441"/>
      <c r="S277" s="467">
        <v>-8.870000000000001</v>
      </c>
      <c r="T277" s="424"/>
      <c r="U277" s="424"/>
      <c r="V277" s="424"/>
      <c r="W277" s="424"/>
      <c r="X277" s="424"/>
      <c r="Y277" s="424"/>
      <c r="Z277" s="424"/>
      <c r="AA277" s="424"/>
      <c r="AB277" s="424"/>
      <c r="AC277" s="424"/>
      <c r="AD277" s="424"/>
      <c r="AE277" s="424"/>
      <c r="AF277" s="424"/>
      <c r="AG277" s="424"/>
      <c r="AH277" s="424"/>
      <c r="AI277" s="424"/>
      <c r="AJ277" s="424"/>
      <c r="AK277" s="424"/>
      <c r="AL277" s="424"/>
      <c r="AM277" s="424"/>
      <c r="AN277" s="424"/>
    </row>
    <row r="278" spans="1:40" ht="15.75" customHeight="1" x14ac:dyDescent="0.4">
      <c r="A278" s="433" t="s">
        <v>553</v>
      </c>
      <c r="B278" s="424" t="s">
        <v>522</v>
      </c>
      <c r="C278" s="507" t="s">
        <v>385</v>
      </c>
      <c r="D278" s="491"/>
      <c r="E278" s="424"/>
      <c r="F278" s="442">
        <v>22.492098830591392</v>
      </c>
      <c r="G278" s="492"/>
      <c r="H278" s="424"/>
      <c r="I278" s="442"/>
      <c r="J278" s="441"/>
      <c r="K278" s="424"/>
      <c r="L278" s="444">
        <v>11.94</v>
      </c>
      <c r="M278" s="441"/>
      <c r="N278" s="467">
        <v>-10.552098830591392</v>
      </c>
      <c r="O278" s="441"/>
      <c r="P278" s="424"/>
      <c r="Q278" s="467">
        <v>7.21</v>
      </c>
      <c r="R278" s="441"/>
      <c r="S278" s="467">
        <v>4.7299999999999995</v>
      </c>
      <c r="T278" s="424"/>
      <c r="U278" s="424"/>
      <c r="V278" s="424"/>
      <c r="W278" s="424"/>
      <c r="X278" s="424"/>
      <c r="Y278" s="424"/>
      <c r="Z278" s="424"/>
      <c r="AA278" s="424"/>
      <c r="AB278" s="424"/>
      <c r="AC278" s="424"/>
      <c r="AD278" s="424"/>
      <c r="AE278" s="424"/>
      <c r="AF278" s="424"/>
      <c r="AG278" s="424"/>
      <c r="AH278" s="424"/>
      <c r="AI278" s="424"/>
      <c r="AJ278" s="424"/>
      <c r="AK278" s="424"/>
      <c r="AL278" s="424"/>
      <c r="AM278" s="424"/>
      <c r="AN278" s="424"/>
    </row>
    <row r="279" spans="1:40" ht="15.75" customHeight="1" x14ac:dyDescent="0.4">
      <c r="A279" s="433" t="s">
        <v>554</v>
      </c>
      <c r="B279" s="424" t="s">
        <v>522</v>
      </c>
      <c r="C279" s="507" t="s">
        <v>387</v>
      </c>
      <c r="D279" s="491"/>
      <c r="E279" s="424"/>
      <c r="F279" s="442">
        <v>102.90506750548639</v>
      </c>
      <c r="G279" s="492"/>
      <c r="H279" s="424"/>
      <c r="I279" s="442"/>
      <c r="J279" s="441"/>
      <c r="K279" s="424"/>
      <c r="L279" s="444">
        <v>13.72</v>
      </c>
      <c r="M279" s="441"/>
      <c r="N279" s="467">
        <v>-89.185067505486387</v>
      </c>
      <c r="O279" s="441"/>
      <c r="P279" s="424"/>
      <c r="Q279" s="467">
        <v>41.24</v>
      </c>
      <c r="R279" s="441"/>
      <c r="S279" s="467">
        <v>-27.520000000000003</v>
      </c>
      <c r="T279" s="424"/>
      <c r="U279" s="424"/>
      <c r="V279" s="424"/>
      <c r="W279" s="424"/>
      <c r="X279" s="424"/>
      <c r="Y279" s="424"/>
      <c r="Z279" s="424"/>
      <c r="AA279" s="424"/>
      <c r="AB279" s="424"/>
      <c r="AC279" s="424"/>
      <c r="AD279" s="424"/>
      <c r="AE279" s="424"/>
      <c r="AF279" s="424"/>
      <c r="AG279" s="424"/>
      <c r="AH279" s="424"/>
      <c r="AI279" s="424"/>
      <c r="AJ279" s="424"/>
      <c r="AK279" s="424"/>
      <c r="AL279" s="424"/>
      <c r="AM279" s="424"/>
      <c r="AN279" s="424"/>
    </row>
    <row r="280" spans="1:40" ht="15.75" customHeight="1" x14ac:dyDescent="0.4">
      <c r="A280" s="433" t="s">
        <v>555</v>
      </c>
      <c r="B280" s="424" t="s">
        <v>522</v>
      </c>
      <c r="C280" s="507" t="s">
        <v>389</v>
      </c>
      <c r="D280" s="491"/>
      <c r="E280" s="424"/>
      <c r="F280" s="442">
        <v>175.49870178698256</v>
      </c>
      <c r="G280" s="492"/>
      <c r="H280" s="424"/>
      <c r="I280" s="442"/>
      <c r="J280" s="441"/>
      <c r="K280" s="424"/>
      <c r="L280" s="444">
        <v>131.96</v>
      </c>
      <c r="M280" s="441"/>
      <c r="N280" s="467">
        <v>-43.538701786982557</v>
      </c>
      <c r="O280" s="441"/>
      <c r="P280" s="424"/>
      <c r="Q280" s="467">
        <v>22.33</v>
      </c>
      <c r="R280" s="441"/>
      <c r="S280" s="467">
        <v>109.63000000000001</v>
      </c>
      <c r="T280" s="424"/>
      <c r="X280" s="424"/>
      <c r="Y280" s="424"/>
      <c r="Z280" s="424"/>
      <c r="AA280" s="424"/>
      <c r="AB280" s="424"/>
      <c r="AC280" s="424"/>
      <c r="AD280" s="424"/>
      <c r="AE280" s="424"/>
      <c r="AF280" s="424"/>
      <c r="AG280" s="424"/>
      <c r="AH280" s="424"/>
      <c r="AI280" s="424"/>
      <c r="AJ280" s="424"/>
      <c r="AK280" s="424"/>
      <c r="AL280" s="424"/>
      <c r="AM280" s="424"/>
      <c r="AN280" s="424"/>
    </row>
    <row r="281" spans="1:40" ht="15.75" customHeight="1" x14ac:dyDescent="0.4">
      <c r="A281" s="433" t="s">
        <v>556</v>
      </c>
      <c r="B281" s="424" t="s">
        <v>522</v>
      </c>
      <c r="C281" s="507" t="s">
        <v>391</v>
      </c>
      <c r="D281" s="491"/>
      <c r="E281" s="424"/>
      <c r="F281" s="442">
        <v>206.67914215411085</v>
      </c>
      <c r="G281" s="492"/>
      <c r="H281" s="424"/>
      <c r="I281" s="442"/>
      <c r="J281" s="441"/>
      <c r="K281" s="424"/>
      <c r="L281" s="444">
        <v>216.81</v>
      </c>
      <c r="M281" s="441"/>
      <c r="N281" s="467">
        <v>10.130857845889153</v>
      </c>
      <c r="O281" s="441"/>
      <c r="P281" s="424"/>
      <c r="Q281" s="467">
        <v>206.61</v>
      </c>
      <c r="R281" s="441"/>
      <c r="S281" s="467">
        <v>10.199999999999989</v>
      </c>
      <c r="T281" s="424"/>
      <c r="X281" s="424"/>
      <c r="Y281" s="424"/>
      <c r="Z281" s="424"/>
      <c r="AA281" s="424"/>
      <c r="AB281" s="424"/>
      <c r="AC281" s="424"/>
      <c r="AD281" s="424"/>
      <c r="AE281" s="424"/>
      <c r="AF281" s="424"/>
      <c r="AG281" s="424"/>
      <c r="AH281" s="424"/>
      <c r="AI281" s="424"/>
      <c r="AJ281" s="424"/>
      <c r="AK281" s="424"/>
      <c r="AL281" s="424"/>
      <c r="AM281" s="424"/>
      <c r="AN281" s="424"/>
    </row>
    <row r="282" spans="1:40" ht="15.75" hidden="1" customHeight="1" x14ac:dyDescent="0.4">
      <c r="A282" s="433" t="s">
        <v>536</v>
      </c>
      <c r="B282" s="424" t="s">
        <v>522</v>
      </c>
      <c r="C282" s="507" t="s">
        <v>323</v>
      </c>
      <c r="D282" s="491"/>
      <c r="E282" s="424"/>
      <c r="F282" s="442">
        <v>0</v>
      </c>
      <c r="G282" s="492"/>
      <c r="H282" s="424"/>
      <c r="I282" s="442"/>
      <c r="J282" s="441"/>
      <c r="K282" s="424"/>
      <c r="L282" s="444">
        <v>0</v>
      </c>
      <c r="M282" s="441"/>
      <c r="N282" s="467">
        <v>0</v>
      </c>
      <c r="O282" s="441"/>
      <c r="P282" s="424"/>
      <c r="Q282" s="444">
        <v>0</v>
      </c>
      <c r="R282" s="441"/>
      <c r="S282" s="467">
        <v>0</v>
      </c>
      <c r="T282" s="424"/>
      <c r="X282" s="424"/>
      <c r="Y282" s="424"/>
      <c r="Z282" s="424"/>
      <c r="AA282" s="424"/>
      <c r="AB282" s="424"/>
      <c r="AC282" s="424"/>
      <c r="AD282" s="424"/>
      <c r="AE282" s="424"/>
      <c r="AF282" s="424"/>
      <c r="AG282" s="424"/>
      <c r="AH282" s="424"/>
      <c r="AI282" s="424"/>
      <c r="AJ282" s="424"/>
      <c r="AK282" s="424"/>
      <c r="AL282" s="424"/>
      <c r="AM282" s="424"/>
      <c r="AN282" s="424"/>
    </row>
    <row r="283" spans="1:40" ht="15.75" hidden="1" customHeight="1" x14ac:dyDescent="0.4">
      <c r="A283" s="433" t="s">
        <v>536</v>
      </c>
      <c r="B283" s="424" t="s">
        <v>522</v>
      </c>
      <c r="C283" s="507" t="s">
        <v>323</v>
      </c>
      <c r="D283" s="491"/>
      <c r="E283" s="424"/>
      <c r="F283" s="442">
        <v>0</v>
      </c>
      <c r="G283" s="492"/>
      <c r="H283" s="424"/>
      <c r="I283" s="442"/>
      <c r="J283" s="441"/>
      <c r="K283" s="424"/>
      <c r="L283" s="444">
        <v>0</v>
      </c>
      <c r="M283" s="441"/>
      <c r="N283" s="467">
        <v>0</v>
      </c>
      <c r="O283" s="441"/>
      <c r="P283" s="424"/>
      <c r="Q283" s="444">
        <v>0</v>
      </c>
      <c r="R283" s="441"/>
      <c r="S283" s="467">
        <v>0</v>
      </c>
      <c r="T283" s="424"/>
      <c r="X283" s="424"/>
      <c r="Y283" s="424"/>
      <c r="Z283" s="424"/>
      <c r="AA283" s="424"/>
      <c r="AB283" s="424"/>
      <c r="AC283" s="424"/>
      <c r="AD283" s="424"/>
      <c r="AE283" s="424"/>
      <c r="AF283" s="424"/>
      <c r="AG283" s="424"/>
      <c r="AH283" s="424"/>
      <c r="AI283" s="424"/>
      <c r="AJ283" s="424"/>
      <c r="AK283" s="424"/>
      <c r="AL283" s="424"/>
      <c r="AM283" s="424"/>
      <c r="AN283" s="424"/>
    </row>
    <row r="284" spans="1:40" ht="15.75" hidden="1" customHeight="1" x14ac:dyDescent="0.4">
      <c r="A284" s="433" t="s">
        <v>536</v>
      </c>
      <c r="B284" s="424" t="s">
        <v>522</v>
      </c>
      <c r="C284" s="507" t="s">
        <v>323</v>
      </c>
      <c r="D284" s="491"/>
      <c r="E284" s="424"/>
      <c r="F284" s="442">
        <v>0</v>
      </c>
      <c r="G284" s="492"/>
      <c r="H284" s="424"/>
      <c r="I284" s="442"/>
      <c r="J284" s="441"/>
      <c r="K284" s="424"/>
      <c r="L284" s="444">
        <v>0</v>
      </c>
      <c r="M284" s="441"/>
      <c r="N284" s="467">
        <v>0</v>
      </c>
      <c r="O284" s="441"/>
      <c r="P284" s="424"/>
      <c r="Q284" s="444">
        <v>0</v>
      </c>
      <c r="R284" s="441"/>
      <c r="S284" s="467">
        <v>0</v>
      </c>
      <c r="T284" s="424"/>
      <c r="X284" s="424"/>
      <c r="Y284" s="424"/>
      <c r="Z284" s="424"/>
      <c r="AA284" s="424"/>
      <c r="AB284" s="424"/>
      <c r="AC284" s="424"/>
      <c r="AD284" s="424"/>
      <c r="AE284" s="424"/>
      <c r="AF284" s="424"/>
      <c r="AG284" s="424"/>
      <c r="AH284" s="424"/>
      <c r="AI284" s="424"/>
      <c r="AJ284" s="424"/>
      <c r="AK284" s="424"/>
      <c r="AL284" s="424"/>
      <c r="AM284" s="424"/>
      <c r="AN284" s="424"/>
    </row>
    <row r="285" spans="1:40" ht="15.75" customHeight="1" x14ac:dyDescent="0.4">
      <c r="B285" s="424"/>
      <c r="C285" s="499" t="s">
        <v>393</v>
      </c>
      <c r="D285" s="500" t="s">
        <v>352</v>
      </c>
      <c r="E285" s="501" t="e">
        <v>#DIV/0!</v>
      </c>
      <c r="F285" s="502">
        <v>3846.592532905011</v>
      </c>
      <c r="G285" s="503"/>
      <c r="H285" s="501"/>
      <c r="I285" s="502"/>
      <c r="J285" s="503" t="s">
        <v>352</v>
      </c>
      <c r="K285" s="501">
        <v>0.35225354170920326</v>
      </c>
      <c r="L285" s="502">
        <v>3398.75</v>
      </c>
      <c r="M285" s="506"/>
      <c r="N285" s="502">
        <v>-447.84253290501124</v>
      </c>
      <c r="O285" s="503" t="s">
        <v>352</v>
      </c>
      <c r="P285" s="501">
        <v>0</v>
      </c>
      <c r="Q285" s="502">
        <v>2995.6600000000003</v>
      </c>
      <c r="R285" s="506"/>
      <c r="S285" s="502">
        <v>403.08999999999969</v>
      </c>
      <c r="T285" s="480"/>
      <c r="X285" s="424"/>
      <c r="Y285" s="424"/>
      <c r="Z285" s="424"/>
      <c r="AA285" s="424"/>
      <c r="AB285" s="424"/>
      <c r="AC285" s="424"/>
      <c r="AD285" s="424"/>
      <c r="AE285" s="424"/>
      <c r="AF285" s="424"/>
      <c r="AG285" s="424"/>
      <c r="AH285" s="424"/>
      <c r="AI285" s="424"/>
      <c r="AJ285" s="424"/>
      <c r="AK285" s="424"/>
      <c r="AL285" s="424"/>
      <c r="AM285" s="424"/>
      <c r="AN285" s="424"/>
    </row>
    <row r="286" spans="1:40" ht="15.75" customHeight="1" x14ac:dyDescent="0.4">
      <c r="B286" s="424"/>
      <c r="C286" s="434"/>
      <c r="D286" s="494"/>
      <c r="E286" s="513"/>
      <c r="F286" s="467"/>
      <c r="G286" s="495"/>
      <c r="H286" s="513"/>
      <c r="I286" s="467"/>
      <c r="J286" s="434"/>
      <c r="K286" s="513"/>
      <c r="L286" s="490"/>
      <c r="M286" s="434"/>
      <c r="N286" s="490"/>
      <c r="O286" s="434"/>
      <c r="P286" s="513"/>
      <c r="Q286" s="490"/>
      <c r="R286" s="434"/>
      <c r="S286" s="490"/>
      <c r="T286" s="480"/>
      <c r="U286" s="424"/>
      <c r="V286" s="424"/>
      <c r="W286" s="424"/>
      <c r="X286" s="424"/>
      <c r="Y286" s="424"/>
      <c r="Z286" s="424"/>
      <c r="AA286" s="424"/>
      <c r="AB286" s="424"/>
      <c r="AC286" s="424"/>
      <c r="AD286" s="424"/>
      <c r="AE286" s="424"/>
      <c r="AF286" s="424"/>
      <c r="AG286" s="424"/>
      <c r="AH286" s="424"/>
      <c r="AI286" s="424"/>
      <c r="AJ286" s="424"/>
      <c r="AK286" s="424"/>
      <c r="AL286" s="424"/>
      <c r="AM286" s="424"/>
      <c r="AN286" s="424"/>
    </row>
    <row r="287" spans="1:40" ht="15.75" customHeight="1" x14ac:dyDescent="0.4">
      <c r="B287" s="424"/>
      <c r="C287" s="499" t="s">
        <v>395</v>
      </c>
      <c r="D287" s="500" t="s">
        <v>352</v>
      </c>
      <c r="E287" s="501" t="e">
        <v>#DIV/0!</v>
      </c>
      <c r="F287" s="502">
        <v>10940.237629520394</v>
      </c>
      <c r="G287" s="503"/>
      <c r="H287" s="501"/>
      <c r="I287" s="502"/>
      <c r="J287" s="503" t="s">
        <v>352</v>
      </c>
      <c r="K287" s="501">
        <v>0.86219748170458099</v>
      </c>
      <c r="L287" s="502">
        <v>8318.99</v>
      </c>
      <c r="M287" s="506"/>
      <c r="N287" s="515">
        <v>-2621.2476295203942</v>
      </c>
      <c r="O287" s="503" t="s">
        <v>352</v>
      </c>
      <c r="P287" s="501">
        <v>0</v>
      </c>
      <c r="Q287" s="502">
        <v>7440.4</v>
      </c>
      <c r="R287" s="506"/>
      <c r="S287" s="515">
        <v>878.59000000000015</v>
      </c>
      <c r="T287" s="480"/>
      <c r="U287" s="424"/>
      <c r="V287" s="424"/>
      <c r="W287" s="424"/>
      <c r="X287" s="424"/>
      <c r="Y287" s="424"/>
      <c r="Z287" s="424"/>
      <c r="AA287" s="424"/>
      <c r="AB287" s="424"/>
      <c r="AC287" s="424"/>
      <c r="AD287" s="424"/>
      <c r="AE287" s="424"/>
      <c r="AF287" s="424"/>
      <c r="AG287" s="424"/>
      <c r="AH287" s="424"/>
      <c r="AI287" s="424"/>
      <c r="AJ287" s="424"/>
      <c r="AK287" s="424"/>
      <c r="AL287" s="424"/>
      <c r="AM287" s="424"/>
      <c r="AN287" s="424"/>
    </row>
    <row r="288" spans="1:40" ht="15.75" customHeight="1" x14ac:dyDescent="0.4">
      <c r="B288" s="424"/>
      <c r="C288" s="441"/>
      <c r="D288" s="491"/>
      <c r="E288" s="424"/>
      <c r="F288" s="467"/>
      <c r="G288" s="492"/>
      <c r="H288" s="424"/>
      <c r="I288" s="467"/>
      <c r="J288" s="441"/>
      <c r="K288" s="424"/>
      <c r="L288" s="467"/>
      <c r="M288" s="441"/>
      <c r="N288" s="467">
        <v>0</v>
      </c>
      <c r="O288" s="441"/>
      <c r="P288" s="424"/>
      <c r="Q288" s="467"/>
      <c r="R288" s="441"/>
      <c r="S288" s="467"/>
      <c r="T288" s="424"/>
      <c r="U288" s="424"/>
      <c r="V288" s="424"/>
      <c r="W288" s="424"/>
      <c r="X288" s="424"/>
      <c r="Y288" s="424"/>
      <c r="Z288" s="424"/>
      <c r="AA288" s="424"/>
      <c r="AB288" s="424"/>
      <c r="AC288" s="424"/>
      <c r="AD288" s="424"/>
      <c r="AE288" s="424"/>
      <c r="AF288" s="424"/>
      <c r="AG288" s="424"/>
      <c r="AH288" s="424"/>
      <c r="AI288" s="424"/>
      <c r="AJ288" s="424"/>
      <c r="AK288" s="424"/>
      <c r="AL288" s="424"/>
      <c r="AM288" s="424"/>
      <c r="AN288" s="424"/>
    </row>
    <row r="289" spans="1:40" ht="29.25" customHeight="1" thickBot="1" x14ac:dyDescent="0.45">
      <c r="B289" s="424"/>
      <c r="C289" s="527" t="s">
        <v>409</v>
      </c>
      <c r="D289" s="553"/>
      <c r="E289" s="528"/>
      <c r="F289" s="530">
        <v>-380.23762952039397</v>
      </c>
      <c r="G289" s="554"/>
      <c r="H289" s="528"/>
      <c r="I289" s="530"/>
      <c r="J289" s="527"/>
      <c r="K289" s="529"/>
      <c r="L289" s="530">
        <v>1329.5999999999967</v>
      </c>
      <c r="M289" s="527"/>
      <c r="N289" s="530">
        <v>1709.8376295203907</v>
      </c>
      <c r="O289" s="527"/>
      <c r="P289" s="395">
        <v>-7.5912890859544593</v>
      </c>
      <c r="Q289" s="530">
        <v>-6574.36</v>
      </c>
      <c r="R289" s="527"/>
      <c r="S289" s="530">
        <v>7903.9599999999964</v>
      </c>
      <c r="T289" s="480"/>
      <c r="U289" s="424"/>
      <c r="V289" s="424"/>
      <c r="W289" s="424"/>
      <c r="X289" s="424"/>
      <c r="Y289" s="424"/>
      <c r="Z289" s="424"/>
      <c r="AA289" s="424"/>
      <c r="AB289" s="424"/>
      <c r="AC289" s="424"/>
      <c r="AD289" s="424"/>
      <c r="AE289" s="424"/>
      <c r="AF289" s="424"/>
      <c r="AG289" s="424"/>
      <c r="AH289" s="424"/>
      <c r="AI289" s="424"/>
      <c r="AJ289" s="424"/>
      <c r="AK289" s="424"/>
      <c r="AL289" s="424"/>
      <c r="AM289" s="424"/>
      <c r="AN289" s="424"/>
    </row>
    <row r="290" spans="1:40" ht="15.75" customHeight="1" thickTop="1" x14ac:dyDescent="0.4">
      <c r="B290" s="424"/>
      <c r="C290" s="424"/>
      <c r="D290" s="424"/>
      <c r="E290" s="424"/>
      <c r="F290" s="424"/>
      <c r="G290" s="424"/>
      <c r="H290" s="424"/>
      <c r="I290" s="424"/>
      <c r="J290" s="424"/>
      <c r="K290" s="424"/>
      <c r="L290" s="482"/>
      <c r="M290" s="424"/>
      <c r="N290" s="424"/>
      <c r="O290" s="424"/>
      <c r="P290" s="424"/>
      <c r="Q290" s="424"/>
      <c r="R290" s="424"/>
      <c r="S290" s="424"/>
      <c r="T290" s="424"/>
      <c r="U290" s="424"/>
      <c r="V290" s="424"/>
      <c r="W290" s="424"/>
      <c r="X290" s="424"/>
      <c r="Y290" s="424"/>
      <c r="Z290" s="424"/>
      <c r="AA290" s="424"/>
      <c r="AB290" s="424"/>
      <c r="AC290" s="424"/>
      <c r="AD290" s="424"/>
      <c r="AE290" s="424"/>
      <c r="AF290" s="424"/>
      <c r="AG290" s="424"/>
      <c r="AH290" s="424"/>
      <c r="AI290" s="424"/>
      <c r="AJ290" s="424"/>
      <c r="AK290" s="424"/>
      <c r="AL290" s="424"/>
      <c r="AM290" s="424"/>
      <c r="AN290" s="424"/>
    </row>
    <row r="291" spans="1:40" ht="36" customHeight="1" x14ac:dyDescent="0.7">
      <c r="B291" s="424"/>
      <c r="C291" s="535" t="s">
        <v>706</v>
      </c>
      <c r="D291" s="412"/>
      <c r="E291" s="412"/>
      <c r="F291" s="412"/>
      <c r="G291" s="412"/>
      <c r="H291" s="410"/>
      <c r="I291" s="410"/>
      <c r="J291" s="410"/>
      <c r="K291" s="414" t="s">
        <v>39</v>
      </c>
      <c r="L291" s="412"/>
      <c r="M291" s="412"/>
      <c r="N291" s="410"/>
      <c r="O291" s="410"/>
      <c r="P291" s="412"/>
      <c r="Q291" s="410"/>
      <c r="R291" s="412"/>
      <c r="S291" s="536" t="s">
        <v>723</v>
      </c>
      <c r="T291" s="424"/>
      <c r="U291" s="424"/>
      <c r="V291" s="424"/>
      <c r="W291" s="424"/>
      <c r="X291" s="424"/>
      <c r="Y291" s="424"/>
      <c r="Z291" s="424"/>
      <c r="AA291" s="424"/>
      <c r="AB291" s="424"/>
      <c r="AC291" s="424"/>
      <c r="AD291" s="424"/>
      <c r="AE291" s="424"/>
      <c r="AF291" s="424"/>
      <c r="AG291" s="424"/>
      <c r="AH291" s="424"/>
      <c r="AI291" s="424"/>
      <c r="AJ291" s="424"/>
      <c r="AK291" s="424"/>
      <c r="AL291" s="424"/>
      <c r="AM291" s="424"/>
      <c r="AN291" s="424"/>
    </row>
    <row r="292" spans="1:40" ht="15.75" customHeight="1" thickBot="1" x14ac:dyDescent="0.45">
      <c r="B292" s="424"/>
      <c r="C292" s="419"/>
      <c r="D292" s="421"/>
      <c r="E292" s="421"/>
      <c r="F292" s="421"/>
      <c r="G292" s="421"/>
      <c r="H292" s="421"/>
      <c r="I292" s="421"/>
      <c r="J292" s="421"/>
      <c r="K292" s="421"/>
      <c r="L292" s="421"/>
      <c r="M292" s="421"/>
      <c r="N292" s="421"/>
      <c r="O292" s="421"/>
      <c r="P292" s="421"/>
      <c r="Q292" s="421"/>
      <c r="R292" s="421"/>
      <c r="S292" s="421"/>
      <c r="T292" s="424"/>
      <c r="U292" s="424"/>
      <c r="V292" s="424"/>
      <c r="W292" s="424"/>
      <c r="X292" s="424"/>
      <c r="Y292" s="424"/>
      <c r="Z292" s="424"/>
      <c r="AA292" s="424"/>
      <c r="AB292" s="424"/>
      <c r="AC292" s="424"/>
      <c r="AD292" s="424"/>
      <c r="AE292" s="424"/>
      <c r="AF292" s="424"/>
      <c r="AG292" s="424"/>
      <c r="AH292" s="424"/>
      <c r="AI292" s="424"/>
      <c r="AJ292" s="424"/>
      <c r="AK292" s="424"/>
      <c r="AL292" s="424"/>
      <c r="AM292" s="424"/>
      <c r="AN292" s="424"/>
    </row>
    <row r="293" spans="1:40" ht="15.75" customHeight="1" thickTop="1" x14ac:dyDescent="0.4">
      <c r="B293" s="424"/>
      <c r="C293" s="425"/>
      <c r="D293" s="787" t="s">
        <v>299</v>
      </c>
      <c r="E293" s="788"/>
      <c r="F293" s="789"/>
      <c r="G293" s="790"/>
      <c r="H293" s="788"/>
      <c r="I293" s="789"/>
      <c r="J293" s="790" t="s">
        <v>300</v>
      </c>
      <c r="K293" s="788"/>
      <c r="L293" s="789"/>
      <c r="M293" s="790" t="s">
        <v>301</v>
      </c>
      <c r="N293" s="789"/>
      <c r="O293" s="787" t="s">
        <v>302</v>
      </c>
      <c r="P293" s="788"/>
      <c r="Q293" s="789"/>
      <c r="R293" s="790" t="s">
        <v>303</v>
      </c>
      <c r="S293" s="789"/>
      <c r="T293" s="424"/>
      <c r="U293" s="424"/>
      <c r="V293" s="424"/>
      <c r="W293" s="424"/>
      <c r="X293" s="424"/>
      <c r="Y293" s="424"/>
      <c r="Z293" s="424"/>
      <c r="AA293" s="424"/>
      <c r="AB293" s="424"/>
      <c r="AC293" s="424"/>
      <c r="AD293" s="424"/>
      <c r="AE293" s="424"/>
      <c r="AF293" s="424"/>
      <c r="AG293" s="424"/>
      <c r="AH293" s="424"/>
      <c r="AI293" s="424"/>
      <c r="AJ293" s="424"/>
      <c r="AK293" s="424"/>
      <c r="AL293" s="424"/>
      <c r="AM293" s="424"/>
      <c r="AN293" s="424"/>
    </row>
    <row r="294" spans="1:40" ht="15.75" customHeight="1" x14ac:dyDescent="0.4">
      <c r="A294" s="433" t="s">
        <v>39</v>
      </c>
      <c r="B294" s="424" t="s">
        <v>39</v>
      </c>
      <c r="C294" s="441"/>
      <c r="D294" s="484" t="s">
        <v>468</v>
      </c>
      <c r="E294" s="484" t="s">
        <v>557</v>
      </c>
      <c r="F294" s="556" t="s">
        <v>24</v>
      </c>
      <c r="G294" s="557"/>
      <c r="H294" s="484"/>
      <c r="I294" s="556"/>
      <c r="J294" s="557" t="s">
        <v>468</v>
      </c>
      <c r="K294" s="484" t="s">
        <v>557</v>
      </c>
      <c r="L294" s="556" t="s">
        <v>24</v>
      </c>
      <c r="M294" s="557" t="s">
        <v>22</v>
      </c>
      <c r="N294" s="556" t="s">
        <v>470</v>
      </c>
      <c r="O294" s="484" t="s">
        <v>468</v>
      </c>
      <c r="P294" s="484" t="s">
        <v>557</v>
      </c>
      <c r="Q294" s="556" t="s">
        <v>24</v>
      </c>
      <c r="R294" s="557" t="s">
        <v>471</v>
      </c>
      <c r="S294" s="556" t="s">
        <v>24</v>
      </c>
      <c r="T294" s="424"/>
      <c r="U294" s="424"/>
      <c r="V294" s="424"/>
      <c r="W294" s="424"/>
      <c r="X294" s="424"/>
      <c r="Y294" s="424"/>
      <c r="Z294" s="424"/>
      <c r="AA294" s="424"/>
      <c r="AB294" s="424"/>
      <c r="AC294" s="424"/>
      <c r="AD294" s="424"/>
      <c r="AE294" s="424"/>
      <c r="AF294" s="424"/>
      <c r="AG294" s="424"/>
      <c r="AH294" s="424"/>
      <c r="AI294" s="424"/>
      <c r="AJ294" s="424"/>
      <c r="AK294" s="424"/>
      <c r="AL294" s="424"/>
      <c r="AM294" s="424"/>
      <c r="AN294" s="424"/>
    </row>
    <row r="295" spans="1:40" ht="15.75" customHeight="1" x14ac:dyDescent="0.4">
      <c r="A295" s="433" t="s">
        <v>558</v>
      </c>
      <c r="B295" s="424" t="s">
        <v>39</v>
      </c>
      <c r="C295" s="441" t="s">
        <v>559</v>
      </c>
      <c r="D295" s="482">
        <v>81099.13784000001</v>
      </c>
      <c r="E295" s="548">
        <v>0.35699999999999998</v>
      </c>
      <c r="F295" s="467">
        <v>28952.392208880003</v>
      </c>
      <c r="G295" s="482"/>
      <c r="H295" s="548"/>
      <c r="I295" s="467"/>
      <c r="J295" s="442">
        <v>87058.76</v>
      </c>
      <c r="K295" s="548">
        <v>0.34657282047205812</v>
      </c>
      <c r="L295" s="467">
        <v>30172.199999999993</v>
      </c>
      <c r="M295" s="486">
        <v>7.3485641385703585E-2</v>
      </c>
      <c r="N295" s="467">
        <v>1219.8077911199907</v>
      </c>
      <c r="O295" s="442">
        <v>97246.46</v>
      </c>
      <c r="P295" s="548">
        <v>0.35566508025073607</v>
      </c>
      <c r="Q295" s="467">
        <v>34587.17</v>
      </c>
      <c r="R295" s="486">
        <v>-0.10476165404889815</v>
      </c>
      <c r="S295" s="467">
        <v>-4414.9700000000048</v>
      </c>
      <c r="T295" s="424"/>
      <c r="U295" s="424"/>
      <c r="V295" s="424"/>
      <c r="W295" s="424"/>
      <c r="X295" s="424"/>
      <c r="Y295" s="424"/>
      <c r="Z295" s="424"/>
      <c r="AA295" s="424"/>
      <c r="AB295" s="424"/>
      <c r="AC295" s="424"/>
      <c r="AD295" s="424"/>
      <c r="AE295" s="424"/>
      <c r="AF295" s="424"/>
      <c r="AG295" s="424"/>
      <c r="AH295" s="424"/>
      <c r="AI295" s="424"/>
      <c r="AJ295" s="424"/>
      <c r="AK295" s="424"/>
      <c r="AL295" s="424"/>
      <c r="AM295" s="424"/>
      <c r="AN295" s="424"/>
    </row>
    <row r="296" spans="1:40" ht="15.75" customHeight="1" x14ac:dyDescent="0.4">
      <c r="A296" s="433" t="s">
        <v>560</v>
      </c>
      <c r="B296" s="424" t="s">
        <v>39</v>
      </c>
      <c r="C296" s="441" t="s">
        <v>561</v>
      </c>
      <c r="D296" s="482">
        <v>28800</v>
      </c>
      <c r="E296" s="548">
        <v>0.248</v>
      </c>
      <c r="F296" s="467">
        <v>7142.4</v>
      </c>
      <c r="G296" s="482"/>
      <c r="H296" s="548"/>
      <c r="I296" s="467"/>
      <c r="J296" s="442">
        <v>18886.29</v>
      </c>
      <c r="K296" s="548">
        <v>0.23393848130045664</v>
      </c>
      <c r="L296" s="467">
        <v>4418.2300000000014</v>
      </c>
      <c r="M296" s="486">
        <v>-0.34422604166666665</v>
      </c>
      <c r="N296" s="467">
        <v>-2724.1699999999983</v>
      </c>
      <c r="O296" s="442">
        <v>0</v>
      </c>
      <c r="P296" s="548">
        <v>0</v>
      </c>
      <c r="Q296" s="467">
        <v>0</v>
      </c>
      <c r="R296" s="486">
        <v>0</v>
      </c>
      <c r="S296" s="467">
        <v>4418.2300000000014</v>
      </c>
      <c r="T296" s="424"/>
      <c r="U296" s="424"/>
      <c r="V296" s="424"/>
      <c r="W296" s="424"/>
      <c r="X296" s="424"/>
      <c r="Y296" s="424"/>
      <c r="Z296" s="424"/>
      <c r="AA296" s="424"/>
      <c r="AB296" s="424"/>
      <c r="AC296" s="424"/>
      <c r="AD296" s="424"/>
      <c r="AE296" s="424"/>
      <c r="AF296" s="424"/>
      <c r="AG296" s="424"/>
      <c r="AH296" s="424"/>
      <c r="AI296" s="424"/>
      <c r="AJ296" s="424"/>
      <c r="AK296" s="424"/>
      <c r="AL296" s="424"/>
      <c r="AM296" s="424"/>
      <c r="AN296" s="424"/>
    </row>
    <row r="297" spans="1:40" ht="15.75" customHeight="1" x14ac:dyDescent="0.4">
      <c r="A297" s="433" t="s">
        <v>562</v>
      </c>
      <c r="B297" s="424" t="s">
        <v>39</v>
      </c>
      <c r="C297" s="441" t="s">
        <v>563</v>
      </c>
      <c r="D297" s="482">
        <v>60847.342499999999</v>
      </c>
      <c r="E297" s="548">
        <v>0.23700000000000002</v>
      </c>
      <c r="F297" s="467">
        <v>14420.8201725</v>
      </c>
      <c r="G297" s="482"/>
      <c r="H297" s="548"/>
      <c r="I297" s="467"/>
      <c r="J297" s="442">
        <v>95506.71</v>
      </c>
      <c r="K297" s="548">
        <v>0.23560993777295858</v>
      </c>
      <c r="L297" s="467">
        <v>22502.33</v>
      </c>
      <c r="M297" s="486">
        <v>0.56961185281017013</v>
      </c>
      <c r="N297" s="467">
        <v>8081.5098275000018</v>
      </c>
      <c r="O297" s="442">
        <v>63908.639999999999</v>
      </c>
      <c r="P297" s="548">
        <v>0.23059511202241043</v>
      </c>
      <c r="Q297" s="467">
        <v>14737.0199999999</v>
      </c>
      <c r="R297" s="486">
        <v>0.49442563634588388</v>
      </c>
      <c r="S297" s="467">
        <v>7765.3100000001014</v>
      </c>
      <c r="T297" s="424"/>
      <c r="U297" s="424"/>
      <c r="V297" s="424"/>
      <c r="W297" s="424"/>
      <c r="X297" s="424"/>
      <c r="Y297" s="424"/>
      <c r="Z297" s="424"/>
      <c r="AA297" s="424"/>
      <c r="AB297" s="424"/>
      <c r="AC297" s="424"/>
      <c r="AD297" s="424"/>
      <c r="AE297" s="424"/>
      <c r="AF297" s="424"/>
      <c r="AG297" s="424"/>
      <c r="AH297" s="424"/>
      <c r="AI297" s="424"/>
      <c r="AJ297" s="424"/>
      <c r="AK297" s="424"/>
      <c r="AL297" s="424"/>
      <c r="AM297" s="424"/>
      <c r="AN297" s="424"/>
    </row>
    <row r="298" spans="1:40" ht="15.75" customHeight="1" x14ac:dyDescent="0.4">
      <c r="A298" s="433" t="s">
        <v>564</v>
      </c>
      <c r="B298" s="424" t="s">
        <v>39</v>
      </c>
      <c r="C298" s="441" t="s">
        <v>565</v>
      </c>
      <c r="D298" s="482">
        <v>65349.206999999995</v>
      </c>
      <c r="E298" s="548">
        <v>0.29399999999999998</v>
      </c>
      <c r="F298" s="467">
        <v>19212.666857999997</v>
      </c>
      <c r="G298" s="482"/>
      <c r="H298" s="548"/>
      <c r="I298" s="467"/>
      <c r="J298" s="442">
        <v>73676.91</v>
      </c>
      <c r="K298" s="548">
        <v>0.28959995743578282</v>
      </c>
      <c r="L298" s="467">
        <v>21336.83</v>
      </c>
      <c r="M298" s="486">
        <v>0.12743387995511574</v>
      </c>
      <c r="N298" s="467">
        <v>2124.1631420000049</v>
      </c>
      <c r="O298" s="442">
        <v>60027.4</v>
      </c>
      <c r="P298" s="548">
        <v>0.31739355694232968</v>
      </c>
      <c r="Q298" s="467">
        <v>19052.310000000001</v>
      </c>
      <c r="R298" s="486">
        <v>0.22738799281661379</v>
      </c>
      <c r="S298" s="467">
        <v>2284.5200000000004</v>
      </c>
      <c r="T298" s="424"/>
      <c r="U298" s="424"/>
      <c r="V298" s="424"/>
      <c r="W298" s="424"/>
      <c r="X298" s="424"/>
      <c r="Y298" s="424"/>
      <c r="Z298" s="424"/>
      <c r="AA298" s="424"/>
      <c r="AB298" s="424"/>
      <c r="AC298" s="424"/>
      <c r="AD298" s="424"/>
      <c r="AE298" s="424"/>
      <c r="AF298" s="424"/>
      <c r="AG298" s="424"/>
      <c r="AH298" s="424"/>
      <c r="AI298" s="424"/>
      <c r="AJ298" s="424"/>
      <c r="AK298" s="424"/>
      <c r="AL298" s="424"/>
      <c r="AM298" s="424"/>
      <c r="AN298" s="424"/>
    </row>
    <row r="299" spans="1:40" ht="15.75" customHeight="1" x14ac:dyDescent="0.4">
      <c r="A299" s="433" t="s">
        <v>566</v>
      </c>
      <c r="B299" s="424" t="s">
        <v>39</v>
      </c>
      <c r="C299" s="441" t="s">
        <v>567</v>
      </c>
      <c r="D299" s="482">
        <v>17909.036</v>
      </c>
      <c r="E299" s="548">
        <v>0.27700000000000002</v>
      </c>
      <c r="F299" s="467">
        <v>4960.8029720000004</v>
      </c>
      <c r="G299" s="482"/>
      <c r="H299" s="548"/>
      <c r="I299" s="467"/>
      <c r="J299" s="442">
        <v>15743.02</v>
      </c>
      <c r="K299" s="548">
        <v>0.29404713962124168</v>
      </c>
      <c r="L299" s="467">
        <v>4629.1900000000005</v>
      </c>
      <c r="M299" s="486">
        <v>-0.12094542665501368</v>
      </c>
      <c r="N299" s="467">
        <v>-331.6129719999999</v>
      </c>
      <c r="O299" s="442">
        <v>16945.259999999998</v>
      </c>
      <c r="P299" s="548">
        <v>0.2982108270985509</v>
      </c>
      <c r="Q299" s="467">
        <v>5053.2599999999902</v>
      </c>
      <c r="R299" s="486">
        <v>-7.0948454021950574E-2</v>
      </c>
      <c r="S299" s="467">
        <v>-424.0699999999897</v>
      </c>
      <c r="T299" s="424"/>
      <c r="U299" s="424"/>
      <c r="V299" s="424"/>
      <c r="W299" s="424"/>
      <c r="X299" s="424"/>
      <c r="Y299" s="424"/>
      <c r="Z299" s="424"/>
      <c r="AA299" s="424"/>
      <c r="AB299" s="424"/>
      <c r="AC299" s="424"/>
      <c r="AD299" s="424"/>
      <c r="AE299" s="424"/>
      <c r="AF299" s="424"/>
      <c r="AG299" s="424"/>
      <c r="AH299" s="424"/>
      <c r="AI299" s="424"/>
      <c r="AJ299" s="424"/>
      <c r="AK299" s="424"/>
      <c r="AL299" s="424"/>
      <c r="AM299" s="424"/>
      <c r="AN299" s="424"/>
    </row>
    <row r="300" spans="1:40" ht="15.75" customHeight="1" x14ac:dyDescent="0.4">
      <c r="A300" s="433" t="s">
        <v>568</v>
      </c>
      <c r="B300" s="424" t="s">
        <v>39</v>
      </c>
      <c r="C300" s="441" t="s">
        <v>569</v>
      </c>
      <c r="D300" s="482">
        <v>153843.459</v>
      </c>
      <c r="E300" s="548">
        <v>0.13500000000000001</v>
      </c>
      <c r="F300" s="467">
        <v>20768.866965000001</v>
      </c>
      <c r="G300" s="482"/>
      <c r="H300" s="548"/>
      <c r="I300" s="467"/>
      <c r="J300" s="442">
        <v>186492.61</v>
      </c>
      <c r="K300" s="548">
        <v>0.13094845956630663</v>
      </c>
      <c r="L300" s="467">
        <v>24420.919999999991</v>
      </c>
      <c r="M300" s="486">
        <v>0.21222319890766356</v>
      </c>
      <c r="N300" s="467">
        <v>3652.0530349999899</v>
      </c>
      <c r="O300" s="442">
        <v>143365.44</v>
      </c>
      <c r="P300" s="548">
        <v>0.13637603316392011</v>
      </c>
      <c r="Q300" s="467">
        <v>19551.61</v>
      </c>
      <c r="R300" s="486">
        <v>0.30081984891198316</v>
      </c>
      <c r="S300" s="467">
        <v>4869.3099999999904</v>
      </c>
      <c r="T300" s="424"/>
      <c r="U300" s="424"/>
      <c r="V300" s="424"/>
      <c r="W300" s="424"/>
      <c r="X300" s="424"/>
      <c r="Y300" s="424"/>
      <c r="Z300" s="424"/>
      <c r="AA300" s="424"/>
      <c r="AB300" s="424"/>
      <c r="AC300" s="424"/>
      <c r="AD300" s="424"/>
      <c r="AE300" s="424"/>
      <c r="AF300" s="424"/>
      <c r="AG300" s="424"/>
      <c r="AH300" s="424"/>
      <c r="AI300" s="424"/>
      <c r="AJ300" s="424"/>
      <c r="AK300" s="424"/>
      <c r="AL300" s="424"/>
      <c r="AM300" s="424"/>
      <c r="AN300" s="424"/>
    </row>
    <row r="301" spans="1:40" ht="15.75" hidden="1" customHeight="1" x14ac:dyDescent="0.4">
      <c r="A301" s="433" t="s">
        <v>570</v>
      </c>
      <c r="B301" s="424" t="s">
        <v>39</v>
      </c>
      <c r="C301" s="441" t="s">
        <v>323</v>
      </c>
      <c r="D301" s="482">
        <v>0</v>
      </c>
      <c r="E301" s="548">
        <v>0</v>
      </c>
      <c r="F301" s="467">
        <v>0</v>
      </c>
      <c r="G301" s="482"/>
      <c r="H301" s="548"/>
      <c r="I301" s="467"/>
      <c r="J301" s="442">
        <v>0</v>
      </c>
      <c r="K301" s="548">
        <v>0</v>
      </c>
      <c r="L301" s="467">
        <v>0</v>
      </c>
      <c r="M301" s="486" t="e">
        <v>#DIV/0!</v>
      </c>
      <c r="N301" s="467">
        <v>0</v>
      </c>
      <c r="O301" s="442">
        <v>0</v>
      </c>
      <c r="P301" s="548">
        <v>0</v>
      </c>
      <c r="Q301" s="467">
        <v>0</v>
      </c>
      <c r="R301" s="486">
        <v>0</v>
      </c>
      <c r="S301" s="467">
        <v>0</v>
      </c>
      <c r="T301" s="424"/>
      <c r="U301" s="424"/>
      <c r="V301" s="424"/>
      <c r="W301" s="424"/>
      <c r="X301" s="424"/>
      <c r="Y301" s="424"/>
      <c r="Z301" s="424"/>
      <c r="AA301" s="424"/>
      <c r="AB301" s="424"/>
      <c r="AC301" s="424"/>
      <c r="AD301" s="424"/>
      <c r="AE301" s="424"/>
      <c r="AF301" s="424"/>
      <c r="AG301" s="424"/>
      <c r="AH301" s="424"/>
      <c r="AI301" s="424"/>
      <c r="AJ301" s="424"/>
      <c r="AK301" s="424"/>
      <c r="AL301" s="424"/>
      <c r="AM301" s="424"/>
      <c r="AN301" s="424"/>
    </row>
    <row r="302" spans="1:40" ht="15.75" customHeight="1" x14ac:dyDescent="0.4">
      <c r="A302" s="433" t="s">
        <v>571</v>
      </c>
      <c r="B302" s="424" t="s">
        <v>39</v>
      </c>
      <c r="C302" s="441" t="s">
        <v>572</v>
      </c>
      <c r="D302" s="482">
        <v>0</v>
      </c>
      <c r="E302" s="548">
        <v>0</v>
      </c>
      <c r="F302" s="467">
        <v>10456.478287315782</v>
      </c>
      <c r="G302" s="482"/>
      <c r="H302" s="548"/>
      <c r="I302" s="467"/>
      <c r="J302" s="442">
        <v>0</v>
      </c>
      <c r="K302" s="548">
        <v>0</v>
      </c>
      <c r="L302" s="467">
        <v>4672.6899999999996</v>
      </c>
      <c r="M302" s="486"/>
      <c r="N302" s="467">
        <v>-5783.7882873157823</v>
      </c>
      <c r="O302" s="442">
        <v>0</v>
      </c>
      <c r="P302" s="548">
        <v>0</v>
      </c>
      <c r="Q302" s="467">
        <v>3691.28</v>
      </c>
      <c r="R302" s="486">
        <v>0</v>
      </c>
      <c r="S302" s="467">
        <v>981.4099999999994</v>
      </c>
      <c r="T302" s="424"/>
      <c r="U302" s="424"/>
      <c r="V302" s="424"/>
      <c r="W302" s="424"/>
      <c r="X302" s="424"/>
      <c r="Y302" s="424"/>
      <c r="Z302" s="424"/>
      <c r="AA302" s="424"/>
      <c r="AB302" s="424"/>
      <c r="AC302" s="424"/>
      <c r="AD302" s="424"/>
      <c r="AE302" s="424"/>
      <c r="AF302" s="424"/>
      <c r="AG302" s="424"/>
      <c r="AH302" s="424"/>
      <c r="AI302" s="424"/>
      <c r="AJ302" s="424"/>
      <c r="AK302" s="424"/>
      <c r="AL302" s="424"/>
      <c r="AM302" s="424"/>
      <c r="AN302" s="424"/>
    </row>
    <row r="303" spans="1:40" ht="15.75" customHeight="1" x14ac:dyDescent="0.4">
      <c r="A303" s="433" t="s">
        <v>573</v>
      </c>
      <c r="B303" s="424" t="s">
        <v>39</v>
      </c>
      <c r="C303" s="434" t="s">
        <v>574</v>
      </c>
      <c r="D303" s="482">
        <v>0</v>
      </c>
      <c r="E303" s="548">
        <v>0</v>
      </c>
      <c r="F303" s="467">
        <v>0</v>
      </c>
      <c r="G303" s="482"/>
      <c r="H303" s="548"/>
      <c r="I303" s="467"/>
      <c r="J303" s="442">
        <v>0</v>
      </c>
      <c r="K303" s="548">
        <v>0</v>
      </c>
      <c r="L303" s="467">
        <v>0</v>
      </c>
      <c r="M303" s="486"/>
      <c r="N303" s="467">
        <v>0</v>
      </c>
      <c r="O303" s="442">
        <v>0</v>
      </c>
      <c r="P303" s="548">
        <v>0</v>
      </c>
      <c r="Q303" s="467">
        <v>0</v>
      </c>
      <c r="R303" s="486">
        <v>0</v>
      </c>
      <c r="S303" s="467">
        <v>0</v>
      </c>
      <c r="T303" s="424"/>
      <c r="U303" s="424"/>
      <c r="V303" s="424"/>
      <c r="W303" s="424"/>
      <c r="X303" s="424"/>
      <c r="Y303" s="424"/>
      <c r="Z303" s="424"/>
      <c r="AA303" s="424"/>
      <c r="AB303" s="424"/>
      <c r="AC303" s="424"/>
      <c r="AD303" s="424"/>
      <c r="AE303" s="424"/>
      <c r="AF303" s="424"/>
      <c r="AG303" s="424"/>
      <c r="AH303" s="424"/>
      <c r="AI303" s="424"/>
      <c r="AJ303" s="424"/>
      <c r="AK303" s="424"/>
      <c r="AL303" s="424"/>
      <c r="AM303" s="424"/>
      <c r="AN303" s="424"/>
    </row>
    <row r="304" spans="1:40" ht="15.75" customHeight="1" x14ac:dyDescent="0.4">
      <c r="A304" s="433" t="s">
        <v>575</v>
      </c>
      <c r="B304" s="424" t="s">
        <v>39</v>
      </c>
      <c r="C304" s="460" t="s">
        <v>576</v>
      </c>
      <c r="D304" s="586">
        <v>407848.18234</v>
      </c>
      <c r="E304" s="604">
        <v>0.25969081646023107</v>
      </c>
      <c r="F304" s="588">
        <v>105914.42746369579</v>
      </c>
      <c r="G304" s="586"/>
      <c r="H304" s="604"/>
      <c r="I304" s="588"/>
      <c r="J304" s="586">
        <v>477364.30000000005</v>
      </c>
      <c r="K304" s="604">
        <v>0.23494088267597718</v>
      </c>
      <c r="L304" s="588">
        <v>112152.38999999998</v>
      </c>
      <c r="M304" s="605">
        <v>0.17044606466346438</v>
      </c>
      <c r="N304" s="588">
        <v>6237.9625363041996</v>
      </c>
      <c r="O304" s="586">
        <v>381493.2</v>
      </c>
      <c r="P304" s="604">
        <v>0.25340595848104208</v>
      </c>
      <c r="Q304" s="588">
        <v>96672.649999999892</v>
      </c>
      <c r="R304" s="605">
        <v>0.25130487253770195</v>
      </c>
      <c r="S304" s="588">
        <v>15479.740000000093</v>
      </c>
      <c r="T304" s="424"/>
      <c r="U304" s="424"/>
      <c r="V304" s="424"/>
      <c r="W304" s="424"/>
      <c r="X304" s="424"/>
      <c r="Y304" s="424"/>
      <c r="Z304" s="424"/>
      <c r="AA304" s="424"/>
      <c r="AB304" s="424"/>
      <c r="AC304" s="424"/>
      <c r="AD304" s="424"/>
      <c r="AE304" s="424"/>
      <c r="AF304" s="424"/>
      <c r="AG304" s="424"/>
      <c r="AH304" s="424"/>
      <c r="AI304" s="424"/>
      <c r="AJ304" s="424"/>
      <c r="AK304" s="424"/>
      <c r="AL304" s="424"/>
      <c r="AM304" s="424"/>
      <c r="AN304" s="424"/>
    </row>
    <row r="305" spans="1:40" ht="15.75" customHeight="1" x14ac:dyDescent="0.4">
      <c r="A305" s="433" t="s">
        <v>39</v>
      </c>
      <c r="B305" s="424" t="s">
        <v>39</v>
      </c>
      <c r="C305" s="441"/>
      <c r="D305" s="424"/>
      <c r="E305" s="424"/>
      <c r="F305" s="451"/>
      <c r="G305" s="441"/>
      <c r="H305" s="424"/>
      <c r="I305" s="451"/>
      <c r="J305" s="441"/>
      <c r="K305" s="424"/>
      <c r="L305" s="451"/>
      <c r="M305" s="441"/>
      <c r="N305" s="459">
        <v>5.8896249412691032E-2</v>
      </c>
      <c r="O305" s="441"/>
      <c r="P305" s="424"/>
      <c r="Q305" s="451"/>
      <c r="R305" s="441"/>
      <c r="S305" s="459">
        <v>0.16012533017353006</v>
      </c>
      <c r="T305" s="424"/>
      <c r="U305" s="424"/>
      <c r="V305" s="424"/>
      <c r="W305" s="424"/>
      <c r="X305" s="424"/>
      <c r="Y305" s="424"/>
      <c r="Z305" s="424"/>
      <c r="AA305" s="424"/>
      <c r="AB305" s="424"/>
      <c r="AC305" s="424"/>
      <c r="AD305" s="424"/>
      <c r="AE305" s="424"/>
      <c r="AF305" s="424"/>
      <c r="AG305" s="424"/>
      <c r="AH305" s="424"/>
      <c r="AI305" s="424"/>
      <c r="AJ305" s="424"/>
      <c r="AK305" s="424"/>
      <c r="AL305" s="424"/>
      <c r="AM305" s="424"/>
      <c r="AN305" s="424"/>
    </row>
    <row r="306" spans="1:40" ht="15.75" customHeight="1" x14ac:dyDescent="0.4">
      <c r="A306" s="433" t="s">
        <v>39</v>
      </c>
      <c r="B306" s="424" t="s">
        <v>39</v>
      </c>
      <c r="C306" s="434"/>
      <c r="D306" s="513"/>
      <c r="E306" s="513"/>
      <c r="F306" s="606"/>
      <c r="G306" s="434"/>
      <c r="H306" s="513"/>
      <c r="I306" s="606"/>
      <c r="J306" s="434"/>
      <c r="K306" s="513"/>
      <c r="L306" s="606"/>
      <c r="M306" s="434"/>
      <c r="N306" s="566"/>
      <c r="O306" s="434"/>
      <c r="P306" s="513"/>
      <c r="Q306" s="606"/>
      <c r="R306" s="434"/>
      <c r="S306" s="566"/>
      <c r="T306" s="424"/>
      <c r="U306" s="424"/>
      <c r="V306" s="424"/>
      <c r="W306" s="424"/>
      <c r="X306" s="424"/>
      <c r="Y306" s="424"/>
      <c r="Z306" s="424"/>
      <c r="AA306" s="424"/>
      <c r="AB306" s="424"/>
      <c r="AC306" s="424"/>
      <c r="AD306" s="424"/>
      <c r="AE306" s="424"/>
      <c r="AF306" s="424"/>
      <c r="AG306" s="424"/>
      <c r="AH306" s="424"/>
      <c r="AI306" s="424"/>
      <c r="AJ306" s="424"/>
      <c r="AK306" s="424"/>
      <c r="AL306" s="424"/>
      <c r="AM306" s="424"/>
      <c r="AN306" s="424"/>
    </row>
    <row r="307" spans="1:40" ht="15.75" customHeight="1" x14ac:dyDescent="0.4">
      <c r="A307" s="433" t="s">
        <v>577</v>
      </c>
      <c r="B307" s="424" t="s">
        <v>39</v>
      </c>
      <c r="C307" s="441" t="s">
        <v>578</v>
      </c>
      <c r="D307" s="482">
        <v>23014.84</v>
      </c>
      <c r="E307" s="548">
        <v>0.17100000000000001</v>
      </c>
      <c r="F307" s="512">
        <v>3935.5376400000005</v>
      </c>
      <c r="G307" s="482"/>
      <c r="H307" s="548"/>
      <c r="I307" s="512"/>
      <c r="J307" s="442">
        <v>32612.16</v>
      </c>
      <c r="K307" s="548">
        <v>0.1719337204282084</v>
      </c>
      <c r="L307" s="512">
        <v>5607.130000000001</v>
      </c>
      <c r="M307" s="486">
        <v>0.41700572326377239</v>
      </c>
      <c r="N307" s="467">
        <v>1671.5923600000006</v>
      </c>
      <c r="O307" s="442">
        <v>17894.14</v>
      </c>
      <c r="P307" s="548">
        <v>0.15636012683481798</v>
      </c>
      <c r="Q307" s="512">
        <v>2797.9299999999898</v>
      </c>
      <c r="R307" s="486">
        <v>0.82250502119688351</v>
      </c>
      <c r="S307" s="467">
        <v>2809.2000000000112</v>
      </c>
      <c r="T307" s="424"/>
      <c r="U307" s="424"/>
      <c r="V307" s="424"/>
      <c r="W307" s="424"/>
      <c r="X307" s="424"/>
      <c r="Y307" s="424"/>
      <c r="Z307" s="424"/>
      <c r="AA307" s="424"/>
      <c r="AB307" s="424"/>
      <c r="AC307" s="424"/>
      <c r="AD307" s="424"/>
      <c r="AE307" s="424"/>
      <c r="AF307" s="424"/>
      <c r="AG307" s="424"/>
      <c r="AH307" s="424"/>
      <c r="AI307" s="424"/>
      <c r="AJ307" s="424"/>
      <c r="AK307" s="424"/>
      <c r="AL307" s="424"/>
      <c r="AM307" s="424"/>
      <c r="AN307" s="424"/>
    </row>
    <row r="308" spans="1:40" ht="15.75" customHeight="1" x14ac:dyDescent="0.4">
      <c r="A308" s="433" t="s">
        <v>579</v>
      </c>
      <c r="B308" s="424" t="s">
        <v>39</v>
      </c>
      <c r="C308" s="434" t="s">
        <v>580</v>
      </c>
      <c r="D308" s="482">
        <v>19997.678345249682</v>
      </c>
      <c r="E308" s="548">
        <v>0.25600000000000001</v>
      </c>
      <c r="F308" s="490">
        <v>5119.4056563839185</v>
      </c>
      <c r="G308" s="482"/>
      <c r="H308" s="548"/>
      <c r="I308" s="490"/>
      <c r="J308" s="442">
        <v>25642.9</v>
      </c>
      <c r="K308" s="548">
        <v>0.28574459207031966</v>
      </c>
      <c r="L308" s="490">
        <v>7327.32</v>
      </c>
      <c r="M308" s="486">
        <v>0.282293852180661</v>
      </c>
      <c r="N308" s="467">
        <v>2207.9143436160812</v>
      </c>
      <c r="O308" s="442">
        <v>21225.38</v>
      </c>
      <c r="P308" s="548">
        <v>0.24730440632864994</v>
      </c>
      <c r="Q308" s="490">
        <v>5249.13</v>
      </c>
      <c r="R308" s="486">
        <v>0.20812442462749783</v>
      </c>
      <c r="S308" s="467">
        <v>2078.1899999999996</v>
      </c>
      <c r="T308" s="424"/>
      <c r="U308" s="424"/>
      <c r="V308" s="424"/>
      <c r="W308" s="424"/>
      <c r="X308" s="424"/>
      <c r="Y308" s="424"/>
      <c r="Z308" s="424"/>
      <c r="AA308" s="424"/>
      <c r="AB308" s="424"/>
      <c r="AC308" s="424"/>
      <c r="AD308" s="424"/>
      <c r="AE308" s="424"/>
      <c r="AF308" s="424"/>
      <c r="AG308" s="424"/>
      <c r="AH308" s="424"/>
      <c r="AI308" s="424"/>
      <c r="AJ308" s="424"/>
      <c r="AK308" s="424"/>
      <c r="AL308" s="424"/>
      <c r="AM308" s="424"/>
      <c r="AN308" s="424"/>
    </row>
    <row r="309" spans="1:40" ht="15.75" customHeight="1" x14ac:dyDescent="0.4">
      <c r="A309" s="433" t="s">
        <v>581</v>
      </c>
      <c r="B309" s="424" t="s">
        <v>39</v>
      </c>
      <c r="C309" s="460" t="s">
        <v>582</v>
      </c>
      <c r="D309" s="586">
        <v>450860.7006852497</v>
      </c>
      <c r="E309" s="604">
        <v>0.25499976064744873</v>
      </c>
      <c r="F309" s="588">
        <v>114969.37076007971</v>
      </c>
      <c r="G309" s="589"/>
      <c r="H309" s="604"/>
      <c r="I309" s="588"/>
      <c r="J309" s="589">
        <v>535619.36</v>
      </c>
      <c r="K309" s="604">
        <v>0.23353681614495786</v>
      </c>
      <c r="L309" s="588">
        <v>125086.84</v>
      </c>
      <c r="M309" s="605">
        <v>0.18799300800874447</v>
      </c>
      <c r="N309" s="588">
        <v>10117.46923992029</v>
      </c>
      <c r="O309" s="589">
        <v>420612.72000000003</v>
      </c>
      <c r="P309" s="604">
        <v>0.24896943202288291</v>
      </c>
      <c r="Q309" s="588">
        <v>104719.70999999989</v>
      </c>
      <c r="R309" s="605">
        <v>0.27342644321360504</v>
      </c>
      <c r="S309" s="588">
        <v>20367.130000000107</v>
      </c>
      <c r="T309" s="424"/>
      <c r="U309" s="482"/>
      <c r="V309" s="424"/>
      <c r="W309" s="424"/>
      <c r="X309" s="424"/>
      <c r="Y309" s="424"/>
      <c r="Z309" s="424"/>
      <c r="AA309" s="424"/>
      <c r="AB309" s="424"/>
      <c r="AC309" s="424"/>
      <c r="AD309" s="424"/>
      <c r="AE309" s="424"/>
      <c r="AF309" s="424"/>
      <c r="AG309" s="424"/>
      <c r="AH309" s="424"/>
      <c r="AI309" s="424"/>
      <c r="AJ309" s="424"/>
      <c r="AK309" s="424"/>
      <c r="AL309" s="424"/>
      <c r="AM309" s="424"/>
      <c r="AN309" s="424"/>
    </row>
    <row r="310" spans="1:40" ht="15.75" customHeight="1" x14ac:dyDescent="0.4">
      <c r="A310" s="433" t="s">
        <v>39</v>
      </c>
      <c r="B310" s="424" t="s">
        <v>39</v>
      </c>
      <c r="C310" s="441"/>
      <c r="D310" s="424"/>
      <c r="E310" s="424"/>
      <c r="F310" s="451"/>
      <c r="G310" s="441"/>
      <c r="H310" s="424"/>
      <c r="I310" s="451"/>
      <c r="J310" s="441"/>
      <c r="K310" s="424"/>
      <c r="L310" s="451"/>
      <c r="M310" s="441"/>
      <c r="N310" s="459">
        <v>8.8001431799027752E-2</v>
      </c>
      <c r="O310" s="441"/>
      <c r="P310" s="424"/>
      <c r="Q310" s="451"/>
      <c r="R310" s="441"/>
      <c r="S310" s="459">
        <v>0.19449184876467027</v>
      </c>
      <c r="T310" s="424"/>
      <c r="U310" s="424"/>
      <c r="V310" s="424"/>
      <c r="W310" s="424"/>
      <c r="X310" s="424"/>
      <c r="Y310" s="424"/>
      <c r="Z310" s="424"/>
      <c r="AA310" s="424"/>
      <c r="AB310" s="424"/>
      <c r="AC310" s="424"/>
      <c r="AD310" s="424"/>
      <c r="AE310" s="424"/>
      <c r="AF310" s="424"/>
      <c r="AG310" s="424"/>
      <c r="AH310" s="424"/>
      <c r="AI310" s="424"/>
      <c r="AJ310" s="424"/>
      <c r="AK310" s="424"/>
      <c r="AL310" s="424"/>
      <c r="AM310" s="424"/>
      <c r="AN310" s="424"/>
    </row>
    <row r="311" spans="1:40" ht="15.75" customHeight="1" x14ac:dyDescent="0.4">
      <c r="A311" s="433" t="s">
        <v>39</v>
      </c>
      <c r="B311" s="424" t="s">
        <v>39</v>
      </c>
      <c r="C311" s="441"/>
      <c r="D311" s="424"/>
      <c r="E311" s="424"/>
      <c r="F311" s="451"/>
      <c r="G311" s="441"/>
      <c r="H311" s="424"/>
      <c r="I311" s="451"/>
      <c r="J311" s="441"/>
      <c r="K311" s="424"/>
      <c r="L311" s="451"/>
      <c r="M311" s="441"/>
      <c r="N311" s="459"/>
      <c r="O311" s="441"/>
      <c r="P311" s="424"/>
      <c r="Q311" s="451"/>
      <c r="R311" s="441"/>
      <c r="S311" s="459"/>
      <c r="T311" s="424"/>
      <c r="U311" s="424"/>
      <c r="V311" s="424"/>
      <c r="W311" s="424"/>
      <c r="X311" s="424"/>
      <c r="Y311" s="424"/>
      <c r="Z311" s="424"/>
      <c r="AA311" s="424"/>
      <c r="AB311" s="424"/>
      <c r="AC311" s="424"/>
      <c r="AD311" s="424"/>
      <c r="AE311" s="424"/>
      <c r="AF311" s="424"/>
      <c r="AG311" s="424"/>
      <c r="AH311" s="424"/>
      <c r="AI311" s="424"/>
      <c r="AJ311" s="424"/>
      <c r="AK311" s="424"/>
      <c r="AL311" s="424"/>
      <c r="AM311" s="424"/>
      <c r="AN311" s="424"/>
    </row>
    <row r="312" spans="1:40" ht="15.75" customHeight="1" x14ac:dyDescent="0.4">
      <c r="A312" s="433" t="s">
        <v>583</v>
      </c>
      <c r="B312" s="424" t="s">
        <v>39</v>
      </c>
      <c r="C312" s="434" t="s">
        <v>584</v>
      </c>
      <c r="D312" s="488">
        <v>0</v>
      </c>
      <c r="E312" s="607">
        <v>0</v>
      </c>
      <c r="F312" s="490">
        <v>0</v>
      </c>
      <c r="G312" s="561"/>
      <c r="H312" s="607"/>
      <c r="I312" s="490"/>
      <c r="J312" s="455">
        <v>0</v>
      </c>
      <c r="K312" s="607">
        <v>0</v>
      </c>
      <c r="L312" s="436">
        <v>0</v>
      </c>
      <c r="M312" s="607">
        <v>0</v>
      </c>
      <c r="N312" s="490">
        <v>0</v>
      </c>
      <c r="O312" s="455">
        <v>0</v>
      </c>
      <c r="P312" s="607">
        <v>0</v>
      </c>
      <c r="Q312" s="436">
        <v>0</v>
      </c>
      <c r="R312" s="607">
        <v>0</v>
      </c>
      <c r="S312" s="490">
        <v>0</v>
      </c>
      <c r="T312" s="424"/>
      <c r="U312" s="482"/>
      <c r="V312" s="424"/>
      <c r="W312" s="424"/>
      <c r="X312" s="424"/>
      <c r="Y312" s="424"/>
      <c r="Z312" s="424"/>
      <c r="AA312" s="424"/>
      <c r="AB312" s="424"/>
      <c r="AC312" s="424"/>
      <c r="AD312" s="424"/>
      <c r="AE312" s="424"/>
      <c r="AF312" s="424"/>
      <c r="AG312" s="424"/>
      <c r="AH312" s="424"/>
      <c r="AI312" s="424"/>
      <c r="AJ312" s="424"/>
      <c r="AK312" s="424"/>
      <c r="AL312" s="424"/>
      <c r="AM312" s="424"/>
      <c r="AN312" s="424"/>
    </row>
    <row r="313" spans="1:40" ht="15.75" customHeight="1" thickBot="1" x14ac:dyDescent="0.45">
      <c r="A313" s="433" t="s">
        <v>39</v>
      </c>
      <c r="B313" s="424" t="s">
        <v>39</v>
      </c>
      <c r="C313" s="441"/>
      <c r="D313" s="482"/>
      <c r="E313" s="548"/>
      <c r="F313" s="467"/>
      <c r="G313" s="468"/>
      <c r="H313" s="548"/>
      <c r="I313" s="467"/>
      <c r="J313" s="468"/>
      <c r="K313" s="548"/>
      <c r="L313" s="467"/>
      <c r="M313" s="486"/>
      <c r="N313" s="467"/>
      <c r="O313" s="468"/>
      <c r="P313" s="548"/>
      <c r="Q313" s="467"/>
      <c r="R313" s="486"/>
      <c r="S313" s="467"/>
      <c r="T313" s="424"/>
      <c r="U313" s="424"/>
      <c r="V313" s="424"/>
      <c r="W313" s="424"/>
      <c r="X313" s="424"/>
      <c r="Y313" s="424"/>
      <c r="Z313" s="424"/>
      <c r="AA313" s="424"/>
      <c r="AB313" s="424"/>
      <c r="AC313" s="424"/>
      <c r="AD313" s="424"/>
      <c r="AE313" s="424"/>
      <c r="AF313" s="424"/>
      <c r="AG313" s="424"/>
      <c r="AH313" s="424"/>
      <c r="AI313" s="424"/>
      <c r="AJ313" s="424"/>
      <c r="AK313" s="424"/>
      <c r="AL313" s="424"/>
      <c r="AM313" s="424"/>
      <c r="AN313" s="424"/>
    </row>
    <row r="314" spans="1:40" ht="15.75" customHeight="1" thickTop="1" x14ac:dyDescent="0.4">
      <c r="A314" s="433" t="s">
        <v>585</v>
      </c>
      <c r="B314" s="424" t="s">
        <v>39</v>
      </c>
      <c r="C314" s="469" t="s">
        <v>586</v>
      </c>
      <c r="D314" s="470">
        <v>450860.7006852497</v>
      </c>
      <c r="E314" s="608">
        <v>0.25499976064744873</v>
      </c>
      <c r="F314" s="472">
        <v>114969.37076007971</v>
      </c>
      <c r="G314" s="473"/>
      <c r="H314" s="608"/>
      <c r="I314" s="472"/>
      <c r="J314" s="473">
        <v>535619.36</v>
      </c>
      <c r="K314" s="608">
        <v>0.23353681614495786</v>
      </c>
      <c r="L314" s="472">
        <v>125086.84</v>
      </c>
      <c r="M314" s="609">
        <v>0.18799300800874447</v>
      </c>
      <c r="N314" s="610">
        <v>10117.46923992029</v>
      </c>
      <c r="O314" s="473">
        <v>420612.72000000003</v>
      </c>
      <c r="P314" s="608">
        <v>0.24896943202288291</v>
      </c>
      <c r="Q314" s="472">
        <v>104719.70999999989</v>
      </c>
      <c r="R314" s="609">
        <v>0.27342644321360504</v>
      </c>
      <c r="S314" s="610">
        <v>20367.130000000107</v>
      </c>
      <c r="T314" s="424"/>
      <c r="U314" s="555"/>
      <c r="V314" s="482"/>
      <c r="W314" s="482"/>
      <c r="X314" s="424"/>
      <c r="Y314" s="424"/>
      <c r="Z314" s="424"/>
      <c r="AA314" s="424"/>
      <c r="AB314" s="424"/>
      <c r="AC314" s="424"/>
      <c r="AD314" s="424"/>
      <c r="AE314" s="424"/>
      <c r="AF314" s="424"/>
      <c r="AG314" s="424"/>
      <c r="AH314" s="424"/>
      <c r="AI314" s="424"/>
      <c r="AJ314" s="424"/>
      <c r="AK314" s="424"/>
      <c r="AL314" s="424"/>
      <c r="AM314" s="424"/>
      <c r="AN314" s="424"/>
    </row>
    <row r="315" spans="1:40" ht="15.75" customHeight="1" thickBot="1" x14ac:dyDescent="0.45">
      <c r="A315" s="433" t="s">
        <v>39</v>
      </c>
      <c r="B315" s="424" t="s">
        <v>39</v>
      </c>
      <c r="C315" s="527"/>
      <c r="D315" s="611"/>
      <c r="E315" s="612"/>
      <c r="F315" s="530"/>
      <c r="G315" s="613"/>
      <c r="H315" s="612"/>
      <c r="I315" s="530"/>
      <c r="J315" s="613"/>
      <c r="K315" s="612"/>
      <c r="L315" s="400">
        <v>1.0880014317990279</v>
      </c>
      <c r="M315" s="614"/>
      <c r="N315" s="479">
        <v>8.8001431799027752E-2</v>
      </c>
      <c r="O315" s="613"/>
      <c r="P315" s="612"/>
      <c r="Q315" s="530"/>
      <c r="R315" s="614"/>
      <c r="S315" s="479">
        <v>0.19449184876467027</v>
      </c>
      <c r="T315" s="424"/>
      <c r="U315" s="421"/>
      <c r="V315" s="424"/>
      <c r="W315" s="424"/>
      <c r="X315" s="424"/>
      <c r="Y315" s="424"/>
      <c r="Z315" s="424"/>
      <c r="AA315" s="424"/>
      <c r="AB315" s="424"/>
      <c r="AC315" s="424"/>
      <c r="AD315" s="424"/>
      <c r="AE315" s="424"/>
      <c r="AF315" s="424"/>
      <c r="AG315" s="424"/>
      <c r="AH315" s="424"/>
      <c r="AI315" s="424"/>
      <c r="AJ315" s="424"/>
      <c r="AK315" s="424"/>
      <c r="AL315" s="424"/>
      <c r="AM315" s="424"/>
      <c r="AN315" s="424"/>
    </row>
    <row r="316" spans="1:40" ht="15.75" customHeight="1" thickTop="1" x14ac:dyDescent="0.4">
      <c r="A316" s="433" t="s">
        <v>39</v>
      </c>
      <c r="B316" s="424" t="s">
        <v>39</v>
      </c>
      <c r="C316" s="460"/>
      <c r="D316" s="514"/>
      <c r="E316" s="568"/>
      <c r="F316" s="570"/>
      <c r="G316" s="569"/>
      <c r="H316" s="568"/>
      <c r="I316" s="570"/>
      <c r="J316" s="569"/>
      <c r="K316" s="568"/>
      <c r="L316" s="570"/>
      <c r="M316" s="441"/>
      <c r="N316" s="459"/>
      <c r="O316" s="569"/>
      <c r="P316" s="568"/>
      <c r="Q316" s="570"/>
      <c r="R316" s="441"/>
      <c r="S316" s="459"/>
      <c r="T316" s="424"/>
      <c r="U316" s="421"/>
      <c r="V316" s="424"/>
      <c r="W316" s="424"/>
      <c r="X316" s="424"/>
      <c r="Y316" s="424"/>
      <c r="Z316" s="424"/>
      <c r="AA316" s="424"/>
      <c r="AB316" s="424"/>
      <c r="AC316" s="424"/>
      <c r="AD316" s="424"/>
      <c r="AE316" s="424"/>
      <c r="AF316" s="424"/>
      <c r="AG316" s="424"/>
      <c r="AH316" s="424"/>
      <c r="AI316" s="424"/>
      <c r="AJ316" s="424"/>
      <c r="AK316" s="424"/>
      <c r="AL316" s="424"/>
      <c r="AM316" s="424"/>
      <c r="AN316" s="424"/>
    </row>
    <row r="317" spans="1:40" ht="15.75" customHeight="1" x14ac:dyDescent="0.4">
      <c r="A317" s="433" t="s">
        <v>587</v>
      </c>
      <c r="B317" s="424" t="s">
        <v>39</v>
      </c>
      <c r="C317" s="483" t="s">
        <v>339</v>
      </c>
      <c r="D317" s="424"/>
      <c r="E317" s="424"/>
      <c r="F317" s="467"/>
      <c r="G317" s="441"/>
      <c r="H317" s="424"/>
      <c r="I317" s="467"/>
      <c r="J317" s="441"/>
      <c r="K317" s="424"/>
      <c r="L317" s="451"/>
      <c r="M317" s="441"/>
      <c r="N317" s="451"/>
      <c r="O317" s="441"/>
      <c r="P317" s="424"/>
      <c r="Q317" s="451"/>
      <c r="R317" s="441"/>
      <c r="S317" s="451"/>
      <c r="T317" s="424"/>
      <c r="U317" s="421"/>
      <c r="V317" s="424"/>
      <c r="W317" s="424"/>
      <c r="X317" s="424"/>
      <c r="Y317" s="424"/>
      <c r="Z317" s="424"/>
      <c r="AA317" s="424"/>
      <c r="AB317" s="424"/>
      <c r="AC317" s="424"/>
      <c r="AD317" s="424"/>
      <c r="AE317" s="424"/>
      <c r="AF317" s="424"/>
      <c r="AG317" s="424"/>
      <c r="AH317" s="424"/>
      <c r="AI317" s="424"/>
      <c r="AJ317" s="424"/>
      <c r="AK317" s="424"/>
      <c r="AL317" s="424"/>
      <c r="AM317" s="424"/>
      <c r="AN317" s="424"/>
    </row>
    <row r="318" spans="1:40" ht="15.75" customHeight="1" x14ac:dyDescent="0.4">
      <c r="A318" s="433" t="s">
        <v>588</v>
      </c>
      <c r="B318" s="424" t="s">
        <v>39</v>
      </c>
      <c r="C318" s="507" t="s">
        <v>50</v>
      </c>
      <c r="D318" s="424"/>
      <c r="E318" s="424"/>
      <c r="F318" s="442">
        <v>6935.8538461538465</v>
      </c>
      <c r="G318" s="441"/>
      <c r="H318" s="424"/>
      <c r="I318" s="442"/>
      <c r="J318" s="441"/>
      <c r="K318" s="424"/>
      <c r="L318" s="444">
        <v>5204.26</v>
      </c>
      <c r="M318" s="441"/>
      <c r="N318" s="444">
        <v>-1731.5938461538462</v>
      </c>
      <c r="O318" s="441"/>
      <c r="P318" s="424"/>
      <c r="Q318" s="444">
        <v>9176.36</v>
      </c>
      <c r="R318" s="441"/>
      <c r="S318" s="444">
        <v>-3972.1000000000004</v>
      </c>
      <c r="T318" s="424"/>
      <c r="U318" s="421"/>
      <c r="V318" s="424"/>
      <c r="W318" s="424"/>
      <c r="X318" s="424"/>
      <c r="Y318" s="424"/>
      <c r="Z318" s="424"/>
      <c r="AA318" s="424"/>
      <c r="AB318" s="424"/>
      <c r="AC318" s="424"/>
      <c r="AD318" s="424"/>
      <c r="AE318" s="424"/>
      <c r="AF318" s="424"/>
      <c r="AG318" s="424"/>
      <c r="AH318" s="424"/>
      <c r="AI318" s="424"/>
      <c r="AJ318" s="424"/>
      <c r="AK318" s="424"/>
      <c r="AL318" s="424"/>
      <c r="AM318" s="424"/>
      <c r="AN318" s="424"/>
    </row>
    <row r="319" spans="1:40" ht="15.75" customHeight="1" x14ac:dyDescent="0.4">
      <c r="A319" s="433" t="s">
        <v>589</v>
      </c>
      <c r="B319" s="424" t="s">
        <v>39</v>
      </c>
      <c r="C319" s="508" t="s">
        <v>355</v>
      </c>
      <c r="D319" s="491"/>
      <c r="E319" s="424"/>
      <c r="F319" s="436">
        <v>26364.924123076926</v>
      </c>
      <c r="G319" s="492"/>
      <c r="H319" s="424"/>
      <c r="I319" s="436"/>
      <c r="J319" s="441"/>
      <c r="K319" s="424"/>
      <c r="L319" s="444">
        <v>22650.76</v>
      </c>
      <c r="M319" s="441"/>
      <c r="N319" s="444">
        <v>-3714.1641230769274</v>
      </c>
      <c r="O319" s="441"/>
      <c r="P319" s="424"/>
      <c r="Q319" s="444">
        <v>23703.279999999999</v>
      </c>
      <c r="R319" s="441"/>
      <c r="S319" s="467">
        <v>-1052.5200000000004</v>
      </c>
      <c r="T319" s="424"/>
      <c r="U319" s="421"/>
      <c r="V319" s="424"/>
      <c r="W319" s="424"/>
      <c r="X319" s="424"/>
      <c r="Y319" s="424"/>
      <c r="Z319" s="424"/>
      <c r="AA319" s="424"/>
      <c r="AB319" s="424"/>
      <c r="AC319" s="424"/>
      <c r="AD319" s="424"/>
      <c r="AE319" s="424"/>
      <c r="AF319" s="424"/>
      <c r="AG319" s="424"/>
      <c r="AH319" s="424"/>
      <c r="AI319" s="424"/>
      <c r="AJ319" s="424"/>
      <c r="AK319" s="424"/>
      <c r="AL319" s="424"/>
      <c r="AM319" s="424"/>
      <c r="AN319" s="424"/>
    </row>
    <row r="320" spans="1:40" ht="15.75" customHeight="1" x14ac:dyDescent="0.4">
      <c r="A320" s="433" t="s">
        <v>590</v>
      </c>
      <c r="B320" s="424" t="s">
        <v>39</v>
      </c>
      <c r="C320" s="507" t="s">
        <v>51</v>
      </c>
      <c r="D320" s="509"/>
      <c r="E320" s="510"/>
      <c r="F320" s="442">
        <v>140.24615384615385</v>
      </c>
      <c r="G320" s="511"/>
      <c r="H320" s="510"/>
      <c r="I320" s="442"/>
      <c r="J320" s="428"/>
      <c r="K320" s="510"/>
      <c r="L320" s="463">
        <v>113.92</v>
      </c>
      <c r="M320" s="428"/>
      <c r="N320" s="463">
        <v>-26.326153846153844</v>
      </c>
      <c r="O320" s="428"/>
      <c r="P320" s="510"/>
      <c r="Q320" s="463">
        <v>113.92</v>
      </c>
      <c r="R320" s="428"/>
      <c r="S320" s="512">
        <v>0</v>
      </c>
      <c r="T320" s="424"/>
      <c r="U320" s="615"/>
      <c r="V320" s="616"/>
      <c r="W320" s="424"/>
      <c r="X320" s="424"/>
      <c r="Y320" s="424"/>
      <c r="Z320" s="424"/>
      <c r="AA320" s="424"/>
      <c r="AB320" s="424"/>
      <c r="AC320" s="424"/>
      <c r="AD320" s="424"/>
      <c r="AE320" s="424"/>
      <c r="AF320" s="424"/>
      <c r="AG320" s="424"/>
      <c r="AH320" s="424"/>
      <c r="AI320" s="424"/>
      <c r="AJ320" s="424"/>
      <c r="AK320" s="424"/>
      <c r="AL320" s="424"/>
      <c r="AM320" s="424"/>
      <c r="AN320" s="424"/>
    </row>
    <row r="321" spans="1:40" ht="15.75" customHeight="1" x14ac:dyDescent="0.4">
      <c r="A321" s="433" t="s">
        <v>591</v>
      </c>
      <c r="B321" s="424" t="s">
        <v>39</v>
      </c>
      <c r="C321" s="507" t="s">
        <v>358</v>
      </c>
      <c r="D321" s="491"/>
      <c r="E321" s="424"/>
      <c r="F321" s="442">
        <v>0</v>
      </c>
      <c r="G321" s="492"/>
      <c r="H321" s="424"/>
      <c r="I321" s="442"/>
      <c r="J321" s="441"/>
      <c r="K321" s="424"/>
      <c r="L321" s="444">
        <v>0</v>
      </c>
      <c r="M321" s="441"/>
      <c r="N321" s="444">
        <v>0</v>
      </c>
      <c r="O321" s="441"/>
      <c r="P321" s="424"/>
      <c r="Q321" s="444">
        <v>0</v>
      </c>
      <c r="R321" s="441"/>
      <c r="S321" s="467">
        <v>0</v>
      </c>
      <c r="T321" s="424"/>
      <c r="U321" s="421"/>
      <c r="V321" s="424"/>
      <c r="W321" s="424"/>
      <c r="X321" s="424"/>
      <c r="Y321" s="424"/>
      <c r="Z321" s="424"/>
      <c r="AA321" s="424"/>
      <c r="AB321" s="424"/>
      <c r="AC321" s="424"/>
      <c r="AD321" s="424"/>
      <c r="AE321" s="424"/>
      <c r="AF321" s="424"/>
      <c r="AG321" s="424"/>
      <c r="AH321" s="424"/>
      <c r="AI321" s="424"/>
      <c r="AJ321" s="424"/>
      <c r="AK321" s="424"/>
      <c r="AL321" s="424"/>
      <c r="AM321" s="424"/>
      <c r="AN321" s="424"/>
    </row>
    <row r="322" spans="1:40" ht="15.75" hidden="1" customHeight="1" x14ac:dyDescent="0.4">
      <c r="A322" s="433" t="s">
        <v>570</v>
      </c>
      <c r="B322" s="424" t="s">
        <v>39</v>
      </c>
      <c r="C322" s="441" t="s">
        <v>323</v>
      </c>
      <c r="D322" s="491"/>
      <c r="E322" s="424"/>
      <c r="F322" s="442">
        <v>0</v>
      </c>
      <c r="G322" s="492"/>
      <c r="H322" s="424"/>
      <c r="I322" s="442"/>
      <c r="J322" s="441"/>
      <c r="K322" s="424"/>
      <c r="L322" s="444">
        <v>0</v>
      </c>
      <c r="M322" s="441"/>
      <c r="N322" s="444">
        <v>0</v>
      </c>
      <c r="O322" s="441"/>
      <c r="P322" s="424"/>
      <c r="Q322" s="444">
        <v>0</v>
      </c>
      <c r="R322" s="441"/>
      <c r="S322" s="467">
        <v>0</v>
      </c>
      <c r="T322" s="424"/>
      <c r="U322" s="421"/>
      <c r="V322" s="424"/>
      <c r="W322" s="424"/>
      <c r="X322" s="424"/>
      <c r="Y322" s="424"/>
      <c r="Z322" s="424"/>
      <c r="AA322" s="424"/>
      <c r="AB322" s="424"/>
      <c r="AC322" s="424"/>
      <c r="AD322" s="424"/>
      <c r="AE322" s="424"/>
      <c r="AF322" s="424"/>
      <c r="AG322" s="424"/>
      <c r="AH322" s="424"/>
      <c r="AI322" s="424"/>
      <c r="AJ322" s="424"/>
      <c r="AK322" s="424"/>
      <c r="AL322" s="424"/>
      <c r="AM322" s="424"/>
      <c r="AN322" s="424"/>
    </row>
    <row r="323" spans="1:40" ht="15.75" hidden="1" customHeight="1" x14ac:dyDescent="0.4">
      <c r="A323" s="433" t="s">
        <v>570</v>
      </c>
      <c r="B323" s="424" t="s">
        <v>39</v>
      </c>
      <c r="C323" s="441" t="s">
        <v>323</v>
      </c>
      <c r="D323" s="491"/>
      <c r="E323" s="424"/>
      <c r="F323" s="442">
        <v>0</v>
      </c>
      <c r="G323" s="492"/>
      <c r="H323" s="424"/>
      <c r="I323" s="442"/>
      <c r="J323" s="441"/>
      <c r="K323" s="424"/>
      <c r="L323" s="444">
        <v>0</v>
      </c>
      <c r="M323" s="441"/>
      <c r="N323" s="444">
        <v>0</v>
      </c>
      <c r="O323" s="441"/>
      <c r="P323" s="424"/>
      <c r="Q323" s="444">
        <v>0</v>
      </c>
      <c r="R323" s="441"/>
      <c r="S323" s="467">
        <v>0</v>
      </c>
      <c r="T323" s="424"/>
      <c r="U323" s="421"/>
      <c r="V323" s="424"/>
      <c r="W323" s="424"/>
      <c r="X323" s="424"/>
      <c r="Y323" s="424"/>
      <c r="Z323" s="424"/>
      <c r="AA323" s="424"/>
      <c r="AB323" s="424"/>
      <c r="AC323" s="424"/>
      <c r="AD323" s="424"/>
      <c r="AE323" s="424"/>
      <c r="AF323" s="424"/>
      <c r="AG323" s="424"/>
      <c r="AH323" s="424"/>
      <c r="AI323" s="424"/>
      <c r="AJ323" s="424"/>
      <c r="AK323" s="424"/>
      <c r="AL323" s="424"/>
      <c r="AM323" s="424"/>
      <c r="AN323" s="424"/>
    </row>
    <row r="324" spans="1:40" ht="15.75" hidden="1" customHeight="1" x14ac:dyDescent="0.4">
      <c r="A324" s="433" t="s">
        <v>570</v>
      </c>
      <c r="B324" s="424" t="s">
        <v>39</v>
      </c>
      <c r="C324" s="441" t="s">
        <v>323</v>
      </c>
      <c r="D324" s="491"/>
      <c r="E324" s="424"/>
      <c r="F324" s="442">
        <v>0</v>
      </c>
      <c r="G324" s="492"/>
      <c r="H324" s="424"/>
      <c r="I324" s="442"/>
      <c r="J324" s="441"/>
      <c r="K324" s="424"/>
      <c r="L324" s="444">
        <v>0</v>
      </c>
      <c r="M324" s="441"/>
      <c r="N324" s="444">
        <v>0</v>
      </c>
      <c r="O324" s="441"/>
      <c r="P324" s="424"/>
      <c r="Q324" s="444">
        <v>0</v>
      </c>
      <c r="R324" s="441"/>
      <c r="S324" s="467">
        <v>0</v>
      </c>
      <c r="T324" s="424"/>
      <c r="U324" s="421"/>
      <c r="V324" s="424"/>
      <c r="W324" s="424"/>
      <c r="X324" s="424"/>
      <c r="Y324" s="424"/>
      <c r="Z324" s="424"/>
      <c r="AA324" s="424"/>
      <c r="AB324" s="424"/>
      <c r="AC324" s="424"/>
      <c r="AD324" s="424"/>
      <c r="AE324" s="424"/>
      <c r="AF324" s="424"/>
      <c r="AG324" s="424"/>
      <c r="AH324" s="424"/>
      <c r="AI324" s="424"/>
      <c r="AJ324" s="424"/>
      <c r="AK324" s="424"/>
      <c r="AL324" s="424"/>
      <c r="AM324" s="424"/>
      <c r="AN324" s="424"/>
    </row>
    <row r="325" spans="1:40" ht="15.75" customHeight="1" x14ac:dyDescent="0.4">
      <c r="A325" s="433" t="s">
        <v>592</v>
      </c>
      <c r="B325" s="424" t="s">
        <v>39</v>
      </c>
      <c r="C325" s="508" t="s">
        <v>52</v>
      </c>
      <c r="D325" s="491"/>
      <c r="E325" s="424"/>
      <c r="F325" s="436">
        <v>4125.0641995076921</v>
      </c>
      <c r="G325" s="492"/>
      <c r="H325" s="424"/>
      <c r="I325" s="436"/>
      <c r="J325" s="441"/>
      <c r="K325" s="424"/>
      <c r="L325" s="444">
        <v>3917.79</v>
      </c>
      <c r="M325" s="441"/>
      <c r="N325" s="444">
        <v>-207.27419950769217</v>
      </c>
      <c r="O325" s="441"/>
      <c r="P325" s="424"/>
      <c r="Q325" s="444">
        <v>3053.73</v>
      </c>
      <c r="R325" s="441"/>
      <c r="S325" s="467">
        <v>864.06</v>
      </c>
      <c r="T325" s="424"/>
      <c r="U325" s="421"/>
      <c r="V325" s="424"/>
      <c r="W325" s="424"/>
      <c r="X325" s="424"/>
      <c r="Y325" s="424"/>
      <c r="Z325" s="424"/>
      <c r="AA325" s="424"/>
      <c r="AB325" s="424"/>
      <c r="AC325" s="424"/>
      <c r="AD325" s="424"/>
      <c r="AE325" s="424"/>
      <c r="AF325" s="424"/>
      <c r="AG325" s="424"/>
      <c r="AH325" s="424"/>
      <c r="AI325" s="424"/>
      <c r="AJ325" s="424"/>
      <c r="AK325" s="424"/>
      <c r="AL325" s="424"/>
      <c r="AM325" s="424"/>
      <c r="AN325" s="424"/>
    </row>
    <row r="326" spans="1:40" ht="15.75" customHeight="1" x14ac:dyDescent="0.4">
      <c r="A326" s="433" t="s">
        <v>593</v>
      </c>
      <c r="B326" s="424" t="s">
        <v>39</v>
      </c>
      <c r="C326" s="507" t="s">
        <v>53</v>
      </c>
      <c r="D326" s="509"/>
      <c r="E326" s="510"/>
      <c r="F326" s="442">
        <v>5015.4965597538467</v>
      </c>
      <c r="G326" s="511"/>
      <c r="H326" s="510"/>
      <c r="I326" s="442"/>
      <c r="J326" s="428"/>
      <c r="K326" s="510"/>
      <c r="L326" s="463">
        <v>6835.35</v>
      </c>
      <c r="M326" s="428"/>
      <c r="N326" s="463">
        <v>1819.8534402461537</v>
      </c>
      <c r="O326" s="428"/>
      <c r="P326" s="510"/>
      <c r="Q326" s="463">
        <v>6876.95</v>
      </c>
      <c r="R326" s="428"/>
      <c r="S326" s="512">
        <v>-41.599999999999454</v>
      </c>
      <c r="T326" s="424"/>
      <c r="U326" s="421"/>
      <c r="V326" s="424"/>
      <c r="W326" s="424"/>
      <c r="X326" s="424"/>
      <c r="Y326" s="424"/>
      <c r="Z326" s="424"/>
      <c r="AA326" s="424"/>
      <c r="AB326" s="424"/>
      <c r="AC326" s="424"/>
      <c r="AD326" s="424"/>
      <c r="AE326" s="424"/>
      <c r="AF326" s="424"/>
      <c r="AG326" s="424"/>
      <c r="AH326" s="424"/>
      <c r="AI326" s="424"/>
      <c r="AJ326" s="424"/>
      <c r="AK326" s="424"/>
      <c r="AL326" s="424"/>
      <c r="AM326" s="424"/>
      <c r="AN326" s="424"/>
    </row>
    <row r="327" spans="1:40" ht="15.75" customHeight="1" x14ac:dyDescent="0.4">
      <c r="A327" s="433" t="s">
        <v>594</v>
      </c>
      <c r="B327" s="424" t="s">
        <v>39</v>
      </c>
      <c r="C327" s="507" t="s">
        <v>54</v>
      </c>
      <c r="D327" s="491"/>
      <c r="E327" s="424"/>
      <c r="F327" s="442">
        <v>2584.0710536123074</v>
      </c>
      <c r="G327" s="492"/>
      <c r="H327" s="424"/>
      <c r="I327" s="442"/>
      <c r="J327" s="441"/>
      <c r="K327" s="424"/>
      <c r="L327" s="444">
        <v>756.55</v>
      </c>
      <c r="M327" s="441"/>
      <c r="N327" s="444">
        <v>-1827.5210536123075</v>
      </c>
      <c r="O327" s="441"/>
      <c r="P327" s="424"/>
      <c r="Q327" s="444">
        <v>1183.98</v>
      </c>
      <c r="R327" s="441"/>
      <c r="S327" s="467">
        <v>-427.43000000000006</v>
      </c>
      <c r="T327" s="424"/>
      <c r="U327" s="421"/>
      <c r="V327" s="424"/>
      <c r="W327" s="424"/>
      <c r="X327" s="424"/>
      <c r="Y327" s="424"/>
      <c r="Z327" s="424"/>
      <c r="AA327" s="424"/>
      <c r="AB327" s="424"/>
      <c r="AC327" s="424"/>
      <c r="AD327" s="424"/>
      <c r="AE327" s="424"/>
      <c r="AF327" s="424"/>
      <c r="AG327" s="424"/>
      <c r="AH327" s="424"/>
      <c r="AI327" s="424"/>
      <c r="AJ327" s="424"/>
      <c r="AK327" s="424"/>
      <c r="AL327" s="424"/>
      <c r="AM327" s="424"/>
      <c r="AN327" s="424"/>
    </row>
    <row r="328" spans="1:40" ht="15.75" customHeight="1" x14ac:dyDescent="0.4">
      <c r="A328" s="433" t="s">
        <v>595</v>
      </c>
      <c r="B328" s="424" t="s">
        <v>39</v>
      </c>
      <c r="C328" s="507" t="s">
        <v>55</v>
      </c>
      <c r="D328" s="491"/>
      <c r="E328" s="424"/>
      <c r="F328" s="442">
        <v>1126.6695170461537</v>
      </c>
      <c r="G328" s="492"/>
      <c r="H328" s="424"/>
      <c r="I328" s="442"/>
      <c r="J328" s="441"/>
      <c r="K328" s="424"/>
      <c r="L328" s="444">
        <v>1425.7</v>
      </c>
      <c r="M328" s="441"/>
      <c r="N328" s="444">
        <v>299.03048295384633</v>
      </c>
      <c r="O328" s="441"/>
      <c r="P328" s="424"/>
      <c r="Q328" s="444">
        <v>872.62</v>
      </c>
      <c r="R328" s="441"/>
      <c r="S328" s="467">
        <v>553.08000000000004</v>
      </c>
      <c r="T328" s="424"/>
      <c r="U328" s="421"/>
      <c r="V328" s="424"/>
      <c r="W328" s="424"/>
      <c r="X328" s="424"/>
      <c r="Y328" s="424"/>
      <c r="Z328" s="424"/>
      <c r="AA328" s="424"/>
      <c r="AB328" s="424"/>
      <c r="AC328" s="424"/>
      <c r="AD328" s="424"/>
      <c r="AE328" s="424"/>
      <c r="AF328" s="424"/>
      <c r="AG328" s="424"/>
      <c r="AH328" s="424"/>
      <c r="AI328" s="424"/>
      <c r="AJ328" s="424"/>
      <c r="AK328" s="424"/>
      <c r="AL328" s="424"/>
      <c r="AM328" s="424"/>
      <c r="AN328" s="424"/>
    </row>
    <row r="329" spans="1:40" ht="15.75" hidden="1" customHeight="1" x14ac:dyDescent="0.4">
      <c r="A329" s="433" t="s">
        <v>570</v>
      </c>
      <c r="B329" s="424" t="s">
        <v>39</v>
      </c>
      <c r="C329" s="441" t="s">
        <v>323</v>
      </c>
      <c r="D329" s="494"/>
      <c r="E329" s="513"/>
      <c r="F329" s="442">
        <v>0</v>
      </c>
      <c r="G329" s="495"/>
      <c r="H329" s="513"/>
      <c r="I329" s="442"/>
      <c r="J329" s="434"/>
      <c r="K329" s="513"/>
      <c r="L329" s="444">
        <v>0</v>
      </c>
      <c r="M329" s="434"/>
      <c r="N329" s="490">
        <v>0</v>
      </c>
      <c r="O329" s="434"/>
      <c r="P329" s="513"/>
      <c r="Q329" s="444">
        <v>0</v>
      </c>
      <c r="R329" s="434"/>
      <c r="S329" s="490">
        <v>0</v>
      </c>
      <c r="T329" s="424"/>
      <c r="U329" s="421"/>
      <c r="V329" s="424"/>
      <c r="W329" s="424"/>
      <c r="X329" s="424"/>
      <c r="Y329" s="424"/>
      <c r="Z329" s="424"/>
      <c r="AA329" s="424"/>
      <c r="AB329" s="424"/>
      <c r="AC329" s="424"/>
      <c r="AD329" s="424"/>
      <c r="AE329" s="424"/>
      <c r="AF329" s="424"/>
      <c r="AG329" s="424"/>
      <c r="AH329" s="424"/>
      <c r="AI329" s="424"/>
      <c r="AJ329" s="424"/>
      <c r="AK329" s="424"/>
      <c r="AL329" s="424"/>
      <c r="AM329" s="424"/>
      <c r="AN329" s="424"/>
    </row>
    <row r="330" spans="1:40" ht="15.75" customHeight="1" x14ac:dyDescent="0.4">
      <c r="A330" s="433" t="s">
        <v>596</v>
      </c>
      <c r="B330" s="424" t="s">
        <v>39</v>
      </c>
      <c r="C330" s="499" t="s">
        <v>364</v>
      </c>
      <c r="D330" s="500" t="s">
        <v>352</v>
      </c>
      <c r="E330" s="501">
        <v>0.40264920253934972</v>
      </c>
      <c r="F330" s="502">
        <v>46292.325452996927</v>
      </c>
      <c r="G330" s="503"/>
      <c r="H330" s="501"/>
      <c r="I330" s="502"/>
      <c r="J330" s="503" t="s">
        <v>352</v>
      </c>
      <c r="K330" s="501">
        <v>0.32700746137643255</v>
      </c>
      <c r="L330" s="502">
        <v>40904.329999999994</v>
      </c>
      <c r="M330" s="549"/>
      <c r="N330" s="515">
        <v>-5387.9954529969327</v>
      </c>
      <c r="O330" s="503" t="s">
        <v>352</v>
      </c>
      <c r="P330" s="501">
        <v>0.42953556689566891</v>
      </c>
      <c r="Q330" s="502">
        <v>44980.840000000004</v>
      </c>
      <c r="R330" s="549"/>
      <c r="S330" s="515">
        <v>-4076.5100000000093</v>
      </c>
      <c r="T330" s="424"/>
      <c r="U330" s="421"/>
      <c r="V330" s="424"/>
      <c r="W330" s="424"/>
      <c r="X330" s="424"/>
      <c r="Y330" s="424"/>
      <c r="Z330" s="424"/>
      <c r="AA330" s="424"/>
      <c r="AB330" s="424"/>
      <c r="AC330" s="424"/>
      <c r="AD330" s="424"/>
      <c r="AE330" s="424"/>
      <c r="AF330" s="424"/>
      <c r="AG330" s="424"/>
      <c r="AH330" s="424"/>
      <c r="AI330" s="424"/>
      <c r="AJ330" s="424"/>
      <c r="AK330" s="424"/>
      <c r="AL330" s="424"/>
      <c r="AM330" s="424"/>
      <c r="AN330" s="424"/>
    </row>
    <row r="331" spans="1:40" ht="15.75" customHeight="1" x14ac:dyDescent="0.4">
      <c r="A331" s="433" t="s">
        <v>597</v>
      </c>
      <c r="B331" s="424" t="s">
        <v>39</v>
      </c>
      <c r="C331" s="603" t="s">
        <v>366</v>
      </c>
      <c r="D331" s="491"/>
      <c r="E331" s="424"/>
      <c r="F331" s="442">
        <v>2588.4355861060794</v>
      </c>
      <c r="G331" s="492"/>
      <c r="H331" s="424"/>
      <c r="I331" s="442"/>
      <c r="J331" s="441"/>
      <c r="K331" s="424"/>
      <c r="L331" s="444">
        <v>2995.28</v>
      </c>
      <c r="M331" s="441"/>
      <c r="N331" s="467">
        <v>406.84441389392077</v>
      </c>
      <c r="O331" s="441"/>
      <c r="P331" s="424"/>
      <c r="Q331" s="444">
        <v>3503.16</v>
      </c>
      <c r="R331" s="441"/>
      <c r="S331" s="467">
        <v>-507.87999999999965</v>
      </c>
      <c r="T331" s="424"/>
      <c r="U331" s="421"/>
      <c r="V331" s="424"/>
      <c r="W331" s="482"/>
      <c r="X331" s="424"/>
      <c r="Y331" s="424"/>
      <c r="Z331" s="424"/>
      <c r="AA331" s="424"/>
      <c r="AB331" s="424"/>
      <c r="AC331" s="424"/>
      <c r="AD331" s="424"/>
      <c r="AE331" s="424"/>
      <c r="AF331" s="424"/>
      <c r="AG331" s="424"/>
      <c r="AH331" s="424"/>
      <c r="AI331" s="424"/>
      <c r="AJ331" s="424"/>
      <c r="AK331" s="424"/>
      <c r="AL331" s="424"/>
      <c r="AM331" s="424"/>
      <c r="AN331" s="424"/>
    </row>
    <row r="332" spans="1:40" ht="15.75" customHeight="1" x14ac:dyDescent="0.4">
      <c r="A332" s="433" t="s">
        <v>598</v>
      </c>
      <c r="B332" s="424" t="s">
        <v>39</v>
      </c>
      <c r="C332" s="507" t="s">
        <v>368</v>
      </c>
      <c r="D332" s="491"/>
      <c r="E332" s="424"/>
      <c r="F332" s="442">
        <v>561.52577820142733</v>
      </c>
      <c r="G332" s="492"/>
      <c r="H332" s="424"/>
      <c r="I332" s="442"/>
      <c r="J332" s="441"/>
      <c r="K332" s="424"/>
      <c r="L332" s="444">
        <v>517.6</v>
      </c>
      <c r="M332" s="441"/>
      <c r="N332" s="467">
        <v>-43.925778201427306</v>
      </c>
      <c r="O332" s="441"/>
      <c r="P332" s="424"/>
      <c r="Q332" s="444">
        <v>81.150000000000006</v>
      </c>
      <c r="R332" s="441"/>
      <c r="S332" s="467">
        <v>436.45000000000005</v>
      </c>
      <c r="T332" s="424"/>
      <c r="U332" s="421"/>
      <c r="V332" s="424"/>
      <c r="W332" s="424"/>
      <c r="X332" s="424"/>
      <c r="Y332" s="424"/>
      <c r="Z332" s="424"/>
      <c r="AA332" s="424"/>
      <c r="AB332" s="424"/>
      <c r="AC332" s="424"/>
      <c r="AD332" s="424"/>
      <c r="AE332" s="424"/>
      <c r="AF332" s="424"/>
      <c r="AG332" s="424"/>
      <c r="AH332" s="424"/>
      <c r="AI332" s="424"/>
      <c r="AJ332" s="424"/>
      <c r="AK332" s="424"/>
      <c r="AL332" s="424"/>
      <c r="AM332" s="424"/>
      <c r="AN332" s="424"/>
    </row>
    <row r="333" spans="1:40" ht="15.75" customHeight="1" x14ac:dyDescent="0.4">
      <c r="A333" s="433" t="s">
        <v>599</v>
      </c>
      <c r="B333" s="424" t="s">
        <v>39</v>
      </c>
      <c r="C333" s="508" t="s">
        <v>370</v>
      </c>
      <c r="D333" s="494"/>
      <c r="E333" s="513"/>
      <c r="F333" s="436">
        <v>1264.3204888888893</v>
      </c>
      <c r="G333" s="495"/>
      <c r="H333" s="513"/>
      <c r="I333" s="436"/>
      <c r="J333" s="434"/>
      <c r="K333" s="513"/>
      <c r="L333" s="444">
        <v>1088.69</v>
      </c>
      <c r="M333" s="434"/>
      <c r="N333" s="490">
        <v>-175.6304888888892</v>
      </c>
      <c r="O333" s="434"/>
      <c r="P333" s="513"/>
      <c r="Q333" s="444">
        <v>1111.49</v>
      </c>
      <c r="R333" s="434"/>
      <c r="S333" s="490">
        <v>-22.799999999999955</v>
      </c>
      <c r="T333" s="424"/>
      <c r="U333" s="421"/>
      <c r="V333" s="424"/>
      <c r="W333" s="424"/>
      <c r="X333" s="424"/>
      <c r="Y333" s="424"/>
      <c r="Z333" s="424"/>
      <c r="AA333" s="424"/>
      <c r="AB333" s="424"/>
      <c r="AC333" s="424"/>
      <c r="AD333" s="424"/>
      <c r="AE333" s="424"/>
      <c r="AF333" s="424"/>
      <c r="AG333" s="424"/>
      <c r="AH333" s="424"/>
      <c r="AI333" s="424"/>
      <c r="AJ333" s="424"/>
      <c r="AK333" s="424"/>
      <c r="AL333" s="424"/>
      <c r="AM333" s="424"/>
      <c r="AN333" s="424"/>
    </row>
    <row r="334" spans="1:40" ht="15.75" customHeight="1" x14ac:dyDescent="0.4">
      <c r="A334" s="433" t="s">
        <v>600</v>
      </c>
      <c r="B334" s="424" t="s">
        <v>39</v>
      </c>
      <c r="C334" s="507" t="s">
        <v>60</v>
      </c>
      <c r="D334" s="491"/>
      <c r="E334" s="424"/>
      <c r="F334" s="442">
        <v>4449.6567389444454</v>
      </c>
      <c r="G334" s="492"/>
      <c r="H334" s="424"/>
      <c r="I334" s="442"/>
      <c r="J334" s="441"/>
      <c r="K334" s="424"/>
      <c r="L334" s="463">
        <v>5753.09</v>
      </c>
      <c r="M334" s="441"/>
      <c r="N334" s="467">
        <v>1303.4332610555548</v>
      </c>
      <c r="O334" s="441"/>
      <c r="P334" s="424"/>
      <c r="Q334" s="463">
        <v>4379.1499999999996</v>
      </c>
      <c r="R334" s="441"/>
      <c r="S334" s="467">
        <v>1373.9400000000005</v>
      </c>
      <c r="T334" s="424"/>
      <c r="U334" s="421"/>
      <c r="V334" s="424"/>
      <c r="W334" s="424"/>
      <c r="X334" s="424"/>
      <c r="Y334" s="424"/>
      <c r="Z334" s="424"/>
      <c r="AA334" s="424"/>
      <c r="AB334" s="424"/>
      <c r="AC334" s="424"/>
      <c r="AD334" s="424"/>
      <c r="AE334" s="424"/>
      <c r="AF334" s="424"/>
      <c r="AG334" s="424"/>
      <c r="AH334" s="424"/>
      <c r="AI334" s="424"/>
      <c r="AJ334" s="424"/>
      <c r="AK334" s="424"/>
      <c r="AL334" s="424"/>
      <c r="AM334" s="424"/>
      <c r="AN334" s="424"/>
    </row>
    <row r="335" spans="1:40" ht="15.75" customHeight="1" x14ac:dyDescent="0.4">
      <c r="A335" s="433" t="s">
        <v>601</v>
      </c>
      <c r="B335" s="424" t="s">
        <v>39</v>
      </c>
      <c r="C335" s="507" t="s">
        <v>373</v>
      </c>
      <c r="D335" s="491"/>
      <c r="E335" s="424"/>
      <c r="F335" s="442">
        <v>818.27646887680896</v>
      </c>
      <c r="G335" s="492"/>
      <c r="H335" s="424"/>
      <c r="I335" s="442"/>
      <c r="J335" s="441"/>
      <c r="K335" s="424"/>
      <c r="L335" s="444">
        <v>641.58000000000004</v>
      </c>
      <c r="M335" s="441"/>
      <c r="N335" s="467">
        <v>-176.69646887680892</v>
      </c>
      <c r="O335" s="441"/>
      <c r="P335" s="424"/>
      <c r="Q335" s="444">
        <v>1002.14</v>
      </c>
      <c r="R335" s="441"/>
      <c r="S335" s="467">
        <v>-360.55999999999995</v>
      </c>
      <c r="T335" s="424"/>
      <c r="U335" s="421"/>
      <c r="V335" s="424"/>
      <c r="W335" s="424"/>
      <c r="X335" s="424"/>
      <c r="Y335" s="424"/>
      <c r="Z335" s="424"/>
      <c r="AA335" s="424"/>
      <c r="AB335" s="424"/>
      <c r="AC335" s="424"/>
      <c r="AD335" s="424"/>
      <c r="AE335" s="424"/>
      <c r="AF335" s="424"/>
      <c r="AG335" s="424"/>
      <c r="AH335" s="424"/>
      <c r="AI335" s="424"/>
      <c r="AJ335" s="424"/>
      <c r="AK335" s="424"/>
      <c r="AL335" s="424"/>
      <c r="AM335" s="424"/>
      <c r="AN335" s="424"/>
    </row>
    <row r="336" spans="1:40" ht="15.75" customHeight="1" x14ac:dyDescent="0.4">
      <c r="A336" s="433" t="s">
        <v>602</v>
      </c>
      <c r="B336" s="424" t="s">
        <v>39</v>
      </c>
      <c r="C336" s="508" t="s">
        <v>375</v>
      </c>
      <c r="D336" s="494"/>
      <c r="E336" s="513"/>
      <c r="F336" s="436">
        <v>12488.085877265243</v>
      </c>
      <c r="G336" s="495"/>
      <c r="H336" s="513"/>
      <c r="I336" s="436"/>
      <c r="J336" s="434"/>
      <c r="K336" s="513"/>
      <c r="L336" s="436">
        <v>15111.77</v>
      </c>
      <c r="M336" s="434"/>
      <c r="N336" s="490">
        <v>2623.6841227347577</v>
      </c>
      <c r="O336" s="434"/>
      <c r="P336" s="513"/>
      <c r="Q336" s="436">
        <v>10773.75</v>
      </c>
      <c r="R336" s="434"/>
      <c r="S336" s="490">
        <v>4338.0200000000004</v>
      </c>
      <c r="T336" s="424"/>
      <c r="U336" s="421"/>
      <c r="V336" s="424"/>
      <c r="W336" s="424"/>
      <c r="X336" s="424"/>
      <c r="Y336" s="424"/>
      <c r="Z336" s="424"/>
      <c r="AA336" s="424"/>
      <c r="AB336" s="424"/>
      <c r="AC336" s="424"/>
      <c r="AD336" s="424"/>
      <c r="AE336" s="424"/>
      <c r="AF336" s="424"/>
      <c r="AG336" s="424"/>
      <c r="AH336" s="424"/>
      <c r="AI336" s="424"/>
      <c r="AJ336" s="424"/>
      <c r="AK336" s="424"/>
      <c r="AL336" s="424"/>
      <c r="AM336" s="424"/>
      <c r="AN336" s="424"/>
    </row>
    <row r="337" spans="1:40" ht="15.75" customHeight="1" x14ac:dyDescent="0.4">
      <c r="A337" s="433" t="s">
        <v>603</v>
      </c>
      <c r="B337" s="424" t="s">
        <v>39</v>
      </c>
      <c r="C337" s="507" t="s">
        <v>513</v>
      </c>
      <c r="D337" s="491"/>
      <c r="E337" s="424"/>
      <c r="F337" s="442"/>
      <c r="G337" s="492"/>
      <c r="H337" s="424"/>
      <c r="I337" s="442"/>
      <c r="J337" s="441"/>
      <c r="K337" s="424"/>
      <c r="L337" s="444">
        <v>0</v>
      </c>
      <c r="M337" s="441"/>
      <c r="N337" s="467">
        <v>0</v>
      </c>
      <c r="O337" s="441"/>
      <c r="P337" s="424"/>
      <c r="Q337" s="444">
        <v>0</v>
      </c>
      <c r="R337" s="441"/>
      <c r="S337" s="467">
        <v>0</v>
      </c>
      <c r="T337" s="424"/>
      <c r="U337" s="421"/>
      <c r="V337" s="424"/>
      <c r="W337" s="424"/>
      <c r="X337" s="424"/>
      <c r="Y337" s="424"/>
      <c r="Z337" s="424"/>
      <c r="AA337" s="424"/>
      <c r="AB337" s="424"/>
      <c r="AC337" s="424"/>
      <c r="AD337" s="424"/>
      <c r="AE337" s="424"/>
      <c r="AF337" s="424"/>
      <c r="AG337" s="424"/>
      <c r="AH337" s="424"/>
      <c r="AI337" s="424"/>
      <c r="AJ337" s="424"/>
      <c r="AK337" s="424"/>
      <c r="AL337" s="424"/>
      <c r="AM337" s="424"/>
      <c r="AN337" s="424"/>
    </row>
    <row r="338" spans="1:40" ht="15.75" customHeight="1" x14ac:dyDescent="0.4">
      <c r="A338" s="433" t="s">
        <v>604</v>
      </c>
      <c r="B338" s="424" t="s">
        <v>39</v>
      </c>
      <c r="C338" s="507" t="s">
        <v>377</v>
      </c>
      <c r="D338" s="491"/>
      <c r="E338" s="424"/>
      <c r="F338" s="442">
        <v>255.67533333333333</v>
      </c>
      <c r="G338" s="492"/>
      <c r="H338" s="424"/>
      <c r="I338" s="442"/>
      <c r="J338" s="441"/>
      <c r="K338" s="424"/>
      <c r="L338" s="444">
        <v>0</v>
      </c>
      <c r="M338" s="441"/>
      <c r="N338" s="467">
        <v>-255.67533333333333</v>
      </c>
      <c r="O338" s="441"/>
      <c r="P338" s="424"/>
      <c r="Q338" s="444">
        <v>9.99</v>
      </c>
      <c r="R338" s="441"/>
      <c r="S338" s="467">
        <v>-9.99</v>
      </c>
      <c r="T338" s="424"/>
      <c r="U338" s="421"/>
      <c r="V338" s="424"/>
      <c r="W338" s="424"/>
      <c r="X338" s="424"/>
      <c r="Y338" s="424"/>
      <c r="Z338" s="424"/>
      <c r="AA338" s="424"/>
      <c r="AB338" s="424"/>
      <c r="AC338" s="424"/>
      <c r="AD338" s="424"/>
      <c r="AE338" s="424"/>
      <c r="AF338" s="424"/>
      <c r="AG338" s="424"/>
      <c r="AH338" s="424"/>
      <c r="AI338" s="424"/>
      <c r="AJ338" s="424"/>
      <c r="AK338" s="424"/>
      <c r="AL338" s="424"/>
      <c r="AM338" s="424"/>
      <c r="AN338" s="424"/>
    </row>
    <row r="339" spans="1:40" ht="15.75" customHeight="1" x14ac:dyDescent="0.4">
      <c r="A339" s="433" t="s">
        <v>605</v>
      </c>
      <c r="B339" s="424" t="s">
        <v>39</v>
      </c>
      <c r="C339" s="507" t="s">
        <v>379</v>
      </c>
      <c r="D339" s="491"/>
      <c r="E339" s="424"/>
      <c r="F339" s="442">
        <v>28.333333333333332</v>
      </c>
      <c r="G339" s="492"/>
      <c r="H339" s="424"/>
      <c r="I339" s="442"/>
      <c r="J339" s="441"/>
      <c r="K339" s="424"/>
      <c r="L339" s="444">
        <v>0</v>
      </c>
      <c r="M339" s="441"/>
      <c r="N339" s="467">
        <v>-28.333333333333332</v>
      </c>
      <c r="O339" s="441"/>
      <c r="P339" s="424"/>
      <c r="Q339" s="444">
        <v>0</v>
      </c>
      <c r="R339" s="441"/>
      <c r="S339" s="467">
        <v>0</v>
      </c>
      <c r="T339" s="424"/>
      <c r="U339" s="421"/>
      <c r="V339" s="424"/>
      <c r="W339" s="424"/>
      <c r="X339" s="424"/>
      <c r="Y339" s="424"/>
      <c r="Z339" s="424"/>
      <c r="AA339" s="424"/>
      <c r="AB339" s="424"/>
      <c r="AC339" s="424"/>
      <c r="AD339" s="424"/>
      <c r="AE339" s="424"/>
      <c r="AF339" s="424"/>
      <c r="AG339" s="424"/>
      <c r="AH339" s="424"/>
      <c r="AI339" s="424"/>
      <c r="AJ339" s="424"/>
      <c r="AK339" s="424"/>
      <c r="AL339" s="424"/>
      <c r="AM339" s="424"/>
      <c r="AN339" s="424"/>
    </row>
    <row r="340" spans="1:40" ht="15.75" customHeight="1" x14ac:dyDescent="0.4">
      <c r="A340" s="433" t="s">
        <v>606</v>
      </c>
      <c r="B340" s="424" t="s">
        <v>39</v>
      </c>
      <c r="C340" s="507" t="s">
        <v>381</v>
      </c>
      <c r="D340" s="491"/>
      <c r="E340" s="424"/>
      <c r="F340" s="442">
        <v>716.40904661649995</v>
      </c>
      <c r="G340" s="492"/>
      <c r="H340" s="424"/>
      <c r="I340" s="442"/>
      <c r="J340" s="441"/>
      <c r="K340" s="424"/>
      <c r="L340" s="444">
        <v>799.65</v>
      </c>
      <c r="M340" s="441"/>
      <c r="N340" s="467">
        <v>83.240953383500027</v>
      </c>
      <c r="O340" s="441"/>
      <c r="P340" s="424"/>
      <c r="Q340" s="444">
        <v>278.54000000000002</v>
      </c>
      <c r="R340" s="441"/>
      <c r="S340" s="467">
        <v>521.1099999999999</v>
      </c>
      <c r="T340" s="424"/>
      <c r="U340" s="421"/>
      <c r="V340" s="424"/>
      <c r="W340" s="424"/>
      <c r="X340" s="424"/>
      <c r="Y340" s="424"/>
      <c r="Z340" s="424"/>
      <c r="AA340" s="424"/>
      <c r="AB340" s="424"/>
      <c r="AC340" s="424"/>
      <c r="AD340" s="424"/>
      <c r="AE340" s="424"/>
      <c r="AF340" s="424"/>
      <c r="AG340" s="424"/>
      <c r="AH340" s="424"/>
      <c r="AI340" s="424"/>
      <c r="AJ340" s="424"/>
      <c r="AK340" s="424"/>
      <c r="AL340" s="424"/>
      <c r="AM340" s="424"/>
      <c r="AN340" s="424"/>
    </row>
    <row r="341" spans="1:40" ht="15.75" customHeight="1" x14ac:dyDescent="0.4">
      <c r="A341" s="433" t="s">
        <v>607</v>
      </c>
      <c r="B341" s="424" t="s">
        <v>39</v>
      </c>
      <c r="C341" s="507" t="s">
        <v>383</v>
      </c>
      <c r="D341" s="491"/>
      <c r="E341" s="424"/>
      <c r="F341" s="442">
        <v>115.54074359217363</v>
      </c>
      <c r="G341" s="492"/>
      <c r="H341" s="424"/>
      <c r="I341" s="442"/>
      <c r="J341" s="441"/>
      <c r="K341" s="424"/>
      <c r="L341" s="444">
        <v>62.25</v>
      </c>
      <c r="M341" s="441"/>
      <c r="N341" s="467">
        <v>-53.290743592173627</v>
      </c>
      <c r="O341" s="441"/>
      <c r="P341" s="424"/>
      <c r="Q341" s="444">
        <v>93.83</v>
      </c>
      <c r="R341" s="441"/>
      <c r="S341" s="467">
        <v>-31.58</v>
      </c>
      <c r="T341" s="424"/>
      <c r="U341" s="421"/>
      <c r="V341" s="424"/>
      <c r="W341" s="424"/>
      <c r="X341" s="424"/>
      <c r="Y341" s="424"/>
      <c r="Z341" s="424"/>
      <c r="AA341" s="424"/>
      <c r="AB341" s="424"/>
      <c r="AC341" s="424"/>
      <c r="AD341" s="424"/>
      <c r="AE341" s="424"/>
      <c r="AF341" s="424"/>
      <c r="AG341" s="424"/>
      <c r="AH341" s="424"/>
      <c r="AI341" s="424"/>
      <c r="AJ341" s="424"/>
      <c r="AK341" s="424"/>
      <c r="AL341" s="424"/>
      <c r="AM341" s="424"/>
      <c r="AN341" s="424"/>
    </row>
    <row r="342" spans="1:40" ht="15.75" customHeight="1" x14ac:dyDescent="0.4">
      <c r="A342" s="433" t="s">
        <v>608</v>
      </c>
      <c r="B342" s="424" t="s">
        <v>39</v>
      </c>
      <c r="C342" s="507" t="s">
        <v>385</v>
      </c>
      <c r="D342" s="491"/>
      <c r="E342" s="424"/>
      <c r="F342" s="442">
        <v>-31.110347462173621</v>
      </c>
      <c r="G342" s="492"/>
      <c r="H342" s="424"/>
      <c r="I342" s="442"/>
      <c r="J342" s="441"/>
      <c r="K342" s="424"/>
      <c r="L342" s="444">
        <v>-335.96</v>
      </c>
      <c r="M342" s="441"/>
      <c r="N342" s="467">
        <v>-304.84965253782639</v>
      </c>
      <c r="O342" s="441"/>
      <c r="P342" s="424"/>
      <c r="Q342" s="444">
        <v>25.75</v>
      </c>
      <c r="R342" s="441"/>
      <c r="S342" s="467">
        <v>-361.71</v>
      </c>
      <c r="T342" s="424"/>
      <c r="U342" s="421"/>
      <c r="V342" s="424"/>
      <c r="W342" s="424"/>
      <c r="X342" s="424"/>
      <c r="Y342" s="424"/>
      <c r="Z342" s="424"/>
      <c r="AA342" s="424"/>
      <c r="AB342" s="424"/>
      <c r="AC342" s="424"/>
      <c r="AD342" s="424"/>
      <c r="AE342" s="424"/>
      <c r="AF342" s="424"/>
      <c r="AG342" s="424"/>
      <c r="AH342" s="424"/>
      <c r="AI342" s="424"/>
      <c r="AJ342" s="424"/>
      <c r="AK342" s="424"/>
      <c r="AL342" s="424"/>
      <c r="AM342" s="424"/>
      <c r="AN342" s="424"/>
    </row>
    <row r="343" spans="1:40" ht="15.75" customHeight="1" x14ac:dyDescent="0.4">
      <c r="A343" s="433" t="s">
        <v>609</v>
      </c>
      <c r="B343" s="424" t="s">
        <v>39</v>
      </c>
      <c r="C343" s="507" t="s">
        <v>387</v>
      </c>
      <c r="D343" s="491"/>
      <c r="E343" s="424"/>
      <c r="F343" s="442">
        <v>156.51117666245145</v>
      </c>
      <c r="G343" s="492"/>
      <c r="H343" s="424"/>
      <c r="I343" s="442"/>
      <c r="J343" s="441"/>
      <c r="K343" s="424"/>
      <c r="L343" s="444">
        <v>49</v>
      </c>
      <c r="M343" s="441"/>
      <c r="N343" s="467">
        <v>-107.51117666245145</v>
      </c>
      <c r="O343" s="441"/>
      <c r="P343" s="424"/>
      <c r="Q343" s="444">
        <v>147.26</v>
      </c>
      <c r="R343" s="441"/>
      <c r="S343" s="467">
        <v>-98.259999999999991</v>
      </c>
      <c r="T343" s="424"/>
      <c r="U343" s="421"/>
      <c r="V343" s="424"/>
      <c r="W343" s="424"/>
      <c r="X343" s="424"/>
      <c r="Y343" s="424"/>
      <c r="Z343" s="424"/>
      <c r="AA343" s="424"/>
      <c r="AB343" s="424"/>
      <c r="AC343" s="424"/>
      <c r="AD343" s="424"/>
      <c r="AE343" s="424"/>
      <c r="AF343" s="424"/>
      <c r="AG343" s="424"/>
      <c r="AH343" s="424"/>
      <c r="AI343" s="424"/>
      <c r="AJ343" s="424"/>
      <c r="AK343" s="424"/>
      <c r="AL343" s="424"/>
      <c r="AM343" s="424"/>
      <c r="AN343" s="424"/>
    </row>
    <row r="344" spans="1:40" ht="15.75" customHeight="1" x14ac:dyDescent="0.4">
      <c r="A344" s="433" t="s">
        <v>610</v>
      </c>
      <c r="B344" s="424" t="s">
        <v>39</v>
      </c>
      <c r="C344" s="507" t="s">
        <v>389</v>
      </c>
      <c r="D344" s="491"/>
      <c r="E344" s="424"/>
      <c r="F344" s="442">
        <v>378.95432121431327</v>
      </c>
      <c r="G344" s="492"/>
      <c r="H344" s="424"/>
      <c r="I344" s="442"/>
      <c r="J344" s="441"/>
      <c r="K344" s="424"/>
      <c r="L344" s="444">
        <v>471.28</v>
      </c>
      <c r="M344" s="441"/>
      <c r="N344" s="467">
        <v>92.325678785686705</v>
      </c>
      <c r="O344" s="441"/>
      <c r="P344" s="424"/>
      <c r="Q344" s="444">
        <v>79.75</v>
      </c>
      <c r="R344" s="441"/>
      <c r="S344" s="467">
        <v>391.53</v>
      </c>
      <c r="T344" s="424"/>
      <c r="U344" s="617"/>
      <c r="X344" s="424"/>
      <c r="Y344" s="424"/>
      <c r="Z344" s="424"/>
      <c r="AA344" s="424"/>
      <c r="AB344" s="424"/>
      <c r="AC344" s="424"/>
      <c r="AD344" s="424"/>
      <c r="AE344" s="424"/>
      <c r="AF344" s="424"/>
      <c r="AG344" s="424"/>
      <c r="AH344" s="424"/>
      <c r="AI344" s="424"/>
      <c r="AJ344" s="424"/>
      <c r="AK344" s="424"/>
      <c r="AL344" s="424"/>
      <c r="AM344" s="424"/>
      <c r="AN344" s="424"/>
    </row>
    <row r="345" spans="1:40" ht="15.75" customHeight="1" x14ac:dyDescent="0.4">
      <c r="A345" s="433" t="s">
        <v>611</v>
      </c>
      <c r="B345" s="424" t="s">
        <v>39</v>
      </c>
      <c r="C345" s="507" t="s">
        <v>391</v>
      </c>
      <c r="D345" s="491"/>
      <c r="E345" s="424"/>
      <c r="F345" s="442">
        <v>1597.3918737469346</v>
      </c>
      <c r="G345" s="492"/>
      <c r="H345" s="424"/>
      <c r="I345" s="442"/>
      <c r="J345" s="441"/>
      <c r="K345" s="424"/>
      <c r="L345" s="444">
        <v>1733.14</v>
      </c>
      <c r="M345" s="441"/>
      <c r="N345" s="467">
        <v>135.74812625306549</v>
      </c>
      <c r="O345" s="441"/>
      <c r="P345" s="424"/>
      <c r="Q345" s="444">
        <v>1652.78</v>
      </c>
      <c r="R345" s="441"/>
      <c r="S345" s="467">
        <v>80.360000000000127</v>
      </c>
      <c r="T345" s="424"/>
      <c r="U345" s="617"/>
      <c r="X345" s="424"/>
      <c r="Y345" s="424"/>
      <c r="Z345" s="424"/>
      <c r="AA345" s="424"/>
      <c r="AB345" s="424"/>
      <c r="AC345" s="424"/>
      <c r="AD345" s="424"/>
      <c r="AE345" s="424"/>
      <c r="AF345" s="424"/>
      <c r="AG345" s="424"/>
      <c r="AH345" s="424"/>
      <c r="AI345" s="424"/>
      <c r="AJ345" s="424"/>
      <c r="AK345" s="424"/>
      <c r="AL345" s="424"/>
      <c r="AM345" s="424"/>
      <c r="AN345" s="424"/>
    </row>
    <row r="346" spans="1:40" ht="15.75" hidden="1" customHeight="1" x14ac:dyDescent="0.4">
      <c r="A346" s="433" t="s">
        <v>570</v>
      </c>
      <c r="B346" s="424" t="s">
        <v>39</v>
      </c>
      <c r="C346" s="507" t="s">
        <v>323</v>
      </c>
      <c r="D346" s="491"/>
      <c r="E346" s="424"/>
      <c r="F346" s="442">
        <v>0</v>
      </c>
      <c r="G346" s="492"/>
      <c r="H346" s="424"/>
      <c r="I346" s="442"/>
      <c r="J346" s="441"/>
      <c r="K346" s="424"/>
      <c r="L346" s="444">
        <v>0</v>
      </c>
      <c r="M346" s="441"/>
      <c r="N346" s="467">
        <v>0</v>
      </c>
      <c r="O346" s="441"/>
      <c r="P346" s="424"/>
      <c r="Q346" s="444">
        <v>0</v>
      </c>
      <c r="R346" s="441"/>
      <c r="S346" s="467">
        <v>0</v>
      </c>
      <c r="T346" s="424"/>
      <c r="U346" s="617"/>
      <c r="X346" s="424"/>
      <c r="Y346" s="424"/>
      <c r="Z346" s="424"/>
      <c r="AA346" s="424"/>
      <c r="AB346" s="424"/>
      <c r="AC346" s="424"/>
      <c r="AD346" s="424"/>
      <c r="AE346" s="424"/>
      <c r="AF346" s="424"/>
      <c r="AG346" s="424"/>
      <c r="AH346" s="424"/>
      <c r="AI346" s="424"/>
      <c r="AJ346" s="424"/>
      <c r="AK346" s="424"/>
      <c r="AL346" s="424"/>
      <c r="AM346" s="424"/>
      <c r="AN346" s="424"/>
    </row>
    <row r="347" spans="1:40" ht="15.75" hidden="1" customHeight="1" x14ac:dyDescent="0.4">
      <c r="A347" s="433" t="s">
        <v>570</v>
      </c>
      <c r="B347" s="424" t="s">
        <v>39</v>
      </c>
      <c r="C347" s="507" t="s">
        <v>323</v>
      </c>
      <c r="D347" s="491"/>
      <c r="E347" s="424"/>
      <c r="F347" s="442">
        <v>0</v>
      </c>
      <c r="G347" s="492"/>
      <c r="H347" s="424"/>
      <c r="I347" s="442"/>
      <c r="J347" s="441"/>
      <c r="K347" s="424"/>
      <c r="L347" s="444">
        <v>0</v>
      </c>
      <c r="M347" s="441"/>
      <c r="N347" s="467">
        <v>0</v>
      </c>
      <c r="O347" s="441"/>
      <c r="P347" s="424"/>
      <c r="Q347" s="444">
        <v>0</v>
      </c>
      <c r="R347" s="441"/>
      <c r="S347" s="467">
        <v>0</v>
      </c>
      <c r="T347" s="424"/>
      <c r="U347" s="617"/>
      <c r="X347" s="424"/>
      <c r="Y347" s="424"/>
      <c r="Z347" s="424"/>
      <c r="AA347" s="424"/>
      <c r="AB347" s="424"/>
      <c r="AC347" s="424"/>
      <c r="AD347" s="424"/>
      <c r="AE347" s="424"/>
      <c r="AF347" s="424"/>
      <c r="AG347" s="424"/>
      <c r="AH347" s="424"/>
      <c r="AI347" s="424"/>
      <c r="AJ347" s="424"/>
      <c r="AK347" s="424"/>
      <c r="AL347" s="424"/>
      <c r="AM347" s="424"/>
      <c r="AN347" s="424"/>
    </row>
    <row r="348" spans="1:40" ht="15.75" hidden="1" customHeight="1" x14ac:dyDescent="0.4">
      <c r="A348" s="433" t="s">
        <v>570</v>
      </c>
      <c r="B348" s="424" t="s">
        <v>39</v>
      </c>
      <c r="C348" s="507" t="s">
        <v>323</v>
      </c>
      <c r="D348" s="491"/>
      <c r="E348" s="424"/>
      <c r="F348" s="442">
        <v>0</v>
      </c>
      <c r="G348" s="492"/>
      <c r="H348" s="424"/>
      <c r="I348" s="442"/>
      <c r="J348" s="441"/>
      <c r="K348" s="424"/>
      <c r="L348" s="444">
        <v>0</v>
      </c>
      <c r="M348" s="441"/>
      <c r="N348" s="467">
        <v>0</v>
      </c>
      <c r="O348" s="441"/>
      <c r="P348" s="424"/>
      <c r="Q348" s="444">
        <v>0</v>
      </c>
      <c r="R348" s="441"/>
      <c r="S348" s="467">
        <v>0</v>
      </c>
      <c r="T348" s="424"/>
      <c r="U348" s="617"/>
      <c r="X348" s="424"/>
      <c r="Y348" s="424"/>
      <c r="Z348" s="424"/>
      <c r="AA348" s="424"/>
      <c r="AB348" s="424"/>
      <c r="AC348" s="424"/>
      <c r="AD348" s="424"/>
      <c r="AE348" s="424"/>
      <c r="AF348" s="424"/>
      <c r="AG348" s="424"/>
      <c r="AH348" s="424"/>
      <c r="AI348" s="424"/>
      <c r="AJ348" s="424"/>
      <c r="AK348" s="424"/>
      <c r="AL348" s="424"/>
      <c r="AM348" s="424"/>
      <c r="AN348" s="424"/>
    </row>
    <row r="349" spans="1:40" ht="15.75" customHeight="1" x14ac:dyDescent="0.4">
      <c r="B349" s="418"/>
      <c r="C349" s="499" t="s">
        <v>393</v>
      </c>
      <c r="D349" s="500" t="s">
        <v>352</v>
      </c>
      <c r="E349" s="501">
        <v>0.22082408776768847</v>
      </c>
      <c r="F349" s="502">
        <v>25388.006419319758</v>
      </c>
      <c r="G349" s="503"/>
      <c r="H349" s="501"/>
      <c r="I349" s="502"/>
      <c r="J349" s="503" t="s">
        <v>352</v>
      </c>
      <c r="K349" s="501">
        <v>0.23093852238972543</v>
      </c>
      <c r="L349" s="502">
        <v>28887.370000000003</v>
      </c>
      <c r="M349" s="506"/>
      <c r="N349" s="502">
        <v>3499.3635806802417</v>
      </c>
      <c r="O349" s="503" t="s">
        <v>352</v>
      </c>
      <c r="P349" s="501">
        <v>0.2209587860776164</v>
      </c>
      <c r="Q349" s="502">
        <v>23138.74</v>
      </c>
      <c r="R349" s="506"/>
      <c r="S349" s="502">
        <v>5748.630000000001</v>
      </c>
      <c r="T349" s="424"/>
      <c r="U349" s="617"/>
      <c r="X349" s="424"/>
      <c r="Y349" s="424"/>
      <c r="Z349" s="424"/>
      <c r="AA349" s="424"/>
      <c r="AB349" s="424"/>
      <c r="AC349" s="424"/>
      <c r="AD349" s="424"/>
      <c r="AE349" s="424"/>
      <c r="AF349" s="424"/>
      <c r="AG349" s="424"/>
      <c r="AH349" s="424"/>
      <c r="AI349" s="424"/>
      <c r="AJ349" s="424"/>
      <c r="AK349" s="424"/>
      <c r="AL349" s="424"/>
      <c r="AM349" s="424"/>
      <c r="AN349" s="424"/>
    </row>
    <row r="350" spans="1:40" ht="15.75" customHeight="1" x14ac:dyDescent="0.4">
      <c r="B350" s="418"/>
      <c r="C350" s="434"/>
      <c r="D350" s="494"/>
      <c r="E350" s="513"/>
      <c r="F350" s="467"/>
      <c r="G350" s="495"/>
      <c r="H350" s="513"/>
      <c r="I350" s="467"/>
      <c r="J350" s="434"/>
      <c r="K350" s="513"/>
      <c r="L350" s="490"/>
      <c r="M350" s="434"/>
      <c r="N350" s="490"/>
      <c r="O350" s="434"/>
      <c r="P350" s="513"/>
      <c r="Q350" s="490"/>
      <c r="R350" s="434"/>
      <c r="S350" s="490"/>
      <c r="T350" s="424"/>
      <c r="U350" s="421"/>
      <c r="V350" s="424"/>
      <c r="W350" s="424"/>
      <c r="X350" s="424"/>
      <c r="Y350" s="424"/>
      <c r="Z350" s="424"/>
      <c r="AA350" s="424"/>
      <c r="AB350" s="424"/>
      <c r="AC350" s="424"/>
      <c r="AD350" s="424"/>
      <c r="AE350" s="424"/>
      <c r="AF350" s="424"/>
      <c r="AG350" s="424"/>
      <c r="AH350" s="424"/>
      <c r="AI350" s="424"/>
      <c r="AJ350" s="424"/>
      <c r="AK350" s="424"/>
      <c r="AL350" s="424"/>
      <c r="AM350" s="424"/>
      <c r="AN350" s="424"/>
    </row>
    <row r="351" spans="1:40" ht="15.75" customHeight="1" x14ac:dyDescent="0.4">
      <c r="B351" s="418"/>
      <c r="C351" s="499" t="s">
        <v>395</v>
      </c>
      <c r="D351" s="500" t="s">
        <v>352</v>
      </c>
      <c r="E351" s="501">
        <v>0.62347329030703824</v>
      </c>
      <c r="F351" s="502">
        <v>71680.331872316689</v>
      </c>
      <c r="G351" s="503"/>
      <c r="H351" s="501"/>
      <c r="I351" s="502"/>
      <c r="J351" s="503" t="s">
        <v>352</v>
      </c>
      <c r="K351" s="501">
        <v>0.557945983766158</v>
      </c>
      <c r="L351" s="502">
        <v>69791.7</v>
      </c>
      <c r="M351" s="506"/>
      <c r="N351" s="515">
        <v>-1888.6318723166914</v>
      </c>
      <c r="O351" s="503" t="s">
        <v>352</v>
      </c>
      <c r="P351" s="501">
        <v>0.65049435297328528</v>
      </c>
      <c r="Q351" s="502">
        <v>68119.58</v>
      </c>
      <c r="R351" s="506"/>
      <c r="S351" s="515">
        <v>1672.1199999999953</v>
      </c>
      <c r="T351" s="424"/>
      <c r="U351" s="421"/>
      <c r="V351" s="424"/>
      <c r="W351" s="424"/>
      <c r="X351" s="424"/>
      <c r="Y351" s="424"/>
      <c r="Z351" s="424"/>
      <c r="AA351" s="424"/>
      <c r="AB351" s="424"/>
      <c r="AC351" s="424"/>
      <c r="AD351" s="424"/>
      <c r="AE351" s="424"/>
      <c r="AF351" s="424"/>
      <c r="AG351" s="424"/>
      <c r="AH351" s="424"/>
      <c r="AI351" s="424"/>
      <c r="AJ351" s="424"/>
      <c r="AK351" s="424"/>
      <c r="AL351" s="424"/>
      <c r="AM351" s="424"/>
      <c r="AN351" s="424"/>
    </row>
    <row r="352" spans="1:40" ht="15.75" customHeight="1" x14ac:dyDescent="0.4">
      <c r="B352" s="418"/>
      <c r="C352" s="441"/>
      <c r="D352" s="491"/>
      <c r="E352" s="424"/>
      <c r="F352" s="467"/>
      <c r="G352" s="492"/>
      <c r="H352" s="424"/>
      <c r="I352" s="467"/>
      <c r="J352" s="441"/>
      <c r="K352" s="424"/>
      <c r="L352" s="467"/>
      <c r="M352" s="441"/>
      <c r="N352" s="467">
        <v>0</v>
      </c>
      <c r="O352" s="441"/>
      <c r="P352" s="424"/>
      <c r="Q352" s="467"/>
      <c r="R352" s="441"/>
      <c r="S352" s="467"/>
      <c r="T352" s="424"/>
      <c r="U352" s="421"/>
      <c r="V352" s="424"/>
      <c r="W352" s="424"/>
      <c r="X352" s="424"/>
      <c r="Y352" s="424"/>
      <c r="Z352" s="424"/>
      <c r="AA352" s="424"/>
      <c r="AB352" s="424"/>
      <c r="AC352" s="424"/>
      <c r="AD352" s="424"/>
      <c r="AE352" s="424"/>
      <c r="AF352" s="424"/>
      <c r="AG352" s="424"/>
      <c r="AH352" s="424"/>
      <c r="AI352" s="424"/>
      <c r="AJ352" s="424"/>
      <c r="AK352" s="424"/>
      <c r="AL352" s="424"/>
      <c r="AM352" s="424"/>
      <c r="AN352" s="424"/>
    </row>
    <row r="353" spans="1:40" ht="24" customHeight="1" thickBot="1" x14ac:dyDescent="0.45">
      <c r="B353" s="418"/>
      <c r="C353" s="527" t="s">
        <v>409</v>
      </c>
      <c r="D353" s="553"/>
      <c r="E353" s="528"/>
      <c r="F353" s="530">
        <v>43289.038887763018</v>
      </c>
      <c r="G353" s="554"/>
      <c r="H353" s="528"/>
      <c r="I353" s="530"/>
      <c r="J353" s="527"/>
      <c r="K353" s="529"/>
      <c r="L353" s="530">
        <v>55295.14</v>
      </c>
      <c r="M353" s="527"/>
      <c r="N353" s="530">
        <v>12006.101112236982</v>
      </c>
      <c r="O353" s="527"/>
      <c r="P353" s="395">
        <v>8.7016222429031356E-2</v>
      </c>
      <c r="Q353" s="530">
        <v>36600.129999999888</v>
      </c>
      <c r="R353" s="527"/>
      <c r="S353" s="530">
        <v>18695.010000000111</v>
      </c>
      <c r="T353" s="424"/>
      <c r="U353" s="421"/>
      <c r="V353" s="424"/>
      <c r="W353" s="424"/>
      <c r="X353" s="424"/>
      <c r="Y353" s="424"/>
      <c r="Z353" s="424"/>
      <c r="AA353" s="424"/>
      <c r="AB353" s="424"/>
      <c r="AC353" s="424"/>
      <c r="AD353" s="424"/>
      <c r="AE353" s="424"/>
      <c r="AF353" s="424"/>
      <c r="AG353" s="424"/>
      <c r="AH353" s="424"/>
      <c r="AI353" s="424"/>
      <c r="AJ353" s="424"/>
      <c r="AK353" s="424"/>
      <c r="AL353" s="424"/>
      <c r="AM353" s="424"/>
      <c r="AN353" s="424"/>
    </row>
    <row r="354" spans="1:40" ht="15.75" customHeight="1" thickTop="1" x14ac:dyDescent="0.4">
      <c r="B354" s="418"/>
      <c r="C354" s="480"/>
      <c r="D354" s="491"/>
      <c r="E354" s="424"/>
      <c r="F354" s="514"/>
      <c r="G354" s="491"/>
      <c r="H354" s="424"/>
      <c r="I354" s="514"/>
      <c r="J354" s="480"/>
      <c r="K354" s="480"/>
      <c r="L354" s="514"/>
      <c r="M354" s="480"/>
      <c r="N354" s="514"/>
      <c r="O354" s="480"/>
      <c r="P354" s="480"/>
      <c r="Q354" s="514"/>
      <c r="R354" s="480"/>
      <c r="S354" s="514"/>
      <c r="T354" s="424"/>
      <c r="U354" s="424"/>
      <c r="V354" s="424"/>
      <c r="W354" s="424"/>
      <c r="X354" s="424"/>
      <c r="Y354" s="424"/>
      <c r="Z354" s="424"/>
      <c r="AA354" s="424"/>
      <c r="AB354" s="424"/>
      <c r="AC354" s="424"/>
      <c r="AD354" s="424"/>
      <c r="AE354" s="424"/>
      <c r="AF354" s="424"/>
      <c r="AG354" s="424"/>
      <c r="AH354" s="424"/>
      <c r="AI354" s="424"/>
      <c r="AJ354" s="424"/>
      <c r="AK354" s="424"/>
      <c r="AL354" s="424"/>
      <c r="AM354" s="424"/>
      <c r="AN354" s="424"/>
    </row>
    <row r="355" spans="1:40" ht="15.75" hidden="1" customHeight="1" x14ac:dyDescent="0.4">
      <c r="B355" s="418"/>
      <c r="C355" s="480"/>
      <c r="D355" s="491"/>
      <c r="E355" s="424"/>
      <c r="F355" s="514"/>
      <c r="G355" s="491"/>
      <c r="H355" s="424"/>
      <c r="I355" s="514"/>
      <c r="J355" s="480"/>
      <c r="K355" s="480"/>
      <c r="L355" s="514"/>
      <c r="M355" s="480"/>
      <c r="N355" s="514"/>
      <c r="O355" s="480"/>
      <c r="P355" s="480"/>
      <c r="Q355" s="514"/>
      <c r="R355" s="480"/>
      <c r="S355" s="514"/>
      <c r="T355" s="424"/>
      <c r="U355" s="424"/>
      <c r="V355" s="424"/>
      <c r="W355" s="424"/>
      <c r="X355" s="424"/>
      <c r="Y355" s="424"/>
      <c r="Z355" s="424"/>
      <c r="AA355" s="424"/>
      <c r="AB355" s="424"/>
      <c r="AC355" s="424"/>
      <c r="AD355" s="424"/>
      <c r="AE355" s="424"/>
      <c r="AF355" s="424"/>
      <c r="AG355" s="424"/>
      <c r="AH355" s="424"/>
      <c r="AI355" s="424"/>
      <c r="AJ355" s="424"/>
      <c r="AK355" s="424"/>
      <c r="AL355" s="424"/>
      <c r="AM355" s="424"/>
      <c r="AN355" s="424"/>
    </row>
    <row r="356" spans="1:40" ht="34.5" hidden="1" customHeight="1" x14ac:dyDescent="0.7">
      <c r="B356" s="418"/>
      <c r="C356" s="535" t="s">
        <v>706</v>
      </c>
      <c r="D356" s="412"/>
      <c r="E356" s="412"/>
      <c r="F356" s="412"/>
      <c r="G356" s="412"/>
      <c r="H356" s="410"/>
      <c r="I356" s="410"/>
      <c r="J356" s="410"/>
      <c r="K356" s="414" t="s">
        <v>612</v>
      </c>
      <c r="L356" s="412"/>
      <c r="M356" s="412"/>
      <c r="N356" s="410"/>
      <c r="O356" s="410"/>
      <c r="P356" s="412"/>
      <c r="Q356" s="410"/>
      <c r="R356" s="412"/>
      <c r="S356" s="536" t="s">
        <v>723</v>
      </c>
      <c r="T356" s="421"/>
      <c r="U356" s="421"/>
      <c r="V356" s="424"/>
      <c r="W356" s="421"/>
      <c r="X356" s="421"/>
      <c r="Y356" s="421"/>
      <c r="Z356" s="421"/>
      <c r="AA356" s="421"/>
      <c r="AB356" s="421"/>
      <c r="AC356" s="421"/>
      <c r="AD356" s="421"/>
      <c r="AE356" s="421"/>
      <c r="AF356" s="421"/>
      <c r="AG356" s="421"/>
      <c r="AH356" s="421"/>
      <c r="AI356" s="421"/>
      <c r="AJ356" s="421"/>
      <c r="AK356" s="421"/>
      <c r="AL356" s="421"/>
      <c r="AM356" s="421"/>
      <c r="AN356" s="421"/>
    </row>
    <row r="357" spans="1:40" ht="15.75" hidden="1" customHeight="1" x14ac:dyDescent="0.4">
      <c r="B357" s="418"/>
      <c r="C357" s="419"/>
      <c r="D357" s="421"/>
      <c r="E357" s="421"/>
      <c r="F357" s="421"/>
      <c r="G357" s="421"/>
      <c r="H357" s="421"/>
      <c r="I357" s="421"/>
      <c r="J357" s="421"/>
      <c r="K357" s="421"/>
      <c r="L357" s="421"/>
      <c r="M357" s="421"/>
      <c r="N357" s="421"/>
      <c r="O357" s="421"/>
      <c r="P357" s="421"/>
      <c r="Q357" s="421"/>
      <c r="R357" s="421"/>
      <c r="S357" s="421"/>
      <c r="T357" s="421"/>
      <c r="U357" s="421"/>
      <c r="V357" s="424"/>
      <c r="W357" s="421"/>
      <c r="X357" s="421"/>
      <c r="Y357" s="421"/>
      <c r="Z357" s="421"/>
      <c r="AA357" s="421"/>
      <c r="AB357" s="421"/>
      <c r="AC357" s="421"/>
      <c r="AD357" s="421"/>
      <c r="AE357" s="421"/>
      <c r="AF357" s="421"/>
      <c r="AG357" s="421"/>
      <c r="AH357" s="421"/>
      <c r="AI357" s="421"/>
      <c r="AJ357" s="421"/>
      <c r="AK357" s="421"/>
      <c r="AL357" s="421"/>
      <c r="AM357" s="421"/>
      <c r="AN357" s="421"/>
    </row>
    <row r="358" spans="1:40" ht="15.75" hidden="1" customHeight="1" x14ac:dyDescent="0.4">
      <c r="B358" s="418"/>
      <c r="C358" s="425"/>
      <c r="D358" s="787" t="s">
        <v>299</v>
      </c>
      <c r="E358" s="788"/>
      <c r="F358" s="789"/>
      <c r="G358" s="790"/>
      <c r="H358" s="788"/>
      <c r="I358" s="789"/>
      <c r="J358" s="790" t="s">
        <v>300</v>
      </c>
      <c r="K358" s="788"/>
      <c r="L358" s="789"/>
      <c r="M358" s="790"/>
      <c r="N358" s="789"/>
      <c r="O358" s="787" t="s">
        <v>302</v>
      </c>
      <c r="P358" s="788"/>
      <c r="Q358" s="789"/>
      <c r="R358" s="790" t="s">
        <v>613</v>
      </c>
      <c r="S358" s="789"/>
      <c r="T358" s="421"/>
      <c r="U358" s="421"/>
      <c r="V358" s="424"/>
      <c r="W358" s="421"/>
      <c r="X358" s="421"/>
      <c r="Y358" s="421"/>
      <c r="Z358" s="421"/>
      <c r="AA358" s="421"/>
      <c r="AB358" s="421"/>
      <c r="AC358" s="421"/>
      <c r="AD358" s="421"/>
      <c r="AE358" s="421"/>
      <c r="AF358" s="421"/>
      <c r="AG358" s="421"/>
      <c r="AH358" s="421"/>
      <c r="AI358" s="421"/>
      <c r="AJ358" s="421"/>
      <c r="AK358" s="421"/>
      <c r="AL358" s="421"/>
      <c r="AM358" s="421"/>
      <c r="AN358" s="421"/>
    </row>
    <row r="359" spans="1:40" ht="15.75" hidden="1" customHeight="1" x14ac:dyDescent="0.4">
      <c r="A359" s="433" t="s">
        <v>612</v>
      </c>
      <c r="B359" s="424" t="s">
        <v>612</v>
      </c>
      <c r="C359" s="441"/>
      <c r="D359" s="618" t="s">
        <v>468</v>
      </c>
      <c r="E359" s="618" t="s">
        <v>557</v>
      </c>
      <c r="F359" s="619" t="s">
        <v>24</v>
      </c>
      <c r="G359" s="620"/>
      <c r="H359" s="618"/>
      <c r="I359" s="619"/>
      <c r="J359" s="557" t="s">
        <v>468</v>
      </c>
      <c r="K359" s="484" t="s">
        <v>557</v>
      </c>
      <c r="L359" s="556" t="s">
        <v>24</v>
      </c>
      <c r="M359" s="557"/>
      <c r="N359" s="556"/>
      <c r="O359" s="557" t="s">
        <v>468</v>
      </c>
      <c r="P359" s="484" t="s">
        <v>557</v>
      </c>
      <c r="Q359" s="556" t="s">
        <v>24</v>
      </c>
      <c r="R359" s="557" t="s">
        <v>471</v>
      </c>
      <c r="S359" s="556" t="s">
        <v>24</v>
      </c>
      <c r="T359" s="421"/>
      <c r="U359" s="421"/>
      <c r="V359" s="424"/>
      <c r="W359" s="421"/>
      <c r="X359" s="421"/>
      <c r="Y359" s="421"/>
      <c r="Z359" s="421"/>
      <c r="AA359" s="421"/>
      <c r="AB359" s="421"/>
      <c r="AC359" s="421"/>
      <c r="AD359" s="421"/>
      <c r="AE359" s="421"/>
      <c r="AF359" s="421"/>
      <c r="AG359" s="421"/>
      <c r="AH359" s="421"/>
      <c r="AI359" s="421"/>
      <c r="AJ359" s="421"/>
      <c r="AK359" s="421"/>
      <c r="AL359" s="421"/>
      <c r="AM359" s="421"/>
      <c r="AN359" s="421"/>
    </row>
    <row r="360" spans="1:40" ht="15.75" hidden="1" customHeight="1" x14ac:dyDescent="0.55000000000000004">
      <c r="A360" s="433" t="s">
        <v>614</v>
      </c>
      <c r="B360" s="424" t="s">
        <v>612</v>
      </c>
      <c r="C360" s="469" t="s">
        <v>612</v>
      </c>
      <c r="D360" s="621">
        <v>0</v>
      </c>
      <c r="E360" s="622">
        <v>0</v>
      </c>
      <c r="F360" s="623">
        <v>0</v>
      </c>
      <c r="G360" s="621"/>
      <c r="H360" s="622"/>
      <c r="I360" s="621"/>
      <c r="J360" s="624">
        <v>0</v>
      </c>
      <c r="K360" s="608">
        <v>0</v>
      </c>
      <c r="L360" s="625">
        <v>0</v>
      </c>
      <c r="M360" s="609"/>
      <c r="N360" s="610"/>
      <c r="O360" s="624">
        <v>0</v>
      </c>
      <c r="P360" s="608">
        <v>0</v>
      </c>
      <c r="Q360" s="625">
        <v>0</v>
      </c>
      <c r="R360" s="609">
        <v>0</v>
      </c>
      <c r="S360" s="610">
        <v>0</v>
      </c>
      <c r="T360" s="421"/>
      <c r="U360" s="421"/>
      <c r="V360" s="626"/>
      <c r="W360" s="421"/>
      <c r="X360" s="421"/>
      <c r="Y360" s="421"/>
      <c r="Z360" s="421"/>
      <c r="AA360" s="421"/>
      <c r="AB360" s="421"/>
      <c r="AC360" s="421"/>
      <c r="AD360" s="421"/>
      <c r="AE360" s="421"/>
      <c r="AF360" s="421"/>
      <c r="AG360" s="421"/>
      <c r="AH360" s="421"/>
      <c r="AI360" s="421"/>
      <c r="AJ360" s="421"/>
      <c r="AK360" s="421"/>
      <c r="AL360" s="421"/>
      <c r="AM360" s="421"/>
      <c r="AN360" s="421"/>
    </row>
    <row r="361" spans="1:40" ht="15.75" hidden="1" customHeight="1" x14ac:dyDescent="0.4">
      <c r="A361" s="433" t="s">
        <v>612</v>
      </c>
      <c r="B361" s="424" t="s">
        <v>612</v>
      </c>
      <c r="C361" s="527"/>
      <c r="D361" s="611"/>
      <c r="E361" s="612"/>
      <c r="F361" s="530"/>
      <c r="G361" s="613"/>
      <c r="H361" s="612"/>
      <c r="I361" s="530"/>
      <c r="J361" s="613"/>
      <c r="K361" s="612"/>
      <c r="L361" s="530"/>
      <c r="M361" s="614"/>
      <c r="N361" s="479"/>
      <c r="O361" s="613"/>
      <c r="P361" s="612"/>
      <c r="Q361" s="530"/>
      <c r="R361" s="614"/>
      <c r="S361" s="479"/>
      <c r="T361" s="421"/>
      <c r="U361" s="421"/>
      <c r="V361" s="424"/>
      <c r="W361" s="421"/>
      <c r="X361" s="421"/>
      <c r="Y361" s="421"/>
      <c r="Z361" s="421"/>
      <c r="AA361" s="421"/>
      <c r="AB361" s="421"/>
      <c r="AC361" s="421"/>
      <c r="AD361" s="421"/>
      <c r="AE361" s="421"/>
      <c r="AF361" s="421"/>
      <c r="AG361" s="421"/>
      <c r="AH361" s="421"/>
      <c r="AI361" s="421"/>
      <c r="AJ361" s="421"/>
      <c r="AK361" s="421"/>
      <c r="AL361" s="421"/>
      <c r="AM361" s="421"/>
      <c r="AN361" s="421"/>
    </row>
    <row r="362" spans="1:40" ht="15.75" hidden="1" customHeight="1" x14ac:dyDescent="0.4">
      <c r="A362" s="433" t="s">
        <v>615</v>
      </c>
      <c r="B362" s="424" t="s">
        <v>612</v>
      </c>
      <c r="C362" s="460" t="s">
        <v>616</v>
      </c>
      <c r="D362" s="514">
        <v>0</v>
      </c>
      <c r="E362" s="568">
        <v>0</v>
      </c>
      <c r="F362" s="570">
        <v>0</v>
      </c>
      <c r="G362" s="569"/>
      <c r="H362" s="568"/>
      <c r="I362" s="570"/>
      <c r="J362" s="569">
        <v>0</v>
      </c>
      <c r="K362" s="568">
        <v>0</v>
      </c>
      <c r="L362" s="570">
        <v>0</v>
      </c>
      <c r="M362" s="548"/>
      <c r="N362" s="627"/>
      <c r="O362" s="569">
        <v>0</v>
      </c>
      <c r="P362" s="568">
        <v>0</v>
      </c>
      <c r="Q362" s="570">
        <v>0</v>
      </c>
      <c r="R362" s="441">
        <v>0</v>
      </c>
      <c r="S362" s="459">
        <v>0</v>
      </c>
      <c r="T362" s="421"/>
      <c r="U362" s="421"/>
      <c r="V362" s="424"/>
      <c r="W362" s="421"/>
      <c r="X362" s="421"/>
      <c r="Y362" s="421"/>
      <c r="Z362" s="421"/>
      <c r="AA362" s="421"/>
      <c r="AB362" s="421"/>
      <c r="AC362" s="421"/>
      <c r="AD362" s="421"/>
      <c r="AE362" s="421"/>
      <c r="AF362" s="421"/>
      <c r="AG362" s="421"/>
      <c r="AH362" s="421"/>
      <c r="AI362" s="421"/>
      <c r="AJ362" s="421"/>
      <c r="AK362" s="421"/>
      <c r="AL362" s="421"/>
      <c r="AM362" s="421"/>
      <c r="AN362" s="421"/>
    </row>
    <row r="363" spans="1:40" ht="15.75" hidden="1" customHeight="1" x14ac:dyDescent="0.4">
      <c r="A363" s="433" t="s">
        <v>612</v>
      </c>
      <c r="B363" s="424" t="s">
        <v>612</v>
      </c>
      <c r="C363" s="483"/>
      <c r="D363" s="424"/>
      <c r="E363" s="424"/>
      <c r="F363" s="467"/>
      <c r="G363" s="441"/>
      <c r="H363" s="424"/>
      <c r="I363" s="467"/>
      <c r="J363" s="441"/>
      <c r="K363" s="424"/>
      <c r="L363" s="451"/>
      <c r="M363" s="441"/>
      <c r="N363" s="558"/>
      <c r="O363" s="441"/>
      <c r="P363" s="424"/>
      <c r="Q363" s="451"/>
      <c r="R363" s="441"/>
      <c r="S363" s="451">
        <v>0</v>
      </c>
      <c r="T363" s="421"/>
      <c r="U363" s="421"/>
      <c r="V363" s="424"/>
      <c r="W363" s="421"/>
      <c r="X363" s="421"/>
      <c r="Y363" s="421"/>
      <c r="Z363" s="421"/>
      <c r="AA363" s="421"/>
      <c r="AB363" s="421"/>
      <c r="AC363" s="421"/>
      <c r="AD363" s="421"/>
      <c r="AE363" s="421"/>
      <c r="AF363" s="421"/>
      <c r="AG363" s="421"/>
      <c r="AH363" s="421"/>
      <c r="AI363" s="421"/>
      <c r="AJ363" s="421"/>
      <c r="AK363" s="421"/>
      <c r="AL363" s="421"/>
      <c r="AM363" s="421"/>
      <c r="AN363" s="421"/>
    </row>
    <row r="364" spans="1:40" ht="15.75" hidden="1" customHeight="1" x14ac:dyDescent="0.4">
      <c r="A364" s="433" t="s">
        <v>617</v>
      </c>
      <c r="B364" s="424" t="s">
        <v>612</v>
      </c>
      <c r="C364" s="483" t="s">
        <v>339</v>
      </c>
      <c r="D364" s="424"/>
      <c r="E364" s="424"/>
      <c r="F364" s="467"/>
      <c r="G364" s="441"/>
      <c r="H364" s="424"/>
      <c r="I364" s="467"/>
      <c r="J364" s="441"/>
      <c r="K364" s="424"/>
      <c r="L364" s="451"/>
      <c r="M364" s="441"/>
      <c r="N364" s="451"/>
      <c r="O364" s="441"/>
      <c r="P364" s="424"/>
      <c r="Q364" s="451"/>
      <c r="R364" s="441"/>
      <c r="S364" s="451"/>
      <c r="T364" s="421"/>
      <c r="U364" s="421"/>
      <c r="V364" s="424"/>
      <c r="W364" s="421"/>
      <c r="X364" s="421"/>
      <c r="Y364" s="421"/>
      <c r="Z364" s="421"/>
      <c r="AA364" s="421"/>
      <c r="AB364" s="421"/>
      <c r="AC364" s="421"/>
      <c r="AD364" s="421"/>
      <c r="AE364" s="421"/>
      <c r="AF364" s="421"/>
      <c r="AG364" s="421"/>
      <c r="AH364" s="421"/>
      <c r="AI364" s="421"/>
      <c r="AJ364" s="421"/>
      <c r="AK364" s="421"/>
      <c r="AL364" s="421"/>
      <c r="AM364" s="421"/>
      <c r="AN364" s="421"/>
    </row>
    <row r="365" spans="1:40" ht="15.75" hidden="1" customHeight="1" x14ac:dyDescent="0.4">
      <c r="A365" s="433" t="s">
        <v>618</v>
      </c>
      <c r="B365" s="424" t="s">
        <v>612</v>
      </c>
      <c r="C365" s="507" t="s">
        <v>50</v>
      </c>
      <c r="D365" s="424"/>
      <c r="E365" s="424"/>
      <c r="F365" s="442">
        <v>0</v>
      </c>
      <c r="G365" s="441"/>
      <c r="H365" s="424"/>
      <c r="I365" s="442"/>
      <c r="J365" s="441"/>
      <c r="K365" s="424"/>
      <c r="L365" s="444">
        <v>0</v>
      </c>
      <c r="M365" s="441"/>
      <c r="N365" s="451"/>
      <c r="O365" s="441"/>
      <c r="P365" s="424"/>
      <c r="Q365" s="444">
        <v>0</v>
      </c>
      <c r="R365" s="441"/>
      <c r="S365" s="444">
        <v>0</v>
      </c>
      <c r="T365" s="421"/>
      <c r="U365" s="421"/>
      <c r="V365" s="424"/>
      <c r="W365" s="421"/>
      <c r="X365" s="421"/>
      <c r="Y365" s="421"/>
      <c r="Z365" s="421"/>
      <c r="AA365" s="421"/>
      <c r="AB365" s="421"/>
      <c r="AC365" s="421"/>
      <c r="AD365" s="421"/>
      <c r="AE365" s="421"/>
      <c r="AF365" s="421"/>
      <c r="AG365" s="421"/>
      <c r="AH365" s="421"/>
      <c r="AI365" s="421"/>
      <c r="AJ365" s="421"/>
      <c r="AK365" s="421"/>
      <c r="AL365" s="421"/>
      <c r="AM365" s="421"/>
      <c r="AN365" s="421"/>
    </row>
    <row r="366" spans="1:40" ht="15.75" hidden="1" customHeight="1" x14ac:dyDescent="0.4">
      <c r="A366" s="433" t="s">
        <v>619</v>
      </c>
      <c r="B366" s="424" t="s">
        <v>612</v>
      </c>
      <c r="C366" s="508" t="s">
        <v>355</v>
      </c>
      <c r="D366" s="491"/>
      <c r="E366" s="424"/>
      <c r="F366" s="436">
        <v>0</v>
      </c>
      <c r="G366" s="492"/>
      <c r="H366" s="424"/>
      <c r="I366" s="436"/>
      <c r="J366" s="441"/>
      <c r="K366" s="424"/>
      <c r="L366" s="436">
        <v>0</v>
      </c>
      <c r="M366" s="441"/>
      <c r="N366" s="467"/>
      <c r="O366" s="441"/>
      <c r="P366" s="424"/>
      <c r="Q366" s="436">
        <v>0</v>
      </c>
      <c r="R366" s="441"/>
      <c r="S366" s="467">
        <v>0</v>
      </c>
      <c r="T366" s="421"/>
      <c r="U366" s="421"/>
      <c r="V366" s="424"/>
      <c r="W366" s="421"/>
      <c r="X366" s="421"/>
      <c r="Y366" s="421"/>
      <c r="Z366" s="421"/>
      <c r="AA366" s="421"/>
      <c r="AB366" s="421"/>
      <c r="AC366" s="421"/>
      <c r="AD366" s="421"/>
      <c r="AE366" s="421"/>
      <c r="AF366" s="421"/>
      <c r="AG366" s="421"/>
      <c r="AH366" s="421"/>
      <c r="AI366" s="421"/>
      <c r="AJ366" s="421"/>
      <c r="AK366" s="421"/>
      <c r="AL366" s="421"/>
      <c r="AM366" s="421"/>
      <c r="AN366" s="421"/>
    </row>
    <row r="367" spans="1:40" ht="15.75" hidden="1" customHeight="1" x14ac:dyDescent="0.4">
      <c r="A367" s="433" t="s">
        <v>620</v>
      </c>
      <c r="B367" s="424" t="s">
        <v>612</v>
      </c>
      <c r="C367" s="507" t="s">
        <v>51</v>
      </c>
      <c r="D367" s="509"/>
      <c r="E367" s="510"/>
      <c r="F367" s="442">
        <v>0</v>
      </c>
      <c r="G367" s="511"/>
      <c r="H367" s="510"/>
      <c r="I367" s="442"/>
      <c r="J367" s="428"/>
      <c r="K367" s="510"/>
      <c r="L367" s="444">
        <v>0</v>
      </c>
      <c r="M367" s="428"/>
      <c r="N367" s="512"/>
      <c r="O367" s="428"/>
      <c r="P367" s="510"/>
      <c r="Q367" s="444">
        <v>0</v>
      </c>
      <c r="R367" s="428"/>
      <c r="S367" s="512">
        <v>0</v>
      </c>
      <c r="T367" s="421"/>
      <c r="U367" s="421"/>
      <c r="V367" s="424"/>
      <c r="W367" s="421"/>
      <c r="X367" s="421"/>
      <c r="Y367" s="421"/>
      <c r="Z367" s="421"/>
      <c r="AA367" s="421"/>
      <c r="AB367" s="421"/>
      <c r="AC367" s="421"/>
      <c r="AD367" s="421"/>
      <c r="AE367" s="421"/>
      <c r="AF367" s="421"/>
      <c r="AG367" s="421"/>
      <c r="AH367" s="421"/>
      <c r="AI367" s="421"/>
      <c r="AJ367" s="421"/>
      <c r="AK367" s="421"/>
      <c r="AL367" s="421"/>
      <c r="AM367" s="421"/>
      <c r="AN367" s="421"/>
    </row>
    <row r="368" spans="1:40" ht="15.75" hidden="1" customHeight="1" x14ac:dyDescent="0.4">
      <c r="A368" s="433" t="s">
        <v>621</v>
      </c>
      <c r="B368" s="424" t="s">
        <v>612</v>
      </c>
      <c r="C368" s="507" t="s">
        <v>358</v>
      </c>
      <c r="D368" s="491"/>
      <c r="E368" s="424"/>
      <c r="F368" s="442">
        <v>0</v>
      </c>
      <c r="G368" s="492"/>
      <c r="H368" s="424"/>
      <c r="I368" s="442"/>
      <c r="J368" s="441"/>
      <c r="K368" s="424"/>
      <c r="L368" s="444">
        <v>0</v>
      </c>
      <c r="M368" s="441"/>
      <c r="N368" s="467"/>
      <c r="O368" s="441"/>
      <c r="P368" s="424"/>
      <c r="Q368" s="444">
        <v>0</v>
      </c>
      <c r="R368" s="441"/>
      <c r="S368" s="467">
        <v>0</v>
      </c>
      <c r="T368" s="421"/>
      <c r="U368" s="421"/>
      <c r="V368" s="424"/>
      <c r="W368" s="421"/>
      <c r="X368" s="421"/>
      <c r="Y368" s="421"/>
      <c r="Z368" s="421"/>
      <c r="AA368" s="421"/>
      <c r="AB368" s="421"/>
      <c r="AC368" s="421"/>
      <c r="AD368" s="421"/>
      <c r="AE368" s="421"/>
      <c r="AF368" s="421"/>
      <c r="AG368" s="421"/>
      <c r="AH368" s="421"/>
      <c r="AI368" s="421"/>
      <c r="AJ368" s="421"/>
      <c r="AK368" s="421"/>
      <c r="AL368" s="421"/>
      <c r="AM368" s="421"/>
      <c r="AN368" s="421"/>
    </row>
    <row r="369" spans="1:40" ht="15.75" hidden="1" customHeight="1" x14ac:dyDescent="0.4">
      <c r="A369" s="433" t="s">
        <v>622</v>
      </c>
      <c r="B369" s="424" t="s">
        <v>612</v>
      </c>
      <c r="C369" s="441" t="s">
        <v>323</v>
      </c>
      <c r="D369" s="491"/>
      <c r="E369" s="424"/>
      <c r="F369" s="442">
        <v>0</v>
      </c>
      <c r="G369" s="492"/>
      <c r="H369" s="424"/>
      <c r="I369" s="442"/>
      <c r="J369" s="441"/>
      <c r="K369" s="424"/>
      <c r="L369" s="444">
        <v>0</v>
      </c>
      <c r="M369" s="441"/>
      <c r="N369" s="467"/>
      <c r="O369" s="441"/>
      <c r="P369" s="424"/>
      <c r="Q369" s="444">
        <v>0</v>
      </c>
      <c r="R369" s="441"/>
      <c r="S369" s="467">
        <v>0</v>
      </c>
      <c r="T369" s="421"/>
      <c r="U369" s="421"/>
      <c r="V369" s="424"/>
      <c r="W369" s="421"/>
      <c r="X369" s="421"/>
      <c r="Y369" s="421"/>
      <c r="Z369" s="421"/>
      <c r="AA369" s="421"/>
      <c r="AB369" s="421"/>
      <c r="AC369" s="421"/>
      <c r="AD369" s="421"/>
      <c r="AE369" s="421"/>
      <c r="AF369" s="421"/>
      <c r="AG369" s="421"/>
      <c r="AH369" s="421"/>
      <c r="AI369" s="421"/>
      <c r="AJ369" s="421"/>
      <c r="AK369" s="421"/>
      <c r="AL369" s="421"/>
      <c r="AM369" s="421"/>
      <c r="AN369" s="421"/>
    </row>
    <row r="370" spans="1:40" ht="15.75" hidden="1" customHeight="1" x14ac:dyDescent="0.4">
      <c r="A370" s="433" t="s">
        <v>622</v>
      </c>
      <c r="B370" s="424" t="s">
        <v>612</v>
      </c>
      <c r="C370" s="441" t="s">
        <v>323</v>
      </c>
      <c r="D370" s="491"/>
      <c r="E370" s="424"/>
      <c r="F370" s="442">
        <v>0</v>
      </c>
      <c r="G370" s="492"/>
      <c r="H370" s="424"/>
      <c r="I370" s="442"/>
      <c r="J370" s="441"/>
      <c r="K370" s="424"/>
      <c r="L370" s="444">
        <v>0</v>
      </c>
      <c r="M370" s="441"/>
      <c r="N370" s="467"/>
      <c r="O370" s="441"/>
      <c r="P370" s="424"/>
      <c r="Q370" s="444">
        <v>0</v>
      </c>
      <c r="R370" s="441"/>
      <c r="S370" s="467">
        <v>0</v>
      </c>
      <c r="T370" s="421"/>
      <c r="U370" s="421"/>
      <c r="V370" s="424"/>
      <c r="W370" s="421"/>
      <c r="X370" s="421"/>
      <c r="Y370" s="421"/>
      <c r="Z370" s="421"/>
      <c r="AA370" s="421"/>
      <c r="AB370" s="421"/>
      <c r="AC370" s="421"/>
      <c r="AD370" s="421"/>
      <c r="AE370" s="421"/>
      <c r="AF370" s="421"/>
      <c r="AG370" s="421"/>
      <c r="AH370" s="421"/>
      <c r="AI370" s="421"/>
      <c r="AJ370" s="421"/>
      <c r="AK370" s="421"/>
      <c r="AL370" s="421"/>
      <c r="AM370" s="421"/>
      <c r="AN370" s="421"/>
    </row>
    <row r="371" spans="1:40" ht="15.75" hidden="1" customHeight="1" x14ac:dyDescent="0.4">
      <c r="A371" s="433" t="s">
        <v>622</v>
      </c>
      <c r="B371" s="424" t="s">
        <v>612</v>
      </c>
      <c r="C371" s="441" t="s">
        <v>323</v>
      </c>
      <c r="D371" s="491"/>
      <c r="E371" s="424"/>
      <c r="F371" s="442">
        <v>0</v>
      </c>
      <c r="G371" s="492"/>
      <c r="H371" s="424"/>
      <c r="I371" s="442"/>
      <c r="J371" s="441"/>
      <c r="K371" s="424"/>
      <c r="L371" s="444">
        <v>0</v>
      </c>
      <c r="M371" s="441"/>
      <c r="N371" s="467"/>
      <c r="O371" s="441"/>
      <c r="P371" s="424"/>
      <c r="Q371" s="444">
        <v>0</v>
      </c>
      <c r="R371" s="441"/>
      <c r="S371" s="467">
        <v>0</v>
      </c>
      <c r="T371" s="421"/>
      <c r="U371" s="421"/>
      <c r="V371" s="424"/>
      <c r="W371" s="421"/>
      <c r="X371" s="421"/>
      <c r="Y371" s="421"/>
      <c r="Z371" s="421"/>
      <c r="AA371" s="421"/>
      <c r="AB371" s="421"/>
      <c r="AC371" s="421"/>
      <c r="AD371" s="421"/>
      <c r="AE371" s="421"/>
      <c r="AF371" s="421"/>
      <c r="AG371" s="421"/>
      <c r="AH371" s="421"/>
      <c r="AI371" s="421"/>
      <c r="AJ371" s="421"/>
      <c r="AK371" s="421"/>
      <c r="AL371" s="421"/>
      <c r="AM371" s="421"/>
      <c r="AN371" s="421"/>
    </row>
    <row r="372" spans="1:40" ht="15.75" hidden="1" customHeight="1" x14ac:dyDescent="0.4">
      <c r="A372" s="433" t="s">
        <v>623</v>
      </c>
      <c r="B372" s="424" t="s">
        <v>612</v>
      </c>
      <c r="C372" s="508" t="s">
        <v>52</v>
      </c>
      <c r="D372" s="491"/>
      <c r="E372" s="424"/>
      <c r="F372" s="436">
        <v>0</v>
      </c>
      <c r="G372" s="492"/>
      <c r="H372" s="424"/>
      <c r="I372" s="436"/>
      <c r="J372" s="441"/>
      <c r="K372" s="424"/>
      <c r="L372" s="436">
        <v>0</v>
      </c>
      <c r="M372" s="441"/>
      <c r="N372" s="467"/>
      <c r="O372" s="441"/>
      <c r="P372" s="424"/>
      <c r="Q372" s="436">
        <v>0</v>
      </c>
      <c r="R372" s="441"/>
      <c r="S372" s="467">
        <v>0</v>
      </c>
      <c r="T372" s="421"/>
      <c r="U372" s="421"/>
      <c r="V372" s="424"/>
      <c r="W372" s="421"/>
      <c r="X372" s="421"/>
      <c r="Y372" s="421"/>
      <c r="Z372" s="421"/>
      <c r="AA372" s="421"/>
      <c r="AB372" s="421"/>
      <c r="AC372" s="421"/>
      <c r="AD372" s="421"/>
      <c r="AE372" s="421"/>
      <c r="AF372" s="421"/>
      <c r="AG372" s="421"/>
      <c r="AH372" s="421"/>
      <c r="AI372" s="421"/>
      <c r="AJ372" s="421"/>
      <c r="AK372" s="421"/>
      <c r="AL372" s="421"/>
      <c r="AM372" s="421"/>
      <c r="AN372" s="421"/>
    </row>
    <row r="373" spans="1:40" ht="15.75" hidden="1" customHeight="1" x14ac:dyDescent="0.4">
      <c r="A373" s="433" t="s">
        <v>624</v>
      </c>
      <c r="B373" s="424" t="s">
        <v>612</v>
      </c>
      <c r="C373" s="507" t="s">
        <v>53</v>
      </c>
      <c r="D373" s="509"/>
      <c r="E373" s="510"/>
      <c r="F373" s="442">
        <v>0</v>
      </c>
      <c r="G373" s="511"/>
      <c r="H373" s="510"/>
      <c r="I373" s="442"/>
      <c r="J373" s="428"/>
      <c r="K373" s="510"/>
      <c r="L373" s="444">
        <v>0</v>
      </c>
      <c r="M373" s="428"/>
      <c r="N373" s="512"/>
      <c r="O373" s="428"/>
      <c r="P373" s="510"/>
      <c r="Q373" s="444">
        <v>0</v>
      </c>
      <c r="R373" s="428"/>
      <c r="S373" s="512">
        <v>0</v>
      </c>
      <c r="T373" s="421"/>
      <c r="U373" s="421"/>
      <c r="V373" s="424"/>
      <c r="W373" s="421"/>
      <c r="X373" s="421"/>
      <c r="Y373" s="421"/>
      <c r="Z373" s="421"/>
      <c r="AA373" s="421"/>
      <c r="AB373" s="421"/>
      <c r="AC373" s="421"/>
      <c r="AD373" s="421"/>
      <c r="AE373" s="421"/>
      <c r="AF373" s="421"/>
      <c r="AG373" s="421"/>
      <c r="AH373" s="421"/>
      <c r="AI373" s="421"/>
      <c r="AJ373" s="421"/>
      <c r="AK373" s="421"/>
      <c r="AL373" s="421"/>
      <c r="AM373" s="421"/>
      <c r="AN373" s="421"/>
    </row>
    <row r="374" spans="1:40" ht="15.75" hidden="1" customHeight="1" x14ac:dyDescent="0.4">
      <c r="A374" s="433" t="s">
        <v>625</v>
      </c>
      <c r="B374" s="424" t="s">
        <v>612</v>
      </c>
      <c r="C374" s="507" t="s">
        <v>54</v>
      </c>
      <c r="D374" s="491"/>
      <c r="E374" s="424"/>
      <c r="F374" s="442">
        <v>0</v>
      </c>
      <c r="G374" s="492"/>
      <c r="H374" s="424"/>
      <c r="I374" s="442"/>
      <c r="J374" s="441"/>
      <c r="K374" s="424"/>
      <c r="L374" s="444">
        <v>0</v>
      </c>
      <c r="M374" s="441"/>
      <c r="N374" s="467"/>
      <c r="O374" s="441"/>
      <c r="P374" s="424"/>
      <c r="Q374" s="444">
        <v>0</v>
      </c>
      <c r="R374" s="441"/>
      <c r="S374" s="467">
        <v>0</v>
      </c>
      <c r="T374" s="421"/>
      <c r="U374" s="421"/>
      <c r="V374" s="424"/>
      <c r="W374" s="421"/>
      <c r="X374" s="421"/>
      <c r="Y374" s="421"/>
      <c r="Z374" s="421"/>
      <c r="AA374" s="421"/>
      <c r="AB374" s="421"/>
      <c r="AC374" s="421"/>
      <c r="AD374" s="421"/>
      <c r="AE374" s="421"/>
      <c r="AF374" s="421"/>
      <c r="AG374" s="421"/>
      <c r="AH374" s="421"/>
      <c r="AI374" s="421"/>
      <c r="AJ374" s="421"/>
      <c r="AK374" s="421"/>
      <c r="AL374" s="421"/>
      <c r="AM374" s="421"/>
      <c r="AN374" s="421"/>
    </row>
    <row r="375" spans="1:40" ht="15.75" hidden="1" customHeight="1" x14ac:dyDescent="0.4">
      <c r="A375" s="433" t="s">
        <v>626</v>
      </c>
      <c r="B375" s="424" t="s">
        <v>612</v>
      </c>
      <c r="C375" s="507" t="s">
        <v>55</v>
      </c>
      <c r="D375" s="491"/>
      <c r="E375" s="424"/>
      <c r="F375" s="442">
        <v>0</v>
      </c>
      <c r="G375" s="492"/>
      <c r="H375" s="424"/>
      <c r="I375" s="442"/>
      <c r="J375" s="441"/>
      <c r="K375" s="424"/>
      <c r="L375" s="444">
        <v>0</v>
      </c>
      <c r="M375" s="441"/>
      <c r="N375" s="467"/>
      <c r="O375" s="441"/>
      <c r="P375" s="424"/>
      <c r="Q375" s="444">
        <v>0</v>
      </c>
      <c r="R375" s="441"/>
      <c r="S375" s="467">
        <v>0</v>
      </c>
      <c r="T375" s="421"/>
      <c r="U375" s="421"/>
      <c r="V375" s="424"/>
      <c r="W375" s="421"/>
      <c r="X375" s="421"/>
      <c r="Y375" s="421"/>
      <c r="Z375" s="421"/>
      <c r="AA375" s="421"/>
      <c r="AB375" s="421"/>
      <c r="AC375" s="421"/>
      <c r="AD375" s="421"/>
      <c r="AE375" s="421"/>
      <c r="AF375" s="421"/>
      <c r="AG375" s="421"/>
      <c r="AH375" s="421"/>
      <c r="AI375" s="421"/>
      <c r="AJ375" s="421"/>
      <c r="AK375" s="421"/>
      <c r="AL375" s="421"/>
      <c r="AM375" s="421"/>
      <c r="AN375" s="421"/>
    </row>
    <row r="376" spans="1:40" ht="15.75" hidden="1" customHeight="1" x14ac:dyDescent="0.4">
      <c r="A376" s="433" t="s">
        <v>622</v>
      </c>
      <c r="B376" s="424" t="s">
        <v>612</v>
      </c>
      <c r="C376" s="441" t="s">
        <v>323</v>
      </c>
      <c r="D376" s="494"/>
      <c r="E376" s="513"/>
      <c r="F376" s="442">
        <v>0</v>
      </c>
      <c r="G376" s="495"/>
      <c r="H376" s="513"/>
      <c r="I376" s="442"/>
      <c r="J376" s="434"/>
      <c r="K376" s="513"/>
      <c r="L376" s="444">
        <v>0</v>
      </c>
      <c r="M376" s="434"/>
      <c r="N376" s="490"/>
      <c r="O376" s="434"/>
      <c r="P376" s="513"/>
      <c r="Q376" s="444">
        <v>0</v>
      </c>
      <c r="R376" s="434"/>
      <c r="S376" s="490">
        <v>0</v>
      </c>
      <c r="T376" s="421"/>
      <c r="U376" s="421"/>
      <c r="V376" s="424"/>
      <c r="W376" s="421"/>
      <c r="X376" s="421"/>
      <c r="Y376" s="421"/>
      <c r="Z376" s="421"/>
      <c r="AA376" s="421"/>
      <c r="AB376" s="421"/>
      <c r="AC376" s="421"/>
      <c r="AD376" s="421"/>
      <c r="AE376" s="421"/>
      <c r="AF376" s="421"/>
      <c r="AG376" s="421"/>
      <c r="AH376" s="421"/>
      <c r="AI376" s="421"/>
      <c r="AJ376" s="421"/>
      <c r="AK376" s="421"/>
      <c r="AL376" s="421"/>
      <c r="AM376" s="421"/>
      <c r="AN376" s="421"/>
    </row>
    <row r="377" spans="1:40" ht="15.75" hidden="1" customHeight="1" x14ac:dyDescent="0.4">
      <c r="A377" s="433" t="s">
        <v>627</v>
      </c>
      <c r="B377" s="424" t="s">
        <v>612</v>
      </c>
      <c r="C377" s="499" t="s">
        <v>364</v>
      </c>
      <c r="D377" s="500" t="s">
        <v>352</v>
      </c>
      <c r="E377" s="501">
        <v>0</v>
      </c>
      <c r="F377" s="502">
        <v>0</v>
      </c>
      <c r="G377" s="503"/>
      <c r="H377" s="501"/>
      <c r="I377" s="502"/>
      <c r="J377" s="503" t="s">
        <v>352</v>
      </c>
      <c r="K377" s="501">
        <v>0</v>
      </c>
      <c r="L377" s="502">
        <v>0</v>
      </c>
      <c r="M377" s="549"/>
      <c r="N377" s="515"/>
      <c r="O377" s="503" t="s">
        <v>352</v>
      </c>
      <c r="P377" s="501">
        <v>0</v>
      </c>
      <c r="Q377" s="502">
        <v>0</v>
      </c>
      <c r="R377" s="549"/>
      <c r="S377" s="515">
        <v>0</v>
      </c>
      <c r="T377" s="421"/>
      <c r="U377" s="421"/>
      <c r="V377" s="424"/>
      <c r="W377" s="421"/>
      <c r="X377" s="421"/>
      <c r="Y377" s="421"/>
      <c r="Z377" s="421"/>
      <c r="AA377" s="421"/>
      <c r="AB377" s="421"/>
      <c r="AC377" s="421"/>
      <c r="AD377" s="421"/>
      <c r="AE377" s="421"/>
      <c r="AF377" s="421"/>
      <c r="AG377" s="421"/>
      <c r="AH377" s="421"/>
      <c r="AI377" s="421"/>
      <c r="AJ377" s="421"/>
      <c r="AK377" s="421"/>
      <c r="AL377" s="421"/>
      <c r="AM377" s="421"/>
      <c r="AN377" s="421"/>
    </row>
    <row r="378" spans="1:40" ht="15.75" hidden="1" customHeight="1" x14ac:dyDescent="0.4">
      <c r="A378" s="433" t="s">
        <v>628</v>
      </c>
      <c r="B378" s="424" t="s">
        <v>612</v>
      </c>
      <c r="C378" s="603" t="s">
        <v>366</v>
      </c>
      <c r="D378" s="491"/>
      <c r="E378" s="424"/>
      <c r="F378" s="442">
        <v>0</v>
      </c>
      <c r="G378" s="492"/>
      <c r="H378" s="424"/>
      <c r="I378" s="442"/>
      <c r="J378" s="441"/>
      <c r="K378" s="424"/>
      <c r="L378" s="444">
        <v>0</v>
      </c>
      <c r="M378" s="441"/>
      <c r="N378" s="467"/>
      <c r="O378" s="441"/>
      <c r="P378" s="424"/>
      <c r="Q378" s="444">
        <v>0</v>
      </c>
      <c r="R378" s="441"/>
      <c r="S378" s="467">
        <v>0</v>
      </c>
      <c r="T378" s="421"/>
      <c r="U378" s="421"/>
      <c r="V378" s="424"/>
      <c r="W378" s="421"/>
      <c r="X378" s="421"/>
      <c r="Y378" s="421"/>
      <c r="Z378" s="421"/>
      <c r="AA378" s="421"/>
      <c r="AB378" s="421"/>
      <c r="AC378" s="421"/>
      <c r="AD378" s="421"/>
      <c r="AE378" s="421"/>
      <c r="AF378" s="421"/>
      <c r="AG378" s="421"/>
      <c r="AH378" s="421"/>
      <c r="AI378" s="421"/>
      <c r="AJ378" s="421"/>
      <c r="AK378" s="421"/>
      <c r="AL378" s="421"/>
      <c r="AM378" s="421"/>
      <c r="AN378" s="421"/>
    </row>
    <row r="379" spans="1:40" ht="15.75" hidden="1" customHeight="1" x14ac:dyDescent="0.4">
      <c r="A379" s="433" t="s">
        <v>629</v>
      </c>
      <c r="B379" s="424" t="s">
        <v>612</v>
      </c>
      <c r="C379" s="507" t="s">
        <v>368</v>
      </c>
      <c r="D379" s="491"/>
      <c r="E379" s="424"/>
      <c r="F379" s="442">
        <v>0</v>
      </c>
      <c r="G379" s="492"/>
      <c r="H379" s="424"/>
      <c r="I379" s="442"/>
      <c r="J379" s="441"/>
      <c r="K379" s="424"/>
      <c r="L379" s="444">
        <v>0</v>
      </c>
      <c r="M379" s="441"/>
      <c r="N379" s="467"/>
      <c r="O379" s="441"/>
      <c r="P379" s="424"/>
      <c r="Q379" s="444">
        <v>0</v>
      </c>
      <c r="R379" s="441"/>
      <c r="S379" s="467">
        <v>0</v>
      </c>
      <c r="T379" s="421"/>
      <c r="U379" s="421"/>
      <c r="V379" s="424"/>
      <c r="W379" s="421"/>
      <c r="X379" s="421"/>
      <c r="Y379" s="421"/>
      <c r="Z379" s="421"/>
      <c r="AA379" s="421"/>
      <c r="AB379" s="421"/>
      <c r="AC379" s="421"/>
      <c r="AD379" s="421"/>
      <c r="AE379" s="421"/>
      <c r="AF379" s="421"/>
      <c r="AG379" s="421"/>
      <c r="AH379" s="421"/>
      <c r="AI379" s="421"/>
      <c r="AJ379" s="421"/>
      <c r="AK379" s="421"/>
      <c r="AL379" s="421"/>
      <c r="AM379" s="421"/>
      <c r="AN379" s="421"/>
    </row>
    <row r="380" spans="1:40" ht="15.75" hidden="1" customHeight="1" x14ac:dyDescent="0.4">
      <c r="A380" s="433" t="s">
        <v>630</v>
      </c>
      <c r="B380" s="424" t="s">
        <v>612</v>
      </c>
      <c r="C380" s="508" t="s">
        <v>370</v>
      </c>
      <c r="D380" s="494"/>
      <c r="E380" s="513"/>
      <c r="F380" s="436">
        <v>0</v>
      </c>
      <c r="G380" s="495"/>
      <c r="H380" s="513"/>
      <c r="I380" s="436"/>
      <c r="J380" s="434"/>
      <c r="K380" s="513"/>
      <c r="L380" s="436">
        <v>0</v>
      </c>
      <c r="M380" s="434"/>
      <c r="N380" s="490"/>
      <c r="O380" s="434"/>
      <c r="P380" s="513"/>
      <c r="Q380" s="436">
        <v>0</v>
      </c>
      <c r="R380" s="434"/>
      <c r="S380" s="490">
        <v>0</v>
      </c>
      <c r="T380" s="421"/>
      <c r="U380" s="421"/>
      <c r="V380" s="424"/>
      <c r="W380" s="421"/>
      <c r="X380" s="421"/>
      <c r="Y380" s="421"/>
      <c r="Z380" s="421"/>
      <c r="AA380" s="421"/>
      <c r="AB380" s="421"/>
      <c r="AC380" s="421"/>
      <c r="AD380" s="421"/>
      <c r="AE380" s="421"/>
      <c r="AF380" s="421"/>
      <c r="AG380" s="421"/>
      <c r="AH380" s="421"/>
      <c r="AI380" s="421"/>
      <c r="AJ380" s="421"/>
      <c r="AK380" s="421"/>
      <c r="AL380" s="421"/>
      <c r="AM380" s="421"/>
      <c r="AN380" s="421"/>
    </row>
    <row r="381" spans="1:40" ht="15.75" hidden="1" customHeight="1" x14ac:dyDescent="0.4">
      <c r="A381" s="433" t="s">
        <v>631</v>
      </c>
      <c r="B381" s="424" t="s">
        <v>612</v>
      </c>
      <c r="C381" s="507" t="s">
        <v>60</v>
      </c>
      <c r="D381" s="491"/>
      <c r="E381" s="424"/>
      <c r="F381" s="442">
        <v>0</v>
      </c>
      <c r="G381" s="492"/>
      <c r="H381" s="424"/>
      <c r="I381" s="442"/>
      <c r="J381" s="441"/>
      <c r="K381" s="424"/>
      <c r="L381" s="444">
        <v>0</v>
      </c>
      <c r="M381" s="441"/>
      <c r="N381" s="467"/>
      <c r="O381" s="441"/>
      <c r="P381" s="424"/>
      <c r="Q381" s="444">
        <v>0</v>
      </c>
      <c r="R381" s="441"/>
      <c r="S381" s="467">
        <v>0</v>
      </c>
      <c r="T381" s="421"/>
      <c r="U381" s="421"/>
      <c r="V381" s="424"/>
      <c r="W381" s="421"/>
      <c r="X381" s="421"/>
      <c r="Y381" s="421"/>
      <c r="Z381" s="421"/>
      <c r="AA381" s="421"/>
      <c r="AB381" s="421"/>
      <c r="AC381" s="421"/>
      <c r="AD381" s="421"/>
      <c r="AE381" s="421"/>
      <c r="AF381" s="421"/>
      <c r="AG381" s="421"/>
      <c r="AH381" s="421"/>
      <c r="AI381" s="421"/>
      <c r="AJ381" s="421"/>
      <c r="AK381" s="421"/>
      <c r="AL381" s="421"/>
      <c r="AM381" s="421"/>
      <c r="AN381" s="421"/>
    </row>
    <row r="382" spans="1:40" ht="15.75" hidden="1" customHeight="1" x14ac:dyDescent="0.4">
      <c r="A382" s="433" t="s">
        <v>632</v>
      </c>
      <c r="B382" s="424" t="s">
        <v>612</v>
      </c>
      <c r="C382" s="507" t="s">
        <v>373</v>
      </c>
      <c r="D382" s="491"/>
      <c r="E382" s="424"/>
      <c r="F382" s="442">
        <v>0</v>
      </c>
      <c r="G382" s="492"/>
      <c r="H382" s="424"/>
      <c r="I382" s="442"/>
      <c r="J382" s="441"/>
      <c r="K382" s="424"/>
      <c r="L382" s="444">
        <v>0</v>
      </c>
      <c r="M382" s="441"/>
      <c r="N382" s="467"/>
      <c r="O382" s="441"/>
      <c r="P382" s="424"/>
      <c r="Q382" s="444">
        <v>0</v>
      </c>
      <c r="R382" s="441"/>
      <c r="S382" s="467">
        <v>0</v>
      </c>
      <c r="T382" s="421"/>
      <c r="U382" s="421"/>
      <c r="V382" s="424"/>
      <c r="W382" s="421"/>
      <c r="X382" s="421"/>
      <c r="Y382" s="421"/>
      <c r="Z382" s="421"/>
      <c r="AA382" s="421"/>
      <c r="AB382" s="421"/>
      <c r="AC382" s="421"/>
      <c r="AD382" s="421"/>
      <c r="AE382" s="421"/>
      <c r="AF382" s="421"/>
      <c r="AG382" s="421"/>
      <c r="AH382" s="421"/>
      <c r="AI382" s="421"/>
      <c r="AJ382" s="421"/>
      <c r="AK382" s="421"/>
      <c r="AL382" s="421"/>
      <c r="AM382" s="421"/>
      <c r="AN382" s="421"/>
    </row>
    <row r="383" spans="1:40" ht="15.75" hidden="1" customHeight="1" x14ac:dyDescent="0.4">
      <c r="A383" s="433" t="s">
        <v>633</v>
      </c>
      <c r="B383" s="424" t="s">
        <v>612</v>
      </c>
      <c r="C383" s="507" t="s">
        <v>375</v>
      </c>
      <c r="D383" s="494"/>
      <c r="E383" s="513"/>
      <c r="F383" s="436">
        <v>0</v>
      </c>
      <c r="G383" s="495"/>
      <c r="H383" s="513"/>
      <c r="I383" s="436"/>
      <c r="J383" s="434"/>
      <c r="K383" s="513"/>
      <c r="L383" s="436">
        <v>0</v>
      </c>
      <c r="M383" s="434"/>
      <c r="N383" s="490"/>
      <c r="O383" s="434"/>
      <c r="P383" s="513"/>
      <c r="Q383" s="436">
        <v>0</v>
      </c>
      <c r="R383" s="434"/>
      <c r="S383" s="490">
        <v>0</v>
      </c>
      <c r="T383" s="421"/>
      <c r="U383" s="421"/>
      <c r="V383" s="424"/>
      <c r="W383" s="421"/>
      <c r="X383" s="421"/>
      <c r="Y383" s="421"/>
      <c r="Z383" s="421"/>
      <c r="AA383" s="421"/>
      <c r="AB383" s="421"/>
      <c r="AC383" s="421"/>
      <c r="AD383" s="421"/>
      <c r="AE383" s="421"/>
      <c r="AF383" s="421"/>
      <c r="AG383" s="421"/>
      <c r="AH383" s="421"/>
      <c r="AI383" s="421"/>
      <c r="AJ383" s="421"/>
      <c r="AK383" s="421"/>
      <c r="AL383" s="421"/>
      <c r="AM383" s="421"/>
      <c r="AN383" s="421"/>
    </row>
    <row r="384" spans="1:40" ht="20.25" hidden="1" customHeight="1" x14ac:dyDescent="0.4">
      <c r="A384" s="433" t="s">
        <v>634</v>
      </c>
      <c r="B384" s="424" t="s">
        <v>612</v>
      </c>
      <c r="C384" s="603" t="s">
        <v>377</v>
      </c>
      <c r="D384" s="491"/>
      <c r="E384" s="424"/>
      <c r="F384" s="442">
        <v>0</v>
      </c>
      <c r="G384" s="492"/>
      <c r="H384" s="424"/>
      <c r="I384" s="442"/>
      <c r="J384" s="441"/>
      <c r="K384" s="424"/>
      <c r="L384" s="444">
        <v>0</v>
      </c>
      <c r="M384" s="441"/>
      <c r="N384" s="467"/>
      <c r="O384" s="441"/>
      <c r="P384" s="424"/>
      <c r="Q384" s="444">
        <v>0</v>
      </c>
      <c r="R384" s="441"/>
      <c r="S384" s="467">
        <v>0</v>
      </c>
      <c r="T384" s="421"/>
      <c r="U384" s="421"/>
      <c r="V384" s="424"/>
      <c r="W384" s="421"/>
      <c r="X384" s="421"/>
      <c r="Y384" s="421"/>
      <c r="Z384" s="421"/>
      <c r="AA384" s="421"/>
      <c r="AB384" s="421"/>
      <c r="AC384" s="421"/>
      <c r="AD384" s="421"/>
      <c r="AE384" s="421"/>
      <c r="AF384" s="421"/>
      <c r="AG384" s="421"/>
      <c r="AH384" s="421"/>
      <c r="AI384" s="421"/>
      <c r="AJ384" s="421"/>
      <c r="AK384" s="421"/>
      <c r="AL384" s="421"/>
      <c r="AM384" s="421"/>
      <c r="AN384" s="421"/>
    </row>
    <row r="385" spans="1:40" ht="20.25" hidden="1" customHeight="1" x14ac:dyDescent="0.4">
      <c r="A385" s="433" t="s">
        <v>635</v>
      </c>
      <c r="B385" s="424" t="s">
        <v>612</v>
      </c>
      <c r="C385" s="507" t="s">
        <v>379</v>
      </c>
      <c r="D385" s="491"/>
      <c r="E385" s="424"/>
      <c r="F385" s="442">
        <v>0</v>
      </c>
      <c r="G385" s="492"/>
      <c r="H385" s="424"/>
      <c r="I385" s="442"/>
      <c r="J385" s="441"/>
      <c r="K385" s="424"/>
      <c r="L385" s="444">
        <v>0</v>
      </c>
      <c r="M385" s="441"/>
      <c r="N385" s="467"/>
      <c r="O385" s="441"/>
      <c r="P385" s="424"/>
      <c r="Q385" s="444">
        <v>0</v>
      </c>
      <c r="R385" s="441"/>
      <c r="S385" s="467">
        <v>0</v>
      </c>
      <c r="T385" s="421"/>
      <c r="U385" s="421"/>
      <c r="V385" s="424"/>
      <c r="W385" s="421"/>
      <c r="X385" s="421"/>
      <c r="Y385" s="421"/>
      <c r="Z385" s="421"/>
      <c r="AA385" s="421"/>
      <c r="AB385" s="421"/>
      <c r="AC385" s="421"/>
      <c r="AD385" s="421"/>
      <c r="AE385" s="421"/>
      <c r="AF385" s="421"/>
      <c r="AG385" s="421"/>
      <c r="AH385" s="421"/>
      <c r="AI385" s="421"/>
      <c r="AJ385" s="421"/>
      <c r="AK385" s="421"/>
      <c r="AL385" s="421"/>
      <c r="AM385" s="421"/>
      <c r="AN385" s="421"/>
    </row>
    <row r="386" spans="1:40" ht="20.25" hidden="1" customHeight="1" x14ac:dyDescent="0.4">
      <c r="A386" s="433" t="s">
        <v>636</v>
      </c>
      <c r="B386" s="424" t="s">
        <v>612</v>
      </c>
      <c r="C386" s="507" t="s">
        <v>381</v>
      </c>
      <c r="D386" s="491"/>
      <c r="E386" s="424"/>
      <c r="F386" s="442">
        <v>0</v>
      </c>
      <c r="G386" s="492"/>
      <c r="H386" s="424"/>
      <c r="I386" s="442"/>
      <c r="J386" s="441"/>
      <c r="K386" s="424"/>
      <c r="L386" s="444">
        <v>0</v>
      </c>
      <c r="M386" s="441"/>
      <c r="N386" s="467"/>
      <c r="O386" s="441"/>
      <c r="P386" s="424"/>
      <c r="Q386" s="444">
        <v>0</v>
      </c>
      <c r="R386" s="441"/>
      <c r="S386" s="467">
        <v>0</v>
      </c>
      <c r="T386" s="421"/>
      <c r="U386" s="421"/>
      <c r="V386" s="424"/>
      <c r="W386" s="421"/>
      <c r="X386" s="421"/>
      <c r="Y386" s="421"/>
      <c r="Z386" s="421"/>
      <c r="AA386" s="421"/>
      <c r="AB386" s="421"/>
      <c r="AC386" s="421"/>
      <c r="AD386" s="421"/>
      <c r="AE386" s="421"/>
      <c r="AF386" s="421"/>
      <c r="AG386" s="421"/>
      <c r="AH386" s="421"/>
      <c r="AI386" s="421"/>
      <c r="AJ386" s="421"/>
      <c r="AK386" s="421"/>
      <c r="AL386" s="421"/>
      <c r="AM386" s="421"/>
      <c r="AN386" s="421"/>
    </row>
    <row r="387" spans="1:40" ht="20.25" hidden="1" customHeight="1" x14ac:dyDescent="0.4">
      <c r="A387" s="433" t="s">
        <v>637</v>
      </c>
      <c r="B387" s="424" t="s">
        <v>612</v>
      </c>
      <c r="C387" s="507" t="s">
        <v>383</v>
      </c>
      <c r="D387" s="491"/>
      <c r="E387" s="424"/>
      <c r="F387" s="442">
        <v>0</v>
      </c>
      <c r="G387" s="492"/>
      <c r="H387" s="424"/>
      <c r="I387" s="442"/>
      <c r="J387" s="441"/>
      <c r="K387" s="424"/>
      <c r="L387" s="444">
        <v>0</v>
      </c>
      <c r="M387" s="441"/>
      <c r="N387" s="467"/>
      <c r="O387" s="441"/>
      <c r="P387" s="424"/>
      <c r="Q387" s="444">
        <v>0</v>
      </c>
      <c r="R387" s="441"/>
      <c r="S387" s="467">
        <v>0</v>
      </c>
      <c r="T387" s="421"/>
      <c r="U387" s="421"/>
      <c r="V387" s="424"/>
      <c r="W387" s="421"/>
      <c r="X387" s="421"/>
      <c r="Y387" s="421"/>
      <c r="Z387" s="421"/>
      <c r="AA387" s="421"/>
      <c r="AB387" s="421"/>
      <c r="AC387" s="421"/>
      <c r="AD387" s="421"/>
      <c r="AE387" s="421"/>
      <c r="AF387" s="421"/>
      <c r="AG387" s="421"/>
      <c r="AH387" s="421"/>
      <c r="AI387" s="421"/>
      <c r="AJ387" s="421"/>
      <c r="AK387" s="421"/>
      <c r="AL387" s="421"/>
      <c r="AM387" s="421"/>
      <c r="AN387" s="421"/>
    </row>
    <row r="388" spans="1:40" ht="20.25" hidden="1" customHeight="1" x14ac:dyDescent="0.4">
      <c r="A388" s="433" t="s">
        <v>638</v>
      </c>
      <c r="B388" s="424" t="s">
        <v>612</v>
      </c>
      <c r="C388" s="507" t="s">
        <v>385</v>
      </c>
      <c r="D388" s="491"/>
      <c r="E388" s="424"/>
      <c r="F388" s="442">
        <v>0</v>
      </c>
      <c r="G388" s="492"/>
      <c r="H388" s="424"/>
      <c r="I388" s="442"/>
      <c r="J388" s="441"/>
      <c r="K388" s="424"/>
      <c r="L388" s="444">
        <v>0</v>
      </c>
      <c r="M388" s="441"/>
      <c r="N388" s="467"/>
      <c r="O388" s="441"/>
      <c r="P388" s="424"/>
      <c r="Q388" s="444">
        <v>0</v>
      </c>
      <c r="R388" s="441"/>
      <c r="S388" s="467">
        <v>0</v>
      </c>
      <c r="T388" s="421"/>
      <c r="U388" s="421"/>
      <c r="V388" s="424"/>
      <c r="W388" s="421"/>
      <c r="X388" s="421"/>
      <c r="Y388" s="421"/>
      <c r="Z388" s="421"/>
      <c r="AA388" s="421"/>
      <c r="AB388" s="421"/>
      <c r="AC388" s="421"/>
      <c r="AD388" s="421"/>
      <c r="AE388" s="421"/>
      <c r="AF388" s="421"/>
      <c r="AG388" s="421"/>
      <c r="AH388" s="421"/>
      <c r="AI388" s="421"/>
      <c r="AJ388" s="421"/>
      <c r="AK388" s="421"/>
      <c r="AL388" s="421"/>
      <c r="AM388" s="421"/>
      <c r="AN388" s="421"/>
    </row>
    <row r="389" spans="1:40" ht="20.25" hidden="1" customHeight="1" x14ac:dyDescent="0.4">
      <c r="A389" s="433" t="s">
        <v>639</v>
      </c>
      <c r="B389" s="424" t="s">
        <v>612</v>
      </c>
      <c r="C389" s="507" t="s">
        <v>387</v>
      </c>
      <c r="D389" s="491"/>
      <c r="E389" s="424"/>
      <c r="F389" s="442">
        <v>0</v>
      </c>
      <c r="G389" s="492"/>
      <c r="H389" s="424"/>
      <c r="I389" s="442"/>
      <c r="J389" s="441"/>
      <c r="K389" s="424"/>
      <c r="L389" s="444">
        <v>0</v>
      </c>
      <c r="M389" s="441"/>
      <c r="N389" s="467"/>
      <c r="O389" s="441"/>
      <c r="P389" s="424"/>
      <c r="Q389" s="444">
        <v>0</v>
      </c>
      <c r="R389" s="441"/>
      <c r="S389" s="467">
        <v>0</v>
      </c>
      <c r="T389" s="421"/>
      <c r="U389" s="421"/>
      <c r="V389" s="424"/>
      <c r="W389" s="421"/>
      <c r="X389" s="421"/>
      <c r="Y389" s="421"/>
      <c r="Z389" s="421"/>
      <c r="AA389" s="421"/>
      <c r="AB389" s="421"/>
      <c r="AC389" s="421"/>
      <c r="AD389" s="421"/>
      <c r="AE389" s="421"/>
      <c r="AF389" s="421"/>
      <c r="AG389" s="421"/>
      <c r="AH389" s="421"/>
      <c r="AI389" s="421"/>
      <c r="AJ389" s="421"/>
      <c r="AK389" s="421"/>
      <c r="AL389" s="421"/>
      <c r="AM389" s="421"/>
      <c r="AN389" s="421"/>
    </row>
    <row r="390" spans="1:40" ht="20.25" hidden="1" customHeight="1" x14ac:dyDescent="0.4">
      <c r="A390" s="433" t="s">
        <v>640</v>
      </c>
      <c r="B390" s="424" t="s">
        <v>612</v>
      </c>
      <c r="C390" s="507" t="s">
        <v>389</v>
      </c>
      <c r="D390" s="491"/>
      <c r="E390" s="424"/>
      <c r="F390" s="442">
        <v>0</v>
      </c>
      <c r="G390" s="492"/>
      <c r="H390" s="424"/>
      <c r="I390" s="442"/>
      <c r="J390" s="441"/>
      <c r="K390" s="424"/>
      <c r="L390" s="444">
        <v>0</v>
      </c>
      <c r="M390" s="441"/>
      <c r="N390" s="467"/>
      <c r="O390" s="441"/>
      <c r="P390" s="424"/>
      <c r="Q390" s="444">
        <v>0</v>
      </c>
      <c r="R390" s="441"/>
      <c r="S390" s="467">
        <v>0</v>
      </c>
      <c r="T390" s="421"/>
      <c r="U390" s="421"/>
      <c r="V390" s="424"/>
      <c r="W390" s="421"/>
      <c r="X390" s="421"/>
      <c r="Y390" s="421"/>
      <c r="Z390" s="421"/>
      <c r="AA390" s="421"/>
      <c r="AB390" s="421"/>
      <c r="AC390" s="421"/>
      <c r="AD390" s="421"/>
      <c r="AE390" s="421"/>
      <c r="AF390" s="421"/>
      <c r="AG390" s="421"/>
      <c r="AH390" s="421"/>
      <c r="AI390" s="421"/>
      <c r="AJ390" s="421"/>
      <c r="AK390" s="421"/>
      <c r="AL390" s="421"/>
      <c r="AM390" s="421"/>
      <c r="AN390" s="421"/>
    </row>
    <row r="391" spans="1:40" ht="20.25" hidden="1" customHeight="1" x14ac:dyDescent="0.4">
      <c r="A391" s="433" t="s">
        <v>641</v>
      </c>
      <c r="B391" s="424" t="s">
        <v>612</v>
      </c>
      <c r="C391" s="507" t="s">
        <v>391</v>
      </c>
      <c r="D391" s="491"/>
      <c r="E391" s="424"/>
      <c r="F391" s="442">
        <v>0</v>
      </c>
      <c r="G391" s="492"/>
      <c r="H391" s="424"/>
      <c r="I391" s="442"/>
      <c r="J391" s="441"/>
      <c r="K391" s="424"/>
      <c r="L391" s="444">
        <v>0</v>
      </c>
      <c r="M391" s="441"/>
      <c r="N391" s="467"/>
      <c r="O391" s="441"/>
      <c r="P391" s="424"/>
      <c r="Q391" s="444">
        <v>0</v>
      </c>
      <c r="R391" s="441"/>
      <c r="S391" s="467">
        <v>0</v>
      </c>
      <c r="T391" s="421"/>
      <c r="U391" s="421"/>
      <c r="V391" s="424"/>
      <c r="W391" s="421"/>
      <c r="X391" s="421"/>
      <c r="Y391" s="421"/>
      <c r="Z391" s="421"/>
      <c r="AA391" s="421"/>
      <c r="AB391" s="421"/>
      <c r="AC391" s="421"/>
      <c r="AD391" s="421"/>
      <c r="AE391" s="421"/>
      <c r="AF391" s="421"/>
      <c r="AG391" s="421"/>
      <c r="AH391" s="421"/>
      <c r="AI391" s="421"/>
      <c r="AJ391" s="421"/>
      <c r="AK391" s="421"/>
      <c r="AL391" s="421"/>
      <c r="AM391" s="421"/>
      <c r="AN391" s="421"/>
    </row>
    <row r="392" spans="1:40" ht="15.75" hidden="1" customHeight="1" x14ac:dyDescent="0.4">
      <c r="A392" s="433" t="s">
        <v>622</v>
      </c>
      <c r="B392" s="424" t="s">
        <v>612</v>
      </c>
      <c r="C392" s="507" t="s">
        <v>323</v>
      </c>
      <c r="D392" s="491"/>
      <c r="E392" s="424"/>
      <c r="F392" s="442">
        <v>0</v>
      </c>
      <c r="G392" s="492"/>
      <c r="H392" s="424"/>
      <c r="I392" s="442"/>
      <c r="J392" s="441"/>
      <c r="K392" s="424"/>
      <c r="L392" s="444">
        <v>0</v>
      </c>
      <c r="M392" s="441"/>
      <c r="N392" s="467"/>
      <c r="O392" s="441"/>
      <c r="P392" s="424"/>
      <c r="Q392" s="444">
        <v>0</v>
      </c>
      <c r="R392" s="441"/>
      <c r="S392" s="467">
        <v>0</v>
      </c>
      <c r="T392" s="421"/>
      <c r="U392" s="421"/>
      <c r="V392" s="424"/>
      <c r="W392" s="421"/>
      <c r="X392" s="421"/>
      <c r="Y392" s="421"/>
      <c r="Z392" s="421"/>
      <c r="AA392" s="421"/>
      <c r="AB392" s="421"/>
      <c r="AC392" s="421"/>
      <c r="AD392" s="421"/>
      <c r="AE392" s="421"/>
      <c r="AF392" s="421"/>
      <c r="AG392" s="421"/>
      <c r="AH392" s="421"/>
      <c r="AI392" s="421"/>
      <c r="AJ392" s="421"/>
      <c r="AK392" s="421"/>
      <c r="AL392" s="421"/>
      <c r="AM392" s="421"/>
      <c r="AN392" s="421"/>
    </row>
    <row r="393" spans="1:40" ht="15.75" hidden="1" customHeight="1" x14ac:dyDescent="0.4">
      <c r="A393" s="433" t="s">
        <v>622</v>
      </c>
      <c r="B393" s="424" t="s">
        <v>612</v>
      </c>
      <c r="C393" s="507" t="s">
        <v>323</v>
      </c>
      <c r="D393" s="491"/>
      <c r="E393" s="424"/>
      <c r="F393" s="442">
        <v>0</v>
      </c>
      <c r="G393" s="492"/>
      <c r="H393" s="424"/>
      <c r="I393" s="442"/>
      <c r="J393" s="441"/>
      <c r="K393" s="424"/>
      <c r="L393" s="444">
        <v>0</v>
      </c>
      <c r="M393" s="441"/>
      <c r="N393" s="467"/>
      <c r="O393" s="441"/>
      <c r="P393" s="424"/>
      <c r="Q393" s="444">
        <v>0</v>
      </c>
      <c r="R393" s="441"/>
      <c r="S393" s="467">
        <v>0</v>
      </c>
      <c r="T393" s="421"/>
      <c r="U393" s="421"/>
      <c r="V393" s="424"/>
      <c r="W393" s="421"/>
      <c r="X393" s="421"/>
      <c r="Y393" s="421"/>
      <c r="Z393" s="421"/>
      <c r="AA393" s="421"/>
      <c r="AB393" s="421"/>
      <c r="AC393" s="421"/>
      <c r="AD393" s="421"/>
      <c r="AE393" s="421"/>
      <c r="AF393" s="421"/>
      <c r="AG393" s="421"/>
      <c r="AH393" s="421"/>
      <c r="AI393" s="421"/>
      <c r="AJ393" s="421"/>
      <c r="AK393" s="421"/>
      <c r="AL393" s="421"/>
      <c r="AM393" s="421"/>
      <c r="AN393" s="421"/>
    </row>
    <row r="394" spans="1:40" ht="15.75" hidden="1" customHeight="1" x14ac:dyDescent="0.4">
      <c r="A394" s="433" t="s">
        <v>622</v>
      </c>
      <c r="B394" s="424" t="s">
        <v>612</v>
      </c>
      <c r="C394" s="507" t="s">
        <v>323</v>
      </c>
      <c r="D394" s="494"/>
      <c r="E394" s="513"/>
      <c r="F394" s="442">
        <v>0</v>
      </c>
      <c r="G394" s="495"/>
      <c r="H394" s="513"/>
      <c r="I394" s="442"/>
      <c r="J394" s="434"/>
      <c r="K394" s="513"/>
      <c r="L394" s="444">
        <v>0</v>
      </c>
      <c r="M394" s="434"/>
      <c r="N394" s="490"/>
      <c r="O394" s="434"/>
      <c r="P394" s="513"/>
      <c r="Q394" s="444">
        <v>0</v>
      </c>
      <c r="R394" s="434"/>
      <c r="S394" s="490">
        <v>0</v>
      </c>
      <c r="T394" s="421"/>
      <c r="U394" s="421"/>
      <c r="V394" s="424"/>
      <c r="W394" s="421"/>
      <c r="X394" s="421"/>
      <c r="Y394" s="421"/>
      <c r="Z394" s="421"/>
      <c r="AA394" s="421"/>
      <c r="AB394" s="421"/>
      <c r="AC394" s="421"/>
      <c r="AD394" s="421"/>
      <c r="AE394" s="421"/>
      <c r="AF394" s="421"/>
      <c r="AG394" s="421"/>
      <c r="AH394" s="421"/>
      <c r="AI394" s="421"/>
      <c r="AJ394" s="421"/>
      <c r="AK394" s="421"/>
      <c r="AL394" s="421"/>
      <c r="AM394" s="421"/>
      <c r="AN394" s="421"/>
    </row>
    <row r="395" spans="1:40" ht="15.75" hidden="1" customHeight="1" x14ac:dyDescent="0.4">
      <c r="B395" s="418"/>
      <c r="C395" s="499" t="s">
        <v>393</v>
      </c>
      <c r="D395" s="500" t="s">
        <v>352</v>
      </c>
      <c r="E395" s="501">
        <v>0</v>
      </c>
      <c r="F395" s="502">
        <v>0</v>
      </c>
      <c r="G395" s="503"/>
      <c r="H395" s="501"/>
      <c r="I395" s="502"/>
      <c r="J395" s="503" t="s">
        <v>352</v>
      </c>
      <c r="K395" s="501">
        <v>0</v>
      </c>
      <c r="L395" s="502">
        <v>0</v>
      </c>
      <c r="M395" s="549"/>
      <c r="N395" s="502"/>
      <c r="O395" s="503" t="s">
        <v>352</v>
      </c>
      <c r="P395" s="501">
        <v>0</v>
      </c>
      <c r="Q395" s="502">
        <v>0</v>
      </c>
      <c r="R395" s="549"/>
      <c r="S395" s="515">
        <v>0</v>
      </c>
      <c r="T395" s="421"/>
      <c r="U395" s="421"/>
      <c r="V395" s="424"/>
      <c r="W395" s="421"/>
      <c r="X395" s="421"/>
      <c r="Y395" s="421"/>
      <c r="Z395" s="421"/>
      <c r="AA395" s="421"/>
      <c r="AB395" s="421"/>
      <c r="AC395" s="421"/>
      <c r="AD395" s="421"/>
      <c r="AE395" s="421"/>
      <c r="AF395" s="421"/>
      <c r="AG395" s="421"/>
      <c r="AH395" s="421"/>
      <c r="AI395" s="421"/>
      <c r="AJ395" s="421"/>
      <c r="AK395" s="421"/>
      <c r="AL395" s="421"/>
      <c r="AM395" s="421"/>
      <c r="AN395" s="421"/>
    </row>
    <row r="396" spans="1:40" ht="15.75" hidden="1" customHeight="1" x14ac:dyDescent="0.4">
      <c r="B396" s="418"/>
      <c r="C396" s="441"/>
      <c r="D396" s="424"/>
      <c r="E396" s="424"/>
      <c r="F396" s="451"/>
      <c r="G396" s="441"/>
      <c r="H396" s="424"/>
      <c r="I396" s="451"/>
      <c r="J396" s="441"/>
      <c r="K396" s="424"/>
      <c r="L396" s="451"/>
      <c r="M396" s="460"/>
      <c r="N396" s="481"/>
      <c r="O396" s="441"/>
      <c r="P396" s="424"/>
      <c r="Q396" s="451"/>
      <c r="R396" s="441"/>
      <c r="S396" s="481"/>
      <c r="T396" s="421"/>
      <c r="U396" s="421"/>
      <c r="V396" s="424"/>
      <c r="W396" s="421"/>
      <c r="X396" s="421"/>
      <c r="Y396" s="421"/>
      <c r="Z396" s="421"/>
      <c r="AA396" s="421"/>
      <c r="AB396" s="421"/>
      <c r="AC396" s="421"/>
      <c r="AD396" s="421"/>
      <c r="AE396" s="421"/>
      <c r="AF396" s="421"/>
      <c r="AG396" s="421"/>
      <c r="AH396" s="421"/>
      <c r="AI396" s="421"/>
      <c r="AJ396" s="421"/>
      <c r="AK396" s="421"/>
      <c r="AL396" s="421"/>
      <c r="AM396" s="421"/>
      <c r="AN396" s="421"/>
    </row>
    <row r="397" spans="1:40" ht="15.75" hidden="1" customHeight="1" x14ac:dyDescent="0.4">
      <c r="B397" s="418"/>
      <c r="C397" s="499" t="s">
        <v>395</v>
      </c>
      <c r="D397" s="500" t="s">
        <v>352</v>
      </c>
      <c r="E397" s="501">
        <v>0</v>
      </c>
      <c r="F397" s="502">
        <v>0</v>
      </c>
      <c r="G397" s="503"/>
      <c r="H397" s="501"/>
      <c r="I397" s="502"/>
      <c r="J397" s="503" t="s">
        <v>352</v>
      </c>
      <c r="K397" s="501">
        <v>0</v>
      </c>
      <c r="L397" s="502">
        <v>0</v>
      </c>
      <c r="M397" s="499"/>
      <c r="N397" s="502"/>
      <c r="O397" s="503" t="s">
        <v>352</v>
      </c>
      <c r="P397" s="501">
        <v>0</v>
      </c>
      <c r="Q397" s="502">
        <v>0</v>
      </c>
      <c r="R397" s="506"/>
      <c r="S397" s="502">
        <v>0</v>
      </c>
      <c r="T397" s="421"/>
      <c r="U397" s="421"/>
      <c r="V397" s="424"/>
      <c r="W397" s="421"/>
      <c r="X397" s="421"/>
      <c r="Y397" s="421"/>
      <c r="Z397" s="421"/>
      <c r="AA397" s="421"/>
      <c r="AB397" s="421"/>
      <c r="AC397" s="421"/>
      <c r="AD397" s="421"/>
      <c r="AE397" s="421"/>
      <c r="AF397" s="421"/>
      <c r="AG397" s="421"/>
      <c r="AH397" s="421"/>
      <c r="AI397" s="421"/>
      <c r="AJ397" s="421"/>
      <c r="AK397" s="421"/>
      <c r="AL397" s="421"/>
      <c r="AM397" s="421"/>
      <c r="AN397" s="421"/>
    </row>
    <row r="398" spans="1:40" ht="15.75" hidden="1" customHeight="1" x14ac:dyDescent="0.4">
      <c r="B398" s="418"/>
      <c r="C398" s="441"/>
      <c r="D398" s="424"/>
      <c r="E398" s="424"/>
      <c r="F398" s="467"/>
      <c r="G398" s="441"/>
      <c r="H398" s="424"/>
      <c r="I398" s="467"/>
      <c r="J398" s="441"/>
      <c r="K398" s="424"/>
      <c r="L398" s="467"/>
      <c r="M398" s="460"/>
      <c r="N398" s="481"/>
      <c r="O398" s="441"/>
      <c r="P398" s="424"/>
      <c r="Q398" s="467"/>
      <c r="R398" s="441"/>
      <c r="S398" s="481"/>
      <c r="T398" s="421"/>
      <c r="U398" s="421"/>
      <c r="V398" s="424"/>
      <c r="W398" s="421"/>
      <c r="X398" s="421"/>
      <c r="Y398" s="421"/>
      <c r="Z398" s="421"/>
      <c r="AA398" s="421"/>
      <c r="AB398" s="421"/>
      <c r="AC398" s="421"/>
      <c r="AD398" s="421"/>
      <c r="AE398" s="421"/>
      <c r="AF398" s="421"/>
      <c r="AG398" s="421"/>
      <c r="AH398" s="421"/>
      <c r="AI398" s="421"/>
      <c r="AJ398" s="421"/>
      <c r="AK398" s="421"/>
      <c r="AL398" s="421"/>
      <c r="AM398" s="421"/>
      <c r="AN398" s="421"/>
    </row>
    <row r="399" spans="1:40" ht="15.75" hidden="1" customHeight="1" x14ac:dyDescent="0.4">
      <c r="B399" s="418"/>
      <c r="C399" s="628" t="s">
        <v>409</v>
      </c>
      <c r="D399" s="629"/>
      <c r="E399" s="629"/>
      <c r="F399" s="630">
        <v>0</v>
      </c>
      <c r="G399" s="628"/>
      <c r="H399" s="629"/>
      <c r="I399" s="630"/>
      <c r="J399" s="631"/>
      <c r="K399" s="632"/>
      <c r="L399" s="630">
        <v>0</v>
      </c>
      <c r="M399" s="628"/>
      <c r="N399" s="630"/>
      <c r="O399" s="631"/>
      <c r="P399" s="632"/>
      <c r="Q399" s="630">
        <v>0</v>
      </c>
      <c r="R399" s="631"/>
      <c r="S399" s="630">
        <v>0</v>
      </c>
      <c r="T399" s="421"/>
      <c r="U399" s="421"/>
      <c r="V399" s="424"/>
      <c r="W399" s="421"/>
      <c r="X399" s="421"/>
      <c r="Y399" s="421"/>
      <c r="Z399" s="421"/>
      <c r="AA399" s="421"/>
      <c r="AB399" s="421"/>
      <c r="AC399" s="421"/>
      <c r="AD399" s="421"/>
      <c r="AE399" s="421"/>
      <c r="AF399" s="421"/>
      <c r="AG399" s="421"/>
      <c r="AH399" s="421"/>
      <c r="AI399" s="421"/>
      <c r="AJ399" s="421"/>
      <c r="AK399" s="421"/>
      <c r="AL399" s="421"/>
      <c r="AM399" s="421"/>
      <c r="AN399" s="421"/>
    </row>
    <row r="400" spans="1:40" ht="15.75" customHeight="1" x14ac:dyDescent="0.4">
      <c r="B400" s="418"/>
      <c r="C400" s="480"/>
      <c r="D400" s="633"/>
      <c r="E400" s="424"/>
      <c r="F400" s="514">
        <v>85684.819957104482</v>
      </c>
      <c r="G400" s="491"/>
      <c r="H400" s="424"/>
      <c r="I400" s="514"/>
      <c r="J400" s="633"/>
      <c r="K400" s="480"/>
      <c r="L400" s="514">
        <v>131346.90999999997</v>
      </c>
      <c r="M400" s="480"/>
      <c r="N400" s="514"/>
      <c r="O400" s="480"/>
      <c r="P400" s="480"/>
      <c r="Q400" s="514"/>
      <c r="R400" s="480"/>
      <c r="S400" s="514"/>
      <c r="T400" s="424"/>
      <c r="U400" s="424"/>
      <c r="V400" s="424"/>
      <c r="W400" s="424"/>
      <c r="X400" s="424"/>
      <c r="Y400" s="424"/>
      <c r="Z400" s="424"/>
      <c r="AA400" s="424"/>
      <c r="AB400" s="424"/>
      <c r="AC400" s="424"/>
      <c r="AD400" s="424"/>
      <c r="AE400" s="424"/>
      <c r="AF400" s="424"/>
      <c r="AG400" s="424"/>
      <c r="AH400" s="424"/>
      <c r="AI400" s="424"/>
      <c r="AJ400" s="424"/>
      <c r="AK400" s="424"/>
      <c r="AL400" s="424"/>
      <c r="AM400" s="424"/>
      <c r="AN400" s="424"/>
    </row>
    <row r="401" spans="1:61" ht="15.75" customHeight="1" x14ac:dyDescent="0.4">
      <c r="B401" s="418"/>
      <c r="F401" s="634">
        <v>85304.582327584096</v>
      </c>
      <c r="L401" s="634">
        <v>132676.50999999998</v>
      </c>
      <c r="V401" s="424"/>
      <c r="W401" s="421"/>
      <c r="X401" s="421"/>
      <c r="Y401" s="421"/>
      <c r="Z401" s="421"/>
      <c r="AA401" s="421"/>
      <c r="AB401" s="421"/>
      <c r="AC401" s="421"/>
      <c r="AD401" s="421"/>
      <c r="AE401" s="421"/>
      <c r="AF401" s="421"/>
      <c r="AG401" s="421"/>
      <c r="AH401" s="421"/>
      <c r="AI401" s="421"/>
      <c r="AJ401" s="421"/>
      <c r="AK401" s="421"/>
      <c r="AL401" s="421"/>
      <c r="AM401" s="421"/>
      <c r="AN401" s="421"/>
    </row>
    <row r="402" spans="1:61" ht="35" x14ac:dyDescent="0.7">
      <c r="B402" s="418"/>
      <c r="C402" s="635" t="s">
        <v>642</v>
      </c>
      <c r="F402" s="634"/>
      <c r="L402" s="634"/>
      <c r="V402" s="636" t="s">
        <v>706</v>
      </c>
      <c r="W402" s="410"/>
      <c r="X402" s="410"/>
      <c r="Y402" s="410"/>
      <c r="Z402" s="410"/>
      <c r="AA402" s="410"/>
      <c r="AB402" s="410"/>
      <c r="AC402" s="410"/>
      <c r="AD402" s="410"/>
      <c r="AE402" s="412" t="s">
        <v>643</v>
      </c>
      <c r="AF402" s="410"/>
      <c r="AG402" s="410"/>
      <c r="AH402" s="410"/>
      <c r="AI402" s="410"/>
      <c r="AJ402" s="637"/>
      <c r="AK402" s="412"/>
      <c r="AL402" s="410"/>
      <c r="AM402" s="410"/>
      <c r="AN402" s="410"/>
      <c r="AO402" s="637" t="s">
        <v>723</v>
      </c>
      <c r="AP402" s="421"/>
      <c r="AQ402" s="421"/>
      <c r="AR402" s="421"/>
      <c r="AS402" s="421"/>
      <c r="AT402" s="421"/>
      <c r="AU402" s="421"/>
      <c r="AV402" s="421"/>
      <c r="AW402" s="421"/>
      <c r="AX402" s="421"/>
      <c r="AY402" s="421"/>
      <c r="AZ402" s="421"/>
      <c r="BA402" s="421"/>
      <c r="BB402" s="421"/>
      <c r="BC402" s="421"/>
      <c r="BD402" s="421"/>
      <c r="BE402" s="421"/>
      <c r="BF402" s="421"/>
      <c r="BG402" s="421"/>
      <c r="BH402" s="421"/>
      <c r="BI402" s="421"/>
    </row>
    <row r="403" spans="1:61" ht="15.75" customHeight="1" thickBot="1" x14ac:dyDescent="0.4">
      <c r="B403" s="418"/>
      <c r="C403" s="635" t="s">
        <v>642</v>
      </c>
      <c r="V403" s="638"/>
      <c r="W403" s="420"/>
      <c r="X403" s="420"/>
      <c r="Y403" s="420"/>
      <c r="Z403" s="420"/>
      <c r="AA403" s="420"/>
      <c r="AB403" s="420"/>
      <c r="AC403" s="420"/>
      <c r="AD403" s="420"/>
      <c r="AE403" s="420"/>
      <c r="AF403" s="420"/>
      <c r="AG403" s="420"/>
      <c r="AH403" s="420"/>
      <c r="AI403" s="420"/>
      <c r="AJ403" s="420"/>
      <c r="AK403" s="420"/>
      <c r="AL403" s="421"/>
      <c r="AM403" s="421"/>
      <c r="AN403" s="421"/>
      <c r="AO403" s="421"/>
      <c r="AP403" s="421"/>
      <c r="AQ403" s="421"/>
      <c r="AR403" s="421"/>
      <c r="AS403" s="421"/>
      <c r="AT403" s="421"/>
      <c r="AU403" s="421"/>
      <c r="AV403" s="421"/>
      <c r="AW403" s="421"/>
      <c r="AX403" s="421"/>
      <c r="AY403" s="421"/>
      <c r="AZ403" s="421"/>
      <c r="BA403" s="421"/>
      <c r="BB403" s="421"/>
      <c r="BC403" s="421"/>
      <c r="BD403" s="421"/>
      <c r="BE403" s="421"/>
      <c r="BF403" s="421"/>
      <c r="BG403" s="421"/>
      <c r="BH403" s="421"/>
      <c r="BI403" s="421"/>
    </row>
    <row r="404" spans="1:61" ht="15.75" customHeight="1" thickTop="1" thickBot="1" x14ac:dyDescent="0.45">
      <c r="A404" s="433" t="s">
        <v>644</v>
      </c>
      <c r="B404" s="418"/>
      <c r="C404" s="635" t="s">
        <v>642</v>
      </c>
      <c r="V404" s="639"/>
      <c r="W404" s="640"/>
      <c r="X404" s="791" t="s">
        <v>645</v>
      </c>
      <c r="Y404" s="785"/>
      <c r="Z404" s="792"/>
      <c r="AA404" s="784"/>
      <c r="AB404" s="785"/>
      <c r="AC404" s="792"/>
      <c r="AD404" s="784" t="s">
        <v>300</v>
      </c>
      <c r="AE404" s="785"/>
      <c r="AF404" s="792"/>
      <c r="AG404" s="784" t="s">
        <v>301</v>
      </c>
      <c r="AH404" s="785"/>
      <c r="AI404" s="792"/>
      <c r="AJ404" s="784" t="s">
        <v>646</v>
      </c>
      <c r="AK404" s="785"/>
      <c r="AL404" s="785"/>
      <c r="AM404" s="784" t="s">
        <v>647</v>
      </c>
      <c r="AN404" s="785"/>
      <c r="AO404" s="786"/>
      <c r="AP404" s="421"/>
      <c r="AQ404" s="421"/>
      <c r="AR404" s="421"/>
      <c r="AS404" s="421"/>
      <c r="AT404" s="421"/>
      <c r="AU404" s="421"/>
      <c r="AV404" s="421"/>
      <c r="AW404" s="421"/>
      <c r="AX404" s="421"/>
      <c r="AY404" s="421"/>
      <c r="AZ404" s="421"/>
      <c r="BA404" s="421"/>
      <c r="BB404" s="421"/>
      <c r="BC404" s="421"/>
      <c r="BD404" s="421"/>
      <c r="BE404" s="421"/>
      <c r="BF404" s="421"/>
      <c r="BG404" s="421"/>
      <c r="BH404" s="421"/>
      <c r="BI404" s="421"/>
    </row>
    <row r="405" spans="1:61" ht="15.75" customHeight="1" x14ac:dyDescent="0.4">
      <c r="A405" s="433" t="s">
        <v>644</v>
      </c>
      <c r="B405" s="418"/>
      <c r="C405" s="635" t="s">
        <v>642</v>
      </c>
      <c r="V405" s="434"/>
      <c r="W405" s="598" t="s">
        <v>648</v>
      </c>
      <c r="X405" s="598" t="s">
        <v>649</v>
      </c>
      <c r="Y405" s="598" t="s">
        <v>650</v>
      </c>
      <c r="Z405" s="641" t="s">
        <v>651</v>
      </c>
      <c r="AA405" s="598"/>
      <c r="AB405" s="598"/>
      <c r="AC405" s="641"/>
      <c r="AD405" s="642" t="s">
        <v>649</v>
      </c>
      <c r="AE405" s="598" t="s">
        <v>650</v>
      </c>
      <c r="AF405" s="598" t="s">
        <v>651</v>
      </c>
      <c r="AG405" s="642" t="s">
        <v>652</v>
      </c>
      <c r="AH405" s="598" t="s">
        <v>653</v>
      </c>
      <c r="AI405" s="598" t="s">
        <v>654</v>
      </c>
      <c r="AJ405" s="642" t="s">
        <v>649</v>
      </c>
      <c r="AK405" s="598" t="s">
        <v>650</v>
      </c>
      <c r="AL405" s="598" t="s">
        <v>651</v>
      </c>
      <c r="AM405" s="643" t="s">
        <v>652</v>
      </c>
      <c r="AN405" s="598" t="s">
        <v>653</v>
      </c>
      <c r="AO405" s="538" t="s">
        <v>654</v>
      </c>
      <c r="AP405" s="421"/>
      <c r="AQ405" s="421"/>
      <c r="AR405" s="421"/>
      <c r="AS405" s="421"/>
      <c r="AT405" s="421"/>
      <c r="AU405" s="421"/>
      <c r="AV405" s="421"/>
      <c r="AW405" s="421"/>
      <c r="AX405" s="421"/>
      <c r="AY405" s="421"/>
      <c r="AZ405" s="421"/>
      <c r="BA405" s="421"/>
      <c r="BB405" s="421"/>
      <c r="BC405" s="421"/>
      <c r="BD405" s="421"/>
      <c r="BE405" s="421"/>
      <c r="BF405" s="421"/>
      <c r="BG405" s="421"/>
      <c r="BH405" s="421"/>
      <c r="BI405" s="421"/>
    </row>
    <row r="406" spans="1:61" ht="15.75" customHeight="1" x14ac:dyDescent="0.35">
      <c r="A406" s="433" t="s">
        <v>310</v>
      </c>
      <c r="B406" s="418"/>
      <c r="C406" s="635" t="s">
        <v>642</v>
      </c>
      <c r="V406" s="508" t="s">
        <v>310</v>
      </c>
      <c r="W406" s="644"/>
      <c r="X406" s="644"/>
      <c r="Y406" s="644"/>
      <c r="Z406" s="645">
        <v>6284852.3733866792</v>
      </c>
      <c r="AA406" s="644"/>
      <c r="AB406" s="644"/>
      <c r="AC406" s="645"/>
      <c r="AD406" s="646"/>
      <c r="AE406" s="647"/>
      <c r="AF406" s="647">
        <v>6749179.2500000009</v>
      </c>
      <c r="AG406" s="646"/>
      <c r="AH406" s="647"/>
      <c r="AI406" s="648"/>
      <c r="AJ406" s="646"/>
      <c r="AK406" s="647"/>
      <c r="AL406" s="647">
        <v>6651956.52999999</v>
      </c>
      <c r="AM406" s="649"/>
      <c r="AN406" s="647"/>
      <c r="AO406" s="650"/>
      <c r="AP406" s="421"/>
      <c r="AQ406" s="421"/>
      <c r="AR406" s="421"/>
      <c r="AS406" s="421"/>
      <c r="AT406" s="421"/>
      <c r="AU406" s="421"/>
      <c r="AV406" s="421"/>
      <c r="AW406" s="421"/>
      <c r="AX406" s="421"/>
      <c r="AY406" s="421"/>
      <c r="AZ406" s="421"/>
      <c r="BA406" s="421"/>
      <c r="BB406" s="421"/>
      <c r="BC406" s="421"/>
      <c r="BD406" s="421"/>
      <c r="BE406" s="421"/>
      <c r="BF406" s="421"/>
      <c r="BG406" s="421"/>
      <c r="BH406" s="421"/>
      <c r="BI406" s="421"/>
    </row>
    <row r="407" spans="1:61" ht="15.75" customHeight="1" x14ac:dyDescent="0.4">
      <c r="A407" s="433" t="s">
        <v>40</v>
      </c>
      <c r="B407" s="418"/>
      <c r="C407" s="635" t="s">
        <v>642</v>
      </c>
      <c r="V407" s="651" t="s">
        <v>40</v>
      </c>
      <c r="W407" s="652"/>
      <c r="X407" s="401">
        <v>0.11414958528676429</v>
      </c>
      <c r="Y407" s="652"/>
      <c r="Z407" s="653">
        <v>717413.29201062571</v>
      </c>
      <c r="AA407" s="652"/>
      <c r="AB407" s="652"/>
      <c r="AC407" s="653"/>
      <c r="AD407" s="401">
        <v>0.11520614599175152</v>
      </c>
      <c r="AE407" s="654"/>
      <c r="AF407" s="653">
        <v>777546.93000000017</v>
      </c>
      <c r="AG407" s="655"/>
      <c r="AH407" s="654">
        <v>60133.63798937446</v>
      </c>
      <c r="AI407" s="656">
        <v>8.382007785337188E-2</v>
      </c>
      <c r="AJ407" s="401">
        <v>0.10025882715742875</v>
      </c>
      <c r="AK407" s="654"/>
      <c r="AL407" s="654">
        <v>666917.35999999847</v>
      </c>
      <c r="AM407" s="657"/>
      <c r="AN407" s="654">
        <v>110629.5700000017</v>
      </c>
      <c r="AO407" s="658">
        <v>0.16588197674146907</v>
      </c>
      <c r="AP407" s="421"/>
      <c r="AQ407" s="421"/>
      <c r="AR407" s="421"/>
      <c r="AS407" s="421"/>
      <c r="AT407" s="421"/>
      <c r="AU407" s="421"/>
      <c r="AV407" s="421"/>
      <c r="AW407" s="421"/>
      <c r="AX407" s="421"/>
      <c r="AY407" s="421"/>
      <c r="AZ407" s="421"/>
      <c r="BA407" s="421"/>
      <c r="BB407" s="421"/>
      <c r="BC407" s="421"/>
      <c r="BD407" s="421"/>
      <c r="BE407" s="421"/>
      <c r="BF407" s="421"/>
      <c r="BG407" s="421"/>
      <c r="BH407" s="421"/>
      <c r="BI407" s="421"/>
    </row>
    <row r="408" spans="1:61" ht="15.75" customHeight="1" x14ac:dyDescent="0.4">
      <c r="A408" s="433" t="s">
        <v>655</v>
      </c>
      <c r="B408" s="418"/>
      <c r="C408" s="635" t="s">
        <v>642</v>
      </c>
      <c r="V408" s="659" t="s">
        <v>655</v>
      </c>
      <c r="W408" s="660"/>
      <c r="X408" s="660"/>
      <c r="Y408" s="660"/>
      <c r="Z408" s="661"/>
      <c r="AA408" s="660"/>
      <c r="AB408" s="660"/>
      <c r="AC408" s="661"/>
      <c r="AD408" s="662"/>
      <c r="AE408" s="660"/>
      <c r="AF408" s="663"/>
      <c r="AG408" s="662"/>
      <c r="AH408" s="663"/>
      <c r="AI408" s="664"/>
      <c r="AJ408" s="662"/>
      <c r="AK408" s="660"/>
      <c r="AL408" s="663"/>
      <c r="AM408" s="665"/>
      <c r="AN408" s="663"/>
      <c r="AO408" s="666"/>
      <c r="AP408" s="421"/>
      <c r="AQ408" s="421"/>
      <c r="AR408" s="421"/>
      <c r="AS408" s="421"/>
      <c r="AT408" s="421"/>
      <c r="AU408" s="421"/>
      <c r="AV408" s="421"/>
      <c r="AW408" s="421"/>
      <c r="AX408" s="421"/>
      <c r="AY408" s="421"/>
      <c r="AZ408" s="421"/>
      <c r="BA408" s="421"/>
      <c r="BB408" s="421"/>
      <c r="BC408" s="421"/>
      <c r="BD408" s="421"/>
      <c r="BE408" s="421"/>
      <c r="BF408" s="421"/>
      <c r="BG408" s="421"/>
      <c r="BH408" s="421"/>
      <c r="BI408" s="421"/>
    </row>
    <row r="409" spans="1:61" ht="15.75" customHeight="1" x14ac:dyDescent="0.35">
      <c r="A409" s="433" t="s">
        <v>42</v>
      </c>
      <c r="B409" s="418"/>
      <c r="C409" s="635" t="s">
        <v>642</v>
      </c>
      <c r="V409" s="507" t="s">
        <v>42</v>
      </c>
      <c r="W409" s="667" t="s">
        <v>656</v>
      </c>
      <c r="X409" s="660"/>
      <c r="Y409" s="668">
        <v>682.58990525002469</v>
      </c>
      <c r="Z409" s="661">
        <v>70306.760240752541</v>
      </c>
      <c r="AA409" s="660"/>
      <c r="AB409" s="668"/>
      <c r="AC409" s="661"/>
      <c r="AD409" s="669"/>
      <c r="AE409" s="668">
        <v>618.21115384615393</v>
      </c>
      <c r="AF409" s="661">
        <v>64293.960000000006</v>
      </c>
      <c r="AG409" s="662">
        <v>-64.378751403870751</v>
      </c>
      <c r="AH409" s="663">
        <v>-6012.8002407525346</v>
      </c>
      <c r="AI409" s="664">
        <v>-8.552236257456336E-2</v>
      </c>
      <c r="AJ409" s="402">
        <v>0.10799411489303586</v>
      </c>
      <c r="AK409" s="663">
        <v>673.11355140186913</v>
      </c>
      <c r="AL409" s="661">
        <v>72023.149999999994</v>
      </c>
      <c r="AM409" s="665">
        <v>-64.378751403870751</v>
      </c>
      <c r="AN409" s="663">
        <v>-7729.1899999999878</v>
      </c>
      <c r="AO409" s="670">
        <v>-0.10731535624309668</v>
      </c>
      <c r="AP409" s="421"/>
      <c r="AQ409" s="421"/>
      <c r="AR409" s="418"/>
      <c r="AS409" s="421"/>
      <c r="AT409" s="421"/>
      <c r="AU409" s="421"/>
      <c r="AV409" s="421"/>
      <c r="AW409" s="421"/>
      <c r="AX409" s="421"/>
      <c r="AY409" s="421"/>
      <c r="AZ409" s="421"/>
      <c r="BA409" s="421"/>
      <c r="BB409" s="421"/>
      <c r="BC409" s="421"/>
      <c r="BD409" s="421"/>
      <c r="BE409" s="421"/>
      <c r="BF409" s="421"/>
      <c r="BG409" s="421"/>
      <c r="BH409" s="421"/>
      <c r="BI409" s="421"/>
    </row>
    <row r="410" spans="1:61" ht="15.75" customHeight="1" x14ac:dyDescent="0.4">
      <c r="A410" s="433" t="s">
        <v>43</v>
      </c>
      <c r="B410" s="418"/>
      <c r="C410" s="635" t="s">
        <v>642</v>
      </c>
      <c r="V410" s="508" t="s">
        <v>43</v>
      </c>
      <c r="W410" s="671" t="s">
        <v>657</v>
      </c>
      <c r="X410" s="644"/>
      <c r="Y410" s="672">
        <v>386.60194174757282</v>
      </c>
      <c r="Z410" s="645">
        <v>39820</v>
      </c>
      <c r="AA410" s="644"/>
      <c r="AB410" s="672"/>
      <c r="AC410" s="645"/>
      <c r="AD410" s="673"/>
      <c r="AE410" s="672">
        <v>387.65269230769235</v>
      </c>
      <c r="AF410" s="645">
        <v>40315.880000000005</v>
      </c>
      <c r="AG410" s="646">
        <v>1.0507505601195248</v>
      </c>
      <c r="AH410" s="647">
        <v>495.88000000000466</v>
      </c>
      <c r="AI410" s="674">
        <v>1.2453038674033266E-2</v>
      </c>
      <c r="AJ410" s="403">
        <v>5.0671180609243825E-2</v>
      </c>
      <c r="AK410" s="647">
        <v>315.82700934579447</v>
      </c>
      <c r="AL410" s="645">
        <v>33793.490000000005</v>
      </c>
      <c r="AM410" s="649">
        <v>1.0507505601195248</v>
      </c>
      <c r="AN410" s="647">
        <v>6522.3899999999994</v>
      </c>
      <c r="AO410" s="650">
        <v>0.19300729223291227</v>
      </c>
      <c r="AP410" s="421"/>
      <c r="AQ410" s="421"/>
      <c r="AR410" s="424"/>
      <c r="AS410" s="421"/>
      <c r="AT410" s="421"/>
      <c r="AU410" s="421"/>
      <c r="AV410" s="421"/>
      <c r="AW410" s="421"/>
      <c r="AX410" s="421"/>
      <c r="AY410" s="421"/>
      <c r="AZ410" s="421"/>
      <c r="BA410" s="421"/>
      <c r="BB410" s="421"/>
      <c r="BC410" s="421"/>
      <c r="BD410" s="421"/>
      <c r="BE410" s="421"/>
      <c r="BF410" s="421"/>
      <c r="BG410" s="421"/>
      <c r="BH410" s="421"/>
      <c r="BI410" s="421"/>
    </row>
    <row r="411" spans="1:61" ht="15.75" customHeight="1" x14ac:dyDescent="0.4">
      <c r="A411" s="433" t="s">
        <v>44</v>
      </c>
      <c r="B411" s="418"/>
      <c r="C411" s="635" t="s">
        <v>642</v>
      </c>
      <c r="V411" s="507" t="s">
        <v>44</v>
      </c>
      <c r="W411" s="667" t="s">
        <v>658</v>
      </c>
      <c r="X411" s="660"/>
      <c r="Y411" s="668">
        <v>84.145631067961162</v>
      </c>
      <c r="Z411" s="661">
        <v>8667</v>
      </c>
      <c r="AA411" s="660"/>
      <c r="AB411" s="668"/>
      <c r="AC411" s="661"/>
      <c r="AD411" s="669"/>
      <c r="AE411" s="668">
        <v>70.834134615384613</v>
      </c>
      <c r="AF411" s="661">
        <v>7366.75</v>
      </c>
      <c r="AG411" s="662">
        <v>-13.311496452576549</v>
      </c>
      <c r="AH411" s="663">
        <v>-1300.25</v>
      </c>
      <c r="AI411" s="664">
        <v>-0.15002307603553711</v>
      </c>
      <c r="AJ411" s="402">
        <v>9.4756117909421556E-3</v>
      </c>
      <c r="AK411" s="663">
        <v>59.060280373831773</v>
      </c>
      <c r="AL411" s="661">
        <v>6319.45</v>
      </c>
      <c r="AM411" s="665">
        <v>-13.311496452576549</v>
      </c>
      <c r="AN411" s="663">
        <v>1047.3000000000002</v>
      </c>
      <c r="AO411" s="670">
        <v>0.16572644771301304</v>
      </c>
      <c r="AP411" s="421"/>
      <c r="AQ411" s="421"/>
      <c r="AR411" s="424"/>
      <c r="AS411" s="421"/>
      <c r="AT411" s="421"/>
      <c r="AU411" s="421"/>
      <c r="AV411" s="421"/>
      <c r="AW411" s="421"/>
      <c r="AX411" s="421"/>
      <c r="AY411" s="421"/>
      <c r="AZ411" s="421"/>
      <c r="BA411" s="421"/>
      <c r="BB411" s="421"/>
      <c r="BC411" s="421"/>
      <c r="BD411" s="421"/>
      <c r="BE411" s="421"/>
      <c r="BF411" s="421"/>
      <c r="BG411" s="421"/>
      <c r="BH411" s="421"/>
      <c r="BI411" s="421"/>
    </row>
    <row r="412" spans="1:61" ht="15.75" customHeight="1" x14ac:dyDescent="0.4">
      <c r="A412" s="433" t="s">
        <v>344</v>
      </c>
      <c r="B412" s="418"/>
      <c r="C412" s="635" t="s">
        <v>642</v>
      </c>
      <c r="V412" s="507" t="s">
        <v>344</v>
      </c>
      <c r="W412" s="667" t="s">
        <v>659</v>
      </c>
      <c r="X412" s="660"/>
      <c r="Y412" s="668">
        <v>21.941747572815533</v>
      </c>
      <c r="Z412" s="661">
        <v>2260</v>
      </c>
      <c r="AA412" s="660"/>
      <c r="AB412" s="668"/>
      <c r="AC412" s="661"/>
      <c r="AD412" s="669"/>
      <c r="AE412" s="668">
        <v>47.918942307692305</v>
      </c>
      <c r="AF412" s="661">
        <v>4983.57</v>
      </c>
      <c r="AG412" s="662">
        <v>25.977194734876772</v>
      </c>
      <c r="AH412" s="663">
        <v>2723.5699999999997</v>
      </c>
      <c r="AI412" s="664">
        <v>1.2051194690265485</v>
      </c>
      <c r="AJ412" s="402">
        <v>7.944552530466463E-3</v>
      </c>
      <c r="AK412" s="663">
        <v>49.517383177570096</v>
      </c>
      <c r="AL412" s="661">
        <v>5298.3600000000006</v>
      </c>
      <c r="AM412" s="665">
        <v>25.977194734876772</v>
      </c>
      <c r="AN412" s="663">
        <v>-314.79000000000087</v>
      </c>
      <c r="AO412" s="670">
        <v>-5.941272393721847E-2</v>
      </c>
      <c r="AP412" s="421"/>
      <c r="AQ412" s="421"/>
      <c r="AR412" s="424"/>
      <c r="AS412" s="421"/>
      <c r="AT412" s="421"/>
      <c r="AU412" s="421"/>
      <c r="AV412" s="421"/>
      <c r="AW412" s="421"/>
      <c r="AX412" s="421"/>
      <c r="AY412" s="421"/>
      <c r="AZ412" s="421"/>
      <c r="BA412" s="421"/>
      <c r="BB412" s="421"/>
      <c r="BC412" s="421"/>
      <c r="BD412" s="421"/>
      <c r="BE412" s="421"/>
      <c r="BF412" s="421"/>
      <c r="BG412" s="421"/>
      <c r="BH412" s="421"/>
      <c r="BI412" s="421"/>
    </row>
    <row r="413" spans="1:61" ht="15.75" customHeight="1" x14ac:dyDescent="0.4">
      <c r="A413" s="433" t="s">
        <v>346</v>
      </c>
      <c r="B413" s="418"/>
      <c r="C413" s="635" t="s">
        <v>642</v>
      </c>
      <c r="V413" s="508" t="s">
        <v>346</v>
      </c>
      <c r="W413" s="671"/>
      <c r="X413" s="644"/>
      <c r="Y413" s="672">
        <v>138.39563106796118</v>
      </c>
      <c r="Z413" s="645">
        <v>14254.75</v>
      </c>
      <c r="AA413" s="644"/>
      <c r="AB413" s="672"/>
      <c r="AC413" s="645"/>
      <c r="AD413" s="673"/>
      <c r="AE413" s="672">
        <v>70.472980769230773</v>
      </c>
      <c r="AF413" s="645">
        <v>7329.1900000000005</v>
      </c>
      <c r="AG413" s="646">
        <v>-67.922650298730403</v>
      </c>
      <c r="AH413" s="647">
        <v>-6925.5599999999995</v>
      </c>
      <c r="AI413" s="674">
        <v>-0.48584226310528067</v>
      </c>
      <c r="AJ413" s="403">
        <v>1.6722611629123019E-2</v>
      </c>
      <c r="AK413" s="647">
        <v>104.22990654205606</v>
      </c>
      <c r="AL413" s="645">
        <v>11152.599999999999</v>
      </c>
      <c r="AM413" s="649">
        <v>-67.922650298730403</v>
      </c>
      <c r="AN413" s="647">
        <v>-3823.409999999998</v>
      </c>
      <c r="AO413" s="650">
        <v>-0.34282678478561041</v>
      </c>
      <c r="AP413" s="421"/>
      <c r="AQ413" s="421"/>
      <c r="AR413" s="424"/>
      <c r="AS413" s="421"/>
      <c r="AT413" s="421"/>
      <c r="AU413" s="421"/>
      <c r="AV413" s="421"/>
      <c r="AW413" s="421"/>
      <c r="AX413" s="421"/>
      <c r="AY413" s="421"/>
      <c r="AZ413" s="421"/>
      <c r="BA413" s="421"/>
      <c r="BB413" s="421"/>
      <c r="BC413" s="421"/>
      <c r="BD413" s="421"/>
      <c r="BE413" s="421"/>
      <c r="BF413" s="421"/>
      <c r="BG413" s="421"/>
      <c r="BH413" s="421"/>
      <c r="BI413" s="421"/>
    </row>
    <row r="414" spans="1:61" ht="15.75" customHeight="1" x14ac:dyDescent="0.4">
      <c r="A414" s="433" t="s">
        <v>348</v>
      </c>
      <c r="B414" s="418"/>
      <c r="C414" s="635" t="s">
        <v>642</v>
      </c>
      <c r="V414" s="507" t="s">
        <v>348</v>
      </c>
      <c r="W414" s="667" t="s">
        <v>660</v>
      </c>
      <c r="X414" s="664"/>
      <c r="Y414" s="668">
        <v>155.76699029126215</v>
      </c>
      <c r="Z414" s="661">
        <v>16044</v>
      </c>
      <c r="AA414" s="664"/>
      <c r="AB414" s="668"/>
      <c r="AC414" s="661"/>
      <c r="AD414" s="669"/>
      <c r="AE414" s="668">
        <v>123.73134615384616</v>
      </c>
      <c r="AF414" s="661">
        <v>12868.060000000001</v>
      </c>
      <c r="AG414" s="662">
        <v>-32.035644137415986</v>
      </c>
      <c r="AH414" s="663">
        <v>-3175.9399999999987</v>
      </c>
      <c r="AI414" s="664">
        <v>-0.19795188232361</v>
      </c>
      <c r="AJ414" s="402">
        <v>2.3571751078724411E-2</v>
      </c>
      <c r="AK414" s="663">
        <v>146.91971962616822</v>
      </c>
      <c r="AL414" s="661">
        <v>15720.41</v>
      </c>
      <c r="AM414" s="665">
        <v>-32.035644137415986</v>
      </c>
      <c r="AN414" s="663">
        <v>-2852.3499999999985</v>
      </c>
      <c r="AO414" s="670">
        <v>-0.18144246873968289</v>
      </c>
      <c r="AP414" s="421"/>
      <c r="AQ414" s="421"/>
      <c r="AR414" s="424"/>
      <c r="AS414" s="421"/>
      <c r="AT414" s="421"/>
      <c r="AU414" s="421"/>
      <c r="AV414" s="421"/>
      <c r="AW414" s="421"/>
      <c r="AX414" s="421"/>
      <c r="AY414" s="421"/>
      <c r="AZ414" s="421"/>
      <c r="BA414" s="421"/>
      <c r="BB414" s="421"/>
      <c r="BC414" s="421"/>
      <c r="BD414" s="421"/>
      <c r="BE414" s="421"/>
      <c r="BF414" s="421"/>
      <c r="BG414" s="421"/>
      <c r="BH414" s="421"/>
      <c r="BI414" s="421"/>
    </row>
    <row r="415" spans="1:61" ht="15.75" customHeight="1" x14ac:dyDescent="0.4">
      <c r="A415" s="433" t="s">
        <v>47</v>
      </c>
      <c r="B415" s="418"/>
      <c r="C415" s="635" t="s">
        <v>642</v>
      </c>
      <c r="V415" s="507" t="s">
        <v>47</v>
      </c>
      <c r="W415" s="667" t="s">
        <v>661</v>
      </c>
      <c r="X415" s="660"/>
      <c r="Y415" s="668">
        <v>467.21290012432121</v>
      </c>
      <c r="Z415" s="661">
        <v>48122.928712805086</v>
      </c>
      <c r="AA415" s="660"/>
      <c r="AB415" s="668"/>
      <c r="AC415" s="661"/>
      <c r="AD415" s="669"/>
      <c r="AE415" s="668">
        <v>172.42861842105265</v>
      </c>
      <c r="AF415" s="661">
        <v>26209.15</v>
      </c>
      <c r="AG415" s="662">
        <v>-294.78428170326856</v>
      </c>
      <c r="AH415" s="663">
        <v>-21913.778712805084</v>
      </c>
      <c r="AI415" s="664">
        <v>-0.45537084502037012</v>
      </c>
      <c r="AJ415" s="402">
        <v>7.3520053519074854E-2</v>
      </c>
      <c r="AK415" s="663">
        <v>458.24112149532704</v>
      </c>
      <c r="AL415" s="661">
        <v>49031.799999999996</v>
      </c>
      <c r="AM415" s="665">
        <v>-294.78428170326856</v>
      </c>
      <c r="AN415" s="663">
        <v>-22822.649999999994</v>
      </c>
      <c r="AO415" s="670">
        <v>-0.46546628922454397</v>
      </c>
      <c r="AP415" s="421"/>
      <c r="AQ415" s="421"/>
      <c r="AR415" s="424"/>
      <c r="AS415" s="421"/>
      <c r="AT415" s="421"/>
      <c r="AU415" s="421"/>
      <c r="AV415" s="421"/>
      <c r="AW415" s="421"/>
      <c r="AX415" s="421"/>
      <c r="AY415" s="421"/>
      <c r="AZ415" s="421"/>
      <c r="BA415" s="421"/>
      <c r="BB415" s="421"/>
      <c r="BC415" s="421"/>
      <c r="BD415" s="421"/>
      <c r="BE415" s="421"/>
      <c r="BF415" s="421"/>
      <c r="BG415" s="421"/>
      <c r="BH415" s="421"/>
      <c r="BI415" s="421"/>
    </row>
    <row r="416" spans="1:61" ht="15.75" hidden="1" customHeight="1" x14ac:dyDescent="0.4">
      <c r="A416" s="433" t="s">
        <v>323</v>
      </c>
      <c r="B416" s="418"/>
      <c r="C416" s="635" t="s">
        <v>642</v>
      </c>
      <c r="V416" s="507" t="s">
        <v>323</v>
      </c>
      <c r="W416" s="667"/>
      <c r="X416" s="664"/>
      <c r="Y416" s="668">
        <v>0</v>
      </c>
      <c r="Z416" s="661">
        <v>0</v>
      </c>
      <c r="AA416" s="660"/>
      <c r="AB416" s="668"/>
      <c r="AC416" s="661"/>
      <c r="AD416" s="669"/>
      <c r="AE416" s="668">
        <v>0</v>
      </c>
      <c r="AF416" s="661">
        <v>0</v>
      </c>
      <c r="AG416" s="662">
        <v>0</v>
      </c>
      <c r="AH416" s="663">
        <v>0</v>
      </c>
      <c r="AI416" s="664">
        <v>0</v>
      </c>
      <c r="AJ416" s="669"/>
      <c r="AK416" s="663">
        <v>0</v>
      </c>
      <c r="AL416" s="661">
        <v>0</v>
      </c>
      <c r="AM416" s="665">
        <v>0</v>
      </c>
      <c r="AN416" s="663">
        <v>0</v>
      </c>
      <c r="AO416" s="670">
        <v>0</v>
      </c>
      <c r="AP416" s="421"/>
      <c r="AQ416" s="421"/>
      <c r="AR416" s="424"/>
      <c r="AS416" s="421"/>
      <c r="AT416" s="421"/>
      <c r="AU416" s="421"/>
      <c r="AV416" s="421"/>
      <c r="AW416" s="421"/>
      <c r="AX416" s="421"/>
      <c r="AY416" s="421"/>
      <c r="AZ416" s="421"/>
      <c r="BA416" s="421"/>
      <c r="BB416" s="421"/>
      <c r="BC416" s="421"/>
      <c r="BD416" s="421"/>
      <c r="BE416" s="421"/>
      <c r="BF416" s="421"/>
      <c r="BG416" s="421"/>
      <c r="BH416" s="421"/>
      <c r="BI416" s="421"/>
    </row>
    <row r="417" spans="1:61" ht="15.75" hidden="1" customHeight="1" x14ac:dyDescent="0.4">
      <c r="A417" s="433" t="s">
        <v>323</v>
      </c>
      <c r="B417" s="418"/>
      <c r="C417" s="635" t="s">
        <v>642</v>
      </c>
      <c r="V417" s="507" t="s">
        <v>323</v>
      </c>
      <c r="W417" s="667"/>
      <c r="X417" s="664"/>
      <c r="Y417" s="668">
        <v>0</v>
      </c>
      <c r="Z417" s="661">
        <v>0</v>
      </c>
      <c r="AA417" s="660"/>
      <c r="AB417" s="668"/>
      <c r="AC417" s="661"/>
      <c r="AD417" s="669"/>
      <c r="AE417" s="668">
        <v>0</v>
      </c>
      <c r="AF417" s="661">
        <v>0</v>
      </c>
      <c r="AG417" s="662">
        <v>0</v>
      </c>
      <c r="AH417" s="663">
        <v>0</v>
      </c>
      <c r="AI417" s="664">
        <v>0</v>
      </c>
      <c r="AJ417" s="669"/>
      <c r="AK417" s="663">
        <v>0</v>
      </c>
      <c r="AL417" s="661">
        <v>0</v>
      </c>
      <c r="AM417" s="665">
        <v>0</v>
      </c>
      <c r="AN417" s="663">
        <v>0</v>
      </c>
      <c r="AO417" s="670">
        <v>0</v>
      </c>
      <c r="AP417" s="421"/>
      <c r="AQ417" s="421"/>
      <c r="AR417" s="424"/>
      <c r="AS417" s="421"/>
      <c r="AT417" s="421"/>
      <c r="AU417" s="421"/>
      <c r="AV417" s="421"/>
      <c r="AW417" s="421"/>
      <c r="AX417" s="421"/>
      <c r="AY417" s="421"/>
      <c r="AZ417" s="421"/>
      <c r="BA417" s="421"/>
      <c r="BB417" s="421"/>
      <c r="BC417" s="421"/>
      <c r="BD417" s="421"/>
      <c r="BE417" s="421"/>
      <c r="BF417" s="421"/>
      <c r="BG417" s="421"/>
      <c r="BH417" s="421"/>
      <c r="BI417" s="421"/>
    </row>
    <row r="418" spans="1:61" ht="15.75" hidden="1" customHeight="1" x14ac:dyDescent="0.4">
      <c r="A418" s="433" t="s">
        <v>323</v>
      </c>
      <c r="B418" s="418"/>
      <c r="C418" s="635" t="s">
        <v>642</v>
      </c>
      <c r="V418" s="507" t="s">
        <v>323</v>
      </c>
      <c r="W418" s="667" t="s">
        <v>661</v>
      </c>
      <c r="X418" s="660"/>
      <c r="Y418" s="668">
        <v>0</v>
      </c>
      <c r="Z418" s="661">
        <v>0</v>
      </c>
      <c r="AA418" s="660"/>
      <c r="AB418" s="668"/>
      <c r="AC418" s="661"/>
      <c r="AD418" s="669"/>
      <c r="AE418" s="668">
        <v>0</v>
      </c>
      <c r="AF418" s="661">
        <v>0</v>
      </c>
      <c r="AG418" s="662">
        <v>0</v>
      </c>
      <c r="AH418" s="663">
        <v>0</v>
      </c>
      <c r="AI418" s="664">
        <v>0</v>
      </c>
      <c r="AJ418" s="669"/>
      <c r="AK418" s="663">
        <v>0</v>
      </c>
      <c r="AL418" s="661">
        <v>0</v>
      </c>
      <c r="AM418" s="665">
        <v>0</v>
      </c>
      <c r="AN418" s="663">
        <v>0</v>
      </c>
      <c r="AO418" s="670">
        <v>0</v>
      </c>
      <c r="AP418" s="421"/>
      <c r="AQ418" s="421"/>
      <c r="AR418" s="424"/>
      <c r="AS418" s="421"/>
      <c r="AT418" s="421"/>
      <c r="AU418" s="421"/>
      <c r="AV418" s="421"/>
      <c r="AW418" s="421"/>
      <c r="AX418" s="421"/>
      <c r="AY418" s="421"/>
      <c r="AZ418" s="421"/>
      <c r="BA418" s="421"/>
      <c r="BB418" s="421"/>
      <c r="BC418" s="421"/>
      <c r="BD418" s="421"/>
      <c r="BE418" s="421"/>
      <c r="BF418" s="421"/>
      <c r="BG418" s="421"/>
      <c r="BH418" s="421"/>
      <c r="BI418" s="421"/>
    </row>
    <row r="419" spans="1:61" ht="15.75" customHeight="1" x14ac:dyDescent="0.4">
      <c r="A419" s="433" t="s">
        <v>351</v>
      </c>
      <c r="B419" s="418"/>
      <c r="C419" s="635" t="s">
        <v>642</v>
      </c>
      <c r="V419" s="675" t="s">
        <v>351</v>
      </c>
      <c r="W419" s="676"/>
      <c r="X419" s="677">
        <v>0.27804815045244963</v>
      </c>
      <c r="Y419" s="676"/>
      <c r="Z419" s="678">
        <v>199475.43895355763</v>
      </c>
      <c r="AA419" s="677"/>
      <c r="AB419" s="676"/>
      <c r="AC419" s="678"/>
      <c r="AD419" s="679">
        <v>0.21010508008822049</v>
      </c>
      <c r="AE419" s="676"/>
      <c r="AF419" s="678">
        <v>163366.56</v>
      </c>
      <c r="AG419" s="680"/>
      <c r="AH419" s="681">
        <v>-36108.878953557636</v>
      </c>
      <c r="AI419" s="677">
        <v>-0.18101917280134219</v>
      </c>
      <c r="AJ419" s="679">
        <v>0.28989987605061057</v>
      </c>
      <c r="AK419" s="676"/>
      <c r="AL419" s="678">
        <v>193339.25999999998</v>
      </c>
      <c r="AM419" s="682"/>
      <c r="AN419" s="681">
        <v>-29972.699999999983</v>
      </c>
      <c r="AO419" s="658">
        <v>-0.15502645453385921</v>
      </c>
      <c r="AP419" s="421"/>
      <c r="AQ419" s="421"/>
      <c r="AR419" s="424"/>
      <c r="AS419" s="421"/>
      <c r="AT419" s="421"/>
      <c r="AU419" s="421"/>
      <c r="AV419" s="421"/>
      <c r="AW419" s="421"/>
      <c r="AX419" s="421"/>
      <c r="AY419" s="421"/>
      <c r="AZ419" s="421"/>
      <c r="BA419" s="421"/>
      <c r="BB419" s="421"/>
      <c r="BC419" s="421"/>
      <c r="BD419" s="421"/>
      <c r="BE419" s="421"/>
      <c r="BF419" s="421"/>
      <c r="BG419" s="421"/>
      <c r="BH419" s="421"/>
      <c r="BI419" s="421"/>
    </row>
    <row r="420" spans="1:61" ht="15.75" customHeight="1" x14ac:dyDescent="0.35">
      <c r="A420" s="433" t="s">
        <v>49</v>
      </c>
      <c r="B420" s="418"/>
      <c r="C420" s="635" t="s">
        <v>642</v>
      </c>
      <c r="V420" s="507" t="s">
        <v>49</v>
      </c>
      <c r="W420" s="667" t="s">
        <v>662</v>
      </c>
      <c r="X420" s="660"/>
      <c r="Y420" s="660"/>
      <c r="Z420" s="661">
        <v>14451.14423076923</v>
      </c>
      <c r="AA420" s="660"/>
      <c r="AB420" s="660"/>
      <c r="AC420" s="661"/>
      <c r="AD420" s="669"/>
      <c r="AE420" s="668"/>
      <c r="AF420" s="661">
        <v>12528.259999999998</v>
      </c>
      <c r="AG420" s="662"/>
      <c r="AH420" s="663">
        <v>-1922.8842307692321</v>
      </c>
      <c r="AI420" s="664">
        <v>-0.13306103655619508</v>
      </c>
      <c r="AJ420" s="669"/>
      <c r="AK420" s="660"/>
      <c r="AL420" s="661">
        <v>15663.77</v>
      </c>
      <c r="AM420" s="665"/>
      <c r="AN420" s="663">
        <v>-3135.510000000002</v>
      </c>
      <c r="AO420" s="670">
        <v>-0.200175947425173</v>
      </c>
      <c r="AP420" s="421"/>
      <c r="AQ420" s="421"/>
      <c r="AR420" s="421"/>
      <c r="AS420" s="421"/>
      <c r="AT420" s="421"/>
      <c r="AU420" s="421"/>
      <c r="AV420" s="421"/>
      <c r="AW420" s="421"/>
      <c r="AX420" s="421"/>
      <c r="AY420" s="421"/>
      <c r="AZ420" s="421"/>
      <c r="BA420" s="421"/>
      <c r="BB420" s="421"/>
      <c r="BC420" s="421"/>
      <c r="BD420" s="421"/>
      <c r="BE420" s="421"/>
      <c r="BF420" s="421"/>
      <c r="BG420" s="421"/>
      <c r="BH420" s="421"/>
      <c r="BI420" s="421"/>
    </row>
    <row r="421" spans="1:61" ht="15.75" customHeight="1" x14ac:dyDescent="0.35">
      <c r="A421" s="433" t="s">
        <v>50</v>
      </c>
      <c r="B421" s="418"/>
      <c r="C421" s="635" t="s">
        <v>642</v>
      </c>
      <c r="V421" s="507" t="s">
        <v>50</v>
      </c>
      <c r="W421" s="667" t="s">
        <v>663</v>
      </c>
      <c r="X421" s="660"/>
      <c r="Y421" s="660"/>
      <c r="Z421" s="661">
        <v>56603.570512820515</v>
      </c>
      <c r="AA421" s="660"/>
      <c r="AB421" s="660"/>
      <c r="AC421" s="661"/>
      <c r="AD421" s="669"/>
      <c r="AE421" s="668"/>
      <c r="AF421" s="661">
        <v>34917.17</v>
      </c>
      <c r="AG421" s="662"/>
      <c r="AH421" s="663">
        <v>-21686.400512820517</v>
      </c>
      <c r="AI421" s="664">
        <v>-0.38312778357168514</v>
      </c>
      <c r="AJ421" s="669"/>
      <c r="AK421" s="660"/>
      <c r="AL421" s="661">
        <v>49132.22</v>
      </c>
      <c r="AM421" s="665"/>
      <c r="AN421" s="663">
        <v>-14215.050000000003</v>
      </c>
      <c r="AO421" s="670">
        <v>-0.28932236320687327</v>
      </c>
      <c r="AP421" s="421"/>
      <c r="AQ421" s="421"/>
      <c r="AR421" s="421"/>
      <c r="AS421" s="421"/>
      <c r="AT421" s="421"/>
      <c r="AU421" s="421"/>
      <c r="AV421" s="421"/>
      <c r="AW421" s="421"/>
      <c r="AX421" s="421"/>
      <c r="AY421" s="421"/>
      <c r="AZ421" s="421"/>
      <c r="BA421" s="421"/>
      <c r="BB421" s="421"/>
      <c r="BC421" s="421"/>
      <c r="BD421" s="421"/>
      <c r="BE421" s="421"/>
      <c r="BF421" s="421"/>
      <c r="BG421" s="421"/>
      <c r="BH421" s="421"/>
      <c r="BI421" s="421"/>
    </row>
    <row r="422" spans="1:61" ht="15.75" customHeight="1" x14ac:dyDescent="0.35">
      <c r="A422" s="433" t="s">
        <v>355</v>
      </c>
      <c r="B422" s="418"/>
      <c r="C422" s="635" t="s">
        <v>642</v>
      </c>
      <c r="V422" s="508" t="s">
        <v>355</v>
      </c>
      <c r="W422" s="671" t="s">
        <v>664</v>
      </c>
      <c r="X422" s="644"/>
      <c r="Y422" s="644"/>
      <c r="Z422" s="645">
        <v>62004.212615384618</v>
      </c>
      <c r="AA422" s="644"/>
      <c r="AB422" s="644"/>
      <c r="AC422" s="645"/>
      <c r="AD422" s="673"/>
      <c r="AE422" s="672"/>
      <c r="AF422" s="645">
        <v>46191.1</v>
      </c>
      <c r="AG422" s="646"/>
      <c r="AH422" s="647">
        <v>-15813.11261538462</v>
      </c>
      <c r="AI422" s="674">
        <v>-0.25503287516082473</v>
      </c>
      <c r="AJ422" s="673"/>
      <c r="AK422" s="644"/>
      <c r="AL422" s="645">
        <v>43942.53</v>
      </c>
      <c r="AM422" s="649"/>
      <c r="AN422" s="647">
        <v>2248.5699999999997</v>
      </c>
      <c r="AO422" s="650">
        <v>5.1170699547795719E-2</v>
      </c>
      <c r="AP422" s="421"/>
      <c r="AQ422" s="421"/>
      <c r="AR422" s="421"/>
      <c r="AS422" s="421"/>
      <c r="AT422" s="421"/>
      <c r="AU422" s="421"/>
      <c r="AV422" s="421"/>
      <c r="AW422" s="421"/>
      <c r="AX422" s="421"/>
      <c r="AY422" s="421"/>
      <c r="AZ422" s="421"/>
      <c r="BA422" s="421"/>
      <c r="BB422" s="421"/>
      <c r="BC422" s="421"/>
      <c r="BD422" s="421"/>
      <c r="BE422" s="421"/>
      <c r="BF422" s="421"/>
      <c r="BG422" s="421"/>
      <c r="BH422" s="421"/>
      <c r="BI422" s="421"/>
    </row>
    <row r="423" spans="1:61" ht="15.75" customHeight="1" x14ac:dyDescent="0.35">
      <c r="A423" s="433" t="s">
        <v>51</v>
      </c>
      <c r="B423" s="418"/>
      <c r="C423" s="635" t="s">
        <v>642</v>
      </c>
      <c r="V423" s="507" t="s">
        <v>51</v>
      </c>
      <c r="W423" s="667" t="s">
        <v>665</v>
      </c>
      <c r="X423" s="660"/>
      <c r="Y423" s="660"/>
      <c r="Z423" s="661">
        <v>19486</v>
      </c>
      <c r="AA423" s="660"/>
      <c r="AB423" s="660"/>
      <c r="AC423" s="661"/>
      <c r="AD423" s="669"/>
      <c r="AE423" s="668"/>
      <c r="AF423" s="661">
        <v>21825.15</v>
      </c>
      <c r="AG423" s="662"/>
      <c r="AH423" s="663">
        <v>2339.1500000000015</v>
      </c>
      <c r="AI423" s="664">
        <v>0.12004259468336249</v>
      </c>
      <c r="AJ423" s="669"/>
      <c r="AK423" s="660"/>
      <c r="AL423" s="661">
        <v>21717.47</v>
      </c>
      <c r="AM423" s="665"/>
      <c r="AN423" s="663">
        <v>107.68000000000029</v>
      </c>
      <c r="AO423" s="670">
        <v>4.9582202715141447E-3</v>
      </c>
      <c r="AP423" s="421"/>
      <c r="AQ423" s="421"/>
      <c r="AR423" s="421"/>
      <c r="AS423" s="421"/>
      <c r="AT423" s="421"/>
      <c r="AU423" s="421"/>
      <c r="AV423" s="421"/>
      <c r="AW423" s="421"/>
      <c r="AX423" s="421"/>
      <c r="AY423" s="421"/>
      <c r="AZ423" s="421"/>
      <c r="BA423" s="421"/>
      <c r="BB423" s="421"/>
      <c r="BC423" s="421"/>
      <c r="BD423" s="421"/>
      <c r="BE423" s="421"/>
      <c r="BF423" s="421"/>
      <c r="BG423" s="421"/>
      <c r="BH423" s="421"/>
      <c r="BI423" s="421"/>
    </row>
    <row r="424" spans="1:61" ht="15.75" customHeight="1" x14ac:dyDescent="0.35">
      <c r="A424" s="433" t="s">
        <v>358</v>
      </c>
      <c r="B424" s="418"/>
      <c r="C424" s="635" t="s">
        <v>642</v>
      </c>
      <c r="V424" s="507" t="s">
        <v>358</v>
      </c>
      <c r="W424" s="667" t="s">
        <v>666</v>
      </c>
      <c r="X424" s="660"/>
      <c r="Y424" s="660"/>
      <c r="Z424" s="661">
        <v>26685.668886153846</v>
      </c>
      <c r="AA424" s="660"/>
      <c r="AB424" s="660"/>
      <c r="AC424" s="661"/>
      <c r="AD424" s="669"/>
      <c r="AE424" s="668"/>
      <c r="AF424" s="661">
        <v>23437.83</v>
      </c>
      <c r="AG424" s="662"/>
      <c r="AH424" s="663">
        <v>-3247.8388861538442</v>
      </c>
      <c r="AI424" s="664">
        <v>-0.12170723169839753</v>
      </c>
      <c r="AJ424" s="669"/>
      <c r="AK424" s="660"/>
      <c r="AL424" s="661">
        <v>25122.77</v>
      </c>
      <c r="AM424" s="665"/>
      <c r="AN424" s="663">
        <v>-1684.9399999999987</v>
      </c>
      <c r="AO424" s="670">
        <v>-6.7068241280718588E-2</v>
      </c>
      <c r="AP424" s="421"/>
      <c r="AQ424" s="421"/>
      <c r="AR424" s="421"/>
      <c r="AS424" s="421"/>
      <c r="AT424" s="421"/>
      <c r="AU424" s="421"/>
      <c r="AV424" s="421"/>
      <c r="AW424" s="421"/>
      <c r="AX424" s="421"/>
      <c r="AY424" s="421"/>
      <c r="AZ424" s="421"/>
      <c r="BA424" s="421"/>
      <c r="BB424" s="421"/>
      <c r="BC424" s="421"/>
      <c r="BD424" s="421"/>
      <c r="BE424" s="421"/>
      <c r="BF424" s="421"/>
      <c r="BG424" s="421"/>
      <c r="BH424" s="421"/>
      <c r="BI424" s="421"/>
    </row>
    <row r="425" spans="1:61" ht="15.75" hidden="1" customHeight="1" x14ac:dyDescent="0.35">
      <c r="A425" s="433" t="s">
        <v>323</v>
      </c>
      <c r="B425" s="418"/>
      <c r="C425" s="635" t="s">
        <v>642</v>
      </c>
      <c r="V425" s="507" t="s">
        <v>323</v>
      </c>
      <c r="W425" s="667"/>
      <c r="X425" s="660"/>
      <c r="Y425" s="660"/>
      <c r="Z425" s="661">
        <v>0</v>
      </c>
      <c r="AA425" s="660"/>
      <c r="AB425" s="660"/>
      <c r="AC425" s="661"/>
      <c r="AD425" s="669"/>
      <c r="AE425" s="668"/>
      <c r="AF425" s="661">
        <v>0</v>
      </c>
      <c r="AG425" s="662"/>
      <c r="AH425" s="663">
        <v>0</v>
      </c>
      <c r="AI425" s="664">
        <v>0</v>
      </c>
      <c r="AJ425" s="669"/>
      <c r="AK425" s="660"/>
      <c r="AL425" s="661">
        <v>0</v>
      </c>
      <c r="AM425" s="665"/>
      <c r="AN425" s="663">
        <v>0</v>
      </c>
      <c r="AO425" s="670">
        <v>0</v>
      </c>
      <c r="AP425" s="421"/>
      <c r="AQ425" s="421"/>
      <c r="AR425" s="421"/>
      <c r="AS425" s="421"/>
      <c r="AT425" s="421"/>
      <c r="AU425" s="421"/>
      <c r="AV425" s="421"/>
      <c r="AW425" s="421"/>
      <c r="AX425" s="421"/>
      <c r="AY425" s="421"/>
      <c r="AZ425" s="421"/>
      <c r="BA425" s="421"/>
      <c r="BB425" s="421"/>
      <c r="BC425" s="421"/>
      <c r="BD425" s="421"/>
      <c r="BE425" s="421"/>
      <c r="BF425" s="421"/>
      <c r="BG425" s="421"/>
      <c r="BH425" s="421"/>
      <c r="BI425" s="421"/>
    </row>
    <row r="426" spans="1:61" ht="15.75" hidden="1" customHeight="1" x14ac:dyDescent="0.35">
      <c r="A426" s="433" t="s">
        <v>323</v>
      </c>
      <c r="B426" s="418"/>
      <c r="C426" s="635" t="s">
        <v>642</v>
      </c>
      <c r="V426" s="507" t="s">
        <v>323</v>
      </c>
      <c r="W426" s="667"/>
      <c r="X426" s="660"/>
      <c r="Y426" s="660"/>
      <c r="Z426" s="661">
        <v>0</v>
      </c>
      <c r="AA426" s="660"/>
      <c r="AB426" s="660"/>
      <c r="AC426" s="661"/>
      <c r="AD426" s="669"/>
      <c r="AE426" s="668"/>
      <c r="AF426" s="661">
        <v>0</v>
      </c>
      <c r="AG426" s="662"/>
      <c r="AH426" s="663">
        <v>0</v>
      </c>
      <c r="AI426" s="664">
        <v>0</v>
      </c>
      <c r="AJ426" s="669"/>
      <c r="AK426" s="660"/>
      <c r="AL426" s="661">
        <v>0</v>
      </c>
      <c r="AM426" s="665"/>
      <c r="AN426" s="663">
        <v>0</v>
      </c>
      <c r="AO426" s="670">
        <v>0</v>
      </c>
      <c r="AP426" s="421"/>
      <c r="AQ426" s="421"/>
      <c r="AR426" s="421"/>
      <c r="AS426" s="421"/>
      <c r="AT426" s="421"/>
      <c r="AU426" s="421"/>
      <c r="AV426" s="421"/>
      <c r="AW426" s="421"/>
      <c r="AX426" s="421"/>
      <c r="AY426" s="421"/>
      <c r="AZ426" s="421"/>
      <c r="BA426" s="421"/>
      <c r="BB426" s="421"/>
      <c r="BC426" s="421"/>
      <c r="BD426" s="421"/>
      <c r="BE426" s="421"/>
      <c r="BF426" s="421"/>
      <c r="BG426" s="421"/>
      <c r="BH426" s="421"/>
      <c r="BI426" s="421"/>
    </row>
    <row r="427" spans="1:61" ht="15.75" hidden="1" customHeight="1" x14ac:dyDescent="0.35">
      <c r="A427" s="433" t="s">
        <v>323</v>
      </c>
      <c r="B427" s="418"/>
      <c r="C427" s="635" t="s">
        <v>642</v>
      </c>
      <c r="V427" s="507" t="s">
        <v>323</v>
      </c>
      <c r="W427" s="667"/>
      <c r="X427" s="660"/>
      <c r="Y427" s="660"/>
      <c r="Z427" s="661">
        <v>0</v>
      </c>
      <c r="AA427" s="660"/>
      <c r="AB427" s="660"/>
      <c r="AC427" s="661"/>
      <c r="AD427" s="669"/>
      <c r="AE427" s="668"/>
      <c r="AF427" s="661">
        <v>0</v>
      </c>
      <c r="AG427" s="662"/>
      <c r="AH427" s="663">
        <v>0</v>
      </c>
      <c r="AI427" s="664">
        <v>0</v>
      </c>
      <c r="AJ427" s="669"/>
      <c r="AK427" s="660"/>
      <c r="AL427" s="661">
        <v>0</v>
      </c>
      <c r="AM427" s="665"/>
      <c r="AN427" s="663">
        <v>0</v>
      </c>
      <c r="AO427" s="670">
        <v>0</v>
      </c>
      <c r="AP427" s="421"/>
      <c r="AQ427" s="421"/>
      <c r="AR427" s="421"/>
      <c r="AS427" s="421"/>
      <c r="AT427" s="421"/>
      <c r="AU427" s="421"/>
      <c r="AV427" s="421"/>
      <c r="AW427" s="421"/>
      <c r="AX427" s="421"/>
      <c r="AY427" s="421"/>
      <c r="AZ427" s="421"/>
      <c r="BA427" s="421"/>
      <c r="BB427" s="421"/>
      <c r="BC427" s="421"/>
      <c r="BD427" s="421"/>
      <c r="BE427" s="421"/>
      <c r="BF427" s="421"/>
      <c r="BG427" s="421"/>
      <c r="BH427" s="421"/>
      <c r="BI427" s="421"/>
    </row>
    <row r="428" spans="1:61" ht="15.75" customHeight="1" x14ac:dyDescent="0.35">
      <c r="A428" s="433" t="s">
        <v>52</v>
      </c>
      <c r="B428" s="418"/>
      <c r="C428" s="635" t="s">
        <v>642</v>
      </c>
      <c r="V428" s="508" t="s">
        <v>52</v>
      </c>
      <c r="W428" s="671" t="s">
        <v>667</v>
      </c>
      <c r="X428" s="644"/>
      <c r="Y428" s="404">
        <v>0.10593139520165165</v>
      </c>
      <c r="Z428" s="645">
        <v>40379.47450759507</v>
      </c>
      <c r="AA428" s="644"/>
      <c r="AB428" s="644"/>
      <c r="AC428" s="645"/>
      <c r="AD428" s="673"/>
      <c r="AE428" s="672"/>
      <c r="AF428" s="645">
        <v>38586.630000000005</v>
      </c>
      <c r="AG428" s="646"/>
      <c r="AH428" s="647">
        <v>-1792.8445075950658</v>
      </c>
      <c r="AI428" s="674">
        <v>-4.4399896963935113E-2</v>
      </c>
      <c r="AJ428" s="673"/>
      <c r="AK428" s="644"/>
      <c r="AL428" s="645">
        <v>37441.89</v>
      </c>
      <c r="AM428" s="649"/>
      <c r="AN428" s="647">
        <v>1144.7400000000052</v>
      </c>
      <c r="AO428" s="650">
        <v>3.0573777125033091E-2</v>
      </c>
      <c r="AP428" s="421"/>
      <c r="AQ428" s="421"/>
      <c r="AR428" s="421"/>
      <c r="AS428" s="421"/>
      <c r="AT428" s="421"/>
      <c r="AU428" s="421"/>
      <c r="AV428" s="421"/>
      <c r="AW428" s="421"/>
      <c r="AX428" s="421"/>
      <c r="AY428" s="421"/>
      <c r="AZ428" s="421"/>
      <c r="BA428" s="421"/>
      <c r="BB428" s="421"/>
      <c r="BC428" s="421"/>
      <c r="BD428" s="421"/>
      <c r="BE428" s="421"/>
      <c r="BF428" s="421"/>
      <c r="BG428" s="421"/>
      <c r="BH428" s="421"/>
      <c r="BI428" s="421"/>
    </row>
    <row r="429" spans="1:61" ht="15.75" customHeight="1" x14ac:dyDescent="0.35">
      <c r="A429" s="433" t="s">
        <v>53</v>
      </c>
      <c r="B429" s="418"/>
      <c r="C429" s="635" t="s">
        <v>642</v>
      </c>
      <c r="V429" s="507" t="s">
        <v>53</v>
      </c>
      <c r="W429" s="667" t="s">
        <v>668</v>
      </c>
      <c r="X429" s="660"/>
      <c r="Y429" s="405">
        <v>0.12879764350509187</v>
      </c>
      <c r="Z429" s="661">
        <v>49095.74874051207</v>
      </c>
      <c r="AA429" s="660"/>
      <c r="AB429" s="660"/>
      <c r="AC429" s="661"/>
      <c r="AD429" s="669"/>
      <c r="AE429" s="668"/>
      <c r="AF429" s="661">
        <v>49865.349999999991</v>
      </c>
      <c r="AG429" s="662"/>
      <c r="AH429" s="663">
        <v>769.6012594879212</v>
      </c>
      <c r="AI429" s="664">
        <v>1.5675517315267534E-2</v>
      </c>
      <c r="AJ429" s="669"/>
      <c r="AK429" s="660"/>
      <c r="AL429" s="661">
        <v>45241.369999999995</v>
      </c>
      <c r="AM429" s="665"/>
      <c r="AN429" s="663">
        <v>4623.9799999999959</v>
      </c>
      <c r="AO429" s="670">
        <v>0.10220689603343126</v>
      </c>
      <c r="AP429" s="421"/>
      <c r="AQ429" s="421"/>
      <c r="AR429" s="421"/>
      <c r="AS429" s="421"/>
      <c r="AT429" s="421"/>
      <c r="AU429" s="421"/>
      <c r="AV429" s="421"/>
      <c r="AW429" s="421"/>
      <c r="AX429" s="421"/>
      <c r="AY429" s="421"/>
      <c r="AZ429" s="421"/>
      <c r="BA429" s="421"/>
      <c r="BB429" s="421"/>
      <c r="BC429" s="421"/>
      <c r="BD429" s="421"/>
      <c r="BE429" s="421"/>
      <c r="BF429" s="421"/>
      <c r="BG429" s="421"/>
      <c r="BH429" s="421"/>
      <c r="BI429" s="421"/>
    </row>
    <row r="430" spans="1:61" ht="15.75" customHeight="1" x14ac:dyDescent="0.35">
      <c r="A430" s="433" t="s">
        <v>54</v>
      </c>
      <c r="B430" s="418"/>
      <c r="C430" s="635" t="s">
        <v>642</v>
      </c>
      <c r="V430" s="507" t="s">
        <v>54</v>
      </c>
      <c r="W430" s="667" t="s">
        <v>669</v>
      </c>
      <c r="X430" s="660"/>
      <c r="Y430" s="405">
        <v>6.6358785892840819E-2</v>
      </c>
      <c r="Z430" s="661">
        <v>25294.983590220349</v>
      </c>
      <c r="AA430" s="660"/>
      <c r="AB430" s="660"/>
      <c r="AC430" s="661"/>
      <c r="AD430" s="669"/>
      <c r="AE430" s="668"/>
      <c r="AF430" s="661">
        <v>21157.86</v>
      </c>
      <c r="AG430" s="662"/>
      <c r="AH430" s="663">
        <v>-4137.123590220348</v>
      </c>
      <c r="AI430" s="664">
        <v>-0.16355510077578622</v>
      </c>
      <c r="AJ430" s="669"/>
      <c r="AK430" s="660"/>
      <c r="AL430" s="661">
        <v>20772.920000000002</v>
      </c>
      <c r="AM430" s="665"/>
      <c r="AN430" s="663">
        <v>384.93999999999869</v>
      </c>
      <c r="AO430" s="670">
        <v>1.8530856518967898E-2</v>
      </c>
      <c r="AP430" s="421"/>
      <c r="AQ430" s="421"/>
      <c r="AR430" s="421"/>
      <c r="AS430" s="421"/>
      <c r="AT430" s="421"/>
      <c r="AU430" s="421"/>
      <c r="AV430" s="421"/>
      <c r="AW430" s="421"/>
      <c r="AX430" s="421"/>
      <c r="AY430" s="421"/>
      <c r="AZ430" s="421"/>
      <c r="BA430" s="421"/>
      <c r="BB430" s="421"/>
      <c r="BC430" s="421"/>
      <c r="BD430" s="421"/>
      <c r="BE430" s="421"/>
      <c r="BF430" s="421"/>
      <c r="BG430" s="421"/>
      <c r="BH430" s="421"/>
      <c r="BI430" s="421"/>
    </row>
    <row r="431" spans="1:61" ht="15.75" customHeight="1" x14ac:dyDescent="0.35">
      <c r="A431" s="433" t="s">
        <v>55</v>
      </c>
      <c r="B431" s="418"/>
      <c r="C431" s="635" t="s">
        <v>642</v>
      </c>
      <c r="V431" s="507" t="s">
        <v>55</v>
      </c>
      <c r="W431" s="667"/>
      <c r="X431" s="660"/>
      <c r="Y431" s="660"/>
      <c r="Z431" s="661">
        <v>11028.755151854159</v>
      </c>
      <c r="AA431" s="660"/>
      <c r="AB431" s="660"/>
      <c r="AC431" s="661"/>
      <c r="AD431" s="669"/>
      <c r="AE431" s="668"/>
      <c r="AF431" s="661">
        <v>10128.049999999999</v>
      </c>
      <c r="AG431" s="662"/>
      <c r="AH431" s="663">
        <v>-900.70515185415934</v>
      </c>
      <c r="AI431" s="683">
        <v>-8.1668795748242942E-2</v>
      </c>
      <c r="AJ431" s="669"/>
      <c r="AK431" s="660"/>
      <c r="AL431" s="661">
        <v>7524.12</v>
      </c>
      <c r="AM431" s="665"/>
      <c r="AN431" s="663">
        <v>2603.9299999999994</v>
      </c>
      <c r="AO431" s="670">
        <v>0.34607768084506885</v>
      </c>
      <c r="AP431" s="421"/>
      <c r="AQ431" s="421"/>
      <c r="AR431" s="421"/>
      <c r="AS431" s="421"/>
      <c r="AT431" s="421"/>
      <c r="AU431" s="421"/>
      <c r="AV431" s="421"/>
      <c r="AW431" s="421"/>
      <c r="AX431" s="421"/>
      <c r="AY431" s="421"/>
      <c r="AZ431" s="421"/>
      <c r="BA431" s="421"/>
      <c r="BB431" s="421"/>
      <c r="BC431" s="421"/>
      <c r="BD431" s="421"/>
      <c r="BE431" s="421"/>
      <c r="BF431" s="421"/>
      <c r="BG431" s="421"/>
      <c r="BH431" s="421"/>
      <c r="BI431" s="421"/>
    </row>
    <row r="432" spans="1:61" ht="15.75" hidden="1" customHeight="1" x14ac:dyDescent="0.4">
      <c r="A432" s="433" t="s">
        <v>323</v>
      </c>
      <c r="B432" s="418"/>
      <c r="C432" s="635" t="s">
        <v>642</v>
      </c>
      <c r="V432" s="441" t="s">
        <v>323</v>
      </c>
      <c r="W432" s="667"/>
      <c r="X432" s="660"/>
      <c r="Y432" s="668"/>
      <c r="Z432" s="661">
        <v>0</v>
      </c>
      <c r="AA432" s="660"/>
      <c r="AB432" s="660"/>
      <c r="AC432" s="661"/>
      <c r="AD432" s="669"/>
      <c r="AE432" s="668"/>
      <c r="AF432" s="661">
        <v>0</v>
      </c>
      <c r="AG432" s="662"/>
      <c r="AH432" s="663">
        <v>0</v>
      </c>
      <c r="AI432" s="664">
        <v>0</v>
      </c>
      <c r="AJ432" s="669"/>
      <c r="AK432" s="660"/>
      <c r="AL432" s="661">
        <v>0</v>
      </c>
      <c r="AM432" s="665"/>
      <c r="AN432" s="663"/>
      <c r="AO432" s="650"/>
      <c r="AP432" s="421"/>
      <c r="AQ432" s="421"/>
      <c r="AR432" s="421"/>
      <c r="AS432" s="421"/>
      <c r="AT432" s="421"/>
      <c r="AU432" s="421"/>
      <c r="AV432" s="421"/>
      <c r="AW432" s="421"/>
      <c r="AX432" s="421"/>
      <c r="AY432" s="421"/>
      <c r="AZ432" s="421"/>
      <c r="BA432" s="421"/>
      <c r="BB432" s="421"/>
      <c r="BC432" s="421"/>
      <c r="BD432" s="421"/>
      <c r="BE432" s="421"/>
      <c r="BF432" s="421"/>
      <c r="BG432" s="421"/>
      <c r="BH432" s="421"/>
      <c r="BI432" s="421"/>
    </row>
    <row r="433" spans="1:62" ht="15.75" customHeight="1" x14ac:dyDescent="0.4">
      <c r="A433" s="433" t="s">
        <v>364</v>
      </c>
      <c r="B433" s="418"/>
      <c r="C433" s="635" t="s">
        <v>642</v>
      </c>
      <c r="V433" s="675" t="s">
        <v>364</v>
      </c>
      <c r="W433" s="676"/>
      <c r="X433" s="677">
        <v>0.42517968600837125</v>
      </c>
      <c r="Y433" s="676"/>
      <c r="Z433" s="678">
        <v>305029.55823530979</v>
      </c>
      <c r="AA433" s="677"/>
      <c r="AB433" s="676"/>
      <c r="AC433" s="678"/>
      <c r="AD433" s="679">
        <v>0.33263252675951011</v>
      </c>
      <c r="AE433" s="684"/>
      <c r="AF433" s="678">
        <v>258637.39999999997</v>
      </c>
      <c r="AG433" s="680"/>
      <c r="AH433" s="681">
        <v>-46392.15823530982</v>
      </c>
      <c r="AI433" s="677">
        <v>-0.15209069738586248</v>
      </c>
      <c r="AJ433" s="679">
        <v>0.39968829121497251</v>
      </c>
      <c r="AK433" s="676"/>
      <c r="AL433" s="678">
        <v>266559.06000000006</v>
      </c>
      <c r="AM433" s="685"/>
      <c r="AN433" s="681">
        <v>-7921.6600000000908</v>
      </c>
      <c r="AO433" s="658">
        <v>-2.9718217043532825E-2</v>
      </c>
      <c r="AP433" s="421"/>
      <c r="AQ433" s="421"/>
      <c r="AR433" s="421"/>
      <c r="AS433" s="421"/>
      <c r="AT433" s="421"/>
      <c r="AU433" s="421"/>
      <c r="AV433" s="421"/>
      <c r="AW433" s="421"/>
      <c r="AX433" s="421"/>
      <c r="AY433" s="421"/>
      <c r="AZ433" s="421"/>
      <c r="BA433" s="421"/>
      <c r="BB433" s="421"/>
      <c r="BC433" s="421"/>
      <c r="BD433" s="421"/>
      <c r="BE433" s="421"/>
      <c r="BF433" s="421"/>
      <c r="BG433" s="421"/>
      <c r="BH433" s="421"/>
      <c r="BI433" s="421"/>
    </row>
    <row r="434" spans="1:62" ht="15.75" customHeight="1" x14ac:dyDescent="0.35">
      <c r="A434" s="433" t="s">
        <v>366</v>
      </c>
      <c r="B434" s="418"/>
      <c r="C434" s="635" t="s">
        <v>642</v>
      </c>
      <c r="V434" s="603" t="s">
        <v>366</v>
      </c>
      <c r="W434" s="686" t="s">
        <v>660</v>
      </c>
      <c r="X434" s="687"/>
      <c r="Y434" s="687"/>
      <c r="Z434" s="688">
        <v>12192.953081014641</v>
      </c>
      <c r="AA434" s="687"/>
      <c r="AB434" s="687"/>
      <c r="AC434" s="688"/>
      <c r="AD434" s="689"/>
      <c r="AE434" s="690"/>
      <c r="AF434" s="688">
        <v>14038.38</v>
      </c>
      <c r="AG434" s="689"/>
      <c r="AH434" s="691">
        <v>1845.4269189853585</v>
      </c>
      <c r="AI434" s="692">
        <v>0.15135192489658877</v>
      </c>
      <c r="AJ434" s="689"/>
      <c r="AK434" s="687"/>
      <c r="AL434" s="688">
        <v>13920.66</v>
      </c>
      <c r="AM434" s="693"/>
      <c r="AN434" s="691">
        <v>117.71999999999935</v>
      </c>
      <c r="AO434" s="666">
        <v>8.4564955971914661E-3</v>
      </c>
      <c r="AP434" s="421"/>
      <c r="AQ434" s="421"/>
      <c r="AR434" s="421"/>
      <c r="AS434" s="421"/>
      <c r="AT434" s="421"/>
      <c r="AU434" s="421"/>
      <c r="AV434" s="421"/>
      <c r="AW434" s="421"/>
      <c r="AX434" s="421"/>
      <c r="AY434" s="421"/>
      <c r="AZ434" s="421"/>
      <c r="BA434" s="421"/>
      <c r="BB434" s="421"/>
      <c r="BC434" s="421"/>
      <c r="BD434" s="421"/>
      <c r="BE434" s="421"/>
      <c r="BF434" s="421"/>
      <c r="BG434" s="421"/>
      <c r="BH434" s="421"/>
      <c r="BI434" s="421"/>
    </row>
    <row r="435" spans="1:62" ht="15.75" customHeight="1" x14ac:dyDescent="0.35">
      <c r="A435" s="433" t="s">
        <v>368</v>
      </c>
      <c r="B435" s="418"/>
      <c r="C435" s="635" t="s">
        <v>642</v>
      </c>
      <c r="V435" s="507" t="s">
        <v>368</v>
      </c>
      <c r="W435" s="667" t="s">
        <v>670</v>
      </c>
      <c r="X435" s="660"/>
      <c r="Y435" s="660"/>
      <c r="Z435" s="661">
        <v>4545.3811628057083</v>
      </c>
      <c r="AA435" s="660"/>
      <c r="AB435" s="660"/>
      <c r="AC435" s="661"/>
      <c r="AD435" s="669"/>
      <c r="AE435" s="668"/>
      <c r="AF435" s="661">
        <v>1819.6599999999999</v>
      </c>
      <c r="AG435" s="662"/>
      <c r="AH435" s="663">
        <v>-2725.7211628057084</v>
      </c>
      <c r="AI435" s="664">
        <v>-0.59966833697247379</v>
      </c>
      <c r="AJ435" s="669"/>
      <c r="AK435" s="660"/>
      <c r="AL435" s="661">
        <v>6479.70999999999</v>
      </c>
      <c r="AM435" s="665"/>
      <c r="AN435" s="663">
        <v>-4660.0499999999902</v>
      </c>
      <c r="AO435" s="670">
        <v>-0.71917570385094354</v>
      </c>
      <c r="AP435" s="421"/>
      <c r="AQ435" s="421"/>
      <c r="AR435" s="421"/>
      <c r="AS435" s="421"/>
      <c r="AT435" s="421"/>
      <c r="AU435" s="421"/>
      <c r="AV435" s="421"/>
      <c r="AW435" s="421"/>
      <c r="AX435" s="421"/>
      <c r="AY435" s="421"/>
      <c r="AZ435" s="421"/>
      <c r="BA435" s="421"/>
      <c r="BB435" s="421"/>
      <c r="BC435" s="421"/>
      <c r="BD435" s="421"/>
      <c r="BE435" s="421"/>
      <c r="BF435" s="421"/>
      <c r="BG435" s="421"/>
      <c r="BH435" s="421"/>
      <c r="BI435" s="421"/>
    </row>
    <row r="436" spans="1:62" ht="15.75" customHeight="1" x14ac:dyDescent="0.35">
      <c r="A436" s="433" t="s">
        <v>370</v>
      </c>
      <c r="B436" s="418"/>
      <c r="C436" s="635" t="s">
        <v>642</v>
      </c>
      <c r="U436" s="694"/>
      <c r="V436" s="508" t="s">
        <v>370</v>
      </c>
      <c r="W436" s="671" t="s">
        <v>671</v>
      </c>
      <c r="X436" s="644"/>
      <c r="Y436" s="644"/>
      <c r="Z436" s="645">
        <v>22709.26466666667</v>
      </c>
      <c r="AA436" s="644"/>
      <c r="AB436" s="644"/>
      <c r="AC436" s="645"/>
      <c r="AD436" s="673"/>
      <c r="AE436" s="672"/>
      <c r="AF436" s="645">
        <v>23078.729999999996</v>
      </c>
      <c r="AG436" s="646"/>
      <c r="AH436" s="647">
        <v>369.46533333332627</v>
      </c>
      <c r="AI436" s="674">
        <v>1.6269365774561534E-2</v>
      </c>
      <c r="AJ436" s="673"/>
      <c r="AK436" s="644"/>
      <c r="AL436" s="645">
        <v>26599.97</v>
      </c>
      <c r="AM436" s="649"/>
      <c r="AN436" s="647">
        <v>-3521.2400000000052</v>
      </c>
      <c r="AO436" s="650">
        <v>-0.13237759290705986</v>
      </c>
      <c r="AP436" s="421"/>
      <c r="AQ436" s="421"/>
      <c r="AR436" s="421"/>
      <c r="AS436" s="421"/>
      <c r="AT436" s="421"/>
      <c r="AU436" s="421"/>
      <c r="AV436" s="421"/>
      <c r="AW436" s="421"/>
      <c r="AX436" s="421"/>
      <c r="AY436" s="421"/>
      <c r="AZ436" s="421"/>
      <c r="BA436" s="421"/>
      <c r="BB436" s="421"/>
      <c r="BC436" s="421"/>
      <c r="BD436" s="421"/>
      <c r="BE436" s="421"/>
      <c r="BF436" s="421"/>
      <c r="BG436" s="421"/>
      <c r="BH436" s="421"/>
      <c r="BI436" s="421"/>
    </row>
    <row r="437" spans="1:62" ht="15.75" customHeight="1" x14ac:dyDescent="0.35">
      <c r="A437" s="433" t="s">
        <v>60</v>
      </c>
      <c r="B437" s="418"/>
      <c r="C437" s="635" t="s">
        <v>642</v>
      </c>
      <c r="U437" s="694"/>
      <c r="V437" s="507" t="s">
        <v>60</v>
      </c>
      <c r="W437" s="667" t="s">
        <v>672</v>
      </c>
      <c r="X437" s="660"/>
      <c r="Y437" s="660"/>
      <c r="Z437" s="661">
        <v>22402.080143777777</v>
      </c>
      <c r="AA437" s="660"/>
      <c r="AB437" s="660"/>
      <c r="AC437" s="661"/>
      <c r="AD437" s="669"/>
      <c r="AE437" s="668"/>
      <c r="AF437" s="661">
        <v>24085.59</v>
      </c>
      <c r="AG437" s="662"/>
      <c r="AH437" s="695">
        <v>1683.5098562222229</v>
      </c>
      <c r="AI437" s="664">
        <v>7.5149711340079334E-2</v>
      </c>
      <c r="AJ437" s="669"/>
      <c r="AK437" s="660"/>
      <c r="AL437" s="661">
        <v>17673.09</v>
      </c>
      <c r="AM437" s="665"/>
      <c r="AN437" s="663">
        <v>6412.5</v>
      </c>
      <c r="AO437" s="670">
        <v>0.36283977504782694</v>
      </c>
      <c r="AP437" s="421"/>
      <c r="AQ437" s="421"/>
      <c r="AR437" s="421"/>
      <c r="AS437" s="421"/>
      <c r="AT437" s="421"/>
      <c r="AU437" s="421"/>
      <c r="AV437" s="421"/>
      <c r="AW437" s="421"/>
      <c r="AX437" s="421"/>
      <c r="AY437" s="421"/>
      <c r="AZ437" s="421"/>
      <c r="BA437" s="421"/>
      <c r="BB437" s="421"/>
      <c r="BC437" s="421"/>
      <c r="BD437" s="421"/>
      <c r="BE437" s="421"/>
      <c r="BF437" s="421"/>
      <c r="BG437" s="421"/>
      <c r="BH437" s="421"/>
      <c r="BI437" s="421"/>
    </row>
    <row r="438" spans="1:62" ht="15.75" customHeight="1" x14ac:dyDescent="0.35">
      <c r="A438" s="433" t="s">
        <v>373</v>
      </c>
      <c r="B438" s="418"/>
      <c r="C438" s="635" t="s">
        <v>642</v>
      </c>
      <c r="U438" s="694"/>
      <c r="V438" s="507" t="s">
        <v>373</v>
      </c>
      <c r="W438" s="667" t="s">
        <v>673</v>
      </c>
      <c r="X438" s="660"/>
      <c r="Y438" s="660"/>
      <c r="Z438" s="661">
        <v>3905.5576324861113</v>
      </c>
      <c r="AA438" s="660"/>
      <c r="AB438" s="660"/>
      <c r="AC438" s="661"/>
      <c r="AD438" s="669"/>
      <c r="AE438" s="668"/>
      <c r="AF438" s="661">
        <v>3092.1</v>
      </c>
      <c r="AG438" s="662"/>
      <c r="AH438" s="663">
        <v>-813.45763248611138</v>
      </c>
      <c r="AI438" s="664">
        <v>-0.20828207109782143</v>
      </c>
      <c r="AJ438" s="669"/>
      <c r="AK438" s="660"/>
      <c r="AL438" s="661">
        <v>5104.3599999999997</v>
      </c>
      <c r="AM438" s="665"/>
      <c r="AN438" s="663">
        <v>-2012.2599999999998</v>
      </c>
      <c r="AO438" s="670">
        <v>-0.39422376164690576</v>
      </c>
      <c r="AP438" s="421"/>
      <c r="AQ438" s="421"/>
      <c r="AR438" s="421"/>
      <c r="AS438" s="421"/>
      <c r="AT438" s="421"/>
      <c r="AU438" s="421"/>
      <c r="AV438" s="421"/>
      <c r="AW438" s="421"/>
      <c r="AX438" s="421"/>
      <c r="AY438" s="421"/>
      <c r="AZ438" s="421"/>
      <c r="BA438" s="421"/>
      <c r="BB438" s="421"/>
      <c r="BC438" s="421"/>
      <c r="BD438" s="421"/>
      <c r="BE438" s="421"/>
      <c r="BF438" s="421"/>
      <c r="BG438" s="421"/>
      <c r="BH438" s="421"/>
      <c r="BI438" s="421"/>
    </row>
    <row r="439" spans="1:62" ht="15.75" customHeight="1" x14ac:dyDescent="0.35">
      <c r="A439" s="433" t="s">
        <v>375</v>
      </c>
      <c r="B439" s="418"/>
      <c r="C439" s="635" t="s">
        <v>642</v>
      </c>
      <c r="V439" s="507" t="s">
        <v>375</v>
      </c>
      <c r="W439" s="667" t="s">
        <v>674</v>
      </c>
      <c r="X439" s="660"/>
      <c r="Y439" s="660"/>
      <c r="Z439" s="661">
        <v>32918.054597609284</v>
      </c>
      <c r="AA439" s="660"/>
      <c r="AB439" s="660"/>
      <c r="AC439" s="661"/>
      <c r="AD439" s="669"/>
      <c r="AE439" s="668"/>
      <c r="AF439" s="661">
        <v>44790.42</v>
      </c>
      <c r="AG439" s="662"/>
      <c r="AH439" s="663">
        <v>11872.365402390715</v>
      </c>
      <c r="AI439" s="664">
        <v>0.36066424785785978</v>
      </c>
      <c r="AJ439" s="669"/>
      <c r="AK439" s="660"/>
      <c r="AL439" s="661">
        <v>31737.460000000003</v>
      </c>
      <c r="AM439" s="665"/>
      <c r="AN439" s="663">
        <v>13052.959999999995</v>
      </c>
      <c r="AO439" s="670">
        <v>0.41127928952096338</v>
      </c>
      <c r="AP439" s="421"/>
      <c r="AQ439" s="421"/>
      <c r="AR439" s="421"/>
      <c r="AS439" s="421"/>
      <c r="AT439" s="421"/>
      <c r="AU439" s="421"/>
      <c r="AV439" s="421"/>
      <c r="AW439" s="421"/>
      <c r="AX439" s="421"/>
      <c r="AY439" s="421"/>
      <c r="AZ439" s="421"/>
      <c r="BA439" s="421"/>
      <c r="BB439" s="421"/>
      <c r="BC439" s="421"/>
      <c r="BD439" s="421"/>
      <c r="BE439" s="421"/>
      <c r="BF439" s="421"/>
      <c r="BG439" s="421"/>
      <c r="BH439" s="421"/>
      <c r="BI439" s="421"/>
    </row>
    <row r="440" spans="1:62" ht="15.75" customHeight="1" x14ac:dyDescent="0.35">
      <c r="B440" s="418"/>
      <c r="C440" s="635" t="s">
        <v>642</v>
      </c>
      <c r="V440" s="603" t="s">
        <v>513</v>
      </c>
      <c r="W440" s="686"/>
      <c r="X440" s="687"/>
      <c r="Y440" s="687"/>
      <c r="Z440" s="688">
        <v>0</v>
      </c>
      <c r="AA440" s="687"/>
      <c r="AB440" s="687"/>
      <c r="AC440" s="688"/>
      <c r="AD440" s="689"/>
      <c r="AE440" s="690"/>
      <c r="AF440" s="688">
        <v>0</v>
      </c>
      <c r="AG440" s="696"/>
      <c r="AH440" s="691">
        <v>0</v>
      </c>
      <c r="AI440" s="692">
        <v>0</v>
      </c>
      <c r="AJ440" s="689"/>
      <c r="AK440" s="687"/>
      <c r="AL440" s="688">
        <v>0</v>
      </c>
      <c r="AM440" s="693"/>
      <c r="AN440" s="691">
        <v>0</v>
      </c>
      <c r="AO440" s="666">
        <v>0</v>
      </c>
      <c r="AP440" s="421"/>
      <c r="AQ440" s="421"/>
      <c r="AR440" s="421"/>
      <c r="AS440" s="421"/>
      <c r="AT440" s="421"/>
      <c r="AU440" s="421"/>
      <c r="AV440" s="421"/>
      <c r="AW440" s="421"/>
      <c r="AX440" s="421"/>
      <c r="AY440" s="421"/>
      <c r="AZ440" s="421"/>
      <c r="BA440" s="421"/>
      <c r="BB440" s="421"/>
      <c r="BC440" s="421"/>
      <c r="BD440" s="421"/>
      <c r="BE440" s="421"/>
      <c r="BF440" s="421"/>
      <c r="BG440" s="421"/>
      <c r="BH440" s="421"/>
      <c r="BI440" s="421"/>
    </row>
    <row r="441" spans="1:62" ht="15.75" customHeight="1" x14ac:dyDescent="0.35">
      <c r="A441" s="433" t="s">
        <v>377</v>
      </c>
      <c r="B441" s="418"/>
      <c r="C441" s="635" t="s">
        <v>642</v>
      </c>
      <c r="V441" s="507" t="s">
        <v>377</v>
      </c>
      <c r="W441" s="667" t="s">
        <v>675</v>
      </c>
      <c r="X441" s="660"/>
      <c r="Y441" s="668"/>
      <c r="Z441" s="661">
        <v>5252.6901555555569</v>
      </c>
      <c r="AA441" s="660"/>
      <c r="AB441" s="668"/>
      <c r="AC441" s="661"/>
      <c r="AD441" s="669"/>
      <c r="AE441" s="668"/>
      <c r="AF441" s="661">
        <v>3095.58</v>
      </c>
      <c r="AG441" s="662"/>
      <c r="AH441" s="663">
        <v>-2157.110155555557</v>
      </c>
      <c r="AI441" s="664">
        <v>-0.41066769439542694</v>
      </c>
      <c r="AJ441" s="669"/>
      <c r="AK441" s="660"/>
      <c r="AL441" s="661">
        <v>3621.82</v>
      </c>
      <c r="AM441" s="665"/>
      <c r="AN441" s="663">
        <v>-526.24000000000024</v>
      </c>
      <c r="AO441" s="670">
        <v>-0.14529711581470095</v>
      </c>
      <c r="AP441" s="421"/>
      <c r="AQ441" s="421"/>
      <c r="AR441" s="421"/>
      <c r="AS441" s="421"/>
      <c r="AT441" s="421"/>
      <c r="AU441" s="421"/>
      <c r="AV441" s="421"/>
      <c r="AW441" s="421"/>
      <c r="AX441" s="421"/>
      <c r="AY441" s="421"/>
      <c r="AZ441" s="421"/>
      <c r="BA441" s="421"/>
      <c r="BB441" s="421"/>
      <c r="BC441" s="421"/>
      <c r="BD441" s="421"/>
      <c r="BE441" s="421"/>
      <c r="BF441" s="421"/>
      <c r="BG441" s="421"/>
      <c r="BH441" s="421"/>
      <c r="BI441" s="421"/>
      <c r="BJ441" s="421"/>
    </row>
    <row r="442" spans="1:62" ht="15.75" customHeight="1" x14ac:dyDescent="0.35">
      <c r="A442" s="433" t="s">
        <v>379</v>
      </c>
      <c r="B442" s="418"/>
      <c r="C442" s="635" t="s">
        <v>642</v>
      </c>
      <c r="U442" s="421"/>
      <c r="V442" s="507" t="s">
        <v>379</v>
      </c>
      <c r="W442" s="667" t="s">
        <v>676</v>
      </c>
      <c r="X442" s="660"/>
      <c r="Y442" s="660"/>
      <c r="Z442" s="661">
        <v>1333.7987401197504</v>
      </c>
      <c r="AA442" s="660"/>
      <c r="AB442" s="660"/>
      <c r="AC442" s="661"/>
      <c r="AD442" s="669"/>
      <c r="AE442" s="668"/>
      <c r="AF442" s="661">
        <v>699.73</v>
      </c>
      <c r="AG442" s="662"/>
      <c r="AH442" s="663">
        <v>-634.06874011975037</v>
      </c>
      <c r="AI442" s="683">
        <v>-0.47538561931976542</v>
      </c>
      <c r="AJ442" s="669"/>
      <c r="AK442" s="660"/>
      <c r="AL442" s="661">
        <v>1654</v>
      </c>
      <c r="AM442" s="665"/>
      <c r="AN442" s="663">
        <v>-954.27</v>
      </c>
      <c r="AO442" s="670">
        <v>-0.57694679564691653</v>
      </c>
      <c r="AP442" s="421"/>
      <c r="AQ442" s="421"/>
      <c r="AR442" s="421"/>
      <c r="AS442" s="421"/>
      <c r="AT442" s="421"/>
      <c r="AU442" s="421"/>
      <c r="AV442" s="421"/>
      <c r="AW442" s="421"/>
      <c r="AX442" s="421"/>
      <c r="AY442" s="421"/>
      <c r="AZ442" s="421"/>
      <c r="BA442" s="421"/>
      <c r="BB442" s="421"/>
      <c r="BC442" s="421"/>
      <c r="BD442" s="421"/>
      <c r="BE442" s="421"/>
      <c r="BF442" s="421"/>
      <c r="BG442" s="421"/>
      <c r="BH442" s="421"/>
      <c r="BI442" s="421"/>
      <c r="BJ442" s="421"/>
    </row>
    <row r="443" spans="1:62" ht="15.75" customHeight="1" x14ac:dyDescent="0.35">
      <c r="A443" s="433" t="s">
        <v>381</v>
      </c>
      <c r="B443" s="418"/>
      <c r="C443" s="635" t="s">
        <v>642</v>
      </c>
      <c r="T443" s="421"/>
      <c r="U443" s="421"/>
      <c r="V443" s="507" t="s">
        <v>381</v>
      </c>
      <c r="W443" s="667" t="s">
        <v>677</v>
      </c>
      <c r="X443" s="660"/>
      <c r="Y443" s="660"/>
      <c r="Z443" s="661">
        <v>2760.7503854659999</v>
      </c>
      <c r="AA443" s="660"/>
      <c r="AB443" s="660"/>
      <c r="AC443" s="661"/>
      <c r="AD443" s="669"/>
      <c r="AE443" s="668"/>
      <c r="AF443" s="661">
        <v>4141.9799999999996</v>
      </c>
      <c r="AG443" s="662"/>
      <c r="AH443" s="663">
        <v>1381.2296145339997</v>
      </c>
      <c r="AI443" s="664">
        <v>0.50030948897281613</v>
      </c>
      <c r="AJ443" s="669"/>
      <c r="AK443" s="660"/>
      <c r="AL443" s="661">
        <v>1541.9599999999998</v>
      </c>
      <c r="AM443" s="665"/>
      <c r="AN443" s="663">
        <v>2600.0199999999995</v>
      </c>
      <c r="AO443" s="670">
        <v>1.6861786297958441</v>
      </c>
      <c r="AP443" s="421"/>
      <c r="AQ443" s="421"/>
      <c r="AR443" s="421"/>
      <c r="AS443" s="421"/>
      <c r="AT443" s="421"/>
      <c r="AU443" s="421"/>
      <c r="AV443" s="421"/>
      <c r="AW443" s="421"/>
      <c r="AX443" s="421"/>
      <c r="AY443" s="421"/>
      <c r="AZ443" s="421"/>
      <c r="BA443" s="421"/>
      <c r="BB443" s="421"/>
      <c r="BC443" s="421"/>
      <c r="BD443" s="421"/>
      <c r="BE443" s="421"/>
      <c r="BF443" s="421"/>
      <c r="BG443" s="421"/>
      <c r="BH443" s="421"/>
      <c r="BI443" s="421"/>
      <c r="BJ443" s="421"/>
    </row>
    <row r="444" spans="1:62" ht="15.75" customHeight="1" x14ac:dyDescent="0.35">
      <c r="A444" s="433" t="s">
        <v>383</v>
      </c>
      <c r="B444" s="418"/>
      <c r="C444" s="635" t="s">
        <v>642</v>
      </c>
      <c r="T444" s="421"/>
      <c r="U444" s="421"/>
      <c r="V444" s="507" t="s">
        <v>383</v>
      </c>
      <c r="W444" s="667" t="s">
        <v>678</v>
      </c>
      <c r="X444" s="660"/>
      <c r="Y444" s="660"/>
      <c r="Z444" s="661">
        <v>734.68076036869445</v>
      </c>
      <c r="AA444" s="660"/>
      <c r="AB444" s="660"/>
      <c r="AC444" s="661"/>
      <c r="AD444" s="669"/>
      <c r="AE444" s="668"/>
      <c r="AF444" s="661">
        <v>662.9</v>
      </c>
      <c r="AG444" s="662"/>
      <c r="AH444" s="663">
        <v>-71.780760368694473</v>
      </c>
      <c r="AI444" s="683">
        <v>-9.7703334891568142E-2</v>
      </c>
      <c r="AJ444" s="669"/>
      <c r="AK444" s="660"/>
      <c r="AL444" s="661">
        <v>623.20000000000005</v>
      </c>
      <c r="AM444" s="665"/>
      <c r="AN444" s="663">
        <v>39.699999999999932</v>
      </c>
      <c r="AO444" s="670">
        <v>6.3703465982028126E-2</v>
      </c>
      <c r="AP444" s="421"/>
      <c r="AQ444" s="421"/>
      <c r="AR444" s="421"/>
      <c r="AS444" s="421"/>
      <c r="AT444" s="421"/>
      <c r="AU444" s="421"/>
      <c r="AV444" s="421"/>
      <c r="AW444" s="421"/>
      <c r="AX444" s="421"/>
      <c r="AY444" s="421"/>
      <c r="AZ444" s="421"/>
      <c r="BA444" s="421"/>
      <c r="BB444" s="421"/>
      <c r="BC444" s="421"/>
      <c r="BD444" s="421"/>
      <c r="BE444" s="421"/>
      <c r="BF444" s="421"/>
      <c r="BG444" s="421"/>
      <c r="BH444" s="421"/>
      <c r="BI444" s="421"/>
      <c r="BJ444" s="421"/>
    </row>
    <row r="445" spans="1:62" ht="15.75" customHeight="1" x14ac:dyDescent="0.35">
      <c r="A445" s="433" t="s">
        <v>385</v>
      </c>
      <c r="B445" s="418"/>
      <c r="C445" s="635" t="s">
        <v>642</v>
      </c>
      <c r="T445" s="421"/>
      <c r="U445" s="421"/>
      <c r="V445" s="507" t="s">
        <v>385</v>
      </c>
      <c r="W445" s="667" t="s">
        <v>679</v>
      </c>
      <c r="X445" s="660"/>
      <c r="Y445" s="660"/>
      <c r="Z445" s="661">
        <v>235.21156215130546</v>
      </c>
      <c r="AA445" s="660"/>
      <c r="AB445" s="660"/>
      <c r="AC445" s="661"/>
      <c r="AD445" s="669"/>
      <c r="AE445" s="668"/>
      <c r="AF445" s="661">
        <v>-207.98999999999998</v>
      </c>
      <c r="AG445" s="662"/>
      <c r="AH445" s="663">
        <v>-443.20156215130544</v>
      </c>
      <c r="AI445" s="664">
        <v>-1.8842677549422737</v>
      </c>
      <c r="AJ445" s="669"/>
      <c r="AK445" s="660"/>
      <c r="AL445" s="661">
        <v>102.99999999999999</v>
      </c>
      <c r="AM445" s="665"/>
      <c r="AN445" s="663">
        <v>-310.98999999999995</v>
      </c>
      <c r="AO445" s="670">
        <v>-3.0193203883495143</v>
      </c>
      <c r="AP445" s="421"/>
      <c r="AQ445" s="421"/>
      <c r="AR445" s="421"/>
      <c r="AS445" s="421"/>
      <c r="AT445" s="421"/>
      <c r="AU445" s="421"/>
      <c r="AV445" s="421"/>
      <c r="AW445" s="421"/>
      <c r="AX445" s="421"/>
      <c r="AY445" s="421"/>
      <c r="AZ445" s="421"/>
      <c r="BA445" s="421"/>
      <c r="BB445" s="421"/>
      <c r="BC445" s="421"/>
      <c r="BD445" s="421"/>
      <c r="BE445" s="421"/>
      <c r="BF445" s="421"/>
      <c r="BG445" s="421"/>
      <c r="BH445" s="421"/>
      <c r="BI445" s="421"/>
      <c r="BJ445" s="421"/>
    </row>
    <row r="446" spans="1:62" ht="15.75" customHeight="1" x14ac:dyDescent="0.35">
      <c r="A446" s="433" t="s">
        <v>387</v>
      </c>
      <c r="B446" s="418"/>
      <c r="C446" s="635" t="s">
        <v>642</v>
      </c>
      <c r="T446" s="421"/>
      <c r="U446" s="421"/>
      <c r="V446" s="507" t="s">
        <v>387</v>
      </c>
      <c r="W446" s="667" t="s">
        <v>680</v>
      </c>
      <c r="X446" s="660"/>
      <c r="Y446" s="668"/>
      <c r="Z446" s="661">
        <v>720.38919864980562</v>
      </c>
      <c r="AA446" s="660"/>
      <c r="AB446" s="668"/>
      <c r="AC446" s="661"/>
      <c r="AD446" s="669"/>
      <c r="AE446" s="668"/>
      <c r="AF446" s="661">
        <v>196</v>
      </c>
      <c r="AG446" s="662"/>
      <c r="AH446" s="663">
        <v>-524.38919864980562</v>
      </c>
      <c r="AI446" s="683">
        <v>-0.72792484900196397</v>
      </c>
      <c r="AJ446" s="669"/>
      <c r="AK446" s="660"/>
      <c r="AL446" s="661">
        <v>589.04</v>
      </c>
      <c r="AM446" s="665"/>
      <c r="AN446" s="663">
        <v>-393.03999999999996</v>
      </c>
      <c r="AO446" s="670">
        <v>-0.66725519489338581</v>
      </c>
      <c r="AP446" s="421"/>
      <c r="AQ446" s="421"/>
      <c r="AR446" s="421"/>
      <c r="AS446" s="421"/>
      <c r="AT446" s="421"/>
      <c r="AU446" s="421"/>
      <c r="AV446" s="421"/>
      <c r="AW446" s="421"/>
      <c r="AX446" s="421"/>
      <c r="AY446" s="421"/>
      <c r="AZ446" s="421"/>
      <c r="BA446" s="421"/>
      <c r="BB446" s="421"/>
      <c r="BC446" s="421"/>
      <c r="BD446" s="421"/>
      <c r="BE446" s="421"/>
      <c r="BF446" s="421"/>
      <c r="BG446" s="421"/>
      <c r="BH446" s="421"/>
      <c r="BI446" s="421"/>
      <c r="BJ446" s="421"/>
    </row>
    <row r="447" spans="1:62" ht="15.75" customHeight="1" x14ac:dyDescent="0.35">
      <c r="A447" s="433" t="s">
        <v>389</v>
      </c>
      <c r="B447" s="418"/>
      <c r="C447" s="635" t="s">
        <v>642</v>
      </c>
      <c r="T447" s="421"/>
      <c r="U447" s="421"/>
      <c r="V447" s="507" t="s">
        <v>389</v>
      </c>
      <c r="W447" s="667" t="s">
        <v>681</v>
      </c>
      <c r="X447" s="660"/>
      <c r="Y447" s="668"/>
      <c r="Z447" s="661">
        <v>5774.1370435507661</v>
      </c>
      <c r="AA447" s="660"/>
      <c r="AB447" s="668"/>
      <c r="AC447" s="661"/>
      <c r="AD447" s="669"/>
      <c r="AE447" s="668"/>
      <c r="AF447" s="661">
        <v>5885.7999999999993</v>
      </c>
      <c r="AG447" s="662"/>
      <c r="AH447" s="663">
        <v>111.66295644923321</v>
      </c>
      <c r="AI447" s="664">
        <v>1.9338466615362291E-2</v>
      </c>
      <c r="AJ447" s="669"/>
      <c r="AK447" s="660"/>
      <c r="AL447" s="661">
        <v>6583.58</v>
      </c>
      <c r="AM447" s="665"/>
      <c r="AN447" s="663">
        <v>-697.78000000000065</v>
      </c>
      <c r="AO447" s="670">
        <v>-0.10598792754094287</v>
      </c>
      <c r="AQ447" s="421"/>
      <c r="AR447" s="421"/>
      <c r="AS447" s="421"/>
      <c r="AT447" s="421"/>
      <c r="AU447" s="421"/>
      <c r="AV447" s="421"/>
      <c r="AW447" s="421"/>
      <c r="AX447" s="421"/>
      <c r="AY447" s="421"/>
      <c r="AZ447" s="421"/>
      <c r="BA447" s="421"/>
      <c r="BB447" s="421"/>
      <c r="BC447" s="421"/>
      <c r="BD447" s="421"/>
      <c r="BE447" s="421"/>
      <c r="BF447" s="421"/>
      <c r="BG447" s="421"/>
      <c r="BH447" s="421"/>
      <c r="BI447" s="421"/>
      <c r="BJ447" s="421"/>
    </row>
    <row r="448" spans="1:62" ht="15.75" customHeight="1" x14ac:dyDescent="0.35">
      <c r="A448" s="433" t="s">
        <v>391</v>
      </c>
      <c r="B448" s="418"/>
      <c r="C448" s="635" t="s">
        <v>642</v>
      </c>
      <c r="T448" s="421"/>
      <c r="U448" s="421"/>
      <c r="V448" s="507" t="s">
        <v>391</v>
      </c>
      <c r="W448" s="667" t="s">
        <v>682</v>
      </c>
      <c r="X448" s="660"/>
      <c r="Y448" s="405">
        <v>1.292983894054131E-3</v>
      </c>
      <c r="Z448" s="661">
        <v>8126.212895296856</v>
      </c>
      <c r="AA448" s="660"/>
      <c r="AB448" s="668"/>
      <c r="AC448" s="661"/>
      <c r="AD448" s="669"/>
      <c r="AE448" s="668"/>
      <c r="AF448" s="661">
        <v>8670.7100000000009</v>
      </c>
      <c r="AG448" s="662"/>
      <c r="AH448" s="663">
        <v>544.49710470314494</v>
      </c>
      <c r="AI448" s="664">
        <v>6.7005025799690685E-2</v>
      </c>
      <c r="AJ448" s="669"/>
      <c r="AK448" s="660"/>
      <c r="AL448" s="661">
        <v>8293.56</v>
      </c>
      <c r="AM448" s="665"/>
      <c r="AN448" s="663">
        <v>377.15000000000146</v>
      </c>
      <c r="AO448" s="670">
        <v>4.5475043286598453E-2</v>
      </c>
      <c r="AQ448" s="421"/>
      <c r="AR448" s="421"/>
      <c r="AS448" s="421"/>
      <c r="AT448" s="421"/>
      <c r="AU448" s="421"/>
      <c r="AV448" s="421"/>
      <c r="AW448" s="421"/>
      <c r="AX448" s="421"/>
      <c r="AY448" s="421"/>
      <c r="AZ448" s="421"/>
      <c r="BA448" s="421"/>
      <c r="BB448" s="421"/>
      <c r="BC448" s="421"/>
      <c r="BD448" s="421"/>
      <c r="BE448" s="421"/>
      <c r="BF448" s="421"/>
      <c r="BG448" s="421"/>
      <c r="BH448" s="421"/>
      <c r="BI448" s="421"/>
      <c r="BJ448" s="421"/>
    </row>
    <row r="449" spans="1:62" ht="15.75" hidden="1" customHeight="1" x14ac:dyDescent="0.35">
      <c r="A449" s="433" t="s">
        <v>323</v>
      </c>
      <c r="B449" s="418"/>
      <c r="C449" s="635" t="s">
        <v>642</v>
      </c>
      <c r="T449" s="421"/>
      <c r="U449" s="421"/>
      <c r="V449" s="507" t="s">
        <v>323</v>
      </c>
      <c r="W449" s="667"/>
      <c r="X449" s="660"/>
      <c r="Y449" s="668"/>
      <c r="Z449" s="661">
        <v>0</v>
      </c>
      <c r="AA449" s="660"/>
      <c r="AB449" s="660"/>
      <c r="AC449" s="661"/>
      <c r="AD449" s="669"/>
      <c r="AE449" s="668"/>
      <c r="AF449" s="661">
        <v>0</v>
      </c>
      <c r="AG449" s="662"/>
      <c r="AH449" s="663">
        <v>0</v>
      </c>
      <c r="AI449" s="664">
        <v>0</v>
      </c>
      <c r="AJ449" s="669"/>
      <c r="AK449" s="660"/>
      <c r="AL449" s="661">
        <v>0</v>
      </c>
      <c r="AM449" s="665"/>
      <c r="AN449" s="663">
        <v>0</v>
      </c>
      <c r="AO449" s="670">
        <v>0</v>
      </c>
      <c r="AP449" s="421"/>
      <c r="AQ449" s="421"/>
      <c r="AR449" s="421"/>
      <c r="AS449" s="421"/>
      <c r="AT449" s="421"/>
      <c r="AU449" s="421"/>
      <c r="AV449" s="421"/>
      <c r="AW449" s="421"/>
      <c r="AX449" s="421"/>
      <c r="AY449" s="421"/>
      <c r="AZ449" s="421"/>
      <c r="BA449" s="421"/>
      <c r="BB449" s="421"/>
      <c r="BC449" s="421"/>
      <c r="BD449" s="421"/>
      <c r="BE449" s="421"/>
      <c r="BF449" s="421"/>
      <c r="BG449" s="421"/>
      <c r="BH449" s="421"/>
      <c r="BI449" s="421"/>
      <c r="BJ449" s="421"/>
    </row>
    <row r="450" spans="1:62" ht="15.75" hidden="1" customHeight="1" x14ac:dyDescent="0.35">
      <c r="A450" s="433" t="s">
        <v>323</v>
      </c>
      <c r="B450" s="418"/>
      <c r="C450" s="635" t="s">
        <v>642</v>
      </c>
      <c r="T450" s="421"/>
      <c r="U450" s="421"/>
      <c r="V450" s="507" t="s">
        <v>323</v>
      </c>
      <c r="W450" s="667"/>
      <c r="X450" s="660"/>
      <c r="Y450" s="668"/>
      <c r="Z450" s="661">
        <v>0</v>
      </c>
      <c r="AA450" s="660"/>
      <c r="AB450" s="660"/>
      <c r="AC450" s="661"/>
      <c r="AD450" s="669"/>
      <c r="AE450" s="668"/>
      <c r="AF450" s="661">
        <v>0</v>
      </c>
      <c r="AG450" s="662"/>
      <c r="AH450" s="663">
        <v>0</v>
      </c>
      <c r="AI450" s="664">
        <v>0</v>
      </c>
      <c r="AJ450" s="669"/>
      <c r="AK450" s="660"/>
      <c r="AL450" s="661">
        <v>0</v>
      </c>
      <c r="AM450" s="665"/>
      <c r="AN450" s="663">
        <v>0</v>
      </c>
      <c r="AO450" s="670">
        <v>0</v>
      </c>
      <c r="AP450" s="421"/>
      <c r="AQ450" s="421"/>
      <c r="AR450" s="421"/>
      <c r="AS450" s="421"/>
      <c r="AT450" s="421"/>
      <c r="AU450" s="421"/>
      <c r="AV450" s="421"/>
      <c r="AW450" s="421"/>
      <c r="AX450" s="421"/>
      <c r="AY450" s="421"/>
      <c r="AZ450" s="421"/>
      <c r="BA450" s="421"/>
      <c r="BB450" s="421"/>
      <c r="BC450" s="421"/>
      <c r="BD450" s="421"/>
      <c r="BE450" s="421"/>
      <c r="BF450" s="421"/>
      <c r="BG450" s="421"/>
      <c r="BH450" s="421"/>
      <c r="BI450" s="421"/>
      <c r="BJ450" s="421"/>
    </row>
    <row r="451" spans="1:62" ht="15.75" hidden="1" customHeight="1" x14ac:dyDescent="0.35">
      <c r="A451" s="433" t="s">
        <v>323</v>
      </c>
      <c r="B451" s="418"/>
      <c r="C451" s="635" t="s">
        <v>642</v>
      </c>
      <c r="T451" s="421"/>
      <c r="U451" s="421"/>
      <c r="V451" s="507" t="s">
        <v>323</v>
      </c>
      <c r="W451" s="667"/>
      <c r="X451" s="660"/>
      <c r="Y451" s="668"/>
      <c r="Z451" s="661">
        <v>0</v>
      </c>
      <c r="AA451" s="660"/>
      <c r="AB451" s="660"/>
      <c r="AC451" s="661"/>
      <c r="AD451" s="669"/>
      <c r="AE451" s="668"/>
      <c r="AF451" s="661">
        <v>0</v>
      </c>
      <c r="AG451" s="662"/>
      <c r="AH451" s="663">
        <v>0</v>
      </c>
      <c r="AI451" s="664">
        <v>0</v>
      </c>
      <c r="AJ451" s="669"/>
      <c r="AK451" s="660"/>
      <c r="AL451" s="661">
        <v>0</v>
      </c>
      <c r="AM451" s="665"/>
      <c r="AN451" s="663">
        <v>0</v>
      </c>
      <c r="AO451" s="670">
        <v>0</v>
      </c>
      <c r="AP451" s="421"/>
      <c r="AQ451" s="421"/>
      <c r="AR451" s="421"/>
      <c r="AS451" s="421"/>
      <c r="AT451" s="421"/>
      <c r="AU451" s="421"/>
      <c r="AV451" s="421"/>
      <c r="AW451" s="421"/>
      <c r="AX451" s="421"/>
      <c r="AY451" s="421"/>
      <c r="AZ451" s="421"/>
      <c r="BA451" s="421"/>
      <c r="BB451" s="421"/>
      <c r="BC451" s="421"/>
      <c r="BD451" s="421"/>
      <c r="BE451" s="421"/>
      <c r="BF451" s="421"/>
      <c r="BG451" s="421"/>
      <c r="BH451" s="421"/>
      <c r="BI451" s="421"/>
      <c r="BJ451" s="421"/>
    </row>
    <row r="452" spans="1:62" ht="15.75" customHeight="1" x14ac:dyDescent="0.4">
      <c r="A452" s="433" t="s">
        <v>393</v>
      </c>
      <c r="B452" s="418"/>
      <c r="C452" s="635" t="s">
        <v>642</v>
      </c>
      <c r="T452" s="421"/>
      <c r="U452" s="421"/>
      <c r="V452" s="675" t="s">
        <v>393</v>
      </c>
      <c r="W452" s="697"/>
      <c r="X452" s="677">
        <v>0.17230118733803457</v>
      </c>
      <c r="Y452" s="676"/>
      <c r="Z452" s="678">
        <v>123611.16202551892</v>
      </c>
      <c r="AA452" s="677"/>
      <c r="AB452" s="676"/>
      <c r="AC452" s="678"/>
      <c r="AD452" s="679">
        <v>0.17240064210657993</v>
      </c>
      <c r="AE452" s="676"/>
      <c r="AF452" s="678">
        <v>134049.59</v>
      </c>
      <c r="AG452" s="698"/>
      <c r="AH452" s="699">
        <v>10438.427974481068</v>
      </c>
      <c r="AI452" s="677">
        <v>8.4445674673991875E-2</v>
      </c>
      <c r="AJ452" s="679">
        <v>0.18671790160028268</v>
      </c>
      <c r="AK452" s="677"/>
      <c r="AL452" s="678">
        <v>124525.41</v>
      </c>
      <c r="AM452" s="685"/>
      <c r="AN452" s="681">
        <v>9524.1800000000021</v>
      </c>
      <c r="AO452" s="700">
        <v>7.6483827678222482E-2</v>
      </c>
      <c r="AP452" s="421"/>
      <c r="AQ452" s="421"/>
      <c r="AR452" s="421"/>
      <c r="AS452" s="421"/>
      <c r="AT452" s="421"/>
      <c r="AU452" s="421"/>
      <c r="AV452" s="421"/>
      <c r="AW452" s="421"/>
      <c r="AX452" s="421"/>
      <c r="AY452" s="421"/>
      <c r="AZ452" s="421"/>
      <c r="BA452" s="421"/>
      <c r="BB452" s="421"/>
      <c r="BC452" s="421"/>
      <c r="BD452" s="421"/>
      <c r="BE452" s="421"/>
      <c r="BF452" s="421"/>
      <c r="BG452" s="421"/>
      <c r="BH452" s="421"/>
      <c r="BI452" s="421"/>
      <c r="BJ452" s="421"/>
    </row>
    <row r="453" spans="1:62" ht="15.75" customHeight="1" x14ac:dyDescent="0.35">
      <c r="A453" s="433" t="s">
        <v>59</v>
      </c>
      <c r="B453" s="418"/>
      <c r="C453" s="635" t="s">
        <v>642</v>
      </c>
      <c r="D453" s="421"/>
      <c r="E453" s="421"/>
      <c r="F453" s="421"/>
      <c r="G453" s="421"/>
      <c r="H453" s="421"/>
      <c r="I453" s="421"/>
      <c r="J453" s="421"/>
      <c r="K453" s="421"/>
      <c r="L453" s="421"/>
      <c r="M453" s="421"/>
      <c r="N453" s="421"/>
      <c r="O453" s="421"/>
      <c r="P453" s="421"/>
      <c r="Q453" s="421"/>
      <c r="R453" s="421"/>
      <c r="S453" s="421"/>
      <c r="T453" s="421"/>
      <c r="U453" s="421"/>
      <c r="V453" s="507" t="s">
        <v>59</v>
      </c>
      <c r="W453" s="667" t="s">
        <v>683</v>
      </c>
      <c r="X453" s="660"/>
      <c r="Y453" s="668"/>
      <c r="Z453" s="661">
        <v>36000</v>
      </c>
      <c r="AA453" s="660"/>
      <c r="AB453" s="668"/>
      <c r="AC453" s="661"/>
      <c r="AD453" s="669"/>
      <c r="AE453" s="668"/>
      <c r="AF453" s="661">
        <v>36000</v>
      </c>
      <c r="AG453" s="662"/>
      <c r="AH453" s="663">
        <v>0</v>
      </c>
      <c r="AI453" s="664">
        <v>0</v>
      </c>
      <c r="AJ453" s="669"/>
      <c r="AK453" s="660"/>
      <c r="AL453" s="661">
        <v>36000</v>
      </c>
      <c r="AM453" s="665"/>
      <c r="AN453" s="663">
        <v>0</v>
      </c>
      <c r="AO453" s="670">
        <v>0</v>
      </c>
      <c r="AP453" s="421"/>
      <c r="AQ453" s="421"/>
      <c r="AR453" s="421"/>
      <c r="AS453" s="421"/>
      <c r="AT453" s="421"/>
      <c r="AU453" s="421"/>
      <c r="AV453" s="421"/>
      <c r="AW453" s="421"/>
      <c r="AX453" s="421"/>
      <c r="AY453" s="421"/>
      <c r="AZ453" s="421"/>
      <c r="BA453" s="421"/>
      <c r="BB453" s="421"/>
      <c r="BC453" s="421"/>
      <c r="BD453" s="421"/>
      <c r="BE453" s="421"/>
      <c r="BF453" s="421"/>
      <c r="BG453" s="421"/>
      <c r="BH453" s="421"/>
      <c r="BI453" s="421"/>
      <c r="BJ453" s="421"/>
    </row>
    <row r="454" spans="1:62" ht="15.75" customHeight="1" x14ac:dyDescent="0.35">
      <c r="A454" s="433" t="s">
        <v>684</v>
      </c>
      <c r="B454" s="418"/>
      <c r="C454" s="635" t="s">
        <v>642</v>
      </c>
      <c r="D454" s="421"/>
      <c r="E454" s="421"/>
      <c r="F454" s="421"/>
      <c r="G454" s="421"/>
      <c r="H454" s="421"/>
      <c r="I454" s="421"/>
      <c r="J454" s="421"/>
      <c r="K454" s="421"/>
      <c r="L454" s="421"/>
      <c r="M454" s="421"/>
      <c r="N454" s="421"/>
      <c r="O454" s="421"/>
      <c r="P454" s="421"/>
      <c r="Q454" s="421"/>
      <c r="R454" s="421"/>
      <c r="S454" s="421"/>
      <c r="T454" s="421"/>
      <c r="U454" s="421"/>
      <c r="V454" s="507" t="s">
        <v>684</v>
      </c>
      <c r="W454" s="667" t="s">
        <v>685</v>
      </c>
      <c r="X454" s="660"/>
      <c r="Y454" s="668"/>
      <c r="Z454" s="661">
        <v>5423.4400000000005</v>
      </c>
      <c r="AA454" s="660"/>
      <c r="AB454" s="668"/>
      <c r="AC454" s="661"/>
      <c r="AD454" s="669"/>
      <c r="AE454" s="668"/>
      <c r="AF454" s="661">
        <v>5423</v>
      </c>
      <c r="AG454" s="662"/>
      <c r="AH454" s="663">
        <v>-0.44000000000050932</v>
      </c>
      <c r="AI454" s="664">
        <v>-8.1129320136391167E-5</v>
      </c>
      <c r="AJ454" s="669"/>
      <c r="AK454" s="660"/>
      <c r="AL454" s="661">
        <v>5177</v>
      </c>
      <c r="AM454" s="665"/>
      <c r="AN454" s="663">
        <v>246</v>
      </c>
      <c r="AO454" s="670">
        <v>4.7517867490824803E-2</v>
      </c>
      <c r="AP454" s="421"/>
      <c r="AQ454" s="421"/>
      <c r="AR454" s="421"/>
      <c r="AS454" s="421"/>
      <c r="AT454" s="421"/>
      <c r="AU454" s="421"/>
      <c r="AV454" s="421"/>
      <c r="AW454" s="421"/>
      <c r="AX454" s="421"/>
      <c r="AY454" s="421"/>
      <c r="AZ454" s="421"/>
      <c r="BA454" s="421"/>
      <c r="BB454" s="421"/>
      <c r="BC454" s="421"/>
      <c r="BD454" s="421"/>
      <c r="BE454" s="421"/>
      <c r="BF454" s="421"/>
      <c r="BG454" s="421"/>
      <c r="BH454" s="421"/>
      <c r="BI454" s="421"/>
      <c r="BJ454" s="421"/>
    </row>
    <row r="455" spans="1:62" ht="15.75" customHeight="1" x14ac:dyDescent="0.35">
      <c r="A455" s="433" t="s">
        <v>686</v>
      </c>
      <c r="B455" s="418"/>
      <c r="C455" s="635" t="s">
        <v>642</v>
      </c>
      <c r="D455" s="421"/>
      <c r="E455" s="421"/>
      <c r="F455" s="421"/>
      <c r="G455" s="421"/>
      <c r="H455" s="421"/>
      <c r="I455" s="421"/>
      <c r="J455" s="421"/>
      <c r="K455" s="421"/>
      <c r="L455" s="421"/>
      <c r="M455" s="421"/>
      <c r="N455" s="421"/>
      <c r="O455" s="421"/>
      <c r="P455" s="421"/>
      <c r="Q455" s="421"/>
      <c r="R455" s="421"/>
      <c r="S455" s="421"/>
      <c r="T455" s="421"/>
      <c r="U455" s="421"/>
      <c r="V455" s="508" t="s">
        <v>686</v>
      </c>
      <c r="W455" s="671" t="s">
        <v>687</v>
      </c>
      <c r="X455" s="644"/>
      <c r="Y455" s="672"/>
      <c r="Z455" s="645">
        <v>3608.8800000000006</v>
      </c>
      <c r="AA455" s="644"/>
      <c r="AB455" s="672"/>
      <c r="AC455" s="645"/>
      <c r="AD455" s="673"/>
      <c r="AE455" s="672"/>
      <c r="AF455" s="645">
        <v>3609</v>
      </c>
      <c r="AG455" s="646"/>
      <c r="AH455" s="647">
        <v>0.11999999999943611</v>
      </c>
      <c r="AI455" s="674">
        <v>3.3251313426724106E-5</v>
      </c>
      <c r="AJ455" s="673"/>
      <c r="AK455" s="644"/>
      <c r="AL455" s="645">
        <v>3726.28</v>
      </c>
      <c r="AM455" s="649"/>
      <c r="AN455" s="647">
        <v>-117.2800000000002</v>
      </c>
      <c r="AO455" s="650">
        <v>-3.1473748617924631E-2</v>
      </c>
      <c r="AP455" s="421"/>
      <c r="AQ455" s="421"/>
      <c r="AR455" s="421"/>
      <c r="AS455" s="421"/>
      <c r="AT455" s="421"/>
      <c r="AU455" s="421"/>
      <c r="AV455" s="421"/>
      <c r="AW455" s="421"/>
      <c r="AX455" s="421"/>
      <c r="AY455" s="421"/>
      <c r="AZ455" s="421"/>
      <c r="BA455" s="421"/>
      <c r="BB455" s="421"/>
      <c r="BC455" s="421"/>
      <c r="BD455" s="421"/>
      <c r="BE455" s="421"/>
      <c r="BF455" s="421"/>
      <c r="BG455" s="421"/>
      <c r="BH455" s="421"/>
      <c r="BI455" s="421"/>
      <c r="BJ455" s="421"/>
    </row>
    <row r="456" spans="1:62" ht="15.75" customHeight="1" x14ac:dyDescent="0.35">
      <c r="A456" s="433" t="s">
        <v>688</v>
      </c>
      <c r="B456" s="418"/>
      <c r="C456" s="635" t="s">
        <v>642</v>
      </c>
      <c r="D456" s="421"/>
      <c r="E456" s="421"/>
      <c r="F456" s="421"/>
      <c r="G456" s="421"/>
      <c r="H456" s="421"/>
      <c r="I456" s="421"/>
      <c r="J456" s="421"/>
      <c r="K456" s="421"/>
      <c r="L456" s="421"/>
      <c r="M456" s="421"/>
      <c r="N456" s="421"/>
      <c r="O456" s="421"/>
      <c r="P456" s="421"/>
      <c r="Q456" s="421"/>
      <c r="R456" s="421"/>
      <c r="S456" s="421"/>
      <c r="T456" s="421"/>
      <c r="U456" s="421"/>
      <c r="V456" s="507" t="s">
        <v>688</v>
      </c>
      <c r="W456" s="667"/>
      <c r="X456" s="660"/>
      <c r="Y456" s="668"/>
      <c r="Z456" s="661">
        <v>0</v>
      </c>
      <c r="AA456" s="660"/>
      <c r="AB456" s="668"/>
      <c r="AC456" s="661"/>
      <c r="AD456" s="669"/>
      <c r="AE456" s="668"/>
      <c r="AF456" s="661">
        <v>0</v>
      </c>
      <c r="AG456" s="662"/>
      <c r="AH456" s="663">
        <v>0</v>
      </c>
      <c r="AI456" s="664">
        <v>0</v>
      </c>
      <c r="AJ456" s="669"/>
      <c r="AK456" s="660"/>
      <c r="AL456" s="661">
        <v>0</v>
      </c>
      <c r="AM456" s="665"/>
      <c r="AN456" s="663">
        <v>0</v>
      </c>
      <c r="AO456" s="670">
        <v>0</v>
      </c>
      <c r="AP456" s="421"/>
      <c r="AQ456" s="421"/>
      <c r="AR456" s="421"/>
      <c r="AS456" s="421"/>
      <c r="AT456" s="421"/>
      <c r="AU456" s="421"/>
      <c r="AV456" s="421"/>
      <c r="AW456" s="421"/>
      <c r="AX456" s="421"/>
      <c r="AY456" s="421"/>
      <c r="AZ456" s="421"/>
      <c r="BA456" s="421"/>
      <c r="BB456" s="421"/>
      <c r="BC456" s="421"/>
      <c r="BD456" s="421"/>
      <c r="BE456" s="421"/>
      <c r="BF456" s="421"/>
      <c r="BG456" s="421"/>
      <c r="BH456" s="421"/>
      <c r="BI456" s="421"/>
      <c r="BJ456" s="421"/>
    </row>
    <row r="457" spans="1:62" ht="15.75" customHeight="1" x14ac:dyDescent="0.35">
      <c r="A457" s="433" t="s">
        <v>689</v>
      </c>
      <c r="B457" s="418"/>
      <c r="C457" s="635" t="s">
        <v>642</v>
      </c>
      <c r="D457" s="421"/>
      <c r="E457" s="421"/>
      <c r="F457" s="421"/>
      <c r="G457" s="421"/>
      <c r="H457" s="421"/>
      <c r="I457" s="421"/>
      <c r="J457" s="421"/>
      <c r="K457" s="421"/>
      <c r="L457" s="421"/>
      <c r="M457" s="421"/>
      <c r="N457" s="421"/>
      <c r="O457" s="421"/>
      <c r="P457" s="421"/>
      <c r="Q457" s="421"/>
      <c r="R457" s="421"/>
      <c r="S457" s="421"/>
      <c r="T457" s="421"/>
      <c r="U457" s="421"/>
      <c r="V457" s="508" t="s">
        <v>689</v>
      </c>
      <c r="W457" s="671" t="s">
        <v>690</v>
      </c>
      <c r="X457" s="644"/>
      <c r="Y457" s="672"/>
      <c r="Z457" s="645">
        <v>4344.25</v>
      </c>
      <c r="AA457" s="644"/>
      <c r="AB457" s="672"/>
      <c r="AC457" s="645"/>
      <c r="AD457" s="673"/>
      <c r="AE457" s="672"/>
      <c r="AF457" s="645">
        <v>4344.25</v>
      </c>
      <c r="AG457" s="646"/>
      <c r="AH457" s="647">
        <v>0</v>
      </c>
      <c r="AI457" s="674">
        <v>0</v>
      </c>
      <c r="AJ457" s="673"/>
      <c r="AK457" s="644"/>
      <c r="AL457" s="645">
        <v>3893.08</v>
      </c>
      <c r="AM457" s="649"/>
      <c r="AN457" s="647">
        <v>451.17000000000007</v>
      </c>
      <c r="AO457" s="650">
        <v>0.11589024628314858</v>
      </c>
      <c r="AP457" s="421"/>
      <c r="AQ457" s="421"/>
      <c r="AR457" s="421"/>
      <c r="AS457" s="421"/>
      <c r="AT457" s="421"/>
      <c r="AU457" s="421"/>
      <c r="AV457" s="421"/>
      <c r="AW457" s="421"/>
      <c r="AX457" s="421"/>
      <c r="AY457" s="421"/>
      <c r="AZ457" s="421"/>
      <c r="BA457" s="421"/>
      <c r="BB457" s="421"/>
      <c r="BC457" s="421"/>
      <c r="BD457" s="421"/>
      <c r="BE457" s="421"/>
      <c r="BF457" s="421"/>
      <c r="BG457" s="421"/>
      <c r="BH457" s="421"/>
      <c r="BI457" s="421"/>
      <c r="BJ457" s="421"/>
    </row>
    <row r="458" spans="1:62" ht="15.75" customHeight="1" x14ac:dyDescent="0.4">
      <c r="A458" s="433" t="s">
        <v>691</v>
      </c>
      <c r="B458" s="418"/>
      <c r="C458" s="635" t="s">
        <v>642</v>
      </c>
      <c r="D458" s="421"/>
      <c r="E458" s="421"/>
      <c r="F458" s="421"/>
      <c r="G458" s="421"/>
      <c r="H458" s="421"/>
      <c r="I458" s="421"/>
      <c r="J458" s="421"/>
      <c r="K458" s="421"/>
      <c r="L458" s="421"/>
      <c r="M458" s="421"/>
      <c r="N458" s="421"/>
      <c r="O458" s="421"/>
      <c r="P458" s="421"/>
      <c r="Q458" s="421"/>
      <c r="R458" s="421"/>
      <c r="S458" s="421"/>
      <c r="T458" s="421"/>
      <c r="U458" s="421"/>
      <c r="V458" s="507" t="s">
        <v>691</v>
      </c>
      <c r="W458" s="667" t="s">
        <v>692</v>
      </c>
      <c r="X458" s="701"/>
      <c r="Y458" s="702"/>
      <c r="Z458" s="661">
        <v>3700</v>
      </c>
      <c r="AA458" s="701"/>
      <c r="AB458" s="702"/>
      <c r="AC458" s="661"/>
      <c r="AD458" s="669"/>
      <c r="AE458" s="668"/>
      <c r="AF458" s="703">
        <v>4921.3999999999996</v>
      </c>
      <c r="AG458" s="662"/>
      <c r="AH458" s="663">
        <v>1221.3999999999996</v>
      </c>
      <c r="AI458" s="664">
        <v>0.33010810810810803</v>
      </c>
      <c r="AJ458" s="669"/>
      <c r="AK458" s="660"/>
      <c r="AL458" s="661">
        <v>4087.0299999999902</v>
      </c>
      <c r="AM458" s="665"/>
      <c r="AN458" s="663">
        <v>834.37000000000944</v>
      </c>
      <c r="AO458" s="670">
        <v>0.2041506913333182</v>
      </c>
      <c r="AP458" s="421"/>
      <c r="AQ458" s="421"/>
      <c r="AR458" s="421"/>
      <c r="AS458" s="421"/>
      <c r="AT458" s="421"/>
      <c r="AU458" s="421"/>
      <c r="AV458" s="421"/>
      <c r="AW458" s="421"/>
      <c r="AX458" s="421"/>
      <c r="AY458" s="421"/>
      <c r="AZ458" s="421"/>
      <c r="BA458" s="421"/>
      <c r="BB458" s="421"/>
      <c r="BC458" s="421"/>
      <c r="BD458" s="421"/>
      <c r="BE458" s="421"/>
      <c r="BF458" s="421"/>
      <c r="BG458" s="421"/>
      <c r="BH458" s="421"/>
      <c r="BI458" s="421"/>
      <c r="BJ458" s="421"/>
    </row>
    <row r="459" spans="1:62" ht="15.75" customHeight="1" x14ac:dyDescent="0.35">
      <c r="A459" s="433" t="s">
        <v>693</v>
      </c>
      <c r="B459" s="418"/>
      <c r="C459" s="635" t="s">
        <v>642</v>
      </c>
      <c r="D459" s="421"/>
      <c r="E459" s="421"/>
      <c r="F459" s="421"/>
      <c r="G459" s="421"/>
      <c r="H459" s="421"/>
      <c r="I459" s="421"/>
      <c r="J459" s="421"/>
      <c r="K459" s="421"/>
      <c r="L459" s="421"/>
      <c r="M459" s="421"/>
      <c r="N459" s="421"/>
      <c r="O459" s="421"/>
      <c r="P459" s="421"/>
      <c r="Q459" s="421"/>
      <c r="R459" s="421"/>
      <c r="S459" s="421"/>
      <c r="T459" s="421"/>
      <c r="U459" s="421"/>
      <c r="V459" s="507" t="s">
        <v>693</v>
      </c>
      <c r="W459" s="667" t="s">
        <v>694</v>
      </c>
      <c r="X459" s="660"/>
      <c r="Y459" s="668"/>
      <c r="Z459" s="661">
        <v>6784.05</v>
      </c>
      <c r="AA459" s="660"/>
      <c r="AB459" s="668"/>
      <c r="AC459" s="661"/>
      <c r="AD459" s="669"/>
      <c r="AE459" s="668"/>
      <c r="AF459" s="661">
        <v>10733.28</v>
      </c>
      <c r="AG459" s="662"/>
      <c r="AH459" s="663">
        <v>3949.2300000000005</v>
      </c>
      <c r="AI459" s="664">
        <v>0.58213456563557175</v>
      </c>
      <c r="AJ459" s="669"/>
      <c r="AK459" s="660"/>
      <c r="AL459" s="661">
        <v>7623.3299999999899</v>
      </c>
      <c r="AM459" s="665"/>
      <c r="AN459" s="663">
        <v>3109.9500000000107</v>
      </c>
      <c r="AO459" s="670">
        <v>0.40795164317955734</v>
      </c>
      <c r="AP459" s="421"/>
      <c r="AQ459" s="421"/>
      <c r="AR459" s="421"/>
      <c r="AS459" s="421"/>
      <c r="AT459" s="421"/>
      <c r="AU459" s="421"/>
      <c r="AV459" s="421"/>
      <c r="AW459" s="421"/>
      <c r="AX459" s="421"/>
      <c r="AY459" s="421"/>
      <c r="AZ459" s="421"/>
      <c r="BA459" s="421"/>
      <c r="BB459" s="421"/>
      <c r="BC459" s="421"/>
      <c r="BD459" s="421"/>
      <c r="BE459" s="421"/>
      <c r="BF459" s="421"/>
      <c r="BG459" s="421"/>
      <c r="BH459" s="421"/>
      <c r="BI459" s="421"/>
      <c r="BJ459" s="421"/>
    </row>
    <row r="460" spans="1:62" ht="15.75" customHeight="1" x14ac:dyDescent="0.35">
      <c r="A460" s="433" t="s">
        <v>695</v>
      </c>
      <c r="B460" s="418"/>
      <c r="C460" s="635" t="s">
        <v>642</v>
      </c>
      <c r="D460" s="421"/>
      <c r="E460" s="421"/>
      <c r="F460" s="421"/>
      <c r="G460" s="421"/>
      <c r="H460" s="421"/>
      <c r="I460" s="421"/>
      <c r="J460" s="421"/>
      <c r="K460" s="421"/>
      <c r="L460" s="421"/>
      <c r="M460" s="421"/>
      <c r="N460" s="421"/>
      <c r="O460" s="421"/>
      <c r="P460" s="421"/>
      <c r="Q460" s="421"/>
      <c r="R460" s="421"/>
      <c r="S460" s="421"/>
      <c r="T460" s="421"/>
      <c r="U460" s="421"/>
      <c r="V460" s="508" t="s">
        <v>695</v>
      </c>
      <c r="W460" s="671" t="s">
        <v>696</v>
      </c>
      <c r="X460" s="644"/>
      <c r="Y460" s="672"/>
      <c r="Z460" s="645">
        <v>1364.5623407645369</v>
      </c>
      <c r="AA460" s="644"/>
      <c r="AB460" s="672"/>
      <c r="AC460" s="645"/>
      <c r="AD460" s="673"/>
      <c r="AE460" s="672"/>
      <c r="AF460" s="645">
        <v>764.9</v>
      </c>
      <c r="AG460" s="646"/>
      <c r="AH460" s="647">
        <v>-599.66234076453691</v>
      </c>
      <c r="AI460" s="674">
        <v>-0.43945397205418857</v>
      </c>
      <c r="AJ460" s="673"/>
      <c r="AK460" s="644"/>
      <c r="AL460" s="645">
        <v>274.05</v>
      </c>
      <c r="AM460" s="649"/>
      <c r="AN460" s="647">
        <v>490.84999999999997</v>
      </c>
      <c r="AO460" s="650">
        <v>1.791096515234446</v>
      </c>
      <c r="AP460" s="421"/>
      <c r="AQ460" s="421"/>
      <c r="AR460" s="421"/>
      <c r="AS460" s="421"/>
      <c r="AT460" s="421"/>
      <c r="AU460" s="421"/>
      <c r="AV460" s="421"/>
      <c r="AW460" s="421"/>
      <c r="AX460" s="421"/>
      <c r="AY460" s="421"/>
      <c r="AZ460" s="421"/>
      <c r="BA460" s="421"/>
      <c r="BB460" s="421"/>
      <c r="BC460" s="421"/>
      <c r="BD460" s="421"/>
      <c r="BE460" s="421"/>
      <c r="BF460" s="421"/>
      <c r="BG460" s="421"/>
      <c r="BH460" s="421"/>
      <c r="BI460" s="421"/>
      <c r="BJ460" s="421"/>
    </row>
    <row r="461" spans="1:62" ht="15.75" customHeight="1" x14ac:dyDescent="0.35">
      <c r="A461" s="433" t="s">
        <v>697</v>
      </c>
      <c r="B461" s="418"/>
      <c r="C461" s="635" t="s">
        <v>642</v>
      </c>
      <c r="D461" s="421"/>
      <c r="E461" s="421"/>
      <c r="F461" s="421"/>
      <c r="G461" s="421"/>
      <c r="H461" s="421"/>
      <c r="I461" s="421"/>
      <c r="J461" s="421"/>
      <c r="K461" s="421"/>
      <c r="L461" s="421"/>
      <c r="M461" s="421"/>
      <c r="N461" s="421"/>
      <c r="O461" s="421"/>
      <c r="P461" s="421"/>
      <c r="Q461" s="421"/>
      <c r="R461" s="421"/>
      <c r="S461" s="421"/>
      <c r="T461" s="421"/>
      <c r="U461" s="704"/>
      <c r="V461" s="507" t="s">
        <v>697</v>
      </c>
      <c r="W461" s="667" t="s">
        <v>698</v>
      </c>
      <c r="X461" s="660"/>
      <c r="Y461" s="668"/>
      <c r="Z461" s="661">
        <v>1000</v>
      </c>
      <c r="AA461" s="660"/>
      <c r="AB461" s="668"/>
      <c r="AC461" s="661"/>
      <c r="AD461" s="669"/>
      <c r="AE461" s="668"/>
      <c r="AF461" s="661">
        <v>1794.64</v>
      </c>
      <c r="AG461" s="662"/>
      <c r="AH461" s="663">
        <v>794.6400000000001</v>
      </c>
      <c r="AI461" s="705">
        <v>0.79464000000000012</v>
      </c>
      <c r="AJ461" s="660"/>
      <c r="AK461" s="660"/>
      <c r="AL461" s="661">
        <v>897.64</v>
      </c>
      <c r="AM461" s="665"/>
      <c r="AN461" s="663">
        <v>897.00000000000011</v>
      </c>
      <c r="AO461" s="670">
        <v>0.99928701929504049</v>
      </c>
      <c r="AP461" s="421"/>
      <c r="AQ461" s="421"/>
      <c r="AR461" s="421"/>
      <c r="AS461" s="421"/>
      <c r="AT461" s="421"/>
      <c r="AU461" s="421"/>
      <c r="AV461" s="421"/>
      <c r="AW461" s="421"/>
      <c r="AX461" s="421"/>
      <c r="AY461" s="421"/>
      <c r="AZ461" s="421"/>
      <c r="BA461" s="421"/>
      <c r="BB461" s="421"/>
      <c r="BC461" s="421"/>
      <c r="BD461" s="421"/>
      <c r="BE461" s="421"/>
      <c r="BF461" s="421"/>
      <c r="BG461" s="421"/>
      <c r="BH461" s="421"/>
      <c r="BI461" s="421"/>
      <c r="BJ461" s="421"/>
    </row>
    <row r="462" spans="1:62" ht="15.75" customHeight="1" x14ac:dyDescent="0.35">
      <c r="A462" s="433" t="s">
        <v>699</v>
      </c>
      <c r="B462" s="418"/>
      <c r="C462" s="635" t="s">
        <v>642</v>
      </c>
      <c r="D462" s="421"/>
      <c r="E462" s="421"/>
      <c r="F462" s="421"/>
      <c r="G462" s="421"/>
      <c r="H462" s="421"/>
      <c r="I462" s="421"/>
      <c r="J462" s="421"/>
      <c r="K462" s="421"/>
      <c r="L462" s="421"/>
      <c r="M462" s="421"/>
      <c r="N462" s="421"/>
      <c r="O462" s="421"/>
      <c r="P462" s="421"/>
      <c r="Q462" s="421"/>
      <c r="R462" s="421"/>
      <c r="S462" s="421"/>
      <c r="T462" s="421"/>
      <c r="U462" s="704"/>
      <c r="V462" s="507" t="s">
        <v>699</v>
      </c>
      <c r="W462" s="667" t="s">
        <v>700</v>
      </c>
      <c r="X462" s="660"/>
      <c r="Y462" s="668"/>
      <c r="Z462" s="661">
        <v>0</v>
      </c>
      <c r="AA462" s="660"/>
      <c r="AB462" s="668"/>
      <c r="AC462" s="661"/>
      <c r="AD462" s="669"/>
      <c r="AE462" s="668"/>
      <c r="AF462" s="661">
        <v>0</v>
      </c>
      <c r="AG462" s="662"/>
      <c r="AH462" s="663">
        <v>0</v>
      </c>
      <c r="AI462" s="683">
        <v>0</v>
      </c>
      <c r="AJ462" s="660"/>
      <c r="AK462" s="660"/>
      <c r="AL462" s="661">
        <v>0</v>
      </c>
      <c r="AM462" s="665"/>
      <c r="AN462" s="663">
        <v>0</v>
      </c>
      <c r="AO462" s="670">
        <v>0</v>
      </c>
      <c r="AP462" s="421"/>
      <c r="AQ462" s="421"/>
      <c r="AR462" s="421"/>
      <c r="AS462" s="421"/>
      <c r="AT462" s="421"/>
      <c r="AU462" s="421"/>
      <c r="AV462" s="421"/>
      <c r="AW462" s="421"/>
      <c r="AX462" s="421"/>
      <c r="AY462" s="421"/>
      <c r="AZ462" s="421"/>
      <c r="BA462" s="421"/>
      <c r="BB462" s="421"/>
      <c r="BC462" s="421"/>
      <c r="BD462" s="421"/>
      <c r="BE462" s="421"/>
      <c r="BF462" s="421"/>
      <c r="BG462" s="421"/>
      <c r="BH462" s="421"/>
      <c r="BI462" s="421"/>
      <c r="BJ462" s="421"/>
    </row>
    <row r="463" spans="1:62" ht="15.75" hidden="1" customHeight="1" x14ac:dyDescent="0.35">
      <c r="A463" s="433" t="s">
        <v>323</v>
      </c>
      <c r="B463" s="418"/>
      <c r="C463" s="635" t="s">
        <v>642</v>
      </c>
      <c r="D463" s="421"/>
      <c r="E463" s="421"/>
      <c r="F463" s="421"/>
      <c r="G463" s="421"/>
      <c r="H463" s="421"/>
      <c r="I463" s="421"/>
      <c r="J463" s="421"/>
      <c r="K463" s="421"/>
      <c r="L463" s="421"/>
      <c r="M463" s="421"/>
      <c r="N463" s="421"/>
      <c r="O463" s="421"/>
      <c r="P463" s="421"/>
      <c r="Q463" s="421"/>
      <c r="R463" s="421"/>
      <c r="S463" s="421"/>
      <c r="T463" s="421"/>
      <c r="U463" s="704"/>
      <c r="V463" s="507" t="s">
        <v>323</v>
      </c>
      <c r="W463" s="667"/>
      <c r="X463" s="660"/>
      <c r="Y463" s="668"/>
      <c r="Z463" s="661">
        <v>0</v>
      </c>
      <c r="AA463" s="660"/>
      <c r="AB463" s="660"/>
      <c r="AC463" s="661"/>
      <c r="AD463" s="669"/>
      <c r="AE463" s="668"/>
      <c r="AF463" s="661">
        <v>0</v>
      </c>
      <c r="AG463" s="662"/>
      <c r="AH463" s="663">
        <v>0</v>
      </c>
      <c r="AI463" s="664">
        <v>0</v>
      </c>
      <c r="AJ463" s="669"/>
      <c r="AK463" s="660"/>
      <c r="AL463" s="661">
        <v>0</v>
      </c>
      <c r="AM463" s="665"/>
      <c r="AN463" s="663">
        <v>0</v>
      </c>
      <c r="AO463" s="670">
        <v>1</v>
      </c>
      <c r="AP463" s="421"/>
      <c r="AQ463" s="421"/>
      <c r="AR463" s="421"/>
      <c r="AS463" s="421"/>
      <c r="AT463" s="421"/>
      <c r="AU463" s="421"/>
      <c r="AV463" s="421"/>
      <c r="AW463" s="421"/>
      <c r="AX463" s="421"/>
      <c r="AY463" s="421"/>
      <c r="AZ463" s="421"/>
      <c r="BA463" s="421"/>
      <c r="BB463" s="421"/>
      <c r="BC463" s="421"/>
      <c r="BD463" s="421"/>
      <c r="BE463" s="421"/>
      <c r="BF463" s="421"/>
      <c r="BG463" s="421"/>
      <c r="BH463" s="421"/>
      <c r="BI463" s="421"/>
      <c r="BJ463" s="421"/>
    </row>
    <row r="464" spans="1:62" ht="15.75" hidden="1" customHeight="1" x14ac:dyDescent="0.35">
      <c r="A464" s="433" t="s">
        <v>323</v>
      </c>
      <c r="B464" s="418"/>
      <c r="C464" s="635" t="s">
        <v>642</v>
      </c>
      <c r="D464" s="421"/>
      <c r="E464" s="421"/>
      <c r="F464" s="421"/>
      <c r="G464" s="421"/>
      <c r="H464" s="421"/>
      <c r="I464" s="421"/>
      <c r="J464" s="421"/>
      <c r="K464" s="421"/>
      <c r="L464" s="421"/>
      <c r="M464" s="421"/>
      <c r="N464" s="421"/>
      <c r="O464" s="421"/>
      <c r="P464" s="421"/>
      <c r="Q464" s="421"/>
      <c r="R464" s="421"/>
      <c r="S464" s="421"/>
      <c r="T464" s="421"/>
      <c r="U464" s="704"/>
      <c r="V464" s="507" t="s">
        <v>323</v>
      </c>
      <c r="W464" s="667"/>
      <c r="X464" s="660"/>
      <c r="Y464" s="668"/>
      <c r="Z464" s="661">
        <v>0</v>
      </c>
      <c r="AA464" s="660"/>
      <c r="AB464" s="660"/>
      <c r="AC464" s="661"/>
      <c r="AD464" s="669"/>
      <c r="AE464" s="668"/>
      <c r="AF464" s="661">
        <v>0</v>
      </c>
      <c r="AG464" s="662"/>
      <c r="AH464" s="663">
        <v>0</v>
      </c>
      <c r="AI464" s="664">
        <v>0</v>
      </c>
      <c r="AJ464" s="669"/>
      <c r="AK464" s="660"/>
      <c r="AL464" s="661">
        <v>0</v>
      </c>
      <c r="AM464" s="665"/>
      <c r="AN464" s="663">
        <v>0</v>
      </c>
      <c r="AO464" s="670">
        <v>2</v>
      </c>
      <c r="AP464" s="421"/>
      <c r="AQ464" s="421"/>
      <c r="AR464" s="421"/>
      <c r="AS464" s="421"/>
      <c r="AT464" s="421"/>
      <c r="AU464" s="421"/>
      <c r="AV464" s="421"/>
      <c r="AW464" s="421"/>
      <c r="AX464" s="421"/>
      <c r="AY464" s="421"/>
      <c r="AZ464" s="421"/>
      <c r="BA464" s="421"/>
      <c r="BB464" s="421"/>
      <c r="BC464" s="421"/>
      <c r="BD464" s="421"/>
      <c r="BE464" s="421"/>
      <c r="BF464" s="421"/>
      <c r="BG464" s="421"/>
      <c r="BH464" s="421"/>
      <c r="BI464" s="421"/>
      <c r="BJ464" s="421"/>
    </row>
    <row r="465" spans="1:62" ht="15.75" hidden="1" customHeight="1" x14ac:dyDescent="0.35">
      <c r="A465" s="433" t="s">
        <v>323</v>
      </c>
      <c r="B465" s="418"/>
      <c r="C465" s="635" t="s">
        <v>642</v>
      </c>
      <c r="D465" s="421"/>
      <c r="E465" s="421"/>
      <c r="F465" s="421"/>
      <c r="G465" s="421"/>
      <c r="H465" s="421"/>
      <c r="I465" s="421"/>
      <c r="J465" s="421"/>
      <c r="K465" s="421"/>
      <c r="L465" s="421"/>
      <c r="M465" s="421"/>
      <c r="N465" s="421"/>
      <c r="O465" s="421"/>
      <c r="P465" s="421"/>
      <c r="Q465" s="421"/>
      <c r="R465" s="421"/>
      <c r="S465" s="421"/>
      <c r="T465" s="421"/>
      <c r="U465" s="421"/>
      <c r="V465" s="507" t="s">
        <v>323</v>
      </c>
      <c r="W465" s="667"/>
      <c r="X465" s="660"/>
      <c r="Y465" s="668"/>
      <c r="Z465" s="661">
        <v>0</v>
      </c>
      <c r="AA465" s="660"/>
      <c r="AB465" s="660"/>
      <c r="AC465" s="661"/>
      <c r="AD465" s="669"/>
      <c r="AE465" s="668"/>
      <c r="AF465" s="661">
        <v>0</v>
      </c>
      <c r="AG465" s="662"/>
      <c r="AH465" s="663">
        <v>0</v>
      </c>
      <c r="AI465" s="664">
        <v>0</v>
      </c>
      <c r="AJ465" s="669"/>
      <c r="AK465" s="660"/>
      <c r="AL465" s="661">
        <v>0</v>
      </c>
      <c r="AM465" s="665"/>
      <c r="AN465" s="663">
        <v>0</v>
      </c>
      <c r="AO465" s="670">
        <v>3</v>
      </c>
      <c r="AP465" s="421"/>
      <c r="AQ465" s="421"/>
      <c r="AR465" s="421"/>
      <c r="AS465" s="421"/>
      <c r="AT465" s="421"/>
      <c r="AU465" s="421"/>
      <c r="AV465" s="421"/>
      <c r="AW465" s="421"/>
      <c r="AX465" s="421"/>
      <c r="AY465" s="421"/>
      <c r="AZ465" s="421"/>
      <c r="BA465" s="421"/>
      <c r="BB465" s="421"/>
      <c r="BC465" s="421"/>
      <c r="BD465" s="421"/>
      <c r="BE465" s="421"/>
      <c r="BF465" s="421"/>
      <c r="BG465" s="421"/>
      <c r="BH465" s="421"/>
      <c r="BI465" s="421"/>
      <c r="BJ465" s="421"/>
    </row>
    <row r="466" spans="1:62" ht="15.75" customHeight="1" x14ac:dyDescent="0.4">
      <c r="A466" s="433" t="s">
        <v>701</v>
      </c>
      <c r="B466" s="418"/>
      <c r="C466" s="635" t="s">
        <v>642</v>
      </c>
      <c r="D466" s="421"/>
      <c r="E466" s="421"/>
      <c r="F466" s="421"/>
      <c r="G466" s="421"/>
      <c r="H466" s="421"/>
      <c r="I466" s="421"/>
      <c r="J466" s="421"/>
      <c r="K466" s="421"/>
      <c r="L466" s="421"/>
      <c r="M466" s="421"/>
      <c r="N466" s="421"/>
      <c r="O466" s="421"/>
      <c r="P466" s="421"/>
      <c r="Q466" s="421"/>
      <c r="R466" s="421"/>
      <c r="S466" s="421"/>
      <c r="T466" s="421"/>
      <c r="U466" s="421"/>
      <c r="V466" s="675" t="s">
        <v>701</v>
      </c>
      <c r="W466" s="676"/>
      <c r="X466" s="677">
        <v>8.6735474563583798E-2</v>
      </c>
      <c r="Y466" s="676"/>
      <c r="Z466" s="678">
        <v>62225.182340764542</v>
      </c>
      <c r="AA466" s="677"/>
      <c r="AB466" s="676"/>
      <c r="AC466" s="678"/>
      <c r="AD466" s="679">
        <v>8.6927833410646971E-2</v>
      </c>
      <c r="AE466" s="676"/>
      <c r="AF466" s="678">
        <v>67590.47</v>
      </c>
      <c r="AG466" s="698"/>
      <c r="AH466" s="699">
        <v>5365.2876592354633</v>
      </c>
      <c r="AI466" s="677">
        <v>8.6223735430030105E-2</v>
      </c>
      <c r="AJ466" s="679">
        <v>9.2482837753691288E-2</v>
      </c>
      <c r="AK466" s="677"/>
      <c r="AL466" s="678">
        <v>61678.409999999982</v>
      </c>
      <c r="AM466" s="685"/>
      <c r="AN466" s="681">
        <v>5912.0600000000204</v>
      </c>
      <c r="AO466" s="700">
        <v>9.5852989725254301E-2</v>
      </c>
      <c r="AP466" s="421"/>
      <c r="AQ466" s="421"/>
      <c r="AR466" s="421"/>
      <c r="AS466" s="421"/>
      <c r="AT466" s="421"/>
      <c r="AU466" s="421"/>
      <c r="AV466" s="421"/>
      <c r="AW466" s="421"/>
      <c r="AX466" s="421"/>
      <c r="AY466" s="421"/>
      <c r="AZ466" s="421"/>
      <c r="BA466" s="421"/>
      <c r="BB466" s="421"/>
      <c r="BC466" s="421"/>
      <c r="BD466" s="421"/>
      <c r="BE466" s="421"/>
      <c r="BF466" s="421"/>
      <c r="BG466" s="421"/>
      <c r="BH466" s="421"/>
      <c r="BI466" s="421"/>
      <c r="BJ466" s="421"/>
    </row>
    <row r="467" spans="1:62" ht="15.75" customHeight="1" x14ac:dyDescent="0.35">
      <c r="A467" s="433" t="s">
        <v>644</v>
      </c>
      <c r="B467" s="418"/>
      <c r="C467" s="635" t="s">
        <v>642</v>
      </c>
      <c r="D467" s="421"/>
      <c r="E467" s="421"/>
      <c r="F467" s="421"/>
      <c r="G467" s="421"/>
      <c r="H467" s="421"/>
      <c r="I467" s="421"/>
      <c r="J467" s="421"/>
      <c r="K467" s="421"/>
      <c r="L467" s="421"/>
      <c r="M467" s="421"/>
      <c r="N467" s="421"/>
      <c r="O467" s="421"/>
      <c r="P467" s="421"/>
      <c r="Q467" s="421"/>
      <c r="R467" s="421"/>
      <c r="S467" s="421"/>
      <c r="T467" s="421"/>
      <c r="U467" s="421"/>
      <c r="V467" s="507"/>
      <c r="W467" s="660"/>
      <c r="X467" s="660"/>
      <c r="Y467" s="660"/>
      <c r="Z467" s="706"/>
      <c r="AA467" s="660"/>
      <c r="AB467" s="660"/>
      <c r="AC467" s="706"/>
      <c r="AD467" s="669"/>
      <c r="AE467" s="660"/>
      <c r="AF467" s="706"/>
      <c r="AG467" s="669"/>
      <c r="AH467" s="663">
        <v>0</v>
      </c>
      <c r="AI467" s="664"/>
      <c r="AJ467" s="669"/>
      <c r="AK467" s="660"/>
      <c r="AL467" s="706"/>
      <c r="AM467" s="707"/>
      <c r="AN467" s="663">
        <v>0</v>
      </c>
      <c r="AO467" s="708">
        <v>0</v>
      </c>
      <c r="AP467" s="421"/>
      <c r="AQ467" s="421"/>
      <c r="AR467" s="421"/>
      <c r="AS467" s="421"/>
      <c r="AT467" s="421"/>
      <c r="AU467" s="421"/>
      <c r="AV467" s="421"/>
      <c r="AW467" s="421"/>
      <c r="AX467" s="421"/>
      <c r="AY467" s="421"/>
      <c r="AZ467" s="421"/>
      <c r="BA467" s="421"/>
      <c r="BB467" s="421"/>
      <c r="BC467" s="421"/>
      <c r="BD467" s="421"/>
      <c r="BE467" s="421"/>
      <c r="BF467" s="421"/>
      <c r="BG467" s="421"/>
      <c r="BH467" s="421"/>
      <c r="BI467" s="421"/>
      <c r="BJ467" s="421"/>
    </row>
    <row r="468" spans="1:62" ht="15.75" customHeight="1" x14ac:dyDescent="0.4">
      <c r="A468" s="433" t="s">
        <v>395</v>
      </c>
      <c r="B468" s="418"/>
      <c r="C468" s="635" t="s">
        <v>642</v>
      </c>
      <c r="D468" s="421"/>
      <c r="E468" s="421"/>
      <c r="F468" s="421"/>
      <c r="G468" s="421"/>
      <c r="H468" s="421"/>
      <c r="I468" s="421"/>
      <c r="J468" s="421"/>
      <c r="K468" s="421"/>
      <c r="L468" s="421"/>
      <c r="M468" s="421"/>
      <c r="N468" s="421"/>
      <c r="O468" s="421"/>
      <c r="P468" s="421"/>
      <c r="Q468" s="421"/>
      <c r="R468" s="421"/>
      <c r="S468" s="421"/>
      <c r="T468" s="421"/>
      <c r="U468" s="421"/>
      <c r="V468" s="675" t="s">
        <v>395</v>
      </c>
      <c r="W468" s="676"/>
      <c r="X468" s="677">
        <v>0.96226449836243932</v>
      </c>
      <c r="Y468" s="676"/>
      <c r="Z468" s="678">
        <v>690341.34155515092</v>
      </c>
      <c r="AA468" s="677"/>
      <c r="AB468" s="676"/>
      <c r="AC468" s="678"/>
      <c r="AD468" s="679">
        <v>0.80206608236495736</v>
      </c>
      <c r="AE468" s="676"/>
      <c r="AF468" s="678">
        <v>623644.0199999999</v>
      </c>
      <c r="AG468" s="698"/>
      <c r="AH468" s="699">
        <v>-66697.321555151022</v>
      </c>
      <c r="AI468" s="677">
        <v>-9.6614989629478273E-2</v>
      </c>
      <c r="AJ468" s="679">
        <v>0.96878890661955719</v>
      </c>
      <c r="AK468" s="677"/>
      <c r="AL468" s="678">
        <v>646102.14000000013</v>
      </c>
      <c r="AM468" s="685"/>
      <c r="AN468" s="681">
        <v>-22458.120000000228</v>
      </c>
      <c r="AO468" s="658">
        <v>-3.4759395782221404E-2</v>
      </c>
      <c r="AP468" s="421"/>
      <c r="AQ468" s="421"/>
      <c r="AR468" s="421"/>
      <c r="AS468" s="421"/>
      <c r="AT468" s="421"/>
      <c r="AU468" s="421"/>
      <c r="AV468" s="421"/>
      <c r="AW468" s="421"/>
      <c r="AX468" s="421"/>
      <c r="AY468" s="421"/>
      <c r="AZ468" s="421"/>
      <c r="BA468" s="421"/>
      <c r="BB468" s="421"/>
      <c r="BC468" s="421"/>
      <c r="BD468" s="421"/>
      <c r="BE468" s="421"/>
      <c r="BF468" s="421"/>
      <c r="BG468" s="421"/>
      <c r="BH468" s="421"/>
      <c r="BI468" s="421"/>
      <c r="BJ468" s="421"/>
    </row>
    <row r="469" spans="1:62" ht="15.75" customHeight="1" x14ac:dyDescent="0.4">
      <c r="A469" s="433" t="s">
        <v>702</v>
      </c>
      <c r="B469" s="418"/>
      <c r="C469" s="635" t="s">
        <v>642</v>
      </c>
      <c r="D469" s="421"/>
      <c r="E469" s="421"/>
      <c r="F469" s="421"/>
      <c r="G469" s="421"/>
      <c r="H469" s="421"/>
      <c r="I469" s="421"/>
      <c r="J469" s="421"/>
      <c r="K469" s="421"/>
      <c r="L469" s="421"/>
      <c r="M469" s="421"/>
      <c r="N469" s="421"/>
      <c r="O469" s="421"/>
      <c r="P469" s="421"/>
      <c r="Q469" s="421"/>
      <c r="R469" s="421"/>
      <c r="S469" s="421"/>
      <c r="T469" s="421"/>
      <c r="U469" s="421"/>
      <c r="V469" s="507" t="s">
        <v>702</v>
      </c>
      <c r="W469" s="702"/>
      <c r="X469" s="702"/>
      <c r="Y469" s="660"/>
      <c r="Z469" s="688">
        <v>0</v>
      </c>
      <c r="AA469" s="709"/>
      <c r="AB469" s="710"/>
      <c r="AC469" s="688"/>
      <c r="AD469" s="711"/>
      <c r="AE469" s="710"/>
      <c r="AF469" s="661">
        <v>67.010000000000005</v>
      </c>
      <c r="AG469" s="712"/>
      <c r="AH469" s="663">
        <v>67.010000000000005</v>
      </c>
      <c r="AI469" s="705" t="e">
        <v>#DIV/0!</v>
      </c>
      <c r="AJ469" s="711"/>
      <c r="AK469" s="709"/>
      <c r="AL469" s="713">
        <v>7191.32</v>
      </c>
      <c r="AM469" s="714"/>
      <c r="AN469" s="663">
        <v>-7124.3099999999995</v>
      </c>
      <c r="AO469" s="670">
        <v>-0.99068182197426891</v>
      </c>
      <c r="AP469" s="421"/>
      <c r="AQ469" s="421"/>
      <c r="AR469" s="421"/>
      <c r="AS469" s="421"/>
      <c r="AT469" s="421"/>
      <c r="AU469" s="421"/>
      <c r="AV469" s="421"/>
      <c r="AW469" s="421"/>
      <c r="AX469" s="421"/>
      <c r="AY469" s="421"/>
      <c r="AZ469" s="421"/>
      <c r="BA469" s="421"/>
      <c r="BB469" s="421"/>
      <c r="BC469" s="421"/>
      <c r="BD469" s="421"/>
      <c r="BE469" s="421"/>
      <c r="BF469" s="421"/>
      <c r="BG469" s="421"/>
      <c r="BH469" s="421"/>
      <c r="BI469" s="421"/>
      <c r="BJ469" s="421"/>
    </row>
    <row r="470" spans="1:62" ht="15.75" customHeight="1" x14ac:dyDescent="0.4">
      <c r="A470" s="433" t="s">
        <v>403</v>
      </c>
      <c r="B470" s="418"/>
      <c r="C470" s="635" t="s">
        <v>642</v>
      </c>
      <c r="D470" s="421"/>
      <c r="E470" s="421"/>
      <c r="F470" s="421"/>
      <c r="G470" s="421"/>
      <c r="H470" s="421"/>
      <c r="I470" s="421"/>
      <c r="J470" s="421"/>
      <c r="K470" s="421"/>
      <c r="L470" s="421"/>
      <c r="M470" s="421"/>
      <c r="N470" s="421"/>
      <c r="O470" s="421"/>
      <c r="P470" s="421"/>
      <c r="Q470" s="421"/>
      <c r="R470" s="421"/>
      <c r="S470" s="421"/>
      <c r="T470" s="421"/>
      <c r="U470" s="421"/>
      <c r="V470" s="507" t="s">
        <v>403</v>
      </c>
      <c r="W470" s="660"/>
      <c r="X470" s="660"/>
      <c r="Y470" s="660"/>
      <c r="Z470" s="661">
        <v>105543.44363841046</v>
      </c>
      <c r="AA470" s="701"/>
      <c r="AB470" s="663"/>
      <c r="AC470" s="661"/>
      <c r="AD470" s="715"/>
      <c r="AE470" s="716"/>
      <c r="AF470" s="661">
        <v>94826.85</v>
      </c>
      <c r="AG470" s="717"/>
      <c r="AH470" s="663">
        <v>-10716.593638410457</v>
      </c>
      <c r="AI470" s="683">
        <v>-0.1015372747844506</v>
      </c>
      <c r="AJ470" s="718"/>
      <c r="AK470" s="701"/>
      <c r="AL470" s="719">
        <v>127510</v>
      </c>
      <c r="AM470" s="715"/>
      <c r="AN470" s="663">
        <v>-32683.149999999994</v>
      </c>
      <c r="AO470" s="670">
        <v>-0.25631832797427651</v>
      </c>
      <c r="AP470" s="421"/>
      <c r="AQ470" s="421"/>
      <c r="AR470" s="421"/>
      <c r="AS470" s="421"/>
      <c r="AT470" s="421"/>
      <c r="AU470" s="421"/>
      <c r="AV470" s="421"/>
      <c r="AW470" s="421"/>
      <c r="AX470" s="421"/>
      <c r="AY470" s="421"/>
      <c r="AZ470" s="421"/>
      <c r="BA470" s="421"/>
      <c r="BB470" s="421"/>
      <c r="BC470" s="421"/>
      <c r="BD470" s="421"/>
      <c r="BE470" s="421"/>
      <c r="BF470" s="421"/>
      <c r="BG470" s="421"/>
      <c r="BH470" s="421"/>
      <c r="BI470" s="421"/>
      <c r="BJ470" s="421"/>
    </row>
    <row r="471" spans="1:62" ht="15.75" customHeight="1" x14ac:dyDescent="0.4">
      <c r="A471" s="433" t="s">
        <v>397</v>
      </c>
      <c r="B471" s="418"/>
      <c r="C471" s="635" t="s">
        <v>642</v>
      </c>
      <c r="D471" s="421"/>
      <c r="E471" s="421"/>
      <c r="F471" s="421"/>
      <c r="G471" s="421"/>
      <c r="H471" s="421"/>
      <c r="I471" s="421"/>
      <c r="J471" s="421"/>
      <c r="K471" s="421"/>
      <c r="L471" s="421"/>
      <c r="M471" s="421"/>
      <c r="N471" s="421"/>
      <c r="O471" s="421"/>
      <c r="P471" s="421"/>
      <c r="Q471" s="421"/>
      <c r="R471" s="421"/>
      <c r="S471" s="421"/>
      <c r="T471" s="421"/>
      <c r="U471" s="421"/>
      <c r="V471" s="507" t="s">
        <v>397</v>
      </c>
      <c r="W471" s="660"/>
      <c r="X471" s="660"/>
      <c r="Y471" s="660"/>
      <c r="Z471" s="661">
        <v>0</v>
      </c>
      <c r="AA471" s="701"/>
      <c r="AB471" s="702"/>
      <c r="AC471" s="661"/>
      <c r="AD471" s="718"/>
      <c r="AF471" s="661">
        <v>0</v>
      </c>
      <c r="AG471" s="717"/>
      <c r="AH471" s="663">
        <v>0</v>
      </c>
      <c r="AI471" s="683">
        <v>0</v>
      </c>
      <c r="AJ471" s="718"/>
      <c r="AK471" s="701"/>
      <c r="AL471" s="719">
        <v>18100</v>
      </c>
      <c r="AM471" s="715"/>
      <c r="AN471" s="663">
        <v>-18100</v>
      </c>
      <c r="AO471" s="670">
        <v>-1</v>
      </c>
      <c r="AP471" s="421"/>
      <c r="AQ471" s="421"/>
      <c r="AR471" s="421"/>
      <c r="AS471" s="421"/>
      <c r="AT471" s="421"/>
      <c r="AU471" s="421"/>
      <c r="AV471" s="421"/>
      <c r="AW471" s="421"/>
      <c r="AX471" s="421"/>
      <c r="AY471" s="421"/>
      <c r="AZ471" s="421"/>
      <c r="BA471" s="421"/>
      <c r="BB471" s="421"/>
      <c r="BC471" s="421"/>
      <c r="BD471" s="421"/>
      <c r="BE471" s="421"/>
      <c r="BF471" s="421"/>
      <c r="BG471" s="421"/>
      <c r="BH471" s="421"/>
      <c r="BI471" s="421"/>
      <c r="BJ471" s="421"/>
    </row>
    <row r="472" spans="1:62" ht="15.75" customHeight="1" x14ac:dyDescent="0.4">
      <c r="A472" s="433" t="s">
        <v>399</v>
      </c>
      <c r="B472" s="418"/>
      <c r="C472" s="635" t="s">
        <v>642</v>
      </c>
      <c r="D472" s="421"/>
      <c r="E472" s="421"/>
      <c r="F472" s="421"/>
      <c r="G472" s="421"/>
      <c r="H472" s="421"/>
      <c r="I472" s="421"/>
      <c r="J472" s="421"/>
      <c r="K472" s="421"/>
      <c r="L472" s="421"/>
      <c r="M472" s="421"/>
      <c r="N472" s="421"/>
      <c r="O472" s="421"/>
      <c r="P472" s="421"/>
      <c r="Q472" s="421"/>
      <c r="R472" s="421"/>
      <c r="S472" s="421"/>
      <c r="T472" s="421"/>
      <c r="U472" s="421"/>
      <c r="V472" s="507" t="s">
        <v>399</v>
      </c>
      <c r="W472" s="660"/>
      <c r="X472" s="660"/>
      <c r="Y472" s="660"/>
      <c r="Z472" s="661">
        <v>0</v>
      </c>
      <c r="AA472" s="701"/>
      <c r="AB472" s="702"/>
      <c r="AC472" s="661"/>
      <c r="AD472" s="718"/>
      <c r="AE472" s="702"/>
      <c r="AF472" s="661">
        <v>0</v>
      </c>
      <c r="AG472" s="717"/>
      <c r="AH472" s="663">
        <v>0</v>
      </c>
      <c r="AI472" s="683">
        <v>0</v>
      </c>
      <c r="AJ472" s="718"/>
      <c r="AK472" s="701"/>
      <c r="AL472" s="719">
        <v>0</v>
      </c>
      <c r="AM472" s="715"/>
      <c r="AN472" s="663">
        <v>0</v>
      </c>
      <c r="AO472" s="670">
        <v>0</v>
      </c>
      <c r="AP472" s="421"/>
      <c r="AQ472" s="421"/>
      <c r="AR472" s="421"/>
      <c r="AS472" s="421"/>
      <c r="AT472" s="421"/>
      <c r="AU472" s="421"/>
      <c r="AV472" s="421"/>
      <c r="AW472" s="421"/>
      <c r="AX472" s="421"/>
      <c r="AY472" s="421"/>
      <c r="AZ472" s="421"/>
      <c r="BA472" s="421"/>
      <c r="BB472" s="421"/>
      <c r="BC472" s="421"/>
      <c r="BD472" s="421"/>
      <c r="BE472" s="421"/>
      <c r="BF472" s="421"/>
      <c r="BG472" s="421"/>
      <c r="BH472" s="421"/>
      <c r="BI472" s="421"/>
      <c r="BJ472" s="421"/>
    </row>
    <row r="473" spans="1:62" ht="15.75" customHeight="1" x14ac:dyDescent="0.4">
      <c r="A473" s="433" t="s">
        <v>401</v>
      </c>
      <c r="B473" s="418"/>
      <c r="C473" s="635" t="s">
        <v>642</v>
      </c>
      <c r="D473" s="421"/>
      <c r="E473" s="421"/>
      <c r="F473" s="421"/>
      <c r="G473" s="421"/>
      <c r="H473" s="421"/>
      <c r="I473" s="421"/>
      <c r="J473" s="421"/>
      <c r="K473" s="421"/>
      <c r="L473" s="421"/>
      <c r="M473" s="421"/>
      <c r="N473" s="421"/>
      <c r="O473" s="421"/>
      <c r="P473" s="421"/>
      <c r="Q473" s="421"/>
      <c r="R473" s="421"/>
      <c r="S473" s="421"/>
      <c r="T473" s="421"/>
      <c r="U473" s="421"/>
      <c r="V473" s="507" t="s">
        <v>401</v>
      </c>
      <c r="W473" s="660"/>
      <c r="X473" s="660"/>
      <c r="Y473" s="660"/>
      <c r="Z473" s="661">
        <v>0</v>
      </c>
      <c r="AA473" s="701"/>
      <c r="AB473" s="702"/>
      <c r="AC473" s="661"/>
      <c r="AD473" s="718"/>
      <c r="AE473" s="702"/>
      <c r="AF473" s="661">
        <v>0</v>
      </c>
      <c r="AG473" s="717"/>
      <c r="AH473" s="663">
        <v>0</v>
      </c>
      <c r="AI473" s="683">
        <v>0</v>
      </c>
      <c r="AJ473" s="718"/>
      <c r="AK473" s="701"/>
      <c r="AL473" s="719">
        <v>0</v>
      </c>
      <c r="AM473" s="715"/>
      <c r="AN473" s="663">
        <v>0</v>
      </c>
      <c r="AO473" s="670">
        <v>0</v>
      </c>
      <c r="AP473" s="421"/>
      <c r="AQ473" s="421"/>
      <c r="AR473" s="421"/>
      <c r="AS473" s="421"/>
      <c r="AT473" s="421"/>
      <c r="AU473" s="421"/>
      <c r="AV473" s="421"/>
      <c r="AW473" s="421"/>
      <c r="AX473" s="421"/>
      <c r="AY473" s="421"/>
      <c r="AZ473" s="421"/>
      <c r="BA473" s="421"/>
      <c r="BB473" s="421"/>
      <c r="BC473" s="421"/>
      <c r="BD473" s="421"/>
      <c r="BE473" s="421"/>
      <c r="BF473" s="421"/>
      <c r="BG473" s="421"/>
      <c r="BH473" s="421"/>
      <c r="BI473" s="421"/>
      <c r="BJ473" s="421"/>
    </row>
    <row r="474" spans="1:62" ht="15.75" customHeight="1" x14ac:dyDescent="0.4">
      <c r="A474" s="433" t="s">
        <v>462</v>
      </c>
      <c r="B474" s="418"/>
      <c r="C474" s="635" t="s">
        <v>642</v>
      </c>
      <c r="D474" s="421"/>
      <c r="E474" s="421"/>
      <c r="F474" s="421"/>
      <c r="G474" s="421"/>
      <c r="H474" s="421"/>
      <c r="I474" s="421"/>
      <c r="J474" s="421"/>
      <c r="K474" s="421"/>
      <c r="L474" s="421"/>
      <c r="M474" s="421"/>
      <c r="N474" s="421"/>
      <c r="O474" s="421"/>
      <c r="P474" s="421"/>
      <c r="Q474" s="421"/>
      <c r="R474" s="421"/>
      <c r="S474" s="421"/>
      <c r="T474" s="421"/>
      <c r="U474" s="421"/>
      <c r="V474" s="507" t="s">
        <v>462</v>
      </c>
      <c r="W474" s="660"/>
      <c r="X474" s="660"/>
      <c r="Y474" s="660"/>
      <c r="Z474" s="661">
        <v>0</v>
      </c>
      <c r="AA474" s="701"/>
      <c r="AB474" s="702"/>
      <c r="AC474" s="661"/>
      <c r="AD474" s="718"/>
      <c r="AE474" s="702"/>
      <c r="AF474" s="661">
        <v>0</v>
      </c>
      <c r="AG474" s="717"/>
      <c r="AH474" s="663">
        <v>0</v>
      </c>
      <c r="AI474" s="683">
        <v>0</v>
      </c>
      <c r="AJ474" s="718"/>
      <c r="AK474" s="701"/>
      <c r="AL474" s="719">
        <v>0</v>
      </c>
      <c r="AM474" s="715"/>
      <c r="AN474" s="663">
        <v>0</v>
      </c>
      <c r="AO474" s="670">
        <v>0</v>
      </c>
      <c r="AP474" s="421"/>
      <c r="AQ474" s="421"/>
      <c r="AR474" s="421"/>
      <c r="AS474" s="421"/>
      <c r="AT474" s="421"/>
      <c r="AU474" s="421"/>
      <c r="AV474" s="421"/>
      <c r="AW474" s="421"/>
      <c r="AX474" s="421"/>
      <c r="AY474" s="421"/>
      <c r="AZ474" s="421"/>
      <c r="BA474" s="421"/>
      <c r="BB474" s="421"/>
      <c r="BC474" s="421"/>
      <c r="BD474" s="421"/>
      <c r="BE474" s="421"/>
      <c r="BF474" s="421"/>
      <c r="BG474" s="421"/>
      <c r="BH474" s="421"/>
      <c r="BI474" s="421"/>
      <c r="BJ474" s="421"/>
    </row>
    <row r="475" spans="1:62" ht="15.75" customHeight="1" x14ac:dyDescent="0.4">
      <c r="A475" s="433" t="s">
        <v>464</v>
      </c>
      <c r="B475" s="418"/>
      <c r="C475" s="635" t="s">
        <v>642</v>
      </c>
      <c r="D475" s="421"/>
      <c r="E475" s="421"/>
      <c r="F475" s="421"/>
      <c r="G475" s="421"/>
      <c r="H475" s="421"/>
      <c r="I475" s="421"/>
      <c r="J475" s="421"/>
      <c r="K475" s="421"/>
      <c r="L475" s="421"/>
      <c r="M475" s="421"/>
      <c r="N475" s="421"/>
      <c r="O475" s="421"/>
      <c r="P475" s="421"/>
      <c r="Q475" s="421"/>
      <c r="R475" s="421"/>
      <c r="S475" s="421"/>
      <c r="T475" s="421"/>
      <c r="U475" s="421"/>
      <c r="V475" s="507" t="s">
        <v>464</v>
      </c>
      <c r="W475" s="660"/>
      <c r="X475" s="660"/>
      <c r="Y475" s="660"/>
      <c r="Z475" s="661">
        <v>0</v>
      </c>
      <c r="AA475" s="701"/>
      <c r="AB475" s="702"/>
      <c r="AC475" s="661"/>
      <c r="AD475" s="718"/>
      <c r="AE475" s="702"/>
      <c r="AF475" s="661">
        <v>0</v>
      </c>
      <c r="AG475" s="717"/>
      <c r="AH475" s="663">
        <v>0</v>
      </c>
      <c r="AI475" s="683">
        <v>0</v>
      </c>
      <c r="AJ475" s="718"/>
      <c r="AK475" s="701"/>
      <c r="AL475" s="719">
        <v>0</v>
      </c>
      <c r="AM475" s="715"/>
      <c r="AN475" s="663">
        <v>0</v>
      </c>
      <c r="AO475" s="670">
        <v>0</v>
      </c>
      <c r="AP475" s="421"/>
      <c r="AQ475" s="421"/>
      <c r="AR475" s="421"/>
      <c r="AS475" s="421"/>
      <c r="AT475" s="421"/>
      <c r="AU475" s="421"/>
      <c r="AV475" s="421"/>
      <c r="AW475" s="421"/>
      <c r="AX475" s="421"/>
      <c r="AY475" s="421"/>
      <c r="AZ475" s="421"/>
      <c r="BA475" s="421"/>
      <c r="BB475" s="421"/>
      <c r="BC475" s="421"/>
      <c r="BD475" s="421"/>
      <c r="BE475" s="421"/>
      <c r="BF475" s="421"/>
      <c r="BG475" s="421"/>
      <c r="BH475" s="421"/>
      <c r="BI475" s="421"/>
      <c r="BJ475" s="421"/>
    </row>
    <row r="476" spans="1:62" ht="15.75" customHeight="1" x14ac:dyDescent="0.4">
      <c r="A476" s="433" t="s">
        <v>466</v>
      </c>
      <c r="B476" s="418"/>
      <c r="C476" s="635" t="s">
        <v>642</v>
      </c>
      <c r="D476" s="421"/>
      <c r="E476" s="421"/>
      <c r="F476" s="421"/>
      <c r="G476" s="421"/>
      <c r="H476" s="421"/>
      <c r="I476" s="421"/>
      <c r="J476" s="421"/>
      <c r="K476" s="421"/>
      <c r="L476" s="421"/>
      <c r="M476" s="421"/>
      <c r="N476" s="421"/>
      <c r="O476" s="421"/>
      <c r="P476" s="421"/>
      <c r="Q476" s="421"/>
      <c r="R476" s="421"/>
      <c r="S476" s="421"/>
      <c r="T476" s="421"/>
      <c r="U476" s="421"/>
      <c r="V476" s="507" t="s">
        <v>466</v>
      </c>
      <c r="W476" s="660"/>
      <c r="X476" s="660"/>
      <c r="Y476" s="660"/>
      <c r="Z476" s="661">
        <v>0</v>
      </c>
      <c r="AA476" s="701"/>
      <c r="AB476" s="702"/>
      <c r="AC476" s="661"/>
      <c r="AD476" s="718"/>
      <c r="AE476" s="702"/>
      <c r="AF476" s="661">
        <v>0</v>
      </c>
      <c r="AG476" s="717"/>
      <c r="AH476" s="663">
        <v>0</v>
      </c>
      <c r="AI476" s="683">
        <v>0</v>
      </c>
      <c r="AJ476" s="718"/>
      <c r="AK476" s="701"/>
      <c r="AL476" s="719">
        <v>0</v>
      </c>
      <c r="AM476" s="715"/>
      <c r="AN476" s="663">
        <v>0</v>
      </c>
      <c r="AO476" s="670">
        <v>0</v>
      </c>
      <c r="AP476" s="421"/>
      <c r="AQ476" s="421"/>
      <c r="AR476" s="421"/>
      <c r="AS476" s="421"/>
      <c r="AT476" s="421"/>
      <c r="AU476" s="421"/>
      <c r="AV476" s="421"/>
      <c r="AW476" s="421"/>
      <c r="AX476" s="421"/>
      <c r="AY476" s="421"/>
      <c r="AZ476" s="421"/>
      <c r="BA476" s="421"/>
      <c r="BB476" s="421"/>
      <c r="BC476" s="421"/>
      <c r="BD476" s="421"/>
      <c r="BE476" s="421"/>
      <c r="BF476" s="421"/>
      <c r="BG476" s="421"/>
      <c r="BH476" s="421"/>
      <c r="BI476" s="421"/>
      <c r="BJ476" s="421"/>
    </row>
    <row r="477" spans="1:62" ht="15.75" hidden="1" customHeight="1" x14ac:dyDescent="0.4">
      <c r="A477" s="433" t="s">
        <v>323</v>
      </c>
      <c r="B477" s="418"/>
      <c r="C477" s="635" t="s">
        <v>642</v>
      </c>
      <c r="D477" s="421"/>
      <c r="E477" s="421"/>
      <c r="F477" s="421"/>
      <c r="G477" s="421"/>
      <c r="H477" s="421"/>
      <c r="I477" s="421"/>
      <c r="J477" s="421"/>
      <c r="K477" s="421"/>
      <c r="L477" s="421"/>
      <c r="M477" s="421"/>
      <c r="N477" s="421"/>
      <c r="O477" s="421"/>
      <c r="P477" s="421"/>
      <c r="Q477" s="421"/>
      <c r="R477" s="421"/>
      <c r="S477" s="421"/>
      <c r="T477" s="421"/>
      <c r="U477" s="421"/>
      <c r="V477" s="507" t="s">
        <v>323</v>
      </c>
      <c r="W477" s="660"/>
      <c r="X477" s="660"/>
      <c r="Y477" s="660"/>
      <c r="Z477" s="661">
        <v>0</v>
      </c>
      <c r="AA477" s="660"/>
      <c r="AB477" s="660"/>
      <c r="AC477" s="661"/>
      <c r="AD477" s="669"/>
      <c r="AE477" s="668"/>
      <c r="AF477" s="661">
        <v>0</v>
      </c>
      <c r="AG477" s="662"/>
      <c r="AH477" s="663">
        <v>0</v>
      </c>
      <c r="AI477" s="664">
        <v>0</v>
      </c>
      <c r="AJ477" s="669"/>
      <c r="AK477" s="660"/>
      <c r="AL477" s="661">
        <v>0</v>
      </c>
      <c r="AM477" s="715"/>
      <c r="AN477" s="663">
        <v>0</v>
      </c>
      <c r="AO477" s="670">
        <v>0</v>
      </c>
      <c r="AP477" s="421"/>
      <c r="AQ477" s="421"/>
      <c r="AR477" s="421"/>
      <c r="AS477" s="421"/>
      <c r="AT477" s="421"/>
      <c r="AU477" s="421"/>
      <c r="AV477" s="421"/>
      <c r="AW477" s="421"/>
      <c r="AX477" s="421"/>
      <c r="AY477" s="421"/>
      <c r="AZ477" s="421"/>
      <c r="BA477" s="421"/>
      <c r="BB477" s="421"/>
      <c r="BC477" s="421"/>
      <c r="BD477" s="421"/>
      <c r="BE477" s="421"/>
      <c r="BF477" s="421"/>
      <c r="BG477" s="421"/>
      <c r="BH477" s="421"/>
      <c r="BI477" s="421"/>
      <c r="BJ477" s="421"/>
    </row>
    <row r="478" spans="1:62" ht="15.75" hidden="1" customHeight="1" x14ac:dyDescent="0.4">
      <c r="A478" s="433" t="s">
        <v>323</v>
      </c>
      <c r="B478" s="418"/>
      <c r="C478" s="635" t="s">
        <v>642</v>
      </c>
      <c r="D478" s="421"/>
      <c r="E478" s="421"/>
      <c r="F478" s="421"/>
      <c r="G478" s="421"/>
      <c r="H478" s="421"/>
      <c r="I478" s="421"/>
      <c r="J478" s="421"/>
      <c r="K478" s="421"/>
      <c r="L478" s="421"/>
      <c r="M478" s="421"/>
      <c r="N478" s="421"/>
      <c r="O478" s="421"/>
      <c r="P478" s="421"/>
      <c r="Q478" s="421"/>
      <c r="R478" s="421"/>
      <c r="S478" s="421"/>
      <c r="T478" s="421"/>
      <c r="U478" s="421"/>
      <c r="V478" s="507" t="s">
        <v>323</v>
      </c>
      <c r="W478" s="660"/>
      <c r="X478" s="660"/>
      <c r="Y478" s="660"/>
      <c r="Z478" s="661">
        <v>0</v>
      </c>
      <c r="AA478" s="660"/>
      <c r="AB478" s="660"/>
      <c r="AC478" s="661"/>
      <c r="AD478" s="669"/>
      <c r="AE478" s="668"/>
      <c r="AF478" s="661">
        <v>0</v>
      </c>
      <c r="AG478" s="662"/>
      <c r="AH478" s="663">
        <v>0</v>
      </c>
      <c r="AI478" s="664">
        <v>0</v>
      </c>
      <c r="AJ478" s="669"/>
      <c r="AK478" s="660"/>
      <c r="AL478" s="661">
        <v>0</v>
      </c>
      <c r="AM478" s="715"/>
      <c r="AN478" s="663">
        <v>0</v>
      </c>
      <c r="AO478" s="670">
        <v>0</v>
      </c>
      <c r="AP478" s="421"/>
      <c r="AQ478" s="421"/>
      <c r="AR478" s="421"/>
      <c r="AS478" s="421"/>
      <c r="AT478" s="421"/>
      <c r="AU478" s="421"/>
      <c r="AV478" s="421"/>
      <c r="AW478" s="421"/>
      <c r="AX478" s="421"/>
      <c r="AY478" s="421"/>
      <c r="AZ478" s="421"/>
      <c r="BA478" s="421"/>
      <c r="BB478" s="421"/>
      <c r="BC478" s="421"/>
      <c r="BD478" s="421"/>
      <c r="BE478" s="421"/>
      <c r="BF478" s="421"/>
      <c r="BG478" s="421"/>
      <c r="BH478" s="421"/>
      <c r="BI478" s="421"/>
      <c r="BJ478" s="421"/>
    </row>
    <row r="479" spans="1:62" ht="15.75" hidden="1" customHeight="1" x14ac:dyDescent="0.4">
      <c r="A479" s="433" t="s">
        <v>323</v>
      </c>
      <c r="B479" s="418"/>
      <c r="C479" s="635" t="s">
        <v>642</v>
      </c>
      <c r="D479" s="421"/>
      <c r="E479" s="421"/>
      <c r="F479" s="421"/>
      <c r="G479" s="421"/>
      <c r="H479" s="421"/>
      <c r="I479" s="421"/>
      <c r="J479" s="421"/>
      <c r="K479" s="421"/>
      <c r="L479" s="421"/>
      <c r="M479" s="421"/>
      <c r="N479" s="421"/>
      <c r="O479" s="421"/>
      <c r="P479" s="421"/>
      <c r="Q479" s="421"/>
      <c r="R479" s="421"/>
      <c r="S479" s="421"/>
      <c r="T479" s="421"/>
      <c r="U479" s="421"/>
      <c r="V479" s="507" t="s">
        <v>323</v>
      </c>
      <c r="W479" s="660"/>
      <c r="X479" s="660"/>
      <c r="Y479" s="660"/>
      <c r="Z479" s="661">
        <v>0</v>
      </c>
      <c r="AA479" s="660"/>
      <c r="AB479" s="660"/>
      <c r="AC479" s="661"/>
      <c r="AD479" s="669"/>
      <c r="AE479" s="668"/>
      <c r="AF479" s="661">
        <v>0</v>
      </c>
      <c r="AG479" s="662"/>
      <c r="AH479" s="663">
        <v>0</v>
      </c>
      <c r="AI479" s="664">
        <v>0</v>
      </c>
      <c r="AJ479" s="669"/>
      <c r="AK479" s="660"/>
      <c r="AL479" s="661">
        <v>0</v>
      </c>
      <c r="AM479" s="715"/>
      <c r="AN479" s="663">
        <v>0</v>
      </c>
      <c r="AO479" s="670">
        <v>0</v>
      </c>
      <c r="AP479" s="421"/>
      <c r="AQ479" s="421"/>
      <c r="AR479" s="421"/>
      <c r="AS479" s="421"/>
      <c r="AT479" s="421"/>
      <c r="AU479" s="421"/>
      <c r="AV479" s="421"/>
      <c r="AW479" s="421"/>
      <c r="AX479" s="421"/>
      <c r="AY479" s="421"/>
      <c r="AZ479" s="421"/>
      <c r="BA479" s="421"/>
      <c r="BB479" s="421"/>
      <c r="BC479" s="421"/>
      <c r="BD479" s="421"/>
      <c r="BE479" s="421"/>
      <c r="BF479" s="421"/>
      <c r="BG479" s="421"/>
      <c r="BH479" s="421"/>
      <c r="BI479" s="421"/>
      <c r="BJ479" s="421"/>
    </row>
    <row r="480" spans="1:62" ht="15.75" customHeight="1" x14ac:dyDescent="0.4">
      <c r="A480" s="433" t="s">
        <v>405</v>
      </c>
      <c r="B480" s="418"/>
      <c r="C480" s="635" t="s">
        <v>642</v>
      </c>
      <c r="D480" s="421"/>
      <c r="E480" s="421"/>
      <c r="F480" s="421"/>
      <c r="G480" s="421"/>
      <c r="H480" s="421"/>
      <c r="I480" s="421"/>
      <c r="J480" s="421"/>
      <c r="K480" s="421"/>
      <c r="L480" s="421"/>
      <c r="M480" s="421"/>
      <c r="N480" s="421"/>
      <c r="O480" s="421"/>
      <c r="P480" s="421"/>
      <c r="Q480" s="421"/>
      <c r="R480" s="421"/>
      <c r="S480" s="421"/>
      <c r="T480" s="421"/>
      <c r="U480" s="421"/>
      <c r="V480" s="508" t="s">
        <v>405</v>
      </c>
      <c r="W480" s="660"/>
      <c r="X480" s="660"/>
      <c r="Y480" s="660"/>
      <c r="Z480" s="661">
        <v>47493.349999999991</v>
      </c>
      <c r="AA480" s="701"/>
      <c r="AB480" s="702"/>
      <c r="AC480" s="661"/>
      <c r="AD480" s="720">
        <v>104.51302605210421</v>
      </c>
      <c r="AE480" s="701">
        <v>1.1991446506173691</v>
      </c>
      <c r="AF480" s="661">
        <v>52152</v>
      </c>
      <c r="AG480" s="717"/>
      <c r="AH480" s="663">
        <v>4658.6500000000087</v>
      </c>
      <c r="AI480" s="683">
        <v>9.8090574785733367E-2</v>
      </c>
      <c r="AJ480" s="718"/>
      <c r="AK480" s="701"/>
      <c r="AL480" s="719">
        <v>48184</v>
      </c>
      <c r="AM480" s="715"/>
      <c r="AN480" s="663">
        <v>3968</v>
      </c>
      <c r="AO480" s="670">
        <v>8.2350987879794127E-2</v>
      </c>
      <c r="AP480" s="421"/>
      <c r="AQ480" s="421"/>
      <c r="AR480" s="421"/>
      <c r="AS480" s="421"/>
      <c r="AT480" s="421"/>
      <c r="AU480" s="421"/>
      <c r="AV480" s="421"/>
      <c r="AW480" s="421"/>
      <c r="AX480" s="421"/>
      <c r="AY480" s="421"/>
      <c r="AZ480" s="421"/>
      <c r="BA480" s="421"/>
      <c r="BB480" s="421"/>
      <c r="BC480" s="421"/>
      <c r="BD480" s="421"/>
      <c r="BE480" s="421"/>
      <c r="BF480" s="421"/>
      <c r="BG480" s="421"/>
      <c r="BH480" s="421"/>
      <c r="BI480" s="421"/>
      <c r="BJ480" s="421"/>
    </row>
    <row r="481" spans="1:62" ht="15.75" customHeight="1" x14ac:dyDescent="0.4">
      <c r="A481" s="433" t="s">
        <v>703</v>
      </c>
      <c r="B481" s="418"/>
      <c r="C481" s="635" t="s">
        <v>642</v>
      </c>
      <c r="D481" s="421"/>
      <c r="E481" s="421"/>
      <c r="F481" s="421"/>
      <c r="G481" s="421"/>
      <c r="H481" s="421"/>
      <c r="I481" s="421"/>
      <c r="J481" s="421"/>
      <c r="K481" s="421"/>
      <c r="L481" s="421"/>
      <c r="M481" s="421"/>
      <c r="N481" s="421"/>
      <c r="O481" s="421"/>
      <c r="P481" s="421"/>
      <c r="Q481" s="421"/>
      <c r="R481" s="421"/>
      <c r="S481" s="421"/>
      <c r="T481" s="421"/>
      <c r="U481" s="421"/>
      <c r="V481" s="675" t="s">
        <v>703</v>
      </c>
      <c r="W481" s="676"/>
      <c r="X481" s="677">
        <v>0.21331747730726991</v>
      </c>
      <c r="Y481" s="697"/>
      <c r="Z481" s="678">
        <v>153036.79363841045</v>
      </c>
      <c r="AA481" s="677"/>
      <c r="AB481" s="697"/>
      <c r="AC481" s="678"/>
      <c r="AD481" s="677">
        <v>0.18911509302724655</v>
      </c>
      <c r="AE481" s="697"/>
      <c r="AF481" s="678">
        <v>147045.85999999999</v>
      </c>
      <c r="AG481" s="698"/>
      <c r="AH481" s="681">
        <v>-5990.9336384104681</v>
      </c>
      <c r="AI481" s="677">
        <v>-3.9147014884313505E-2</v>
      </c>
      <c r="AJ481" s="721"/>
      <c r="AK481" s="722"/>
      <c r="AL481" s="678">
        <v>200985.32</v>
      </c>
      <c r="AM481" s="723"/>
      <c r="AN481" s="681">
        <v>-53939.460000000021</v>
      </c>
      <c r="AO481" s="700">
        <v>-0.26837512311844475</v>
      </c>
      <c r="AP481" s="421"/>
      <c r="AQ481" s="421"/>
      <c r="AR481" s="421"/>
      <c r="AS481" s="421"/>
      <c r="AT481" s="421"/>
      <c r="AU481" s="421"/>
      <c r="AV481" s="421"/>
      <c r="AW481" s="421"/>
      <c r="AX481" s="421"/>
      <c r="AY481" s="421"/>
      <c r="AZ481" s="421"/>
      <c r="BA481" s="421"/>
      <c r="BB481" s="421"/>
      <c r="BC481" s="421"/>
      <c r="BD481" s="421"/>
      <c r="BE481" s="421"/>
      <c r="BF481" s="421"/>
      <c r="BG481" s="421"/>
      <c r="BH481" s="421"/>
      <c r="BI481" s="421"/>
      <c r="BJ481" s="421"/>
    </row>
    <row r="482" spans="1:62" ht="6" customHeight="1" thickBot="1" x14ac:dyDescent="0.45">
      <c r="A482" s="433" t="s">
        <v>644</v>
      </c>
      <c r="B482" s="418"/>
      <c r="C482" s="635" t="s">
        <v>642</v>
      </c>
      <c r="D482" s="421"/>
      <c r="E482" s="421"/>
      <c r="F482" s="421"/>
      <c r="G482" s="421"/>
      <c r="H482" s="421"/>
      <c r="I482" s="421"/>
      <c r="J482" s="421"/>
      <c r="K482" s="421"/>
      <c r="L482" s="421"/>
      <c r="M482" s="421"/>
      <c r="N482" s="421"/>
      <c r="O482" s="421"/>
      <c r="P482" s="421"/>
      <c r="Q482" s="421"/>
      <c r="R482" s="421"/>
      <c r="S482" s="421"/>
      <c r="T482" s="421"/>
      <c r="U482" s="421"/>
      <c r="V482" s="724"/>
      <c r="W482" s="725"/>
      <c r="X482" s="725"/>
      <c r="Y482" s="726"/>
      <c r="Z482" s="727"/>
      <c r="AA482" s="725"/>
      <c r="AB482" s="728"/>
      <c r="AC482" s="727"/>
      <c r="AD482" s="725"/>
      <c r="AE482" s="728"/>
      <c r="AF482" s="729"/>
      <c r="AG482" s="730"/>
      <c r="AH482" s="731"/>
      <c r="AI482" s="732"/>
      <c r="AJ482" s="733"/>
      <c r="AK482" s="734"/>
      <c r="AL482" s="729"/>
      <c r="AM482" s="735"/>
      <c r="AN482" s="731">
        <v>0</v>
      </c>
      <c r="AO482" s="736">
        <v>0</v>
      </c>
      <c r="AP482" s="421"/>
      <c r="AQ482" s="421"/>
      <c r="AR482" s="421"/>
      <c r="AS482" s="421"/>
      <c r="AT482" s="421"/>
      <c r="AU482" s="421"/>
      <c r="AV482" s="421"/>
      <c r="AW482" s="421"/>
      <c r="AX482" s="421"/>
      <c r="AY482" s="421"/>
      <c r="AZ482" s="421"/>
      <c r="BA482" s="421"/>
      <c r="BB482" s="421"/>
      <c r="BC482" s="421"/>
      <c r="BD482" s="421"/>
      <c r="BE482" s="421"/>
      <c r="BF482" s="421"/>
      <c r="BG482" s="421"/>
      <c r="BH482" s="421"/>
      <c r="BI482" s="421"/>
      <c r="BJ482" s="421"/>
    </row>
    <row r="483" spans="1:62" ht="15.75" customHeight="1" thickTop="1" thickBot="1" x14ac:dyDescent="0.45">
      <c r="A483" s="433" t="s">
        <v>704</v>
      </c>
      <c r="B483" s="418"/>
      <c r="C483" s="635" t="s">
        <v>642</v>
      </c>
      <c r="D483" s="421"/>
      <c r="E483" s="421"/>
      <c r="F483" s="421"/>
      <c r="G483" s="421"/>
      <c r="H483" s="421"/>
      <c r="I483" s="421"/>
      <c r="J483" s="421"/>
      <c r="K483" s="421"/>
      <c r="L483" s="421"/>
      <c r="M483" s="421"/>
      <c r="N483" s="421"/>
      <c r="O483" s="421"/>
      <c r="P483" s="421"/>
      <c r="Q483" s="421"/>
      <c r="R483" s="421"/>
      <c r="S483" s="421"/>
      <c r="T483" s="421"/>
      <c r="U483" s="421"/>
      <c r="V483" s="737" t="s">
        <v>704</v>
      </c>
      <c r="W483" s="738"/>
      <c r="X483" s="739" t="s">
        <v>705</v>
      </c>
      <c r="Y483" s="740">
        <v>2.8657593431559183E-2</v>
      </c>
      <c r="Z483" s="741">
        <v>180108.74409388524</v>
      </c>
      <c r="AA483" s="739"/>
      <c r="AB483" s="740"/>
      <c r="AC483" s="741"/>
      <c r="AD483" s="739" t="s">
        <v>705</v>
      </c>
      <c r="AE483" s="740">
        <v>4.4590424828322678E-2</v>
      </c>
      <c r="AF483" s="742">
        <v>300948.77000000025</v>
      </c>
      <c r="AG483" s="743"/>
      <c r="AH483" s="743">
        <v>120840.02590611501</v>
      </c>
      <c r="AI483" s="744">
        <v>0.67092814684846602</v>
      </c>
      <c r="AJ483" s="745" t="s">
        <v>705</v>
      </c>
      <c r="AK483" s="740">
        <v>3.334365445710432E-2</v>
      </c>
      <c r="AL483" s="742">
        <v>221800.53999999835</v>
      </c>
      <c r="AM483" s="746"/>
      <c r="AN483" s="742">
        <v>79148.230000001902</v>
      </c>
      <c r="AO483" s="747">
        <v>0.35684417179508443</v>
      </c>
      <c r="AP483" s="421"/>
      <c r="AQ483" s="421"/>
      <c r="AR483" s="421"/>
      <c r="AS483" s="421"/>
      <c r="AT483" s="421"/>
      <c r="AU483" s="421"/>
      <c r="AV483" s="421"/>
      <c r="AW483" s="421"/>
      <c r="AX483" s="421"/>
      <c r="AY483" s="421"/>
      <c r="AZ483" s="421"/>
      <c r="BA483" s="421"/>
      <c r="BB483" s="421"/>
      <c r="BC483" s="421"/>
      <c r="BD483" s="421"/>
      <c r="BE483" s="421"/>
      <c r="BF483" s="421"/>
      <c r="BG483" s="421"/>
      <c r="BH483" s="421"/>
      <c r="BI483" s="421"/>
      <c r="BJ483" s="421"/>
    </row>
    <row r="484" spans="1:62" ht="8.25" customHeight="1" thickTop="1" x14ac:dyDescent="0.7">
      <c r="A484" s="433" t="s">
        <v>644</v>
      </c>
      <c r="B484" s="418"/>
      <c r="C484" s="635" t="s">
        <v>642</v>
      </c>
      <c r="D484" s="421"/>
      <c r="E484" s="421"/>
      <c r="F484" s="421"/>
      <c r="G484" s="421"/>
      <c r="H484" s="421"/>
      <c r="I484" s="421"/>
      <c r="J484" s="421"/>
      <c r="K484" s="421"/>
      <c r="L484" s="421"/>
      <c r="M484" s="421"/>
      <c r="N484" s="421"/>
      <c r="O484" s="421"/>
      <c r="P484" s="421"/>
      <c r="Q484" s="421"/>
      <c r="R484" s="421"/>
      <c r="S484" s="421"/>
      <c r="T484" s="421"/>
      <c r="U484" s="421"/>
      <c r="V484" s="410"/>
      <c r="W484" s="410"/>
      <c r="X484" s="410"/>
      <c r="Y484" s="410"/>
      <c r="Z484" s="482"/>
      <c r="AA484" s="424"/>
      <c r="AB484" s="424"/>
      <c r="AC484" s="482"/>
      <c r="AD484" s="424"/>
      <c r="AE484" s="424"/>
      <c r="AF484" s="748"/>
      <c r="AG484" s="424"/>
      <c r="AH484" s="424"/>
      <c r="AI484" s="424"/>
      <c r="AJ484" s="424"/>
      <c r="AK484" s="424"/>
      <c r="AL484" s="482"/>
      <c r="AM484" s="424"/>
      <c r="AN484" s="424"/>
      <c r="AO484" s="424"/>
      <c r="AP484" s="421"/>
      <c r="AQ484" s="421"/>
      <c r="AR484" s="421"/>
      <c r="AS484" s="421"/>
      <c r="AT484" s="421"/>
      <c r="AU484" s="421"/>
      <c r="AV484" s="421"/>
      <c r="AW484" s="421"/>
      <c r="AX484" s="421"/>
      <c r="AY484" s="421"/>
      <c r="AZ484" s="421"/>
      <c r="BA484" s="421"/>
      <c r="BB484" s="421"/>
      <c r="BC484" s="421"/>
      <c r="BD484" s="421"/>
      <c r="BE484" s="421"/>
      <c r="BF484" s="421"/>
      <c r="BG484" s="421"/>
      <c r="BH484" s="421"/>
      <c r="BI484" s="421"/>
      <c r="BJ484" s="421"/>
    </row>
    <row r="485" spans="1:62" ht="18" customHeight="1" x14ac:dyDescent="0.5">
      <c r="A485" s="433" t="s">
        <v>706</v>
      </c>
      <c r="B485" s="418"/>
      <c r="C485" s="635" t="s">
        <v>642</v>
      </c>
      <c r="D485" s="421"/>
      <c r="E485" s="421"/>
      <c r="F485" s="421"/>
      <c r="G485" s="421"/>
      <c r="H485" s="421"/>
      <c r="I485" s="421"/>
      <c r="J485" s="421"/>
      <c r="K485" s="421"/>
      <c r="L485" s="421"/>
      <c r="M485" s="421"/>
      <c r="N485" s="421"/>
      <c r="O485" s="421"/>
      <c r="P485" s="421"/>
      <c r="Q485" s="421"/>
      <c r="R485" s="421"/>
      <c r="S485" s="421"/>
      <c r="T485" s="421"/>
      <c r="U485" s="421"/>
      <c r="V485" s="749" t="s">
        <v>706</v>
      </c>
      <c r="W485" s="749"/>
      <c r="X485" s="749"/>
      <c r="Y485" s="749"/>
      <c r="Z485" s="749"/>
      <c r="AA485" s="749"/>
      <c r="AB485" s="749"/>
      <c r="AC485" s="749"/>
      <c r="AD485" s="749"/>
      <c r="AE485" s="750" t="s">
        <v>707</v>
      </c>
      <c r="AF485" s="749"/>
      <c r="AG485" s="749"/>
      <c r="AH485" s="749"/>
      <c r="AI485" s="749"/>
      <c r="AJ485" s="751"/>
      <c r="AK485" s="752"/>
      <c r="AL485" s="749"/>
      <c r="AM485" s="749"/>
      <c r="AN485" s="749"/>
      <c r="AO485" s="753" t="s">
        <v>723</v>
      </c>
      <c r="AP485" s="421"/>
      <c r="AQ485" s="421"/>
      <c r="AR485" s="421"/>
      <c r="AS485" s="421"/>
      <c r="AT485" s="421"/>
      <c r="AU485" s="421"/>
      <c r="AV485" s="421"/>
      <c r="AW485" s="421"/>
      <c r="AX485" s="421"/>
      <c r="AY485" s="421"/>
      <c r="AZ485" s="421"/>
      <c r="BA485" s="421"/>
      <c r="BB485" s="421"/>
      <c r="BC485" s="421"/>
      <c r="BD485" s="421"/>
      <c r="BE485" s="421"/>
      <c r="BF485" s="421"/>
      <c r="BG485" s="421"/>
      <c r="BH485" s="421"/>
      <c r="BI485" s="421"/>
      <c r="BJ485" s="421"/>
    </row>
    <row r="486" spans="1:62" ht="19.5" customHeight="1" x14ac:dyDescent="0.7">
      <c r="A486" s="433" t="s">
        <v>644</v>
      </c>
      <c r="B486" s="418"/>
      <c r="C486" s="635" t="s">
        <v>642</v>
      </c>
      <c r="D486" s="421"/>
      <c r="E486" s="421"/>
      <c r="F486" s="421"/>
      <c r="G486" s="421"/>
      <c r="H486" s="421"/>
      <c r="I486" s="421"/>
      <c r="J486" s="421"/>
      <c r="K486" s="421"/>
      <c r="L486" s="421"/>
      <c r="M486" s="421"/>
      <c r="N486" s="421"/>
      <c r="O486" s="421"/>
      <c r="P486" s="421"/>
      <c r="Q486" s="421"/>
      <c r="R486" s="421"/>
      <c r="S486" s="421"/>
      <c r="T486" s="421"/>
      <c r="U486" s="421"/>
      <c r="V486" s="410"/>
      <c r="W486" s="410"/>
      <c r="X486" s="410"/>
      <c r="Y486" s="410"/>
      <c r="Z486" s="482"/>
      <c r="AA486" s="424"/>
      <c r="AB486" s="424"/>
      <c r="AC486" s="482"/>
      <c r="AD486" s="424"/>
      <c r="AE486" s="424"/>
      <c r="AF486" s="748"/>
      <c r="AG486" s="424"/>
      <c r="AH486" s="424"/>
      <c r="AI486" s="424"/>
      <c r="AJ486" s="424"/>
      <c r="AK486" s="424"/>
      <c r="AL486" s="482"/>
      <c r="AM486" s="424"/>
      <c r="AN486" s="424"/>
      <c r="AO486" s="424"/>
      <c r="AP486" s="421"/>
      <c r="AQ486" s="421"/>
      <c r="AR486" s="421"/>
      <c r="AS486" s="421"/>
      <c r="AT486" s="421"/>
      <c r="AU486" s="421"/>
      <c r="AV486" s="421"/>
      <c r="AW486" s="421"/>
      <c r="AX486" s="421"/>
      <c r="AY486" s="421"/>
      <c r="AZ486" s="421"/>
      <c r="BA486" s="421"/>
      <c r="BB486" s="421"/>
      <c r="BC486" s="421"/>
      <c r="BD486" s="421"/>
      <c r="BE486" s="421"/>
      <c r="BF486" s="421"/>
      <c r="BG486" s="421"/>
      <c r="BH486" s="421"/>
      <c r="BI486" s="421"/>
      <c r="BJ486" s="421"/>
    </row>
    <row r="487" spans="1:62" ht="19.5" customHeight="1" thickBot="1" x14ac:dyDescent="0.75">
      <c r="A487" s="433" t="s">
        <v>644</v>
      </c>
      <c r="B487" s="418"/>
      <c r="C487" s="635" t="s">
        <v>642</v>
      </c>
      <c r="D487" s="421"/>
      <c r="E487" s="421"/>
      <c r="F487" s="421"/>
      <c r="G487" s="421"/>
      <c r="H487" s="421"/>
      <c r="I487" s="421"/>
      <c r="J487" s="421"/>
      <c r="K487" s="421"/>
      <c r="L487" s="421"/>
      <c r="M487" s="421"/>
      <c r="N487" s="421"/>
      <c r="O487" s="421"/>
      <c r="P487" s="421"/>
      <c r="Q487" s="421"/>
      <c r="R487" s="421"/>
      <c r="S487" s="421"/>
      <c r="T487" s="421"/>
      <c r="U487" s="421"/>
      <c r="V487" s="410"/>
      <c r="W487" s="410"/>
      <c r="X487" s="410"/>
      <c r="Y487" s="410"/>
      <c r="Z487" s="482"/>
      <c r="AA487" s="424"/>
      <c r="AB487" s="424"/>
      <c r="AC487" s="482"/>
      <c r="AD487" s="424"/>
      <c r="AE487" s="424"/>
      <c r="AF487" s="748"/>
      <c r="AG487" s="424"/>
      <c r="AH487" s="424"/>
      <c r="AI487" s="424"/>
      <c r="AJ487" s="424"/>
      <c r="AK487" s="424"/>
      <c r="AL487" s="482"/>
      <c r="AM487" s="424"/>
      <c r="AN487" s="424"/>
      <c r="AO487" s="424"/>
      <c r="AP487" s="421"/>
      <c r="AQ487" s="421"/>
      <c r="AR487" s="421"/>
      <c r="AS487" s="421"/>
      <c r="AT487" s="421"/>
      <c r="AU487" s="421"/>
      <c r="AV487" s="421"/>
      <c r="AW487" s="421"/>
      <c r="AX487" s="421"/>
      <c r="AY487" s="421"/>
      <c r="AZ487" s="421"/>
      <c r="BA487" s="421"/>
      <c r="BB487" s="421"/>
      <c r="BC487" s="421"/>
      <c r="BD487" s="421"/>
      <c r="BE487" s="421"/>
      <c r="BF487" s="421"/>
      <c r="BG487" s="421"/>
      <c r="BH487" s="421"/>
      <c r="BI487" s="421"/>
      <c r="BJ487" s="421"/>
    </row>
    <row r="488" spans="1:62" ht="19.5" customHeight="1" thickTop="1" thickBot="1" x14ac:dyDescent="0.45">
      <c r="A488" s="433" t="s">
        <v>644</v>
      </c>
      <c r="B488" s="418"/>
      <c r="C488" s="635" t="s">
        <v>642</v>
      </c>
      <c r="D488" s="421"/>
      <c r="E488" s="421"/>
      <c r="F488" s="421"/>
      <c r="G488" s="421"/>
      <c r="H488" s="421"/>
      <c r="I488" s="421"/>
      <c r="J488" s="421"/>
      <c r="K488" s="421"/>
      <c r="L488" s="421"/>
      <c r="M488" s="421"/>
      <c r="N488" s="421"/>
      <c r="O488" s="421"/>
      <c r="P488" s="421"/>
      <c r="Q488" s="421"/>
      <c r="R488" s="421"/>
      <c r="S488" s="421"/>
      <c r="T488" s="421"/>
      <c r="U488" s="421"/>
      <c r="V488" s="737" t="s">
        <v>708</v>
      </c>
      <c r="W488" s="738"/>
      <c r="X488" s="739" t="s">
        <v>705</v>
      </c>
      <c r="Y488" s="740">
        <v>3.6314563850877619E-2</v>
      </c>
      <c r="Z488" s="742">
        <v>228231.67280669033</v>
      </c>
      <c r="AA488" s="739"/>
      <c r="AB488" s="740"/>
      <c r="AC488" s="741"/>
      <c r="AD488" s="739" t="s">
        <v>705</v>
      </c>
      <c r="AE488" s="740">
        <v>4.8473734046995454E-2</v>
      </c>
      <c r="AF488" s="742">
        <v>327157.92000000027</v>
      </c>
      <c r="AG488" s="743"/>
      <c r="AH488" s="743">
        <v>98926.247193309944</v>
      </c>
      <c r="AI488" s="744">
        <v>0.43344662016782992</v>
      </c>
      <c r="AJ488" s="739" t="s">
        <v>705</v>
      </c>
      <c r="AK488" s="740">
        <v>4.0714688795478154E-2</v>
      </c>
      <c r="AL488" s="742">
        <v>270832.33999999834</v>
      </c>
      <c r="AM488" s="746"/>
      <c r="AN488" s="742">
        <v>56325.580000001937</v>
      </c>
      <c r="AO488" s="754">
        <v>0.2079721350855008</v>
      </c>
      <c r="AP488" s="421"/>
      <c r="AQ488" s="421"/>
      <c r="AR488" s="421"/>
      <c r="AS488" s="421"/>
      <c r="AT488" s="421"/>
      <c r="AU488" s="421"/>
      <c r="AV488" s="421"/>
      <c r="AW488" s="421"/>
      <c r="AX488" s="421"/>
      <c r="AY488" s="421"/>
      <c r="AZ488" s="421"/>
      <c r="BA488" s="421"/>
      <c r="BB488" s="421"/>
      <c r="BC488" s="421"/>
      <c r="BD488" s="421"/>
      <c r="BE488" s="421"/>
      <c r="BF488" s="421"/>
      <c r="BG488" s="421"/>
      <c r="BH488" s="421"/>
      <c r="BI488" s="421"/>
      <c r="BJ488" s="421"/>
    </row>
    <row r="489" spans="1:62" ht="19" thickTop="1" thickBot="1" x14ac:dyDescent="0.45">
      <c r="A489" s="433" t="s">
        <v>704</v>
      </c>
      <c r="B489" s="418"/>
      <c r="C489" s="635" t="s">
        <v>642</v>
      </c>
      <c r="D489" s="421"/>
      <c r="E489" s="421"/>
      <c r="F489" s="421"/>
      <c r="G489" s="421"/>
      <c r="H489" s="421"/>
      <c r="I489" s="421"/>
      <c r="J489" s="421"/>
      <c r="K489" s="421"/>
      <c r="L489" s="421"/>
      <c r="M489" s="421"/>
      <c r="N489" s="421"/>
      <c r="O489" s="421"/>
      <c r="P489" s="421"/>
      <c r="Q489" s="421"/>
      <c r="R489" s="421"/>
      <c r="S489" s="421"/>
      <c r="T489" s="421"/>
      <c r="U489" s="421"/>
      <c r="V489" s="737" t="s">
        <v>704</v>
      </c>
      <c r="W489" s="738"/>
      <c r="X489" s="739" t="s">
        <v>705</v>
      </c>
      <c r="Y489" s="740">
        <v>2.8657593431559183E-2</v>
      </c>
      <c r="Z489" s="741">
        <v>180108.74409388524</v>
      </c>
      <c r="AA489" s="739"/>
      <c r="AB489" s="740"/>
      <c r="AC489" s="741"/>
      <c r="AD489" s="739" t="s">
        <v>705</v>
      </c>
      <c r="AE489" s="740">
        <v>4.4590424828322678E-2</v>
      </c>
      <c r="AF489" s="741">
        <v>300948.77000000025</v>
      </c>
      <c r="AG489" s="742"/>
      <c r="AH489" s="743">
        <v>120840.02590611501</v>
      </c>
      <c r="AI489" s="744">
        <v>0.67092814684846602</v>
      </c>
      <c r="AJ489" s="739" t="s">
        <v>705</v>
      </c>
      <c r="AK489" s="740">
        <v>3.334365445710432E-2</v>
      </c>
      <c r="AL489" s="755">
        <v>221800.53999999835</v>
      </c>
      <c r="AM489" s="756"/>
      <c r="AN489" s="757">
        <v>79148.230000001902</v>
      </c>
      <c r="AO489" s="758">
        <v>0.35684417179508443</v>
      </c>
      <c r="AP489" s="421"/>
      <c r="AQ489" s="421"/>
      <c r="AR489" s="421"/>
      <c r="AS489" s="421"/>
      <c r="AT489" s="421"/>
      <c r="AU489" s="421"/>
      <c r="AV489" s="421"/>
      <c r="AW489" s="421"/>
      <c r="AX489" s="421"/>
      <c r="AY489" s="421"/>
      <c r="AZ489" s="421"/>
      <c r="BA489" s="421"/>
      <c r="BB489" s="421"/>
      <c r="BC489" s="421"/>
      <c r="BD489" s="421"/>
      <c r="BE489" s="421"/>
      <c r="BF489" s="421"/>
      <c r="BG489" s="421"/>
      <c r="BH489" s="421"/>
      <c r="BI489" s="421"/>
      <c r="BJ489" s="421"/>
    </row>
    <row r="490" spans="1:62" ht="15.75" customHeight="1" thickTop="1" x14ac:dyDescent="0.35">
      <c r="A490" s="433" t="s">
        <v>644</v>
      </c>
      <c r="B490" s="418"/>
      <c r="C490" s="635" t="s">
        <v>642</v>
      </c>
      <c r="D490" s="421"/>
      <c r="E490" s="421"/>
      <c r="F490" s="555"/>
      <c r="G490" s="421"/>
      <c r="H490" s="421"/>
      <c r="I490" s="555"/>
      <c r="J490" s="421"/>
      <c r="K490" s="421"/>
      <c r="L490" s="421"/>
      <c r="M490" s="555"/>
      <c r="N490" s="421"/>
      <c r="O490" s="421"/>
      <c r="P490" s="421"/>
      <c r="Q490" s="555"/>
      <c r="R490" s="555"/>
      <c r="S490" s="555"/>
      <c r="T490" s="704"/>
      <c r="U490" s="704"/>
      <c r="V490" s="759"/>
      <c r="W490" s="421"/>
      <c r="X490" s="421"/>
      <c r="Y490" s="421"/>
      <c r="Z490" s="760"/>
      <c r="AA490" s="421"/>
      <c r="AB490" s="421"/>
      <c r="AC490" s="761"/>
      <c r="AD490" s="421"/>
      <c r="AE490" s="421"/>
      <c r="AF490" s="761"/>
      <c r="AG490" s="421"/>
      <c r="AH490" s="421"/>
      <c r="AI490" s="761"/>
      <c r="AJ490" s="421"/>
      <c r="AK490" s="421"/>
      <c r="AL490" s="762"/>
      <c r="AM490" s="763"/>
      <c r="AN490" s="421"/>
      <c r="AO490" s="764"/>
      <c r="AP490" s="421"/>
      <c r="AQ490" s="421"/>
      <c r="AR490" s="421"/>
      <c r="AS490" s="421"/>
      <c r="AT490" s="421"/>
      <c r="AU490" s="421"/>
      <c r="AV490" s="421"/>
      <c r="AW490" s="421"/>
      <c r="AX490" s="421"/>
      <c r="AY490" s="421"/>
      <c r="AZ490" s="421"/>
      <c r="BA490" s="421"/>
      <c r="BB490" s="421"/>
      <c r="BC490" s="421"/>
      <c r="BD490" s="421"/>
      <c r="BE490" s="421"/>
      <c r="BF490" s="421"/>
      <c r="BG490" s="421"/>
      <c r="BH490" s="421"/>
      <c r="BI490" s="421"/>
      <c r="BJ490" s="421"/>
    </row>
    <row r="491" spans="1:62" ht="15.75" customHeight="1" x14ac:dyDescent="0.35">
      <c r="A491" s="433" t="s">
        <v>67</v>
      </c>
      <c r="B491" s="418"/>
      <c r="C491" s="635" t="s">
        <v>642</v>
      </c>
      <c r="D491" s="421"/>
      <c r="E491" s="421"/>
      <c r="F491" s="421"/>
      <c r="G491" s="421"/>
      <c r="H491" s="421"/>
      <c r="I491" s="421"/>
      <c r="J491" s="421"/>
      <c r="K491" s="421"/>
      <c r="L491" s="421"/>
      <c r="M491" s="421"/>
      <c r="N491" s="421"/>
      <c r="O491" s="421"/>
      <c r="P491" s="421"/>
      <c r="Q491" s="421"/>
      <c r="R491" s="421"/>
      <c r="S491" s="421"/>
      <c r="T491" s="421"/>
      <c r="U491" s="421"/>
      <c r="V491" s="507" t="s">
        <v>67</v>
      </c>
      <c r="W491" s="667"/>
      <c r="X491" s="660"/>
      <c r="Y491" s="668"/>
      <c r="Z491" s="661">
        <v>43648</v>
      </c>
      <c r="AA491" s="660"/>
      <c r="AB491" s="668"/>
      <c r="AC491" s="661"/>
      <c r="AD491" s="660"/>
      <c r="AE491" s="668"/>
      <c r="AF491" s="661">
        <v>42648</v>
      </c>
      <c r="AG491" s="660"/>
      <c r="AH491" s="663">
        <v>-1000</v>
      </c>
      <c r="AI491" s="683">
        <v>-2.2910557184750734E-2</v>
      </c>
      <c r="AJ491" s="660"/>
      <c r="AK491" s="660"/>
      <c r="AL491" s="661">
        <v>34648</v>
      </c>
      <c r="AM491" s="665"/>
      <c r="AN491" s="663">
        <v>8000</v>
      </c>
      <c r="AO491" s="670">
        <v>0.23089355806972986</v>
      </c>
      <c r="AP491" s="421"/>
      <c r="AQ491" s="421"/>
      <c r="AR491" s="421"/>
      <c r="AS491" s="421"/>
      <c r="AT491" s="421"/>
      <c r="AU491" s="421"/>
      <c r="AV491" s="421"/>
      <c r="AW491" s="421"/>
      <c r="AX491" s="421"/>
      <c r="AY491" s="421"/>
      <c r="AZ491" s="421"/>
      <c r="BA491" s="421"/>
      <c r="BB491" s="421"/>
      <c r="BC491" s="421"/>
      <c r="BD491" s="421"/>
      <c r="BE491" s="421"/>
      <c r="BF491" s="421"/>
      <c r="BG491" s="421"/>
      <c r="BH491" s="421"/>
      <c r="BI491" s="421"/>
      <c r="BJ491" s="421"/>
    </row>
    <row r="492" spans="1:62" ht="15.75" customHeight="1" x14ac:dyDescent="0.4">
      <c r="A492" s="433" t="s">
        <v>709</v>
      </c>
      <c r="B492" s="418"/>
      <c r="C492" s="635" t="s">
        <v>642</v>
      </c>
      <c r="D492" s="421"/>
      <c r="E492" s="421"/>
      <c r="F492" s="555"/>
      <c r="G492" s="421"/>
      <c r="H492" s="421"/>
      <c r="I492" s="555"/>
      <c r="J492" s="421"/>
      <c r="K492" s="421"/>
      <c r="L492" s="421"/>
      <c r="M492" s="555"/>
      <c r="N492" s="421"/>
      <c r="O492" s="421"/>
      <c r="P492" s="421"/>
      <c r="Q492" s="555"/>
      <c r="R492" s="555"/>
      <c r="S492" s="555"/>
      <c r="T492" s="421"/>
      <c r="U492" s="421"/>
      <c r="V492" s="507" t="s">
        <v>709</v>
      </c>
      <c r="W492" s="421"/>
      <c r="X492" s="421"/>
      <c r="Y492" s="421"/>
      <c r="Z492" s="661">
        <v>0</v>
      </c>
      <c r="AA492" s="421"/>
      <c r="AB492" s="421"/>
      <c r="AC492" s="661"/>
      <c r="AD492" s="421"/>
      <c r="AE492" s="424"/>
      <c r="AF492" s="661">
        <v>0</v>
      </c>
      <c r="AG492" s="421"/>
      <c r="AH492" s="663">
        <v>0</v>
      </c>
      <c r="AI492" s="683">
        <v>0</v>
      </c>
      <c r="AJ492" s="421"/>
      <c r="AK492" s="421"/>
      <c r="AL492" s="661">
        <v>0</v>
      </c>
      <c r="AM492" s="763"/>
      <c r="AN492" s="663">
        <v>0</v>
      </c>
      <c r="AO492" s="670">
        <v>0</v>
      </c>
      <c r="AP492" s="421"/>
      <c r="AQ492" s="421"/>
      <c r="AR492" s="421"/>
      <c r="AS492" s="421"/>
      <c r="AT492" s="421"/>
      <c r="AU492" s="421"/>
      <c r="AV492" s="421"/>
      <c r="AW492" s="421"/>
      <c r="AX492" s="421"/>
      <c r="AY492" s="421"/>
      <c r="AZ492" s="421"/>
      <c r="BA492" s="421"/>
      <c r="BB492" s="421"/>
      <c r="BC492" s="421"/>
      <c r="BD492" s="421"/>
      <c r="BE492" s="421"/>
      <c r="BF492" s="421"/>
      <c r="BG492" s="421"/>
      <c r="BH492" s="421"/>
      <c r="BI492" s="421"/>
      <c r="BJ492" s="421"/>
    </row>
    <row r="493" spans="1:62" ht="15.75" customHeight="1" x14ac:dyDescent="0.4">
      <c r="A493" s="433" t="s">
        <v>710</v>
      </c>
      <c r="B493" s="418"/>
      <c r="C493" s="635" t="s">
        <v>642</v>
      </c>
      <c r="D493" s="421"/>
      <c r="E493" s="421"/>
      <c r="F493" s="555"/>
      <c r="G493" s="421"/>
      <c r="H493" s="421"/>
      <c r="I493" s="555"/>
      <c r="J493" s="421"/>
      <c r="K493" s="421"/>
      <c r="L493" s="421"/>
      <c r="M493" s="555"/>
      <c r="N493" s="421"/>
      <c r="O493" s="421"/>
      <c r="P493" s="421"/>
      <c r="Q493" s="555"/>
      <c r="R493" s="555"/>
      <c r="S493" s="555"/>
      <c r="T493" s="421"/>
      <c r="U493" s="421"/>
      <c r="V493" s="507" t="s">
        <v>710</v>
      </c>
      <c r="W493" s="424"/>
      <c r="X493" s="424"/>
      <c r="Y493" s="424"/>
      <c r="Z493" s="661">
        <v>0</v>
      </c>
      <c r="AA493" s="421"/>
      <c r="AB493" s="421"/>
      <c r="AC493" s="661"/>
      <c r="AD493" s="421"/>
      <c r="AE493" s="424"/>
      <c r="AF493" s="661">
        <v>0</v>
      </c>
      <c r="AG493" s="421"/>
      <c r="AH493" s="663">
        <v>0</v>
      </c>
      <c r="AI493" s="683">
        <v>0</v>
      </c>
      <c r="AJ493" s="421"/>
      <c r="AK493" s="421"/>
      <c r="AL493" s="661">
        <v>-666.79</v>
      </c>
      <c r="AM493" s="763"/>
      <c r="AN493" s="663">
        <v>666.79</v>
      </c>
      <c r="AO493" s="670">
        <v>-1</v>
      </c>
      <c r="AP493" s="421"/>
      <c r="AQ493" s="421"/>
      <c r="AR493" s="421"/>
      <c r="AS493" s="421"/>
      <c r="AT493" s="421"/>
      <c r="AU493" s="421"/>
      <c r="AV493" s="421"/>
      <c r="AW493" s="421"/>
      <c r="AX493" s="421"/>
      <c r="AY493" s="421"/>
      <c r="AZ493" s="421"/>
      <c r="BA493" s="421"/>
      <c r="BB493" s="421"/>
      <c r="BC493" s="421"/>
      <c r="BD493" s="421"/>
      <c r="BE493" s="421"/>
      <c r="BF493" s="421"/>
      <c r="BG493" s="421"/>
      <c r="BH493" s="421"/>
      <c r="BI493" s="421"/>
      <c r="BJ493" s="421"/>
    </row>
    <row r="494" spans="1:62" ht="15.75" customHeight="1" x14ac:dyDescent="0.4">
      <c r="A494" s="433" t="s">
        <v>711</v>
      </c>
      <c r="B494" s="418"/>
      <c r="C494" s="635" t="s">
        <v>642</v>
      </c>
      <c r="D494" s="421"/>
      <c r="E494" s="421"/>
      <c r="F494" s="555"/>
      <c r="G494" s="421"/>
      <c r="H494" s="421"/>
      <c r="I494" s="555"/>
      <c r="J494" s="421"/>
      <c r="K494" s="421"/>
      <c r="L494" s="421"/>
      <c r="M494" s="555"/>
      <c r="N494" s="421"/>
      <c r="O494" s="421"/>
      <c r="P494" s="421"/>
      <c r="Q494" s="555"/>
      <c r="R494" s="555"/>
      <c r="S494" s="555"/>
      <c r="T494" s="421"/>
      <c r="U494" s="421"/>
      <c r="V494" s="507" t="s">
        <v>711</v>
      </c>
      <c r="W494" s="424"/>
      <c r="X494" s="424"/>
      <c r="Y494" s="424"/>
      <c r="Z494" s="661">
        <v>0</v>
      </c>
      <c r="AA494" s="421"/>
      <c r="AB494" s="421"/>
      <c r="AC494" s="661"/>
      <c r="AD494" s="421"/>
      <c r="AE494" s="424"/>
      <c r="AF494" s="661">
        <v>0</v>
      </c>
      <c r="AG494" s="421"/>
      <c r="AH494" s="663">
        <v>0</v>
      </c>
      <c r="AI494" s="683">
        <v>0</v>
      </c>
      <c r="AJ494" s="421"/>
      <c r="AK494" s="421"/>
      <c r="AL494" s="661">
        <v>0</v>
      </c>
      <c r="AM494" s="763"/>
      <c r="AN494" s="663">
        <v>0</v>
      </c>
      <c r="AO494" s="670">
        <v>0</v>
      </c>
      <c r="AP494" s="421"/>
      <c r="AQ494" s="421"/>
      <c r="AR494" s="421"/>
      <c r="AS494" s="421"/>
      <c r="AT494" s="421"/>
      <c r="AU494" s="421"/>
      <c r="AV494" s="421"/>
      <c r="AW494" s="421"/>
      <c r="AX494" s="421"/>
      <c r="AY494" s="421"/>
      <c r="AZ494" s="421"/>
      <c r="BA494" s="421"/>
      <c r="BB494" s="421"/>
      <c r="BC494" s="421"/>
      <c r="BD494" s="421"/>
      <c r="BE494" s="421"/>
      <c r="BF494" s="421"/>
      <c r="BG494" s="421"/>
      <c r="BH494" s="421"/>
      <c r="BI494" s="421"/>
      <c r="BJ494" s="421"/>
    </row>
    <row r="495" spans="1:62" ht="15.75" customHeight="1" x14ac:dyDescent="0.4">
      <c r="A495" s="433" t="s">
        <v>323</v>
      </c>
      <c r="B495" s="418"/>
      <c r="C495" s="635" t="s">
        <v>642</v>
      </c>
      <c r="D495" s="421"/>
      <c r="E495" s="421"/>
      <c r="F495" s="555"/>
      <c r="G495" s="421"/>
      <c r="H495" s="421"/>
      <c r="I495" s="555"/>
      <c r="J495" s="421"/>
      <c r="K495" s="421"/>
      <c r="L495" s="421"/>
      <c r="M495" s="555"/>
      <c r="N495" s="421"/>
      <c r="O495" s="421"/>
      <c r="P495" s="421"/>
      <c r="Q495" s="555"/>
      <c r="R495" s="555"/>
      <c r="S495" s="555"/>
      <c r="T495" s="421"/>
      <c r="U495" s="421"/>
      <c r="V495" s="507" t="s">
        <v>323</v>
      </c>
      <c r="W495" s="424"/>
      <c r="X495" s="424"/>
      <c r="Y495" s="424"/>
      <c r="Z495" s="661">
        <v>0</v>
      </c>
      <c r="AA495" s="660"/>
      <c r="AB495" s="660"/>
      <c r="AC495" s="661"/>
      <c r="AD495" s="669"/>
      <c r="AE495" s="668"/>
      <c r="AF495" s="661">
        <v>0</v>
      </c>
      <c r="AG495" s="662"/>
      <c r="AH495" s="663">
        <v>0</v>
      </c>
      <c r="AI495" s="664">
        <v>0</v>
      </c>
      <c r="AJ495" s="669"/>
      <c r="AK495" s="660"/>
      <c r="AL495" s="765">
        <v>0</v>
      </c>
      <c r="AM495" s="763"/>
      <c r="AN495" s="663">
        <v>0</v>
      </c>
      <c r="AO495" s="670">
        <v>0</v>
      </c>
      <c r="AP495" s="421"/>
      <c r="AQ495" s="421"/>
      <c r="AR495" s="421"/>
      <c r="AS495" s="421"/>
      <c r="AT495" s="421"/>
      <c r="AU495" s="421"/>
      <c r="AV495" s="421"/>
      <c r="AW495" s="421"/>
      <c r="AX495" s="421"/>
      <c r="AY495" s="421"/>
      <c r="AZ495" s="421"/>
      <c r="BA495" s="421"/>
      <c r="BB495" s="421"/>
      <c r="BC495" s="421"/>
      <c r="BD495" s="421"/>
      <c r="BE495" s="421"/>
      <c r="BF495" s="421"/>
      <c r="BG495" s="421"/>
      <c r="BH495" s="421"/>
      <c r="BI495" s="421"/>
      <c r="BJ495" s="421"/>
    </row>
    <row r="496" spans="1:62" ht="15.75" customHeight="1" x14ac:dyDescent="0.4">
      <c r="A496" s="507" t="s">
        <v>712</v>
      </c>
      <c r="B496" s="418"/>
      <c r="C496" s="635" t="s">
        <v>642</v>
      </c>
      <c r="D496" s="421"/>
      <c r="E496" s="421"/>
      <c r="F496" s="555"/>
      <c r="G496" s="421"/>
      <c r="H496" s="421"/>
      <c r="I496" s="555"/>
      <c r="J496" s="421"/>
      <c r="K496" s="421"/>
      <c r="L496" s="421"/>
      <c r="M496" s="555"/>
      <c r="N496" s="421"/>
      <c r="O496" s="421"/>
      <c r="P496" s="421"/>
      <c r="Q496" s="555"/>
      <c r="R496" s="555"/>
      <c r="S496" s="555"/>
      <c r="T496" s="421"/>
      <c r="U496" s="421"/>
      <c r="V496" s="507" t="s">
        <v>712</v>
      </c>
      <c r="W496" s="424"/>
      <c r="X496" s="424"/>
      <c r="Y496" s="424"/>
      <c r="Z496" s="661">
        <v>-1079.1666666666667</v>
      </c>
      <c r="AA496" s="660"/>
      <c r="AB496" s="660"/>
      <c r="AC496" s="661"/>
      <c r="AD496" s="669"/>
      <c r="AE496" s="668"/>
      <c r="AF496" s="661">
        <v>-1079</v>
      </c>
      <c r="AG496" s="662"/>
      <c r="AH496" s="663">
        <v>0.16666666666674246</v>
      </c>
      <c r="AI496" s="664">
        <v>-1.5444015444022465E-4</v>
      </c>
      <c r="AJ496" s="669"/>
      <c r="AK496" s="660"/>
      <c r="AL496" s="661">
        <v>-2872.23</v>
      </c>
      <c r="AM496" s="763"/>
      <c r="AN496" s="663">
        <v>1793.23</v>
      </c>
      <c r="AO496" s="670">
        <v>-0.62433370586617365</v>
      </c>
      <c r="AP496" s="421"/>
      <c r="AQ496" s="421"/>
      <c r="AR496" s="421"/>
      <c r="AS496" s="421"/>
      <c r="AT496" s="421"/>
      <c r="AU496" s="421"/>
      <c r="AV496" s="421"/>
      <c r="AW496" s="421"/>
      <c r="AX496" s="421"/>
      <c r="AY496" s="421"/>
      <c r="AZ496" s="421"/>
      <c r="BA496" s="421"/>
      <c r="BB496" s="421"/>
      <c r="BC496" s="421"/>
      <c r="BD496" s="421"/>
      <c r="BE496" s="421"/>
      <c r="BF496" s="421"/>
      <c r="BG496" s="421"/>
      <c r="BH496" s="421"/>
      <c r="BI496" s="421"/>
      <c r="BJ496" s="421"/>
    </row>
    <row r="497" spans="1:62" ht="15.75" customHeight="1" thickBot="1" x14ac:dyDescent="0.45">
      <c r="A497" s="433" t="s">
        <v>323</v>
      </c>
      <c r="B497" s="418"/>
      <c r="C497" s="635" t="s">
        <v>642</v>
      </c>
      <c r="D497" s="421"/>
      <c r="E497" s="421"/>
      <c r="F497" s="555"/>
      <c r="G497" s="421"/>
      <c r="H497" s="421"/>
      <c r="I497" s="555"/>
      <c r="J497" s="421"/>
      <c r="K497" s="421"/>
      <c r="L497" s="421"/>
      <c r="M497" s="555"/>
      <c r="N497" s="421"/>
      <c r="O497" s="421"/>
      <c r="P497" s="421"/>
      <c r="Q497" s="555"/>
      <c r="R497" s="555"/>
      <c r="S497" s="555"/>
      <c r="T497" s="421"/>
      <c r="U497" s="421"/>
      <c r="V497" s="507" t="s">
        <v>323</v>
      </c>
      <c r="W497" s="424"/>
      <c r="X497" s="421"/>
      <c r="Y497" s="424"/>
      <c r="Z497" s="661">
        <v>0</v>
      </c>
      <c r="AA497" s="660"/>
      <c r="AB497" s="660"/>
      <c r="AC497" s="661"/>
      <c r="AD497" s="669"/>
      <c r="AE497" s="668"/>
      <c r="AF497" s="661">
        <v>0</v>
      </c>
      <c r="AG497" s="662"/>
      <c r="AH497" s="663">
        <v>0</v>
      </c>
      <c r="AI497" s="664">
        <v>0</v>
      </c>
      <c r="AJ497" s="669"/>
      <c r="AK497" s="660"/>
      <c r="AL497" s="661">
        <v>0</v>
      </c>
      <c r="AM497" s="763"/>
      <c r="AN497" s="663">
        <v>0</v>
      </c>
      <c r="AO497" s="670">
        <v>0</v>
      </c>
      <c r="AP497" s="421"/>
      <c r="AQ497" s="421"/>
      <c r="AR497" s="421"/>
      <c r="AS497" s="421"/>
      <c r="AT497" s="421"/>
      <c r="AU497" s="421"/>
      <c r="AV497" s="421"/>
      <c r="AW497" s="421"/>
      <c r="AX497" s="421"/>
      <c r="AY497" s="421"/>
      <c r="AZ497" s="421"/>
      <c r="BA497" s="421"/>
      <c r="BB497" s="421"/>
      <c r="BC497" s="421"/>
      <c r="BD497" s="421"/>
      <c r="BE497" s="421"/>
      <c r="BF497" s="421"/>
      <c r="BG497" s="421"/>
      <c r="BH497" s="421"/>
      <c r="BI497" s="421"/>
      <c r="BJ497" s="421"/>
    </row>
    <row r="498" spans="1:62" ht="15.75" customHeight="1" thickTop="1" thickBot="1" x14ac:dyDescent="0.45">
      <c r="A498" s="433" t="s">
        <v>713</v>
      </c>
      <c r="B498" s="418"/>
      <c r="C498" s="635" t="s">
        <v>642</v>
      </c>
      <c r="D498" s="421"/>
      <c r="E498" s="421"/>
      <c r="F498" s="555"/>
      <c r="G498" s="421"/>
      <c r="H498" s="421"/>
      <c r="I498" s="555"/>
      <c r="J498" s="421"/>
      <c r="K498" s="421"/>
      <c r="L498" s="421"/>
      <c r="M498" s="555"/>
      <c r="N498" s="421"/>
      <c r="O498" s="421"/>
      <c r="P498" s="421"/>
      <c r="Q498" s="555"/>
      <c r="R498" s="555"/>
      <c r="S498" s="555"/>
      <c r="T498" s="421"/>
      <c r="U498" s="421"/>
      <c r="V498" s="737" t="s">
        <v>713</v>
      </c>
      <c r="W498" s="738"/>
      <c r="X498" s="739" t="s">
        <v>705</v>
      </c>
      <c r="Y498" s="740">
        <v>2.1884350274155542E-2</v>
      </c>
      <c r="Z498" s="741">
        <v>137539.91076055189</v>
      </c>
      <c r="AA498" s="739"/>
      <c r="AB498" s="740"/>
      <c r="AC498" s="741"/>
      <c r="AD498" s="739" t="s">
        <v>705</v>
      </c>
      <c r="AE498" s="740">
        <v>3.8431305554671738E-2</v>
      </c>
      <c r="AF498" s="742">
        <v>259379.77000000025</v>
      </c>
      <c r="AG498" s="743"/>
      <c r="AH498" s="743">
        <v>121839.85923944836</v>
      </c>
      <c r="AI498" s="744">
        <v>0.88585094003415266</v>
      </c>
      <c r="AJ498" s="745" t="s">
        <v>705</v>
      </c>
      <c r="AK498" s="740">
        <v>2.8666988297351162E-2</v>
      </c>
      <c r="AL498" s="742">
        <v>190691.55999999837</v>
      </c>
      <c r="AM498" s="746"/>
      <c r="AN498" s="742">
        <v>68688.210000001884</v>
      </c>
      <c r="AO498" s="754">
        <v>0.36020582137983703</v>
      </c>
      <c r="AP498" s="421"/>
      <c r="AQ498" s="421"/>
      <c r="AR498" s="421"/>
      <c r="AS498" s="421"/>
      <c r="AT498" s="421"/>
      <c r="AU498" s="421"/>
      <c r="AV498" s="421"/>
      <c r="AW498" s="421"/>
      <c r="AX498" s="421"/>
      <c r="AY498" s="421"/>
      <c r="AZ498" s="421"/>
      <c r="BA498" s="421"/>
      <c r="BB498" s="421"/>
      <c r="BC498" s="421"/>
      <c r="BD498" s="421"/>
      <c r="BE498" s="421"/>
      <c r="BF498" s="421"/>
      <c r="BG498" s="421"/>
      <c r="BH498" s="421"/>
      <c r="BI498" s="421"/>
      <c r="BJ498" s="421"/>
    </row>
    <row r="499" spans="1:62" ht="15.75" customHeight="1" thickTop="1" x14ac:dyDescent="0.35">
      <c r="A499" s="433" t="s">
        <v>644</v>
      </c>
      <c r="B499" s="418"/>
      <c r="C499" s="421"/>
      <c r="D499" s="421"/>
      <c r="E499" s="421"/>
      <c r="F499" s="555"/>
      <c r="G499" s="421"/>
      <c r="H499" s="421"/>
      <c r="I499" s="555"/>
      <c r="J499" s="421"/>
      <c r="K499" s="421"/>
      <c r="L499" s="421"/>
      <c r="M499" s="555"/>
      <c r="N499" s="421"/>
      <c r="O499" s="421"/>
      <c r="P499" s="421"/>
      <c r="Q499" s="555"/>
      <c r="R499" s="555"/>
      <c r="S499" s="555"/>
      <c r="T499" s="421"/>
      <c r="U499" s="421"/>
      <c r="AP499" s="421"/>
      <c r="AQ499" s="421"/>
      <c r="AR499" s="421"/>
      <c r="AS499" s="421"/>
      <c r="AT499" s="421"/>
      <c r="AU499" s="421"/>
      <c r="AV499" s="421"/>
      <c r="AW499" s="421"/>
      <c r="AX499" s="421"/>
      <c r="AY499" s="421"/>
      <c r="AZ499" s="421"/>
      <c r="BA499" s="421"/>
      <c r="BB499" s="421"/>
      <c r="BC499" s="421"/>
      <c r="BD499" s="421"/>
      <c r="BE499" s="421"/>
      <c r="BF499" s="421"/>
      <c r="BG499" s="421"/>
      <c r="BH499" s="421"/>
      <c r="BI499" s="421"/>
      <c r="BJ499" s="421"/>
    </row>
    <row r="500" spans="1:62" ht="15.75" customHeight="1" x14ac:dyDescent="0.35">
      <c r="B500" s="418"/>
      <c r="T500" s="421"/>
      <c r="U500" s="421"/>
      <c r="V500" s="421"/>
      <c r="W500" s="421"/>
      <c r="X500" s="421"/>
      <c r="Y500" s="421"/>
      <c r="Z500" s="555"/>
      <c r="AA500" s="421"/>
      <c r="AB500" s="421"/>
      <c r="AC500" s="555"/>
      <c r="AE500" s="766" t="s">
        <v>714</v>
      </c>
      <c r="AF500" s="766">
        <v>171618</v>
      </c>
      <c r="AG500" s="421"/>
      <c r="AH500" s="421"/>
      <c r="AI500" s="421"/>
      <c r="AJ500" s="767"/>
      <c r="AK500" s="336"/>
      <c r="AL500" s="406"/>
      <c r="AM500" s="421"/>
      <c r="AN500" s="421"/>
      <c r="AO500" s="421"/>
      <c r="AP500" s="421"/>
      <c r="AQ500" s="421"/>
      <c r="AR500" s="421"/>
      <c r="AS500" s="421"/>
      <c r="AT500" s="421"/>
      <c r="AU500" s="421"/>
      <c r="AV500" s="421"/>
      <c r="AW500" s="421"/>
      <c r="AX500" s="421"/>
      <c r="AY500" s="421"/>
      <c r="AZ500" s="421"/>
      <c r="BA500" s="421"/>
      <c r="BB500" s="421"/>
      <c r="BC500" s="421"/>
      <c r="BD500" s="421"/>
      <c r="BE500" s="421"/>
      <c r="BF500" s="421"/>
      <c r="BG500" s="421"/>
      <c r="BH500" s="421"/>
      <c r="BI500" s="421"/>
      <c r="BJ500" s="421"/>
    </row>
    <row r="501" spans="1:62" ht="15.75" customHeight="1" x14ac:dyDescent="0.35">
      <c r="B501" s="418"/>
      <c r="C501" s="421"/>
      <c r="S501" s="555"/>
      <c r="W501" s="421"/>
      <c r="X501" s="421"/>
      <c r="Y501" s="421"/>
      <c r="Z501" s="555"/>
      <c r="AA501" s="421"/>
      <c r="AB501" s="421"/>
      <c r="AC501" s="555"/>
      <c r="AD501" s="421"/>
      <c r="AE501" s="421"/>
      <c r="AF501" s="766"/>
      <c r="AG501" s="421"/>
      <c r="AH501" s="421"/>
      <c r="AI501" s="421"/>
      <c r="AJ501" s="421"/>
      <c r="AL501" s="406"/>
      <c r="AM501" s="421"/>
      <c r="AN501" s="421"/>
      <c r="AO501" s="421"/>
      <c r="AP501" s="421"/>
      <c r="AQ501" s="421"/>
      <c r="AR501" s="421"/>
      <c r="AS501" s="421"/>
      <c r="AT501" s="421"/>
      <c r="AU501" s="421"/>
      <c r="AV501" s="421"/>
      <c r="AW501" s="421"/>
      <c r="AX501" s="421"/>
      <c r="AY501" s="421"/>
      <c r="AZ501" s="421"/>
      <c r="BA501" s="421"/>
      <c r="BB501" s="421"/>
      <c r="BC501" s="421"/>
      <c r="BD501" s="421"/>
      <c r="BE501" s="421"/>
      <c r="BF501" s="421"/>
      <c r="BG501" s="421"/>
      <c r="BH501" s="421"/>
      <c r="BI501" s="421"/>
      <c r="BJ501" s="421"/>
    </row>
    <row r="502" spans="1:62" ht="15.75" customHeight="1" x14ac:dyDescent="0.35">
      <c r="B502" s="418"/>
      <c r="C502" s="660"/>
      <c r="W502" s="421"/>
      <c r="X502" s="421"/>
      <c r="Y502" s="421"/>
      <c r="AE502" s="421"/>
      <c r="AF502" s="555"/>
      <c r="AG502" s="421"/>
      <c r="AH502" s="421"/>
      <c r="AM502" s="421"/>
      <c r="AN502" s="421"/>
      <c r="AO502" s="421"/>
      <c r="AP502" s="421"/>
      <c r="AQ502" s="421"/>
      <c r="AR502" s="421"/>
      <c r="AS502" s="421"/>
      <c r="AT502" s="421"/>
      <c r="AU502" s="421"/>
      <c r="AV502" s="421"/>
      <c r="AW502" s="421"/>
      <c r="AX502" s="421"/>
      <c r="AY502" s="421"/>
      <c r="AZ502" s="421"/>
      <c r="BA502" s="421"/>
      <c r="BB502" s="421"/>
      <c r="BC502" s="421"/>
      <c r="BD502" s="421"/>
      <c r="BE502" s="421"/>
      <c r="BF502" s="421"/>
      <c r="BG502" s="421"/>
      <c r="BH502" s="421"/>
      <c r="BI502" s="421"/>
      <c r="BJ502" s="421"/>
    </row>
    <row r="503" spans="1:62" ht="15.75" customHeight="1" x14ac:dyDescent="0.35">
      <c r="B503" s="418"/>
      <c r="C503" s="660"/>
      <c r="W503" s="421"/>
      <c r="X503" s="421"/>
      <c r="Y503" s="421"/>
      <c r="Z503" s="421"/>
      <c r="AA503" s="421"/>
      <c r="AB503" s="421"/>
      <c r="AC503" s="421"/>
      <c r="AD503" s="421"/>
      <c r="AE503" s="421"/>
      <c r="AF503" s="421"/>
      <c r="AG503" s="421"/>
      <c r="AH503" s="421"/>
      <c r="AI503" s="421"/>
      <c r="AJ503" s="768"/>
      <c r="AK503" s="336"/>
      <c r="AL503" s="406"/>
      <c r="AM503" s="421"/>
      <c r="AN503" s="421"/>
      <c r="AO503" s="421"/>
      <c r="AP503" s="421"/>
      <c r="AQ503" s="421"/>
      <c r="AR503" s="421"/>
      <c r="AS503" s="421"/>
      <c r="AT503" s="421"/>
      <c r="AU503" s="421"/>
      <c r="AV503" s="421"/>
      <c r="AW503" s="421"/>
      <c r="AX503" s="421"/>
      <c r="AY503" s="421"/>
      <c r="AZ503" s="421"/>
      <c r="BA503" s="421"/>
      <c r="BB503" s="421"/>
      <c r="BC503" s="421"/>
      <c r="BD503" s="421"/>
      <c r="BE503" s="421"/>
      <c r="BF503" s="421"/>
      <c r="BG503" s="421"/>
      <c r="BH503" s="421"/>
      <c r="BI503" s="421"/>
      <c r="BJ503" s="421"/>
    </row>
    <row r="504" spans="1:62" ht="15.75" customHeight="1" x14ac:dyDescent="0.35">
      <c r="B504" s="418"/>
      <c r="C504" s="660"/>
      <c r="W504" s="421"/>
      <c r="X504" s="421"/>
      <c r="Y504" s="421"/>
      <c r="Z504" s="421"/>
      <c r="AA504" s="421"/>
      <c r="AB504" s="421"/>
      <c r="AC504" s="421"/>
      <c r="AD504" s="421"/>
      <c r="AE504" s="421"/>
      <c r="AF504" s="421"/>
      <c r="AG504" s="421"/>
      <c r="AH504" s="421"/>
      <c r="AI504" s="421"/>
      <c r="AJ504" s="421"/>
      <c r="AK504" s="421"/>
      <c r="AL504" s="421"/>
      <c r="AM504" s="421"/>
      <c r="AN504" s="421"/>
      <c r="AO504" s="421"/>
      <c r="AP504" s="421"/>
      <c r="AQ504" s="421"/>
      <c r="AR504" s="421"/>
      <c r="AS504" s="421"/>
      <c r="AT504" s="421"/>
      <c r="AU504" s="421"/>
      <c r="AV504" s="421"/>
      <c r="AW504" s="421"/>
      <c r="AX504" s="421"/>
      <c r="AY504" s="421"/>
      <c r="AZ504" s="421"/>
      <c r="BA504" s="421"/>
      <c r="BB504" s="421"/>
      <c r="BC504" s="421"/>
      <c r="BD504" s="421"/>
      <c r="BE504" s="421"/>
      <c r="BF504" s="421"/>
      <c r="BG504" s="421"/>
      <c r="BH504" s="421"/>
      <c r="BI504" s="421"/>
      <c r="BJ504" s="421"/>
    </row>
    <row r="505" spans="1:62" ht="15.75" customHeight="1" x14ac:dyDescent="0.35">
      <c r="B505" s="418"/>
      <c r="C505" s="660"/>
      <c r="W505" s="421"/>
      <c r="X505" s="421"/>
      <c r="Y505" s="421"/>
      <c r="Z505" s="421"/>
      <c r="AA505" s="421"/>
      <c r="AB505" s="421"/>
      <c r="AC505" s="421"/>
      <c r="AD505" s="421"/>
      <c r="AE505" s="421"/>
      <c r="AF505" s="421"/>
      <c r="AG505" s="421"/>
      <c r="AH505" s="421"/>
      <c r="AI505" s="421"/>
      <c r="AJ505" s="421"/>
      <c r="AK505" s="421"/>
      <c r="AL505" s="421"/>
      <c r="AM505" s="421"/>
      <c r="AN505" s="421"/>
      <c r="AO505" s="421"/>
      <c r="AP505" s="421"/>
      <c r="AQ505" s="421"/>
      <c r="AR505" s="421"/>
      <c r="AS505" s="421"/>
      <c r="AT505" s="421"/>
      <c r="AU505" s="421"/>
      <c r="AV505" s="421"/>
      <c r="AW505" s="421"/>
      <c r="AX505" s="421"/>
      <c r="AY505" s="421"/>
      <c r="AZ505" s="421"/>
      <c r="BA505" s="421"/>
      <c r="BB505" s="421"/>
      <c r="BC505" s="421"/>
      <c r="BD505" s="421"/>
      <c r="BE505" s="421"/>
      <c r="BF505" s="421"/>
      <c r="BG505" s="421"/>
      <c r="BH505" s="421"/>
      <c r="BI505" s="421"/>
      <c r="BJ505" s="421"/>
    </row>
    <row r="506" spans="1:62" ht="15.75" customHeight="1" x14ac:dyDescent="0.35">
      <c r="B506" s="418"/>
      <c r="C506" s="660"/>
      <c r="W506" s="421"/>
      <c r="X506" s="421"/>
      <c r="Y506" s="421"/>
      <c r="Z506" s="421"/>
      <c r="AA506" s="421"/>
      <c r="AB506" s="421"/>
      <c r="AC506" s="421"/>
      <c r="AD506" s="421"/>
      <c r="AE506" s="421"/>
      <c r="AF506" s="421"/>
      <c r="AG506" s="421"/>
      <c r="AH506" s="421"/>
      <c r="AI506" s="421"/>
      <c r="AJ506" s="421"/>
      <c r="AK506" s="421"/>
      <c r="AL506" s="421"/>
      <c r="AM506" s="421"/>
      <c r="AN506" s="421"/>
      <c r="AO506" s="421"/>
      <c r="AP506" s="421"/>
      <c r="AQ506" s="421"/>
      <c r="AR506" s="421"/>
      <c r="AS506" s="421"/>
      <c r="AT506" s="421"/>
      <c r="AU506" s="421"/>
      <c r="AV506" s="421"/>
      <c r="AW506" s="421"/>
      <c r="AX506" s="421"/>
      <c r="AY506" s="421"/>
      <c r="AZ506" s="421"/>
      <c r="BA506" s="421"/>
      <c r="BB506" s="421"/>
      <c r="BC506" s="421"/>
      <c r="BD506" s="421"/>
      <c r="BE506" s="421"/>
      <c r="BF506" s="421"/>
      <c r="BG506" s="421"/>
      <c r="BH506" s="421"/>
      <c r="BI506" s="421"/>
      <c r="BJ506" s="421"/>
    </row>
    <row r="507" spans="1:62" ht="15.75" customHeight="1" x14ac:dyDescent="0.35">
      <c r="B507" s="418"/>
      <c r="C507" s="660"/>
      <c r="W507" s="421"/>
      <c r="X507" s="421"/>
      <c r="Y507" s="421"/>
      <c r="Z507" s="421"/>
      <c r="AA507" s="421"/>
      <c r="AB507" s="421"/>
      <c r="AC507" s="421"/>
      <c r="AD507" s="421"/>
      <c r="AE507" s="421"/>
      <c r="AF507" s="421"/>
      <c r="AG507" s="421"/>
      <c r="AH507" s="421"/>
      <c r="AI507" s="421"/>
      <c r="AJ507" s="421"/>
      <c r="AK507" s="421"/>
      <c r="AL507" s="421"/>
      <c r="AM507" s="421"/>
      <c r="AN507" s="421"/>
      <c r="AO507" s="421"/>
      <c r="AP507" s="421"/>
      <c r="AQ507" s="421"/>
      <c r="AR507" s="421"/>
      <c r="AS507" s="421"/>
      <c r="AT507" s="421"/>
      <c r="AU507" s="421"/>
      <c r="AV507" s="421"/>
      <c r="AW507" s="421"/>
      <c r="AX507" s="421"/>
      <c r="AY507" s="421"/>
      <c r="AZ507" s="421"/>
      <c r="BA507" s="421"/>
      <c r="BB507" s="421"/>
      <c r="BC507" s="421"/>
      <c r="BD507" s="421"/>
      <c r="BE507" s="421"/>
      <c r="BF507" s="421"/>
      <c r="BG507" s="421"/>
      <c r="BH507" s="421"/>
      <c r="BI507" s="421"/>
      <c r="BJ507" s="421"/>
    </row>
    <row r="508" spans="1:62" ht="15.75" customHeight="1" x14ac:dyDescent="0.35">
      <c r="B508" s="418"/>
      <c r="C508" s="660"/>
      <c r="W508" s="421"/>
      <c r="X508" s="421"/>
      <c r="Y508" s="421"/>
      <c r="Z508" s="421"/>
      <c r="AA508" s="421"/>
      <c r="AB508" s="421"/>
      <c r="AC508" s="421"/>
      <c r="AD508" s="421"/>
      <c r="AE508" s="421"/>
      <c r="AF508" s="421"/>
      <c r="AG508" s="421"/>
      <c r="AH508" s="421"/>
      <c r="AI508" s="421"/>
      <c r="AJ508" s="421"/>
      <c r="AK508" s="421"/>
      <c r="AL508" s="421"/>
      <c r="AM508" s="421"/>
      <c r="AN508" s="421"/>
      <c r="AO508" s="421"/>
      <c r="AP508" s="421"/>
      <c r="AQ508" s="421"/>
      <c r="AR508" s="421"/>
      <c r="AS508" s="421"/>
      <c r="AT508" s="421"/>
      <c r="AU508" s="421"/>
      <c r="AV508" s="421"/>
      <c r="AW508" s="421"/>
      <c r="AX508" s="421"/>
      <c r="AY508" s="421"/>
      <c r="AZ508" s="421"/>
      <c r="BA508" s="421"/>
      <c r="BB508" s="421"/>
      <c r="BC508" s="421"/>
      <c r="BD508" s="421"/>
      <c r="BE508" s="421"/>
      <c r="BF508" s="421"/>
      <c r="BG508" s="421"/>
      <c r="BH508" s="421"/>
      <c r="BI508" s="421"/>
      <c r="BJ508" s="421"/>
    </row>
    <row r="509" spans="1:62" ht="15.75" customHeight="1" x14ac:dyDescent="0.35">
      <c r="B509" s="418"/>
      <c r="C509" s="660"/>
      <c r="W509" s="421"/>
      <c r="X509" s="421"/>
      <c r="Y509" s="421"/>
      <c r="Z509" s="421"/>
      <c r="AA509" s="421"/>
      <c r="AB509" s="421"/>
      <c r="AC509" s="421"/>
      <c r="AD509" s="421"/>
      <c r="AE509" s="421"/>
      <c r="AF509" s="421"/>
      <c r="AG509" s="421"/>
      <c r="AH509" s="421"/>
      <c r="AI509" s="421"/>
      <c r="AJ509" s="421"/>
      <c r="AK509" s="421"/>
      <c r="AL509" s="421"/>
      <c r="AM509" s="421"/>
      <c r="AN509" s="421"/>
      <c r="AO509" s="421"/>
      <c r="AP509" s="421"/>
      <c r="AQ509" s="421"/>
      <c r="AR509" s="421"/>
      <c r="AS509" s="421"/>
      <c r="AT509" s="421"/>
      <c r="AU509" s="421"/>
      <c r="AV509" s="421"/>
      <c r="AW509" s="421"/>
      <c r="AX509" s="421"/>
      <c r="AY509" s="421"/>
      <c r="AZ509" s="421"/>
      <c r="BA509" s="421"/>
      <c r="BB509" s="421"/>
      <c r="BC509" s="421"/>
      <c r="BD509" s="421"/>
      <c r="BE509" s="421"/>
      <c r="BF509" s="421"/>
      <c r="BG509" s="421"/>
      <c r="BH509" s="421"/>
      <c r="BI509" s="421"/>
      <c r="BJ509" s="421"/>
    </row>
    <row r="510" spans="1:62" ht="15.75" customHeight="1" x14ac:dyDescent="0.35">
      <c r="B510" s="418"/>
      <c r="C510" s="660"/>
      <c r="W510" s="421"/>
      <c r="X510" s="421"/>
      <c r="Y510" s="421"/>
      <c r="Z510" s="421"/>
      <c r="AA510" s="421"/>
      <c r="AB510" s="421"/>
      <c r="AC510" s="421"/>
      <c r="AD510" s="421"/>
      <c r="AE510" s="421"/>
      <c r="AF510" s="421"/>
      <c r="AG510" s="421"/>
      <c r="AH510" s="421"/>
      <c r="AI510" s="421"/>
      <c r="AJ510" s="421"/>
      <c r="AK510" s="421"/>
      <c r="AL510" s="421"/>
      <c r="AM510" s="421"/>
      <c r="AN510" s="421"/>
      <c r="AO510" s="421"/>
      <c r="AP510" s="421"/>
      <c r="AQ510" s="421"/>
      <c r="AR510" s="421"/>
      <c r="AS510" s="421"/>
      <c r="AT510" s="421"/>
      <c r="AU510" s="421"/>
      <c r="AV510" s="421"/>
      <c r="AW510" s="421"/>
      <c r="AX510" s="421"/>
      <c r="AY510" s="421"/>
      <c r="AZ510" s="421"/>
      <c r="BA510" s="421"/>
      <c r="BB510" s="421"/>
      <c r="BC510" s="421"/>
      <c r="BD510" s="421"/>
      <c r="BE510" s="421"/>
      <c r="BF510" s="421"/>
      <c r="BG510" s="421"/>
      <c r="BH510" s="421"/>
      <c r="BI510" s="421"/>
      <c r="BJ510" s="421"/>
    </row>
    <row r="511" spans="1:62" ht="15.75" customHeight="1" x14ac:dyDescent="0.35">
      <c r="B511" s="418"/>
      <c r="C511" s="660"/>
      <c r="W511" s="421"/>
      <c r="X511" s="421"/>
      <c r="Y511" s="421"/>
      <c r="Z511" s="421"/>
      <c r="AA511" s="421"/>
      <c r="AB511" s="421"/>
      <c r="AC511" s="421"/>
      <c r="AD511" s="421"/>
      <c r="AE511" s="421"/>
      <c r="AF511" s="766"/>
      <c r="AG511" s="421"/>
      <c r="AH511" s="421"/>
      <c r="AI511" s="421"/>
      <c r="AJ511" s="421"/>
      <c r="AK511" s="421"/>
      <c r="AL511" s="421"/>
      <c r="AM511" s="421"/>
      <c r="AN511" s="421"/>
      <c r="AO511" s="421"/>
      <c r="AP511" s="421"/>
      <c r="AQ511" s="421"/>
      <c r="AR511" s="421"/>
      <c r="AS511" s="421"/>
      <c r="AT511" s="421"/>
      <c r="AU511" s="421"/>
      <c r="AV511" s="421"/>
      <c r="AW511" s="421"/>
      <c r="AX511" s="421"/>
      <c r="AY511" s="421"/>
      <c r="AZ511" s="421"/>
      <c r="BA511" s="421"/>
      <c r="BB511" s="421"/>
      <c r="BC511" s="421"/>
      <c r="BD511" s="421"/>
      <c r="BE511" s="421"/>
      <c r="BF511" s="421"/>
      <c r="BG511" s="421"/>
      <c r="BH511" s="421"/>
      <c r="BI511" s="421"/>
      <c r="BJ511" s="421"/>
    </row>
    <row r="512" spans="1:62" ht="15.75" customHeight="1" x14ac:dyDescent="0.35">
      <c r="B512" s="418"/>
      <c r="C512" s="660"/>
      <c r="W512" s="421"/>
      <c r="X512" s="421"/>
      <c r="Y512" s="421"/>
      <c r="Z512" s="421"/>
      <c r="AA512" s="421"/>
      <c r="AB512" s="421"/>
      <c r="AC512" s="421"/>
      <c r="AD512" s="421"/>
      <c r="AE512" s="421"/>
      <c r="AF512" s="769"/>
      <c r="AG512" s="421"/>
      <c r="AH512" s="421"/>
      <c r="AI512" s="421"/>
      <c r="AJ512" s="421"/>
      <c r="AK512" s="421"/>
      <c r="AL512" s="421"/>
      <c r="AM512" s="421"/>
      <c r="AN512" s="421"/>
      <c r="AO512" s="421"/>
      <c r="AP512" s="421"/>
      <c r="AQ512" s="421"/>
      <c r="AR512" s="421"/>
      <c r="AS512" s="421"/>
      <c r="AT512" s="421"/>
      <c r="AU512" s="421"/>
      <c r="AV512" s="421"/>
      <c r="AW512" s="421"/>
      <c r="AX512" s="421"/>
      <c r="AY512" s="421"/>
      <c r="AZ512" s="421"/>
      <c r="BA512" s="421"/>
      <c r="BB512" s="421"/>
      <c r="BC512" s="421"/>
      <c r="BD512" s="421"/>
      <c r="BE512" s="421"/>
      <c r="BF512" s="421"/>
      <c r="BG512" s="421"/>
      <c r="BH512" s="421"/>
      <c r="BI512" s="421"/>
      <c r="BJ512" s="421"/>
    </row>
    <row r="513" spans="2:62" ht="15.75" customHeight="1" x14ac:dyDescent="0.35">
      <c r="B513" s="418"/>
      <c r="C513" s="660"/>
      <c r="W513" s="421"/>
      <c r="X513" s="421"/>
      <c r="Y513" s="421"/>
      <c r="Z513" s="421"/>
      <c r="AA513" s="421"/>
      <c r="AB513" s="421"/>
      <c r="AC513" s="421"/>
      <c r="AD513" s="421"/>
      <c r="AE513" s="421"/>
      <c r="AF513" s="769"/>
      <c r="AG513" s="421"/>
      <c r="AH513" s="421"/>
      <c r="AI513" s="421"/>
      <c r="AJ513" s="421"/>
      <c r="AK513" s="421"/>
      <c r="AL513" s="421"/>
      <c r="AM513" s="421"/>
      <c r="AN513" s="421"/>
      <c r="AO513" s="421"/>
      <c r="AP513" s="421"/>
      <c r="AQ513" s="421"/>
      <c r="AR513" s="421"/>
      <c r="AS513" s="421"/>
      <c r="AT513" s="421"/>
      <c r="AU513" s="421"/>
      <c r="AV513" s="421"/>
      <c r="AW513" s="421"/>
      <c r="AX513" s="421"/>
      <c r="AY513" s="421"/>
      <c r="AZ513" s="421"/>
      <c r="BA513" s="421"/>
      <c r="BB513" s="421"/>
      <c r="BC513" s="421"/>
      <c r="BD513" s="421"/>
      <c r="BE513" s="421"/>
      <c r="BF513" s="421"/>
      <c r="BG513" s="421"/>
      <c r="BH513" s="421"/>
      <c r="BI513" s="421"/>
      <c r="BJ513" s="421"/>
    </row>
    <row r="514" spans="2:62" ht="15.75" customHeight="1" x14ac:dyDescent="0.35">
      <c r="B514" s="418"/>
      <c r="C514" s="660"/>
      <c r="W514" s="421"/>
      <c r="X514" s="421"/>
      <c r="Y514" s="421"/>
      <c r="Z514" s="421"/>
      <c r="AA514" s="421"/>
      <c r="AB514" s="421"/>
      <c r="AC514" s="421"/>
      <c r="AD514" s="421"/>
      <c r="AE514" s="421"/>
      <c r="AF514" s="769"/>
      <c r="AG514" s="421"/>
      <c r="AH514" s="421"/>
      <c r="AI514" s="421"/>
      <c r="AJ514" s="421"/>
      <c r="AK514" s="421"/>
      <c r="AL514" s="421"/>
      <c r="AM514" s="421"/>
      <c r="AN514" s="421"/>
      <c r="AO514" s="421"/>
      <c r="AP514" s="421"/>
      <c r="AQ514" s="421"/>
      <c r="AR514" s="421"/>
      <c r="AS514" s="421"/>
      <c r="AT514" s="421"/>
      <c r="AU514" s="421"/>
      <c r="AV514" s="421"/>
      <c r="AW514" s="421"/>
      <c r="AX514" s="421"/>
      <c r="AY514" s="421"/>
      <c r="AZ514" s="421"/>
      <c r="BA514" s="421"/>
      <c r="BB514" s="421"/>
      <c r="BC514" s="421"/>
      <c r="BD514" s="421"/>
      <c r="BE514" s="421"/>
      <c r="BF514" s="421"/>
      <c r="BG514" s="421"/>
      <c r="BH514" s="421"/>
      <c r="BI514" s="421"/>
      <c r="BJ514" s="421"/>
    </row>
    <row r="515" spans="2:62" ht="15.75" customHeight="1" x14ac:dyDescent="0.35">
      <c r="B515" s="418"/>
      <c r="C515" s="660"/>
      <c r="W515" s="421"/>
      <c r="X515" s="421"/>
      <c r="Y515" s="421"/>
      <c r="Z515" s="421"/>
      <c r="AA515" s="421"/>
      <c r="AB515" s="421"/>
      <c r="AC515" s="421"/>
      <c r="AD515" s="421"/>
      <c r="AE515" s="421"/>
      <c r="AF515" s="421"/>
      <c r="AG515" s="421"/>
      <c r="AH515" s="421"/>
      <c r="AI515" s="421"/>
      <c r="AJ515" s="421"/>
      <c r="AK515" s="421"/>
      <c r="AL515" s="421"/>
      <c r="AM515" s="421"/>
      <c r="AN515" s="421"/>
      <c r="AO515" s="421"/>
      <c r="AP515" s="421"/>
      <c r="AQ515" s="421"/>
      <c r="AR515" s="421"/>
      <c r="AS515" s="421"/>
      <c r="AT515" s="421"/>
      <c r="AU515" s="421"/>
      <c r="AV515" s="421"/>
      <c r="AW515" s="421"/>
      <c r="AX515" s="421"/>
      <c r="AY515" s="421"/>
      <c r="AZ515" s="421"/>
      <c r="BA515" s="421"/>
      <c r="BB515" s="421"/>
      <c r="BC515" s="421"/>
      <c r="BD515" s="421"/>
      <c r="BE515" s="421"/>
      <c r="BF515" s="421"/>
      <c r="BG515" s="421"/>
      <c r="BH515" s="421"/>
      <c r="BI515" s="421"/>
      <c r="BJ515" s="421"/>
    </row>
    <row r="516" spans="2:62" ht="15.75" customHeight="1" x14ac:dyDescent="0.35">
      <c r="B516" s="418"/>
      <c r="W516" s="421"/>
      <c r="X516" s="421"/>
      <c r="Y516" s="421"/>
      <c r="Z516" s="421"/>
      <c r="AA516" s="421"/>
      <c r="AB516" s="421"/>
      <c r="AC516" s="421"/>
      <c r="AD516" s="421"/>
      <c r="AE516" s="421"/>
      <c r="AF516" s="421"/>
      <c r="AG516" s="421"/>
      <c r="AH516" s="421"/>
      <c r="AI516" s="421"/>
      <c r="AJ516" s="421"/>
      <c r="AK516" s="421"/>
      <c r="AL516" s="421"/>
      <c r="AM516" s="421"/>
      <c r="AN516" s="421"/>
      <c r="AO516" s="421"/>
      <c r="AP516" s="421"/>
      <c r="AQ516" s="421"/>
      <c r="AR516" s="421"/>
      <c r="AS516" s="421"/>
      <c r="AT516" s="421"/>
      <c r="AU516" s="421"/>
      <c r="AV516" s="421"/>
      <c r="AW516" s="421"/>
      <c r="AX516" s="421"/>
      <c r="AY516" s="421"/>
      <c r="AZ516" s="421"/>
      <c r="BA516" s="421"/>
      <c r="BB516" s="421"/>
      <c r="BC516" s="421"/>
      <c r="BD516" s="421"/>
      <c r="BE516" s="421"/>
      <c r="BF516" s="421"/>
      <c r="BG516" s="421"/>
      <c r="BH516" s="421"/>
      <c r="BI516" s="421"/>
      <c r="BJ516" s="421"/>
    </row>
    <row r="517" spans="2:62" ht="15.75" customHeight="1" x14ac:dyDescent="0.35">
      <c r="B517" s="418"/>
      <c r="W517" s="421"/>
      <c r="X517" s="421"/>
      <c r="Y517" s="421"/>
      <c r="Z517" s="421"/>
      <c r="AA517" s="421"/>
      <c r="AB517" s="421"/>
      <c r="AC517" s="421"/>
      <c r="AD517" s="421"/>
      <c r="AE517" s="421"/>
      <c r="AF517" s="421"/>
      <c r="AG517" s="421"/>
      <c r="AH517" s="421"/>
      <c r="AI517" s="421"/>
      <c r="AJ517" s="421"/>
      <c r="AK517" s="421"/>
      <c r="AL517" s="421"/>
      <c r="AM517" s="421"/>
      <c r="AN517" s="421"/>
      <c r="AO517" s="421"/>
      <c r="AP517" s="421"/>
      <c r="AQ517" s="421"/>
      <c r="AR517" s="421"/>
      <c r="AS517" s="421"/>
      <c r="AT517" s="421"/>
      <c r="AU517" s="421"/>
      <c r="AV517" s="421"/>
      <c r="AW517" s="421"/>
      <c r="AX517" s="421"/>
      <c r="AY517" s="421"/>
      <c r="AZ517" s="421"/>
      <c r="BA517" s="421"/>
      <c r="BB517" s="421"/>
      <c r="BC517" s="421"/>
      <c r="BD517" s="421"/>
      <c r="BE517" s="421"/>
      <c r="BF517" s="421"/>
      <c r="BG517" s="421"/>
      <c r="BH517" s="421"/>
      <c r="BI517" s="421"/>
      <c r="BJ517" s="421"/>
    </row>
    <row r="518" spans="2:62" ht="15.75" customHeight="1" x14ac:dyDescent="0.35">
      <c r="B518" s="418"/>
      <c r="W518" s="421"/>
      <c r="X518" s="421"/>
      <c r="Y518" s="421"/>
      <c r="Z518" s="421"/>
      <c r="AA518" s="421"/>
      <c r="AB518" s="421"/>
      <c r="AC518" s="421"/>
      <c r="AD518" s="421"/>
      <c r="AE518" s="421"/>
      <c r="AF518" s="421"/>
      <c r="AG518" s="421"/>
      <c r="AH518" s="421"/>
      <c r="AI518" s="421"/>
      <c r="AJ518" s="421"/>
      <c r="AK518" s="421"/>
      <c r="AL518" s="421"/>
      <c r="AM518" s="421"/>
      <c r="AN518" s="421"/>
      <c r="AO518" s="421"/>
      <c r="AP518" s="421"/>
      <c r="AQ518" s="421"/>
      <c r="AR518" s="421"/>
      <c r="AS518" s="421"/>
      <c r="AT518" s="421"/>
      <c r="AU518" s="421"/>
      <c r="AV518" s="421"/>
      <c r="AW518" s="421"/>
      <c r="AX518" s="421"/>
      <c r="AY518" s="421"/>
      <c r="AZ518" s="421"/>
      <c r="BA518" s="421"/>
      <c r="BB518" s="421"/>
      <c r="BC518" s="421"/>
      <c r="BD518" s="421"/>
      <c r="BE518" s="421"/>
      <c r="BF518" s="421"/>
      <c r="BG518" s="421"/>
      <c r="BH518" s="421"/>
      <c r="BI518" s="421"/>
      <c r="BJ518" s="421"/>
    </row>
    <row r="519" spans="2:62" ht="15.75" customHeight="1" x14ac:dyDescent="0.35">
      <c r="B519" s="418"/>
      <c r="W519" s="421"/>
      <c r="X519" s="421"/>
      <c r="Y519" s="421"/>
      <c r="Z519" s="421"/>
      <c r="AA519" s="421"/>
      <c r="AB519" s="421"/>
      <c r="AC519" s="421"/>
      <c r="AD519" s="421"/>
      <c r="AE519" s="421"/>
      <c r="AF519" s="421"/>
      <c r="AG519" s="421"/>
      <c r="AH519" s="421"/>
      <c r="AI519" s="421"/>
      <c r="AJ519" s="421"/>
      <c r="AK519" s="421"/>
      <c r="AL519" s="421"/>
      <c r="AM519" s="421"/>
      <c r="AN519" s="421"/>
      <c r="AO519" s="421"/>
      <c r="AP519" s="421"/>
      <c r="AQ519" s="421"/>
      <c r="AR519" s="421"/>
      <c r="AS519" s="421"/>
      <c r="AT519" s="421"/>
      <c r="AU519" s="421"/>
      <c r="AV519" s="421"/>
      <c r="AW519" s="421"/>
      <c r="AX519" s="421"/>
      <c r="AY519" s="421"/>
      <c r="AZ519" s="421"/>
      <c r="BA519" s="421"/>
      <c r="BB519" s="421"/>
      <c r="BC519" s="421"/>
      <c r="BD519" s="421"/>
      <c r="BE519" s="421"/>
      <c r="BF519" s="421"/>
      <c r="BG519" s="421"/>
      <c r="BH519" s="421"/>
      <c r="BI519" s="421"/>
      <c r="BJ519" s="421"/>
    </row>
    <row r="520" spans="2:62" ht="15.75" customHeight="1" x14ac:dyDescent="0.35">
      <c r="B520" s="418"/>
      <c r="W520" s="421"/>
      <c r="X520" s="421"/>
      <c r="Y520" s="421"/>
      <c r="Z520" s="421"/>
      <c r="AA520" s="421"/>
      <c r="AB520" s="421"/>
      <c r="AC520" s="421"/>
      <c r="AD520" s="421"/>
      <c r="AE520" s="421"/>
      <c r="AF520" s="421"/>
      <c r="AG520" s="421"/>
      <c r="AH520" s="421"/>
      <c r="AI520" s="421"/>
      <c r="AJ520" s="421"/>
      <c r="AK520" s="421"/>
      <c r="AL520" s="421"/>
      <c r="AM520" s="421"/>
      <c r="AN520" s="421"/>
      <c r="AO520" s="421"/>
      <c r="AP520" s="421"/>
      <c r="AQ520" s="421"/>
      <c r="AR520" s="421"/>
      <c r="AS520" s="421"/>
      <c r="AT520" s="421"/>
      <c r="AU520" s="421"/>
      <c r="AV520" s="421"/>
      <c r="AW520" s="421"/>
      <c r="AX520" s="421"/>
      <c r="AY520" s="421"/>
      <c r="AZ520" s="421"/>
      <c r="BA520" s="421"/>
      <c r="BB520" s="421"/>
      <c r="BC520" s="421"/>
      <c r="BD520" s="421"/>
      <c r="BE520" s="421"/>
      <c r="BF520" s="421"/>
      <c r="BG520" s="421"/>
      <c r="BH520" s="421"/>
      <c r="BI520" s="421"/>
      <c r="BJ520" s="421"/>
    </row>
    <row r="521" spans="2:62" ht="15.75" customHeight="1" x14ac:dyDescent="0.35">
      <c r="B521" s="418"/>
      <c r="W521" s="421"/>
      <c r="X521" s="421"/>
      <c r="Y521" s="421"/>
      <c r="Z521" s="421"/>
      <c r="AA521" s="421"/>
      <c r="AB521" s="421"/>
      <c r="AC521" s="421"/>
      <c r="AD521" s="421"/>
      <c r="AE521" s="421"/>
      <c r="AF521" s="421"/>
      <c r="AG521" s="421"/>
      <c r="AH521" s="421"/>
      <c r="AI521" s="421"/>
      <c r="AJ521" s="421"/>
      <c r="AK521" s="421"/>
      <c r="AL521" s="421"/>
      <c r="AM521" s="421"/>
      <c r="AN521" s="421"/>
      <c r="AO521" s="421"/>
      <c r="AP521" s="421"/>
      <c r="AQ521" s="421"/>
      <c r="AR521" s="421"/>
      <c r="AS521" s="421"/>
      <c r="AT521" s="421"/>
      <c r="AU521" s="421"/>
      <c r="AV521" s="421"/>
      <c r="AW521" s="421"/>
      <c r="AX521" s="421"/>
      <c r="AY521" s="421"/>
      <c r="AZ521" s="421"/>
      <c r="BA521" s="421"/>
      <c r="BB521" s="421"/>
      <c r="BC521" s="421"/>
      <c r="BD521" s="421"/>
      <c r="BE521" s="421"/>
      <c r="BF521" s="421"/>
      <c r="BG521" s="421"/>
      <c r="BH521" s="421"/>
      <c r="BI521" s="421"/>
      <c r="BJ521" s="421"/>
    </row>
    <row r="522" spans="2:62" ht="15.75" customHeight="1" x14ac:dyDescent="0.35">
      <c r="B522" s="418"/>
      <c r="W522" s="421"/>
      <c r="X522" s="421"/>
      <c r="Y522" s="421"/>
      <c r="Z522" s="421"/>
      <c r="AA522" s="421"/>
      <c r="AB522" s="421"/>
      <c r="AC522" s="421"/>
      <c r="AD522" s="421"/>
      <c r="AE522" s="421"/>
      <c r="AF522" s="421"/>
      <c r="AG522" s="421"/>
      <c r="AH522" s="421"/>
      <c r="AI522" s="421"/>
      <c r="AJ522" s="421"/>
      <c r="AK522" s="421"/>
      <c r="AL522" s="421"/>
      <c r="AM522" s="421"/>
      <c r="AN522" s="421"/>
      <c r="AO522" s="421"/>
      <c r="AP522" s="421"/>
      <c r="AQ522" s="421"/>
      <c r="AR522" s="421"/>
      <c r="AS522" s="421"/>
      <c r="AT522" s="421"/>
      <c r="AU522" s="421"/>
      <c r="AV522" s="421"/>
      <c r="AW522" s="421"/>
      <c r="AX522" s="421"/>
      <c r="AY522" s="421"/>
      <c r="AZ522" s="421"/>
      <c r="BA522" s="421"/>
      <c r="BB522" s="421"/>
      <c r="BC522" s="421"/>
      <c r="BD522" s="421"/>
      <c r="BE522" s="421"/>
      <c r="BF522" s="421"/>
      <c r="BG522" s="421"/>
      <c r="BH522" s="421"/>
      <c r="BI522" s="421"/>
      <c r="BJ522" s="421"/>
    </row>
    <row r="523" spans="2:62" ht="15.75" customHeight="1" x14ac:dyDescent="0.35">
      <c r="B523" s="418"/>
      <c r="W523" s="421"/>
      <c r="X523" s="421"/>
      <c r="Y523" s="421"/>
      <c r="Z523" s="421"/>
      <c r="AA523" s="421"/>
      <c r="AB523" s="421"/>
      <c r="AC523" s="421"/>
      <c r="AD523" s="421"/>
      <c r="AE523" s="421"/>
      <c r="AF523" s="421"/>
      <c r="AG523" s="421"/>
      <c r="AH523" s="421"/>
      <c r="AI523" s="421"/>
      <c r="AJ523" s="421"/>
      <c r="AK523" s="421"/>
      <c r="AL523" s="421"/>
      <c r="AM523" s="421"/>
      <c r="AN523" s="421"/>
      <c r="AO523" s="421"/>
      <c r="AP523" s="421"/>
      <c r="AQ523" s="421"/>
      <c r="AR523" s="421"/>
      <c r="AS523" s="421"/>
      <c r="AT523" s="421"/>
      <c r="AU523" s="421"/>
      <c r="AV523" s="421"/>
      <c r="AW523" s="421"/>
      <c r="AX523" s="421"/>
      <c r="AY523" s="421"/>
      <c r="AZ523" s="421"/>
      <c r="BA523" s="421"/>
      <c r="BB523" s="421"/>
      <c r="BC523" s="421"/>
      <c r="BD523" s="421"/>
      <c r="BE523" s="421"/>
      <c r="BF523" s="421"/>
      <c r="BG523" s="421"/>
      <c r="BH523" s="421"/>
      <c r="BI523" s="421"/>
      <c r="BJ523" s="421"/>
    </row>
    <row r="524" spans="2:62" ht="15.75" customHeight="1" x14ac:dyDescent="0.35">
      <c r="B524" s="418"/>
      <c r="W524" s="421"/>
      <c r="X524" s="421"/>
      <c r="Y524" s="421"/>
      <c r="Z524" s="421"/>
      <c r="AA524" s="421"/>
      <c r="AB524" s="421"/>
      <c r="AC524" s="421"/>
      <c r="AD524" s="421"/>
      <c r="AE524" s="421"/>
      <c r="AF524" s="421"/>
      <c r="AG524" s="421"/>
      <c r="AH524" s="421"/>
      <c r="AI524" s="421"/>
      <c r="AJ524" s="421"/>
      <c r="AK524" s="421"/>
      <c r="AL524" s="421"/>
      <c r="AM524" s="421"/>
      <c r="AN524" s="421"/>
      <c r="AO524" s="421"/>
      <c r="AP524" s="421"/>
      <c r="AQ524" s="421"/>
      <c r="AR524" s="421"/>
      <c r="AS524" s="421"/>
      <c r="AT524" s="421"/>
      <c r="AU524" s="421"/>
      <c r="AV524" s="421"/>
      <c r="AW524" s="421"/>
      <c r="AX524" s="421"/>
      <c r="AY524" s="421"/>
      <c r="AZ524" s="421"/>
      <c r="BA524" s="421"/>
      <c r="BB524" s="421"/>
      <c r="BC524" s="421"/>
      <c r="BD524" s="421"/>
      <c r="BE524" s="421"/>
      <c r="BF524" s="421"/>
      <c r="BG524" s="421"/>
      <c r="BH524" s="421"/>
      <c r="BI524" s="421"/>
      <c r="BJ524" s="421"/>
    </row>
    <row r="525" spans="2:62" ht="15.75" customHeight="1" x14ac:dyDescent="0.35">
      <c r="B525" s="418"/>
      <c r="C525" s="660"/>
      <c r="W525" s="421"/>
      <c r="X525" s="421"/>
      <c r="Y525" s="421"/>
      <c r="Z525" s="421"/>
      <c r="AA525" s="421"/>
      <c r="AB525" s="421"/>
      <c r="AC525" s="421"/>
      <c r="AD525" s="421"/>
      <c r="AE525" s="421"/>
      <c r="AF525" s="421"/>
      <c r="AG525" s="421"/>
      <c r="AH525" s="421"/>
      <c r="AI525" s="421"/>
      <c r="AJ525" s="421"/>
      <c r="AK525" s="421"/>
      <c r="AL525" s="421"/>
      <c r="AM525" s="421"/>
      <c r="AN525" s="421"/>
      <c r="AO525" s="421"/>
      <c r="AP525" s="421"/>
      <c r="AQ525" s="421"/>
      <c r="AR525" s="421"/>
      <c r="AS525" s="421"/>
      <c r="AT525" s="421"/>
      <c r="AU525" s="421"/>
      <c r="AV525" s="421"/>
      <c r="AW525" s="421"/>
      <c r="AX525" s="421"/>
      <c r="AY525" s="421"/>
      <c r="AZ525" s="421"/>
      <c r="BA525" s="421"/>
      <c r="BB525" s="421"/>
      <c r="BC525" s="421"/>
      <c r="BD525" s="421"/>
      <c r="BE525" s="421"/>
      <c r="BF525" s="421"/>
      <c r="BG525" s="421"/>
      <c r="BH525" s="421"/>
      <c r="BI525" s="421"/>
      <c r="BJ525" s="421"/>
    </row>
    <row r="526" spans="2:62" ht="15.75" customHeight="1" x14ac:dyDescent="0.35">
      <c r="B526" s="418"/>
      <c r="C526" s="660"/>
      <c r="W526" s="421"/>
      <c r="X526" s="421"/>
      <c r="Y526" s="421"/>
      <c r="Z526" s="421"/>
      <c r="AA526" s="421"/>
      <c r="AB526" s="421"/>
      <c r="AC526" s="421"/>
      <c r="AD526" s="421"/>
      <c r="AE526" s="421"/>
      <c r="AF526" s="421"/>
      <c r="AG526" s="421"/>
      <c r="AH526" s="421"/>
      <c r="AI526" s="421"/>
      <c r="AJ526" s="421"/>
      <c r="AK526" s="421"/>
      <c r="AL526" s="421"/>
      <c r="AM526" s="421"/>
      <c r="AN526" s="421"/>
      <c r="AO526" s="421"/>
      <c r="AP526" s="421"/>
      <c r="AQ526" s="421"/>
      <c r="AR526" s="421"/>
      <c r="AS526" s="421"/>
      <c r="AT526" s="421"/>
      <c r="AU526" s="421"/>
      <c r="AV526" s="421"/>
      <c r="AW526" s="421"/>
      <c r="AX526" s="421"/>
      <c r="AY526" s="421"/>
      <c r="AZ526" s="421"/>
      <c r="BA526" s="421"/>
      <c r="BB526" s="421"/>
      <c r="BC526" s="421"/>
      <c r="BD526" s="421"/>
      <c r="BE526" s="421"/>
      <c r="BF526" s="421"/>
      <c r="BG526" s="421"/>
      <c r="BH526" s="421"/>
      <c r="BI526" s="421"/>
      <c r="BJ526" s="421"/>
    </row>
    <row r="527" spans="2:62" ht="15.75" customHeight="1" x14ac:dyDescent="0.35">
      <c r="B527" s="418"/>
      <c r="C527" s="660"/>
      <c r="W527" s="421"/>
      <c r="X527" s="421"/>
      <c r="Y527" s="421"/>
      <c r="Z527" s="421"/>
      <c r="AA527" s="421"/>
      <c r="AB527" s="421"/>
      <c r="AC527" s="421"/>
      <c r="AD527" s="421"/>
      <c r="AE527" s="421"/>
      <c r="AF527" s="421"/>
      <c r="AG527" s="421"/>
      <c r="AH527" s="421"/>
      <c r="AI527" s="421"/>
      <c r="AJ527" s="421"/>
      <c r="AK527" s="421"/>
      <c r="AL527" s="421"/>
      <c r="AM527" s="421"/>
      <c r="AN527" s="421"/>
      <c r="AO527" s="421"/>
      <c r="AP527" s="421"/>
      <c r="AQ527" s="421"/>
      <c r="AR527" s="421"/>
      <c r="AS527" s="421"/>
      <c r="AT527" s="421"/>
      <c r="AU527" s="421"/>
      <c r="AV527" s="421"/>
      <c r="AW527" s="421"/>
      <c r="AX527" s="421"/>
      <c r="AY527" s="421"/>
      <c r="AZ527" s="421"/>
      <c r="BA527" s="421"/>
      <c r="BB527" s="421"/>
      <c r="BC527" s="421"/>
      <c r="BD527" s="421"/>
      <c r="BE527" s="421"/>
      <c r="BF527" s="421"/>
      <c r="BG527" s="421"/>
      <c r="BH527" s="421"/>
      <c r="BI527" s="421"/>
      <c r="BJ527" s="421"/>
    </row>
    <row r="528" spans="2:62" ht="15.75" customHeight="1" x14ac:dyDescent="0.35">
      <c r="B528" s="418"/>
      <c r="C528" s="660"/>
      <c r="W528" s="421"/>
      <c r="X528" s="421"/>
      <c r="Y528" s="421"/>
      <c r="Z528" s="421"/>
      <c r="AA528" s="421"/>
      <c r="AB528" s="421"/>
      <c r="AC528" s="421"/>
      <c r="AD528" s="421"/>
      <c r="AE528" s="421"/>
      <c r="AF528" s="421"/>
      <c r="AG528" s="421"/>
      <c r="AH528" s="421"/>
      <c r="AI528" s="421"/>
      <c r="AJ528" s="421"/>
      <c r="AK528" s="421"/>
      <c r="AL528" s="421"/>
      <c r="AM528" s="421"/>
      <c r="AN528" s="421"/>
      <c r="AO528" s="421"/>
      <c r="AP528" s="421"/>
      <c r="AQ528" s="421"/>
      <c r="AR528" s="421"/>
      <c r="AS528" s="421"/>
      <c r="AT528" s="421"/>
      <c r="AU528" s="421"/>
      <c r="AV528" s="421"/>
      <c r="AW528" s="421"/>
      <c r="AX528" s="421"/>
      <c r="AY528" s="421"/>
      <c r="AZ528" s="421"/>
      <c r="BA528" s="421"/>
      <c r="BB528" s="421"/>
      <c r="BC528" s="421"/>
      <c r="BD528" s="421"/>
      <c r="BE528" s="421"/>
      <c r="BF528" s="421"/>
      <c r="BG528" s="421"/>
      <c r="BH528" s="421"/>
      <c r="BI528" s="421"/>
      <c r="BJ528" s="421"/>
    </row>
    <row r="529" spans="2:62" ht="15.75" customHeight="1" x14ac:dyDescent="0.35">
      <c r="B529" s="418"/>
      <c r="C529" s="660"/>
      <c r="W529" s="421"/>
      <c r="X529" s="421"/>
      <c r="Y529" s="421"/>
      <c r="Z529" s="421"/>
      <c r="AA529" s="421"/>
      <c r="AB529" s="421"/>
      <c r="AC529" s="421"/>
      <c r="AD529" s="421"/>
      <c r="AE529" s="421"/>
      <c r="AF529" s="421"/>
      <c r="AG529" s="421"/>
      <c r="AH529" s="421"/>
      <c r="AI529" s="421"/>
      <c r="AJ529" s="421"/>
      <c r="AK529" s="421"/>
      <c r="AL529" s="421"/>
      <c r="AM529" s="421"/>
      <c r="AN529" s="421"/>
      <c r="AO529" s="421"/>
      <c r="AP529" s="421"/>
      <c r="AQ529" s="421"/>
      <c r="AR529" s="421"/>
      <c r="AS529" s="421"/>
      <c r="AT529" s="421"/>
      <c r="AU529" s="421"/>
      <c r="AV529" s="421"/>
      <c r="AW529" s="421"/>
      <c r="AX529" s="421"/>
      <c r="AY529" s="421"/>
      <c r="AZ529" s="421"/>
      <c r="BA529" s="421"/>
      <c r="BB529" s="421"/>
      <c r="BC529" s="421"/>
      <c r="BD529" s="421"/>
      <c r="BE529" s="421"/>
      <c r="BF529" s="421"/>
      <c r="BG529" s="421"/>
      <c r="BH529" s="421"/>
      <c r="BI529" s="421"/>
      <c r="BJ529" s="421"/>
    </row>
    <row r="530" spans="2:62" ht="15.75" customHeight="1" x14ac:dyDescent="0.35">
      <c r="B530" s="418"/>
      <c r="C530" s="660"/>
      <c r="W530" s="421"/>
      <c r="X530" s="421"/>
      <c r="Y530" s="421"/>
      <c r="Z530" s="421"/>
      <c r="AA530" s="421"/>
      <c r="AB530" s="421"/>
      <c r="AC530" s="421"/>
      <c r="AD530" s="421"/>
      <c r="AE530" s="421"/>
      <c r="AF530" s="421"/>
      <c r="AG530" s="421"/>
      <c r="AH530" s="421"/>
      <c r="AI530" s="421"/>
      <c r="AJ530" s="421"/>
      <c r="AK530" s="421"/>
      <c r="AL530" s="421"/>
      <c r="AM530" s="421"/>
      <c r="AN530" s="421"/>
      <c r="AO530" s="421"/>
      <c r="AP530" s="421"/>
      <c r="AQ530" s="421"/>
      <c r="AR530" s="421"/>
      <c r="AS530" s="421"/>
      <c r="AT530" s="421"/>
      <c r="AU530" s="421"/>
      <c r="AV530" s="421"/>
      <c r="AW530" s="421"/>
      <c r="AX530" s="421"/>
      <c r="AY530" s="421"/>
      <c r="AZ530" s="421"/>
      <c r="BA530" s="421"/>
      <c r="BB530" s="421"/>
      <c r="BC530" s="421"/>
      <c r="BD530" s="421"/>
      <c r="BE530" s="421"/>
      <c r="BF530" s="421"/>
      <c r="BG530" s="421"/>
      <c r="BH530" s="421"/>
      <c r="BI530" s="421"/>
      <c r="BJ530" s="421"/>
    </row>
    <row r="531" spans="2:62" ht="15.75" customHeight="1" x14ac:dyDescent="0.35">
      <c r="B531" s="418"/>
      <c r="C531" s="660"/>
      <c r="W531" s="421"/>
      <c r="X531" s="421"/>
      <c r="Y531" s="421"/>
      <c r="Z531" s="421"/>
      <c r="AA531" s="421"/>
      <c r="AB531" s="421"/>
      <c r="AC531" s="421"/>
      <c r="AD531" s="421"/>
      <c r="AE531" s="421"/>
      <c r="AF531" s="421"/>
      <c r="AG531" s="421"/>
      <c r="AH531" s="421"/>
      <c r="AI531" s="421"/>
      <c r="AJ531" s="421"/>
      <c r="AK531" s="421"/>
      <c r="AL531" s="421"/>
      <c r="AM531" s="421"/>
      <c r="AN531" s="421"/>
      <c r="AO531" s="421"/>
      <c r="AP531" s="421"/>
      <c r="AQ531" s="421"/>
      <c r="AR531" s="421"/>
      <c r="AS531" s="421"/>
      <c r="AT531" s="421"/>
      <c r="AU531" s="421"/>
      <c r="AV531" s="421"/>
      <c r="AW531" s="421"/>
      <c r="AX531" s="421"/>
      <c r="AY531" s="421"/>
      <c r="AZ531" s="421"/>
      <c r="BA531" s="421"/>
      <c r="BB531" s="421"/>
      <c r="BC531" s="421"/>
      <c r="BD531" s="421"/>
      <c r="BE531" s="421"/>
      <c r="BF531" s="421"/>
      <c r="BG531" s="421"/>
      <c r="BH531" s="421"/>
      <c r="BI531" s="421"/>
      <c r="BJ531" s="421"/>
    </row>
    <row r="532" spans="2:62" ht="15.75" customHeight="1" x14ac:dyDescent="0.35">
      <c r="B532" s="418"/>
      <c r="C532" s="660"/>
      <c r="W532" s="421"/>
      <c r="X532" s="421"/>
      <c r="Y532" s="421"/>
      <c r="Z532" s="421"/>
      <c r="AA532" s="421"/>
      <c r="AB532" s="421"/>
      <c r="AC532" s="421"/>
      <c r="AD532" s="421"/>
      <c r="AE532" s="421"/>
      <c r="AF532" s="421"/>
      <c r="AG532" s="421"/>
      <c r="AH532" s="421"/>
      <c r="AI532" s="421"/>
      <c r="AJ532" s="421"/>
      <c r="AK532" s="421"/>
      <c r="AL532" s="421"/>
      <c r="AM532" s="421"/>
      <c r="AN532" s="421"/>
      <c r="AO532" s="421"/>
      <c r="AP532" s="421"/>
      <c r="AQ532" s="421"/>
      <c r="AR532" s="421"/>
      <c r="AS532" s="421"/>
      <c r="AT532" s="421"/>
      <c r="AU532" s="421"/>
      <c r="AV532" s="421"/>
      <c r="AW532" s="421"/>
      <c r="AX532" s="421"/>
      <c r="AY532" s="421"/>
      <c r="AZ532" s="421"/>
      <c r="BA532" s="421"/>
      <c r="BB532" s="421"/>
      <c r="BC532" s="421"/>
      <c r="BD532" s="421"/>
      <c r="BE532" s="421"/>
      <c r="BF532" s="421"/>
      <c r="BG532" s="421"/>
      <c r="BH532" s="421"/>
      <c r="BI532" s="421"/>
      <c r="BJ532" s="421"/>
    </row>
    <row r="533" spans="2:62" ht="15.75" customHeight="1" x14ac:dyDescent="0.35">
      <c r="B533" s="418"/>
      <c r="C533" s="660"/>
      <c r="W533" s="421"/>
      <c r="X533" s="421"/>
      <c r="Y533" s="421"/>
      <c r="Z533" s="421"/>
      <c r="AA533" s="421"/>
      <c r="AB533" s="421"/>
      <c r="AC533" s="421"/>
      <c r="AD533" s="421"/>
      <c r="AE533" s="421"/>
      <c r="AF533" s="421"/>
      <c r="AG533" s="421"/>
      <c r="AH533" s="421"/>
      <c r="AI533" s="421"/>
      <c r="AJ533" s="421"/>
      <c r="AK533" s="421"/>
      <c r="AL533" s="421"/>
      <c r="AM533" s="421"/>
      <c r="AN533" s="421"/>
      <c r="AO533" s="421"/>
      <c r="AP533" s="421"/>
      <c r="AQ533" s="421"/>
      <c r="AR533" s="421"/>
      <c r="AS533" s="421"/>
      <c r="AT533" s="421"/>
      <c r="AU533" s="421"/>
      <c r="AV533" s="421"/>
      <c r="AW533" s="421"/>
      <c r="AX533" s="421"/>
      <c r="AY533" s="421"/>
      <c r="AZ533" s="421"/>
      <c r="BA533" s="421"/>
      <c r="BB533" s="421"/>
      <c r="BC533" s="421"/>
      <c r="BD533" s="421"/>
      <c r="BE533" s="421"/>
      <c r="BF533" s="421"/>
      <c r="BG533" s="421"/>
      <c r="BH533" s="421"/>
      <c r="BI533" s="421"/>
      <c r="BJ533" s="421"/>
    </row>
    <row r="534" spans="2:62" ht="15.75" customHeight="1" x14ac:dyDescent="0.35">
      <c r="B534" s="418"/>
      <c r="C534" s="660"/>
      <c r="W534" s="421"/>
      <c r="X534" s="421"/>
      <c r="Y534" s="421"/>
      <c r="Z534" s="421"/>
      <c r="AA534" s="421"/>
      <c r="AB534" s="421"/>
      <c r="AC534" s="421"/>
      <c r="AD534" s="421"/>
      <c r="AE534" s="421"/>
      <c r="AF534" s="421"/>
      <c r="AG534" s="421"/>
      <c r="AH534" s="421"/>
      <c r="AI534" s="421"/>
      <c r="AJ534" s="421"/>
      <c r="AK534" s="421"/>
      <c r="AL534" s="421"/>
      <c r="AM534" s="421"/>
      <c r="AN534" s="421"/>
      <c r="AO534" s="421"/>
      <c r="AP534" s="421"/>
      <c r="AQ534" s="421"/>
      <c r="AR534" s="421"/>
      <c r="AS534" s="421"/>
      <c r="AT534" s="421"/>
      <c r="AU534" s="421"/>
      <c r="AV534" s="421"/>
      <c r="AW534" s="421"/>
      <c r="AX534" s="421"/>
      <c r="AY534" s="421"/>
      <c r="AZ534" s="421"/>
      <c r="BA534" s="421"/>
      <c r="BB534" s="421"/>
      <c r="BC534" s="421"/>
      <c r="BD534" s="421"/>
      <c r="BE534" s="421"/>
      <c r="BF534" s="421"/>
      <c r="BG534" s="421"/>
      <c r="BH534" s="421"/>
      <c r="BI534" s="421"/>
      <c r="BJ534" s="421"/>
    </row>
    <row r="535" spans="2:62" ht="15.75" customHeight="1" x14ac:dyDescent="0.35">
      <c r="B535" s="418"/>
      <c r="W535" s="421"/>
      <c r="X535" s="421"/>
      <c r="Y535" s="421"/>
      <c r="Z535" s="421"/>
      <c r="AA535" s="421"/>
      <c r="AB535" s="421"/>
      <c r="AC535" s="421"/>
      <c r="AD535" s="421"/>
      <c r="AE535" s="421"/>
      <c r="AF535" s="421"/>
      <c r="AG535" s="421"/>
      <c r="AH535" s="421"/>
      <c r="AI535" s="421"/>
      <c r="AJ535" s="421"/>
      <c r="AK535" s="421"/>
      <c r="AL535" s="421"/>
      <c r="AM535" s="421"/>
      <c r="AN535" s="421"/>
      <c r="AO535" s="421"/>
      <c r="AP535" s="421"/>
      <c r="AQ535" s="421"/>
      <c r="AR535" s="421"/>
      <c r="AS535" s="421"/>
      <c r="AT535" s="421"/>
      <c r="AU535" s="421"/>
      <c r="AV535" s="421"/>
      <c r="AW535" s="421"/>
      <c r="AX535" s="421"/>
      <c r="AY535" s="421"/>
      <c r="AZ535" s="421"/>
      <c r="BA535" s="421"/>
      <c r="BB535" s="421"/>
      <c r="BC535" s="421"/>
      <c r="BD535" s="421"/>
      <c r="BE535" s="421"/>
      <c r="BF535" s="421"/>
      <c r="BG535" s="421"/>
      <c r="BH535" s="421"/>
      <c r="BI535" s="421"/>
      <c r="BJ535" s="421"/>
    </row>
    <row r="536" spans="2:62" ht="15.75" customHeight="1" x14ac:dyDescent="0.35">
      <c r="B536" s="418"/>
      <c r="W536" s="421"/>
      <c r="X536" s="421"/>
      <c r="Y536" s="421"/>
      <c r="Z536" s="421"/>
      <c r="AA536" s="421"/>
      <c r="AB536" s="421"/>
      <c r="AC536" s="421"/>
      <c r="AD536" s="421"/>
      <c r="AE536" s="421"/>
      <c r="AF536" s="421"/>
      <c r="AG536" s="421"/>
      <c r="AH536" s="421"/>
      <c r="AI536" s="421"/>
      <c r="AJ536" s="421"/>
      <c r="AK536" s="421"/>
      <c r="AL536" s="421"/>
      <c r="AM536" s="421"/>
      <c r="AN536" s="421"/>
      <c r="AO536" s="421"/>
      <c r="AP536" s="421"/>
      <c r="AQ536" s="421"/>
      <c r="AR536" s="421"/>
      <c r="AS536" s="421"/>
      <c r="AT536" s="421"/>
      <c r="AU536" s="421"/>
      <c r="AV536" s="421"/>
      <c r="AW536" s="421"/>
      <c r="AX536" s="421"/>
      <c r="AY536" s="421"/>
      <c r="AZ536" s="421"/>
      <c r="BA536" s="421"/>
      <c r="BB536" s="421"/>
      <c r="BC536" s="421"/>
      <c r="BD536" s="421"/>
      <c r="BE536" s="421"/>
      <c r="BF536" s="421"/>
      <c r="BG536" s="421"/>
      <c r="BH536" s="421"/>
      <c r="BI536" s="421"/>
      <c r="BJ536" s="421"/>
    </row>
    <row r="537" spans="2:62" ht="15.75" customHeight="1" x14ac:dyDescent="0.35">
      <c r="B537" s="418"/>
      <c r="W537" s="421"/>
      <c r="X537" s="421"/>
      <c r="Y537" s="421"/>
      <c r="Z537" s="421"/>
      <c r="AA537" s="421"/>
      <c r="AB537" s="421"/>
      <c r="AC537" s="421"/>
      <c r="AD537" s="421"/>
      <c r="AE537" s="421"/>
      <c r="AF537" s="421"/>
      <c r="AG537" s="421"/>
      <c r="AH537" s="421"/>
      <c r="AI537" s="421"/>
      <c r="AJ537" s="421"/>
      <c r="AK537" s="421"/>
      <c r="AL537" s="421"/>
      <c r="AM537" s="421"/>
      <c r="AN537" s="421"/>
      <c r="AO537" s="421"/>
      <c r="AP537" s="421"/>
      <c r="AQ537" s="421"/>
      <c r="AR537" s="421"/>
      <c r="AS537" s="421"/>
      <c r="AT537" s="421"/>
      <c r="AU537" s="421"/>
      <c r="AV537" s="421"/>
      <c r="AW537" s="421"/>
      <c r="AX537" s="421"/>
      <c r="AY537" s="421"/>
      <c r="AZ537" s="421"/>
      <c r="BA537" s="421"/>
      <c r="BB537" s="421"/>
      <c r="BC537" s="421"/>
      <c r="BD537" s="421"/>
      <c r="BE537" s="421"/>
      <c r="BF537" s="421"/>
      <c r="BG537" s="421"/>
      <c r="BH537" s="421"/>
      <c r="BI537" s="421"/>
      <c r="BJ537" s="421"/>
    </row>
    <row r="538" spans="2:62" ht="15.75" customHeight="1" x14ac:dyDescent="0.35">
      <c r="B538" s="418"/>
      <c r="W538" s="421"/>
      <c r="X538" s="421"/>
      <c r="Y538" s="421"/>
      <c r="Z538" s="421"/>
      <c r="AA538" s="421"/>
      <c r="AB538" s="421"/>
      <c r="AC538" s="421"/>
      <c r="AD538" s="421"/>
      <c r="AE538" s="421"/>
      <c r="AF538" s="421"/>
      <c r="AG538" s="421"/>
      <c r="AH538" s="421"/>
      <c r="AI538" s="421"/>
      <c r="AJ538" s="421"/>
      <c r="AK538" s="421"/>
      <c r="AL538" s="421"/>
      <c r="AM538" s="421"/>
      <c r="AN538" s="421"/>
      <c r="AO538" s="421"/>
      <c r="AP538" s="421"/>
      <c r="AQ538" s="421"/>
      <c r="AR538" s="421"/>
      <c r="AS538" s="421"/>
      <c r="AT538" s="421"/>
      <c r="AU538" s="421"/>
      <c r="AV538" s="421"/>
      <c r="AW538" s="421"/>
      <c r="AX538" s="421"/>
      <c r="AY538" s="421"/>
      <c r="AZ538" s="421"/>
      <c r="BA538" s="421"/>
      <c r="BB538" s="421"/>
      <c r="BC538" s="421"/>
      <c r="BD538" s="421"/>
      <c r="BE538" s="421"/>
      <c r="BF538" s="421"/>
      <c r="BG538" s="421"/>
      <c r="BH538" s="421"/>
      <c r="BI538" s="421"/>
      <c r="BJ538" s="421"/>
    </row>
    <row r="539" spans="2:62" ht="15.75" customHeight="1" x14ac:dyDescent="0.35"/>
    <row r="540" spans="2:62" ht="15.75" customHeight="1" x14ac:dyDescent="0.35"/>
    <row r="541" spans="2:62" ht="15.75" customHeight="1" x14ac:dyDescent="0.35"/>
    <row r="542" spans="2:62" ht="15.75" customHeight="1" x14ac:dyDescent="0.35"/>
    <row r="543" spans="2:62" ht="15.75" customHeight="1" x14ac:dyDescent="0.35"/>
    <row r="544" spans="2:62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</sheetData>
  <mergeCells count="42">
    <mergeCell ref="R3:S3"/>
    <mergeCell ref="D3:F3"/>
    <mergeCell ref="G3:I3"/>
    <mergeCell ref="J3:L3"/>
    <mergeCell ref="M3:N3"/>
    <mergeCell ref="O3:Q3"/>
    <mergeCell ref="R170:S170"/>
    <mergeCell ref="D91:F91"/>
    <mergeCell ref="G91:I91"/>
    <mergeCell ref="J91:L91"/>
    <mergeCell ref="M91:N91"/>
    <mergeCell ref="O91:Q91"/>
    <mergeCell ref="R91:S91"/>
    <mergeCell ref="D170:F170"/>
    <mergeCell ref="G170:I170"/>
    <mergeCell ref="J170:L170"/>
    <mergeCell ref="M170:N170"/>
    <mergeCell ref="O170:Q170"/>
    <mergeCell ref="R293:S293"/>
    <mergeCell ref="D238:F238"/>
    <mergeCell ref="G238:I238"/>
    <mergeCell ref="J238:L238"/>
    <mergeCell ref="M238:N238"/>
    <mergeCell ref="O238:Q238"/>
    <mergeCell ref="R238:S238"/>
    <mergeCell ref="D293:F293"/>
    <mergeCell ref="G293:I293"/>
    <mergeCell ref="J293:L293"/>
    <mergeCell ref="M293:N293"/>
    <mergeCell ref="O293:Q293"/>
    <mergeCell ref="AM404:AO404"/>
    <mergeCell ref="D358:F358"/>
    <mergeCell ref="G358:I358"/>
    <mergeCell ref="J358:L358"/>
    <mergeCell ref="M358:N358"/>
    <mergeCell ref="O358:Q358"/>
    <mergeCell ref="R358:S358"/>
    <mergeCell ref="X404:Z404"/>
    <mergeCell ref="AA404:AC404"/>
    <mergeCell ref="AD404:AF404"/>
    <mergeCell ref="AG404:AI404"/>
    <mergeCell ref="AJ404:AL404"/>
  </mergeCells>
  <conditionalFormatting sqref="D112">
    <cfRule type="expression" dxfId="63" priority="4" stopIfTrue="1">
      <formula>"esterreur(reference)"</formula>
    </cfRule>
  </conditionalFormatting>
  <conditionalFormatting sqref="D172:D181">
    <cfRule type="expression" dxfId="62" priority="62" stopIfTrue="1">
      <formula>"esterreur(reference)"</formula>
    </cfRule>
  </conditionalFormatting>
  <conditionalFormatting sqref="D400">
    <cfRule type="expression" dxfId="61" priority="7" stopIfTrue="1">
      <formula>"esterreur(reference)"</formula>
    </cfRule>
  </conditionalFormatting>
  <conditionalFormatting sqref="E186">
    <cfRule type="expression" dxfId="60" priority="63" stopIfTrue="1">
      <formula>"esterreur(reference)"</formula>
    </cfRule>
  </conditionalFormatting>
  <conditionalFormatting sqref="F5">
    <cfRule type="expression" dxfId="59" priority="60" stopIfTrue="1">
      <formula>"esterreur(reference)"</formula>
    </cfRule>
  </conditionalFormatting>
  <conditionalFormatting sqref="F83:F85">
    <cfRule type="expression" dxfId="58" priority="59" stopIfTrue="1">
      <formula>"esterreur(reference)"</formula>
    </cfRule>
  </conditionalFormatting>
  <conditionalFormatting sqref="F101">
    <cfRule type="expression" dxfId="57" priority="64" stopIfTrue="1">
      <formula>"esterreur(reference)"</formula>
    </cfRule>
  </conditionalFormatting>
  <conditionalFormatting sqref="F184">
    <cfRule type="expression" dxfId="56" priority="28" stopIfTrue="1">
      <formula>"esterreur(reference)"</formula>
    </cfRule>
  </conditionalFormatting>
  <conditionalFormatting sqref="G31:G32">
    <cfRule type="expression" dxfId="55" priority="57" stopIfTrue="1">
      <formula>"esterreur(reference)"</formula>
    </cfRule>
  </conditionalFormatting>
  <conditionalFormatting sqref="G112:G113">
    <cfRule type="expression" dxfId="54" priority="54" stopIfTrue="1">
      <formula>"esterreur(reference)"</formula>
    </cfRule>
  </conditionalFormatting>
  <conditionalFormatting sqref="G172:G181">
    <cfRule type="expression" dxfId="53" priority="61" stopIfTrue="1">
      <formula>"esterreur(reference)"</formula>
    </cfRule>
  </conditionalFormatting>
  <conditionalFormatting sqref="H25:H26 H28:H72">
    <cfRule type="expression" dxfId="52" priority="56" stopIfTrue="1">
      <formula>"esterreur(reference)"</formula>
    </cfRule>
  </conditionalFormatting>
  <conditionalFormatting sqref="H360 J360:L360">
    <cfRule type="expression" dxfId="51" priority="16" stopIfTrue="1">
      <formula>"esterreur(reference)"</formula>
    </cfRule>
  </conditionalFormatting>
  <conditionalFormatting sqref="H197:L197">
    <cfRule type="expression" dxfId="50" priority="18" stopIfTrue="1">
      <formula>"esterreur(reference)"</formula>
    </cfRule>
  </conditionalFormatting>
  <conditionalFormatting sqref="H313:L313 H314:J314 L314 H315:L317">
    <cfRule type="expression" dxfId="49" priority="2" stopIfTrue="1">
      <formula>"esterreur(reference)"</formula>
    </cfRule>
  </conditionalFormatting>
  <conditionalFormatting sqref="H396:L399">
    <cfRule type="expression" dxfId="48" priority="14" stopIfTrue="1">
      <formula>"esterreur(reference)"</formula>
    </cfRule>
  </conditionalFormatting>
  <conditionalFormatting sqref="I16:I18 I20 I24:I30">
    <cfRule type="expression" dxfId="47" priority="58" stopIfTrue="1">
      <formula>"esterreur(reference)"</formula>
    </cfRule>
  </conditionalFormatting>
  <conditionalFormatting sqref="I377:L377 J378:L394 H378:H395">
    <cfRule type="expression" dxfId="46" priority="15" stopIfTrue="1">
      <formula>"esterreur(reference)"</formula>
    </cfRule>
  </conditionalFormatting>
  <conditionalFormatting sqref="J3 L6:L14 I13:J14 J16 L16:L24 J18:J24 J25:L26 J27 L27 J28:L30 J31:K48 J49:L72 H83:L85 H86:K88 L86:L90 H90:I90 K90 J90:J91 K93:L96 H97:L98 K99:L100 I101:L101 H101:H104 O101:Q153 J102:L104 I105:L111 H106:H134 J112:L121 I122:L122 J123:L134 H135:L135 H136:H152 J136:L152 H153:L153 H156:H157 J156:K157 H164:L164 H165 J165:K165 H166:K167 L167:L169 H169:I169 K169 J169:J176 H171:I171 K171:L173 H173:I173 I174 L174 K175:L176 H176:I176 I177:J177 L177 J178:L179 H179:I179 I180:J180 L180 K181:L182 J181:J196 H182:I183 L183 K183:K184 H185:I187 K185:L196 H189:I190 H192:I196 J198:K200 H198:H229 J201 J202:K229 H232:L232 H233 J233:K233 H234:K235 L234:L237 H237:I237 K237 J237:J240 H239:I240 K239:L241 H243:L243 H252:L253 H254:H284 J254:K284 L267:L285 H285:J285 H288:L288 H289 J289:K289 H290:K290 L290:L292 H292:I292 K292 J292:J293 H294:L294 J295:K303 H304:L306 J307:K308 H309:L311 J312:M312 L318:L329 H318:H348 J318:K348 H349:L349 H352:L352 H353:H355 J353:K355 H361:L364 H365:H376 J365:L376 H400 J400:K400">
    <cfRule type="expression" dxfId="45" priority="8" stopIfTrue="1">
      <formula>"esterreur(reference)"</formula>
    </cfRule>
  </conditionalFormatting>
  <conditionalFormatting sqref="K395">
    <cfRule type="expression" dxfId="44" priority="17" stopIfTrue="1">
      <formula>"esterreur(reference)"</formula>
    </cfRule>
  </conditionalFormatting>
  <conditionalFormatting sqref="K5:L5">
    <cfRule type="expression" dxfId="43" priority="27" stopIfTrue="1">
      <formula>"esterreur(reference)"</formula>
    </cfRule>
  </conditionalFormatting>
  <conditionalFormatting sqref="K244:L244">
    <cfRule type="expression" dxfId="42" priority="24" stopIfTrue="1">
      <formula>"esterreur(reference)"</formula>
    </cfRule>
  </conditionalFormatting>
  <conditionalFormatting sqref="K247:L247">
    <cfRule type="expression" dxfId="41" priority="25" stopIfTrue="1">
      <formula>"esterreur(reference)"</formula>
    </cfRule>
  </conditionalFormatting>
  <conditionalFormatting sqref="L42:L48">
    <cfRule type="expression" dxfId="40" priority="20" stopIfTrue="1">
      <formula>"esterreur(reference)"</formula>
    </cfRule>
  </conditionalFormatting>
  <conditionalFormatting sqref="L75:L82">
    <cfRule type="expression" dxfId="39" priority="1" stopIfTrue="1">
      <formula>"esterreur(reference)"</formula>
    </cfRule>
  </conditionalFormatting>
  <conditionalFormatting sqref="L156:L162">
    <cfRule type="expression" dxfId="38" priority="23" stopIfTrue="1">
      <formula>"esterreur(reference)"</formula>
    </cfRule>
  </conditionalFormatting>
  <conditionalFormatting sqref="L198:L209">
    <cfRule type="expression" dxfId="37" priority="21" stopIfTrue="1">
      <formula>"esterreur(reference)"</formula>
    </cfRule>
  </conditionalFormatting>
  <conditionalFormatting sqref="L211:L228">
    <cfRule type="expression" dxfId="36" priority="22" stopIfTrue="1">
      <formula>"esterreur(reference)"</formula>
    </cfRule>
  </conditionalFormatting>
  <conditionalFormatting sqref="L254:L265">
    <cfRule type="expression" dxfId="35" priority="26" stopIfTrue="1">
      <formula>"esterreur(reference)"</formula>
    </cfRule>
  </conditionalFormatting>
  <conditionalFormatting sqref="L331:L348">
    <cfRule type="expression" dxfId="34" priority="19" stopIfTrue="1">
      <formula>"esterreur(reference)"</formula>
    </cfRule>
  </conditionalFormatting>
  <conditionalFormatting sqref="L356:L357 H357:I357 K357 J357:J358 H359:L359">
    <cfRule type="expression" dxfId="33" priority="13" stopIfTrue="1">
      <formula>"esterreur(reference)"</formula>
    </cfRule>
  </conditionalFormatting>
  <conditionalFormatting sqref="M95:M97">
    <cfRule type="expression" dxfId="32" priority="9" stopIfTrue="1">
      <formula>"esterreur(reference)"</formula>
    </cfRule>
  </conditionalFormatting>
  <conditionalFormatting sqref="N197:N209">
    <cfRule type="expression" dxfId="31" priority="3" stopIfTrue="1">
      <formula>"esterreur(reference)"</formula>
    </cfRule>
  </conditionalFormatting>
  <conditionalFormatting sqref="N318:N328">
    <cfRule type="expression" dxfId="30" priority="6" stopIfTrue="1">
      <formula>"esterreur(reference)"</formula>
    </cfRule>
  </conditionalFormatting>
  <conditionalFormatting sqref="O295:P303 O304:Q306 O307:P308 O309:Q317 Q318:Q329 O318:P348 O349:Q349 O352:Q352 O353:P353">
    <cfRule type="expression" dxfId="29" priority="49" stopIfTrue="1">
      <formula>"esterreur(reference)"</formula>
    </cfRule>
  </conditionalFormatting>
  <conditionalFormatting sqref="O197:Q197">
    <cfRule type="expression" dxfId="28" priority="38" stopIfTrue="1">
      <formula>"esterreur(reference)"</formula>
    </cfRule>
  </conditionalFormatting>
  <conditionalFormatting sqref="O243:Q243 O252:Q253 O254:P284 Q282:Q285 O285 O288:Q288 O289:P289">
    <cfRule type="expression" dxfId="27" priority="44" stopIfTrue="1">
      <formula>"esterreur(reference)"</formula>
    </cfRule>
  </conditionalFormatting>
  <conditionalFormatting sqref="O359:Q394">
    <cfRule type="expression" dxfId="26" priority="51" stopIfTrue="1">
      <formula>"esterreur(reference)"</formula>
    </cfRule>
  </conditionalFormatting>
  <conditionalFormatting sqref="O396:Q399">
    <cfRule type="expression" dxfId="25" priority="52" stopIfTrue="1">
      <formula>"esterreur(reference)"</formula>
    </cfRule>
  </conditionalFormatting>
  <conditionalFormatting sqref="P5">
    <cfRule type="expression" dxfId="24" priority="32" stopIfTrue="1">
      <formula>"esterreur(reference)"</formula>
    </cfRule>
  </conditionalFormatting>
  <conditionalFormatting sqref="P175">
    <cfRule type="expression" dxfId="23" priority="41" stopIfTrue="1">
      <formula>"esterreur(reference)"</formula>
    </cfRule>
  </conditionalFormatting>
  <conditionalFormatting sqref="P178">
    <cfRule type="expression" dxfId="22" priority="42" stopIfTrue="1">
      <formula>"esterreur(reference)"</formula>
    </cfRule>
  </conditionalFormatting>
  <conditionalFormatting sqref="P181">
    <cfRule type="expression" dxfId="21" priority="43" stopIfTrue="1">
      <formula>"esterreur(reference)"</formula>
    </cfRule>
  </conditionalFormatting>
  <conditionalFormatting sqref="P395">
    <cfRule type="expression" dxfId="20" priority="53" stopIfTrue="1">
      <formula>"esterreur(reference)"</formula>
    </cfRule>
  </conditionalFormatting>
  <conditionalFormatting sqref="P93:Q96 O97:Q98 O156:P157 O164:Q164 O165:P165">
    <cfRule type="expression" dxfId="19" priority="35" stopIfTrue="1">
      <formula>"esterreur(reference)"</formula>
    </cfRule>
  </conditionalFormatting>
  <conditionalFormatting sqref="P99:Q100">
    <cfRule type="expression" dxfId="18" priority="34" stopIfTrue="1">
      <formula>"esterreur(reference)"</formula>
    </cfRule>
  </conditionalFormatting>
  <conditionalFormatting sqref="P172:Q173 O172:O196 Q174:Q175 P176:Q176 Q177:Q178 P179:Q179 Q180:Q181 O198:P229 O232:Q232 O233:P233">
    <cfRule type="expression" dxfId="17" priority="37" stopIfTrue="1">
      <formula>"esterreur(reference)"</formula>
    </cfRule>
  </conditionalFormatting>
  <conditionalFormatting sqref="P182:Q196">
    <cfRule type="expression" dxfId="16" priority="5" stopIfTrue="1">
      <formula>"esterreur(reference)"</formula>
    </cfRule>
  </conditionalFormatting>
  <conditionalFormatting sqref="P241:Q241">
    <cfRule type="expression" dxfId="15" priority="48" stopIfTrue="1">
      <formula>"esterreur(reference)"</formula>
    </cfRule>
  </conditionalFormatting>
  <conditionalFormatting sqref="P244:Q244">
    <cfRule type="expression" dxfId="14" priority="45" stopIfTrue="1">
      <formula>"esterreur(reference)"</formula>
    </cfRule>
  </conditionalFormatting>
  <conditionalFormatting sqref="P247:Q247">
    <cfRule type="expression" dxfId="13" priority="46" stopIfTrue="1">
      <formula>"esterreur(reference)"</formula>
    </cfRule>
  </conditionalFormatting>
  <conditionalFormatting sqref="Q5:Q14 O13:O14 O16 Q16:Q24 O18:O24 O25:Q26 O27 Q27 O28:Q72 O83:Q85">
    <cfRule type="expression" dxfId="12" priority="31" stopIfTrue="1">
      <formula>"esterreur(reference)"</formula>
    </cfRule>
  </conditionalFormatting>
  <conditionalFormatting sqref="Q75:Q82">
    <cfRule type="expression" dxfId="11" priority="33" stopIfTrue="1">
      <formula>"esterreur(reference)"</formula>
    </cfRule>
  </conditionalFormatting>
  <conditionalFormatting sqref="Q156:Q162">
    <cfRule type="expression" dxfId="10" priority="36" stopIfTrue="1">
      <formula>"esterreur(reference)"</formula>
    </cfRule>
  </conditionalFormatting>
  <conditionalFormatting sqref="Q198:Q209">
    <cfRule type="expression" dxfId="9" priority="39" stopIfTrue="1">
      <formula>"esterreur(reference)"</formula>
    </cfRule>
  </conditionalFormatting>
  <conditionalFormatting sqref="Q211:Q228">
    <cfRule type="expression" dxfId="8" priority="40" stopIfTrue="1">
      <formula>"esterreur(reference)"</formula>
    </cfRule>
  </conditionalFormatting>
  <conditionalFormatting sqref="Q254:Q265">
    <cfRule type="expression" dxfId="7" priority="47" stopIfTrue="1">
      <formula>"esterreur(reference)"</formula>
    </cfRule>
  </conditionalFormatting>
  <conditionalFormatting sqref="Q331:Q348">
    <cfRule type="expression" dxfId="6" priority="50" stopIfTrue="1">
      <formula>"esterreur(reference)"</formula>
    </cfRule>
  </conditionalFormatting>
  <conditionalFormatting sqref="R312">
    <cfRule type="expression" dxfId="5" priority="10" stopIfTrue="1">
      <formula>"esterreur(reference)"</formula>
    </cfRule>
  </conditionalFormatting>
  <conditionalFormatting sqref="S186">
    <cfRule type="expression" dxfId="4" priority="29" stopIfTrue="1">
      <formula>"esterreur(reference)"</formula>
    </cfRule>
  </conditionalFormatting>
  <conditionalFormatting sqref="AG409:AI418 AH420:AI432 AH434:AI451 AH453:AI460 AH461:AH462 AH463:AI465 AH467:AI467 AH491:AI497">
    <cfRule type="cellIs" dxfId="3" priority="11" operator="greaterThan">
      <formula>0</formula>
    </cfRule>
  </conditionalFormatting>
  <conditionalFormatting sqref="AH469:AI476 AH480:AI480">
    <cfRule type="cellIs" dxfId="2" priority="12" operator="lessThan">
      <formula>0</formula>
    </cfRule>
  </conditionalFormatting>
  <conditionalFormatting sqref="AH477:AI479">
    <cfRule type="cellIs" dxfId="1" priority="55" operator="greaterThan">
      <formula>0</formula>
    </cfRule>
  </conditionalFormatting>
  <conditionalFormatting sqref="AO409:AO418">
    <cfRule type="cellIs" dxfId="0" priority="30" operator="greaterThan">
      <formula>0</formula>
    </cfRule>
  </conditionalFormatting>
  <printOptions horizontalCentered="1"/>
  <pageMargins left="0.15748031496062992" right="0.15748031496062992" top="0.15748031496062992" bottom="0.31496062992125984" header="0" footer="0.23622047244094491"/>
  <pageSetup scale="44" fitToHeight="0" orientation="landscape" r:id="rId1"/>
  <headerFooter>
    <oddFooter>&amp;L&amp;F&amp;C&amp;P de &amp;N&amp;RImprimé le &amp;D  @ &amp;T</oddFooter>
  </headerFooter>
  <rowBreaks count="15" manualBreakCount="15">
    <brk id="85" min="2" max="18" man="1"/>
    <brk id="165" min="2" max="18" man="1"/>
    <brk id="233" min="2" max="18" man="1"/>
    <brk id="289" min="2" max="18" man="1"/>
    <brk id="353" man="1"/>
    <brk id="289" man="1"/>
    <brk id="290" man="1"/>
    <brk id="483" man="1"/>
    <brk id="355" man="1"/>
    <brk id="484" man="1"/>
    <brk id="85" man="1"/>
    <brk id="167" man="1"/>
    <brk id="88" man="1"/>
    <brk id="235" man="1"/>
    <brk id="399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0000"/>
    <pageSetUpPr fitToPage="1"/>
  </sheetPr>
  <dimension ref="B1:Y60"/>
  <sheetViews>
    <sheetView showGridLines="0" zoomScale="85" zoomScaleNormal="85" workbookViewId="0">
      <pane xSplit="7" ySplit="3" topLeftCell="H4" activePane="bottomRight" state="frozen"/>
      <selection pane="topRight" activeCell="H1" sqref="H1"/>
      <selection pane="bottomLeft" activeCell="A4" sqref="A4"/>
      <selection pane="bottomRight" activeCell="B1" sqref="B1"/>
    </sheetView>
  </sheetViews>
  <sheetFormatPr baseColWidth="10" defaultColWidth="11.453125" defaultRowHeight="14.5" x14ac:dyDescent="0.35"/>
  <cols>
    <col min="1" max="1" width="11.1796875" style="40" customWidth="1"/>
    <col min="2" max="2" width="30.54296875" style="40" bestFit="1" customWidth="1"/>
    <col min="3" max="4" width="10.7265625" style="40" customWidth="1"/>
    <col min="5" max="5" width="10.54296875" style="40" bestFit="1" customWidth="1"/>
    <col min="6" max="6" width="1.7265625" style="40" customWidth="1"/>
    <col min="7" max="7" width="11.453125" style="40"/>
    <col min="8" max="9" width="11.453125" style="40" hidden="1" customWidth="1"/>
    <col min="10" max="10" width="12.7265625" style="40" hidden="1" customWidth="1"/>
    <col min="11" max="11" width="11.453125" style="40" hidden="1" customWidth="1"/>
    <col min="12" max="12" width="11.453125" style="40" customWidth="1"/>
    <col min="13" max="13" width="12.1796875" style="40" bestFit="1" customWidth="1"/>
    <col min="14" max="15" width="11.453125" style="40" customWidth="1"/>
    <col min="16" max="16" width="11.81640625" style="40" bestFit="1" customWidth="1"/>
    <col min="17" max="18" width="11.453125" style="40" customWidth="1"/>
    <col min="19" max="19" width="11.81640625" style="40" bestFit="1" customWidth="1"/>
    <col min="20" max="16384" width="11.453125" style="40"/>
  </cols>
  <sheetData>
    <row r="1" spans="2:25" x14ac:dyDescent="0.35">
      <c r="B1" s="301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9"/>
    </row>
    <row r="2" spans="2:25" ht="8.25" customHeight="1" x14ac:dyDescent="0.35"/>
    <row r="3" spans="2:25" x14ac:dyDescent="0.35">
      <c r="B3" s="170" t="s">
        <v>126</v>
      </c>
      <c r="C3" s="171"/>
      <c r="D3" s="171"/>
      <c r="H3" s="172">
        <v>45321</v>
      </c>
      <c r="I3" s="172">
        <v>45350</v>
      </c>
      <c r="J3" s="172">
        <v>45379</v>
      </c>
      <c r="K3" s="172">
        <v>45408</v>
      </c>
      <c r="L3" s="172">
        <v>45437</v>
      </c>
      <c r="M3" s="172">
        <v>45466</v>
      </c>
      <c r="N3" s="172">
        <v>45495</v>
      </c>
      <c r="O3" s="172">
        <v>45524</v>
      </c>
      <c r="P3" s="172">
        <v>45553</v>
      </c>
      <c r="Q3" s="172">
        <v>45582</v>
      </c>
      <c r="R3" s="172">
        <v>45611</v>
      </c>
      <c r="S3" s="172">
        <v>45640</v>
      </c>
    </row>
    <row r="4" spans="2:25" x14ac:dyDescent="0.35">
      <c r="B4" s="10" t="s">
        <v>151</v>
      </c>
      <c r="C4" s="173"/>
      <c r="D4" s="173"/>
      <c r="E4" s="174"/>
      <c r="F4" s="47"/>
      <c r="G4" s="42" t="s">
        <v>119</v>
      </c>
      <c r="H4" s="302">
        <v>142187</v>
      </c>
      <c r="I4" s="302">
        <v>249483</v>
      </c>
      <c r="J4" s="302">
        <v>281559.35999999987</v>
      </c>
      <c r="K4" s="302">
        <v>259605</v>
      </c>
      <c r="L4" s="302">
        <v>235625</v>
      </c>
      <c r="M4" s="302"/>
      <c r="N4" s="302"/>
      <c r="O4" s="302"/>
      <c r="P4" s="302"/>
      <c r="Q4" s="302"/>
      <c r="R4" s="302"/>
      <c r="S4" s="302"/>
      <c r="U4" s="40" t="s">
        <v>211</v>
      </c>
      <c r="W4" s="146">
        <f>SUM(H4:J4)</f>
        <v>673229.35999999987</v>
      </c>
    </row>
    <row r="5" spans="2:25" x14ac:dyDescent="0.35">
      <c r="B5" s="280" t="s">
        <v>236</v>
      </c>
      <c r="C5" s="176"/>
      <c r="D5" s="176"/>
      <c r="E5" s="177"/>
      <c r="F5" s="48"/>
      <c r="G5" s="40" t="s">
        <v>95</v>
      </c>
      <c r="H5" s="303">
        <v>144386</v>
      </c>
      <c r="I5" s="303">
        <v>144386</v>
      </c>
      <c r="J5" s="303">
        <v>202140.80743085477</v>
      </c>
      <c r="K5" s="303">
        <v>288903</v>
      </c>
      <c r="L5" s="303">
        <v>331750</v>
      </c>
      <c r="M5" s="303"/>
      <c r="N5" s="303"/>
      <c r="O5" s="303"/>
      <c r="P5" s="303"/>
      <c r="Q5" s="303"/>
      <c r="R5" s="303"/>
      <c r="S5" s="303"/>
      <c r="U5" s="40" t="s">
        <v>230</v>
      </c>
      <c r="W5" s="146">
        <f>SUM(H5:J5)</f>
        <v>490912.80743085477</v>
      </c>
    </row>
    <row r="6" spans="2:25" x14ac:dyDescent="0.35">
      <c r="B6" s="15"/>
      <c r="C6" s="179" t="s">
        <v>129</v>
      </c>
      <c r="D6" s="179" t="s">
        <v>130</v>
      </c>
      <c r="E6" s="180" t="s">
        <v>131</v>
      </c>
      <c r="F6" s="48"/>
      <c r="G6" s="157" t="s">
        <v>37</v>
      </c>
      <c r="H6" s="181">
        <f t="shared" ref="H6:J6" si="0">IFERROR(ROUND(H4/H5,3)," - - -")</f>
        <v>0.98499999999999999</v>
      </c>
      <c r="I6" s="181">
        <f t="shared" si="0"/>
        <v>1.728</v>
      </c>
      <c r="J6" s="181">
        <f t="shared" si="0"/>
        <v>1.393</v>
      </c>
      <c r="K6" s="181">
        <f>IFERROR(ROUND(K4/K5,3)," - - -")</f>
        <v>0.89900000000000002</v>
      </c>
      <c r="L6" s="181">
        <f>IFERROR(ROUND(L4/L5,3)," - - -")</f>
        <v>0.71</v>
      </c>
      <c r="M6" s="181" t="str">
        <f t="shared" ref="M6:S6" si="1">IFERROR(ROUND(M4/M5,3)," - - -")</f>
        <v xml:space="preserve"> - - -</v>
      </c>
      <c r="N6" s="181" t="str">
        <f t="shared" si="1"/>
        <v xml:space="preserve"> - - -</v>
      </c>
      <c r="O6" s="181" t="str">
        <f t="shared" si="1"/>
        <v xml:space="preserve"> - - -</v>
      </c>
      <c r="P6" s="181" t="str">
        <f t="shared" si="1"/>
        <v xml:space="preserve"> - - -</v>
      </c>
      <c r="Q6" s="181" t="str">
        <f t="shared" si="1"/>
        <v xml:space="preserve"> - - -</v>
      </c>
      <c r="R6" s="181" t="str">
        <f t="shared" ref="R6" si="2">IFERROR(ROUND(R4/R5,3)," - - -")</f>
        <v xml:space="preserve"> - - -</v>
      </c>
      <c r="S6" s="181" t="str">
        <f t="shared" si="1"/>
        <v xml:space="preserve"> - - -</v>
      </c>
      <c r="W6" s="181">
        <f t="shared" ref="W6" si="3">IFERROR(ROUND(W4/W5,3)," - - -")</f>
        <v>1.371</v>
      </c>
    </row>
    <row r="7" spans="2:25" x14ac:dyDescent="0.35">
      <c r="B7" s="15"/>
      <c r="C7" s="182">
        <v>0.9</v>
      </c>
      <c r="D7" s="182">
        <v>0.99990000000000001</v>
      </c>
      <c r="E7" s="202">
        <v>700</v>
      </c>
      <c r="F7" s="48"/>
      <c r="H7" s="183">
        <f t="shared" ref="H7:J9" si="4">IF(AND(H$6&gt;=$C7,H$6&lt;=$D7),$E7,0)</f>
        <v>700</v>
      </c>
      <c r="I7" s="183">
        <f t="shared" si="4"/>
        <v>0</v>
      </c>
      <c r="J7" s="183">
        <f t="shared" si="4"/>
        <v>0</v>
      </c>
      <c r="K7" s="183">
        <f t="shared" ref="K7:L9" si="5">IF(AND(K$6&gt;=$C7,K$6&lt;=$D7),$E7,0)</f>
        <v>0</v>
      </c>
      <c r="L7" s="183">
        <f t="shared" si="5"/>
        <v>0</v>
      </c>
      <c r="M7" s="183">
        <f t="shared" ref="M7:S7" si="6">IF(AND(M$6&gt;=$C7,M$6&lt;=$D7),$E7,0)</f>
        <v>0</v>
      </c>
      <c r="N7" s="183">
        <f t="shared" si="6"/>
        <v>0</v>
      </c>
      <c r="O7" s="183">
        <f t="shared" si="6"/>
        <v>0</v>
      </c>
      <c r="P7" s="183">
        <f t="shared" si="6"/>
        <v>0</v>
      </c>
      <c r="Q7" s="183">
        <f t="shared" si="6"/>
        <v>0</v>
      </c>
      <c r="R7" s="183">
        <f t="shared" si="6"/>
        <v>0</v>
      </c>
      <c r="S7" s="183">
        <f t="shared" si="6"/>
        <v>0</v>
      </c>
    </row>
    <row r="8" spans="2:25" x14ac:dyDescent="0.35">
      <c r="B8" s="15"/>
      <c r="C8" s="182">
        <v>1</v>
      </c>
      <c r="D8" s="182">
        <v>1.0999000000000001</v>
      </c>
      <c r="E8" s="202">
        <v>1150</v>
      </c>
      <c r="F8" s="48"/>
      <c r="H8" s="183">
        <f t="shared" si="4"/>
        <v>0</v>
      </c>
      <c r="I8" s="183">
        <f t="shared" si="4"/>
        <v>0</v>
      </c>
      <c r="J8" s="183">
        <f t="shared" si="4"/>
        <v>0</v>
      </c>
      <c r="K8" s="183">
        <f t="shared" si="5"/>
        <v>0</v>
      </c>
      <c r="L8" s="183">
        <f t="shared" si="5"/>
        <v>0</v>
      </c>
      <c r="M8" s="183">
        <f t="shared" ref="M8:S9" si="7">IF(AND(M$6&gt;=$C8,M$6&lt;=$D8),$E8,0)</f>
        <v>0</v>
      </c>
      <c r="N8" s="183">
        <f t="shared" si="7"/>
        <v>0</v>
      </c>
      <c r="O8" s="183">
        <f t="shared" si="7"/>
        <v>0</v>
      </c>
      <c r="P8" s="183">
        <f t="shared" si="7"/>
        <v>0</v>
      </c>
      <c r="Q8" s="183">
        <f t="shared" si="7"/>
        <v>0</v>
      </c>
      <c r="R8" s="183">
        <f t="shared" si="7"/>
        <v>0</v>
      </c>
      <c r="S8" s="183">
        <f t="shared" si="7"/>
        <v>0</v>
      </c>
    </row>
    <row r="9" spans="2:25" x14ac:dyDescent="0.35">
      <c r="B9" s="15"/>
      <c r="C9" s="184">
        <v>1.1000000000000001</v>
      </c>
      <c r="D9" s="185" t="s">
        <v>132</v>
      </c>
      <c r="E9" s="202">
        <v>1500</v>
      </c>
      <c r="F9" s="48"/>
      <c r="H9" s="183">
        <f t="shared" si="4"/>
        <v>0</v>
      </c>
      <c r="I9" s="183">
        <f t="shared" si="4"/>
        <v>1500</v>
      </c>
      <c r="J9" s="183">
        <f t="shared" si="4"/>
        <v>1500</v>
      </c>
      <c r="K9" s="183">
        <f t="shared" si="5"/>
        <v>0</v>
      </c>
      <c r="L9" s="183">
        <f t="shared" si="5"/>
        <v>0</v>
      </c>
      <c r="M9" s="183">
        <f t="shared" si="7"/>
        <v>1500</v>
      </c>
      <c r="N9" s="183">
        <f t="shared" si="7"/>
        <v>1500</v>
      </c>
      <c r="O9" s="290">
        <v>2000</v>
      </c>
      <c r="P9" s="183">
        <f t="shared" si="7"/>
        <v>1500</v>
      </c>
      <c r="Q9" s="183">
        <f t="shared" si="7"/>
        <v>1500</v>
      </c>
      <c r="R9" s="183">
        <f t="shared" si="7"/>
        <v>1500</v>
      </c>
      <c r="S9" s="183">
        <f t="shared" si="7"/>
        <v>1500</v>
      </c>
      <c r="W9" s="316">
        <f>E9*3</f>
        <v>4500</v>
      </c>
      <c r="X9" s="146">
        <f>SUM(H10:J10)</f>
        <v>3700</v>
      </c>
      <c r="Y9" s="317">
        <f>W9-X9</f>
        <v>800</v>
      </c>
    </row>
    <row r="10" spans="2:25" x14ac:dyDescent="0.35">
      <c r="B10" s="38"/>
      <c r="C10" s="44"/>
      <c r="D10" s="44"/>
      <c r="E10" s="44"/>
      <c r="F10" s="163"/>
      <c r="G10" s="186" t="s">
        <v>133</v>
      </c>
      <c r="H10" s="187">
        <f t="shared" ref="H10:J10" si="8">SUM(H7:H9)</f>
        <v>700</v>
      </c>
      <c r="I10" s="187">
        <f t="shared" si="8"/>
        <v>1500</v>
      </c>
      <c r="J10" s="187">
        <f t="shared" si="8"/>
        <v>1500</v>
      </c>
      <c r="K10" s="187">
        <f>SUM(K7:K9)</f>
        <v>0</v>
      </c>
      <c r="L10" s="187">
        <f>SUM(L7:L9)</f>
        <v>0</v>
      </c>
      <c r="M10" s="187">
        <f t="shared" ref="M10:S10" si="9">SUM(M7:M9)</f>
        <v>1500</v>
      </c>
      <c r="N10" s="187">
        <f t="shared" si="9"/>
        <v>1500</v>
      </c>
      <c r="O10" s="187">
        <f t="shared" si="9"/>
        <v>2000</v>
      </c>
      <c r="P10" s="187">
        <f t="shared" si="9"/>
        <v>1500</v>
      </c>
      <c r="Q10" s="187">
        <f t="shared" si="9"/>
        <v>1500</v>
      </c>
      <c r="R10" s="187">
        <f t="shared" ref="R10" si="10">SUM(R7:R9)</f>
        <v>1500</v>
      </c>
      <c r="S10" s="187">
        <f t="shared" si="9"/>
        <v>1500</v>
      </c>
    </row>
    <row r="11" spans="2:25" ht="8.25" customHeight="1" x14ac:dyDescent="0.35">
      <c r="B11"/>
      <c r="H11" s="146"/>
      <c r="I11" s="146"/>
      <c r="J11" s="146"/>
      <c r="K11" s="146"/>
      <c r="L11" s="146"/>
      <c r="M11" s="146"/>
      <c r="N11" s="146"/>
      <c r="O11" s="146"/>
      <c r="P11" s="146"/>
      <c r="Q11" s="146"/>
      <c r="R11" s="146"/>
      <c r="S11" s="146"/>
    </row>
    <row r="12" spans="2:25" x14ac:dyDescent="0.35">
      <c r="B12" s="10" t="s">
        <v>200</v>
      </c>
      <c r="C12" s="173"/>
      <c r="D12" s="173"/>
      <c r="E12" s="174"/>
      <c r="F12" s="47"/>
      <c r="G12" s="42" t="s">
        <v>119</v>
      </c>
      <c r="H12" s="302">
        <v>18396</v>
      </c>
      <c r="I12" s="302">
        <v>12562</v>
      </c>
      <c r="J12" s="302">
        <v>77150.610000000015</v>
      </c>
      <c r="K12" s="302">
        <v>62515</v>
      </c>
      <c r="L12" s="302">
        <v>49484</v>
      </c>
      <c r="M12" s="302"/>
      <c r="N12" s="302"/>
      <c r="O12" s="302"/>
      <c r="P12" s="302"/>
      <c r="Q12" s="302"/>
      <c r="R12" s="302"/>
      <c r="S12" s="302"/>
      <c r="W12" s="146">
        <f>SUM(H12:L12)</f>
        <v>220107.61000000002</v>
      </c>
    </row>
    <row r="13" spans="2:25" x14ac:dyDescent="0.35">
      <c r="B13" s="280" t="s">
        <v>236</v>
      </c>
      <c r="C13" s="176"/>
      <c r="D13" s="176"/>
      <c r="E13" s="177"/>
      <c r="F13" s="48"/>
      <c r="G13" s="40" t="s">
        <v>95</v>
      </c>
      <c r="H13" s="303">
        <v>107193</v>
      </c>
      <c r="I13" s="303">
        <v>110753</v>
      </c>
      <c r="J13" s="303">
        <v>166598.6</v>
      </c>
      <c r="K13" s="303">
        <v>186276</v>
      </c>
      <c r="L13" s="303">
        <v>189649</v>
      </c>
      <c r="M13" s="303"/>
      <c r="N13" s="303"/>
      <c r="O13" s="303"/>
      <c r="P13" s="303"/>
      <c r="Q13" s="303"/>
      <c r="R13" s="303"/>
      <c r="S13" s="303"/>
      <c r="U13" s="40" t="s">
        <v>212</v>
      </c>
      <c r="W13" s="146">
        <f>SUM(H13:J13)</f>
        <v>384544.6</v>
      </c>
    </row>
    <row r="14" spans="2:25" x14ac:dyDescent="0.35">
      <c r="B14" s="15"/>
      <c r="C14" s="179" t="s">
        <v>129</v>
      </c>
      <c r="D14" s="179" t="s">
        <v>130</v>
      </c>
      <c r="E14" s="180" t="s">
        <v>131</v>
      </c>
      <c r="F14" s="48"/>
      <c r="G14" s="157" t="s">
        <v>37</v>
      </c>
      <c r="H14" s="181">
        <f t="shared" ref="H14:J14" si="11">IFERROR(ROUND(H12/H13,3)," - - -")</f>
        <v>0.17199999999999999</v>
      </c>
      <c r="I14" s="181">
        <f t="shared" si="11"/>
        <v>0.113</v>
      </c>
      <c r="J14" s="181">
        <f t="shared" si="11"/>
        <v>0.46300000000000002</v>
      </c>
      <c r="K14" s="181">
        <f>IFERROR(ROUND(K12/K13,3)," - - -")</f>
        <v>0.33600000000000002</v>
      </c>
      <c r="L14" s="181">
        <f>IFERROR(ROUND(L12/L13,3)," - - -")</f>
        <v>0.26100000000000001</v>
      </c>
      <c r="M14" s="181" t="str">
        <f t="shared" ref="M14:S14" si="12">IFERROR(ROUND(M12/M13,3)," - - -")</f>
        <v xml:space="preserve"> - - -</v>
      </c>
      <c r="N14" s="181" t="str">
        <f t="shared" si="12"/>
        <v xml:space="preserve"> - - -</v>
      </c>
      <c r="O14" s="181" t="str">
        <f t="shared" si="12"/>
        <v xml:space="preserve"> - - -</v>
      </c>
      <c r="P14" s="181" t="str">
        <f t="shared" si="12"/>
        <v xml:space="preserve"> - - -</v>
      </c>
      <c r="Q14" s="181" t="str">
        <f t="shared" si="12"/>
        <v xml:space="preserve"> - - -</v>
      </c>
      <c r="R14" s="181" t="str">
        <f t="shared" ref="R14" si="13">IFERROR(ROUND(R12/R13,3)," - - -")</f>
        <v xml:space="preserve"> - - -</v>
      </c>
      <c r="S14" s="181" t="str">
        <f t="shared" si="12"/>
        <v xml:space="preserve"> - - -</v>
      </c>
      <c r="W14" s="181">
        <f t="shared" ref="W14" si="14">IFERROR(ROUND(W12/W13,3)," - - -")</f>
        <v>0.57199999999999995</v>
      </c>
    </row>
    <row r="15" spans="2:25" x14ac:dyDescent="0.35">
      <c r="B15" s="310"/>
      <c r="C15" s="182">
        <v>0.9</v>
      </c>
      <c r="D15" s="182">
        <v>0.99990000000000001</v>
      </c>
      <c r="E15" s="202">
        <v>700</v>
      </c>
      <c r="F15" s="48"/>
      <c r="H15" s="183">
        <f t="shared" ref="H15:J17" si="15">IF(AND(H$14&gt;=$C15,H$14&lt;=$D15),$E15,0)</f>
        <v>0</v>
      </c>
      <c r="I15" s="183">
        <f t="shared" si="15"/>
        <v>0</v>
      </c>
      <c r="J15" s="290">
        <f>E15*3</f>
        <v>2100</v>
      </c>
      <c r="K15" s="183">
        <f t="shared" ref="K15:L17" si="16">IF(AND(K$14&gt;=$C15,K$14&lt;=$D15),$E15,0)</f>
        <v>0</v>
      </c>
      <c r="L15" s="183">
        <f t="shared" si="16"/>
        <v>0</v>
      </c>
      <c r="M15" s="183">
        <f t="shared" ref="M15:S15" si="17">IF(AND(M$14&gt;=$C15,M$14&lt;=$D15),$E15,0)</f>
        <v>0</v>
      </c>
      <c r="N15" s="183">
        <f t="shared" si="17"/>
        <v>0</v>
      </c>
      <c r="O15" s="183">
        <f t="shared" si="17"/>
        <v>0</v>
      </c>
      <c r="P15" s="183">
        <f t="shared" si="17"/>
        <v>0</v>
      </c>
      <c r="Q15" s="183">
        <f t="shared" si="17"/>
        <v>0</v>
      </c>
      <c r="R15" s="183">
        <f t="shared" si="17"/>
        <v>0</v>
      </c>
      <c r="S15" s="183">
        <f t="shared" si="17"/>
        <v>0</v>
      </c>
    </row>
    <row r="16" spans="2:25" x14ac:dyDescent="0.35">
      <c r="B16" s="310"/>
      <c r="C16" s="182">
        <v>1</v>
      </c>
      <c r="D16" s="182">
        <v>1.0999000000000001</v>
      </c>
      <c r="E16" s="202">
        <v>1150</v>
      </c>
      <c r="F16" s="48"/>
      <c r="H16" s="183">
        <f t="shared" si="15"/>
        <v>0</v>
      </c>
      <c r="I16" s="183">
        <f t="shared" si="15"/>
        <v>0</v>
      </c>
      <c r="J16" s="183">
        <f t="shared" si="15"/>
        <v>0</v>
      </c>
      <c r="K16" s="183">
        <f t="shared" si="16"/>
        <v>0</v>
      </c>
      <c r="L16" s="183">
        <f t="shared" si="16"/>
        <v>0</v>
      </c>
      <c r="M16" s="183">
        <f t="shared" ref="M16:S17" si="18">IF(AND(M$14&gt;=$C16,M$14&lt;=$D16),$E16,0)</f>
        <v>0</v>
      </c>
      <c r="N16" s="183">
        <f t="shared" si="18"/>
        <v>0</v>
      </c>
      <c r="O16" s="183">
        <f t="shared" si="18"/>
        <v>0</v>
      </c>
      <c r="P16" s="183">
        <f t="shared" si="18"/>
        <v>0</v>
      </c>
      <c r="Q16" s="183">
        <f t="shared" si="18"/>
        <v>0</v>
      </c>
      <c r="R16" s="183">
        <f t="shared" si="18"/>
        <v>0</v>
      </c>
      <c r="S16" s="183">
        <f t="shared" si="18"/>
        <v>0</v>
      </c>
    </row>
    <row r="17" spans="2:25" x14ac:dyDescent="0.35">
      <c r="B17" s="310"/>
      <c r="C17" s="184">
        <v>1.1000000000000001</v>
      </c>
      <c r="D17" s="185" t="s">
        <v>132</v>
      </c>
      <c r="E17" s="202">
        <v>1500</v>
      </c>
      <c r="F17" s="48"/>
      <c r="H17" s="183">
        <f t="shared" si="15"/>
        <v>0</v>
      </c>
      <c r="I17" s="183">
        <f t="shared" si="15"/>
        <v>0</v>
      </c>
      <c r="J17" s="183">
        <f t="shared" si="15"/>
        <v>0</v>
      </c>
      <c r="K17" s="183">
        <f t="shared" si="16"/>
        <v>0</v>
      </c>
      <c r="L17" s="183">
        <f t="shared" si="16"/>
        <v>0</v>
      </c>
      <c r="M17" s="183">
        <f t="shared" si="18"/>
        <v>1500</v>
      </c>
      <c r="N17" s="183">
        <f t="shared" si="18"/>
        <v>1500</v>
      </c>
      <c r="O17" s="183">
        <v>2000</v>
      </c>
      <c r="P17" s="183">
        <f t="shared" si="18"/>
        <v>1500</v>
      </c>
      <c r="Q17" s="183">
        <f t="shared" si="18"/>
        <v>1500</v>
      </c>
      <c r="R17" s="183">
        <f t="shared" si="18"/>
        <v>1500</v>
      </c>
      <c r="S17" s="183">
        <f t="shared" si="18"/>
        <v>1500</v>
      </c>
      <c r="W17" s="316">
        <v>0</v>
      </c>
      <c r="X17" s="146">
        <v>0</v>
      </c>
      <c r="Y17" s="316">
        <f>W17-X17</f>
        <v>0</v>
      </c>
    </row>
    <row r="18" spans="2:25" x14ac:dyDescent="0.35">
      <c r="B18" s="38"/>
      <c r="C18" s="44"/>
      <c r="D18" s="44"/>
      <c r="E18" s="44"/>
      <c r="F18" s="163"/>
      <c r="G18" s="186" t="s">
        <v>133</v>
      </c>
      <c r="H18" s="187">
        <f t="shared" ref="H18:J18" si="19">SUM(H15:H17)</f>
        <v>0</v>
      </c>
      <c r="I18" s="187">
        <f t="shared" si="19"/>
        <v>0</v>
      </c>
      <c r="J18" s="187">
        <f t="shared" si="19"/>
        <v>2100</v>
      </c>
      <c r="K18" s="187">
        <f>SUM(K15:K17)</f>
        <v>0</v>
      </c>
      <c r="L18" s="187">
        <f>SUM(L15:L17)</f>
        <v>0</v>
      </c>
      <c r="M18" s="187">
        <f t="shared" ref="M18:S18" si="20">SUM(M15:M17)</f>
        <v>1500</v>
      </c>
      <c r="N18" s="187">
        <f t="shared" si="20"/>
        <v>1500</v>
      </c>
      <c r="O18" s="187">
        <f t="shared" si="20"/>
        <v>2000</v>
      </c>
      <c r="P18" s="187">
        <f t="shared" si="20"/>
        <v>1500</v>
      </c>
      <c r="Q18" s="187">
        <f t="shared" si="20"/>
        <v>1500</v>
      </c>
      <c r="R18" s="187">
        <f t="shared" ref="R18" si="21">SUM(R15:R17)</f>
        <v>1500</v>
      </c>
      <c r="S18" s="187">
        <f t="shared" si="20"/>
        <v>1500</v>
      </c>
    </row>
    <row r="19" spans="2:25" ht="10.5" customHeight="1" x14ac:dyDescent="0.35">
      <c r="B19"/>
    </row>
    <row r="20" spans="2:25" x14ac:dyDescent="0.35">
      <c r="B20" s="10" t="s">
        <v>237</v>
      </c>
      <c r="C20" s="173"/>
      <c r="D20" s="173"/>
      <c r="E20" s="174"/>
      <c r="F20" s="47"/>
      <c r="G20" s="42" t="s">
        <v>119</v>
      </c>
      <c r="H20" s="302">
        <v>-6512</v>
      </c>
      <c r="I20" s="302">
        <v>113128</v>
      </c>
      <c r="J20" s="302">
        <v>153986.23999999987</v>
      </c>
      <c r="K20" s="302">
        <v>152718</v>
      </c>
      <c r="L20" s="302">
        <v>82191</v>
      </c>
      <c r="M20" s="302"/>
      <c r="N20" s="302"/>
      <c r="O20" s="302"/>
      <c r="P20" s="302"/>
      <c r="Q20" s="302"/>
      <c r="R20" s="302"/>
      <c r="S20" s="302"/>
      <c r="U20" s="40" t="s">
        <v>206</v>
      </c>
      <c r="W20" s="146">
        <f>SUM(H20:J20)</f>
        <v>260602.23999999987</v>
      </c>
    </row>
    <row r="21" spans="2:25" x14ac:dyDescent="0.35">
      <c r="B21" s="280" t="s">
        <v>236</v>
      </c>
      <c r="C21" s="176"/>
      <c r="D21" s="176"/>
      <c r="E21" s="177"/>
      <c r="F21" s="48"/>
      <c r="G21" s="40" t="s">
        <v>95</v>
      </c>
      <c r="H21" s="303">
        <v>45676</v>
      </c>
      <c r="I21" s="303">
        <v>48398</v>
      </c>
      <c r="J21" s="303">
        <v>143960.44860216836</v>
      </c>
      <c r="K21" s="303">
        <v>243151</v>
      </c>
      <c r="L21" s="303">
        <v>286383</v>
      </c>
      <c r="M21" s="303"/>
      <c r="N21" s="303"/>
      <c r="O21" s="303"/>
      <c r="P21" s="303"/>
      <c r="Q21" s="303"/>
      <c r="R21" s="303"/>
      <c r="S21" s="303"/>
      <c r="U21" s="40" t="s">
        <v>207</v>
      </c>
      <c r="W21" s="146">
        <f>SUM(H21:J21)</f>
        <v>238034.44860216836</v>
      </c>
    </row>
    <row r="22" spans="2:25" x14ac:dyDescent="0.35">
      <c r="B22" s="15"/>
      <c r="C22" s="179" t="s">
        <v>129</v>
      </c>
      <c r="D22" s="179" t="s">
        <v>130</v>
      </c>
      <c r="E22" s="180" t="s">
        <v>131</v>
      </c>
      <c r="F22" s="48"/>
      <c r="G22" s="157" t="s">
        <v>37</v>
      </c>
      <c r="H22" s="181">
        <f t="shared" ref="H22:J22" si="22">IFERROR(ROUND(H20/H21,3)," - - -")</f>
        <v>-0.14299999999999999</v>
      </c>
      <c r="I22" s="181">
        <f t="shared" si="22"/>
        <v>2.3370000000000002</v>
      </c>
      <c r="J22" s="181">
        <f t="shared" si="22"/>
        <v>1.07</v>
      </c>
      <c r="K22" s="181">
        <f>IFERROR(ROUND(K20/K21,3)," - - -")</f>
        <v>0.628</v>
      </c>
      <c r="L22" s="181">
        <f>IFERROR(ROUND(L20/L21,3)," - - -")</f>
        <v>0.28699999999999998</v>
      </c>
      <c r="M22" s="181" t="str">
        <f t="shared" ref="M22:S22" si="23">IFERROR(ROUND(M20/M21,3)," - - -")</f>
        <v xml:space="preserve"> - - -</v>
      </c>
      <c r="N22" s="181" t="str">
        <f t="shared" si="23"/>
        <v xml:space="preserve"> - - -</v>
      </c>
      <c r="O22" s="181" t="str">
        <f t="shared" si="23"/>
        <v xml:space="preserve"> - - -</v>
      </c>
      <c r="P22" s="181" t="str">
        <f t="shared" si="23"/>
        <v xml:space="preserve"> - - -</v>
      </c>
      <c r="Q22" s="181" t="str">
        <f t="shared" si="23"/>
        <v xml:space="preserve"> - - -</v>
      </c>
      <c r="R22" s="181" t="str">
        <f t="shared" ref="R22" si="24">IFERROR(ROUND(R20/R21,3)," - - -")</f>
        <v xml:space="preserve"> - - -</v>
      </c>
      <c r="S22" s="181" t="str">
        <f t="shared" si="23"/>
        <v xml:space="preserve"> - - -</v>
      </c>
      <c r="W22" s="181">
        <f t="shared" ref="W22" si="25">IFERROR(ROUND(W20/W21,3)," - - -")</f>
        <v>1.095</v>
      </c>
    </row>
    <row r="23" spans="2:25" x14ac:dyDescent="0.35">
      <c r="B23" s="15"/>
      <c r="C23" s="182">
        <v>0.9</v>
      </c>
      <c r="D23" s="182">
        <v>0.99990000000000001</v>
      </c>
      <c r="E23" s="202">
        <v>700</v>
      </c>
      <c r="F23" s="48"/>
      <c r="H23" s="183">
        <f t="shared" ref="H23:J25" si="26">IF(AND(H$22&gt;=$C23,H$22&lt;=$D23),$E23,0)</f>
        <v>0</v>
      </c>
      <c r="I23" s="183">
        <f t="shared" si="26"/>
        <v>0</v>
      </c>
      <c r="J23" s="183">
        <f t="shared" si="26"/>
        <v>0</v>
      </c>
      <c r="K23" s="183">
        <f t="shared" ref="K23:L25" si="27">IF(AND(K$22&gt;=$C23,K$14&lt;=$D23),$E23,0)</f>
        <v>0</v>
      </c>
      <c r="L23" s="183">
        <f t="shared" si="27"/>
        <v>0</v>
      </c>
      <c r="M23" s="183">
        <f>IF(AND(M$22&gt;=$C23,M$22&lt;=$D23),$E23,0)</f>
        <v>0</v>
      </c>
      <c r="N23" s="183">
        <f t="shared" ref="N23:S25" si="28">IF(AND(N$22&gt;=$C23,N$22&lt;=$D23),$E23,0)</f>
        <v>0</v>
      </c>
      <c r="O23" s="183">
        <f t="shared" si="28"/>
        <v>0</v>
      </c>
      <c r="P23" s="183">
        <f t="shared" si="28"/>
        <v>0</v>
      </c>
      <c r="Q23" s="183">
        <f t="shared" si="28"/>
        <v>0</v>
      </c>
      <c r="R23" s="183">
        <f t="shared" si="28"/>
        <v>0</v>
      </c>
      <c r="S23" s="183">
        <f t="shared" si="28"/>
        <v>0</v>
      </c>
    </row>
    <row r="24" spans="2:25" x14ac:dyDescent="0.35">
      <c r="B24" s="15"/>
      <c r="C24" s="182">
        <v>1</v>
      </c>
      <c r="D24" s="182">
        <v>1.0999000000000001</v>
      </c>
      <c r="E24" s="202">
        <v>1150</v>
      </c>
      <c r="F24" s="48"/>
      <c r="H24" s="183">
        <f t="shared" si="26"/>
        <v>0</v>
      </c>
      <c r="I24" s="183">
        <f t="shared" si="26"/>
        <v>0</v>
      </c>
      <c r="J24" s="183">
        <f t="shared" si="26"/>
        <v>1150</v>
      </c>
      <c r="K24" s="183">
        <f t="shared" si="27"/>
        <v>0</v>
      </c>
      <c r="L24" s="183">
        <f t="shared" si="27"/>
        <v>0</v>
      </c>
      <c r="M24" s="183">
        <f>IF(AND(M$22&gt;=$C24,M$22&lt;=$D24),$E24,0)</f>
        <v>0</v>
      </c>
      <c r="N24" s="183">
        <f t="shared" si="28"/>
        <v>0</v>
      </c>
      <c r="O24" s="183">
        <f t="shared" si="28"/>
        <v>0</v>
      </c>
      <c r="P24" s="183">
        <f t="shared" si="28"/>
        <v>0</v>
      </c>
      <c r="Q24" s="183">
        <f t="shared" si="28"/>
        <v>0</v>
      </c>
      <c r="R24" s="183">
        <f t="shared" si="28"/>
        <v>0</v>
      </c>
      <c r="S24" s="183">
        <f t="shared" si="28"/>
        <v>0</v>
      </c>
    </row>
    <row r="25" spans="2:25" x14ac:dyDescent="0.35">
      <c r="B25" s="15"/>
      <c r="C25" s="184">
        <v>1.1000000000000001</v>
      </c>
      <c r="D25" s="185" t="s">
        <v>132</v>
      </c>
      <c r="E25" s="202">
        <v>1500</v>
      </c>
      <c r="F25" s="48"/>
      <c r="H25" s="183">
        <f t="shared" si="26"/>
        <v>0</v>
      </c>
      <c r="I25" s="183">
        <f t="shared" si="26"/>
        <v>1500</v>
      </c>
      <c r="J25" s="183">
        <f t="shared" si="26"/>
        <v>0</v>
      </c>
      <c r="K25" s="183">
        <f t="shared" si="27"/>
        <v>0</v>
      </c>
      <c r="L25" s="183">
        <f t="shared" si="27"/>
        <v>0</v>
      </c>
      <c r="M25" s="183">
        <f>IF(AND(M$22&gt;=$C25,M$22&lt;=$D25),$E25,0)</f>
        <v>1500</v>
      </c>
      <c r="N25" s="183">
        <f t="shared" si="28"/>
        <v>1500</v>
      </c>
      <c r="O25" s="183">
        <f t="shared" si="28"/>
        <v>1500</v>
      </c>
      <c r="P25" s="183">
        <f t="shared" si="28"/>
        <v>1500</v>
      </c>
      <c r="Q25" s="183">
        <f t="shared" si="28"/>
        <v>1500</v>
      </c>
      <c r="R25" s="183">
        <f t="shared" si="28"/>
        <v>1500</v>
      </c>
      <c r="S25" s="183">
        <f t="shared" si="28"/>
        <v>1500</v>
      </c>
      <c r="W25" s="316">
        <f>E24*3</f>
        <v>3450</v>
      </c>
      <c r="X25" s="146">
        <f>SUM(H26:J26)</f>
        <v>2650</v>
      </c>
      <c r="Y25" s="316">
        <f>W25-X25</f>
        <v>800</v>
      </c>
    </row>
    <row r="26" spans="2:25" x14ac:dyDescent="0.35">
      <c r="B26" s="38"/>
      <c r="C26" s="44"/>
      <c r="D26" s="44"/>
      <c r="E26" s="44"/>
      <c r="F26" s="163"/>
      <c r="G26" s="186" t="s">
        <v>133</v>
      </c>
      <c r="H26" s="187">
        <f t="shared" ref="H26" si="29">SUM(H23:H25)</f>
        <v>0</v>
      </c>
      <c r="I26" s="187">
        <f t="shared" ref="I26:J26" si="30">SUM(I23:I25)</f>
        <v>1500</v>
      </c>
      <c r="J26" s="187">
        <f t="shared" si="30"/>
        <v>1150</v>
      </c>
      <c r="K26" s="187">
        <f>SUM(K23:K25)</f>
        <v>0</v>
      </c>
      <c r="L26" s="187">
        <f>SUM(L23:L25)</f>
        <v>0</v>
      </c>
      <c r="M26" s="187">
        <f t="shared" ref="M26:S26" si="31">SUM(M23:M25)</f>
        <v>1500</v>
      </c>
      <c r="N26" s="187">
        <f t="shared" si="31"/>
        <v>1500</v>
      </c>
      <c r="O26" s="187">
        <f t="shared" si="31"/>
        <v>1500</v>
      </c>
      <c r="P26" s="187">
        <f t="shared" si="31"/>
        <v>1500</v>
      </c>
      <c r="Q26" s="187">
        <f t="shared" si="31"/>
        <v>1500</v>
      </c>
      <c r="R26" s="187">
        <f t="shared" ref="R26" si="32">SUM(R23:R25)</f>
        <v>1500</v>
      </c>
      <c r="S26" s="187">
        <f t="shared" si="31"/>
        <v>1500</v>
      </c>
    </row>
    <row r="27" spans="2:25" ht="8.25" customHeight="1" x14ac:dyDescent="0.35">
      <c r="B27"/>
    </row>
    <row r="28" spans="2:25" ht="8.25" customHeight="1" x14ac:dyDescent="0.35"/>
    <row r="29" spans="2:25" ht="15" thickBot="1" x14ac:dyDescent="0.4">
      <c r="G29" s="188" t="s">
        <v>149</v>
      </c>
      <c r="H29" s="275">
        <f>+H10+H18+H26</f>
        <v>700</v>
      </c>
      <c r="I29" s="275">
        <f>+I10+I18+I26</f>
        <v>3000</v>
      </c>
      <c r="J29" s="275">
        <f t="shared" ref="J29:S29" si="33">+J10+J18+J26</f>
        <v>4750</v>
      </c>
      <c r="K29" s="275">
        <f t="shared" si="33"/>
        <v>0</v>
      </c>
      <c r="L29" s="275">
        <f t="shared" si="33"/>
        <v>0</v>
      </c>
      <c r="M29" s="275">
        <f t="shared" si="33"/>
        <v>4500</v>
      </c>
      <c r="N29" s="275">
        <f t="shared" si="33"/>
        <v>4500</v>
      </c>
      <c r="O29" s="275">
        <f t="shared" si="33"/>
        <v>5500</v>
      </c>
      <c r="P29" s="275">
        <f t="shared" si="33"/>
        <v>4500</v>
      </c>
      <c r="Q29" s="275">
        <f t="shared" si="33"/>
        <v>4500</v>
      </c>
      <c r="R29" s="275">
        <f t="shared" si="33"/>
        <v>4500</v>
      </c>
      <c r="S29" s="275">
        <f t="shared" si="33"/>
        <v>4500</v>
      </c>
    </row>
    <row r="30" spans="2:25" ht="15" thickTop="1" x14ac:dyDescent="0.35">
      <c r="B30" s="281" t="s">
        <v>137</v>
      </c>
    </row>
    <row r="31" spans="2:25" x14ac:dyDescent="0.35">
      <c r="B31" s="771" t="s">
        <v>246</v>
      </c>
      <c r="C31" s="772"/>
      <c r="D31" s="772"/>
      <c r="E31" s="772"/>
      <c r="F31" s="47"/>
      <c r="G31" s="208" t="s">
        <v>119</v>
      </c>
      <c r="H31" s="190"/>
      <c r="I31" s="191"/>
      <c r="J31" s="305">
        <v>193</v>
      </c>
      <c r="K31" s="190"/>
      <c r="L31" s="191"/>
      <c r="M31" s="305"/>
      <c r="N31" s="190"/>
      <c r="O31" s="191"/>
      <c r="P31" s="305"/>
      <c r="Q31" s="190"/>
      <c r="R31" s="191"/>
      <c r="S31" s="305"/>
    </row>
    <row r="32" spans="2:25" x14ac:dyDescent="0.35">
      <c r="B32" s="773"/>
      <c r="C32" s="774"/>
      <c r="D32" s="774"/>
      <c r="E32" s="774"/>
      <c r="F32" s="48"/>
      <c r="G32" s="209" t="s">
        <v>95</v>
      </c>
      <c r="H32" s="190"/>
      <c r="I32" s="191"/>
      <c r="J32" s="306">
        <v>133</v>
      </c>
      <c r="K32" s="190"/>
      <c r="L32" s="191"/>
      <c r="M32" s="306"/>
      <c r="N32" s="190"/>
      <c r="O32" s="191"/>
      <c r="P32" s="306"/>
      <c r="Q32" s="190"/>
      <c r="R32" s="191"/>
      <c r="S32" s="306"/>
    </row>
    <row r="33" spans="2:19" x14ac:dyDescent="0.35">
      <c r="B33" s="45"/>
      <c r="C33" s="179" t="s">
        <v>129</v>
      </c>
      <c r="D33" s="179" t="s">
        <v>130</v>
      </c>
      <c r="E33" s="180" t="s">
        <v>131</v>
      </c>
      <c r="F33" s="48"/>
      <c r="G33" s="210"/>
      <c r="H33" s="166"/>
      <c r="I33" s="192"/>
      <c r="J33" s="181">
        <f t="shared" ref="J33" si="34">IFERROR(ROUND(J31/J32,3)," - - -")</f>
        <v>1.4510000000000001</v>
      </c>
      <c r="K33" s="166"/>
      <c r="L33" s="192"/>
      <c r="M33" s="181" t="str">
        <f t="shared" ref="M33" si="35">IFERROR(ROUND(M31/M32,3)," - - -")</f>
        <v xml:space="preserve"> - - -</v>
      </c>
      <c r="N33" s="166"/>
      <c r="O33" s="192"/>
      <c r="P33" s="181" t="str">
        <f t="shared" ref="P33" si="36">IFERROR(ROUND(P31/P32,3)," - - -")</f>
        <v xml:space="preserve"> - - -</v>
      </c>
      <c r="Q33" s="166"/>
      <c r="R33" s="192"/>
      <c r="S33" s="181" t="str">
        <f t="shared" ref="S33" si="37">IFERROR(ROUND(S31/S32,3)," - - -")</f>
        <v xml:space="preserve"> - - -</v>
      </c>
    </row>
    <row r="34" spans="2:19" x14ac:dyDescent="0.35">
      <c r="B34" s="45"/>
      <c r="C34" s="182">
        <v>0.9</v>
      </c>
      <c r="D34" s="182">
        <v>0.99990000000000001</v>
      </c>
      <c r="E34" s="202">
        <v>1500</v>
      </c>
      <c r="F34" s="48"/>
      <c r="G34" s="209"/>
      <c r="H34" s="193"/>
      <c r="I34" s="194"/>
      <c r="J34" s="183">
        <f>IF(AND(J$33&gt;=$C34,J$33&lt;=$D34),$E34,0)</f>
        <v>0</v>
      </c>
      <c r="K34" s="193"/>
      <c r="L34" s="194"/>
      <c r="M34" s="183">
        <f>IF(AND(M$33&gt;=$C34,M$33&lt;=$D34),$E34,0)</f>
        <v>0</v>
      </c>
      <c r="N34" s="193"/>
      <c r="O34" s="194"/>
      <c r="P34" s="183">
        <f>IF(AND(P$33&gt;=$C34,P$33&lt;=$D34),$E34,0)</f>
        <v>0</v>
      </c>
      <c r="Q34" s="193"/>
      <c r="R34" s="194"/>
      <c r="S34" s="183">
        <f>IF(AND(S$33&gt;=$C34,S$33&lt;=$D34),$E34,0)</f>
        <v>0</v>
      </c>
    </row>
    <row r="35" spans="2:19" x14ac:dyDescent="0.35">
      <c r="B35" s="45"/>
      <c r="C35" s="182">
        <v>1</v>
      </c>
      <c r="D35" s="182">
        <v>1.0999000000000001</v>
      </c>
      <c r="E35" s="202">
        <v>2500</v>
      </c>
      <c r="F35" s="48"/>
      <c r="G35" s="209"/>
      <c r="H35" s="193"/>
      <c r="I35" s="194"/>
      <c r="J35" s="183">
        <f>IF(AND(J$33&gt;=$C35,J$33&lt;=$D35),$E35,0)</f>
        <v>0</v>
      </c>
      <c r="K35" s="193"/>
      <c r="L35" s="194"/>
      <c r="M35" s="183">
        <f>IF(AND(M$33&gt;=$C35,M$33&lt;=$D35),$E35,0)</f>
        <v>0</v>
      </c>
      <c r="N35" s="193"/>
      <c r="O35" s="194"/>
      <c r="P35" s="183">
        <f>IF(AND(P$33&gt;=$C35,P$33&lt;=$D35),$E35,0)</f>
        <v>0</v>
      </c>
      <c r="Q35" s="193"/>
      <c r="R35" s="194"/>
      <c r="S35" s="183">
        <f>IF(AND(S$33&gt;=$C35,S$33&lt;=$D35),$E35,0)</f>
        <v>0</v>
      </c>
    </row>
    <row r="36" spans="2:19" x14ac:dyDescent="0.35">
      <c r="B36" s="45"/>
      <c r="C36" s="184">
        <v>1.1000000000000001</v>
      </c>
      <c r="D36" s="185" t="s">
        <v>132</v>
      </c>
      <c r="E36" s="202">
        <v>3500</v>
      </c>
      <c r="F36" s="48"/>
      <c r="G36" s="209"/>
      <c r="H36" s="193"/>
      <c r="I36" s="194"/>
      <c r="J36" s="183">
        <f>IF(AND(J$33&gt;=$C36,J$33&lt;=$D36),$E36,0)</f>
        <v>3500</v>
      </c>
      <c r="K36" s="193"/>
      <c r="L36" s="194"/>
      <c r="M36" s="183">
        <f>IF(AND(M$33&gt;=$C36,M$33&lt;=$D36),$E36,0)</f>
        <v>3500</v>
      </c>
      <c r="N36" s="193"/>
      <c r="O36" s="194"/>
      <c r="P36" s="183">
        <f>IF(AND(P$33&gt;=$C36,P$33&lt;=$D36),$E36,0)</f>
        <v>3500</v>
      </c>
      <c r="Q36" s="193"/>
      <c r="R36" s="194"/>
      <c r="S36" s="183">
        <f>IF(AND(S$33&gt;=$C36,S$33&lt;=$D36),$E36,0)</f>
        <v>3500</v>
      </c>
    </row>
    <row r="37" spans="2:19" x14ac:dyDescent="0.35">
      <c r="B37" s="43"/>
      <c r="C37" s="44"/>
      <c r="D37" s="44"/>
      <c r="E37" s="44"/>
      <c r="F37" s="163"/>
      <c r="G37" s="211" t="s">
        <v>133</v>
      </c>
      <c r="H37" s="190"/>
      <c r="I37" s="191"/>
      <c r="J37" s="187">
        <f t="shared" ref="J37" si="38">SUM(J34:J36)</f>
        <v>3500</v>
      </c>
      <c r="K37" s="190"/>
      <c r="L37" s="191"/>
      <c r="M37" s="187">
        <f t="shared" ref="M37" si="39">SUM(M34:M36)</f>
        <v>3500</v>
      </c>
      <c r="N37" s="190"/>
      <c r="O37" s="191"/>
      <c r="P37" s="187">
        <f t="shared" ref="P37" si="40">SUM(P34:P36)</f>
        <v>3500</v>
      </c>
      <c r="Q37" s="190"/>
      <c r="R37" s="191"/>
      <c r="S37" s="187">
        <f t="shared" ref="S37" si="41">SUM(S34:S36)</f>
        <v>3500</v>
      </c>
    </row>
    <row r="38" spans="2:19" x14ac:dyDescent="0.35">
      <c r="B38" s="45"/>
      <c r="F38" s="48"/>
      <c r="G38" s="208"/>
      <c r="H38" s="190"/>
      <c r="I38" s="191"/>
      <c r="J38" s="175"/>
      <c r="K38" s="190"/>
      <c r="L38" s="191"/>
      <c r="M38" s="175"/>
      <c r="N38" s="190"/>
      <c r="O38" s="191"/>
      <c r="P38" s="175"/>
      <c r="Q38" s="190"/>
      <c r="R38" s="191"/>
      <c r="S38" s="175"/>
    </row>
    <row r="39" spans="2:19" x14ac:dyDescent="0.35">
      <c r="B39" s="10" t="s">
        <v>247</v>
      </c>
      <c r="C39" s="173"/>
      <c r="D39" s="173"/>
      <c r="E39" s="174"/>
      <c r="F39" s="47"/>
      <c r="G39" s="208" t="s">
        <v>119</v>
      </c>
      <c r="H39" s="190"/>
      <c r="I39" s="191"/>
      <c r="J39" s="305">
        <v>2</v>
      </c>
      <c r="K39" s="190"/>
      <c r="L39" s="191"/>
      <c r="M39" s="305">
        <v>5</v>
      </c>
      <c r="N39" s="190"/>
      <c r="O39" s="191"/>
      <c r="P39" s="305">
        <v>5</v>
      </c>
      <c r="Q39" s="190"/>
      <c r="R39" s="191"/>
      <c r="S39" s="305">
        <v>5</v>
      </c>
    </row>
    <row r="40" spans="2:19" x14ac:dyDescent="0.35">
      <c r="B40" s="45"/>
      <c r="C40" s="179" t="s">
        <v>129</v>
      </c>
      <c r="D40" s="179" t="s">
        <v>130</v>
      </c>
      <c r="E40" s="180" t="s">
        <v>131</v>
      </c>
      <c r="F40" s="48"/>
      <c r="G40" s="210"/>
      <c r="H40" s="166"/>
      <c r="I40" s="192"/>
      <c r="J40" s="181"/>
      <c r="K40" s="166"/>
      <c r="L40" s="192"/>
      <c r="M40" s="181"/>
      <c r="N40" s="166"/>
      <c r="O40" s="192"/>
      <c r="P40" s="181"/>
      <c r="Q40" s="166"/>
      <c r="R40" s="192"/>
      <c r="S40" s="181"/>
    </row>
    <row r="41" spans="2:19" x14ac:dyDescent="0.35">
      <c r="B41" s="45"/>
      <c r="C41" s="206">
        <v>3</v>
      </c>
      <c r="D41" s="206">
        <f>C41</f>
        <v>3</v>
      </c>
      <c r="E41" s="202">
        <v>700</v>
      </c>
      <c r="F41" s="48"/>
      <c r="G41" s="209"/>
      <c r="H41" s="193"/>
      <c r="I41" s="194"/>
      <c r="J41" s="183">
        <f>IF(AND(J$39&gt;=$C41,J$39&lt;=$D41),$E41,0)</f>
        <v>0</v>
      </c>
      <c r="K41" s="193"/>
      <c r="L41" s="194"/>
      <c r="M41" s="183">
        <f>IF(AND(M$39&gt;=$C41,M$39&lt;=$D41),$E41,0)</f>
        <v>0</v>
      </c>
      <c r="N41" s="193"/>
      <c r="O41" s="194"/>
      <c r="P41" s="183">
        <f>IF(AND(P$39&gt;=$C41,P$39&lt;=$D41),$E41,0)</f>
        <v>0</v>
      </c>
      <c r="Q41" s="193"/>
      <c r="R41" s="194"/>
      <c r="S41" s="183">
        <f>IF(AND(S$39&gt;=$C41,S$39&lt;=$D41),$E41,0)</f>
        <v>0</v>
      </c>
    </row>
    <row r="42" spans="2:19" x14ac:dyDescent="0.35">
      <c r="B42" s="45"/>
      <c r="C42" s="206">
        <f>C41+1</f>
        <v>4</v>
      </c>
      <c r="D42" s="206">
        <f t="shared" ref="D42:D43" si="42">D41+1</f>
        <v>4</v>
      </c>
      <c r="E42" s="202">
        <v>2000</v>
      </c>
      <c r="F42" s="48"/>
      <c r="G42" s="209"/>
      <c r="H42" s="193"/>
      <c r="I42" s="194"/>
      <c r="J42" s="183">
        <f>IF(AND(J$39&gt;=$C42,J$39&lt;=$D42),$E42,0)</f>
        <v>0</v>
      </c>
      <c r="K42" s="193"/>
      <c r="L42" s="194"/>
      <c r="M42" s="183">
        <f>IF(AND(M$39&gt;=$C42,M$39&lt;=$D42),$E42,0)</f>
        <v>0</v>
      </c>
      <c r="N42" s="193"/>
      <c r="O42" s="194"/>
      <c r="P42" s="183">
        <f>IF(AND(P$39&gt;=$C42,P$39&lt;=$D42),$E42,0)</f>
        <v>0</v>
      </c>
      <c r="Q42" s="193"/>
      <c r="R42" s="194"/>
      <c r="S42" s="183">
        <f>IF(AND(S$39&gt;=$C42,S$39&lt;=$D42),$E42,0)</f>
        <v>0</v>
      </c>
    </row>
    <row r="43" spans="2:19" x14ac:dyDescent="0.35">
      <c r="B43" s="45"/>
      <c r="C43" s="206">
        <f t="shared" ref="C43" si="43">C42+1</f>
        <v>5</v>
      </c>
      <c r="D43" s="206">
        <f t="shared" si="42"/>
        <v>5</v>
      </c>
      <c r="E43" s="202">
        <v>2500</v>
      </c>
      <c r="F43" s="48"/>
      <c r="G43" s="209"/>
      <c r="H43" s="193"/>
      <c r="I43" s="194"/>
      <c r="J43" s="183">
        <f>IF(AND(J$39&gt;=$C43,J$39&lt;=$D43),$E43,0)</f>
        <v>0</v>
      </c>
      <c r="K43" s="193"/>
      <c r="L43" s="194"/>
      <c r="M43" s="183">
        <f>IF(AND(M$39&gt;=$C43,M$39&lt;=$D43),$E43,0)</f>
        <v>2500</v>
      </c>
      <c r="N43" s="193"/>
      <c r="O43" s="194"/>
      <c r="P43" s="183">
        <f>IF(AND(P$39&gt;=$C43,P$39&lt;=$D43),$E43,0)</f>
        <v>2500</v>
      </c>
      <c r="Q43" s="193"/>
      <c r="R43" s="194"/>
      <c r="S43" s="183">
        <f>IF(AND(S$39&gt;=$C43,S$39&lt;=$D43),$E43,0)</f>
        <v>2500</v>
      </c>
    </row>
    <row r="44" spans="2:19" x14ac:dyDescent="0.35">
      <c r="B44" s="43"/>
      <c r="C44" s="44"/>
      <c r="D44" s="44"/>
      <c r="E44" s="44"/>
      <c r="F44" s="163"/>
      <c r="G44" s="211" t="s">
        <v>133</v>
      </c>
      <c r="H44" s="190"/>
      <c r="I44" s="191"/>
      <c r="J44" s="187">
        <f t="shared" ref="J44" si="44">SUM(J41:J43)</f>
        <v>0</v>
      </c>
      <c r="K44" s="190"/>
      <c r="L44" s="191"/>
      <c r="M44" s="187">
        <f t="shared" ref="M44" si="45">SUM(M41:M43)</f>
        <v>2500</v>
      </c>
      <c r="N44" s="190"/>
      <c r="O44" s="191"/>
      <c r="P44" s="187">
        <f t="shared" ref="P44" si="46">SUM(P41:P43)</f>
        <v>2500</v>
      </c>
      <c r="Q44" s="190"/>
      <c r="R44" s="191"/>
      <c r="S44" s="187">
        <f t="shared" ref="S44" si="47">SUM(S41:S43)</f>
        <v>2500</v>
      </c>
    </row>
    <row r="45" spans="2:19" ht="22.5" customHeight="1" thickBot="1" x14ac:dyDescent="0.4">
      <c r="E45" s="188"/>
      <c r="G45" s="188" t="s">
        <v>145</v>
      </c>
      <c r="J45" s="189">
        <f>+J37+J44</f>
        <v>3500</v>
      </c>
      <c r="M45" s="189">
        <f>+M37+M44</f>
        <v>6000</v>
      </c>
      <c r="P45" s="189">
        <f>+P37+P44</f>
        <v>6000</v>
      </c>
      <c r="S45" s="189">
        <f>+S37+S44</f>
        <v>6000</v>
      </c>
    </row>
    <row r="46" spans="2:19" ht="15" thickTop="1" x14ac:dyDescent="0.35"/>
    <row r="47" spans="2:19" ht="15" thickBot="1" x14ac:dyDescent="0.4">
      <c r="G47" s="197" t="s">
        <v>140</v>
      </c>
      <c r="H47" s="199"/>
      <c r="I47" s="199"/>
      <c r="J47" s="199">
        <f>J29+J45</f>
        <v>8250</v>
      </c>
      <c r="K47" s="199"/>
      <c r="L47" s="199"/>
      <c r="M47" s="199">
        <f>M29+M45</f>
        <v>10500</v>
      </c>
      <c r="N47" s="199"/>
      <c r="O47" s="199"/>
      <c r="P47" s="199">
        <f>P29+P45</f>
        <v>10500</v>
      </c>
      <c r="Q47" s="199"/>
      <c r="R47" s="199"/>
      <c r="S47" s="199">
        <f>+S29+S45</f>
        <v>10500</v>
      </c>
    </row>
    <row r="48" spans="2:19" ht="15" thickTop="1" x14ac:dyDescent="0.35"/>
    <row r="50" spans="9:18" x14ac:dyDescent="0.35">
      <c r="I50" s="40" t="s">
        <v>72</v>
      </c>
      <c r="J50" s="311" t="e">
        <f>#REF!</f>
        <v>#REF!</v>
      </c>
    </row>
    <row r="51" spans="9:18" x14ac:dyDescent="0.35">
      <c r="I51" s="40" t="s">
        <v>249</v>
      </c>
      <c r="J51" s="311" t="e">
        <f>#REF!</f>
        <v>#REF!</v>
      </c>
    </row>
    <row r="52" spans="9:18" x14ac:dyDescent="0.35">
      <c r="I52" s="40" t="s">
        <v>250</v>
      </c>
      <c r="J52" s="311">
        <f>-(SOMMAIRE!B13+SOMMAIRE!B14)</f>
        <v>-15850</v>
      </c>
      <c r="R52"/>
    </row>
    <row r="53" spans="9:18" x14ac:dyDescent="0.35">
      <c r="I53" s="139" t="s">
        <v>78</v>
      </c>
      <c r="J53" s="313" t="e">
        <f>SUM(J50:J52)</f>
        <v>#REF!</v>
      </c>
    </row>
    <row r="55" spans="9:18" x14ac:dyDescent="0.35">
      <c r="I55" s="40" t="s">
        <v>72</v>
      </c>
      <c r="J55" s="311" t="e">
        <f>#REF!</f>
        <v>#REF!</v>
      </c>
    </row>
    <row r="56" spans="9:18" x14ac:dyDescent="0.35">
      <c r="I56" s="40" t="s">
        <v>249</v>
      </c>
      <c r="J56" s="311" t="e">
        <f>#REF!</f>
        <v>#REF!</v>
      </c>
    </row>
    <row r="57" spans="9:18" x14ac:dyDescent="0.35">
      <c r="I57" s="139" t="s">
        <v>2</v>
      </c>
      <c r="J57" s="313" t="e">
        <f>SUM(J55:J56)</f>
        <v>#REF!</v>
      </c>
    </row>
    <row r="59" spans="9:18" x14ac:dyDescent="0.35">
      <c r="I59" s="40" t="s">
        <v>251</v>
      </c>
      <c r="J59" s="311" t="e">
        <f>J53-+J57</f>
        <v>#REF!</v>
      </c>
    </row>
    <row r="60" spans="9:18" x14ac:dyDescent="0.35">
      <c r="J60" s="312" t="e">
        <f>J53/J57</f>
        <v>#REF!</v>
      </c>
    </row>
  </sheetData>
  <mergeCells count="1">
    <mergeCell ref="B31:E32"/>
  </mergeCells>
  <pageMargins left="0.7" right="0.7" top="0.75" bottom="0.75" header="0.3" footer="0.3"/>
  <pageSetup scale="53" orientation="portrait" r:id="rId1"/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B1:U19"/>
  <sheetViews>
    <sheetView showGridLines="0" zoomScaleNormal="100" workbookViewId="0">
      <selection activeCell="V35" sqref="V35"/>
    </sheetView>
  </sheetViews>
  <sheetFormatPr baseColWidth="10" defaultColWidth="11.453125" defaultRowHeight="14.5" x14ac:dyDescent="0.35"/>
  <cols>
    <col min="1" max="1" width="3.7265625" style="40" customWidth="1"/>
    <col min="2" max="2" width="31.7265625" style="40" customWidth="1"/>
    <col min="3" max="5" width="10.7265625" style="40" customWidth="1"/>
    <col min="6" max="6" width="10.54296875" style="40" bestFit="1" customWidth="1"/>
    <col min="7" max="7" width="1.7265625" style="40" customWidth="1"/>
    <col min="8" max="15" width="11.453125" style="40" hidden="1" customWidth="1"/>
    <col min="16" max="16" width="11.453125" style="40" customWidth="1"/>
    <col min="17" max="19" width="11.453125" style="40" hidden="1" customWidth="1"/>
    <col min="20" max="20" width="4.26953125" style="40" customWidth="1"/>
    <col min="21" max="16384" width="11.453125" style="40"/>
  </cols>
  <sheetData>
    <row r="1" spans="2:21" x14ac:dyDescent="0.35">
      <c r="B1" s="167" t="s">
        <v>223</v>
      </c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9"/>
    </row>
    <row r="2" spans="2:21" ht="8.25" customHeight="1" x14ac:dyDescent="0.35"/>
    <row r="3" spans="2:21" x14ac:dyDescent="0.35">
      <c r="B3" s="170" t="s">
        <v>126</v>
      </c>
      <c r="C3" s="171"/>
      <c r="D3" s="171"/>
      <c r="E3" s="171"/>
      <c r="H3" s="172"/>
      <c r="I3" s="172"/>
      <c r="J3" s="172"/>
      <c r="K3" s="172"/>
      <c r="L3" s="172"/>
      <c r="M3" s="172">
        <v>45107</v>
      </c>
      <c r="N3" s="172">
        <v>45138</v>
      </c>
      <c r="O3" s="172">
        <v>45169</v>
      </c>
      <c r="P3" s="172">
        <v>45199</v>
      </c>
      <c r="Q3" s="172">
        <v>45230</v>
      </c>
      <c r="R3" s="172">
        <v>45260</v>
      </c>
      <c r="S3" s="172">
        <v>45291</v>
      </c>
    </row>
    <row r="4" spans="2:21" ht="14.5" customHeight="1" x14ac:dyDescent="0.35">
      <c r="B4" s="793" t="s">
        <v>222</v>
      </c>
      <c r="C4" s="284"/>
      <c r="D4" s="285" t="s">
        <v>160</v>
      </c>
      <c r="E4" s="285"/>
      <c r="F4" s="286"/>
      <c r="G4" s="47"/>
      <c r="H4" s="287"/>
      <c r="I4" s="287"/>
      <c r="J4" s="287"/>
      <c r="K4" s="287"/>
      <c r="L4" s="287"/>
      <c r="M4" s="287">
        <f>43557.46/350.84</f>
        <v>124.15192110363699</v>
      </c>
      <c r="N4" s="287">
        <v>0</v>
      </c>
      <c r="O4" s="287">
        <v>0</v>
      </c>
      <c r="P4" s="287">
        <v>0</v>
      </c>
      <c r="Q4" s="287">
        <v>0</v>
      </c>
      <c r="R4" s="287">
        <v>0</v>
      </c>
      <c r="S4" s="287">
        <v>0</v>
      </c>
      <c r="U4" s="291" t="s">
        <v>232</v>
      </c>
    </row>
    <row r="5" spans="2:21" x14ac:dyDescent="0.35">
      <c r="B5" s="794"/>
      <c r="C5" s="179" t="s">
        <v>129</v>
      </c>
      <c r="D5" s="179" t="s">
        <v>130</v>
      </c>
      <c r="E5" s="179"/>
      <c r="F5" s="180" t="s">
        <v>131</v>
      </c>
      <c r="G5" s="48"/>
      <c r="H5" s="288"/>
      <c r="I5" s="288"/>
      <c r="J5" s="288"/>
      <c r="K5" s="288"/>
      <c r="L5" s="288"/>
      <c r="M5" s="288" t="s">
        <v>227</v>
      </c>
      <c r="N5" s="288" t="s">
        <v>225</v>
      </c>
      <c r="O5" s="288" t="s">
        <v>225</v>
      </c>
      <c r="P5" s="288" t="s">
        <v>227</v>
      </c>
      <c r="Q5" s="288"/>
      <c r="R5" s="288"/>
      <c r="S5" s="288"/>
    </row>
    <row r="6" spans="2:21" x14ac:dyDescent="0.35">
      <c r="B6" s="794"/>
      <c r="C6" s="289">
        <v>125</v>
      </c>
      <c r="D6" s="289">
        <v>134.99</v>
      </c>
      <c r="E6" s="182" t="s">
        <v>226</v>
      </c>
      <c r="F6" s="279">
        <v>625</v>
      </c>
      <c r="G6" s="48"/>
      <c r="H6" s="288"/>
      <c r="I6" s="288"/>
      <c r="J6" s="288"/>
      <c r="K6" s="288"/>
      <c r="L6" s="288"/>
      <c r="M6" s="288">
        <f t="shared" ref="M6:S6" si="0">IF(M$5=$E$6,$F$6,0)</f>
        <v>0</v>
      </c>
      <c r="N6" s="288">
        <f t="shared" si="0"/>
        <v>0</v>
      </c>
      <c r="O6" s="288">
        <f t="shared" si="0"/>
        <v>0</v>
      </c>
      <c r="P6" s="288">
        <f t="shared" si="0"/>
        <v>0</v>
      </c>
      <c r="Q6" s="288">
        <f t="shared" si="0"/>
        <v>0</v>
      </c>
      <c r="R6" s="288">
        <f t="shared" si="0"/>
        <v>0</v>
      </c>
      <c r="S6" s="288">
        <f t="shared" si="0"/>
        <v>0</v>
      </c>
    </row>
    <row r="7" spans="2:21" x14ac:dyDescent="0.35">
      <c r="B7" s="794"/>
      <c r="C7" s="289">
        <v>135</v>
      </c>
      <c r="D7" s="289">
        <v>149.99</v>
      </c>
      <c r="E7" s="182" t="s">
        <v>227</v>
      </c>
      <c r="F7" s="279">
        <v>833.33</v>
      </c>
      <c r="G7" s="48"/>
      <c r="H7" s="288"/>
      <c r="I7" s="288"/>
      <c r="J7" s="288"/>
      <c r="K7" s="288"/>
      <c r="L7" s="288"/>
      <c r="M7" s="288">
        <f t="shared" ref="M7:S7" si="1">IF(M$5=$E$7,$F$7,0)</f>
        <v>833.33</v>
      </c>
      <c r="N7" s="288">
        <f t="shared" si="1"/>
        <v>0</v>
      </c>
      <c r="O7" s="288">
        <f t="shared" si="1"/>
        <v>0</v>
      </c>
      <c r="P7" s="288">
        <f t="shared" si="1"/>
        <v>833.33</v>
      </c>
      <c r="Q7" s="288">
        <f t="shared" si="1"/>
        <v>0</v>
      </c>
      <c r="R7" s="288">
        <f t="shared" si="1"/>
        <v>0</v>
      </c>
      <c r="S7" s="288">
        <f t="shared" si="1"/>
        <v>0</v>
      </c>
    </row>
    <row r="8" spans="2:21" x14ac:dyDescent="0.35">
      <c r="B8" s="45"/>
      <c r="C8" s="795" t="s">
        <v>229</v>
      </c>
      <c r="D8" s="796"/>
      <c r="E8" s="182" t="s">
        <v>225</v>
      </c>
      <c r="F8" s="279">
        <v>1250</v>
      </c>
      <c r="G8" s="48"/>
      <c r="H8" s="288"/>
      <c r="I8" s="288"/>
      <c r="J8" s="288"/>
      <c r="K8" s="288"/>
      <c r="L8" s="288"/>
      <c r="M8" s="288">
        <f t="shared" ref="M8:S8" si="2">IF(M$5=$E$8,$F$8,0)</f>
        <v>0</v>
      </c>
      <c r="N8" s="288">
        <f t="shared" si="2"/>
        <v>1250</v>
      </c>
      <c r="O8" s="288">
        <f t="shared" si="2"/>
        <v>1250</v>
      </c>
      <c r="P8" s="288">
        <f t="shared" si="2"/>
        <v>0</v>
      </c>
      <c r="Q8" s="288">
        <f t="shared" si="2"/>
        <v>0</v>
      </c>
      <c r="R8" s="288">
        <f t="shared" si="2"/>
        <v>0</v>
      </c>
      <c r="S8" s="288">
        <f t="shared" si="2"/>
        <v>0</v>
      </c>
    </row>
    <row r="9" spans="2:21" x14ac:dyDescent="0.35">
      <c r="B9" s="43"/>
      <c r="C9" s="44"/>
      <c r="D9" s="44"/>
      <c r="E9" s="44"/>
      <c r="F9" s="44"/>
      <c r="G9" s="163"/>
      <c r="H9" s="187"/>
      <c r="I9" s="187"/>
      <c r="J9" s="187"/>
      <c r="K9" s="187"/>
      <c r="L9" s="187"/>
      <c r="M9" s="187">
        <f>SUM(M6:M8)</f>
        <v>833.33</v>
      </c>
      <c r="N9" s="187">
        <f t="shared" ref="N9" si="3">SUM(N6:N8)</f>
        <v>1250</v>
      </c>
      <c r="O9" s="187">
        <f t="shared" ref="O9" si="4">SUM(O6:O8)</f>
        <v>1250</v>
      </c>
      <c r="P9" s="187">
        <f t="shared" ref="P9" si="5">SUM(P6:P8)</f>
        <v>833.33</v>
      </c>
      <c r="Q9" s="187">
        <f t="shared" ref="Q9" si="6">SUM(Q6:Q8)</f>
        <v>0</v>
      </c>
      <c r="R9" s="187">
        <f t="shared" ref="R9" si="7">SUM(R6:R8)</f>
        <v>0</v>
      </c>
      <c r="S9" s="187">
        <f t="shared" ref="S9" si="8">SUM(S6:S8)</f>
        <v>0</v>
      </c>
    </row>
    <row r="10" spans="2:21" ht="7.5" customHeight="1" x14ac:dyDescent="0.35">
      <c r="H10" s="146"/>
      <c r="I10" s="146"/>
      <c r="J10" s="146"/>
      <c r="K10" s="146"/>
      <c r="L10" s="146"/>
      <c r="M10" s="146"/>
      <c r="N10" s="146"/>
      <c r="O10" s="146"/>
      <c r="P10" s="146"/>
      <c r="Q10" s="146"/>
      <c r="R10" s="146"/>
      <c r="S10" s="146"/>
    </row>
    <row r="11" spans="2:21" ht="14.5" customHeight="1" x14ac:dyDescent="0.35">
      <c r="B11" s="793" t="s">
        <v>224</v>
      </c>
      <c r="C11" s="284"/>
      <c r="D11" s="285" t="s">
        <v>160</v>
      </c>
      <c r="E11" s="285"/>
      <c r="F11" s="286"/>
      <c r="G11" s="47"/>
      <c r="H11" s="287"/>
      <c r="I11" s="287"/>
      <c r="J11" s="287"/>
      <c r="K11" s="287"/>
      <c r="L11" s="287"/>
      <c r="M11" s="287">
        <f>54921.15/521.35</f>
        <v>105.34410664620697</v>
      </c>
      <c r="N11" s="287">
        <v>0</v>
      </c>
      <c r="O11" s="287">
        <v>0</v>
      </c>
      <c r="P11" s="287">
        <v>0</v>
      </c>
      <c r="Q11" s="287">
        <v>0</v>
      </c>
      <c r="R11" s="287">
        <v>0</v>
      </c>
      <c r="S11" s="287">
        <v>0</v>
      </c>
    </row>
    <row r="12" spans="2:21" x14ac:dyDescent="0.35">
      <c r="B12" s="794"/>
      <c r="C12" s="179" t="s">
        <v>129</v>
      </c>
      <c r="D12" s="179" t="s">
        <v>130</v>
      </c>
      <c r="E12" s="179"/>
      <c r="F12" s="180" t="s">
        <v>131</v>
      </c>
      <c r="G12" s="48"/>
      <c r="H12" s="288"/>
      <c r="I12" s="288"/>
      <c r="J12" s="288"/>
      <c r="K12" s="288"/>
      <c r="L12" s="288"/>
      <c r="M12" s="288" t="s">
        <v>225</v>
      </c>
      <c r="N12" s="288"/>
      <c r="O12" s="288" t="s">
        <v>225</v>
      </c>
      <c r="P12" s="288" t="s">
        <v>225</v>
      </c>
      <c r="Q12" s="288"/>
      <c r="R12" s="288"/>
      <c r="S12" s="288"/>
    </row>
    <row r="13" spans="2:21" x14ac:dyDescent="0.35">
      <c r="B13" s="794"/>
      <c r="C13" s="289">
        <v>45</v>
      </c>
      <c r="D13" s="289">
        <v>54.99</v>
      </c>
      <c r="E13" s="182" t="s">
        <v>226</v>
      </c>
      <c r="F13" s="279">
        <v>625</v>
      </c>
      <c r="G13" s="48"/>
      <c r="H13" s="288"/>
      <c r="I13" s="288"/>
      <c r="J13" s="288"/>
      <c r="K13" s="288"/>
      <c r="L13" s="288"/>
      <c r="M13" s="288">
        <f t="shared" ref="M13:S13" si="9">IF(M$12=$E$13,$F$13,0)</f>
        <v>0</v>
      </c>
      <c r="N13" s="288">
        <f t="shared" si="9"/>
        <v>0</v>
      </c>
      <c r="O13" s="288">
        <f t="shared" si="9"/>
        <v>0</v>
      </c>
      <c r="P13" s="288">
        <f t="shared" si="9"/>
        <v>0</v>
      </c>
      <c r="Q13" s="288">
        <f t="shared" si="9"/>
        <v>0</v>
      </c>
      <c r="R13" s="288">
        <f t="shared" si="9"/>
        <v>0</v>
      </c>
      <c r="S13" s="288">
        <f t="shared" si="9"/>
        <v>0</v>
      </c>
    </row>
    <row r="14" spans="2:21" x14ac:dyDescent="0.35">
      <c r="B14" s="794"/>
      <c r="C14" s="289">
        <v>55</v>
      </c>
      <c r="D14" s="289">
        <v>64.989999999999995</v>
      </c>
      <c r="E14" s="182" t="s">
        <v>227</v>
      </c>
      <c r="F14" s="279">
        <v>833.33</v>
      </c>
      <c r="G14" s="48"/>
      <c r="H14" s="288"/>
      <c r="I14" s="288"/>
      <c r="J14" s="288"/>
      <c r="K14" s="288"/>
      <c r="L14" s="288"/>
      <c r="M14" s="288">
        <f t="shared" ref="M14:S14" si="10">IF(M$12=$E$14,$F$14,0)</f>
        <v>0</v>
      </c>
      <c r="N14" s="288">
        <f t="shared" si="10"/>
        <v>0</v>
      </c>
      <c r="O14" s="288">
        <f t="shared" si="10"/>
        <v>0</v>
      </c>
      <c r="P14" s="288">
        <f t="shared" si="10"/>
        <v>0</v>
      </c>
      <c r="Q14" s="288">
        <f t="shared" si="10"/>
        <v>0</v>
      </c>
      <c r="R14" s="288">
        <f t="shared" si="10"/>
        <v>0</v>
      </c>
      <c r="S14" s="288">
        <f t="shared" si="10"/>
        <v>0</v>
      </c>
    </row>
    <row r="15" spans="2:21" x14ac:dyDescent="0.35">
      <c r="B15" s="45"/>
      <c r="C15" s="795" t="s">
        <v>228</v>
      </c>
      <c r="D15" s="796"/>
      <c r="E15" s="182" t="s">
        <v>225</v>
      </c>
      <c r="F15" s="279">
        <v>1250</v>
      </c>
      <c r="G15" s="48"/>
      <c r="H15" s="288"/>
      <c r="I15" s="288"/>
      <c r="J15" s="288"/>
      <c r="K15" s="288"/>
      <c r="L15" s="288"/>
      <c r="M15" s="288">
        <f t="shared" ref="M15:S15" si="11">IF(M$12=$E$15,$F$15,0)</f>
        <v>1250</v>
      </c>
      <c r="N15" s="288">
        <f t="shared" si="11"/>
        <v>0</v>
      </c>
      <c r="O15" s="288">
        <f t="shared" si="11"/>
        <v>1250</v>
      </c>
      <c r="P15" s="288">
        <f t="shared" si="11"/>
        <v>1250</v>
      </c>
      <c r="Q15" s="288">
        <f t="shared" si="11"/>
        <v>0</v>
      </c>
      <c r="R15" s="288">
        <f t="shared" si="11"/>
        <v>0</v>
      </c>
      <c r="S15" s="288">
        <f t="shared" si="11"/>
        <v>0</v>
      </c>
    </row>
    <row r="16" spans="2:21" x14ac:dyDescent="0.35">
      <c r="B16" s="43"/>
      <c r="C16" s="44"/>
      <c r="D16" s="44"/>
      <c r="E16" s="44"/>
      <c r="F16" s="44"/>
      <c r="G16" s="163"/>
      <c r="H16" s="187"/>
      <c r="I16" s="187"/>
      <c r="J16" s="187"/>
      <c r="K16" s="187"/>
      <c r="L16" s="187"/>
      <c r="M16" s="187">
        <f>SUM(M13:M15)</f>
        <v>1250</v>
      </c>
      <c r="N16" s="187">
        <f t="shared" ref="N16" si="12">SUM(N13:N15)</f>
        <v>0</v>
      </c>
      <c r="O16" s="187">
        <f t="shared" ref="O16" si="13">SUM(O13:O15)</f>
        <v>1250</v>
      </c>
      <c r="P16" s="187">
        <f t="shared" ref="P16" si="14">SUM(P13:P15)</f>
        <v>1250</v>
      </c>
      <c r="Q16" s="187">
        <f t="shared" ref="Q16" si="15">SUM(Q13:Q15)</f>
        <v>0</v>
      </c>
      <c r="R16" s="187">
        <f t="shared" ref="R16" si="16">SUM(R13:R15)</f>
        <v>0</v>
      </c>
      <c r="S16" s="187">
        <f t="shared" ref="S16" si="17">SUM(S13:S15)</f>
        <v>0</v>
      </c>
    </row>
    <row r="18" spans="8:19" ht="15" thickBot="1" x14ac:dyDescent="0.4">
      <c r="H18" s="273"/>
      <c r="I18" s="273"/>
      <c r="J18" s="273"/>
      <c r="K18" s="273"/>
      <c r="L18" s="273"/>
      <c r="M18" s="273">
        <f>M16+M9</f>
        <v>2083.33</v>
      </c>
      <c r="N18" s="273">
        <f t="shared" ref="N18:S18" si="18">N16+N9</f>
        <v>1250</v>
      </c>
      <c r="O18" s="273">
        <f t="shared" si="18"/>
        <v>2500</v>
      </c>
      <c r="P18" s="273">
        <f t="shared" si="18"/>
        <v>2083.33</v>
      </c>
      <c r="Q18" s="273">
        <f t="shared" si="18"/>
        <v>0</v>
      </c>
      <c r="R18" s="273">
        <f t="shared" si="18"/>
        <v>0</v>
      </c>
      <c r="S18" s="273">
        <f t="shared" si="18"/>
        <v>0</v>
      </c>
    </row>
    <row r="19" spans="8:19" ht="15" thickTop="1" x14ac:dyDescent="0.35"/>
  </sheetData>
  <mergeCells count="4">
    <mergeCell ref="B4:B7"/>
    <mergeCell ref="B11:B14"/>
    <mergeCell ref="C8:D8"/>
    <mergeCell ref="C15:D15"/>
  </mergeCells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B1:U55"/>
  <sheetViews>
    <sheetView zoomScale="90" zoomScaleNormal="90" workbookViewId="0">
      <pane xSplit="7" ySplit="3" topLeftCell="H4" activePane="bottomRight" state="frozen"/>
      <selection activeCell="V35" sqref="V35"/>
      <selection pane="topRight" activeCell="V35" sqref="V35"/>
      <selection pane="bottomLeft" activeCell="V35" sqref="V35"/>
      <selection pane="bottomRight" activeCell="V35" sqref="V35"/>
    </sheetView>
  </sheetViews>
  <sheetFormatPr baseColWidth="10" defaultColWidth="11.453125" defaultRowHeight="14.5" x14ac:dyDescent="0.35"/>
  <cols>
    <col min="1" max="1" width="3.7265625" style="40" customWidth="1"/>
    <col min="2" max="2" width="30.54296875" style="40" bestFit="1" customWidth="1"/>
    <col min="3" max="4" width="10.7265625" style="40" customWidth="1"/>
    <col min="5" max="5" width="10.54296875" style="40" bestFit="1" customWidth="1"/>
    <col min="6" max="6" width="1.7265625" style="40" customWidth="1"/>
    <col min="7" max="7" width="11.453125" style="40"/>
    <col min="8" max="8" width="10.453125" style="40" hidden="1" customWidth="1"/>
    <col min="9" max="13" width="11.453125" style="40" hidden="1" customWidth="1"/>
    <col min="14" max="19" width="11.453125" style="40" customWidth="1"/>
    <col min="20" max="20" width="11.453125" style="40"/>
    <col min="21" max="21" width="16" style="40" bestFit="1" customWidth="1"/>
    <col min="22" max="16384" width="11.453125" style="40"/>
  </cols>
  <sheetData>
    <row r="1" spans="2:21" x14ac:dyDescent="0.35">
      <c r="B1" s="167" t="s">
        <v>141</v>
      </c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9"/>
    </row>
    <row r="2" spans="2:21" ht="8.25" customHeight="1" x14ac:dyDescent="0.35"/>
    <row r="3" spans="2:21" x14ac:dyDescent="0.35">
      <c r="B3" s="170" t="s">
        <v>126</v>
      </c>
      <c r="C3" s="171"/>
      <c r="D3" s="171"/>
      <c r="H3" s="172">
        <v>44957</v>
      </c>
      <c r="I3" s="172">
        <v>44985</v>
      </c>
      <c r="J3" s="172">
        <v>45016</v>
      </c>
      <c r="K3" s="172">
        <v>45046</v>
      </c>
      <c r="L3" s="172">
        <v>45077</v>
      </c>
      <c r="M3" s="172">
        <v>45107</v>
      </c>
      <c r="N3" s="172">
        <v>45138</v>
      </c>
      <c r="O3" s="172">
        <v>45169</v>
      </c>
      <c r="P3" s="172">
        <v>45199</v>
      </c>
      <c r="Q3" s="172">
        <v>45230</v>
      </c>
      <c r="R3" s="172">
        <v>45260</v>
      </c>
      <c r="S3" s="172">
        <v>45291</v>
      </c>
    </row>
    <row r="4" spans="2:21" x14ac:dyDescent="0.35">
      <c r="B4" s="41" t="s">
        <v>127</v>
      </c>
      <c r="C4" s="173"/>
      <c r="D4" s="173"/>
      <c r="E4" s="174"/>
      <c r="F4" s="47"/>
      <c r="G4" s="42" t="s">
        <v>119</v>
      </c>
      <c r="H4" s="175">
        <v>29700</v>
      </c>
      <c r="I4" s="274">
        <v>5296</v>
      </c>
      <c r="J4" s="175">
        <v>11620</v>
      </c>
      <c r="K4" s="175">
        <v>72343.399999999994</v>
      </c>
      <c r="L4" s="175">
        <v>117853</v>
      </c>
      <c r="M4" s="175">
        <v>66509</v>
      </c>
      <c r="N4" s="175">
        <v>78300</v>
      </c>
      <c r="O4" s="175">
        <v>113715</v>
      </c>
      <c r="P4" s="175">
        <v>1</v>
      </c>
      <c r="Q4" s="175">
        <v>1</v>
      </c>
      <c r="R4" s="175">
        <v>1</v>
      </c>
      <c r="S4" s="175">
        <v>1</v>
      </c>
      <c r="U4" s="40" t="s">
        <v>220</v>
      </c>
    </row>
    <row r="5" spans="2:21" x14ac:dyDescent="0.35">
      <c r="B5" s="45" t="s">
        <v>128</v>
      </c>
      <c r="C5" s="176"/>
      <c r="D5" s="176"/>
      <c r="E5" s="177"/>
      <c r="F5" s="48"/>
      <c r="G5" s="40" t="s">
        <v>95</v>
      </c>
      <c r="H5" s="178">
        <v>20024</v>
      </c>
      <c r="I5" s="178">
        <v>17472</v>
      </c>
      <c r="J5" s="178">
        <v>47377</v>
      </c>
      <c r="K5" s="178">
        <v>133970.33207219496</v>
      </c>
      <c r="L5" s="178">
        <v>91698</v>
      </c>
      <c r="M5" s="178">
        <v>85910</v>
      </c>
      <c r="N5" s="178">
        <v>59628</v>
      </c>
      <c r="O5" s="178">
        <v>62559</v>
      </c>
      <c r="P5" s="178">
        <v>100</v>
      </c>
      <c r="Q5" s="178">
        <v>100</v>
      </c>
      <c r="R5" s="178">
        <v>100</v>
      </c>
      <c r="S5" s="178">
        <v>100</v>
      </c>
      <c r="U5" s="40" t="s">
        <v>221</v>
      </c>
    </row>
    <row r="6" spans="2:21" x14ac:dyDescent="0.35">
      <c r="B6" s="45"/>
      <c r="C6" s="179" t="s">
        <v>129</v>
      </c>
      <c r="D6" s="179" t="s">
        <v>130</v>
      </c>
      <c r="E6" s="180" t="s">
        <v>131</v>
      </c>
      <c r="F6" s="48"/>
      <c r="G6" s="157" t="s">
        <v>37</v>
      </c>
      <c r="H6" s="181">
        <v>1.4830000000000001</v>
      </c>
      <c r="I6" s="181">
        <v>0.30299999999999999</v>
      </c>
      <c r="J6" s="181">
        <v>0.245</v>
      </c>
      <c r="K6" s="181">
        <v>0.54</v>
      </c>
      <c r="L6" s="181">
        <v>1.2849999999999999</v>
      </c>
      <c r="M6" s="181">
        <v>0.77400000000000002</v>
      </c>
      <c r="N6" s="181">
        <v>1.3129999999999999</v>
      </c>
      <c r="O6" s="181">
        <f t="shared" ref="O6:S6" si="0">IFERROR(ROUND(O4/O5,3)," - - -")</f>
        <v>1.8180000000000001</v>
      </c>
      <c r="P6" s="181">
        <f t="shared" si="0"/>
        <v>0.01</v>
      </c>
      <c r="Q6" s="181">
        <f t="shared" si="0"/>
        <v>0.01</v>
      </c>
      <c r="R6" s="181">
        <f t="shared" si="0"/>
        <v>0.01</v>
      </c>
      <c r="S6" s="181">
        <f t="shared" si="0"/>
        <v>0.01</v>
      </c>
    </row>
    <row r="7" spans="2:21" x14ac:dyDescent="0.35">
      <c r="B7" s="45"/>
      <c r="C7" s="182">
        <v>0.8</v>
      </c>
      <c r="D7" s="182">
        <v>0.99990000000000001</v>
      </c>
      <c r="E7" s="202">
        <v>1556</v>
      </c>
      <c r="F7" s="48"/>
      <c r="H7" s="183">
        <v>0</v>
      </c>
      <c r="I7" s="183">
        <v>0</v>
      </c>
      <c r="J7" s="183">
        <v>0</v>
      </c>
      <c r="K7" s="183">
        <v>0</v>
      </c>
      <c r="L7" s="183">
        <v>0</v>
      </c>
      <c r="M7" s="183">
        <v>0</v>
      </c>
      <c r="N7" s="183">
        <v>0</v>
      </c>
      <c r="O7" s="183">
        <f t="shared" ref="O7:S7" si="1">IF(AND(O$6&gt;=$C7,O$6&lt;=$D7),$E7,0)</f>
        <v>0</v>
      </c>
      <c r="P7" s="183">
        <f t="shared" si="1"/>
        <v>0</v>
      </c>
      <c r="Q7" s="183">
        <f t="shared" si="1"/>
        <v>0</v>
      </c>
      <c r="R7" s="183">
        <f t="shared" si="1"/>
        <v>0</v>
      </c>
      <c r="S7" s="183">
        <f t="shared" si="1"/>
        <v>0</v>
      </c>
    </row>
    <row r="8" spans="2:21" x14ac:dyDescent="0.35">
      <c r="B8" s="45"/>
      <c r="C8" s="182">
        <v>1</v>
      </c>
      <c r="D8" s="182">
        <v>1.1999</v>
      </c>
      <c r="E8" s="202">
        <v>1944</v>
      </c>
      <c r="F8" s="48"/>
      <c r="H8" s="183">
        <v>0</v>
      </c>
      <c r="I8" s="183">
        <v>0</v>
      </c>
      <c r="J8" s="183">
        <v>0</v>
      </c>
      <c r="K8" s="183">
        <v>0</v>
      </c>
      <c r="L8" s="183">
        <v>0</v>
      </c>
      <c r="M8" s="183">
        <v>0</v>
      </c>
      <c r="N8" s="183">
        <v>0</v>
      </c>
      <c r="O8" s="183">
        <f t="shared" ref="O8:S11" si="2">IF(AND(O$6&gt;=$C8,O$6&lt;=$D8),$E8,0)</f>
        <v>0</v>
      </c>
      <c r="P8" s="183">
        <f t="shared" si="2"/>
        <v>0</v>
      </c>
      <c r="Q8" s="183">
        <f t="shared" si="2"/>
        <v>0</v>
      </c>
      <c r="R8" s="183">
        <f t="shared" si="2"/>
        <v>0</v>
      </c>
      <c r="S8" s="183">
        <f t="shared" si="2"/>
        <v>0</v>
      </c>
    </row>
    <row r="9" spans="2:21" x14ac:dyDescent="0.35">
      <c r="B9" s="45"/>
      <c r="C9" s="182">
        <v>1.2</v>
      </c>
      <c r="D9" s="182">
        <v>1.4999</v>
      </c>
      <c r="E9" s="202">
        <v>2333</v>
      </c>
      <c r="F9" s="48"/>
      <c r="H9" s="183">
        <v>2333</v>
      </c>
      <c r="I9" s="183">
        <v>0</v>
      </c>
      <c r="J9" s="183">
        <v>0</v>
      </c>
      <c r="K9" s="183">
        <v>0</v>
      </c>
      <c r="L9" s="183">
        <v>2333</v>
      </c>
      <c r="M9" s="183">
        <v>0</v>
      </c>
      <c r="N9" s="183">
        <v>2333</v>
      </c>
      <c r="O9" s="183">
        <f t="shared" si="2"/>
        <v>0</v>
      </c>
      <c r="P9" s="183">
        <f t="shared" si="2"/>
        <v>0</v>
      </c>
      <c r="Q9" s="183">
        <f t="shared" si="2"/>
        <v>0</v>
      </c>
      <c r="R9" s="183">
        <f t="shared" si="2"/>
        <v>0</v>
      </c>
      <c r="S9" s="183">
        <f t="shared" si="2"/>
        <v>0</v>
      </c>
    </row>
    <row r="10" spans="2:21" x14ac:dyDescent="0.35">
      <c r="B10" s="45"/>
      <c r="C10" s="182">
        <v>1.5</v>
      </c>
      <c r="D10" s="182">
        <v>1.9999</v>
      </c>
      <c r="E10" s="202">
        <v>2917</v>
      </c>
      <c r="F10" s="48"/>
      <c r="H10" s="183">
        <v>0</v>
      </c>
      <c r="I10" s="183">
        <v>0</v>
      </c>
      <c r="J10" s="183">
        <v>0</v>
      </c>
      <c r="K10" s="183">
        <v>0</v>
      </c>
      <c r="L10" s="183">
        <v>0</v>
      </c>
      <c r="M10" s="183">
        <v>0</v>
      </c>
      <c r="N10" s="183">
        <v>0</v>
      </c>
      <c r="O10" s="183">
        <f t="shared" si="2"/>
        <v>2917</v>
      </c>
      <c r="P10" s="183">
        <f t="shared" si="2"/>
        <v>0</v>
      </c>
      <c r="Q10" s="183">
        <f t="shared" si="2"/>
        <v>0</v>
      </c>
      <c r="R10" s="183">
        <f t="shared" si="2"/>
        <v>0</v>
      </c>
      <c r="S10" s="183">
        <f t="shared" si="2"/>
        <v>0</v>
      </c>
    </row>
    <row r="11" spans="2:21" x14ac:dyDescent="0.35">
      <c r="B11" s="45"/>
      <c r="C11" s="184">
        <v>2</v>
      </c>
      <c r="D11" s="185" t="s">
        <v>132</v>
      </c>
      <c r="E11" s="202">
        <v>3889</v>
      </c>
      <c r="F11" s="48"/>
      <c r="H11" s="183">
        <v>0</v>
      </c>
      <c r="I11" s="183">
        <v>0</v>
      </c>
      <c r="J11" s="183">
        <v>0</v>
      </c>
      <c r="K11" s="183">
        <v>0</v>
      </c>
      <c r="L11" s="183">
        <v>0</v>
      </c>
      <c r="M11" s="183">
        <v>0</v>
      </c>
      <c r="N11" s="183">
        <v>0</v>
      </c>
      <c r="O11" s="183">
        <f t="shared" si="2"/>
        <v>0</v>
      </c>
      <c r="P11" s="183">
        <f t="shared" si="2"/>
        <v>0</v>
      </c>
      <c r="Q11" s="183">
        <f t="shared" si="2"/>
        <v>0</v>
      </c>
      <c r="R11" s="183">
        <f t="shared" si="2"/>
        <v>0</v>
      </c>
      <c r="S11" s="183">
        <f t="shared" si="2"/>
        <v>0</v>
      </c>
    </row>
    <row r="12" spans="2:21" x14ac:dyDescent="0.35">
      <c r="B12" s="43"/>
      <c r="C12" s="44"/>
      <c r="D12" s="44"/>
      <c r="E12" s="44"/>
      <c r="F12" s="163"/>
      <c r="G12" s="186" t="s">
        <v>133</v>
      </c>
      <c r="H12" s="187">
        <v>2333</v>
      </c>
      <c r="I12" s="187">
        <v>0</v>
      </c>
      <c r="J12" s="187">
        <v>0</v>
      </c>
      <c r="K12" s="187">
        <v>0</v>
      </c>
      <c r="L12" s="187">
        <v>2333</v>
      </c>
      <c r="M12" s="187">
        <v>0</v>
      </c>
      <c r="N12" s="187">
        <v>2333</v>
      </c>
      <c r="O12" s="187">
        <f t="shared" ref="O12:S12" si="3">SUM(O7:O11)</f>
        <v>2917</v>
      </c>
      <c r="P12" s="187">
        <f t="shared" si="3"/>
        <v>0</v>
      </c>
      <c r="Q12" s="187">
        <f t="shared" si="3"/>
        <v>0</v>
      </c>
      <c r="R12" s="187">
        <f t="shared" si="3"/>
        <v>0</v>
      </c>
      <c r="S12" s="187">
        <f t="shared" si="3"/>
        <v>0</v>
      </c>
    </row>
    <row r="13" spans="2:21" ht="8.25" customHeight="1" x14ac:dyDescent="0.35">
      <c r="H13" s="146"/>
      <c r="I13" s="146"/>
      <c r="J13" s="146"/>
      <c r="K13" s="146"/>
      <c r="L13" s="146"/>
      <c r="M13" s="146"/>
      <c r="N13" s="146"/>
      <c r="O13" s="146"/>
      <c r="P13" s="146"/>
      <c r="Q13" s="146"/>
      <c r="R13" s="146"/>
      <c r="S13" s="146"/>
    </row>
    <row r="14" spans="2:21" x14ac:dyDescent="0.35">
      <c r="B14" s="41" t="s">
        <v>134</v>
      </c>
      <c r="C14" s="173"/>
      <c r="D14" s="173"/>
      <c r="E14" s="174"/>
      <c r="F14" s="47"/>
      <c r="G14" s="42" t="s">
        <v>119</v>
      </c>
      <c r="H14" s="175">
        <v>114469</v>
      </c>
      <c r="I14" s="175">
        <v>107834</v>
      </c>
      <c r="J14" s="175">
        <v>133607</v>
      </c>
      <c r="K14" s="175">
        <v>199787.24000000002</v>
      </c>
      <c r="L14" s="175">
        <v>237616</v>
      </c>
      <c r="M14" s="175">
        <v>197610</v>
      </c>
      <c r="N14" s="175">
        <v>173315</v>
      </c>
      <c r="O14" s="175">
        <v>176180</v>
      </c>
      <c r="P14" s="175">
        <v>1</v>
      </c>
      <c r="Q14" s="175">
        <v>1</v>
      </c>
      <c r="R14" s="175">
        <v>1</v>
      </c>
      <c r="S14" s="175">
        <v>1</v>
      </c>
      <c r="U14" s="40" t="s">
        <v>203</v>
      </c>
    </row>
    <row r="15" spans="2:21" x14ac:dyDescent="0.35">
      <c r="B15" s="45" t="s">
        <v>128</v>
      </c>
      <c r="C15" s="176"/>
      <c r="D15" s="176"/>
      <c r="E15" s="177"/>
      <c r="F15" s="48"/>
      <c r="G15" s="40" t="s">
        <v>95</v>
      </c>
      <c r="H15" s="178">
        <v>113091</v>
      </c>
      <c r="I15" s="178">
        <v>119978</v>
      </c>
      <c r="J15" s="178">
        <v>148420</v>
      </c>
      <c r="K15" s="178">
        <v>236607.94561486007</v>
      </c>
      <c r="L15" s="178">
        <v>204165</v>
      </c>
      <c r="M15" s="178">
        <v>166054</v>
      </c>
      <c r="N15" s="178">
        <v>146718</v>
      </c>
      <c r="O15" s="178">
        <v>149686</v>
      </c>
      <c r="P15" s="178">
        <v>100</v>
      </c>
      <c r="Q15" s="178">
        <v>100</v>
      </c>
      <c r="R15" s="178">
        <v>100</v>
      </c>
      <c r="S15" s="178">
        <v>100</v>
      </c>
      <c r="U15" s="40" t="s">
        <v>202</v>
      </c>
    </row>
    <row r="16" spans="2:21" x14ac:dyDescent="0.35">
      <c r="B16" s="45"/>
      <c r="C16" s="179" t="s">
        <v>129</v>
      </c>
      <c r="D16" s="179" t="s">
        <v>130</v>
      </c>
      <c r="E16" s="180" t="s">
        <v>131</v>
      </c>
      <c r="F16" s="48"/>
      <c r="G16" s="157" t="s">
        <v>37</v>
      </c>
      <c r="H16" s="181">
        <v>1.012</v>
      </c>
      <c r="I16" s="181">
        <v>0.89900000000000002</v>
      </c>
      <c r="J16" s="181">
        <v>0.9</v>
      </c>
      <c r="K16" s="181">
        <v>0.84399999999999997</v>
      </c>
      <c r="L16" s="181">
        <v>1.1639999999999999</v>
      </c>
      <c r="M16" s="181">
        <v>1.19</v>
      </c>
      <c r="N16" s="181">
        <v>1.181</v>
      </c>
      <c r="O16" s="181">
        <f t="shared" ref="O16:S16" si="4">IFERROR(ROUND(O14/O15,3)," - - -")</f>
        <v>1.177</v>
      </c>
      <c r="P16" s="181">
        <f t="shared" si="4"/>
        <v>0.01</v>
      </c>
      <c r="Q16" s="181">
        <f t="shared" si="4"/>
        <v>0.01</v>
      </c>
      <c r="R16" s="181">
        <f t="shared" si="4"/>
        <v>0.01</v>
      </c>
      <c r="S16" s="181">
        <f t="shared" si="4"/>
        <v>0.01</v>
      </c>
    </row>
    <row r="17" spans="2:21" x14ac:dyDescent="0.35">
      <c r="B17" s="45"/>
      <c r="C17" s="182">
        <v>0.8</v>
      </c>
      <c r="D17" s="182">
        <v>0.99990000000000001</v>
      </c>
      <c r="E17" s="202">
        <v>544</v>
      </c>
      <c r="F17" s="48"/>
      <c r="H17" s="183">
        <v>0</v>
      </c>
      <c r="I17" s="183">
        <v>544</v>
      </c>
      <c r="J17" s="183">
        <v>544</v>
      </c>
      <c r="K17" s="183">
        <v>544</v>
      </c>
      <c r="L17" s="183">
        <v>0</v>
      </c>
      <c r="M17" s="183">
        <v>0</v>
      </c>
      <c r="N17" s="183">
        <v>0</v>
      </c>
      <c r="O17" s="183">
        <f t="shared" ref="O17:S17" si="5">IF(AND(O$16&gt;=$C17,O$16&lt;=$D17),$E17,0)</f>
        <v>0</v>
      </c>
      <c r="P17" s="183">
        <f t="shared" si="5"/>
        <v>0</v>
      </c>
      <c r="Q17" s="183">
        <f t="shared" si="5"/>
        <v>0</v>
      </c>
      <c r="R17" s="183">
        <f t="shared" si="5"/>
        <v>0</v>
      </c>
      <c r="S17" s="183">
        <f t="shared" si="5"/>
        <v>0</v>
      </c>
    </row>
    <row r="18" spans="2:21" x14ac:dyDescent="0.35">
      <c r="B18" s="45"/>
      <c r="C18" s="182">
        <v>1</v>
      </c>
      <c r="D18" s="182">
        <v>1.1999</v>
      </c>
      <c r="E18" s="202">
        <v>681</v>
      </c>
      <c r="F18" s="48"/>
      <c r="H18" s="183">
        <v>681</v>
      </c>
      <c r="I18" s="183">
        <v>0</v>
      </c>
      <c r="J18" s="183">
        <v>0</v>
      </c>
      <c r="K18" s="183">
        <v>0</v>
      </c>
      <c r="L18" s="183">
        <v>681</v>
      </c>
      <c r="M18" s="183">
        <v>681</v>
      </c>
      <c r="N18" s="183">
        <v>681</v>
      </c>
      <c r="O18" s="183">
        <f t="shared" ref="O18:S21" si="6">IF(AND(O$16&gt;=$C18,O$16&lt;=$D18),$E18,0)</f>
        <v>681</v>
      </c>
      <c r="P18" s="183">
        <f t="shared" si="6"/>
        <v>0</v>
      </c>
      <c r="Q18" s="183">
        <f t="shared" si="6"/>
        <v>0</v>
      </c>
      <c r="R18" s="183">
        <f t="shared" si="6"/>
        <v>0</v>
      </c>
      <c r="S18" s="183">
        <f t="shared" si="6"/>
        <v>0</v>
      </c>
    </row>
    <row r="19" spans="2:21" x14ac:dyDescent="0.35">
      <c r="B19" s="45"/>
      <c r="C19" s="182">
        <v>1.2</v>
      </c>
      <c r="D19" s="182">
        <v>1.4999</v>
      </c>
      <c r="E19" s="202">
        <v>817</v>
      </c>
      <c r="F19" s="48"/>
      <c r="H19" s="183">
        <v>0</v>
      </c>
      <c r="I19" s="183">
        <v>0</v>
      </c>
      <c r="J19" s="183">
        <v>0</v>
      </c>
      <c r="K19" s="183">
        <v>0</v>
      </c>
      <c r="L19" s="183">
        <v>0</v>
      </c>
      <c r="M19" s="183">
        <v>0</v>
      </c>
      <c r="N19" s="183">
        <v>0</v>
      </c>
      <c r="O19" s="183">
        <f t="shared" si="6"/>
        <v>0</v>
      </c>
      <c r="P19" s="183">
        <f t="shared" si="6"/>
        <v>0</v>
      </c>
      <c r="Q19" s="183">
        <f t="shared" si="6"/>
        <v>0</v>
      </c>
      <c r="R19" s="183">
        <f t="shared" si="6"/>
        <v>0</v>
      </c>
      <c r="S19" s="183">
        <f t="shared" si="6"/>
        <v>0</v>
      </c>
    </row>
    <row r="20" spans="2:21" x14ac:dyDescent="0.35">
      <c r="B20" s="45"/>
      <c r="C20" s="182">
        <v>1.5</v>
      </c>
      <c r="D20" s="182">
        <v>1.9999</v>
      </c>
      <c r="E20" s="202">
        <v>1021</v>
      </c>
      <c r="F20" s="48"/>
      <c r="H20" s="183">
        <v>0</v>
      </c>
      <c r="I20" s="183">
        <v>0</v>
      </c>
      <c r="J20" s="183">
        <v>0</v>
      </c>
      <c r="K20" s="183">
        <v>0</v>
      </c>
      <c r="L20" s="183">
        <v>0</v>
      </c>
      <c r="M20" s="183">
        <v>0</v>
      </c>
      <c r="N20" s="183">
        <v>0</v>
      </c>
      <c r="O20" s="183">
        <f t="shared" si="6"/>
        <v>0</v>
      </c>
      <c r="P20" s="183">
        <f t="shared" si="6"/>
        <v>0</v>
      </c>
      <c r="Q20" s="183">
        <f t="shared" si="6"/>
        <v>0</v>
      </c>
      <c r="R20" s="183">
        <f t="shared" si="6"/>
        <v>0</v>
      </c>
      <c r="S20" s="183">
        <f t="shared" si="6"/>
        <v>0</v>
      </c>
    </row>
    <row r="21" spans="2:21" x14ac:dyDescent="0.35">
      <c r="B21" s="45"/>
      <c r="C21" s="184">
        <v>2</v>
      </c>
      <c r="D21" s="185" t="s">
        <v>132</v>
      </c>
      <c r="E21" s="202">
        <v>1361</v>
      </c>
      <c r="F21" s="48"/>
      <c r="H21" s="183">
        <v>0</v>
      </c>
      <c r="I21" s="183">
        <v>0</v>
      </c>
      <c r="J21" s="183">
        <v>0</v>
      </c>
      <c r="K21" s="183">
        <v>0</v>
      </c>
      <c r="L21" s="183">
        <v>0</v>
      </c>
      <c r="M21" s="183">
        <v>0</v>
      </c>
      <c r="N21" s="183">
        <v>0</v>
      </c>
      <c r="O21" s="183">
        <f t="shared" si="6"/>
        <v>0</v>
      </c>
      <c r="P21" s="183">
        <f t="shared" si="6"/>
        <v>0</v>
      </c>
      <c r="Q21" s="183">
        <f t="shared" si="6"/>
        <v>0</v>
      </c>
      <c r="R21" s="183">
        <f t="shared" si="6"/>
        <v>0</v>
      </c>
      <c r="S21" s="183">
        <f t="shared" si="6"/>
        <v>0</v>
      </c>
    </row>
    <row r="22" spans="2:21" x14ac:dyDescent="0.35">
      <c r="B22" s="43"/>
      <c r="C22" s="44"/>
      <c r="D22" s="44"/>
      <c r="E22" s="44"/>
      <c r="F22" s="163"/>
      <c r="G22" s="186" t="s">
        <v>133</v>
      </c>
      <c r="H22" s="187">
        <v>681</v>
      </c>
      <c r="I22" s="187">
        <v>544</v>
      </c>
      <c r="J22" s="187">
        <v>544</v>
      </c>
      <c r="K22" s="187">
        <v>544</v>
      </c>
      <c r="L22" s="187">
        <v>681</v>
      </c>
      <c r="M22" s="187">
        <v>681</v>
      </c>
      <c r="N22" s="187">
        <v>681</v>
      </c>
      <c r="O22" s="187">
        <f t="shared" ref="O22:S22" si="7">SUM(O17:O21)</f>
        <v>681</v>
      </c>
      <c r="P22" s="187">
        <f t="shared" si="7"/>
        <v>0</v>
      </c>
      <c r="Q22" s="187">
        <f t="shared" si="7"/>
        <v>0</v>
      </c>
      <c r="R22" s="187">
        <f t="shared" si="7"/>
        <v>0</v>
      </c>
      <c r="S22" s="187">
        <f t="shared" si="7"/>
        <v>0</v>
      </c>
    </row>
    <row r="23" spans="2:21" x14ac:dyDescent="0.35">
      <c r="B23" s="170"/>
    </row>
    <row r="24" spans="2:21" x14ac:dyDescent="0.35">
      <c r="B24" s="41" t="s">
        <v>135</v>
      </c>
      <c r="C24" s="173"/>
      <c r="D24" s="173"/>
      <c r="E24" s="174"/>
      <c r="F24" s="47"/>
      <c r="G24" s="42" t="s">
        <v>119</v>
      </c>
      <c r="H24" s="175">
        <v>107122</v>
      </c>
      <c r="I24" s="175">
        <v>102438</v>
      </c>
      <c r="J24" s="175">
        <v>108788</v>
      </c>
      <c r="K24" s="175">
        <v>106002.2</v>
      </c>
      <c r="L24" s="175">
        <v>120886</v>
      </c>
      <c r="M24" s="175">
        <v>104268</v>
      </c>
      <c r="N24" s="175">
        <v>118020</v>
      </c>
      <c r="O24" s="175">
        <v>121137</v>
      </c>
      <c r="P24" s="175">
        <v>1</v>
      </c>
      <c r="Q24" s="175">
        <v>1</v>
      </c>
      <c r="R24" s="175">
        <v>1</v>
      </c>
      <c r="S24" s="175">
        <v>1</v>
      </c>
      <c r="U24" s="40" t="s">
        <v>204</v>
      </c>
    </row>
    <row r="25" spans="2:21" x14ac:dyDescent="0.35">
      <c r="B25" s="45" t="s">
        <v>128</v>
      </c>
      <c r="C25" s="176"/>
      <c r="D25" s="176"/>
      <c r="E25" s="177"/>
      <c r="F25" s="48"/>
      <c r="G25" s="40" t="s">
        <v>95</v>
      </c>
      <c r="H25" s="178">
        <v>99957</v>
      </c>
      <c r="I25" s="178">
        <v>93753</v>
      </c>
      <c r="J25" s="178">
        <v>100193</v>
      </c>
      <c r="K25" s="178">
        <v>120639.63564619704</v>
      </c>
      <c r="L25" s="178">
        <v>115941</v>
      </c>
      <c r="M25" s="178">
        <v>123119</v>
      </c>
      <c r="N25" s="178">
        <v>114270</v>
      </c>
      <c r="O25" s="178">
        <v>116103</v>
      </c>
      <c r="P25" s="178">
        <v>100</v>
      </c>
      <c r="Q25" s="178">
        <v>100</v>
      </c>
      <c r="R25" s="178">
        <v>100</v>
      </c>
      <c r="S25" s="178">
        <v>100</v>
      </c>
      <c r="U25" s="40" t="s">
        <v>205</v>
      </c>
    </row>
    <row r="26" spans="2:21" x14ac:dyDescent="0.35">
      <c r="B26" s="45"/>
      <c r="C26" s="179" t="s">
        <v>129</v>
      </c>
      <c r="D26" s="179" t="s">
        <v>130</v>
      </c>
      <c r="E26" s="180" t="s">
        <v>131</v>
      </c>
      <c r="F26" s="48"/>
      <c r="G26" s="157" t="s">
        <v>37</v>
      </c>
      <c r="H26" s="181">
        <v>1.0720000000000001</v>
      </c>
      <c r="I26" s="181">
        <v>1.093</v>
      </c>
      <c r="J26" s="181">
        <v>1.0860000000000001</v>
      </c>
      <c r="K26" s="181">
        <v>0.879</v>
      </c>
      <c r="L26" s="181">
        <v>1.0429999999999999</v>
      </c>
      <c r="M26" s="181">
        <v>0.84699999999999998</v>
      </c>
      <c r="N26" s="181">
        <v>1.0329999999999999</v>
      </c>
      <c r="O26" s="181">
        <f t="shared" ref="O26:S26" si="8">IFERROR(ROUND(O24/O25,3)," - - -")</f>
        <v>1.0429999999999999</v>
      </c>
      <c r="P26" s="181">
        <f t="shared" si="8"/>
        <v>0.01</v>
      </c>
      <c r="Q26" s="181">
        <f t="shared" si="8"/>
        <v>0.01</v>
      </c>
      <c r="R26" s="181">
        <f t="shared" si="8"/>
        <v>0.01</v>
      </c>
      <c r="S26" s="181">
        <f t="shared" si="8"/>
        <v>0.01</v>
      </c>
    </row>
    <row r="27" spans="2:21" x14ac:dyDescent="0.35">
      <c r="B27" s="45"/>
      <c r="C27" s="182">
        <v>0.8</v>
      </c>
      <c r="D27" s="182">
        <v>0.99990000000000001</v>
      </c>
      <c r="E27" s="202">
        <v>544</v>
      </c>
      <c r="F27" s="48"/>
      <c r="H27" s="183">
        <v>0</v>
      </c>
      <c r="I27" s="183">
        <v>0</v>
      </c>
      <c r="J27" s="183">
        <v>0</v>
      </c>
      <c r="K27" s="183">
        <v>544</v>
      </c>
      <c r="L27" s="183">
        <v>0</v>
      </c>
      <c r="M27" s="183">
        <v>544</v>
      </c>
      <c r="N27" s="183">
        <v>0</v>
      </c>
      <c r="O27" s="183">
        <f t="shared" ref="O27:S27" si="9">IF(AND(O$26&gt;=$C27,O$26&lt;=$D27),$E27,0)</f>
        <v>0</v>
      </c>
      <c r="P27" s="183">
        <f t="shared" si="9"/>
        <v>0</v>
      </c>
      <c r="Q27" s="183">
        <f t="shared" si="9"/>
        <v>0</v>
      </c>
      <c r="R27" s="183">
        <f t="shared" si="9"/>
        <v>0</v>
      </c>
      <c r="S27" s="183">
        <f t="shared" si="9"/>
        <v>0</v>
      </c>
    </row>
    <row r="28" spans="2:21" x14ac:dyDescent="0.35">
      <c r="B28" s="45"/>
      <c r="C28" s="182">
        <v>1</v>
      </c>
      <c r="D28" s="182">
        <v>1.1999</v>
      </c>
      <c r="E28" s="202">
        <v>681</v>
      </c>
      <c r="F28" s="48"/>
      <c r="H28" s="183">
        <v>681</v>
      </c>
      <c r="I28" s="183">
        <v>681</v>
      </c>
      <c r="J28" s="183">
        <v>681</v>
      </c>
      <c r="K28" s="183">
        <v>0</v>
      </c>
      <c r="L28" s="183">
        <v>681</v>
      </c>
      <c r="M28" s="183">
        <v>0</v>
      </c>
      <c r="N28" s="183">
        <v>681</v>
      </c>
      <c r="O28" s="183">
        <f t="shared" ref="O28:S31" si="10">IF(AND(O$26&gt;=$C28,O$26&lt;=$D28),$E28,0)</f>
        <v>681</v>
      </c>
      <c r="P28" s="183">
        <f t="shared" si="10"/>
        <v>0</v>
      </c>
      <c r="Q28" s="183">
        <f t="shared" si="10"/>
        <v>0</v>
      </c>
      <c r="R28" s="183">
        <f t="shared" si="10"/>
        <v>0</v>
      </c>
      <c r="S28" s="183">
        <f t="shared" si="10"/>
        <v>0</v>
      </c>
    </row>
    <row r="29" spans="2:21" x14ac:dyDescent="0.35">
      <c r="B29" s="45"/>
      <c r="C29" s="182">
        <v>1.2</v>
      </c>
      <c r="D29" s="182">
        <v>1.4999</v>
      </c>
      <c r="E29" s="202">
        <v>817</v>
      </c>
      <c r="F29" s="48"/>
      <c r="H29" s="183">
        <v>0</v>
      </c>
      <c r="I29" s="183">
        <v>0</v>
      </c>
      <c r="J29" s="183">
        <v>0</v>
      </c>
      <c r="K29" s="183">
        <v>0</v>
      </c>
      <c r="L29" s="183">
        <v>0</v>
      </c>
      <c r="M29" s="183">
        <v>0</v>
      </c>
      <c r="N29" s="183">
        <v>0</v>
      </c>
      <c r="O29" s="183">
        <f t="shared" si="10"/>
        <v>0</v>
      </c>
      <c r="P29" s="183">
        <f t="shared" si="10"/>
        <v>0</v>
      </c>
      <c r="Q29" s="183">
        <f t="shared" si="10"/>
        <v>0</v>
      </c>
      <c r="R29" s="183">
        <f t="shared" si="10"/>
        <v>0</v>
      </c>
      <c r="S29" s="183">
        <f t="shared" si="10"/>
        <v>0</v>
      </c>
    </row>
    <row r="30" spans="2:21" x14ac:dyDescent="0.35">
      <c r="B30" s="45"/>
      <c r="C30" s="182">
        <v>1.5</v>
      </c>
      <c r="D30" s="182">
        <v>1.9999</v>
      </c>
      <c r="E30" s="202">
        <v>1021</v>
      </c>
      <c r="F30" s="48"/>
      <c r="H30" s="183">
        <v>0</v>
      </c>
      <c r="I30" s="183">
        <v>0</v>
      </c>
      <c r="J30" s="183">
        <v>0</v>
      </c>
      <c r="K30" s="183">
        <v>0</v>
      </c>
      <c r="L30" s="183">
        <v>0</v>
      </c>
      <c r="M30" s="183">
        <v>0</v>
      </c>
      <c r="N30" s="183">
        <v>0</v>
      </c>
      <c r="O30" s="183">
        <f t="shared" si="10"/>
        <v>0</v>
      </c>
      <c r="P30" s="183">
        <f t="shared" si="10"/>
        <v>0</v>
      </c>
      <c r="Q30" s="183">
        <f t="shared" si="10"/>
        <v>0</v>
      </c>
      <c r="R30" s="183">
        <f t="shared" si="10"/>
        <v>0</v>
      </c>
      <c r="S30" s="183">
        <f t="shared" si="10"/>
        <v>0</v>
      </c>
    </row>
    <row r="31" spans="2:21" x14ac:dyDescent="0.35">
      <c r="B31" s="45"/>
      <c r="C31" s="184">
        <v>2</v>
      </c>
      <c r="D31" s="185" t="s">
        <v>132</v>
      </c>
      <c r="E31" s="202">
        <v>1361</v>
      </c>
      <c r="F31" s="48"/>
      <c r="H31" s="183">
        <v>0</v>
      </c>
      <c r="I31" s="183">
        <v>0</v>
      </c>
      <c r="J31" s="183">
        <v>0</v>
      </c>
      <c r="K31" s="183">
        <v>0</v>
      </c>
      <c r="L31" s="183">
        <v>0</v>
      </c>
      <c r="M31" s="183">
        <v>0</v>
      </c>
      <c r="N31" s="183">
        <v>0</v>
      </c>
      <c r="O31" s="183">
        <f t="shared" si="10"/>
        <v>0</v>
      </c>
      <c r="P31" s="183">
        <f t="shared" si="10"/>
        <v>0</v>
      </c>
      <c r="Q31" s="183">
        <f t="shared" si="10"/>
        <v>0</v>
      </c>
      <c r="R31" s="183">
        <f t="shared" si="10"/>
        <v>0</v>
      </c>
      <c r="S31" s="183">
        <f t="shared" si="10"/>
        <v>0</v>
      </c>
    </row>
    <row r="32" spans="2:21" x14ac:dyDescent="0.35">
      <c r="B32" s="43"/>
      <c r="C32" s="44"/>
      <c r="D32" s="44"/>
      <c r="E32" s="44"/>
      <c r="F32" s="163"/>
      <c r="G32" s="186" t="s">
        <v>133</v>
      </c>
      <c r="H32" s="187">
        <v>681</v>
      </c>
      <c r="I32" s="187">
        <v>681</v>
      </c>
      <c r="J32" s="187">
        <v>681</v>
      </c>
      <c r="K32" s="187">
        <v>544</v>
      </c>
      <c r="L32" s="187">
        <v>681</v>
      </c>
      <c r="M32" s="187">
        <v>544</v>
      </c>
      <c r="N32" s="187">
        <v>681</v>
      </c>
      <c r="O32" s="187">
        <f t="shared" ref="O32:S32" si="11">SUM(O27:O31)</f>
        <v>681</v>
      </c>
      <c r="P32" s="187">
        <f t="shared" si="11"/>
        <v>0</v>
      </c>
      <c r="Q32" s="187">
        <f t="shared" si="11"/>
        <v>0</v>
      </c>
      <c r="R32" s="187">
        <f t="shared" si="11"/>
        <v>0</v>
      </c>
      <c r="S32" s="187">
        <f t="shared" si="11"/>
        <v>0</v>
      </c>
    </row>
    <row r="33" spans="2:19" ht="15" thickBot="1" x14ac:dyDescent="0.4">
      <c r="G33" s="188" t="s">
        <v>136</v>
      </c>
      <c r="H33" s="275">
        <v>3695</v>
      </c>
      <c r="I33" s="275">
        <v>1225</v>
      </c>
      <c r="J33" s="275">
        <v>1225</v>
      </c>
      <c r="K33" s="275">
        <v>1088</v>
      </c>
      <c r="L33" s="275">
        <v>3695</v>
      </c>
      <c r="M33" s="275">
        <v>1225</v>
      </c>
      <c r="N33" s="275">
        <v>3695</v>
      </c>
      <c r="O33" s="275">
        <f t="shared" ref="O33:S33" si="12">+O12+O22+O32</f>
        <v>4279</v>
      </c>
      <c r="P33" s="275">
        <f t="shared" si="12"/>
        <v>0</v>
      </c>
      <c r="Q33" s="275">
        <f t="shared" si="12"/>
        <v>0</v>
      </c>
      <c r="R33" s="275">
        <f t="shared" si="12"/>
        <v>0</v>
      </c>
      <c r="S33" s="275">
        <f t="shared" si="12"/>
        <v>0</v>
      </c>
    </row>
    <row r="34" spans="2:19" ht="15" thickTop="1" x14ac:dyDescent="0.35">
      <c r="B34" s="170" t="s">
        <v>137</v>
      </c>
    </row>
    <row r="35" spans="2:19" x14ac:dyDescent="0.35">
      <c r="B35" s="41" t="s">
        <v>138</v>
      </c>
      <c r="C35" s="173"/>
      <c r="D35" s="173"/>
      <c r="E35" s="174"/>
      <c r="F35" s="47"/>
      <c r="G35" s="42" t="s">
        <v>119</v>
      </c>
      <c r="H35" s="190"/>
      <c r="I35" s="191"/>
      <c r="J35" s="175">
        <v>114254</v>
      </c>
      <c r="K35" s="190"/>
      <c r="L35" s="191"/>
      <c r="M35" s="175">
        <f>199826-114254</f>
        <v>85572</v>
      </c>
      <c r="N35" s="190"/>
      <c r="O35" s="191"/>
      <c r="P35" s="175">
        <v>1</v>
      </c>
      <c r="Q35" s="190"/>
      <c r="R35" s="191"/>
      <c r="S35" s="175">
        <v>1</v>
      </c>
    </row>
    <row r="36" spans="2:19" x14ac:dyDescent="0.35">
      <c r="B36" s="45" t="s">
        <v>128</v>
      </c>
      <c r="C36" s="176"/>
      <c r="D36" s="176"/>
      <c r="E36" s="177"/>
      <c r="F36" s="48"/>
      <c r="G36" s="40" t="s">
        <v>95</v>
      </c>
      <c r="H36" s="190"/>
      <c r="I36" s="191"/>
      <c r="J36" s="178">
        <v>100734</v>
      </c>
      <c r="K36" s="190"/>
      <c r="L36" s="191"/>
      <c r="M36" s="178">
        <f>194876-100734</f>
        <v>94142</v>
      </c>
      <c r="N36" s="190"/>
      <c r="O36" s="191"/>
      <c r="P36" s="178">
        <v>100</v>
      </c>
      <c r="Q36" s="190"/>
      <c r="R36" s="191"/>
      <c r="S36" s="178">
        <v>100</v>
      </c>
    </row>
    <row r="37" spans="2:19" x14ac:dyDescent="0.35">
      <c r="B37" s="45"/>
      <c r="C37" s="179" t="s">
        <v>129</v>
      </c>
      <c r="D37" s="179" t="s">
        <v>130</v>
      </c>
      <c r="E37" s="180" t="s">
        <v>131</v>
      </c>
      <c r="F37" s="48"/>
      <c r="G37" s="157" t="s">
        <v>37</v>
      </c>
      <c r="H37" s="166"/>
      <c r="I37" s="192"/>
      <c r="J37" s="181">
        <f>IFERROR(ROUND(J35/J36,3)," - - -")</f>
        <v>1.1339999999999999</v>
      </c>
      <c r="K37" s="166"/>
      <c r="L37" s="192"/>
      <c r="M37" s="181">
        <f>IFERROR(ROUND(M35/M36,3)," - - -")</f>
        <v>0.90900000000000003</v>
      </c>
      <c r="N37" s="166"/>
      <c r="O37" s="192"/>
      <c r="P37" s="181">
        <f>IFERROR(ROUND(P35/P36,3)," - - -")</f>
        <v>0.01</v>
      </c>
      <c r="Q37" s="166"/>
      <c r="R37" s="192"/>
      <c r="S37" s="181">
        <f>IFERROR(ROUND(S35/S36,3)," - - -")</f>
        <v>0.01</v>
      </c>
    </row>
    <row r="38" spans="2:19" x14ac:dyDescent="0.35">
      <c r="B38" s="45"/>
      <c r="C38" s="182">
        <v>0.8</v>
      </c>
      <c r="D38" s="182">
        <v>0.99990000000000001</v>
      </c>
      <c r="E38" s="202">
        <v>700</v>
      </c>
      <c r="F38" s="48"/>
      <c r="H38" s="193"/>
      <c r="I38" s="194"/>
      <c r="J38" s="183">
        <f t="shared" ref="J38:S42" si="13">IF(AND(J$37&gt;=$C38,J$37&lt;=$D38),$E38,0)</f>
        <v>0</v>
      </c>
      <c r="K38" s="193"/>
      <c r="L38" s="194"/>
      <c r="M38" s="183">
        <f t="shared" si="13"/>
        <v>700</v>
      </c>
      <c r="N38" s="193"/>
      <c r="O38" s="194"/>
      <c r="P38" s="183">
        <f t="shared" si="13"/>
        <v>0</v>
      </c>
      <c r="Q38" s="193"/>
      <c r="R38" s="194"/>
      <c r="S38" s="183">
        <f t="shared" si="13"/>
        <v>0</v>
      </c>
    </row>
    <row r="39" spans="2:19" x14ac:dyDescent="0.35">
      <c r="B39" s="45"/>
      <c r="C39" s="182">
        <v>1</v>
      </c>
      <c r="D39" s="182">
        <v>1.1999</v>
      </c>
      <c r="E39" s="202">
        <v>875</v>
      </c>
      <c r="F39" s="48"/>
      <c r="H39" s="193"/>
      <c r="I39" s="194"/>
      <c r="J39" s="183">
        <f t="shared" si="13"/>
        <v>875</v>
      </c>
      <c r="K39" s="193"/>
      <c r="L39" s="194"/>
      <c r="M39" s="183">
        <f t="shared" si="13"/>
        <v>0</v>
      </c>
      <c r="N39" s="193"/>
      <c r="O39" s="194"/>
      <c r="P39" s="183">
        <f t="shared" si="13"/>
        <v>0</v>
      </c>
      <c r="Q39" s="193"/>
      <c r="R39" s="194"/>
      <c r="S39" s="183">
        <f t="shared" si="13"/>
        <v>0</v>
      </c>
    </row>
    <row r="40" spans="2:19" x14ac:dyDescent="0.35">
      <c r="B40" s="45"/>
      <c r="C40" s="182">
        <v>1.2</v>
      </c>
      <c r="D40" s="182">
        <v>1.4999</v>
      </c>
      <c r="E40" s="202">
        <v>1050</v>
      </c>
      <c r="F40" s="48"/>
      <c r="H40" s="193"/>
      <c r="I40" s="194"/>
      <c r="J40" s="183">
        <f t="shared" si="13"/>
        <v>0</v>
      </c>
      <c r="K40" s="193"/>
      <c r="L40" s="194"/>
      <c r="M40" s="183">
        <f t="shared" si="13"/>
        <v>0</v>
      </c>
      <c r="N40" s="193"/>
      <c r="O40" s="194"/>
      <c r="P40" s="183">
        <f t="shared" si="13"/>
        <v>0</v>
      </c>
      <c r="Q40" s="193"/>
      <c r="R40" s="194"/>
      <c r="S40" s="183">
        <f t="shared" si="13"/>
        <v>0</v>
      </c>
    </row>
    <row r="41" spans="2:19" x14ac:dyDescent="0.35">
      <c r="B41" s="45"/>
      <c r="C41" s="182">
        <v>1.5</v>
      </c>
      <c r="D41" s="182">
        <v>1.9999</v>
      </c>
      <c r="E41" s="202">
        <v>1313</v>
      </c>
      <c r="F41" s="48"/>
      <c r="H41" s="193"/>
      <c r="I41" s="194"/>
      <c r="J41" s="183">
        <f t="shared" si="13"/>
        <v>0</v>
      </c>
      <c r="K41" s="193"/>
      <c r="L41" s="194"/>
      <c r="M41" s="183">
        <f t="shared" si="13"/>
        <v>0</v>
      </c>
      <c r="N41" s="193"/>
      <c r="O41" s="194"/>
      <c r="P41" s="183">
        <f t="shared" si="13"/>
        <v>0</v>
      </c>
      <c r="Q41" s="193"/>
      <c r="R41" s="194"/>
      <c r="S41" s="183">
        <f t="shared" si="13"/>
        <v>0</v>
      </c>
    </row>
    <row r="42" spans="2:19" x14ac:dyDescent="0.35">
      <c r="B42" s="45"/>
      <c r="C42" s="184">
        <v>2</v>
      </c>
      <c r="D42" s="185" t="s">
        <v>132</v>
      </c>
      <c r="E42" s="202">
        <v>1750</v>
      </c>
      <c r="F42" s="48"/>
      <c r="H42" s="193"/>
      <c r="I42" s="194"/>
      <c r="J42" s="183">
        <f t="shared" si="13"/>
        <v>0</v>
      </c>
      <c r="K42" s="193"/>
      <c r="L42" s="194"/>
      <c r="M42" s="183">
        <f t="shared" si="13"/>
        <v>0</v>
      </c>
      <c r="N42" s="193"/>
      <c r="O42" s="194"/>
      <c r="P42" s="183">
        <f t="shared" si="13"/>
        <v>0</v>
      </c>
      <c r="Q42" s="193"/>
      <c r="R42" s="194"/>
      <c r="S42" s="183">
        <f t="shared" si="13"/>
        <v>0</v>
      </c>
    </row>
    <row r="43" spans="2:19" x14ac:dyDescent="0.35">
      <c r="B43" s="43"/>
      <c r="C43" s="44"/>
      <c r="D43" s="44"/>
      <c r="E43" s="44"/>
      <c r="F43" s="163"/>
      <c r="G43" s="186" t="s">
        <v>133</v>
      </c>
      <c r="H43" s="190"/>
      <c r="I43" s="191"/>
      <c r="J43" s="187">
        <f t="shared" ref="J43" si="14">SUM(J38:J42)</f>
        <v>875</v>
      </c>
      <c r="K43" s="190"/>
      <c r="L43" s="191"/>
      <c r="M43" s="187">
        <f t="shared" ref="M43" si="15">SUM(M38:M42)</f>
        <v>700</v>
      </c>
      <c r="N43" s="190"/>
      <c r="O43" s="191"/>
      <c r="P43" s="187">
        <f t="shared" ref="P43" si="16">SUM(P38:P42)</f>
        <v>0</v>
      </c>
      <c r="Q43" s="190"/>
      <c r="R43" s="191"/>
      <c r="S43" s="187">
        <f t="shared" ref="S43" si="17">SUM(S38:S42)</f>
        <v>0</v>
      </c>
    </row>
    <row r="45" spans="2:19" x14ac:dyDescent="0.35">
      <c r="B45" s="41" t="s">
        <v>142</v>
      </c>
      <c r="C45" s="173"/>
      <c r="D45" s="173"/>
      <c r="E45" s="174"/>
      <c r="F45" s="47"/>
      <c r="G45" s="42" t="s">
        <v>119</v>
      </c>
      <c r="H45" s="190"/>
      <c r="I45" s="191"/>
      <c r="J45" s="277">
        <v>4.71</v>
      </c>
      <c r="K45" s="190"/>
      <c r="L45" s="191"/>
      <c r="M45" s="277">
        <v>4.67</v>
      </c>
      <c r="N45" s="190"/>
      <c r="O45" s="191"/>
      <c r="P45" s="195">
        <v>0</v>
      </c>
      <c r="Q45" s="190"/>
      <c r="R45" s="191"/>
      <c r="S45" s="195">
        <v>0</v>
      </c>
    </row>
    <row r="46" spans="2:19" x14ac:dyDescent="0.35">
      <c r="B46" s="45" t="s">
        <v>143</v>
      </c>
      <c r="C46" s="176"/>
      <c r="D46" s="176"/>
      <c r="E46" s="177"/>
      <c r="F46" s="48"/>
      <c r="G46" s="40" t="s">
        <v>95</v>
      </c>
      <c r="H46" s="190"/>
      <c r="I46" s="191"/>
      <c r="J46" s="196">
        <v>4.75</v>
      </c>
      <c r="K46" s="190"/>
      <c r="L46" s="191"/>
      <c r="M46" s="196">
        <v>4.75</v>
      </c>
      <c r="N46" s="190"/>
      <c r="O46" s="191"/>
      <c r="P46" s="196">
        <v>4.75</v>
      </c>
      <c r="Q46" s="190"/>
      <c r="R46" s="191"/>
      <c r="S46" s="196">
        <v>4.75</v>
      </c>
    </row>
    <row r="47" spans="2:19" x14ac:dyDescent="0.35">
      <c r="B47" s="45"/>
      <c r="C47" s="179" t="s">
        <v>129</v>
      </c>
      <c r="D47" s="179" t="s">
        <v>130</v>
      </c>
      <c r="E47" s="180" t="s">
        <v>131</v>
      </c>
      <c r="F47" s="48"/>
      <c r="G47" s="157" t="s">
        <v>37</v>
      </c>
      <c r="H47" s="166"/>
      <c r="I47" s="192"/>
      <c r="J47" s="181">
        <f>IFERROR(ROUND(J45/J46,3)," - - -")</f>
        <v>0.99199999999999999</v>
      </c>
      <c r="K47" s="166"/>
      <c r="L47" s="192"/>
      <c r="M47" s="181">
        <f>IFERROR(ROUND(M45/M46,3)," - - -")</f>
        <v>0.98299999999999998</v>
      </c>
      <c r="N47" s="166"/>
      <c r="O47" s="192"/>
      <c r="P47" s="181">
        <f>IFERROR(ROUND(P45/P46,3)," - - -")</f>
        <v>0</v>
      </c>
      <c r="Q47" s="166"/>
      <c r="R47" s="192"/>
      <c r="S47" s="181">
        <f>IFERROR(ROUND(S45/S46,3)," - - -")</f>
        <v>0</v>
      </c>
    </row>
    <row r="48" spans="2:19" x14ac:dyDescent="0.35">
      <c r="B48" s="45"/>
      <c r="C48" s="200">
        <v>4.5999999999999996</v>
      </c>
      <c r="D48" s="200">
        <v>4.6900000000000004</v>
      </c>
      <c r="E48" s="202">
        <v>700</v>
      </c>
      <c r="F48" s="48"/>
      <c r="H48" s="193"/>
      <c r="I48" s="194"/>
      <c r="J48" s="183">
        <f>IF(AND(J$45&gt;=$C48,J$45&lt;=$D48),$E48,0)</f>
        <v>0</v>
      </c>
      <c r="K48" s="193"/>
      <c r="L48" s="194"/>
      <c r="M48" s="183">
        <f>IF(AND(M$45&gt;=$C48,M$45&lt;=$D48),$E48,0)</f>
        <v>700</v>
      </c>
      <c r="N48" s="193"/>
      <c r="O48" s="194"/>
      <c r="P48" s="183">
        <f>IF(AND(P$45&gt;=$C48,P$45&lt;=$D48),$E48,0)</f>
        <v>0</v>
      </c>
      <c r="Q48" s="193"/>
      <c r="R48" s="194"/>
      <c r="S48" s="183">
        <f>IF(AND(S$45&gt;=$C48,S$45&lt;=$D48),$E48,0)</f>
        <v>0</v>
      </c>
    </row>
    <row r="49" spans="2:19" x14ac:dyDescent="0.35">
      <c r="B49" s="45"/>
      <c r="C49" s="200">
        <v>4.7</v>
      </c>
      <c r="D49" s="200">
        <v>4.7300000000000004</v>
      </c>
      <c r="E49" s="202">
        <v>875</v>
      </c>
      <c r="F49" s="48"/>
      <c r="H49" s="193"/>
      <c r="I49" s="194"/>
      <c r="J49" s="183">
        <f t="shared" ref="J49:J50" si="18">IF(AND(J$45&gt;=$C49,J$45&lt;=$D49),$E49,0)</f>
        <v>875</v>
      </c>
      <c r="K49" s="193"/>
      <c r="L49" s="194"/>
      <c r="M49" s="183">
        <f t="shared" ref="M49:M50" si="19">IF(AND(M$45&gt;=$C49,M$45&lt;=$D49),$E49,0)</f>
        <v>0</v>
      </c>
      <c r="N49" s="193"/>
      <c r="O49" s="194"/>
      <c r="P49" s="183">
        <f t="shared" ref="P49:P50" si="20">IF(AND(P$45&gt;=$C49,P$45&lt;=$D49),$E49,0)</f>
        <v>0</v>
      </c>
      <c r="Q49" s="193"/>
      <c r="R49" s="194"/>
      <c r="S49" s="183">
        <f t="shared" ref="S49:S50" si="21">IF(AND(S$45&gt;=$C49,S$45&lt;=$D49),$E49,0)</f>
        <v>0</v>
      </c>
    </row>
    <row r="50" spans="2:19" x14ac:dyDescent="0.35">
      <c r="B50" s="45"/>
      <c r="C50" s="201">
        <v>4.74</v>
      </c>
      <c r="D50" s="185" t="s">
        <v>132</v>
      </c>
      <c r="E50" s="202">
        <v>1050</v>
      </c>
      <c r="F50" s="48"/>
      <c r="H50" s="193"/>
      <c r="I50" s="194"/>
      <c r="J50" s="183">
        <f t="shared" si="18"/>
        <v>0</v>
      </c>
      <c r="K50" s="193"/>
      <c r="L50" s="194"/>
      <c r="M50" s="183">
        <f t="shared" si="19"/>
        <v>0</v>
      </c>
      <c r="N50" s="193"/>
      <c r="O50" s="194"/>
      <c r="P50" s="183">
        <f t="shared" si="20"/>
        <v>0</v>
      </c>
      <c r="Q50" s="193"/>
      <c r="R50" s="194"/>
      <c r="S50" s="183">
        <f t="shared" si="21"/>
        <v>0</v>
      </c>
    </row>
    <row r="51" spans="2:19" x14ac:dyDescent="0.35">
      <c r="B51" s="43"/>
      <c r="C51" s="44"/>
      <c r="D51" s="44"/>
      <c r="E51" s="44"/>
      <c r="F51" s="163"/>
      <c r="G51" s="186" t="s">
        <v>133</v>
      </c>
      <c r="H51" s="190"/>
      <c r="I51" s="191"/>
      <c r="J51" s="187">
        <f>SUM(J48:J50)</f>
        <v>875</v>
      </c>
      <c r="K51" s="190"/>
      <c r="L51" s="191"/>
      <c r="M51" s="187">
        <f>SUM(M48:M50)</f>
        <v>700</v>
      </c>
      <c r="N51" s="190"/>
      <c r="O51" s="191"/>
      <c r="P51" s="187">
        <f>SUM(P48:P50)</f>
        <v>0</v>
      </c>
      <c r="Q51" s="190"/>
      <c r="R51" s="191"/>
      <c r="S51" s="187">
        <f>SUM(S48:S50)</f>
        <v>0</v>
      </c>
    </row>
    <row r="52" spans="2:19" ht="15" thickBot="1" x14ac:dyDescent="0.4">
      <c r="G52" s="188" t="s">
        <v>139</v>
      </c>
      <c r="H52" s="46"/>
      <c r="I52" s="46"/>
      <c r="J52" s="189">
        <f>+J43+J51</f>
        <v>1750</v>
      </c>
      <c r="M52" s="189">
        <f>+M43+M51</f>
        <v>1400</v>
      </c>
      <c r="P52" s="189">
        <f>+P43+P51</f>
        <v>0</v>
      </c>
      <c r="S52" s="189">
        <f>+S43+S51</f>
        <v>0</v>
      </c>
    </row>
    <row r="53" spans="2:19" ht="15" thickTop="1" x14ac:dyDescent="0.35"/>
    <row r="54" spans="2:19" ht="15" thickBot="1" x14ac:dyDescent="0.4">
      <c r="G54" s="197" t="s">
        <v>140</v>
      </c>
      <c r="H54" s="198"/>
      <c r="J54" s="199">
        <f>+J33+J52</f>
        <v>2975</v>
      </c>
      <c r="K54" s="139"/>
      <c r="L54" s="139"/>
      <c r="M54" s="199">
        <f>+M33+M52</f>
        <v>2625</v>
      </c>
      <c r="N54" s="139"/>
      <c r="O54" s="139"/>
      <c r="P54" s="199">
        <f>+P33+P52</f>
        <v>0</v>
      </c>
      <c r="Q54" s="139"/>
      <c r="R54" s="139"/>
      <c r="S54" s="199">
        <f>+S33+S52</f>
        <v>0</v>
      </c>
    </row>
    <row r="55" spans="2:19" ht="15" thickTop="1" x14ac:dyDescent="0.35"/>
  </sheetData>
  <pageMargins left="0.7" right="0.7" top="0.75" bottom="0.75" header="0.3" footer="0.3"/>
  <pageSetup scale="62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B1:S40"/>
  <sheetViews>
    <sheetView workbookViewId="0">
      <pane xSplit="7" ySplit="3" topLeftCell="H4" activePane="bottomRight" state="frozen"/>
      <selection activeCell="V35" sqref="V35"/>
      <selection pane="topRight" activeCell="V35" sqref="V35"/>
      <selection pane="bottomLeft" activeCell="V35" sqref="V35"/>
      <selection pane="bottomRight" activeCell="V35" sqref="V35"/>
    </sheetView>
  </sheetViews>
  <sheetFormatPr baseColWidth="10" defaultColWidth="11.453125" defaultRowHeight="14.5" x14ac:dyDescent="0.35"/>
  <cols>
    <col min="1" max="1" width="3.7265625" style="40" customWidth="1"/>
    <col min="2" max="2" width="30.54296875" style="40" bestFit="1" customWidth="1"/>
    <col min="3" max="4" width="10.7265625" style="40" customWidth="1"/>
    <col min="5" max="5" width="10.54296875" style="40" bestFit="1" customWidth="1"/>
    <col min="6" max="6" width="1.7265625" style="40" customWidth="1"/>
    <col min="7" max="7" width="11.453125" style="40"/>
    <col min="8" max="19" width="11.453125" style="40" customWidth="1"/>
    <col min="20" max="16384" width="11.453125" style="40"/>
  </cols>
  <sheetData>
    <row r="1" spans="2:19" x14ac:dyDescent="0.35">
      <c r="B1" s="167" t="s">
        <v>150</v>
      </c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9"/>
    </row>
    <row r="2" spans="2:19" ht="8.25" customHeight="1" x14ac:dyDescent="0.35"/>
    <row r="3" spans="2:19" x14ac:dyDescent="0.35">
      <c r="B3" s="170" t="s">
        <v>126</v>
      </c>
      <c r="C3" s="171"/>
      <c r="D3" s="171"/>
      <c r="H3" s="172">
        <v>44957</v>
      </c>
      <c r="I3" s="172">
        <v>44985</v>
      </c>
      <c r="J3" s="172">
        <v>45016</v>
      </c>
      <c r="K3" s="172">
        <v>45046</v>
      </c>
      <c r="L3" s="172">
        <v>45077</v>
      </c>
      <c r="M3" s="172">
        <v>45107</v>
      </c>
      <c r="N3" s="172">
        <v>45138</v>
      </c>
      <c r="O3" s="172">
        <v>45169</v>
      </c>
      <c r="P3" s="172">
        <v>45199</v>
      </c>
      <c r="Q3" s="172">
        <v>45230</v>
      </c>
      <c r="R3" s="172">
        <v>45260</v>
      </c>
      <c r="S3" s="172">
        <v>45291</v>
      </c>
    </row>
    <row r="4" spans="2:19" x14ac:dyDescent="0.35">
      <c r="B4" s="41" t="s">
        <v>151</v>
      </c>
      <c r="C4" s="173"/>
      <c r="D4" s="173"/>
      <c r="E4" s="174"/>
      <c r="F4" s="47"/>
      <c r="G4" s="42" t="s">
        <v>119</v>
      </c>
      <c r="H4" s="175">
        <v>146334</v>
      </c>
      <c r="I4" s="175">
        <v>105116</v>
      </c>
      <c r="J4" s="175">
        <v>198174</v>
      </c>
      <c r="K4" s="175">
        <v>1</v>
      </c>
      <c r="L4" s="175">
        <v>1</v>
      </c>
      <c r="M4" s="175">
        <v>1</v>
      </c>
      <c r="N4" s="175">
        <v>1</v>
      </c>
      <c r="O4" s="175">
        <v>1</v>
      </c>
      <c r="P4" s="175">
        <v>1</v>
      </c>
      <c r="Q4" s="175">
        <v>1</v>
      </c>
      <c r="R4" s="175">
        <v>1</v>
      </c>
      <c r="S4" s="175">
        <v>1</v>
      </c>
    </row>
    <row r="5" spans="2:19" x14ac:dyDescent="0.35">
      <c r="B5" s="45" t="s">
        <v>128</v>
      </c>
      <c r="C5" s="176"/>
      <c r="D5" s="176"/>
      <c r="E5" s="177"/>
      <c r="F5" s="48"/>
      <c r="G5" s="40" t="s">
        <v>95</v>
      </c>
      <c r="H5" s="178">
        <v>174234</v>
      </c>
      <c r="I5" s="178">
        <v>129282</v>
      </c>
      <c r="J5" s="178">
        <v>232822</v>
      </c>
      <c r="K5" s="178">
        <v>100</v>
      </c>
      <c r="L5" s="178">
        <v>100</v>
      </c>
      <c r="M5" s="178">
        <v>100</v>
      </c>
      <c r="N5" s="178">
        <v>100</v>
      </c>
      <c r="O5" s="178">
        <v>100</v>
      </c>
      <c r="P5" s="178">
        <v>100</v>
      </c>
      <c r="Q5" s="178">
        <v>100</v>
      </c>
      <c r="R5" s="178">
        <v>100</v>
      </c>
      <c r="S5" s="178">
        <v>100</v>
      </c>
    </row>
    <row r="6" spans="2:19" x14ac:dyDescent="0.35">
      <c r="B6" s="45"/>
      <c r="C6" s="179" t="s">
        <v>129</v>
      </c>
      <c r="D6" s="179" t="s">
        <v>130</v>
      </c>
      <c r="E6" s="180" t="s">
        <v>131</v>
      </c>
      <c r="F6" s="48"/>
      <c r="G6" s="157" t="s">
        <v>37</v>
      </c>
      <c r="H6" s="181">
        <f>IFERROR(ROUND(H4/H5,3)," - - -")</f>
        <v>0.84</v>
      </c>
      <c r="I6" s="181">
        <f t="shared" ref="I6:S6" si="0">IFERROR(ROUND(I4/I5,3)," - - -")</f>
        <v>0.81299999999999994</v>
      </c>
      <c r="J6" s="181">
        <f t="shared" si="0"/>
        <v>0.85099999999999998</v>
      </c>
      <c r="K6" s="181">
        <f t="shared" si="0"/>
        <v>0.01</v>
      </c>
      <c r="L6" s="181">
        <f t="shared" si="0"/>
        <v>0.01</v>
      </c>
      <c r="M6" s="181">
        <f t="shared" si="0"/>
        <v>0.01</v>
      </c>
      <c r="N6" s="181">
        <f t="shared" si="0"/>
        <v>0.01</v>
      </c>
      <c r="O6" s="181">
        <f t="shared" si="0"/>
        <v>0.01</v>
      </c>
      <c r="P6" s="181">
        <f t="shared" si="0"/>
        <v>0.01</v>
      </c>
      <c r="Q6" s="181">
        <f t="shared" si="0"/>
        <v>0.01</v>
      </c>
      <c r="R6" s="181">
        <f t="shared" si="0"/>
        <v>0.01</v>
      </c>
      <c r="S6" s="181">
        <f t="shared" si="0"/>
        <v>0.01</v>
      </c>
    </row>
    <row r="7" spans="2:19" x14ac:dyDescent="0.35">
      <c r="B7" s="45"/>
      <c r="C7" s="182">
        <v>0.85</v>
      </c>
      <c r="D7" s="182">
        <v>0.99990000000000001</v>
      </c>
      <c r="E7" s="202">
        <v>1000</v>
      </c>
      <c r="F7" s="48"/>
      <c r="H7" s="183">
        <f>IF(AND(H$6&gt;=$C7,H$6&lt;=$D7),$E7,0)</f>
        <v>0</v>
      </c>
      <c r="I7" s="183">
        <f t="shared" ref="I7:S7" si="1">IF(AND(I$6&gt;=$C7,I$6&lt;=$D7),$E7,0)</f>
        <v>0</v>
      </c>
      <c r="J7" s="183">
        <f t="shared" si="1"/>
        <v>1000</v>
      </c>
      <c r="K7" s="183">
        <f t="shared" si="1"/>
        <v>0</v>
      </c>
      <c r="L7" s="183">
        <f t="shared" si="1"/>
        <v>0</v>
      </c>
      <c r="M7" s="183">
        <f t="shared" si="1"/>
        <v>0</v>
      </c>
      <c r="N7" s="183">
        <f t="shared" si="1"/>
        <v>0</v>
      </c>
      <c r="O7" s="183">
        <f t="shared" si="1"/>
        <v>0</v>
      </c>
      <c r="P7" s="183">
        <f t="shared" si="1"/>
        <v>0</v>
      </c>
      <c r="Q7" s="183">
        <f t="shared" si="1"/>
        <v>0</v>
      </c>
      <c r="R7" s="183">
        <f t="shared" si="1"/>
        <v>0</v>
      </c>
      <c r="S7" s="183">
        <f t="shared" si="1"/>
        <v>0</v>
      </c>
    </row>
    <row r="8" spans="2:19" x14ac:dyDescent="0.35">
      <c r="B8" s="45"/>
      <c r="C8" s="182">
        <v>1</v>
      </c>
      <c r="D8" s="182">
        <v>1.149</v>
      </c>
      <c r="E8" s="202">
        <v>1500</v>
      </c>
      <c r="F8" s="48"/>
      <c r="H8" s="183">
        <f t="shared" ref="H8:S9" si="2">IF(AND(H$6&gt;=$C8,H$6&lt;=$D8),$E8,0)</f>
        <v>0</v>
      </c>
      <c r="I8" s="183">
        <f t="shared" si="2"/>
        <v>0</v>
      </c>
      <c r="J8" s="183">
        <f t="shared" si="2"/>
        <v>0</v>
      </c>
      <c r="K8" s="183">
        <f t="shared" si="2"/>
        <v>0</v>
      </c>
      <c r="L8" s="183">
        <f t="shared" si="2"/>
        <v>0</v>
      </c>
      <c r="M8" s="183">
        <f t="shared" si="2"/>
        <v>0</v>
      </c>
      <c r="N8" s="183">
        <f t="shared" si="2"/>
        <v>0</v>
      </c>
      <c r="O8" s="183">
        <f t="shared" si="2"/>
        <v>0</v>
      </c>
      <c r="P8" s="183">
        <f t="shared" si="2"/>
        <v>0</v>
      </c>
      <c r="Q8" s="183">
        <f t="shared" si="2"/>
        <v>0</v>
      </c>
      <c r="R8" s="183">
        <f t="shared" si="2"/>
        <v>0</v>
      </c>
      <c r="S8" s="183">
        <f t="shared" si="2"/>
        <v>0</v>
      </c>
    </row>
    <row r="9" spans="2:19" x14ac:dyDescent="0.35">
      <c r="B9" s="45"/>
      <c r="C9" s="184">
        <v>1.1499999999999999</v>
      </c>
      <c r="D9" s="185" t="s">
        <v>132</v>
      </c>
      <c r="E9" s="202">
        <v>2000</v>
      </c>
      <c r="F9" s="48"/>
      <c r="H9" s="183">
        <f t="shared" si="2"/>
        <v>0</v>
      </c>
      <c r="I9" s="183">
        <f t="shared" si="2"/>
        <v>0</v>
      </c>
      <c r="J9" s="183">
        <f t="shared" si="2"/>
        <v>0</v>
      </c>
      <c r="K9" s="183">
        <f t="shared" si="2"/>
        <v>0</v>
      </c>
      <c r="L9" s="183">
        <f t="shared" si="2"/>
        <v>0</v>
      </c>
      <c r="M9" s="183">
        <f t="shared" si="2"/>
        <v>0</v>
      </c>
      <c r="N9" s="183">
        <f t="shared" si="2"/>
        <v>0</v>
      </c>
      <c r="O9" s="183">
        <f t="shared" si="2"/>
        <v>0</v>
      </c>
      <c r="P9" s="183">
        <f t="shared" si="2"/>
        <v>0</v>
      </c>
      <c r="Q9" s="183">
        <f t="shared" si="2"/>
        <v>0</v>
      </c>
      <c r="R9" s="183">
        <f t="shared" si="2"/>
        <v>0</v>
      </c>
      <c r="S9" s="183">
        <f t="shared" si="2"/>
        <v>0</v>
      </c>
    </row>
    <row r="10" spans="2:19" x14ac:dyDescent="0.35">
      <c r="B10" s="43"/>
      <c r="C10" s="44"/>
      <c r="D10" s="44"/>
      <c r="E10" s="44"/>
      <c r="F10" s="163"/>
      <c r="G10" s="186" t="s">
        <v>133</v>
      </c>
      <c r="H10" s="187">
        <f>SUM(H7:H9)</f>
        <v>0</v>
      </c>
      <c r="I10" s="187">
        <f t="shared" ref="I10:S10" si="3">SUM(I7:I9)</f>
        <v>0</v>
      </c>
      <c r="J10" s="187">
        <f t="shared" si="3"/>
        <v>1000</v>
      </c>
      <c r="K10" s="187">
        <f t="shared" si="3"/>
        <v>0</v>
      </c>
      <c r="L10" s="187">
        <f t="shared" si="3"/>
        <v>0</v>
      </c>
      <c r="M10" s="187">
        <f t="shared" si="3"/>
        <v>0</v>
      </c>
      <c r="N10" s="187">
        <f t="shared" si="3"/>
        <v>0</v>
      </c>
      <c r="O10" s="187">
        <f t="shared" si="3"/>
        <v>0</v>
      </c>
      <c r="P10" s="187">
        <f t="shared" si="3"/>
        <v>0</v>
      </c>
      <c r="Q10" s="187">
        <f t="shared" si="3"/>
        <v>0</v>
      </c>
      <c r="R10" s="187">
        <f t="shared" si="3"/>
        <v>0</v>
      </c>
      <c r="S10" s="187">
        <f t="shared" si="3"/>
        <v>0</v>
      </c>
    </row>
    <row r="11" spans="2:19" ht="8.25" customHeight="1" x14ac:dyDescent="0.35">
      <c r="H11" s="146"/>
      <c r="I11" s="146"/>
      <c r="J11" s="146"/>
      <c r="K11" s="146"/>
      <c r="L11" s="146"/>
      <c r="M11" s="146"/>
      <c r="N11" s="146"/>
      <c r="O11" s="146"/>
      <c r="P11" s="146"/>
      <c r="Q11" s="146"/>
      <c r="R11" s="146"/>
      <c r="S11" s="146"/>
    </row>
    <row r="12" spans="2:19" x14ac:dyDescent="0.35">
      <c r="B12" s="41" t="s">
        <v>152</v>
      </c>
      <c r="C12" s="173"/>
      <c r="D12" s="173"/>
      <c r="E12" s="174"/>
      <c r="F12" s="47"/>
      <c r="G12" s="42" t="s">
        <v>119</v>
      </c>
      <c r="H12" s="203">
        <v>46</v>
      </c>
      <c r="I12" s="203">
        <v>25</v>
      </c>
      <c r="J12" s="203">
        <v>46</v>
      </c>
      <c r="K12" s="203">
        <v>1</v>
      </c>
      <c r="L12" s="203">
        <v>1</v>
      </c>
      <c r="M12" s="203">
        <v>1</v>
      </c>
      <c r="N12" s="203">
        <v>1</v>
      </c>
      <c r="O12" s="203">
        <v>1</v>
      </c>
      <c r="P12" s="203">
        <v>1</v>
      </c>
      <c r="Q12" s="203">
        <v>1</v>
      </c>
      <c r="R12" s="203">
        <v>1</v>
      </c>
      <c r="S12" s="203">
        <v>1</v>
      </c>
    </row>
    <row r="13" spans="2:19" x14ac:dyDescent="0.35">
      <c r="B13" s="45" t="s">
        <v>128</v>
      </c>
      <c r="C13" s="176"/>
      <c r="D13" s="176"/>
      <c r="E13" s="177"/>
      <c r="F13" s="48"/>
      <c r="G13" s="40" t="s">
        <v>95</v>
      </c>
      <c r="H13" s="204">
        <v>48</v>
      </c>
      <c r="I13" s="204">
        <v>35</v>
      </c>
      <c r="J13" s="204">
        <v>62</v>
      </c>
      <c r="K13" s="204">
        <v>100</v>
      </c>
      <c r="L13" s="204">
        <v>100</v>
      </c>
      <c r="M13" s="204">
        <v>100</v>
      </c>
      <c r="N13" s="204">
        <v>100</v>
      </c>
      <c r="O13" s="204">
        <v>100</v>
      </c>
      <c r="P13" s="204">
        <v>100</v>
      </c>
      <c r="Q13" s="204">
        <v>100</v>
      </c>
      <c r="R13" s="204">
        <v>100</v>
      </c>
      <c r="S13" s="204">
        <v>100</v>
      </c>
    </row>
    <row r="14" spans="2:19" x14ac:dyDescent="0.35">
      <c r="B14" s="45"/>
      <c r="C14" s="179" t="s">
        <v>129</v>
      </c>
      <c r="D14" s="179" t="s">
        <v>130</v>
      </c>
      <c r="E14" s="180" t="s">
        <v>131</v>
      </c>
      <c r="F14" s="48"/>
      <c r="G14" s="157" t="s">
        <v>37</v>
      </c>
      <c r="H14" s="181">
        <f>IFERROR(ROUND(H12/H13,3)," - - -")</f>
        <v>0.95799999999999996</v>
      </c>
      <c r="I14" s="181">
        <f t="shared" ref="I14:S14" si="4">IFERROR(ROUND(I12/I13,3)," - - -")</f>
        <v>0.71399999999999997</v>
      </c>
      <c r="J14" s="181">
        <f t="shared" si="4"/>
        <v>0.74199999999999999</v>
      </c>
      <c r="K14" s="181">
        <f t="shared" si="4"/>
        <v>0.01</v>
      </c>
      <c r="L14" s="181">
        <f t="shared" si="4"/>
        <v>0.01</v>
      </c>
      <c r="M14" s="181">
        <f t="shared" si="4"/>
        <v>0.01</v>
      </c>
      <c r="N14" s="181">
        <f t="shared" si="4"/>
        <v>0.01</v>
      </c>
      <c r="O14" s="181">
        <f t="shared" si="4"/>
        <v>0.01</v>
      </c>
      <c r="P14" s="181">
        <f t="shared" si="4"/>
        <v>0.01</v>
      </c>
      <c r="Q14" s="181">
        <f t="shared" si="4"/>
        <v>0.01</v>
      </c>
      <c r="R14" s="181">
        <f t="shared" si="4"/>
        <v>0.01</v>
      </c>
      <c r="S14" s="181">
        <f t="shared" si="4"/>
        <v>0.01</v>
      </c>
    </row>
    <row r="15" spans="2:19" x14ac:dyDescent="0.35">
      <c r="B15" s="45"/>
      <c r="C15" s="182">
        <v>0.75</v>
      </c>
      <c r="D15" s="182">
        <v>0.95899999999999996</v>
      </c>
      <c r="E15" s="202">
        <v>750</v>
      </c>
      <c r="F15" s="48"/>
      <c r="H15" s="183">
        <f>IF(AND(H$14&gt;=$C15,H$14&lt;=$D15),$E15,0)</f>
        <v>750</v>
      </c>
      <c r="I15" s="183">
        <f t="shared" ref="I15:S15" si="5">IF(AND(I$14&gt;=$C15,I$14&lt;=$D15),$E15,0)</f>
        <v>0</v>
      </c>
      <c r="J15" s="183">
        <f t="shared" si="5"/>
        <v>0</v>
      </c>
      <c r="K15" s="183">
        <f t="shared" si="5"/>
        <v>0</v>
      </c>
      <c r="L15" s="183">
        <f t="shared" si="5"/>
        <v>0</v>
      </c>
      <c r="M15" s="183">
        <f t="shared" si="5"/>
        <v>0</v>
      </c>
      <c r="N15" s="183">
        <f t="shared" si="5"/>
        <v>0</v>
      </c>
      <c r="O15" s="183">
        <f t="shared" si="5"/>
        <v>0</v>
      </c>
      <c r="P15" s="183">
        <f t="shared" si="5"/>
        <v>0</v>
      </c>
      <c r="Q15" s="183">
        <f t="shared" si="5"/>
        <v>0</v>
      </c>
      <c r="R15" s="183">
        <f t="shared" si="5"/>
        <v>0</v>
      </c>
      <c r="S15" s="183">
        <f t="shared" si="5"/>
        <v>0</v>
      </c>
    </row>
    <row r="16" spans="2:19" x14ac:dyDescent="0.35">
      <c r="B16" s="45"/>
      <c r="C16" s="182">
        <v>0.96</v>
      </c>
      <c r="D16" s="182">
        <v>1.149</v>
      </c>
      <c r="E16" s="202">
        <v>1250</v>
      </c>
      <c r="F16" s="48"/>
      <c r="H16" s="183">
        <f t="shared" ref="H16:S17" si="6">IF(AND(H$14&gt;=$C16,H$14&lt;=$D16),$E16,0)</f>
        <v>0</v>
      </c>
      <c r="I16" s="183">
        <f t="shared" si="6"/>
        <v>0</v>
      </c>
      <c r="J16" s="183">
        <f t="shared" si="6"/>
        <v>0</v>
      </c>
      <c r="K16" s="183">
        <f t="shared" si="6"/>
        <v>0</v>
      </c>
      <c r="L16" s="183">
        <f t="shared" si="6"/>
        <v>0</v>
      </c>
      <c r="M16" s="183">
        <f t="shared" si="6"/>
        <v>0</v>
      </c>
      <c r="N16" s="183">
        <f t="shared" si="6"/>
        <v>0</v>
      </c>
      <c r="O16" s="183">
        <f t="shared" si="6"/>
        <v>0</v>
      </c>
      <c r="P16" s="183">
        <f t="shared" si="6"/>
        <v>0</v>
      </c>
      <c r="Q16" s="183">
        <f t="shared" si="6"/>
        <v>0</v>
      </c>
      <c r="R16" s="183">
        <f t="shared" si="6"/>
        <v>0</v>
      </c>
      <c r="S16" s="183">
        <f t="shared" si="6"/>
        <v>0</v>
      </c>
    </row>
    <row r="17" spans="2:19" x14ac:dyDescent="0.35">
      <c r="B17" s="45"/>
      <c r="C17" s="184">
        <v>1.1499999999999999</v>
      </c>
      <c r="D17" s="185" t="s">
        <v>132</v>
      </c>
      <c r="E17" s="202">
        <v>2000</v>
      </c>
      <c r="F17" s="48"/>
      <c r="H17" s="183">
        <f t="shared" si="6"/>
        <v>0</v>
      </c>
      <c r="I17" s="183">
        <f t="shared" si="6"/>
        <v>0</v>
      </c>
      <c r="J17" s="183">
        <f t="shared" si="6"/>
        <v>0</v>
      </c>
      <c r="K17" s="183">
        <f t="shared" si="6"/>
        <v>0</v>
      </c>
      <c r="L17" s="183">
        <f t="shared" si="6"/>
        <v>0</v>
      </c>
      <c r="M17" s="183">
        <f t="shared" si="6"/>
        <v>0</v>
      </c>
      <c r="N17" s="183">
        <f t="shared" si="6"/>
        <v>0</v>
      </c>
      <c r="O17" s="183">
        <f t="shared" si="6"/>
        <v>0</v>
      </c>
      <c r="P17" s="183">
        <f t="shared" si="6"/>
        <v>0</v>
      </c>
      <c r="Q17" s="183">
        <f t="shared" si="6"/>
        <v>0</v>
      </c>
      <c r="R17" s="183">
        <f t="shared" si="6"/>
        <v>0</v>
      </c>
      <c r="S17" s="183">
        <f t="shared" si="6"/>
        <v>0</v>
      </c>
    </row>
    <row r="18" spans="2:19" x14ac:dyDescent="0.35">
      <c r="B18" s="43"/>
      <c r="C18" s="44"/>
      <c r="D18" s="44"/>
      <c r="E18" s="44"/>
      <c r="F18" s="163"/>
      <c r="G18" s="186" t="s">
        <v>133</v>
      </c>
      <c r="H18" s="187">
        <f>SUM(H15:H17)</f>
        <v>750</v>
      </c>
      <c r="I18" s="187">
        <f t="shared" ref="I18:S18" si="7">SUM(I15:I17)</f>
        <v>0</v>
      </c>
      <c r="J18" s="187">
        <f t="shared" si="7"/>
        <v>0</v>
      </c>
      <c r="K18" s="187">
        <f t="shared" si="7"/>
        <v>0</v>
      </c>
      <c r="L18" s="187">
        <f t="shared" si="7"/>
        <v>0</v>
      </c>
      <c r="M18" s="187">
        <f t="shared" si="7"/>
        <v>0</v>
      </c>
      <c r="N18" s="187">
        <f t="shared" si="7"/>
        <v>0</v>
      </c>
      <c r="O18" s="187">
        <f t="shared" si="7"/>
        <v>0</v>
      </c>
      <c r="P18" s="187">
        <f t="shared" si="7"/>
        <v>0</v>
      </c>
      <c r="Q18" s="187">
        <f t="shared" si="7"/>
        <v>0</v>
      </c>
      <c r="R18" s="187">
        <f t="shared" si="7"/>
        <v>0</v>
      </c>
      <c r="S18" s="187">
        <f t="shared" si="7"/>
        <v>0</v>
      </c>
    </row>
    <row r="19" spans="2:19" ht="10.5" customHeight="1" x14ac:dyDescent="0.35"/>
    <row r="20" spans="2:19" x14ac:dyDescent="0.35">
      <c r="B20" s="41" t="s">
        <v>154</v>
      </c>
      <c r="C20" s="173"/>
      <c r="D20" s="173"/>
      <c r="E20" s="174"/>
      <c r="F20" s="47"/>
      <c r="G20" s="42" t="s">
        <v>119</v>
      </c>
      <c r="H20" s="218">
        <v>2</v>
      </c>
      <c r="I20" s="207">
        <v>2</v>
      </c>
      <c r="J20" s="218">
        <v>2</v>
      </c>
      <c r="K20" s="207">
        <v>2</v>
      </c>
      <c r="L20" s="207">
        <v>0</v>
      </c>
      <c r="M20" s="207">
        <v>0</v>
      </c>
      <c r="N20" s="207">
        <v>0</v>
      </c>
      <c r="O20" s="207">
        <v>0</v>
      </c>
      <c r="P20" s="207">
        <v>0</v>
      </c>
      <c r="Q20" s="207">
        <v>0</v>
      </c>
      <c r="R20" s="207">
        <v>0</v>
      </c>
      <c r="S20" s="207">
        <v>0</v>
      </c>
    </row>
    <row r="21" spans="2:19" x14ac:dyDescent="0.35">
      <c r="B21" s="158" t="s">
        <v>153</v>
      </c>
      <c r="C21" s="176"/>
      <c r="D21" s="176"/>
      <c r="E21" s="177"/>
      <c r="F21" s="48"/>
      <c r="G21" s="40" t="s">
        <v>95</v>
      </c>
      <c r="H21" s="205">
        <v>3</v>
      </c>
      <c r="I21" s="205">
        <v>3</v>
      </c>
      <c r="J21" s="205">
        <v>3</v>
      </c>
      <c r="K21" s="205">
        <v>3</v>
      </c>
      <c r="L21" s="205">
        <v>3</v>
      </c>
      <c r="M21" s="205">
        <v>3</v>
      </c>
      <c r="N21" s="205">
        <v>3</v>
      </c>
      <c r="O21" s="205">
        <v>3</v>
      </c>
      <c r="P21" s="205">
        <v>3</v>
      </c>
      <c r="Q21" s="205">
        <v>3</v>
      </c>
      <c r="R21" s="205">
        <v>3</v>
      </c>
      <c r="S21" s="205">
        <v>3</v>
      </c>
    </row>
    <row r="22" spans="2:19" x14ac:dyDescent="0.35">
      <c r="B22" s="45"/>
      <c r="C22" s="179" t="s">
        <v>129</v>
      </c>
      <c r="D22" s="179" t="s">
        <v>130</v>
      </c>
      <c r="E22" s="180" t="s">
        <v>131</v>
      </c>
      <c r="F22" s="48"/>
      <c r="G22" s="157" t="s">
        <v>37</v>
      </c>
      <c r="H22" s="181">
        <f>IFERROR(ROUND(H20/H21,3)," - - -")</f>
        <v>0.66700000000000004</v>
      </c>
      <c r="I22" s="181">
        <f t="shared" ref="I22" si="8">IFERROR(ROUND(I20/I21,3)," - - -")</f>
        <v>0.66700000000000004</v>
      </c>
      <c r="J22" s="181">
        <f t="shared" ref="J22" si="9">IFERROR(ROUND(J20/J21,3)," - - -")</f>
        <v>0.66700000000000004</v>
      </c>
      <c r="K22" s="181">
        <f t="shared" ref="K22" si="10">IFERROR(ROUND(K20/K21,3)," - - -")</f>
        <v>0.66700000000000004</v>
      </c>
      <c r="L22" s="181">
        <f t="shared" ref="L22" si="11">IFERROR(ROUND(L20/L21,3)," - - -")</f>
        <v>0</v>
      </c>
      <c r="M22" s="181">
        <f t="shared" ref="M22" si="12">IFERROR(ROUND(M20/M21,3)," - - -")</f>
        <v>0</v>
      </c>
      <c r="N22" s="181">
        <f t="shared" ref="N22" si="13">IFERROR(ROUND(N20/N21,3)," - - -")</f>
        <v>0</v>
      </c>
      <c r="O22" s="181">
        <f t="shared" ref="O22" si="14">IFERROR(ROUND(O20/O21,3)," - - -")</f>
        <v>0</v>
      </c>
      <c r="P22" s="181">
        <f t="shared" ref="P22" si="15">IFERROR(ROUND(P20/P21,3)," - - -")</f>
        <v>0</v>
      </c>
      <c r="Q22" s="181">
        <f t="shared" ref="Q22" si="16">IFERROR(ROUND(Q20/Q21,3)," - - -")</f>
        <v>0</v>
      </c>
      <c r="R22" s="181">
        <f t="shared" ref="R22" si="17">IFERROR(ROUND(R20/R21,3)," - - -")</f>
        <v>0</v>
      </c>
      <c r="S22" s="181">
        <f t="shared" ref="S22" si="18">IFERROR(ROUND(S20/S21,3)," - - -")</f>
        <v>0</v>
      </c>
    </row>
    <row r="23" spans="2:19" x14ac:dyDescent="0.35">
      <c r="B23" s="45"/>
      <c r="C23" s="206">
        <v>1</v>
      </c>
      <c r="D23" s="206">
        <v>1</v>
      </c>
      <c r="E23" s="202">
        <v>0</v>
      </c>
      <c r="F23" s="48"/>
      <c r="H23" s="183">
        <f>IF(AND(H$20&gt;=$C23,H$20&lt;=$D23),$E23,0)</f>
        <v>0</v>
      </c>
      <c r="I23" s="183">
        <f t="shared" ref="I23:S25" si="19">IF(AND(I$20&gt;=$C23,I$20&lt;=$D23),$E23,0)</f>
        <v>0</v>
      </c>
      <c r="J23" s="183">
        <f t="shared" si="19"/>
        <v>0</v>
      </c>
      <c r="K23" s="183">
        <f t="shared" si="19"/>
        <v>0</v>
      </c>
      <c r="L23" s="183">
        <f t="shared" si="19"/>
        <v>0</v>
      </c>
      <c r="M23" s="183">
        <f t="shared" si="19"/>
        <v>0</v>
      </c>
      <c r="N23" s="183">
        <f t="shared" si="19"/>
        <v>0</v>
      </c>
      <c r="O23" s="183">
        <f t="shared" si="19"/>
        <v>0</v>
      </c>
      <c r="P23" s="183">
        <f t="shared" si="19"/>
        <v>0</v>
      </c>
      <c r="Q23" s="183">
        <f t="shared" si="19"/>
        <v>0</v>
      </c>
      <c r="R23" s="183">
        <f t="shared" si="19"/>
        <v>0</v>
      </c>
      <c r="S23" s="183">
        <f t="shared" si="19"/>
        <v>0</v>
      </c>
    </row>
    <row r="24" spans="2:19" x14ac:dyDescent="0.35">
      <c r="B24" s="45"/>
      <c r="C24" s="206">
        <v>2</v>
      </c>
      <c r="D24" s="206">
        <v>2</v>
      </c>
      <c r="E24" s="202">
        <v>400</v>
      </c>
      <c r="F24" s="48"/>
      <c r="H24" s="183">
        <f t="shared" ref="H24:H25" si="20">IF(AND(H$20&gt;=$C24,H$20&lt;=$D24),$E24,0)</f>
        <v>400</v>
      </c>
      <c r="I24" s="183">
        <f t="shared" si="19"/>
        <v>400</v>
      </c>
      <c r="J24" s="183">
        <f t="shared" si="19"/>
        <v>400</v>
      </c>
      <c r="K24" s="183">
        <f t="shared" si="19"/>
        <v>400</v>
      </c>
      <c r="L24" s="183">
        <f t="shared" si="19"/>
        <v>0</v>
      </c>
      <c r="M24" s="183">
        <f t="shared" si="19"/>
        <v>0</v>
      </c>
      <c r="N24" s="183">
        <f t="shared" si="19"/>
        <v>0</v>
      </c>
      <c r="O24" s="183">
        <f t="shared" si="19"/>
        <v>0</v>
      </c>
      <c r="P24" s="183">
        <f t="shared" si="19"/>
        <v>0</v>
      </c>
      <c r="Q24" s="183">
        <f t="shared" si="19"/>
        <v>0</v>
      </c>
      <c r="R24" s="183">
        <f t="shared" si="19"/>
        <v>0</v>
      </c>
      <c r="S24" s="183">
        <f t="shared" si="19"/>
        <v>0</v>
      </c>
    </row>
    <row r="25" spans="2:19" x14ac:dyDescent="0.35">
      <c r="B25" s="45"/>
      <c r="C25" s="206">
        <v>3</v>
      </c>
      <c r="D25" s="206">
        <v>3</v>
      </c>
      <c r="E25" s="202">
        <v>750</v>
      </c>
      <c r="F25" s="48"/>
      <c r="H25" s="183">
        <f t="shared" si="20"/>
        <v>0</v>
      </c>
      <c r="I25" s="183">
        <f t="shared" si="19"/>
        <v>0</v>
      </c>
      <c r="J25" s="183">
        <f t="shared" si="19"/>
        <v>0</v>
      </c>
      <c r="K25" s="183">
        <f t="shared" si="19"/>
        <v>0</v>
      </c>
      <c r="L25" s="183">
        <f t="shared" si="19"/>
        <v>0</v>
      </c>
      <c r="M25" s="183">
        <f t="shared" si="19"/>
        <v>0</v>
      </c>
      <c r="N25" s="183">
        <f t="shared" si="19"/>
        <v>0</v>
      </c>
      <c r="O25" s="183">
        <f t="shared" si="19"/>
        <v>0</v>
      </c>
      <c r="P25" s="183">
        <f t="shared" si="19"/>
        <v>0</v>
      </c>
      <c r="Q25" s="183">
        <f t="shared" si="19"/>
        <v>0</v>
      </c>
      <c r="R25" s="183">
        <f t="shared" si="19"/>
        <v>0</v>
      </c>
      <c r="S25" s="183">
        <f t="shared" si="19"/>
        <v>0</v>
      </c>
    </row>
    <row r="26" spans="2:19" x14ac:dyDescent="0.35">
      <c r="B26" s="43"/>
      <c r="C26" s="44"/>
      <c r="D26" s="44"/>
      <c r="E26" s="44"/>
      <c r="F26" s="163"/>
      <c r="G26" s="186" t="s">
        <v>133</v>
      </c>
      <c r="H26" s="187">
        <f t="shared" ref="H26:S26" si="21">SUM(H23:H25)</f>
        <v>400</v>
      </c>
      <c r="I26" s="187">
        <f t="shared" si="21"/>
        <v>400</v>
      </c>
      <c r="J26" s="187">
        <f t="shared" si="21"/>
        <v>400</v>
      </c>
      <c r="K26" s="187">
        <f t="shared" si="21"/>
        <v>400</v>
      </c>
      <c r="L26" s="187">
        <f t="shared" si="21"/>
        <v>0</v>
      </c>
      <c r="M26" s="187">
        <f t="shared" si="21"/>
        <v>0</v>
      </c>
      <c r="N26" s="187">
        <f t="shared" si="21"/>
        <v>0</v>
      </c>
      <c r="O26" s="187">
        <f t="shared" si="21"/>
        <v>0</v>
      </c>
      <c r="P26" s="187">
        <f t="shared" si="21"/>
        <v>0</v>
      </c>
      <c r="Q26" s="187">
        <f t="shared" si="21"/>
        <v>0</v>
      </c>
      <c r="R26" s="187">
        <f t="shared" si="21"/>
        <v>0</v>
      </c>
      <c r="S26" s="187">
        <f t="shared" si="21"/>
        <v>0</v>
      </c>
    </row>
    <row r="27" spans="2:19" ht="8.25" customHeight="1" x14ac:dyDescent="0.35"/>
    <row r="28" spans="2:19" ht="15" thickBot="1" x14ac:dyDescent="0.4">
      <c r="G28" s="188" t="s">
        <v>149</v>
      </c>
      <c r="H28" s="275">
        <f>+H10+H18+H26</f>
        <v>1150</v>
      </c>
      <c r="I28" s="275">
        <f t="shared" ref="I28:S28" si="22">+I10+I18+I26</f>
        <v>400</v>
      </c>
      <c r="J28" s="275">
        <f t="shared" si="22"/>
        <v>1400</v>
      </c>
      <c r="K28" s="275">
        <f t="shared" si="22"/>
        <v>400</v>
      </c>
      <c r="L28" s="275">
        <f t="shared" si="22"/>
        <v>0</v>
      </c>
      <c r="M28" s="275">
        <f t="shared" si="22"/>
        <v>0</v>
      </c>
      <c r="N28" s="275">
        <f t="shared" si="22"/>
        <v>0</v>
      </c>
      <c r="O28" s="275">
        <f t="shared" si="22"/>
        <v>0</v>
      </c>
      <c r="P28" s="275">
        <f t="shared" si="22"/>
        <v>0</v>
      </c>
      <c r="Q28" s="275">
        <f t="shared" si="22"/>
        <v>0</v>
      </c>
      <c r="R28" s="275">
        <f t="shared" si="22"/>
        <v>0</v>
      </c>
      <c r="S28" s="275">
        <f t="shared" si="22"/>
        <v>0</v>
      </c>
    </row>
    <row r="29" spans="2:19" ht="15" thickTop="1" x14ac:dyDescent="0.35">
      <c r="B29" s="170" t="s">
        <v>137</v>
      </c>
    </row>
    <row r="30" spans="2:19" x14ac:dyDescent="0.35">
      <c r="B30" s="41" t="s">
        <v>155</v>
      </c>
      <c r="C30" s="173"/>
      <c r="D30" s="173"/>
      <c r="E30" s="174"/>
      <c r="F30" s="47"/>
      <c r="G30" s="208" t="s">
        <v>119</v>
      </c>
      <c r="H30" s="190"/>
      <c r="I30" s="191"/>
      <c r="J30" s="218">
        <v>2</v>
      </c>
      <c r="K30" s="190"/>
      <c r="L30" s="191"/>
      <c r="M30" s="207">
        <v>0</v>
      </c>
      <c r="N30" s="190"/>
      <c r="O30" s="191"/>
      <c r="P30" s="207">
        <v>0</v>
      </c>
      <c r="Q30" s="190"/>
      <c r="R30" s="191"/>
      <c r="S30" s="207">
        <v>0</v>
      </c>
    </row>
    <row r="31" spans="2:19" x14ac:dyDescent="0.35">
      <c r="B31" s="158" t="s">
        <v>156</v>
      </c>
      <c r="C31" s="176"/>
      <c r="D31" s="176"/>
      <c r="E31" s="177"/>
      <c r="F31" s="48"/>
      <c r="G31" s="209" t="s">
        <v>95</v>
      </c>
      <c r="H31" s="190"/>
      <c r="I31" s="191"/>
      <c r="J31" s="205">
        <v>2</v>
      </c>
      <c r="K31" s="190"/>
      <c r="L31" s="191"/>
      <c r="M31" s="205">
        <v>2</v>
      </c>
      <c r="N31" s="190"/>
      <c r="O31" s="191"/>
      <c r="P31" s="205">
        <v>2</v>
      </c>
      <c r="Q31" s="190"/>
      <c r="R31" s="191"/>
      <c r="S31" s="205">
        <v>2</v>
      </c>
    </row>
    <row r="32" spans="2:19" x14ac:dyDescent="0.35">
      <c r="B32" s="45"/>
      <c r="C32" s="179" t="s">
        <v>129</v>
      </c>
      <c r="D32" s="179" t="s">
        <v>130</v>
      </c>
      <c r="E32" s="180" t="s">
        <v>131</v>
      </c>
      <c r="F32" s="48"/>
      <c r="G32" s="210" t="s">
        <v>37</v>
      </c>
      <c r="H32" s="166"/>
      <c r="I32" s="192"/>
      <c r="J32" s="181">
        <f t="shared" ref="J32" si="23">IFERROR(ROUND(J30/J31,3)," - - -")</f>
        <v>1</v>
      </c>
      <c r="K32" s="166"/>
      <c r="L32" s="192"/>
      <c r="M32" s="181">
        <f t="shared" ref="M32" si="24">IFERROR(ROUND(M30/M31,3)," - - -")</f>
        <v>0</v>
      </c>
      <c r="N32" s="166"/>
      <c r="O32" s="192"/>
      <c r="P32" s="181">
        <f t="shared" ref="P32" si="25">IFERROR(ROUND(P30/P31,3)," - - -")</f>
        <v>0</v>
      </c>
      <c r="Q32" s="166"/>
      <c r="R32" s="192"/>
      <c r="S32" s="181">
        <f t="shared" ref="S32" si="26">IFERROR(ROUND(S30/S31,3)," - - -")</f>
        <v>0</v>
      </c>
    </row>
    <row r="33" spans="2:19" x14ac:dyDescent="0.35">
      <c r="B33" s="45"/>
      <c r="C33" s="206">
        <v>1</v>
      </c>
      <c r="D33" s="206">
        <v>1</v>
      </c>
      <c r="E33" s="202">
        <v>1000</v>
      </c>
      <c r="F33" s="48"/>
      <c r="G33" s="209"/>
      <c r="H33" s="193"/>
      <c r="I33" s="194"/>
      <c r="J33" s="183">
        <f t="shared" ref="J33:S33" si="27">IF(AND(J$30&gt;=$C33,J$30&lt;=$D33),$E33,0)</f>
        <v>0</v>
      </c>
      <c r="K33" s="193"/>
      <c r="L33" s="194"/>
      <c r="M33" s="183">
        <f t="shared" si="27"/>
        <v>0</v>
      </c>
      <c r="N33" s="193"/>
      <c r="O33" s="194"/>
      <c r="P33" s="183">
        <f t="shared" si="27"/>
        <v>0</v>
      </c>
      <c r="Q33" s="193"/>
      <c r="R33" s="194"/>
      <c r="S33" s="183">
        <f t="shared" si="27"/>
        <v>0</v>
      </c>
    </row>
    <row r="34" spans="2:19" x14ac:dyDescent="0.35">
      <c r="B34" s="45"/>
      <c r="C34" s="206">
        <v>2</v>
      </c>
      <c r="D34" s="206">
        <v>2</v>
      </c>
      <c r="E34" s="202">
        <v>1500</v>
      </c>
      <c r="F34" s="48"/>
      <c r="G34" s="209"/>
      <c r="H34" s="193"/>
      <c r="I34" s="194"/>
      <c r="J34" s="183">
        <f t="shared" ref="J34:S35" si="28">IF(AND(J$30&gt;=$C34,J$30&lt;=$D34),$E34,0)</f>
        <v>1500</v>
      </c>
      <c r="K34" s="193"/>
      <c r="L34" s="194"/>
      <c r="M34" s="183">
        <f t="shared" si="28"/>
        <v>0</v>
      </c>
      <c r="N34" s="193"/>
      <c r="O34" s="194"/>
      <c r="P34" s="183">
        <f t="shared" si="28"/>
        <v>0</v>
      </c>
      <c r="Q34" s="193"/>
      <c r="R34" s="194"/>
      <c r="S34" s="183">
        <f t="shared" si="28"/>
        <v>0</v>
      </c>
    </row>
    <row r="35" spans="2:19" x14ac:dyDescent="0.35">
      <c r="B35" s="45"/>
      <c r="C35" s="206">
        <v>3</v>
      </c>
      <c r="D35" s="206">
        <v>3</v>
      </c>
      <c r="E35" s="202">
        <v>2500</v>
      </c>
      <c r="F35" s="48"/>
      <c r="G35" s="209"/>
      <c r="H35" s="193"/>
      <c r="I35" s="194"/>
      <c r="J35" s="183">
        <f t="shared" si="28"/>
        <v>0</v>
      </c>
      <c r="K35" s="193"/>
      <c r="L35" s="194"/>
      <c r="M35" s="183">
        <f t="shared" si="28"/>
        <v>0</v>
      </c>
      <c r="N35" s="193"/>
      <c r="O35" s="194"/>
      <c r="P35" s="183">
        <f t="shared" si="28"/>
        <v>0</v>
      </c>
      <c r="Q35" s="193"/>
      <c r="R35" s="194"/>
      <c r="S35" s="183">
        <f t="shared" si="28"/>
        <v>0</v>
      </c>
    </row>
    <row r="36" spans="2:19" x14ac:dyDescent="0.35">
      <c r="B36" s="43"/>
      <c r="C36" s="44"/>
      <c r="D36" s="44"/>
      <c r="E36" s="44"/>
      <c r="F36" s="163"/>
      <c r="G36" s="211" t="s">
        <v>133</v>
      </c>
      <c r="H36" s="190"/>
      <c r="I36" s="191"/>
      <c r="J36" s="187">
        <f t="shared" ref="J36" si="29">SUM(J33:J35)</f>
        <v>1500</v>
      </c>
      <c r="K36" s="190"/>
      <c r="L36" s="191"/>
      <c r="M36" s="187">
        <f t="shared" ref="M36" si="30">SUM(M33:M35)</f>
        <v>0</v>
      </c>
      <c r="N36" s="190"/>
      <c r="O36" s="191"/>
      <c r="P36" s="187">
        <f t="shared" ref="P36" si="31">SUM(P33:P35)</f>
        <v>0</v>
      </c>
      <c r="Q36" s="190"/>
      <c r="R36" s="191"/>
      <c r="S36" s="187">
        <f t="shared" ref="S36" si="32">SUM(S33:S35)</f>
        <v>0</v>
      </c>
    </row>
    <row r="37" spans="2:19" ht="22.5" customHeight="1" thickBot="1" x14ac:dyDescent="0.4">
      <c r="E37" s="188"/>
      <c r="G37" s="188" t="s">
        <v>145</v>
      </c>
      <c r="J37" s="189">
        <f>+J36</f>
        <v>1500</v>
      </c>
      <c r="M37" s="189">
        <f>+M36</f>
        <v>0</v>
      </c>
      <c r="P37" s="189">
        <f>+P36</f>
        <v>0</v>
      </c>
      <c r="S37" s="189">
        <f>+S36</f>
        <v>0</v>
      </c>
    </row>
    <row r="38" spans="2:19" ht="15" thickTop="1" x14ac:dyDescent="0.35"/>
    <row r="39" spans="2:19" ht="15" thickBot="1" x14ac:dyDescent="0.4">
      <c r="G39" s="197" t="s">
        <v>140</v>
      </c>
      <c r="H39" s="199">
        <f t="shared" ref="H39:S39" si="33">+H28+H37</f>
        <v>1150</v>
      </c>
      <c r="I39" s="199">
        <f t="shared" si="33"/>
        <v>400</v>
      </c>
      <c r="J39" s="199">
        <f>+J28+J37</f>
        <v>2900</v>
      </c>
      <c r="K39" s="199">
        <f t="shared" si="33"/>
        <v>400</v>
      </c>
      <c r="L39" s="199">
        <f t="shared" si="33"/>
        <v>0</v>
      </c>
      <c r="M39" s="199">
        <f t="shared" si="33"/>
        <v>0</v>
      </c>
      <c r="N39" s="199">
        <f t="shared" si="33"/>
        <v>0</v>
      </c>
      <c r="O39" s="199">
        <f t="shared" si="33"/>
        <v>0</v>
      </c>
      <c r="P39" s="199">
        <f t="shared" si="33"/>
        <v>0</v>
      </c>
      <c r="Q39" s="199">
        <f t="shared" si="33"/>
        <v>0</v>
      </c>
      <c r="R39" s="199">
        <f t="shared" si="33"/>
        <v>0</v>
      </c>
      <c r="S39" s="199">
        <f t="shared" si="33"/>
        <v>0</v>
      </c>
    </row>
    <row r="40" spans="2:19" ht="15" thickTop="1" x14ac:dyDescent="0.35"/>
  </sheetData>
  <pageMargins left="0.7" right="0.7" top="0.75" bottom="0.75" header="0.3" footer="0.3"/>
  <pageSetup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B1:Q33"/>
  <sheetViews>
    <sheetView zoomScaleNormal="100" workbookViewId="0">
      <selection activeCell="V35" sqref="V35"/>
    </sheetView>
  </sheetViews>
  <sheetFormatPr baseColWidth="10" defaultColWidth="11.453125" defaultRowHeight="14.5" x14ac:dyDescent="0.35"/>
  <cols>
    <col min="1" max="1" width="4.1796875" style="40" customWidth="1"/>
    <col min="2" max="2" width="33.1796875" style="40" customWidth="1"/>
    <col min="3" max="5" width="11.453125" style="40"/>
    <col min="6" max="6" width="3.54296875" style="40" customWidth="1"/>
    <col min="7" max="7" width="11.453125" style="40"/>
    <col min="8" max="15" width="13.54296875" style="40" hidden="1" customWidth="1"/>
    <col min="16" max="17" width="13.54296875" style="40" customWidth="1"/>
    <col min="18" max="16384" width="11.453125" style="40"/>
  </cols>
  <sheetData>
    <row r="1" spans="2:17" x14ac:dyDescent="0.35">
      <c r="B1" s="139" t="s">
        <v>116</v>
      </c>
    </row>
    <row r="2" spans="2:17" x14ac:dyDescent="0.35">
      <c r="H2" s="221">
        <v>44834</v>
      </c>
      <c r="I2" s="222"/>
      <c r="J2" s="221">
        <v>44865</v>
      </c>
      <c r="K2" s="222"/>
      <c r="L2" s="221">
        <v>44895</v>
      </c>
      <c r="M2" s="222"/>
      <c r="N2" s="221">
        <v>44926</v>
      </c>
      <c r="O2" s="222"/>
      <c r="P2" s="221">
        <v>44957</v>
      </c>
      <c r="Q2" s="222"/>
    </row>
    <row r="3" spans="2:17" x14ac:dyDescent="0.35">
      <c r="B3" s="41"/>
      <c r="C3" s="42"/>
      <c r="D3" s="42"/>
      <c r="E3" s="42"/>
      <c r="F3" s="42"/>
      <c r="G3" s="42"/>
      <c r="H3" s="223" t="s">
        <v>72</v>
      </c>
      <c r="I3" s="223" t="s">
        <v>165</v>
      </c>
      <c r="J3" s="223" t="s">
        <v>72</v>
      </c>
      <c r="K3" s="223" t="s">
        <v>165</v>
      </c>
      <c r="L3" s="223" t="s">
        <v>72</v>
      </c>
      <c r="M3" s="223" t="s">
        <v>165</v>
      </c>
      <c r="N3" s="223" t="s">
        <v>72</v>
      </c>
      <c r="O3" s="223" t="s">
        <v>165</v>
      </c>
      <c r="P3" s="223" t="s">
        <v>72</v>
      </c>
      <c r="Q3" s="223" t="s">
        <v>165</v>
      </c>
    </row>
    <row r="4" spans="2:17" x14ac:dyDescent="0.35">
      <c r="B4" s="224" t="s">
        <v>166</v>
      </c>
      <c r="G4" s="40" t="s">
        <v>167</v>
      </c>
      <c r="H4" s="225">
        <v>191478</v>
      </c>
      <c r="I4" s="226">
        <v>141059</v>
      </c>
      <c r="J4" s="225">
        <v>205157</v>
      </c>
      <c r="K4" s="226">
        <v>132109</v>
      </c>
      <c r="L4" s="225">
        <v>165104</v>
      </c>
      <c r="M4" s="226">
        <v>77900</v>
      </c>
      <c r="N4" s="225" t="s">
        <v>168</v>
      </c>
      <c r="O4" s="226">
        <v>50241</v>
      </c>
      <c r="P4" s="225" t="s">
        <v>168</v>
      </c>
      <c r="Q4" s="226">
        <v>118587</v>
      </c>
    </row>
    <row r="5" spans="2:17" x14ac:dyDescent="0.35">
      <c r="B5" s="227" t="s">
        <v>169</v>
      </c>
      <c r="C5" s="228">
        <v>0.85</v>
      </c>
      <c r="D5" s="228">
        <v>1</v>
      </c>
      <c r="E5" s="228">
        <v>1.1499999999999999</v>
      </c>
      <c r="F5" s="229"/>
      <c r="G5" s="40" t="s">
        <v>170</v>
      </c>
      <c r="H5" s="225">
        <v>201643</v>
      </c>
      <c r="I5" s="226">
        <v>117301</v>
      </c>
      <c r="J5" s="225">
        <v>214604</v>
      </c>
      <c r="K5" s="226">
        <v>136221</v>
      </c>
      <c r="L5" s="225">
        <v>192745</v>
      </c>
      <c r="M5" s="226">
        <v>117301</v>
      </c>
      <c r="N5" s="225" t="s">
        <v>168</v>
      </c>
      <c r="O5" s="226">
        <v>102166</v>
      </c>
      <c r="P5" s="225" t="s">
        <v>168</v>
      </c>
      <c r="Q5" s="226">
        <v>141755</v>
      </c>
    </row>
    <row r="6" spans="2:17" x14ac:dyDescent="0.35">
      <c r="B6" s="45" t="s">
        <v>171</v>
      </c>
      <c r="C6" s="46">
        <v>500</v>
      </c>
      <c r="D6" s="46">
        <v>1500</v>
      </c>
      <c r="E6" s="46">
        <v>2000</v>
      </c>
      <c r="G6" s="40" t="s">
        <v>37</v>
      </c>
      <c r="H6" s="230">
        <f>(H4+I4)/(H5+I5)</f>
        <v>1.042618766930872</v>
      </c>
      <c r="I6" s="231"/>
      <c r="J6" s="230">
        <f>(J4+K4)/(J5+K5)</f>
        <v>0.96135110097627019</v>
      </c>
      <c r="K6" s="231"/>
      <c r="L6" s="230">
        <f>(L4+M4)/(L5+M5)</f>
        <v>0.78376756997348784</v>
      </c>
      <c r="M6" s="231"/>
      <c r="N6" s="230">
        <f>+O4/O5</f>
        <v>0.4917585106591234</v>
      </c>
      <c r="O6" s="231"/>
      <c r="P6" s="230">
        <f>+Q4/Q5</f>
        <v>0.83656308419456105</v>
      </c>
      <c r="Q6" s="231"/>
    </row>
    <row r="7" spans="2:17" x14ac:dyDescent="0.35">
      <c r="B7" s="232" t="s">
        <v>172</v>
      </c>
      <c r="C7" s="233">
        <f>C6/2</f>
        <v>250</v>
      </c>
      <c r="D7" s="233">
        <f>D6/2</f>
        <v>750</v>
      </c>
      <c r="E7" s="233">
        <f>E6/2</f>
        <v>1000</v>
      </c>
      <c r="F7" s="44"/>
      <c r="G7" s="234" t="s">
        <v>173</v>
      </c>
      <c r="H7" s="235">
        <f>+D7</f>
        <v>750</v>
      </c>
      <c r="I7" s="236">
        <f>+D7</f>
        <v>750</v>
      </c>
      <c r="J7" s="235">
        <f>+C7</f>
        <v>250</v>
      </c>
      <c r="K7" s="236">
        <f>+C7</f>
        <v>250</v>
      </c>
      <c r="L7" s="235">
        <v>0</v>
      </c>
      <c r="M7" s="236">
        <v>0</v>
      </c>
      <c r="N7" s="235">
        <v>0</v>
      </c>
      <c r="O7" s="236">
        <v>0</v>
      </c>
      <c r="P7" s="235">
        <v>0</v>
      </c>
      <c r="Q7" s="236">
        <v>0</v>
      </c>
    </row>
    <row r="8" spans="2:17" x14ac:dyDescent="0.35">
      <c r="B8" s="237"/>
      <c r="C8" s="238"/>
      <c r="D8" s="238"/>
      <c r="E8" s="238"/>
      <c r="G8" s="139"/>
      <c r="H8" s="239"/>
      <c r="I8" s="239"/>
      <c r="J8" s="239"/>
      <c r="K8" s="239"/>
      <c r="L8" s="239"/>
      <c r="M8" s="239"/>
      <c r="N8" s="239"/>
      <c r="O8" s="239"/>
      <c r="P8" s="239"/>
      <c r="Q8" s="239"/>
    </row>
    <row r="9" spans="2:17" x14ac:dyDescent="0.35">
      <c r="B9" s="41"/>
      <c r="C9" s="42"/>
      <c r="D9" s="42"/>
      <c r="E9" s="42"/>
      <c r="F9" s="42"/>
      <c r="G9" s="42"/>
      <c r="H9" s="223"/>
      <c r="I9" s="223" t="s">
        <v>165</v>
      </c>
      <c r="J9" s="223"/>
      <c r="K9" s="223" t="s">
        <v>165</v>
      </c>
      <c r="L9" s="223"/>
      <c r="M9" s="223" t="s">
        <v>165</v>
      </c>
      <c r="N9" s="223"/>
      <c r="O9" s="223" t="s">
        <v>165</v>
      </c>
      <c r="P9" s="223"/>
      <c r="Q9" s="223" t="s">
        <v>165</v>
      </c>
    </row>
    <row r="10" spans="2:17" x14ac:dyDescent="0.35">
      <c r="B10" s="224" t="s">
        <v>174</v>
      </c>
      <c r="G10" s="40" t="s">
        <v>167</v>
      </c>
      <c r="H10" s="240"/>
      <c r="I10" s="241">
        <v>34</v>
      </c>
      <c r="J10" s="240"/>
      <c r="K10" s="241">
        <v>26</v>
      </c>
      <c r="L10" s="240"/>
      <c r="M10" s="242">
        <v>24</v>
      </c>
      <c r="N10" s="240"/>
      <c r="O10" s="241">
        <v>25</v>
      </c>
      <c r="P10" s="240"/>
      <c r="Q10" s="241">
        <v>27</v>
      </c>
    </row>
    <row r="11" spans="2:17" x14ac:dyDescent="0.35">
      <c r="B11" s="45" t="s">
        <v>169</v>
      </c>
      <c r="C11" s="228">
        <v>0.85</v>
      </c>
      <c r="D11" s="228">
        <v>1</v>
      </c>
      <c r="E11" s="228">
        <v>1.1499999999999999</v>
      </c>
      <c r="F11" s="229"/>
      <c r="G11" s="40" t="s">
        <v>175</v>
      </c>
      <c r="H11" s="240"/>
      <c r="I11" s="243">
        <f>25*1.2</f>
        <v>30</v>
      </c>
      <c r="J11" s="240"/>
      <c r="K11" s="243">
        <f>29*1.2</f>
        <v>34.799999999999997</v>
      </c>
      <c r="L11" s="240"/>
      <c r="M11" s="243">
        <f>25*1.2</f>
        <v>30</v>
      </c>
      <c r="N11" s="240"/>
      <c r="O11" s="243">
        <f>22*1.2</f>
        <v>26.4</v>
      </c>
      <c r="P11" s="240"/>
      <c r="Q11" s="243">
        <v>33</v>
      </c>
    </row>
    <row r="12" spans="2:17" x14ac:dyDescent="0.35">
      <c r="B12" s="45" t="s">
        <v>171</v>
      </c>
      <c r="C12" s="46">
        <v>750</v>
      </c>
      <c r="D12" s="46">
        <v>1500</v>
      </c>
      <c r="E12" s="46">
        <v>2000</v>
      </c>
      <c r="G12" s="40" t="s">
        <v>37</v>
      </c>
      <c r="H12" s="244"/>
      <c r="I12" s="245">
        <f t="shared" ref="I12:K12" si="0">I10/I11</f>
        <v>1.1333333333333333</v>
      </c>
      <c r="J12" s="244"/>
      <c r="K12" s="245">
        <f t="shared" si="0"/>
        <v>0.74712643678160928</v>
      </c>
      <c r="L12" s="244"/>
      <c r="M12" s="245">
        <f t="shared" ref="M12" si="1">M10/M11</f>
        <v>0.8</v>
      </c>
      <c r="N12" s="244"/>
      <c r="O12" s="245">
        <f t="shared" ref="O12:Q12" si="2">O10/O11</f>
        <v>0.94696969696969702</v>
      </c>
      <c r="P12" s="244"/>
      <c r="Q12" s="245">
        <f t="shared" si="2"/>
        <v>0.81818181818181823</v>
      </c>
    </row>
    <row r="13" spans="2:17" x14ac:dyDescent="0.35">
      <c r="B13" s="232"/>
      <c r="C13" s="233"/>
      <c r="D13" s="233"/>
      <c r="E13" s="233"/>
      <c r="F13" s="44"/>
      <c r="G13" s="234" t="s">
        <v>173</v>
      </c>
      <c r="H13" s="235"/>
      <c r="I13" s="246">
        <f>+D12</f>
        <v>1500</v>
      </c>
      <c r="J13" s="235"/>
      <c r="K13" s="246">
        <v>0</v>
      </c>
      <c r="L13" s="235"/>
      <c r="M13" s="246">
        <v>0</v>
      </c>
      <c r="N13" s="235"/>
      <c r="O13" s="246">
        <f>+C12</f>
        <v>750</v>
      </c>
      <c r="P13" s="235"/>
      <c r="Q13" s="246">
        <v>0</v>
      </c>
    </row>
    <row r="15" spans="2:17" x14ac:dyDescent="0.35">
      <c r="B15" s="247" t="s">
        <v>176</v>
      </c>
      <c r="C15" s="248" t="s">
        <v>177</v>
      </c>
      <c r="D15" s="248" t="s">
        <v>178</v>
      </c>
      <c r="E15" s="248" t="s">
        <v>179</v>
      </c>
      <c r="F15" s="42"/>
      <c r="G15" s="47"/>
      <c r="H15" s="41" t="s">
        <v>167</v>
      </c>
      <c r="I15" s="249">
        <v>5</v>
      </c>
      <c r="J15" s="41" t="s">
        <v>167</v>
      </c>
      <c r="K15" s="250">
        <v>3.33</v>
      </c>
      <c r="L15" s="41" t="s">
        <v>167</v>
      </c>
      <c r="M15" s="250">
        <v>4.67</v>
      </c>
      <c r="N15" s="41" t="s">
        <v>167</v>
      </c>
      <c r="O15" s="251">
        <v>5</v>
      </c>
      <c r="P15" s="41" t="s">
        <v>167</v>
      </c>
      <c r="Q15" s="251">
        <v>4.5</v>
      </c>
    </row>
    <row r="16" spans="2:17" x14ac:dyDescent="0.35">
      <c r="B16" s="43" t="s">
        <v>180</v>
      </c>
      <c r="C16" s="252">
        <v>100</v>
      </c>
      <c r="D16" s="252">
        <v>250</v>
      </c>
      <c r="E16" s="252">
        <v>500</v>
      </c>
      <c r="F16" s="44"/>
      <c r="G16" s="163"/>
      <c r="H16" s="253" t="s">
        <v>173</v>
      </c>
      <c r="I16" s="236">
        <f>+E16</f>
        <v>500</v>
      </c>
      <c r="J16" s="253" t="s">
        <v>173</v>
      </c>
      <c r="K16" s="236">
        <v>0</v>
      </c>
      <c r="L16" s="253" t="s">
        <v>173</v>
      </c>
      <c r="M16" s="236">
        <v>0</v>
      </c>
      <c r="N16" s="253" t="s">
        <v>173</v>
      </c>
      <c r="O16" s="236">
        <f>+E16</f>
        <v>500</v>
      </c>
      <c r="P16" s="253" t="s">
        <v>173</v>
      </c>
      <c r="Q16" s="236">
        <v>0</v>
      </c>
    </row>
    <row r="18" spans="2:17" x14ac:dyDescent="0.35">
      <c r="B18" s="247" t="s">
        <v>181</v>
      </c>
      <c r="C18" s="254" t="s">
        <v>182</v>
      </c>
      <c r="D18" s="254" t="s">
        <v>183</v>
      </c>
      <c r="E18" s="254" t="s">
        <v>184</v>
      </c>
      <c r="F18" s="42"/>
      <c r="G18" s="42"/>
      <c r="H18" s="255" t="s">
        <v>119</v>
      </c>
      <c r="I18" s="256" t="s">
        <v>185</v>
      </c>
      <c r="J18" s="255" t="s">
        <v>119</v>
      </c>
      <c r="K18" s="256" t="s">
        <v>185</v>
      </c>
      <c r="L18" s="255" t="s">
        <v>119</v>
      </c>
      <c r="M18" s="256" t="s">
        <v>185</v>
      </c>
      <c r="N18" s="255" t="s">
        <v>119</v>
      </c>
      <c r="O18" s="256" t="s">
        <v>185</v>
      </c>
      <c r="P18" s="255" t="s">
        <v>119</v>
      </c>
      <c r="Q18" s="256" t="s">
        <v>185</v>
      </c>
    </row>
    <row r="19" spans="2:17" x14ac:dyDescent="0.35">
      <c r="B19" s="224"/>
      <c r="C19" s="257">
        <v>100</v>
      </c>
      <c r="D19" s="257">
        <v>450</v>
      </c>
      <c r="E19" s="257">
        <v>750</v>
      </c>
      <c r="H19" s="258"/>
      <c r="I19" s="259"/>
      <c r="J19" s="258"/>
      <c r="K19" s="259"/>
      <c r="L19" s="258"/>
      <c r="M19" s="259"/>
      <c r="N19" s="258"/>
      <c r="O19" s="259"/>
      <c r="P19" s="258"/>
      <c r="Q19" s="259"/>
    </row>
    <row r="20" spans="2:17" x14ac:dyDescent="0.35">
      <c r="B20" s="158" t="s">
        <v>186</v>
      </c>
      <c r="C20" s="157"/>
      <c r="D20" s="260" t="s">
        <v>187</v>
      </c>
      <c r="G20" s="261">
        <v>0.2</v>
      </c>
      <c r="H20" s="262">
        <v>0.19</v>
      </c>
      <c r="I20" s="263">
        <f>IF(H20&lt;$G$20,1,0)</f>
        <v>1</v>
      </c>
      <c r="J20" s="262">
        <f>17/90</f>
        <v>0.18888888888888888</v>
      </c>
      <c r="K20" s="263">
        <f>IF(J20&lt;$G$20,1,0)</f>
        <v>1</v>
      </c>
      <c r="L20" s="264">
        <v>0.1134</v>
      </c>
      <c r="M20" s="263">
        <f>IF(L20&lt;$G$20,1,0)</f>
        <v>1</v>
      </c>
      <c r="N20" s="264">
        <v>0.115</v>
      </c>
      <c r="O20" s="263">
        <f>IF(N20&lt;$G$20,1,0)</f>
        <v>1</v>
      </c>
      <c r="P20" s="166">
        <v>0.13880000000000001</v>
      </c>
      <c r="Q20" s="263">
        <f>IF(P20&lt;$G$20,1,0)</f>
        <v>1</v>
      </c>
    </row>
    <row r="21" spans="2:17" x14ac:dyDescent="0.35">
      <c r="B21" s="158" t="s">
        <v>188</v>
      </c>
      <c r="D21" s="265" t="s">
        <v>189</v>
      </c>
      <c r="G21" s="266">
        <v>0.95</v>
      </c>
      <c r="H21" s="262" t="s">
        <v>190</v>
      </c>
      <c r="I21" s="263">
        <f>IF(H21&gt;=$G$21,1,0)</f>
        <v>1</v>
      </c>
      <c r="J21" s="267">
        <v>0.95499999999999996</v>
      </c>
      <c r="K21" s="263">
        <f>IF(J21&gt;=$G$21,1,0)</f>
        <v>1</v>
      </c>
      <c r="L21" s="166">
        <v>0.97</v>
      </c>
      <c r="M21" s="263">
        <f>IF(L21&gt;=$G$21,1,0)</f>
        <v>1</v>
      </c>
      <c r="N21" s="166">
        <v>0.9</v>
      </c>
      <c r="O21" s="263">
        <f>IF(N21&gt;=$G$21,1,0)</f>
        <v>0</v>
      </c>
      <c r="P21" s="166">
        <v>0.96</v>
      </c>
      <c r="Q21" s="263">
        <f>IF(P21&gt;=$G$21,1,0)</f>
        <v>1</v>
      </c>
    </row>
    <row r="22" spans="2:17" x14ac:dyDescent="0.35">
      <c r="B22" s="158" t="s">
        <v>191</v>
      </c>
      <c r="C22" s="157"/>
      <c r="D22" s="268" t="s">
        <v>192</v>
      </c>
      <c r="G22" s="266">
        <v>0.6</v>
      </c>
      <c r="H22" s="262">
        <v>0.47</v>
      </c>
      <c r="I22" s="263">
        <f>IF(H22&gt;=$G$22,1,0)</f>
        <v>0</v>
      </c>
      <c r="J22" s="267">
        <f>10/26</f>
        <v>0.38461538461538464</v>
      </c>
      <c r="K22" s="263">
        <f>IF(J22&gt;=$G$22,1,0)</f>
        <v>0</v>
      </c>
      <c r="L22" s="166"/>
      <c r="M22" s="263">
        <f>IF(L22&gt;=$G$22,1,0)</f>
        <v>0</v>
      </c>
      <c r="N22" s="166"/>
      <c r="O22" s="263">
        <f>IF(N22&gt;=$G$22,1,0)</f>
        <v>0</v>
      </c>
      <c r="P22" s="166">
        <v>1</v>
      </c>
      <c r="Q22" s="263">
        <f>IF(P22&gt;=$G$22,1,0)</f>
        <v>1</v>
      </c>
    </row>
    <row r="23" spans="2:17" x14ac:dyDescent="0.35">
      <c r="B23" s="158" t="s">
        <v>193</v>
      </c>
      <c r="C23" s="157"/>
      <c r="D23" s="268">
        <v>0.93</v>
      </c>
      <c r="G23" s="261">
        <v>0.93</v>
      </c>
      <c r="H23" s="262">
        <v>0.97909999999999997</v>
      </c>
      <c r="I23" s="263">
        <f>IF(H23&gt;$G$23,1,0)</f>
        <v>1</v>
      </c>
      <c r="J23" s="262">
        <v>1</v>
      </c>
      <c r="K23" s="263">
        <f>IF(J23&gt;$G$23,1,0)</f>
        <v>1</v>
      </c>
      <c r="L23" s="264">
        <v>1</v>
      </c>
      <c r="M23" s="263">
        <f>IF(L23&gt;$G$23,1,0)</f>
        <v>1</v>
      </c>
      <c r="N23" s="264">
        <v>1</v>
      </c>
      <c r="O23" s="263">
        <f>IF(N23&gt;$G$23,1,0)</f>
        <v>1</v>
      </c>
      <c r="P23" s="166">
        <v>1</v>
      </c>
      <c r="Q23" s="263">
        <f>IF(P23&gt;$G$23,1,0)</f>
        <v>1</v>
      </c>
    </row>
    <row r="24" spans="2:17" ht="15" thickBot="1" x14ac:dyDescent="0.4">
      <c r="B24" s="158"/>
      <c r="C24" s="157"/>
      <c r="D24" s="157"/>
      <c r="E24" s="157"/>
      <c r="H24" s="45"/>
      <c r="I24" s="269">
        <f>SUM(I20:I23)</f>
        <v>3</v>
      </c>
      <c r="J24" s="45"/>
      <c r="K24" s="269">
        <f>SUM(K20:K23)</f>
        <v>3</v>
      </c>
      <c r="L24" s="45"/>
      <c r="M24" s="269">
        <f>SUM(M20:M23)</f>
        <v>3</v>
      </c>
      <c r="N24" s="45"/>
      <c r="O24" s="269">
        <f>SUM(O20:O23)</f>
        <v>2</v>
      </c>
      <c r="P24" s="45"/>
      <c r="Q24" s="269">
        <f>SUM(Q20:Q23)</f>
        <v>4</v>
      </c>
    </row>
    <row r="25" spans="2:17" ht="15" thickTop="1" x14ac:dyDescent="0.35">
      <c r="B25" s="43"/>
      <c r="C25" s="44"/>
      <c r="D25" s="44"/>
      <c r="E25" s="44"/>
      <c r="F25" s="44"/>
      <c r="G25" s="270" t="s">
        <v>173</v>
      </c>
      <c r="H25" s="271"/>
      <c r="I25" s="236">
        <f>+D19</f>
        <v>450</v>
      </c>
      <c r="J25" s="271"/>
      <c r="K25" s="236">
        <f>+D19</f>
        <v>450</v>
      </c>
      <c r="L25" s="271"/>
      <c r="M25" s="236">
        <f>+D19</f>
        <v>450</v>
      </c>
      <c r="N25" s="271"/>
      <c r="O25" s="236">
        <f>+C19</f>
        <v>100</v>
      </c>
      <c r="P25" s="271"/>
      <c r="Q25" s="236">
        <f>+E19</f>
        <v>750</v>
      </c>
    </row>
    <row r="26" spans="2:17" x14ac:dyDescent="0.35">
      <c r="G26" s="40" t="s">
        <v>198</v>
      </c>
      <c r="Q26" s="239">
        <v>-500</v>
      </c>
    </row>
    <row r="27" spans="2:17" ht="15" thickBot="1" x14ac:dyDescent="0.4">
      <c r="G27" s="40" t="s">
        <v>197</v>
      </c>
      <c r="I27" s="239">
        <f>+H7+I7+I13+I16+I25</f>
        <v>3950</v>
      </c>
      <c r="K27" s="239">
        <f>+J7+K7+K13+K16+K25</f>
        <v>950</v>
      </c>
      <c r="M27" s="239">
        <f>+L7+M7+M13+M16+M25</f>
        <v>450</v>
      </c>
      <c r="O27" s="239">
        <f>+N7+O7+O13+O16+O25</f>
        <v>1350</v>
      </c>
      <c r="Q27" s="276">
        <f>+Q25+Q26</f>
        <v>250</v>
      </c>
    </row>
    <row r="28" spans="2:17" ht="15" thickTop="1" x14ac:dyDescent="0.35"/>
    <row r="30" spans="2:17" x14ac:dyDescent="0.35">
      <c r="H30" s="223" t="s">
        <v>72</v>
      </c>
      <c r="I30" s="223" t="s">
        <v>165</v>
      </c>
      <c r="J30" s="223" t="s">
        <v>72</v>
      </c>
      <c r="K30" s="223" t="s">
        <v>165</v>
      </c>
      <c r="L30" s="223" t="s">
        <v>72</v>
      </c>
      <c r="M30" s="223" t="s">
        <v>165</v>
      </c>
      <c r="N30" s="223" t="s">
        <v>72</v>
      </c>
      <c r="O30" s="223" t="s">
        <v>165</v>
      </c>
      <c r="P30" s="223" t="s">
        <v>72</v>
      </c>
      <c r="Q30" s="223" t="s">
        <v>165</v>
      </c>
    </row>
    <row r="31" spans="2:17" ht="15" thickBot="1" x14ac:dyDescent="0.4">
      <c r="B31" s="40" t="s">
        <v>194</v>
      </c>
      <c r="H31" s="272">
        <f>+H7</f>
        <v>750</v>
      </c>
      <c r="I31" s="272">
        <f>+I7+I13+I16+I25</f>
        <v>3200</v>
      </c>
      <c r="J31" s="272">
        <f>+J7</f>
        <v>250</v>
      </c>
      <c r="K31" s="272">
        <f>+K7+K13+K16+K25</f>
        <v>700</v>
      </c>
      <c r="L31" s="272">
        <f>+L7</f>
        <v>0</v>
      </c>
      <c r="M31" s="272">
        <f>+M7+M13+M16+M25</f>
        <v>450</v>
      </c>
      <c r="N31" s="272">
        <f>+N7</f>
        <v>0</v>
      </c>
      <c r="O31" s="272">
        <f>+O7+O13+O16+O25</f>
        <v>1350</v>
      </c>
      <c r="P31" s="272">
        <f>+P7</f>
        <v>0</v>
      </c>
      <c r="Q31" s="272">
        <f>+Q7+Q13+Q16+Q25</f>
        <v>750</v>
      </c>
    </row>
    <row r="32" spans="2:17" ht="15.5" thickTop="1" thickBot="1" x14ac:dyDescent="0.4">
      <c r="I32" s="272">
        <f>+H31+I31</f>
        <v>3950</v>
      </c>
      <c r="K32" s="273">
        <f>+J31+K31</f>
        <v>950</v>
      </c>
      <c r="M32" s="273">
        <f>+L31+M31</f>
        <v>450</v>
      </c>
      <c r="O32" s="273">
        <f>+N31+O31</f>
        <v>1350</v>
      </c>
      <c r="Q32" s="273">
        <f>+P31+Q31</f>
        <v>750</v>
      </c>
    </row>
    <row r="33" spans="13:17" ht="15" thickTop="1" x14ac:dyDescent="0.35">
      <c r="M33" s="157" t="s">
        <v>195</v>
      </c>
      <c r="O33" s="146">
        <f>+M32+O32</f>
        <v>1800</v>
      </c>
      <c r="Q33" s="146"/>
    </row>
  </sheetData>
  <pageMargins left="0.7" right="0.7" top="0.75" bottom="0.75" header="0.3" footer="0.3"/>
  <pageSetup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Q997"/>
  <sheetViews>
    <sheetView workbookViewId="0">
      <selection activeCell="V35" sqref="V35"/>
    </sheetView>
  </sheetViews>
  <sheetFormatPr baseColWidth="10" defaultColWidth="14.453125" defaultRowHeight="15" customHeight="1" x14ac:dyDescent="0.25"/>
  <cols>
    <col min="1" max="1" width="25" style="51" customWidth="1"/>
    <col min="2" max="2" width="13.81640625" style="51" customWidth="1"/>
    <col min="3" max="3" width="12.81640625" style="51" customWidth="1"/>
    <col min="4" max="4" width="15.453125" style="51" customWidth="1"/>
    <col min="5" max="5" width="15.26953125" style="51" customWidth="1"/>
    <col min="6" max="6" width="13" style="51" bestFit="1" customWidth="1"/>
    <col min="7" max="7" width="11.81640625" style="51" customWidth="1"/>
    <col min="8" max="8" width="13" style="51" bestFit="1" customWidth="1"/>
    <col min="9" max="9" width="13.26953125" style="51" customWidth="1"/>
    <col min="10" max="10" width="12.26953125" style="51" customWidth="1"/>
    <col min="11" max="12" width="11.26953125" style="51" bestFit="1" customWidth="1"/>
    <col min="13" max="13" width="12.26953125" style="51" bestFit="1" customWidth="1"/>
    <col min="14" max="24" width="10" style="51" customWidth="1"/>
    <col min="25" max="16384" width="14.453125" style="51"/>
  </cols>
  <sheetData>
    <row r="1" spans="1:17" ht="12.75" customHeight="1" x14ac:dyDescent="0.3">
      <c r="A1" s="153" t="s">
        <v>81</v>
      </c>
      <c r="B1" s="154"/>
      <c r="C1" s="154"/>
      <c r="D1" s="154"/>
      <c r="E1" s="154"/>
      <c r="F1" s="50"/>
    </row>
    <row r="2" spans="1:17" ht="12.75" customHeight="1" x14ac:dyDescent="0.3">
      <c r="A2" s="153" t="s">
        <v>105</v>
      </c>
      <c r="B2" s="154"/>
      <c r="C2" s="154"/>
      <c r="D2" s="154"/>
      <c r="E2" s="154"/>
      <c r="F2" s="50"/>
    </row>
    <row r="3" spans="1:17" ht="12.75" customHeight="1" x14ac:dyDescent="0.3">
      <c r="A3" s="153" t="s">
        <v>103</v>
      </c>
      <c r="B3" s="154"/>
      <c r="C3" s="154"/>
      <c r="D3" s="154"/>
      <c r="E3" s="154"/>
    </row>
    <row r="4" spans="1:17" ht="5.25" customHeight="1" x14ac:dyDescent="0.25">
      <c r="B4" s="52"/>
      <c r="D4" s="52"/>
      <c r="E4" s="52"/>
    </row>
    <row r="5" spans="1:17" ht="5.25" customHeight="1" x14ac:dyDescent="0.25">
      <c r="E5" s="52"/>
    </row>
    <row r="6" spans="1:17" ht="8.25" customHeight="1" x14ac:dyDescent="0.3">
      <c r="A6" s="165"/>
      <c r="B6" s="52"/>
      <c r="D6" s="52"/>
      <c r="E6" s="52"/>
    </row>
    <row r="7" spans="1:17" ht="8.25" customHeight="1" x14ac:dyDescent="0.3">
      <c r="A7" s="54"/>
      <c r="B7" s="54"/>
      <c r="C7" s="50"/>
      <c r="D7" s="50"/>
      <c r="E7" s="55"/>
    </row>
    <row r="8" spans="1:17" ht="12.75" customHeight="1" x14ac:dyDescent="0.35">
      <c r="B8" s="797" t="s">
        <v>71</v>
      </c>
      <c r="C8" s="798"/>
      <c r="D8" s="798"/>
      <c r="E8" s="52"/>
      <c r="G8" s="797"/>
      <c r="H8" s="798"/>
      <c r="I8" s="798"/>
    </row>
    <row r="9" spans="1:17" ht="5.25" customHeight="1" x14ac:dyDescent="0.3">
      <c r="B9" s="56"/>
      <c r="C9" s="56"/>
      <c r="D9" s="56"/>
      <c r="E9" s="57"/>
    </row>
    <row r="10" spans="1:17" ht="5.25" customHeight="1" x14ac:dyDescent="0.3">
      <c r="A10" s="50"/>
      <c r="B10" s="76"/>
      <c r="C10" s="76"/>
      <c r="D10" s="77"/>
      <c r="E10" s="119"/>
      <c r="F10" s="50"/>
      <c r="G10" s="84"/>
      <c r="H10" s="84"/>
      <c r="I10" s="85"/>
    </row>
    <row r="11" spans="1:17" ht="5.25" customHeight="1" x14ac:dyDescent="0.3">
      <c r="A11" s="50"/>
      <c r="B11" s="131"/>
      <c r="C11" s="69"/>
      <c r="D11" s="131"/>
      <c r="E11" s="58"/>
      <c r="G11" s="122"/>
      <c r="H11" s="122"/>
      <c r="I11" s="122"/>
    </row>
    <row r="12" spans="1:17" ht="12.75" customHeight="1" x14ac:dyDescent="0.3">
      <c r="A12" s="68"/>
      <c r="B12" s="70"/>
      <c r="C12" s="71"/>
      <c r="D12" s="72"/>
      <c r="E12" s="56"/>
      <c r="F12" s="83"/>
      <c r="G12" s="123"/>
      <c r="H12" s="123"/>
      <c r="I12" s="124"/>
    </row>
    <row r="13" spans="1:17" ht="12.75" customHeight="1" x14ac:dyDescent="0.3">
      <c r="A13" s="162" t="s">
        <v>114</v>
      </c>
      <c r="B13" s="76" t="s">
        <v>106</v>
      </c>
      <c r="C13" s="76" t="s">
        <v>101</v>
      </c>
      <c r="D13" s="76" t="s">
        <v>107</v>
      </c>
      <c r="E13" s="76" t="s">
        <v>108</v>
      </c>
      <c r="I13" s="125"/>
    </row>
    <row r="14" spans="1:17" ht="12.75" customHeight="1" x14ac:dyDescent="0.3">
      <c r="A14" s="60"/>
      <c r="B14" s="120">
        <v>300</v>
      </c>
      <c r="C14" s="120">
        <v>500</v>
      </c>
      <c r="D14" s="120">
        <v>750</v>
      </c>
      <c r="E14" s="120">
        <v>1000</v>
      </c>
      <c r="I14" s="125"/>
      <c r="O14" s="120"/>
      <c r="P14" s="125"/>
      <c r="Q14" s="125"/>
    </row>
    <row r="15" spans="1:17" ht="12.75" customHeight="1" x14ac:dyDescent="0.3">
      <c r="A15" s="60"/>
      <c r="B15" s="120"/>
      <c r="C15" s="120"/>
      <c r="D15" s="120"/>
      <c r="E15" s="92"/>
      <c r="F15" s="120"/>
      <c r="G15" s="125"/>
      <c r="H15" s="120"/>
      <c r="I15" s="125"/>
      <c r="O15" s="120"/>
      <c r="P15" s="125"/>
      <c r="Q15" s="120"/>
    </row>
    <row r="16" spans="1:17" ht="12.75" customHeight="1" x14ac:dyDescent="0.3">
      <c r="A16" s="129"/>
      <c r="B16" s="149" t="s">
        <v>123</v>
      </c>
      <c r="C16" s="149" t="s">
        <v>124</v>
      </c>
      <c r="D16" s="149" t="s">
        <v>125</v>
      </c>
      <c r="E16" s="155" t="s">
        <v>158</v>
      </c>
      <c r="I16" s="140" t="s">
        <v>109</v>
      </c>
      <c r="J16" s="140" t="s">
        <v>110</v>
      </c>
      <c r="K16" s="140" t="s">
        <v>111</v>
      </c>
      <c r="L16" s="140" t="s">
        <v>112</v>
      </c>
      <c r="M16" s="140" t="s">
        <v>113</v>
      </c>
      <c r="N16" s="60"/>
    </row>
    <row r="17" spans="1:14" ht="12.75" customHeight="1" x14ac:dyDescent="0.25">
      <c r="A17" s="91" t="s">
        <v>78</v>
      </c>
      <c r="B17" s="150">
        <v>11000</v>
      </c>
      <c r="C17" s="150">
        <v>6667</v>
      </c>
      <c r="D17" s="150">
        <v>-662</v>
      </c>
      <c r="E17" s="147">
        <v>17241</v>
      </c>
      <c r="I17" s="141"/>
      <c r="J17" s="141"/>
      <c r="K17" s="141"/>
      <c r="L17" s="141"/>
      <c r="M17" s="141"/>
      <c r="N17" s="138"/>
    </row>
    <row r="18" spans="1:14" ht="12.75" customHeight="1" x14ac:dyDescent="0.25">
      <c r="A18" s="91" t="s">
        <v>96</v>
      </c>
      <c r="B18" s="150">
        <v>8490</v>
      </c>
      <c r="C18" s="150">
        <v>8298</v>
      </c>
      <c r="D18" s="150">
        <v>-123</v>
      </c>
      <c r="E18" s="147">
        <v>9572</v>
      </c>
      <c r="I18" s="141"/>
      <c r="J18" s="141"/>
      <c r="K18" s="141"/>
      <c r="L18" s="141"/>
      <c r="M18" s="141"/>
      <c r="N18" s="138"/>
    </row>
    <row r="19" spans="1:14" ht="12.75" customHeight="1" x14ac:dyDescent="0.25">
      <c r="A19" s="91" t="s">
        <v>98</v>
      </c>
      <c r="B19" s="151">
        <v>1.2956419316843346</v>
      </c>
      <c r="C19" s="151">
        <v>0.80344661364184145</v>
      </c>
      <c r="D19" s="151">
        <v>-5.3821138211382111</v>
      </c>
      <c r="E19" s="161">
        <f>E17/E18</f>
        <v>1.8011909736732135</v>
      </c>
      <c r="I19" s="142"/>
      <c r="J19" s="142"/>
      <c r="K19" s="142"/>
      <c r="L19" s="142"/>
      <c r="M19" s="142"/>
      <c r="N19" s="128"/>
    </row>
    <row r="20" spans="1:14" ht="12.75" customHeight="1" x14ac:dyDescent="0.3">
      <c r="A20" s="92" t="s">
        <v>73</v>
      </c>
      <c r="B20" s="152">
        <v>1000</v>
      </c>
      <c r="C20" s="152">
        <v>0</v>
      </c>
      <c r="D20" s="152">
        <v>0</v>
      </c>
      <c r="E20" s="148">
        <f>+E14</f>
        <v>1000</v>
      </c>
      <c r="I20" s="143"/>
      <c r="J20" s="143"/>
      <c r="K20" s="143"/>
      <c r="L20" s="143"/>
      <c r="M20" s="143"/>
    </row>
    <row r="21" spans="1:14" ht="12.75" customHeight="1" x14ac:dyDescent="0.35">
      <c r="A21" s="54"/>
      <c r="B21" s="121"/>
      <c r="C21" s="92"/>
      <c r="D21" s="164"/>
      <c r="E21"/>
      <c r="G21" s="120"/>
      <c r="H21" s="120"/>
      <c r="I21" s="120"/>
    </row>
    <row r="22" spans="1:14" ht="12.75" customHeight="1" x14ac:dyDescent="0.3">
      <c r="A22" s="60"/>
      <c r="B22" s="130"/>
      <c r="C22" s="130"/>
      <c r="D22" s="130"/>
      <c r="G22" s="122"/>
      <c r="H22" s="122"/>
      <c r="I22" s="126"/>
    </row>
    <row r="23" spans="1:14" ht="12.75" customHeight="1" x14ac:dyDescent="0.35">
      <c r="A23" s="60"/>
      <c r="B23" s="130"/>
      <c r="C23" s="159"/>
      <c r="D23" s="152"/>
      <c r="E23"/>
      <c r="G23" s="122"/>
      <c r="H23" s="68"/>
      <c r="I23" s="126"/>
    </row>
    <row r="24" spans="1:14" ht="12.75" customHeight="1" x14ac:dyDescent="0.3">
      <c r="D24" s="152"/>
    </row>
    <row r="25" spans="1:14" ht="12.75" customHeight="1" thickBot="1" x14ac:dyDescent="0.35">
      <c r="A25" s="50"/>
      <c r="B25" s="50"/>
      <c r="C25" s="58"/>
      <c r="D25" s="152"/>
      <c r="E25" s="160">
        <f>E23+E20</f>
        <v>1000</v>
      </c>
    </row>
    <row r="26" spans="1:14" ht="12.75" customHeight="1" thickTop="1" x14ac:dyDescent="0.3">
      <c r="A26" s="50"/>
      <c r="B26" s="58"/>
      <c r="C26" s="50"/>
      <c r="D26" s="152"/>
      <c r="E26" s="58"/>
    </row>
    <row r="27" spans="1:14" ht="12.75" customHeight="1" x14ac:dyDescent="0.3">
      <c r="A27" s="60"/>
      <c r="B27" s="58"/>
      <c r="C27" s="50"/>
      <c r="D27" s="50"/>
      <c r="E27" s="58"/>
    </row>
    <row r="28" spans="1:14" ht="12.75" customHeight="1" x14ac:dyDescent="0.3">
      <c r="A28" s="60"/>
      <c r="B28" s="58"/>
      <c r="C28" s="50"/>
      <c r="D28" s="50"/>
      <c r="E28" s="799"/>
      <c r="F28" s="798"/>
      <c r="G28" s="122"/>
    </row>
    <row r="29" spans="1:14" ht="12.75" customHeight="1" x14ac:dyDescent="0.3">
      <c r="A29" s="60"/>
      <c r="B29" s="58"/>
      <c r="C29" s="50"/>
      <c r="D29" s="50"/>
      <c r="E29" s="58"/>
    </row>
    <row r="30" spans="1:14" ht="12.75" customHeight="1" x14ac:dyDescent="0.3">
      <c r="A30" s="60"/>
      <c r="B30" s="58"/>
      <c r="C30" s="50"/>
      <c r="D30" s="50"/>
      <c r="E30" s="58"/>
    </row>
    <row r="31" spans="1:14" ht="12.75" customHeight="1" x14ac:dyDescent="0.25"/>
    <row r="32" spans="1:14" ht="12.75" customHeight="1" x14ac:dyDescent="0.25"/>
    <row r="33" spans="1:5" ht="12.75" customHeight="1" x14ac:dyDescent="0.25"/>
    <row r="34" spans="1:5" ht="12.75" customHeight="1" x14ac:dyDescent="0.25"/>
    <row r="35" spans="1:5" ht="12.75" customHeight="1" x14ac:dyDescent="0.25"/>
    <row r="36" spans="1:5" ht="12.75" customHeight="1" x14ac:dyDescent="0.3">
      <c r="A36" s="54"/>
      <c r="B36" s="54"/>
      <c r="C36" s="50"/>
      <c r="D36" s="50"/>
      <c r="E36" s="58"/>
    </row>
    <row r="37" spans="1:5" ht="12.75" customHeight="1" x14ac:dyDescent="0.25">
      <c r="E37" s="52"/>
    </row>
    <row r="38" spans="1:5" ht="12.75" customHeight="1" x14ac:dyDescent="0.25">
      <c r="E38" s="52"/>
    </row>
    <row r="39" spans="1:5" ht="12.75" customHeight="1" x14ac:dyDescent="0.25">
      <c r="E39" s="52"/>
    </row>
    <row r="40" spans="1:5" ht="12.75" customHeight="1" x14ac:dyDescent="0.25">
      <c r="E40" s="52"/>
    </row>
    <row r="41" spans="1:5" ht="12.75" customHeight="1" x14ac:dyDescent="0.25">
      <c r="E41" s="52"/>
    </row>
    <row r="42" spans="1:5" ht="12.75" customHeight="1" x14ac:dyDescent="0.25">
      <c r="E42" s="52"/>
    </row>
    <row r="43" spans="1:5" ht="12.75" customHeight="1" x14ac:dyDescent="0.25">
      <c r="E43" s="52"/>
    </row>
    <row r="44" spans="1:5" ht="12.75" customHeight="1" x14ac:dyDescent="0.25">
      <c r="E44" s="52"/>
    </row>
    <row r="45" spans="1:5" ht="12.75" customHeight="1" x14ac:dyDescent="0.25">
      <c r="E45" s="52"/>
    </row>
    <row r="46" spans="1:5" ht="12.75" customHeight="1" x14ac:dyDescent="0.25">
      <c r="E46" s="52"/>
    </row>
    <row r="47" spans="1:5" ht="12.75" customHeight="1" x14ac:dyDescent="0.25">
      <c r="E47" s="52"/>
    </row>
    <row r="48" spans="1:5" ht="12.75" customHeight="1" x14ac:dyDescent="0.3">
      <c r="A48" s="50"/>
      <c r="B48" s="50"/>
      <c r="C48" s="50"/>
      <c r="D48" s="50"/>
      <c r="E48" s="55"/>
    </row>
    <row r="49" spans="1:1" ht="12.75" customHeight="1" x14ac:dyDescent="0.25">
      <c r="A49" s="61"/>
    </row>
    <row r="50" spans="1:1" ht="12.75" customHeight="1" x14ac:dyDescent="0.25"/>
    <row r="51" spans="1:1" ht="12.75" customHeight="1" x14ac:dyDescent="0.25"/>
    <row r="52" spans="1:1" ht="12.75" customHeight="1" x14ac:dyDescent="0.25"/>
    <row r="53" spans="1:1" ht="12.75" customHeight="1" x14ac:dyDescent="0.25"/>
    <row r="54" spans="1:1" ht="12.75" customHeight="1" x14ac:dyDescent="0.25"/>
    <row r="55" spans="1:1" ht="12.75" customHeight="1" x14ac:dyDescent="0.25"/>
    <row r="56" spans="1:1" ht="12.75" customHeight="1" x14ac:dyDescent="0.25"/>
    <row r="57" spans="1:1" ht="12.75" customHeight="1" x14ac:dyDescent="0.25"/>
    <row r="58" spans="1:1" ht="12.75" customHeight="1" x14ac:dyDescent="0.25"/>
    <row r="59" spans="1:1" ht="12.75" customHeight="1" x14ac:dyDescent="0.25"/>
    <row r="60" spans="1:1" ht="12.75" customHeight="1" x14ac:dyDescent="0.25"/>
    <row r="61" spans="1:1" ht="12.75" customHeight="1" x14ac:dyDescent="0.25"/>
    <row r="62" spans="1:1" ht="12.75" customHeight="1" x14ac:dyDescent="0.25"/>
    <row r="63" spans="1:1" ht="12.75" customHeight="1" x14ac:dyDescent="0.25"/>
    <row r="64" spans="1:1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</sheetData>
  <mergeCells count="3">
    <mergeCell ref="B8:D8"/>
    <mergeCell ref="G8:I8"/>
    <mergeCell ref="E28:F28"/>
  </mergeCells>
  <pageMargins left="0.7" right="0.7" top="0.75" bottom="0.75" header="0" footer="0"/>
  <pageSetup scale="55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B1:U36"/>
  <sheetViews>
    <sheetView zoomScaleNormal="100" workbookViewId="0">
      <pane xSplit="7" ySplit="3" topLeftCell="H4" activePane="bottomRight" state="frozen"/>
      <selection activeCell="V35" sqref="V35"/>
      <selection pane="topRight" activeCell="V35" sqref="V35"/>
      <selection pane="bottomLeft" activeCell="V35" sqref="V35"/>
      <selection pane="bottomRight" activeCell="V35" sqref="V35"/>
    </sheetView>
  </sheetViews>
  <sheetFormatPr baseColWidth="10" defaultColWidth="11.453125" defaultRowHeight="14.5" outlineLevelCol="1" x14ac:dyDescent="0.35"/>
  <cols>
    <col min="1" max="1" width="3.7265625" style="40" customWidth="1"/>
    <col min="2" max="2" width="30.54296875" style="40" bestFit="1" customWidth="1"/>
    <col min="3" max="4" width="10.7265625" style="40" customWidth="1"/>
    <col min="5" max="5" width="10.54296875" style="40" bestFit="1" customWidth="1"/>
    <col min="6" max="6" width="1.7265625" style="40" customWidth="1"/>
    <col min="7" max="7" width="11.453125" style="40"/>
    <col min="8" max="8" width="10.453125" style="40" customWidth="1"/>
    <col min="9" max="12" width="11.453125" style="40" customWidth="1"/>
    <col min="13" max="19" width="11.453125" style="40" customWidth="1" outlineLevel="1"/>
    <col min="20" max="16384" width="11.453125" style="40"/>
  </cols>
  <sheetData>
    <row r="1" spans="2:21" x14ac:dyDescent="0.35">
      <c r="B1" s="167" t="s">
        <v>146</v>
      </c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</row>
    <row r="2" spans="2:21" ht="8.25" customHeight="1" x14ac:dyDescent="0.35"/>
    <row r="3" spans="2:21" x14ac:dyDescent="0.35">
      <c r="B3" s="170" t="s">
        <v>126</v>
      </c>
      <c r="C3" s="171"/>
      <c r="D3" s="171"/>
      <c r="H3" s="172">
        <v>44957</v>
      </c>
      <c r="I3" s="172">
        <v>44985</v>
      </c>
      <c r="J3" s="172">
        <v>45016</v>
      </c>
      <c r="K3" s="172">
        <v>45046</v>
      </c>
      <c r="L3" s="172">
        <v>45077</v>
      </c>
      <c r="M3" s="172">
        <v>45107</v>
      </c>
      <c r="N3" s="172">
        <v>45138</v>
      </c>
      <c r="O3" s="172">
        <v>45169</v>
      </c>
      <c r="P3" s="172">
        <v>45199</v>
      </c>
      <c r="Q3" s="172">
        <v>45230</v>
      </c>
      <c r="R3" s="172">
        <v>45260</v>
      </c>
      <c r="S3" s="172">
        <v>45291</v>
      </c>
    </row>
    <row r="4" spans="2:21" x14ac:dyDescent="0.35">
      <c r="B4" s="41" t="s">
        <v>144</v>
      </c>
      <c r="C4" s="173"/>
      <c r="D4" s="173"/>
      <c r="E4" s="174"/>
      <c r="F4" s="47"/>
      <c r="G4" s="42" t="s">
        <v>119</v>
      </c>
      <c r="H4" s="175">
        <v>118587</v>
      </c>
      <c r="I4" s="175">
        <v>88264</v>
      </c>
      <c r="J4" s="175">
        <v>132216</v>
      </c>
      <c r="K4" s="175">
        <v>120177.24999999997</v>
      </c>
      <c r="L4" s="175">
        <f>'Kaven Bonneau 2024'!L20</f>
        <v>82191</v>
      </c>
      <c r="M4" s="175">
        <v>1</v>
      </c>
      <c r="N4" s="175">
        <v>1</v>
      </c>
      <c r="O4" s="175">
        <v>1</v>
      </c>
      <c r="P4" s="175">
        <v>1</v>
      </c>
      <c r="Q4" s="175">
        <v>1</v>
      </c>
      <c r="R4" s="175">
        <v>1</v>
      </c>
      <c r="S4" s="175">
        <v>1</v>
      </c>
      <c r="U4" s="40" t="s">
        <v>206</v>
      </c>
    </row>
    <row r="5" spans="2:21" x14ac:dyDescent="0.35">
      <c r="B5" s="45" t="s">
        <v>128</v>
      </c>
      <c r="C5" s="176"/>
      <c r="D5" s="176"/>
      <c r="E5" s="177"/>
      <c r="F5" s="48"/>
      <c r="G5" s="40" t="s">
        <v>95</v>
      </c>
      <c r="H5" s="178">
        <v>141755</v>
      </c>
      <c r="I5" s="178">
        <v>141755</v>
      </c>
      <c r="J5" s="178">
        <v>163233</v>
      </c>
      <c r="K5" s="178">
        <v>223372</v>
      </c>
      <c r="L5" s="178">
        <f>'Kaven Bonneau 2024'!L21</f>
        <v>286383</v>
      </c>
      <c r="M5" s="178">
        <v>100</v>
      </c>
      <c r="N5" s="178">
        <v>100</v>
      </c>
      <c r="O5" s="178">
        <v>100</v>
      </c>
      <c r="P5" s="178">
        <v>100</v>
      </c>
      <c r="Q5" s="178">
        <v>100</v>
      </c>
      <c r="R5" s="178">
        <v>100</v>
      </c>
      <c r="S5" s="178">
        <v>100</v>
      </c>
      <c r="U5" s="40" t="s">
        <v>207</v>
      </c>
    </row>
    <row r="6" spans="2:21" x14ac:dyDescent="0.35">
      <c r="B6" s="45"/>
      <c r="C6" s="179" t="s">
        <v>129</v>
      </c>
      <c r="D6" s="179" t="s">
        <v>130</v>
      </c>
      <c r="E6" s="180" t="s">
        <v>131</v>
      </c>
      <c r="F6" s="48"/>
      <c r="G6" s="157" t="s">
        <v>37</v>
      </c>
      <c r="H6" s="181">
        <f>IFERROR(ROUND(H4/H5,3)," - - -")</f>
        <v>0.83699999999999997</v>
      </c>
      <c r="I6" s="181">
        <f t="shared" ref="I6:S6" si="0">IFERROR(ROUND(I4/I5,3)," - - -")</f>
        <v>0.623</v>
      </c>
      <c r="J6" s="181">
        <f t="shared" si="0"/>
        <v>0.81</v>
      </c>
      <c r="K6" s="181">
        <f t="shared" si="0"/>
        <v>0.53800000000000003</v>
      </c>
      <c r="L6" s="181">
        <f t="shared" si="0"/>
        <v>0.28699999999999998</v>
      </c>
      <c r="M6" s="181">
        <f t="shared" si="0"/>
        <v>0.01</v>
      </c>
      <c r="N6" s="181">
        <f t="shared" si="0"/>
        <v>0.01</v>
      </c>
      <c r="O6" s="181">
        <f t="shared" si="0"/>
        <v>0.01</v>
      </c>
      <c r="P6" s="181">
        <f t="shared" si="0"/>
        <v>0.01</v>
      </c>
      <c r="Q6" s="181">
        <f t="shared" si="0"/>
        <v>0.01</v>
      </c>
      <c r="R6" s="181">
        <f t="shared" si="0"/>
        <v>0.01</v>
      </c>
      <c r="S6" s="181">
        <f t="shared" si="0"/>
        <v>0.01</v>
      </c>
    </row>
    <row r="7" spans="2:21" x14ac:dyDescent="0.35">
      <c r="B7" s="45"/>
      <c r="C7" s="182">
        <v>0.85</v>
      </c>
      <c r="D7" s="182">
        <v>0.99990000000000001</v>
      </c>
      <c r="E7" s="202">
        <v>500</v>
      </c>
      <c r="F7" s="48"/>
      <c r="H7" s="183">
        <f>IF(AND(H$6&gt;=$C7,H$6&lt;=$D7),$E7,0)</f>
        <v>0</v>
      </c>
      <c r="I7" s="183">
        <f t="shared" ref="I7:S7" si="1">IF(AND(I$6&gt;=$C7,I$6&lt;=$D7),$E7,0)</f>
        <v>0</v>
      </c>
      <c r="J7" s="183">
        <f t="shared" si="1"/>
        <v>0</v>
      </c>
      <c r="K7" s="183">
        <f t="shared" si="1"/>
        <v>0</v>
      </c>
      <c r="L7" s="183">
        <f t="shared" si="1"/>
        <v>0</v>
      </c>
      <c r="M7" s="183">
        <f t="shared" si="1"/>
        <v>0</v>
      </c>
      <c r="N7" s="183">
        <f t="shared" si="1"/>
        <v>0</v>
      </c>
      <c r="O7" s="183">
        <f t="shared" si="1"/>
        <v>0</v>
      </c>
      <c r="P7" s="183">
        <f t="shared" si="1"/>
        <v>0</v>
      </c>
      <c r="Q7" s="183">
        <f t="shared" si="1"/>
        <v>0</v>
      </c>
      <c r="R7" s="183">
        <f t="shared" si="1"/>
        <v>0</v>
      </c>
      <c r="S7" s="183">
        <f t="shared" si="1"/>
        <v>0</v>
      </c>
    </row>
    <row r="8" spans="2:21" x14ac:dyDescent="0.35">
      <c r="B8" s="45"/>
      <c r="C8" s="182">
        <v>1</v>
      </c>
      <c r="D8" s="182">
        <v>1.149</v>
      </c>
      <c r="E8" s="202">
        <v>1500</v>
      </c>
      <c r="F8" s="48"/>
      <c r="H8" s="183">
        <f t="shared" ref="H8:S9" si="2">IF(AND(H$6&gt;=$C8,H$6&lt;=$D8),$E8,0)</f>
        <v>0</v>
      </c>
      <c r="I8" s="183">
        <f t="shared" si="2"/>
        <v>0</v>
      </c>
      <c r="J8" s="183">
        <f t="shared" si="2"/>
        <v>0</v>
      </c>
      <c r="K8" s="183">
        <f t="shared" si="2"/>
        <v>0</v>
      </c>
      <c r="L8" s="183">
        <f t="shared" si="2"/>
        <v>0</v>
      </c>
      <c r="M8" s="183">
        <f t="shared" si="2"/>
        <v>0</v>
      </c>
      <c r="N8" s="183">
        <f t="shared" si="2"/>
        <v>0</v>
      </c>
      <c r="O8" s="183">
        <f t="shared" si="2"/>
        <v>0</v>
      </c>
      <c r="P8" s="183">
        <f t="shared" si="2"/>
        <v>0</v>
      </c>
      <c r="Q8" s="183">
        <f t="shared" si="2"/>
        <v>0</v>
      </c>
      <c r="R8" s="183">
        <f t="shared" si="2"/>
        <v>0</v>
      </c>
      <c r="S8" s="183">
        <f t="shared" si="2"/>
        <v>0</v>
      </c>
    </row>
    <row r="9" spans="2:21" x14ac:dyDescent="0.35">
      <c r="B9" s="45"/>
      <c r="C9" s="184">
        <v>1.1499999999999999</v>
      </c>
      <c r="D9" s="185" t="s">
        <v>132</v>
      </c>
      <c r="E9" s="202">
        <v>2000</v>
      </c>
      <c r="F9" s="48"/>
      <c r="H9" s="183">
        <f t="shared" si="2"/>
        <v>0</v>
      </c>
      <c r="I9" s="183">
        <f t="shared" si="2"/>
        <v>0</v>
      </c>
      <c r="J9" s="183">
        <f t="shared" si="2"/>
        <v>0</v>
      </c>
      <c r="K9" s="183">
        <f t="shared" si="2"/>
        <v>0</v>
      </c>
      <c r="L9" s="183">
        <f t="shared" si="2"/>
        <v>0</v>
      </c>
      <c r="M9" s="183">
        <f t="shared" si="2"/>
        <v>0</v>
      </c>
      <c r="N9" s="183">
        <f t="shared" si="2"/>
        <v>0</v>
      </c>
      <c r="O9" s="183">
        <f t="shared" si="2"/>
        <v>0</v>
      </c>
      <c r="P9" s="183">
        <f t="shared" si="2"/>
        <v>0</v>
      </c>
      <c r="Q9" s="183">
        <f t="shared" si="2"/>
        <v>0</v>
      </c>
      <c r="R9" s="183">
        <f t="shared" si="2"/>
        <v>0</v>
      </c>
      <c r="S9" s="183">
        <f t="shared" si="2"/>
        <v>0</v>
      </c>
    </row>
    <row r="10" spans="2:21" x14ac:dyDescent="0.35">
      <c r="B10" s="43"/>
      <c r="C10" s="44"/>
      <c r="D10" s="44"/>
      <c r="E10" s="44"/>
      <c r="F10" s="163"/>
      <c r="G10" s="186" t="s">
        <v>133</v>
      </c>
      <c r="H10" s="187">
        <f>SUM(H7:H9)</f>
        <v>0</v>
      </c>
      <c r="I10" s="187">
        <f t="shared" ref="I10:S10" si="3">SUM(I7:I9)</f>
        <v>0</v>
      </c>
      <c r="J10" s="187">
        <f t="shared" si="3"/>
        <v>0</v>
      </c>
      <c r="K10" s="187">
        <f t="shared" si="3"/>
        <v>0</v>
      </c>
      <c r="L10" s="187">
        <f t="shared" si="3"/>
        <v>0</v>
      </c>
      <c r="M10" s="187">
        <f t="shared" si="3"/>
        <v>0</v>
      </c>
      <c r="N10" s="187">
        <f t="shared" si="3"/>
        <v>0</v>
      </c>
      <c r="O10" s="187">
        <f t="shared" si="3"/>
        <v>0</v>
      </c>
      <c r="P10" s="187">
        <f t="shared" si="3"/>
        <v>0</v>
      </c>
      <c r="Q10" s="187">
        <f t="shared" si="3"/>
        <v>0</v>
      </c>
      <c r="R10" s="187">
        <f t="shared" si="3"/>
        <v>0</v>
      </c>
      <c r="S10" s="187">
        <f t="shared" si="3"/>
        <v>0</v>
      </c>
    </row>
    <row r="11" spans="2:21" ht="8.25" customHeight="1" x14ac:dyDescent="0.35">
      <c r="H11" s="146"/>
      <c r="I11" s="146"/>
      <c r="J11" s="146"/>
      <c r="K11" s="146"/>
      <c r="L11" s="146"/>
      <c r="M11" s="146"/>
      <c r="N11" s="146"/>
      <c r="O11" s="146"/>
      <c r="P11" s="146"/>
      <c r="Q11" s="146"/>
      <c r="R11" s="146"/>
      <c r="S11" s="146"/>
    </row>
    <row r="12" spans="2:21" x14ac:dyDescent="0.35">
      <c r="B12" s="41" t="s">
        <v>196</v>
      </c>
      <c r="C12" s="173"/>
      <c r="D12" s="173"/>
      <c r="E12" s="174"/>
      <c r="F12" s="47"/>
      <c r="G12" s="42" t="s">
        <v>119</v>
      </c>
      <c r="H12" s="219">
        <v>60</v>
      </c>
      <c r="I12" s="203">
        <v>26</v>
      </c>
      <c r="J12" s="203">
        <v>35</v>
      </c>
      <c r="K12" s="203">
        <v>20</v>
      </c>
      <c r="L12" s="203">
        <v>25</v>
      </c>
      <c r="M12" s="203">
        <v>1</v>
      </c>
      <c r="N12" s="203">
        <v>1</v>
      </c>
      <c r="O12" s="203">
        <v>1</v>
      </c>
      <c r="P12" s="203">
        <v>1</v>
      </c>
      <c r="Q12" s="203">
        <v>1</v>
      </c>
      <c r="R12" s="203">
        <v>1</v>
      </c>
      <c r="S12" s="203">
        <v>1</v>
      </c>
      <c r="U12" s="40" t="s">
        <v>208</v>
      </c>
    </row>
    <row r="13" spans="2:21" x14ac:dyDescent="0.35">
      <c r="B13" s="45" t="s">
        <v>128</v>
      </c>
      <c r="C13" s="176"/>
      <c r="D13" s="176"/>
      <c r="E13" s="177"/>
      <c r="F13" s="48"/>
      <c r="G13" s="40" t="s">
        <v>95</v>
      </c>
      <c r="H13" s="220">
        <v>61</v>
      </c>
      <c r="I13" s="204">
        <v>33</v>
      </c>
      <c r="J13" s="204">
        <v>38</v>
      </c>
      <c r="K13" s="204">
        <v>52</v>
      </c>
      <c r="L13" s="204">
        <v>50</v>
      </c>
      <c r="M13" s="204">
        <v>100</v>
      </c>
      <c r="N13" s="204">
        <v>100</v>
      </c>
      <c r="O13" s="204">
        <v>100</v>
      </c>
      <c r="P13" s="204">
        <v>100</v>
      </c>
      <c r="Q13" s="204">
        <v>100</v>
      </c>
      <c r="R13" s="204">
        <v>100</v>
      </c>
      <c r="S13" s="204">
        <v>100</v>
      </c>
      <c r="U13" s="40" t="s">
        <v>209</v>
      </c>
    </row>
    <row r="14" spans="2:21" x14ac:dyDescent="0.35">
      <c r="B14" s="45"/>
      <c r="C14" s="179" t="s">
        <v>129</v>
      </c>
      <c r="D14" s="179" t="s">
        <v>130</v>
      </c>
      <c r="E14" s="180" t="s">
        <v>131</v>
      </c>
      <c r="F14" s="48"/>
      <c r="G14" s="157" t="s">
        <v>37</v>
      </c>
      <c r="H14" s="181">
        <f>IFERROR(ROUND(H12/H13,3)," - - -")</f>
        <v>0.98399999999999999</v>
      </c>
      <c r="I14" s="181">
        <f t="shared" ref="I14:S14" si="4">IFERROR(ROUND(I12/I13,3)," - - -")</f>
        <v>0.78800000000000003</v>
      </c>
      <c r="J14" s="181">
        <f t="shared" si="4"/>
        <v>0.92100000000000004</v>
      </c>
      <c r="K14" s="181">
        <f t="shared" si="4"/>
        <v>0.38500000000000001</v>
      </c>
      <c r="L14" s="181">
        <f t="shared" si="4"/>
        <v>0.5</v>
      </c>
      <c r="M14" s="181">
        <f t="shared" si="4"/>
        <v>0.01</v>
      </c>
      <c r="N14" s="181">
        <f t="shared" si="4"/>
        <v>0.01</v>
      </c>
      <c r="O14" s="181">
        <f t="shared" si="4"/>
        <v>0.01</v>
      </c>
      <c r="P14" s="181">
        <f t="shared" si="4"/>
        <v>0.01</v>
      </c>
      <c r="Q14" s="181">
        <f t="shared" si="4"/>
        <v>0.01</v>
      </c>
      <c r="R14" s="181">
        <f t="shared" si="4"/>
        <v>0.01</v>
      </c>
      <c r="S14" s="181">
        <f t="shared" si="4"/>
        <v>0.01</v>
      </c>
    </row>
    <row r="15" spans="2:21" x14ac:dyDescent="0.35">
      <c r="B15" s="45"/>
      <c r="C15" s="182">
        <v>0.85</v>
      </c>
      <c r="D15" s="182">
        <v>0.99990000000000001</v>
      </c>
      <c r="E15" s="202">
        <v>750</v>
      </c>
      <c r="F15" s="48"/>
      <c r="H15" s="183">
        <f>IF(AND(H$14&gt;=$C15,H$14&lt;=$D15),$E15,0)</f>
        <v>750</v>
      </c>
      <c r="I15" s="183">
        <f t="shared" ref="I15:S15" si="5">IF(AND(I$14&gt;=$C15,I$14&lt;=$D15),$E15,0)</f>
        <v>0</v>
      </c>
      <c r="J15" s="183">
        <f t="shared" si="5"/>
        <v>750</v>
      </c>
      <c r="K15" s="183">
        <f t="shared" si="5"/>
        <v>0</v>
      </c>
      <c r="L15" s="183">
        <f t="shared" si="5"/>
        <v>0</v>
      </c>
      <c r="M15" s="183">
        <f t="shared" si="5"/>
        <v>0</v>
      </c>
      <c r="N15" s="183">
        <f t="shared" si="5"/>
        <v>0</v>
      </c>
      <c r="O15" s="183">
        <f t="shared" si="5"/>
        <v>0</v>
      </c>
      <c r="P15" s="183">
        <f t="shared" si="5"/>
        <v>0</v>
      </c>
      <c r="Q15" s="183">
        <f t="shared" si="5"/>
        <v>0</v>
      </c>
      <c r="R15" s="183">
        <f t="shared" si="5"/>
        <v>0</v>
      </c>
      <c r="S15" s="183">
        <f t="shared" si="5"/>
        <v>0</v>
      </c>
    </row>
    <row r="16" spans="2:21" x14ac:dyDescent="0.35">
      <c r="B16" s="45"/>
      <c r="C16" s="182">
        <v>1</v>
      </c>
      <c r="D16" s="182">
        <v>1.149</v>
      </c>
      <c r="E16" s="202">
        <v>1500</v>
      </c>
      <c r="F16" s="48"/>
      <c r="H16" s="183">
        <f t="shared" ref="H16:S17" si="6">IF(AND(H$14&gt;=$C16,H$14&lt;=$D16),$E16,0)</f>
        <v>0</v>
      </c>
      <c r="I16" s="183">
        <f t="shared" si="6"/>
        <v>0</v>
      </c>
      <c r="J16" s="183">
        <f t="shared" si="6"/>
        <v>0</v>
      </c>
      <c r="K16" s="183">
        <f t="shared" si="6"/>
        <v>0</v>
      </c>
      <c r="L16" s="183">
        <f t="shared" si="6"/>
        <v>0</v>
      </c>
      <c r="M16" s="183">
        <f t="shared" si="6"/>
        <v>0</v>
      </c>
      <c r="N16" s="183">
        <f t="shared" si="6"/>
        <v>0</v>
      </c>
      <c r="O16" s="183">
        <f t="shared" si="6"/>
        <v>0</v>
      </c>
      <c r="P16" s="183">
        <f t="shared" si="6"/>
        <v>0</v>
      </c>
      <c r="Q16" s="183">
        <f t="shared" si="6"/>
        <v>0</v>
      </c>
      <c r="R16" s="183">
        <f t="shared" si="6"/>
        <v>0</v>
      </c>
      <c r="S16" s="183">
        <f t="shared" si="6"/>
        <v>0</v>
      </c>
    </row>
    <row r="17" spans="2:21" x14ac:dyDescent="0.35">
      <c r="B17" s="45"/>
      <c r="C17" s="184">
        <v>1.1499999999999999</v>
      </c>
      <c r="D17" s="185" t="s">
        <v>132</v>
      </c>
      <c r="E17" s="202">
        <v>2000</v>
      </c>
      <c r="F17" s="48"/>
      <c r="H17" s="183">
        <f t="shared" si="6"/>
        <v>0</v>
      </c>
      <c r="I17" s="183">
        <f t="shared" si="6"/>
        <v>0</v>
      </c>
      <c r="J17" s="183">
        <f t="shared" si="6"/>
        <v>0</v>
      </c>
      <c r="K17" s="183">
        <f t="shared" si="6"/>
        <v>0</v>
      </c>
      <c r="L17" s="183">
        <f t="shared" si="6"/>
        <v>0</v>
      </c>
      <c r="M17" s="183">
        <f t="shared" si="6"/>
        <v>0</v>
      </c>
      <c r="N17" s="183">
        <f t="shared" si="6"/>
        <v>0</v>
      </c>
      <c r="O17" s="183">
        <f t="shared" si="6"/>
        <v>0</v>
      </c>
      <c r="P17" s="183">
        <f t="shared" si="6"/>
        <v>0</v>
      </c>
      <c r="Q17" s="183">
        <f t="shared" si="6"/>
        <v>0</v>
      </c>
      <c r="R17" s="183">
        <f t="shared" si="6"/>
        <v>0</v>
      </c>
      <c r="S17" s="183">
        <f t="shared" si="6"/>
        <v>0</v>
      </c>
    </row>
    <row r="18" spans="2:21" x14ac:dyDescent="0.35">
      <c r="B18" s="43"/>
      <c r="C18" s="44"/>
      <c r="D18" s="44"/>
      <c r="E18" s="44"/>
      <c r="F18" s="163"/>
      <c r="G18" s="186" t="s">
        <v>133</v>
      </c>
      <c r="H18" s="187">
        <f>SUM(H15:H17)</f>
        <v>750</v>
      </c>
      <c r="I18" s="187">
        <f t="shared" ref="I18:S18" si="7">SUM(I15:I17)</f>
        <v>0</v>
      </c>
      <c r="J18" s="187">
        <f t="shared" si="7"/>
        <v>750</v>
      </c>
      <c r="K18" s="187">
        <f t="shared" si="7"/>
        <v>0</v>
      </c>
      <c r="L18" s="187">
        <f t="shared" si="7"/>
        <v>0</v>
      </c>
      <c r="M18" s="187">
        <f t="shared" si="7"/>
        <v>0</v>
      </c>
      <c r="N18" s="187">
        <f t="shared" si="7"/>
        <v>0</v>
      </c>
      <c r="O18" s="187">
        <f t="shared" si="7"/>
        <v>0</v>
      </c>
      <c r="P18" s="187">
        <f t="shared" si="7"/>
        <v>0</v>
      </c>
      <c r="Q18" s="187">
        <f t="shared" si="7"/>
        <v>0</v>
      </c>
      <c r="R18" s="187">
        <f t="shared" si="7"/>
        <v>0</v>
      </c>
      <c r="S18" s="187">
        <f t="shared" si="7"/>
        <v>0</v>
      </c>
    </row>
    <row r="19" spans="2:21" ht="10.5" customHeight="1" x14ac:dyDescent="0.35"/>
    <row r="20" spans="2:21" x14ac:dyDescent="0.35">
      <c r="B20" s="41" t="s">
        <v>199</v>
      </c>
      <c r="C20" s="173"/>
      <c r="D20" s="173"/>
      <c r="E20" s="174"/>
      <c r="F20" s="47"/>
      <c r="G20" s="42" t="s">
        <v>119</v>
      </c>
      <c r="H20" s="195">
        <v>4.5</v>
      </c>
      <c r="I20" s="195">
        <v>5</v>
      </c>
      <c r="J20" s="277">
        <v>4.5</v>
      </c>
      <c r="K20" s="195">
        <v>4.71</v>
      </c>
      <c r="L20" s="195">
        <v>4.75</v>
      </c>
      <c r="M20" s="195">
        <v>1</v>
      </c>
      <c r="N20" s="195">
        <v>1</v>
      </c>
      <c r="O20" s="195">
        <v>1</v>
      </c>
      <c r="P20" s="195">
        <v>1</v>
      </c>
      <c r="Q20" s="195">
        <v>1</v>
      </c>
      <c r="R20" s="195">
        <v>1</v>
      </c>
      <c r="S20" s="195">
        <v>1</v>
      </c>
      <c r="U20" s="40" t="s">
        <v>210</v>
      </c>
    </row>
    <row r="21" spans="2:21" x14ac:dyDescent="0.35">
      <c r="B21" s="45"/>
      <c r="C21" s="176"/>
      <c r="D21" s="176"/>
      <c r="E21" s="177"/>
      <c r="F21" s="48"/>
      <c r="G21" s="40" t="s">
        <v>95</v>
      </c>
      <c r="H21" s="196">
        <v>4.9000000000000004</v>
      </c>
      <c r="I21" s="196">
        <v>4.9000000000000004</v>
      </c>
      <c r="J21" s="196">
        <v>4.9000000000000004</v>
      </c>
      <c r="K21" s="196">
        <v>4.9000000000000004</v>
      </c>
      <c r="L21" s="196">
        <v>4.9000000000000004</v>
      </c>
      <c r="M21" s="196">
        <v>4.9000000000000004</v>
      </c>
      <c r="N21" s="196">
        <v>4.9000000000000004</v>
      </c>
      <c r="O21" s="196">
        <v>4.9000000000000004</v>
      </c>
      <c r="P21" s="196">
        <v>4.9000000000000004</v>
      </c>
      <c r="Q21" s="196">
        <v>4.9000000000000004</v>
      </c>
      <c r="R21" s="196">
        <v>4.9000000000000004</v>
      </c>
      <c r="S21" s="196">
        <v>4.9000000000000004</v>
      </c>
    </row>
    <row r="22" spans="2:21" x14ac:dyDescent="0.35">
      <c r="B22" s="45"/>
      <c r="C22" s="179" t="s">
        <v>129</v>
      </c>
      <c r="D22" s="179" t="s">
        <v>130</v>
      </c>
      <c r="E22" s="180" t="s">
        <v>131</v>
      </c>
      <c r="F22" s="48"/>
      <c r="G22" s="157" t="s">
        <v>37</v>
      </c>
      <c r="H22" s="181">
        <f>IFERROR(ROUND(H20/H21,3)," - - -")</f>
        <v>0.91800000000000004</v>
      </c>
      <c r="I22" s="181">
        <f t="shared" ref="I22:S22" si="8">IFERROR(ROUND(I20/I21,3)," - - -")</f>
        <v>1.02</v>
      </c>
      <c r="J22" s="181">
        <f t="shared" si="8"/>
        <v>0.91800000000000004</v>
      </c>
      <c r="K22" s="181">
        <f t="shared" si="8"/>
        <v>0.96099999999999997</v>
      </c>
      <c r="L22" s="181">
        <f t="shared" si="8"/>
        <v>0.96899999999999997</v>
      </c>
      <c r="M22" s="181">
        <f t="shared" si="8"/>
        <v>0.20399999999999999</v>
      </c>
      <c r="N22" s="181">
        <f t="shared" si="8"/>
        <v>0.20399999999999999</v>
      </c>
      <c r="O22" s="181">
        <f t="shared" si="8"/>
        <v>0.20399999999999999</v>
      </c>
      <c r="P22" s="181">
        <f t="shared" si="8"/>
        <v>0.20399999999999999</v>
      </c>
      <c r="Q22" s="181">
        <f t="shared" si="8"/>
        <v>0.20399999999999999</v>
      </c>
      <c r="R22" s="181">
        <f t="shared" si="8"/>
        <v>0.20399999999999999</v>
      </c>
      <c r="S22" s="181">
        <f t="shared" si="8"/>
        <v>0.20399999999999999</v>
      </c>
    </row>
    <row r="23" spans="2:21" x14ac:dyDescent="0.35">
      <c r="B23" s="45"/>
      <c r="C23" s="200">
        <v>4.7</v>
      </c>
      <c r="D23" s="200">
        <v>4.84</v>
      </c>
      <c r="E23" s="202">
        <v>100</v>
      </c>
      <c r="F23" s="48"/>
      <c r="H23" s="183">
        <f>IF(AND(H$20&gt;=$C23,H$20&lt;=$D23),$E23,0)</f>
        <v>0</v>
      </c>
      <c r="I23" s="183">
        <f t="shared" ref="I23:S23" si="9">IF(AND(I$20&gt;=$C23,I$20&lt;=$D23),$E23,0)</f>
        <v>0</v>
      </c>
      <c r="J23" s="183">
        <f t="shared" si="9"/>
        <v>0</v>
      </c>
      <c r="K23" s="183">
        <f t="shared" si="9"/>
        <v>100</v>
      </c>
      <c r="L23" s="183">
        <f t="shared" si="9"/>
        <v>100</v>
      </c>
      <c r="M23" s="183">
        <f t="shared" si="9"/>
        <v>0</v>
      </c>
      <c r="N23" s="183">
        <f t="shared" si="9"/>
        <v>0</v>
      </c>
      <c r="O23" s="183">
        <f t="shared" si="9"/>
        <v>0</v>
      </c>
      <c r="P23" s="183">
        <f t="shared" si="9"/>
        <v>0</v>
      </c>
      <c r="Q23" s="183">
        <f t="shared" si="9"/>
        <v>0</v>
      </c>
      <c r="R23" s="183">
        <f t="shared" si="9"/>
        <v>0</v>
      </c>
      <c r="S23" s="183">
        <f t="shared" si="9"/>
        <v>0</v>
      </c>
    </row>
    <row r="24" spans="2:21" x14ac:dyDescent="0.35">
      <c r="B24" s="45"/>
      <c r="C24" s="200">
        <v>4.8499999999999996</v>
      </c>
      <c r="D24" s="200">
        <v>4.95</v>
      </c>
      <c r="E24" s="202">
        <v>250</v>
      </c>
      <c r="F24" s="48"/>
      <c r="H24" s="183">
        <f t="shared" ref="H24:S25" si="10">IF(AND(H$20&gt;=$C24,H$20&lt;=$D24),$E24,0)</f>
        <v>0</v>
      </c>
      <c r="I24" s="183">
        <f t="shared" si="10"/>
        <v>0</v>
      </c>
      <c r="J24" s="183">
        <f t="shared" si="10"/>
        <v>0</v>
      </c>
      <c r="K24" s="183">
        <f t="shared" si="10"/>
        <v>0</v>
      </c>
      <c r="L24" s="183">
        <f t="shared" si="10"/>
        <v>0</v>
      </c>
      <c r="M24" s="183">
        <f t="shared" si="10"/>
        <v>0</v>
      </c>
      <c r="N24" s="183">
        <f t="shared" si="10"/>
        <v>0</v>
      </c>
      <c r="O24" s="183">
        <f t="shared" si="10"/>
        <v>0</v>
      </c>
      <c r="P24" s="183">
        <f t="shared" si="10"/>
        <v>0</v>
      </c>
      <c r="Q24" s="183">
        <f t="shared" si="10"/>
        <v>0</v>
      </c>
      <c r="R24" s="183">
        <f t="shared" si="10"/>
        <v>0</v>
      </c>
      <c r="S24" s="183">
        <f t="shared" si="10"/>
        <v>0</v>
      </c>
    </row>
    <row r="25" spans="2:21" x14ac:dyDescent="0.35">
      <c r="B25" s="45"/>
      <c r="C25" s="201">
        <v>4.96</v>
      </c>
      <c r="D25" s="185" t="s">
        <v>132</v>
      </c>
      <c r="E25" s="202">
        <v>500</v>
      </c>
      <c r="F25" s="48"/>
      <c r="H25" s="183">
        <f t="shared" si="10"/>
        <v>0</v>
      </c>
      <c r="I25" s="183">
        <f t="shared" si="10"/>
        <v>500</v>
      </c>
      <c r="J25" s="183">
        <f t="shared" si="10"/>
        <v>0</v>
      </c>
      <c r="K25" s="183">
        <f t="shared" si="10"/>
        <v>0</v>
      </c>
      <c r="L25" s="183">
        <f t="shared" si="10"/>
        <v>0</v>
      </c>
      <c r="M25" s="183">
        <f t="shared" si="10"/>
        <v>0</v>
      </c>
      <c r="N25" s="183">
        <f t="shared" si="10"/>
        <v>0</v>
      </c>
      <c r="O25" s="183">
        <f t="shared" si="10"/>
        <v>0</v>
      </c>
      <c r="P25" s="183">
        <f t="shared" si="10"/>
        <v>0</v>
      </c>
      <c r="Q25" s="183">
        <f t="shared" si="10"/>
        <v>0</v>
      </c>
      <c r="R25" s="183">
        <f t="shared" si="10"/>
        <v>0</v>
      </c>
      <c r="S25" s="183">
        <f t="shared" si="10"/>
        <v>0</v>
      </c>
    </row>
    <row r="26" spans="2:21" x14ac:dyDescent="0.35">
      <c r="B26" s="43"/>
      <c r="C26" s="44"/>
      <c r="D26" s="44"/>
      <c r="E26" s="44"/>
      <c r="F26" s="163"/>
      <c r="G26" s="186" t="s">
        <v>133</v>
      </c>
      <c r="H26" s="187">
        <f t="shared" ref="H26" si="11">SUM(H23:H25)</f>
        <v>0</v>
      </c>
      <c r="I26" s="187">
        <f t="shared" ref="I26:S26" si="12">SUM(I23:I25)</f>
        <v>500</v>
      </c>
      <c r="J26" s="187">
        <f t="shared" si="12"/>
        <v>0</v>
      </c>
      <c r="K26" s="187">
        <f t="shared" si="12"/>
        <v>100</v>
      </c>
      <c r="L26" s="187">
        <f t="shared" si="12"/>
        <v>100</v>
      </c>
      <c r="M26" s="187">
        <f t="shared" si="12"/>
        <v>0</v>
      </c>
      <c r="N26" s="187">
        <f t="shared" si="12"/>
        <v>0</v>
      </c>
      <c r="O26" s="187">
        <f t="shared" si="12"/>
        <v>0</v>
      </c>
      <c r="P26" s="187">
        <f t="shared" si="12"/>
        <v>0</v>
      </c>
      <c r="Q26" s="187">
        <f t="shared" si="12"/>
        <v>0</v>
      </c>
      <c r="R26" s="187">
        <f t="shared" si="12"/>
        <v>0</v>
      </c>
      <c r="S26" s="187">
        <f t="shared" si="12"/>
        <v>0</v>
      </c>
    </row>
    <row r="27" spans="2:21" ht="8.25" customHeight="1" x14ac:dyDescent="0.35"/>
    <row r="28" spans="2:21" x14ac:dyDescent="0.35">
      <c r="B28" s="41" t="s">
        <v>147</v>
      </c>
      <c r="C28" s="173"/>
      <c r="D28" s="173"/>
      <c r="E28" s="174"/>
      <c r="F28" s="47"/>
      <c r="G28" s="42" t="s">
        <v>119</v>
      </c>
      <c r="H28" s="218">
        <v>2</v>
      </c>
      <c r="I28" s="207">
        <v>2</v>
      </c>
      <c r="J28" s="218">
        <v>2</v>
      </c>
      <c r="K28" s="218">
        <v>3</v>
      </c>
      <c r="L28" s="218">
        <v>3</v>
      </c>
      <c r="M28" s="218">
        <v>0</v>
      </c>
      <c r="N28" s="218">
        <v>0</v>
      </c>
      <c r="O28" s="218">
        <v>0</v>
      </c>
      <c r="P28" s="218">
        <v>0</v>
      </c>
      <c r="Q28" s="218">
        <v>0</v>
      </c>
      <c r="R28" s="218">
        <v>0</v>
      </c>
      <c r="S28" s="218">
        <v>0</v>
      </c>
    </row>
    <row r="29" spans="2:21" x14ac:dyDescent="0.35">
      <c r="B29" s="158" t="s">
        <v>148</v>
      </c>
      <c r="C29" s="176"/>
      <c r="D29" s="176"/>
      <c r="E29" s="177"/>
      <c r="F29" s="48"/>
      <c r="G29" s="40" t="s">
        <v>95</v>
      </c>
      <c r="H29" s="205">
        <v>2</v>
      </c>
      <c r="I29" s="205">
        <v>2</v>
      </c>
      <c r="J29" s="205">
        <v>2</v>
      </c>
      <c r="K29" s="205">
        <v>2</v>
      </c>
      <c r="L29" s="205">
        <v>2</v>
      </c>
      <c r="M29" s="205">
        <v>2</v>
      </c>
      <c r="N29" s="205">
        <v>2</v>
      </c>
      <c r="O29" s="205">
        <v>2</v>
      </c>
      <c r="P29" s="205">
        <v>2</v>
      </c>
      <c r="Q29" s="205">
        <v>2</v>
      </c>
      <c r="R29" s="205">
        <v>2</v>
      </c>
      <c r="S29" s="205">
        <v>2</v>
      </c>
    </row>
    <row r="30" spans="2:21" x14ac:dyDescent="0.35">
      <c r="B30" s="45"/>
      <c r="C30" s="179" t="s">
        <v>129</v>
      </c>
      <c r="D30" s="179" t="s">
        <v>130</v>
      </c>
      <c r="E30" s="180" t="s">
        <v>131</v>
      </c>
      <c r="F30" s="48"/>
      <c r="G30" s="157" t="s">
        <v>37</v>
      </c>
      <c r="H30" s="181">
        <f>IFERROR(ROUND(H28/H29,3)," - - -")</f>
        <v>1</v>
      </c>
      <c r="I30" s="181">
        <f t="shared" ref="I30:S30" si="13">IFERROR(ROUND(I28/I29,3)," - - -")</f>
        <v>1</v>
      </c>
      <c r="J30" s="181">
        <f t="shared" si="13"/>
        <v>1</v>
      </c>
      <c r="K30" s="181">
        <f t="shared" si="13"/>
        <v>1.5</v>
      </c>
      <c r="L30" s="181">
        <f t="shared" si="13"/>
        <v>1.5</v>
      </c>
      <c r="M30" s="181">
        <f t="shared" si="13"/>
        <v>0</v>
      </c>
      <c r="N30" s="181">
        <f t="shared" si="13"/>
        <v>0</v>
      </c>
      <c r="O30" s="181">
        <f t="shared" si="13"/>
        <v>0</v>
      </c>
      <c r="P30" s="181">
        <f t="shared" si="13"/>
        <v>0</v>
      </c>
      <c r="Q30" s="181">
        <f t="shared" si="13"/>
        <v>0</v>
      </c>
      <c r="R30" s="181">
        <f t="shared" si="13"/>
        <v>0</v>
      </c>
      <c r="S30" s="181">
        <f t="shared" si="13"/>
        <v>0</v>
      </c>
    </row>
    <row r="31" spans="2:21" x14ac:dyDescent="0.35">
      <c r="B31" s="45"/>
      <c r="C31" s="206">
        <v>1</v>
      </c>
      <c r="D31" s="206">
        <v>1</v>
      </c>
      <c r="E31" s="202">
        <v>100</v>
      </c>
      <c r="F31" s="48"/>
      <c r="H31" s="183">
        <f>IF(AND(H$28&gt;=$C31,H$28&lt;=$D31),$E31,0)</f>
        <v>0</v>
      </c>
      <c r="I31" s="183">
        <f t="shared" ref="I31:S31" si="14">IF(AND(I$28&gt;=$C31,I$28&lt;=$D31),$E31,0)</f>
        <v>0</v>
      </c>
      <c r="J31" s="183">
        <f t="shared" si="14"/>
        <v>0</v>
      </c>
      <c r="K31" s="183">
        <f t="shared" si="14"/>
        <v>0</v>
      </c>
      <c r="L31" s="183">
        <f t="shared" si="14"/>
        <v>0</v>
      </c>
      <c r="M31" s="183">
        <f t="shared" si="14"/>
        <v>0</v>
      </c>
      <c r="N31" s="183">
        <f t="shared" si="14"/>
        <v>0</v>
      </c>
      <c r="O31" s="183">
        <f t="shared" si="14"/>
        <v>0</v>
      </c>
      <c r="P31" s="183">
        <f t="shared" si="14"/>
        <v>0</v>
      </c>
      <c r="Q31" s="183">
        <f t="shared" si="14"/>
        <v>0</v>
      </c>
      <c r="R31" s="183">
        <f t="shared" si="14"/>
        <v>0</v>
      </c>
      <c r="S31" s="183">
        <f t="shared" si="14"/>
        <v>0</v>
      </c>
    </row>
    <row r="32" spans="2:21" x14ac:dyDescent="0.35">
      <c r="B32" s="45"/>
      <c r="C32" s="206">
        <v>2</v>
      </c>
      <c r="D32" s="206">
        <v>2</v>
      </c>
      <c r="E32" s="202">
        <v>750</v>
      </c>
      <c r="F32" s="48"/>
      <c r="H32" s="183">
        <f t="shared" ref="H32:S33" si="15">IF(AND(H$28&gt;=$C32,H$28&lt;=$D32),$E32,0)</f>
        <v>750</v>
      </c>
      <c r="I32" s="183">
        <f t="shared" si="15"/>
        <v>750</v>
      </c>
      <c r="J32" s="183">
        <f t="shared" si="15"/>
        <v>750</v>
      </c>
      <c r="K32" s="183">
        <f t="shared" si="15"/>
        <v>0</v>
      </c>
      <c r="L32" s="183">
        <f t="shared" si="15"/>
        <v>0</v>
      </c>
      <c r="M32" s="183">
        <f t="shared" si="15"/>
        <v>0</v>
      </c>
      <c r="N32" s="183">
        <f t="shared" si="15"/>
        <v>0</v>
      </c>
      <c r="O32" s="183">
        <f t="shared" si="15"/>
        <v>0</v>
      </c>
      <c r="P32" s="183">
        <f t="shared" si="15"/>
        <v>0</v>
      </c>
      <c r="Q32" s="183">
        <f t="shared" si="15"/>
        <v>0</v>
      </c>
      <c r="R32" s="183">
        <f t="shared" si="15"/>
        <v>0</v>
      </c>
      <c r="S32" s="183">
        <f t="shared" si="15"/>
        <v>0</v>
      </c>
    </row>
    <row r="33" spans="2:19" x14ac:dyDescent="0.35">
      <c r="B33" s="45"/>
      <c r="C33" s="206">
        <v>3</v>
      </c>
      <c r="D33" s="206">
        <v>3</v>
      </c>
      <c r="E33" s="202">
        <v>1250</v>
      </c>
      <c r="F33" s="48"/>
      <c r="H33" s="183">
        <f t="shared" si="15"/>
        <v>0</v>
      </c>
      <c r="I33" s="183">
        <f t="shared" si="15"/>
        <v>0</v>
      </c>
      <c r="J33" s="183">
        <f t="shared" si="15"/>
        <v>0</v>
      </c>
      <c r="K33" s="183">
        <f t="shared" si="15"/>
        <v>1250</v>
      </c>
      <c r="L33" s="183">
        <f t="shared" si="15"/>
        <v>1250</v>
      </c>
      <c r="M33" s="183">
        <f t="shared" si="15"/>
        <v>0</v>
      </c>
      <c r="N33" s="183">
        <f t="shared" si="15"/>
        <v>0</v>
      </c>
      <c r="O33" s="183">
        <f t="shared" si="15"/>
        <v>0</v>
      </c>
      <c r="P33" s="183">
        <f t="shared" si="15"/>
        <v>0</v>
      </c>
      <c r="Q33" s="183">
        <f t="shared" si="15"/>
        <v>0</v>
      </c>
      <c r="R33" s="183">
        <f t="shared" si="15"/>
        <v>0</v>
      </c>
      <c r="S33" s="183">
        <f t="shared" si="15"/>
        <v>0</v>
      </c>
    </row>
    <row r="34" spans="2:19" x14ac:dyDescent="0.35">
      <c r="B34" s="43"/>
      <c r="C34" s="44"/>
      <c r="D34" s="44"/>
      <c r="E34" s="44"/>
      <c r="F34" s="163"/>
      <c r="G34" s="186" t="s">
        <v>133</v>
      </c>
      <c r="H34" s="187">
        <f t="shared" ref="H34" si="16">SUM(H31:H33)</f>
        <v>750</v>
      </c>
      <c r="I34" s="187">
        <f t="shared" ref="I34:S34" si="17">SUM(I31:I33)</f>
        <v>750</v>
      </c>
      <c r="J34" s="187">
        <f t="shared" si="17"/>
        <v>750</v>
      </c>
      <c r="K34" s="187">
        <f t="shared" si="17"/>
        <v>1250</v>
      </c>
      <c r="L34" s="187">
        <f t="shared" si="17"/>
        <v>1250</v>
      </c>
      <c r="M34" s="187">
        <f t="shared" si="17"/>
        <v>0</v>
      </c>
      <c r="N34" s="187">
        <f t="shared" si="17"/>
        <v>0</v>
      </c>
      <c r="O34" s="187">
        <f t="shared" si="17"/>
        <v>0</v>
      </c>
      <c r="P34" s="187">
        <f t="shared" si="17"/>
        <v>0</v>
      </c>
      <c r="Q34" s="187">
        <f t="shared" si="17"/>
        <v>0</v>
      </c>
      <c r="R34" s="187">
        <f t="shared" si="17"/>
        <v>0</v>
      </c>
      <c r="S34" s="187">
        <f t="shared" si="17"/>
        <v>0</v>
      </c>
    </row>
    <row r="35" spans="2:19" ht="22.5" customHeight="1" thickBot="1" x14ac:dyDescent="0.4">
      <c r="E35" s="188"/>
      <c r="G35" s="188" t="s">
        <v>149</v>
      </c>
      <c r="H35" s="275">
        <f>+H10+H18+H26+H34</f>
        <v>1500</v>
      </c>
      <c r="I35" s="275">
        <f t="shared" ref="I35:S35" si="18">+I10+I18+I26+I34</f>
        <v>1250</v>
      </c>
      <c r="J35" s="275">
        <f t="shared" si="18"/>
        <v>1500</v>
      </c>
      <c r="K35" s="275">
        <f t="shared" si="18"/>
        <v>1350</v>
      </c>
      <c r="L35" s="275">
        <f t="shared" si="18"/>
        <v>1350</v>
      </c>
      <c r="M35" s="275">
        <f t="shared" si="18"/>
        <v>0</v>
      </c>
      <c r="N35" s="275">
        <f t="shared" si="18"/>
        <v>0</v>
      </c>
      <c r="O35" s="275">
        <f t="shared" si="18"/>
        <v>0</v>
      </c>
      <c r="P35" s="275">
        <f t="shared" si="18"/>
        <v>0</v>
      </c>
      <c r="Q35" s="275">
        <f t="shared" si="18"/>
        <v>0</v>
      </c>
      <c r="R35" s="275">
        <f t="shared" si="18"/>
        <v>0</v>
      </c>
      <c r="S35" s="275">
        <f t="shared" si="18"/>
        <v>0</v>
      </c>
    </row>
    <row r="36" spans="2:19" ht="15" thickTop="1" x14ac:dyDescent="0.35"/>
  </sheetData>
  <pageMargins left="0.7" right="0.7" top="0.75" bottom="0.75" header="0.3" footer="0.3"/>
  <pageSetup scale="57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A1:V80"/>
  <sheetViews>
    <sheetView workbookViewId="0">
      <pane xSplit="1" ySplit="1" topLeftCell="H11" activePane="bottomRight" state="frozen"/>
      <selection activeCell="J18" sqref="J18"/>
      <selection pane="topRight" activeCell="J18" sqref="J18"/>
      <selection pane="bottomLeft" activeCell="J18" sqref="J18"/>
      <selection pane="bottomRight" activeCell="N38" sqref="N38:P38"/>
    </sheetView>
  </sheetViews>
  <sheetFormatPr baseColWidth="10" defaultColWidth="11.453125" defaultRowHeight="14.5" x14ac:dyDescent="0.35"/>
  <cols>
    <col min="1" max="1" width="38.1796875" customWidth="1"/>
  </cols>
  <sheetData>
    <row r="1" spans="1:22" x14ac:dyDescent="0.35">
      <c r="A1" s="1" t="str">
        <f ca="1">RIGHT(CELL("filename",A1),LEN(CELL("filename",A1))-SEARCH("]",CELL("filename",A1)))</f>
        <v>H2</v>
      </c>
      <c r="B1" s="800" t="s">
        <v>3</v>
      </c>
      <c r="C1" s="801"/>
      <c r="D1" s="802"/>
      <c r="E1" s="800" t="s">
        <v>4</v>
      </c>
      <c r="F1" s="801"/>
      <c r="G1" s="802"/>
      <c r="H1" s="800" t="s">
        <v>9</v>
      </c>
      <c r="I1" s="801"/>
      <c r="J1" s="802"/>
      <c r="K1" s="800" t="s">
        <v>5</v>
      </c>
      <c r="L1" s="801"/>
      <c r="M1" s="802"/>
      <c r="N1" s="800" t="s">
        <v>6</v>
      </c>
      <c r="O1" s="801"/>
      <c r="P1" s="802"/>
      <c r="Q1" s="800" t="s">
        <v>10</v>
      </c>
      <c r="R1" s="801"/>
      <c r="S1" s="802"/>
      <c r="T1" s="800" t="s">
        <v>11</v>
      </c>
      <c r="U1" s="801"/>
      <c r="V1" s="802"/>
    </row>
    <row r="2" spans="1:22" x14ac:dyDescent="0.35">
      <c r="A2" s="2" t="s">
        <v>12</v>
      </c>
    </row>
    <row r="3" spans="1:22" x14ac:dyDescent="0.35">
      <c r="A3" s="2" t="s">
        <v>13</v>
      </c>
    </row>
    <row r="4" spans="1:22" x14ac:dyDescent="0.35">
      <c r="A4" s="3" t="s">
        <v>14</v>
      </c>
      <c r="B4" s="803">
        <v>0.8</v>
      </c>
      <c r="C4" s="804"/>
      <c r="D4" s="805"/>
      <c r="E4" s="803">
        <v>0.8</v>
      </c>
      <c r="F4" s="804"/>
      <c r="G4" s="805"/>
      <c r="H4" s="803">
        <v>0.8</v>
      </c>
      <c r="I4" s="804"/>
      <c r="J4" s="805"/>
      <c r="K4" s="803">
        <v>0.85</v>
      </c>
      <c r="L4" s="804"/>
      <c r="M4" s="805"/>
      <c r="N4" s="803">
        <v>0.85</v>
      </c>
      <c r="O4" s="804"/>
      <c r="P4" s="805"/>
      <c r="Q4" s="803">
        <v>0.85</v>
      </c>
      <c r="R4" s="804"/>
      <c r="S4" s="805"/>
    </row>
    <row r="5" spans="1:22" x14ac:dyDescent="0.35">
      <c r="A5" s="4" t="s">
        <v>15</v>
      </c>
      <c r="B5" s="806">
        <v>0.9</v>
      </c>
      <c r="C5" s="807"/>
      <c r="D5" s="808"/>
      <c r="E5" s="806">
        <v>0.9</v>
      </c>
      <c r="F5" s="807"/>
      <c r="G5" s="808"/>
      <c r="H5" s="806">
        <v>0.9</v>
      </c>
      <c r="I5" s="807"/>
      <c r="J5" s="808"/>
      <c r="K5" s="806">
        <v>0.9</v>
      </c>
      <c r="L5" s="807"/>
      <c r="M5" s="808"/>
      <c r="N5" s="806">
        <v>0.9</v>
      </c>
      <c r="O5" s="807"/>
      <c r="P5" s="808"/>
      <c r="Q5" s="806">
        <v>0.9</v>
      </c>
      <c r="R5" s="807"/>
      <c r="S5" s="808"/>
    </row>
    <row r="6" spans="1:22" x14ac:dyDescent="0.35">
      <c r="A6" s="4" t="s">
        <v>16</v>
      </c>
      <c r="B6" s="806">
        <v>0.9</v>
      </c>
      <c r="C6" s="807"/>
      <c r="D6" s="808"/>
      <c r="E6" s="806">
        <v>0.9</v>
      </c>
      <c r="F6" s="807"/>
      <c r="G6" s="808"/>
      <c r="H6" s="806">
        <v>0.9</v>
      </c>
      <c r="I6" s="807"/>
      <c r="J6" s="808"/>
      <c r="K6" s="806">
        <v>0.9</v>
      </c>
      <c r="L6" s="807"/>
      <c r="M6" s="808"/>
      <c r="N6" s="806">
        <v>0.9</v>
      </c>
      <c r="O6" s="807"/>
      <c r="P6" s="808"/>
      <c r="Q6" s="806">
        <v>0.9</v>
      </c>
      <c r="R6" s="807"/>
      <c r="S6" s="808"/>
    </row>
    <row r="7" spans="1:22" x14ac:dyDescent="0.35">
      <c r="A7" s="4" t="s">
        <v>17</v>
      </c>
      <c r="B7" s="806">
        <v>0.9</v>
      </c>
      <c r="C7" s="807"/>
      <c r="D7" s="808"/>
      <c r="E7" s="806">
        <v>0.9</v>
      </c>
      <c r="F7" s="807"/>
      <c r="G7" s="808"/>
      <c r="H7" s="806">
        <v>0.9</v>
      </c>
      <c r="I7" s="807"/>
      <c r="J7" s="808"/>
      <c r="K7" s="806">
        <v>0.9</v>
      </c>
      <c r="L7" s="807"/>
      <c r="M7" s="808"/>
      <c r="N7" s="806">
        <v>0.9</v>
      </c>
      <c r="O7" s="807"/>
      <c r="P7" s="808"/>
      <c r="Q7" s="806">
        <v>0.9</v>
      </c>
      <c r="R7" s="807"/>
      <c r="S7" s="808"/>
    </row>
    <row r="8" spans="1:22" x14ac:dyDescent="0.35">
      <c r="A8" s="4" t="s">
        <v>18</v>
      </c>
      <c r="B8" s="806">
        <v>0.8</v>
      </c>
      <c r="C8" s="807"/>
      <c r="D8" s="808"/>
      <c r="E8" s="806">
        <v>0.8</v>
      </c>
      <c r="F8" s="807"/>
      <c r="G8" s="808"/>
      <c r="H8" s="806">
        <v>0.8</v>
      </c>
      <c r="I8" s="807"/>
      <c r="J8" s="808"/>
      <c r="K8" s="806">
        <v>0.8</v>
      </c>
      <c r="L8" s="807"/>
      <c r="M8" s="808"/>
      <c r="N8" s="806">
        <v>0.8</v>
      </c>
      <c r="O8" s="807"/>
      <c r="P8" s="808"/>
      <c r="Q8" s="806">
        <v>0.8</v>
      </c>
      <c r="R8" s="807"/>
      <c r="S8" s="808"/>
    </row>
    <row r="9" spans="1:22" x14ac:dyDescent="0.35">
      <c r="A9" s="4" t="s">
        <v>19</v>
      </c>
      <c r="B9" s="806">
        <v>0.85</v>
      </c>
      <c r="C9" s="807"/>
      <c r="D9" s="808"/>
      <c r="E9" s="806">
        <v>0.85</v>
      </c>
      <c r="F9" s="807"/>
      <c r="G9" s="808"/>
      <c r="H9" s="806">
        <v>0.85</v>
      </c>
      <c r="I9" s="807"/>
      <c r="J9" s="808"/>
      <c r="K9" s="806">
        <v>0.85</v>
      </c>
      <c r="L9" s="807"/>
      <c r="M9" s="808"/>
      <c r="N9" s="806">
        <v>0.85</v>
      </c>
      <c r="O9" s="807"/>
      <c r="P9" s="808"/>
      <c r="Q9" s="806">
        <v>0.85</v>
      </c>
      <c r="R9" s="807"/>
      <c r="S9" s="808"/>
    </row>
    <row r="10" spans="1:22" x14ac:dyDescent="0.35">
      <c r="A10" s="5" t="s">
        <v>20</v>
      </c>
      <c r="B10" s="809">
        <v>0.70000000000000007</v>
      </c>
      <c r="C10" s="810"/>
      <c r="D10" s="811"/>
      <c r="E10" s="809">
        <v>0.70000000000000007</v>
      </c>
      <c r="F10" s="810"/>
      <c r="G10" s="811"/>
      <c r="H10" s="809">
        <v>0.70000000000000007</v>
      </c>
      <c r="I10" s="810"/>
      <c r="J10" s="811"/>
      <c r="K10" s="809">
        <v>0.75</v>
      </c>
      <c r="L10" s="810"/>
      <c r="M10" s="811"/>
      <c r="N10" s="809">
        <v>0.75</v>
      </c>
      <c r="O10" s="810"/>
      <c r="P10" s="811"/>
      <c r="Q10" s="809">
        <v>0.75</v>
      </c>
      <c r="R10" s="810"/>
      <c r="S10" s="811"/>
    </row>
    <row r="12" spans="1:22" x14ac:dyDescent="0.35">
      <c r="A12" s="6" t="s">
        <v>21</v>
      </c>
      <c r="B12" s="7" t="s">
        <v>22</v>
      </c>
      <c r="C12" s="8" t="s">
        <v>23</v>
      </c>
      <c r="D12" s="9" t="s">
        <v>24</v>
      </c>
      <c r="E12" s="7" t="s">
        <v>22</v>
      </c>
      <c r="F12" s="8" t="s">
        <v>23</v>
      </c>
      <c r="G12" s="9" t="s">
        <v>24</v>
      </c>
      <c r="H12" s="7" t="s">
        <v>22</v>
      </c>
      <c r="I12" s="8" t="s">
        <v>23</v>
      </c>
      <c r="J12" s="9" t="s">
        <v>24</v>
      </c>
      <c r="K12" s="7" t="s">
        <v>22</v>
      </c>
      <c r="L12" s="8" t="s">
        <v>23</v>
      </c>
      <c r="M12" s="9" t="s">
        <v>24</v>
      </c>
      <c r="N12" s="7" t="s">
        <v>22</v>
      </c>
      <c r="O12" s="8" t="s">
        <v>23</v>
      </c>
      <c r="P12" s="9" t="s">
        <v>24</v>
      </c>
      <c r="Q12" s="7" t="s">
        <v>22</v>
      </c>
      <c r="R12" s="8" t="s">
        <v>23</v>
      </c>
      <c r="S12" s="9" t="s">
        <v>24</v>
      </c>
      <c r="T12" s="7" t="s">
        <v>22</v>
      </c>
      <c r="U12" s="8" t="s">
        <v>23</v>
      </c>
      <c r="V12" s="9" t="s">
        <v>24</v>
      </c>
    </row>
    <row r="13" spans="1:22" x14ac:dyDescent="0.35">
      <c r="A13" s="10" t="s">
        <v>25</v>
      </c>
      <c r="B13" s="11">
        <v>80</v>
      </c>
      <c r="C13" s="12">
        <f>+D13/B13</f>
        <v>967.55400000000009</v>
      </c>
      <c r="D13" s="13">
        <v>77404.320000000007</v>
      </c>
      <c r="E13" s="14">
        <v>85.600000000000009</v>
      </c>
      <c r="F13" s="12">
        <f t="shared" ref="F13:F14" si="0">+G13/E13</f>
        <v>979.86448598130846</v>
      </c>
      <c r="G13" s="13">
        <v>83876.400000000009</v>
      </c>
      <c r="H13" s="14">
        <v>101.60000000000001</v>
      </c>
      <c r="I13" s="12">
        <f t="shared" ref="I13:I14" si="1">+J13/H13</f>
        <v>949.23779527559043</v>
      </c>
      <c r="J13" s="13">
        <v>96442.559999999998</v>
      </c>
      <c r="K13" s="14">
        <v>96.049999999999983</v>
      </c>
      <c r="L13" s="12">
        <f t="shared" ref="L13:L14" si="2">+M13/K13</f>
        <v>948.4566371681417</v>
      </c>
      <c r="M13" s="13">
        <v>91099.26</v>
      </c>
      <c r="N13" s="14">
        <v>88.4</v>
      </c>
      <c r="O13" s="12">
        <f t="shared" ref="O13:O14" si="3">+P13/N13</f>
        <v>967.73365384615374</v>
      </c>
      <c r="P13" s="13">
        <v>85547.654999999999</v>
      </c>
      <c r="Q13" s="14">
        <v>60.35</v>
      </c>
      <c r="R13" s="12">
        <f t="shared" ref="R13:R14" si="4">+S13/Q13</f>
        <v>957.42253521126759</v>
      </c>
      <c r="S13" s="13">
        <v>57780.45</v>
      </c>
      <c r="T13" s="14">
        <f t="shared" ref="T13:T17" si="5">+SUM(B13,E13,H13,K13,N13,Q13)</f>
        <v>512</v>
      </c>
      <c r="U13" s="12">
        <f t="shared" ref="U13:U14" si="6">+V13/T13</f>
        <v>961.23172851562515</v>
      </c>
      <c r="V13" s="13">
        <f>+SUM(D13,G13,J13,M13,P13,S13)</f>
        <v>492150.64500000008</v>
      </c>
    </row>
    <row r="14" spans="1:22" x14ac:dyDescent="0.35">
      <c r="A14" s="15" t="s">
        <v>26</v>
      </c>
      <c r="B14" s="16">
        <v>20.8</v>
      </c>
      <c r="C14" s="17">
        <f>+D14/B14</f>
        <v>0</v>
      </c>
      <c r="D14" s="18">
        <v>0</v>
      </c>
      <c r="E14" s="16">
        <v>21.6</v>
      </c>
      <c r="F14" s="17">
        <f t="shared" si="0"/>
        <v>0</v>
      </c>
      <c r="G14" s="18">
        <v>0</v>
      </c>
      <c r="H14" s="16">
        <v>24.8</v>
      </c>
      <c r="I14" s="17">
        <f t="shared" si="1"/>
        <v>0</v>
      </c>
      <c r="J14" s="18">
        <v>0</v>
      </c>
      <c r="K14" s="16">
        <v>19.55</v>
      </c>
      <c r="L14" s="17">
        <f t="shared" si="2"/>
        <v>0</v>
      </c>
      <c r="M14" s="18">
        <v>0</v>
      </c>
      <c r="N14" s="16">
        <v>19.55</v>
      </c>
      <c r="O14" s="17">
        <f t="shared" si="3"/>
        <v>0</v>
      </c>
      <c r="P14" s="18">
        <v>0</v>
      </c>
      <c r="Q14" s="16">
        <v>13.6</v>
      </c>
      <c r="R14" s="17">
        <f t="shared" si="4"/>
        <v>0</v>
      </c>
      <c r="S14" s="18">
        <v>0</v>
      </c>
      <c r="T14" s="16">
        <f t="shared" si="5"/>
        <v>119.89999999999999</v>
      </c>
      <c r="U14" s="17">
        <f t="shared" si="6"/>
        <v>0</v>
      </c>
      <c r="V14" s="18">
        <f t="shared" ref="V14:V17" si="7">+SUM(D14,G14,J14,M14,P14,S14)</f>
        <v>0</v>
      </c>
    </row>
    <row r="15" spans="1:22" x14ac:dyDescent="0.35">
      <c r="A15" s="15" t="s">
        <v>27</v>
      </c>
      <c r="B15" s="19">
        <v>0</v>
      </c>
      <c r="C15" s="17">
        <f>+IFERROR(D15/B15,0)</f>
        <v>0</v>
      </c>
      <c r="D15" s="18">
        <v>0</v>
      </c>
      <c r="E15" s="19">
        <v>0</v>
      </c>
      <c r="F15" s="17">
        <f t="shared" ref="F15" si="8">+IFERROR(G15/E15,0)</f>
        <v>0</v>
      </c>
      <c r="G15" s="18">
        <v>0</v>
      </c>
      <c r="H15" s="19">
        <v>0</v>
      </c>
      <c r="I15" s="17">
        <f t="shared" ref="I15" si="9">+IFERROR(J15/H15,0)</f>
        <v>0</v>
      </c>
      <c r="J15" s="18">
        <v>0</v>
      </c>
      <c r="K15" s="19">
        <v>0</v>
      </c>
      <c r="L15" s="17">
        <f t="shared" ref="L15" si="10">+IFERROR(M15/K15,0)</f>
        <v>0</v>
      </c>
      <c r="M15" s="18">
        <v>0</v>
      </c>
      <c r="N15" s="19">
        <v>0</v>
      </c>
      <c r="O15" s="17">
        <f t="shared" ref="O15" si="11">+IFERROR(P15/N15,0)</f>
        <v>0</v>
      </c>
      <c r="P15" s="18">
        <v>0</v>
      </c>
      <c r="Q15" s="19">
        <v>0</v>
      </c>
      <c r="R15" s="17">
        <f t="shared" ref="R15" si="12">+IFERROR(S15/Q15,0)</f>
        <v>0</v>
      </c>
      <c r="S15" s="18">
        <v>0</v>
      </c>
      <c r="T15" s="19">
        <f t="shared" si="5"/>
        <v>0</v>
      </c>
      <c r="U15" s="17">
        <f t="shared" ref="U15" si="13">+IFERROR(V15/T15,0)</f>
        <v>0</v>
      </c>
      <c r="V15" s="18">
        <f t="shared" si="7"/>
        <v>0</v>
      </c>
    </row>
    <row r="16" spans="1:22" x14ac:dyDescent="0.35">
      <c r="A16" s="15" t="s">
        <v>28</v>
      </c>
      <c r="B16" s="19"/>
      <c r="C16" s="17"/>
      <c r="D16" s="18">
        <v>6720</v>
      </c>
      <c r="E16" s="19"/>
      <c r="F16" s="17"/>
      <c r="G16" s="18">
        <v>6720</v>
      </c>
      <c r="H16" s="19"/>
      <c r="I16" s="17"/>
      <c r="J16" s="18">
        <v>6720</v>
      </c>
      <c r="K16" s="19"/>
      <c r="L16" s="17"/>
      <c r="M16" s="18">
        <v>7140</v>
      </c>
      <c r="N16" s="19"/>
      <c r="O16" s="17"/>
      <c r="P16" s="18">
        <v>7140</v>
      </c>
      <c r="Q16" s="19"/>
      <c r="R16" s="17"/>
      <c r="S16" s="18">
        <v>7140</v>
      </c>
      <c r="T16" s="19">
        <f t="shared" si="5"/>
        <v>0</v>
      </c>
      <c r="U16" s="17"/>
      <c r="V16" s="18">
        <f t="shared" si="7"/>
        <v>41580</v>
      </c>
    </row>
    <row r="17" spans="1:22" x14ac:dyDescent="0.35">
      <c r="A17" s="15" t="s">
        <v>29</v>
      </c>
      <c r="B17" s="16">
        <v>100.80000000000001</v>
      </c>
      <c r="C17" s="17">
        <f>+IFERROR(D17/B17,0)</f>
        <v>945</v>
      </c>
      <c r="D17" s="18">
        <v>95256.000000000015</v>
      </c>
      <c r="E17" s="16">
        <v>107.2</v>
      </c>
      <c r="F17" s="17">
        <f t="shared" ref="F17:F18" si="14">+IFERROR(G17/E17,0)</f>
        <v>945</v>
      </c>
      <c r="G17" s="18">
        <v>101304</v>
      </c>
      <c r="H17" s="16">
        <v>126.4</v>
      </c>
      <c r="I17" s="17">
        <f t="shared" ref="I17:I18" si="15">+IFERROR(J17/H17,0)</f>
        <v>945</v>
      </c>
      <c r="J17" s="18">
        <v>119448</v>
      </c>
      <c r="K17" s="16">
        <v>115.6</v>
      </c>
      <c r="L17" s="17">
        <f t="shared" ref="L17:L18" si="16">+IFERROR(M17/K17,0)</f>
        <v>945</v>
      </c>
      <c r="M17" s="18">
        <v>109242</v>
      </c>
      <c r="N17" s="16">
        <v>107.95</v>
      </c>
      <c r="O17" s="17">
        <f t="shared" ref="O17:O18" si="17">+IFERROR(P17/N17,0)</f>
        <v>945</v>
      </c>
      <c r="P17" s="18">
        <v>102012.75</v>
      </c>
      <c r="Q17" s="16">
        <v>73.95</v>
      </c>
      <c r="R17" s="17">
        <f t="shared" ref="R17:R18" si="18">+IFERROR(S17/Q17,0)</f>
        <v>945</v>
      </c>
      <c r="S17" s="18">
        <v>69882.75</v>
      </c>
      <c r="T17" s="16">
        <f t="shared" si="5"/>
        <v>631.90000000000009</v>
      </c>
      <c r="U17" s="17">
        <f t="shared" ref="U17:U18" si="19">+IFERROR(V17/T17,0)</f>
        <v>944.99999999999989</v>
      </c>
      <c r="V17" s="18">
        <f t="shared" si="7"/>
        <v>597145.5</v>
      </c>
    </row>
    <row r="18" spans="1:22" x14ac:dyDescent="0.35">
      <c r="A18" s="20" t="s">
        <v>25</v>
      </c>
      <c r="B18" s="21">
        <f>+SUM(B13:B15)</f>
        <v>100.8</v>
      </c>
      <c r="C18" s="22">
        <f>+IFERROR(D18/B18,0)</f>
        <v>1779.5666666666668</v>
      </c>
      <c r="D18" s="23">
        <f>+SUM(D13:D17)</f>
        <v>179380.32</v>
      </c>
      <c r="E18" s="21">
        <f t="shared" ref="E18" si="20">+SUM(E13:E15)</f>
        <v>107.20000000000002</v>
      </c>
      <c r="F18" s="22">
        <f t="shared" si="14"/>
        <v>1790.1156716417909</v>
      </c>
      <c r="G18" s="23">
        <f t="shared" ref="G18" si="21">+SUM(G13:G17)</f>
        <v>191900.40000000002</v>
      </c>
      <c r="H18" s="21">
        <f t="shared" ref="H18" si="22">+SUM(H13:H15)</f>
        <v>126.4</v>
      </c>
      <c r="I18" s="22">
        <f t="shared" si="15"/>
        <v>1761.1594936708859</v>
      </c>
      <c r="J18" s="23">
        <f t="shared" ref="J18" si="23">+SUM(J13:J17)</f>
        <v>222610.56</v>
      </c>
      <c r="K18" s="21">
        <f t="shared" ref="K18" si="24">+SUM(K13:K15)</f>
        <v>115.59999999999998</v>
      </c>
      <c r="L18" s="22">
        <f t="shared" si="16"/>
        <v>1794.8205882352945</v>
      </c>
      <c r="M18" s="23">
        <f t="shared" ref="M18" si="25">+SUM(M13:M17)</f>
        <v>207481.26</v>
      </c>
      <c r="N18" s="21">
        <f t="shared" ref="N18" si="26">+SUM(N13:N15)</f>
        <v>107.95</v>
      </c>
      <c r="O18" s="22">
        <f t="shared" si="17"/>
        <v>1803.6165354330708</v>
      </c>
      <c r="P18" s="23">
        <f t="shared" ref="P18" si="27">+SUM(P13:P17)</f>
        <v>194700.405</v>
      </c>
      <c r="Q18" s="21">
        <f t="shared" ref="Q18" si="28">+SUM(Q13:Q15)</f>
        <v>73.95</v>
      </c>
      <c r="R18" s="22">
        <f t="shared" si="18"/>
        <v>1822.8965517241379</v>
      </c>
      <c r="S18" s="23">
        <f t="shared" ref="S18" si="29">+SUM(S13:S17)</f>
        <v>134803.20000000001</v>
      </c>
      <c r="T18" s="21">
        <f t="shared" ref="T18" si="30">+SUM(T13:T15)</f>
        <v>631.9</v>
      </c>
      <c r="U18" s="22">
        <f t="shared" si="19"/>
        <v>1789.6441604684287</v>
      </c>
      <c r="V18" s="23">
        <f t="shared" ref="V18" si="31">+SUM(V13:V17)</f>
        <v>1130876.145</v>
      </c>
    </row>
    <row r="19" spans="1:22" x14ac:dyDescent="0.35">
      <c r="C19" s="39">
        <f>D13/(B13+B14)</f>
        <v>767.90000000000009</v>
      </c>
      <c r="F19" s="39">
        <f>G13/(E13+E14)</f>
        <v>782.42910447761187</v>
      </c>
      <c r="I19" s="39">
        <f>J13/(H13+H14)</f>
        <v>762.99493670886068</v>
      </c>
      <c r="L19" s="39">
        <f>M13/(K13+K14)</f>
        <v>788.05588235294124</v>
      </c>
      <c r="O19" s="39">
        <f>P13/(N13+N14)</f>
        <v>792.47480314960626</v>
      </c>
      <c r="R19" s="39">
        <f>S13/(Q13+Q14)</f>
        <v>781.34482758620686</v>
      </c>
    </row>
    <row r="20" spans="1:22" x14ac:dyDescent="0.35">
      <c r="A20" s="20" t="s">
        <v>30</v>
      </c>
      <c r="B20" s="24" t="s">
        <v>22</v>
      </c>
      <c r="C20" s="25" t="s">
        <v>23</v>
      </c>
      <c r="D20" s="26" t="s">
        <v>24</v>
      </c>
      <c r="E20" s="24" t="s">
        <v>22</v>
      </c>
      <c r="F20" s="25" t="s">
        <v>23</v>
      </c>
      <c r="G20" s="26" t="s">
        <v>24</v>
      </c>
      <c r="H20" s="24" t="s">
        <v>22</v>
      </c>
      <c r="I20" s="25" t="s">
        <v>23</v>
      </c>
      <c r="J20" s="26" t="s">
        <v>24</v>
      </c>
      <c r="K20" s="24" t="s">
        <v>22</v>
      </c>
      <c r="L20" s="25" t="s">
        <v>23</v>
      </c>
      <c r="M20" s="26" t="s">
        <v>24</v>
      </c>
      <c r="N20" s="24" t="s">
        <v>22</v>
      </c>
      <c r="O20" s="25" t="s">
        <v>23</v>
      </c>
      <c r="P20" s="26" t="s">
        <v>24</v>
      </c>
      <c r="Q20" s="24" t="s">
        <v>22</v>
      </c>
      <c r="R20" s="25" t="s">
        <v>23</v>
      </c>
      <c r="S20" s="26" t="s">
        <v>24</v>
      </c>
      <c r="T20" s="24" t="s">
        <v>22</v>
      </c>
      <c r="U20" s="25" t="s">
        <v>23</v>
      </c>
      <c r="V20" s="26" t="s">
        <v>24</v>
      </c>
    </row>
    <row r="21" spans="1:22" x14ac:dyDescent="0.35">
      <c r="A21" t="s">
        <v>31</v>
      </c>
      <c r="B21" s="19">
        <v>45</v>
      </c>
      <c r="C21" s="17">
        <f>+D21/B21</f>
        <v>834.3</v>
      </c>
      <c r="D21" s="18">
        <v>37543.5</v>
      </c>
      <c r="E21" s="16">
        <v>48.6</v>
      </c>
      <c r="F21" s="17">
        <f t="shared" ref="F21" si="32">+G21/E21</f>
        <v>840.83333333333326</v>
      </c>
      <c r="G21" s="18">
        <v>40864.5</v>
      </c>
      <c r="H21" s="16">
        <v>48.6</v>
      </c>
      <c r="I21" s="17">
        <f t="shared" ref="I21" si="33">+J21/H21</f>
        <v>837.5</v>
      </c>
      <c r="J21" s="18">
        <v>40702.5</v>
      </c>
      <c r="K21" s="16">
        <v>45.9</v>
      </c>
      <c r="L21" s="17">
        <f t="shared" ref="L21" si="34">+M21/K21</f>
        <v>830.2941176470589</v>
      </c>
      <c r="M21" s="18">
        <v>38110.5</v>
      </c>
      <c r="N21" s="16">
        <v>45</v>
      </c>
      <c r="O21" s="17">
        <f t="shared" ref="O21" si="35">+P21/N21</f>
        <v>834.3</v>
      </c>
      <c r="P21" s="18">
        <v>37543.5</v>
      </c>
      <c r="Q21" s="16">
        <v>33.300000000000004</v>
      </c>
      <c r="R21" s="17">
        <f t="shared" ref="R21" si="36">+S21/Q21</f>
        <v>834.32432432432427</v>
      </c>
      <c r="S21" s="18">
        <v>27783</v>
      </c>
      <c r="T21" s="16">
        <f t="shared" ref="T21:T24" si="37">+SUM(B21,E21,H21,K21,N21,Q21)</f>
        <v>266.39999999999998</v>
      </c>
      <c r="U21" s="17">
        <f t="shared" ref="U21:U24" si="38">+V21/T21</f>
        <v>835.38851351351354</v>
      </c>
      <c r="V21" s="18">
        <f t="shared" ref="V21:V24" si="39">+SUM(D21,G21,J21,M21,P21,S21)</f>
        <v>222547.5</v>
      </c>
    </row>
    <row r="22" spans="1:22" x14ac:dyDescent="0.35">
      <c r="A22" t="s">
        <v>32</v>
      </c>
      <c r="B22" s="19"/>
      <c r="C22" s="17"/>
      <c r="D22" s="18"/>
      <c r="E22" s="19"/>
      <c r="F22" s="17"/>
      <c r="G22" s="18"/>
      <c r="H22" s="19"/>
      <c r="I22" s="17"/>
      <c r="J22" s="18"/>
      <c r="K22" s="19"/>
      <c r="L22" s="17"/>
      <c r="M22" s="18"/>
      <c r="N22" s="19"/>
      <c r="O22" s="17"/>
      <c r="P22" s="18"/>
      <c r="Q22" s="19"/>
      <c r="R22" s="17"/>
      <c r="S22" s="18"/>
      <c r="T22" s="16">
        <f t="shared" si="37"/>
        <v>0</v>
      </c>
      <c r="U22" s="17" t="e">
        <f t="shared" si="38"/>
        <v>#DIV/0!</v>
      </c>
      <c r="V22" s="18">
        <f t="shared" si="39"/>
        <v>0</v>
      </c>
    </row>
    <row r="23" spans="1:22" x14ac:dyDescent="0.35">
      <c r="A23" t="s">
        <v>33</v>
      </c>
      <c r="B23" s="16">
        <v>42.300000000000004</v>
      </c>
      <c r="C23" s="17">
        <f>+D23/B23</f>
        <v>90</v>
      </c>
      <c r="D23" s="18">
        <v>3807.0000000000005</v>
      </c>
      <c r="E23" s="16">
        <v>41.4</v>
      </c>
      <c r="F23" s="17">
        <f t="shared" ref="F23:F24" si="40">+G23/E23</f>
        <v>90</v>
      </c>
      <c r="G23" s="18">
        <v>3726</v>
      </c>
      <c r="H23" s="16">
        <v>40.5</v>
      </c>
      <c r="I23" s="17">
        <f t="shared" ref="I23:I24" si="41">+J23/H23</f>
        <v>90</v>
      </c>
      <c r="J23" s="18">
        <v>3645</v>
      </c>
      <c r="K23" s="16">
        <v>41.4</v>
      </c>
      <c r="L23" s="17">
        <f t="shared" ref="L23:L24" si="42">+M23/K23</f>
        <v>90</v>
      </c>
      <c r="M23" s="18">
        <v>3726</v>
      </c>
      <c r="N23" s="16">
        <v>41.4</v>
      </c>
      <c r="O23" s="17">
        <f t="shared" ref="O23:O24" si="43">+P23/N23</f>
        <v>90</v>
      </c>
      <c r="P23" s="18">
        <v>3726</v>
      </c>
      <c r="Q23" s="16">
        <v>40.5</v>
      </c>
      <c r="R23" s="17">
        <f t="shared" ref="R23:R24" si="44">+S23/Q23</f>
        <v>90</v>
      </c>
      <c r="S23" s="18">
        <v>3645</v>
      </c>
      <c r="T23" s="16">
        <f t="shared" si="37"/>
        <v>247.5</v>
      </c>
      <c r="U23" s="17">
        <f t="shared" si="38"/>
        <v>90</v>
      </c>
      <c r="V23" s="18">
        <f t="shared" si="39"/>
        <v>22275</v>
      </c>
    </row>
    <row r="24" spans="1:22" x14ac:dyDescent="0.35">
      <c r="A24" t="s">
        <v>29</v>
      </c>
      <c r="B24" s="19">
        <v>45</v>
      </c>
      <c r="C24" s="17">
        <f>+D24/B24</f>
        <v>1278</v>
      </c>
      <c r="D24" s="18">
        <v>57510</v>
      </c>
      <c r="E24" s="19">
        <v>48.6</v>
      </c>
      <c r="F24" s="17">
        <f t="shared" si="40"/>
        <v>1278</v>
      </c>
      <c r="G24" s="18">
        <v>62110.8</v>
      </c>
      <c r="H24" s="19">
        <v>48.6</v>
      </c>
      <c r="I24" s="17">
        <f t="shared" si="41"/>
        <v>1278</v>
      </c>
      <c r="J24" s="18">
        <v>62110.8</v>
      </c>
      <c r="K24" s="19">
        <v>45.9</v>
      </c>
      <c r="L24" s="17">
        <f t="shared" si="42"/>
        <v>1278</v>
      </c>
      <c r="M24" s="18">
        <v>58660.2</v>
      </c>
      <c r="N24" s="19">
        <v>45</v>
      </c>
      <c r="O24" s="17">
        <f t="shared" si="43"/>
        <v>1278</v>
      </c>
      <c r="P24" s="18">
        <v>57510</v>
      </c>
      <c r="Q24" s="19">
        <v>33.300000000000004</v>
      </c>
      <c r="R24" s="17">
        <f t="shared" si="44"/>
        <v>1278</v>
      </c>
      <c r="S24" s="18">
        <v>42557.400000000009</v>
      </c>
      <c r="T24" s="16">
        <f t="shared" si="37"/>
        <v>266.39999999999998</v>
      </c>
      <c r="U24" s="17">
        <f t="shared" si="38"/>
        <v>1278.0000000000002</v>
      </c>
      <c r="V24" s="18">
        <f t="shared" si="39"/>
        <v>340459.2</v>
      </c>
    </row>
    <row r="25" spans="1:22" x14ac:dyDescent="0.35">
      <c r="A25" s="20" t="s">
        <v>34</v>
      </c>
      <c r="B25" s="21">
        <f>+SUM(B21:B23)</f>
        <v>87.300000000000011</v>
      </c>
      <c r="C25" s="22">
        <f>+IFERROR(D25/B25,0)</f>
        <v>1132.4226804123709</v>
      </c>
      <c r="D25" s="23">
        <f>+SUM(D21:D24)</f>
        <v>98860.5</v>
      </c>
      <c r="E25" s="21">
        <f t="shared" ref="E25" si="45">+SUM(E21:E23)</f>
        <v>90</v>
      </c>
      <c r="F25" s="22">
        <f t="shared" ref="F25" si="46">+IFERROR(G25/E25,0)</f>
        <v>1185.57</v>
      </c>
      <c r="G25" s="23">
        <f t="shared" ref="G25" si="47">+SUM(G21:G24)</f>
        <v>106701.3</v>
      </c>
      <c r="H25" s="21">
        <f t="shared" ref="H25" si="48">+SUM(H21:H23)</f>
        <v>89.1</v>
      </c>
      <c r="I25" s="22">
        <f t="shared" ref="I25" si="49">+IFERROR(J25/H25,0)</f>
        <v>1194.818181818182</v>
      </c>
      <c r="J25" s="23">
        <f t="shared" ref="J25" si="50">+SUM(J21:J24)</f>
        <v>106458.3</v>
      </c>
      <c r="K25" s="21">
        <f t="shared" ref="K25" si="51">+SUM(K21:K23)</f>
        <v>87.3</v>
      </c>
      <c r="L25" s="22">
        <f t="shared" ref="L25" si="52">+IFERROR(M25/K25,0)</f>
        <v>1151.1649484536083</v>
      </c>
      <c r="M25" s="23">
        <f t="shared" ref="M25" si="53">+SUM(M21:M24)</f>
        <v>100496.7</v>
      </c>
      <c r="N25" s="21">
        <f t="shared" ref="N25" si="54">+SUM(N21:N23)</f>
        <v>86.4</v>
      </c>
      <c r="O25" s="22">
        <f t="shared" ref="O25" si="55">+IFERROR(P25/N25,0)</f>
        <v>1143.28125</v>
      </c>
      <c r="P25" s="23">
        <f t="shared" ref="P25" si="56">+SUM(P21:P24)</f>
        <v>98779.5</v>
      </c>
      <c r="Q25" s="21">
        <f t="shared" ref="Q25" si="57">+SUM(Q21:Q23)</f>
        <v>73.800000000000011</v>
      </c>
      <c r="R25" s="22">
        <f t="shared" ref="R25" si="58">+IFERROR(S25/Q25,0)</f>
        <v>1002.5121951219512</v>
      </c>
      <c r="S25" s="23">
        <f t="shared" ref="S25" si="59">+SUM(S21:S24)</f>
        <v>73985.400000000009</v>
      </c>
      <c r="T25" s="21">
        <f t="shared" ref="T25" si="60">+SUM(T21:T23)</f>
        <v>513.9</v>
      </c>
      <c r="U25" s="22">
        <f t="shared" ref="U25" si="61">+IFERROR(V25/T25,0)</f>
        <v>1138.9019264448336</v>
      </c>
      <c r="V25" s="23">
        <f t="shared" ref="V25" si="62">+SUM(V21:V24)</f>
        <v>585281.69999999995</v>
      </c>
    </row>
    <row r="27" spans="1:22" x14ac:dyDescent="0.35">
      <c r="A27" s="27" t="s">
        <v>35</v>
      </c>
      <c r="B27" s="24" t="s">
        <v>8</v>
      </c>
      <c r="C27" s="25" t="s">
        <v>36</v>
      </c>
      <c r="D27" s="26" t="s">
        <v>37</v>
      </c>
      <c r="E27" s="24" t="s">
        <v>8</v>
      </c>
      <c r="F27" s="25" t="s">
        <v>36</v>
      </c>
      <c r="G27" s="26" t="s">
        <v>37</v>
      </c>
      <c r="H27" s="24" t="s">
        <v>8</v>
      </c>
      <c r="I27" s="25" t="s">
        <v>36</v>
      </c>
      <c r="J27" s="26" t="s">
        <v>37</v>
      </c>
      <c r="K27" s="24" t="s">
        <v>8</v>
      </c>
      <c r="L27" s="25" t="s">
        <v>36</v>
      </c>
      <c r="M27" s="26" t="s">
        <v>37</v>
      </c>
      <c r="N27" s="24" t="s">
        <v>8</v>
      </c>
      <c r="O27" s="25" t="s">
        <v>36</v>
      </c>
      <c r="P27" s="26" t="s">
        <v>37</v>
      </c>
      <c r="Q27" s="24" t="s">
        <v>8</v>
      </c>
      <c r="R27" s="25" t="s">
        <v>36</v>
      </c>
      <c r="S27" s="26" t="s">
        <v>37</v>
      </c>
      <c r="T27" s="24" t="s">
        <v>8</v>
      </c>
      <c r="U27" s="25" t="s">
        <v>36</v>
      </c>
      <c r="V27" s="26" t="s">
        <v>37</v>
      </c>
    </row>
    <row r="28" spans="1:22" x14ac:dyDescent="0.35">
      <c r="A28" s="15" t="s">
        <v>38</v>
      </c>
      <c r="B28" s="28">
        <v>425918.61931269552</v>
      </c>
      <c r="C28" s="29">
        <f>+B28*D28</f>
        <v>280000.19964477385</v>
      </c>
      <c r="D28" s="30">
        <v>0.65740305060297655</v>
      </c>
      <c r="E28" s="28">
        <v>421131.51073633344</v>
      </c>
      <c r="F28" s="29">
        <f t="shared" ref="F28:F29" si="63">+E28*G28</f>
        <v>277052.87725979957</v>
      </c>
      <c r="G28" s="30">
        <v>0.65787733806805981</v>
      </c>
      <c r="H28" s="28">
        <v>358560.62304287677</v>
      </c>
      <c r="I28" s="29">
        <f t="shared" ref="I28:I29" si="64">+H28*J28</f>
        <v>235158.10276194656</v>
      </c>
      <c r="J28" s="30">
        <v>0.65583917376735001</v>
      </c>
      <c r="K28" s="28">
        <v>557240.85049470712</v>
      </c>
      <c r="L28" s="29">
        <f t="shared" ref="L28:L29" si="65">+K28*M28</f>
        <v>369320.5020017447</v>
      </c>
      <c r="M28" s="30">
        <v>0.66276638131226284</v>
      </c>
      <c r="N28" s="28">
        <v>629544.09406759951</v>
      </c>
      <c r="O28" s="29">
        <f t="shared" ref="O28:O29" si="66">+N28*P28</f>
        <v>419365.1066025066</v>
      </c>
      <c r="P28" s="30">
        <v>0.66614095907549853</v>
      </c>
      <c r="Q28" s="28">
        <v>401750.92839753785</v>
      </c>
      <c r="R28" s="29">
        <f t="shared" ref="R28:R29" si="67">+Q28*S28</f>
        <v>266281.80029122718</v>
      </c>
      <c r="S28" s="30">
        <v>0.66280319837304225</v>
      </c>
      <c r="T28" s="28">
        <f t="shared" ref="T28:U29" si="68">+SUM(B28,E28,H28,K28,N28,Q28)</f>
        <v>2794146.62605175</v>
      </c>
      <c r="U28" s="29">
        <f t="shared" si="68"/>
        <v>1847178.5885619987</v>
      </c>
      <c r="V28" s="30">
        <f>+U28/T28</f>
        <v>0.66108863841986054</v>
      </c>
    </row>
    <row r="29" spans="1:22" x14ac:dyDescent="0.35">
      <c r="A29" s="15" t="s">
        <v>7</v>
      </c>
      <c r="B29" s="28">
        <v>80000</v>
      </c>
      <c r="C29" s="29">
        <f>+B29*D29</f>
        <v>18400</v>
      </c>
      <c r="D29" s="30">
        <v>0.22999999999999998</v>
      </c>
      <c r="E29" s="28">
        <v>80000</v>
      </c>
      <c r="F29" s="29">
        <f t="shared" si="63"/>
        <v>18400</v>
      </c>
      <c r="G29" s="30">
        <v>0.22999999999999998</v>
      </c>
      <c r="H29" s="28">
        <v>80000</v>
      </c>
      <c r="I29" s="29">
        <f t="shared" si="64"/>
        <v>18400</v>
      </c>
      <c r="J29" s="30">
        <v>0.22999999999999998</v>
      </c>
      <c r="K29" s="28">
        <v>80000</v>
      </c>
      <c r="L29" s="29">
        <f t="shared" si="65"/>
        <v>18400</v>
      </c>
      <c r="M29" s="30">
        <v>0.22999999999999998</v>
      </c>
      <c r="N29" s="28">
        <v>80000</v>
      </c>
      <c r="O29" s="29">
        <f t="shared" si="66"/>
        <v>18400</v>
      </c>
      <c r="P29" s="30">
        <v>0.22999999999999998</v>
      </c>
      <c r="Q29" s="28">
        <v>80000</v>
      </c>
      <c r="R29" s="29">
        <f t="shared" si="67"/>
        <v>18400</v>
      </c>
      <c r="S29" s="30">
        <v>0.22999999999999998</v>
      </c>
      <c r="T29" s="28">
        <f t="shared" si="68"/>
        <v>480000</v>
      </c>
      <c r="U29" s="29">
        <f t="shared" si="68"/>
        <v>110400</v>
      </c>
      <c r="V29" s="30">
        <f>+U29/T29</f>
        <v>0.23</v>
      </c>
    </row>
    <row r="30" spans="1:22" x14ac:dyDescent="0.35">
      <c r="A30" s="20" t="s">
        <v>1</v>
      </c>
      <c r="B30" s="31">
        <f>+B28+B29</f>
        <v>505918.61931269552</v>
      </c>
      <c r="C30" s="22">
        <f>+C28+C29</f>
        <v>298400.19964477385</v>
      </c>
      <c r="D30" s="32">
        <f>+C30/B30</f>
        <v>0.58981857605904842</v>
      </c>
      <c r="E30" s="31">
        <f t="shared" ref="E30:F30" si="69">+E28+E29</f>
        <v>501131.51073633344</v>
      </c>
      <c r="F30" s="22">
        <f t="shared" si="69"/>
        <v>295452.87725979957</v>
      </c>
      <c r="G30" s="32">
        <f t="shared" ref="G30" si="70">+F30/E30</f>
        <v>0.58957154146159818</v>
      </c>
      <c r="H30" s="31">
        <f t="shared" ref="H30:I30" si="71">+H28+H29</f>
        <v>438560.62304287677</v>
      </c>
      <c r="I30" s="22">
        <f t="shared" si="71"/>
        <v>253558.10276194656</v>
      </c>
      <c r="J30" s="32">
        <f t="shared" ref="J30" si="72">+I30/H30</f>
        <v>0.57815975589116431</v>
      </c>
      <c r="K30" s="31">
        <f t="shared" ref="K30:L30" si="73">+K28+K29</f>
        <v>637240.85049470712</v>
      </c>
      <c r="L30" s="22">
        <f t="shared" si="73"/>
        <v>387720.5020017447</v>
      </c>
      <c r="M30" s="32">
        <f t="shared" ref="M30" si="74">+L30/K30</f>
        <v>0.60843635762011627</v>
      </c>
      <c r="N30" s="31">
        <f t="shared" ref="N30:O30" si="75">+N28+N29</f>
        <v>709544.09406759951</v>
      </c>
      <c r="O30" s="22">
        <f t="shared" si="75"/>
        <v>437765.1066025066</v>
      </c>
      <c r="P30" s="32">
        <f t="shared" ref="P30" si="76">+O30/N30</f>
        <v>0.61696673999910701</v>
      </c>
      <c r="Q30" s="31">
        <f t="shared" ref="Q30:R30" si="77">+Q28+Q29</f>
        <v>481750.92839753785</v>
      </c>
      <c r="R30" s="22">
        <f t="shared" si="77"/>
        <v>284681.80029122718</v>
      </c>
      <c r="S30" s="32">
        <f t="shared" ref="S30" si="78">+R30/Q30</f>
        <v>0.59093150321094878</v>
      </c>
      <c r="T30" s="31">
        <f t="shared" ref="T30:U30" si="79">+T28+T29</f>
        <v>3274146.62605175</v>
      </c>
      <c r="U30" s="22">
        <f t="shared" si="79"/>
        <v>1957578.5885619987</v>
      </c>
      <c r="V30" s="32">
        <f t="shared" ref="V30" si="80">+U30/T30</f>
        <v>0.59788971360840271</v>
      </c>
    </row>
    <row r="32" spans="1:22" x14ac:dyDescent="0.35">
      <c r="A32" s="6" t="s">
        <v>39</v>
      </c>
      <c r="B32" s="7" t="s">
        <v>8</v>
      </c>
      <c r="C32" s="8" t="s">
        <v>36</v>
      </c>
      <c r="D32" s="9" t="s">
        <v>37</v>
      </c>
      <c r="E32" s="7" t="s">
        <v>8</v>
      </c>
      <c r="F32" s="8" t="s">
        <v>36</v>
      </c>
      <c r="G32" s="9" t="s">
        <v>37</v>
      </c>
      <c r="H32" s="7" t="s">
        <v>8</v>
      </c>
      <c r="I32" s="8" t="s">
        <v>36</v>
      </c>
      <c r="J32" s="9" t="s">
        <v>37</v>
      </c>
      <c r="K32" s="7" t="s">
        <v>8</v>
      </c>
      <c r="L32" s="8" t="s">
        <v>36</v>
      </c>
      <c r="M32" s="9" t="s">
        <v>37</v>
      </c>
      <c r="N32" s="7" t="s">
        <v>8</v>
      </c>
      <c r="O32" s="8" t="s">
        <v>36</v>
      </c>
      <c r="P32" s="9" t="s">
        <v>37</v>
      </c>
      <c r="Q32" s="7" t="s">
        <v>8</v>
      </c>
      <c r="R32" s="8" t="s">
        <v>36</v>
      </c>
      <c r="S32" s="9" t="s">
        <v>37</v>
      </c>
      <c r="T32" s="7" t="s">
        <v>8</v>
      </c>
      <c r="U32" s="8" t="s">
        <v>36</v>
      </c>
      <c r="V32" s="9" t="s">
        <v>37</v>
      </c>
    </row>
    <row r="33" spans="1:22" x14ac:dyDescent="0.35">
      <c r="A33" s="20" t="s">
        <v>1</v>
      </c>
      <c r="B33" s="33">
        <v>749749.92932549561</v>
      </c>
      <c r="C33" s="34">
        <f>+B33*D33</f>
        <v>215892.02159218056</v>
      </c>
      <c r="D33" s="35">
        <v>0.28795203993737684</v>
      </c>
      <c r="E33" s="33">
        <v>719236.69942969375</v>
      </c>
      <c r="F33" s="34">
        <f t="shared" ref="F33" si="81">+E33*G33</f>
        <v>215265.66106714139</v>
      </c>
      <c r="G33" s="35">
        <v>0.29929738184638321</v>
      </c>
      <c r="H33" s="33">
        <v>687160.19408830896</v>
      </c>
      <c r="I33" s="34">
        <f t="shared" ref="I33" si="82">+H33*J33</f>
        <v>204105.55968052428</v>
      </c>
      <c r="J33" s="35">
        <v>0.2970276238880829</v>
      </c>
      <c r="K33" s="33">
        <v>1083893.2321279366</v>
      </c>
      <c r="L33" s="34">
        <f t="shared" ref="L33" si="83">+K33*M33</f>
        <v>314522.03644580202</v>
      </c>
      <c r="M33" s="35">
        <v>0.29017806101466426</v>
      </c>
      <c r="N33" s="33">
        <v>1206826.0459816125</v>
      </c>
      <c r="O33" s="34">
        <f t="shared" ref="O33" si="84">+N33*P33</f>
        <v>342601.83958849864</v>
      </c>
      <c r="P33" s="35">
        <v>0.28388668004743955</v>
      </c>
      <c r="Q33" s="33">
        <v>762759.45314780751</v>
      </c>
      <c r="R33" s="34">
        <f t="shared" ref="R33" si="85">+Q33*S33</f>
        <v>220263.4896937492</v>
      </c>
      <c r="S33" s="35">
        <v>0.28877189103950252</v>
      </c>
      <c r="T33" s="33">
        <f t="shared" ref="T33:U33" si="86">+SUM(B33,E33,H33,K33,N33,Q33)</f>
        <v>5209625.5541008553</v>
      </c>
      <c r="U33" s="34">
        <f t="shared" si="86"/>
        <v>1512650.6080678962</v>
      </c>
      <c r="V33" s="35">
        <f>+U33/T33</f>
        <v>0.29035687735314963</v>
      </c>
    </row>
    <row r="35" spans="1:22" x14ac:dyDescent="0.35">
      <c r="A35" s="36" t="s">
        <v>40</v>
      </c>
      <c r="B35" s="812">
        <f>+C33+C30+D25+D18</f>
        <v>792533.04123695451</v>
      </c>
      <c r="C35" s="813"/>
      <c r="D35" s="814"/>
      <c r="E35" s="812">
        <f t="shared" ref="E35" si="87">+F33+F30+G25+G18</f>
        <v>809320.23832694103</v>
      </c>
      <c r="F35" s="813"/>
      <c r="G35" s="814"/>
      <c r="H35" s="812">
        <f t="shared" ref="H35" si="88">+I33+I30+J25+J18</f>
        <v>786732.52244247077</v>
      </c>
      <c r="I35" s="813"/>
      <c r="J35" s="814"/>
      <c r="K35" s="812">
        <f t="shared" ref="K35" si="89">+L33+L30+M25+M18</f>
        <v>1010220.4984475467</v>
      </c>
      <c r="L35" s="813"/>
      <c r="M35" s="814"/>
      <c r="N35" s="812">
        <f t="shared" ref="N35" si="90">+O33+O30+P25+P18</f>
        <v>1073846.8511910052</v>
      </c>
      <c r="O35" s="813"/>
      <c r="P35" s="814"/>
      <c r="Q35" s="812">
        <f t="shared" ref="Q35" si="91">+R33+R30+S25+S18</f>
        <v>713733.8899849765</v>
      </c>
      <c r="R35" s="813"/>
      <c r="S35" s="814"/>
      <c r="T35" s="812">
        <f t="shared" ref="T35" si="92">+U33+U30+V25+V18</f>
        <v>5186387.0416298956</v>
      </c>
      <c r="U35" s="813"/>
      <c r="V35" s="814"/>
    </row>
    <row r="37" spans="1:22" x14ac:dyDescent="0.35">
      <c r="A37" s="2" t="s">
        <v>41</v>
      </c>
    </row>
    <row r="38" spans="1:22" x14ac:dyDescent="0.35">
      <c r="A38" s="3" t="s">
        <v>42</v>
      </c>
      <c r="B38" s="815">
        <v>74290</v>
      </c>
      <c r="C38" s="815"/>
      <c r="D38" s="816"/>
      <c r="E38" s="815">
        <v>77290</v>
      </c>
      <c r="F38" s="815"/>
      <c r="G38" s="816"/>
      <c r="H38" s="815">
        <v>83050</v>
      </c>
      <c r="I38" s="815"/>
      <c r="J38" s="816"/>
      <c r="K38" s="815">
        <v>79000</v>
      </c>
      <c r="L38" s="815"/>
      <c r="M38" s="816"/>
      <c r="N38" s="815">
        <v>76435</v>
      </c>
      <c r="O38" s="815"/>
      <c r="P38" s="816"/>
      <c r="Q38" s="815">
        <v>62725</v>
      </c>
      <c r="R38" s="815"/>
      <c r="S38" s="816"/>
      <c r="T38" s="815">
        <f t="shared" ref="T38:V43" si="93">+SUM(B38,E38,H38,K38,N38,Q38)</f>
        <v>452790</v>
      </c>
      <c r="U38" s="815">
        <f t="shared" si="93"/>
        <v>0</v>
      </c>
      <c r="V38" s="816">
        <f t="shared" si="93"/>
        <v>0</v>
      </c>
    </row>
    <row r="39" spans="1:22" x14ac:dyDescent="0.35">
      <c r="A39" s="4" t="s">
        <v>43</v>
      </c>
      <c r="B39" s="817">
        <v>42010.650000000009</v>
      </c>
      <c r="C39" s="817"/>
      <c r="D39" s="818"/>
      <c r="E39" s="817">
        <v>44939.070000000007</v>
      </c>
      <c r="F39" s="817"/>
      <c r="G39" s="818"/>
      <c r="H39" s="817">
        <v>49928.670000000006</v>
      </c>
      <c r="I39" s="817"/>
      <c r="J39" s="818"/>
      <c r="K39" s="817">
        <v>46173.105000000003</v>
      </c>
      <c r="L39" s="817"/>
      <c r="M39" s="818"/>
      <c r="N39" s="817">
        <v>43868.756250000006</v>
      </c>
      <c r="O39" s="817"/>
      <c r="P39" s="818"/>
      <c r="Q39" s="817">
        <v>30921.041250000006</v>
      </c>
      <c r="R39" s="817"/>
      <c r="S39" s="818"/>
      <c r="T39" s="817">
        <f t="shared" si="93"/>
        <v>257841.29250000004</v>
      </c>
      <c r="U39" s="817">
        <f t="shared" si="93"/>
        <v>0</v>
      </c>
      <c r="V39" s="818">
        <f t="shared" si="93"/>
        <v>0</v>
      </c>
    </row>
    <row r="40" spans="1:22" x14ac:dyDescent="0.35">
      <c r="A40" s="4" t="s">
        <v>44</v>
      </c>
      <c r="B40" s="817">
        <v>46992</v>
      </c>
      <c r="C40" s="817"/>
      <c r="D40" s="818"/>
      <c r="E40" s="817">
        <v>49392</v>
      </c>
      <c r="F40" s="817"/>
      <c r="G40" s="818"/>
      <c r="H40" s="817">
        <v>54000</v>
      </c>
      <c r="I40" s="817"/>
      <c r="J40" s="818"/>
      <c r="K40" s="817">
        <v>50760</v>
      </c>
      <c r="L40" s="817"/>
      <c r="M40" s="818"/>
      <c r="N40" s="817">
        <v>48708</v>
      </c>
      <c r="O40" s="817"/>
      <c r="P40" s="818"/>
      <c r="Q40" s="817">
        <v>37740</v>
      </c>
      <c r="R40" s="817"/>
      <c r="S40" s="818"/>
      <c r="T40" s="817">
        <f t="shared" si="93"/>
        <v>287592</v>
      </c>
      <c r="U40" s="817">
        <f t="shared" si="93"/>
        <v>0</v>
      </c>
      <c r="V40" s="818">
        <f t="shared" si="93"/>
        <v>0</v>
      </c>
    </row>
    <row r="41" spans="1:22" x14ac:dyDescent="0.35">
      <c r="A41" s="4" t="s">
        <v>45</v>
      </c>
      <c r="B41" s="817">
        <v>23219.856857977389</v>
      </c>
      <c r="C41" s="817"/>
      <c r="D41" s="818"/>
      <c r="E41" s="817">
        <v>23330.602627075343</v>
      </c>
      <c r="F41" s="817"/>
      <c r="G41" s="818"/>
      <c r="H41" s="817">
        <v>22723.510214139824</v>
      </c>
      <c r="I41" s="817"/>
      <c r="J41" s="818"/>
      <c r="K41" s="817">
        <v>29572.176032783045</v>
      </c>
      <c r="L41" s="817"/>
      <c r="M41" s="818"/>
      <c r="N41" s="817">
        <v>31693.126750615153</v>
      </c>
      <c r="O41" s="817"/>
      <c r="P41" s="818"/>
      <c r="Q41" s="817">
        <v>21104.879769316816</v>
      </c>
      <c r="R41" s="817"/>
      <c r="S41" s="818"/>
      <c r="T41" s="817">
        <f t="shared" si="93"/>
        <v>151644.15225190757</v>
      </c>
      <c r="U41" s="817">
        <f t="shared" si="93"/>
        <v>0</v>
      </c>
      <c r="V41" s="818">
        <f t="shared" si="93"/>
        <v>0</v>
      </c>
    </row>
    <row r="42" spans="1:22" x14ac:dyDescent="0.35">
      <c r="A42" s="4" t="s">
        <v>46</v>
      </c>
      <c r="B42" s="817">
        <v>44706.951517150395</v>
      </c>
      <c r="C42" s="817"/>
      <c r="D42" s="818"/>
      <c r="E42" s="817">
        <v>45129.115105540899</v>
      </c>
      <c r="F42" s="817"/>
      <c r="G42" s="818"/>
      <c r="H42" s="817">
        <v>46395.605870712403</v>
      </c>
      <c r="I42" s="817"/>
      <c r="J42" s="818"/>
      <c r="K42" s="817">
        <v>45683.204815303427</v>
      </c>
      <c r="L42" s="817"/>
      <c r="M42" s="818"/>
      <c r="N42" s="817">
        <v>45178.587401055411</v>
      </c>
      <c r="O42" s="817"/>
      <c r="P42" s="818"/>
      <c r="Q42" s="817">
        <v>42935.843337730868</v>
      </c>
      <c r="R42" s="817"/>
      <c r="S42" s="818"/>
      <c r="T42" s="817">
        <f t="shared" si="93"/>
        <v>270029.3080474934</v>
      </c>
      <c r="U42" s="817">
        <f t="shared" si="93"/>
        <v>0</v>
      </c>
      <c r="V42" s="818">
        <f t="shared" si="93"/>
        <v>0</v>
      </c>
    </row>
    <row r="43" spans="1:22" x14ac:dyDescent="0.35">
      <c r="A43" s="4" t="s">
        <v>47</v>
      </c>
      <c r="B43" s="817">
        <v>44000</v>
      </c>
      <c r="C43" s="817"/>
      <c r="D43" s="818"/>
      <c r="E43" s="817">
        <v>44000</v>
      </c>
      <c r="F43" s="817"/>
      <c r="G43" s="818"/>
      <c r="H43" s="817">
        <v>44000</v>
      </c>
      <c r="I43" s="817"/>
      <c r="J43" s="818"/>
      <c r="K43" s="817">
        <v>44000</v>
      </c>
      <c r="L43" s="817"/>
      <c r="M43" s="818"/>
      <c r="N43" s="817">
        <v>44000</v>
      </c>
      <c r="O43" s="817"/>
      <c r="P43" s="818"/>
      <c r="Q43" s="817">
        <v>44000</v>
      </c>
      <c r="R43" s="817"/>
      <c r="S43" s="818"/>
      <c r="T43" s="817">
        <f t="shared" si="93"/>
        <v>264000</v>
      </c>
      <c r="U43" s="817">
        <f t="shared" si="93"/>
        <v>0</v>
      </c>
      <c r="V43" s="818">
        <f t="shared" si="93"/>
        <v>0</v>
      </c>
    </row>
    <row r="44" spans="1:22" x14ac:dyDescent="0.35">
      <c r="A44" s="37" t="s">
        <v>48</v>
      </c>
      <c r="B44" s="819">
        <f>+SUM(B38:D43)</f>
        <v>275219.45837512781</v>
      </c>
      <c r="C44" s="801"/>
      <c r="D44" s="802"/>
      <c r="E44" s="819">
        <f>+SUM(E38:G43)</f>
        <v>284080.78773261624</v>
      </c>
      <c r="F44" s="801"/>
      <c r="G44" s="802"/>
      <c r="H44" s="819">
        <f>+SUM(H38:J43)</f>
        <v>300097.78608485224</v>
      </c>
      <c r="I44" s="801"/>
      <c r="J44" s="802"/>
      <c r="K44" s="819">
        <f>+SUM(K38:M43)</f>
        <v>295188.48584808648</v>
      </c>
      <c r="L44" s="801"/>
      <c r="M44" s="802"/>
      <c r="N44" s="819">
        <f>+SUM(N38:P43)</f>
        <v>289883.47040167055</v>
      </c>
      <c r="O44" s="801"/>
      <c r="P44" s="802"/>
      <c r="Q44" s="819">
        <f>+SUM(Q38:S43)</f>
        <v>239426.76435704768</v>
      </c>
      <c r="R44" s="801"/>
      <c r="S44" s="802"/>
      <c r="T44" s="819">
        <f>+SUM(T38:V43)</f>
        <v>1683896.7527994011</v>
      </c>
      <c r="U44" s="801"/>
      <c r="V44" s="802"/>
    </row>
    <row r="46" spans="1:22" x14ac:dyDescent="0.35">
      <c r="A46" s="10" t="s">
        <v>49</v>
      </c>
      <c r="B46" s="820">
        <v>14759</v>
      </c>
      <c r="C46" s="815"/>
      <c r="D46" s="816"/>
      <c r="E46" s="820">
        <v>14759</v>
      </c>
      <c r="F46" s="815"/>
      <c r="G46" s="816"/>
      <c r="H46" s="820">
        <v>14759</v>
      </c>
      <c r="I46" s="815"/>
      <c r="J46" s="816"/>
      <c r="K46" s="820">
        <v>14759</v>
      </c>
      <c r="L46" s="815"/>
      <c r="M46" s="816"/>
      <c r="N46" s="820">
        <v>14759</v>
      </c>
      <c r="O46" s="815"/>
      <c r="P46" s="816"/>
      <c r="Q46" s="820">
        <v>14759</v>
      </c>
      <c r="R46" s="815"/>
      <c r="S46" s="816"/>
      <c r="T46" s="820">
        <f t="shared" ref="T46:V52" si="94">+SUM(B46,E46,H46,K46,N46,Q46)</f>
        <v>88554</v>
      </c>
      <c r="U46" s="815">
        <f t="shared" si="94"/>
        <v>0</v>
      </c>
      <c r="V46" s="816">
        <f t="shared" si="94"/>
        <v>0</v>
      </c>
    </row>
    <row r="47" spans="1:22" x14ac:dyDescent="0.35">
      <c r="A47" s="15" t="s">
        <v>50</v>
      </c>
      <c r="B47" s="821">
        <v>60293.851212062815</v>
      </c>
      <c r="C47" s="817"/>
      <c r="D47" s="818"/>
      <c r="E47" s="821">
        <v>60708.497996577258</v>
      </c>
      <c r="F47" s="817"/>
      <c r="G47" s="818"/>
      <c r="H47" s="821">
        <v>61249.347762746263</v>
      </c>
      <c r="I47" s="817"/>
      <c r="J47" s="818"/>
      <c r="K47" s="821">
        <v>65893.273784915116</v>
      </c>
      <c r="L47" s="817"/>
      <c r="M47" s="818"/>
      <c r="N47" s="821">
        <v>67106.766330467508</v>
      </c>
      <c r="O47" s="817"/>
      <c r="P47" s="818"/>
      <c r="Q47" s="821">
        <v>57296.598624680781</v>
      </c>
      <c r="R47" s="817"/>
      <c r="S47" s="818"/>
      <c r="T47" s="821">
        <f t="shared" si="94"/>
        <v>372548.33571144973</v>
      </c>
      <c r="U47" s="817">
        <f t="shared" si="94"/>
        <v>0</v>
      </c>
      <c r="V47" s="818">
        <f t="shared" si="94"/>
        <v>0</v>
      </c>
    </row>
    <row r="48" spans="1:22" x14ac:dyDescent="0.35">
      <c r="A48" s="15" t="s">
        <v>51</v>
      </c>
      <c r="B48" s="821">
        <v>165222.9157092371</v>
      </c>
      <c r="C48" s="817"/>
      <c r="D48" s="818"/>
      <c r="E48" s="821">
        <v>164097.75226782763</v>
      </c>
      <c r="F48" s="817"/>
      <c r="G48" s="818"/>
      <c r="H48" s="821">
        <v>159787.77900685847</v>
      </c>
      <c r="I48" s="817"/>
      <c r="J48" s="818"/>
      <c r="K48" s="821">
        <v>205127.37433708418</v>
      </c>
      <c r="L48" s="817"/>
      <c r="M48" s="818"/>
      <c r="N48" s="821">
        <v>219293.7305221188</v>
      </c>
      <c r="O48" s="817"/>
      <c r="P48" s="818"/>
      <c r="Q48" s="821">
        <v>157781.14302362764</v>
      </c>
      <c r="R48" s="817"/>
      <c r="S48" s="818"/>
      <c r="T48" s="821">
        <f t="shared" si="94"/>
        <v>1071310.6948667536</v>
      </c>
      <c r="U48" s="817">
        <f t="shared" si="94"/>
        <v>0</v>
      </c>
      <c r="V48" s="818">
        <f t="shared" si="94"/>
        <v>0</v>
      </c>
    </row>
    <row r="49" spans="1:22" x14ac:dyDescent="0.35">
      <c r="A49" s="15" t="s">
        <v>52</v>
      </c>
      <c r="B49" s="821">
        <v>28204.741829461083</v>
      </c>
      <c r="C49" s="817"/>
      <c r="D49" s="818"/>
      <c r="E49" s="821">
        <v>28373.647687046941</v>
      </c>
      <c r="F49" s="817"/>
      <c r="G49" s="818"/>
      <c r="H49" s="821">
        <v>27688.865852526753</v>
      </c>
      <c r="I49" s="817"/>
      <c r="J49" s="818"/>
      <c r="K49" s="821">
        <v>33023.655080748082</v>
      </c>
      <c r="L49" s="817"/>
      <c r="M49" s="818"/>
      <c r="N49" s="821">
        <v>34662.112028383963</v>
      </c>
      <c r="O49" s="817"/>
      <c r="P49" s="818"/>
      <c r="Q49" s="821">
        <v>26027.595550230955</v>
      </c>
      <c r="R49" s="817"/>
      <c r="S49" s="818"/>
      <c r="T49" s="821">
        <f t="shared" si="94"/>
        <v>177980.61802839779</v>
      </c>
      <c r="U49" s="817">
        <f t="shared" si="94"/>
        <v>0</v>
      </c>
      <c r="V49" s="818">
        <f t="shared" si="94"/>
        <v>0</v>
      </c>
    </row>
    <row r="50" spans="1:22" x14ac:dyDescent="0.35">
      <c r="A50" s="15" t="s">
        <v>53</v>
      </c>
      <c r="B50" s="821">
        <v>67691.380390706589</v>
      </c>
      <c r="C50" s="817"/>
      <c r="D50" s="818"/>
      <c r="E50" s="821">
        <v>68096.754448912659</v>
      </c>
      <c r="F50" s="817"/>
      <c r="G50" s="818"/>
      <c r="H50" s="821">
        <v>66453.278046064195</v>
      </c>
      <c r="I50" s="817"/>
      <c r="J50" s="818"/>
      <c r="K50" s="821">
        <v>79256.77219379539</v>
      </c>
      <c r="L50" s="817"/>
      <c r="M50" s="818"/>
      <c r="N50" s="821">
        <v>83189.068868121511</v>
      </c>
      <c r="O50" s="817"/>
      <c r="P50" s="818"/>
      <c r="Q50" s="821">
        <v>62466.229320554288</v>
      </c>
      <c r="R50" s="817"/>
      <c r="S50" s="818"/>
      <c r="T50" s="821">
        <f t="shared" si="94"/>
        <v>427153.48326815467</v>
      </c>
      <c r="U50" s="817">
        <f t="shared" si="94"/>
        <v>0</v>
      </c>
      <c r="V50" s="818">
        <f t="shared" si="94"/>
        <v>0</v>
      </c>
    </row>
    <row r="51" spans="1:22" x14ac:dyDescent="0.35">
      <c r="A51" s="15" t="s">
        <v>54</v>
      </c>
      <c r="B51" s="821">
        <v>28204.741829461083</v>
      </c>
      <c r="C51" s="817"/>
      <c r="D51" s="818"/>
      <c r="E51" s="821">
        <v>28373.647687046941</v>
      </c>
      <c r="F51" s="817"/>
      <c r="G51" s="818"/>
      <c r="H51" s="821">
        <v>27688.865852526753</v>
      </c>
      <c r="I51" s="817"/>
      <c r="J51" s="818"/>
      <c r="K51" s="821">
        <v>33023.655080748082</v>
      </c>
      <c r="L51" s="817"/>
      <c r="M51" s="818"/>
      <c r="N51" s="821">
        <v>34662.112028383963</v>
      </c>
      <c r="O51" s="817"/>
      <c r="P51" s="818"/>
      <c r="Q51" s="821">
        <v>26027.595550230955</v>
      </c>
      <c r="R51" s="817"/>
      <c r="S51" s="818"/>
      <c r="T51" s="821">
        <f t="shared" si="94"/>
        <v>177980.61802839779</v>
      </c>
      <c r="U51" s="817">
        <f t="shared" si="94"/>
        <v>0</v>
      </c>
      <c r="V51" s="818">
        <f t="shared" si="94"/>
        <v>0</v>
      </c>
    </row>
    <row r="52" spans="1:22" x14ac:dyDescent="0.35">
      <c r="A52" s="38" t="s">
        <v>55</v>
      </c>
      <c r="B52" s="822">
        <v>16922.845097676647</v>
      </c>
      <c r="C52" s="823"/>
      <c r="D52" s="824"/>
      <c r="E52" s="822">
        <v>17024.188612228165</v>
      </c>
      <c r="F52" s="823"/>
      <c r="G52" s="824"/>
      <c r="H52" s="822">
        <v>16613.319511516049</v>
      </c>
      <c r="I52" s="823"/>
      <c r="J52" s="824"/>
      <c r="K52" s="822">
        <v>19814.193048448848</v>
      </c>
      <c r="L52" s="823"/>
      <c r="M52" s="824"/>
      <c r="N52" s="822">
        <v>20797.267217030378</v>
      </c>
      <c r="O52" s="823"/>
      <c r="P52" s="824"/>
      <c r="Q52" s="822">
        <v>15616.557330138572</v>
      </c>
      <c r="R52" s="823"/>
      <c r="S52" s="824"/>
      <c r="T52" s="822">
        <f t="shared" si="94"/>
        <v>106788.37081703867</v>
      </c>
      <c r="U52" s="823">
        <f t="shared" si="94"/>
        <v>0</v>
      </c>
      <c r="V52" s="824">
        <f t="shared" si="94"/>
        <v>0</v>
      </c>
    </row>
    <row r="53" spans="1:22" x14ac:dyDescent="0.35">
      <c r="A53" s="20" t="s">
        <v>56</v>
      </c>
      <c r="B53" s="819">
        <f>+SUM(B46:D52)</f>
        <v>381299.47606860532</v>
      </c>
      <c r="C53" s="801"/>
      <c r="D53" s="802"/>
      <c r="E53" s="819">
        <f t="shared" ref="E53" si="95">+SUM(E46:G52)</f>
        <v>381433.48869963962</v>
      </c>
      <c r="F53" s="801"/>
      <c r="G53" s="802"/>
      <c r="H53" s="819">
        <f t="shared" ref="H53" si="96">+SUM(H46:J52)</f>
        <v>374240.45603223844</v>
      </c>
      <c r="I53" s="801"/>
      <c r="J53" s="802"/>
      <c r="K53" s="819">
        <f t="shared" ref="K53" si="97">+SUM(K46:M52)</f>
        <v>450897.92352573969</v>
      </c>
      <c r="L53" s="801"/>
      <c r="M53" s="802"/>
      <c r="N53" s="819">
        <f t="shared" ref="N53" si="98">+SUM(N46:P52)</f>
        <v>474470.0569945061</v>
      </c>
      <c r="O53" s="801"/>
      <c r="P53" s="802"/>
      <c r="Q53" s="819">
        <f t="shared" ref="Q53" si="99">+SUM(Q46:S52)</f>
        <v>359974.71939946315</v>
      </c>
      <c r="R53" s="801"/>
      <c r="S53" s="802"/>
      <c r="T53" s="819">
        <f t="shared" ref="T53" si="100">+SUM(T46:V52)</f>
        <v>2422316.1207201923</v>
      </c>
      <c r="U53" s="801"/>
      <c r="V53" s="802"/>
    </row>
    <row r="55" spans="1:22" x14ac:dyDescent="0.35">
      <c r="A55" s="10" t="s">
        <v>57</v>
      </c>
      <c r="B55" s="820">
        <v>59985.326783641038</v>
      </c>
      <c r="C55" s="815"/>
      <c r="D55" s="816"/>
      <c r="E55" s="820">
        <v>59592.783880379342</v>
      </c>
      <c r="F55" s="815"/>
      <c r="G55" s="816"/>
      <c r="H55" s="820">
        <v>54461.971089515901</v>
      </c>
      <c r="I55" s="815"/>
      <c r="J55" s="816"/>
      <c r="K55" s="820">
        <v>70753.749740565981</v>
      </c>
      <c r="L55" s="815"/>
      <c r="M55" s="816"/>
      <c r="N55" s="820">
        <v>76682.615713543171</v>
      </c>
      <c r="O55" s="815"/>
      <c r="P55" s="816"/>
      <c r="Q55" s="820">
        <v>58003.576128598106</v>
      </c>
      <c r="R55" s="815"/>
      <c r="S55" s="816"/>
      <c r="T55" s="820">
        <f t="shared" ref="T55:V60" si="101">+SUM(B55,E55,H55,K55,N55,Q55)</f>
        <v>379480.02333624352</v>
      </c>
      <c r="U55" s="815">
        <f t="shared" si="101"/>
        <v>0</v>
      </c>
      <c r="V55" s="816">
        <f t="shared" si="101"/>
        <v>0</v>
      </c>
    </row>
    <row r="56" spans="1:22" x14ac:dyDescent="0.35">
      <c r="A56" s="15" t="s">
        <v>58</v>
      </c>
      <c r="B56" s="821">
        <v>52325.885087550254</v>
      </c>
      <c r="C56" s="817"/>
      <c r="D56" s="818"/>
      <c r="E56" s="821">
        <v>51355.125779565751</v>
      </c>
      <c r="F56" s="817"/>
      <c r="G56" s="818"/>
      <c r="H56" s="821">
        <v>48752.322471107604</v>
      </c>
      <c r="I56" s="817"/>
      <c r="J56" s="818"/>
      <c r="K56" s="821">
        <v>65126.187272122697</v>
      </c>
      <c r="L56" s="817"/>
      <c r="M56" s="818"/>
      <c r="N56" s="821">
        <v>70495.178851353325</v>
      </c>
      <c r="O56" s="817"/>
      <c r="P56" s="818"/>
      <c r="Q56" s="821">
        <v>52019.035492496994</v>
      </c>
      <c r="R56" s="817"/>
      <c r="S56" s="818"/>
      <c r="T56" s="821">
        <f t="shared" si="101"/>
        <v>340073.73495419667</v>
      </c>
      <c r="U56" s="817">
        <f t="shared" si="101"/>
        <v>0</v>
      </c>
      <c r="V56" s="818">
        <f t="shared" si="101"/>
        <v>0</v>
      </c>
    </row>
    <row r="57" spans="1:22" x14ac:dyDescent="0.35">
      <c r="A57" s="15" t="s">
        <v>59</v>
      </c>
      <c r="B57" s="817">
        <v>95500</v>
      </c>
      <c r="C57" s="817"/>
      <c r="D57" s="818"/>
      <c r="E57" s="817">
        <v>95500</v>
      </c>
      <c r="F57" s="817"/>
      <c r="G57" s="818"/>
      <c r="H57" s="817">
        <v>95500</v>
      </c>
      <c r="I57" s="817"/>
      <c r="J57" s="818"/>
      <c r="K57" s="817">
        <v>95500</v>
      </c>
      <c r="L57" s="817"/>
      <c r="M57" s="818"/>
      <c r="N57" s="817">
        <v>95500</v>
      </c>
      <c r="O57" s="817"/>
      <c r="P57" s="818"/>
      <c r="Q57" s="817">
        <v>95500</v>
      </c>
      <c r="R57" s="817"/>
      <c r="S57" s="818"/>
      <c r="T57" s="817">
        <f t="shared" si="101"/>
        <v>573000</v>
      </c>
      <c r="U57" s="817">
        <f t="shared" si="101"/>
        <v>0</v>
      </c>
      <c r="V57" s="818">
        <f t="shared" si="101"/>
        <v>0</v>
      </c>
    </row>
    <row r="58" spans="1:22" x14ac:dyDescent="0.35">
      <c r="A58" s="4" t="s">
        <v>60</v>
      </c>
      <c r="B58" s="817">
        <v>27173.635455669959</v>
      </c>
      <c r="C58" s="817"/>
      <c r="D58" s="818"/>
      <c r="E58" s="817">
        <v>27089.166788611565</v>
      </c>
      <c r="F58" s="817"/>
      <c r="G58" s="818"/>
      <c r="H58" s="817">
        <v>26862.689098135335</v>
      </c>
      <c r="I58" s="817"/>
      <c r="J58" s="818"/>
      <c r="K58" s="817">
        <v>28287.427983418467</v>
      </c>
      <c r="L58" s="817"/>
      <c r="M58" s="818"/>
      <c r="N58" s="817">
        <v>28754.5999779749</v>
      </c>
      <c r="O58" s="817"/>
      <c r="P58" s="818"/>
      <c r="Q58" s="817">
        <v>27146.935555840646</v>
      </c>
      <c r="R58" s="817"/>
      <c r="S58" s="818"/>
      <c r="T58" s="817">
        <f t="shared" si="101"/>
        <v>165314.45485965087</v>
      </c>
      <c r="U58" s="817">
        <f t="shared" si="101"/>
        <v>0</v>
      </c>
      <c r="V58" s="818">
        <f t="shared" si="101"/>
        <v>0</v>
      </c>
    </row>
    <row r="59" spans="1:22" x14ac:dyDescent="0.35">
      <c r="A59" s="4" t="s">
        <v>61</v>
      </c>
      <c r="B59" s="817">
        <v>80203.072353530515</v>
      </c>
      <c r="C59" s="817"/>
      <c r="D59" s="818"/>
      <c r="E59" s="817">
        <v>79739.125047896363</v>
      </c>
      <c r="F59" s="817"/>
      <c r="G59" s="818"/>
      <c r="H59" s="817">
        <v>78495.187882295577</v>
      </c>
      <c r="I59" s="817"/>
      <c r="J59" s="818"/>
      <c r="K59" s="817">
        <v>86320.619371611887</v>
      </c>
      <c r="L59" s="817"/>
      <c r="M59" s="818"/>
      <c r="N59" s="817">
        <v>88886.578983503932</v>
      </c>
      <c r="O59" s="817"/>
      <c r="P59" s="818"/>
      <c r="Q59" s="817">
        <v>80056.422157453111</v>
      </c>
      <c r="R59" s="817"/>
      <c r="S59" s="818"/>
      <c r="T59" s="817">
        <f t="shared" si="101"/>
        <v>493701.0057962914</v>
      </c>
      <c r="U59" s="817">
        <f t="shared" si="101"/>
        <v>0</v>
      </c>
      <c r="V59" s="818">
        <f t="shared" si="101"/>
        <v>0</v>
      </c>
    </row>
    <row r="60" spans="1:22" x14ac:dyDescent="0.35">
      <c r="A60" s="5" t="s">
        <v>62</v>
      </c>
      <c r="B60" s="823">
        <v>49055</v>
      </c>
      <c r="C60" s="823"/>
      <c r="D60" s="824"/>
      <c r="E60" s="823">
        <v>49055</v>
      </c>
      <c r="F60" s="823"/>
      <c r="G60" s="824"/>
      <c r="H60" s="823">
        <v>49055</v>
      </c>
      <c r="I60" s="823"/>
      <c r="J60" s="824"/>
      <c r="K60" s="823">
        <v>49055</v>
      </c>
      <c r="L60" s="823"/>
      <c r="M60" s="824"/>
      <c r="N60" s="823">
        <v>49055</v>
      </c>
      <c r="O60" s="823"/>
      <c r="P60" s="824"/>
      <c r="Q60" s="823">
        <v>49055</v>
      </c>
      <c r="R60" s="823"/>
      <c r="S60" s="824"/>
      <c r="T60" s="823">
        <f t="shared" si="101"/>
        <v>294330</v>
      </c>
      <c r="U60" s="823">
        <f t="shared" si="101"/>
        <v>0</v>
      </c>
      <c r="V60" s="824">
        <f t="shared" si="101"/>
        <v>0</v>
      </c>
    </row>
    <row r="61" spans="1:22" x14ac:dyDescent="0.35">
      <c r="A61" s="37" t="s">
        <v>63</v>
      </c>
      <c r="B61" s="819">
        <f>+SUM(B55:D60)</f>
        <v>364242.91968039173</v>
      </c>
      <c r="C61" s="819"/>
      <c r="D61" s="825"/>
      <c r="E61" s="819">
        <f>+SUM(E55:G60)</f>
        <v>362331.20149645302</v>
      </c>
      <c r="F61" s="819"/>
      <c r="G61" s="825"/>
      <c r="H61" s="819">
        <f>+SUM(H55:J60)</f>
        <v>353127.17054105445</v>
      </c>
      <c r="I61" s="819"/>
      <c r="J61" s="825"/>
      <c r="K61" s="819">
        <f>+SUM(K55:M60)</f>
        <v>395042.98436771904</v>
      </c>
      <c r="L61" s="819"/>
      <c r="M61" s="825"/>
      <c r="N61" s="819">
        <f>+SUM(N55:P60)</f>
        <v>409373.97352637531</v>
      </c>
      <c r="O61" s="819"/>
      <c r="P61" s="825"/>
      <c r="Q61" s="819">
        <f>+SUM(Q55:S60)</f>
        <v>361780.96933438885</v>
      </c>
      <c r="R61" s="819"/>
      <c r="S61" s="825"/>
      <c r="T61" s="819">
        <f>+SUM(T55:V60)</f>
        <v>2245899.2189463824</v>
      </c>
      <c r="U61" s="819"/>
      <c r="V61" s="825"/>
    </row>
    <row r="63" spans="1:22" x14ac:dyDescent="0.35">
      <c r="A63" s="36" t="s">
        <v>64</v>
      </c>
      <c r="B63" s="812">
        <f>+B61+B53+B44</f>
        <v>1020761.8541241249</v>
      </c>
      <c r="C63" s="813"/>
      <c r="D63" s="814"/>
      <c r="E63" s="812">
        <f t="shared" ref="E63" si="102">+E61+E53+E44</f>
        <v>1027845.477928709</v>
      </c>
      <c r="F63" s="813"/>
      <c r="G63" s="814"/>
      <c r="H63" s="812">
        <f t="shared" ref="H63" si="103">+H61+H53+H44</f>
        <v>1027465.4126581452</v>
      </c>
      <c r="I63" s="813"/>
      <c r="J63" s="814"/>
      <c r="K63" s="812">
        <f t="shared" ref="K63" si="104">+K61+K53+K44</f>
        <v>1141129.3937415453</v>
      </c>
      <c r="L63" s="813"/>
      <c r="M63" s="814"/>
      <c r="N63" s="812">
        <f t="shared" ref="N63" si="105">+N61+N53+N44</f>
        <v>1173727.5009225518</v>
      </c>
      <c r="O63" s="813"/>
      <c r="P63" s="814"/>
      <c r="Q63" s="812">
        <f t="shared" ref="Q63" si="106">+Q61+Q53+Q44</f>
        <v>961182.45309089962</v>
      </c>
      <c r="R63" s="813"/>
      <c r="S63" s="814"/>
      <c r="T63" s="812">
        <f t="shared" ref="T63" si="107">+T61+T53+T44</f>
        <v>6352112.0924659763</v>
      </c>
      <c r="U63" s="813"/>
      <c r="V63" s="814"/>
    </row>
    <row r="65" spans="1:22" x14ac:dyDescent="0.35">
      <c r="A65" s="20" t="s">
        <v>65</v>
      </c>
      <c r="B65" s="819">
        <v>374587.63439999998</v>
      </c>
      <c r="C65" s="819"/>
      <c r="D65" s="825"/>
      <c r="E65" s="819">
        <v>391248.1496</v>
      </c>
      <c r="F65" s="819"/>
      <c r="G65" s="825"/>
      <c r="H65" s="819">
        <v>341696.27520000003</v>
      </c>
      <c r="I65" s="819"/>
      <c r="J65" s="825"/>
      <c r="K65" s="819">
        <v>336678.68399999995</v>
      </c>
      <c r="L65" s="819"/>
      <c r="M65" s="825"/>
      <c r="N65" s="819">
        <v>334619.16299999994</v>
      </c>
      <c r="O65" s="819"/>
      <c r="P65" s="825"/>
      <c r="Q65" s="819">
        <v>260756.10299999994</v>
      </c>
      <c r="R65" s="819"/>
      <c r="S65" s="825"/>
      <c r="T65" s="819">
        <f t="shared" ref="T65:V65" si="108">+SUM(B65,E65,H65,K65,N65,Q65)</f>
        <v>2039586.0091999997</v>
      </c>
      <c r="U65" s="819">
        <f t="shared" si="108"/>
        <v>0</v>
      </c>
      <c r="V65" s="825">
        <f t="shared" si="108"/>
        <v>0</v>
      </c>
    </row>
    <row r="67" spans="1:22" x14ac:dyDescent="0.35">
      <c r="A67" s="36" t="s">
        <v>66</v>
      </c>
      <c r="B67" s="812">
        <f>+B35-B63+B65</f>
        <v>146358.82151282963</v>
      </c>
      <c r="C67" s="813"/>
      <c r="D67" s="814"/>
      <c r="E67" s="812">
        <f>+E35-E63+E65</f>
        <v>172722.90999823203</v>
      </c>
      <c r="F67" s="813"/>
      <c r="G67" s="814"/>
      <c r="H67" s="812">
        <f>+H35-H63+H65</f>
        <v>100963.38498432562</v>
      </c>
      <c r="I67" s="813"/>
      <c r="J67" s="814"/>
      <c r="K67" s="812">
        <f>+K35-K63+K65</f>
        <v>205769.78870600142</v>
      </c>
      <c r="L67" s="813"/>
      <c r="M67" s="814"/>
      <c r="N67" s="812">
        <f>+N35-N63+N65</f>
        <v>234738.5132684533</v>
      </c>
      <c r="O67" s="813"/>
      <c r="P67" s="814"/>
      <c r="Q67" s="812">
        <f>+Q35-Q63+Q65</f>
        <v>13307.539894076821</v>
      </c>
      <c r="R67" s="813"/>
      <c r="S67" s="814"/>
      <c r="T67" s="812">
        <f>+T35-T63+T65</f>
        <v>873860.95836391905</v>
      </c>
      <c r="U67" s="813"/>
      <c r="V67" s="814"/>
    </row>
    <row r="69" spans="1:22" x14ac:dyDescent="0.35">
      <c r="A69" s="10" t="s">
        <v>67</v>
      </c>
      <c r="B69" s="815">
        <v>51100</v>
      </c>
      <c r="C69" s="815"/>
      <c r="D69" s="816"/>
      <c r="E69" s="815">
        <v>51100</v>
      </c>
      <c r="F69" s="815"/>
      <c r="G69" s="816"/>
      <c r="H69" s="815">
        <v>51100</v>
      </c>
      <c r="I69" s="815"/>
      <c r="J69" s="816"/>
      <c r="K69" s="815">
        <v>51100</v>
      </c>
      <c r="L69" s="815"/>
      <c r="M69" s="816"/>
      <c r="N69" s="815">
        <v>51100</v>
      </c>
      <c r="O69" s="815"/>
      <c r="P69" s="816"/>
      <c r="Q69" s="815">
        <v>51100</v>
      </c>
      <c r="R69" s="815"/>
      <c r="S69" s="816"/>
      <c r="T69" s="815">
        <f t="shared" ref="T69:V70" si="109">+SUM(B69,E69,H69,K69,N69,Q69)</f>
        <v>306600</v>
      </c>
      <c r="U69" s="815">
        <f t="shared" si="109"/>
        <v>0</v>
      </c>
      <c r="V69" s="816">
        <f t="shared" si="109"/>
        <v>0</v>
      </c>
    </row>
    <row r="70" spans="1:22" x14ac:dyDescent="0.35">
      <c r="A70" s="38" t="s">
        <v>68</v>
      </c>
      <c r="B70" s="823">
        <v>9172</v>
      </c>
      <c r="C70" s="823"/>
      <c r="D70" s="824"/>
      <c r="E70" s="823">
        <v>9172</v>
      </c>
      <c r="F70" s="823"/>
      <c r="G70" s="824"/>
      <c r="H70" s="823">
        <v>9172</v>
      </c>
      <c r="I70" s="823"/>
      <c r="J70" s="824"/>
      <c r="K70" s="823">
        <v>9172</v>
      </c>
      <c r="L70" s="823"/>
      <c r="M70" s="824"/>
      <c r="N70" s="823">
        <v>9172</v>
      </c>
      <c r="O70" s="823"/>
      <c r="P70" s="824"/>
      <c r="Q70" s="823">
        <v>9172</v>
      </c>
      <c r="R70" s="823"/>
      <c r="S70" s="824"/>
      <c r="T70" s="823">
        <f t="shared" si="109"/>
        <v>55032</v>
      </c>
      <c r="U70" s="823">
        <f t="shared" si="109"/>
        <v>0</v>
      </c>
      <c r="V70" s="824">
        <f t="shared" si="109"/>
        <v>0</v>
      </c>
    </row>
    <row r="72" spans="1:22" x14ac:dyDescent="0.35">
      <c r="A72" s="36" t="s">
        <v>69</v>
      </c>
      <c r="B72" s="812">
        <f>+B67-B69-B70</f>
        <v>86086.821512829629</v>
      </c>
      <c r="C72" s="813"/>
      <c r="D72" s="814"/>
      <c r="E72" s="812">
        <f t="shared" ref="E72" si="110">+E67-E69-E70</f>
        <v>112450.90999823203</v>
      </c>
      <c r="F72" s="813"/>
      <c r="G72" s="814"/>
      <c r="H72" s="812">
        <f t="shared" ref="H72" si="111">+H67-H69-H70</f>
        <v>40691.384984325618</v>
      </c>
      <c r="I72" s="813"/>
      <c r="J72" s="814"/>
      <c r="K72" s="812">
        <f t="shared" ref="K72" si="112">+K67-K69-K70</f>
        <v>145497.78870600142</v>
      </c>
      <c r="L72" s="813"/>
      <c r="M72" s="814"/>
      <c r="N72" s="812">
        <f t="shared" ref="N72" si="113">+N67-N69-N70</f>
        <v>174466.5132684533</v>
      </c>
      <c r="O72" s="813"/>
      <c r="P72" s="814"/>
      <c r="Q72" s="812">
        <f t="shared" ref="Q72" si="114">+Q67-Q69-Q70</f>
        <v>-46964.460105923179</v>
      </c>
      <c r="R72" s="813"/>
      <c r="S72" s="814"/>
      <c r="T72" s="812">
        <f t="shared" ref="T72" si="115">+T67-T69-T70</f>
        <v>512228.95836391905</v>
      </c>
      <c r="U72" s="813"/>
      <c r="V72" s="814"/>
    </row>
    <row r="76" spans="1:22" x14ac:dyDescent="0.35">
      <c r="A76" t="s">
        <v>70</v>
      </c>
    </row>
    <row r="77" spans="1:22" x14ac:dyDescent="0.35">
      <c r="C77" s="25" t="s">
        <v>36</v>
      </c>
      <c r="F77" s="25" t="s">
        <v>36</v>
      </c>
      <c r="I77" s="25" t="s">
        <v>36</v>
      </c>
      <c r="L77" s="25" t="s">
        <v>36</v>
      </c>
      <c r="O77" s="25" t="s">
        <v>36</v>
      </c>
      <c r="R77" s="25" t="s">
        <v>36</v>
      </c>
      <c r="U77" s="25" t="s">
        <v>36</v>
      </c>
    </row>
    <row r="78" spans="1:22" x14ac:dyDescent="0.35">
      <c r="A78" t="s">
        <v>38</v>
      </c>
    </row>
    <row r="79" spans="1:22" x14ac:dyDescent="0.35">
      <c r="A79" t="s">
        <v>7</v>
      </c>
    </row>
    <row r="80" spans="1:22" x14ac:dyDescent="0.35">
      <c r="A80" t="s">
        <v>39</v>
      </c>
    </row>
  </sheetData>
  <mergeCells count="252">
    <mergeCell ref="T72:V72"/>
    <mergeCell ref="B72:D72"/>
    <mergeCell ref="E72:G72"/>
    <mergeCell ref="H72:J72"/>
    <mergeCell ref="K72:M72"/>
    <mergeCell ref="N72:P72"/>
    <mergeCell ref="Q72:S72"/>
    <mergeCell ref="T69:V69"/>
    <mergeCell ref="B70:D70"/>
    <mergeCell ref="E70:G70"/>
    <mergeCell ref="H70:J70"/>
    <mergeCell ref="K70:M70"/>
    <mergeCell ref="N70:P70"/>
    <mergeCell ref="Q70:S70"/>
    <mergeCell ref="T70:V70"/>
    <mergeCell ref="B69:D69"/>
    <mergeCell ref="E69:G69"/>
    <mergeCell ref="H69:J69"/>
    <mergeCell ref="K69:M69"/>
    <mergeCell ref="N69:P69"/>
    <mergeCell ref="Q69:S69"/>
    <mergeCell ref="T65:V65"/>
    <mergeCell ref="B67:D67"/>
    <mergeCell ref="E67:G67"/>
    <mergeCell ref="H67:J67"/>
    <mergeCell ref="K67:M67"/>
    <mergeCell ref="N67:P67"/>
    <mergeCell ref="Q67:S67"/>
    <mergeCell ref="T67:V67"/>
    <mergeCell ref="B65:D65"/>
    <mergeCell ref="E65:G65"/>
    <mergeCell ref="H65:J65"/>
    <mergeCell ref="K65:M65"/>
    <mergeCell ref="N65:P65"/>
    <mergeCell ref="Q65:S65"/>
    <mergeCell ref="T61:V61"/>
    <mergeCell ref="B63:D63"/>
    <mergeCell ref="E63:G63"/>
    <mergeCell ref="H63:J63"/>
    <mergeCell ref="K63:M63"/>
    <mergeCell ref="N63:P63"/>
    <mergeCell ref="Q63:S63"/>
    <mergeCell ref="T63:V63"/>
    <mergeCell ref="B61:D61"/>
    <mergeCell ref="E61:G61"/>
    <mergeCell ref="H61:J61"/>
    <mergeCell ref="K61:M61"/>
    <mergeCell ref="N61:P61"/>
    <mergeCell ref="Q61:S61"/>
    <mergeCell ref="T59:V59"/>
    <mergeCell ref="B60:D60"/>
    <mergeCell ref="E60:G60"/>
    <mergeCell ref="H60:J60"/>
    <mergeCell ref="K60:M60"/>
    <mergeCell ref="N60:P60"/>
    <mergeCell ref="Q60:S60"/>
    <mergeCell ref="T60:V60"/>
    <mergeCell ref="B59:D59"/>
    <mergeCell ref="E59:G59"/>
    <mergeCell ref="H59:J59"/>
    <mergeCell ref="K59:M59"/>
    <mergeCell ref="N59:P59"/>
    <mergeCell ref="Q59:S59"/>
    <mergeCell ref="T57:V57"/>
    <mergeCell ref="B58:D58"/>
    <mergeCell ref="E58:G58"/>
    <mergeCell ref="H58:J58"/>
    <mergeCell ref="K58:M58"/>
    <mergeCell ref="N58:P58"/>
    <mergeCell ref="Q58:S58"/>
    <mergeCell ref="T58:V58"/>
    <mergeCell ref="B57:D57"/>
    <mergeCell ref="E57:G57"/>
    <mergeCell ref="H57:J57"/>
    <mergeCell ref="K57:M57"/>
    <mergeCell ref="N57:P57"/>
    <mergeCell ref="Q57:S57"/>
    <mergeCell ref="T55:V55"/>
    <mergeCell ref="B56:D56"/>
    <mergeCell ref="E56:G56"/>
    <mergeCell ref="H56:J56"/>
    <mergeCell ref="K56:M56"/>
    <mergeCell ref="N56:P56"/>
    <mergeCell ref="Q56:S56"/>
    <mergeCell ref="T56:V56"/>
    <mergeCell ref="B55:D55"/>
    <mergeCell ref="E55:G55"/>
    <mergeCell ref="H55:J55"/>
    <mergeCell ref="K55:M55"/>
    <mergeCell ref="N55:P55"/>
    <mergeCell ref="Q55:S55"/>
    <mergeCell ref="T52:V52"/>
    <mergeCell ref="B53:D53"/>
    <mergeCell ref="E53:G53"/>
    <mergeCell ref="H53:J53"/>
    <mergeCell ref="K53:M53"/>
    <mergeCell ref="N53:P53"/>
    <mergeCell ref="Q53:S53"/>
    <mergeCell ref="T53:V53"/>
    <mergeCell ref="B52:D52"/>
    <mergeCell ref="E52:G52"/>
    <mergeCell ref="H52:J52"/>
    <mergeCell ref="K52:M52"/>
    <mergeCell ref="N52:P52"/>
    <mergeCell ref="Q52:S52"/>
    <mergeCell ref="T50:V50"/>
    <mergeCell ref="B51:D51"/>
    <mergeCell ref="E51:G51"/>
    <mergeCell ref="H51:J51"/>
    <mergeCell ref="K51:M51"/>
    <mergeCell ref="N51:P51"/>
    <mergeCell ref="Q51:S51"/>
    <mergeCell ref="T51:V51"/>
    <mergeCell ref="B50:D50"/>
    <mergeCell ref="E50:G50"/>
    <mergeCell ref="H50:J50"/>
    <mergeCell ref="K50:M50"/>
    <mergeCell ref="N50:P50"/>
    <mergeCell ref="Q50:S50"/>
    <mergeCell ref="T48:V48"/>
    <mergeCell ref="B49:D49"/>
    <mergeCell ref="E49:G49"/>
    <mergeCell ref="H49:J49"/>
    <mergeCell ref="K49:M49"/>
    <mergeCell ref="N49:P49"/>
    <mergeCell ref="Q49:S49"/>
    <mergeCell ref="T49:V49"/>
    <mergeCell ref="B48:D48"/>
    <mergeCell ref="E48:G48"/>
    <mergeCell ref="H48:J48"/>
    <mergeCell ref="K48:M48"/>
    <mergeCell ref="N48:P48"/>
    <mergeCell ref="Q48:S48"/>
    <mergeCell ref="T46:V46"/>
    <mergeCell ref="B47:D47"/>
    <mergeCell ref="E47:G47"/>
    <mergeCell ref="H47:J47"/>
    <mergeCell ref="K47:M47"/>
    <mergeCell ref="N47:P47"/>
    <mergeCell ref="Q47:S47"/>
    <mergeCell ref="T47:V47"/>
    <mergeCell ref="B46:D46"/>
    <mergeCell ref="E46:G46"/>
    <mergeCell ref="H46:J46"/>
    <mergeCell ref="K46:M46"/>
    <mergeCell ref="N46:P46"/>
    <mergeCell ref="Q46:S46"/>
    <mergeCell ref="T43:V43"/>
    <mergeCell ref="B44:D44"/>
    <mergeCell ref="E44:G44"/>
    <mergeCell ref="H44:J44"/>
    <mergeCell ref="K44:M44"/>
    <mergeCell ref="N44:P44"/>
    <mergeCell ref="Q44:S44"/>
    <mergeCell ref="T44:V44"/>
    <mergeCell ref="B43:D43"/>
    <mergeCell ref="E43:G43"/>
    <mergeCell ref="H43:J43"/>
    <mergeCell ref="K43:M43"/>
    <mergeCell ref="N43:P43"/>
    <mergeCell ref="Q43:S43"/>
    <mergeCell ref="T41:V41"/>
    <mergeCell ref="B42:D42"/>
    <mergeCell ref="E42:G42"/>
    <mergeCell ref="H42:J42"/>
    <mergeCell ref="K42:M42"/>
    <mergeCell ref="N42:P42"/>
    <mergeCell ref="Q42:S42"/>
    <mergeCell ref="T42:V42"/>
    <mergeCell ref="B41:D41"/>
    <mergeCell ref="E41:G41"/>
    <mergeCell ref="H41:J41"/>
    <mergeCell ref="K41:M41"/>
    <mergeCell ref="N41:P41"/>
    <mergeCell ref="Q41:S41"/>
    <mergeCell ref="T39:V39"/>
    <mergeCell ref="B40:D40"/>
    <mergeCell ref="E40:G40"/>
    <mergeCell ref="H40:J40"/>
    <mergeCell ref="K40:M40"/>
    <mergeCell ref="N40:P40"/>
    <mergeCell ref="Q40:S40"/>
    <mergeCell ref="T40:V40"/>
    <mergeCell ref="B39:D39"/>
    <mergeCell ref="E39:G39"/>
    <mergeCell ref="H39:J39"/>
    <mergeCell ref="K39:M39"/>
    <mergeCell ref="N39:P39"/>
    <mergeCell ref="Q39:S39"/>
    <mergeCell ref="T35:V35"/>
    <mergeCell ref="B38:D38"/>
    <mergeCell ref="E38:G38"/>
    <mergeCell ref="H38:J38"/>
    <mergeCell ref="K38:M38"/>
    <mergeCell ref="N38:P38"/>
    <mergeCell ref="Q38:S38"/>
    <mergeCell ref="T38:V38"/>
    <mergeCell ref="B35:D35"/>
    <mergeCell ref="E35:G35"/>
    <mergeCell ref="H35:J35"/>
    <mergeCell ref="K35:M35"/>
    <mergeCell ref="N35:P35"/>
    <mergeCell ref="Q35:S35"/>
    <mergeCell ref="B10:D10"/>
    <mergeCell ref="E10:G10"/>
    <mergeCell ref="H10:J10"/>
    <mergeCell ref="K10:M10"/>
    <mergeCell ref="N10:P10"/>
    <mergeCell ref="Q10:S10"/>
    <mergeCell ref="B9:D9"/>
    <mergeCell ref="E9:G9"/>
    <mergeCell ref="H9:J9"/>
    <mergeCell ref="K9:M9"/>
    <mergeCell ref="N9:P9"/>
    <mergeCell ref="Q9:S9"/>
    <mergeCell ref="B8:D8"/>
    <mergeCell ref="E8:G8"/>
    <mergeCell ref="H8:J8"/>
    <mergeCell ref="K8:M8"/>
    <mergeCell ref="N8:P8"/>
    <mergeCell ref="Q8:S8"/>
    <mergeCell ref="B7:D7"/>
    <mergeCell ref="E7:G7"/>
    <mergeCell ref="H7:J7"/>
    <mergeCell ref="K7:M7"/>
    <mergeCell ref="N7:P7"/>
    <mergeCell ref="Q7:S7"/>
    <mergeCell ref="B6:D6"/>
    <mergeCell ref="E6:G6"/>
    <mergeCell ref="H6:J6"/>
    <mergeCell ref="K6:M6"/>
    <mergeCell ref="N6:P6"/>
    <mergeCell ref="Q6:S6"/>
    <mergeCell ref="B5:D5"/>
    <mergeCell ref="E5:G5"/>
    <mergeCell ref="H5:J5"/>
    <mergeCell ref="K5:M5"/>
    <mergeCell ref="N5:P5"/>
    <mergeCell ref="Q5:S5"/>
    <mergeCell ref="T1:V1"/>
    <mergeCell ref="B4:D4"/>
    <mergeCell ref="E4:G4"/>
    <mergeCell ref="H4:J4"/>
    <mergeCell ref="K4:M4"/>
    <mergeCell ref="N4:P4"/>
    <mergeCell ref="Q4:S4"/>
    <mergeCell ref="B1:D1"/>
    <mergeCell ref="E1:G1"/>
    <mergeCell ref="H1:J1"/>
    <mergeCell ref="K1:M1"/>
    <mergeCell ref="N1:P1"/>
    <mergeCell ref="Q1:S1"/>
  </mergeCells>
  <pageMargins left="0.7" right="0.7" top="0.75" bottom="0.75" header="0.3" footer="0.3"/>
  <pageSetup paperSize="5" scale="43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2:D16"/>
  <sheetViews>
    <sheetView workbookViewId="0">
      <selection activeCell="B2" sqref="B2"/>
    </sheetView>
  </sheetViews>
  <sheetFormatPr baseColWidth="10" defaultColWidth="11.453125" defaultRowHeight="14.5" x14ac:dyDescent="0.35"/>
  <sheetData>
    <row r="2" spans="1:4" x14ac:dyDescent="0.35">
      <c r="B2" s="144">
        <v>1</v>
      </c>
      <c r="C2" s="144">
        <v>1.1499999999999999</v>
      </c>
    </row>
    <row r="3" spans="1:4" x14ac:dyDescent="0.35">
      <c r="B3">
        <v>1600</v>
      </c>
      <c r="C3">
        <v>2080</v>
      </c>
    </row>
    <row r="4" spans="1:4" x14ac:dyDescent="0.35">
      <c r="B4">
        <v>1600</v>
      </c>
      <c r="C4">
        <v>2080</v>
      </c>
    </row>
    <row r="5" spans="1:4" x14ac:dyDescent="0.35">
      <c r="B5">
        <v>250</v>
      </c>
      <c r="C5">
        <v>500</v>
      </c>
    </row>
    <row r="6" spans="1:4" x14ac:dyDescent="0.35">
      <c r="B6">
        <v>250</v>
      </c>
      <c r="C6">
        <v>500</v>
      </c>
    </row>
    <row r="7" spans="1:4" x14ac:dyDescent="0.35">
      <c r="B7">
        <f>SUM(B3:B6)</f>
        <v>3700</v>
      </c>
      <c r="C7">
        <f>SUM(C3:C6)</f>
        <v>5160</v>
      </c>
    </row>
    <row r="9" spans="1:4" x14ac:dyDescent="0.35">
      <c r="B9">
        <v>0</v>
      </c>
      <c r="C9">
        <f>C7*0.5</f>
        <v>2580</v>
      </c>
    </row>
    <row r="10" spans="1:4" x14ac:dyDescent="0.35">
      <c r="C10">
        <f>C7*0.5</f>
        <v>2580</v>
      </c>
    </row>
    <row r="13" spans="1:4" x14ac:dyDescent="0.35">
      <c r="A13" t="s">
        <v>72</v>
      </c>
      <c r="B13">
        <f>0+B5++B6</f>
        <v>500</v>
      </c>
    </row>
    <row r="14" spans="1:4" x14ac:dyDescent="0.35">
      <c r="A14" t="s">
        <v>117</v>
      </c>
      <c r="C14">
        <f>C3+C4+B5+B6</f>
        <v>4660</v>
      </c>
    </row>
    <row r="15" spans="1:4" x14ac:dyDescent="0.35">
      <c r="B15">
        <v>0.5</v>
      </c>
      <c r="C15">
        <v>0.5</v>
      </c>
    </row>
    <row r="16" spans="1:4" x14ac:dyDescent="0.35">
      <c r="B16" s="145">
        <f>B15*B13</f>
        <v>250</v>
      </c>
      <c r="C16" s="145">
        <f>C15*C14</f>
        <v>2330</v>
      </c>
      <c r="D16" s="145">
        <f>SUM(B16:C16)</f>
        <v>2580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B1:L1009"/>
  <sheetViews>
    <sheetView workbookViewId="0">
      <selection activeCell="D39" sqref="D39"/>
    </sheetView>
  </sheetViews>
  <sheetFormatPr baseColWidth="10" defaultColWidth="14.453125" defaultRowHeight="15" customHeight="1" x14ac:dyDescent="0.25"/>
  <cols>
    <col min="1" max="1" width="14.453125" style="51"/>
    <col min="2" max="2" width="77.26953125" style="51" customWidth="1"/>
    <col min="3" max="3" width="13.81640625" style="51" customWidth="1"/>
    <col min="4" max="5" width="12.81640625" style="51" customWidth="1"/>
    <col min="6" max="6" width="8" style="51" customWidth="1"/>
    <col min="7" max="7" width="10" style="51" customWidth="1"/>
    <col min="8" max="8" width="11.453125" style="51" customWidth="1"/>
    <col min="9" max="9" width="13.1796875" style="51" customWidth="1"/>
    <col min="10" max="10" width="13.26953125" style="51" customWidth="1"/>
    <col min="11" max="25" width="10" style="51" customWidth="1"/>
    <col min="26" max="16384" width="14.453125" style="51"/>
  </cols>
  <sheetData>
    <row r="1" spans="2:12" ht="12.75" customHeight="1" x14ac:dyDescent="0.3">
      <c r="B1" s="826" t="s">
        <v>81</v>
      </c>
      <c r="C1" s="798"/>
      <c r="D1" s="798"/>
      <c r="E1" s="798"/>
      <c r="F1" s="798"/>
      <c r="G1" s="50"/>
    </row>
    <row r="2" spans="2:12" ht="12.75" customHeight="1" x14ac:dyDescent="0.3">
      <c r="B2" s="826" t="s">
        <v>104</v>
      </c>
      <c r="C2" s="798"/>
      <c r="D2" s="798"/>
      <c r="E2" s="798"/>
      <c r="F2" s="798"/>
      <c r="G2" s="50"/>
    </row>
    <row r="3" spans="2:12" ht="12.75" customHeight="1" x14ac:dyDescent="0.25"/>
    <row r="4" spans="2:12" ht="12.75" customHeight="1" x14ac:dyDescent="0.25">
      <c r="C4" s="52"/>
      <c r="E4" s="52"/>
      <c r="F4" s="52"/>
    </row>
    <row r="5" spans="2:12" ht="12.75" customHeight="1" x14ac:dyDescent="0.25">
      <c r="F5" s="52"/>
    </row>
    <row r="6" spans="2:12" ht="17.25" customHeight="1" x14ac:dyDescent="0.4">
      <c r="B6" s="53" t="s">
        <v>82</v>
      </c>
      <c r="C6" s="52"/>
      <c r="E6" s="52"/>
      <c r="F6" s="52"/>
    </row>
    <row r="7" spans="2:12" ht="12.75" customHeight="1" x14ac:dyDescent="0.3">
      <c r="B7" s="54"/>
      <c r="C7" s="54"/>
      <c r="D7" s="50"/>
      <c r="E7" s="50"/>
      <c r="F7" s="55"/>
    </row>
    <row r="8" spans="2:12" ht="12.75" customHeight="1" x14ac:dyDescent="0.35">
      <c r="C8" s="797" t="s">
        <v>71</v>
      </c>
      <c r="D8" s="798"/>
      <c r="E8" s="798"/>
      <c r="F8" s="52"/>
      <c r="H8" s="797" t="s">
        <v>83</v>
      </c>
      <c r="I8" s="798"/>
      <c r="J8" s="798"/>
    </row>
    <row r="9" spans="2:12" ht="12.75" customHeight="1" x14ac:dyDescent="0.3">
      <c r="C9" s="56"/>
      <c r="D9" s="56"/>
      <c r="E9" s="56"/>
      <c r="F9" s="57"/>
      <c r="L9" s="51" t="s">
        <v>79</v>
      </c>
    </row>
    <row r="10" spans="2:12" ht="12.75" customHeight="1" x14ac:dyDescent="0.3">
      <c r="B10" s="98"/>
      <c r="C10" s="99" t="s">
        <v>84</v>
      </c>
      <c r="D10" s="99" t="s">
        <v>85</v>
      </c>
      <c r="E10" s="100" t="s">
        <v>80</v>
      </c>
      <c r="F10" s="101"/>
      <c r="G10" s="50"/>
      <c r="H10" s="84" t="str">
        <f t="shared" ref="H10:J10" si="0">C10</f>
        <v>95%-99.9%</v>
      </c>
      <c r="I10" s="84" t="str">
        <f t="shared" si="0"/>
        <v>100%-109.9%</v>
      </c>
      <c r="J10" s="85" t="str">
        <f t="shared" si="0"/>
        <v>110% et +</v>
      </c>
    </row>
    <row r="11" spans="2:12" ht="13" x14ac:dyDescent="0.3">
      <c r="B11" s="102" t="s">
        <v>86</v>
      </c>
      <c r="C11" s="58">
        <v>250</v>
      </c>
      <c r="D11" s="58">
        <v>500</v>
      </c>
      <c r="E11" s="63">
        <v>750</v>
      </c>
      <c r="F11" s="103"/>
      <c r="H11" s="86">
        <f t="shared" ref="H11:J11" si="1">C11*12</f>
        <v>3000</v>
      </c>
      <c r="I11" s="86">
        <f t="shared" si="1"/>
        <v>6000</v>
      </c>
      <c r="J11" s="86">
        <f t="shared" si="1"/>
        <v>9000</v>
      </c>
    </row>
    <row r="12" spans="2:12" ht="13" x14ac:dyDescent="0.3">
      <c r="B12" s="102"/>
      <c r="C12" s="58"/>
      <c r="D12" s="58" t="s">
        <v>99</v>
      </c>
      <c r="E12" s="127" t="s">
        <v>100</v>
      </c>
      <c r="F12" s="103"/>
      <c r="H12" s="86"/>
      <c r="I12" s="86"/>
      <c r="J12" s="86"/>
    </row>
    <row r="13" spans="2:12" ht="13" x14ac:dyDescent="0.3">
      <c r="B13" s="104" t="s">
        <v>97</v>
      </c>
      <c r="C13" s="64" t="s">
        <v>78</v>
      </c>
      <c r="D13" s="64">
        <v>180311.62</v>
      </c>
      <c r="E13" s="64">
        <v>254010.75</v>
      </c>
      <c r="F13" s="103"/>
      <c r="H13" s="86"/>
      <c r="I13" s="86"/>
      <c r="J13" s="86"/>
    </row>
    <row r="14" spans="2:12" ht="13" x14ac:dyDescent="0.3">
      <c r="B14" s="102"/>
      <c r="C14" s="64" t="s">
        <v>2</v>
      </c>
      <c r="D14" s="64">
        <v>296936.8987890369</v>
      </c>
      <c r="E14" s="64">
        <v>299317.73448500357</v>
      </c>
      <c r="F14" s="103"/>
      <c r="H14" s="86"/>
      <c r="I14" s="86"/>
      <c r="J14" s="86"/>
    </row>
    <row r="15" spans="2:12" ht="13" x14ac:dyDescent="0.3">
      <c r="B15" s="102"/>
      <c r="C15" s="64" t="s">
        <v>37</v>
      </c>
      <c r="D15" s="65">
        <f>D13/D14</f>
        <v>0.60723884682349627</v>
      </c>
      <c r="E15" s="65">
        <f>E13/E14</f>
        <v>0.84863247557664001</v>
      </c>
      <c r="F15" s="103"/>
      <c r="H15" s="86"/>
      <c r="I15" s="86"/>
      <c r="J15" s="86"/>
    </row>
    <row r="16" spans="2:12" ht="12.75" customHeight="1" x14ac:dyDescent="0.3">
      <c r="B16" s="105"/>
      <c r="C16" s="66" t="s">
        <v>73</v>
      </c>
      <c r="D16" s="67">
        <v>0</v>
      </c>
      <c r="E16" s="67">
        <v>0</v>
      </c>
      <c r="F16" s="106"/>
      <c r="H16" s="87"/>
      <c r="I16" s="87"/>
      <c r="J16" s="87"/>
    </row>
    <row r="17" spans="2:10" ht="12.75" customHeight="1" x14ac:dyDescent="0.3">
      <c r="B17" s="105"/>
      <c r="C17" s="68"/>
      <c r="D17" s="69"/>
      <c r="F17" s="106"/>
      <c r="H17" s="87"/>
      <c r="I17" s="87"/>
      <c r="J17" s="87"/>
    </row>
    <row r="18" spans="2:10" ht="12.75" customHeight="1" x14ac:dyDescent="0.3">
      <c r="B18" s="107"/>
      <c r="C18" s="70"/>
      <c r="D18" s="71" t="s">
        <v>87</v>
      </c>
      <c r="E18" s="72"/>
      <c r="F18" s="108"/>
      <c r="G18" s="83"/>
      <c r="H18" s="70"/>
      <c r="I18" s="71" t="s">
        <v>88</v>
      </c>
      <c r="J18" s="72"/>
    </row>
    <row r="19" spans="2:10" ht="12.75" customHeight="1" x14ac:dyDescent="0.3">
      <c r="B19" s="102" t="s">
        <v>89</v>
      </c>
      <c r="C19" s="73"/>
      <c r="D19" s="74">
        <v>250</v>
      </c>
      <c r="E19" s="73"/>
      <c r="F19" s="109"/>
      <c r="G19" s="83"/>
      <c r="H19" s="88"/>
      <c r="I19" s="89">
        <f>D19*12</f>
        <v>3000</v>
      </c>
      <c r="J19" s="88"/>
    </row>
    <row r="20" spans="2:10" ht="12.75" customHeight="1" x14ac:dyDescent="0.3">
      <c r="B20" s="102"/>
      <c r="C20" s="66" t="s">
        <v>73</v>
      </c>
      <c r="D20" s="75">
        <v>250</v>
      </c>
      <c r="E20" s="75">
        <v>250</v>
      </c>
      <c r="F20" s="109"/>
      <c r="G20" s="83"/>
      <c r="H20" s="88"/>
      <c r="I20" s="89"/>
      <c r="J20" s="88"/>
    </row>
    <row r="21" spans="2:10" ht="12.75" customHeight="1" x14ac:dyDescent="0.3">
      <c r="B21" s="102"/>
      <c r="C21" s="73"/>
      <c r="D21" s="74"/>
      <c r="E21" s="73"/>
      <c r="F21" s="109"/>
      <c r="G21" s="83"/>
      <c r="H21" s="88"/>
      <c r="I21" s="89"/>
      <c r="J21" s="88"/>
    </row>
    <row r="22" spans="2:10" ht="12.75" customHeight="1" x14ac:dyDescent="0.3">
      <c r="B22" s="102"/>
      <c r="C22" s="73"/>
      <c r="D22" s="74"/>
      <c r="E22" s="73"/>
      <c r="F22" s="109"/>
      <c r="G22" s="83"/>
      <c r="H22" s="88"/>
      <c r="I22" s="89"/>
      <c r="J22" s="88"/>
    </row>
    <row r="23" spans="2:10" ht="12.75" customHeight="1" x14ac:dyDescent="0.3">
      <c r="B23" s="102"/>
      <c r="C23" s="73"/>
      <c r="D23" s="74"/>
      <c r="E23" s="73"/>
      <c r="F23" s="109"/>
      <c r="G23" s="83"/>
      <c r="H23" s="88"/>
      <c r="I23" s="89"/>
      <c r="J23" s="88"/>
    </row>
    <row r="24" spans="2:10" ht="12.75" customHeight="1" x14ac:dyDescent="0.3">
      <c r="B24" s="105"/>
      <c r="C24" s="73"/>
      <c r="D24" s="74"/>
      <c r="E24" s="73"/>
      <c r="F24" s="109"/>
      <c r="G24" s="83"/>
      <c r="H24" s="88"/>
      <c r="I24" s="89"/>
      <c r="J24" s="88"/>
    </row>
    <row r="25" spans="2:10" ht="12.75" customHeight="1" x14ac:dyDescent="0.3">
      <c r="B25" s="102" t="s">
        <v>90</v>
      </c>
      <c r="C25" s="73"/>
      <c r="D25" s="74">
        <v>250</v>
      </c>
      <c r="E25" s="73"/>
      <c r="F25" s="109"/>
      <c r="G25" s="83"/>
      <c r="H25" s="88"/>
      <c r="I25" s="89">
        <f>D25*12</f>
        <v>3000</v>
      </c>
      <c r="J25" s="88"/>
    </row>
    <row r="26" spans="2:10" ht="12.75" customHeight="1" x14ac:dyDescent="0.3">
      <c r="B26" s="102"/>
      <c r="C26" s="66" t="s">
        <v>73</v>
      </c>
      <c r="D26" s="75">
        <v>0</v>
      </c>
      <c r="E26" s="75">
        <v>0</v>
      </c>
      <c r="F26" s="109"/>
      <c r="G26" s="83"/>
      <c r="H26" s="88"/>
      <c r="I26" s="89"/>
      <c r="J26" s="88"/>
    </row>
    <row r="27" spans="2:10" ht="12.75" customHeight="1" x14ac:dyDescent="0.3">
      <c r="B27" s="102"/>
      <c r="C27" s="73"/>
      <c r="D27" s="74"/>
      <c r="E27" s="73"/>
      <c r="F27" s="109"/>
      <c r="G27" s="83"/>
      <c r="H27" s="88"/>
      <c r="I27" s="89"/>
      <c r="J27" s="88"/>
    </row>
    <row r="28" spans="2:10" ht="12.75" customHeight="1" x14ac:dyDescent="0.3">
      <c r="B28" s="102"/>
      <c r="C28" s="73"/>
      <c r="D28" s="74"/>
      <c r="E28" s="73"/>
      <c r="F28" s="109"/>
      <c r="G28" s="83"/>
      <c r="H28" s="88"/>
      <c r="I28" s="89"/>
      <c r="J28" s="88"/>
    </row>
    <row r="29" spans="2:10" ht="12.75" customHeight="1" x14ac:dyDescent="0.3">
      <c r="B29" s="110"/>
      <c r="C29" s="56"/>
      <c r="D29" s="56"/>
      <c r="E29" s="56"/>
      <c r="F29" s="109"/>
      <c r="G29" s="83"/>
      <c r="H29" s="74"/>
      <c r="I29" s="74"/>
      <c r="J29" s="74"/>
    </row>
    <row r="30" spans="2:10" ht="12.75" customHeight="1" x14ac:dyDescent="0.3">
      <c r="B30" s="110"/>
      <c r="C30" s="76" t="s">
        <v>91</v>
      </c>
      <c r="D30" s="76" t="s">
        <v>85</v>
      </c>
      <c r="E30" s="77" t="s">
        <v>80</v>
      </c>
      <c r="F30" s="109"/>
      <c r="G30" s="83"/>
      <c r="H30" s="76" t="s">
        <v>91</v>
      </c>
      <c r="I30" s="76" t="s">
        <v>85</v>
      </c>
      <c r="J30" s="77" t="s">
        <v>80</v>
      </c>
    </row>
    <row r="31" spans="2:10" ht="12.75" customHeight="1" x14ac:dyDescent="0.3">
      <c r="B31" s="102" t="s">
        <v>92</v>
      </c>
      <c r="C31" s="78" t="s">
        <v>93</v>
      </c>
      <c r="D31" s="79">
        <v>0.02</v>
      </c>
      <c r="E31" s="78" t="s">
        <v>94</v>
      </c>
      <c r="F31" s="108"/>
      <c r="G31" s="56"/>
      <c r="H31" s="74">
        <f>SUM((B33*0.9)*0.0018)*12</f>
        <v>3620.9138400000002</v>
      </c>
      <c r="I31" s="74">
        <f>B33*(2%)</f>
        <v>3725.2200000000003</v>
      </c>
      <c r="J31" s="74">
        <f>SUM((B33*1.1)*0.0025)*12</f>
        <v>6146.6130000000003</v>
      </c>
    </row>
    <row r="32" spans="2:10" ht="12.75" customHeight="1" x14ac:dyDescent="0.3">
      <c r="B32" s="102"/>
      <c r="C32" s="78"/>
      <c r="D32" s="79"/>
      <c r="E32" s="78"/>
      <c r="F32" s="108"/>
      <c r="G32" s="56"/>
      <c r="H32" s="74"/>
      <c r="I32" s="74"/>
      <c r="J32" s="74"/>
    </row>
    <row r="33" spans="2:10" ht="12.75" customHeight="1" x14ac:dyDescent="0.3">
      <c r="B33" s="111">
        <v>186261</v>
      </c>
      <c r="C33" s="64" t="s">
        <v>78</v>
      </c>
      <c r="D33" s="75">
        <v>944.5</v>
      </c>
      <c r="E33" s="75">
        <v>1775.17</v>
      </c>
      <c r="F33" s="108"/>
      <c r="G33" s="90"/>
      <c r="H33" s="91"/>
      <c r="I33" s="92"/>
      <c r="J33" s="92"/>
    </row>
    <row r="34" spans="2:10" ht="12.75" customHeight="1" x14ac:dyDescent="0.3">
      <c r="B34" s="107"/>
      <c r="C34" s="64" t="s">
        <v>2</v>
      </c>
      <c r="D34" s="80">
        <v>4337.6979219437035</v>
      </c>
      <c r="E34" s="80">
        <v>5352.3619328002769</v>
      </c>
      <c r="F34" s="112"/>
      <c r="G34" s="59"/>
      <c r="H34" s="93"/>
      <c r="I34" s="94">
        <f>I11+I19+I25+I31</f>
        <v>15725.220000000001</v>
      </c>
      <c r="J34" s="95"/>
    </row>
    <row r="35" spans="2:10" ht="12.75" customHeight="1" x14ac:dyDescent="0.3">
      <c r="B35" s="102"/>
      <c r="C35" s="64" t="s">
        <v>37</v>
      </c>
      <c r="D35" s="81">
        <f>D33/D34</f>
        <v>0.21774222571422716</v>
      </c>
      <c r="E35" s="81">
        <f>E33/E34</f>
        <v>0.33166105399588652</v>
      </c>
      <c r="F35" s="113"/>
      <c r="G35" s="50"/>
      <c r="H35" s="96"/>
      <c r="I35" s="96"/>
      <c r="J35" s="96"/>
    </row>
    <row r="36" spans="2:10" ht="12.75" customHeight="1" x14ac:dyDescent="0.3">
      <c r="B36" s="114"/>
      <c r="C36" s="66" t="s">
        <v>73</v>
      </c>
      <c r="D36" s="82">
        <v>0</v>
      </c>
      <c r="E36" s="82">
        <v>0</v>
      </c>
      <c r="F36" s="112"/>
    </row>
    <row r="37" spans="2:10" ht="12.75" customHeight="1" x14ac:dyDescent="0.3">
      <c r="B37" s="115"/>
      <c r="C37" s="116"/>
      <c r="D37" s="117"/>
      <c r="E37" s="117"/>
      <c r="F37" s="118"/>
    </row>
    <row r="38" spans="2:10" ht="12.75" customHeight="1" x14ac:dyDescent="0.3">
      <c r="B38" s="50"/>
      <c r="C38" s="58"/>
      <c r="D38" s="50"/>
      <c r="E38" s="50"/>
      <c r="F38" s="58"/>
    </row>
    <row r="39" spans="2:10" ht="12.75" customHeight="1" x14ac:dyDescent="0.35">
      <c r="B39" s="60"/>
      <c r="C39" s="58" t="s">
        <v>74</v>
      </c>
      <c r="D39" s="62">
        <f>D16+D20+D26+D36</f>
        <v>250</v>
      </c>
      <c r="E39" s="62">
        <f>E16+E20+E26+E36</f>
        <v>250</v>
      </c>
      <c r="F39" s="827"/>
      <c r="G39" s="798"/>
      <c r="H39" s="97">
        <f>H11+I19+I25+H31</f>
        <v>12620.913840000001</v>
      </c>
      <c r="I39" s="97">
        <f>I11+I19+I25+I31</f>
        <v>15725.220000000001</v>
      </c>
      <c r="J39" s="97">
        <f>J11+I19+I25+J31</f>
        <v>21146.613000000001</v>
      </c>
    </row>
    <row r="40" spans="2:10" ht="12.75" customHeight="1" x14ac:dyDescent="0.3">
      <c r="B40" s="60"/>
      <c r="C40" s="58"/>
      <c r="D40" s="50"/>
      <c r="E40" s="50"/>
      <c r="F40" s="58"/>
    </row>
    <row r="41" spans="2:10" ht="12.75" customHeight="1" x14ac:dyDescent="0.3">
      <c r="B41" s="60"/>
      <c r="C41" s="58"/>
      <c r="D41" s="50"/>
      <c r="E41" s="50"/>
      <c r="F41" s="58"/>
    </row>
    <row r="42" spans="2:10" ht="12.75" customHeight="1" x14ac:dyDescent="0.3">
      <c r="B42" s="60"/>
      <c r="C42" s="58"/>
      <c r="D42" s="50"/>
      <c r="E42" s="50"/>
      <c r="F42" s="58"/>
    </row>
    <row r="43" spans="2:10" ht="12.75" customHeight="1" x14ac:dyDescent="0.25"/>
    <row r="44" spans="2:10" ht="12.75" customHeight="1" x14ac:dyDescent="0.25"/>
    <row r="45" spans="2:10" ht="12.75" customHeight="1" x14ac:dyDescent="0.25"/>
    <row r="46" spans="2:10" ht="12.75" customHeight="1" x14ac:dyDescent="0.25"/>
    <row r="47" spans="2:10" ht="12.75" customHeight="1" x14ac:dyDescent="0.25"/>
    <row r="48" spans="2:10" ht="12.75" customHeight="1" x14ac:dyDescent="0.3">
      <c r="B48" s="54"/>
      <c r="C48" s="54"/>
      <c r="D48" s="50"/>
      <c r="E48" s="50"/>
      <c r="F48" s="58"/>
    </row>
    <row r="49" spans="2:6" ht="12.75" customHeight="1" x14ac:dyDescent="0.25">
      <c r="F49" s="52"/>
    </row>
    <row r="50" spans="2:6" ht="12.75" customHeight="1" x14ac:dyDescent="0.25">
      <c r="F50" s="52"/>
    </row>
    <row r="51" spans="2:6" ht="12.75" customHeight="1" x14ac:dyDescent="0.25">
      <c r="F51" s="52"/>
    </row>
    <row r="52" spans="2:6" ht="12.75" customHeight="1" x14ac:dyDescent="0.25">
      <c r="F52" s="52"/>
    </row>
    <row r="53" spans="2:6" ht="12.75" customHeight="1" x14ac:dyDescent="0.25">
      <c r="F53" s="52"/>
    </row>
    <row r="54" spans="2:6" ht="12.75" customHeight="1" x14ac:dyDescent="0.25">
      <c r="F54" s="52"/>
    </row>
    <row r="55" spans="2:6" ht="12.75" customHeight="1" x14ac:dyDescent="0.25">
      <c r="F55" s="52"/>
    </row>
    <row r="56" spans="2:6" ht="12.75" customHeight="1" x14ac:dyDescent="0.25">
      <c r="F56" s="52"/>
    </row>
    <row r="57" spans="2:6" ht="12.75" customHeight="1" x14ac:dyDescent="0.25">
      <c r="F57" s="52"/>
    </row>
    <row r="58" spans="2:6" ht="12.75" customHeight="1" x14ac:dyDescent="0.25">
      <c r="F58" s="52"/>
    </row>
    <row r="59" spans="2:6" ht="12.75" customHeight="1" x14ac:dyDescent="0.25">
      <c r="F59" s="52"/>
    </row>
    <row r="60" spans="2:6" ht="12.75" customHeight="1" x14ac:dyDescent="0.3">
      <c r="B60" s="50"/>
      <c r="C60" s="50"/>
      <c r="D60" s="50"/>
      <c r="E60" s="50"/>
      <c r="F60" s="55"/>
    </row>
    <row r="61" spans="2:6" ht="12.75" customHeight="1" x14ac:dyDescent="0.25">
      <c r="B61" s="61"/>
    </row>
    <row r="62" spans="2:6" ht="12.75" customHeight="1" x14ac:dyDescent="0.25"/>
    <row r="63" spans="2:6" ht="12.75" customHeight="1" x14ac:dyDescent="0.25"/>
    <row r="64" spans="2:6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  <row r="1001" ht="12.75" customHeight="1" x14ac:dyDescent="0.25"/>
    <row r="1002" ht="12.75" customHeight="1" x14ac:dyDescent="0.25"/>
    <row r="1003" ht="12.75" customHeight="1" x14ac:dyDescent="0.25"/>
    <row r="1004" ht="12.75" customHeight="1" x14ac:dyDescent="0.25"/>
    <row r="1005" ht="12.75" customHeight="1" x14ac:dyDescent="0.25"/>
    <row r="1006" ht="12.75" customHeight="1" x14ac:dyDescent="0.25"/>
    <row r="1007" ht="12.75" customHeight="1" x14ac:dyDescent="0.25"/>
    <row r="1008" ht="12.75" customHeight="1" x14ac:dyDescent="0.25"/>
    <row r="1009" ht="12.75" customHeight="1" x14ac:dyDescent="0.25"/>
  </sheetData>
  <mergeCells count="5">
    <mergeCell ref="B1:F1"/>
    <mergeCell ref="B2:F2"/>
    <mergeCell ref="C8:E8"/>
    <mergeCell ref="H8:J8"/>
    <mergeCell ref="F39:G39"/>
  </mergeCells>
  <pageMargins left="0.7" right="0.7" top="0.75" bottom="0.75" header="0" footer="0"/>
  <pageSetup scale="5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24</vt:i4>
      </vt:variant>
      <vt:variant>
        <vt:lpstr>Plages nommées</vt:lpstr>
      </vt:variant>
      <vt:variant>
        <vt:i4>17</vt:i4>
      </vt:variant>
    </vt:vector>
  </HeadingPairs>
  <TitlesOfParts>
    <vt:vector size="41" baseType="lpstr">
      <vt:lpstr>SOMMAIRE</vt:lpstr>
      <vt:lpstr>Kaven Bonneau v2 2024</vt:lpstr>
      <vt:lpstr>Guillaume Raymond v2 2024 </vt:lpstr>
      <vt:lpstr>Guillaume Raymond 2024</vt:lpstr>
      <vt:lpstr>Sebastien Fleury 2025</vt:lpstr>
      <vt:lpstr>Karim Noori 2024</vt:lpstr>
      <vt:lpstr>Alexandre Paradis 2025</vt:lpstr>
      <vt:lpstr>Alexandre Paradis 2025 v2</vt:lpstr>
      <vt:lpstr>Karim Noori 2025</vt:lpstr>
      <vt:lpstr>Marc-Olivier Poulin 2025</vt:lpstr>
      <vt:lpstr>Chris Ayel 2025</vt:lpstr>
      <vt:lpstr>Tommy Martel Diotte 2024</vt:lpstr>
      <vt:lpstr>Rémi Dubreuil 2025</vt:lpstr>
      <vt:lpstr>Print_Mois (2)</vt:lpstr>
      <vt:lpstr>Kaven Bonneau 2024</vt:lpstr>
      <vt:lpstr>Vincent Metayer 2023</vt:lpstr>
      <vt:lpstr>Claudia Pantalena</vt:lpstr>
      <vt:lpstr>Kaven Bonneau 2023-01 à 03</vt:lpstr>
      <vt:lpstr>Karim Noori 2023-01 seulement</vt:lpstr>
      <vt:lpstr>Simon Bénard</vt:lpstr>
      <vt:lpstr>Jean-Marc Monnier 2023</vt:lpstr>
      <vt:lpstr>H2</vt:lpstr>
      <vt:lpstr>Karim Noori (feb 22)</vt:lpstr>
      <vt:lpstr>Marie Eve Légaré</vt:lpstr>
      <vt:lpstr>'Alexandre Paradis 2025'!Zone_d_impression</vt:lpstr>
      <vt:lpstr>'Alexandre Paradis 2025 v2'!Zone_d_impression</vt:lpstr>
      <vt:lpstr>'Chris Ayel 2025'!Zone_d_impression</vt:lpstr>
      <vt:lpstr>'Claudia Pantalena'!Zone_d_impression</vt:lpstr>
      <vt:lpstr>'Guillaume Raymond 2024'!Zone_d_impression</vt:lpstr>
      <vt:lpstr>'Guillaume Raymond v2 2024 '!Zone_d_impression</vt:lpstr>
      <vt:lpstr>'Jean-Marc Monnier 2023'!Zone_d_impression</vt:lpstr>
      <vt:lpstr>'Karim Noori 2024'!Zone_d_impression</vt:lpstr>
      <vt:lpstr>'Karim Noori 2025'!Zone_d_impression</vt:lpstr>
      <vt:lpstr>'Kaven Bonneau 2024'!Zone_d_impression</vt:lpstr>
      <vt:lpstr>'Kaven Bonneau v2 2024'!Zone_d_impression</vt:lpstr>
      <vt:lpstr>'Marc-Olivier Poulin 2025'!Zone_d_impression</vt:lpstr>
      <vt:lpstr>'Print_Mois (2)'!Zone_d_impression</vt:lpstr>
      <vt:lpstr>'Rémi Dubreuil 2025'!Zone_d_impression</vt:lpstr>
      <vt:lpstr>'Sebastien Fleury 2025'!Zone_d_impression</vt:lpstr>
      <vt:lpstr>'Tommy Martel Diotte 2024'!Zone_d_impression</vt:lpstr>
      <vt:lpstr>'Vincent Metayer 2023'!Zone_d_impression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2023-05-09T16:59:03Z</cp:lastPrinted>
  <dcterms:created xsi:type="dcterms:W3CDTF">2020-07-15T19:34:26Z</dcterms:created>
  <dcterms:modified xsi:type="dcterms:W3CDTF">2025-08-11T18:28:58Z</dcterms:modified>
</cp:coreProperties>
</file>