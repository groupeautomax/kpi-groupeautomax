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6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Google Drive\Park Avenue Volkswagen\Réalisé\2017\"/>
    </mc:Choice>
  </mc:AlternateContent>
  <bookViews>
    <workbookView xWindow="0" yWindow="0" windowWidth="25200" windowHeight="11760"/>
  </bookViews>
  <sheets>
    <sheet name="VW" sheetId="4" r:id="rId1"/>
    <sheet name="Notes Paie" sheetId="5" r:id="rId2"/>
    <sheet name="Feuil1" sheetId="1" r:id="rId3"/>
  </sheets>
  <definedNames>
    <definedName name="_xlnm.Print_Area" localSheetId="0">VW!$A$246:$L$278</definedName>
    <definedName name="_xlnm.Print_Area">#REF!</definedName>
  </definedNames>
  <calcPr calcId="162913"/>
</workbook>
</file>

<file path=xl/calcChain.xml><?xml version="1.0" encoding="utf-8"?>
<calcChain xmlns="http://schemas.openxmlformats.org/spreadsheetml/2006/main">
  <c r="F137" i="4" l="1"/>
  <c r="L180" i="4"/>
  <c r="I117" i="4"/>
  <c r="D118" i="4"/>
  <c r="D117" i="4"/>
  <c r="I99" i="4"/>
  <c r="D70" i="4"/>
  <c r="C70" i="4"/>
  <c r="D61" i="4"/>
  <c r="C61" i="4"/>
  <c r="I32" i="4"/>
  <c r="E114" i="4" l="1"/>
  <c r="I106" i="4"/>
  <c r="I98" i="4"/>
  <c r="J264" i="4" l="1"/>
  <c r="F170" i="4" l="1"/>
  <c r="L198" i="4"/>
  <c r="F147" i="4"/>
  <c r="F141" i="4"/>
  <c r="F140" i="4"/>
  <c r="I16" i="4"/>
  <c r="I17" i="4"/>
  <c r="I53" i="4"/>
  <c r="L208" i="4" l="1"/>
  <c r="I85" i="4"/>
  <c r="I105" i="4" l="1"/>
  <c r="I83" i="4"/>
  <c r="O78" i="4"/>
  <c r="F190" i="4" s="1"/>
  <c r="K268" i="4" s="1"/>
  <c r="J263" i="4" l="1"/>
  <c r="J262" i="4"/>
  <c r="I80" i="4"/>
  <c r="I81" i="4"/>
  <c r="J265" i="4" l="1"/>
  <c r="F138" i="4" l="1"/>
  <c r="F139" i="4"/>
  <c r="H108" i="4"/>
  <c r="F108" i="4"/>
  <c r="E108" i="4"/>
  <c r="D108" i="4"/>
  <c r="C108" i="4"/>
  <c r="K108" i="4"/>
  <c r="L108" i="4"/>
  <c r="I37" i="4"/>
  <c r="I22" i="4"/>
  <c r="L190" i="4" l="1"/>
  <c r="L136" i="4"/>
  <c r="L203" i="4"/>
  <c r="I43" i="4"/>
  <c r="I29" i="4"/>
  <c r="O92" i="4" l="1"/>
  <c r="O54" i="4"/>
  <c r="L137" i="4" s="1"/>
  <c r="I50" i="4"/>
  <c r="I28" i="4" l="1"/>
  <c r="L188" i="4" l="1"/>
  <c r="L184" i="4"/>
  <c r="L211" i="4" l="1"/>
  <c r="F169" i="4" l="1"/>
  <c r="F160" i="4" l="1"/>
  <c r="I104" i="4"/>
  <c r="I75" i="4"/>
  <c r="I27" i="4" l="1"/>
  <c r="I34" i="4" l="1"/>
  <c r="L201" i="4" l="1"/>
  <c r="L212" i="4" l="1"/>
  <c r="I61" i="4" l="1"/>
  <c r="I26" i="4"/>
  <c r="F187" i="4" l="1"/>
  <c r="L204" i="4"/>
  <c r="L191" i="4"/>
  <c r="I84" i="4"/>
  <c r="I25" i="4"/>
  <c r="I42" i="4" l="1"/>
  <c r="L195" i="4" l="1"/>
  <c r="I33" i="4" l="1"/>
  <c r="I79" i="4" l="1"/>
  <c r="I82" i="4"/>
  <c r="I86" i="4"/>
  <c r="I74" i="4"/>
  <c r="L206" i="4" l="1"/>
  <c r="I52" i="4" l="1"/>
  <c r="L181" i="4" l="1"/>
  <c r="I18" i="4"/>
  <c r="L197" i="4" l="1"/>
  <c r="L225" i="4" l="1"/>
  <c r="L187" i="4" l="1"/>
  <c r="L186" i="4"/>
  <c r="F233" i="4" l="1"/>
  <c r="I24" i="4"/>
  <c r="F234" i="4" l="1"/>
  <c r="L224" i="4"/>
  <c r="F235" i="4" l="1"/>
  <c r="I231" i="4"/>
  <c r="K228" i="4"/>
  <c r="L233" i="4" s="1"/>
  <c r="I103" i="4" l="1"/>
  <c r="F144" i="4"/>
  <c r="I72" i="4"/>
  <c r="I73" i="4"/>
  <c r="I71" i="4" l="1"/>
  <c r="I12" i="4" l="1"/>
  <c r="I13" i="4"/>
  <c r="I14" i="4"/>
  <c r="I15" i="4"/>
  <c r="I19" i="4"/>
  <c r="I20" i="4"/>
  <c r="I21" i="4"/>
  <c r="I23" i="4"/>
  <c r="I30" i="4"/>
  <c r="I31" i="4"/>
  <c r="I35" i="4"/>
  <c r="I36" i="4"/>
  <c r="F151" i="4" l="1"/>
  <c r="F150" i="4"/>
  <c r="F165" i="4"/>
  <c r="F164" i="4"/>
  <c r="F154" i="4"/>
  <c r="F153" i="4"/>
  <c r="I56" i="4"/>
  <c r="L210" i="4" l="1"/>
  <c r="I45" i="4" l="1"/>
  <c r="I70" i="4" l="1"/>
  <c r="F168" i="4" l="1"/>
  <c r="F143" i="4" l="1"/>
  <c r="L185" i="4" l="1"/>
  <c r="L135" i="4" l="1"/>
  <c r="I67" i="4"/>
  <c r="F167" i="4" l="1"/>
  <c r="I69" i="4"/>
  <c r="I68" i="4" l="1"/>
  <c r="L207" i="4" l="1"/>
  <c r="L205" i="4" l="1"/>
  <c r="F142" i="4" l="1"/>
  <c r="L202" i="4" l="1"/>
  <c r="I62" i="4" l="1"/>
  <c r="I57" i="4"/>
  <c r="F152" i="4" s="1"/>
  <c r="I44" i="4" l="1"/>
  <c r="I51" i="4" l="1"/>
  <c r="I54" i="4"/>
  <c r="I55" i="4"/>
  <c r="F157" i="4" l="1"/>
  <c r="L160" i="4"/>
  <c r="L159" i="4"/>
  <c r="F136" i="4" l="1"/>
  <c r="F135" i="4"/>
  <c r="L189" i="4" l="1"/>
  <c r="L209" i="4"/>
  <c r="F146" i="4" l="1"/>
  <c r="I93" i="4" l="1"/>
  <c r="F163" i="4" s="1"/>
  <c r="J258" i="4" l="1"/>
  <c r="I7" i="4" l="1"/>
  <c r="I8" i="4"/>
  <c r="E118" i="4" l="1"/>
  <c r="K259" i="4" l="1"/>
  <c r="L155" i="4"/>
  <c r="F205" i="4"/>
  <c r="L139" i="4"/>
  <c r="L179" i="4"/>
  <c r="L196" i="4"/>
  <c r="I6" i="4"/>
  <c r="I48" i="4"/>
  <c r="F145" i="4" s="1"/>
  <c r="I49" i="4"/>
  <c r="J271" i="4"/>
  <c r="K274" i="4"/>
  <c r="G108" i="4"/>
  <c r="F148" i="4" s="1"/>
  <c r="J108" i="4"/>
  <c r="F171" i="4"/>
  <c r="M108" i="4"/>
  <c r="F173" i="4" s="1"/>
  <c r="N108" i="4"/>
  <c r="F149" i="4" s="1"/>
  <c r="I65" i="4"/>
  <c r="I66" i="4"/>
  <c r="I92" i="4"/>
  <c r="F162" i="4" s="1"/>
  <c r="I97" i="4"/>
  <c r="L170" i="4"/>
  <c r="L169" i="4"/>
  <c r="I40" i="4"/>
  <c r="L183" i="4"/>
  <c r="L200" i="4"/>
  <c r="I11" i="4"/>
  <c r="I64" i="4"/>
  <c r="I87" i="4"/>
  <c r="F158" i="4" s="1"/>
  <c r="I41" i="4"/>
  <c r="I46" i="4"/>
  <c r="L199" i="4"/>
  <c r="L143" i="4"/>
  <c r="J525" i="4"/>
  <c r="J524" i="4"/>
  <c r="K520" i="4"/>
  <c r="J519" i="4"/>
  <c r="J518" i="4"/>
  <c r="J517" i="4"/>
  <c r="J516" i="4"/>
  <c r="J515" i="4"/>
  <c r="J514" i="4"/>
  <c r="K504" i="4"/>
  <c r="F504" i="4"/>
  <c r="K501" i="4"/>
  <c r="J494" i="4"/>
  <c r="J493" i="4"/>
  <c r="K489" i="4"/>
  <c r="J488" i="4"/>
  <c r="J487" i="4"/>
  <c r="J486" i="4"/>
  <c r="J485" i="4"/>
  <c r="J484" i="4"/>
  <c r="J483" i="4"/>
  <c r="J482" i="4"/>
  <c r="K472" i="4"/>
  <c r="F472" i="4"/>
  <c r="A465" i="4"/>
  <c r="J461" i="4"/>
  <c r="J460" i="4"/>
  <c r="K457" i="4"/>
  <c r="J456" i="4"/>
  <c r="J455" i="4"/>
  <c r="J454" i="4"/>
  <c r="J453" i="4"/>
  <c r="J452" i="4"/>
  <c r="J451" i="4"/>
  <c r="J438" i="4"/>
  <c r="F438" i="4"/>
  <c r="A430" i="4"/>
  <c r="J427" i="4"/>
  <c r="J426" i="4"/>
  <c r="A425" i="4"/>
  <c r="A459" i="4" s="1"/>
  <c r="K422" i="4"/>
  <c r="J421" i="4"/>
  <c r="J420" i="4"/>
  <c r="J419" i="4"/>
  <c r="J418" i="4"/>
  <c r="J417" i="4"/>
  <c r="J416" i="4"/>
  <c r="J403" i="4"/>
  <c r="F403" i="4"/>
  <c r="J389" i="4"/>
  <c r="J388" i="4"/>
  <c r="K384" i="4"/>
  <c r="J383" i="4"/>
  <c r="J382" i="4"/>
  <c r="J381" i="4"/>
  <c r="J380" i="4"/>
  <c r="J379" i="4"/>
  <c r="J378" i="4"/>
  <c r="K365" i="4"/>
  <c r="F365" i="4"/>
  <c r="J351" i="4"/>
  <c r="J350" i="4"/>
  <c r="K346" i="4"/>
  <c r="J345" i="4"/>
  <c r="J344" i="4"/>
  <c r="J343" i="4"/>
  <c r="J342" i="4"/>
  <c r="J341" i="4"/>
  <c r="J340" i="4"/>
  <c r="J326" i="4"/>
  <c r="F326" i="4"/>
  <c r="K319" i="4"/>
  <c r="K299" i="4"/>
  <c r="J297" i="4"/>
  <c r="J296" i="4"/>
  <c r="J295" i="4"/>
  <c r="J294" i="4"/>
  <c r="J293" i="4"/>
  <c r="J292" i="4"/>
  <c r="K282" i="4"/>
  <c r="F282" i="4"/>
  <c r="K246" i="4"/>
  <c r="G246" i="4"/>
  <c r="F214" i="4"/>
  <c r="F209" i="4"/>
  <c r="F208" i="4"/>
  <c r="F193" i="4"/>
  <c r="L157" i="4"/>
  <c r="L154" i="4"/>
  <c r="L149" i="4"/>
  <c r="L145" i="4"/>
  <c r="L144" i="4"/>
  <c r="K135" i="4"/>
  <c r="L148" i="4"/>
  <c r="I102" i="4"/>
  <c r="F155" i="4" s="1"/>
  <c r="J465" i="4"/>
  <c r="J466" i="4" s="1"/>
  <c r="I100" i="4"/>
  <c r="I96" i="4"/>
  <c r="I91" i="4"/>
  <c r="I90" i="4"/>
  <c r="I78" i="4"/>
  <c r="I63" i="4"/>
  <c r="L182" i="4"/>
  <c r="I59" i="4"/>
  <c r="K313" i="4"/>
  <c r="F206" i="4"/>
  <c r="F207" i="4"/>
  <c r="I60" i="4"/>
  <c r="I58" i="4"/>
  <c r="J312" i="4"/>
  <c r="F166" i="4" l="1"/>
  <c r="I108" i="4"/>
  <c r="K120" i="4" s="1"/>
  <c r="F161" i="4"/>
  <c r="F204" i="4"/>
  <c r="F196" i="4"/>
  <c r="L120" i="4"/>
  <c r="F203" i="4"/>
  <c r="F199" i="4"/>
  <c r="J273" i="4"/>
  <c r="J272" i="4"/>
  <c r="F195" i="4"/>
  <c r="J316" i="4"/>
  <c r="J529" i="4"/>
  <c r="J530" i="4" s="1"/>
  <c r="F197" i="4"/>
  <c r="J354" i="4"/>
  <c r="F194" i="4"/>
  <c r="J430" i="4"/>
  <c r="J431" i="4" s="1"/>
  <c r="F198" i="4"/>
  <c r="J498" i="4"/>
  <c r="J392" i="4"/>
  <c r="L147" i="4"/>
  <c r="J467" i="4"/>
  <c r="O108" i="4"/>
  <c r="L214" i="4"/>
  <c r="F172" i="4"/>
  <c r="F201" i="4" l="1"/>
  <c r="C121" i="4"/>
  <c r="J432" i="4"/>
  <c r="F202" i="4"/>
  <c r="J356" i="4"/>
  <c r="J355" i="4"/>
  <c r="J531" i="4"/>
  <c r="J318" i="4"/>
  <c r="J317" i="4"/>
  <c r="F200" i="4"/>
  <c r="J393" i="4"/>
  <c r="J394" i="4"/>
  <c r="J500" i="4"/>
  <c r="J499" i="4"/>
  <c r="M120" i="4" l="1"/>
  <c r="N120" i="4" s="1"/>
  <c r="L150" i="4" s="1"/>
  <c r="L151" i="4"/>
  <c r="L153" i="4"/>
  <c r="L152" i="4"/>
  <c r="F216" i="4"/>
  <c r="L216" i="4" l="1"/>
  <c r="H220" i="4" s="1"/>
</calcChain>
</file>

<file path=xl/sharedStrings.xml><?xml version="1.0" encoding="utf-8"?>
<sst xmlns="http://schemas.openxmlformats.org/spreadsheetml/2006/main" count="734" uniqueCount="375">
  <si>
    <t xml:space="preserve">VW </t>
  </si>
  <si>
    <t xml:space="preserve">PAIE # : </t>
  </si>
  <si>
    <t>(CADRES)</t>
  </si>
  <si>
    <t>PAYEE:</t>
  </si>
  <si>
    <t>SOMMAIRE DE LA PAIE</t>
  </si>
  <si>
    <t>#</t>
  </si>
  <si>
    <t>NOM</t>
  </si>
  <si>
    <t>SAL.</t>
  </si>
  <si>
    <t>O.T.</t>
  </si>
  <si>
    <t>COMM</t>
  </si>
  <si>
    <t>AVAN</t>
  </si>
  <si>
    <t>TRIMEST</t>
  </si>
  <si>
    <t>BONI</t>
  </si>
  <si>
    <t>TOTAL</t>
  </si>
  <si>
    <t>FORM</t>
  </si>
  <si>
    <t>VAC.</t>
  </si>
  <si>
    <t>FERIE</t>
  </si>
  <si>
    <t>MAL.</t>
  </si>
  <si>
    <t>CSI</t>
  </si>
  <si>
    <t>DEMO</t>
  </si>
  <si>
    <t>VENTES NEUFS</t>
  </si>
  <si>
    <t>BAILLARGEON,Y</t>
  </si>
  <si>
    <t>NADEAU PIERRE</t>
  </si>
  <si>
    <t>VENTES USAGES</t>
  </si>
  <si>
    <t>SERVICE</t>
  </si>
  <si>
    <t>VALLERAND,A</t>
  </si>
  <si>
    <t>CLAEYS, D.</t>
  </si>
  <si>
    <t>GENEST, PL</t>
  </si>
  <si>
    <t>MARCIL, G</t>
  </si>
  <si>
    <t>BOUTIN, R.</t>
  </si>
  <si>
    <t>FORGET F</t>
  </si>
  <si>
    <t>LAM E</t>
  </si>
  <si>
    <t>CHANA G</t>
  </si>
  <si>
    <t>PIÈCES</t>
  </si>
  <si>
    <t>CIARLO, M.</t>
  </si>
  <si>
    <t>BONI AUDI</t>
  </si>
  <si>
    <t>CARROSSERIE</t>
  </si>
  <si>
    <t>DEMERS P</t>
  </si>
  <si>
    <t>TRANSPORT</t>
  </si>
  <si>
    <t xml:space="preserve"> </t>
  </si>
  <si>
    <t>RÉCEPTIONISTES</t>
  </si>
  <si>
    <t>DEDUCTIONS</t>
  </si>
  <si>
    <t>I. FED</t>
  </si>
  <si>
    <t>I. PRO</t>
  </si>
  <si>
    <t>RRQ</t>
  </si>
  <si>
    <t>FSS</t>
  </si>
  <si>
    <t>A.E.</t>
  </si>
  <si>
    <t>RQAP</t>
  </si>
  <si>
    <t>CENTR</t>
  </si>
  <si>
    <t>EMPLOYE</t>
  </si>
  <si>
    <t>EMPLOYEUR</t>
  </si>
  <si>
    <t>TOTAUX DE CONTROLE</t>
  </si>
  <si>
    <t>ASS.GR.</t>
  </si>
  <si>
    <t>COM.PAR</t>
  </si>
  <si>
    <t>CL.SOC</t>
  </si>
  <si>
    <t>ASS DEM</t>
  </si>
  <si>
    <t>CSST</t>
  </si>
  <si>
    <t>REERST</t>
  </si>
  <si>
    <t>PAIE</t>
  </si>
  <si>
    <t>DEDUC</t>
  </si>
  <si>
    <t>AUTRES</t>
  </si>
  <si>
    <t>TRANSF</t>
  </si>
  <si>
    <t>BRUTE</t>
  </si>
  <si>
    <t>GOUV.</t>
  </si>
  <si>
    <t>BANK</t>
  </si>
  <si>
    <t>DEMOS</t>
  </si>
  <si>
    <t>UNIFOR</t>
  </si>
  <si>
    <t>DU EMP</t>
  </si>
  <si>
    <t>FRAIS</t>
  </si>
  <si>
    <t>TPS</t>
  </si>
  <si>
    <t>TVQ</t>
  </si>
  <si>
    <t>PARK AVENUE VOLKSWAGEN</t>
  </si>
  <si>
    <t>DESCRIPTION</t>
  </si>
  <si>
    <t>CLIENT</t>
  </si>
  <si>
    <t>FACT</t>
  </si>
  <si>
    <t># G.L.</t>
  </si>
  <si>
    <t>$ DEBIT</t>
  </si>
  <si>
    <t>$ CREDIT</t>
  </si>
  <si>
    <t>SALAIRE PROPRIO VOLKS</t>
  </si>
  <si>
    <t>DÉMOS NEUFS  VOLKS</t>
  </si>
  <si>
    <t xml:space="preserve">BONI PROPRIO </t>
  </si>
  <si>
    <t>DÉMOS USAGÉ</t>
  </si>
  <si>
    <t>COMMISSIONS</t>
  </si>
  <si>
    <t>DÉMOS SERVICE  VOLKS</t>
  </si>
  <si>
    <t>SALAIRES BASE NEUF  VOLKS</t>
  </si>
  <si>
    <t>DÉMOS PIECES  VOLKS</t>
  </si>
  <si>
    <t>SAL. BASE USAGES  VOLKS</t>
  </si>
  <si>
    <t>DÉMOS CARROSS. VOLKS</t>
  </si>
  <si>
    <t>COMMISSIONS  F&amp;I VOLKS</t>
  </si>
  <si>
    <t>BONIS RENOUVELLEMENT</t>
  </si>
  <si>
    <t>CADRES  NEUFS  VOLKS</t>
  </si>
  <si>
    <t>A REC EMPLOYES</t>
  </si>
  <si>
    <t>CADRES USAGÉ  VOLKS</t>
  </si>
  <si>
    <t>REL. SOCIALES</t>
  </si>
  <si>
    <t>CADRES SERVICE  VOLKS</t>
  </si>
  <si>
    <t>FONDS DE SOLIDARITÉ</t>
  </si>
  <si>
    <t>CADRES PIECES  VOLKS</t>
  </si>
  <si>
    <t>ASS GROUPE YE</t>
  </si>
  <si>
    <t>BONIS TRIMESTRIELS</t>
  </si>
  <si>
    <t>COM. PARIT. YE</t>
  </si>
  <si>
    <t>BONIS CSI  VOLKS</t>
  </si>
  <si>
    <t>UNIFORME A PAYER</t>
  </si>
  <si>
    <t>COMMIS NEUF  VOLKS</t>
  </si>
  <si>
    <t>TRANSFERT  CIBC</t>
  </si>
  <si>
    <t>COMMIS USAGÉ  VOLKS</t>
  </si>
  <si>
    <t>RES. VACANCES</t>
  </si>
  <si>
    <t>COMMIS SERVICE  VOLKS</t>
  </si>
  <si>
    <t>RES FERIEES</t>
  </si>
  <si>
    <t>COMMIS PIECE</t>
  </si>
  <si>
    <t>RES. MALADIE</t>
  </si>
  <si>
    <t>COMMIS CARR.</t>
  </si>
  <si>
    <t>AVANCE ASS. DEMOS</t>
  </si>
  <si>
    <t>COMMIS ADMINISTRATION  VOLKS</t>
  </si>
  <si>
    <t>REER STANDARD LIFE</t>
  </si>
  <si>
    <t>SPÉCIALISTES  VOLKS</t>
  </si>
  <si>
    <t>CENTRAIDE</t>
  </si>
  <si>
    <t>SALAIRES AUTRES PIECES  VOLKS</t>
  </si>
  <si>
    <t>TRANSPORT NEUFS  VOLKS</t>
  </si>
  <si>
    <t>D.A.S. CARR. VOLKS</t>
  </si>
  <si>
    <t>SALAIRES AUTRES SERVICE  VOLKS</t>
  </si>
  <si>
    <t>VAC. CARR. VOLKS</t>
  </si>
  <si>
    <t>WIP MECANIQUE  VOLKS</t>
  </si>
  <si>
    <t>D.A.S. USED VOLKS</t>
  </si>
  <si>
    <t>SPÉCIALISTE CARROSSERIE  VOLKS</t>
  </si>
  <si>
    <t>VAC. USED VOLKS</t>
  </si>
  <si>
    <t>SALAIRES AUTRES NEUFS  VOLKS</t>
  </si>
  <si>
    <t>D.A.S. PIÈCES  VOLKS</t>
  </si>
  <si>
    <t>SALAIRES AUTRES USAGÉS  VOLKS</t>
  </si>
  <si>
    <t>VAC. PIÈCES  VOLKS</t>
  </si>
  <si>
    <t>SALAIRES AUTRES VOLKS</t>
  </si>
  <si>
    <t>FORMATION VENTES VOLKS</t>
  </si>
  <si>
    <t>FORMATION SERVICE  VOLKS</t>
  </si>
  <si>
    <t>D.A.S. SERVICE  VOLKS</t>
  </si>
  <si>
    <t>FORMATION PIECES  VOLKS</t>
  </si>
  <si>
    <t>VAC. SERVICE  VOLKS</t>
  </si>
  <si>
    <t>VACANCES PAYEES</t>
  </si>
  <si>
    <t>DA.S. ADM CSI VOLKS</t>
  </si>
  <si>
    <t>FERIES PAYES</t>
  </si>
  <si>
    <t>VAC.  ADM CSI VOLKS</t>
  </si>
  <si>
    <t xml:space="preserve">MALADIE PAYE </t>
  </si>
  <si>
    <t>D.A.S. CADRES NEUFS</t>
  </si>
  <si>
    <t>CHXX</t>
  </si>
  <si>
    <t>VAC. CADRES NEUFS</t>
  </si>
  <si>
    <t>ADMIN. AUDI</t>
  </si>
  <si>
    <t>CPTE 2501  AVANCES</t>
  </si>
  <si>
    <t xml:space="preserve">      AVXX</t>
  </si>
  <si>
    <t>RELANCE BMW</t>
  </si>
  <si>
    <t>RELXX</t>
  </si>
  <si>
    <t>Y. BAILLARGEON</t>
  </si>
  <si>
    <t>RELANCE HONDA</t>
  </si>
  <si>
    <t>RELANCE NISSAN</t>
  </si>
  <si>
    <t>RELANCE INFINITI</t>
  </si>
  <si>
    <t>RELANCE TOYOTA</t>
  </si>
  <si>
    <t>RELANCE AUDI</t>
  </si>
  <si>
    <t>RELANCE SAINTE-JULIE</t>
  </si>
  <si>
    <t xml:space="preserve">RELANCE LEXUS </t>
  </si>
  <si>
    <t>GTXX</t>
  </si>
  <si>
    <t>MCXX</t>
  </si>
  <si>
    <t>CPTE 2501  COMMISSIONS</t>
  </si>
  <si>
    <t xml:space="preserve">       #E/J</t>
  </si>
  <si>
    <t>CARR. AUDI</t>
  </si>
  <si>
    <t>PDXX</t>
  </si>
  <si>
    <t>D.A.S. GOUV.</t>
  </si>
  <si>
    <t>NEUF  VOLKS</t>
  </si>
  <si>
    <t xml:space="preserve"> (a-c.,rrq,ramq.)</t>
  </si>
  <si>
    <t>USAGÉ  VOLKS</t>
  </si>
  <si>
    <t xml:space="preserve">    </t>
  </si>
  <si>
    <t>SERVICE  VOLKS</t>
  </si>
  <si>
    <t>PIÈCES  VOLKS</t>
  </si>
  <si>
    <t>CARR.  VOLKS</t>
  </si>
  <si>
    <t>ABSENCES</t>
  </si>
  <si>
    <t xml:space="preserve"> (VAC.,FER.,MAL.)</t>
  </si>
  <si>
    <t>USAGÉ VOLKS</t>
  </si>
  <si>
    <t>SERVICE VOLKS</t>
  </si>
  <si>
    <t>ADMIN.  VOLKS</t>
  </si>
  <si>
    <t>ASS-GROUPE  ET REER</t>
  </si>
  <si>
    <t>VOLKS</t>
  </si>
  <si>
    <t>COM. PARITAIRE, FDS</t>
  </si>
  <si>
    <t>CTI</t>
  </si>
  <si>
    <t>RTI</t>
  </si>
  <si>
    <t xml:space="preserve">FRAIS PAIE </t>
  </si>
  <si>
    <t>TOT. 2501</t>
  </si>
  <si>
    <t>ÉCART:</t>
  </si>
  <si>
    <t>CHARGES INTERNES A ETRE COMPTABILISEES PAR PARK AVENUE AUDI</t>
  </si>
  <si>
    <t>FOURNISSEUR</t>
  </si>
  <si>
    <t>FACTURE</t>
  </si>
  <si>
    <t>NO. G.L.</t>
  </si>
  <si>
    <t>DEBIT</t>
  </si>
  <si>
    <t>CREDIT</t>
  </si>
  <si>
    <t>SALAIRES RELANCE  SERVICE</t>
  </si>
  <si>
    <t>SALAIRES RELANCE PIECES</t>
  </si>
  <si>
    <t>D.A.S. SERVICE</t>
  </si>
  <si>
    <t>D.A.S. PIECES</t>
  </si>
  <si>
    <t>SALAIRES EN ABSENCE SERVICE</t>
  </si>
  <si>
    <t>SALAIRES EN ABSENCE PIECES</t>
  </si>
  <si>
    <t>COMPTES A PAYER</t>
  </si>
  <si>
    <t>SALAIRES COMMIS ADMINISTRATION</t>
  </si>
  <si>
    <t>D.A.S.  ADMINISTRATION</t>
  </si>
  <si>
    <t>VAC. ADMINISTRATION</t>
  </si>
  <si>
    <t>SALAIRE DIR. PIECES</t>
  </si>
  <si>
    <t>SALAIRE DIR. CARR.</t>
  </si>
  <si>
    <t>D.A.S. CARROSSERIE</t>
  </si>
  <si>
    <t>VAC. CARROSSERIE</t>
  </si>
  <si>
    <t>CHARGES INTERNES A ETRE COMPTABILISEES PAR PARK AVENUE BMW</t>
  </si>
  <si>
    <t>23E</t>
  </si>
  <si>
    <t>23G</t>
  </si>
  <si>
    <t>SALAIRES RELANCE VÉH USAGÉS</t>
  </si>
  <si>
    <t>23C</t>
  </si>
  <si>
    <t>25E</t>
  </si>
  <si>
    <t>25G</t>
  </si>
  <si>
    <t>D.A.S. RELANCE VÉH USAGÉS</t>
  </si>
  <si>
    <t>25C</t>
  </si>
  <si>
    <t>24E</t>
  </si>
  <si>
    <t>24G</t>
  </si>
  <si>
    <t>SALAIRES EN ABSENCE VÉH. USAGÉS</t>
  </si>
  <si>
    <t>24C</t>
  </si>
  <si>
    <t>BONI CSI RELANCE</t>
  </si>
  <si>
    <t>300</t>
  </si>
  <si>
    <t>22</t>
  </si>
  <si>
    <t>25</t>
  </si>
  <si>
    <t>24</t>
  </si>
  <si>
    <t>JPXX</t>
  </si>
  <si>
    <t>CHARGES INTERNES A ETRE COMPTABILISEES PAR PARK AVENUE HONDA</t>
  </si>
  <si>
    <t>D.A.S. VÉH. USAGÉS</t>
  </si>
  <si>
    <t>SALAIRES EN ABSENCE VÉH USAGÉS</t>
  </si>
  <si>
    <t>D.A.S.</t>
  </si>
  <si>
    <t>SALAIRES EN ABSENCES</t>
  </si>
  <si>
    <t>CHARGES INTERNES A ETRE COMPTABILISEES PAR PARK AVENUE TOYOTA</t>
  </si>
  <si>
    <t>21D</t>
  </si>
  <si>
    <t>21C</t>
  </si>
  <si>
    <t>21B</t>
  </si>
  <si>
    <t>25D</t>
  </si>
  <si>
    <t>D.A.S. VÉH USAGÉS</t>
  </si>
  <si>
    <t>25B</t>
  </si>
  <si>
    <t>23D</t>
  </si>
  <si>
    <t>23B</t>
  </si>
  <si>
    <t>CHARGES INTERNES A ETRE COMPTABILISEES PAR PARK AVENUE NISSAN</t>
  </si>
  <si>
    <t>SALAIRE RELANCE VÉH USAGÉS</t>
  </si>
  <si>
    <t>CHARGES INTERNES A ETRE COMPTABILISEES PAR PARK AVENUE INFINITI</t>
  </si>
  <si>
    <t>CHARGES INTERNES A ETRE COMPTABILISEES PAR BMW SAINTE-JULIE</t>
  </si>
  <si>
    <t>SALAIRE EN ABSENCE VÉH USAGÉS</t>
  </si>
  <si>
    <t>CHARGES INTERNES A ETRE COMPTABILISEES PAR LEXUS SAINTE-JULIE</t>
  </si>
  <si>
    <t>21J</t>
  </si>
  <si>
    <t>21L</t>
  </si>
  <si>
    <t>21I</t>
  </si>
  <si>
    <t>25J</t>
  </si>
  <si>
    <t>25L</t>
  </si>
  <si>
    <t>25I</t>
  </si>
  <si>
    <t>23J</t>
  </si>
  <si>
    <t>23L</t>
  </si>
  <si>
    <t>23I</t>
  </si>
  <si>
    <t>CODE AZ:</t>
  </si>
  <si>
    <t>(EMPLOYE)</t>
  </si>
  <si>
    <t>P-C. NADEAU</t>
  </si>
  <si>
    <t>TURCOTTE C</t>
  </si>
  <si>
    <t>FORMATION VENTES USAGÉES</t>
  </si>
  <si>
    <t>MRXX</t>
  </si>
  <si>
    <t>SALAIRES F&amp;I USAGÉS</t>
  </si>
  <si>
    <t>D.A.S.  F&amp;I USAGÉS</t>
  </si>
  <si>
    <t>VAC. F&amp;I USAGÉS</t>
  </si>
  <si>
    <t>FORMATION F&amp;I USAGÉS</t>
  </si>
  <si>
    <t>ALLOCATION AUTO F&amp;I USAGÉS</t>
  </si>
  <si>
    <t>12C</t>
  </si>
  <si>
    <t>76C</t>
  </si>
  <si>
    <t>53C</t>
  </si>
  <si>
    <t>COMMISSIONS  F&amp;I VOLKS USAGÉS</t>
  </si>
  <si>
    <t>321B</t>
  </si>
  <si>
    <t>COMMISSIONS ET AVANCES F&amp;I USAGÉS #2142</t>
  </si>
  <si>
    <t>BARBEAU C</t>
  </si>
  <si>
    <t>REC INTERCO</t>
  </si>
  <si>
    <t>GAGNÉ SABRINA</t>
  </si>
  <si>
    <t>PLANTE VINCENT</t>
  </si>
  <si>
    <t>SALAIRE AUTRES CARROSSERIE</t>
  </si>
  <si>
    <t>LE-DU MICHAEL</t>
  </si>
  <si>
    <t>FAN MAN FAI</t>
  </si>
  <si>
    <t>OUELLETTE S</t>
  </si>
  <si>
    <t>CHARRON SAMUEL</t>
  </si>
  <si>
    <t>S.CHARRON</t>
  </si>
  <si>
    <t>NEUF</t>
  </si>
  <si>
    <t>USAGÉ</t>
  </si>
  <si>
    <t>SAMUEL CHARRON</t>
  </si>
  <si>
    <t>DUFOUR FRED</t>
  </si>
  <si>
    <t>LEBLANC DENIS</t>
  </si>
  <si>
    <t>HOULE EMILE</t>
  </si>
  <si>
    <t>SANSOUCY,YVES</t>
  </si>
  <si>
    <t>LACROIX GAETAN</t>
  </si>
  <si>
    <t>METAYER,VINCENT</t>
  </si>
  <si>
    <t>VRXX</t>
  </si>
  <si>
    <t>D.A.S PROPRIO</t>
  </si>
  <si>
    <t>SALAIRES PROPRIO</t>
  </si>
  <si>
    <t>PROPRIO AUDI</t>
  </si>
  <si>
    <t>CADRE PIÈCES AUDI</t>
  </si>
  <si>
    <t>LAURIN MICHÈLE</t>
  </si>
  <si>
    <t>carrosserie</t>
  </si>
  <si>
    <t>CADRES CARROSSERIE VOLKS</t>
  </si>
  <si>
    <t>neuf</t>
  </si>
  <si>
    <t>usagé</t>
  </si>
  <si>
    <t>KNEZEVIC JEREMI</t>
  </si>
  <si>
    <t>BONI PROPRIO</t>
  </si>
  <si>
    <t>VANASSE JEAN-FRANÇOIS</t>
  </si>
  <si>
    <t>MASSIE JOSEE</t>
  </si>
  <si>
    <t>JEAN-FRANCOIS VANASSE</t>
  </si>
  <si>
    <t>DESMARAIS STEPHANE</t>
  </si>
  <si>
    <t>J-F. VANASSE</t>
  </si>
  <si>
    <t>PLANTE MARC-ANDRÉ</t>
  </si>
  <si>
    <t>GINGRAS ÉRIC</t>
  </si>
  <si>
    <t>FONTAINE CHARLES</t>
  </si>
  <si>
    <t>CHARLES FONTAINE</t>
  </si>
  <si>
    <t>PAQUETTE SEAN</t>
  </si>
  <si>
    <t>S. PAQUETTE</t>
  </si>
  <si>
    <t>GORCE J.</t>
  </si>
  <si>
    <t>RENOUVELLEMENT</t>
  </si>
  <si>
    <t>G.GORCE</t>
  </si>
  <si>
    <t>CARON JEAN-PIERRE</t>
  </si>
  <si>
    <t>PELLETIER LOUISON</t>
  </si>
  <si>
    <t>PAQUETTE-GEMME</t>
  </si>
  <si>
    <t>GATIEN BENJAMIN</t>
  </si>
  <si>
    <t>SHAHIZADA MAHRAM ALI</t>
  </si>
  <si>
    <t>C.-BRODEUR</t>
  </si>
  <si>
    <t>JEAN-PIERRE CARON</t>
  </si>
  <si>
    <t>GALLANT,NANCY</t>
  </si>
  <si>
    <t>V. CHARBONNEAU-BRODEUR</t>
  </si>
  <si>
    <t>DUGAS VERONIQUE</t>
  </si>
  <si>
    <t>G-RACICOT JONATHAN</t>
  </si>
  <si>
    <t>GRAVEL PHILIPPE</t>
  </si>
  <si>
    <t>PHILIPPE GRAVEL</t>
  </si>
  <si>
    <t>FRASER FANNY</t>
  </si>
  <si>
    <t>F.-A. FRASER</t>
  </si>
  <si>
    <t>HAMILTON MELISSA</t>
  </si>
  <si>
    <t>VIVIER ANTHONY</t>
  </si>
  <si>
    <t>ALLARD MARIO</t>
  </si>
  <si>
    <t>LACAILLE WILLIAM</t>
  </si>
  <si>
    <t>CHARLES TURCOTTE</t>
  </si>
  <si>
    <t>LEFAIVRE ÉLODIE</t>
  </si>
  <si>
    <t>TAYLOR SEBASTIEN</t>
  </si>
  <si>
    <t>SANCHEZ JEREMIE</t>
  </si>
  <si>
    <t>SEGUIN CAROLINE</t>
  </si>
  <si>
    <t>C. SEGUIN</t>
  </si>
  <si>
    <t>LAFOREST KARL</t>
  </si>
  <si>
    <t>LETOURNEAU M</t>
  </si>
  <si>
    <t>WILLIAM LACAILLE</t>
  </si>
  <si>
    <t>SÉBASTIEN TAYLOR</t>
  </si>
  <si>
    <t>K.LAFOREST</t>
  </si>
  <si>
    <t>NOORI, KARIM</t>
  </si>
  <si>
    <t>GAMACHE LUC</t>
  </si>
  <si>
    <t>HAMEL LAURA</t>
  </si>
  <si>
    <t>ROUSSEL FRANCIS</t>
  </si>
  <si>
    <t>KARIM NOORI</t>
  </si>
  <si>
    <t>BILLAH ISTIAK</t>
  </si>
  <si>
    <t>BISAILLON PASCALE</t>
  </si>
  <si>
    <t>ISTIAK BILLAH</t>
  </si>
  <si>
    <t>MOUARAKI ELIASSE</t>
  </si>
  <si>
    <t>POTVIN, GUY-OLIVIER</t>
  </si>
  <si>
    <t>BAILLARGEON,JULIEN</t>
  </si>
  <si>
    <t>DÉMO PIÈCES</t>
  </si>
  <si>
    <t>SALAIRE DIR.SERVICE</t>
  </si>
  <si>
    <t>COLLIN-C MAUDE</t>
  </si>
  <si>
    <t>ÉLODIE LEFAIVRE</t>
  </si>
  <si>
    <t>REMPLACEMENT SECRÉTAIRE AUX VENTES</t>
  </si>
  <si>
    <t>POIRIER ALEXANDRE</t>
  </si>
  <si>
    <t>ELIASSE MOUARAKI</t>
  </si>
  <si>
    <t>MARTIN KEVIN</t>
  </si>
  <si>
    <t>G.OLIVIER POTVIN</t>
  </si>
  <si>
    <t>BONI TRIMESTRIEL AUDI</t>
  </si>
  <si>
    <t>3 nov</t>
  </si>
  <si>
    <t>HOSSAIN AWRANGAZEB</t>
  </si>
  <si>
    <t>GRENIER JOELLE</t>
  </si>
  <si>
    <t>PAIE SEMAINE 45</t>
  </si>
  <si>
    <t>10 nov</t>
  </si>
  <si>
    <t>9 nov</t>
  </si>
  <si>
    <t>MONNIERE-CHARBONNEAU</t>
  </si>
  <si>
    <t>LAGUERRE KELLY</t>
  </si>
  <si>
    <t>B.MONNIERE-CHARBONNEAU</t>
  </si>
  <si>
    <t>MAXIME LÉTOURNEAU</t>
  </si>
  <si>
    <t>BONI DE RÉFÉRENCE STOCK #180128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</si>
</sst>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164" formatCode="#,##0.00\ &quot;$&quot;_);[Red]\(#,##0.00\ &quot;$&quot;\)"/>
    <numFmt numFmtId="165" formatCode="#,##0.00&quot;$&quot;"/>
    <numFmt numFmtId="166" formatCode="#,##0.00\ &quot;$&quot;_-"/>
    <numFmt numFmtId="167" formatCode="_ * #,##0.00_)\ [$$-C0C]_ ;_ * \(#,##0.00\)\ [$$-C0C]_ ;_ * &quot;-&quot;??_)\ [$$-C0C]_ ;_ @_ "/>
    <numFmt numFmtId="168" formatCode="_ * #,##0.00_ \ [$$-C0C]_ ;_ * \-#,##0.00\ \ [$$-C0C]_ ;_ * &quot;-&quot;??_ \ [$$-C0C]_ ;_ @_ "/>
  </numFmts>
  <fonts count="19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 MT"/>
    </font>
    <font>
      <sz val="12"/>
      <name val="Arial MT"/>
    </font>
    <font>
      <b/>
      <sz val="12"/>
      <name val="Arial"/>
      <family val="2"/>
    </font>
    <font>
      <b/>
      <u val="double"/>
      <sz val="12"/>
      <name val="Arial MT"/>
    </font>
    <font>
      <b/>
      <u val="double"/>
      <sz val="14"/>
      <name val="Arial MT"/>
    </font>
    <font>
      <sz val="14"/>
      <name val="Arial MT"/>
    </font>
    <font>
      <sz val="14"/>
      <name val="Arial"/>
      <family val="2"/>
    </font>
    <font>
      <b/>
      <u val="double"/>
      <sz val="16"/>
      <name val="Arial MT"/>
    </font>
    <font>
      <sz val="16"/>
      <name val="Arial MT"/>
    </font>
    <font>
      <u val="double"/>
      <sz val="14"/>
      <name val="Arial MT"/>
    </font>
    <font>
      <sz val="16"/>
      <name val="Arial"/>
      <family val="2"/>
    </font>
    <font>
      <b/>
      <sz val="14"/>
      <name val="Arial MT"/>
    </font>
    <font>
      <b/>
      <sz val="16"/>
      <name val="Arial MT"/>
    </font>
    <font>
      <b/>
      <u/>
      <sz val="12"/>
      <name val="Arial MT"/>
    </font>
    <font>
      <b/>
      <u/>
      <sz val="12"/>
      <name val="Arial"/>
      <family val="2"/>
    </font>
    <font>
      <b/>
      <u/>
      <sz val="14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5">
    <xf numFmtId="0" fontId="0" fillId="0" borderId="0"/>
    <xf numFmtId="44" fontId="18" fillId="0" borderId="0" applyFont="0" applyFill="0" applyBorder="0" applyAlignment="0" applyProtection="0"/>
    <xf numFmtId="0" fontId="1" fillId="0" borderId="0"/>
    <xf numFmtId="0" fontId="3" fillId="0" borderId="0" applyBorder="0"/>
    <xf numFmtId="0" fontId="1" fillId="0" borderId="0"/>
  </cellStyleXfs>
  <cellXfs count="327">
    <xf numFmtId="0" fontId="0" fillId="0" borderId="0" xfId="0"/>
    <xf numFmtId="0" fontId="2" fillId="0" borderId="0" xfId="4" applyNumberFormat="1" applyFont="1" applyFill="1" applyAlignment="1"/>
    <xf numFmtId="0" fontId="2" fillId="0" borderId="0" xfId="4" applyNumberFormat="1" applyFont="1" applyAlignment="1"/>
    <xf numFmtId="0" fontId="2" fillId="0" borderId="0" xfId="4" quotePrefix="1" applyNumberFormat="1" applyFont="1" applyFill="1" applyAlignment="1">
      <alignment horizontal="center"/>
    </xf>
    <xf numFmtId="49" fontId="2" fillId="0" borderId="1" xfId="4" applyNumberFormat="1" applyFont="1" applyFill="1" applyBorder="1" applyAlignment="1">
      <alignment horizontal="center"/>
    </xf>
    <xf numFmtId="0" fontId="3" fillId="0" borderId="0" xfId="4" applyNumberFormat="1" applyFont="1" applyAlignment="1"/>
    <xf numFmtId="0" fontId="2" fillId="0" borderId="0" xfId="4" applyNumberFormat="1" applyFont="1" applyAlignment="1">
      <alignment horizontal="right"/>
    </xf>
    <xf numFmtId="49" fontId="2" fillId="0" borderId="0" xfId="4" applyNumberFormat="1" applyFont="1" applyAlignment="1">
      <alignment horizontal="center"/>
    </xf>
    <xf numFmtId="0" fontId="2" fillId="0" borderId="2" xfId="4" applyNumberFormat="1" applyFont="1" applyBorder="1" applyAlignment="1"/>
    <xf numFmtId="0" fontId="2" fillId="0" borderId="0" xfId="4" applyNumberFormat="1" applyFont="1" applyBorder="1" applyAlignment="1"/>
    <xf numFmtId="0" fontId="1" fillId="0" borderId="0" xfId="4" applyBorder="1"/>
    <xf numFmtId="0" fontId="1" fillId="0" borderId="0" xfId="4"/>
    <xf numFmtId="0" fontId="1" fillId="0" borderId="0" xfId="4" applyNumberFormat="1" applyFont="1" applyAlignment="1"/>
    <xf numFmtId="0" fontId="2" fillId="0" borderId="3" xfId="4" applyNumberFormat="1" applyFont="1" applyFill="1" applyBorder="1" applyAlignment="1"/>
    <xf numFmtId="49" fontId="2" fillId="0" borderId="3" xfId="4" applyNumberFormat="1" applyFont="1" applyFill="1" applyBorder="1" applyAlignment="1">
      <alignment horizontal="center"/>
    </xf>
    <xf numFmtId="0" fontId="2" fillId="0" borderId="3" xfId="4" applyNumberFormat="1" applyFont="1" applyBorder="1" applyAlignment="1"/>
    <xf numFmtId="0" fontId="2" fillId="0" borderId="0" xfId="4" applyNumberFormat="1" applyFont="1" applyFill="1" applyBorder="1" applyAlignment="1"/>
    <xf numFmtId="0" fontId="2" fillId="0" borderId="4" xfId="4" applyNumberFormat="1" applyFont="1" applyFill="1" applyBorder="1" applyAlignment="1"/>
    <xf numFmtId="0" fontId="2" fillId="0" borderId="0" xfId="4" applyNumberFormat="1" applyFont="1" applyFill="1" applyAlignment="1">
      <alignment horizontal="center"/>
    </xf>
    <xf numFmtId="0" fontId="2" fillId="0" borderId="0" xfId="4" applyNumberFormat="1" applyFont="1" applyAlignment="1">
      <alignment horizontal="center"/>
    </xf>
    <xf numFmtId="0" fontId="2" fillId="0" borderId="5" xfId="4" applyNumberFormat="1" applyFont="1" applyBorder="1" applyAlignment="1">
      <alignment horizontal="center"/>
    </xf>
    <xf numFmtId="0" fontId="2" fillId="0" borderId="6" xfId="4" applyNumberFormat="1" applyFont="1" applyBorder="1" applyAlignment="1">
      <alignment horizontal="center"/>
    </xf>
    <xf numFmtId="0" fontId="2" fillId="0" borderId="6" xfId="4" applyNumberFormat="1" applyFont="1" applyFill="1" applyBorder="1" applyAlignment="1">
      <alignment horizontal="center"/>
    </xf>
    <xf numFmtId="2" fontId="2" fillId="0" borderId="6" xfId="4" applyNumberFormat="1" applyFont="1" applyBorder="1" applyAlignment="1">
      <alignment horizontal="center"/>
    </xf>
    <xf numFmtId="0" fontId="2" fillId="0" borderId="5" xfId="4" applyNumberFormat="1" applyFont="1" applyFill="1" applyBorder="1" applyAlignment="1">
      <alignment horizontal="center"/>
    </xf>
    <xf numFmtId="0" fontId="2" fillId="0" borderId="4" xfId="4" applyNumberFormat="1" applyFont="1" applyFill="1" applyBorder="1" applyAlignment="1">
      <alignment horizontal="center"/>
    </xf>
    <xf numFmtId="0" fontId="2" fillId="0" borderId="0" xfId="4" applyNumberFormat="1" applyFont="1" applyFill="1" applyBorder="1" applyAlignment="1">
      <alignment horizontal="center"/>
    </xf>
    <xf numFmtId="0" fontId="1" fillId="0" borderId="0" xfId="4" applyNumberFormat="1" applyFont="1" applyFill="1" applyAlignment="1"/>
    <xf numFmtId="0" fontId="3" fillId="0" borderId="0" xfId="4" applyNumberFormat="1" applyFont="1" applyFill="1" applyAlignment="1"/>
    <xf numFmtId="4" fontId="3" fillId="0" borderId="7" xfId="4" applyNumberFormat="1" applyFont="1" applyFill="1" applyBorder="1" applyAlignment="1"/>
    <xf numFmtId="4" fontId="3" fillId="0" borderId="0" xfId="4" applyNumberFormat="1" applyFont="1" applyFill="1" applyAlignment="1"/>
    <xf numFmtId="2" fontId="3" fillId="0" borderId="0" xfId="4" applyNumberFormat="1" applyFont="1" applyFill="1" applyAlignment="1"/>
    <xf numFmtId="4" fontId="3" fillId="0" borderId="0" xfId="4" applyNumberFormat="1" applyFont="1" applyFill="1" applyBorder="1" applyAlignment="1"/>
    <xf numFmtId="4" fontId="3" fillId="0" borderId="2" xfId="4" applyNumberFormat="1" applyFont="1" applyFill="1" applyBorder="1" applyAlignment="1"/>
    <xf numFmtId="0" fontId="3" fillId="0" borderId="7" xfId="4" applyNumberFormat="1" applyFont="1" applyFill="1" applyBorder="1" applyAlignment="1"/>
    <xf numFmtId="0" fontId="3" fillId="0" borderId="0" xfId="4" applyNumberFormat="1" applyFont="1" applyFill="1" applyBorder="1" applyAlignment="1"/>
    <xf numFmtId="0" fontId="3" fillId="0" borderId="4" xfId="4" applyNumberFormat="1" applyFont="1" applyFill="1" applyBorder="1" applyAlignment="1"/>
    <xf numFmtId="0" fontId="2" fillId="0" borderId="8" xfId="4" applyNumberFormat="1" applyFont="1" applyFill="1" applyBorder="1" applyAlignment="1">
      <alignment horizontal="center"/>
    </xf>
    <xf numFmtId="0" fontId="2" fillId="0" borderId="3" xfId="4" applyNumberFormat="1" applyFont="1" applyFill="1" applyBorder="1" applyAlignment="1">
      <alignment horizontal="center"/>
    </xf>
    <xf numFmtId="2" fontId="2" fillId="0" borderId="3" xfId="4" applyNumberFormat="1" applyFont="1" applyFill="1" applyBorder="1" applyAlignment="1">
      <alignment horizontal="center"/>
    </xf>
    <xf numFmtId="0" fontId="2" fillId="0" borderId="9" xfId="4" applyNumberFormat="1" applyFont="1" applyFill="1" applyBorder="1" applyAlignment="1">
      <alignment horizontal="center"/>
    </xf>
    <xf numFmtId="1" fontId="3" fillId="0" borderId="0" xfId="4" applyNumberFormat="1" applyFont="1" applyFill="1" applyAlignment="1"/>
    <xf numFmtId="4" fontId="3" fillId="0" borderId="8" xfId="4" applyNumberFormat="1" applyFont="1" applyFill="1" applyBorder="1" applyAlignment="1"/>
    <xf numFmtId="4" fontId="3" fillId="0" borderId="3" xfId="4" applyNumberFormat="1" applyFont="1" applyFill="1" applyBorder="1" applyAlignment="1"/>
    <xf numFmtId="0" fontId="3" fillId="0" borderId="2" xfId="4" applyNumberFormat="1" applyFont="1" applyFill="1" applyBorder="1" applyAlignment="1"/>
    <xf numFmtId="4" fontId="3" fillId="0" borderId="0" xfId="4" applyNumberFormat="1" applyFont="1" applyAlignment="1"/>
    <xf numFmtId="4" fontId="3" fillId="0" borderId="4" xfId="4" applyNumberFormat="1" applyFont="1" applyFill="1" applyBorder="1" applyAlignment="1"/>
    <xf numFmtId="2" fontId="2" fillId="0" borderId="6" xfId="4" applyNumberFormat="1" applyFont="1" applyFill="1" applyBorder="1" applyAlignment="1">
      <alignment horizontal="center"/>
    </xf>
    <xf numFmtId="0" fontId="3" fillId="0" borderId="0" xfId="4" applyNumberFormat="1" applyFont="1" applyFill="1" applyBorder="1" applyAlignment="1">
      <alignment horizontal="center"/>
    </xf>
    <xf numFmtId="0" fontId="2" fillId="0" borderId="10" xfId="4" applyNumberFormat="1" applyFont="1" applyFill="1" applyBorder="1" applyAlignment="1">
      <alignment horizontal="center"/>
    </xf>
    <xf numFmtId="0" fontId="2" fillId="0" borderId="11" xfId="4" applyNumberFormat="1" applyFont="1" applyFill="1" applyBorder="1" applyAlignment="1">
      <alignment horizontal="center"/>
    </xf>
    <xf numFmtId="2" fontId="2" fillId="0" borderId="11" xfId="4" applyNumberFormat="1" applyFont="1" applyFill="1" applyBorder="1" applyAlignment="1">
      <alignment horizontal="center"/>
    </xf>
    <xf numFmtId="4" fontId="3" fillId="0" borderId="12" xfId="4" applyNumberFormat="1" applyFont="1" applyFill="1" applyBorder="1" applyAlignment="1"/>
    <xf numFmtId="0" fontId="1" fillId="0" borderId="0" xfId="4" applyNumberFormat="1" applyFont="1" applyFill="1" applyBorder="1" applyAlignment="1"/>
    <xf numFmtId="4" fontId="3" fillId="0" borderId="13" xfId="4" applyNumberFormat="1" applyFont="1" applyFill="1" applyBorder="1" applyAlignment="1"/>
    <xf numFmtId="0" fontId="2" fillId="0" borderId="14" xfId="4" applyNumberFormat="1" applyFont="1" applyFill="1" applyBorder="1" applyAlignment="1">
      <alignment horizontal="center"/>
    </xf>
    <xf numFmtId="2" fontId="3" fillId="0" borderId="7" xfId="4" applyNumberFormat="1" applyFont="1" applyFill="1" applyBorder="1" applyAlignment="1"/>
    <xf numFmtId="2" fontId="3" fillId="0" borderId="0" xfId="4" applyNumberFormat="1" applyFont="1" applyFill="1" applyBorder="1" applyAlignment="1"/>
    <xf numFmtId="0" fontId="1" fillId="0" borderId="16" xfId="4" applyNumberFormat="1" applyFont="1" applyFill="1" applyBorder="1" applyAlignment="1"/>
    <xf numFmtId="0" fontId="1" fillId="0" borderId="4" xfId="4" applyNumberFormat="1" applyFont="1" applyFill="1" applyBorder="1" applyAlignment="1"/>
    <xf numFmtId="0" fontId="4" fillId="0" borderId="0" xfId="4" applyNumberFormat="1" applyFont="1" applyFill="1" applyAlignment="1"/>
    <xf numFmtId="2" fontId="2" fillId="0" borderId="8" xfId="4" applyNumberFormat="1" applyFont="1" applyFill="1" applyBorder="1" applyAlignment="1">
      <alignment horizontal="center"/>
    </xf>
    <xf numFmtId="0" fontId="1" fillId="0" borderId="3" xfId="4" applyNumberFormat="1" applyFont="1" applyBorder="1" applyAlignment="1"/>
    <xf numFmtId="0" fontId="1" fillId="0" borderId="3" xfId="4" applyNumberFormat="1" applyFont="1" applyFill="1" applyBorder="1" applyAlignment="1"/>
    <xf numFmtId="0" fontId="1" fillId="0" borderId="0" xfId="4" applyNumberFormat="1" applyFont="1" applyBorder="1" applyAlignment="1"/>
    <xf numFmtId="0" fontId="2" fillId="0" borderId="12" xfId="4" applyNumberFormat="1" applyFont="1" applyFill="1" applyBorder="1" applyAlignment="1"/>
    <xf numFmtId="0" fontId="2" fillId="0" borderId="17" xfId="4" applyNumberFormat="1" applyFont="1" applyFill="1" applyBorder="1" applyAlignment="1">
      <alignment horizontal="center"/>
    </xf>
    <xf numFmtId="4" fontId="2" fillId="0" borderId="17" xfId="4" applyNumberFormat="1" applyFont="1" applyFill="1" applyBorder="1" applyAlignment="1">
      <alignment horizontal="center"/>
    </xf>
    <xf numFmtId="4" fontId="2" fillId="0" borderId="13" xfId="4" applyNumberFormat="1" applyFont="1" applyFill="1" applyBorder="1" applyAlignment="1">
      <alignment horizontal="center"/>
    </xf>
    <xf numFmtId="2" fontId="3" fillId="0" borderId="0" xfId="4" applyNumberFormat="1" applyFont="1" applyAlignment="1"/>
    <xf numFmtId="0" fontId="2" fillId="0" borderId="15" xfId="4" applyNumberFormat="1" applyFont="1" applyBorder="1" applyAlignment="1"/>
    <xf numFmtId="4" fontId="2" fillId="0" borderId="12" xfId="4" applyNumberFormat="1" applyFont="1" applyBorder="1" applyAlignment="1"/>
    <xf numFmtId="4" fontId="2" fillId="0" borderId="17" xfId="4" applyNumberFormat="1" applyFont="1" applyBorder="1" applyAlignment="1"/>
    <xf numFmtId="4" fontId="2" fillId="0" borderId="13" xfId="4" applyNumberFormat="1" applyFont="1" applyBorder="1" applyAlignment="1"/>
    <xf numFmtId="4" fontId="2" fillId="0" borderId="0" xfId="4" applyNumberFormat="1" applyFont="1" applyBorder="1" applyAlignment="1"/>
    <xf numFmtId="4" fontId="2" fillId="0" borderId="15" xfId="4" applyNumberFormat="1" applyFont="1" applyBorder="1" applyAlignment="1"/>
    <xf numFmtId="4" fontId="2" fillId="0" borderId="2" xfId="4" applyNumberFormat="1" applyFont="1" applyBorder="1" applyAlignment="1">
      <alignment horizontal="center"/>
    </xf>
    <xf numFmtId="4" fontId="2" fillId="0" borderId="0" xfId="4" applyNumberFormat="1" applyFont="1" applyFill="1" applyBorder="1" applyAlignment="1">
      <alignment horizontal="center"/>
    </xf>
    <xf numFmtId="4" fontId="2" fillId="0" borderId="2" xfId="4" applyNumberFormat="1" applyFont="1" applyFill="1" applyBorder="1" applyAlignment="1"/>
    <xf numFmtId="4" fontId="2" fillId="0" borderId="15" xfId="4" applyNumberFormat="1" applyFont="1" applyBorder="1" applyAlignment="1">
      <alignment horizontal="center"/>
    </xf>
    <xf numFmtId="4" fontId="2" fillId="0" borderId="0" xfId="4" applyNumberFormat="1" applyFont="1" applyBorder="1" applyAlignment="1">
      <alignment horizontal="center"/>
    </xf>
    <xf numFmtId="4" fontId="3" fillId="0" borderId="15" xfId="4" applyNumberFormat="1" applyFont="1" applyBorder="1" applyAlignment="1"/>
    <xf numFmtId="4" fontId="3" fillId="0" borderId="0" xfId="4" applyNumberFormat="1" applyFont="1" applyBorder="1" applyAlignment="1"/>
    <xf numFmtId="4" fontId="3" fillId="0" borderId="2" xfId="4" applyNumberFormat="1" applyFont="1" applyBorder="1" applyAlignment="1"/>
    <xf numFmtId="0" fontId="3" fillId="0" borderId="15" xfId="4" applyNumberFormat="1" applyFont="1" applyBorder="1" applyAlignment="1"/>
    <xf numFmtId="0" fontId="3" fillId="0" borderId="0" xfId="4" applyNumberFormat="1" applyFont="1" applyBorder="1" applyAlignment="1"/>
    <xf numFmtId="0" fontId="3" fillId="0" borderId="2" xfId="4" applyNumberFormat="1" applyFont="1" applyBorder="1" applyAlignment="1"/>
    <xf numFmtId="0" fontId="2" fillId="0" borderId="0" xfId="4" applyNumberFormat="1" applyFont="1" applyBorder="1" applyAlignment="1">
      <alignment horizontal="center"/>
    </xf>
    <xf numFmtId="0" fontId="2" fillId="0" borderId="2" xfId="4" applyNumberFormat="1" applyFont="1" applyBorder="1" applyAlignment="1">
      <alignment horizontal="center"/>
    </xf>
    <xf numFmtId="0" fontId="1" fillId="0" borderId="18" xfId="4" applyNumberFormat="1" applyFont="1" applyBorder="1" applyAlignment="1"/>
    <xf numFmtId="4" fontId="3" fillId="0" borderId="19" xfId="4" applyNumberFormat="1" applyFont="1" applyBorder="1" applyAlignment="1"/>
    <xf numFmtId="4" fontId="3" fillId="0" borderId="20" xfId="4" applyNumberFormat="1" applyFont="1" applyBorder="1" applyAlignment="1"/>
    <xf numFmtId="4" fontId="3" fillId="0" borderId="4" xfId="4" applyNumberFormat="1" applyFont="1" applyBorder="1" applyAlignment="1"/>
    <xf numFmtId="0" fontId="2" fillId="0" borderId="19" xfId="4" applyNumberFormat="1" applyFont="1" applyBorder="1" applyAlignment="1"/>
    <xf numFmtId="4" fontId="3" fillId="0" borderId="20" xfId="4" applyNumberFormat="1" applyFont="1" applyFill="1" applyBorder="1" applyAlignment="1"/>
    <xf numFmtId="0" fontId="5" fillId="0" borderId="0" xfId="4" applyNumberFormat="1" applyFont="1" applyAlignment="1"/>
    <xf numFmtId="0" fontId="6" fillId="0" borderId="0" xfId="4" applyNumberFormat="1" applyFont="1" applyFill="1" applyAlignment="1"/>
    <xf numFmtId="0" fontId="6" fillId="0" borderId="0" xfId="4" applyNumberFormat="1" applyFont="1" applyAlignment="1"/>
    <xf numFmtId="0" fontId="7" fillId="0" borderId="0" xfId="4" applyNumberFormat="1" applyFont="1" applyAlignment="1"/>
    <xf numFmtId="0" fontId="7" fillId="0" borderId="0" xfId="4" applyNumberFormat="1" applyFont="1" applyFill="1" applyAlignment="1"/>
    <xf numFmtId="0" fontId="8" fillId="0" borderId="0" xfId="4" applyNumberFormat="1" applyFont="1" applyAlignment="1"/>
    <xf numFmtId="0" fontId="9" fillId="0" borderId="0" xfId="4" applyNumberFormat="1" applyFont="1" applyAlignment="1"/>
    <xf numFmtId="0" fontId="10" fillId="0" borderId="0" xfId="4" applyNumberFormat="1" applyFont="1" applyAlignment="1"/>
    <xf numFmtId="0" fontId="11" fillId="0" borderId="0" xfId="4" applyNumberFormat="1" applyFont="1" applyFill="1" applyAlignment="1"/>
    <xf numFmtId="0" fontId="11" fillId="0" borderId="0" xfId="4" applyNumberFormat="1" applyFont="1" applyAlignment="1"/>
    <xf numFmtId="0" fontId="7" fillId="0" borderId="0" xfId="4" applyNumberFormat="1" applyFont="1" applyBorder="1" applyAlignment="1"/>
    <xf numFmtId="0" fontId="6" fillId="0" borderId="0" xfId="4" applyNumberFormat="1" applyFont="1" applyAlignment="1">
      <alignment horizontal="center"/>
    </xf>
    <xf numFmtId="0" fontId="6" fillId="0" borderId="0" xfId="4" applyNumberFormat="1" applyFont="1" applyFill="1" applyAlignment="1">
      <alignment horizontal="center"/>
    </xf>
    <xf numFmtId="0" fontId="6" fillId="0" borderId="0" xfId="4" applyNumberFormat="1" applyFont="1" applyBorder="1" applyAlignment="1">
      <alignment horizontal="center"/>
    </xf>
    <xf numFmtId="0" fontId="6" fillId="0" borderId="0" xfId="4" applyNumberFormat="1" applyFont="1" applyBorder="1" applyAlignment="1"/>
    <xf numFmtId="0" fontId="9" fillId="0" borderId="0" xfId="4" applyNumberFormat="1" applyFont="1" applyAlignment="1">
      <alignment horizontal="center"/>
    </xf>
    <xf numFmtId="0" fontId="7" fillId="0" borderId="0" xfId="4" applyNumberFormat="1" applyFont="1" applyFill="1" applyAlignment="1">
      <alignment horizontal="center"/>
    </xf>
    <xf numFmtId="0" fontId="7" fillId="0" borderId="1" xfId="4" applyNumberFormat="1" applyFont="1" applyBorder="1" applyAlignment="1"/>
    <xf numFmtId="0" fontId="7" fillId="0" borderId="3" xfId="4" applyNumberFormat="1" applyFont="1" applyFill="1" applyBorder="1" applyAlignment="1"/>
    <xf numFmtId="0" fontId="7" fillId="0" borderId="3" xfId="4" applyNumberFormat="1" applyFont="1" applyFill="1" applyBorder="1" applyAlignment="1">
      <alignment horizontal="center"/>
    </xf>
    <xf numFmtId="2" fontId="7" fillId="0" borderId="3" xfId="4" applyNumberFormat="1" applyFont="1" applyFill="1" applyBorder="1" applyAlignment="1"/>
    <xf numFmtId="0" fontId="7" fillId="0" borderId="21" xfId="4" applyNumberFormat="1" applyFont="1" applyBorder="1" applyAlignment="1"/>
    <xf numFmtId="0" fontId="7" fillId="0" borderId="21" xfId="4" applyNumberFormat="1" applyFont="1" applyFill="1" applyBorder="1" applyAlignment="1"/>
    <xf numFmtId="2" fontId="10" fillId="0" borderId="0" xfId="4" applyNumberFormat="1" applyFont="1" applyFill="1" applyBorder="1" applyAlignment="1"/>
    <xf numFmtId="0" fontId="8" fillId="0" borderId="21" xfId="4" applyNumberFormat="1" applyFont="1" applyFill="1" applyBorder="1" applyAlignment="1"/>
    <xf numFmtId="0" fontId="8" fillId="0" borderId="3" xfId="4" applyNumberFormat="1" applyFont="1" applyFill="1" applyBorder="1" applyAlignment="1"/>
    <xf numFmtId="2" fontId="8" fillId="0" borderId="3" xfId="4" applyNumberFormat="1" applyFont="1" applyFill="1" applyBorder="1" applyAlignment="1"/>
    <xf numFmtId="2" fontId="12" fillId="0" borderId="0" xfId="4" applyNumberFormat="1" applyFont="1" applyFill="1" applyBorder="1" applyAlignment="1"/>
    <xf numFmtId="0" fontId="7" fillId="0" borderId="3" xfId="4" applyNumberFormat="1" applyFont="1" applyBorder="1" applyAlignment="1"/>
    <xf numFmtId="2" fontId="7" fillId="0" borderId="3" xfId="4" applyNumberFormat="1" applyFont="1" applyBorder="1" applyAlignment="1"/>
    <xf numFmtId="2" fontId="10" fillId="0" borderId="0" xfId="4" applyNumberFormat="1" applyFont="1" applyBorder="1" applyAlignment="1"/>
    <xf numFmtId="0" fontId="8" fillId="0" borderId="21" xfId="4" applyNumberFormat="1" applyFont="1" applyBorder="1" applyAlignment="1"/>
    <xf numFmtId="0" fontId="8" fillId="0" borderId="3" xfId="4" applyNumberFormat="1" applyFont="1" applyBorder="1" applyAlignment="1"/>
    <xf numFmtId="4" fontId="8" fillId="0" borderId="3" xfId="4" applyNumberFormat="1" applyFont="1" applyFill="1" applyBorder="1" applyAlignment="1"/>
    <xf numFmtId="4" fontId="12" fillId="0" borderId="0" xfId="4" applyNumberFormat="1" applyFont="1" applyFill="1" applyBorder="1" applyAlignment="1"/>
    <xf numFmtId="0" fontId="7" fillId="0" borderId="22" xfId="4" applyNumberFormat="1" applyFont="1" applyBorder="1" applyAlignment="1"/>
    <xf numFmtId="0" fontId="8" fillId="0" borderId="22" xfId="4" applyNumberFormat="1" applyFont="1" applyBorder="1" applyAlignment="1"/>
    <xf numFmtId="0" fontId="8" fillId="0" borderId="11" xfId="4" applyNumberFormat="1" applyFont="1" applyBorder="1" applyAlignment="1"/>
    <xf numFmtId="4" fontId="8" fillId="0" borderId="11" xfId="4" applyNumberFormat="1" applyFont="1" applyFill="1" applyBorder="1" applyAlignment="1"/>
    <xf numFmtId="0" fontId="8" fillId="0" borderId="11" xfId="4" applyNumberFormat="1" applyFont="1" applyFill="1" applyBorder="1" applyAlignment="1"/>
    <xf numFmtId="0" fontId="7" fillId="0" borderId="6" xfId="4" applyNumberFormat="1" applyFont="1" applyFill="1" applyBorder="1" applyAlignment="1"/>
    <xf numFmtId="0" fontId="7" fillId="0" borderId="6" xfId="4" applyNumberFormat="1" applyFont="1" applyFill="1" applyBorder="1" applyAlignment="1">
      <alignment horizontal="center"/>
    </xf>
    <xf numFmtId="0" fontId="7" fillId="0" borderId="23" xfId="4" applyNumberFormat="1" applyFont="1" applyBorder="1" applyAlignment="1"/>
    <xf numFmtId="0" fontId="8" fillId="0" borderId="24" xfId="4" applyNumberFormat="1" applyFont="1" applyBorder="1" applyAlignment="1"/>
    <xf numFmtId="0" fontId="8" fillId="0" borderId="25" xfId="4" applyNumberFormat="1" applyFont="1" applyBorder="1" applyAlignment="1"/>
    <xf numFmtId="0" fontId="8" fillId="0" borderId="26" xfId="4" applyNumberFormat="1" applyFont="1" applyFill="1" applyBorder="1" applyAlignment="1"/>
    <xf numFmtId="0" fontId="8" fillId="0" borderId="20" xfId="4" applyNumberFormat="1" applyFont="1" applyFill="1" applyBorder="1" applyAlignment="1"/>
    <xf numFmtId="0" fontId="8" fillId="0" borderId="20" xfId="4" applyNumberFormat="1" applyFont="1" applyFill="1" applyBorder="1" applyAlignment="1">
      <alignment horizontal="center"/>
    </xf>
    <xf numFmtId="0" fontId="8" fillId="0" borderId="27" xfId="4" applyNumberFormat="1" applyFont="1" applyBorder="1" applyAlignment="1"/>
    <xf numFmtId="0" fontId="8" fillId="0" borderId="28" xfId="4" applyNumberFormat="1" applyFont="1" applyBorder="1" applyAlignment="1"/>
    <xf numFmtId="0" fontId="8" fillId="0" borderId="6" xfId="4" applyNumberFormat="1" applyFont="1" applyBorder="1" applyAlignment="1"/>
    <xf numFmtId="2" fontId="12" fillId="0" borderId="0" xfId="4" applyNumberFormat="1" applyFont="1" applyBorder="1" applyAlignment="1"/>
    <xf numFmtId="0" fontId="7" fillId="0" borderId="11" xfId="4" applyNumberFormat="1" applyFont="1" applyBorder="1" applyAlignment="1"/>
    <xf numFmtId="0" fontId="8" fillId="0" borderId="0" xfId="4" applyNumberFormat="1" applyFont="1" applyFill="1" applyBorder="1" applyAlignment="1"/>
    <xf numFmtId="0" fontId="7" fillId="0" borderId="0" xfId="4" applyNumberFormat="1" applyFont="1" applyFill="1" applyBorder="1" applyAlignment="1"/>
    <xf numFmtId="0" fontId="13" fillId="0" borderId="29" xfId="4" applyNumberFormat="1" applyFont="1" applyBorder="1" applyAlignment="1"/>
    <xf numFmtId="0" fontId="7" fillId="0" borderId="30" xfId="4" applyNumberFormat="1" applyFont="1" applyBorder="1" applyAlignment="1"/>
    <xf numFmtId="0" fontId="13" fillId="0" borderId="30" xfId="4" applyNumberFormat="1" applyFont="1" applyBorder="1" applyAlignment="1"/>
    <xf numFmtId="2" fontId="13" fillId="0" borderId="31" xfId="4" applyNumberFormat="1" applyFont="1" applyFill="1" applyBorder="1" applyAlignment="1"/>
    <xf numFmtId="2" fontId="14" fillId="0" borderId="0" xfId="4" applyNumberFormat="1" applyFont="1" applyFill="1" applyBorder="1" applyAlignment="1"/>
    <xf numFmtId="0" fontId="8" fillId="0" borderId="0" xfId="4" applyNumberFormat="1" applyFont="1" applyFill="1" applyBorder="1" applyAlignment="1">
      <alignment horizontal="center"/>
    </xf>
    <xf numFmtId="0" fontId="7" fillId="0" borderId="3" xfId="4" applyNumberFormat="1" applyFont="1" applyBorder="1" applyAlignment="1">
      <alignment horizontal="center"/>
    </xf>
    <xf numFmtId="0" fontId="8" fillId="0" borderId="32" xfId="4" applyNumberFormat="1" applyFont="1" applyBorder="1" applyAlignment="1"/>
    <xf numFmtId="0" fontId="8" fillId="0" borderId="1" xfId="4" applyNumberFormat="1" applyFont="1" applyBorder="1" applyAlignment="1"/>
    <xf numFmtId="2" fontId="8" fillId="0" borderId="33" xfId="4" applyNumberFormat="1" applyFont="1" applyFill="1" applyBorder="1" applyAlignment="1"/>
    <xf numFmtId="0" fontId="8" fillId="0" borderId="34" xfId="4" applyNumberFormat="1" applyFont="1" applyBorder="1" applyAlignment="1"/>
    <xf numFmtId="4" fontId="8" fillId="0" borderId="35" xfId="4" applyNumberFormat="1" applyFont="1" applyFill="1" applyBorder="1" applyAlignment="1"/>
    <xf numFmtId="0" fontId="8" fillId="0" borderId="34" xfId="4" applyNumberFormat="1" applyFont="1" applyFill="1" applyBorder="1" applyAlignment="1"/>
    <xf numFmtId="0" fontId="8" fillId="0" borderId="6" xfId="4" applyNumberFormat="1" applyFont="1" applyFill="1" applyBorder="1" applyAlignment="1"/>
    <xf numFmtId="4" fontId="8" fillId="0" borderId="35" xfId="4" applyNumberFormat="1" applyFont="1" applyBorder="1" applyAlignment="1"/>
    <xf numFmtId="0" fontId="8" fillId="0" borderId="3" xfId="4" applyNumberFormat="1" applyFont="1" applyBorder="1" applyAlignment="1">
      <alignment horizontal="center"/>
    </xf>
    <xf numFmtId="0" fontId="8" fillId="0" borderId="26" xfId="4" applyNumberFormat="1" applyFont="1" applyBorder="1" applyAlignment="1"/>
    <xf numFmtId="0" fontId="8" fillId="0" borderId="26" xfId="4" applyNumberFormat="1" applyFont="1" applyBorder="1" applyAlignment="1">
      <alignment horizontal="center"/>
    </xf>
    <xf numFmtId="4" fontId="12" fillId="0" borderId="0" xfId="4" applyNumberFormat="1" applyFont="1" applyBorder="1" applyAlignment="1"/>
    <xf numFmtId="0" fontId="1" fillId="0" borderId="11" xfId="4" applyNumberFormat="1" applyFont="1" applyBorder="1" applyAlignment="1"/>
    <xf numFmtId="0" fontId="1" fillId="0" borderId="26" xfId="4" applyNumberFormat="1" applyFont="1" applyBorder="1" applyAlignment="1"/>
    <xf numFmtId="0" fontId="8" fillId="0" borderId="26" xfId="4" applyNumberFormat="1" applyFont="1" applyFill="1" applyBorder="1" applyAlignment="1">
      <alignment horizontal="center"/>
    </xf>
    <xf numFmtId="0" fontId="12" fillId="0" borderId="0" xfId="4" applyNumberFormat="1" applyFont="1" applyFill="1" applyBorder="1" applyAlignment="1"/>
    <xf numFmtId="0" fontId="13" fillId="0" borderId="36" xfId="4" applyNumberFormat="1" applyFont="1" applyBorder="1" applyAlignment="1"/>
    <xf numFmtId="0" fontId="7" fillId="0" borderId="37" xfId="4" applyNumberFormat="1" applyFont="1" applyBorder="1" applyAlignment="1"/>
    <xf numFmtId="0" fontId="13" fillId="0" borderId="37" xfId="4" applyNumberFormat="1" applyFont="1" applyBorder="1" applyAlignment="1"/>
    <xf numFmtId="2" fontId="13" fillId="0" borderId="38" xfId="4" applyNumberFormat="1" applyFont="1" applyFill="1" applyBorder="1" applyAlignment="1"/>
    <xf numFmtId="0" fontId="12" fillId="0" borderId="0" xfId="4" applyNumberFormat="1" applyFont="1" applyAlignment="1"/>
    <xf numFmtId="0" fontId="7" fillId="0" borderId="11" xfId="4" applyNumberFormat="1" applyFont="1" applyFill="1" applyBorder="1" applyAlignment="1"/>
    <xf numFmtId="0" fontId="8" fillId="0" borderId="0" xfId="4" applyNumberFormat="1" applyFont="1" applyFill="1" applyAlignment="1"/>
    <xf numFmtId="0" fontId="10" fillId="0" borderId="0" xfId="4" applyNumberFormat="1" applyFont="1" applyBorder="1" applyAlignment="1"/>
    <xf numFmtId="0" fontId="14" fillId="0" borderId="0" xfId="4" applyNumberFormat="1" applyFont="1" applyBorder="1" applyAlignment="1">
      <alignment horizontal="center"/>
    </xf>
    <xf numFmtId="0" fontId="8" fillId="0" borderId="39" xfId="4" applyNumberFormat="1" applyFont="1" applyBorder="1" applyAlignment="1"/>
    <xf numFmtId="0" fontId="7" fillId="0" borderId="41" xfId="4" applyNumberFormat="1" applyFont="1" applyFill="1" applyBorder="1" applyAlignment="1"/>
    <xf numFmtId="0" fontId="7" fillId="0" borderId="41" xfId="4" applyNumberFormat="1" applyFont="1" applyBorder="1" applyAlignment="1"/>
    <xf numFmtId="2" fontId="7" fillId="0" borderId="42" xfId="4" applyNumberFormat="1" applyFont="1" applyFill="1" applyBorder="1" applyAlignment="1"/>
    <xf numFmtId="0" fontId="7" fillId="0" borderId="43" xfId="4" applyNumberFormat="1" applyFont="1" applyBorder="1" applyAlignment="1"/>
    <xf numFmtId="0" fontId="13" fillId="0" borderId="44" xfId="4" applyNumberFormat="1" applyFont="1" applyBorder="1" applyAlignment="1"/>
    <xf numFmtId="2" fontId="13" fillId="0" borderId="45" xfId="4" applyNumberFormat="1" applyFont="1" applyFill="1" applyBorder="1" applyAlignment="1"/>
    <xf numFmtId="0" fontId="8" fillId="0" borderId="0" xfId="4" applyNumberFormat="1" applyFont="1" applyBorder="1" applyAlignment="1"/>
    <xf numFmtId="2" fontId="6" fillId="0" borderId="0" xfId="4" applyNumberFormat="1" applyFont="1" applyAlignment="1"/>
    <xf numFmtId="2" fontId="6" fillId="0" borderId="0" xfId="4" applyNumberFormat="1" applyFont="1" applyFill="1" applyAlignment="1"/>
    <xf numFmtId="2" fontId="9" fillId="0" borderId="0" xfId="4" applyNumberFormat="1" applyFont="1" applyFill="1" applyAlignment="1"/>
    <xf numFmtId="0" fontId="12" fillId="0" borderId="0" xfId="4" applyNumberFormat="1" applyFont="1" applyFill="1" applyAlignment="1"/>
    <xf numFmtId="0" fontId="1" fillId="0" borderId="0" xfId="4" applyNumberFormat="1" applyFont="1" applyAlignment="1">
      <alignment horizontal="right"/>
    </xf>
    <xf numFmtId="2" fontId="1" fillId="0" borderId="0" xfId="4" applyNumberFormat="1" applyFont="1" applyAlignment="1"/>
    <xf numFmtId="0" fontId="5" fillId="0" borderId="0" xfId="4" applyNumberFormat="1" applyFont="1" applyFill="1" applyAlignment="1"/>
    <xf numFmtId="0" fontId="15" fillId="0" borderId="0" xfId="4" applyNumberFormat="1" applyFont="1" applyBorder="1" applyAlignment="1"/>
    <xf numFmtId="0" fontId="16" fillId="0" borderId="0" xfId="4" applyNumberFormat="1" applyFont="1" applyAlignment="1"/>
    <xf numFmtId="0" fontId="5" fillId="0" borderId="0" xfId="4" applyNumberFormat="1" applyFont="1" applyAlignment="1">
      <alignment horizontal="center"/>
    </xf>
    <xf numFmtId="0" fontId="3" fillId="0" borderId="20" xfId="4" applyNumberFormat="1" applyFont="1" applyBorder="1" applyAlignment="1"/>
    <xf numFmtId="0" fontId="3" fillId="0" borderId="3" xfId="4" applyNumberFormat="1" applyFont="1" applyFill="1" applyBorder="1" applyAlignment="1"/>
    <xf numFmtId="0" fontId="3" fillId="0" borderId="3" xfId="4" applyNumberFormat="1" applyFont="1" applyBorder="1" applyAlignment="1"/>
    <xf numFmtId="0" fontId="3" fillId="0" borderId="3" xfId="4" applyNumberFormat="1" applyFont="1" applyBorder="1" applyAlignment="1">
      <alignment horizontal="center"/>
    </xf>
    <xf numFmtId="0" fontId="3" fillId="0" borderId="3" xfId="4" applyNumberFormat="1" applyFont="1" applyBorder="1" applyAlignment="1">
      <alignment horizontal="right"/>
    </xf>
    <xf numFmtId="2" fontId="3" fillId="0" borderId="3" xfId="4" applyNumberFormat="1" applyFont="1" applyBorder="1" applyAlignment="1"/>
    <xf numFmtId="0" fontId="3" fillId="0" borderId="6" xfId="4" applyNumberFormat="1" applyFont="1" applyBorder="1" applyAlignment="1"/>
    <xf numFmtId="0" fontId="3" fillId="0" borderId="6" xfId="4" applyNumberFormat="1" applyFont="1" applyFill="1" applyBorder="1" applyAlignment="1"/>
    <xf numFmtId="0" fontId="1" fillId="0" borderId="6" xfId="4" applyNumberFormat="1" applyFont="1" applyBorder="1" applyAlignment="1"/>
    <xf numFmtId="0" fontId="3" fillId="0" borderId="6" xfId="4" applyNumberFormat="1" applyFont="1" applyBorder="1" applyAlignment="1">
      <alignment horizontal="right"/>
    </xf>
    <xf numFmtId="0" fontId="1" fillId="0" borderId="6" xfId="4" applyNumberFormat="1" applyFont="1" applyFill="1" applyBorder="1" applyAlignment="1"/>
    <xf numFmtId="2" fontId="1" fillId="0" borderId="3" xfId="4" applyNumberFormat="1" applyFont="1" applyBorder="1" applyAlignment="1"/>
    <xf numFmtId="0" fontId="1" fillId="0" borderId="3" xfId="4" applyNumberFormat="1" applyFont="1" applyBorder="1" applyAlignment="1">
      <alignment horizontal="right"/>
    </xf>
    <xf numFmtId="0" fontId="1" fillId="0" borderId="3" xfId="4" applyNumberFormat="1" applyFont="1" applyBorder="1" applyAlignment="1">
      <alignment horizontal="center"/>
    </xf>
    <xf numFmtId="0" fontId="1" fillId="0" borderId="6" xfId="4" applyNumberFormat="1" applyFont="1" applyBorder="1" applyAlignment="1">
      <alignment horizontal="right"/>
    </xf>
    <xf numFmtId="0" fontId="1" fillId="0" borderId="26" xfId="4" applyNumberFormat="1" applyFont="1" applyFill="1" applyBorder="1" applyAlignment="1"/>
    <xf numFmtId="4" fontId="1" fillId="0" borderId="26" xfId="4" applyNumberFormat="1" applyFont="1" applyBorder="1" applyAlignment="1"/>
    <xf numFmtId="0" fontId="1" fillId="0" borderId="26" xfId="4" applyNumberFormat="1" applyFont="1" applyBorder="1" applyAlignment="1">
      <alignment horizontal="center"/>
    </xf>
    <xf numFmtId="4" fontId="1" fillId="0" borderId="26" xfId="4" applyNumberFormat="1" applyFont="1" applyFill="1" applyBorder="1" applyAlignment="1"/>
    <xf numFmtId="0" fontId="1" fillId="0" borderId="26" xfId="4" applyNumberFormat="1" applyFont="1" applyFill="1" applyBorder="1" applyAlignment="1">
      <alignment horizontal="center"/>
    </xf>
    <xf numFmtId="0" fontId="1" fillId="0" borderId="0" xfId="4" applyNumberFormat="1" applyFont="1" applyBorder="1" applyAlignment="1">
      <alignment horizontal="center"/>
    </xf>
    <xf numFmtId="4" fontId="1" fillId="0" borderId="0" xfId="4" applyNumberFormat="1" applyFont="1" applyBorder="1" applyAlignment="1"/>
    <xf numFmtId="0" fontId="1" fillId="0" borderId="11" xfId="4" applyNumberFormat="1" applyFont="1" applyFill="1" applyBorder="1" applyAlignment="1"/>
    <xf numFmtId="0" fontId="3" fillId="0" borderId="11" xfId="4" applyNumberFormat="1" applyFont="1" applyBorder="1" applyAlignment="1"/>
    <xf numFmtId="0" fontId="1" fillId="0" borderId="6" xfId="4" applyNumberFormat="1" applyFont="1" applyBorder="1" applyAlignment="1">
      <alignment horizontal="center"/>
    </xf>
    <xf numFmtId="2" fontId="1" fillId="0" borderId="6" xfId="4" applyNumberFormat="1" applyFont="1" applyBorder="1" applyAlignment="1"/>
    <xf numFmtId="2" fontId="5" fillId="0" borderId="0" xfId="4" applyNumberFormat="1" applyFont="1" applyAlignment="1">
      <alignment horizontal="center"/>
    </xf>
    <xf numFmtId="0" fontId="3" fillId="0" borderId="6" xfId="4" applyNumberFormat="1" applyFont="1" applyBorder="1" applyAlignment="1">
      <alignment horizontal="center"/>
    </xf>
    <xf numFmtId="0" fontId="15" fillId="0" borderId="0" xfId="4" applyNumberFormat="1" applyFont="1" applyAlignment="1"/>
    <xf numFmtId="2" fontId="1" fillId="0" borderId="0" xfId="4" applyNumberFormat="1" applyFont="1" applyBorder="1" applyAlignment="1"/>
    <xf numFmtId="2" fontId="1" fillId="0" borderId="11" xfId="4" applyNumberFormat="1" applyFont="1" applyBorder="1" applyAlignment="1"/>
    <xf numFmtId="0" fontId="3" fillId="0" borderId="3" xfId="4" applyNumberFormat="1" applyFont="1" applyFill="1" applyBorder="1" applyAlignment="1">
      <alignment horizontal="right"/>
    </xf>
    <xf numFmtId="0" fontId="17" fillId="0" borderId="0" xfId="3" applyFont="1" applyAlignment="1"/>
    <xf numFmtId="0" fontId="1" fillId="0" borderId="0" xfId="3" applyFont="1" applyAlignment="1"/>
    <xf numFmtId="0" fontId="16" fillId="0" borderId="0" xfId="3" applyFont="1" applyAlignment="1"/>
    <xf numFmtId="0" fontId="3" fillId="0" borderId="0" xfId="3"/>
    <xf numFmtId="0" fontId="1" fillId="0" borderId="0" xfId="3" applyFont="1" applyFill="1" applyAlignment="1"/>
    <xf numFmtId="165" fontId="1" fillId="0" borderId="0" xfId="4" applyNumberFormat="1" applyFont="1" applyAlignment="1">
      <alignment horizontal="right"/>
    </xf>
    <xf numFmtId="166" fontId="1" fillId="0" borderId="0" xfId="4" applyNumberFormat="1" applyFont="1" applyAlignment="1">
      <alignment horizontal="right"/>
    </xf>
    <xf numFmtId="0" fontId="4" fillId="0" borderId="0" xfId="3" applyFont="1" applyFill="1" applyAlignment="1"/>
    <xf numFmtId="0" fontId="3" fillId="0" borderId="0" xfId="3" applyFill="1"/>
    <xf numFmtId="2" fontId="1" fillId="0" borderId="0" xfId="3" applyNumberFormat="1" applyFont="1" applyFill="1" applyAlignment="1"/>
    <xf numFmtId="165" fontId="1" fillId="0" borderId="0" xfId="3" applyNumberFormat="1" applyFont="1" applyFill="1" applyAlignment="1"/>
    <xf numFmtId="167" fontId="3" fillId="0" borderId="0" xfId="1" applyNumberFormat="1" applyFont="1" applyFill="1"/>
    <xf numFmtId="0" fontId="3" fillId="0" borderId="46" xfId="4" applyNumberFormat="1" applyFont="1" applyFill="1" applyBorder="1" applyAlignment="1"/>
    <xf numFmtId="0" fontId="3" fillId="0" borderId="7" xfId="4" applyNumberFormat="1" applyFont="1" applyFill="1" applyBorder="1" applyAlignment="1">
      <alignment horizontal="center"/>
    </xf>
    <xf numFmtId="2" fontId="3" fillId="0" borderId="0" xfId="4" applyNumberFormat="1" applyFont="1" applyFill="1" applyBorder="1" applyAlignment="1">
      <alignment horizontal="right"/>
    </xf>
    <xf numFmtId="4" fontId="8" fillId="0" borderId="40" xfId="4" applyNumberFormat="1" applyFont="1" applyFill="1" applyBorder="1" applyAlignment="1"/>
    <xf numFmtId="4" fontId="8" fillId="0" borderId="47" xfId="4" applyNumberFormat="1" applyFont="1" applyBorder="1" applyAlignment="1"/>
    <xf numFmtId="4" fontId="8" fillId="0" borderId="0" xfId="4" applyNumberFormat="1" applyFont="1" applyFill="1" applyBorder="1" applyAlignment="1"/>
    <xf numFmtId="4" fontId="8" fillId="0" borderId="48" xfId="4" applyNumberFormat="1" applyFont="1" applyFill="1" applyBorder="1" applyAlignment="1"/>
    <xf numFmtId="0" fontId="1" fillId="0" borderId="0" xfId="3" applyFont="1" applyFill="1" applyAlignment="1">
      <alignment horizontal="left"/>
    </xf>
    <xf numFmtId="164" fontId="3" fillId="0" borderId="0" xfId="3" applyNumberFormat="1" applyFill="1"/>
    <xf numFmtId="167" fontId="1" fillId="0" borderId="0" xfId="1" applyNumberFormat="1" applyFont="1" applyFill="1" applyBorder="1" applyAlignment="1"/>
    <xf numFmtId="165" fontId="1" fillId="0" borderId="0" xfId="4" applyNumberFormat="1" applyFont="1" applyFill="1" applyAlignment="1">
      <alignment horizontal="left"/>
    </xf>
    <xf numFmtId="168" fontId="3" fillId="0" borderId="0" xfId="3" applyNumberFormat="1"/>
    <xf numFmtId="167" fontId="3" fillId="0" borderId="0" xfId="1" applyNumberFormat="1" applyFont="1"/>
    <xf numFmtId="44" fontId="3" fillId="0" borderId="0" xfId="1" applyFont="1"/>
    <xf numFmtId="168" fontId="3" fillId="0" borderId="0" xfId="3" applyNumberFormat="1" applyAlignment="1">
      <alignment horizontal="left"/>
    </xf>
    <xf numFmtId="4" fontId="8" fillId="0" borderId="49" xfId="4" applyNumberFormat="1" applyFont="1" applyBorder="1" applyAlignment="1"/>
    <xf numFmtId="168" fontId="3" fillId="0" borderId="0" xfId="3" applyNumberFormat="1" applyFill="1"/>
    <xf numFmtId="168" fontId="1" fillId="0" borderId="0" xfId="4" applyNumberFormat="1" applyFont="1" applyFill="1" applyAlignment="1">
      <alignment horizontal="left"/>
    </xf>
    <xf numFmtId="168" fontId="3" fillId="0" borderId="0" xfId="4" applyNumberFormat="1" applyFont="1" applyFill="1" applyBorder="1" applyAlignment="1"/>
    <xf numFmtId="168" fontId="1" fillId="0" borderId="0" xfId="3" applyNumberFormat="1" applyFont="1" applyFill="1" applyAlignment="1">
      <alignment horizontal="right"/>
    </xf>
    <xf numFmtId="0" fontId="3" fillId="0" borderId="2" xfId="4" applyNumberFormat="1" applyFont="1" applyFill="1" applyBorder="1" applyAlignment="1">
      <alignment horizontal="center"/>
    </xf>
    <xf numFmtId="4" fontId="7" fillId="0" borderId="3" xfId="4" applyNumberFormat="1" applyFont="1" applyFill="1" applyBorder="1" applyAlignment="1"/>
    <xf numFmtId="168" fontId="1" fillId="0" borderId="0" xfId="3" applyNumberFormat="1" applyFont="1" applyFill="1" applyAlignment="1"/>
    <xf numFmtId="168" fontId="1" fillId="0" borderId="0" xfId="4" applyNumberFormat="1" applyFont="1" applyFill="1" applyBorder="1" applyAlignment="1"/>
    <xf numFmtId="168" fontId="1" fillId="0" borderId="0" xfId="4" applyNumberFormat="1" applyFont="1" applyFill="1" applyAlignment="1"/>
    <xf numFmtId="168" fontId="1" fillId="0" borderId="0" xfId="4" applyNumberFormat="1" applyFont="1" applyAlignment="1"/>
    <xf numFmtId="168" fontId="1" fillId="0" borderId="0" xfId="3" applyNumberFormat="1" applyFont="1" applyAlignment="1"/>
    <xf numFmtId="168" fontId="1" fillId="0" borderId="0" xfId="4" applyNumberFormat="1" applyFont="1" applyAlignment="1">
      <alignment horizontal="right"/>
    </xf>
    <xf numFmtId="168" fontId="1" fillId="0" borderId="0" xfId="4" applyNumberFormat="1" applyFont="1" applyAlignment="1">
      <alignment horizontal="left"/>
    </xf>
    <xf numFmtId="0" fontId="5" fillId="0" borderId="0" xfId="4" applyNumberFormat="1" applyFont="1" applyBorder="1" applyAlignment="1"/>
    <xf numFmtId="4" fontId="2" fillId="0" borderId="0" xfId="4" applyNumberFormat="1" applyFont="1" applyFill="1" applyBorder="1" applyAlignment="1"/>
    <xf numFmtId="0" fontId="7" fillId="0" borderId="20" xfId="4" applyNumberFormat="1" applyFont="1" applyFill="1" applyBorder="1" applyAlignment="1"/>
    <xf numFmtId="0" fontId="7" fillId="0" borderId="20" xfId="4" applyNumberFormat="1" applyFont="1" applyBorder="1" applyAlignment="1"/>
    <xf numFmtId="2" fontId="7" fillId="0" borderId="20" xfId="4" applyNumberFormat="1" applyFont="1" applyFill="1" applyBorder="1" applyAlignment="1"/>
    <xf numFmtId="0" fontId="7" fillId="0" borderId="26" xfId="4" applyNumberFormat="1" applyFont="1" applyFill="1" applyBorder="1" applyAlignment="1"/>
    <xf numFmtId="0" fontId="7" fillId="0" borderId="26" xfId="4" applyNumberFormat="1" applyFont="1" applyBorder="1" applyAlignment="1"/>
    <xf numFmtId="2" fontId="7" fillId="0" borderId="26" xfId="4" applyNumberFormat="1" applyFont="1" applyFill="1" applyBorder="1" applyAlignment="1"/>
    <xf numFmtId="0" fontId="2" fillId="0" borderId="50" xfId="4" applyNumberFormat="1" applyFont="1" applyFill="1" applyBorder="1" applyAlignment="1">
      <alignment horizontal="center"/>
    </xf>
    <xf numFmtId="0" fontId="2" fillId="0" borderId="51" xfId="4" applyNumberFormat="1" applyFont="1" applyBorder="1" applyAlignment="1">
      <alignment horizontal="center"/>
    </xf>
    <xf numFmtId="0" fontId="2" fillId="0" borderId="52" xfId="4" applyNumberFormat="1" applyFont="1" applyBorder="1" applyAlignment="1">
      <alignment horizontal="center"/>
    </xf>
    <xf numFmtId="4" fontId="3" fillId="0" borderId="53" xfId="4" applyNumberFormat="1" applyFont="1" applyFill="1" applyBorder="1" applyAlignment="1"/>
    <xf numFmtId="4" fontId="3" fillId="0" borderId="49" xfId="4" applyNumberFormat="1" applyFont="1" applyBorder="1" applyAlignment="1"/>
    <xf numFmtId="4" fontId="3" fillId="0" borderId="54" xfId="4" applyNumberFormat="1" applyFont="1" applyFill="1" applyBorder="1" applyAlignment="1"/>
    <xf numFmtId="4" fontId="3" fillId="0" borderId="55" xfId="4" applyNumberFormat="1" applyFont="1" applyFill="1" applyBorder="1" applyAlignment="1"/>
    <xf numFmtId="4" fontId="3" fillId="0" borderId="56" xfId="4" applyNumberFormat="1" applyFont="1" applyFill="1" applyBorder="1" applyAlignment="1"/>
    <xf numFmtId="4" fontId="2" fillId="0" borderId="57" xfId="4" applyNumberFormat="1" applyFont="1" applyBorder="1" applyAlignment="1">
      <alignment horizontal="center"/>
    </xf>
    <xf numFmtId="4" fontId="2" fillId="0" borderId="58" xfId="4" applyNumberFormat="1" applyFont="1" applyBorder="1" applyAlignment="1">
      <alignment horizontal="center"/>
    </xf>
    <xf numFmtId="4" fontId="3" fillId="0" borderId="58" xfId="4" applyNumberFormat="1" applyFont="1" applyBorder="1" applyAlignment="1"/>
    <xf numFmtId="0" fontId="3" fillId="0" borderId="58" xfId="4" applyNumberFormat="1" applyFont="1" applyBorder="1" applyAlignment="1"/>
    <xf numFmtId="4" fontId="3" fillId="0" borderId="59" xfId="4" applyNumberFormat="1" applyFont="1" applyBorder="1" applyAlignment="1"/>
    <xf numFmtId="4" fontId="3" fillId="0" borderId="26" xfId="4" applyNumberFormat="1" applyFont="1" applyFill="1" applyBorder="1" applyAlignment="1"/>
    <xf numFmtId="4" fontId="3" fillId="0" borderId="26" xfId="4" applyNumberFormat="1" applyFont="1" applyBorder="1" applyAlignment="1"/>
    <xf numFmtId="0" fontId="4" fillId="0" borderId="0" xfId="4" applyNumberFormat="1" applyFont="1" applyBorder="1" applyAlignment="1"/>
    <xf numFmtId="0" fontId="3" fillId="0" borderId="13" xfId="4" applyNumberFormat="1" applyFont="1" applyFill="1" applyBorder="1" applyAlignment="1"/>
    <xf numFmtId="4" fontId="3" fillId="0" borderId="60" xfId="4" applyNumberFormat="1" applyFont="1" applyFill="1" applyBorder="1" applyAlignment="1"/>
    <xf numFmtId="4" fontId="3" fillId="0" borderId="15" xfId="4" applyNumberFormat="1" applyFont="1" applyFill="1" applyBorder="1" applyAlignment="1"/>
    <xf numFmtId="168" fontId="1" fillId="0" borderId="0" xfId="3" applyNumberFormat="1" applyFont="1" applyFill="1" applyBorder="1" applyAlignment="1"/>
    <xf numFmtId="0" fontId="1" fillId="0" borderId="0" xfId="3" applyFont="1" applyBorder="1" applyAlignment="1"/>
    <xf numFmtId="168" fontId="3" fillId="0" borderId="0" xfId="3" applyNumberFormat="1" applyBorder="1" applyAlignment="1">
      <alignment horizontal="left"/>
    </xf>
    <xf numFmtId="168" fontId="3" fillId="0" borderId="0" xfId="3" applyNumberFormat="1" applyFill="1" applyBorder="1"/>
    <xf numFmtId="168" fontId="3" fillId="0" borderId="0" xfId="3" applyNumberFormat="1" applyBorder="1"/>
    <xf numFmtId="168" fontId="3" fillId="0" borderId="0" xfId="1" applyNumberFormat="1" applyFont="1" applyBorder="1" applyAlignment="1">
      <alignment horizontal="right"/>
    </xf>
    <xf numFmtId="168" fontId="1" fillId="0" borderId="0" xfId="4" applyNumberFormat="1" applyFont="1" applyFill="1" applyBorder="1" applyAlignment="1">
      <alignment horizontal="left"/>
    </xf>
    <xf numFmtId="165" fontId="1" fillId="0" borderId="0" xfId="4" applyNumberFormat="1" applyFont="1" applyFill="1" applyBorder="1" applyAlignment="1">
      <alignment horizontal="left"/>
    </xf>
    <xf numFmtId="168" fontId="1" fillId="0" borderId="0" xfId="1" applyNumberFormat="1" applyFont="1" applyBorder="1" applyAlignment="1"/>
    <xf numFmtId="165" fontId="1" fillId="0" borderId="0" xfId="4" applyNumberFormat="1" applyFont="1" applyBorder="1" applyAlignment="1">
      <alignment horizontal="right"/>
    </xf>
    <xf numFmtId="0" fontId="1" fillId="0" borderId="0" xfId="3" applyFont="1" applyFill="1" applyBorder="1" applyAlignment="1"/>
    <xf numFmtId="168" fontId="3" fillId="0" borderId="0" xfId="3" applyNumberFormat="1" applyFont="1" applyBorder="1" applyAlignment="1">
      <alignment horizontal="left"/>
    </xf>
    <xf numFmtId="168" fontId="3" fillId="0" borderId="0" xfId="3" applyNumberFormat="1" applyFont="1" applyFill="1" applyBorder="1"/>
    <xf numFmtId="0" fontId="3" fillId="0" borderId="0" xfId="3" applyFont="1" applyBorder="1"/>
    <xf numFmtId="0" fontId="3" fillId="0" borderId="0" xfId="3" applyFont="1"/>
    <xf numFmtId="0" fontId="3" fillId="0" borderId="0" xfId="3" applyFont="1" applyFill="1"/>
    <xf numFmtId="2" fontId="1" fillId="0" borderId="0" xfId="4" applyNumberFormat="1" applyFont="1"/>
    <xf numFmtId="0" fontId="3" fillId="0" borderId="0" xfId="3" applyBorder="1"/>
    <xf numFmtId="0" fontId="3" fillId="0" borderId="0" xfId="3" applyFill="1" applyBorder="1"/>
    <xf numFmtId="0" fontId="3" fillId="0" borderId="0" xfId="3" applyBorder="1" applyAlignment="1">
      <alignment horizontal="left"/>
    </xf>
    <xf numFmtId="0" fontId="2" fillId="0" borderId="13" xfId="4" applyNumberFormat="1" applyFont="1" applyFill="1" applyBorder="1" applyAlignment="1">
      <alignment horizontal="center"/>
    </xf>
    <xf numFmtId="0" fontId="2" fillId="0" borderId="61" xfId="4" applyNumberFormat="1" applyFont="1" applyFill="1" applyBorder="1" applyAlignment="1">
      <alignment horizontal="center"/>
    </xf>
    <xf numFmtId="0" fontId="2" fillId="0" borderId="1" xfId="4" applyNumberFormat="1" applyFont="1" applyFill="1" applyBorder="1" applyAlignment="1">
      <alignment horizontal="center"/>
    </xf>
    <xf numFmtId="4" fontId="3" fillId="0" borderId="17" xfId="4" applyNumberFormat="1" applyFont="1" applyFill="1" applyBorder="1" applyAlignment="1"/>
    <xf numFmtId="4" fontId="3" fillId="0" borderId="19" xfId="4" applyNumberFormat="1" applyFont="1" applyFill="1" applyBorder="1" applyAlignment="1"/>
    <xf numFmtId="0" fontId="1" fillId="0" borderId="3" xfId="2" applyNumberFormat="1" applyFont="1" applyBorder="1" applyAlignment="1"/>
    <xf numFmtId="4" fontId="3" fillId="2" borderId="0" xfId="4" applyNumberFormat="1" applyFont="1" applyFill="1" applyBorder="1" applyAlignment="1"/>
  </cellXfs>
  <cellStyles count="5">
    <cellStyle name="Monétaire" xfId="1" builtinId="4"/>
    <cellStyle name="Normal" xfId="0" builtinId="0"/>
    <cellStyle name="Normal 2" xfId="2"/>
    <cellStyle name="Normal 3" xfId="3"/>
    <cellStyle name="Normal 4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83"/>
  <sheetViews>
    <sheetView tabSelected="1" showOutlineSymbols="0" topLeftCell="A238" zoomScale="75" zoomScaleNormal="75" workbookViewId="0">
      <selection activeCell="A246" sqref="A246"/>
    </sheetView>
  </sheetViews>
  <sheetFormatPr baseColWidth="10" defaultColWidth="12.42578125" defaultRowHeight="15"/>
  <cols>
    <col min="1" max="1" width="8.5703125" style="27" customWidth="1"/>
    <col min="2" max="2" width="18.28515625" style="12" customWidth="1"/>
    <col min="3" max="4" width="12.140625" style="12" customWidth="1"/>
    <col min="5" max="5" width="11.5703125" style="12" customWidth="1"/>
    <col min="6" max="6" width="14.140625" style="12" customWidth="1"/>
    <col min="7" max="7" width="15.7109375" style="12" customWidth="1"/>
    <col min="8" max="8" width="12.5703125" style="12" customWidth="1"/>
    <col min="9" max="9" width="14.140625" style="12" customWidth="1"/>
    <col min="10" max="10" width="12.85546875" style="12" customWidth="1"/>
    <col min="11" max="11" width="14.7109375" style="12" customWidth="1"/>
    <col min="12" max="12" width="14.42578125" style="12" customWidth="1"/>
    <col min="13" max="13" width="17.85546875" style="12" customWidth="1"/>
    <col min="14" max="14" width="15.5703125" style="12" customWidth="1"/>
    <col min="15" max="16" width="12.42578125" style="12" customWidth="1"/>
    <col min="17" max="17" width="11.140625" style="12" customWidth="1"/>
    <col min="18" max="16384" width="12.42578125" style="12"/>
  </cols>
  <sheetData>
    <row r="1" spans="1:32" ht="15.75">
      <c r="A1" s="1" t="s">
        <v>0</v>
      </c>
      <c r="B1" s="2"/>
      <c r="C1" s="1" t="s">
        <v>1</v>
      </c>
      <c r="D1" s="3">
        <v>45</v>
      </c>
      <c r="E1" s="1"/>
      <c r="F1" s="1"/>
      <c r="G1" s="1"/>
      <c r="H1" s="4" t="s">
        <v>368</v>
      </c>
      <c r="I1" s="1"/>
      <c r="J1" s="1" t="s">
        <v>2</v>
      </c>
      <c r="K1" s="5"/>
      <c r="L1" s="6" t="s">
        <v>3</v>
      </c>
      <c r="M1" s="7" t="s">
        <v>369</v>
      </c>
      <c r="N1" s="7"/>
      <c r="O1" s="8">
        <v>2017</v>
      </c>
      <c r="P1" s="9"/>
      <c r="Q1" s="10"/>
      <c r="R1" s="11"/>
      <c r="S1" s="11"/>
      <c r="T1" s="11"/>
      <c r="U1" s="11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15.75">
      <c r="A2" s="1" t="s">
        <v>4</v>
      </c>
      <c r="B2" s="5"/>
      <c r="C2" s="1"/>
      <c r="D2" s="13"/>
      <c r="E2" s="1"/>
      <c r="F2" s="1"/>
      <c r="G2" s="1"/>
      <c r="H2" s="14" t="s">
        <v>364</v>
      </c>
      <c r="I2" s="13"/>
      <c r="J2" s="1" t="s">
        <v>252</v>
      </c>
      <c r="K2" s="2"/>
      <c r="L2" s="2"/>
      <c r="M2" s="15"/>
      <c r="N2" s="15"/>
      <c r="O2" s="8"/>
      <c r="P2" s="9"/>
      <c r="Q2" s="10"/>
      <c r="R2" s="11"/>
      <c r="S2" s="11"/>
      <c r="T2" s="11"/>
      <c r="U2" s="11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15.75">
      <c r="A3" s="1"/>
      <c r="B3" s="2"/>
      <c r="C3" s="2"/>
      <c r="D3" s="2"/>
      <c r="E3" s="2"/>
      <c r="F3" s="2"/>
      <c r="G3" s="1"/>
      <c r="H3" s="15"/>
      <c r="I3" s="15"/>
      <c r="J3" s="1"/>
      <c r="K3" s="1"/>
      <c r="L3" s="1"/>
      <c r="M3" s="1"/>
      <c r="N3" s="16"/>
      <c r="O3" s="17"/>
      <c r="P3" s="16"/>
      <c r="Q3" s="10"/>
      <c r="R3" s="11"/>
      <c r="S3" s="11"/>
      <c r="T3" s="11"/>
      <c r="U3" s="11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5.75">
      <c r="A4" s="18" t="s">
        <v>5</v>
      </c>
      <c r="B4" s="19" t="s">
        <v>6</v>
      </c>
      <c r="C4" s="20" t="s">
        <v>7</v>
      </c>
      <c r="D4" s="21" t="s">
        <v>8</v>
      </c>
      <c r="E4" s="21" t="s">
        <v>9</v>
      </c>
      <c r="F4" s="21" t="s">
        <v>10</v>
      </c>
      <c r="G4" s="22" t="s">
        <v>11</v>
      </c>
      <c r="H4" s="23" t="s">
        <v>12</v>
      </c>
      <c r="I4" s="21" t="s">
        <v>13</v>
      </c>
      <c r="J4" s="24" t="s">
        <v>14</v>
      </c>
      <c r="K4" s="22" t="s">
        <v>15</v>
      </c>
      <c r="L4" s="22" t="s">
        <v>16</v>
      </c>
      <c r="M4" s="22" t="s">
        <v>17</v>
      </c>
      <c r="N4" s="22" t="s">
        <v>18</v>
      </c>
      <c r="O4" s="25" t="s">
        <v>19</v>
      </c>
      <c r="P4" s="26"/>
      <c r="Q4" s="10"/>
      <c r="R4" s="11"/>
      <c r="S4" s="11"/>
      <c r="T4" s="11"/>
      <c r="U4" s="11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>
      <c r="B5" s="28"/>
      <c r="C5" s="29"/>
      <c r="D5" s="27"/>
      <c r="E5" s="27"/>
      <c r="F5" s="27"/>
      <c r="G5" s="30"/>
      <c r="H5" s="31"/>
      <c r="I5" s="30"/>
      <c r="J5" s="29"/>
      <c r="K5" s="30"/>
      <c r="L5" s="30"/>
      <c r="M5" s="30"/>
      <c r="N5" s="32"/>
      <c r="O5" s="33"/>
      <c r="P5" s="32"/>
      <c r="Q5" s="10"/>
      <c r="R5" s="11"/>
      <c r="S5" s="11"/>
      <c r="T5" s="11"/>
      <c r="U5" s="11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>
      <c r="A6" s="27">
        <v>60000</v>
      </c>
      <c r="B6" s="28" t="s">
        <v>268</v>
      </c>
      <c r="C6" s="29">
        <v>1730.77</v>
      </c>
      <c r="D6" s="27"/>
      <c r="E6" s="27"/>
      <c r="F6" s="27"/>
      <c r="G6" s="30"/>
      <c r="H6" s="31"/>
      <c r="I6" s="30">
        <f>SUM(C6:H6)</f>
        <v>1730.77</v>
      </c>
      <c r="J6" s="29"/>
      <c r="K6" s="30"/>
      <c r="L6" s="30"/>
      <c r="M6" s="30"/>
      <c r="N6" s="32"/>
      <c r="O6" s="33"/>
      <c r="P6" s="32"/>
      <c r="Q6" s="10"/>
      <c r="R6" s="11"/>
      <c r="S6" s="11"/>
      <c r="T6" s="11"/>
      <c r="U6" s="11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>
      <c r="B7" s="28" t="s">
        <v>295</v>
      </c>
      <c r="C7" s="29"/>
      <c r="D7" s="27"/>
      <c r="E7" s="27"/>
      <c r="F7" s="27"/>
      <c r="G7" s="30"/>
      <c r="H7" s="31"/>
      <c r="I7" s="30">
        <f t="shared" ref="I7:I8" si="0">SUM(C7:H7)</f>
        <v>0</v>
      </c>
      <c r="J7" s="29"/>
      <c r="K7" s="30"/>
      <c r="L7" s="30"/>
      <c r="M7" s="30"/>
      <c r="N7" s="32"/>
      <c r="O7" s="33"/>
      <c r="P7" s="32"/>
      <c r="Q7" s="10"/>
      <c r="R7" s="11"/>
      <c r="S7" s="11"/>
      <c r="T7" s="11"/>
      <c r="U7" s="11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>
      <c r="A8" s="28"/>
      <c r="B8" s="28" t="s">
        <v>296</v>
      </c>
      <c r="C8" s="34"/>
      <c r="D8" s="27"/>
      <c r="E8" s="28"/>
      <c r="F8" s="28"/>
      <c r="G8" s="28"/>
      <c r="H8" s="28"/>
      <c r="I8" s="30">
        <f t="shared" si="0"/>
        <v>0</v>
      </c>
      <c r="J8" s="34"/>
      <c r="K8" s="28"/>
      <c r="L8" s="28"/>
      <c r="M8" s="28"/>
      <c r="N8" s="35"/>
      <c r="O8" s="36"/>
      <c r="P8" s="35"/>
      <c r="Q8" s="10"/>
      <c r="R8" s="11"/>
      <c r="S8" s="11"/>
      <c r="T8" s="11"/>
      <c r="U8" s="11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5.75">
      <c r="A9" s="1" t="s">
        <v>20</v>
      </c>
      <c r="B9" s="1"/>
      <c r="C9" s="37" t="s">
        <v>7</v>
      </c>
      <c r="D9" s="38" t="s">
        <v>8</v>
      </c>
      <c r="E9" s="38" t="s">
        <v>9</v>
      </c>
      <c r="F9" s="38" t="s">
        <v>10</v>
      </c>
      <c r="G9" s="38" t="s">
        <v>11</v>
      </c>
      <c r="H9" s="39" t="s">
        <v>12</v>
      </c>
      <c r="I9" s="38" t="s">
        <v>13</v>
      </c>
      <c r="J9" s="37" t="s">
        <v>14</v>
      </c>
      <c r="K9" s="38" t="s">
        <v>15</v>
      </c>
      <c r="L9" s="38" t="s">
        <v>16</v>
      </c>
      <c r="M9" s="38" t="s">
        <v>17</v>
      </c>
      <c r="N9" s="38" t="s">
        <v>18</v>
      </c>
      <c r="O9" s="320" t="s">
        <v>19</v>
      </c>
      <c r="P9" s="26"/>
      <c r="Q9" s="10"/>
      <c r="R9" s="11"/>
      <c r="S9" s="11"/>
      <c r="T9" s="11"/>
      <c r="U9" s="11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>
      <c r="A10" s="41"/>
      <c r="B10" s="28"/>
      <c r="C10" s="42"/>
      <c r="D10" s="43"/>
      <c r="E10" s="43"/>
      <c r="F10" s="43"/>
      <c r="G10" s="43"/>
      <c r="H10" s="43"/>
      <c r="I10" s="43"/>
      <c r="J10" s="52"/>
      <c r="K10" s="323"/>
      <c r="L10" s="323"/>
      <c r="M10" s="323"/>
      <c r="N10" s="323"/>
      <c r="O10" s="54"/>
      <c r="P10" s="32"/>
      <c r="Q10" s="10"/>
      <c r="R10" s="11"/>
      <c r="S10" s="11"/>
      <c r="T10" s="11"/>
      <c r="U10" s="11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>
      <c r="A11" s="41">
        <v>61001</v>
      </c>
      <c r="B11" s="28" t="s">
        <v>305</v>
      </c>
      <c r="C11" s="29">
        <v>768.75</v>
      </c>
      <c r="D11" s="32"/>
      <c r="E11" s="32"/>
      <c r="F11" s="32"/>
      <c r="G11" s="32"/>
      <c r="H11" s="32">
        <v>750</v>
      </c>
      <c r="I11" s="32">
        <f>SUM(C11:H11)</f>
        <v>1518.75</v>
      </c>
      <c r="J11" s="299"/>
      <c r="K11" s="32"/>
      <c r="L11" s="32"/>
      <c r="M11" s="32"/>
      <c r="N11" s="32"/>
      <c r="O11" s="33">
        <v>80.17</v>
      </c>
      <c r="P11" s="32"/>
      <c r="Q11" s="10"/>
      <c r="R11" s="11"/>
      <c r="S11" s="11"/>
      <c r="T11" s="11"/>
      <c r="U11" s="11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>
      <c r="A12" s="41"/>
      <c r="B12" s="28" t="s">
        <v>278</v>
      </c>
      <c r="C12" s="29"/>
      <c r="D12" s="32"/>
      <c r="E12" s="32"/>
      <c r="F12" s="32"/>
      <c r="G12" s="32"/>
      <c r="H12" s="32"/>
      <c r="I12" s="32">
        <f>SUM(C12:H12)</f>
        <v>0</v>
      </c>
      <c r="J12" s="299"/>
      <c r="K12" s="32"/>
      <c r="L12" s="32"/>
      <c r="M12" s="32"/>
      <c r="N12" s="32"/>
      <c r="O12" s="33"/>
      <c r="P12" s="32"/>
      <c r="Q12" s="10"/>
      <c r="R12" s="11"/>
      <c r="S12" s="11"/>
      <c r="T12" s="11"/>
      <c r="U12" s="11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>
      <c r="A13" s="41"/>
      <c r="B13" s="28" t="s">
        <v>279</v>
      </c>
      <c r="C13" s="29"/>
      <c r="D13" s="32"/>
      <c r="E13" s="32"/>
      <c r="F13" s="32"/>
      <c r="G13" s="32"/>
      <c r="H13" s="32"/>
      <c r="I13" s="32">
        <f>SUM(C13:H13)</f>
        <v>0</v>
      </c>
      <c r="J13" s="299"/>
      <c r="K13" s="32"/>
      <c r="L13" s="32"/>
      <c r="M13" s="32"/>
      <c r="N13" s="32"/>
      <c r="O13" s="33"/>
      <c r="P13" s="32"/>
      <c r="Q13" s="10"/>
      <c r="R13" s="11"/>
      <c r="S13" s="11"/>
      <c r="T13" s="11"/>
      <c r="U13" s="11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>
      <c r="A14" s="41">
        <v>61050</v>
      </c>
      <c r="B14" s="28" t="s">
        <v>276</v>
      </c>
      <c r="C14" s="29">
        <v>350</v>
      </c>
      <c r="D14" s="32"/>
      <c r="E14" s="32">
        <v>1686.88</v>
      </c>
      <c r="F14" s="32"/>
      <c r="G14" s="32"/>
      <c r="H14" s="32"/>
      <c r="I14" s="32">
        <f>SUM(C14:H14)</f>
        <v>2036.88</v>
      </c>
      <c r="J14" s="299"/>
      <c r="K14" s="32"/>
      <c r="L14" s="32"/>
      <c r="M14" s="32"/>
      <c r="N14" s="32"/>
      <c r="O14" s="33">
        <v>72.680000000000007</v>
      </c>
      <c r="P14" s="32"/>
      <c r="Q14" s="10"/>
      <c r="R14" s="11"/>
      <c r="S14" s="11"/>
      <c r="T14" s="11"/>
      <c r="U14" s="11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>
      <c r="A15" s="41">
        <v>61100</v>
      </c>
      <c r="B15" s="28" t="s">
        <v>21</v>
      </c>
      <c r="C15" s="29">
        <v>0</v>
      </c>
      <c r="D15" s="30"/>
      <c r="E15" s="30">
        <v>2404.92</v>
      </c>
      <c r="F15" s="30"/>
      <c r="G15" s="30"/>
      <c r="H15" s="30"/>
      <c r="I15" s="30">
        <f t="shared" ref="I15" si="1">SUM(C15:H15)</f>
        <v>2404.92</v>
      </c>
      <c r="J15" s="299"/>
      <c r="K15" s="32"/>
      <c r="L15" s="32"/>
      <c r="M15" s="32"/>
      <c r="N15" s="32"/>
      <c r="O15" s="33">
        <v>-80.77</v>
      </c>
      <c r="P15" s="32"/>
      <c r="Q15" s="10"/>
      <c r="R15" s="11"/>
      <c r="S15" s="11"/>
      <c r="T15" s="11"/>
      <c r="U15" s="11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>
      <c r="A16" s="41"/>
      <c r="B16" s="28" t="s">
        <v>278</v>
      </c>
      <c r="C16" s="29">
        <v>0</v>
      </c>
      <c r="D16" s="30"/>
      <c r="E16" s="30"/>
      <c r="F16" s="30"/>
      <c r="G16" s="30"/>
      <c r="H16" s="30"/>
      <c r="I16" s="30">
        <f t="shared" ref="I16:I17" si="2">SUM(C16:H16)</f>
        <v>0</v>
      </c>
      <c r="J16" s="299"/>
      <c r="K16" s="32"/>
      <c r="L16" s="32"/>
      <c r="M16" s="32"/>
      <c r="N16" s="32"/>
      <c r="O16" s="33"/>
      <c r="P16" s="32"/>
      <c r="Q16" s="10"/>
      <c r="R16" s="11"/>
      <c r="S16" s="11"/>
      <c r="T16" s="11"/>
      <c r="U16" s="11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>
      <c r="A17" s="41"/>
      <c r="B17" s="28" t="s">
        <v>279</v>
      </c>
      <c r="C17" s="29">
        <v>0</v>
      </c>
      <c r="D17" s="30"/>
      <c r="E17" s="30"/>
      <c r="F17" s="30"/>
      <c r="G17" s="30"/>
      <c r="H17" s="30"/>
      <c r="I17" s="30">
        <f t="shared" si="2"/>
        <v>0</v>
      </c>
      <c r="J17" s="299"/>
      <c r="K17" s="32"/>
      <c r="L17" s="32"/>
      <c r="M17" s="32"/>
      <c r="N17" s="32"/>
      <c r="O17" s="33"/>
      <c r="P17" s="32"/>
      <c r="Q17" s="10"/>
      <c r="R17" s="11"/>
      <c r="S17" s="11"/>
      <c r="T17" s="11"/>
      <c r="U17" s="11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>
      <c r="A18" s="41">
        <v>61101</v>
      </c>
      <c r="B18" s="28" t="s">
        <v>326</v>
      </c>
      <c r="C18" s="29">
        <v>0</v>
      </c>
      <c r="D18" s="30"/>
      <c r="E18" s="30"/>
      <c r="F18" s="30"/>
      <c r="G18" s="30"/>
      <c r="H18" s="30"/>
      <c r="I18" s="30">
        <f t="shared" ref="I18" si="3">SUM(C18:H18)</f>
        <v>0</v>
      </c>
      <c r="J18" s="299"/>
      <c r="K18" s="32"/>
      <c r="L18" s="32"/>
      <c r="M18" s="32"/>
      <c r="N18" s="32"/>
      <c r="O18" s="33">
        <v>0</v>
      </c>
      <c r="P18" s="32"/>
      <c r="Q18" s="10"/>
      <c r="R18" s="11"/>
      <c r="S18" s="11"/>
      <c r="T18" s="11"/>
      <c r="U18" s="11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>
      <c r="A19" s="41">
        <v>61102</v>
      </c>
      <c r="B19" s="28" t="s">
        <v>336</v>
      </c>
      <c r="C19" s="29">
        <v>0</v>
      </c>
      <c r="D19" s="30"/>
      <c r="E19" s="30">
        <v>2814.21</v>
      </c>
      <c r="F19" s="30"/>
      <c r="G19" s="30"/>
      <c r="H19" s="30"/>
      <c r="I19" s="30">
        <f t="shared" ref="I19" si="4">SUM(C19:H19)</f>
        <v>2814.21</v>
      </c>
      <c r="J19" s="299"/>
      <c r="K19" s="32"/>
      <c r="L19" s="32"/>
      <c r="M19" s="32"/>
      <c r="N19" s="32"/>
      <c r="O19" s="33">
        <v>-80.77</v>
      </c>
      <c r="P19" s="32"/>
      <c r="Q19" s="10"/>
      <c r="R19" s="11"/>
      <c r="S19" s="11"/>
      <c r="T19" s="11"/>
      <c r="U19" s="11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>
      <c r="A20" s="28">
        <v>61150</v>
      </c>
      <c r="B20" s="28" t="s">
        <v>310</v>
      </c>
      <c r="C20" s="29">
        <v>350</v>
      </c>
      <c r="D20" s="30"/>
      <c r="E20" s="30">
        <v>1120.83</v>
      </c>
      <c r="F20" s="30"/>
      <c r="G20" s="30"/>
      <c r="H20" s="30">
        <v>150</v>
      </c>
      <c r="I20" s="30">
        <f t="shared" ref="I20:I23" si="5">SUM(C20:H20)</f>
        <v>1620.83</v>
      </c>
      <c r="J20" s="299"/>
      <c r="K20" s="32"/>
      <c r="L20" s="32"/>
      <c r="M20" s="32"/>
      <c r="N20" s="32"/>
      <c r="O20" s="33">
        <v>67.209999999999994</v>
      </c>
      <c r="P20" s="32"/>
      <c r="Q20" s="10"/>
      <c r="R20" s="11"/>
      <c r="S20" s="11"/>
      <c r="T20" s="11"/>
      <c r="U20" s="11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45"/>
    </row>
    <row r="21" spans="1:32">
      <c r="A21" s="28"/>
      <c r="B21" s="28" t="s">
        <v>311</v>
      </c>
      <c r="C21" s="29"/>
      <c r="D21" s="30"/>
      <c r="E21" s="30"/>
      <c r="F21" s="30"/>
      <c r="G21" s="30"/>
      <c r="H21" s="30"/>
      <c r="I21" s="30">
        <f t="shared" si="5"/>
        <v>0</v>
      </c>
      <c r="J21" s="299"/>
      <c r="K21" s="32"/>
      <c r="L21" s="32"/>
      <c r="M21" s="32"/>
      <c r="N21" s="32"/>
      <c r="O21" s="33"/>
      <c r="P21" s="32"/>
      <c r="Q21" s="10"/>
      <c r="R21" s="11"/>
      <c r="S21" s="11"/>
      <c r="T21" s="11"/>
      <c r="U21" s="11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45"/>
    </row>
    <row r="22" spans="1:32">
      <c r="A22" s="28">
        <v>61180</v>
      </c>
      <c r="B22" s="28" t="s">
        <v>352</v>
      </c>
      <c r="C22" s="29">
        <v>640</v>
      </c>
      <c r="D22" s="30"/>
      <c r="E22" s="30">
        <v>150</v>
      </c>
      <c r="F22" s="30"/>
      <c r="G22" s="30"/>
      <c r="H22" s="30"/>
      <c r="I22" s="30">
        <f t="shared" ref="I22" si="6">SUM(C22:H22)</f>
        <v>790</v>
      </c>
      <c r="J22" s="299"/>
      <c r="K22" s="32"/>
      <c r="L22" s="32"/>
      <c r="M22" s="32"/>
      <c r="N22" s="32"/>
      <c r="O22" s="33"/>
      <c r="P22" s="32"/>
      <c r="Q22" s="10"/>
      <c r="R22" s="11"/>
      <c r="S22" s="11"/>
      <c r="T22" s="11"/>
      <c r="U22" s="11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45"/>
    </row>
    <row r="23" spans="1:32">
      <c r="A23" s="28">
        <v>61183</v>
      </c>
      <c r="B23" s="28" t="s">
        <v>320</v>
      </c>
      <c r="C23" s="29">
        <v>0</v>
      </c>
      <c r="D23" s="30"/>
      <c r="E23" s="30"/>
      <c r="F23" s="30"/>
      <c r="G23" s="30"/>
      <c r="H23" s="30"/>
      <c r="I23" s="30">
        <f t="shared" si="5"/>
        <v>0</v>
      </c>
      <c r="J23" s="299"/>
      <c r="K23" s="32"/>
      <c r="L23" s="32"/>
      <c r="M23" s="32"/>
      <c r="N23" s="32"/>
      <c r="O23" s="33"/>
      <c r="P23" s="32"/>
      <c r="Q23" s="10"/>
      <c r="R23" s="11"/>
      <c r="S23" s="11"/>
      <c r="T23" s="11"/>
      <c r="U23" s="11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45"/>
    </row>
    <row r="24" spans="1:32">
      <c r="A24" s="28">
        <v>61202</v>
      </c>
      <c r="B24" s="28" t="s">
        <v>324</v>
      </c>
      <c r="C24" s="29">
        <v>150</v>
      </c>
      <c r="E24" s="30">
        <v>749.78</v>
      </c>
      <c r="F24" s="30"/>
      <c r="G24" s="30"/>
      <c r="H24" s="30">
        <v>1655.99</v>
      </c>
      <c r="I24" s="30">
        <f t="shared" ref="I24" si="7">SUM(C24:H24)</f>
        <v>2555.77</v>
      </c>
      <c r="J24" s="299"/>
      <c r="K24" s="32"/>
      <c r="L24" s="32"/>
      <c r="M24" s="32"/>
      <c r="N24" s="32"/>
      <c r="O24" s="33">
        <v>-60.86</v>
      </c>
      <c r="P24" s="32"/>
      <c r="Q24" s="10"/>
      <c r="R24" s="11"/>
      <c r="S24" s="11"/>
      <c r="T24" s="11"/>
      <c r="U24" s="11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>
      <c r="A25" s="28">
        <v>61204</v>
      </c>
      <c r="B25" s="28" t="s">
        <v>334</v>
      </c>
      <c r="C25" s="29">
        <v>0</v>
      </c>
      <c r="E25" s="30">
        <v>56.49</v>
      </c>
      <c r="F25" s="30"/>
      <c r="G25" s="30"/>
      <c r="H25" s="30"/>
      <c r="I25" s="30">
        <f t="shared" ref="I25" si="8">SUM(C25:H25)</f>
        <v>56.49</v>
      </c>
      <c r="J25" s="299"/>
      <c r="K25" s="32">
        <v>283.38</v>
      </c>
      <c r="L25" s="32"/>
      <c r="M25" s="32"/>
      <c r="N25" s="32"/>
      <c r="O25" s="33">
        <v>0</v>
      </c>
      <c r="P25" s="32"/>
      <c r="Q25" s="10"/>
      <c r="R25" s="11"/>
      <c r="S25" s="11"/>
      <c r="T25" s="11"/>
      <c r="U25" s="11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>
      <c r="A26" s="28">
        <v>61205</v>
      </c>
      <c r="B26" s="28" t="s">
        <v>338</v>
      </c>
      <c r="C26" s="29">
        <v>0</v>
      </c>
      <c r="E26" s="30"/>
      <c r="F26" s="30"/>
      <c r="G26" s="30"/>
      <c r="H26" s="30"/>
      <c r="I26" s="30">
        <f t="shared" ref="I26" si="9">SUM(C26:H26)</f>
        <v>0</v>
      </c>
      <c r="J26" s="299"/>
      <c r="K26" s="32"/>
      <c r="L26" s="32"/>
      <c r="M26" s="32"/>
      <c r="N26" s="32"/>
      <c r="O26" s="33">
        <v>0</v>
      </c>
      <c r="P26" s="32"/>
      <c r="Q26" s="10"/>
      <c r="R26" s="11"/>
      <c r="S26" s="11"/>
      <c r="T26" s="11"/>
      <c r="U26" s="11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>
      <c r="A27" s="28">
        <v>61207</v>
      </c>
      <c r="B27" s="28" t="s">
        <v>343</v>
      </c>
      <c r="C27" s="29">
        <v>150</v>
      </c>
      <c r="E27" s="30">
        <v>1318.67</v>
      </c>
      <c r="F27" s="30"/>
      <c r="G27" s="30"/>
      <c r="H27" s="30"/>
      <c r="I27" s="30">
        <f t="shared" ref="I27" si="10">SUM(C27:H27)</f>
        <v>1468.67</v>
      </c>
      <c r="J27" s="299"/>
      <c r="K27" s="32"/>
      <c r="L27" s="32"/>
      <c r="M27" s="32"/>
      <c r="N27" s="32"/>
      <c r="O27" s="33">
        <v>-60.86</v>
      </c>
      <c r="P27" s="32"/>
      <c r="Q27" s="10"/>
      <c r="R27" s="11"/>
      <c r="S27" s="11"/>
      <c r="T27" s="11"/>
      <c r="U27" s="11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>
      <c r="A28" s="28">
        <v>61208</v>
      </c>
      <c r="B28" s="28" t="s">
        <v>348</v>
      </c>
      <c r="C28" s="29">
        <v>0</v>
      </c>
      <c r="E28" s="30"/>
      <c r="F28" s="30"/>
      <c r="G28" s="30"/>
      <c r="H28" s="30"/>
      <c r="I28" s="30">
        <f t="shared" ref="I28" si="11">SUM(C28:H28)</f>
        <v>0</v>
      </c>
      <c r="J28" s="299"/>
      <c r="K28" s="32"/>
      <c r="L28" s="32"/>
      <c r="M28" s="32"/>
      <c r="N28" s="32"/>
      <c r="O28" s="33">
        <v>0</v>
      </c>
      <c r="P28" s="32"/>
      <c r="Q28" s="10"/>
      <c r="R28" s="11"/>
      <c r="S28" s="11"/>
      <c r="T28" s="11"/>
      <c r="U28" s="11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>
      <c r="A29" s="28">
        <v>61209</v>
      </c>
      <c r="B29" s="28" t="s">
        <v>351</v>
      </c>
      <c r="C29" s="29">
        <v>120</v>
      </c>
      <c r="E29" s="30">
        <v>691.09</v>
      </c>
      <c r="F29" s="30"/>
      <c r="G29" s="30"/>
      <c r="H29" s="30"/>
      <c r="I29" s="30">
        <f t="shared" ref="I29" si="12">SUM(C29:H29)</f>
        <v>811.09</v>
      </c>
      <c r="J29" s="299"/>
      <c r="K29" s="32"/>
      <c r="L29" s="32"/>
      <c r="M29" s="32"/>
      <c r="N29" s="32"/>
      <c r="O29" s="33">
        <v>0</v>
      </c>
      <c r="P29" s="32"/>
      <c r="Q29" s="10"/>
      <c r="R29" s="11"/>
      <c r="S29" s="11"/>
      <c r="T29" s="11"/>
      <c r="U29" s="11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>
      <c r="A30" s="28">
        <v>91227</v>
      </c>
      <c r="B30" s="28" t="s">
        <v>313</v>
      </c>
      <c r="C30" s="29">
        <v>250</v>
      </c>
      <c r="E30" s="30">
        <v>1297.4100000000001</v>
      </c>
      <c r="F30" s="30"/>
      <c r="G30" s="30"/>
      <c r="H30" s="30">
        <v>113.55</v>
      </c>
      <c r="I30" s="30">
        <f t="shared" ref="I30" si="13">SUM(C30:H30)</f>
        <v>1660.96</v>
      </c>
      <c r="J30" s="299"/>
      <c r="K30" s="32">
        <v>2691.33</v>
      </c>
      <c r="L30" s="32"/>
      <c r="M30" s="32"/>
      <c r="N30" s="32"/>
      <c r="O30" s="33">
        <v>-60.86</v>
      </c>
      <c r="P30" s="32"/>
      <c r="Q30" s="10"/>
      <c r="R30" s="11"/>
      <c r="S30" s="11"/>
      <c r="T30" s="11"/>
      <c r="U30" s="11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>
      <c r="A31" s="28">
        <v>61230</v>
      </c>
      <c r="B31" s="28" t="s">
        <v>306</v>
      </c>
      <c r="C31" s="29">
        <v>0</v>
      </c>
      <c r="E31" s="30"/>
      <c r="F31" s="30"/>
      <c r="G31" s="30"/>
      <c r="H31" s="30"/>
      <c r="I31" s="30">
        <f t="shared" ref="I31" si="14">SUM(C31:H31)</f>
        <v>0</v>
      </c>
      <c r="J31" s="299"/>
      <c r="K31" s="32"/>
      <c r="L31" s="32"/>
      <c r="M31" s="32"/>
      <c r="N31" s="32"/>
      <c r="O31" s="33">
        <v>0</v>
      </c>
      <c r="P31" s="32"/>
      <c r="Q31" s="10"/>
      <c r="R31" s="11"/>
      <c r="S31" s="11"/>
      <c r="T31" s="11"/>
      <c r="U31" s="11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>
      <c r="A32" s="28">
        <v>62213</v>
      </c>
      <c r="B32" s="28" t="s">
        <v>370</v>
      </c>
      <c r="C32" s="29">
        <v>300</v>
      </c>
      <c r="E32" s="30"/>
      <c r="F32" s="30">
        <v>200</v>
      </c>
      <c r="G32" s="30"/>
      <c r="H32" s="30"/>
      <c r="I32" s="30">
        <f t="shared" ref="I32" si="15">SUM(C32:H32)</f>
        <v>500</v>
      </c>
      <c r="J32" s="299"/>
      <c r="K32" s="32"/>
      <c r="L32" s="32"/>
      <c r="M32" s="32"/>
      <c r="N32" s="32"/>
      <c r="O32" s="33">
        <v>38.57</v>
      </c>
      <c r="P32" s="32"/>
      <c r="Q32" s="10"/>
      <c r="R32" s="11"/>
      <c r="S32" s="11"/>
      <c r="T32" s="11"/>
      <c r="U32" s="11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>
      <c r="A33" s="28">
        <v>63132</v>
      </c>
      <c r="B33" s="28" t="s">
        <v>254</v>
      </c>
      <c r="C33" s="29">
        <v>150</v>
      </c>
      <c r="E33" s="30">
        <v>886.51</v>
      </c>
      <c r="F33" s="30"/>
      <c r="G33" s="30"/>
      <c r="H33" s="30">
        <v>650</v>
      </c>
      <c r="I33" s="30">
        <f t="shared" ref="I33" si="16">SUM(C33:H33)</f>
        <v>1686.51</v>
      </c>
      <c r="J33" s="299"/>
      <c r="K33" s="32"/>
      <c r="L33" s="32"/>
      <c r="M33" s="32"/>
      <c r="N33" s="32"/>
      <c r="O33" s="33">
        <v>-60.86</v>
      </c>
      <c r="P33" s="32"/>
      <c r="Q33" s="10"/>
      <c r="R33" s="11"/>
      <c r="S33" s="11"/>
      <c r="T33" s="11"/>
      <c r="U33" s="11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>
      <c r="A34" s="28">
        <v>61228</v>
      </c>
      <c r="B34" s="28" t="s">
        <v>316</v>
      </c>
      <c r="C34" s="29">
        <v>310.5</v>
      </c>
      <c r="E34" s="30"/>
      <c r="F34" s="30"/>
      <c r="G34" s="30"/>
      <c r="H34" s="30"/>
      <c r="I34" s="30">
        <f t="shared" ref="I34" si="17">SUM(C34:H34)</f>
        <v>310.5</v>
      </c>
      <c r="J34" s="299"/>
      <c r="K34" s="32"/>
      <c r="L34" s="32"/>
      <c r="M34" s="32"/>
      <c r="N34" s="32"/>
      <c r="O34" s="33"/>
      <c r="P34" s="32"/>
      <c r="Q34" s="10"/>
      <c r="R34" s="11"/>
      <c r="S34" s="11"/>
      <c r="T34" s="11"/>
      <c r="U34" s="11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>
      <c r="A35" s="28">
        <v>61900</v>
      </c>
      <c r="B35" s="28" t="s">
        <v>285</v>
      </c>
      <c r="C35" s="29">
        <v>762</v>
      </c>
      <c r="D35" s="12">
        <v>28.58</v>
      </c>
      <c r="E35" s="30"/>
      <c r="F35" s="30"/>
      <c r="G35" s="30"/>
      <c r="H35" s="30"/>
      <c r="I35" s="30">
        <f t="shared" ref="I35" si="18">SUM(C35:H35)</f>
        <v>790.58</v>
      </c>
      <c r="J35" s="299"/>
      <c r="K35" s="32"/>
      <c r="L35" s="32"/>
      <c r="M35" s="32"/>
      <c r="N35" s="32"/>
      <c r="O35" s="33"/>
      <c r="P35" s="32"/>
      <c r="Q35" s="10"/>
      <c r="R35" s="11"/>
      <c r="S35" s="11"/>
      <c r="T35" s="11"/>
      <c r="U35" s="11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>
      <c r="A36" s="28">
        <v>61901</v>
      </c>
      <c r="B36" s="28" t="s">
        <v>304</v>
      </c>
      <c r="C36" s="29">
        <v>553.01</v>
      </c>
      <c r="D36" s="30">
        <v>25.07</v>
      </c>
      <c r="E36" s="30"/>
      <c r="F36" s="30"/>
      <c r="G36" s="30"/>
      <c r="H36" s="30"/>
      <c r="I36" s="30">
        <f t="shared" ref="I36" si="19">SUM(C36:H36)</f>
        <v>578.08000000000004</v>
      </c>
      <c r="J36" s="299"/>
      <c r="K36" s="32"/>
      <c r="L36" s="32"/>
      <c r="M36" s="32"/>
      <c r="N36" s="32"/>
      <c r="O36" s="33"/>
      <c r="P36" s="32"/>
      <c r="Q36" s="10"/>
      <c r="R36" s="11"/>
      <c r="S36" s="11"/>
      <c r="T36" s="11"/>
      <c r="U36" s="11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>
      <c r="A37" s="28">
        <v>61902</v>
      </c>
      <c r="B37" s="28" t="s">
        <v>353</v>
      </c>
      <c r="C37" s="29">
        <v>114.49</v>
      </c>
      <c r="D37" s="30"/>
      <c r="E37" s="30"/>
      <c r="F37" s="30"/>
      <c r="G37" s="30"/>
      <c r="H37" s="30"/>
      <c r="I37" s="30">
        <f t="shared" ref="I37" si="20">SUM(C37:H37)</f>
        <v>114.49</v>
      </c>
      <c r="J37" s="299"/>
      <c r="K37" s="32"/>
      <c r="L37" s="32"/>
      <c r="M37" s="32"/>
      <c r="N37" s="32"/>
      <c r="O37" s="33"/>
      <c r="P37" s="32"/>
      <c r="Q37" s="10"/>
      <c r="R37" s="11"/>
      <c r="S37" s="11"/>
      <c r="T37" s="11"/>
      <c r="U37" s="11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>
      <c r="A38" s="28"/>
      <c r="B38" s="28"/>
      <c r="C38" s="29"/>
      <c r="D38" s="30"/>
      <c r="E38" s="30"/>
      <c r="F38" s="30"/>
      <c r="G38" s="30"/>
      <c r="H38" s="30"/>
      <c r="I38" s="30"/>
      <c r="J38" s="324"/>
      <c r="K38" s="94"/>
      <c r="L38" s="94"/>
      <c r="M38" s="94"/>
      <c r="N38" s="94"/>
      <c r="O38" s="46"/>
      <c r="P38" s="32"/>
      <c r="Q38" s="10"/>
      <c r="R38" s="11"/>
      <c r="S38" s="11"/>
      <c r="T38" s="11"/>
      <c r="U38" s="11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15.75">
      <c r="A39" s="1" t="s">
        <v>23</v>
      </c>
      <c r="B39" s="1"/>
      <c r="C39" s="24" t="s">
        <v>7</v>
      </c>
      <c r="D39" s="22" t="s">
        <v>8</v>
      </c>
      <c r="E39" s="22" t="s">
        <v>9</v>
      </c>
      <c r="F39" s="22" t="s">
        <v>10</v>
      </c>
      <c r="G39" s="22" t="s">
        <v>11</v>
      </c>
      <c r="H39" s="47" t="s">
        <v>12</v>
      </c>
      <c r="I39" s="22" t="s">
        <v>13</v>
      </c>
      <c r="J39" s="321" t="s">
        <v>14</v>
      </c>
      <c r="K39" s="322" t="s">
        <v>15</v>
      </c>
      <c r="L39" s="322" t="s">
        <v>16</v>
      </c>
      <c r="M39" s="322" t="s">
        <v>17</v>
      </c>
      <c r="N39" s="322" t="s">
        <v>18</v>
      </c>
      <c r="O39" s="25" t="s">
        <v>19</v>
      </c>
      <c r="P39" s="26"/>
      <c r="Q39" s="10"/>
      <c r="R39" s="11"/>
      <c r="S39" s="11"/>
      <c r="T39" s="11"/>
      <c r="U39" s="11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15.75">
      <c r="A40" s="28">
        <v>62000</v>
      </c>
      <c r="B40" s="28" t="s">
        <v>22</v>
      </c>
      <c r="C40" s="29">
        <v>735.44</v>
      </c>
      <c r="D40" s="26"/>
      <c r="E40" s="30"/>
      <c r="F40" s="26"/>
      <c r="G40" s="48"/>
      <c r="H40" s="246">
        <v>500</v>
      </c>
      <c r="I40" s="30">
        <f t="shared" ref="I40" si="21">SUM(C40:H40)</f>
        <v>1235.44</v>
      </c>
      <c r="J40" s="245"/>
      <c r="K40" s="30"/>
      <c r="L40" s="48"/>
      <c r="M40" s="26"/>
      <c r="N40" s="26"/>
      <c r="O40" s="264"/>
      <c r="P40" s="26"/>
      <c r="Q40" s="10"/>
      <c r="R40" s="11"/>
      <c r="S40" s="11"/>
      <c r="T40" s="11"/>
      <c r="U40" s="11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>
      <c r="A41" s="28">
        <v>61190</v>
      </c>
      <c r="B41" s="28" t="s">
        <v>331</v>
      </c>
      <c r="C41" s="29">
        <v>0</v>
      </c>
      <c r="E41" s="30"/>
      <c r="F41" s="30"/>
      <c r="G41" s="30"/>
      <c r="H41" s="30"/>
      <c r="I41" s="30">
        <f>SUM(C41:H41)</f>
        <v>0</v>
      </c>
      <c r="J41" s="29"/>
      <c r="K41" s="30"/>
      <c r="L41" s="30"/>
      <c r="M41" s="30"/>
      <c r="N41" s="32"/>
      <c r="O41" s="33">
        <v>0</v>
      </c>
      <c r="P41" s="32"/>
      <c r="Q41" s="10"/>
      <c r="R41" s="11"/>
      <c r="S41" s="11"/>
      <c r="T41" s="11"/>
      <c r="U41" s="11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>
      <c r="A42" s="28">
        <v>61212</v>
      </c>
      <c r="B42" s="28" t="s">
        <v>299</v>
      </c>
      <c r="C42" s="29">
        <v>250</v>
      </c>
      <c r="E42" s="30">
        <v>515.95000000000005</v>
      </c>
      <c r="F42" s="30">
        <v>-115.95</v>
      </c>
      <c r="G42" s="30"/>
      <c r="H42" s="30"/>
      <c r="I42" s="30">
        <f>SUM(C42:H42)</f>
        <v>650</v>
      </c>
      <c r="J42" s="29"/>
      <c r="K42" s="30"/>
      <c r="L42" s="30"/>
      <c r="M42" s="30"/>
      <c r="N42" s="32"/>
      <c r="O42" s="33">
        <v>-60.86</v>
      </c>
      <c r="P42" s="32"/>
      <c r="Q42" s="10"/>
      <c r="R42" s="11"/>
      <c r="S42" s="11"/>
      <c r="T42" s="11"/>
      <c r="U42" s="11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>
      <c r="A43" s="28">
        <v>61230</v>
      </c>
      <c r="B43" s="28" t="s">
        <v>306</v>
      </c>
      <c r="C43" s="29">
        <v>250</v>
      </c>
      <c r="E43" s="30">
        <v>199.22</v>
      </c>
      <c r="F43" s="30"/>
      <c r="G43" s="30"/>
      <c r="H43" s="30"/>
      <c r="I43" s="30">
        <f>SUM(C43:H43)</f>
        <v>449.22</v>
      </c>
      <c r="J43" s="29"/>
      <c r="K43" s="30"/>
      <c r="L43" s="30"/>
      <c r="M43" s="30"/>
      <c r="N43" s="32"/>
      <c r="O43" s="33"/>
      <c r="P43" s="32"/>
      <c r="Q43" s="10"/>
      <c r="R43" s="11"/>
      <c r="S43" s="11"/>
      <c r="T43" s="11"/>
      <c r="U43" s="11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>
      <c r="A44" s="28">
        <v>62210</v>
      </c>
      <c r="B44" s="28" t="s">
        <v>308</v>
      </c>
      <c r="C44" s="29">
        <v>250</v>
      </c>
      <c r="D44" s="30"/>
      <c r="E44" s="30"/>
      <c r="F44" s="30"/>
      <c r="G44" s="30"/>
      <c r="H44" s="30"/>
      <c r="I44" s="30">
        <f>SUM(C44:H44)</f>
        <v>250</v>
      </c>
      <c r="J44" s="29"/>
      <c r="K44" s="30"/>
      <c r="L44" s="30"/>
      <c r="M44" s="30"/>
      <c r="N44" s="32"/>
      <c r="O44" s="33"/>
      <c r="P44" s="32"/>
      <c r="Q44" s="10"/>
      <c r="R44" s="11"/>
      <c r="S44" s="11"/>
      <c r="T44" s="11"/>
      <c r="U44" s="11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>
      <c r="A45" s="28">
        <v>62211</v>
      </c>
      <c r="B45" s="28" t="s">
        <v>318</v>
      </c>
      <c r="C45" s="29">
        <v>0</v>
      </c>
      <c r="D45" s="30"/>
      <c r="E45" s="30"/>
      <c r="F45" s="30"/>
      <c r="G45" s="30"/>
      <c r="H45" s="30"/>
      <c r="I45" s="30">
        <f>SUM(C45:H45)</f>
        <v>0</v>
      </c>
      <c r="J45" s="29"/>
      <c r="K45" s="30"/>
      <c r="L45" s="30"/>
      <c r="M45" s="30"/>
      <c r="N45" s="32"/>
      <c r="O45" s="33"/>
      <c r="P45" s="32"/>
      <c r="Q45" s="10"/>
      <c r="R45" s="11"/>
      <c r="S45" s="11"/>
      <c r="T45" s="11"/>
      <c r="U45" s="11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ht="15.75">
      <c r="C46" s="29"/>
      <c r="D46" s="30"/>
      <c r="E46" s="30"/>
      <c r="F46" s="30"/>
      <c r="G46" s="30"/>
      <c r="H46" s="30"/>
      <c r="I46" s="30">
        <f t="shared" ref="I46" si="22">SUM(C46:H46)</f>
        <v>0</v>
      </c>
      <c r="J46" s="29"/>
      <c r="K46" s="30"/>
      <c r="L46" s="30"/>
      <c r="M46" s="30"/>
      <c r="N46" s="32"/>
      <c r="O46" s="46"/>
      <c r="P46" s="26"/>
      <c r="Q46" s="10"/>
      <c r="R46" s="11"/>
      <c r="S46" s="11"/>
      <c r="T46" s="11"/>
      <c r="U46" s="11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15.75">
      <c r="A47" s="1" t="s">
        <v>24</v>
      </c>
      <c r="B47" s="1"/>
      <c r="C47" s="24" t="s">
        <v>7</v>
      </c>
      <c r="D47" s="22" t="s">
        <v>8</v>
      </c>
      <c r="E47" s="22" t="s">
        <v>9</v>
      </c>
      <c r="F47" s="22" t="s">
        <v>10</v>
      </c>
      <c r="G47" s="22" t="s">
        <v>11</v>
      </c>
      <c r="H47" s="47" t="s">
        <v>12</v>
      </c>
      <c r="I47" s="22" t="s">
        <v>13</v>
      </c>
      <c r="J47" s="24" t="s">
        <v>14</v>
      </c>
      <c r="K47" s="22" t="s">
        <v>15</v>
      </c>
      <c r="L47" s="22" t="s">
        <v>16</v>
      </c>
      <c r="M47" s="22" t="s">
        <v>17</v>
      </c>
      <c r="N47" s="22" t="s">
        <v>18</v>
      </c>
      <c r="O47" s="40" t="s">
        <v>19</v>
      </c>
      <c r="P47" s="32"/>
      <c r="Q47" s="10"/>
      <c r="R47" s="11"/>
      <c r="S47" s="11"/>
      <c r="T47" s="11"/>
      <c r="U47" s="11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>
      <c r="A48" s="28">
        <v>63001</v>
      </c>
      <c r="B48" s="28" t="s">
        <v>25</v>
      </c>
      <c r="C48" s="29">
        <v>941.53</v>
      </c>
      <c r="D48" s="30"/>
      <c r="E48" s="30"/>
      <c r="F48" s="30"/>
      <c r="G48" s="30"/>
      <c r="H48" s="30"/>
      <c r="I48" s="30">
        <f t="shared" ref="I48:I64" si="23">SUM(C48:H48)</f>
        <v>941.53</v>
      </c>
      <c r="J48" s="29"/>
      <c r="K48" s="30"/>
      <c r="L48" s="30"/>
      <c r="M48" s="30"/>
      <c r="N48" s="32"/>
      <c r="O48" s="33">
        <v>-80.77</v>
      </c>
      <c r="P48" s="32"/>
      <c r="Q48" s="10"/>
      <c r="R48" s="11"/>
      <c r="S48" s="11"/>
      <c r="T48" s="11"/>
      <c r="U48" s="11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>
      <c r="A49" s="28"/>
      <c r="B49" s="28" t="s">
        <v>293</v>
      </c>
      <c r="C49" s="29"/>
      <c r="D49" s="30"/>
      <c r="E49" s="30"/>
      <c r="F49" s="30"/>
      <c r="G49" s="30"/>
      <c r="H49" s="30"/>
      <c r="I49" s="30">
        <f t="shared" ref="I49:I50" si="24">SUM(C49:H49)</f>
        <v>0</v>
      </c>
      <c r="J49" s="29"/>
      <c r="K49" s="30"/>
      <c r="L49" s="30"/>
      <c r="M49" s="30"/>
      <c r="N49" s="32"/>
      <c r="O49" s="33"/>
      <c r="P49" s="32"/>
      <c r="Q49" s="10"/>
      <c r="R49" s="11"/>
      <c r="S49" s="11"/>
      <c r="T49" s="11"/>
      <c r="U49" s="11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>
      <c r="A50" s="28">
        <v>63020</v>
      </c>
      <c r="B50" s="28" t="s">
        <v>349</v>
      </c>
      <c r="C50" s="29">
        <v>0</v>
      </c>
      <c r="D50" s="30"/>
      <c r="E50" s="30"/>
      <c r="F50" s="30"/>
      <c r="G50" s="30"/>
      <c r="H50" s="30"/>
      <c r="I50" s="30">
        <f t="shared" si="24"/>
        <v>0</v>
      </c>
      <c r="J50" s="29"/>
      <c r="K50" s="30"/>
      <c r="L50" s="30"/>
      <c r="M50" s="30"/>
      <c r="N50" s="32"/>
      <c r="O50" s="33"/>
      <c r="P50" s="32"/>
      <c r="Q50" s="10"/>
      <c r="R50" s="11"/>
      <c r="S50" s="11"/>
      <c r="T50" s="11"/>
      <c r="U50" s="11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>
      <c r="A51" s="28">
        <v>63021</v>
      </c>
      <c r="B51" s="28" t="s">
        <v>26</v>
      </c>
      <c r="C51" s="29">
        <v>497.02</v>
      </c>
      <c r="D51" s="30"/>
      <c r="E51" s="30"/>
      <c r="F51" s="30"/>
      <c r="G51" s="30"/>
      <c r="H51" s="195">
        <v>3364.89</v>
      </c>
      <c r="I51" s="30">
        <f t="shared" si="23"/>
        <v>3861.91</v>
      </c>
      <c r="J51" s="29"/>
      <c r="K51" s="30"/>
      <c r="L51" s="30"/>
      <c r="M51" s="30"/>
      <c r="N51" s="32"/>
      <c r="O51" s="33">
        <v>-54.69</v>
      </c>
      <c r="P51" s="32"/>
      <c r="Q51" s="10"/>
      <c r="R51" s="11"/>
      <c r="S51" s="11"/>
      <c r="T51" s="11"/>
      <c r="U51" s="11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>
      <c r="A52" s="28">
        <v>63022</v>
      </c>
      <c r="B52" s="28" t="s">
        <v>328</v>
      </c>
      <c r="C52" s="29">
        <v>0</v>
      </c>
      <c r="D52" s="30"/>
      <c r="E52" s="30"/>
      <c r="F52" s="30"/>
      <c r="G52" s="30"/>
      <c r="H52" s="195"/>
      <c r="I52" s="30">
        <f t="shared" ref="I52" si="25">SUM(C52:H52)</f>
        <v>0</v>
      </c>
      <c r="J52" s="29"/>
      <c r="K52" s="30"/>
      <c r="L52" s="30"/>
      <c r="M52" s="30"/>
      <c r="N52" s="32"/>
      <c r="O52" s="33">
        <v>0</v>
      </c>
      <c r="P52" s="32"/>
      <c r="Q52" s="10"/>
      <c r="R52" s="11"/>
      <c r="S52" s="11"/>
      <c r="T52" s="11"/>
      <c r="U52" s="11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>
      <c r="A53" s="28">
        <v>63023</v>
      </c>
      <c r="B53" s="28" t="s">
        <v>361</v>
      </c>
      <c r="C53" s="29">
        <v>378.4</v>
      </c>
      <c r="D53" s="30"/>
      <c r="E53" s="30"/>
      <c r="F53" s="30"/>
      <c r="G53" s="30"/>
      <c r="H53" s="195">
        <v>1220.5899999999999</v>
      </c>
      <c r="I53" s="30">
        <f t="shared" ref="I53" si="26">SUM(C53:H53)</f>
        <v>1598.9899999999998</v>
      </c>
      <c r="J53" s="29"/>
      <c r="K53" s="30"/>
      <c r="L53" s="30"/>
      <c r="M53" s="30"/>
      <c r="N53" s="32"/>
      <c r="O53" s="33">
        <v>-54.69</v>
      </c>
      <c r="P53" s="32"/>
      <c r="Q53" s="10"/>
      <c r="R53" s="11"/>
      <c r="S53" s="11"/>
      <c r="T53" s="11"/>
      <c r="U53" s="11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>
      <c r="A54" s="28">
        <v>63026</v>
      </c>
      <c r="B54" s="28" t="s">
        <v>270</v>
      </c>
      <c r="C54" s="29">
        <v>344</v>
      </c>
      <c r="D54" s="30"/>
      <c r="E54" s="30"/>
      <c r="F54" s="30"/>
      <c r="G54" s="30"/>
      <c r="H54" s="195">
        <v>2511.6999999999998</v>
      </c>
      <c r="I54" s="30">
        <f t="shared" ref="I54:I56" si="27">SUM(C54:H54)</f>
        <v>2855.7</v>
      </c>
      <c r="J54" s="29"/>
      <c r="K54" s="30"/>
      <c r="L54" s="30"/>
      <c r="M54" s="30">
        <v>91.98</v>
      </c>
      <c r="N54" s="32"/>
      <c r="O54" s="33">
        <f>-54.69</f>
        <v>-54.69</v>
      </c>
      <c r="P54" s="32"/>
      <c r="Q54" s="10"/>
      <c r="R54" s="11"/>
      <c r="S54" s="11"/>
      <c r="T54" s="11"/>
      <c r="U54" s="11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>
      <c r="A55" s="28">
        <v>63027</v>
      </c>
      <c r="B55" s="28" t="s">
        <v>281</v>
      </c>
      <c r="C55" s="29">
        <v>0</v>
      </c>
      <c r="D55" s="30"/>
      <c r="E55" s="30"/>
      <c r="F55" s="30"/>
      <c r="G55" s="30"/>
      <c r="H55" s="30"/>
      <c r="I55" s="30">
        <f t="shared" si="27"/>
        <v>0</v>
      </c>
      <c r="J55" s="29"/>
      <c r="K55" s="30"/>
      <c r="L55" s="30"/>
      <c r="M55" s="30"/>
      <c r="N55" s="32"/>
      <c r="O55" s="33">
        <v>0</v>
      </c>
      <c r="P55" s="32"/>
      <c r="Q55" s="10"/>
      <c r="R55" s="11"/>
      <c r="S55" s="11"/>
      <c r="T55" s="11"/>
      <c r="U55" s="11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>
      <c r="A56" s="28">
        <v>63029</v>
      </c>
      <c r="B56" s="28" t="s">
        <v>322</v>
      </c>
      <c r="C56" s="29">
        <v>378.75</v>
      </c>
      <c r="D56" s="30"/>
      <c r="E56" s="30"/>
      <c r="F56" s="30"/>
      <c r="G56" s="30"/>
      <c r="H56" s="30">
        <v>3357.98</v>
      </c>
      <c r="I56" s="30">
        <f t="shared" si="27"/>
        <v>3736.73</v>
      </c>
      <c r="J56" s="29"/>
      <c r="K56" s="30"/>
      <c r="L56" s="30"/>
      <c r="M56" s="30"/>
      <c r="N56" s="32"/>
      <c r="O56" s="33">
        <v>-54.69</v>
      </c>
      <c r="P56" s="32"/>
      <c r="Q56" s="10"/>
      <c r="R56" s="11"/>
      <c r="S56" s="11"/>
      <c r="T56" s="11"/>
      <c r="U56" s="11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>
      <c r="A57" s="28">
        <v>63102</v>
      </c>
      <c r="B57" s="28" t="s">
        <v>274</v>
      </c>
      <c r="C57" s="29">
        <v>865.72</v>
      </c>
      <c r="D57" s="30">
        <v>51.94</v>
      </c>
      <c r="E57" s="30"/>
      <c r="F57" s="30"/>
      <c r="G57" s="30"/>
      <c r="H57" s="30">
        <v>500</v>
      </c>
      <c r="I57" s="33">
        <f t="shared" ref="I57" si="28">SUM(C57:H57)</f>
        <v>1417.66</v>
      </c>
      <c r="L57" s="30"/>
      <c r="M57" s="30"/>
      <c r="N57" s="32"/>
      <c r="O57" s="33"/>
      <c r="P57" s="32"/>
      <c r="Q57" s="10"/>
      <c r="R57" s="11"/>
      <c r="S57" s="11"/>
      <c r="T57" s="11"/>
      <c r="U57" s="11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>
      <c r="A58" s="28">
        <v>63101</v>
      </c>
      <c r="B58" s="28" t="s">
        <v>28</v>
      </c>
      <c r="C58" s="29">
        <v>1333.73</v>
      </c>
      <c r="D58" s="30">
        <v>45.47</v>
      </c>
      <c r="E58" s="30"/>
      <c r="F58" s="30"/>
      <c r="G58" s="30"/>
      <c r="H58" s="30"/>
      <c r="I58" s="33">
        <f t="shared" si="23"/>
        <v>1379.2</v>
      </c>
      <c r="J58" s="32"/>
      <c r="K58" s="30"/>
      <c r="L58" s="30"/>
      <c r="M58" s="30"/>
      <c r="N58" s="32"/>
      <c r="O58" s="33"/>
      <c r="P58" s="32"/>
      <c r="Q58" s="10"/>
      <c r="R58" s="11"/>
      <c r="S58" s="11"/>
      <c r="T58" s="11"/>
      <c r="U58" s="11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>
      <c r="A59" s="28">
        <v>63103</v>
      </c>
      <c r="B59" s="28" t="s">
        <v>29</v>
      </c>
      <c r="C59" s="29">
        <v>1243.2</v>
      </c>
      <c r="D59" s="30">
        <v>456.88</v>
      </c>
      <c r="E59" s="30"/>
      <c r="F59" s="30"/>
      <c r="G59" s="30"/>
      <c r="H59" s="30"/>
      <c r="I59" s="33">
        <f t="shared" si="23"/>
        <v>1700.08</v>
      </c>
      <c r="J59" s="32"/>
      <c r="K59" s="30"/>
      <c r="L59" s="30"/>
      <c r="M59" s="30"/>
      <c r="N59" s="32"/>
      <c r="O59" s="33"/>
      <c r="P59" s="32"/>
      <c r="Q59" s="10"/>
      <c r="R59" s="11"/>
      <c r="S59" s="11"/>
      <c r="T59" s="11"/>
      <c r="U59" s="11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>
      <c r="A60" s="28">
        <v>63104</v>
      </c>
      <c r="B60" s="28" t="s">
        <v>30</v>
      </c>
      <c r="C60" s="29">
        <v>1347.2</v>
      </c>
      <c r="D60" s="30"/>
      <c r="E60" s="30"/>
      <c r="F60" s="30"/>
      <c r="G60" s="30"/>
      <c r="H60" s="30"/>
      <c r="I60" s="33">
        <f t="shared" si="23"/>
        <v>1347.2</v>
      </c>
      <c r="J60" s="32"/>
      <c r="K60" s="30"/>
      <c r="L60" s="30"/>
      <c r="M60" s="30"/>
      <c r="N60" s="32"/>
      <c r="O60" s="33"/>
      <c r="P60" s="32"/>
      <c r="Q60" s="10"/>
      <c r="R60" s="11"/>
      <c r="S60" s="11"/>
      <c r="T60" s="11"/>
      <c r="U60" s="11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>
      <c r="A61" s="28">
        <v>63105</v>
      </c>
      <c r="B61" s="28" t="s">
        <v>339</v>
      </c>
      <c r="C61" s="29">
        <f>780.8+40</f>
        <v>820.8</v>
      </c>
      <c r="D61" s="30">
        <f>2+58.56</f>
        <v>60.56</v>
      </c>
      <c r="E61" s="30"/>
      <c r="F61" s="30"/>
      <c r="G61" s="30"/>
      <c r="H61" s="30">
        <v>75</v>
      </c>
      <c r="I61" s="33">
        <f t="shared" ref="I61" si="29">SUM(C61:H61)</f>
        <v>956.3599999999999</v>
      </c>
      <c r="J61" s="32"/>
      <c r="K61" s="30"/>
      <c r="L61" s="30"/>
      <c r="M61" s="30"/>
      <c r="N61" s="32"/>
      <c r="O61" s="33"/>
      <c r="P61" s="32"/>
      <c r="Q61" s="10"/>
      <c r="R61" s="11"/>
      <c r="S61" s="11"/>
      <c r="T61" s="11"/>
      <c r="U61" s="11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>
      <c r="A62" s="28">
        <v>63107</v>
      </c>
      <c r="B62" s="28" t="s">
        <v>286</v>
      </c>
      <c r="C62" s="29">
        <v>1347.2</v>
      </c>
      <c r="D62" s="30">
        <v>176.82</v>
      </c>
      <c r="E62" s="30"/>
      <c r="F62" s="30"/>
      <c r="G62" s="30"/>
      <c r="H62" s="30"/>
      <c r="I62" s="30">
        <f t="shared" si="23"/>
        <v>1524.02</v>
      </c>
      <c r="J62" s="29"/>
      <c r="K62" s="30"/>
      <c r="L62" s="30"/>
      <c r="M62" s="30"/>
      <c r="N62" s="32"/>
      <c r="O62" s="33"/>
      <c r="P62" s="32"/>
      <c r="Q62" s="10"/>
      <c r="R62" s="11"/>
      <c r="S62" s="11"/>
      <c r="T62" s="11"/>
      <c r="U62" s="11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>
      <c r="A63" s="28">
        <v>63108</v>
      </c>
      <c r="B63" s="28" t="s">
        <v>31</v>
      </c>
      <c r="C63" s="29">
        <v>1337.1</v>
      </c>
      <c r="D63" s="30"/>
      <c r="E63" s="30"/>
      <c r="F63" s="30"/>
      <c r="G63" s="30"/>
      <c r="H63" s="30"/>
      <c r="I63" s="30">
        <f t="shared" si="23"/>
        <v>1337.1</v>
      </c>
      <c r="J63" s="29"/>
      <c r="K63" s="30"/>
      <c r="L63" s="30"/>
      <c r="M63" s="30"/>
      <c r="N63" s="32"/>
      <c r="O63" s="33"/>
      <c r="P63" s="32"/>
      <c r="Q63" s="10"/>
      <c r="R63" s="11"/>
      <c r="S63" s="11"/>
      <c r="T63" s="11"/>
      <c r="U63" s="11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>
      <c r="A64" s="28">
        <v>63113</v>
      </c>
      <c r="B64" s="28" t="s">
        <v>32</v>
      </c>
      <c r="C64" s="29">
        <v>1243.2</v>
      </c>
      <c r="D64" s="30"/>
      <c r="E64" s="30"/>
      <c r="F64" s="30"/>
      <c r="G64" s="30"/>
      <c r="H64" s="30"/>
      <c r="I64" s="30">
        <f t="shared" si="23"/>
        <v>1243.2</v>
      </c>
      <c r="J64" s="29"/>
      <c r="K64" s="30"/>
      <c r="L64" s="30"/>
      <c r="M64" s="30"/>
      <c r="N64" s="32"/>
      <c r="O64" s="33"/>
      <c r="P64" s="32"/>
      <c r="Q64" s="10"/>
      <c r="R64" s="11"/>
      <c r="S64" s="11"/>
      <c r="T64" s="11"/>
      <c r="U64" s="11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>
      <c r="A65" s="28">
        <v>63114</v>
      </c>
      <c r="B65" s="28" t="s">
        <v>275</v>
      </c>
      <c r="C65" s="29">
        <v>1243.2</v>
      </c>
      <c r="D65" s="30">
        <v>331</v>
      </c>
      <c r="E65" s="30"/>
      <c r="F65" s="30"/>
      <c r="G65" s="30"/>
      <c r="H65" s="30"/>
      <c r="I65" s="30">
        <f t="shared" ref="I65" si="30">SUM(C65:H65)</f>
        <v>1574.2</v>
      </c>
      <c r="J65" s="29"/>
      <c r="K65" s="30"/>
      <c r="L65" s="30"/>
      <c r="M65" s="30"/>
      <c r="N65" s="32"/>
      <c r="O65" s="33"/>
      <c r="P65" s="32"/>
      <c r="Q65" s="10"/>
      <c r="R65" s="11"/>
      <c r="S65" s="11"/>
      <c r="T65" s="11"/>
      <c r="U65" s="11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>
      <c r="A66" s="28">
        <v>63122</v>
      </c>
      <c r="B66" s="28" t="s">
        <v>273</v>
      </c>
      <c r="C66" s="29">
        <v>1243.2</v>
      </c>
      <c r="D66" s="30">
        <v>699.3</v>
      </c>
      <c r="E66" s="30"/>
      <c r="F66" s="30"/>
      <c r="G66" s="30"/>
      <c r="H66" s="30"/>
      <c r="I66" s="30">
        <f t="shared" ref="I66" si="31">SUM(C66:H66)</f>
        <v>1942.5</v>
      </c>
      <c r="J66" s="29"/>
      <c r="K66" s="30"/>
      <c r="L66" s="30"/>
      <c r="M66" s="30"/>
      <c r="N66" s="32"/>
      <c r="O66" s="33"/>
      <c r="P66" s="32"/>
      <c r="Q66" s="10"/>
      <c r="R66" s="11"/>
      <c r="S66" s="11"/>
      <c r="T66" s="11"/>
      <c r="U66" s="11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>
      <c r="A67" s="28">
        <v>63127</v>
      </c>
      <c r="B67" s="28" t="s">
        <v>302</v>
      </c>
      <c r="C67" s="29">
        <v>1243.2</v>
      </c>
      <c r="D67" s="30">
        <v>979.02</v>
      </c>
      <c r="E67" s="30"/>
      <c r="F67" s="30"/>
      <c r="G67" s="30"/>
      <c r="H67" s="30"/>
      <c r="I67" s="30">
        <f t="shared" ref="I67:I70" si="32">SUM(C67:H67)</f>
        <v>2222.2200000000003</v>
      </c>
      <c r="J67" s="29"/>
      <c r="K67" s="30"/>
      <c r="L67" s="30"/>
      <c r="M67" s="30"/>
      <c r="N67" s="32"/>
      <c r="O67" s="33"/>
      <c r="P67" s="32"/>
      <c r="Q67" s="10"/>
      <c r="R67" s="11"/>
      <c r="S67" s="11"/>
      <c r="T67" s="11"/>
      <c r="U67" s="11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>
      <c r="A68" s="28">
        <v>63129</v>
      </c>
      <c r="B68" s="28" t="s">
        <v>314</v>
      </c>
      <c r="C68" s="29">
        <v>310.8</v>
      </c>
      <c r="D68" s="30"/>
      <c r="E68" s="30"/>
      <c r="F68" s="30"/>
      <c r="G68" s="30"/>
      <c r="H68" s="30"/>
      <c r="I68" s="30">
        <f t="shared" si="32"/>
        <v>310.8</v>
      </c>
      <c r="J68" s="29"/>
      <c r="K68" s="30"/>
      <c r="L68" s="30"/>
      <c r="M68" s="30">
        <v>310.8</v>
      </c>
      <c r="N68" s="32"/>
      <c r="O68" s="33"/>
      <c r="P68" s="32"/>
      <c r="Q68" s="10"/>
      <c r="R68" s="11"/>
      <c r="S68" s="11"/>
      <c r="T68" s="11"/>
      <c r="U68" s="11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>
      <c r="A69" s="28">
        <v>63130</v>
      </c>
      <c r="B69" s="28" t="s">
        <v>315</v>
      </c>
      <c r="C69" s="29">
        <v>1056.8</v>
      </c>
      <c r="D69" s="30">
        <v>594.45000000000005</v>
      </c>
      <c r="E69" s="30"/>
      <c r="F69" s="30"/>
      <c r="G69" s="30"/>
      <c r="H69" s="30"/>
      <c r="I69" s="30">
        <f t="shared" si="32"/>
        <v>1651.25</v>
      </c>
      <c r="J69" s="29"/>
      <c r="K69" s="30"/>
      <c r="L69" s="30"/>
      <c r="M69" s="30"/>
      <c r="N69" s="32"/>
      <c r="O69" s="33"/>
      <c r="P69" s="32"/>
      <c r="Q69" s="10"/>
      <c r="R69" s="11"/>
      <c r="S69" s="11"/>
      <c r="T69" s="11"/>
      <c r="U69" s="11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>
      <c r="A70" s="28">
        <v>63131</v>
      </c>
      <c r="B70" s="28" t="s">
        <v>317</v>
      </c>
      <c r="C70" s="29">
        <f>780.8+40</f>
        <v>820.8</v>
      </c>
      <c r="D70" s="30">
        <f>2+58.56</f>
        <v>60.56</v>
      </c>
      <c r="E70" s="30"/>
      <c r="F70" s="30"/>
      <c r="G70" s="30"/>
      <c r="H70" s="30"/>
      <c r="I70" s="30">
        <f t="shared" si="32"/>
        <v>881.3599999999999</v>
      </c>
      <c r="J70" s="29"/>
      <c r="K70" s="30"/>
      <c r="L70" s="30"/>
      <c r="M70" s="30"/>
      <c r="N70" s="32"/>
      <c r="O70" s="33"/>
      <c r="P70" s="32"/>
      <c r="Q70" s="10"/>
      <c r="R70" s="11"/>
      <c r="S70" s="11"/>
      <c r="T70" s="11"/>
      <c r="U70" s="11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>
      <c r="A71" s="28">
        <v>63132</v>
      </c>
      <c r="B71" s="28" t="s">
        <v>254</v>
      </c>
      <c r="C71" s="29">
        <v>0</v>
      </c>
      <c r="D71" s="30"/>
      <c r="E71" s="30"/>
      <c r="F71" s="30"/>
      <c r="G71" s="30"/>
      <c r="H71" s="30"/>
      <c r="I71" s="30">
        <f t="shared" ref="I71:I72" si="33">SUM(C71:H71)</f>
        <v>0</v>
      </c>
      <c r="J71" s="29"/>
      <c r="K71" s="30"/>
      <c r="L71" s="30"/>
      <c r="M71" s="30"/>
      <c r="N71" s="32"/>
      <c r="O71" s="33"/>
      <c r="P71" s="32"/>
      <c r="Q71" s="10"/>
      <c r="R71" s="11"/>
      <c r="S71" s="11"/>
      <c r="T71" s="11"/>
      <c r="U71" s="11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>
      <c r="A72" s="28">
        <v>63133</v>
      </c>
      <c r="B72" s="28" t="s">
        <v>27</v>
      </c>
      <c r="C72" s="29">
        <v>902.87</v>
      </c>
      <c r="D72" s="30"/>
      <c r="E72" s="30"/>
      <c r="F72" s="30"/>
      <c r="G72" s="30"/>
      <c r="H72" s="30"/>
      <c r="I72" s="30">
        <f t="shared" si="33"/>
        <v>902.87</v>
      </c>
      <c r="J72" s="29">
        <v>150.74</v>
      </c>
      <c r="K72" s="30"/>
      <c r="L72" s="30"/>
      <c r="M72" s="30"/>
      <c r="N72" s="32"/>
      <c r="O72" s="33"/>
      <c r="P72" s="32"/>
      <c r="Q72" s="10"/>
      <c r="R72" s="11"/>
      <c r="S72" s="11"/>
      <c r="T72" s="11"/>
      <c r="U72" s="11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>
      <c r="A73" s="28">
        <v>63300</v>
      </c>
      <c r="B73" s="28" t="s">
        <v>323</v>
      </c>
      <c r="C73" s="29">
        <v>0</v>
      </c>
      <c r="D73" s="30"/>
      <c r="E73" s="30"/>
      <c r="F73" s="30"/>
      <c r="G73" s="30"/>
      <c r="H73" s="30"/>
      <c r="I73" s="30">
        <f t="shared" ref="I73" si="34">SUM(C73:H73)</f>
        <v>0</v>
      </c>
      <c r="J73" s="29"/>
      <c r="K73" s="30"/>
      <c r="L73" s="30"/>
      <c r="M73" s="30"/>
      <c r="N73" s="32"/>
      <c r="O73" s="33"/>
      <c r="P73" s="32"/>
      <c r="Q73" s="10"/>
      <c r="R73" s="11"/>
      <c r="S73" s="11"/>
      <c r="T73" s="11"/>
      <c r="U73" s="11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>
      <c r="A74" s="28">
        <v>63301</v>
      </c>
      <c r="B74" s="28" t="s">
        <v>329</v>
      </c>
      <c r="C74" s="29">
        <v>0</v>
      </c>
      <c r="D74" s="30"/>
      <c r="E74" s="30"/>
      <c r="F74" s="30"/>
      <c r="G74" s="30"/>
      <c r="H74" s="30"/>
      <c r="I74" s="30">
        <f t="shared" ref="I74" si="35">SUM(C74:H74)</f>
        <v>0</v>
      </c>
      <c r="J74" s="29"/>
      <c r="K74" s="30"/>
      <c r="L74" s="30"/>
      <c r="M74" s="30"/>
      <c r="N74" s="32"/>
      <c r="O74" s="33"/>
      <c r="P74" s="32"/>
      <c r="Q74" s="10"/>
      <c r="R74" s="11"/>
      <c r="S74" s="11"/>
      <c r="T74" s="11"/>
      <c r="U74" s="11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>
      <c r="A75" s="28">
        <v>63303</v>
      </c>
      <c r="B75" s="28" t="s">
        <v>346</v>
      </c>
      <c r="C75" s="29">
        <v>0</v>
      </c>
      <c r="D75" s="30"/>
      <c r="E75" s="30"/>
      <c r="F75" s="30"/>
      <c r="G75" s="30"/>
      <c r="H75" s="30"/>
      <c r="I75" s="30">
        <f t="shared" ref="I75" si="36">SUM(C75:H75)</f>
        <v>0</v>
      </c>
      <c r="J75" s="29"/>
      <c r="K75" s="30"/>
      <c r="L75" s="30"/>
      <c r="M75" s="30"/>
      <c r="N75" s="32"/>
      <c r="O75" s="33"/>
      <c r="P75" s="32"/>
      <c r="Q75" s="10"/>
      <c r="R75" s="11"/>
      <c r="S75" s="11"/>
      <c r="T75" s="11"/>
      <c r="U75" s="11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5.75">
      <c r="A76" s="28"/>
      <c r="B76" s="28"/>
      <c r="C76" s="29"/>
      <c r="D76" s="30"/>
      <c r="E76" s="30"/>
      <c r="F76" s="30"/>
      <c r="G76" s="30"/>
      <c r="H76" s="30"/>
      <c r="I76" s="30"/>
      <c r="J76" s="29"/>
      <c r="K76" s="30"/>
      <c r="L76" s="30"/>
      <c r="M76" s="30"/>
      <c r="N76" s="32"/>
      <c r="O76" s="46"/>
      <c r="P76" s="26"/>
      <c r="Q76" s="10"/>
      <c r="R76" s="11"/>
      <c r="S76" s="11"/>
      <c r="T76" s="11"/>
      <c r="U76" s="11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5.75">
      <c r="A77" s="1" t="s">
        <v>33</v>
      </c>
      <c r="B77" s="1"/>
      <c r="C77" s="49" t="s">
        <v>7</v>
      </c>
      <c r="D77" s="50" t="s">
        <v>8</v>
      </c>
      <c r="E77" s="50" t="s">
        <v>9</v>
      </c>
      <c r="F77" s="50" t="s">
        <v>10</v>
      </c>
      <c r="G77" s="50" t="s">
        <v>11</v>
      </c>
      <c r="H77" s="39" t="s">
        <v>12</v>
      </c>
      <c r="I77" s="50" t="s">
        <v>13</v>
      </c>
      <c r="J77" s="49" t="s">
        <v>14</v>
      </c>
      <c r="K77" s="50" t="s">
        <v>15</v>
      </c>
      <c r="L77" s="50" t="s">
        <v>16</v>
      </c>
      <c r="M77" s="38" t="s">
        <v>17</v>
      </c>
      <c r="N77" s="38" t="s">
        <v>18</v>
      </c>
      <c r="O77" s="40" t="s">
        <v>19</v>
      </c>
      <c r="P77" s="32"/>
      <c r="Q77" s="10"/>
      <c r="R77" s="11"/>
      <c r="S77" s="11"/>
      <c r="T77" s="11"/>
      <c r="U77" s="11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>
      <c r="A78" s="28">
        <v>64001</v>
      </c>
      <c r="B78" s="28" t="s">
        <v>34</v>
      </c>
      <c r="C78" s="299">
        <v>853.56</v>
      </c>
      <c r="D78" s="32"/>
      <c r="E78" s="53"/>
      <c r="F78" s="32"/>
      <c r="G78" s="32"/>
      <c r="H78" s="326"/>
      <c r="I78" s="54">
        <f t="shared" ref="I78:I87" si="37">SUM(C78:H78)</f>
        <v>853.56</v>
      </c>
      <c r="J78" s="32"/>
      <c r="K78" s="32"/>
      <c r="L78" s="32"/>
      <c r="M78" s="43"/>
      <c r="N78" s="43"/>
      <c r="O78" s="33">
        <f>1*-80.77</f>
        <v>-80.77</v>
      </c>
      <c r="P78" s="32"/>
      <c r="Q78" s="10"/>
      <c r="R78" s="11"/>
      <c r="S78" s="11"/>
      <c r="T78" s="11"/>
      <c r="U78" s="11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>
      <c r="A79" s="28"/>
      <c r="B79" s="28" t="s">
        <v>35</v>
      </c>
      <c r="C79" s="299"/>
      <c r="D79" s="32"/>
      <c r="E79" s="53"/>
      <c r="F79" s="32"/>
      <c r="G79" s="32"/>
      <c r="H79" s="326"/>
      <c r="I79" s="33">
        <f t="shared" ref="I79:I83" si="38">SUM(C79:H79)</f>
        <v>0</v>
      </c>
      <c r="J79" s="32"/>
      <c r="K79" s="32"/>
      <c r="L79" s="32"/>
      <c r="M79" s="32"/>
      <c r="N79" s="32"/>
      <c r="O79" s="33"/>
      <c r="P79" s="32"/>
      <c r="Q79" s="10"/>
      <c r="R79" s="11"/>
      <c r="S79" s="11"/>
      <c r="T79" s="11"/>
      <c r="U79" s="11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>
      <c r="A80" s="28"/>
      <c r="B80" s="28" t="s">
        <v>33</v>
      </c>
      <c r="C80" s="299"/>
      <c r="D80" s="32"/>
      <c r="E80" s="53"/>
      <c r="F80" s="32"/>
      <c r="G80" s="32"/>
      <c r="H80" s="32"/>
      <c r="I80" s="33">
        <f t="shared" ref="I80:I81" si="39">SUM(C80:H80)</f>
        <v>0</v>
      </c>
      <c r="J80" s="32"/>
      <c r="K80" s="32"/>
      <c r="L80" s="32"/>
      <c r="M80" s="32"/>
      <c r="N80" s="32"/>
      <c r="O80" s="33"/>
      <c r="P80" s="32"/>
      <c r="Q80" s="10"/>
      <c r="R80" s="11"/>
      <c r="S80" s="11"/>
      <c r="T80" s="11"/>
      <c r="U80" s="11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>
      <c r="A81" s="28"/>
      <c r="B81" s="28" t="s">
        <v>24</v>
      </c>
      <c r="C81" s="299"/>
      <c r="D81" s="32"/>
      <c r="E81" s="53"/>
      <c r="F81" s="32"/>
      <c r="G81" s="32"/>
      <c r="H81" s="32"/>
      <c r="I81" s="33">
        <f t="shared" si="39"/>
        <v>0</v>
      </c>
      <c r="J81" s="32"/>
      <c r="K81" s="32"/>
      <c r="L81" s="32"/>
      <c r="M81" s="32"/>
      <c r="N81" s="32"/>
      <c r="O81" s="33"/>
      <c r="P81" s="32"/>
      <c r="Q81" s="10"/>
      <c r="R81" s="11"/>
      <c r="S81" s="11"/>
      <c r="T81" s="11"/>
      <c r="U81" s="11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>
      <c r="A82" s="28">
        <v>64051</v>
      </c>
      <c r="B82" s="28" t="s">
        <v>330</v>
      </c>
      <c r="C82" s="299">
        <v>1020</v>
      </c>
      <c r="D82" s="32">
        <v>179.78</v>
      </c>
      <c r="E82" s="53"/>
      <c r="F82" s="32"/>
      <c r="G82" s="32"/>
      <c r="H82" s="32"/>
      <c r="I82" s="33">
        <f t="shared" si="38"/>
        <v>1199.78</v>
      </c>
      <c r="J82" s="32"/>
      <c r="K82" s="32"/>
      <c r="L82" s="32"/>
      <c r="M82" s="32"/>
      <c r="N82" s="32"/>
      <c r="O82" s="33"/>
      <c r="P82" s="32"/>
      <c r="Q82" s="10"/>
      <c r="R82" s="11"/>
      <c r="S82" s="11"/>
      <c r="T82" s="11"/>
      <c r="U82" s="11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>
      <c r="A83" s="28">
        <v>64102</v>
      </c>
      <c r="B83" s="28" t="s">
        <v>344</v>
      </c>
      <c r="C83" s="299">
        <v>1151.5999999999999</v>
      </c>
      <c r="D83" s="32">
        <v>211.61</v>
      </c>
      <c r="E83" s="53"/>
      <c r="F83" s="32"/>
      <c r="G83" s="32"/>
      <c r="H83" s="32"/>
      <c r="I83" s="33">
        <f t="shared" si="38"/>
        <v>1363.21</v>
      </c>
      <c r="J83" s="32"/>
      <c r="K83" s="32"/>
      <c r="L83" s="32"/>
      <c r="M83" s="32"/>
      <c r="N83" s="32"/>
      <c r="O83" s="33"/>
      <c r="P83" s="32"/>
      <c r="Q83" s="10"/>
      <c r="R83" s="11"/>
      <c r="S83" s="11"/>
      <c r="T83" s="11"/>
      <c r="U83" s="11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>
      <c r="A84" s="28">
        <v>64101</v>
      </c>
      <c r="B84" s="28" t="s">
        <v>335</v>
      </c>
      <c r="C84" s="299">
        <v>755.82</v>
      </c>
      <c r="D84" s="32">
        <v>72.680000000000007</v>
      </c>
      <c r="E84" s="53"/>
      <c r="F84" s="32"/>
      <c r="G84" s="32"/>
      <c r="H84" s="32"/>
      <c r="I84" s="33">
        <f t="shared" ref="I84" si="40">SUM(C84:H84)</f>
        <v>828.5</v>
      </c>
      <c r="J84" s="32">
        <v>19.38</v>
      </c>
      <c r="K84" s="32"/>
      <c r="L84" s="32"/>
      <c r="M84" s="32"/>
      <c r="N84" s="32"/>
      <c r="O84" s="33"/>
      <c r="P84" s="32"/>
      <c r="Q84" s="10"/>
      <c r="R84" s="11"/>
      <c r="S84" s="11"/>
      <c r="T84" s="11"/>
      <c r="U84" s="11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>
      <c r="A85" s="28">
        <v>64103</v>
      </c>
      <c r="B85" s="28" t="s">
        <v>359</v>
      </c>
      <c r="C85" s="299">
        <v>775.2</v>
      </c>
      <c r="D85" s="32">
        <v>58.14</v>
      </c>
      <c r="E85" s="53"/>
      <c r="F85" s="32"/>
      <c r="G85" s="32"/>
      <c r="H85" s="32"/>
      <c r="I85" s="33">
        <f t="shared" ref="I85" si="41">SUM(C85:H85)</f>
        <v>833.34</v>
      </c>
      <c r="J85" s="32"/>
      <c r="K85" s="32"/>
      <c r="L85" s="32"/>
      <c r="M85" s="32"/>
      <c r="N85" s="32"/>
      <c r="O85" s="33"/>
      <c r="P85" s="32"/>
      <c r="Q85" s="10"/>
      <c r="R85" s="11"/>
      <c r="S85" s="11"/>
      <c r="T85" s="11"/>
      <c r="U85" s="11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>
      <c r="A86" s="28">
        <v>64109</v>
      </c>
      <c r="B86" s="28" t="s">
        <v>284</v>
      </c>
      <c r="C86" s="299">
        <v>0</v>
      </c>
      <c r="D86" s="30"/>
      <c r="E86" s="30"/>
      <c r="F86" s="30"/>
      <c r="G86" s="30"/>
      <c r="H86" s="32"/>
      <c r="I86" s="30">
        <f t="shared" ref="I86" si="42">SUM(C86:H86)</f>
        <v>0</v>
      </c>
      <c r="J86" s="29"/>
      <c r="K86" s="30"/>
      <c r="L86" s="32"/>
      <c r="M86" s="30"/>
      <c r="N86" s="32"/>
      <c r="O86" s="33"/>
      <c r="P86" s="32"/>
      <c r="Q86" s="10"/>
      <c r="R86" s="11"/>
      <c r="S86" s="11"/>
      <c r="T86" s="11"/>
      <c r="U86" s="11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>
      <c r="A87" s="28">
        <v>64110</v>
      </c>
      <c r="B87" s="28" t="s">
        <v>297</v>
      </c>
      <c r="C87" s="29">
        <v>0</v>
      </c>
      <c r="D87" s="30"/>
      <c r="E87" s="30"/>
      <c r="F87" s="30"/>
      <c r="G87" s="30"/>
      <c r="H87" s="30"/>
      <c r="I87" s="30">
        <f t="shared" si="37"/>
        <v>0</v>
      </c>
      <c r="J87" s="29"/>
      <c r="K87" s="30"/>
      <c r="L87" s="32"/>
      <c r="M87" s="30"/>
      <c r="N87" s="32"/>
      <c r="O87" s="33"/>
      <c r="P87" s="32"/>
      <c r="Q87" s="10"/>
      <c r="R87" s="11"/>
      <c r="S87" s="11"/>
      <c r="T87" s="11"/>
      <c r="U87" s="11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5.75">
      <c r="B88" s="27"/>
      <c r="C88" s="29"/>
      <c r="D88" s="30"/>
      <c r="E88" s="30"/>
      <c r="F88" s="30"/>
      <c r="G88" s="30"/>
      <c r="H88" s="30"/>
      <c r="I88" s="30"/>
      <c r="J88" s="29"/>
      <c r="K88" s="30"/>
      <c r="L88" s="30"/>
      <c r="M88" s="30"/>
      <c r="N88" s="32"/>
      <c r="O88" s="46"/>
      <c r="P88" s="26"/>
      <c r="Q88" s="10"/>
      <c r="R88" s="11"/>
      <c r="S88" s="11"/>
      <c r="T88" s="11"/>
      <c r="U88" s="11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5.75">
      <c r="A89" s="1" t="s">
        <v>36</v>
      </c>
      <c r="B89" s="1"/>
      <c r="C89" s="49" t="s">
        <v>7</v>
      </c>
      <c r="D89" s="50" t="s">
        <v>8</v>
      </c>
      <c r="E89" s="50" t="s">
        <v>9</v>
      </c>
      <c r="F89" s="50" t="s">
        <v>10</v>
      </c>
      <c r="G89" s="50" t="s">
        <v>11</v>
      </c>
      <c r="H89" s="51" t="s">
        <v>12</v>
      </c>
      <c r="I89" s="55" t="s">
        <v>13</v>
      </c>
      <c r="J89" s="49" t="s">
        <v>14</v>
      </c>
      <c r="K89" s="50" t="s">
        <v>15</v>
      </c>
      <c r="L89" s="50" t="s">
        <v>16</v>
      </c>
      <c r="M89" s="50" t="s">
        <v>17</v>
      </c>
      <c r="N89" s="38" t="s">
        <v>18</v>
      </c>
      <c r="O89" s="40" t="s">
        <v>19</v>
      </c>
      <c r="P89" s="32"/>
      <c r="Q89" s="10"/>
      <c r="R89" s="11"/>
      <c r="S89" s="11"/>
      <c r="T89" s="11"/>
      <c r="U89" s="11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>
      <c r="A90" s="28">
        <v>65001</v>
      </c>
      <c r="B90" s="28" t="s">
        <v>37</v>
      </c>
      <c r="C90" s="52">
        <v>0</v>
      </c>
      <c r="D90" s="32"/>
      <c r="E90" s="32"/>
      <c r="F90" s="53"/>
      <c r="G90" s="32"/>
      <c r="H90" s="32"/>
      <c r="I90" s="54">
        <f>SUM(C90:H90)</f>
        <v>0</v>
      </c>
      <c r="J90" s="32"/>
      <c r="K90" s="32"/>
      <c r="L90" s="32"/>
      <c r="M90" s="32"/>
      <c r="N90" s="43"/>
      <c r="O90" s="33">
        <v>0</v>
      </c>
      <c r="P90" s="32"/>
      <c r="Q90" s="10"/>
      <c r="R90" s="11"/>
      <c r="S90" s="11"/>
      <c r="T90" s="11"/>
      <c r="U90" s="11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>
      <c r="A91" s="28"/>
      <c r="B91" s="28" t="s">
        <v>35</v>
      </c>
      <c r="C91" s="29"/>
      <c r="D91" s="32"/>
      <c r="E91" s="32"/>
      <c r="F91" s="53"/>
      <c r="G91" s="32"/>
      <c r="H91" s="32"/>
      <c r="I91" s="33">
        <f>SUM(C91:H91)</f>
        <v>0</v>
      </c>
      <c r="J91" s="32"/>
      <c r="K91" s="32"/>
      <c r="L91" s="32"/>
      <c r="M91" s="32"/>
      <c r="N91" s="32"/>
      <c r="O91" s="33"/>
      <c r="P91" s="32"/>
      <c r="Q91" s="10"/>
      <c r="R91" s="11"/>
      <c r="S91" s="11"/>
      <c r="T91" s="11"/>
      <c r="U91" s="11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>
      <c r="A92" s="28">
        <v>65000</v>
      </c>
      <c r="B92" s="28" t="s">
        <v>271</v>
      </c>
      <c r="C92" s="29">
        <v>756.45</v>
      </c>
      <c r="D92" s="32"/>
      <c r="E92" s="32"/>
      <c r="F92" s="53"/>
      <c r="G92" s="32"/>
      <c r="H92" s="32"/>
      <c r="I92" s="33">
        <f>SUM(C92:H92)</f>
        <v>756.45</v>
      </c>
      <c r="J92" s="32"/>
      <c r="K92" s="32"/>
      <c r="L92" s="32"/>
      <c r="M92" s="32"/>
      <c r="N92" s="32"/>
      <c r="O92" s="33">
        <f>-63.46</f>
        <v>-63.46</v>
      </c>
      <c r="P92" s="35"/>
      <c r="Q92" s="10"/>
      <c r="R92" s="11"/>
      <c r="S92" s="11"/>
      <c r="T92" s="11"/>
      <c r="U92" s="11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>
      <c r="A93" s="28">
        <v>65050</v>
      </c>
      <c r="B93" s="28" t="s">
        <v>300</v>
      </c>
      <c r="C93" s="29">
        <v>779</v>
      </c>
      <c r="D93" s="32">
        <v>78.87</v>
      </c>
      <c r="E93" s="32"/>
      <c r="F93" s="53"/>
      <c r="G93" s="32"/>
      <c r="H93" s="32"/>
      <c r="I93" s="33">
        <f>SUM(C93:H93)</f>
        <v>857.87</v>
      </c>
      <c r="J93" s="32"/>
      <c r="K93" s="32"/>
      <c r="L93" s="32"/>
      <c r="M93" s="32"/>
      <c r="N93" s="32"/>
      <c r="O93" s="33">
        <v>0</v>
      </c>
      <c r="P93" s="35"/>
      <c r="Q93" s="10"/>
      <c r="R93" s="11"/>
      <c r="S93" s="11"/>
      <c r="T93" s="11"/>
      <c r="U93" s="11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5.75">
      <c r="B94" s="27"/>
      <c r="C94" s="34"/>
      <c r="D94" s="27"/>
      <c r="E94" s="28"/>
      <c r="F94" s="28"/>
      <c r="G94" s="28"/>
      <c r="H94" s="28"/>
      <c r="I94" s="28"/>
      <c r="J94" s="34"/>
      <c r="K94" s="28"/>
      <c r="L94" s="28"/>
      <c r="M94" s="28"/>
      <c r="N94" s="35"/>
      <c r="O94" s="46"/>
      <c r="P94" s="26"/>
      <c r="Q94" s="10"/>
      <c r="R94" s="11"/>
      <c r="S94" s="11"/>
      <c r="T94" s="11"/>
      <c r="U94" s="11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5.75">
      <c r="A95" s="1" t="s">
        <v>38</v>
      </c>
      <c r="B95" s="28"/>
      <c r="C95" s="24" t="s">
        <v>7</v>
      </c>
      <c r="D95" s="22" t="s">
        <v>8</v>
      </c>
      <c r="E95" s="22" t="s">
        <v>9</v>
      </c>
      <c r="F95" s="22" t="s">
        <v>10</v>
      </c>
      <c r="G95" s="22" t="s">
        <v>11</v>
      </c>
      <c r="H95" s="47" t="s">
        <v>12</v>
      </c>
      <c r="I95" s="22" t="s">
        <v>13</v>
      </c>
      <c r="J95" s="24" t="s">
        <v>14</v>
      </c>
      <c r="K95" s="22" t="s">
        <v>15</v>
      </c>
      <c r="L95" s="22" t="s">
        <v>16</v>
      </c>
      <c r="M95" s="22" t="s">
        <v>17</v>
      </c>
      <c r="N95" s="22" t="s">
        <v>18</v>
      </c>
      <c r="O95" s="40" t="s">
        <v>19</v>
      </c>
      <c r="P95" s="32"/>
      <c r="Q95" s="10"/>
      <c r="R95" s="11"/>
      <c r="S95" s="11"/>
      <c r="T95" s="11"/>
      <c r="U95" s="11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>
      <c r="A96" s="28">
        <v>66000</v>
      </c>
      <c r="B96" s="28" t="s">
        <v>282</v>
      </c>
      <c r="C96" s="29">
        <v>429.53</v>
      </c>
      <c r="D96" s="30">
        <v>55.93</v>
      </c>
      <c r="E96" s="30"/>
      <c r="F96" s="30"/>
      <c r="G96" s="30"/>
      <c r="H96" s="30"/>
      <c r="I96" s="30">
        <f>SUM(C96:H96)</f>
        <v>485.46</v>
      </c>
      <c r="J96" s="29"/>
      <c r="K96" s="30"/>
      <c r="L96" s="30"/>
      <c r="M96" s="30"/>
      <c r="N96" s="32"/>
      <c r="O96" s="33"/>
      <c r="P96" s="32"/>
      <c r="Q96" s="10"/>
      <c r="R96" s="11"/>
      <c r="S96" s="11"/>
      <c r="T96" s="11"/>
      <c r="U96" s="11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>
      <c r="A97" s="28">
        <v>66001</v>
      </c>
      <c r="B97" s="28" t="s">
        <v>283</v>
      </c>
      <c r="C97" s="29">
        <v>567.76</v>
      </c>
      <c r="D97" s="30">
        <v>12.77</v>
      </c>
      <c r="E97" s="30"/>
      <c r="F97" s="30"/>
      <c r="G97" s="30"/>
      <c r="H97" s="30"/>
      <c r="I97" s="30">
        <f t="shared" ref="I97" si="43">SUM(C97:H97)</f>
        <v>580.53</v>
      </c>
      <c r="J97" s="29"/>
      <c r="K97" s="30"/>
      <c r="L97" s="30"/>
      <c r="M97" s="30"/>
      <c r="N97" s="32"/>
      <c r="O97" s="33"/>
      <c r="P97" s="53"/>
      <c r="Q97" s="10"/>
      <c r="R97" s="11"/>
      <c r="S97" s="11"/>
      <c r="T97" s="11"/>
      <c r="U97" s="11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45"/>
    </row>
    <row r="98" spans="1:32">
      <c r="A98" s="28">
        <v>66002</v>
      </c>
      <c r="B98" s="28" t="s">
        <v>365</v>
      </c>
      <c r="C98" s="29">
        <v>470.4</v>
      </c>
      <c r="D98" s="30"/>
      <c r="E98" s="30"/>
      <c r="F98" s="30"/>
      <c r="G98" s="30"/>
      <c r="H98" s="30"/>
      <c r="I98" s="30">
        <f t="shared" ref="I98" si="44">SUM(C98:H98)</f>
        <v>470.4</v>
      </c>
      <c r="J98" s="29"/>
      <c r="K98" s="30"/>
      <c r="L98" s="30"/>
      <c r="M98" s="30"/>
      <c r="N98" s="32"/>
      <c r="O98" s="33"/>
      <c r="P98" s="53"/>
      <c r="Q98" s="10"/>
      <c r="R98" s="11"/>
      <c r="S98" s="11"/>
      <c r="T98" s="11"/>
      <c r="U98" s="11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45"/>
    </row>
    <row r="99" spans="1:32">
      <c r="A99" s="28">
        <v>66003</v>
      </c>
      <c r="B99" s="28" t="s">
        <v>371</v>
      </c>
      <c r="C99" s="29">
        <v>231</v>
      </c>
      <c r="D99" s="30"/>
      <c r="E99" s="30"/>
      <c r="F99" s="30"/>
      <c r="G99" s="30"/>
      <c r="H99" s="30"/>
      <c r="I99" s="30">
        <f t="shared" ref="I99" si="45">SUM(C99:H99)</f>
        <v>231</v>
      </c>
      <c r="J99" s="29"/>
      <c r="K99" s="30"/>
      <c r="L99" s="30"/>
      <c r="M99" s="30"/>
      <c r="N99" s="32"/>
      <c r="O99" s="33"/>
      <c r="P99" s="53"/>
      <c r="Q99" s="10"/>
      <c r="R99" s="11"/>
      <c r="S99" s="11"/>
      <c r="T99" s="11"/>
      <c r="U99" s="11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45"/>
    </row>
    <row r="100" spans="1:32" ht="15.75">
      <c r="A100" s="28"/>
      <c r="B100" s="28"/>
      <c r="C100" s="56"/>
      <c r="D100" s="27"/>
      <c r="E100" s="27"/>
      <c r="F100" s="27"/>
      <c r="G100" s="27"/>
      <c r="H100" s="27"/>
      <c r="I100" s="30">
        <f t="shared" ref="I100" si="46">SUM(C100:H100)</f>
        <v>0</v>
      </c>
      <c r="J100" s="58"/>
      <c r="K100" s="27"/>
      <c r="L100" s="27"/>
      <c r="M100" s="27"/>
      <c r="N100" s="53"/>
      <c r="O100" s="59"/>
      <c r="P100" s="26"/>
      <c r="Q100" s="10"/>
      <c r="R100" s="11"/>
      <c r="S100" s="11"/>
      <c r="T100" s="11"/>
      <c r="U100" s="11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5.75">
      <c r="A101" s="60" t="s">
        <v>40</v>
      </c>
      <c r="B101" s="27"/>
      <c r="C101" s="24" t="s">
        <v>7</v>
      </c>
      <c r="D101" s="22" t="s">
        <v>8</v>
      </c>
      <c r="E101" s="22" t="s">
        <v>9</v>
      </c>
      <c r="F101" s="22" t="s">
        <v>10</v>
      </c>
      <c r="G101" s="22" t="s">
        <v>11</v>
      </c>
      <c r="H101" s="47" t="s">
        <v>12</v>
      </c>
      <c r="I101" s="22" t="s">
        <v>13</v>
      </c>
      <c r="J101" s="24" t="s">
        <v>14</v>
      </c>
      <c r="K101" s="22" t="s">
        <v>15</v>
      </c>
      <c r="L101" s="22" t="s">
        <v>16</v>
      </c>
      <c r="M101" s="22" t="s">
        <v>17</v>
      </c>
      <c r="N101" s="22" t="s">
        <v>18</v>
      </c>
      <c r="O101" s="25" t="s">
        <v>19</v>
      </c>
      <c r="P101" s="32"/>
      <c r="Q101" s="10"/>
      <c r="R101" s="11"/>
      <c r="S101" s="11"/>
      <c r="T101" s="11"/>
      <c r="U101" s="11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45"/>
    </row>
    <row r="102" spans="1:32">
      <c r="A102" s="28">
        <v>68200</v>
      </c>
      <c r="B102" s="28" t="s">
        <v>333</v>
      </c>
      <c r="C102" s="29">
        <v>700</v>
      </c>
      <c r="D102" s="30">
        <v>186.38</v>
      </c>
      <c r="E102" s="30"/>
      <c r="F102" s="30"/>
      <c r="G102" s="30"/>
      <c r="H102" s="30"/>
      <c r="I102" s="30">
        <f t="shared" ref="I102" si="47">SUM(C102:H102)</f>
        <v>886.38</v>
      </c>
      <c r="J102" s="29"/>
      <c r="K102" s="30"/>
      <c r="L102" s="30"/>
      <c r="M102" s="30"/>
      <c r="N102" s="32"/>
      <c r="O102" s="297"/>
      <c r="P102" s="32"/>
      <c r="Q102" s="10"/>
      <c r="R102" s="11"/>
      <c r="S102" s="11"/>
      <c r="T102" s="11"/>
      <c r="U102" s="11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45"/>
    </row>
    <row r="103" spans="1:32">
      <c r="A103" s="28">
        <v>68205</v>
      </c>
      <c r="B103" s="28" t="s">
        <v>292</v>
      </c>
      <c r="C103" s="29">
        <v>0</v>
      </c>
      <c r="D103" s="30"/>
      <c r="E103" s="30"/>
      <c r="F103" s="30"/>
      <c r="G103" s="30"/>
      <c r="H103" s="30"/>
      <c r="I103" s="30">
        <f t="shared" ref="I103" si="48">SUM(C103:H103)</f>
        <v>0</v>
      </c>
      <c r="J103" s="29"/>
      <c r="K103" s="30"/>
      <c r="L103" s="30"/>
      <c r="M103" s="30"/>
      <c r="N103" s="32"/>
      <c r="O103" s="44"/>
      <c r="P103" s="32"/>
      <c r="Q103" s="10"/>
      <c r="R103" s="11"/>
      <c r="S103" s="11"/>
      <c r="T103" s="11"/>
      <c r="U103" s="11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45"/>
    </row>
    <row r="104" spans="1:32">
      <c r="A104" s="28">
        <v>68207</v>
      </c>
      <c r="B104" s="28" t="s">
        <v>345</v>
      </c>
      <c r="C104" s="29">
        <v>257.55</v>
      </c>
      <c r="D104" s="30"/>
      <c r="E104" s="30"/>
      <c r="F104" s="30"/>
      <c r="G104" s="30"/>
      <c r="H104" s="30"/>
      <c r="I104" s="30">
        <f t="shared" ref="I104" si="49">SUM(C104:H104)</f>
        <v>257.55</v>
      </c>
      <c r="J104" s="29"/>
      <c r="K104" s="30"/>
      <c r="L104" s="30"/>
      <c r="M104" s="30"/>
      <c r="N104" s="32"/>
      <c r="O104" s="44"/>
      <c r="P104" s="32"/>
      <c r="Q104" s="10"/>
      <c r="R104" s="11"/>
      <c r="S104" s="11"/>
      <c r="T104" s="11"/>
      <c r="U104" s="11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45"/>
    </row>
    <row r="105" spans="1:32">
      <c r="A105" s="28">
        <v>68208</v>
      </c>
      <c r="B105" s="28" t="s">
        <v>356</v>
      </c>
      <c r="C105" s="29">
        <v>459</v>
      </c>
      <c r="D105" s="30"/>
      <c r="E105" s="30"/>
      <c r="F105" s="30"/>
      <c r="G105" s="30"/>
      <c r="H105" s="30"/>
      <c r="I105" s="30">
        <f t="shared" ref="I105" si="50">SUM(C105:H105)</f>
        <v>459</v>
      </c>
      <c r="J105" s="29"/>
      <c r="K105" s="30"/>
      <c r="L105" s="30"/>
      <c r="M105" s="30"/>
      <c r="N105" s="32"/>
      <c r="O105" s="44"/>
      <c r="P105" s="32"/>
      <c r="Q105" s="10"/>
      <c r="R105" s="11"/>
      <c r="S105" s="11"/>
      <c r="T105" s="11"/>
      <c r="U105" s="11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45"/>
    </row>
    <row r="106" spans="1:32">
      <c r="A106" s="28">
        <v>68209</v>
      </c>
      <c r="B106" s="28" t="s">
        <v>366</v>
      </c>
      <c r="C106" s="29">
        <v>202.5</v>
      </c>
      <c r="D106" s="30"/>
      <c r="E106" s="30"/>
      <c r="F106" s="30"/>
      <c r="G106" s="30"/>
      <c r="H106" s="30"/>
      <c r="I106" s="30">
        <f t="shared" ref="I106" si="51">SUM(C106:H106)</f>
        <v>202.5</v>
      </c>
      <c r="J106" s="29"/>
      <c r="K106" s="30"/>
      <c r="L106" s="30"/>
      <c r="M106" s="30"/>
      <c r="N106" s="32"/>
      <c r="O106" s="44"/>
      <c r="P106" s="32"/>
      <c r="Q106" s="10"/>
      <c r="R106" s="11"/>
      <c r="S106" s="11"/>
      <c r="T106" s="11"/>
      <c r="U106" s="11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45"/>
    </row>
    <row r="107" spans="1:32">
      <c r="A107" s="28"/>
      <c r="B107" s="28"/>
      <c r="C107" s="29"/>
      <c r="D107" s="30"/>
      <c r="E107" s="30"/>
      <c r="F107" s="30"/>
      <c r="G107" s="30"/>
      <c r="H107" s="30"/>
      <c r="I107" s="30"/>
      <c r="J107" s="29"/>
      <c r="K107" s="30"/>
      <c r="L107" s="30"/>
      <c r="M107" s="30"/>
      <c r="N107" s="32"/>
      <c r="O107" s="244"/>
      <c r="P107" s="32"/>
      <c r="Q107" s="10"/>
      <c r="R107" s="11"/>
      <c r="S107" s="11"/>
      <c r="T107" s="11"/>
      <c r="U107" s="11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5.75">
      <c r="A108" s="28"/>
      <c r="B108" s="1" t="s">
        <v>13</v>
      </c>
      <c r="C108" s="42">
        <f>SUM(C5:C107)</f>
        <v>36493.050000000003</v>
      </c>
      <c r="D108" s="42">
        <f>SUM(D5:D107)</f>
        <v>4365.8100000000013</v>
      </c>
      <c r="E108" s="42">
        <f>SUM(E5:E107)</f>
        <v>13891.960000000001</v>
      </c>
      <c r="F108" s="42">
        <f>SUM(F5:F107)</f>
        <v>84.05</v>
      </c>
      <c r="G108" s="42">
        <f t="shared" ref="G108:O108" si="52">SUM(G5:G107)</f>
        <v>0</v>
      </c>
      <c r="H108" s="42">
        <f>SUM(H5:H107)</f>
        <v>14849.7</v>
      </c>
      <c r="I108" s="42">
        <f>SUM(I5:I107)</f>
        <v>69684.569999999992</v>
      </c>
      <c r="J108" s="42">
        <f t="shared" si="52"/>
        <v>170.12</v>
      </c>
      <c r="K108" s="42">
        <f>SUM(K5:K107)</f>
        <v>2974.71</v>
      </c>
      <c r="L108" s="42">
        <f>SUM(L5:L107)</f>
        <v>0</v>
      </c>
      <c r="M108" s="42">
        <f t="shared" si="52"/>
        <v>402.78000000000003</v>
      </c>
      <c r="N108" s="42">
        <f t="shared" si="52"/>
        <v>0</v>
      </c>
      <c r="O108" s="298">
        <f t="shared" si="52"/>
        <v>-650.97</v>
      </c>
      <c r="P108" s="26"/>
      <c r="Q108" s="10"/>
      <c r="R108" s="11"/>
      <c r="S108" s="11"/>
      <c r="T108" s="11"/>
      <c r="U108" s="11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5.75">
      <c r="A109" s="28"/>
      <c r="B109" s="27"/>
      <c r="C109" s="37" t="s">
        <v>7</v>
      </c>
      <c r="D109" s="37" t="s">
        <v>8</v>
      </c>
      <c r="E109" s="37" t="s">
        <v>9</v>
      </c>
      <c r="F109" s="37" t="s">
        <v>10</v>
      </c>
      <c r="G109" s="37" t="s">
        <v>11</v>
      </c>
      <c r="H109" s="61" t="s">
        <v>12</v>
      </c>
      <c r="I109" s="37" t="s">
        <v>13</v>
      </c>
      <c r="J109" s="37" t="s">
        <v>14</v>
      </c>
      <c r="K109" s="37" t="s">
        <v>15</v>
      </c>
      <c r="L109" s="37" t="s">
        <v>16</v>
      </c>
      <c r="M109" s="37" t="s">
        <v>17</v>
      </c>
      <c r="N109" s="24" t="s">
        <v>18</v>
      </c>
      <c r="O109" s="40" t="s">
        <v>19</v>
      </c>
      <c r="P109" s="64"/>
      <c r="Q109" s="28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>
      <c r="A110" s="28"/>
      <c r="B110" s="27"/>
      <c r="C110" s="62"/>
      <c r="D110" s="62"/>
      <c r="E110" s="63"/>
      <c r="F110" s="63"/>
      <c r="G110" s="62"/>
      <c r="H110" s="62"/>
      <c r="I110" s="62"/>
      <c r="J110" s="63"/>
      <c r="K110" s="62"/>
      <c r="L110" s="62"/>
      <c r="M110" s="62"/>
      <c r="N110" s="62"/>
      <c r="O110" s="64"/>
      <c r="P110" s="64"/>
      <c r="Q110" s="28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>
      <c r="A111" s="28"/>
      <c r="B111" s="27"/>
      <c r="E111" s="27"/>
      <c r="F111" s="27"/>
      <c r="P111" s="82"/>
      <c r="Q111" s="28"/>
      <c r="R111" s="5"/>
      <c r="S111" s="5"/>
      <c r="T111" s="5"/>
      <c r="U111" s="5"/>
      <c r="V111" s="69"/>
      <c r="W111" s="69"/>
      <c r="X111" s="69"/>
      <c r="Y111" s="69"/>
      <c r="Z111" s="5"/>
      <c r="AA111" s="5"/>
      <c r="AB111" s="5"/>
      <c r="AC111" s="5"/>
      <c r="AD111" s="5"/>
      <c r="AE111" s="5"/>
      <c r="AF111" s="5"/>
    </row>
    <row r="112" spans="1:32" ht="15.75">
      <c r="A112" s="28"/>
      <c r="B112" s="65" t="s">
        <v>41</v>
      </c>
      <c r="C112" s="66" t="s">
        <v>42</v>
      </c>
      <c r="D112" s="66" t="s">
        <v>43</v>
      </c>
      <c r="E112" s="66" t="s">
        <v>44</v>
      </c>
      <c r="F112" s="66" t="s">
        <v>45</v>
      </c>
      <c r="G112" s="66" t="s">
        <v>46</v>
      </c>
      <c r="H112" s="67" t="s">
        <v>47</v>
      </c>
      <c r="I112" s="68" t="s">
        <v>48</v>
      </c>
      <c r="J112" s="45"/>
      <c r="K112" s="45"/>
      <c r="L112" s="45"/>
      <c r="M112" s="45"/>
      <c r="N112" s="45"/>
      <c r="O112" s="45"/>
      <c r="P112" s="82"/>
      <c r="Q112" s="28" t="s">
        <v>39</v>
      </c>
      <c r="R112" s="5"/>
      <c r="S112" s="5"/>
      <c r="T112" s="5"/>
      <c r="U112" s="5"/>
      <c r="V112" s="69"/>
      <c r="W112" s="69"/>
      <c r="X112" s="69"/>
      <c r="Y112" s="69"/>
      <c r="Z112" s="5"/>
      <c r="AA112" s="5"/>
      <c r="AB112" s="5"/>
      <c r="AC112" s="5"/>
      <c r="AD112" s="5"/>
      <c r="AE112" s="5"/>
      <c r="AF112" s="5"/>
    </row>
    <row r="113" spans="1:32" ht="15.75">
      <c r="A113" s="28" t="s">
        <v>39</v>
      </c>
      <c r="B113" s="70" t="s">
        <v>49</v>
      </c>
      <c r="C113" s="32">
        <v>8919.3799999999992</v>
      </c>
      <c r="D113" s="32">
        <v>10985.64</v>
      </c>
      <c r="E113" s="32">
        <v>1881.56</v>
      </c>
      <c r="F113" s="53"/>
      <c r="G113" s="32">
        <v>462.76</v>
      </c>
      <c r="H113" s="32">
        <v>331.88</v>
      </c>
      <c r="I113" s="33">
        <v>128</v>
      </c>
      <c r="J113" s="45"/>
      <c r="K113" s="45"/>
      <c r="L113" s="45"/>
      <c r="M113" s="45"/>
      <c r="N113" s="45"/>
      <c r="O113" s="45"/>
      <c r="P113" s="74"/>
      <c r="Q113" s="41" t="s">
        <v>39</v>
      </c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5.75">
      <c r="A114" s="41" t="s">
        <v>39</v>
      </c>
      <c r="B114" s="70" t="s">
        <v>50</v>
      </c>
      <c r="C114" s="35"/>
      <c r="D114" s="32"/>
      <c r="E114" s="32">
        <f>E113</f>
        <v>1881.56</v>
      </c>
      <c r="F114" s="32">
        <v>3234.15</v>
      </c>
      <c r="G114" s="32">
        <v>647.89</v>
      </c>
      <c r="H114" s="32">
        <v>464.5</v>
      </c>
      <c r="I114" s="33"/>
      <c r="K114" s="71" t="s">
        <v>51</v>
      </c>
      <c r="L114" s="72"/>
      <c r="M114" s="72"/>
      <c r="N114" s="73"/>
      <c r="P114" s="74"/>
      <c r="Q114" s="28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5.75">
      <c r="A115" s="28"/>
      <c r="B115" s="70"/>
      <c r="C115" s="32"/>
      <c r="D115" s="32"/>
      <c r="E115" s="32"/>
      <c r="F115" s="32"/>
      <c r="G115" s="35"/>
      <c r="H115" s="32"/>
      <c r="I115" s="33"/>
      <c r="K115" s="75"/>
      <c r="L115" s="74"/>
      <c r="M115" s="74"/>
      <c r="N115" s="76"/>
      <c r="Q115" s="28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5.75">
      <c r="A116" s="28"/>
      <c r="B116" s="70"/>
      <c r="C116" s="26"/>
      <c r="D116" s="26" t="s">
        <v>52</v>
      </c>
      <c r="E116" s="26" t="s">
        <v>53</v>
      </c>
      <c r="F116" s="26" t="s">
        <v>54</v>
      </c>
      <c r="G116" s="16" t="s">
        <v>55</v>
      </c>
      <c r="H116" s="77" t="s">
        <v>56</v>
      </c>
      <c r="I116" s="78" t="s">
        <v>57</v>
      </c>
      <c r="K116" s="79" t="s">
        <v>58</v>
      </c>
      <c r="L116" s="80" t="s">
        <v>59</v>
      </c>
      <c r="M116" s="80" t="s">
        <v>60</v>
      </c>
      <c r="N116" s="76" t="s">
        <v>61</v>
      </c>
      <c r="O116" s="80"/>
      <c r="P116" s="80"/>
      <c r="Q116" s="28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5.75">
      <c r="A117" s="28"/>
      <c r="B117" s="70" t="s">
        <v>49</v>
      </c>
      <c r="C117" s="32"/>
      <c r="D117" s="32">
        <f>136.01+29.4+0.6+5.58+502.41+316.9+327.18</f>
        <v>1318.08</v>
      </c>
      <c r="E117" s="32">
        <v>82.89</v>
      </c>
      <c r="F117" s="32">
        <v>55</v>
      </c>
      <c r="G117" s="57">
        <v>0</v>
      </c>
      <c r="H117" s="32"/>
      <c r="I117" s="33">
        <f>1125.57+24.64+1539.69+426.43</f>
        <v>3116.33</v>
      </c>
      <c r="K117" s="79" t="s">
        <v>62</v>
      </c>
      <c r="L117" s="80" t="s">
        <v>63</v>
      </c>
      <c r="M117" s="80" t="s">
        <v>59</v>
      </c>
      <c r="N117" s="76" t="s">
        <v>64</v>
      </c>
      <c r="O117" s="80"/>
      <c r="P117" s="82"/>
      <c r="Q117" s="28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5.75">
      <c r="A118" s="28"/>
      <c r="B118" s="70" t="s">
        <v>50</v>
      </c>
      <c r="C118" s="32"/>
      <c r="D118" s="32">
        <f>1304.06+56.84</f>
        <v>1360.8999999999999</v>
      </c>
      <c r="E118" s="32">
        <f>E117</f>
        <v>82.89</v>
      </c>
      <c r="F118" s="32"/>
      <c r="G118" s="32"/>
      <c r="H118" s="32">
        <v>1530.98</v>
      </c>
      <c r="I118" s="33">
        <v>2649.01</v>
      </c>
      <c r="K118" s="81"/>
      <c r="L118" s="82"/>
      <c r="M118" s="82"/>
      <c r="N118" s="83"/>
      <c r="O118" s="82"/>
      <c r="P118" s="85"/>
      <c r="Q118" s="28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5.75">
      <c r="A119" s="28"/>
      <c r="B119" s="70" t="s">
        <v>39</v>
      </c>
      <c r="C119" s="82"/>
      <c r="D119" s="82"/>
      <c r="E119" s="32"/>
      <c r="F119" s="32"/>
      <c r="G119" s="82"/>
      <c r="H119" s="82"/>
      <c r="I119" s="83"/>
      <c r="K119" s="84"/>
      <c r="L119" s="85"/>
      <c r="M119" s="85"/>
      <c r="N119" s="86"/>
      <c r="O119" s="85"/>
      <c r="P119" s="82"/>
      <c r="Q119" s="28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5.75">
      <c r="A120" s="28"/>
      <c r="B120" s="70"/>
      <c r="C120" s="87" t="s">
        <v>65</v>
      </c>
      <c r="D120" s="87" t="s">
        <v>66</v>
      </c>
      <c r="E120" s="26" t="s">
        <v>67</v>
      </c>
      <c r="F120" s="26"/>
      <c r="G120" s="87"/>
      <c r="H120" s="87"/>
      <c r="I120" s="88"/>
      <c r="J120" s="89"/>
      <c r="K120" s="90">
        <f>SUM(I108:N108)</f>
        <v>73232.179999999993</v>
      </c>
      <c r="L120" s="91">
        <f>SUM(C113:H113)+SUM(E114:H114)+F122+G122+H122+H118</f>
        <v>30340.3</v>
      </c>
      <c r="M120" s="91">
        <f>(SUM(C113:H113))+(SUM(C117:I117))+(SUM(C121:E121))+I113</f>
        <v>26630.549999999996</v>
      </c>
      <c r="N120" s="92">
        <f>K120+L120-M120</f>
        <v>76941.929999999993</v>
      </c>
      <c r="O120" s="82"/>
      <c r="P120" s="5"/>
      <c r="Q120" s="28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5.75">
      <c r="A121" s="28"/>
      <c r="B121" s="70" t="s">
        <v>49</v>
      </c>
      <c r="C121" s="82">
        <f>O108</f>
        <v>-650.97</v>
      </c>
      <c r="D121" s="82">
        <v>0</v>
      </c>
      <c r="E121" s="32">
        <v>0</v>
      </c>
      <c r="F121" s="32"/>
      <c r="G121" s="82"/>
      <c r="H121" s="82"/>
      <c r="I121" s="83"/>
      <c r="J121" s="82"/>
      <c r="K121" s="85"/>
      <c r="L121" s="85"/>
      <c r="M121" s="85"/>
      <c r="N121" s="85"/>
      <c r="O121" s="5"/>
      <c r="P121" s="45"/>
      <c r="Q121" s="27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5.75">
      <c r="B122" s="93" t="s">
        <v>50</v>
      </c>
      <c r="C122" s="91"/>
      <c r="D122" s="91"/>
      <c r="E122" s="94"/>
      <c r="F122" s="94"/>
      <c r="G122" s="94"/>
      <c r="H122" s="94"/>
      <c r="I122" s="92"/>
      <c r="J122" s="45"/>
      <c r="K122" s="45"/>
      <c r="L122" s="45"/>
      <c r="M122" s="45"/>
      <c r="N122" s="45"/>
      <c r="O122" s="45"/>
      <c r="P122" s="5"/>
      <c r="Q122" s="28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>
      <c r="A123" s="28"/>
      <c r="B123" s="64"/>
      <c r="C123" s="64"/>
      <c r="D123" s="64"/>
      <c r="E123" s="53"/>
      <c r="F123" s="53"/>
      <c r="G123" s="64"/>
      <c r="H123" s="6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>
      <c r="A124" s="28"/>
      <c r="E124" s="27"/>
      <c r="F124" s="2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>
      <c r="A125" s="28"/>
      <c r="E125" s="27"/>
      <c r="F125" s="2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>
      <c r="A126" s="28"/>
      <c r="E126" s="27"/>
      <c r="F126" s="2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>
      <c r="A127" s="28"/>
      <c r="E127" s="27"/>
      <c r="F127" s="2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>
      <c r="A128" s="28"/>
      <c r="E128" s="27"/>
      <c r="F128" s="2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8" customHeight="1">
      <c r="A129" s="28"/>
      <c r="B129" s="95"/>
      <c r="E129" s="27"/>
      <c r="F129" s="2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8" customHeight="1">
      <c r="A130" s="96" t="s">
        <v>71</v>
      </c>
      <c r="B130" s="97"/>
      <c r="C130" s="97"/>
      <c r="D130" s="98"/>
      <c r="E130" s="99"/>
      <c r="F130" s="96">
        <v>2017</v>
      </c>
      <c r="G130" s="100"/>
      <c r="H130" s="97"/>
      <c r="I130" s="97" t="s">
        <v>367</v>
      </c>
      <c r="J130" s="97"/>
      <c r="K130" s="97"/>
      <c r="L130" s="98"/>
      <c r="M130" s="97"/>
      <c r="N130" s="101"/>
      <c r="O130" s="102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8" customHeight="1">
      <c r="A131" s="103"/>
      <c r="B131" s="98"/>
      <c r="C131" s="97"/>
      <c r="D131" s="97"/>
      <c r="E131" s="96"/>
      <c r="F131" s="96"/>
      <c r="G131" s="97"/>
      <c r="H131" s="97"/>
      <c r="I131" s="97"/>
      <c r="J131" s="97"/>
      <c r="K131" s="97"/>
      <c r="L131" s="98"/>
      <c r="M131" s="98"/>
      <c r="N131" s="102"/>
      <c r="O131" s="102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8" customHeight="1">
      <c r="A132" s="99"/>
      <c r="B132" s="104"/>
      <c r="C132" s="98"/>
      <c r="D132" s="98"/>
      <c r="E132" s="99"/>
      <c r="F132" s="99"/>
      <c r="G132" s="98"/>
      <c r="H132" s="98"/>
      <c r="I132" s="98"/>
      <c r="J132" s="98"/>
      <c r="K132" s="98"/>
      <c r="L132" s="98"/>
      <c r="M132" s="98"/>
      <c r="N132" s="102"/>
      <c r="O132" s="102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8" customHeight="1">
      <c r="A133" s="96" t="s">
        <v>72</v>
      </c>
      <c r="B133" s="105"/>
      <c r="C133" s="106" t="s">
        <v>73</v>
      </c>
      <c r="D133" s="107" t="s">
        <v>74</v>
      </c>
      <c r="E133" s="107" t="s">
        <v>75</v>
      </c>
      <c r="F133" s="106" t="s">
        <v>76</v>
      </c>
      <c r="G133" s="108"/>
      <c r="H133" s="109" t="s">
        <v>72</v>
      </c>
      <c r="I133" s="104"/>
      <c r="J133" s="104"/>
      <c r="K133" s="106" t="s">
        <v>75</v>
      </c>
      <c r="L133" s="106" t="s">
        <v>77</v>
      </c>
      <c r="N133" s="110"/>
      <c r="O133" s="102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8" customHeight="1">
      <c r="A134" s="99"/>
      <c r="B134" s="105"/>
      <c r="C134" s="98"/>
      <c r="D134" s="111"/>
      <c r="E134" s="99"/>
      <c r="F134" s="98"/>
      <c r="G134" s="112"/>
      <c r="H134" s="105"/>
      <c r="I134" s="98"/>
      <c r="J134" s="98"/>
      <c r="K134" s="98"/>
      <c r="L134" s="98"/>
      <c r="N134" s="102"/>
      <c r="O134" s="102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8" customHeight="1">
      <c r="A135" s="113" t="s">
        <v>78</v>
      </c>
      <c r="B135" s="113"/>
      <c r="C135" s="113"/>
      <c r="D135" s="114"/>
      <c r="E135" s="113">
        <v>6921</v>
      </c>
      <c r="F135" s="115">
        <f>+C6</f>
        <v>1730.77</v>
      </c>
      <c r="G135" s="116"/>
      <c r="H135" s="117" t="s">
        <v>79</v>
      </c>
      <c r="I135" s="113"/>
      <c r="J135" s="113"/>
      <c r="K135" s="113">
        <f>61450/10</f>
        <v>6145</v>
      </c>
      <c r="L135" s="115">
        <f>SUM(O5:O39)</f>
        <v>-146.34999999999997</v>
      </c>
      <c r="N135" s="118"/>
      <c r="O135" s="102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8" customHeight="1">
      <c r="A136" s="113" t="s">
        <v>80</v>
      </c>
      <c r="B136" s="113"/>
      <c r="C136" s="113"/>
      <c r="D136" s="113"/>
      <c r="E136" s="113">
        <v>1592</v>
      </c>
      <c r="F136" s="115">
        <f>H6</f>
        <v>0</v>
      </c>
      <c r="G136" s="116"/>
      <c r="H136" s="117" t="s">
        <v>81</v>
      </c>
      <c r="I136" s="113"/>
      <c r="J136" s="113"/>
      <c r="K136" s="113">
        <v>6245</v>
      </c>
      <c r="L136" s="115">
        <f>SUM(O40:O45)</f>
        <v>-60.86</v>
      </c>
      <c r="N136" s="118"/>
      <c r="O136" s="102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8" customHeight="1">
      <c r="A137" s="113" t="s">
        <v>82</v>
      </c>
      <c r="B137" s="113"/>
      <c r="C137" s="113"/>
      <c r="D137" s="114"/>
      <c r="E137" s="113">
        <v>2501</v>
      </c>
      <c r="F137" s="115">
        <f>(SUM(F6:F47))+(SUM(E10:E47))+E87</f>
        <v>13976.01</v>
      </c>
      <c r="G137" s="116"/>
      <c r="H137" s="117" t="s">
        <v>83</v>
      </c>
      <c r="I137" s="113"/>
      <c r="J137" s="113"/>
      <c r="K137" s="113">
        <v>6445</v>
      </c>
      <c r="L137" s="115">
        <f>+O48+O51+O54+O55+O56+O52+O53</f>
        <v>-299.52999999999997</v>
      </c>
      <c r="N137" s="57"/>
      <c r="O137" s="102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8" customHeight="1">
      <c r="A138" s="113" t="s">
        <v>84</v>
      </c>
      <c r="B138" s="113"/>
      <c r="C138" s="113"/>
      <c r="D138" s="114"/>
      <c r="E138" s="113">
        <v>6101</v>
      </c>
      <c r="F138" s="115">
        <f>SUM(C24:C33)+SUM(H24:H33)+C19</f>
        <v>3539.54</v>
      </c>
      <c r="G138" s="116"/>
      <c r="H138" s="117" t="s">
        <v>85</v>
      </c>
      <c r="I138" s="113"/>
      <c r="J138" s="113"/>
      <c r="K138" s="113">
        <v>6745</v>
      </c>
      <c r="L138" s="115">
        <v>0</v>
      </c>
      <c r="N138" s="57"/>
      <c r="O138" s="102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8" customHeight="1">
      <c r="A139" s="113" t="s">
        <v>86</v>
      </c>
      <c r="B139" s="113"/>
      <c r="C139" s="113"/>
      <c r="D139" s="114"/>
      <c r="E139" s="113">
        <v>6201</v>
      </c>
      <c r="F139" s="115">
        <f>SUM(C42:C46)+H44+H46+H45+H42+H43</f>
        <v>750</v>
      </c>
      <c r="G139" s="116"/>
      <c r="H139" s="119" t="s">
        <v>87</v>
      </c>
      <c r="I139" s="120"/>
      <c r="J139" s="120"/>
      <c r="K139" s="120">
        <v>6545</v>
      </c>
      <c r="L139" s="121">
        <f>O90+O92</f>
        <v>-63.46</v>
      </c>
      <c r="N139" s="122"/>
      <c r="O139" s="102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8" customHeight="1">
      <c r="A140" s="113" t="s">
        <v>88</v>
      </c>
      <c r="B140" s="120"/>
      <c r="C140" s="113"/>
      <c r="D140" s="114"/>
      <c r="E140" s="113">
        <v>6102</v>
      </c>
      <c r="F140" s="115">
        <f>H15+H19+H18+H16</f>
        <v>0</v>
      </c>
      <c r="G140" s="116"/>
      <c r="H140" s="116"/>
      <c r="I140" s="123"/>
      <c r="J140" s="123"/>
      <c r="K140" s="123"/>
      <c r="L140" s="124"/>
      <c r="N140" s="125"/>
      <c r="O140" s="102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8" customHeight="1">
      <c r="A141" s="113" t="s">
        <v>265</v>
      </c>
      <c r="B141" s="120"/>
      <c r="C141" s="120"/>
      <c r="D141" s="120"/>
      <c r="E141" s="120">
        <v>6202</v>
      </c>
      <c r="F141" s="121">
        <f>H17</f>
        <v>0</v>
      </c>
      <c r="G141" s="116"/>
      <c r="H141" s="116"/>
      <c r="I141" s="123"/>
      <c r="J141" s="123"/>
      <c r="K141" s="123"/>
      <c r="L141" s="124"/>
      <c r="N141" s="125"/>
      <c r="O141" s="102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8" customHeight="1">
      <c r="A142" s="120" t="s">
        <v>89</v>
      </c>
      <c r="B142" s="113"/>
      <c r="C142" s="120"/>
      <c r="D142" s="120"/>
      <c r="E142" s="120">
        <v>2297</v>
      </c>
      <c r="F142" s="121">
        <f>H21</f>
        <v>0</v>
      </c>
      <c r="G142" s="116"/>
      <c r="H142" s="116"/>
      <c r="I142" s="123"/>
      <c r="J142" s="123"/>
      <c r="K142" s="123"/>
      <c r="L142" s="124"/>
      <c r="N142" s="125"/>
      <c r="O142" s="102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8" customHeight="1">
      <c r="A143" s="113" t="s">
        <v>90</v>
      </c>
      <c r="B143" s="113"/>
      <c r="C143" s="113"/>
      <c r="D143" s="114"/>
      <c r="E143" s="113">
        <v>6122</v>
      </c>
      <c r="F143" s="115">
        <f>+C15+C11+H11+H12+H7+C14+H14+C20+H20</f>
        <v>2368.75</v>
      </c>
      <c r="G143" s="116"/>
      <c r="H143" s="116" t="s">
        <v>91</v>
      </c>
      <c r="I143" s="123"/>
      <c r="J143" s="123"/>
      <c r="K143" s="123">
        <v>2503</v>
      </c>
      <c r="L143" s="115">
        <f>E121</f>
        <v>0</v>
      </c>
      <c r="N143" s="118"/>
      <c r="O143" s="102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8" customHeight="1">
      <c r="A144" s="113" t="s">
        <v>92</v>
      </c>
      <c r="B144" s="113"/>
      <c r="C144" s="113"/>
      <c r="D144" s="114"/>
      <c r="E144" s="113">
        <v>6222</v>
      </c>
      <c r="F144" s="265">
        <f>C40+H40+H13+H8+C41+H41</f>
        <v>1235.44</v>
      </c>
      <c r="G144" s="116"/>
      <c r="H144" s="116" t="s">
        <v>93</v>
      </c>
      <c r="I144" s="123"/>
      <c r="J144" s="123"/>
      <c r="K144" s="123">
        <v>2335</v>
      </c>
      <c r="L144" s="115">
        <f>F117</f>
        <v>55</v>
      </c>
      <c r="N144" s="118"/>
      <c r="O144" s="102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8" customHeight="1">
      <c r="A145" s="113" t="s">
        <v>94</v>
      </c>
      <c r="B145" s="113"/>
      <c r="C145" s="113"/>
      <c r="D145" s="114"/>
      <c r="E145" s="113">
        <v>6422</v>
      </c>
      <c r="F145" s="115">
        <f>I48-G48</f>
        <v>941.53</v>
      </c>
      <c r="G145" s="116"/>
      <c r="H145" s="116" t="s">
        <v>95</v>
      </c>
      <c r="I145" s="123"/>
      <c r="J145" s="123"/>
      <c r="K145" s="123">
        <v>2341</v>
      </c>
      <c r="L145" s="115">
        <f>C117+C118</f>
        <v>0</v>
      </c>
      <c r="N145" s="118"/>
      <c r="O145" s="102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8" customHeight="1">
      <c r="A146" s="113" t="s">
        <v>294</v>
      </c>
      <c r="B146" s="113"/>
      <c r="C146" s="113"/>
      <c r="D146" s="114"/>
      <c r="E146" s="113">
        <v>6522</v>
      </c>
      <c r="F146" s="115">
        <f>H49</f>
        <v>0</v>
      </c>
      <c r="G146" s="116"/>
      <c r="H146" s="116"/>
      <c r="I146" s="123"/>
      <c r="J146" s="123"/>
      <c r="K146" s="123"/>
      <c r="L146" s="115"/>
      <c r="N146" s="118"/>
      <c r="O146" s="102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8" customHeight="1">
      <c r="A147" s="113" t="s">
        <v>96</v>
      </c>
      <c r="B147" s="113"/>
      <c r="C147" s="113"/>
      <c r="D147" s="114"/>
      <c r="E147" s="113">
        <v>6722</v>
      </c>
      <c r="F147" s="115">
        <f>H78+(C82+D82+H82)+(C83+D83+H83)</f>
        <v>2562.9899999999998</v>
      </c>
      <c r="G147" s="116"/>
      <c r="H147" s="116" t="s">
        <v>97</v>
      </c>
      <c r="I147" s="123"/>
      <c r="J147" s="123"/>
      <c r="K147" s="123">
        <v>2315</v>
      </c>
      <c r="L147" s="115">
        <f>D117+D118</f>
        <v>2678.9799999999996</v>
      </c>
      <c r="N147" s="118"/>
      <c r="O147" s="102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8" customHeight="1">
      <c r="A148" s="113" t="s">
        <v>98</v>
      </c>
      <c r="B148" s="113"/>
      <c r="C148" s="113"/>
      <c r="D148" s="113"/>
      <c r="E148" s="113">
        <v>2507</v>
      </c>
      <c r="F148" s="115">
        <f>G108-G92-G79</f>
        <v>0</v>
      </c>
      <c r="G148" s="116"/>
      <c r="H148" s="116" t="s">
        <v>99</v>
      </c>
      <c r="I148" s="123"/>
      <c r="J148" s="123"/>
      <c r="K148" s="123">
        <v>2343</v>
      </c>
      <c r="L148" s="115">
        <f>E117+E118</f>
        <v>165.78</v>
      </c>
      <c r="N148" s="118"/>
      <c r="O148" s="102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8" customHeight="1">
      <c r="A149" s="113" t="s">
        <v>100</v>
      </c>
      <c r="B149" s="113"/>
      <c r="C149" s="113"/>
      <c r="D149" s="114"/>
      <c r="E149" s="113">
        <v>9143</v>
      </c>
      <c r="F149" s="115">
        <f>N108</f>
        <v>0</v>
      </c>
      <c r="G149" s="116"/>
      <c r="H149" s="116" t="s">
        <v>101</v>
      </c>
      <c r="I149" s="123"/>
      <c r="J149" s="123"/>
      <c r="K149" s="123">
        <v>6443</v>
      </c>
      <c r="L149" s="115">
        <f>D121</f>
        <v>0</v>
      </c>
      <c r="N149" s="118"/>
      <c r="O149" s="102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8" customHeight="1">
      <c r="A150" s="113" t="s">
        <v>102</v>
      </c>
      <c r="B150" s="113"/>
      <c r="C150" s="113"/>
      <c r="D150" s="114"/>
      <c r="E150" s="113">
        <v>6123</v>
      </c>
      <c r="F150" s="115">
        <f>((I23)*0.68)+(I22*0.5)-(E22*0.5)</f>
        <v>320</v>
      </c>
      <c r="G150" s="116"/>
      <c r="H150" s="116" t="s">
        <v>103</v>
      </c>
      <c r="I150" s="123"/>
      <c r="J150" s="123"/>
      <c r="K150" s="123">
        <v>1102</v>
      </c>
      <c r="L150" s="115">
        <f>N120</f>
        <v>76941.929999999993</v>
      </c>
      <c r="N150" s="118"/>
      <c r="O150" s="102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8" customHeight="1">
      <c r="A151" s="113" t="s">
        <v>104</v>
      </c>
      <c r="B151" s="113"/>
      <c r="C151" s="113"/>
      <c r="D151" s="114"/>
      <c r="E151" s="113">
        <v>6223</v>
      </c>
      <c r="F151" s="115">
        <f>((I23)*0.22)+(I22*0.5)-(E22*0.5)</f>
        <v>320</v>
      </c>
      <c r="G151" s="116"/>
      <c r="H151" s="116" t="s">
        <v>105</v>
      </c>
      <c r="I151" s="123"/>
      <c r="J151" s="123"/>
      <c r="K151" s="123">
        <v>2509</v>
      </c>
      <c r="L151" s="115">
        <f>(SUM(F199:F204))*0.55</f>
        <v>3798.9360282500006</v>
      </c>
      <c r="N151" s="118"/>
      <c r="O151" s="102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8" customHeight="1">
      <c r="A152" s="113" t="s">
        <v>106</v>
      </c>
      <c r="B152" s="113"/>
      <c r="C152" s="113"/>
      <c r="D152" s="114"/>
      <c r="E152" s="113">
        <v>6423</v>
      </c>
      <c r="F152" s="115">
        <f>((I23)*0.06)+I57</f>
        <v>1417.66</v>
      </c>
      <c r="G152" s="116"/>
      <c r="H152" s="116" t="s">
        <v>107</v>
      </c>
      <c r="I152" s="123"/>
      <c r="J152" s="123"/>
      <c r="K152" s="123">
        <v>2505</v>
      </c>
      <c r="L152" s="115">
        <f>(SUM(F199:F204))*0.42</f>
        <v>2901.0056943</v>
      </c>
      <c r="N152" s="118"/>
      <c r="O152" s="102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8" customHeight="1">
      <c r="A153" s="113" t="s">
        <v>108</v>
      </c>
      <c r="B153" s="113"/>
      <c r="C153" s="113"/>
      <c r="D153" s="114"/>
      <c r="E153" s="113">
        <v>6723</v>
      </c>
      <c r="F153" s="115">
        <f>((I23)*0.03)</f>
        <v>0</v>
      </c>
      <c r="G153" s="116"/>
      <c r="H153" s="116" t="s">
        <v>109</v>
      </c>
      <c r="I153" s="123"/>
      <c r="J153" s="123"/>
      <c r="K153" s="123">
        <v>2511</v>
      </c>
      <c r="L153" s="115">
        <f>(SUM(F199:F204))*0.03</f>
        <v>207.21469245</v>
      </c>
      <c r="N153" s="118"/>
      <c r="O153" s="102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8" customHeight="1">
      <c r="A154" s="113" t="s">
        <v>110</v>
      </c>
      <c r="B154" s="113"/>
      <c r="C154" s="113"/>
      <c r="D154" s="114"/>
      <c r="E154" s="113">
        <v>6523</v>
      </c>
      <c r="F154" s="115">
        <f>((I23)*0.01)</f>
        <v>0</v>
      </c>
      <c r="G154" s="116"/>
      <c r="H154" s="116" t="s">
        <v>111</v>
      </c>
      <c r="I154" s="123"/>
      <c r="J154" s="123"/>
      <c r="K154" s="123">
        <v>1524</v>
      </c>
      <c r="L154" s="115">
        <f>G117</f>
        <v>0</v>
      </c>
      <c r="N154" s="118"/>
      <c r="O154" s="102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8" customHeight="1">
      <c r="A155" s="113" t="s">
        <v>112</v>
      </c>
      <c r="B155" s="113"/>
      <c r="C155" s="113"/>
      <c r="D155" s="114"/>
      <c r="E155" s="113">
        <v>6923</v>
      </c>
      <c r="F155" s="115">
        <f>SUM(I102:I106)+I98+I99</f>
        <v>2506.83</v>
      </c>
      <c r="G155" s="116"/>
      <c r="H155" s="116" t="s">
        <v>113</v>
      </c>
      <c r="I155" s="123"/>
      <c r="J155" s="123"/>
      <c r="K155" s="123">
        <v>2342</v>
      </c>
      <c r="L155" s="115">
        <f>I117+I118</f>
        <v>5765.34</v>
      </c>
      <c r="N155" s="118"/>
      <c r="O155" s="102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8" customHeight="1">
      <c r="A156" s="113" t="s">
        <v>269</v>
      </c>
      <c r="B156" s="113"/>
      <c r="C156" s="113"/>
      <c r="D156" s="114"/>
      <c r="E156" s="113">
        <v>1362</v>
      </c>
      <c r="F156" s="115">
        <v>0</v>
      </c>
      <c r="G156" s="116"/>
      <c r="H156" s="116"/>
      <c r="I156" s="123"/>
      <c r="J156" s="123"/>
      <c r="K156" s="123"/>
      <c r="L156" s="115"/>
      <c r="N156" s="118"/>
      <c r="O156" s="102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8" customHeight="1">
      <c r="A157" s="113" t="s">
        <v>114</v>
      </c>
      <c r="B157" s="113"/>
      <c r="C157" s="113"/>
      <c r="D157" s="114"/>
      <c r="E157" s="113">
        <v>6425</v>
      </c>
      <c r="F157" s="115">
        <f>I50+I51+I54+I55+I56+N51+N54+N55+N56+I52+N52+I53+N53</f>
        <v>12053.33</v>
      </c>
      <c r="G157" s="116"/>
      <c r="H157" s="116" t="s">
        <v>115</v>
      </c>
      <c r="I157" s="123"/>
      <c r="J157" s="123"/>
      <c r="K157" s="123">
        <v>2344</v>
      </c>
      <c r="L157" s="115">
        <f>I113+I114</f>
        <v>128</v>
      </c>
      <c r="N157" s="118"/>
      <c r="O157" s="102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8" customHeight="1">
      <c r="A158" s="113" t="s">
        <v>116</v>
      </c>
      <c r="B158" s="113"/>
      <c r="C158" s="113"/>
      <c r="D158" s="114"/>
      <c r="E158" s="113">
        <v>6724</v>
      </c>
      <c r="F158" s="115">
        <f>+I87+I86-E87+I84+I85</f>
        <v>1661.8400000000001</v>
      </c>
      <c r="G158" s="116"/>
      <c r="H158" s="126"/>
      <c r="I158" s="127"/>
      <c r="J158" s="127"/>
      <c r="K158" s="127"/>
      <c r="L158" s="121"/>
      <c r="N158" s="122"/>
      <c r="O158" s="102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8" customHeight="1">
      <c r="A159" s="113" t="s">
        <v>117</v>
      </c>
      <c r="B159" s="113"/>
      <c r="C159" s="113"/>
      <c r="D159" s="114"/>
      <c r="E159" s="113">
        <v>6147</v>
      </c>
      <c r="F159" s="115">
        <v>0</v>
      </c>
      <c r="G159" s="116"/>
      <c r="H159" s="116" t="s">
        <v>118</v>
      </c>
      <c r="I159" s="123"/>
      <c r="J159" s="123"/>
      <c r="K159" s="123">
        <v>6532</v>
      </c>
      <c r="L159" s="115">
        <f>(((D90+C90)*0.5)+H91)*0.1943</f>
        <v>0</v>
      </c>
      <c r="N159" s="118"/>
      <c r="O159" s="102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8" customHeight="1">
      <c r="A160" s="113" t="s">
        <v>119</v>
      </c>
      <c r="B160" s="113"/>
      <c r="C160" s="113"/>
      <c r="D160" s="114"/>
      <c r="E160" s="113">
        <v>6424</v>
      </c>
      <c r="F160" s="115">
        <f>(SUM(N58:N73))</f>
        <v>0</v>
      </c>
      <c r="G160" s="116"/>
      <c r="H160" s="116" t="s">
        <v>120</v>
      </c>
      <c r="I160" s="123"/>
      <c r="J160" s="123"/>
      <c r="K160" s="123">
        <v>6529</v>
      </c>
      <c r="L160" s="115">
        <f>(((D90+C90)*0.5)+H91)*0.1196</f>
        <v>0</v>
      </c>
      <c r="N160" s="118"/>
      <c r="O160" s="102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8" customHeight="1">
      <c r="A161" s="113" t="s">
        <v>121</v>
      </c>
      <c r="B161" s="113"/>
      <c r="C161" s="113"/>
      <c r="D161" s="114"/>
      <c r="E161" s="113">
        <v>1472</v>
      </c>
      <c r="F161" s="115">
        <f>SUM(I58:I75)</f>
        <v>18972.36</v>
      </c>
      <c r="G161" s="116"/>
      <c r="H161" s="116" t="s">
        <v>122</v>
      </c>
      <c r="I161" s="123"/>
      <c r="J161" s="123"/>
      <c r="K161" s="123">
        <v>6232</v>
      </c>
      <c r="L161" s="115">
        <v>0</v>
      </c>
      <c r="N161" s="118"/>
      <c r="O161" s="102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8" customHeight="1">
      <c r="A162" s="113" t="s">
        <v>123</v>
      </c>
      <c r="B162" s="113"/>
      <c r="C162" s="113"/>
      <c r="D162" s="114"/>
      <c r="E162" s="113">
        <v>6525</v>
      </c>
      <c r="F162" s="115">
        <f>((C90+D90)*0.5)+I92+H90</f>
        <v>756.45</v>
      </c>
      <c r="G162" s="116"/>
      <c r="H162" s="116" t="s">
        <v>124</v>
      </c>
      <c r="I162" s="123"/>
      <c r="J162" s="123"/>
      <c r="K162" s="123">
        <v>6229</v>
      </c>
      <c r="L162" s="115">
        <v>0</v>
      </c>
      <c r="N162" s="118"/>
      <c r="O162" s="102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8" customHeight="1">
      <c r="A163" s="113" t="s">
        <v>272</v>
      </c>
      <c r="B163" s="113"/>
      <c r="C163" s="113"/>
      <c r="D163" s="114"/>
      <c r="E163" s="113">
        <v>6524</v>
      </c>
      <c r="F163" s="115">
        <f>I93</f>
        <v>857.87</v>
      </c>
      <c r="G163" s="116"/>
      <c r="H163" s="116"/>
      <c r="I163" s="123"/>
      <c r="J163" s="123"/>
      <c r="K163" s="123"/>
      <c r="L163" s="115"/>
      <c r="N163" s="118"/>
      <c r="O163" s="102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8" customHeight="1">
      <c r="A164" s="113" t="s">
        <v>125</v>
      </c>
      <c r="B164" s="113"/>
      <c r="C164" s="113"/>
      <c r="D164" s="114"/>
      <c r="E164" s="113">
        <v>6124</v>
      </c>
      <c r="F164" s="115">
        <f>((I35+I36+I34+I37)*0.45)</f>
        <v>807.14250000000004</v>
      </c>
      <c r="G164" s="116"/>
      <c r="H164" s="116" t="s">
        <v>126</v>
      </c>
      <c r="I164" s="123"/>
      <c r="J164" s="123"/>
      <c r="K164" s="123">
        <v>6732</v>
      </c>
      <c r="L164" s="115">
        <v>0</v>
      </c>
      <c r="N164" s="118"/>
      <c r="O164" s="102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8" customHeight="1">
      <c r="A165" s="113" t="s">
        <v>127</v>
      </c>
      <c r="B165" s="113"/>
      <c r="C165" s="113"/>
      <c r="D165" s="114"/>
      <c r="E165" s="113">
        <v>6224</v>
      </c>
      <c r="F165" s="115">
        <f>((I35+I36+I34+I37)*0.45)</f>
        <v>807.14250000000004</v>
      </c>
      <c r="G165" s="116"/>
      <c r="H165" s="116" t="s">
        <v>128</v>
      </c>
      <c r="I165" s="123"/>
      <c r="J165" s="123"/>
      <c r="K165" s="123">
        <v>6729</v>
      </c>
      <c r="L165" s="115">
        <v>0</v>
      </c>
      <c r="N165" s="118"/>
      <c r="O165" s="102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8" customHeight="1">
      <c r="A166" s="113" t="s">
        <v>129</v>
      </c>
      <c r="B166" s="113"/>
      <c r="C166" s="113"/>
      <c r="D166" s="114"/>
      <c r="E166" s="113">
        <v>6924</v>
      </c>
      <c r="F166" s="115">
        <f>I96+I97+((I35+I36+I34+I37)*0.1)</f>
        <v>1245.355</v>
      </c>
      <c r="G166" s="116"/>
      <c r="H166" s="116"/>
      <c r="I166" s="123"/>
      <c r="J166" s="123"/>
      <c r="K166" s="123"/>
      <c r="L166" s="115"/>
      <c r="N166" s="118"/>
      <c r="O166" s="102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8" customHeight="1">
      <c r="A167" s="113" t="s">
        <v>130</v>
      </c>
      <c r="B167" s="113"/>
      <c r="C167" s="113"/>
      <c r="D167" s="114"/>
      <c r="E167" s="113">
        <v>6144</v>
      </c>
      <c r="F167" s="115">
        <f>SUM(J11:J31)</f>
        <v>0</v>
      </c>
      <c r="G167" s="116"/>
      <c r="H167" s="116" t="s">
        <v>132</v>
      </c>
      <c r="I167" s="123"/>
      <c r="J167" s="123"/>
      <c r="K167" s="123">
        <v>6432</v>
      </c>
      <c r="L167" s="115"/>
      <c r="N167" s="118"/>
      <c r="O167" s="102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8" customHeight="1">
      <c r="A168" s="113" t="s">
        <v>255</v>
      </c>
      <c r="B168" s="113"/>
      <c r="C168" s="113"/>
      <c r="D168" s="114"/>
      <c r="E168" s="113">
        <v>6244</v>
      </c>
      <c r="F168" s="115">
        <f>SUM(J40:J44)</f>
        <v>0</v>
      </c>
      <c r="G168" s="116"/>
      <c r="H168" s="116" t="s">
        <v>134</v>
      </c>
      <c r="I168" s="123"/>
      <c r="J168" s="123"/>
      <c r="K168" s="123">
        <v>6429</v>
      </c>
      <c r="L168" s="115"/>
      <c r="N168" s="118"/>
      <c r="O168" s="102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8" customHeight="1">
      <c r="A169" s="113" t="s">
        <v>131</v>
      </c>
      <c r="B169" s="113"/>
      <c r="C169" s="113"/>
      <c r="D169" s="114"/>
      <c r="E169" s="113">
        <v>6444</v>
      </c>
      <c r="F169" s="115">
        <f>SUM(J48:J77)</f>
        <v>150.74</v>
      </c>
      <c r="G169" s="116"/>
      <c r="H169" s="126" t="s">
        <v>136</v>
      </c>
      <c r="I169" s="127"/>
      <c r="J169" s="127"/>
      <c r="K169" s="127">
        <v>6932</v>
      </c>
      <c r="L169" s="128">
        <f>(C3*0.48)*0.1222</f>
        <v>0</v>
      </c>
      <c r="N169" s="118"/>
      <c r="O169" s="102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8" customHeight="1">
      <c r="A170" s="113" t="s">
        <v>133</v>
      </c>
      <c r="B170" s="113"/>
      <c r="C170" s="113"/>
      <c r="D170" s="114"/>
      <c r="E170" s="113">
        <v>6744</v>
      </c>
      <c r="F170" s="115">
        <f>SUM(J78:J87)</f>
        <v>19.38</v>
      </c>
      <c r="G170" s="116"/>
      <c r="H170" s="131" t="s">
        <v>138</v>
      </c>
      <c r="I170" s="132"/>
      <c r="J170" s="132"/>
      <c r="K170" s="132">
        <v>6929</v>
      </c>
      <c r="L170" s="133">
        <f>(C3*0.48)*0.1222</f>
        <v>0</v>
      </c>
      <c r="N170" s="118"/>
      <c r="O170" s="102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8" customHeight="1">
      <c r="A171" s="113" t="s">
        <v>135</v>
      </c>
      <c r="B171" s="113"/>
      <c r="C171" s="113"/>
      <c r="D171" s="114"/>
      <c r="E171" s="113">
        <v>2509</v>
      </c>
      <c r="F171" s="115">
        <f>K108</f>
        <v>2974.71</v>
      </c>
      <c r="G171" s="116"/>
      <c r="H171" s="138" t="s">
        <v>140</v>
      </c>
      <c r="I171" s="139"/>
      <c r="J171" s="139"/>
      <c r="K171" s="139">
        <v>6132</v>
      </c>
      <c r="L171" s="128"/>
      <c r="N171" s="129"/>
      <c r="O171" s="102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8" customHeight="1">
      <c r="A172" s="113" t="s">
        <v>137</v>
      </c>
      <c r="B172" s="113"/>
      <c r="C172" s="113"/>
      <c r="D172" s="114"/>
      <c r="E172" s="113">
        <v>2505</v>
      </c>
      <c r="F172" s="115">
        <f>L108</f>
        <v>0</v>
      </c>
      <c r="G172" s="130"/>
      <c r="H172" s="144" t="s">
        <v>142</v>
      </c>
      <c r="I172" s="145"/>
      <c r="J172" s="145"/>
      <c r="K172" s="145">
        <v>6129</v>
      </c>
      <c r="L172" s="133"/>
      <c r="N172" s="129"/>
      <c r="O172" s="102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8" customHeight="1">
      <c r="A173" s="113" t="s">
        <v>139</v>
      </c>
      <c r="B173" s="134"/>
      <c r="C173" s="135"/>
      <c r="D173" s="136"/>
      <c r="E173" s="113">
        <v>2511</v>
      </c>
      <c r="F173" s="115">
        <f>M108</f>
        <v>402.78000000000003</v>
      </c>
      <c r="G173" s="137"/>
      <c r="H173" s="138" t="s">
        <v>288</v>
      </c>
      <c r="I173" s="139"/>
      <c r="J173" s="139"/>
      <c r="K173" s="139">
        <v>6932</v>
      </c>
      <c r="L173" s="128"/>
      <c r="N173" s="122"/>
      <c r="O173" s="102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8" customHeight="1" thickBot="1">
      <c r="A174" s="140"/>
      <c r="B174" s="147"/>
      <c r="C174" s="141"/>
      <c r="D174" s="142"/>
      <c r="E174" s="147"/>
      <c r="F174" s="250"/>
      <c r="G174" s="143"/>
      <c r="H174" s="144"/>
      <c r="I174" s="145"/>
      <c r="J174" s="145"/>
      <c r="K174" s="145"/>
      <c r="L174" s="133"/>
      <c r="N174" s="146"/>
      <c r="O174" s="102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8" customHeight="1" thickBot="1">
      <c r="A175" s="148"/>
      <c r="B175" s="100"/>
      <c r="C175" s="148"/>
      <c r="D175" s="142"/>
      <c r="E175" s="149"/>
      <c r="F175" s="249"/>
      <c r="G175" s="126"/>
      <c r="H175" s="150" t="s">
        <v>144</v>
      </c>
      <c r="I175" s="151"/>
      <c r="J175" s="151"/>
      <c r="K175" s="152"/>
      <c r="L175" s="153" t="s">
        <v>145</v>
      </c>
      <c r="N175" s="154"/>
      <c r="O175" s="102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8" customHeight="1">
      <c r="A176" s="113" t="s">
        <v>146</v>
      </c>
      <c r="B176" s="123"/>
      <c r="C176" s="123">
        <v>4555</v>
      </c>
      <c r="D176" s="156" t="s">
        <v>147</v>
      </c>
      <c r="E176" s="123">
        <v>1304</v>
      </c>
      <c r="F176" s="115"/>
      <c r="G176" s="126"/>
      <c r="H176" s="157"/>
      <c r="I176" s="158"/>
      <c r="J176" s="158"/>
      <c r="K176" s="158"/>
      <c r="L176" s="159"/>
      <c r="N176" s="122"/>
      <c r="O176" s="102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8" customHeight="1">
      <c r="A177" s="113" t="s">
        <v>149</v>
      </c>
      <c r="B177" s="123"/>
      <c r="C177" s="123">
        <v>7161</v>
      </c>
      <c r="D177" s="156" t="s">
        <v>147</v>
      </c>
      <c r="E177" s="123">
        <v>1304</v>
      </c>
      <c r="F177" s="115"/>
      <c r="G177" s="126"/>
      <c r="H177" s="160"/>
      <c r="I177" s="145"/>
      <c r="J177" s="145"/>
      <c r="K177" s="145"/>
      <c r="L177" s="161"/>
      <c r="N177" s="129"/>
      <c r="O177" s="102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8" customHeight="1">
      <c r="A178" s="113" t="s">
        <v>150</v>
      </c>
      <c r="B178" s="123"/>
      <c r="C178" s="123">
        <v>19811</v>
      </c>
      <c r="D178" s="156" t="s">
        <v>147</v>
      </c>
      <c r="E178" s="123">
        <v>1304</v>
      </c>
      <c r="F178" s="115"/>
      <c r="G178" s="126"/>
      <c r="H178" s="162"/>
      <c r="I178" s="145"/>
      <c r="J178" s="145"/>
      <c r="K178" s="163"/>
      <c r="L178" s="161"/>
      <c r="N178" s="129"/>
      <c r="O178" s="102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8" customHeight="1">
      <c r="A179" s="113" t="s">
        <v>151</v>
      </c>
      <c r="B179" s="123"/>
      <c r="C179" s="123">
        <v>22866</v>
      </c>
      <c r="D179" s="156" t="s">
        <v>147</v>
      </c>
      <c r="E179" s="123">
        <v>1304</v>
      </c>
      <c r="F179" s="115"/>
      <c r="G179" s="126"/>
      <c r="H179" s="160" t="s">
        <v>253</v>
      </c>
      <c r="I179" s="145"/>
      <c r="J179" s="145"/>
      <c r="K179" s="145">
        <v>1096</v>
      </c>
      <c r="L179" s="161">
        <f>F40</f>
        <v>0</v>
      </c>
      <c r="N179" s="129"/>
      <c r="O179" s="102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8" customHeight="1">
      <c r="A180" s="113" t="s">
        <v>152</v>
      </c>
      <c r="B180" s="127"/>
      <c r="C180" s="123">
        <v>577</v>
      </c>
      <c r="D180" s="156" t="s">
        <v>147</v>
      </c>
      <c r="E180" s="123">
        <v>1304</v>
      </c>
      <c r="F180" s="115"/>
      <c r="G180" s="126"/>
      <c r="H180" s="162" t="s">
        <v>372</v>
      </c>
      <c r="I180" s="145"/>
      <c r="J180" s="145"/>
      <c r="K180" s="163">
        <v>3232</v>
      </c>
      <c r="L180" s="161">
        <f>F32</f>
        <v>200</v>
      </c>
      <c r="N180" s="129"/>
      <c r="O180" s="102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8" customHeight="1">
      <c r="A181" s="113" t="s">
        <v>153</v>
      </c>
      <c r="B181" s="127"/>
      <c r="C181" s="123">
        <v>4826</v>
      </c>
      <c r="D181" s="156" t="s">
        <v>147</v>
      </c>
      <c r="E181" s="123">
        <v>1304</v>
      </c>
      <c r="F181" s="115"/>
      <c r="G181" s="126"/>
      <c r="H181" s="160" t="s">
        <v>327</v>
      </c>
      <c r="I181" s="145"/>
      <c r="J181" s="145"/>
      <c r="K181" s="145">
        <v>80241</v>
      </c>
      <c r="L181" s="164">
        <f>F18</f>
        <v>0</v>
      </c>
      <c r="N181" s="129"/>
      <c r="O181" s="102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8" customHeight="1">
      <c r="A182" s="113" t="s">
        <v>154</v>
      </c>
      <c r="B182" s="127"/>
      <c r="C182" s="123">
        <v>37965</v>
      </c>
      <c r="D182" s="156" t="s">
        <v>147</v>
      </c>
      <c r="E182" s="123">
        <v>1304</v>
      </c>
      <c r="F182" s="115"/>
      <c r="G182" s="126"/>
      <c r="H182" s="160" t="s">
        <v>148</v>
      </c>
      <c r="I182" s="145"/>
      <c r="J182" s="145"/>
      <c r="K182" s="145">
        <v>1200</v>
      </c>
      <c r="L182" s="164">
        <f>F15</f>
        <v>0</v>
      </c>
      <c r="N182" s="129"/>
      <c r="O182" s="102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8" customHeight="1">
      <c r="A183" s="113" t="s">
        <v>155</v>
      </c>
      <c r="B183" s="127"/>
      <c r="C183" s="123">
        <v>55499</v>
      </c>
      <c r="D183" s="156" t="s">
        <v>147</v>
      </c>
      <c r="E183" s="123">
        <v>1304</v>
      </c>
      <c r="F183" s="115"/>
      <c r="G183" s="126"/>
      <c r="H183" s="182" t="s">
        <v>340</v>
      </c>
      <c r="I183" s="127"/>
      <c r="J183" s="127"/>
      <c r="K183" s="127">
        <v>80917</v>
      </c>
      <c r="L183" s="164">
        <f>F41</f>
        <v>0</v>
      </c>
      <c r="N183" s="129"/>
      <c r="O183" s="102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8" customHeight="1">
      <c r="A184" s="163"/>
      <c r="B184" s="127"/>
      <c r="C184" s="127"/>
      <c r="D184" s="165"/>
      <c r="E184" s="127"/>
      <c r="F184" s="128"/>
      <c r="G184" s="126"/>
      <c r="H184" s="182" t="s">
        <v>347</v>
      </c>
      <c r="I184" s="62"/>
      <c r="J184" s="62"/>
      <c r="K184" s="127">
        <v>81316</v>
      </c>
      <c r="L184" s="164">
        <f>F27</f>
        <v>0</v>
      </c>
      <c r="N184" s="129"/>
      <c r="O184" s="102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8" customHeight="1">
      <c r="A185" s="134" t="s">
        <v>143</v>
      </c>
      <c r="B185" s="132"/>
      <c r="C185" s="166">
        <v>4826</v>
      </c>
      <c r="D185" s="167" t="s">
        <v>141</v>
      </c>
      <c r="E185" s="166">
        <v>1304</v>
      </c>
      <c r="F185" s="250"/>
      <c r="G185" s="126"/>
      <c r="H185" s="160" t="s">
        <v>337</v>
      </c>
      <c r="I185" s="169"/>
      <c r="J185" s="169"/>
      <c r="K185" s="145">
        <v>80996</v>
      </c>
      <c r="L185" s="164">
        <f>F19</f>
        <v>0</v>
      </c>
      <c r="N185" s="168"/>
      <c r="O185" s="102"/>
      <c r="P185" s="5"/>
      <c r="Q185" s="5"/>
      <c r="R185" s="4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8" customHeight="1">
      <c r="A186" s="141"/>
      <c r="B186" s="105"/>
      <c r="C186" s="141"/>
      <c r="D186" s="142"/>
      <c r="E186" s="141"/>
      <c r="F186" s="249"/>
      <c r="G186" s="126"/>
      <c r="H186" s="182" t="s">
        <v>309</v>
      </c>
      <c r="I186" s="127"/>
      <c r="J186" s="127"/>
      <c r="K186" s="127">
        <v>77672</v>
      </c>
      <c r="L186" s="164">
        <f>F44</f>
        <v>0</v>
      </c>
      <c r="N186" s="168"/>
      <c r="O186" s="102"/>
      <c r="P186" s="5"/>
      <c r="Q186" s="5"/>
      <c r="R186" s="4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8" customHeight="1">
      <c r="A187" s="140" t="s">
        <v>160</v>
      </c>
      <c r="B187" s="123"/>
      <c r="C187" s="140">
        <v>4826</v>
      </c>
      <c r="D187" s="171" t="s">
        <v>161</v>
      </c>
      <c r="E187" s="140">
        <v>1304</v>
      </c>
      <c r="F187" s="121">
        <f>(((D90+C90)*0.5)+H91)*1.3139</f>
        <v>0</v>
      </c>
      <c r="G187" s="126"/>
      <c r="H187" s="182" t="s">
        <v>321</v>
      </c>
      <c r="I187" s="62"/>
      <c r="J187" s="62"/>
      <c r="K187" s="127">
        <v>78707</v>
      </c>
      <c r="L187" s="164">
        <f>F45</f>
        <v>0</v>
      </c>
      <c r="N187" s="168"/>
      <c r="O187" s="102"/>
      <c r="P187" s="5"/>
      <c r="Q187" s="5"/>
      <c r="R187" s="4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8" customHeight="1">
      <c r="A188" s="140"/>
      <c r="B188" s="123"/>
      <c r="C188" s="141"/>
      <c r="D188" s="142"/>
      <c r="E188" s="141"/>
      <c r="F188" s="121"/>
      <c r="G188" s="126"/>
      <c r="H188" s="162" t="s">
        <v>332</v>
      </c>
      <c r="I188" s="145"/>
      <c r="J188" s="145"/>
      <c r="K188" s="163">
        <v>7308</v>
      </c>
      <c r="L188" s="164">
        <f>F33</f>
        <v>0</v>
      </c>
      <c r="N188" s="168"/>
      <c r="O188" s="102"/>
      <c r="P188" s="5"/>
      <c r="Q188" s="5"/>
      <c r="R188" s="4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8" customHeight="1">
      <c r="A189" s="140" t="s">
        <v>290</v>
      </c>
      <c r="B189" s="123"/>
      <c r="C189" s="141">
        <v>4826</v>
      </c>
      <c r="D189" s="142" t="s">
        <v>287</v>
      </c>
      <c r="E189" s="141">
        <v>1304</v>
      </c>
      <c r="F189" s="128"/>
      <c r="G189" s="126"/>
      <c r="H189" s="160" t="s">
        <v>277</v>
      </c>
      <c r="I189" s="169"/>
      <c r="J189" s="169"/>
      <c r="K189" s="145">
        <v>70778</v>
      </c>
      <c r="L189" s="164">
        <f>F14</f>
        <v>0</v>
      </c>
      <c r="N189" s="168"/>
      <c r="O189" s="102"/>
      <c r="P189" s="5"/>
      <c r="Q189" s="5"/>
      <c r="R189" s="4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8" customHeight="1">
      <c r="A190" s="140" t="s">
        <v>291</v>
      </c>
      <c r="B190" s="123"/>
      <c r="C190" s="140">
        <v>4826</v>
      </c>
      <c r="D190" s="171" t="s">
        <v>157</v>
      </c>
      <c r="E190" s="140">
        <v>1304</v>
      </c>
      <c r="F190" s="121">
        <f>(C78+H80)-O78+G79</f>
        <v>934.32999999999993</v>
      </c>
      <c r="G190" s="126"/>
      <c r="H190" s="160" t="s">
        <v>350</v>
      </c>
      <c r="I190" s="169"/>
      <c r="J190" s="169"/>
      <c r="K190" s="145">
        <v>81642</v>
      </c>
      <c r="L190" s="248">
        <f>F28</f>
        <v>0</v>
      </c>
      <c r="N190" s="168"/>
      <c r="O190" s="102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8" customHeight="1" thickBot="1">
      <c r="A191" s="140"/>
      <c r="B191" s="123"/>
      <c r="C191" s="140"/>
      <c r="D191" s="171"/>
      <c r="E191" s="140"/>
      <c r="F191" s="121"/>
      <c r="G191" s="126"/>
      <c r="H191" s="182" t="s">
        <v>303</v>
      </c>
      <c r="I191" s="127"/>
      <c r="J191" s="127"/>
      <c r="K191" s="145">
        <v>1104</v>
      </c>
      <c r="L191" s="259">
        <f>F42</f>
        <v>-115.95</v>
      </c>
      <c r="N191" s="168"/>
      <c r="O191" s="102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8" customHeight="1" thickBot="1">
      <c r="A192" s="140"/>
      <c r="B192" s="123"/>
      <c r="C192" s="140"/>
      <c r="D192" s="171"/>
      <c r="E192" s="140"/>
      <c r="F192" s="121"/>
      <c r="G192" s="126"/>
      <c r="H192" s="173" t="s">
        <v>158</v>
      </c>
      <c r="I192" s="174"/>
      <c r="J192" s="174"/>
      <c r="K192" s="175"/>
      <c r="L192" s="176" t="s">
        <v>159</v>
      </c>
      <c r="N192" s="172"/>
      <c r="O192" s="102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8" customHeight="1">
      <c r="A193" s="148" t="s">
        <v>56</v>
      </c>
      <c r="B193" s="123"/>
      <c r="C193" s="148"/>
      <c r="D193" s="155"/>
      <c r="E193" s="148">
        <v>1552</v>
      </c>
      <c r="F193" s="121">
        <f>H118</f>
        <v>1530.98</v>
      </c>
      <c r="G193" s="116"/>
      <c r="H193" s="157"/>
      <c r="I193" s="158"/>
      <c r="J193" s="158"/>
      <c r="K193" s="158"/>
      <c r="L193" s="159"/>
      <c r="N193" s="129"/>
      <c r="O193" s="102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8" customHeight="1">
      <c r="A194" s="113" t="s">
        <v>162</v>
      </c>
      <c r="B194" s="123"/>
      <c r="C194" s="123" t="s">
        <v>163</v>
      </c>
      <c r="D194" s="156"/>
      <c r="E194" s="123">
        <v>6132</v>
      </c>
      <c r="F194" s="115">
        <f>((SUM(E114:H114))*0.41)</f>
        <v>2553.5210000000002</v>
      </c>
      <c r="G194" s="116"/>
      <c r="H194" s="160"/>
      <c r="I194" s="145"/>
      <c r="J194" s="145"/>
      <c r="K194" s="145"/>
      <c r="L194" s="161"/>
      <c r="N194" s="172"/>
      <c r="O194" s="102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8" customHeight="1">
      <c r="A195" s="113" t="s">
        <v>164</v>
      </c>
      <c r="B195" s="123"/>
      <c r="C195" s="123" t="s">
        <v>165</v>
      </c>
      <c r="D195" s="123"/>
      <c r="E195" s="123">
        <v>6232</v>
      </c>
      <c r="F195" s="115">
        <f>((SUM(E114:H114))*0.06)</f>
        <v>373.68600000000004</v>
      </c>
      <c r="G195" s="116"/>
      <c r="H195" s="162" t="s">
        <v>332</v>
      </c>
      <c r="I195" s="145"/>
      <c r="J195" s="145"/>
      <c r="K195" s="163">
        <v>7308</v>
      </c>
      <c r="L195" s="161">
        <f>E33</f>
        <v>886.51</v>
      </c>
      <c r="N195" s="154"/>
      <c r="O195" s="102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8" customHeight="1">
      <c r="A196" s="113" t="s">
        <v>166</v>
      </c>
      <c r="B196" s="123"/>
      <c r="C196" s="123" t="s">
        <v>167</v>
      </c>
      <c r="D196" s="123"/>
      <c r="E196" s="123">
        <v>6432</v>
      </c>
      <c r="F196" s="115">
        <f>((SUM(E114:H114))*0.4)</f>
        <v>2491.2400000000002</v>
      </c>
      <c r="G196" s="116"/>
      <c r="H196" s="160" t="s">
        <v>253</v>
      </c>
      <c r="I196" s="145"/>
      <c r="J196" s="145"/>
      <c r="K196" s="145">
        <v>1096</v>
      </c>
      <c r="L196" s="161">
        <f>E40</f>
        <v>0</v>
      </c>
      <c r="N196" s="122"/>
      <c r="O196" s="177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8" customHeight="1">
      <c r="A197" s="113"/>
      <c r="B197" s="123"/>
      <c r="C197" s="123" t="s">
        <v>168</v>
      </c>
      <c r="D197" s="123"/>
      <c r="E197" s="123">
        <v>6732</v>
      </c>
      <c r="F197" s="115">
        <f>((SUM(E114:H114))*0.1)</f>
        <v>622.81000000000006</v>
      </c>
      <c r="G197" s="116"/>
      <c r="H197" s="182" t="s">
        <v>325</v>
      </c>
      <c r="I197" s="127"/>
      <c r="J197" s="127"/>
      <c r="K197" s="127">
        <v>80058</v>
      </c>
      <c r="L197" s="164">
        <f>E24</f>
        <v>749.78</v>
      </c>
      <c r="N197" s="129"/>
      <c r="O197" s="102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8" customHeight="1">
      <c r="A198" s="113"/>
      <c r="B198" s="123"/>
      <c r="C198" s="123" t="s">
        <v>169</v>
      </c>
      <c r="D198" s="123"/>
      <c r="E198" s="123">
        <v>6532</v>
      </c>
      <c r="F198" s="115">
        <f>((SUM(E114:H114))*0.03)</f>
        <v>186.84300000000002</v>
      </c>
      <c r="G198" s="116"/>
      <c r="H198" s="160" t="s">
        <v>362</v>
      </c>
      <c r="I198" s="145"/>
      <c r="J198" s="145"/>
      <c r="K198" s="145">
        <v>82141</v>
      </c>
      <c r="L198" s="164">
        <f>E22</f>
        <v>150</v>
      </c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8" customHeight="1">
      <c r="A199" s="113" t="s">
        <v>170</v>
      </c>
      <c r="B199" s="123"/>
      <c r="C199" s="123" t="s">
        <v>163</v>
      </c>
      <c r="D199" s="123"/>
      <c r="E199" s="123">
        <v>6129</v>
      </c>
      <c r="F199" s="115">
        <f>((+F137+F140+F141)+F138+F143+F149+F159+F164)*0.098</f>
        <v>2027.7613650000001</v>
      </c>
      <c r="G199" s="116"/>
      <c r="H199" s="160" t="s">
        <v>148</v>
      </c>
      <c r="I199" s="145"/>
      <c r="J199" s="145"/>
      <c r="K199" s="145">
        <v>1200</v>
      </c>
      <c r="L199" s="164">
        <f>E15</f>
        <v>2404.92</v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8" customHeight="1">
      <c r="A200" s="178" t="s">
        <v>171</v>
      </c>
      <c r="B200" s="147"/>
      <c r="C200" s="123" t="s">
        <v>172</v>
      </c>
      <c r="D200" s="123"/>
      <c r="E200" s="123">
        <v>6229</v>
      </c>
      <c r="F200" s="115">
        <f>(+F139+F144+F151+F165)*0.108</f>
        <v>336.15890999999999</v>
      </c>
      <c r="G200" s="116"/>
      <c r="H200" s="182" t="s">
        <v>340</v>
      </c>
      <c r="I200" s="127"/>
      <c r="J200" s="127"/>
      <c r="K200" s="127">
        <v>80917</v>
      </c>
      <c r="L200" s="164">
        <f>E41</f>
        <v>0</v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8" customHeight="1">
      <c r="A201" s="179"/>
      <c r="B201" s="100"/>
      <c r="C201" s="123" t="s">
        <v>173</v>
      </c>
      <c r="D201" s="123"/>
      <c r="E201" s="123">
        <v>6429</v>
      </c>
      <c r="F201" s="115">
        <f>(+F145+F152+F157+F160+F161+F169)*0.108</f>
        <v>3621.8469600000003</v>
      </c>
      <c r="G201" s="116"/>
      <c r="H201" s="160" t="s">
        <v>342</v>
      </c>
      <c r="I201" s="145"/>
      <c r="J201" s="145"/>
      <c r="K201" s="145">
        <v>80981</v>
      </c>
      <c r="L201" s="164">
        <f>E26</f>
        <v>0</v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8" customHeight="1">
      <c r="A202" s="113"/>
      <c r="B202" s="123"/>
      <c r="C202" s="123" t="s">
        <v>168</v>
      </c>
      <c r="D202" s="123"/>
      <c r="E202" s="123">
        <v>6729</v>
      </c>
      <c r="F202" s="115">
        <f>(+F147+F153+F158+F170)*0.098</f>
        <v>415.93258000000003</v>
      </c>
      <c r="G202" s="116"/>
      <c r="H202" s="182" t="s">
        <v>309</v>
      </c>
      <c r="I202" s="127"/>
      <c r="J202" s="127"/>
      <c r="K202" s="127">
        <v>77672</v>
      </c>
      <c r="L202" s="247">
        <f>E44</f>
        <v>0</v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8" customHeight="1">
      <c r="A203" s="113"/>
      <c r="B203" s="123"/>
      <c r="C203" s="123" t="s">
        <v>169</v>
      </c>
      <c r="D203" s="123"/>
      <c r="E203" s="123">
        <v>6529</v>
      </c>
      <c r="F203" s="115">
        <f>(+F154+F162)*0.108</f>
        <v>81.696600000000004</v>
      </c>
      <c r="G203" s="116"/>
      <c r="H203" s="162" t="s">
        <v>307</v>
      </c>
      <c r="I203" s="145"/>
      <c r="J203" s="145"/>
      <c r="K203" s="163">
        <v>77486</v>
      </c>
      <c r="L203" s="161">
        <f>E43</f>
        <v>199.22</v>
      </c>
      <c r="P203" s="8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8" customHeight="1">
      <c r="A204" s="113"/>
      <c r="B204" s="123"/>
      <c r="C204" s="123" t="s">
        <v>174</v>
      </c>
      <c r="D204" s="123"/>
      <c r="E204" s="123">
        <v>6929</v>
      </c>
      <c r="F204" s="115">
        <f>(F135+F155)*0.1</f>
        <v>423.76000000000005</v>
      </c>
      <c r="G204" s="116"/>
      <c r="H204" s="160" t="s">
        <v>301</v>
      </c>
      <c r="I204" s="145"/>
      <c r="J204" s="145"/>
      <c r="K204" s="145">
        <v>1104</v>
      </c>
      <c r="L204" s="164">
        <f>E42</f>
        <v>515.95000000000005</v>
      </c>
      <c r="N204" s="168"/>
      <c r="O204" s="180"/>
      <c r="P204" s="87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8" customHeight="1">
      <c r="A205" s="113" t="s">
        <v>175</v>
      </c>
      <c r="B205" s="123"/>
      <c r="C205" s="123" t="s">
        <v>176</v>
      </c>
      <c r="D205" s="123"/>
      <c r="E205" s="123">
        <v>6939</v>
      </c>
      <c r="F205" s="115">
        <f>D118+I118+I114</f>
        <v>4009.91</v>
      </c>
      <c r="G205" s="116"/>
      <c r="H205" s="160" t="s">
        <v>312</v>
      </c>
      <c r="I205" s="169"/>
      <c r="J205" s="169"/>
      <c r="K205" s="145">
        <v>7788</v>
      </c>
      <c r="L205" s="164">
        <f>E20</f>
        <v>1120.83</v>
      </c>
      <c r="N205" s="168"/>
      <c r="O205" s="181"/>
      <c r="P205" s="8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8" customHeight="1">
      <c r="A206" s="113" t="s">
        <v>177</v>
      </c>
      <c r="B206" s="123"/>
      <c r="C206" s="123"/>
      <c r="D206" s="123" t="s">
        <v>176</v>
      </c>
      <c r="E206" s="127">
        <v>6433</v>
      </c>
      <c r="F206" s="121">
        <f>(C118+E118)*0.85</f>
        <v>70.456500000000005</v>
      </c>
      <c r="G206" s="116"/>
      <c r="H206" s="160" t="s">
        <v>327</v>
      </c>
      <c r="I206" s="145"/>
      <c r="J206" s="145"/>
      <c r="K206" s="145">
        <v>80241</v>
      </c>
      <c r="L206" s="164">
        <f>E18</f>
        <v>0</v>
      </c>
      <c r="N206" s="168"/>
      <c r="O206" s="180"/>
      <c r="P206" s="8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8" customHeight="1">
      <c r="A207" s="120" t="s">
        <v>177</v>
      </c>
      <c r="B207" s="127"/>
      <c r="C207" s="127"/>
      <c r="D207" s="127" t="s">
        <v>176</v>
      </c>
      <c r="E207" s="127">
        <v>6733</v>
      </c>
      <c r="F207" s="121">
        <f>(C118+E118)*0.15</f>
        <v>12.4335</v>
      </c>
      <c r="G207" s="116"/>
      <c r="H207" s="160" t="s">
        <v>319</v>
      </c>
      <c r="I207" s="145"/>
      <c r="J207" s="145"/>
      <c r="K207" s="145">
        <v>53730</v>
      </c>
      <c r="L207" s="164">
        <f>E30</f>
        <v>1297.4100000000001</v>
      </c>
      <c r="N207" s="168"/>
      <c r="O207" s="180"/>
      <c r="P207" s="8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8" customHeight="1">
      <c r="A208" s="113" t="s">
        <v>178</v>
      </c>
      <c r="B208" s="123"/>
      <c r="C208" s="123"/>
      <c r="D208" s="123"/>
      <c r="E208" s="123">
        <v>2224</v>
      </c>
      <c r="F208" s="115">
        <f>G122</f>
        <v>0</v>
      </c>
      <c r="G208" s="116"/>
      <c r="H208" s="160" t="s">
        <v>360</v>
      </c>
      <c r="I208" s="169"/>
      <c r="J208" s="169"/>
      <c r="K208" s="145">
        <v>81797</v>
      </c>
      <c r="L208" s="164">
        <f>E29</f>
        <v>691.09</v>
      </c>
      <c r="N208" s="129"/>
      <c r="O208" s="180"/>
      <c r="P208" s="8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8" customHeight="1">
      <c r="A209" s="113" t="s">
        <v>179</v>
      </c>
      <c r="B209" s="123"/>
      <c r="C209" s="123"/>
      <c r="D209" s="123"/>
      <c r="E209" s="123">
        <v>2222</v>
      </c>
      <c r="F209" s="115">
        <f>H122</f>
        <v>0</v>
      </c>
      <c r="G209" s="116"/>
      <c r="H209" s="182" t="s">
        <v>280</v>
      </c>
      <c r="I209" s="127"/>
      <c r="J209" s="127"/>
      <c r="K209" s="145">
        <v>70778</v>
      </c>
      <c r="L209" s="164">
        <f>E14</f>
        <v>1686.88</v>
      </c>
      <c r="N209" s="172"/>
      <c r="O209" s="180"/>
      <c r="P209" s="8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8" customHeight="1">
      <c r="A210" s="113"/>
      <c r="B210" s="123"/>
      <c r="C210" s="123"/>
      <c r="D210" s="123"/>
      <c r="E210" s="123"/>
      <c r="F210" s="115"/>
      <c r="G210" s="116"/>
      <c r="H210" s="160" t="s">
        <v>337</v>
      </c>
      <c r="I210" s="169"/>
      <c r="J210" s="169"/>
      <c r="K210" s="145">
        <v>80996</v>
      </c>
      <c r="L210" s="164">
        <f>E19</f>
        <v>2814.21</v>
      </c>
      <c r="N210" s="172"/>
      <c r="O210" s="180"/>
      <c r="P210" s="8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8" customHeight="1">
      <c r="A211" s="113"/>
      <c r="B211" s="123"/>
      <c r="C211" s="123"/>
      <c r="D211" s="123"/>
      <c r="E211" s="123"/>
      <c r="F211" s="115"/>
      <c r="G211" s="116"/>
      <c r="H211" s="182" t="s">
        <v>347</v>
      </c>
      <c r="I211" s="62"/>
      <c r="J211" s="62"/>
      <c r="K211" s="127">
        <v>81316</v>
      </c>
      <c r="L211" s="164">
        <f>E27</f>
        <v>1318.67</v>
      </c>
      <c r="N211" s="172"/>
      <c r="O211" s="180"/>
      <c r="P211" s="8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8" customHeight="1">
      <c r="A212" s="113"/>
      <c r="B212" s="123"/>
      <c r="C212" s="123"/>
      <c r="D212" s="123"/>
      <c r="E212" s="123"/>
      <c r="F212" s="115"/>
      <c r="G212" s="116"/>
      <c r="H212" s="182" t="s">
        <v>341</v>
      </c>
      <c r="I212" s="62"/>
      <c r="J212" s="62"/>
      <c r="K212" s="127">
        <v>1071</v>
      </c>
      <c r="L212" s="164">
        <f>E25</f>
        <v>56.49</v>
      </c>
      <c r="N212" s="172"/>
      <c r="O212" s="180"/>
      <c r="P212" s="8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8.75" customHeight="1">
      <c r="A213" s="113"/>
      <c r="B213" s="123"/>
      <c r="C213" s="123"/>
      <c r="D213" s="123"/>
      <c r="E213" s="123"/>
      <c r="F213" s="115"/>
      <c r="G213" s="116"/>
      <c r="H213" s="182"/>
      <c r="I213" s="127"/>
      <c r="J213" s="127"/>
      <c r="K213" s="127"/>
      <c r="L213" s="164"/>
      <c r="N213" s="172"/>
      <c r="O213" s="180"/>
      <c r="P213" s="8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8" customHeight="1" thickBot="1">
      <c r="A214" s="183" t="s">
        <v>180</v>
      </c>
      <c r="B214" s="184"/>
      <c r="C214" s="184"/>
      <c r="D214" s="184" t="s">
        <v>176</v>
      </c>
      <c r="E214" s="184">
        <v>6959</v>
      </c>
      <c r="F214" s="185">
        <f>F122</f>
        <v>0</v>
      </c>
      <c r="G214" s="186"/>
      <c r="H214" s="187" t="s">
        <v>181</v>
      </c>
      <c r="I214" s="184"/>
      <c r="J214" s="184"/>
      <c r="K214" s="184"/>
      <c r="L214" s="188">
        <f>SUM(L176:L213)</f>
        <v>13976.009999999998</v>
      </c>
      <c r="N214" s="154"/>
      <c r="O214" s="180"/>
      <c r="P214" s="8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8" customHeight="1">
      <c r="A215" s="148"/>
      <c r="B215" s="189"/>
      <c r="C215" s="189"/>
      <c r="D215" s="189"/>
      <c r="E215" s="189"/>
      <c r="F215" s="189"/>
      <c r="G215" s="105"/>
      <c r="H215" s="189"/>
      <c r="I215" s="189"/>
      <c r="J215" s="189"/>
      <c r="K215" s="189"/>
      <c r="L215" s="148"/>
      <c r="N215" s="172"/>
      <c r="O215" s="180"/>
      <c r="P215" s="8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8" customHeight="1">
      <c r="A216" s="148"/>
      <c r="B216" s="189"/>
      <c r="C216" s="100"/>
      <c r="D216" s="100"/>
      <c r="E216" s="100"/>
      <c r="F216" s="190">
        <f>SUM(F135:F214)</f>
        <v>92071.986414999978</v>
      </c>
      <c r="G216" s="105"/>
      <c r="H216" s="100"/>
      <c r="I216" s="100"/>
      <c r="J216" s="100"/>
      <c r="K216" s="100"/>
      <c r="L216" s="191">
        <f>SUM(L135:L174)</f>
        <v>92071.986414999978</v>
      </c>
      <c r="N216" s="192"/>
      <c r="O216" s="180"/>
      <c r="P216" s="8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5" customHeight="1">
      <c r="A217" s="172"/>
      <c r="B217" s="177"/>
      <c r="C217" s="177"/>
      <c r="D217" s="177"/>
      <c r="E217" s="177"/>
      <c r="F217" s="177"/>
      <c r="G217" s="177"/>
      <c r="H217" s="180"/>
      <c r="I217" s="177"/>
      <c r="J217" s="177"/>
      <c r="K217" s="177"/>
      <c r="L217" s="177"/>
      <c r="M217" s="193"/>
      <c r="N217" s="193"/>
      <c r="O217" s="180"/>
      <c r="P217" s="8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5" customHeight="1">
      <c r="A218" s="193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93"/>
      <c r="N218" s="193"/>
      <c r="O218" s="180"/>
      <c r="P218" s="8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20.25">
      <c r="A219" s="193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93"/>
      <c r="N219" s="193"/>
      <c r="O219" s="180"/>
      <c r="P219" s="8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>
      <c r="G220" s="194" t="s">
        <v>182</v>
      </c>
      <c r="H220" s="195">
        <f>F216-L216</f>
        <v>0</v>
      </c>
      <c r="M220" s="27"/>
      <c r="N220" s="27"/>
      <c r="O220" s="85"/>
      <c r="P220" s="8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>
      <c r="G221" s="195"/>
      <c r="M221" s="27"/>
      <c r="N221" s="27"/>
      <c r="O221" s="85"/>
      <c r="P221" s="8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5.75">
      <c r="C222" s="95"/>
      <c r="D222" s="95"/>
      <c r="E222" s="95"/>
      <c r="F222" s="95"/>
      <c r="G222" s="95"/>
      <c r="M222" s="27"/>
      <c r="N222" s="27"/>
      <c r="O222" s="85"/>
      <c r="P222" s="8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6.5" thickBot="1">
      <c r="C223" s="95"/>
      <c r="D223" s="95"/>
      <c r="E223" s="95"/>
      <c r="F223" s="95"/>
      <c r="G223" s="95"/>
      <c r="M223" s="27"/>
      <c r="N223" s="27"/>
      <c r="O223" s="85"/>
      <c r="P223" s="8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6.5" thickBot="1">
      <c r="B224" s="273"/>
      <c r="C224" s="273"/>
      <c r="D224" s="273"/>
      <c r="E224" s="273"/>
      <c r="F224" s="85"/>
      <c r="G224" s="85"/>
      <c r="H224" s="85"/>
      <c r="I224" s="64"/>
      <c r="J224" s="64"/>
      <c r="K224" s="289" t="s">
        <v>61</v>
      </c>
      <c r="L224" s="296" t="str">
        <f>I130</f>
        <v>PAIE SEMAINE 45</v>
      </c>
      <c r="M224" s="53"/>
      <c r="N224" s="53"/>
      <c r="O224" s="85"/>
      <c r="P224" s="8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5.75">
      <c r="A225" s="28"/>
      <c r="B225" s="281" t="s">
        <v>68</v>
      </c>
      <c r="C225" s="282" t="s">
        <v>69</v>
      </c>
      <c r="D225" s="283" t="s">
        <v>70</v>
      </c>
      <c r="E225" s="26"/>
      <c r="F225" s="26"/>
      <c r="G225" s="26"/>
      <c r="H225" s="77"/>
      <c r="I225" s="77"/>
      <c r="J225" s="82"/>
      <c r="K225" s="290" t="s">
        <v>64</v>
      </c>
      <c r="L225" s="9">
        <f>F130</f>
        <v>2017</v>
      </c>
      <c r="M225" s="82"/>
      <c r="N225" s="82"/>
      <c r="O225" s="82"/>
      <c r="P225" s="45"/>
      <c r="Q225" s="28" t="s">
        <v>39</v>
      </c>
      <c r="R225" s="5"/>
      <c r="S225" s="5"/>
      <c r="T225" s="5"/>
      <c r="U225" s="5"/>
      <c r="V225" s="69"/>
      <c r="W225" s="69"/>
      <c r="X225" s="69"/>
      <c r="Y225" s="69"/>
      <c r="Z225" s="5"/>
      <c r="AA225" s="5"/>
      <c r="AB225" s="5"/>
      <c r="AC225" s="5"/>
      <c r="AD225" s="5"/>
      <c r="AE225" s="5"/>
      <c r="AF225" s="5"/>
    </row>
    <row r="226" spans="1:32" ht="15.75">
      <c r="A226" s="28" t="s">
        <v>39</v>
      </c>
      <c r="B226" s="284"/>
      <c r="C226" s="82"/>
      <c r="D226" s="285"/>
      <c r="E226" s="32"/>
      <c r="F226" s="53"/>
      <c r="G226" s="32"/>
      <c r="H226" s="32"/>
      <c r="I226" s="32"/>
      <c r="J226" s="82"/>
      <c r="K226" s="291"/>
      <c r="L226" s="82"/>
      <c r="M226" s="82"/>
      <c r="N226" s="82"/>
      <c r="O226" s="82"/>
      <c r="P226" s="74"/>
      <c r="Q226" s="41" t="s">
        <v>39</v>
      </c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6.5" thickBot="1">
      <c r="A227" s="41" t="s">
        <v>39</v>
      </c>
      <c r="B227" s="286">
        <v>102.8</v>
      </c>
      <c r="C227" s="287">
        <v>5.14</v>
      </c>
      <c r="D227" s="288">
        <v>10.25</v>
      </c>
      <c r="E227" s="32"/>
      <c r="F227" s="32"/>
      <c r="G227" s="32"/>
      <c r="H227" s="32"/>
      <c r="I227" s="32"/>
      <c r="J227" s="64"/>
      <c r="K227" s="292"/>
      <c r="L227" s="74"/>
      <c r="M227" s="74"/>
      <c r="N227" s="74"/>
      <c r="O227" s="64"/>
      <c r="P227" s="74"/>
      <c r="Q227" s="28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6.5" thickBot="1">
      <c r="A228" s="28"/>
      <c r="B228" s="9"/>
      <c r="C228" s="32"/>
      <c r="D228" s="32"/>
      <c r="E228" s="32"/>
      <c r="F228" s="32"/>
      <c r="G228" s="35"/>
      <c r="H228" s="32"/>
      <c r="I228" s="32"/>
      <c r="J228" s="64"/>
      <c r="K228" s="293">
        <f>B227+C227+D227</f>
        <v>118.19</v>
      </c>
      <c r="L228" s="74"/>
      <c r="M228" s="74"/>
      <c r="N228" s="80"/>
      <c r="O228" s="64"/>
      <c r="Q228" s="28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5.75">
      <c r="A229" s="28"/>
      <c r="B229" s="9"/>
      <c r="C229" s="26"/>
      <c r="D229" s="26"/>
      <c r="E229" s="26"/>
      <c r="F229" s="26"/>
      <c r="G229" s="16"/>
      <c r="H229" s="77"/>
      <c r="I229" s="274"/>
      <c r="J229" s="64"/>
      <c r="K229" s="80"/>
      <c r="L229" s="80"/>
      <c r="M229" s="80"/>
      <c r="N229" s="64"/>
      <c r="O229" s="80"/>
      <c r="P229" s="80"/>
      <c r="Q229" s="28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5.75">
      <c r="A230" s="28"/>
      <c r="B230" s="9"/>
      <c r="C230" s="32"/>
      <c r="D230" s="32"/>
      <c r="E230" s="32"/>
      <c r="F230" s="32"/>
      <c r="G230" s="57"/>
      <c r="H230" s="32"/>
      <c r="I230" s="32"/>
      <c r="J230" s="64"/>
      <c r="K230" s="80"/>
      <c r="L230" s="80"/>
      <c r="M230" s="80"/>
      <c r="N230" s="64"/>
      <c r="O230" s="80"/>
      <c r="P230" s="82"/>
      <c r="Q230" s="28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8" customHeight="1">
      <c r="A231" s="96" t="s">
        <v>71</v>
      </c>
      <c r="B231" s="97"/>
      <c r="C231" s="97"/>
      <c r="D231" s="98"/>
      <c r="E231" s="99"/>
      <c r="F231" s="96">
        <v>2016</v>
      </c>
      <c r="G231" s="100"/>
      <c r="H231" s="97"/>
      <c r="I231" s="97" t="str">
        <f>I130</f>
        <v>PAIE SEMAINE 45</v>
      </c>
      <c r="J231" s="97"/>
      <c r="K231" s="97"/>
      <c r="L231" s="98"/>
      <c r="M231" s="97"/>
      <c r="N231" s="101"/>
      <c r="O231" s="102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8" customHeight="1">
      <c r="A232" s="103"/>
      <c r="B232" s="98"/>
      <c r="C232" s="97"/>
      <c r="D232" s="97"/>
      <c r="E232" s="96"/>
      <c r="F232" s="96"/>
      <c r="G232" s="97"/>
      <c r="H232" s="97"/>
      <c r="I232" s="97"/>
      <c r="J232" s="97"/>
      <c r="K232" s="97"/>
      <c r="L232" s="98"/>
      <c r="M232" s="98"/>
      <c r="N232" s="102"/>
      <c r="O232" s="102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8">
      <c r="A233" s="275" t="s">
        <v>180</v>
      </c>
      <c r="B233" s="276"/>
      <c r="C233" s="276"/>
      <c r="D233" s="276" t="s">
        <v>176</v>
      </c>
      <c r="E233" s="276">
        <v>6959</v>
      </c>
      <c r="F233" s="277">
        <f>B227</f>
        <v>102.8</v>
      </c>
      <c r="G233" s="95"/>
      <c r="H233" s="276" t="s">
        <v>103</v>
      </c>
      <c r="I233" s="276"/>
      <c r="J233" s="276"/>
      <c r="K233" s="276">
        <v>1102</v>
      </c>
      <c r="L233" s="277">
        <f>K228</f>
        <v>118.19</v>
      </c>
      <c r="M233" s="27"/>
      <c r="N233" s="27"/>
      <c r="O233" s="85"/>
      <c r="P233" s="8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8">
      <c r="A234" s="278" t="s">
        <v>178</v>
      </c>
      <c r="B234" s="279"/>
      <c r="C234" s="279"/>
      <c r="D234" s="279"/>
      <c r="E234" s="279">
        <v>2224</v>
      </c>
      <c r="F234" s="280">
        <f>C227</f>
        <v>5.14</v>
      </c>
      <c r="G234" s="95"/>
      <c r="H234" s="170"/>
      <c r="I234" s="170"/>
      <c r="J234" s="170"/>
      <c r="K234" s="170"/>
      <c r="L234" s="170"/>
      <c r="M234" s="27"/>
      <c r="N234" s="27"/>
      <c r="O234" s="85"/>
      <c r="P234" s="8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8">
      <c r="A235" s="278" t="s">
        <v>179</v>
      </c>
      <c r="B235" s="279"/>
      <c r="C235" s="279"/>
      <c r="D235" s="279"/>
      <c r="E235" s="279">
        <v>2222</v>
      </c>
      <c r="F235" s="280">
        <f>D227</f>
        <v>10.25</v>
      </c>
      <c r="G235" s="32"/>
      <c r="H235" s="294"/>
      <c r="I235" s="294"/>
      <c r="J235" s="170"/>
      <c r="K235" s="295"/>
      <c r="L235" s="295"/>
      <c r="M235" s="82"/>
      <c r="N235" s="64"/>
      <c r="O235" s="82"/>
      <c r="P235" s="85"/>
      <c r="Q235" s="28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5.75">
      <c r="A236" s="28"/>
      <c r="B236" s="9"/>
      <c r="C236" s="82"/>
      <c r="D236" s="82"/>
      <c r="E236" s="32"/>
      <c r="F236" s="32"/>
      <c r="G236" s="82"/>
      <c r="H236" s="82"/>
      <c r="I236" s="82"/>
      <c r="J236" s="64"/>
      <c r="K236" s="85"/>
      <c r="L236" s="85"/>
      <c r="M236" s="85"/>
      <c r="N236" s="64"/>
      <c r="O236" s="85"/>
      <c r="P236" s="82"/>
      <c r="Q236" s="28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5.75">
      <c r="A237" s="28"/>
      <c r="B237" s="9"/>
      <c r="C237" s="87"/>
      <c r="D237" s="87"/>
      <c r="E237" s="26"/>
      <c r="F237" s="64"/>
      <c r="G237" s="64"/>
      <c r="H237" s="64"/>
      <c r="I237" s="87"/>
      <c r="J237" s="64"/>
      <c r="K237" s="82"/>
      <c r="L237" s="82"/>
      <c r="M237" s="82"/>
      <c r="N237" s="64"/>
      <c r="O237" s="82"/>
      <c r="P237" s="5"/>
      <c r="Q237" s="28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5.75">
      <c r="C238" s="95"/>
      <c r="D238" s="95"/>
      <c r="E238" s="95"/>
      <c r="F238" s="95"/>
      <c r="G238" s="95"/>
      <c r="M238" s="27"/>
      <c r="N238" s="27"/>
      <c r="O238" s="85"/>
      <c r="P238" s="8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5.75">
      <c r="C239" s="95"/>
      <c r="D239" s="95"/>
      <c r="E239" s="95"/>
      <c r="F239" s="95"/>
      <c r="G239" s="95"/>
      <c r="M239" s="27"/>
      <c r="N239" s="27"/>
      <c r="O239" s="85"/>
      <c r="P239" s="8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5.75">
      <c r="A240" s="28"/>
      <c r="B240" s="9"/>
      <c r="C240" s="82"/>
      <c r="D240" s="82"/>
      <c r="E240" s="32"/>
      <c r="F240" s="64"/>
      <c r="G240" s="64"/>
      <c r="H240" s="64"/>
      <c r="I240" s="82"/>
      <c r="J240" s="82"/>
      <c r="K240" s="85"/>
      <c r="L240" s="85"/>
      <c r="M240" s="85"/>
      <c r="N240" s="85"/>
      <c r="O240" s="85"/>
      <c r="P240" s="45"/>
      <c r="Q240" s="27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5.75">
      <c r="B241" s="9"/>
      <c r="C241" s="82"/>
      <c r="D241" s="82"/>
      <c r="E241" s="32"/>
      <c r="F241" s="64"/>
      <c r="G241" s="64"/>
      <c r="H241" s="64"/>
      <c r="I241" s="82"/>
      <c r="J241" s="82"/>
      <c r="K241" s="82"/>
      <c r="L241" s="82"/>
      <c r="M241" s="82"/>
      <c r="N241" s="82"/>
      <c r="O241" s="82"/>
      <c r="P241" s="5"/>
      <c r="Q241" s="28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5.75">
      <c r="B242" s="9"/>
      <c r="C242" s="82"/>
      <c r="D242" s="82"/>
      <c r="E242" s="32"/>
      <c r="F242" s="32"/>
      <c r="G242" s="32"/>
      <c r="H242" s="32"/>
      <c r="I242" s="82"/>
      <c r="J242" s="82"/>
      <c r="K242" s="82"/>
      <c r="L242" s="82"/>
      <c r="M242" s="82"/>
      <c r="N242" s="82"/>
      <c r="O242" s="82"/>
      <c r="P242" s="5"/>
      <c r="Q242" s="28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5.75">
      <c r="B243" s="9"/>
      <c r="C243" s="82"/>
      <c r="D243" s="82"/>
      <c r="E243" s="32"/>
      <c r="F243" s="32"/>
      <c r="G243" s="32"/>
      <c r="H243" s="32"/>
      <c r="I243" s="82"/>
      <c r="J243" s="45"/>
      <c r="K243" s="45"/>
      <c r="L243" s="45"/>
      <c r="M243" s="45"/>
      <c r="N243" s="45"/>
      <c r="O243" s="45"/>
      <c r="P243" s="5"/>
      <c r="Q243" s="28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5.75">
      <c r="B244" s="9"/>
      <c r="C244" s="82"/>
      <c r="D244" s="82"/>
      <c r="E244" s="32"/>
      <c r="F244" s="32"/>
      <c r="G244" s="32"/>
      <c r="H244" s="32"/>
      <c r="I244" s="82"/>
      <c r="J244" s="45"/>
      <c r="K244" s="45"/>
      <c r="L244" s="45"/>
      <c r="M244" s="45"/>
      <c r="N244" s="45"/>
      <c r="O244" s="45"/>
      <c r="P244" s="5"/>
      <c r="Q244" s="28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5.75">
      <c r="B245" s="9"/>
      <c r="C245" s="82"/>
      <c r="D245" s="82"/>
      <c r="E245" s="32"/>
      <c r="F245" s="32"/>
      <c r="G245" s="32"/>
      <c r="H245" s="32"/>
      <c r="I245" s="82"/>
      <c r="J245" s="45"/>
      <c r="K245" s="45"/>
      <c r="L245" s="45"/>
      <c r="M245" s="45"/>
      <c r="N245" s="45"/>
      <c r="O245" s="45"/>
      <c r="P245" s="5"/>
      <c r="Q245" s="28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5.75">
      <c r="A246" s="196" t="s">
        <v>71</v>
      </c>
      <c r="B246" s="95"/>
      <c r="C246" s="95"/>
      <c r="D246" s="95"/>
      <c r="E246" s="95"/>
      <c r="F246" s="5"/>
      <c r="G246" s="197" t="str">
        <f>I130</f>
        <v>PAIE SEMAINE 45</v>
      </c>
      <c r="H246" s="5"/>
      <c r="K246" s="198">
        <f>F130</f>
        <v>2017</v>
      </c>
      <c r="M246" s="27"/>
      <c r="N246" s="27"/>
      <c r="O246" s="85"/>
      <c r="P246" s="8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5.75">
      <c r="A247" s="196"/>
      <c r="B247" s="95"/>
      <c r="C247" s="95"/>
      <c r="D247" s="95"/>
      <c r="E247" s="95"/>
      <c r="F247" s="5"/>
      <c r="G247" s="5"/>
      <c r="H247" s="5"/>
      <c r="I247" s="5"/>
      <c r="J247" s="95"/>
      <c r="K247" s="95"/>
      <c r="M247" s="27"/>
      <c r="N247" s="27"/>
      <c r="O247" s="85"/>
      <c r="P247" s="8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5.75">
      <c r="A248" s="196"/>
      <c r="B248" s="95"/>
      <c r="C248" s="5"/>
      <c r="D248" s="5"/>
      <c r="E248" s="5"/>
      <c r="F248" s="5"/>
      <c r="G248" s="5"/>
      <c r="H248" s="5"/>
      <c r="I248" s="5"/>
      <c r="J248" s="5"/>
      <c r="K248" s="5"/>
      <c r="M248" s="27"/>
      <c r="N248" s="27"/>
      <c r="O248" s="85"/>
      <c r="P248" s="8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5.75">
      <c r="A249" s="196" t="s">
        <v>183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M249" s="27"/>
      <c r="N249" s="27"/>
      <c r="O249" s="85"/>
      <c r="P249" s="8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5.75">
      <c r="A250" s="28"/>
      <c r="B250" s="5"/>
      <c r="C250" s="5"/>
      <c r="G250" s="95"/>
      <c r="H250" s="5"/>
      <c r="I250" s="5"/>
      <c r="M250" s="27"/>
      <c r="N250" s="27"/>
      <c r="O250" s="85"/>
      <c r="P250" s="8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5.75">
      <c r="A251" s="28"/>
      <c r="B251" s="85"/>
      <c r="C251" s="5"/>
      <c r="D251" s="95" t="s">
        <v>184</v>
      </c>
      <c r="E251" s="5"/>
      <c r="F251" s="95" t="s">
        <v>185</v>
      </c>
      <c r="G251" s="5"/>
      <c r="H251" s="199" t="s">
        <v>186</v>
      </c>
      <c r="I251" s="5"/>
      <c r="J251" s="199" t="s">
        <v>187</v>
      </c>
      <c r="K251" s="199" t="s">
        <v>188</v>
      </c>
      <c r="M251" s="27"/>
      <c r="N251" s="27"/>
      <c r="O251" s="85"/>
      <c r="P251" s="8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>
      <c r="A252" s="28"/>
      <c r="B252" s="200"/>
      <c r="C252" s="5"/>
      <c r="D252" s="5"/>
      <c r="E252" s="5"/>
      <c r="F252" s="5"/>
      <c r="G252" s="5"/>
      <c r="H252" s="200"/>
      <c r="I252" s="5"/>
      <c r="J252" s="69"/>
      <c r="K252" s="69"/>
      <c r="M252" s="27"/>
      <c r="N252" s="27"/>
      <c r="O252" s="85"/>
      <c r="P252" s="8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>
      <c r="A253" s="210"/>
      <c r="C253" s="208"/>
      <c r="D253" s="202"/>
      <c r="E253" s="202"/>
      <c r="F253" s="203"/>
      <c r="G253" s="203"/>
      <c r="I253" s="202"/>
      <c r="J253" s="205"/>
      <c r="K253" s="205"/>
      <c r="M253" s="27"/>
      <c r="N253" s="27"/>
      <c r="O253" s="85"/>
      <c r="P253" s="8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>
      <c r="B254" s="62"/>
      <c r="D254" s="62"/>
      <c r="E254" s="62"/>
      <c r="F254" s="62"/>
      <c r="G254" s="62"/>
      <c r="H254" s="204"/>
      <c r="I254" s="62"/>
      <c r="J254" s="211"/>
      <c r="K254" s="211"/>
      <c r="M254" s="27"/>
      <c r="N254" s="27"/>
      <c r="O254" s="85"/>
      <c r="P254" s="8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>
      <c r="A255" s="210"/>
      <c r="B255" s="62"/>
      <c r="C255" s="208"/>
      <c r="D255" s="62"/>
      <c r="E255" s="62"/>
      <c r="F255" s="62"/>
      <c r="G255" s="62"/>
      <c r="H255" s="208"/>
      <c r="I255" s="62"/>
      <c r="J255" s="62"/>
      <c r="K255" s="62"/>
      <c r="M255" s="27"/>
      <c r="N255" s="27"/>
      <c r="O255" s="85"/>
      <c r="P255" s="8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>
      <c r="A256" s="63" t="s">
        <v>289</v>
      </c>
      <c r="B256" s="62"/>
      <c r="C256" s="62"/>
      <c r="D256" s="62"/>
      <c r="E256" s="62"/>
      <c r="F256" s="62"/>
      <c r="G256" s="62"/>
      <c r="H256" s="212">
        <v>86921</v>
      </c>
      <c r="I256" s="62"/>
      <c r="J256" s="211"/>
      <c r="K256" s="211"/>
      <c r="M256" s="27"/>
      <c r="N256" s="27"/>
      <c r="O256" s="85"/>
      <c r="P256" s="8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>
      <c r="A257" s="63" t="s">
        <v>298</v>
      </c>
      <c r="B257" s="62"/>
      <c r="C257" s="62"/>
      <c r="D257" s="62"/>
      <c r="E257" s="62"/>
      <c r="F257" s="62"/>
      <c r="G257" s="62"/>
      <c r="H257" s="212">
        <v>81592</v>
      </c>
      <c r="I257" s="62"/>
      <c r="J257" s="211"/>
      <c r="K257" s="211"/>
      <c r="M257" s="27"/>
      <c r="N257" s="27"/>
      <c r="O257" s="85"/>
      <c r="P257" s="8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>
      <c r="A258" s="63" t="s">
        <v>197</v>
      </c>
      <c r="B258" s="62"/>
      <c r="C258" s="62"/>
      <c r="D258" s="62"/>
      <c r="E258" s="62"/>
      <c r="F258" s="62"/>
      <c r="G258" s="62"/>
      <c r="H258" s="212">
        <v>86932</v>
      </c>
      <c r="I258" s="62"/>
      <c r="J258" s="211">
        <f>(J256+J257)*0.193</f>
        <v>0</v>
      </c>
      <c r="K258" s="211"/>
      <c r="M258" s="27"/>
      <c r="N258" s="27"/>
      <c r="O258" s="85"/>
      <c r="P258" s="8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>
      <c r="A259" s="210" t="s">
        <v>195</v>
      </c>
      <c r="B259" s="208"/>
      <c r="C259" s="208"/>
      <c r="D259" s="62">
        <v>4825</v>
      </c>
      <c r="E259" s="62"/>
      <c r="F259" s="213" t="s">
        <v>287</v>
      </c>
      <c r="G259" s="62"/>
      <c r="H259" s="214">
        <v>82291</v>
      </c>
      <c r="I259" s="62"/>
      <c r="J259" s="211"/>
      <c r="K259" s="211">
        <f>F189</f>
        <v>0</v>
      </c>
      <c r="M259" s="27"/>
      <c r="N259" s="27"/>
      <c r="O259" s="85"/>
      <c r="P259" s="8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>
      <c r="A260" s="210"/>
      <c r="B260" s="62"/>
      <c r="C260" s="208"/>
      <c r="D260" s="62"/>
      <c r="E260" s="62"/>
      <c r="F260" s="62"/>
      <c r="G260" s="62"/>
      <c r="H260" s="208"/>
      <c r="I260" s="62"/>
      <c r="J260" s="62"/>
      <c r="K260" s="62"/>
      <c r="M260" s="27"/>
      <c r="N260" s="27"/>
      <c r="O260" s="85"/>
      <c r="P260" s="8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>
      <c r="A261" s="215"/>
      <c r="B261" s="170"/>
      <c r="C261" s="170"/>
      <c r="D261" s="170"/>
      <c r="E261" s="170"/>
      <c r="F261" s="170"/>
      <c r="G261" s="170"/>
      <c r="H261" s="170"/>
      <c r="I261" s="170"/>
      <c r="J261" s="216"/>
      <c r="K261" s="216"/>
      <c r="M261" s="27"/>
      <c r="N261" s="27"/>
      <c r="O261" s="85"/>
      <c r="P261" s="8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>
      <c r="A262" s="215" t="s">
        <v>199</v>
      </c>
      <c r="B262" s="170"/>
      <c r="C262" s="170"/>
      <c r="D262" s="170"/>
      <c r="E262" s="170"/>
      <c r="F262" s="217"/>
      <c r="G262" s="170"/>
      <c r="H262" s="170">
        <v>86722</v>
      </c>
      <c r="I262" s="170"/>
      <c r="J262" s="216">
        <f>(C78*0.6)+H80</f>
        <v>512.13599999999997</v>
      </c>
      <c r="K262" s="216"/>
      <c r="M262" s="27"/>
      <c r="N262" s="27"/>
      <c r="O262" s="85"/>
      <c r="P262" s="8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>
      <c r="A263" s="53" t="s">
        <v>355</v>
      </c>
      <c r="B263" s="170"/>
      <c r="C263" s="170"/>
      <c r="D263" s="170"/>
      <c r="E263" s="170"/>
      <c r="F263" s="217"/>
      <c r="G263" s="170"/>
      <c r="H263" s="170">
        <v>86422</v>
      </c>
      <c r="I263" s="170"/>
      <c r="J263" s="216">
        <f>(C78*0.4)+H81</f>
        <v>341.42399999999998</v>
      </c>
      <c r="K263" s="216"/>
      <c r="M263" s="27"/>
      <c r="N263" s="27"/>
      <c r="O263" s="85"/>
      <c r="P263" s="8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>
      <c r="A264" s="53" t="s">
        <v>363</v>
      </c>
      <c r="B264" s="170"/>
      <c r="C264" s="170"/>
      <c r="D264" s="170"/>
      <c r="E264" s="170"/>
      <c r="F264" s="217"/>
      <c r="G264" s="170"/>
      <c r="H264" s="170">
        <v>82503</v>
      </c>
      <c r="I264" s="170"/>
      <c r="J264" s="216">
        <f>G79</f>
        <v>0</v>
      </c>
      <c r="K264" s="216"/>
      <c r="M264" s="27"/>
      <c r="N264" s="27"/>
      <c r="O264" s="85"/>
      <c r="P264" s="8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>
      <c r="A265" s="325" t="s">
        <v>354</v>
      </c>
      <c r="B265" s="170"/>
      <c r="C265" s="170"/>
      <c r="D265" s="170"/>
      <c r="E265" s="170"/>
      <c r="F265" s="217"/>
      <c r="G265" s="170"/>
      <c r="H265" s="170">
        <v>86745</v>
      </c>
      <c r="I265" s="170"/>
      <c r="J265" s="216">
        <f>-O78</f>
        <v>80.77</v>
      </c>
      <c r="K265" s="216"/>
      <c r="M265" s="27"/>
      <c r="N265" s="27"/>
      <c r="O265" s="85"/>
      <c r="P265" s="8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>
      <c r="A266" s="201" t="s">
        <v>192</v>
      </c>
      <c r="B266" s="170"/>
      <c r="C266" s="170"/>
      <c r="D266" s="170"/>
      <c r="E266" s="170"/>
      <c r="F266" s="217"/>
      <c r="G266" s="170"/>
      <c r="H266" s="170">
        <v>86732</v>
      </c>
      <c r="I266" s="170"/>
      <c r="J266" s="211">
        <v>0</v>
      </c>
      <c r="K266" s="216"/>
      <c r="M266" s="27"/>
      <c r="N266" s="27"/>
      <c r="O266" s="85"/>
      <c r="P266" s="8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>
      <c r="A267" s="201" t="s">
        <v>194</v>
      </c>
      <c r="B267" s="170"/>
      <c r="C267" s="170"/>
      <c r="D267" s="170"/>
      <c r="E267" s="170"/>
      <c r="F267" s="217"/>
      <c r="G267" s="170"/>
      <c r="H267" s="170">
        <v>86729</v>
      </c>
      <c r="I267" s="170"/>
      <c r="J267" s="211">
        <v>0</v>
      </c>
      <c r="K267" s="216"/>
      <c r="M267" s="27"/>
      <c r="N267" s="27"/>
      <c r="O267" s="85"/>
      <c r="P267" s="8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>
      <c r="A268" s="207" t="s">
        <v>195</v>
      </c>
      <c r="B268" s="170"/>
      <c r="C268" s="170"/>
      <c r="D268" s="170">
        <v>4825</v>
      </c>
      <c r="E268" s="170"/>
      <c r="F268" s="217" t="s">
        <v>157</v>
      </c>
      <c r="G268" s="170"/>
      <c r="H268" s="170">
        <v>82291</v>
      </c>
      <c r="I268" s="170"/>
      <c r="J268" s="216"/>
      <c r="K268" s="216">
        <f>F190</f>
        <v>934.32999999999993</v>
      </c>
      <c r="M268" s="27"/>
      <c r="N268" s="27"/>
      <c r="O268" s="85"/>
      <c r="P268" s="8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>
      <c r="A269" s="215"/>
      <c r="B269" s="170"/>
      <c r="C269" s="170"/>
      <c r="D269" s="170"/>
      <c r="E269" s="170"/>
      <c r="F269" s="217"/>
      <c r="G269" s="170"/>
      <c r="H269" s="170"/>
      <c r="I269" s="170"/>
      <c r="J269" s="216"/>
      <c r="K269" s="216"/>
      <c r="M269" s="27"/>
      <c r="N269" s="27"/>
      <c r="O269" s="85"/>
      <c r="P269" s="8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>
      <c r="A270" s="215"/>
      <c r="B270" s="170"/>
      <c r="C270" s="170"/>
      <c r="D270" s="170"/>
      <c r="E270" s="170"/>
      <c r="F270" s="217"/>
      <c r="G270" s="170"/>
      <c r="H270" s="170"/>
      <c r="I270" s="170"/>
      <c r="J270" s="216"/>
      <c r="K270" s="216"/>
      <c r="M270" s="27"/>
      <c r="N270" s="27"/>
      <c r="O270" s="85"/>
      <c r="P270" s="8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>
      <c r="A271" s="215" t="s">
        <v>200</v>
      </c>
      <c r="B271" s="170"/>
      <c r="C271" s="170"/>
      <c r="D271" s="170"/>
      <c r="E271" s="170"/>
      <c r="F271" s="217"/>
      <c r="G271" s="170"/>
      <c r="H271" s="170">
        <v>86525</v>
      </c>
      <c r="I271" s="170"/>
      <c r="J271" s="218">
        <f>((D90+C90)*0.5)+H91</f>
        <v>0</v>
      </c>
      <c r="K271" s="216"/>
      <c r="M271" s="27"/>
      <c r="N271" s="27"/>
      <c r="O271" s="85"/>
      <c r="P271" s="8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>
      <c r="A272" s="215" t="s">
        <v>201</v>
      </c>
      <c r="B272" s="170"/>
      <c r="C272" s="170"/>
      <c r="D272" s="170"/>
      <c r="E272" s="170"/>
      <c r="F272" s="217"/>
      <c r="G272" s="170"/>
      <c r="H272" s="170">
        <v>86532</v>
      </c>
      <c r="I272" s="170"/>
      <c r="J272" s="211">
        <f>J271*0.1943</f>
        <v>0</v>
      </c>
      <c r="K272" s="216"/>
      <c r="M272" s="27"/>
      <c r="N272" s="27"/>
      <c r="O272" s="85"/>
      <c r="P272" s="8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>
      <c r="A273" s="215" t="s">
        <v>202</v>
      </c>
      <c r="B273" s="170"/>
      <c r="C273" s="170"/>
      <c r="D273" s="170"/>
      <c r="E273" s="170"/>
      <c r="F273" s="170"/>
      <c r="G273" s="170"/>
      <c r="H273" s="170">
        <v>86529</v>
      </c>
      <c r="I273" s="170"/>
      <c r="J273" s="211">
        <f>J271*0.1196</f>
        <v>0</v>
      </c>
      <c r="K273" s="216"/>
      <c r="M273" s="27"/>
      <c r="N273" s="27"/>
      <c r="O273" s="85"/>
      <c r="P273" s="8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>
      <c r="A274" s="215" t="s">
        <v>195</v>
      </c>
      <c r="B274" s="170"/>
      <c r="C274" s="170"/>
      <c r="D274" s="170">
        <v>4825</v>
      </c>
      <c r="E274" s="170"/>
      <c r="F274" s="219" t="s">
        <v>161</v>
      </c>
      <c r="G274" s="170"/>
      <c r="H274" s="170">
        <v>82291</v>
      </c>
      <c r="I274" s="170"/>
      <c r="J274" s="216"/>
      <c r="K274" s="216">
        <f>F187</f>
        <v>0</v>
      </c>
      <c r="M274" s="27"/>
      <c r="N274" s="27"/>
      <c r="O274" s="85"/>
      <c r="P274" s="8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>
      <c r="A275" s="215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M275" s="27"/>
      <c r="N275" s="27"/>
      <c r="O275" s="85"/>
      <c r="P275" s="8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>
      <c r="A276" s="53"/>
      <c r="B276" s="64"/>
      <c r="C276" s="64"/>
      <c r="D276" s="64"/>
      <c r="E276" s="64"/>
      <c r="F276" s="220"/>
      <c r="G276" s="64"/>
      <c r="H276" s="64"/>
      <c r="I276" s="64"/>
      <c r="J276" s="221"/>
      <c r="K276" s="221"/>
      <c r="M276" s="27"/>
      <c r="N276" s="27"/>
      <c r="O276" s="85"/>
      <c r="P276" s="8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>
      <c r="A277" s="53"/>
      <c r="B277" s="64"/>
      <c r="C277" s="64"/>
      <c r="D277" s="64"/>
      <c r="E277" s="64"/>
      <c r="F277" s="220"/>
      <c r="G277" s="64"/>
      <c r="H277" s="64"/>
      <c r="I277" s="64"/>
      <c r="J277" s="221"/>
      <c r="K277" s="221"/>
      <c r="M277" s="27"/>
      <c r="N277" s="27"/>
      <c r="O277" s="85"/>
      <c r="P277" s="8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>
      <c r="A278" s="53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M278" s="27"/>
      <c r="N278" s="27"/>
      <c r="O278" s="85"/>
      <c r="P278" s="8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15.75">
      <c r="C279" s="95"/>
      <c r="D279" s="95"/>
      <c r="E279" s="95"/>
      <c r="G279" s="95"/>
      <c r="M279" s="27"/>
      <c r="N279" s="27"/>
      <c r="O279" s="85"/>
      <c r="P279" s="8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15.75">
      <c r="C280" s="95"/>
      <c r="D280" s="95"/>
      <c r="E280" s="95"/>
      <c r="G280" s="95"/>
      <c r="M280" s="27"/>
      <c r="N280" s="27"/>
      <c r="O280" s="85"/>
      <c r="P280" s="8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15.75">
      <c r="B281" s="95"/>
      <c r="C281" s="95"/>
      <c r="D281" s="95"/>
      <c r="E281" s="95"/>
      <c r="F281" s="5"/>
      <c r="G281" s="5"/>
      <c r="H281" s="5"/>
      <c r="M281" s="27"/>
      <c r="N281" s="27"/>
      <c r="O281" s="85"/>
      <c r="P281" s="8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15.75">
      <c r="A282" s="196" t="s">
        <v>71</v>
      </c>
      <c r="B282" s="95"/>
      <c r="C282" s="95"/>
      <c r="D282" s="95"/>
      <c r="E282" s="95"/>
      <c r="F282" s="95" t="str">
        <f>I130</f>
        <v>PAIE SEMAINE 45</v>
      </c>
      <c r="G282" s="5"/>
      <c r="H282" s="5"/>
      <c r="K282" s="95">
        <f>F130</f>
        <v>2017</v>
      </c>
      <c r="M282" s="27"/>
      <c r="N282" s="27"/>
      <c r="O282" s="85"/>
      <c r="P282" s="8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15.75">
      <c r="A283" s="196"/>
      <c r="B283" s="95"/>
      <c r="C283" s="95"/>
      <c r="D283" s="95"/>
      <c r="E283" s="95"/>
      <c r="F283" s="5"/>
      <c r="G283" s="5"/>
      <c r="H283" s="5"/>
      <c r="I283" s="5"/>
      <c r="J283" s="95"/>
      <c r="L283" s="5"/>
      <c r="M283" s="27"/>
      <c r="N283" s="27"/>
      <c r="O283" s="85"/>
      <c r="P283" s="87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15.75">
      <c r="A284" s="196"/>
      <c r="B284" s="9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28"/>
      <c r="N284" s="28"/>
      <c r="O284" s="87"/>
      <c r="P284" s="8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15.75">
      <c r="A285" s="196" t="s">
        <v>203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28"/>
      <c r="N285" s="28"/>
      <c r="O285" s="85"/>
      <c r="P285" s="8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15.75">
      <c r="A286" s="28"/>
      <c r="B286" s="5"/>
      <c r="C286" s="5"/>
      <c r="G286" s="95"/>
      <c r="H286" s="5"/>
      <c r="I286" s="5"/>
      <c r="L286" s="5"/>
      <c r="M286" s="28"/>
      <c r="N286" s="28"/>
      <c r="O286" s="85"/>
      <c r="P286" s="8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15.75">
      <c r="A287" s="28"/>
      <c r="B287" s="85"/>
      <c r="C287" s="5"/>
      <c r="D287" s="95" t="s">
        <v>184</v>
      </c>
      <c r="E287" s="5"/>
      <c r="F287" s="95" t="s">
        <v>185</v>
      </c>
      <c r="G287" s="5"/>
      <c r="H287" s="199" t="s">
        <v>186</v>
      </c>
      <c r="I287" s="5"/>
      <c r="J287" s="199" t="s">
        <v>187</v>
      </c>
      <c r="K287" s="199" t="s">
        <v>188</v>
      </c>
      <c r="L287" s="5"/>
      <c r="M287" s="28"/>
      <c r="N287" s="28"/>
      <c r="O287" s="85"/>
      <c r="P287" s="8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>
      <c r="A288" s="28"/>
      <c r="B288" s="85"/>
      <c r="C288" s="5"/>
      <c r="D288" s="5"/>
      <c r="E288" s="5"/>
      <c r="F288" s="5"/>
      <c r="G288" s="5"/>
      <c r="H288" s="200"/>
      <c r="I288" s="5"/>
      <c r="J288" s="69"/>
      <c r="K288" s="69"/>
      <c r="L288" s="5"/>
      <c r="M288" s="28"/>
      <c r="N288" s="28"/>
      <c r="O288" s="85"/>
      <c r="P288" s="8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>
      <c r="A289" s="201" t="s">
        <v>189</v>
      </c>
      <c r="B289" s="202"/>
      <c r="C289" s="202"/>
      <c r="D289" s="202"/>
      <c r="E289" s="202"/>
      <c r="F289" s="203"/>
      <c r="G289" s="203"/>
      <c r="H289" s="204" t="s">
        <v>204</v>
      </c>
      <c r="I289" s="202"/>
      <c r="J289" s="205"/>
      <c r="K289" s="205"/>
      <c r="L289" s="5"/>
      <c r="M289" s="28"/>
      <c r="N289" s="28"/>
      <c r="O289" s="85"/>
      <c r="P289" s="8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>
      <c r="A290" s="201" t="s">
        <v>190</v>
      </c>
      <c r="B290" s="202"/>
      <c r="C290" s="202"/>
      <c r="D290" s="202"/>
      <c r="E290" s="202"/>
      <c r="F290" s="203"/>
      <c r="G290" s="203"/>
      <c r="H290" s="204" t="s">
        <v>205</v>
      </c>
      <c r="I290" s="202"/>
      <c r="J290" s="205"/>
      <c r="K290" s="205"/>
      <c r="L290" s="5"/>
      <c r="M290" s="28"/>
      <c r="N290" s="28"/>
      <c r="O290" s="85"/>
      <c r="P290" s="8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>
      <c r="A291" s="201" t="s">
        <v>206</v>
      </c>
      <c r="B291" s="202"/>
      <c r="C291" s="202"/>
      <c r="D291" s="202"/>
      <c r="E291" s="202"/>
      <c r="F291" s="203"/>
      <c r="G291" s="203"/>
      <c r="H291" s="204" t="s">
        <v>207</v>
      </c>
      <c r="I291" s="202"/>
      <c r="J291" s="205"/>
      <c r="K291" s="205"/>
      <c r="L291" s="5"/>
      <c r="M291" s="28"/>
      <c r="N291" s="28"/>
      <c r="O291" s="85"/>
      <c r="P291" s="8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>
      <c r="A292" s="201" t="s">
        <v>191</v>
      </c>
      <c r="B292" s="202"/>
      <c r="C292" s="202"/>
      <c r="D292" s="202"/>
      <c r="E292" s="202"/>
      <c r="F292" s="203"/>
      <c r="G292" s="203"/>
      <c r="H292" s="204" t="s">
        <v>208</v>
      </c>
      <c r="I292" s="202"/>
      <c r="J292" s="205">
        <f>J289*0.1262</f>
        <v>0</v>
      </c>
      <c r="K292" s="205"/>
      <c r="L292" s="5"/>
      <c r="M292" s="27"/>
      <c r="N292" s="27"/>
      <c r="O292" s="85"/>
      <c r="P292" s="8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>
      <c r="A293" s="201" t="s">
        <v>192</v>
      </c>
      <c r="B293" s="202"/>
      <c r="C293" s="202"/>
      <c r="D293" s="202"/>
      <c r="E293" s="202"/>
      <c r="F293" s="203"/>
      <c r="G293" s="203"/>
      <c r="H293" s="204" t="s">
        <v>209</v>
      </c>
      <c r="I293" s="202"/>
      <c r="J293" s="205">
        <f>J290*0.1262</f>
        <v>0</v>
      </c>
      <c r="K293" s="205"/>
      <c r="L293" s="5"/>
      <c r="M293" s="27"/>
      <c r="N293" s="27"/>
      <c r="O293" s="85"/>
      <c r="P293" s="8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>
      <c r="A294" s="201" t="s">
        <v>210</v>
      </c>
      <c r="B294" s="202"/>
      <c r="C294" s="202"/>
      <c r="D294" s="202"/>
      <c r="E294" s="202"/>
      <c r="F294" s="203"/>
      <c r="G294" s="203"/>
      <c r="H294" s="204" t="s">
        <v>211</v>
      </c>
      <c r="I294" s="202"/>
      <c r="J294" s="205">
        <f>J291*0.1262</f>
        <v>0</v>
      </c>
      <c r="K294" s="205"/>
      <c r="L294" s="5"/>
      <c r="M294" s="27"/>
      <c r="N294" s="27"/>
      <c r="O294" s="85"/>
      <c r="P294" s="8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>
      <c r="A295" s="201" t="s">
        <v>193</v>
      </c>
      <c r="B295" s="202"/>
      <c r="C295" s="202"/>
      <c r="D295" s="202"/>
      <c r="E295" s="202"/>
      <c r="F295" s="203"/>
      <c r="G295" s="203"/>
      <c r="H295" s="204" t="s">
        <v>212</v>
      </c>
      <c r="I295" s="202"/>
      <c r="J295" s="205">
        <f>J289*0.1262</f>
        <v>0</v>
      </c>
      <c r="K295" s="202"/>
      <c r="L295" s="5"/>
      <c r="M295" s="27"/>
      <c r="N295" s="27"/>
      <c r="O295" s="85"/>
      <c r="P295" s="8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>
      <c r="A296" s="201" t="s">
        <v>194</v>
      </c>
      <c r="B296" s="206"/>
      <c r="C296" s="202"/>
      <c r="D296" s="202"/>
      <c r="E296" s="202"/>
      <c r="F296" s="203"/>
      <c r="G296" s="203"/>
      <c r="H296" s="204" t="s">
        <v>213</v>
      </c>
      <c r="I296" s="202"/>
      <c r="J296" s="205">
        <f>J290*0.1262</f>
        <v>0</v>
      </c>
      <c r="K296" s="202"/>
      <c r="L296" s="5"/>
      <c r="M296" s="27"/>
      <c r="N296" s="27"/>
      <c r="O296" s="85"/>
      <c r="P296" s="8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>
      <c r="A297" s="201" t="s">
        <v>214</v>
      </c>
      <c r="B297" s="206"/>
      <c r="C297" s="202"/>
      <c r="D297" s="202"/>
      <c r="E297" s="202"/>
      <c r="F297" s="203"/>
      <c r="G297" s="203"/>
      <c r="H297" s="204" t="s">
        <v>215</v>
      </c>
      <c r="I297" s="202"/>
      <c r="J297" s="205">
        <f>J291*0.1262</f>
        <v>0</v>
      </c>
      <c r="K297" s="202"/>
      <c r="L297" s="5"/>
      <c r="M297" s="27"/>
      <c r="N297" s="27"/>
      <c r="O297" s="85"/>
      <c r="P297" s="8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>
      <c r="A298" s="201" t="s">
        <v>216</v>
      </c>
      <c r="B298" s="206"/>
      <c r="C298" s="202"/>
      <c r="D298" s="202"/>
      <c r="E298" s="202"/>
      <c r="F298" s="203"/>
      <c r="G298" s="203"/>
      <c r="H298" s="204">
        <v>809</v>
      </c>
      <c r="I298" s="202"/>
      <c r="J298" s="205"/>
      <c r="K298" s="202"/>
      <c r="L298" s="5"/>
      <c r="M298" s="27"/>
      <c r="N298" s="27"/>
      <c r="O298" s="85"/>
      <c r="P298" s="8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>
      <c r="A299" s="207" t="s">
        <v>195</v>
      </c>
      <c r="B299" s="208"/>
      <c r="C299" s="208"/>
      <c r="D299" s="204">
        <v>16001</v>
      </c>
      <c r="E299" s="202"/>
      <c r="F299" s="203" t="s">
        <v>147</v>
      </c>
      <c r="G299" s="203"/>
      <c r="H299" s="209" t="s">
        <v>217</v>
      </c>
      <c r="I299" s="202"/>
      <c r="J299" s="205"/>
      <c r="K299" s="205">
        <f>F176</f>
        <v>0</v>
      </c>
      <c r="L299" s="5"/>
      <c r="M299" s="27"/>
      <c r="N299" s="27"/>
      <c r="O299" s="85"/>
      <c r="P299" s="8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>
      <c r="A300" s="210"/>
      <c r="C300" s="208"/>
      <c r="D300" s="202"/>
      <c r="E300" s="202"/>
      <c r="F300" s="203"/>
      <c r="G300" s="203"/>
      <c r="I300" s="202"/>
      <c r="J300" s="205"/>
      <c r="K300" s="205"/>
      <c r="L300" s="5"/>
      <c r="M300" s="27"/>
      <c r="N300" s="27"/>
      <c r="O300" s="85"/>
      <c r="P300" s="8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>
      <c r="B301" s="62"/>
      <c r="D301" s="62"/>
      <c r="E301" s="62"/>
      <c r="F301" s="62"/>
      <c r="G301" s="62"/>
      <c r="H301" s="204"/>
      <c r="I301" s="62"/>
      <c r="J301" s="211"/>
      <c r="K301" s="211"/>
      <c r="L301" s="5"/>
      <c r="M301" s="28"/>
      <c r="N301" s="28"/>
      <c r="O301" s="85"/>
      <c r="P301" s="8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>
      <c r="A302" s="63" t="s">
        <v>196</v>
      </c>
      <c r="B302" s="62"/>
      <c r="C302" s="62"/>
      <c r="D302" s="62"/>
      <c r="E302" s="62"/>
      <c r="F302" s="62"/>
      <c r="G302" s="62"/>
      <c r="H302" s="212" t="s">
        <v>218</v>
      </c>
      <c r="I302" s="62"/>
      <c r="J302" s="211"/>
      <c r="K302" s="211"/>
      <c r="L302" s="5"/>
      <c r="M302" s="28"/>
      <c r="N302" s="28"/>
      <c r="O302" s="85"/>
      <c r="P302" s="8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>
      <c r="A303" s="63" t="s">
        <v>197</v>
      </c>
      <c r="B303" s="62"/>
      <c r="C303" s="62"/>
      <c r="D303" s="62"/>
      <c r="E303" s="62"/>
      <c r="F303" s="62"/>
      <c r="G303" s="62"/>
      <c r="H303" s="212" t="s">
        <v>219</v>
      </c>
      <c r="I303" s="62"/>
      <c r="J303" s="211"/>
      <c r="K303" s="211"/>
      <c r="L303" s="5"/>
      <c r="M303" s="28"/>
      <c r="N303" s="28"/>
      <c r="O303" s="85"/>
      <c r="P303" s="8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>
      <c r="A304" s="63" t="s">
        <v>198</v>
      </c>
      <c r="B304" s="208"/>
      <c r="C304" s="62"/>
      <c r="D304" s="62"/>
      <c r="E304" s="62"/>
      <c r="F304" s="62"/>
      <c r="G304" s="62"/>
      <c r="H304" s="212" t="s">
        <v>220</v>
      </c>
      <c r="I304" s="62"/>
      <c r="J304" s="211"/>
      <c r="K304" s="211"/>
      <c r="M304" s="27"/>
      <c r="N304" s="27"/>
      <c r="O304" s="85"/>
      <c r="P304" s="64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>
      <c r="A305" s="210" t="s">
        <v>195</v>
      </c>
      <c r="B305" s="208"/>
      <c r="C305" s="208"/>
      <c r="D305" s="62">
        <v>16001</v>
      </c>
      <c r="E305" s="62"/>
      <c r="F305" s="213" t="s">
        <v>221</v>
      </c>
      <c r="G305" s="62"/>
      <c r="H305" s="214">
        <v>300</v>
      </c>
      <c r="I305" s="62"/>
      <c r="J305" s="211"/>
      <c r="K305" s="211"/>
      <c r="M305" s="27"/>
      <c r="N305" s="27"/>
      <c r="O305" s="64"/>
      <c r="P305" s="8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>
      <c r="B306" s="62"/>
      <c r="D306" s="62"/>
      <c r="E306" s="62"/>
      <c r="F306" s="62"/>
      <c r="G306" s="62"/>
      <c r="H306" s="204"/>
      <c r="I306" s="62"/>
      <c r="J306" s="211"/>
      <c r="K306" s="211"/>
      <c r="L306" s="5"/>
      <c r="M306" s="28"/>
      <c r="N306" s="28"/>
      <c r="O306" s="85"/>
      <c r="P306" s="8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>
      <c r="A307" s="63" t="s">
        <v>257</v>
      </c>
      <c r="B307" s="62"/>
      <c r="C307" s="62"/>
      <c r="D307" s="62"/>
      <c r="E307" s="62"/>
      <c r="F307" s="62"/>
      <c r="G307" s="62"/>
      <c r="H307" s="212" t="s">
        <v>262</v>
      </c>
      <c r="I307" s="62"/>
      <c r="J307" s="211">
        <v>0</v>
      </c>
      <c r="K307" s="211"/>
      <c r="L307" s="5"/>
      <c r="M307" s="28"/>
      <c r="N307" s="28"/>
      <c r="O307" s="85"/>
      <c r="P307" s="8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>
      <c r="A308" s="63" t="s">
        <v>267</v>
      </c>
      <c r="B308" s="62"/>
      <c r="C308" s="62"/>
      <c r="D308" s="62"/>
      <c r="E308" s="62"/>
      <c r="F308" s="62"/>
      <c r="G308" s="62"/>
      <c r="H308" s="212" t="s">
        <v>266</v>
      </c>
      <c r="I308" s="62"/>
      <c r="J308" s="211">
        <v>0</v>
      </c>
      <c r="K308" s="211"/>
      <c r="L308" s="5"/>
      <c r="M308" s="28"/>
      <c r="N308" s="28"/>
      <c r="O308" s="85"/>
      <c r="P308" s="8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>
      <c r="A309" s="63" t="s">
        <v>260</v>
      </c>
      <c r="B309" s="62"/>
      <c r="C309" s="62"/>
      <c r="D309" s="62"/>
      <c r="E309" s="62"/>
      <c r="F309" s="62"/>
      <c r="G309" s="62"/>
      <c r="H309" s="212" t="s">
        <v>263</v>
      </c>
      <c r="I309" s="62"/>
      <c r="J309" s="211">
        <v>0</v>
      </c>
      <c r="K309" s="211"/>
      <c r="L309" s="5"/>
      <c r="M309" s="28"/>
      <c r="N309" s="28"/>
      <c r="O309" s="85"/>
      <c r="P309" s="8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>
      <c r="A310" s="63" t="s">
        <v>261</v>
      </c>
      <c r="B310" s="62"/>
      <c r="C310" s="62"/>
      <c r="D310" s="62"/>
      <c r="E310" s="62"/>
      <c r="F310" s="62"/>
      <c r="G310" s="62"/>
      <c r="H310" s="212" t="s">
        <v>264</v>
      </c>
      <c r="I310" s="62"/>
      <c r="J310" s="211">
        <v>0</v>
      </c>
      <c r="K310" s="211"/>
      <c r="L310" s="5"/>
      <c r="M310" s="28"/>
      <c r="N310" s="28"/>
      <c r="O310" s="85"/>
      <c r="P310" s="8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>
      <c r="A311" s="63" t="s">
        <v>258</v>
      </c>
      <c r="B311" s="62"/>
      <c r="C311" s="62"/>
      <c r="D311" s="62"/>
      <c r="E311" s="62"/>
      <c r="F311" s="62"/>
      <c r="G311" s="62"/>
      <c r="H311" s="212" t="s">
        <v>219</v>
      </c>
      <c r="I311" s="62"/>
      <c r="J311" s="211">
        <v>0</v>
      </c>
      <c r="K311" s="211"/>
      <c r="L311" s="5"/>
      <c r="M311" s="28"/>
      <c r="N311" s="28"/>
      <c r="O311" s="85"/>
      <c r="P311" s="8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>
      <c r="A312" s="63" t="s">
        <v>259</v>
      </c>
      <c r="B312" s="208"/>
      <c r="C312" s="62"/>
      <c r="D312" s="62"/>
      <c r="E312" s="62"/>
      <c r="F312" s="62"/>
      <c r="G312" s="62"/>
      <c r="H312" s="212" t="s">
        <v>220</v>
      </c>
      <c r="I312" s="62"/>
      <c r="J312" s="211">
        <f>(J307+J308+J309+J310)*0.1222</f>
        <v>0</v>
      </c>
      <c r="K312" s="211"/>
      <c r="M312" s="27"/>
      <c r="N312" s="27"/>
      <c r="O312" s="85"/>
      <c r="P312" s="64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>
      <c r="A313" s="210" t="s">
        <v>195</v>
      </c>
      <c r="B313" s="208"/>
      <c r="C313" s="208"/>
      <c r="D313" s="62">
        <v>16001</v>
      </c>
      <c r="E313" s="62"/>
      <c r="F313" s="213" t="s">
        <v>256</v>
      </c>
      <c r="G313" s="62"/>
      <c r="H313" s="214">
        <v>300</v>
      </c>
      <c r="I313" s="62"/>
      <c r="J313" s="211"/>
      <c r="K313" s="211">
        <f>F186</f>
        <v>0</v>
      </c>
      <c r="M313" s="27"/>
      <c r="N313" s="27"/>
      <c r="O313" s="64"/>
      <c r="P313" s="64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>
      <c r="A314" s="210"/>
      <c r="B314" s="62"/>
      <c r="C314" s="208"/>
      <c r="D314" s="62"/>
      <c r="E314" s="62"/>
      <c r="F314" s="62"/>
      <c r="G314" s="62"/>
      <c r="H314" s="208"/>
      <c r="I314" s="62"/>
      <c r="J314" s="62"/>
      <c r="K314" s="62"/>
      <c r="M314" s="27"/>
      <c r="N314" s="27"/>
      <c r="O314" s="64"/>
      <c r="P314" s="64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>
      <c r="A315" s="63"/>
      <c r="B315" s="62"/>
      <c r="D315" s="62"/>
      <c r="E315" s="62"/>
      <c r="F315" s="62"/>
      <c r="G315" s="62"/>
      <c r="H315" s="62"/>
      <c r="I315" s="62"/>
      <c r="J315" s="62"/>
      <c r="K315" s="62"/>
      <c r="M315" s="27"/>
      <c r="N315" s="27"/>
      <c r="O315" s="64"/>
      <c r="P315" s="8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>
      <c r="A316" s="63" t="s">
        <v>196</v>
      </c>
      <c r="B316" s="62"/>
      <c r="C316" s="62"/>
      <c r="D316" s="62"/>
      <c r="E316" s="62"/>
      <c r="F316" s="62"/>
      <c r="G316" s="62"/>
      <c r="H316" s="212" t="s">
        <v>218</v>
      </c>
      <c r="I316" s="62"/>
      <c r="J316" s="211" t="e">
        <f>(#REF!*0)</f>
        <v>#REF!</v>
      </c>
      <c r="K316" s="211"/>
      <c r="M316" s="27"/>
      <c r="N316" s="27"/>
      <c r="O316" s="8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>
      <c r="A317" s="63" t="s">
        <v>197</v>
      </c>
      <c r="B317" s="62"/>
      <c r="C317" s="62"/>
      <c r="D317" s="62"/>
      <c r="E317" s="62"/>
      <c r="F317" s="62"/>
      <c r="G317" s="62"/>
      <c r="H317" s="212" t="s">
        <v>219</v>
      </c>
      <c r="I317" s="62"/>
      <c r="J317" s="211" t="e">
        <f>J316*0.1222</f>
        <v>#REF!</v>
      </c>
      <c r="K317" s="211"/>
      <c r="M317" s="27"/>
      <c r="N317" s="2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>
      <c r="A318" s="222" t="s">
        <v>198</v>
      </c>
      <c r="B318" s="208"/>
      <c r="C318" s="202"/>
      <c r="D318" s="62"/>
      <c r="E318" s="62"/>
      <c r="F318" s="62"/>
      <c r="G318" s="62"/>
      <c r="H318" s="212" t="s">
        <v>220</v>
      </c>
      <c r="I318" s="62"/>
      <c r="J318" s="211" t="e">
        <f>J316*0.1222</f>
        <v>#REF!</v>
      </c>
      <c r="K318" s="211"/>
      <c r="M318" s="27"/>
      <c r="N318" s="2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>
      <c r="A319" s="210" t="s">
        <v>195</v>
      </c>
      <c r="B319" s="223"/>
      <c r="C319" s="208"/>
      <c r="D319" s="208">
        <v>16001</v>
      </c>
      <c r="E319" s="208"/>
      <c r="F319" s="224" t="s">
        <v>141</v>
      </c>
      <c r="G319" s="208"/>
      <c r="H319" s="214" t="s">
        <v>217</v>
      </c>
      <c r="I319" s="208"/>
      <c r="J319" s="225"/>
      <c r="K319" s="225">
        <f>F174</f>
        <v>0</v>
      </c>
      <c r="M319" s="27"/>
      <c r="N319" s="2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>
      <c r="M320" s="27"/>
      <c r="N320" s="2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>
      <c r="M321" s="27"/>
      <c r="N321" s="27"/>
      <c r="O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>
      <c r="M322" s="27"/>
      <c r="N322" s="27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>
      <c r="M323" s="27"/>
      <c r="N323" s="2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>
      <c r="M324" s="27"/>
      <c r="N324" s="2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>
      <c r="M325" s="28"/>
      <c r="N325" s="28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15.75">
      <c r="C326" s="95"/>
      <c r="D326" s="95"/>
      <c r="E326" s="95"/>
      <c r="F326" s="95" t="str">
        <f>I130</f>
        <v>PAIE SEMAINE 45</v>
      </c>
      <c r="G326" s="95"/>
      <c r="I326" s="5"/>
      <c r="J326" s="95">
        <f>F130</f>
        <v>2017</v>
      </c>
      <c r="K326" s="5"/>
      <c r="M326" s="28"/>
      <c r="N326" s="28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15.75">
      <c r="B327" s="95"/>
      <c r="C327" s="95"/>
      <c r="D327" s="95"/>
      <c r="E327" s="95"/>
      <c r="F327" s="5"/>
      <c r="G327" s="5"/>
      <c r="H327" s="5"/>
      <c r="I327" s="5"/>
      <c r="J327" s="69"/>
      <c r="K327" s="5"/>
      <c r="M327" s="28"/>
      <c r="N327" s="28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15.75">
      <c r="A328" s="196" t="s">
        <v>71</v>
      </c>
      <c r="B328" s="95"/>
      <c r="C328" s="95"/>
      <c r="D328" s="95"/>
      <c r="E328" s="95"/>
      <c r="F328" s="5"/>
      <c r="G328" s="5"/>
      <c r="H328" s="5"/>
      <c r="I328" s="5"/>
      <c r="J328" s="69"/>
      <c r="K328" s="5"/>
      <c r="M328" s="27"/>
      <c r="N328" s="2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15.75">
      <c r="A329" s="196"/>
      <c r="B329" s="95"/>
      <c r="C329" s="95"/>
      <c r="D329" s="95"/>
      <c r="E329" s="95"/>
      <c r="F329" s="5"/>
      <c r="G329" s="5"/>
      <c r="H329" s="5"/>
      <c r="I329" s="5"/>
      <c r="J329" s="69"/>
      <c r="K329" s="5"/>
      <c r="M329" s="27"/>
      <c r="N329" s="2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15.75">
      <c r="A330" s="196"/>
      <c r="B330" s="95"/>
      <c r="C330" s="5"/>
      <c r="D330" s="5"/>
      <c r="E330" s="5"/>
      <c r="F330" s="5"/>
      <c r="G330" s="5"/>
      <c r="H330" s="5"/>
      <c r="I330" s="5"/>
      <c r="J330" s="69"/>
      <c r="K330" s="5"/>
      <c r="M330" s="27"/>
      <c r="N330" s="2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15.75">
      <c r="A331" s="196" t="s">
        <v>222</v>
      </c>
      <c r="B331" s="9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27"/>
      <c r="N331" s="2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15.75">
      <c r="A332" s="196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27"/>
      <c r="N332" s="2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15.75">
      <c r="A333" s="28"/>
      <c r="B333" s="5"/>
      <c r="C333" s="5"/>
      <c r="D333" s="95" t="s">
        <v>184</v>
      </c>
      <c r="E333" s="5"/>
      <c r="F333" s="95" t="s">
        <v>185</v>
      </c>
      <c r="G333" s="95"/>
      <c r="H333" s="199" t="s">
        <v>186</v>
      </c>
      <c r="I333" s="5"/>
      <c r="J333" s="226" t="s">
        <v>187</v>
      </c>
      <c r="K333" s="199" t="s">
        <v>188</v>
      </c>
      <c r="L333" s="5"/>
      <c r="M333" s="27"/>
      <c r="N333" s="27"/>
      <c r="O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>
      <c r="A334" s="28"/>
      <c r="B334" s="5"/>
      <c r="C334" s="5"/>
      <c r="D334" s="5"/>
      <c r="E334" s="5"/>
      <c r="F334" s="5"/>
      <c r="G334" s="5"/>
      <c r="I334" s="5"/>
      <c r="J334" s="69"/>
      <c r="K334" s="5"/>
      <c r="L334" s="5"/>
      <c r="M334" s="27"/>
      <c r="N334" s="27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>
      <c r="A335" s="28"/>
      <c r="B335" s="6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27"/>
      <c r="N335" s="27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>
      <c r="A336" s="28"/>
      <c r="B336" s="85"/>
      <c r="C336" s="5"/>
      <c r="D336" s="5"/>
      <c r="E336" s="5"/>
      <c r="F336" s="5"/>
      <c r="G336" s="5"/>
      <c r="H336" s="5"/>
      <c r="I336" s="5"/>
      <c r="J336" s="69"/>
      <c r="K336" s="69"/>
      <c r="L336" s="5"/>
      <c r="M336" s="27"/>
      <c r="N336" s="27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>
      <c r="A337" s="201" t="s">
        <v>189</v>
      </c>
      <c r="B337" s="202"/>
      <c r="C337" s="202"/>
      <c r="D337" s="202"/>
      <c r="E337" s="202"/>
      <c r="F337" s="202"/>
      <c r="G337" s="202"/>
      <c r="H337" s="202">
        <v>224</v>
      </c>
      <c r="I337" s="202"/>
      <c r="J337" s="205"/>
      <c r="K337" s="205"/>
      <c r="L337" s="5"/>
      <c r="M337" s="28"/>
      <c r="N337" s="28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>
      <c r="A338" s="201" t="s">
        <v>190</v>
      </c>
      <c r="B338" s="202"/>
      <c r="C338" s="202"/>
      <c r="D338" s="202"/>
      <c r="E338" s="202"/>
      <c r="F338" s="202"/>
      <c r="G338" s="202"/>
      <c r="H338" s="202">
        <v>223</v>
      </c>
      <c r="I338" s="202"/>
      <c r="J338" s="205"/>
      <c r="K338" s="205"/>
      <c r="L338" s="5"/>
      <c r="M338" s="28"/>
      <c r="N338" s="28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>
      <c r="A339" s="201" t="s">
        <v>206</v>
      </c>
      <c r="B339" s="202"/>
      <c r="C339" s="202"/>
      <c r="D339" s="202"/>
      <c r="E339" s="202"/>
      <c r="F339" s="202"/>
      <c r="G339" s="202"/>
      <c r="H339" s="202">
        <v>222</v>
      </c>
      <c r="I339" s="202"/>
      <c r="J339" s="205"/>
      <c r="K339" s="205"/>
      <c r="L339" s="5"/>
      <c r="M339" s="28"/>
      <c r="N339" s="28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>
      <c r="A340" s="201" t="s">
        <v>191</v>
      </c>
      <c r="B340" s="202"/>
      <c r="C340" s="202"/>
      <c r="D340" s="202"/>
      <c r="E340" s="202"/>
      <c r="F340" s="202"/>
      <c r="G340" s="202"/>
      <c r="H340" s="202">
        <v>254</v>
      </c>
      <c r="I340" s="202"/>
      <c r="J340" s="205">
        <f>J337*0.1262</f>
        <v>0</v>
      </c>
      <c r="K340" s="205"/>
      <c r="L340" s="5"/>
      <c r="M340" s="28"/>
      <c r="N340" s="28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>
      <c r="A341" s="201" t="s">
        <v>192</v>
      </c>
      <c r="B341" s="202"/>
      <c r="C341" s="202"/>
      <c r="D341" s="202"/>
      <c r="E341" s="202"/>
      <c r="F341" s="202"/>
      <c r="G341" s="202"/>
      <c r="H341" s="202">
        <v>253</v>
      </c>
      <c r="I341" s="202"/>
      <c r="J341" s="205">
        <f>J338*0.1262</f>
        <v>0</v>
      </c>
      <c r="K341" s="205"/>
      <c r="L341" s="5"/>
      <c r="M341" s="28"/>
      <c r="N341" s="28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>
      <c r="A342" s="201" t="s">
        <v>223</v>
      </c>
      <c r="B342" s="202"/>
      <c r="C342" s="202"/>
      <c r="D342" s="202"/>
      <c r="E342" s="202"/>
      <c r="F342" s="202"/>
      <c r="G342" s="202"/>
      <c r="H342" s="202">
        <v>252</v>
      </c>
      <c r="I342" s="202"/>
      <c r="J342" s="205">
        <f>J339*0.1262</f>
        <v>0</v>
      </c>
      <c r="K342" s="205"/>
      <c r="L342" s="5"/>
      <c r="M342" s="28"/>
      <c r="N342" s="28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>
      <c r="A343" s="201" t="s">
        <v>193</v>
      </c>
      <c r="B343" s="202"/>
      <c r="C343" s="202"/>
      <c r="D343" s="202"/>
      <c r="E343" s="202"/>
      <c r="F343" s="202"/>
      <c r="G343" s="202"/>
      <c r="H343" s="202">
        <v>234</v>
      </c>
      <c r="I343" s="202"/>
      <c r="J343" s="205">
        <f>J337*0.1262</f>
        <v>0</v>
      </c>
      <c r="K343" s="202"/>
      <c r="L343" s="5"/>
      <c r="M343" s="28"/>
      <c r="N343" s="28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>
      <c r="A344" s="201" t="s">
        <v>194</v>
      </c>
      <c r="B344" s="206"/>
      <c r="C344" s="202"/>
      <c r="D344" s="202"/>
      <c r="E344" s="202"/>
      <c r="F344" s="202"/>
      <c r="G344" s="202"/>
      <c r="H344" s="202">
        <v>233</v>
      </c>
      <c r="I344" s="202"/>
      <c r="J344" s="205">
        <f>J338*0.1262</f>
        <v>0</v>
      </c>
      <c r="K344" s="202"/>
      <c r="L344" s="5"/>
      <c r="M344" s="28"/>
      <c r="N344" s="28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>
      <c r="A345" s="201" t="s">
        <v>224</v>
      </c>
      <c r="B345" s="206"/>
      <c r="C345" s="202"/>
      <c r="D345" s="202"/>
      <c r="E345" s="202"/>
      <c r="F345" s="202"/>
      <c r="G345" s="202"/>
      <c r="H345" s="202">
        <v>232</v>
      </c>
      <c r="I345" s="202"/>
      <c r="J345" s="205">
        <f>J339*0.1262</f>
        <v>0</v>
      </c>
      <c r="K345" s="202"/>
      <c r="L345" s="5"/>
      <c r="M345" s="28"/>
      <c r="N345" s="28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>
      <c r="A346" s="207" t="s">
        <v>195</v>
      </c>
      <c r="B346" s="208"/>
      <c r="C346" s="206"/>
      <c r="D346" s="202">
        <v>726</v>
      </c>
      <c r="E346" s="202"/>
      <c r="F346" s="203" t="s">
        <v>147</v>
      </c>
      <c r="G346" s="203"/>
      <c r="H346" s="206">
        <v>2150</v>
      </c>
      <c r="I346" s="202"/>
      <c r="J346" s="205"/>
      <c r="K346" s="205">
        <f>F177</f>
        <v>0</v>
      </c>
      <c r="L346" s="5"/>
      <c r="M346" s="28"/>
      <c r="N346" s="28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>
      <c r="A347" s="210"/>
      <c r="B347" s="208"/>
      <c r="C347" s="208"/>
      <c r="D347" s="206"/>
      <c r="E347" s="206"/>
      <c r="F347" s="227"/>
      <c r="G347" s="227"/>
      <c r="H347" s="208"/>
      <c r="I347" s="202"/>
      <c r="J347" s="205"/>
      <c r="K347" s="205"/>
      <c r="L347" s="5"/>
      <c r="M347" s="28"/>
      <c r="N347" s="28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>
      <c r="B348" s="62"/>
      <c r="C348" s="208"/>
      <c r="D348" s="208"/>
      <c r="E348" s="208"/>
      <c r="F348" s="208"/>
      <c r="G348" s="208"/>
      <c r="H348" s="208"/>
      <c r="I348" s="62"/>
      <c r="J348" s="211"/>
      <c r="K348" s="211"/>
      <c r="L348" s="5"/>
      <c r="M348" s="28"/>
      <c r="N348" s="28"/>
      <c r="O348" s="5"/>
      <c r="P348" s="195"/>
      <c r="Q348" s="195"/>
    </row>
    <row r="349" spans="1:32">
      <c r="A349" s="211" t="s">
        <v>196</v>
      </c>
      <c r="B349" s="211"/>
      <c r="C349" s="211"/>
      <c r="D349" s="62"/>
      <c r="E349" s="62"/>
      <c r="F349" s="213"/>
      <c r="G349" s="213"/>
      <c r="H349" s="62">
        <v>280</v>
      </c>
      <c r="I349" s="211"/>
      <c r="J349" s="211"/>
      <c r="K349" s="211"/>
      <c r="M349" s="195"/>
      <c r="N349" s="195"/>
      <c r="O349" s="195"/>
      <c r="P349" s="195"/>
      <c r="Q349" s="195"/>
    </row>
    <row r="350" spans="1:32">
      <c r="A350" s="211" t="s">
        <v>225</v>
      </c>
      <c r="B350" s="211"/>
      <c r="C350" s="211"/>
      <c r="D350" s="62"/>
      <c r="E350" s="62"/>
      <c r="F350" s="213"/>
      <c r="G350" s="213"/>
      <c r="H350" s="62">
        <v>250</v>
      </c>
      <c r="I350" s="211"/>
      <c r="J350" s="211">
        <f>J349*0.1222</f>
        <v>0</v>
      </c>
      <c r="K350" s="211"/>
      <c r="M350" s="195"/>
      <c r="N350" s="195"/>
      <c r="O350" s="195"/>
      <c r="P350" s="195"/>
      <c r="Q350" s="195"/>
    </row>
    <row r="351" spans="1:32">
      <c r="A351" s="211" t="s">
        <v>226</v>
      </c>
      <c r="B351" s="211"/>
      <c r="C351" s="211"/>
      <c r="D351" s="62"/>
      <c r="E351" s="62"/>
      <c r="F351" s="213"/>
      <c r="G351" s="213"/>
      <c r="H351" s="62">
        <v>230</v>
      </c>
      <c r="I351" s="211"/>
      <c r="J351" s="211">
        <f>J349*0.1222</f>
        <v>0</v>
      </c>
      <c r="K351" s="211"/>
      <c r="M351" s="195"/>
      <c r="N351" s="195"/>
      <c r="O351" s="195"/>
      <c r="P351" s="195"/>
      <c r="Q351" s="195"/>
    </row>
    <row r="352" spans="1:32">
      <c r="A352" s="211" t="s">
        <v>195</v>
      </c>
      <c r="B352" s="211"/>
      <c r="C352" s="211"/>
      <c r="D352" s="62">
        <v>726</v>
      </c>
      <c r="E352" s="62"/>
      <c r="F352" s="213" t="s">
        <v>156</v>
      </c>
      <c r="G352" s="213"/>
      <c r="H352" s="62">
        <v>2150</v>
      </c>
      <c r="I352" s="211"/>
      <c r="J352" s="211"/>
      <c r="K352" s="211">
        <v>0</v>
      </c>
      <c r="M352" s="195"/>
      <c r="N352" s="195"/>
      <c r="O352" s="195"/>
      <c r="P352" s="195"/>
      <c r="Q352" s="195"/>
    </row>
    <row r="353" spans="1:32">
      <c r="A353" s="211"/>
      <c r="B353" s="211"/>
      <c r="C353" s="211"/>
      <c r="D353" s="211"/>
      <c r="E353" s="62"/>
      <c r="F353" s="62"/>
      <c r="G353" s="62"/>
      <c r="H353" s="213"/>
      <c r="I353" s="62"/>
      <c r="J353" s="211"/>
      <c r="K353" s="211"/>
      <c r="M353" s="195"/>
      <c r="N353" s="195"/>
      <c r="O353" s="19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>
      <c r="A354" s="211" t="s">
        <v>196</v>
      </c>
      <c r="B354" s="62"/>
      <c r="C354" s="62"/>
      <c r="D354" s="62"/>
      <c r="E354" s="62"/>
      <c r="F354" s="62"/>
      <c r="G354" s="62"/>
      <c r="H354" s="62">
        <v>280</v>
      </c>
      <c r="I354" s="62"/>
      <c r="J354" s="211" t="e">
        <f>(#REF!*0)</f>
        <v>#REF!</v>
      </c>
      <c r="K354" s="211"/>
      <c r="L354" s="5"/>
      <c r="M354" s="28"/>
      <c r="N354" s="28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>
      <c r="A355" s="63" t="s">
        <v>197</v>
      </c>
      <c r="B355" s="62"/>
      <c r="C355" s="62"/>
      <c r="D355" s="62"/>
      <c r="E355" s="62"/>
      <c r="F355" s="62"/>
      <c r="G355" s="62"/>
      <c r="H355" s="62">
        <v>250</v>
      </c>
      <c r="I355" s="62"/>
      <c r="J355" s="211" t="e">
        <f>J354*0.1222</f>
        <v>#REF!</v>
      </c>
      <c r="K355" s="211"/>
      <c r="L355" s="5"/>
      <c r="M355" s="28"/>
      <c r="N355" s="28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>
      <c r="A356" s="63" t="s">
        <v>198</v>
      </c>
      <c r="B356" s="208"/>
      <c r="C356" s="62"/>
      <c r="D356" s="62"/>
      <c r="E356" s="62"/>
      <c r="F356" s="62"/>
      <c r="G356" s="62"/>
      <c r="H356" s="62">
        <v>230</v>
      </c>
      <c r="I356" s="62"/>
      <c r="J356" s="211" t="e">
        <f>J354*0.1222</f>
        <v>#REF!</v>
      </c>
      <c r="K356" s="211"/>
      <c r="L356" s="5"/>
      <c r="M356" s="28"/>
      <c r="N356" s="28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>
      <c r="A357" s="210" t="s">
        <v>195</v>
      </c>
      <c r="B357" s="169"/>
      <c r="C357" s="208"/>
      <c r="D357" s="208">
        <v>726</v>
      </c>
      <c r="E357" s="208"/>
      <c r="F357" s="224" t="s">
        <v>141</v>
      </c>
      <c r="G357" s="208"/>
      <c r="H357" s="208">
        <v>2150</v>
      </c>
      <c r="I357" s="208"/>
      <c r="J357" s="211"/>
      <c r="K357" s="211">
        <v>0</v>
      </c>
      <c r="L357" s="5"/>
      <c r="M357" s="28"/>
      <c r="N357" s="28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>
      <c r="A358" s="63"/>
      <c r="B358" s="64"/>
      <c r="C358" s="62"/>
      <c r="D358" s="62"/>
      <c r="E358" s="62"/>
      <c r="F358" s="62"/>
      <c r="G358" s="62"/>
      <c r="H358" s="62"/>
      <c r="I358" s="62"/>
      <c r="J358" s="62"/>
      <c r="K358" s="62"/>
      <c r="L358" s="69"/>
      <c r="M358" s="28"/>
      <c r="N358" s="28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>
      <c r="A359" s="53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9"/>
      <c r="M359" s="28"/>
      <c r="N359" s="28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>
      <c r="A360" s="53"/>
      <c r="B360" s="64"/>
      <c r="C360" s="64"/>
      <c r="D360" s="64"/>
      <c r="E360" s="64"/>
      <c r="F360" s="64"/>
      <c r="G360" s="64"/>
      <c r="H360" s="64"/>
      <c r="M360" s="28"/>
      <c r="N360" s="28"/>
      <c r="O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>
      <c r="J361" s="195"/>
      <c r="K361" s="195"/>
      <c r="M361" s="28"/>
      <c r="N361" s="28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>
      <c r="J362" s="195"/>
      <c r="K362" s="195"/>
      <c r="M362" s="28"/>
      <c r="N362" s="28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>
      <c r="M363" s="28"/>
      <c r="N363" s="28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>
      <c r="M364" s="28"/>
      <c r="N364" s="28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15.75">
      <c r="C365" s="95"/>
      <c r="D365" s="95"/>
      <c r="E365" s="95"/>
      <c r="F365" s="95" t="str">
        <f>I130</f>
        <v>PAIE SEMAINE 45</v>
      </c>
      <c r="G365" s="95"/>
      <c r="I365" s="5"/>
      <c r="J365" s="95"/>
      <c r="K365" s="228">
        <f>F130</f>
        <v>2017</v>
      </c>
      <c r="M365" s="28"/>
      <c r="N365" s="28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15.75">
      <c r="B366" s="95"/>
      <c r="C366" s="95"/>
      <c r="D366" s="95"/>
      <c r="E366" s="95"/>
      <c r="F366" s="5"/>
      <c r="G366" s="5"/>
      <c r="H366" s="5"/>
      <c r="I366" s="5"/>
      <c r="J366" s="69"/>
      <c r="K366" s="5"/>
      <c r="M366" s="28"/>
      <c r="N366" s="28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15.75">
      <c r="A367" s="196" t="s">
        <v>71</v>
      </c>
      <c r="B367" s="95"/>
      <c r="C367" s="95"/>
      <c r="D367" s="95"/>
      <c r="E367" s="95"/>
      <c r="F367" s="5"/>
      <c r="G367" s="5"/>
      <c r="H367" s="5"/>
      <c r="I367" s="5"/>
      <c r="J367" s="69"/>
      <c r="K367" s="5"/>
      <c r="M367" s="28"/>
      <c r="N367" s="28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15.75">
      <c r="A368" s="196"/>
      <c r="B368" s="95"/>
      <c r="C368" s="95"/>
      <c r="D368" s="95"/>
      <c r="E368" s="95"/>
      <c r="F368" s="5"/>
      <c r="G368" s="5"/>
      <c r="H368" s="5"/>
      <c r="I368" s="5"/>
      <c r="J368" s="69"/>
      <c r="K368" s="5"/>
      <c r="L368" s="69"/>
      <c r="M368" s="28"/>
      <c r="N368" s="28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15.75">
      <c r="A369" s="196"/>
      <c r="B369" s="95"/>
      <c r="C369" s="5"/>
      <c r="D369" s="5"/>
      <c r="E369" s="5"/>
      <c r="F369" s="5"/>
      <c r="G369" s="5"/>
      <c r="H369" s="5"/>
      <c r="I369" s="5"/>
      <c r="J369" s="69"/>
      <c r="K369" s="5"/>
      <c r="M369" s="27"/>
      <c r="N369" s="2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15.75">
      <c r="A370" s="196" t="s">
        <v>227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M370" s="27"/>
      <c r="N370" s="2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>
      <c r="A371" s="28"/>
      <c r="B371" s="5"/>
      <c r="C371" s="5"/>
      <c r="D371" s="5"/>
      <c r="E371" s="5"/>
      <c r="F371" s="5"/>
      <c r="G371" s="5"/>
      <c r="H371" s="5"/>
      <c r="I371" s="5"/>
      <c r="J371" s="5"/>
      <c r="K371" s="5"/>
      <c r="M371" s="27"/>
      <c r="N371" s="2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15.75">
      <c r="A372" s="28"/>
      <c r="B372" s="5"/>
      <c r="C372" s="5"/>
      <c r="D372" s="95" t="s">
        <v>184</v>
      </c>
      <c r="E372" s="5"/>
      <c r="F372" s="95" t="s">
        <v>185</v>
      </c>
      <c r="G372" s="95"/>
      <c r="H372" s="199" t="s">
        <v>186</v>
      </c>
      <c r="I372" s="5"/>
      <c r="J372" s="226" t="s">
        <v>187</v>
      </c>
      <c r="K372" s="199" t="s">
        <v>188</v>
      </c>
      <c r="M372" s="27"/>
      <c r="N372" s="2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>
      <c r="A373" s="28"/>
      <c r="B373" s="85"/>
      <c r="C373" s="5"/>
      <c r="D373" s="5"/>
      <c r="E373" s="5"/>
      <c r="F373" s="5"/>
      <c r="G373" s="5"/>
      <c r="I373" s="5"/>
      <c r="J373" s="69"/>
      <c r="K373" s="5"/>
      <c r="M373" s="27"/>
      <c r="N373" s="2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>
      <c r="A374" s="28"/>
      <c r="B374" s="85"/>
      <c r="C374" s="5"/>
      <c r="D374" s="5"/>
      <c r="E374" s="5"/>
      <c r="F374" s="5"/>
      <c r="G374" s="5"/>
      <c r="H374" s="5"/>
      <c r="I374" s="5"/>
      <c r="J374" s="69"/>
      <c r="K374" s="69"/>
      <c r="L374" s="5"/>
      <c r="M374" s="27"/>
      <c r="N374" s="2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>
      <c r="A375" s="201" t="s">
        <v>189</v>
      </c>
      <c r="B375" s="202"/>
      <c r="C375" s="202"/>
      <c r="D375" s="202"/>
      <c r="E375" s="202"/>
      <c r="F375" s="202"/>
      <c r="G375" s="202"/>
      <c r="H375" s="204" t="s">
        <v>228</v>
      </c>
      <c r="I375" s="202"/>
      <c r="J375" s="205"/>
      <c r="K375" s="205"/>
      <c r="L375" s="5"/>
      <c r="M375" s="27"/>
      <c r="N375" s="2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>
      <c r="A376" s="201" t="s">
        <v>190</v>
      </c>
      <c r="B376" s="202"/>
      <c r="C376" s="202"/>
      <c r="D376" s="202"/>
      <c r="E376" s="202"/>
      <c r="F376" s="202"/>
      <c r="G376" s="202"/>
      <c r="H376" s="204" t="s">
        <v>229</v>
      </c>
      <c r="I376" s="202"/>
      <c r="J376" s="205"/>
      <c r="K376" s="205"/>
      <c r="L376" s="5"/>
      <c r="M376" s="27"/>
      <c r="N376" s="2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>
      <c r="A377" s="201" t="s">
        <v>206</v>
      </c>
      <c r="B377" s="202"/>
      <c r="C377" s="202"/>
      <c r="D377" s="202"/>
      <c r="E377" s="202"/>
      <c r="F377" s="202"/>
      <c r="G377" s="202"/>
      <c r="H377" s="204" t="s">
        <v>230</v>
      </c>
      <c r="I377" s="202"/>
      <c r="J377" s="205"/>
      <c r="K377" s="205"/>
      <c r="L377" s="5"/>
      <c r="M377" s="27"/>
      <c r="N377" s="2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>
      <c r="A378" s="201" t="s">
        <v>191</v>
      </c>
      <c r="B378" s="202"/>
      <c r="C378" s="202"/>
      <c r="D378" s="202"/>
      <c r="E378" s="202"/>
      <c r="F378" s="202"/>
      <c r="G378" s="202"/>
      <c r="H378" s="204" t="s">
        <v>231</v>
      </c>
      <c r="I378" s="202"/>
      <c r="J378" s="205">
        <f>J375*0.1262</f>
        <v>0</v>
      </c>
      <c r="K378" s="205"/>
      <c r="L378" s="5"/>
      <c r="M378" s="27"/>
      <c r="N378" s="2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>
      <c r="A379" s="201" t="s">
        <v>192</v>
      </c>
      <c r="B379" s="202"/>
      <c r="C379" s="202"/>
      <c r="D379" s="202"/>
      <c r="E379" s="202"/>
      <c r="F379" s="202"/>
      <c r="G379" s="202"/>
      <c r="H379" s="204" t="s">
        <v>211</v>
      </c>
      <c r="I379" s="202"/>
      <c r="J379" s="205">
        <f>J376*0.1262</f>
        <v>0</v>
      </c>
      <c r="K379" s="205"/>
      <c r="L379" s="5"/>
      <c r="M379" s="27"/>
      <c r="N379" s="2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>
      <c r="A380" s="201" t="s">
        <v>232</v>
      </c>
      <c r="B380" s="202"/>
      <c r="C380" s="202"/>
      <c r="D380" s="202"/>
      <c r="E380" s="202"/>
      <c r="F380" s="202"/>
      <c r="G380" s="202"/>
      <c r="H380" s="204" t="s">
        <v>233</v>
      </c>
      <c r="I380" s="202"/>
      <c r="J380" s="205">
        <f>J377*0.1262</f>
        <v>0</v>
      </c>
      <c r="K380" s="205"/>
      <c r="L380" s="5"/>
      <c r="M380" s="27"/>
      <c r="N380" s="2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>
      <c r="A381" s="201" t="s">
        <v>193</v>
      </c>
      <c r="B381" s="202"/>
      <c r="C381" s="202"/>
      <c r="D381" s="202"/>
      <c r="E381" s="202"/>
      <c r="F381" s="202"/>
      <c r="G381" s="202"/>
      <c r="H381" s="204" t="s">
        <v>234</v>
      </c>
      <c r="I381" s="202"/>
      <c r="J381" s="205">
        <f>J375*0.1262</f>
        <v>0</v>
      </c>
      <c r="K381" s="202"/>
      <c r="L381" s="5"/>
      <c r="M381" s="27"/>
      <c r="N381" s="2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>
      <c r="A382" s="201" t="s">
        <v>194</v>
      </c>
      <c r="B382" s="206"/>
      <c r="C382" s="202"/>
      <c r="D382" s="202"/>
      <c r="E382" s="202"/>
      <c r="F382" s="203"/>
      <c r="G382" s="203"/>
      <c r="H382" s="204" t="s">
        <v>207</v>
      </c>
      <c r="I382" s="202"/>
      <c r="J382" s="205">
        <f>J376*0.1262</f>
        <v>0</v>
      </c>
      <c r="K382" s="202"/>
      <c r="L382" s="5"/>
      <c r="M382" s="28"/>
      <c r="N382" s="28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>
      <c r="A383" s="201" t="s">
        <v>224</v>
      </c>
      <c r="B383" s="206"/>
      <c r="C383" s="202"/>
      <c r="D383" s="202"/>
      <c r="E383" s="202"/>
      <c r="F383" s="203"/>
      <c r="G383" s="203"/>
      <c r="H383" s="204" t="s">
        <v>235</v>
      </c>
      <c r="I383" s="202"/>
      <c r="J383" s="205">
        <f>J377*0.1262</f>
        <v>0</v>
      </c>
      <c r="K383" s="202"/>
      <c r="L383" s="5"/>
      <c r="M383" s="28"/>
      <c r="N383" s="28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>
      <c r="A384" s="207" t="s">
        <v>195</v>
      </c>
      <c r="B384" s="208"/>
      <c r="C384" s="206"/>
      <c r="D384" s="206">
        <v>10345</v>
      </c>
      <c r="E384" s="206"/>
      <c r="F384" s="227" t="s">
        <v>147</v>
      </c>
      <c r="G384" s="227"/>
      <c r="H384" s="209">
        <v>215</v>
      </c>
      <c r="I384" s="202"/>
      <c r="J384" s="205"/>
      <c r="K384" s="205">
        <f>F180</f>
        <v>0</v>
      </c>
      <c r="L384" s="5"/>
      <c r="M384" s="28"/>
      <c r="N384" s="28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>
      <c r="A385" s="210"/>
      <c r="B385" s="62"/>
      <c r="C385" s="208"/>
      <c r="D385" s="206"/>
      <c r="E385" s="206"/>
      <c r="F385" s="227"/>
      <c r="G385" s="227"/>
      <c r="H385" s="208"/>
      <c r="I385" s="202"/>
      <c r="J385" s="205"/>
      <c r="K385" s="205"/>
      <c r="L385" s="5"/>
      <c r="M385" s="28"/>
      <c r="N385" s="28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>
      <c r="A386" s="63"/>
      <c r="B386" s="62"/>
      <c r="C386" s="62"/>
      <c r="D386" s="62"/>
      <c r="E386" s="62"/>
      <c r="F386" s="62"/>
      <c r="G386" s="62"/>
      <c r="H386" s="62"/>
      <c r="I386" s="62"/>
      <c r="J386" s="211"/>
      <c r="K386" s="211"/>
      <c r="L386" s="5"/>
      <c r="M386" s="28"/>
      <c r="N386" s="28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>
      <c r="A387" s="63" t="s">
        <v>196</v>
      </c>
      <c r="B387" s="62"/>
      <c r="C387" s="62"/>
      <c r="D387" s="62"/>
      <c r="E387" s="62"/>
      <c r="F387" s="62"/>
      <c r="G387" s="62"/>
      <c r="H387" s="62">
        <v>22</v>
      </c>
      <c r="I387" s="62"/>
      <c r="J387" s="211"/>
      <c r="K387" s="211"/>
      <c r="L387" s="5"/>
      <c r="M387" s="28"/>
      <c r="N387" s="28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>
      <c r="A388" s="63" t="s">
        <v>197</v>
      </c>
      <c r="B388" s="62"/>
      <c r="C388" s="62"/>
      <c r="D388" s="62"/>
      <c r="E388" s="62"/>
      <c r="F388" s="62"/>
      <c r="G388" s="62"/>
      <c r="H388" s="62">
        <v>25</v>
      </c>
      <c r="I388" s="62"/>
      <c r="J388" s="211">
        <f>J387*0.1222</f>
        <v>0</v>
      </c>
      <c r="K388" s="211"/>
      <c r="L388" s="5"/>
      <c r="M388" s="28"/>
      <c r="N388" s="28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>
      <c r="A389" s="63" t="s">
        <v>198</v>
      </c>
      <c r="B389" s="62"/>
      <c r="C389" s="62"/>
      <c r="D389" s="62"/>
      <c r="E389" s="62"/>
      <c r="F389" s="62"/>
      <c r="G389" s="62"/>
      <c r="H389" s="62">
        <v>23</v>
      </c>
      <c r="I389" s="62"/>
      <c r="J389" s="211">
        <f>J387*0.1222</f>
        <v>0</v>
      </c>
      <c r="K389" s="211"/>
      <c r="L389" s="5"/>
      <c r="M389" s="28"/>
      <c r="N389" s="28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>
      <c r="A390" s="63" t="s">
        <v>195</v>
      </c>
      <c r="B390" s="62"/>
      <c r="C390" s="208"/>
      <c r="D390" s="62">
        <v>10345</v>
      </c>
      <c r="E390" s="62"/>
      <c r="F390" s="213" t="s">
        <v>156</v>
      </c>
      <c r="G390" s="62"/>
      <c r="H390" s="62">
        <v>215</v>
      </c>
      <c r="I390" s="62"/>
      <c r="J390" s="211"/>
      <c r="K390" s="211">
        <v>0</v>
      </c>
      <c r="L390" s="5"/>
      <c r="M390" s="28"/>
      <c r="N390" s="28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>
      <c r="A391" s="63"/>
      <c r="B391" s="208"/>
      <c r="C391" s="208"/>
      <c r="D391" s="62"/>
      <c r="E391" s="62"/>
      <c r="F391" s="62"/>
      <c r="G391" s="62"/>
      <c r="H391" s="62"/>
      <c r="I391" s="62"/>
      <c r="J391" s="62"/>
      <c r="K391" s="62"/>
      <c r="L391" s="5"/>
      <c r="M391" s="28"/>
      <c r="N391" s="28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>
      <c r="A392" s="63" t="s">
        <v>196</v>
      </c>
      <c r="B392" s="62"/>
      <c r="C392" s="62"/>
      <c r="D392" s="62"/>
      <c r="E392" s="62"/>
      <c r="F392" s="62"/>
      <c r="G392" s="62"/>
      <c r="H392" s="62">
        <v>22</v>
      </c>
      <c r="I392" s="62"/>
      <c r="J392" s="211" t="e">
        <f>(#REF!*0)</f>
        <v>#REF!</v>
      </c>
      <c r="K392" s="211"/>
      <c r="L392" s="5"/>
      <c r="M392" s="28"/>
      <c r="N392" s="28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>
      <c r="A393" s="63" t="s">
        <v>197</v>
      </c>
      <c r="B393" s="62"/>
      <c r="C393" s="62"/>
      <c r="D393" s="62"/>
      <c r="E393" s="62"/>
      <c r="F393" s="62"/>
      <c r="G393" s="62"/>
      <c r="H393" s="62">
        <v>25</v>
      </c>
      <c r="I393" s="62"/>
      <c r="J393" s="211" t="e">
        <f>J392*0.1222</f>
        <v>#REF!</v>
      </c>
      <c r="K393" s="211"/>
      <c r="L393" s="5"/>
      <c r="M393" s="28"/>
      <c r="N393" s="28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>
      <c r="A394" s="63" t="s">
        <v>198</v>
      </c>
      <c r="B394" s="62"/>
      <c r="C394" s="62"/>
      <c r="D394" s="62"/>
      <c r="E394" s="62"/>
      <c r="F394" s="62"/>
      <c r="G394" s="62"/>
      <c r="H394" s="62">
        <v>23</v>
      </c>
      <c r="I394" s="62"/>
      <c r="J394" s="211" t="e">
        <f>J392*0.1222</f>
        <v>#REF!</v>
      </c>
      <c r="K394" s="211"/>
      <c r="L394" s="5"/>
      <c r="M394" s="28"/>
      <c r="N394" s="28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>
      <c r="A395" s="63" t="s">
        <v>195</v>
      </c>
      <c r="B395" s="62"/>
      <c r="C395" s="208"/>
      <c r="D395" s="62">
        <v>10345</v>
      </c>
      <c r="E395" s="62"/>
      <c r="F395" s="213" t="s">
        <v>141</v>
      </c>
      <c r="G395" s="62"/>
      <c r="H395" s="62">
        <v>215</v>
      </c>
      <c r="I395" s="62"/>
      <c r="J395" s="211"/>
      <c r="K395" s="211">
        <v>0</v>
      </c>
      <c r="L395" s="5"/>
      <c r="M395" s="28"/>
      <c r="N395" s="28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>
      <c r="A396" s="63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5"/>
      <c r="M396" s="28"/>
      <c r="N396" s="28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>
      <c r="L397" s="5"/>
      <c r="M397" s="28"/>
      <c r="N397" s="28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>
      <c r="L398" s="5"/>
      <c r="M398" s="28"/>
      <c r="N398" s="28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>
      <c r="L399" s="5"/>
      <c r="M399" s="28"/>
      <c r="N399" s="28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>
      <c r="L400" s="5"/>
      <c r="M400" s="28"/>
      <c r="N400" s="28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>
      <c r="L401" s="5"/>
      <c r="M401" s="28"/>
      <c r="N401" s="28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>
      <c r="L402" s="5"/>
      <c r="M402" s="28"/>
      <c r="N402" s="28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ht="15.75">
      <c r="C403" s="95"/>
      <c r="D403" s="95"/>
      <c r="E403" s="95"/>
      <c r="F403" s="95" t="str">
        <f>I130</f>
        <v>PAIE SEMAINE 45</v>
      </c>
      <c r="G403" s="95"/>
      <c r="I403" s="5"/>
      <c r="J403" s="95">
        <f>F130</f>
        <v>2017</v>
      </c>
      <c r="K403" s="5"/>
      <c r="L403" s="5"/>
      <c r="M403" s="28"/>
      <c r="N403" s="28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ht="15.75">
      <c r="B404" s="95"/>
      <c r="C404" s="95"/>
      <c r="D404" s="95"/>
      <c r="E404" s="95"/>
      <c r="F404" s="5"/>
      <c r="G404" s="5"/>
      <c r="H404" s="5"/>
      <c r="I404" s="5"/>
      <c r="J404" s="69"/>
      <c r="K404" s="5"/>
      <c r="L404" s="5"/>
      <c r="M404" s="28"/>
      <c r="N404" s="28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ht="15.75">
      <c r="A405" s="196" t="s">
        <v>71</v>
      </c>
      <c r="B405" s="95"/>
      <c r="C405" s="95"/>
      <c r="D405" s="95"/>
      <c r="E405" s="95"/>
      <c r="F405" s="5"/>
      <c r="G405" s="5"/>
      <c r="H405" s="5"/>
      <c r="I405" s="5"/>
      <c r="J405" s="69"/>
      <c r="K405" s="5"/>
      <c r="M405" s="28"/>
      <c r="N405" s="28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ht="15.75">
      <c r="A406" s="196"/>
      <c r="B406" s="95"/>
      <c r="C406" s="95"/>
      <c r="D406" s="95"/>
      <c r="E406" s="95"/>
      <c r="F406" s="5"/>
      <c r="G406" s="5"/>
      <c r="H406" s="5"/>
      <c r="I406" s="5"/>
      <c r="J406" s="69"/>
      <c r="K406" s="5"/>
      <c r="M406" s="28"/>
      <c r="N406" s="28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ht="15.75">
      <c r="A407" s="196"/>
      <c r="B407" s="95"/>
      <c r="C407" s="5"/>
      <c r="D407" s="5"/>
      <c r="E407" s="5"/>
      <c r="F407" s="5"/>
      <c r="G407" s="5"/>
      <c r="H407" s="5"/>
      <c r="I407" s="5"/>
      <c r="J407" s="69"/>
      <c r="K407" s="5"/>
      <c r="M407" s="28"/>
      <c r="N407" s="28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ht="15.75">
      <c r="A408" s="196" t="s">
        <v>236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M408" s="28"/>
      <c r="N408" s="28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>
      <c r="A409" s="28"/>
      <c r="B409" s="5"/>
      <c r="C409" s="5"/>
      <c r="D409" s="5"/>
      <c r="E409" s="5"/>
      <c r="F409" s="5"/>
      <c r="G409" s="5"/>
      <c r="H409" s="5"/>
      <c r="I409" s="5"/>
      <c r="J409" s="5"/>
      <c r="K409" s="5"/>
      <c r="M409" s="28"/>
      <c r="N409" s="28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ht="15.75">
      <c r="A410" s="28"/>
      <c r="B410" s="5"/>
      <c r="C410" s="5"/>
      <c r="D410" s="95" t="s">
        <v>184</v>
      </c>
      <c r="E410" s="5"/>
      <c r="F410" s="95" t="s">
        <v>185</v>
      </c>
      <c r="G410" s="95"/>
      <c r="H410" s="199" t="s">
        <v>186</v>
      </c>
      <c r="I410" s="5"/>
      <c r="J410" s="226" t="s">
        <v>187</v>
      </c>
      <c r="K410" s="199" t="s">
        <v>188</v>
      </c>
      <c r="M410" s="28"/>
      <c r="N410" s="28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>
      <c r="A411" s="28"/>
      <c r="B411" s="85"/>
      <c r="C411" s="5"/>
      <c r="D411" s="5"/>
      <c r="E411" s="5"/>
      <c r="F411" s="5"/>
      <c r="G411" s="5"/>
      <c r="H411" s="5"/>
      <c r="I411" s="5"/>
      <c r="J411" s="69"/>
      <c r="K411" s="5"/>
      <c r="M411" s="28"/>
      <c r="N411" s="28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>
      <c r="A412" s="28"/>
      <c r="B412" s="85"/>
      <c r="C412" s="64"/>
      <c r="D412" s="64"/>
      <c r="E412" s="64"/>
      <c r="F412" s="64"/>
      <c r="G412" s="64"/>
      <c r="H412" s="220"/>
      <c r="I412" s="64"/>
      <c r="J412" s="229"/>
      <c r="K412" s="229"/>
      <c r="L412" s="5"/>
      <c r="M412" s="28"/>
      <c r="N412" s="28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>
      <c r="A413" s="201" t="s">
        <v>189</v>
      </c>
      <c r="B413" s="202"/>
      <c r="C413" s="202"/>
      <c r="D413" s="202"/>
      <c r="E413" s="202"/>
      <c r="F413" s="202"/>
      <c r="G413" s="202"/>
      <c r="H413" s="203">
        <v>234</v>
      </c>
      <c r="I413" s="202"/>
      <c r="J413" s="205"/>
      <c r="K413" s="205"/>
      <c r="L413" s="5"/>
      <c r="M413" s="28"/>
      <c r="N413" s="28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>
      <c r="A414" s="201" t="s">
        <v>190</v>
      </c>
      <c r="B414" s="202"/>
      <c r="C414" s="202"/>
      <c r="D414" s="202"/>
      <c r="E414" s="202"/>
      <c r="F414" s="202"/>
      <c r="G414" s="202"/>
      <c r="H414" s="203">
        <v>235</v>
      </c>
      <c r="I414" s="202"/>
      <c r="J414" s="205"/>
      <c r="K414" s="205"/>
      <c r="L414" s="5"/>
      <c r="M414" s="28"/>
      <c r="N414" s="28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>
      <c r="A415" s="201" t="s">
        <v>237</v>
      </c>
      <c r="B415" s="202"/>
      <c r="C415" s="202"/>
      <c r="D415" s="202"/>
      <c r="E415" s="202"/>
      <c r="F415" s="202"/>
      <c r="G415" s="202"/>
      <c r="H415" s="203">
        <v>232</v>
      </c>
      <c r="I415" s="202"/>
      <c r="J415" s="205"/>
      <c r="K415" s="205"/>
      <c r="L415" s="5"/>
      <c r="M415" s="28"/>
      <c r="N415" s="28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>
      <c r="A416" s="201" t="s">
        <v>191</v>
      </c>
      <c r="B416" s="202"/>
      <c r="C416" s="202"/>
      <c r="D416" s="202"/>
      <c r="E416" s="202"/>
      <c r="F416" s="202"/>
      <c r="G416" s="202"/>
      <c r="H416" s="203">
        <v>274</v>
      </c>
      <c r="I416" s="202"/>
      <c r="J416" s="205">
        <f>J413*0.1262</f>
        <v>0</v>
      </c>
      <c r="K416" s="205"/>
      <c r="L416" s="5"/>
      <c r="M416" s="28"/>
      <c r="N416" s="28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>
      <c r="A417" s="201" t="s">
        <v>192</v>
      </c>
      <c r="B417" s="202"/>
      <c r="C417" s="202"/>
      <c r="D417" s="202"/>
      <c r="E417" s="202"/>
      <c r="F417" s="202"/>
      <c r="G417" s="202"/>
      <c r="H417" s="203">
        <v>275</v>
      </c>
      <c r="I417" s="202"/>
      <c r="J417" s="205">
        <f>J414*0.1262</f>
        <v>0</v>
      </c>
      <c r="K417" s="205"/>
      <c r="L417" s="5"/>
      <c r="M417" s="28"/>
      <c r="N417" s="28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>
      <c r="A418" s="201" t="s">
        <v>232</v>
      </c>
      <c r="B418" s="202"/>
      <c r="C418" s="202"/>
      <c r="D418" s="202"/>
      <c r="E418" s="202"/>
      <c r="F418" s="202"/>
      <c r="G418" s="202"/>
      <c r="H418" s="203">
        <v>272</v>
      </c>
      <c r="I418" s="202"/>
      <c r="J418" s="205">
        <f>J415*0.1262</f>
        <v>0</v>
      </c>
      <c r="K418" s="205"/>
      <c r="L418" s="5"/>
      <c r="M418" s="28"/>
      <c r="N418" s="28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>
      <c r="A419" s="201" t="s">
        <v>193</v>
      </c>
      <c r="B419" s="202"/>
      <c r="C419" s="202"/>
      <c r="D419" s="202"/>
      <c r="E419" s="202"/>
      <c r="F419" s="202"/>
      <c r="G419" s="202"/>
      <c r="H419" s="203">
        <v>244</v>
      </c>
      <c r="I419" s="202"/>
      <c r="J419" s="205">
        <f>J413*0.1262</f>
        <v>0</v>
      </c>
      <c r="K419" s="202"/>
      <c r="L419" s="5"/>
      <c r="M419" s="28"/>
      <c r="N419" s="28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>
      <c r="A420" s="201" t="s">
        <v>194</v>
      </c>
      <c r="B420" s="202"/>
      <c r="C420" s="202"/>
      <c r="D420" s="202"/>
      <c r="E420" s="202"/>
      <c r="F420" s="203"/>
      <c r="G420" s="203"/>
      <c r="H420" s="203">
        <v>245</v>
      </c>
      <c r="I420" s="202"/>
      <c r="J420" s="205">
        <f>J414*0.1262</f>
        <v>0</v>
      </c>
      <c r="K420" s="202"/>
      <c r="L420" s="5"/>
      <c r="M420" s="28"/>
      <c r="N420" s="28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>
      <c r="A421" s="201" t="s">
        <v>224</v>
      </c>
      <c r="B421" s="202"/>
      <c r="C421" s="202"/>
      <c r="D421" s="202"/>
      <c r="E421" s="202"/>
      <c r="F421" s="203"/>
      <c r="G421" s="203"/>
      <c r="H421" s="203">
        <v>242</v>
      </c>
      <c r="I421" s="202"/>
      <c r="J421" s="205">
        <f>J415*0.1262</f>
        <v>0</v>
      </c>
      <c r="K421" s="202"/>
      <c r="L421" s="5"/>
      <c r="M421" s="28"/>
      <c r="N421" s="28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>
      <c r="A422" s="201" t="s">
        <v>195</v>
      </c>
      <c r="B422" s="202"/>
      <c r="C422" s="202"/>
      <c r="D422" s="202">
        <v>260</v>
      </c>
      <c r="E422" s="202"/>
      <c r="F422" s="203" t="s">
        <v>147</v>
      </c>
      <c r="G422" s="203"/>
      <c r="H422" s="203">
        <v>3001</v>
      </c>
      <c r="I422" s="202"/>
      <c r="J422" s="205"/>
      <c r="K422" s="205">
        <f>F178</f>
        <v>0</v>
      </c>
      <c r="L422" s="5"/>
      <c r="M422" s="28"/>
      <c r="N422" s="28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>
      <c r="A423" s="201"/>
      <c r="B423" s="62"/>
      <c r="C423" s="62"/>
      <c r="D423" s="202"/>
      <c r="E423" s="202"/>
      <c r="F423" s="203"/>
      <c r="G423" s="203"/>
      <c r="H423" s="203"/>
      <c r="I423" s="202"/>
      <c r="J423" s="205"/>
      <c r="K423" s="205"/>
      <c r="L423" s="69"/>
      <c r="M423" s="28"/>
      <c r="N423" s="28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>
      <c r="A424" s="63"/>
      <c r="B424" s="62"/>
      <c r="C424" s="62"/>
      <c r="D424" s="62"/>
      <c r="E424" s="62"/>
      <c r="F424" s="213"/>
      <c r="G424" s="62"/>
      <c r="H424" s="213"/>
      <c r="I424" s="62"/>
      <c r="J424" s="211"/>
      <c r="K424" s="211"/>
      <c r="L424" s="69"/>
      <c r="M424" s="28"/>
      <c r="N424" s="28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>
      <c r="A425" s="63" t="str">
        <f>+A387</f>
        <v>SALAIRES COMMIS ADMINISTRATION</v>
      </c>
      <c r="B425" s="62"/>
      <c r="C425" s="62"/>
      <c r="D425" s="62"/>
      <c r="E425" s="62"/>
      <c r="F425" s="62"/>
      <c r="G425" s="62"/>
      <c r="H425" s="213">
        <v>229</v>
      </c>
      <c r="I425" s="62"/>
      <c r="J425" s="211"/>
      <c r="K425" s="211"/>
      <c r="L425" s="69"/>
      <c r="M425" s="28"/>
      <c r="N425" s="28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>
      <c r="A426" s="63" t="s">
        <v>197</v>
      </c>
      <c r="B426" s="208"/>
      <c r="C426" s="62"/>
      <c r="D426" s="62"/>
      <c r="E426" s="62"/>
      <c r="F426" s="62"/>
      <c r="G426" s="62"/>
      <c r="H426" s="213">
        <v>279</v>
      </c>
      <c r="I426" s="62"/>
      <c r="J426" s="211">
        <f>J425*0.1222</f>
        <v>0</v>
      </c>
      <c r="K426" s="211"/>
      <c r="L426" s="69"/>
      <c r="M426" s="28"/>
      <c r="N426" s="28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>
      <c r="A427" s="210" t="s">
        <v>198</v>
      </c>
      <c r="B427" s="208"/>
      <c r="C427" s="208"/>
      <c r="D427" s="208"/>
      <c r="E427" s="208"/>
      <c r="F427" s="208"/>
      <c r="G427" s="208"/>
      <c r="H427" s="224">
        <v>249</v>
      </c>
      <c r="I427" s="208"/>
      <c r="J427" s="225">
        <f>J425*0.1222</f>
        <v>0</v>
      </c>
      <c r="K427" s="225"/>
      <c r="L427" s="69"/>
      <c r="M427" s="28"/>
      <c r="N427" s="28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>
      <c r="A428" s="63" t="s">
        <v>195</v>
      </c>
      <c r="B428" s="62"/>
      <c r="C428" s="62"/>
      <c r="D428" s="62">
        <v>260</v>
      </c>
      <c r="E428" s="62"/>
      <c r="F428" s="213" t="s">
        <v>156</v>
      </c>
      <c r="G428" s="62"/>
      <c r="H428" s="213">
        <v>3001</v>
      </c>
      <c r="I428" s="62"/>
      <c r="J428" s="211"/>
      <c r="K428" s="211">
        <v>0</v>
      </c>
      <c r="L428" s="69"/>
      <c r="M428" s="28"/>
      <c r="N428" s="28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>
      <c r="A429" s="215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69"/>
      <c r="M429" s="28"/>
      <c r="N429" s="28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>
      <c r="A430" s="63" t="str">
        <f>+A392</f>
        <v>SALAIRES COMMIS ADMINISTRATION</v>
      </c>
      <c r="B430" s="62"/>
      <c r="C430" s="62"/>
      <c r="D430" s="62"/>
      <c r="E430" s="62"/>
      <c r="F430" s="62"/>
      <c r="G430" s="62"/>
      <c r="H430" s="213">
        <v>229</v>
      </c>
      <c r="I430" s="62"/>
      <c r="J430" s="211" t="e">
        <f>(#REF!*0)*0.6</f>
        <v>#REF!</v>
      </c>
      <c r="K430" s="211"/>
      <c r="L430" s="69"/>
      <c r="M430" s="28"/>
      <c r="N430" s="28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>
      <c r="A431" s="63" t="s">
        <v>197</v>
      </c>
      <c r="B431" s="208"/>
      <c r="C431" s="62"/>
      <c r="D431" s="62"/>
      <c r="E431" s="62"/>
      <c r="F431" s="62"/>
      <c r="G431" s="62"/>
      <c r="H431" s="213">
        <v>279</v>
      </c>
      <c r="I431" s="62"/>
      <c r="J431" s="211" t="e">
        <f>J430*0.1222</f>
        <v>#REF!</v>
      </c>
      <c r="K431" s="211"/>
      <c r="L431" s="69"/>
      <c r="M431" s="28"/>
      <c r="N431" s="28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>
      <c r="A432" s="210" t="s">
        <v>198</v>
      </c>
      <c r="B432" s="208"/>
      <c r="C432" s="208"/>
      <c r="D432" s="208"/>
      <c r="E432" s="208"/>
      <c r="F432" s="208"/>
      <c r="G432" s="208"/>
      <c r="H432" s="224">
        <v>249</v>
      </c>
      <c r="I432" s="208"/>
      <c r="J432" s="211" t="e">
        <f>J430*0.1222</f>
        <v>#REF!</v>
      </c>
      <c r="K432" s="211"/>
      <c r="L432" s="69"/>
      <c r="M432" s="28"/>
      <c r="N432" s="28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>
      <c r="A433" s="63" t="s">
        <v>195</v>
      </c>
      <c r="B433" s="62"/>
      <c r="C433" s="62"/>
      <c r="D433" s="62">
        <v>260</v>
      </c>
      <c r="E433" s="62"/>
      <c r="F433" s="213" t="s">
        <v>141</v>
      </c>
      <c r="G433" s="62"/>
      <c r="H433" s="213">
        <v>3001</v>
      </c>
      <c r="I433" s="62"/>
      <c r="J433" s="211"/>
      <c r="K433" s="211">
        <v>0</v>
      </c>
      <c r="L433" s="69"/>
      <c r="M433" s="28"/>
      <c r="N433" s="28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>
      <c r="A434" s="215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69"/>
      <c r="M434" s="28"/>
      <c r="N434" s="28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>
      <c r="L435" s="69"/>
      <c r="M435" s="28"/>
      <c r="N435" s="28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>
      <c r="L436" s="69"/>
      <c r="M436" s="28"/>
      <c r="N436" s="28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>
      <c r="C437" s="5"/>
      <c r="D437" s="5"/>
      <c r="E437" s="5"/>
      <c r="F437" s="5"/>
      <c r="G437" s="5"/>
      <c r="L437" s="69"/>
      <c r="M437" s="28"/>
      <c r="N437" s="28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15.75">
      <c r="B438" s="5"/>
      <c r="C438" s="95"/>
      <c r="D438" s="95"/>
      <c r="E438" s="95"/>
      <c r="F438" s="95" t="str">
        <f>I130</f>
        <v>PAIE SEMAINE 45</v>
      </c>
      <c r="G438" s="95"/>
      <c r="H438" s="5"/>
      <c r="I438" s="5"/>
      <c r="J438" s="95">
        <f>F130</f>
        <v>2017</v>
      </c>
      <c r="K438" s="5"/>
      <c r="L438" s="69"/>
      <c r="M438" s="28"/>
      <c r="N438" s="28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ht="15.75">
      <c r="A439" s="28"/>
      <c r="B439" s="95"/>
      <c r="C439" s="95"/>
      <c r="D439" s="95"/>
      <c r="E439" s="95"/>
      <c r="F439" s="5"/>
      <c r="G439" s="5"/>
      <c r="H439" s="5"/>
      <c r="I439" s="5"/>
      <c r="J439" s="69"/>
      <c r="K439" s="5"/>
      <c r="L439" s="69"/>
      <c r="M439" s="28"/>
      <c r="N439" s="28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ht="15.75">
      <c r="A440" s="196" t="s">
        <v>71</v>
      </c>
      <c r="B440" s="95"/>
      <c r="C440" s="95"/>
      <c r="D440" s="95"/>
      <c r="E440" s="95"/>
      <c r="F440" s="5"/>
      <c r="G440" s="5"/>
      <c r="H440" s="5"/>
      <c r="I440" s="5"/>
      <c r="J440" s="69"/>
      <c r="K440" s="5"/>
      <c r="L440" s="69"/>
      <c r="M440" s="28"/>
      <c r="N440" s="28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15.75">
      <c r="A441" s="196"/>
      <c r="B441" s="95"/>
      <c r="C441" s="95"/>
      <c r="D441" s="95"/>
      <c r="E441" s="95"/>
      <c r="F441" s="5"/>
      <c r="G441" s="5"/>
      <c r="H441" s="5"/>
      <c r="I441" s="5"/>
      <c r="J441" s="69"/>
      <c r="K441" s="5"/>
      <c r="M441" s="27"/>
      <c r="N441" s="2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15.75">
      <c r="A442" s="196"/>
      <c r="B442" s="95"/>
      <c r="C442" s="5"/>
      <c r="D442" s="5"/>
      <c r="E442" s="5"/>
      <c r="F442" s="5"/>
      <c r="G442" s="5"/>
      <c r="H442" s="5"/>
      <c r="I442" s="5"/>
      <c r="J442" s="69"/>
      <c r="K442" s="5"/>
      <c r="M442" s="27"/>
      <c r="N442" s="2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15.75">
      <c r="A443" s="196" t="s">
        <v>238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M443" s="27"/>
      <c r="N443" s="2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>
      <c r="A444" s="28"/>
      <c r="B444" s="5"/>
      <c r="C444" s="5"/>
      <c r="D444" s="5"/>
      <c r="E444" s="5"/>
      <c r="F444" s="5"/>
      <c r="G444" s="5"/>
      <c r="H444" s="5"/>
      <c r="I444" s="5"/>
      <c r="J444" s="5"/>
      <c r="K444" s="5"/>
      <c r="M444" s="27"/>
      <c r="N444" s="2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15.75">
      <c r="A445" s="28"/>
      <c r="B445" s="5"/>
      <c r="C445" s="5"/>
      <c r="D445" s="95" t="s">
        <v>184</v>
      </c>
      <c r="E445" s="5"/>
      <c r="F445" s="95" t="s">
        <v>185</v>
      </c>
      <c r="G445" s="95"/>
      <c r="H445" s="199" t="s">
        <v>186</v>
      </c>
      <c r="I445" s="5"/>
      <c r="J445" s="226" t="s">
        <v>187</v>
      </c>
      <c r="K445" s="199" t="s">
        <v>188</v>
      </c>
      <c r="M445" s="27"/>
      <c r="N445" s="2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>
      <c r="A446" s="28"/>
      <c r="B446" s="85"/>
      <c r="C446" s="5"/>
      <c r="D446" s="5"/>
      <c r="E446" s="5"/>
      <c r="F446" s="5"/>
      <c r="G446" s="5"/>
      <c r="H446" s="5"/>
      <c r="I446" s="5"/>
      <c r="J446" s="69"/>
      <c r="K446" s="5"/>
      <c r="M446" s="27"/>
      <c r="N446" s="2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>
      <c r="A447" s="28"/>
      <c r="B447" s="85"/>
      <c r="C447" s="64"/>
      <c r="D447" s="64"/>
      <c r="E447" s="64"/>
      <c r="F447" s="64"/>
      <c r="G447" s="64"/>
      <c r="H447" s="220"/>
      <c r="I447" s="64"/>
      <c r="J447" s="229"/>
      <c r="K447" s="229"/>
      <c r="M447" s="27"/>
      <c r="N447" s="2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>
      <c r="A448" s="201" t="s">
        <v>189</v>
      </c>
      <c r="B448" s="202"/>
      <c r="C448" s="202"/>
      <c r="D448" s="202"/>
      <c r="E448" s="202"/>
      <c r="F448" s="202"/>
      <c r="G448" s="202"/>
      <c r="H448" s="203">
        <v>90234</v>
      </c>
      <c r="I448" s="202"/>
      <c r="J448" s="205"/>
      <c r="K448" s="205"/>
      <c r="M448" s="27"/>
      <c r="N448" s="27"/>
      <c r="O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>
      <c r="A449" s="201" t="s">
        <v>190</v>
      </c>
      <c r="B449" s="202"/>
      <c r="C449" s="202"/>
      <c r="D449" s="202"/>
      <c r="E449" s="202"/>
      <c r="F449" s="202"/>
      <c r="G449" s="202"/>
      <c r="H449" s="203">
        <v>90235</v>
      </c>
      <c r="I449" s="202"/>
      <c r="J449" s="205"/>
      <c r="K449" s="205"/>
      <c r="M449" s="27"/>
      <c r="N449" s="27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>
      <c r="A450" s="201" t="s">
        <v>206</v>
      </c>
      <c r="B450" s="202"/>
      <c r="C450" s="202"/>
      <c r="D450" s="202"/>
      <c r="E450" s="202"/>
      <c r="F450" s="202"/>
      <c r="G450" s="202"/>
      <c r="H450" s="203">
        <v>90232</v>
      </c>
      <c r="I450" s="202"/>
      <c r="J450" s="205"/>
      <c r="K450" s="205"/>
      <c r="M450" s="27"/>
      <c r="N450" s="27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>
      <c r="A451" s="201" t="s">
        <v>191</v>
      </c>
      <c r="B451" s="202"/>
      <c r="C451" s="202"/>
      <c r="D451" s="202"/>
      <c r="E451" s="202"/>
      <c r="F451" s="202"/>
      <c r="G451" s="202"/>
      <c r="H451" s="203">
        <v>90274</v>
      </c>
      <c r="I451" s="202"/>
      <c r="J451" s="205">
        <f>J448*0.1262</f>
        <v>0</v>
      </c>
      <c r="K451" s="205"/>
      <c r="M451" s="27"/>
      <c r="N451" s="27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>
      <c r="A452" s="201" t="s">
        <v>192</v>
      </c>
      <c r="B452" s="202"/>
      <c r="C452" s="202"/>
      <c r="D452" s="202"/>
      <c r="E452" s="202"/>
      <c r="F452" s="202"/>
      <c r="G452" s="202"/>
      <c r="H452" s="203">
        <v>90275</v>
      </c>
      <c r="I452" s="202"/>
      <c r="J452" s="205">
        <f>J449*0.1262</f>
        <v>0</v>
      </c>
      <c r="K452" s="205"/>
      <c r="M452" s="27"/>
      <c r="N452" s="27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>
      <c r="A453" s="201" t="s">
        <v>232</v>
      </c>
      <c r="B453" s="202"/>
      <c r="C453" s="202"/>
      <c r="D453" s="202"/>
      <c r="E453" s="202"/>
      <c r="F453" s="202"/>
      <c r="G453" s="202"/>
      <c r="H453" s="203">
        <v>90272</v>
      </c>
      <c r="I453" s="202"/>
      <c r="J453" s="205">
        <f>J450*0.1262</f>
        <v>0</v>
      </c>
      <c r="K453" s="205"/>
      <c r="M453" s="27"/>
      <c r="N453" s="27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>
      <c r="A454" s="201" t="s">
        <v>193</v>
      </c>
      <c r="B454" s="202"/>
      <c r="C454" s="202"/>
      <c r="D454" s="202"/>
      <c r="E454" s="202"/>
      <c r="F454" s="202"/>
      <c r="G454" s="202"/>
      <c r="H454" s="203">
        <v>90244</v>
      </c>
      <c r="I454" s="202"/>
      <c r="J454" s="205">
        <f>J448*0.1262</f>
        <v>0</v>
      </c>
      <c r="K454" s="202"/>
      <c r="M454" s="27"/>
      <c r="N454" s="27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>
      <c r="A455" s="201" t="s">
        <v>194</v>
      </c>
      <c r="B455" s="202"/>
      <c r="C455" s="202"/>
      <c r="D455" s="202"/>
      <c r="E455" s="202"/>
      <c r="F455" s="203"/>
      <c r="G455" s="203"/>
      <c r="H455" s="203">
        <v>90245</v>
      </c>
      <c r="I455" s="202"/>
      <c r="J455" s="205">
        <f>J449*0.1262</f>
        <v>0</v>
      </c>
      <c r="K455" s="202"/>
      <c r="M455" s="27"/>
      <c r="N455" s="27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>
      <c r="A456" s="201" t="s">
        <v>224</v>
      </c>
      <c r="B456" s="202"/>
      <c r="C456" s="202"/>
      <c r="D456" s="202"/>
      <c r="E456" s="202"/>
      <c r="F456" s="203"/>
      <c r="G456" s="203"/>
      <c r="H456" s="203">
        <v>90242</v>
      </c>
      <c r="I456" s="202"/>
      <c r="J456" s="205">
        <f>J450*0.1262</f>
        <v>0</v>
      </c>
      <c r="K456" s="202"/>
      <c r="M456" s="27"/>
      <c r="N456" s="27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>
      <c r="A457" s="201" t="s">
        <v>195</v>
      </c>
      <c r="B457" s="202"/>
      <c r="C457" s="62"/>
      <c r="D457" s="202">
        <v>260</v>
      </c>
      <c r="E457" s="202"/>
      <c r="F457" s="203" t="s">
        <v>147</v>
      </c>
      <c r="G457" s="203"/>
      <c r="H457" s="203">
        <v>93001</v>
      </c>
      <c r="I457" s="202"/>
      <c r="J457" s="205"/>
      <c r="K457" s="205">
        <f>F179</f>
        <v>0</v>
      </c>
      <c r="M457" s="27"/>
      <c r="N457" s="27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>
      <c r="A458" s="201"/>
      <c r="B458" s="202"/>
      <c r="C458" s="62"/>
      <c r="D458" s="202"/>
      <c r="E458" s="202"/>
      <c r="F458" s="203"/>
      <c r="G458" s="203"/>
      <c r="H458" s="203"/>
      <c r="I458" s="202"/>
      <c r="J458" s="205"/>
      <c r="K458" s="205"/>
      <c r="M458" s="27"/>
      <c r="N458" s="27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>
      <c r="A459" s="63" t="str">
        <f>+A425</f>
        <v>SALAIRES COMMIS ADMINISTRATION</v>
      </c>
      <c r="B459" s="62"/>
      <c r="C459" s="62"/>
      <c r="D459" s="62"/>
      <c r="E459" s="62"/>
      <c r="F459" s="62"/>
      <c r="G459" s="62"/>
      <c r="H459" s="213">
        <v>90229</v>
      </c>
      <c r="I459" s="62"/>
      <c r="J459" s="211"/>
      <c r="K459" s="211"/>
      <c r="M459" s="27"/>
      <c r="N459" s="2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>
      <c r="A460" s="63" t="s">
        <v>197</v>
      </c>
      <c r="B460" s="208"/>
      <c r="C460" s="62"/>
      <c r="D460" s="62"/>
      <c r="E460" s="62"/>
      <c r="F460" s="62"/>
      <c r="G460" s="62"/>
      <c r="H460" s="213">
        <v>90279</v>
      </c>
      <c r="I460" s="62"/>
      <c r="J460" s="211">
        <f>J459*0.1222</f>
        <v>0</v>
      </c>
      <c r="K460" s="211"/>
      <c r="M460" s="27"/>
      <c r="N460" s="2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>
      <c r="A461" s="210" t="s">
        <v>198</v>
      </c>
      <c r="B461" s="208"/>
      <c r="C461" s="208"/>
      <c r="D461" s="208"/>
      <c r="E461" s="208"/>
      <c r="F461" s="208"/>
      <c r="G461" s="208"/>
      <c r="H461" s="224">
        <v>90249</v>
      </c>
      <c r="I461" s="62"/>
      <c r="J461" s="211">
        <f>J459*0.1222</f>
        <v>0</v>
      </c>
      <c r="K461" s="211"/>
      <c r="M461" s="27"/>
      <c r="N461" s="2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>
      <c r="A462" s="210" t="s">
        <v>195</v>
      </c>
      <c r="B462" s="208"/>
      <c r="C462" s="208"/>
      <c r="D462" s="208">
        <v>260</v>
      </c>
      <c r="E462" s="208"/>
      <c r="F462" s="224" t="s">
        <v>156</v>
      </c>
      <c r="G462" s="208"/>
      <c r="H462" s="224">
        <v>93001</v>
      </c>
      <c r="I462" s="208"/>
      <c r="J462" s="225"/>
      <c r="K462" s="225">
        <v>0</v>
      </c>
      <c r="M462" s="27"/>
      <c r="N462" s="27"/>
      <c r="O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>
      <c r="A463" s="201"/>
      <c r="B463" s="62"/>
      <c r="C463" s="62"/>
      <c r="D463" s="202"/>
      <c r="E463" s="202"/>
      <c r="F463" s="203"/>
      <c r="G463" s="203"/>
      <c r="H463" s="203"/>
      <c r="I463" s="202"/>
      <c r="J463" s="205"/>
      <c r="K463" s="205"/>
      <c r="M463" s="27"/>
      <c r="N463" s="27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>
      <c r="A464" s="63"/>
      <c r="B464" s="62"/>
      <c r="C464" s="62"/>
      <c r="D464" s="62"/>
      <c r="E464" s="62"/>
      <c r="F464" s="213"/>
      <c r="G464" s="62"/>
      <c r="H464" s="213"/>
      <c r="I464" s="62"/>
      <c r="J464" s="211"/>
      <c r="K464" s="211"/>
      <c r="M464" s="27"/>
      <c r="N464" s="2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>
      <c r="A465" s="63" t="str">
        <f>+A431</f>
        <v>D.A.S.  ADMINISTRATION</v>
      </c>
      <c r="B465" s="62"/>
      <c r="C465" s="62"/>
      <c r="D465" s="62"/>
      <c r="E465" s="62"/>
      <c r="F465" s="62"/>
      <c r="G465" s="62"/>
      <c r="H465" s="213">
        <v>90229</v>
      </c>
      <c r="I465" s="62"/>
      <c r="J465" s="211" t="e">
        <f>(#REF!*0)*0.4</f>
        <v>#REF!</v>
      </c>
      <c r="K465" s="211"/>
      <c r="M465" s="27"/>
      <c r="N465" s="2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>
      <c r="A466" s="63" t="s">
        <v>197</v>
      </c>
      <c r="B466" s="208"/>
      <c r="C466" s="62"/>
      <c r="D466" s="62"/>
      <c r="E466" s="62"/>
      <c r="F466" s="62"/>
      <c r="G466" s="62"/>
      <c r="H466" s="213">
        <v>90279</v>
      </c>
      <c r="I466" s="62"/>
      <c r="J466" s="211" t="e">
        <f>J465*0.1222</f>
        <v>#REF!</v>
      </c>
      <c r="K466" s="211"/>
      <c r="M466" s="27"/>
      <c r="N466" s="2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>
      <c r="A467" s="210" t="s">
        <v>198</v>
      </c>
      <c r="B467" s="208"/>
      <c r="C467" s="208"/>
      <c r="D467" s="208"/>
      <c r="E467" s="208"/>
      <c r="F467" s="208"/>
      <c r="G467" s="208"/>
      <c r="H467" s="224">
        <v>90249</v>
      </c>
      <c r="I467" s="62"/>
      <c r="J467" s="211" t="e">
        <f>J465*0.1222</f>
        <v>#REF!</v>
      </c>
      <c r="K467" s="211"/>
      <c r="M467" s="27"/>
      <c r="N467" s="2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>
      <c r="A468" s="210" t="s">
        <v>195</v>
      </c>
      <c r="B468" s="208"/>
      <c r="C468" s="208"/>
      <c r="D468" s="208">
        <v>260</v>
      </c>
      <c r="E468" s="208"/>
      <c r="F468" s="224" t="s">
        <v>141</v>
      </c>
      <c r="G468" s="208"/>
      <c r="H468" s="224">
        <v>93001</v>
      </c>
      <c r="I468" s="208"/>
      <c r="J468" s="230"/>
      <c r="K468" s="230">
        <v>0</v>
      </c>
      <c r="M468" s="27"/>
      <c r="N468" s="2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>
      <c r="A469" s="53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M469" s="27"/>
      <c r="N469" s="2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>
      <c r="A470" s="53"/>
      <c r="B470" s="64"/>
      <c r="C470" s="64"/>
      <c r="D470" s="64"/>
      <c r="E470" s="64"/>
      <c r="F470" s="64"/>
      <c r="G470" s="64"/>
      <c r="H470" s="64"/>
      <c r="L470" s="69"/>
      <c r="M470" s="27"/>
      <c r="N470" s="2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>
      <c r="A471" s="53"/>
      <c r="C471" s="5"/>
      <c r="D471" s="5"/>
      <c r="E471" s="5"/>
      <c r="F471" s="5"/>
      <c r="G471" s="5"/>
      <c r="L471" s="69"/>
      <c r="M471" s="28"/>
      <c r="N471" s="28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ht="15.75">
      <c r="A472" s="196" t="s">
        <v>71</v>
      </c>
      <c r="B472" s="95"/>
      <c r="C472" s="95"/>
      <c r="D472" s="95"/>
      <c r="E472" s="95"/>
      <c r="F472" s="95" t="str">
        <f>I130</f>
        <v>PAIE SEMAINE 45</v>
      </c>
      <c r="G472" s="5"/>
      <c r="H472" s="5"/>
      <c r="K472" s="95">
        <f>F130</f>
        <v>2017</v>
      </c>
      <c r="L472" s="69"/>
      <c r="M472" s="28"/>
      <c r="N472" s="28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ht="15.75">
      <c r="A473" s="196"/>
      <c r="B473" s="95"/>
      <c r="C473" s="95"/>
      <c r="D473" s="95"/>
      <c r="E473" s="95"/>
      <c r="F473" s="5"/>
      <c r="G473" s="5"/>
      <c r="H473" s="5"/>
      <c r="I473" s="5"/>
      <c r="J473" s="95"/>
      <c r="L473" s="69"/>
      <c r="M473" s="28"/>
      <c r="N473" s="28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ht="15.75">
      <c r="A474" s="196"/>
      <c r="B474" s="95"/>
      <c r="C474" s="5"/>
      <c r="D474" s="5"/>
      <c r="E474" s="5"/>
      <c r="F474" s="5"/>
      <c r="G474" s="5"/>
      <c r="H474" s="5"/>
      <c r="I474" s="5"/>
      <c r="J474" s="5"/>
      <c r="K474" s="5"/>
      <c r="L474" s="69"/>
      <c r="M474" s="28"/>
      <c r="N474" s="28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ht="15.75">
      <c r="A475" s="196" t="s">
        <v>239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9"/>
      <c r="M475" s="28"/>
      <c r="N475" s="28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ht="15.75">
      <c r="A476" s="28"/>
      <c r="B476" s="5"/>
      <c r="C476" s="5"/>
      <c r="G476" s="95"/>
      <c r="H476" s="5"/>
      <c r="I476" s="5"/>
      <c r="L476" s="69"/>
      <c r="M476" s="28"/>
      <c r="N476" s="28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ht="15.75">
      <c r="A477" s="28"/>
      <c r="B477" s="85"/>
      <c r="C477" s="5"/>
      <c r="D477" s="95" t="s">
        <v>184</v>
      </c>
      <c r="E477" s="5"/>
      <c r="F477" s="95" t="s">
        <v>185</v>
      </c>
      <c r="G477" s="5"/>
      <c r="H477" s="199" t="s">
        <v>186</v>
      </c>
      <c r="I477" s="5"/>
      <c r="J477" s="199" t="s">
        <v>187</v>
      </c>
      <c r="K477" s="199" t="s">
        <v>188</v>
      </c>
      <c r="L477" s="69"/>
      <c r="M477" s="28"/>
      <c r="N477" s="28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>
      <c r="A478" s="28"/>
      <c r="B478" s="85"/>
      <c r="C478" s="5"/>
      <c r="D478" s="5"/>
      <c r="E478" s="5"/>
      <c r="F478" s="5"/>
      <c r="G478" s="5"/>
      <c r="H478" s="200"/>
      <c r="I478" s="5"/>
      <c r="J478" s="69"/>
      <c r="K478" s="69"/>
      <c r="L478" s="69"/>
      <c r="M478" s="28"/>
      <c r="N478" s="28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>
      <c r="A479" s="201" t="s">
        <v>189</v>
      </c>
      <c r="B479" s="202"/>
      <c r="C479" s="202"/>
      <c r="D479" s="202"/>
      <c r="E479" s="202"/>
      <c r="F479" s="203"/>
      <c r="G479" s="203"/>
      <c r="H479" s="204" t="s">
        <v>204</v>
      </c>
      <c r="I479" s="202"/>
      <c r="J479" s="205"/>
      <c r="K479" s="205"/>
      <c r="M479" s="28"/>
      <c r="N479" s="28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>
      <c r="A480" s="201" t="s">
        <v>190</v>
      </c>
      <c r="B480" s="202"/>
      <c r="C480" s="202"/>
      <c r="D480" s="202"/>
      <c r="E480" s="202"/>
      <c r="F480" s="203"/>
      <c r="G480" s="203"/>
      <c r="H480" s="204" t="s">
        <v>205</v>
      </c>
      <c r="I480" s="202"/>
      <c r="J480" s="205"/>
      <c r="K480" s="205"/>
      <c r="L480" s="69"/>
      <c r="M480" s="28"/>
      <c r="N480" s="28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>
      <c r="A481" s="201" t="s">
        <v>206</v>
      </c>
      <c r="B481" s="202"/>
      <c r="C481" s="202"/>
      <c r="D481" s="202"/>
      <c r="E481" s="202"/>
      <c r="F481" s="203"/>
      <c r="G481" s="203"/>
      <c r="H481" s="204" t="s">
        <v>207</v>
      </c>
      <c r="I481" s="202"/>
      <c r="J481" s="205"/>
      <c r="K481" s="205"/>
      <c r="L481" s="69"/>
      <c r="M481" s="28"/>
      <c r="N481" s="28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>
      <c r="A482" s="201" t="s">
        <v>191</v>
      </c>
      <c r="B482" s="202"/>
      <c r="C482" s="202"/>
      <c r="D482" s="202"/>
      <c r="E482" s="202"/>
      <c r="F482" s="203"/>
      <c r="G482" s="203"/>
      <c r="H482" s="204" t="s">
        <v>208</v>
      </c>
      <c r="I482" s="202"/>
      <c r="J482" s="205">
        <f>J479*0.1262</f>
        <v>0</v>
      </c>
      <c r="K482" s="205"/>
      <c r="M482" s="27"/>
      <c r="N482" s="2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>
      <c r="A483" s="201" t="s">
        <v>192</v>
      </c>
      <c r="B483" s="202"/>
      <c r="C483" s="202"/>
      <c r="D483" s="202"/>
      <c r="E483" s="202"/>
      <c r="F483" s="203"/>
      <c r="G483" s="203"/>
      <c r="H483" s="204" t="s">
        <v>209</v>
      </c>
      <c r="I483" s="202"/>
      <c r="J483" s="205">
        <f>J480*0.1262</f>
        <v>0</v>
      </c>
      <c r="K483" s="205"/>
      <c r="M483" s="27"/>
      <c r="N483" s="2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>
      <c r="A484" s="201" t="s">
        <v>232</v>
      </c>
      <c r="B484" s="202"/>
      <c r="C484" s="202"/>
      <c r="D484" s="202"/>
      <c r="E484" s="202"/>
      <c r="F484" s="203"/>
      <c r="G484" s="203"/>
      <c r="H484" s="204" t="s">
        <v>211</v>
      </c>
      <c r="I484" s="202"/>
      <c r="J484" s="205">
        <f>J481*0.1262</f>
        <v>0</v>
      </c>
      <c r="K484" s="205"/>
      <c r="M484" s="27"/>
      <c r="N484" s="2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>
      <c r="A485" s="201" t="s">
        <v>193</v>
      </c>
      <c r="B485" s="202"/>
      <c r="C485" s="202"/>
      <c r="D485" s="202"/>
      <c r="E485" s="202"/>
      <c r="F485" s="203"/>
      <c r="G485" s="203"/>
      <c r="H485" s="204" t="s">
        <v>212</v>
      </c>
      <c r="I485" s="202"/>
      <c r="J485" s="205">
        <f>J479*0.1262</f>
        <v>0</v>
      </c>
      <c r="K485" s="202"/>
      <c r="M485" s="27"/>
      <c r="N485" s="2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>
      <c r="A486" s="201" t="s">
        <v>194</v>
      </c>
      <c r="B486" s="206"/>
      <c r="C486" s="202"/>
      <c r="D486" s="202"/>
      <c r="E486" s="202"/>
      <c r="F486" s="203"/>
      <c r="G486" s="203"/>
      <c r="H486" s="204" t="s">
        <v>213</v>
      </c>
      <c r="I486" s="202"/>
      <c r="J486" s="205">
        <f>J480*0.1262</f>
        <v>0</v>
      </c>
      <c r="K486" s="202"/>
      <c r="M486" s="27"/>
      <c r="N486" s="2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>
      <c r="A487" s="201" t="s">
        <v>240</v>
      </c>
      <c r="B487" s="206"/>
      <c r="C487" s="202"/>
      <c r="D487" s="202"/>
      <c r="E487" s="202"/>
      <c r="F487" s="203"/>
      <c r="G487" s="203"/>
      <c r="H487" s="204" t="s">
        <v>215</v>
      </c>
      <c r="I487" s="202"/>
      <c r="J487" s="205">
        <f>J481*0.1262</f>
        <v>0</v>
      </c>
      <c r="K487" s="202"/>
      <c r="M487" s="27"/>
      <c r="N487" s="2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>
      <c r="A488" s="201" t="s">
        <v>216</v>
      </c>
      <c r="B488" s="206"/>
      <c r="C488" s="202"/>
      <c r="D488" s="202"/>
      <c r="E488" s="202"/>
      <c r="F488" s="203"/>
      <c r="G488" s="203"/>
      <c r="H488" s="204">
        <v>809</v>
      </c>
      <c r="I488" s="202"/>
      <c r="J488" s="205">
        <f>O253</f>
        <v>0</v>
      </c>
      <c r="K488" s="202"/>
      <c r="M488" s="27"/>
      <c r="N488" s="2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>
      <c r="A489" s="207" t="s">
        <v>195</v>
      </c>
      <c r="B489" s="208"/>
      <c r="C489" s="208"/>
      <c r="D489" s="204">
        <v>10312</v>
      </c>
      <c r="E489" s="202"/>
      <c r="F489" s="203" t="s">
        <v>147</v>
      </c>
      <c r="G489" s="203"/>
      <c r="H489" s="209" t="s">
        <v>217</v>
      </c>
      <c r="I489" s="202"/>
      <c r="J489" s="205"/>
      <c r="K489" s="205">
        <f>F182</f>
        <v>0</v>
      </c>
      <c r="M489" s="27"/>
      <c r="N489" s="2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>
      <c r="A490" s="210"/>
      <c r="C490" s="208"/>
      <c r="D490" s="202"/>
      <c r="E490" s="202"/>
      <c r="F490" s="203"/>
      <c r="G490" s="203"/>
      <c r="I490" s="202"/>
      <c r="J490" s="205"/>
      <c r="K490" s="205"/>
      <c r="M490" s="27"/>
      <c r="N490" s="2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>
      <c r="B491" s="62"/>
      <c r="D491" s="62"/>
      <c r="E491" s="62"/>
      <c r="F491" s="62"/>
      <c r="G491" s="62"/>
      <c r="H491" s="204"/>
      <c r="I491" s="62"/>
      <c r="J491" s="211"/>
      <c r="K491" s="211"/>
      <c r="M491" s="27"/>
      <c r="N491" s="2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>
      <c r="A492" s="63" t="s">
        <v>196</v>
      </c>
      <c r="B492" s="62"/>
      <c r="C492" s="62"/>
      <c r="D492" s="62"/>
      <c r="E492" s="62"/>
      <c r="F492" s="62"/>
      <c r="G492" s="62"/>
      <c r="H492" s="212" t="s">
        <v>218</v>
      </c>
      <c r="I492" s="62"/>
      <c r="J492" s="211"/>
      <c r="K492" s="211"/>
      <c r="M492" s="27"/>
      <c r="N492" s="2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>
      <c r="A493" s="63" t="s">
        <v>197</v>
      </c>
      <c r="B493" s="62"/>
      <c r="C493" s="62"/>
      <c r="D493" s="62"/>
      <c r="E493" s="62"/>
      <c r="F493" s="62"/>
      <c r="G493" s="62"/>
      <c r="H493" s="212" t="s">
        <v>219</v>
      </c>
      <c r="I493" s="62"/>
      <c r="J493" s="211">
        <f>J492*0.1222</f>
        <v>0</v>
      </c>
      <c r="K493" s="211"/>
      <c r="L493" s="5"/>
      <c r="M493" s="28"/>
      <c r="N493" s="28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>
      <c r="A494" s="63" t="s">
        <v>198</v>
      </c>
      <c r="B494" s="208"/>
      <c r="C494" s="62"/>
      <c r="D494" s="62"/>
      <c r="E494" s="62"/>
      <c r="F494" s="62"/>
      <c r="G494" s="62"/>
      <c r="H494" s="212" t="s">
        <v>220</v>
      </c>
      <c r="I494" s="62"/>
      <c r="J494" s="211">
        <f>J492*0.1222</f>
        <v>0</v>
      </c>
      <c r="K494" s="211"/>
      <c r="L494" s="5"/>
      <c r="M494" s="31"/>
      <c r="N494" s="31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>
      <c r="A495" s="210" t="s">
        <v>195</v>
      </c>
      <c r="B495" s="208"/>
      <c r="C495" s="208"/>
      <c r="D495" s="62">
        <v>10312</v>
      </c>
      <c r="E495" s="62"/>
      <c r="F495" s="213" t="s">
        <v>156</v>
      </c>
      <c r="G495" s="62"/>
      <c r="H495" s="214">
        <v>300</v>
      </c>
      <c r="I495" s="62"/>
      <c r="J495" s="211"/>
      <c r="K495" s="211">
        <v>0</v>
      </c>
      <c r="L495" s="5"/>
      <c r="M495" s="28"/>
      <c r="N495" s="28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>
      <c r="A496" s="210"/>
      <c r="B496" s="62"/>
      <c r="C496" s="208"/>
      <c r="D496" s="62"/>
      <c r="E496" s="62"/>
      <c r="F496" s="62"/>
      <c r="G496" s="62"/>
      <c r="H496" s="208"/>
      <c r="I496" s="62"/>
      <c r="J496" s="62"/>
      <c r="K496" s="62"/>
      <c r="L496" s="5"/>
      <c r="M496" s="28"/>
      <c r="N496" s="28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>
      <c r="A497" s="63"/>
      <c r="B497" s="62"/>
      <c r="D497" s="62"/>
      <c r="E497" s="62"/>
      <c r="F497" s="62"/>
      <c r="G497" s="62"/>
      <c r="H497" s="62"/>
      <c r="I497" s="62"/>
      <c r="J497" s="62"/>
      <c r="K497" s="62"/>
      <c r="L497" s="69"/>
      <c r="M497" s="28"/>
      <c r="N497" s="28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>
      <c r="A498" s="63" t="s">
        <v>196</v>
      </c>
      <c r="B498" s="62"/>
      <c r="C498" s="62"/>
      <c r="D498" s="62"/>
      <c r="E498" s="62"/>
      <c r="F498" s="62"/>
      <c r="G498" s="62"/>
      <c r="H498" s="212" t="s">
        <v>218</v>
      </c>
      <c r="I498" s="62"/>
      <c r="J498" s="211" t="e">
        <f>(#REF!*0)</f>
        <v>#REF!</v>
      </c>
      <c r="K498" s="211"/>
      <c r="L498" s="5"/>
      <c r="M498" s="28"/>
      <c r="N498" s="28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>
      <c r="A499" s="63" t="s">
        <v>197</v>
      </c>
      <c r="B499" s="62"/>
      <c r="C499" s="62"/>
      <c r="D499" s="62"/>
      <c r="E499" s="62"/>
      <c r="F499" s="62"/>
      <c r="G499" s="62"/>
      <c r="H499" s="212" t="s">
        <v>219</v>
      </c>
      <c r="I499" s="62"/>
      <c r="J499" s="211" t="e">
        <f>J498*0.1222</f>
        <v>#REF!</v>
      </c>
      <c r="K499" s="211"/>
      <c r="L499" s="5"/>
      <c r="M499" s="28"/>
      <c r="N499" s="28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>
      <c r="A500" s="222" t="s">
        <v>198</v>
      </c>
      <c r="B500" s="208"/>
      <c r="C500" s="202"/>
      <c r="D500" s="62"/>
      <c r="E500" s="62"/>
      <c r="F500" s="62"/>
      <c r="G500" s="62"/>
      <c r="H500" s="212" t="s">
        <v>220</v>
      </c>
      <c r="I500" s="62"/>
      <c r="J500" s="211" t="e">
        <f>J498*0.1222</f>
        <v>#REF!</v>
      </c>
      <c r="K500" s="211"/>
      <c r="L500" s="5"/>
      <c r="M500" s="28"/>
      <c r="N500" s="28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>
      <c r="A501" s="210" t="s">
        <v>195</v>
      </c>
      <c r="B501" s="223"/>
      <c r="C501" s="208"/>
      <c r="D501" s="208">
        <v>10312</v>
      </c>
      <c r="E501" s="208"/>
      <c r="F501" s="224" t="s">
        <v>141</v>
      </c>
      <c r="G501" s="208"/>
      <c r="H501" s="214" t="s">
        <v>217</v>
      </c>
      <c r="I501" s="208"/>
      <c r="J501" s="230"/>
      <c r="K501" s="230">
        <f>F175</f>
        <v>0</v>
      </c>
      <c r="L501" s="5"/>
      <c r="M501" s="28"/>
      <c r="N501" s="28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>
      <c r="L502" s="5"/>
      <c r="M502" s="28"/>
      <c r="N502" s="28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>
      <c r="A503" s="28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28"/>
      <c r="N503" s="28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15.75">
      <c r="A504" s="196" t="s">
        <v>71</v>
      </c>
      <c r="B504" s="95"/>
      <c r="C504" s="95"/>
      <c r="D504" s="95"/>
      <c r="E504" s="95"/>
      <c r="F504" s="95" t="str">
        <f>I130</f>
        <v>PAIE SEMAINE 45</v>
      </c>
      <c r="G504" s="5"/>
      <c r="H504" s="5"/>
      <c r="K504" s="95">
        <f>F130</f>
        <v>2017</v>
      </c>
      <c r="L504" s="5"/>
      <c r="M504" s="28"/>
      <c r="N504" s="28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15.75">
      <c r="A505" s="196"/>
      <c r="B505" s="95"/>
      <c r="C505" s="95"/>
      <c r="D505" s="95"/>
      <c r="E505" s="95"/>
      <c r="F505" s="5"/>
      <c r="G505" s="5"/>
      <c r="H505" s="5"/>
      <c r="I505" s="5"/>
      <c r="J505" s="95"/>
      <c r="L505" s="5"/>
      <c r="M505" s="28"/>
      <c r="N505" s="28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15.75">
      <c r="A506" s="196"/>
      <c r="B506" s="9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28"/>
      <c r="N506" s="28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15.75">
      <c r="A507" s="196" t="s">
        <v>241</v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28"/>
      <c r="N507" s="28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15.75">
      <c r="A508" s="28"/>
      <c r="B508" s="5"/>
      <c r="C508" s="5"/>
      <c r="G508" s="95"/>
      <c r="H508" s="5"/>
      <c r="I508" s="5"/>
      <c r="L508" s="5"/>
      <c r="M508" s="28"/>
      <c r="N508" s="28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15.75">
      <c r="A509" s="28"/>
      <c r="B509" s="85"/>
      <c r="C509" s="5"/>
      <c r="D509" s="95" t="s">
        <v>184</v>
      </c>
      <c r="E509" s="5"/>
      <c r="F509" s="95" t="s">
        <v>185</v>
      </c>
      <c r="G509" s="5"/>
      <c r="H509" s="199" t="s">
        <v>186</v>
      </c>
      <c r="I509" s="5"/>
      <c r="J509" s="199" t="s">
        <v>187</v>
      </c>
      <c r="K509" s="199" t="s">
        <v>188</v>
      </c>
      <c r="L509" s="5"/>
      <c r="M509" s="28"/>
      <c r="N509" s="28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>
      <c r="A510" s="28"/>
      <c r="B510" s="85"/>
      <c r="C510" s="5"/>
      <c r="D510" s="5"/>
      <c r="E510" s="5"/>
      <c r="F510" s="5"/>
      <c r="G510" s="5"/>
      <c r="H510" s="200"/>
      <c r="I510" s="5"/>
      <c r="J510" s="69"/>
      <c r="K510" s="69"/>
      <c r="L510" s="5"/>
      <c r="M510" s="28"/>
      <c r="N510" s="28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>
      <c r="A511" s="201" t="s">
        <v>189</v>
      </c>
      <c r="B511" s="202"/>
      <c r="C511" s="202"/>
      <c r="D511" s="202"/>
      <c r="E511" s="202"/>
      <c r="F511" s="203"/>
      <c r="G511" s="203"/>
      <c r="H511" s="204" t="s">
        <v>242</v>
      </c>
      <c r="I511" s="202"/>
      <c r="J511" s="205"/>
      <c r="K511" s="205"/>
      <c r="L511" s="5"/>
      <c r="M511" s="28"/>
      <c r="N511" s="28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>
      <c r="A512" s="201" t="s">
        <v>190</v>
      </c>
      <c r="B512" s="202"/>
      <c r="C512" s="202"/>
      <c r="D512" s="202"/>
      <c r="E512" s="202"/>
      <c r="F512" s="203"/>
      <c r="G512" s="203"/>
      <c r="H512" s="204" t="s">
        <v>243</v>
      </c>
      <c r="I512" s="202"/>
      <c r="J512" s="205"/>
      <c r="K512" s="205"/>
      <c r="L512" s="5"/>
      <c r="M512" s="28"/>
      <c r="N512" s="28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>
      <c r="A513" s="201" t="s">
        <v>206</v>
      </c>
      <c r="B513" s="202"/>
      <c r="C513" s="202"/>
      <c r="D513" s="202"/>
      <c r="E513" s="202"/>
      <c r="F513" s="203"/>
      <c r="G513" s="203"/>
      <c r="H513" s="204" t="s">
        <v>244</v>
      </c>
      <c r="I513" s="202"/>
      <c r="J513" s="205"/>
      <c r="K513" s="205"/>
      <c r="L513" s="5"/>
      <c r="M513" s="28"/>
      <c r="N513" s="28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>
      <c r="A514" s="201" t="s">
        <v>191</v>
      </c>
      <c r="B514" s="202"/>
      <c r="C514" s="202"/>
      <c r="D514" s="202"/>
      <c r="E514" s="202"/>
      <c r="F514" s="203"/>
      <c r="G514" s="203"/>
      <c r="H514" s="204" t="s">
        <v>245</v>
      </c>
      <c r="I514" s="202"/>
      <c r="J514" s="205">
        <f>J511*0.1262</f>
        <v>0</v>
      </c>
      <c r="K514" s="205"/>
      <c r="L514" s="5"/>
      <c r="M514" s="28"/>
      <c r="N514" s="28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>
      <c r="A515" s="201" t="s">
        <v>192</v>
      </c>
      <c r="B515" s="202"/>
      <c r="C515" s="202"/>
      <c r="D515" s="202"/>
      <c r="E515" s="202"/>
      <c r="F515" s="203"/>
      <c r="G515" s="203"/>
      <c r="H515" s="204" t="s">
        <v>246</v>
      </c>
      <c r="I515" s="202"/>
      <c r="J515" s="205">
        <f>J512*0.1262</f>
        <v>0</v>
      </c>
      <c r="K515" s="205"/>
      <c r="L515" s="5"/>
      <c r="M515" s="28"/>
      <c r="N515" s="28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>
      <c r="A516" s="201" t="s">
        <v>232</v>
      </c>
      <c r="B516" s="202"/>
      <c r="C516" s="202"/>
      <c r="D516" s="202"/>
      <c r="E516" s="202"/>
      <c r="F516" s="203"/>
      <c r="G516" s="203"/>
      <c r="H516" s="204" t="s">
        <v>247</v>
      </c>
      <c r="I516" s="202"/>
      <c r="J516" s="205">
        <f>J513*0.1262</f>
        <v>0</v>
      </c>
      <c r="K516" s="205"/>
      <c r="L516" s="5"/>
      <c r="M516" s="28"/>
      <c r="N516" s="28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>
      <c r="A517" s="201" t="s">
        <v>193</v>
      </c>
      <c r="B517" s="202"/>
      <c r="C517" s="202"/>
      <c r="D517" s="202"/>
      <c r="E517" s="202"/>
      <c r="F517" s="203"/>
      <c r="G517" s="203"/>
      <c r="H517" s="204" t="s">
        <v>248</v>
      </c>
      <c r="I517" s="202"/>
      <c r="J517" s="205">
        <f>J511*0.1262</f>
        <v>0</v>
      </c>
      <c r="K517" s="202"/>
      <c r="L517" s="5"/>
      <c r="M517" s="28"/>
      <c r="N517" s="28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>
      <c r="A518" s="201" t="s">
        <v>194</v>
      </c>
      <c r="B518" s="206"/>
      <c r="C518" s="202"/>
      <c r="D518" s="202"/>
      <c r="E518" s="202"/>
      <c r="F518" s="203"/>
      <c r="G518" s="203"/>
      <c r="H518" s="204" t="s">
        <v>249</v>
      </c>
      <c r="I518" s="202"/>
      <c r="J518" s="205">
        <f>J512*0.1262</f>
        <v>0</v>
      </c>
      <c r="K518" s="202"/>
      <c r="L518" s="5"/>
      <c r="M518" s="28"/>
      <c r="N518" s="28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>
      <c r="A519" s="201" t="s">
        <v>240</v>
      </c>
      <c r="B519" s="206"/>
      <c r="C519" s="202"/>
      <c r="D519" s="202"/>
      <c r="E519" s="202"/>
      <c r="F519" s="203"/>
      <c r="G519" s="203"/>
      <c r="H519" s="204" t="s">
        <v>250</v>
      </c>
      <c r="I519" s="202"/>
      <c r="J519" s="205">
        <f>J513*0.1262</f>
        <v>0</v>
      </c>
      <c r="K519" s="202"/>
      <c r="L519" s="5"/>
      <c r="M519" s="28"/>
      <c r="N519" s="28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>
      <c r="A520" s="207" t="s">
        <v>195</v>
      </c>
      <c r="B520" s="208"/>
      <c r="C520" s="208"/>
      <c r="D520" s="231">
        <v>10043</v>
      </c>
      <c r="E520" s="202"/>
      <c r="F520" s="203" t="s">
        <v>147</v>
      </c>
      <c r="G520" s="203"/>
      <c r="H520" s="209">
        <v>215</v>
      </c>
      <c r="I520" s="202"/>
      <c r="J520" s="205"/>
      <c r="K520" s="205">
        <f>F183</f>
        <v>0</v>
      </c>
      <c r="L520" s="5"/>
      <c r="M520" s="28"/>
      <c r="N520" s="28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>
      <c r="A521" s="210"/>
      <c r="C521" s="208"/>
      <c r="D521" s="201"/>
      <c r="E521" s="202"/>
      <c r="F521" s="203"/>
      <c r="G521" s="203"/>
      <c r="H521" s="27"/>
      <c r="I521" s="202"/>
      <c r="J521" s="205"/>
      <c r="K521" s="205"/>
      <c r="L521" s="5"/>
      <c r="M521" s="28"/>
      <c r="N521" s="28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>
      <c r="B522" s="62"/>
      <c r="D522" s="63"/>
      <c r="E522" s="62"/>
      <c r="F522" s="62"/>
      <c r="G522" s="62"/>
      <c r="H522" s="231"/>
      <c r="I522" s="62"/>
      <c r="J522" s="211"/>
      <c r="K522" s="211"/>
      <c r="L522" s="5"/>
      <c r="M522" s="28"/>
      <c r="N522" s="28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>
      <c r="A523" s="63" t="s">
        <v>196</v>
      </c>
      <c r="B523" s="62"/>
      <c r="C523" s="62"/>
      <c r="D523" s="63"/>
      <c r="E523" s="62"/>
      <c r="F523" s="62"/>
      <c r="G523" s="62"/>
      <c r="H523" s="62">
        <v>22</v>
      </c>
      <c r="I523" s="62"/>
      <c r="J523" s="211"/>
      <c r="K523" s="211"/>
      <c r="L523" s="5"/>
      <c r="M523" s="28"/>
      <c r="N523" s="28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>
      <c r="A524" s="63" t="s">
        <v>197</v>
      </c>
      <c r="B524" s="62"/>
      <c r="C524" s="62"/>
      <c r="D524" s="63"/>
      <c r="E524" s="62"/>
      <c r="F524" s="62"/>
      <c r="G524" s="62"/>
      <c r="H524" s="62">
        <v>25</v>
      </c>
      <c r="I524" s="62"/>
      <c r="J524" s="211">
        <f>J523*0.1222</f>
        <v>0</v>
      </c>
      <c r="K524" s="211"/>
      <c r="L524" s="5"/>
      <c r="M524" s="28"/>
      <c r="N524" s="28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>
      <c r="A525" s="63" t="s">
        <v>198</v>
      </c>
      <c r="B525" s="208"/>
      <c r="C525" s="62"/>
      <c r="D525" s="63"/>
      <c r="E525" s="62"/>
      <c r="F525" s="62"/>
      <c r="G525" s="62"/>
      <c r="H525" s="62">
        <v>23</v>
      </c>
      <c r="I525" s="62"/>
      <c r="J525" s="211">
        <f>J523*0.1222</f>
        <v>0</v>
      </c>
      <c r="K525" s="211"/>
      <c r="L525" s="5"/>
      <c r="M525" s="28"/>
      <c r="N525" s="28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>
      <c r="A526" s="210" t="s">
        <v>195</v>
      </c>
      <c r="B526" s="208"/>
      <c r="C526" s="208"/>
      <c r="D526" s="63">
        <v>10043</v>
      </c>
      <c r="E526" s="62"/>
      <c r="F526" s="213" t="s">
        <v>156</v>
      </c>
      <c r="G526" s="62"/>
      <c r="H526" s="62">
        <v>215</v>
      </c>
      <c r="I526" s="62"/>
      <c r="J526" s="211"/>
      <c r="K526" s="211">
        <v>0</v>
      </c>
      <c r="M526" s="27"/>
      <c r="N526" s="2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>
      <c r="A527" s="210"/>
      <c r="B527" s="62"/>
      <c r="C527" s="208"/>
      <c r="D527" s="63"/>
      <c r="E527" s="62"/>
      <c r="F527" s="62"/>
      <c r="G527" s="62"/>
      <c r="H527" s="62"/>
      <c r="I527" s="62"/>
      <c r="J527" s="62"/>
      <c r="K527" s="62"/>
      <c r="M527" s="27"/>
      <c r="N527" s="2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>
      <c r="A528" s="63"/>
      <c r="B528" s="62"/>
      <c r="D528" s="63"/>
      <c r="E528" s="62"/>
      <c r="F528" s="62"/>
      <c r="G528" s="62"/>
      <c r="H528" s="62"/>
      <c r="I528" s="62"/>
      <c r="J528" s="62"/>
      <c r="K528" s="62"/>
      <c r="M528" s="27"/>
      <c r="N528" s="2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>
      <c r="A529" s="63" t="s">
        <v>196</v>
      </c>
      <c r="B529" s="62"/>
      <c r="C529" s="62"/>
      <c r="D529" s="63"/>
      <c r="E529" s="62"/>
      <c r="F529" s="62"/>
      <c r="G529" s="62"/>
      <c r="H529" s="62">
        <v>22</v>
      </c>
      <c r="I529" s="62"/>
      <c r="J529" s="211" t="e">
        <f>(#REF!*0)</f>
        <v>#REF!</v>
      </c>
      <c r="K529" s="211"/>
      <c r="M529" s="27"/>
      <c r="N529" s="2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>
      <c r="A530" s="63" t="s">
        <v>197</v>
      </c>
      <c r="B530" s="62"/>
      <c r="C530" s="62"/>
      <c r="D530" s="63"/>
      <c r="E530" s="62"/>
      <c r="F530" s="62"/>
      <c r="G530" s="62"/>
      <c r="H530" s="62">
        <v>25</v>
      </c>
      <c r="I530" s="62"/>
      <c r="J530" s="211" t="e">
        <f>J529*0.1222</f>
        <v>#REF!</v>
      </c>
      <c r="K530" s="211"/>
      <c r="M530" s="27"/>
      <c r="N530" s="2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>
      <c r="A531" s="222" t="s">
        <v>198</v>
      </c>
      <c r="B531" s="208"/>
      <c r="C531" s="202"/>
      <c r="D531" s="63"/>
      <c r="E531" s="62"/>
      <c r="F531" s="62"/>
      <c r="G531" s="62"/>
      <c r="H531" s="62">
        <v>23</v>
      </c>
      <c r="I531" s="62"/>
      <c r="J531" s="211" t="e">
        <f>J529*0.1222</f>
        <v>#REF!</v>
      </c>
      <c r="K531" s="211"/>
      <c r="M531" s="27"/>
      <c r="N531" s="2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>
      <c r="A532" s="210" t="s">
        <v>195</v>
      </c>
      <c r="B532" s="223"/>
      <c r="C532" s="208"/>
      <c r="D532" s="210">
        <v>10043</v>
      </c>
      <c r="E532" s="208"/>
      <c r="F532" s="224" t="s">
        <v>141</v>
      </c>
      <c r="G532" s="208"/>
      <c r="H532" s="169">
        <v>215</v>
      </c>
      <c r="I532" s="208"/>
      <c r="J532" s="230"/>
      <c r="K532" s="230">
        <v>0</v>
      </c>
      <c r="M532" s="27"/>
      <c r="N532" s="2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>
      <c r="D533" s="27"/>
      <c r="M533" s="27"/>
      <c r="N533" s="2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>
      <c r="M534" s="27"/>
      <c r="N534" s="2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>
      <c r="M535" s="27"/>
      <c r="N535" s="2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>
      <c r="A536" s="12"/>
      <c r="M536" s="27"/>
      <c r="N536" s="2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>
      <c r="A537" s="12"/>
      <c r="M537" s="27"/>
      <c r="N537" s="2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>
      <c r="A538" s="12"/>
      <c r="M538" s="27"/>
      <c r="N538" s="2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>
      <c r="A539" s="12"/>
      <c r="M539" s="27"/>
      <c r="N539" s="2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>
      <c r="A540" s="12"/>
      <c r="M540" s="27"/>
      <c r="N540" s="2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>
      <c r="A541" s="12"/>
      <c r="M541" s="27"/>
      <c r="N541" s="2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>
      <c r="A542" s="12"/>
      <c r="M542" s="27"/>
      <c r="N542" s="2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>
      <c r="A543" s="12"/>
      <c r="M543" s="27"/>
      <c r="N543" s="2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>
      <c r="A544" s="12"/>
      <c r="M544" s="27"/>
      <c r="N544" s="2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>
      <c r="A545" s="12"/>
      <c r="M545" s="27"/>
      <c r="N545" s="2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>
      <c r="A546" s="12"/>
      <c r="M546" s="27"/>
      <c r="N546" s="2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>
      <c r="A547" s="12"/>
      <c r="M547" s="27"/>
      <c r="N547" s="2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>
      <c r="A548" s="12"/>
      <c r="M548" s="27"/>
      <c r="N548" s="2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>
      <c r="A549" s="12"/>
      <c r="M549" s="27"/>
      <c r="N549" s="2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>
      <c r="A550" s="12"/>
      <c r="M550" s="27"/>
      <c r="N550" s="2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>
      <c r="A551" s="12"/>
      <c r="M551" s="27"/>
      <c r="N551" s="2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>
      <c r="A552" s="12"/>
      <c r="M552" s="27"/>
      <c r="N552" s="2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ht="18">
      <c r="A553" s="12"/>
      <c r="K553" s="100"/>
      <c r="M553" s="27"/>
      <c r="N553" s="2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>
      <c r="A554" s="12"/>
      <c r="M554" s="27"/>
      <c r="N554" s="2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>
      <c r="A555" s="12"/>
      <c r="M555" s="27"/>
      <c r="N555" s="2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>
      <c r="A556" s="12"/>
      <c r="M556" s="27"/>
      <c r="N556" s="2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>
      <c r="A557" s="12"/>
      <c r="M557" s="27"/>
      <c r="N557" s="2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>
      <c r="A558" s="12"/>
      <c r="M558" s="27"/>
      <c r="N558" s="2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>
      <c r="A559" s="12"/>
      <c r="M559" s="27"/>
      <c r="N559" s="2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>
      <c r="A560" s="12"/>
      <c r="M560" s="27"/>
      <c r="N560" s="2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>
      <c r="A561" s="12"/>
      <c r="M561" s="27"/>
      <c r="N561" s="2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>
      <c r="A562" s="12"/>
      <c r="M562" s="27"/>
      <c r="N562" s="2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>
      <c r="A563" s="12"/>
      <c r="M563" s="27"/>
      <c r="N563" s="2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>
      <c r="A564" s="12"/>
      <c r="M564" s="27"/>
      <c r="N564" s="2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>
      <c r="A565" s="12"/>
      <c r="M565" s="27"/>
      <c r="N565" s="27"/>
      <c r="O565" s="5"/>
    </row>
    <row r="566" spans="1:32">
      <c r="A566" s="12"/>
      <c r="M566" s="27"/>
      <c r="N566" s="27"/>
    </row>
    <row r="567" spans="1:32">
      <c r="A567" s="12"/>
      <c r="M567" s="27"/>
      <c r="N567" s="27"/>
    </row>
    <row r="568" spans="1:32">
      <c r="A568" s="12"/>
      <c r="M568" s="27"/>
      <c r="N568" s="27"/>
    </row>
    <row r="569" spans="1:32">
      <c r="A569" s="12"/>
      <c r="M569" s="27"/>
      <c r="N569" s="27"/>
    </row>
    <row r="570" spans="1:32">
      <c r="A570" s="12"/>
      <c r="M570" s="27"/>
      <c r="N570" s="27"/>
    </row>
    <row r="571" spans="1:32">
      <c r="A571" s="12"/>
      <c r="M571" s="27"/>
      <c r="N571" s="27"/>
    </row>
    <row r="572" spans="1:32">
      <c r="A572" s="12"/>
      <c r="M572" s="27"/>
      <c r="N572" s="27"/>
    </row>
    <row r="573" spans="1:32">
      <c r="A573" s="12"/>
      <c r="M573" s="27"/>
      <c r="N573" s="27"/>
    </row>
    <row r="574" spans="1:32">
      <c r="A574" s="12"/>
      <c r="M574" s="27"/>
      <c r="N574" s="27"/>
    </row>
    <row r="575" spans="1:32">
      <c r="A575" s="12"/>
      <c r="M575" s="27"/>
      <c r="N575" s="27"/>
    </row>
    <row r="576" spans="1:32">
      <c r="A576" s="12"/>
      <c r="M576" s="27"/>
      <c r="N576" s="27"/>
    </row>
    <row r="577" spans="1:14">
      <c r="A577" s="12"/>
      <c r="M577" s="27"/>
      <c r="N577" s="27"/>
    </row>
    <row r="578" spans="1:14">
      <c r="A578" s="12"/>
      <c r="M578" s="27"/>
      <c r="N578" s="27"/>
    </row>
    <row r="579" spans="1:14">
      <c r="A579" s="12"/>
      <c r="M579" s="27"/>
      <c r="N579" s="27"/>
    </row>
    <row r="580" spans="1:14">
      <c r="A580" s="12"/>
      <c r="M580" s="27"/>
      <c r="N580" s="27"/>
    </row>
    <row r="581" spans="1:14">
      <c r="A581" s="12"/>
      <c r="M581" s="27"/>
      <c r="N581" s="27"/>
    </row>
    <row r="582" spans="1:14">
      <c r="A582" s="12"/>
      <c r="M582" s="27"/>
      <c r="N582" s="27"/>
    </row>
    <row r="583" spans="1:14">
      <c r="A583" s="12"/>
      <c r="M583" s="27"/>
      <c r="N583" s="27"/>
    </row>
  </sheetData>
  <pageMargins left="0.25" right="0.25" top="0.75" bottom="0.75" header="0.3" footer="0.3"/>
  <pageSetup scale="63" fitToHeight="0" orientation="portrait" r:id="rId1"/>
  <headerFooter alignWithMargins="0"/>
  <rowBreaks count="1" manualBreakCount="1">
    <brk id="27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zoomScale="70" zoomScaleNormal="70" workbookViewId="0">
      <selection activeCell="D6" sqref="D6"/>
    </sheetView>
  </sheetViews>
  <sheetFormatPr baseColWidth="10" defaultColWidth="11.42578125" defaultRowHeight="15"/>
  <cols>
    <col min="1" max="1" width="12.42578125" style="235" customWidth="1"/>
    <col min="2" max="2" width="23" style="235" customWidth="1"/>
    <col min="3" max="3" width="42.28515625" style="314" customWidth="1"/>
    <col min="4" max="4" width="14.140625" style="235" customWidth="1"/>
    <col min="5" max="5" width="14.85546875" style="235" customWidth="1"/>
    <col min="6" max="7" width="14.5703125" style="235" customWidth="1"/>
    <col min="8" max="16384" width="11.42578125" style="235"/>
  </cols>
  <sheetData>
    <row r="1" spans="1:7" ht="18">
      <c r="A1" s="232" t="s">
        <v>367</v>
      </c>
      <c r="B1" s="233"/>
      <c r="C1" s="233"/>
      <c r="D1" s="234">
        <v>2017</v>
      </c>
      <c r="E1" s="233"/>
      <c r="F1" s="233"/>
    </row>
    <row r="2" spans="1:7">
      <c r="A2" s="233"/>
      <c r="B2" s="233"/>
      <c r="C2" s="233"/>
      <c r="D2" s="233"/>
      <c r="E2" s="233"/>
      <c r="F2" s="233"/>
    </row>
    <row r="3" spans="1:7">
      <c r="A3" s="233"/>
      <c r="B3" s="233"/>
      <c r="C3" s="233"/>
      <c r="D3" s="270"/>
      <c r="E3" s="233"/>
      <c r="F3" s="233"/>
    </row>
    <row r="4" spans="1:7">
      <c r="A4" s="233"/>
      <c r="B4" s="233"/>
      <c r="C4" s="233"/>
      <c r="D4" s="270"/>
      <c r="E4" s="233"/>
      <c r="F4" s="233"/>
    </row>
    <row r="5" spans="1:7" ht="15.75">
      <c r="A5" s="239"/>
      <c r="B5" s="236"/>
      <c r="C5" s="310" t="s">
        <v>357</v>
      </c>
      <c r="D5" s="300">
        <v>886.38</v>
      </c>
      <c r="E5" s="301" t="s">
        <v>358</v>
      </c>
      <c r="F5" s="236"/>
    </row>
    <row r="6" spans="1:7" ht="15.75">
      <c r="A6" s="239"/>
      <c r="B6" s="240"/>
      <c r="C6" s="311" t="s">
        <v>373</v>
      </c>
      <c r="D6" s="303">
        <v>75</v>
      </c>
      <c r="E6" s="301" t="s">
        <v>374</v>
      </c>
      <c r="F6" s="252"/>
      <c r="G6" s="252"/>
    </row>
    <row r="7" spans="1:7" ht="15.75">
      <c r="A7" s="60"/>
      <c r="B7" s="317"/>
      <c r="C7" s="311"/>
      <c r="D7" s="304"/>
      <c r="E7" s="301"/>
      <c r="F7" s="252"/>
    </row>
    <row r="8" spans="1:7">
      <c r="A8" s="53"/>
      <c r="B8" s="317"/>
      <c r="C8" s="312"/>
      <c r="D8" s="304"/>
      <c r="E8" s="301"/>
      <c r="F8" s="252"/>
    </row>
    <row r="9" spans="1:7">
      <c r="A9" s="53"/>
      <c r="B9" s="53"/>
      <c r="C9" s="313"/>
      <c r="D9" s="267"/>
      <c r="E9" s="301"/>
      <c r="F9" s="253"/>
    </row>
    <row r="10" spans="1:7">
      <c r="B10" s="318"/>
      <c r="C10" s="313"/>
      <c r="D10" s="302"/>
      <c r="E10" s="301"/>
      <c r="F10" s="254"/>
      <c r="G10" s="256"/>
    </row>
    <row r="11" spans="1:7">
      <c r="B11" s="317"/>
      <c r="C11" s="313"/>
      <c r="D11" s="305"/>
      <c r="E11" s="306"/>
      <c r="F11" s="254"/>
    </row>
    <row r="12" spans="1:7">
      <c r="A12" s="12"/>
      <c r="B12" s="229"/>
      <c r="C12" s="313"/>
      <c r="D12" s="267"/>
      <c r="E12" s="307"/>
      <c r="F12" s="237"/>
    </row>
    <row r="13" spans="1:7">
      <c r="A13" s="12"/>
      <c r="B13" s="319"/>
      <c r="C13" s="229"/>
      <c r="D13" s="308"/>
      <c r="E13" s="309"/>
      <c r="F13" s="237"/>
    </row>
    <row r="14" spans="1:7">
      <c r="A14" s="233"/>
      <c r="B14" s="317"/>
      <c r="C14" s="313"/>
      <c r="D14" s="304"/>
      <c r="E14" s="237"/>
      <c r="F14" s="237"/>
    </row>
    <row r="15" spans="1:7">
      <c r="A15" s="233"/>
      <c r="D15" s="268"/>
      <c r="E15" s="237"/>
      <c r="F15" s="237"/>
    </row>
    <row r="16" spans="1:7">
      <c r="A16" s="12"/>
      <c r="B16" s="27"/>
      <c r="C16" s="12"/>
      <c r="D16" s="269"/>
      <c r="E16" s="238"/>
      <c r="F16" s="238"/>
    </row>
    <row r="17" spans="1:7">
      <c r="A17" s="12"/>
      <c r="D17" s="255"/>
      <c r="E17" s="237"/>
      <c r="F17" s="241"/>
    </row>
    <row r="18" spans="1:7">
      <c r="A18" s="240"/>
      <c r="B18" s="12" t="s">
        <v>251</v>
      </c>
      <c r="D18" s="258"/>
      <c r="E18" s="261"/>
      <c r="F18" s="241"/>
      <c r="G18" s="257"/>
    </row>
    <row r="19" spans="1:7">
      <c r="A19" s="240"/>
      <c r="B19" s="251"/>
      <c r="D19" s="263"/>
      <c r="E19" s="262"/>
      <c r="F19" s="241"/>
      <c r="G19" s="255"/>
    </row>
    <row r="20" spans="1:7">
      <c r="A20" s="236"/>
      <c r="B20" s="195"/>
      <c r="D20" s="272"/>
      <c r="E20" s="262"/>
      <c r="F20" s="241"/>
    </row>
    <row r="21" spans="1:7">
      <c r="B21" s="27"/>
      <c r="C21" s="12"/>
      <c r="D21" s="261"/>
      <c r="E21" s="262"/>
      <c r="F21" s="241"/>
    </row>
    <row r="22" spans="1:7">
      <c r="A22" s="236"/>
      <c r="B22" s="236"/>
      <c r="C22" s="236"/>
      <c r="D22" s="271"/>
      <c r="E22" s="262"/>
      <c r="F22" s="241"/>
    </row>
    <row r="23" spans="1:7" ht="15.75">
      <c r="A23" s="239"/>
      <c r="B23" s="236"/>
      <c r="C23" s="236"/>
      <c r="D23" s="266"/>
      <c r="E23" s="266"/>
      <c r="F23" s="241"/>
    </row>
    <row r="24" spans="1:7">
      <c r="A24" s="236"/>
      <c r="B24" s="27"/>
      <c r="C24" s="195"/>
      <c r="D24" s="268"/>
      <c r="E24" s="242"/>
      <c r="F24" s="241"/>
    </row>
    <row r="25" spans="1:7">
      <c r="A25" s="236"/>
      <c r="D25" s="255"/>
      <c r="E25" s="243"/>
      <c r="F25" s="241"/>
    </row>
    <row r="26" spans="1:7">
      <c r="A26" s="236"/>
      <c r="B26" s="236"/>
      <c r="C26" s="315"/>
      <c r="D26" s="260"/>
      <c r="E26" s="240"/>
      <c r="F26" s="240"/>
    </row>
    <row r="27" spans="1:7">
      <c r="A27" s="236"/>
      <c r="B27" s="236"/>
      <c r="C27" s="236"/>
      <c r="D27" s="266"/>
      <c r="E27" s="242"/>
      <c r="F27" s="242"/>
    </row>
    <row r="28" spans="1:7">
      <c r="A28" s="236"/>
      <c r="B28" s="236"/>
      <c r="C28" s="236"/>
      <c r="D28" s="266"/>
      <c r="E28" s="242"/>
      <c r="F28" s="242"/>
    </row>
    <row r="29" spans="1:7">
      <c r="A29" s="236"/>
      <c r="B29" s="236"/>
      <c r="C29" s="236"/>
      <c r="D29" s="266"/>
      <c r="E29" s="242"/>
      <c r="F29" s="242"/>
    </row>
    <row r="30" spans="1:7">
      <c r="A30" s="233"/>
      <c r="B30" s="233"/>
      <c r="C30" s="233"/>
      <c r="D30" s="270"/>
      <c r="E30" s="233"/>
      <c r="F30" s="233"/>
    </row>
    <row r="31" spans="1:7">
      <c r="A31" s="233"/>
      <c r="B31" s="233"/>
      <c r="C31" s="233"/>
      <c r="D31" s="270"/>
      <c r="E31" s="233"/>
      <c r="F31" s="233"/>
    </row>
    <row r="32" spans="1:7">
      <c r="A32" s="233"/>
      <c r="B32" s="233"/>
      <c r="C32" s="233"/>
      <c r="D32" s="270"/>
      <c r="E32" s="233"/>
      <c r="F32" s="233"/>
    </row>
    <row r="33" spans="1:7">
      <c r="A33" s="233"/>
      <c r="D33" s="255"/>
    </row>
    <row r="41" spans="1:7">
      <c r="G41" s="12"/>
    </row>
    <row r="42" spans="1:7">
      <c r="G42" s="12"/>
    </row>
    <row r="43" spans="1:7">
      <c r="G43" s="12"/>
    </row>
    <row r="44" spans="1:7">
      <c r="G44" s="12"/>
    </row>
    <row r="45" spans="1:7">
      <c r="G45" s="12"/>
    </row>
    <row r="46" spans="1:7">
      <c r="G46" s="12"/>
    </row>
    <row r="47" spans="1:7">
      <c r="G47" s="12"/>
    </row>
    <row r="48" spans="1:7">
      <c r="G48" s="12"/>
    </row>
    <row r="49" spans="1:7">
      <c r="G49" s="12"/>
    </row>
    <row r="50" spans="1:7">
      <c r="A50" s="12"/>
      <c r="B50" s="27"/>
      <c r="C50" s="195"/>
      <c r="D50" s="12"/>
      <c r="E50" s="238"/>
      <c r="F50" s="238"/>
      <c r="G50" s="12"/>
    </row>
    <row r="51" spans="1:7">
      <c r="A51" s="12"/>
      <c r="B51" s="27"/>
      <c r="G51" s="12"/>
    </row>
    <row r="52" spans="1:7">
      <c r="A52" s="12"/>
      <c r="B52" s="12"/>
      <c r="C52" s="12"/>
      <c r="D52" s="12"/>
      <c r="E52" s="12"/>
      <c r="F52" s="12"/>
      <c r="G52" s="12"/>
    </row>
    <row r="53" spans="1:7">
      <c r="A53" s="12"/>
      <c r="B53" s="12"/>
      <c r="C53" s="12"/>
      <c r="D53" s="12"/>
      <c r="E53" s="12"/>
      <c r="F53" s="12"/>
      <c r="G53" s="12"/>
    </row>
    <row r="54" spans="1:7">
      <c r="A54" s="12"/>
      <c r="B54" s="12"/>
      <c r="C54" s="195"/>
      <c r="D54" s="12"/>
      <c r="E54" s="12"/>
      <c r="F54" s="12"/>
      <c r="G54" s="12"/>
    </row>
    <row r="55" spans="1:7">
      <c r="A55" s="12"/>
      <c r="B55" s="12"/>
      <c r="C55" s="316"/>
      <c r="D55" s="12"/>
      <c r="E55" s="195"/>
      <c r="F55" s="195"/>
      <c r="G55" s="12"/>
    </row>
    <row r="56" spans="1:7">
      <c r="A56" s="12"/>
      <c r="B56" s="12"/>
      <c r="C56" s="12"/>
      <c r="D56" s="12"/>
      <c r="E56" s="12"/>
      <c r="F56" s="12"/>
      <c r="G56" s="12"/>
    </row>
  </sheetData>
  <pageMargins left="0.7" right="0.7" top="0.75" bottom="0.75" header="0.3" footer="0.3"/>
  <pageSetup paperSize="11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VW</vt:lpstr>
      <vt:lpstr>Notes Paie</vt:lpstr>
      <vt:lpstr>Feuil1</vt:lpstr>
      <vt:lpstr>VW!Zone_d_impression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Ginette Turgeon</dc:creator>
  <cp:lastModifiedBy>USER</cp:lastModifiedBy>
  <cp:lastPrinted>2017-11-07T19:05:10Z</cp:lastPrinted>
  <dcterms:created xsi:type="dcterms:W3CDTF">2011-02-13T20:54:06Z</dcterms:created>
  <dcterms:modified xsi:type="dcterms:W3CDTF">2017-11-13T17:54:56Z</dcterms:modified>
</cp:coreProperties>
</file>