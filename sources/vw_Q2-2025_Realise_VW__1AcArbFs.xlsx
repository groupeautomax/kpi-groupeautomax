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5\"/>
    </mc:Choice>
  </mc:AlternateContent>
  <xr:revisionPtr revIDLastSave="0" documentId="13_ncr:1_{540F0E30-4246-4653-BC6B-28040F0DB579}" xr6:coauthVersionLast="47" xr6:coauthVersionMax="47" xr10:uidLastSave="{00000000-0000-0000-0000-000000000000}"/>
  <bookViews>
    <workbookView xWindow="-96" yWindow="-96" windowWidth="23232" windowHeight="13872" activeTab="1" xr2:uid="{508BF4A0-C9FC-49F5-A5A9-A2907877ABE5}"/>
  </bookViews>
  <sheets>
    <sheet name="Paramètre" sheetId="2" r:id="rId1"/>
    <sheet name="Conso" sheetId="1" r:id="rId2"/>
    <sheet name="START" sheetId="3" r:id="rId3"/>
    <sheet name="Avril 2025" sheetId="26" r:id="rId4"/>
    <sheet name="Mai 2025" sheetId="25" r:id="rId5"/>
    <sheet name="Juin 2025" sheetId="24" r:id="rId6"/>
    <sheet name="END" sheetId="4" r:id="rId7"/>
  </sheets>
  <externalReferences>
    <externalReference r:id="rId8"/>
    <externalReference r:id="rId9"/>
    <externalReference r:id="rId10"/>
    <externalReference r:id="rId11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5">#REF!</definedName>
    <definedName name="Ticker" localSheetId="4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'Avril 2025'!$C$1:$S$353,'Avril 2025'!$V$402:$AO$498</definedName>
    <definedName name="_xlnm.Print_Area" localSheetId="1">Conso!$C$1:$S$398,Conso!$V$401:$AO$497</definedName>
    <definedName name="_xlnm.Print_Area" localSheetId="5">'Juin 2025'!$C$1:$S$353,'Juin 2025'!$V$402:$AO$498</definedName>
    <definedName name="_xlnm.Print_Area" localSheetId="4">'Mai 2025'!$C$1:$S$353,'Mai 2025'!$V$402:$AO$498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AD432" i="1"/>
  <c r="X432" i="1"/>
  <c r="AD418" i="1"/>
  <c r="X418" i="1"/>
  <c r="N15" i="1"/>
  <c r="N191" i="1"/>
  <c r="L6" i="1" l="1"/>
  <c r="L36" i="1"/>
  <c r="L75" i="1"/>
  <c r="AH500" i="1" l="1"/>
  <c r="AL461" i="1"/>
  <c r="AF461" i="1"/>
  <c r="AN500" i="1"/>
  <c r="AL500" i="1"/>
  <c r="AF500" i="1"/>
  <c r="Z500" i="1"/>
  <c r="AF420" i="1" l="1"/>
  <c r="AN461" i="1"/>
  <c r="Q144" i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L347" i="1"/>
  <c r="I347" i="1"/>
  <c r="F347" i="1"/>
  <c r="L346" i="1"/>
  <c r="I346" i="1"/>
  <c r="F346" i="1"/>
  <c r="Q345" i="1"/>
  <c r="L345" i="1"/>
  <c r="I345" i="1"/>
  <c r="F345" i="1"/>
  <c r="Q284" i="1"/>
  <c r="L284" i="1"/>
  <c r="I284" i="1"/>
  <c r="F284" i="1"/>
  <c r="Q283" i="1"/>
  <c r="L283" i="1"/>
  <c r="I283" i="1"/>
  <c r="F283" i="1"/>
  <c r="Q282" i="1"/>
  <c r="L282" i="1"/>
  <c r="I282" i="1"/>
  <c r="F282" i="1"/>
  <c r="Q228" i="1"/>
  <c r="L228" i="1"/>
  <c r="I228" i="1"/>
  <c r="F228" i="1"/>
  <c r="Q227" i="1"/>
  <c r="L227" i="1"/>
  <c r="I227" i="1"/>
  <c r="F227" i="1"/>
  <c r="Q226" i="1"/>
  <c r="L226" i="1"/>
  <c r="I226" i="1"/>
  <c r="F226" i="1"/>
  <c r="Q209" i="1"/>
  <c r="L209" i="1"/>
  <c r="I209" i="1"/>
  <c r="F209" i="1"/>
  <c r="Q162" i="1"/>
  <c r="L162" i="1"/>
  <c r="I162" i="1"/>
  <c r="F162" i="1"/>
  <c r="L161" i="1"/>
  <c r="I161" i="1"/>
  <c r="Q160" i="1"/>
  <c r="L160" i="1"/>
  <c r="I160" i="1"/>
  <c r="F160" i="1"/>
  <c r="Q159" i="1"/>
  <c r="L159" i="1"/>
  <c r="I159" i="1"/>
  <c r="F159" i="1"/>
  <c r="L158" i="1"/>
  <c r="I158" i="1"/>
  <c r="F158" i="1"/>
  <c r="Q157" i="1"/>
  <c r="L157" i="1"/>
  <c r="I157" i="1"/>
  <c r="Q156" i="1"/>
  <c r="L156" i="1"/>
  <c r="I156" i="1"/>
  <c r="F156" i="1"/>
  <c r="Q152" i="1"/>
  <c r="L152" i="1"/>
  <c r="I152" i="1"/>
  <c r="F152" i="1"/>
  <c r="Q151" i="1"/>
  <c r="L151" i="1"/>
  <c r="I151" i="1"/>
  <c r="F151" i="1"/>
  <c r="Q150" i="1"/>
  <c r="L150" i="1"/>
  <c r="I150" i="1"/>
  <c r="F150" i="1"/>
  <c r="L149" i="1"/>
  <c r="I149" i="1"/>
  <c r="F149" i="1"/>
  <c r="Q148" i="1"/>
  <c r="L148" i="1"/>
  <c r="I148" i="1"/>
  <c r="F148" i="1"/>
  <c r="Q147" i="1"/>
  <c r="L147" i="1"/>
  <c r="I147" i="1"/>
  <c r="F147" i="1"/>
  <c r="L146" i="1"/>
  <c r="I146" i="1"/>
  <c r="F146" i="1"/>
  <c r="Q145" i="1"/>
  <c r="L145" i="1"/>
  <c r="I145" i="1"/>
  <c r="F145" i="1"/>
  <c r="L144" i="1"/>
  <c r="I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F140" i="1"/>
  <c r="L139" i="1"/>
  <c r="I139" i="1"/>
  <c r="F139" i="1"/>
  <c r="Q138" i="1"/>
  <c r="L138" i="1"/>
  <c r="I138" i="1"/>
  <c r="Q137" i="1"/>
  <c r="L137" i="1"/>
  <c r="I137" i="1"/>
  <c r="Q136" i="1"/>
  <c r="L136" i="1"/>
  <c r="I136" i="1"/>
  <c r="Q121" i="1"/>
  <c r="L121" i="1"/>
  <c r="I121" i="1"/>
  <c r="F121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F132" i="1"/>
  <c r="Q131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Q124" i="1"/>
  <c r="L124" i="1"/>
  <c r="I124" i="1"/>
  <c r="F124" i="1"/>
  <c r="L123" i="1"/>
  <c r="I123" i="1"/>
  <c r="F123" i="1"/>
  <c r="Q118" i="1"/>
  <c r="L118" i="1"/>
  <c r="I118" i="1"/>
  <c r="F118" i="1"/>
  <c r="Q117" i="1"/>
  <c r="L117" i="1"/>
  <c r="I117" i="1"/>
  <c r="F117" i="1"/>
  <c r="Q116" i="1"/>
  <c r="L116" i="1"/>
  <c r="I116" i="1"/>
  <c r="F116" i="1"/>
  <c r="Q115" i="1"/>
  <c r="L115" i="1"/>
  <c r="I115" i="1"/>
  <c r="F115" i="1"/>
  <c r="Q114" i="1"/>
  <c r="L114" i="1"/>
  <c r="I114" i="1"/>
  <c r="F114" i="1"/>
  <c r="Q113" i="1"/>
  <c r="L113" i="1"/>
  <c r="I113" i="1"/>
  <c r="F113" i="1"/>
  <c r="Q112" i="1"/>
  <c r="L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F494" i="1"/>
  <c r="AC494" i="1"/>
  <c r="AB494" i="1" s="1"/>
  <c r="AF493" i="1"/>
  <c r="AC493" i="1"/>
  <c r="AF492" i="1"/>
  <c r="AC492" i="1"/>
  <c r="AF491" i="1"/>
  <c r="AC491" i="1"/>
  <c r="AB491" i="1" s="1"/>
  <c r="AF490" i="1"/>
  <c r="AC490" i="1"/>
  <c r="AB490" i="1" s="1"/>
  <c r="AF489" i="1"/>
  <c r="AC489" i="1"/>
  <c r="Z489" i="1"/>
  <c r="AI489" i="1" s="1"/>
  <c r="AF463" i="1" l="1"/>
  <c r="AL464" i="1"/>
  <c r="AL463" i="1"/>
  <c r="AF464" i="1"/>
  <c r="AF462" i="1"/>
  <c r="N143" i="1"/>
  <c r="N156" i="1"/>
  <c r="N149" i="1"/>
  <c r="N124" i="1"/>
  <c r="N145" i="1"/>
  <c r="N114" i="1"/>
  <c r="N158" i="1"/>
  <c r="N132" i="1"/>
  <c r="N147" i="1"/>
  <c r="S118" i="1"/>
  <c r="N144" i="1"/>
  <c r="AH489" i="1"/>
  <c r="N126" i="1"/>
  <c r="S282" i="1"/>
  <c r="N129" i="1"/>
  <c r="N140" i="1"/>
  <c r="N117" i="1"/>
  <c r="S121" i="1"/>
  <c r="S116" i="1"/>
  <c r="N116" i="1"/>
  <c r="S113" i="1"/>
  <c r="N113" i="1"/>
  <c r="N141" i="1"/>
  <c r="N123" i="1"/>
  <c r="N127" i="1"/>
  <c r="N130" i="1"/>
  <c r="N133" i="1"/>
  <c r="N148" i="1"/>
  <c r="N142" i="1"/>
  <c r="S283" i="1"/>
  <c r="N128" i="1"/>
  <c r="N139" i="1"/>
  <c r="N146" i="1"/>
  <c r="N159" i="1"/>
  <c r="N131" i="1"/>
  <c r="N112" i="1"/>
  <c r="N115" i="1"/>
  <c r="N118" i="1"/>
  <c r="AB417" i="1"/>
  <c r="N227" i="1"/>
  <c r="N346" i="1"/>
  <c r="N347" i="1"/>
  <c r="S117" i="1"/>
  <c r="Q139" i="1"/>
  <c r="Q161" i="1"/>
  <c r="AL457" i="1"/>
  <c r="AL459" i="1"/>
  <c r="Q146" i="1"/>
  <c r="N150" i="1"/>
  <c r="S227" i="1"/>
  <c r="Q346" i="1"/>
  <c r="S346" i="1" s="1"/>
  <c r="Q120" i="1"/>
  <c r="S120" i="1" s="1"/>
  <c r="F157" i="1"/>
  <c r="N157" i="1" s="1"/>
  <c r="S284" i="1"/>
  <c r="AL452" i="1"/>
  <c r="Q123" i="1"/>
  <c r="S345" i="1"/>
  <c r="F137" i="1"/>
  <c r="N137" i="1" s="1"/>
  <c r="F161" i="1"/>
  <c r="AL460" i="1"/>
  <c r="N152" i="1"/>
  <c r="N161" i="1"/>
  <c r="F125" i="1"/>
  <c r="N125" i="1" s="1"/>
  <c r="N134" i="1"/>
  <c r="N121" i="1"/>
  <c r="AL454" i="1"/>
  <c r="F138" i="1"/>
  <c r="N138" i="1" s="1"/>
  <c r="AL455" i="1"/>
  <c r="F136" i="1"/>
  <c r="N136" i="1" s="1"/>
  <c r="N151" i="1"/>
  <c r="S209" i="1"/>
  <c r="S228" i="1"/>
  <c r="AL458" i="1"/>
  <c r="AB477" i="1"/>
  <c r="AB493" i="1"/>
  <c r="AB496" i="1"/>
  <c r="AB478" i="1"/>
  <c r="AB492" i="1"/>
  <c r="AB431" i="1"/>
  <c r="AB479" i="1"/>
  <c r="N119" i="1"/>
  <c r="N160" i="1"/>
  <c r="N162" i="1"/>
  <c r="N226" i="1"/>
  <c r="S347" i="1"/>
  <c r="J113" i="1"/>
  <c r="N345" i="1"/>
  <c r="S226" i="1"/>
  <c r="N228" i="1"/>
  <c r="N120" i="1"/>
  <c r="S119" i="1"/>
  <c r="S115" i="1"/>
  <c r="G113" i="1"/>
  <c r="S114" i="1"/>
  <c r="AB430" i="1"/>
  <c r="AN491" i="1"/>
  <c r="AN490" i="1"/>
  <c r="AO490" i="1" s="1"/>
  <c r="AN493" i="1"/>
  <c r="AO493" i="1"/>
  <c r="AN489" i="1"/>
  <c r="AB489" i="1"/>
  <c r="AN492" i="1"/>
  <c r="AO492" i="1" s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F468" i="1"/>
  <c r="AC468" i="1"/>
  <c r="AO461" i="1"/>
  <c r="AC461" i="1"/>
  <c r="Z461" i="1"/>
  <c r="AF460" i="1"/>
  <c r="AC460" i="1"/>
  <c r="AB460" i="1" s="1"/>
  <c r="AF459" i="1"/>
  <c r="AC459" i="1"/>
  <c r="AB459" i="1" s="1"/>
  <c r="AF458" i="1"/>
  <c r="AC458" i="1"/>
  <c r="AF457" i="1"/>
  <c r="AC457" i="1"/>
  <c r="AF456" i="1"/>
  <c r="AC456" i="1"/>
  <c r="AB456" i="1" s="1"/>
  <c r="AF455" i="1"/>
  <c r="AC455" i="1"/>
  <c r="AB455" i="1" s="1"/>
  <c r="AF454" i="1"/>
  <c r="AC454" i="1"/>
  <c r="AF453" i="1"/>
  <c r="AC453" i="1"/>
  <c r="AB453" i="1" s="1"/>
  <c r="AF452" i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F419" i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59" i="1"/>
  <c r="O359" i="1"/>
  <c r="L359" i="1"/>
  <c r="J359" i="1"/>
  <c r="I359" i="1"/>
  <c r="G359" i="1"/>
  <c r="F359" i="1"/>
  <c r="D359" i="1"/>
  <c r="M359" i="1" s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30" i="1"/>
  <c r="L330" i="1"/>
  <c r="I330" i="1"/>
  <c r="F330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R312" i="1" s="1"/>
  <c r="L312" i="1"/>
  <c r="J312" i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P303" i="1" s="1"/>
  <c r="L303" i="1"/>
  <c r="J303" i="1"/>
  <c r="I303" i="1"/>
  <c r="G303" i="1"/>
  <c r="H303" i="1" s="1"/>
  <c r="F303" i="1"/>
  <c r="D303" i="1"/>
  <c r="E303" i="1" s="1"/>
  <c r="Q302" i="1"/>
  <c r="O302" i="1"/>
  <c r="R302" i="1" s="1"/>
  <c r="L302" i="1"/>
  <c r="J302" i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N276" i="1" s="1"/>
  <c r="I276" i="1"/>
  <c r="F276" i="1"/>
  <c r="Q275" i="1"/>
  <c r="L275" i="1"/>
  <c r="I275" i="1"/>
  <c r="F275" i="1"/>
  <c r="Q274" i="1"/>
  <c r="L274" i="1"/>
  <c r="I274" i="1"/>
  <c r="F274" i="1"/>
  <c r="Q273" i="1"/>
  <c r="L273" i="1"/>
  <c r="N273" i="1" s="1"/>
  <c r="I273" i="1"/>
  <c r="F273" i="1"/>
  <c r="Q272" i="1"/>
  <c r="L272" i="1"/>
  <c r="I272" i="1"/>
  <c r="F272" i="1"/>
  <c r="Q271" i="1"/>
  <c r="L271" i="1"/>
  <c r="I271" i="1"/>
  <c r="F271" i="1"/>
  <c r="Q270" i="1"/>
  <c r="L270" i="1"/>
  <c r="N270" i="1" s="1"/>
  <c r="I270" i="1"/>
  <c r="F270" i="1"/>
  <c r="Q269" i="1"/>
  <c r="L269" i="1"/>
  <c r="I269" i="1"/>
  <c r="F269" i="1"/>
  <c r="Q268" i="1"/>
  <c r="L268" i="1"/>
  <c r="I268" i="1"/>
  <c r="F268" i="1"/>
  <c r="Q267" i="1"/>
  <c r="L267" i="1"/>
  <c r="N267" i="1" s="1"/>
  <c r="I267" i="1"/>
  <c r="F267" i="1"/>
  <c r="Q264" i="1"/>
  <c r="L264" i="1"/>
  <c r="I264" i="1"/>
  <c r="F264" i="1"/>
  <c r="Q263" i="1"/>
  <c r="L263" i="1"/>
  <c r="I263" i="1"/>
  <c r="F263" i="1"/>
  <c r="Q262" i="1"/>
  <c r="L262" i="1"/>
  <c r="N262" i="1" s="1"/>
  <c r="I262" i="1"/>
  <c r="F262" i="1"/>
  <c r="Q261" i="1"/>
  <c r="L261" i="1"/>
  <c r="I261" i="1"/>
  <c r="F261" i="1"/>
  <c r="Q260" i="1"/>
  <c r="L260" i="1"/>
  <c r="I260" i="1"/>
  <c r="F260" i="1"/>
  <c r="Q259" i="1"/>
  <c r="L259" i="1"/>
  <c r="N259" i="1" s="1"/>
  <c r="I259" i="1"/>
  <c r="F259" i="1"/>
  <c r="Q258" i="1"/>
  <c r="L258" i="1"/>
  <c r="I258" i="1"/>
  <c r="F258" i="1"/>
  <c r="Q257" i="1"/>
  <c r="L257" i="1"/>
  <c r="I257" i="1"/>
  <c r="F257" i="1"/>
  <c r="Q256" i="1"/>
  <c r="L256" i="1"/>
  <c r="N256" i="1" s="1"/>
  <c r="I256" i="1"/>
  <c r="F256" i="1"/>
  <c r="Q255" i="1"/>
  <c r="L255" i="1"/>
  <c r="I255" i="1"/>
  <c r="F255" i="1"/>
  <c r="Q254" i="1"/>
  <c r="L254" i="1"/>
  <c r="I254" i="1"/>
  <c r="F254" i="1"/>
  <c r="Q247" i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N255" i="1" l="1"/>
  <c r="N258" i="1"/>
  <c r="N261" i="1"/>
  <c r="N264" i="1"/>
  <c r="N269" i="1"/>
  <c r="N272" i="1"/>
  <c r="N275" i="1"/>
  <c r="N278" i="1"/>
  <c r="N281" i="1"/>
  <c r="N279" i="1"/>
  <c r="N254" i="1"/>
  <c r="N257" i="1"/>
  <c r="N260" i="1"/>
  <c r="N263" i="1"/>
  <c r="N268" i="1"/>
  <c r="N271" i="1"/>
  <c r="N274" i="1"/>
  <c r="N277" i="1"/>
  <c r="N280" i="1"/>
  <c r="AL462" i="1"/>
  <c r="AN462" i="1" s="1"/>
  <c r="Z463" i="1"/>
  <c r="AN463" i="1"/>
  <c r="N175" i="1"/>
  <c r="AN464" i="1"/>
  <c r="Z464" i="1"/>
  <c r="Z462" i="1"/>
  <c r="P296" i="1"/>
  <c r="M175" i="1"/>
  <c r="E296" i="1"/>
  <c r="R297" i="1"/>
  <c r="N203" i="1"/>
  <c r="K301" i="1"/>
  <c r="M301" i="1"/>
  <c r="M247" i="1"/>
  <c r="M299" i="1"/>
  <c r="N200" i="1"/>
  <c r="N244" i="1"/>
  <c r="N245" i="1" s="1"/>
  <c r="N220" i="1"/>
  <c r="K303" i="1"/>
  <c r="M303" i="1"/>
  <c r="M297" i="1"/>
  <c r="K312" i="1"/>
  <c r="M312" i="1"/>
  <c r="M244" i="1"/>
  <c r="AH461" i="1"/>
  <c r="AI461" i="1"/>
  <c r="N211" i="1"/>
  <c r="N223" i="1"/>
  <c r="M241" i="1"/>
  <c r="K296" i="1"/>
  <c r="M296" i="1"/>
  <c r="M298" i="1"/>
  <c r="M300" i="1"/>
  <c r="K302" i="1"/>
  <c r="M302" i="1"/>
  <c r="M307" i="1"/>
  <c r="M295" i="1"/>
  <c r="M308" i="1"/>
  <c r="M172" i="1"/>
  <c r="M178" i="1"/>
  <c r="N241" i="1"/>
  <c r="N302" i="1"/>
  <c r="K311" i="1"/>
  <c r="M311" i="1"/>
  <c r="N320" i="1"/>
  <c r="N323" i="1"/>
  <c r="N326" i="1"/>
  <c r="N330" i="1"/>
  <c r="N333" i="1"/>
  <c r="N336" i="1"/>
  <c r="N339" i="1"/>
  <c r="N342" i="1"/>
  <c r="N303" i="1"/>
  <c r="N247" i="1"/>
  <c r="N178" i="1"/>
  <c r="N311" i="1"/>
  <c r="N188" i="1"/>
  <c r="N163" i="1"/>
  <c r="N122" i="1"/>
  <c r="N184" i="1"/>
  <c r="N319" i="1"/>
  <c r="N322" i="1"/>
  <c r="N325" i="1"/>
  <c r="N328" i="1"/>
  <c r="N332" i="1"/>
  <c r="N335" i="1"/>
  <c r="N338" i="1"/>
  <c r="N344" i="1"/>
  <c r="N172" i="1"/>
  <c r="N199" i="1"/>
  <c r="N202" i="1"/>
  <c r="N208" i="1"/>
  <c r="N213" i="1"/>
  <c r="N216" i="1"/>
  <c r="N219" i="1"/>
  <c r="N222" i="1"/>
  <c r="N225" i="1"/>
  <c r="M100" i="1"/>
  <c r="N295" i="1"/>
  <c r="N298" i="1"/>
  <c r="N301" i="1"/>
  <c r="K297" i="1"/>
  <c r="E299" i="1"/>
  <c r="N359" i="1"/>
  <c r="N361" i="1" s="1"/>
  <c r="N99" i="1"/>
  <c r="N103" i="1"/>
  <c r="N153" i="1"/>
  <c r="S205" i="1"/>
  <c r="N205" i="1"/>
  <c r="E297" i="1"/>
  <c r="K298" i="1"/>
  <c r="S341" i="1"/>
  <c r="N341" i="1"/>
  <c r="N135" i="1"/>
  <c r="N307" i="1"/>
  <c r="N100" i="1"/>
  <c r="N104" i="1"/>
  <c r="P301" i="1"/>
  <c r="N312" i="1"/>
  <c r="S206" i="1"/>
  <c r="N206" i="1"/>
  <c r="S214" i="1"/>
  <c r="N214" i="1"/>
  <c r="S217" i="1"/>
  <c r="N217" i="1"/>
  <c r="N297" i="1"/>
  <c r="N300" i="1"/>
  <c r="M99" i="1"/>
  <c r="AB450" i="1"/>
  <c r="N198" i="1"/>
  <c r="S201" i="1"/>
  <c r="N201" i="1"/>
  <c r="N204" i="1"/>
  <c r="N207" i="1"/>
  <c r="N212" i="1"/>
  <c r="N215" i="1"/>
  <c r="S218" i="1"/>
  <c r="N218" i="1"/>
  <c r="N221" i="1"/>
  <c r="N224" i="1"/>
  <c r="N318" i="1"/>
  <c r="S321" i="1"/>
  <c r="N321" i="1"/>
  <c r="S324" i="1"/>
  <c r="N324" i="1"/>
  <c r="N327" i="1"/>
  <c r="N331" i="1"/>
  <c r="N334" i="1"/>
  <c r="N337" i="1"/>
  <c r="S340" i="1"/>
  <c r="N340" i="1"/>
  <c r="N343" i="1"/>
  <c r="N296" i="1"/>
  <c r="N299" i="1"/>
  <c r="E307" i="1"/>
  <c r="AB471" i="1"/>
  <c r="N181" i="1"/>
  <c r="P299" i="1"/>
  <c r="N308" i="1"/>
  <c r="L105" i="1"/>
  <c r="N102" i="1"/>
  <c r="K308" i="1"/>
  <c r="K307" i="1"/>
  <c r="S332" i="1"/>
  <c r="S297" i="1"/>
  <c r="K300" i="1"/>
  <c r="S320" i="1"/>
  <c r="S326" i="1"/>
  <c r="S336" i="1"/>
  <c r="AB475" i="1"/>
  <c r="S255" i="1"/>
  <c r="S261" i="1"/>
  <c r="S272" i="1"/>
  <c r="S275" i="1"/>
  <c r="S278" i="1"/>
  <c r="P300" i="1"/>
  <c r="P297" i="1"/>
  <c r="S300" i="1"/>
  <c r="R303" i="1"/>
  <c r="S276" i="1"/>
  <c r="S219" i="1"/>
  <c r="S298" i="1"/>
  <c r="E300" i="1"/>
  <c r="S343" i="1"/>
  <c r="S279" i="1"/>
  <c r="F185" i="1"/>
  <c r="P298" i="1"/>
  <c r="S301" i="1"/>
  <c r="P308" i="1"/>
  <c r="S203" i="1"/>
  <c r="S257" i="1"/>
  <c r="S263" i="1"/>
  <c r="S271" i="1"/>
  <c r="S277" i="1"/>
  <c r="AB414" i="1"/>
  <c r="P302" i="1"/>
  <c r="S260" i="1"/>
  <c r="S223" i="1"/>
  <c r="S268" i="1"/>
  <c r="S339" i="1"/>
  <c r="S104" i="1"/>
  <c r="AB461" i="1"/>
  <c r="S215" i="1"/>
  <c r="S247" i="1"/>
  <c r="S103" i="1"/>
  <c r="S337" i="1"/>
  <c r="AB447" i="1"/>
  <c r="P312" i="1"/>
  <c r="S244" i="1"/>
  <c r="S199" i="1"/>
  <c r="E298" i="1"/>
  <c r="K299" i="1"/>
  <c r="P307" i="1"/>
  <c r="S322" i="1"/>
  <c r="S325" i="1"/>
  <c r="S328" i="1"/>
  <c r="S208" i="1"/>
  <c r="S222" i="1"/>
  <c r="S259" i="1"/>
  <c r="S296" i="1"/>
  <c r="S303" i="1"/>
  <c r="AB439" i="1"/>
  <c r="AB448" i="1"/>
  <c r="AL447" i="1"/>
  <c r="S270" i="1"/>
  <c r="S273" i="1"/>
  <c r="E308" i="1"/>
  <c r="S312" i="1"/>
  <c r="S102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S200" i="1"/>
  <c r="S202" i="1"/>
  <c r="S204" i="1"/>
  <c r="S274" i="1"/>
  <c r="P311" i="1"/>
  <c r="S331" i="1"/>
  <c r="S267" i="1"/>
  <c r="S269" i="1"/>
  <c r="S280" i="1"/>
  <c r="S307" i="1"/>
  <c r="S207" i="1"/>
  <c r="S213" i="1"/>
  <c r="S221" i="1"/>
  <c r="S302" i="1"/>
  <c r="S308" i="1"/>
  <c r="S330" i="1"/>
  <c r="S333" i="1"/>
  <c r="S335" i="1"/>
  <c r="S256" i="1"/>
  <c r="S258" i="1"/>
  <c r="S262" i="1"/>
  <c r="S299" i="1"/>
  <c r="S342" i="1"/>
  <c r="S264" i="1"/>
  <c r="S311" i="1"/>
  <c r="AN455" i="1"/>
  <c r="AO455" i="1"/>
  <c r="AN453" i="1"/>
  <c r="AO453" i="1" s="1"/>
  <c r="AN460" i="1"/>
  <c r="AO460" i="1" s="1"/>
  <c r="AN456" i="1"/>
  <c r="AO456" i="1" s="1"/>
  <c r="AN459" i="1"/>
  <c r="AO459" i="1" s="1"/>
  <c r="AN468" i="1"/>
  <c r="AO468" i="1" s="1"/>
  <c r="AN458" i="1"/>
  <c r="AO458" i="1" s="1"/>
  <c r="AN419" i="1"/>
  <c r="AO419" i="1" s="1"/>
  <c r="AB472" i="1"/>
  <c r="AN452" i="1"/>
  <c r="AO452" i="1" s="1"/>
  <c r="AN457" i="1"/>
  <c r="AO457" i="1" s="1"/>
  <c r="AN454" i="1"/>
  <c r="AO454" i="1" s="1"/>
  <c r="AB435" i="1"/>
  <c r="AB443" i="1"/>
  <c r="M102" i="1"/>
  <c r="M103" i="1"/>
  <c r="M104" i="1"/>
  <c r="R102" i="1"/>
  <c r="R103" i="1"/>
  <c r="R104" i="1"/>
  <c r="S334" i="1"/>
  <c r="S338" i="1"/>
  <c r="S319" i="1"/>
  <c r="S323" i="1"/>
  <c r="S327" i="1"/>
  <c r="R300" i="1"/>
  <c r="R307" i="1"/>
  <c r="R308" i="1"/>
  <c r="R296" i="1"/>
  <c r="R298" i="1"/>
  <c r="R299" i="1"/>
  <c r="S212" i="1"/>
  <c r="S216" i="1"/>
  <c r="S220" i="1"/>
  <c r="S224" i="1"/>
  <c r="N285" i="1" l="1"/>
  <c r="N250" i="1"/>
  <c r="N248" i="1"/>
  <c r="N185" i="1"/>
  <c r="N194" i="1" s="1"/>
  <c r="N304" i="1"/>
  <c r="N348" i="1"/>
  <c r="N155" i="1"/>
  <c r="N229" i="1"/>
  <c r="N210" i="1"/>
  <c r="N105" i="1"/>
  <c r="N231" i="1" l="1"/>
  <c r="N233" i="1" s="1"/>
  <c r="N234" i="1" s="1"/>
  <c r="N309" i="1"/>
  <c r="D96" i="1"/>
  <c r="F96" i="1"/>
  <c r="G96" i="1"/>
  <c r="H96" i="1" s="1"/>
  <c r="I96" i="1"/>
  <c r="J96" i="1"/>
  <c r="L96" i="1"/>
  <c r="A96" i="1"/>
  <c r="N314" i="1" l="1"/>
  <c r="M96" i="1"/>
  <c r="N96" i="1"/>
  <c r="K96" i="1"/>
  <c r="E96" i="1"/>
  <c r="Z491" i="1"/>
  <c r="Z490" i="1"/>
  <c r="Z468" i="1"/>
  <c r="Z460" i="1"/>
  <c r="Z457" i="1"/>
  <c r="AH468" i="1" l="1"/>
  <c r="AI468" i="1"/>
  <c r="AH491" i="1"/>
  <c r="AI491" i="1"/>
  <c r="AH457" i="1"/>
  <c r="AI457" i="1" s="1"/>
  <c r="AH460" i="1"/>
  <c r="AI460" i="1" s="1"/>
  <c r="AH490" i="1"/>
  <c r="AI490" i="1" s="1"/>
  <c r="Z419" i="1"/>
  <c r="Z459" i="1"/>
  <c r="Z452" i="1"/>
  <c r="Z453" i="1"/>
  <c r="Z454" i="1"/>
  <c r="Z455" i="1"/>
  <c r="Z456" i="1"/>
  <c r="Z492" i="1"/>
  <c r="Z458" i="1"/>
  <c r="AH454" i="1" l="1"/>
  <c r="AI454" i="1" s="1"/>
  <c r="AH452" i="1"/>
  <c r="AI452" i="1" s="1"/>
  <c r="AH459" i="1"/>
  <c r="AI459" i="1" s="1"/>
  <c r="AH456" i="1"/>
  <c r="AI456" i="1" s="1"/>
  <c r="AH453" i="1"/>
  <c r="AI453" i="1" s="1"/>
  <c r="AH419" i="1"/>
  <c r="AI419" i="1" s="1"/>
  <c r="AH458" i="1"/>
  <c r="AI458" i="1" s="1"/>
  <c r="AH492" i="1"/>
  <c r="AI492" i="1"/>
  <c r="AH455" i="1"/>
  <c r="AI455" i="1"/>
  <c r="Z465" i="1"/>
  <c r="O96" i="1"/>
  <c r="Q96" i="1"/>
  <c r="S96" i="1" s="1"/>
  <c r="P96" i="1" l="1"/>
  <c r="R96" i="1"/>
  <c r="Q281" i="1" l="1"/>
  <c r="S281" i="1" s="1"/>
  <c r="Q225" i="1"/>
  <c r="S225" i="1" s="1"/>
  <c r="Q344" i="1" l="1"/>
  <c r="S344" i="1" s="1"/>
  <c r="Q149" i="1"/>
  <c r="Z494" i="1" l="1"/>
  <c r="Z493" i="1"/>
  <c r="AF495" i="1"/>
  <c r="AF423" i="1"/>
  <c r="AF422" i="1"/>
  <c r="AF447" i="1"/>
  <c r="AF472" i="1"/>
  <c r="AF470" i="1"/>
  <c r="Z475" i="1"/>
  <c r="AI475" i="1" s="1"/>
  <c r="AF417" i="1"/>
  <c r="AF429" i="1"/>
  <c r="AF448" i="1"/>
  <c r="Z410" i="1"/>
  <c r="AF431" i="1"/>
  <c r="AF474" i="1"/>
  <c r="AF435" i="1"/>
  <c r="AF426" i="1"/>
  <c r="AF434" i="1"/>
  <c r="AF433" i="1"/>
  <c r="AF424" i="1"/>
  <c r="AF408" i="1"/>
  <c r="AF441" i="1"/>
  <c r="AF469" i="1"/>
  <c r="AF409" i="1"/>
  <c r="AL469" i="1"/>
  <c r="AF445" i="1"/>
  <c r="Z411" i="1"/>
  <c r="Z423" i="1"/>
  <c r="AF473" i="1"/>
  <c r="Z435" i="1"/>
  <c r="AF411" i="1"/>
  <c r="AH411" i="1" s="1"/>
  <c r="AF416" i="1"/>
  <c r="Z438" i="1"/>
  <c r="Z446" i="1"/>
  <c r="AF438" i="1"/>
  <c r="AF477" i="1"/>
  <c r="AF413" i="1"/>
  <c r="Z473" i="1"/>
  <c r="AI473" i="1" s="1"/>
  <c r="AF425" i="1"/>
  <c r="AF444" i="1"/>
  <c r="AF436" i="1"/>
  <c r="Z443" i="1"/>
  <c r="AH438" i="1" l="1"/>
  <c r="AI411" i="1"/>
  <c r="AI438" i="1"/>
  <c r="AH493" i="1"/>
  <c r="AI493" i="1"/>
  <c r="AH494" i="1"/>
  <c r="AI494" i="1"/>
  <c r="AH473" i="1"/>
  <c r="AH435" i="1"/>
  <c r="AI435" i="1" s="1"/>
  <c r="AH423" i="1"/>
  <c r="AI423" i="1" s="1"/>
  <c r="AF440" i="1"/>
  <c r="AF439" i="1"/>
  <c r="Z412" i="1"/>
  <c r="AF475" i="1"/>
  <c r="AH475" i="1" s="1"/>
  <c r="Z436" i="1"/>
  <c r="Z444" i="1"/>
  <c r="Z408" i="1"/>
  <c r="Z427" i="1"/>
  <c r="Z434" i="1"/>
  <c r="Z414" i="1"/>
  <c r="AF443" i="1"/>
  <c r="AH443" i="1" s="1"/>
  <c r="AI443" i="1" s="1"/>
  <c r="AF476" i="1"/>
  <c r="Z429" i="1"/>
  <c r="Z479" i="1"/>
  <c r="AF421" i="1"/>
  <c r="AF437" i="1"/>
  <c r="AF412" i="1"/>
  <c r="Z440" i="1"/>
  <c r="Z496" i="1"/>
  <c r="AI496" i="1" s="1"/>
  <c r="Z430" i="1"/>
  <c r="Z441" i="1"/>
  <c r="AF428" i="1"/>
  <c r="AF471" i="1"/>
  <c r="Z413" i="1"/>
  <c r="Z409" i="1"/>
  <c r="AF415" i="1"/>
  <c r="AE415" i="1" s="1"/>
  <c r="AF449" i="1"/>
  <c r="AN449" i="1" s="1"/>
  <c r="AO449" i="1" s="1"/>
  <c r="Z433" i="1"/>
  <c r="Z495" i="1"/>
  <c r="AF410" i="1"/>
  <c r="AH410" i="1" s="1"/>
  <c r="AI410" i="1" s="1"/>
  <c r="AF427" i="1"/>
  <c r="AF430" i="1"/>
  <c r="Z421" i="1"/>
  <c r="AF414" i="1"/>
  <c r="Z437" i="1"/>
  <c r="Z420" i="1"/>
  <c r="AF446" i="1"/>
  <c r="AH446" i="1" s="1"/>
  <c r="AI446" i="1" s="1"/>
  <c r="AF479" i="1"/>
  <c r="Z445" i="1"/>
  <c r="Z474" i="1"/>
  <c r="AF442" i="1"/>
  <c r="Z469" i="1"/>
  <c r="Z428" i="1"/>
  <c r="Z471" i="1"/>
  <c r="Z442" i="1"/>
  <c r="Z447" i="1"/>
  <c r="AF496" i="1"/>
  <c r="AN426" i="1"/>
  <c r="AO426" i="1" s="1"/>
  <c r="AF450" i="1"/>
  <c r="AE416" i="1"/>
  <c r="AH416" i="1"/>
  <c r="AN416" i="1"/>
  <c r="AO416" i="1" s="1"/>
  <c r="AH431" i="1"/>
  <c r="AN431" i="1"/>
  <c r="AO431" i="1" s="1"/>
  <c r="AF478" i="1"/>
  <c r="AN425" i="1"/>
  <c r="AO425" i="1" s="1"/>
  <c r="AN424" i="1"/>
  <c r="AO424" i="1" s="1"/>
  <c r="AE417" i="1"/>
  <c r="AN417" i="1"/>
  <c r="AO417" i="1" s="1"/>
  <c r="AH417" i="1"/>
  <c r="Z470" i="1"/>
  <c r="Z422" i="1"/>
  <c r="Z472" i="1"/>
  <c r="Z439" i="1"/>
  <c r="AL470" i="1"/>
  <c r="AN470" i="1" s="1"/>
  <c r="AO470" i="1" s="1"/>
  <c r="AL496" i="1"/>
  <c r="AL495" i="1"/>
  <c r="AL494" i="1"/>
  <c r="AL478" i="1"/>
  <c r="AL471" i="1"/>
  <c r="AL476" i="1"/>
  <c r="AL474" i="1"/>
  <c r="AN469" i="1"/>
  <c r="AO469" i="1" s="1"/>
  <c r="AL473" i="1"/>
  <c r="AL472" i="1"/>
  <c r="AL475" i="1"/>
  <c r="AL477" i="1"/>
  <c r="Z450" i="1"/>
  <c r="AI450" i="1" s="1"/>
  <c r="Z416" i="1"/>
  <c r="AI416" i="1" s="1"/>
  <c r="Z476" i="1"/>
  <c r="AI476" i="1" s="1"/>
  <c r="AH479" i="1" l="1"/>
  <c r="AI479" i="1" s="1"/>
  <c r="AH441" i="1"/>
  <c r="AI441" i="1" s="1"/>
  <c r="AH474" i="1"/>
  <c r="AI474" i="1" s="1"/>
  <c r="AH445" i="1"/>
  <c r="AI445" i="1" s="1"/>
  <c r="AH422" i="1"/>
  <c r="AI422" i="1"/>
  <c r="AH495" i="1"/>
  <c r="AI495" i="1" s="1"/>
  <c r="AH429" i="1"/>
  <c r="AI429" i="1" s="1"/>
  <c r="AH413" i="1"/>
  <c r="AI413" i="1" s="1"/>
  <c r="AH408" i="1"/>
  <c r="AI408" i="1" s="1"/>
  <c r="AH433" i="1"/>
  <c r="AI433" i="1" s="1"/>
  <c r="AH444" i="1"/>
  <c r="AI444" i="1" s="1"/>
  <c r="AG416" i="1"/>
  <c r="AH447" i="1"/>
  <c r="AI447" i="1" s="1"/>
  <c r="AH470" i="1"/>
  <c r="AI470" i="1" s="1"/>
  <c r="AG417" i="1"/>
  <c r="AH469" i="1"/>
  <c r="AI469" i="1"/>
  <c r="AG415" i="1"/>
  <c r="AH436" i="1"/>
  <c r="AI436" i="1" s="1"/>
  <c r="AH472" i="1"/>
  <c r="AI472" i="1"/>
  <c r="AH409" i="1"/>
  <c r="AI409" i="1" s="1"/>
  <c r="AH434" i="1"/>
  <c r="AI434" i="1" s="1"/>
  <c r="AH430" i="1"/>
  <c r="AI430" i="1" s="1"/>
  <c r="AH427" i="1"/>
  <c r="AI427" i="1" s="1"/>
  <c r="AH414" i="1"/>
  <c r="AI414" i="1" s="1"/>
  <c r="AN496" i="1"/>
  <c r="AO496" i="1" s="1"/>
  <c r="AH471" i="1"/>
  <c r="AI471" i="1" s="1"/>
  <c r="AH420" i="1"/>
  <c r="AI420" i="1" s="1"/>
  <c r="AH412" i="1"/>
  <c r="AI412" i="1" s="1"/>
  <c r="AH428" i="1"/>
  <c r="AI428" i="1" s="1"/>
  <c r="AH442" i="1"/>
  <c r="AI442" i="1" s="1"/>
  <c r="AH437" i="1"/>
  <c r="AI437" i="1" s="1"/>
  <c r="AH421" i="1"/>
  <c r="AI421" i="1" s="1"/>
  <c r="AH439" i="1"/>
  <c r="AI439" i="1" s="1"/>
  <c r="AH476" i="1"/>
  <c r="AH440" i="1"/>
  <c r="AI440" i="1" s="1"/>
  <c r="AH449" i="1"/>
  <c r="AN478" i="1"/>
  <c r="AL465" i="1"/>
  <c r="AN415" i="1"/>
  <c r="AO415" i="1" s="1"/>
  <c r="AH415" i="1"/>
  <c r="AE496" i="1"/>
  <c r="AH496" i="1"/>
  <c r="AO478" i="1"/>
  <c r="AH450" i="1"/>
  <c r="AN450" i="1"/>
  <c r="AO450" i="1" s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N494" i="1"/>
  <c r="AO494" i="1"/>
  <c r="AN495" i="1"/>
  <c r="AO495" i="1" s="1"/>
  <c r="AN474" i="1"/>
  <c r="AO474" i="1" s="1"/>
  <c r="AN477" i="1"/>
  <c r="AO477" i="1" s="1"/>
  <c r="AN473" i="1"/>
  <c r="AO473" i="1" s="1"/>
  <c r="AO475" i="1"/>
  <c r="AN475" i="1"/>
  <c r="AO476" i="1"/>
  <c r="AN476" i="1"/>
  <c r="AO472" i="1"/>
  <c r="AN472" i="1"/>
  <c r="AN471" i="1"/>
  <c r="AO471" i="1" s="1"/>
  <c r="AH477" i="1" l="1"/>
  <c r="AI477" i="1"/>
  <c r="AH448" i="1"/>
  <c r="AH451" i="1" s="1"/>
  <c r="AI448" i="1"/>
  <c r="AH424" i="1"/>
  <c r="AI424" i="1"/>
  <c r="AH426" i="1"/>
  <c r="AI426" i="1"/>
  <c r="AH425" i="1"/>
  <c r="AI425" i="1"/>
  <c r="AH478" i="1"/>
  <c r="AI478" i="1"/>
  <c r="AH418" i="1"/>
  <c r="AG496" i="1"/>
  <c r="Z451" i="1"/>
  <c r="Z432" i="1"/>
  <c r="AL479" i="1"/>
  <c r="AL480" i="1" s="1"/>
  <c r="AI451" i="1" l="1"/>
  <c r="AH432" i="1"/>
  <c r="AI432" i="1" s="1"/>
  <c r="AH480" i="1"/>
  <c r="AN479" i="1"/>
  <c r="AO479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H464" i="1" s="1"/>
  <c r="AC463" i="1"/>
  <c r="AH463" i="1" s="1"/>
  <c r="AC462" i="1"/>
  <c r="AH462" i="1" s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J361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L265" i="1"/>
  <c r="I265" i="1"/>
  <c r="F265" i="1"/>
  <c r="F93" i="1"/>
  <c r="N366" i="1" l="1"/>
  <c r="N379" i="1"/>
  <c r="AH465" i="1"/>
  <c r="N367" i="1"/>
  <c r="N380" i="1"/>
  <c r="N368" i="1"/>
  <c r="N381" i="1"/>
  <c r="N369" i="1"/>
  <c r="N382" i="1"/>
  <c r="N370" i="1"/>
  <c r="N383" i="1"/>
  <c r="N371" i="1"/>
  <c r="N384" i="1"/>
  <c r="N372" i="1"/>
  <c r="N385" i="1"/>
  <c r="N373" i="1"/>
  <c r="N386" i="1"/>
  <c r="N374" i="1"/>
  <c r="N387" i="1"/>
  <c r="N388" i="1"/>
  <c r="N364" i="1"/>
  <c r="N377" i="1"/>
  <c r="N389" i="1"/>
  <c r="N365" i="1"/>
  <c r="N378" i="1"/>
  <c r="N390" i="1"/>
  <c r="Q176" i="1"/>
  <c r="I248" i="1"/>
  <c r="L176" i="1"/>
  <c r="Q242" i="1"/>
  <c r="Q179" i="1"/>
  <c r="Q192" i="1"/>
  <c r="I189" i="1"/>
  <c r="H361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29" i="1"/>
  <c r="P359" i="1"/>
  <c r="H174" i="1"/>
  <c r="I210" i="1"/>
  <c r="L185" i="1"/>
  <c r="L194" i="1" s="1"/>
  <c r="L182" i="1"/>
  <c r="Q266" i="1"/>
  <c r="P266" i="1" s="1"/>
  <c r="L304" i="1"/>
  <c r="L309" i="1" s="1"/>
  <c r="L314" i="1" s="1"/>
  <c r="H359" i="1"/>
  <c r="I394" i="1"/>
  <c r="H394" i="1" s="1"/>
  <c r="K359" i="1"/>
  <c r="Q376" i="1"/>
  <c r="P376" i="1" s="1"/>
  <c r="I185" i="1"/>
  <c r="I194" i="1" s="1"/>
  <c r="L376" i="1"/>
  <c r="Q250" i="1"/>
  <c r="I376" i="1"/>
  <c r="L189" i="1"/>
  <c r="J304" i="1"/>
  <c r="Q394" i="1"/>
  <c r="P394" i="1" s="1"/>
  <c r="I266" i="1"/>
  <c r="I285" i="1"/>
  <c r="P295" i="1"/>
  <c r="Q348" i="1"/>
  <c r="L394" i="1"/>
  <c r="K394" i="1" s="1"/>
  <c r="Q361" i="1"/>
  <c r="L361" i="1"/>
  <c r="K361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AH467" i="1" l="1"/>
  <c r="AI465" i="1"/>
  <c r="K194" i="1"/>
  <c r="L195" i="1" s="1"/>
  <c r="I97" i="1"/>
  <c r="N75" i="1"/>
  <c r="M94" i="1"/>
  <c r="N76" i="1"/>
  <c r="N77" i="1"/>
  <c r="N78" i="1"/>
  <c r="L97" i="1"/>
  <c r="N94" i="1"/>
  <c r="N79" i="1"/>
  <c r="M95" i="1"/>
  <c r="N80" i="1"/>
  <c r="N95" i="1"/>
  <c r="N81" i="1"/>
  <c r="D97" i="1"/>
  <c r="G97" i="1"/>
  <c r="H119" i="1" s="1"/>
  <c r="F97" i="1"/>
  <c r="J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K95" i="1"/>
  <c r="Q396" i="1"/>
  <c r="P396" i="1" s="1"/>
  <c r="Q350" i="1"/>
  <c r="P350" i="1" s="1"/>
  <c r="H266" i="1"/>
  <c r="H100" i="1"/>
  <c r="Q287" i="1"/>
  <c r="Q289" i="1" s="1"/>
  <c r="Q290" i="1" s="1"/>
  <c r="K304" i="1"/>
  <c r="L396" i="1"/>
  <c r="K396" i="1" s="1"/>
  <c r="K100" i="1"/>
  <c r="H376" i="1"/>
  <c r="Q83" i="1"/>
  <c r="J309" i="1"/>
  <c r="K94" i="1"/>
  <c r="K329" i="1"/>
  <c r="P285" i="1"/>
  <c r="E100" i="1"/>
  <c r="I195" i="1"/>
  <c r="K376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L186" i="1"/>
  <c r="K210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H113" i="1" l="1"/>
  <c r="M97" i="1"/>
  <c r="H120" i="1"/>
  <c r="N48" i="1"/>
  <c r="H115" i="1"/>
  <c r="E114" i="1"/>
  <c r="M98" i="1"/>
  <c r="J314" i="1"/>
  <c r="M6" i="1"/>
  <c r="N44" i="1"/>
  <c r="H121" i="1"/>
  <c r="H116" i="1"/>
  <c r="H117" i="1"/>
  <c r="H114" i="1"/>
  <c r="H118" i="1"/>
  <c r="N22" i="1"/>
  <c r="H97" i="1"/>
  <c r="M7" i="1"/>
  <c r="N7" i="1"/>
  <c r="N6" i="1"/>
  <c r="N34" i="1"/>
  <c r="E121" i="1"/>
  <c r="N52" i="1"/>
  <c r="N36" i="1"/>
  <c r="M8" i="1"/>
  <c r="N67" i="1"/>
  <c r="N35" i="1"/>
  <c r="E113" i="1"/>
  <c r="N66" i="1"/>
  <c r="E120" i="1"/>
  <c r="E115" i="1"/>
  <c r="E117" i="1"/>
  <c r="E116" i="1"/>
  <c r="E119" i="1"/>
  <c r="N21" i="1"/>
  <c r="N46" i="1"/>
  <c r="N50" i="1"/>
  <c r="E118" i="1"/>
  <c r="N60" i="1"/>
  <c r="N61" i="1"/>
  <c r="M9" i="1"/>
  <c r="N45" i="1"/>
  <c r="N49" i="1"/>
  <c r="N56" i="1"/>
  <c r="M108" i="1"/>
  <c r="M105" i="1"/>
  <c r="M17" i="1"/>
  <c r="N57" i="1"/>
  <c r="N37" i="1"/>
  <c r="N55" i="1"/>
  <c r="N17" i="1"/>
  <c r="N58" i="1"/>
  <c r="N97" i="1"/>
  <c r="L54" i="1"/>
  <c r="N42" i="1"/>
  <c r="N59" i="1"/>
  <c r="N8" i="1"/>
  <c r="N32" i="1"/>
  <c r="N43" i="1"/>
  <c r="N47" i="1"/>
  <c r="N51" i="1"/>
  <c r="N62" i="1"/>
  <c r="N23" i="1"/>
  <c r="N31" i="1"/>
  <c r="N9" i="1"/>
  <c r="N19" i="1"/>
  <c r="N33" i="1"/>
  <c r="N63" i="1"/>
  <c r="N64" i="1"/>
  <c r="N65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AN447" i="1"/>
  <c r="AO447" i="1" s="1"/>
  <c r="L398" i="1"/>
  <c r="L399" i="1" s="1"/>
  <c r="I398" i="1"/>
  <c r="H287" i="1"/>
  <c r="P287" i="1"/>
  <c r="K309" i="1"/>
  <c r="Q398" i="1"/>
  <c r="Q399" i="1" s="1"/>
  <c r="Q352" i="1"/>
  <c r="Q353" i="1" s="1"/>
  <c r="P314" i="1"/>
  <c r="P309" i="1"/>
  <c r="H314" i="1"/>
  <c r="H309" i="1"/>
  <c r="Q195" i="1"/>
  <c r="R194" i="1" s="1"/>
  <c r="P210" i="1"/>
  <c r="N108" i="1" l="1"/>
  <c r="N98" i="1"/>
  <c r="K314" i="1"/>
  <c r="N24" i="1"/>
  <c r="O13" i="2"/>
  <c r="N165" i="1" l="1"/>
  <c r="O10" i="2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A389" i="1"/>
  <c r="S388" i="1"/>
  <c r="A388" i="1"/>
  <c r="S387" i="1"/>
  <c r="A387" i="1"/>
  <c r="S386" i="1"/>
  <c r="A386" i="1"/>
  <c r="A385" i="1"/>
  <c r="S384" i="1"/>
  <c r="A384" i="1"/>
  <c r="S383" i="1"/>
  <c r="A383" i="1"/>
  <c r="A382" i="1"/>
  <c r="S381" i="1"/>
  <c r="A381" i="1"/>
  <c r="S380" i="1"/>
  <c r="A380" i="1"/>
  <c r="S379" i="1"/>
  <c r="A379" i="1"/>
  <c r="S378" i="1"/>
  <c r="A378" i="1"/>
  <c r="A377" i="1"/>
  <c r="A376" i="1"/>
  <c r="S375" i="1"/>
  <c r="A375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A366" i="1"/>
  <c r="S365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N329" i="1"/>
  <c r="N350" i="1" s="1"/>
  <c r="N352" i="1" s="1"/>
  <c r="N353" i="1" s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N265" i="1"/>
  <c r="A265" i="1"/>
  <c r="A264" i="1"/>
  <c r="A263" i="1"/>
  <c r="A262" i="1"/>
  <c r="A261" i="1"/>
  <c r="A260" i="1"/>
  <c r="A259" i="1"/>
  <c r="A258" i="1"/>
  <c r="A257" i="1"/>
  <c r="A256" i="1"/>
  <c r="A255" i="1"/>
  <c r="L266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R241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S211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S198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S184" i="1"/>
  <c r="A184" i="1"/>
  <c r="A183" i="1"/>
  <c r="M182" i="1"/>
  <c r="A182" i="1"/>
  <c r="R181" i="1"/>
  <c r="A181" i="1"/>
  <c r="A180" i="1"/>
  <c r="R179" i="1"/>
  <c r="A179" i="1"/>
  <c r="R178" i="1"/>
  <c r="F179" i="1"/>
  <c r="N179" i="1" s="1"/>
  <c r="A178" i="1"/>
  <c r="A177" i="1"/>
  <c r="A176" i="1"/>
  <c r="R175" i="1"/>
  <c r="A175" i="1"/>
  <c r="E174" i="1"/>
  <c r="A174" i="1"/>
  <c r="A173" i="1"/>
  <c r="R172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S100" i="1"/>
  <c r="R100" i="1"/>
  <c r="A100" i="1"/>
  <c r="A99" i="1"/>
  <c r="H98" i="1"/>
  <c r="E98" i="1"/>
  <c r="A98" i="1"/>
  <c r="O108" i="1"/>
  <c r="J108" i="1"/>
  <c r="A97" i="1"/>
  <c r="S95" i="1"/>
  <c r="R95" i="1"/>
  <c r="A95" i="1"/>
  <c r="S94" i="1"/>
  <c r="R94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B67" i="1"/>
  <c r="A67" i="1" s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B36" i="1"/>
  <c r="A36" i="1" s="1"/>
  <c r="B35" i="1"/>
  <c r="S34" i="1"/>
  <c r="B34" i="1"/>
  <c r="A34" i="1" s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B20" i="1"/>
  <c r="A20" i="1" s="1"/>
  <c r="R19" i="1"/>
  <c r="B19" i="1"/>
  <c r="B18" i="1"/>
  <c r="A18" i="1" s="1"/>
  <c r="R17" i="1"/>
  <c r="P17" i="1"/>
  <c r="K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F108" i="1" l="1"/>
  <c r="N109" i="1" s="1"/>
  <c r="N106" i="1"/>
  <c r="R97" i="1"/>
  <c r="R98" i="1" s="1"/>
  <c r="AK417" i="1"/>
  <c r="AM417" i="1" s="1"/>
  <c r="AK493" i="1"/>
  <c r="AK492" i="1"/>
  <c r="AK416" i="1"/>
  <c r="AM416" i="1" s="1"/>
  <c r="AK489" i="1"/>
  <c r="AK490" i="1"/>
  <c r="AK415" i="1"/>
  <c r="AM415" i="1" s="1"/>
  <c r="AK491" i="1"/>
  <c r="AK496" i="1"/>
  <c r="AM496" i="1" s="1"/>
  <c r="AK494" i="1"/>
  <c r="AK495" i="1"/>
  <c r="AE413" i="1"/>
  <c r="AE414" i="1"/>
  <c r="AE409" i="1"/>
  <c r="AE412" i="1"/>
  <c r="AE411" i="1"/>
  <c r="AE410" i="1"/>
  <c r="S97" i="1"/>
  <c r="S98" i="1" s="1"/>
  <c r="A7" i="1"/>
  <c r="I10" i="2"/>
  <c r="L108" i="1"/>
  <c r="A21" i="1"/>
  <c r="J112" i="1"/>
  <c r="K22" i="1"/>
  <c r="R22" i="1" s="1"/>
  <c r="A23" i="1"/>
  <c r="O24" i="1"/>
  <c r="A33" i="1"/>
  <c r="A15" i="1"/>
  <c r="E361" i="1"/>
  <c r="K23" i="1"/>
  <c r="R23" i="1" s="1"/>
  <c r="K21" i="1"/>
  <c r="R21" i="1" s="1"/>
  <c r="R13" i="1"/>
  <c r="R14" i="1" s="1"/>
  <c r="P6" i="1"/>
  <c r="N10" i="1"/>
  <c r="S15" i="1"/>
  <c r="G105" i="1"/>
  <c r="G108" i="1"/>
  <c r="S7" i="1"/>
  <c r="H6" i="1"/>
  <c r="S8" i="1"/>
  <c r="H22" i="1"/>
  <c r="A32" i="1"/>
  <c r="S37" i="1"/>
  <c r="N38" i="1"/>
  <c r="A44" i="1"/>
  <c r="S45" i="1"/>
  <c r="A52" i="1"/>
  <c r="S53" i="1"/>
  <c r="N53" i="1"/>
  <c r="N54" i="1" s="1"/>
  <c r="A76" i="1"/>
  <c r="E95" i="1"/>
  <c r="V484" i="1"/>
  <c r="A484" i="1" s="1"/>
  <c r="V401" i="1"/>
  <c r="C291" i="1"/>
  <c r="C355" i="1" s="1"/>
  <c r="C236" i="1"/>
  <c r="C168" i="1"/>
  <c r="C89" i="1"/>
  <c r="A81" i="1"/>
  <c r="S112" i="1"/>
  <c r="P21" i="1"/>
  <c r="A9" i="1"/>
  <c r="H17" i="1"/>
  <c r="S17" i="1"/>
  <c r="E21" i="1"/>
  <c r="I24" i="1"/>
  <c r="E23" i="1"/>
  <c r="J24" i="1"/>
  <c r="A39" i="1"/>
  <c r="P39" i="1"/>
  <c r="S40" i="1"/>
  <c r="Q54" i="1"/>
  <c r="A46" i="1"/>
  <c r="F72" i="1"/>
  <c r="N69" i="1"/>
  <c r="S78" i="1"/>
  <c r="A78" i="1"/>
  <c r="O105" i="1"/>
  <c r="P97" i="1"/>
  <c r="I122" i="1"/>
  <c r="G112" i="1"/>
  <c r="E12" i="1"/>
  <c r="N12" i="1"/>
  <c r="S60" i="1"/>
  <c r="S64" i="1"/>
  <c r="S48" i="1"/>
  <c r="AO484" i="1"/>
  <c r="AO401" i="1"/>
  <c r="S355" i="1"/>
  <c r="S236" i="1"/>
  <c r="S168" i="1"/>
  <c r="S291" i="1"/>
  <c r="S56" i="1"/>
  <c r="A11" i="1"/>
  <c r="A19" i="1"/>
  <c r="F24" i="1"/>
  <c r="S21" i="1"/>
  <c r="H23" i="1"/>
  <c r="J27" i="1"/>
  <c r="L41" i="1"/>
  <c r="A35" i="1"/>
  <c r="S36" i="1"/>
  <c r="S49" i="1"/>
  <c r="S80" i="1"/>
  <c r="A80" i="1"/>
  <c r="E94" i="1"/>
  <c r="Q105" i="1"/>
  <c r="Q108" i="1" s="1"/>
  <c r="P108" i="1" s="1"/>
  <c r="J105" i="1"/>
  <c r="H112" i="1"/>
  <c r="S59" i="1"/>
  <c r="S63" i="1"/>
  <c r="S67" i="1"/>
  <c r="S71" i="1"/>
  <c r="A77" i="1"/>
  <c r="Q24" i="1"/>
  <c r="S46" i="1"/>
  <c r="S55" i="1"/>
  <c r="K38" i="1"/>
  <c r="A42" i="1"/>
  <c r="S43" i="1"/>
  <c r="S51" i="1"/>
  <c r="A82" i="1"/>
  <c r="S89" i="1"/>
  <c r="L122" i="1"/>
  <c r="E10" i="1"/>
  <c r="O27" i="1"/>
  <c r="P23" i="1"/>
  <c r="S70" i="1"/>
  <c r="S79" i="1"/>
  <c r="A79" i="1"/>
  <c r="K112" i="1"/>
  <c r="P112" i="1"/>
  <c r="L135" i="1"/>
  <c r="S175" i="1"/>
  <c r="E185" i="1"/>
  <c r="M181" i="1"/>
  <c r="S241" i="1"/>
  <c r="S242" i="1" s="1"/>
  <c r="L242" i="1"/>
  <c r="Q135" i="1"/>
  <c r="I153" i="1"/>
  <c r="F173" i="1"/>
  <c r="S181" i="1"/>
  <c r="M188" i="1"/>
  <c r="S188" i="1"/>
  <c r="F135" i="1"/>
  <c r="F250" i="1"/>
  <c r="N251" i="1" s="1"/>
  <c r="F245" i="1"/>
  <c r="S172" i="1"/>
  <c r="Q229" i="1"/>
  <c r="F229" i="1"/>
  <c r="R185" i="1"/>
  <c r="S186" i="1" s="1"/>
  <c r="S254" i="1"/>
  <c r="S248" i="1"/>
  <c r="S265" i="1"/>
  <c r="M361" i="1"/>
  <c r="F176" i="1"/>
  <c r="E250" i="1"/>
  <c r="S295" i="1"/>
  <c r="S329" i="1"/>
  <c r="S359" i="1"/>
  <c r="F266" i="1"/>
  <c r="N266" i="1" s="1"/>
  <c r="N287" i="1" s="1"/>
  <c r="N289" i="1" s="1"/>
  <c r="N290" i="1" s="1"/>
  <c r="F163" i="1"/>
  <c r="S393" i="1"/>
  <c r="N393" i="1"/>
  <c r="AF465" i="1"/>
  <c r="F348" i="1"/>
  <c r="E359" i="1"/>
  <c r="S366" i="1"/>
  <c r="S374" i="1"/>
  <c r="N375" i="1"/>
  <c r="N376" i="1" s="1"/>
  <c r="F376" i="1"/>
  <c r="S318" i="1"/>
  <c r="F394" i="1"/>
  <c r="E394" i="1" s="1"/>
  <c r="R295" i="1"/>
  <c r="F329" i="1"/>
  <c r="S382" i="1"/>
  <c r="S385" i="1"/>
  <c r="S377" i="1"/>
  <c r="AC465" i="1"/>
  <c r="N392" i="1"/>
  <c r="N394" i="1" l="1"/>
  <c r="E194" i="1"/>
  <c r="M185" i="1"/>
  <c r="N396" i="1"/>
  <c r="N398" i="1" s="1"/>
  <c r="N399" i="1" s="1"/>
  <c r="AL448" i="1"/>
  <c r="AL439" i="1"/>
  <c r="AL429" i="1"/>
  <c r="AN429" i="1" s="1"/>
  <c r="AO429" i="1" s="1"/>
  <c r="AL408" i="1"/>
  <c r="AL412" i="1"/>
  <c r="AL420" i="1"/>
  <c r="AL440" i="1"/>
  <c r="AN440" i="1" s="1"/>
  <c r="AO440" i="1" s="1"/>
  <c r="AL441" i="1"/>
  <c r="AN441" i="1" s="1"/>
  <c r="AO441" i="1" s="1"/>
  <c r="AL411" i="1"/>
  <c r="AL430" i="1"/>
  <c r="AN430" i="1" s="1"/>
  <c r="AO430" i="1" s="1"/>
  <c r="AL444" i="1"/>
  <c r="AN444" i="1" s="1"/>
  <c r="AO444" i="1" s="1"/>
  <c r="AL437" i="1"/>
  <c r="AN437" i="1" s="1"/>
  <c r="AO437" i="1" s="1"/>
  <c r="AL428" i="1"/>
  <c r="AN428" i="1" s="1"/>
  <c r="AO428" i="1" s="1"/>
  <c r="AL422" i="1"/>
  <c r="AN422" i="1" s="1"/>
  <c r="AO422" i="1" s="1"/>
  <c r="AL435" i="1"/>
  <c r="AN435" i="1" s="1"/>
  <c r="AO435" i="1" s="1"/>
  <c r="AL413" i="1"/>
  <c r="AL433" i="1"/>
  <c r="AL427" i="1"/>
  <c r="AN427" i="1" s="1"/>
  <c r="AO427" i="1" s="1"/>
  <c r="AL446" i="1"/>
  <c r="AN446" i="1" s="1"/>
  <c r="AO446" i="1" s="1"/>
  <c r="AL436" i="1"/>
  <c r="AN436" i="1" s="1"/>
  <c r="AO436" i="1" s="1"/>
  <c r="AL443" i="1"/>
  <c r="AN443" i="1" s="1"/>
  <c r="AO443" i="1" s="1"/>
  <c r="AL409" i="1"/>
  <c r="AL438" i="1"/>
  <c r="AN438" i="1" s="1"/>
  <c r="AO438" i="1" s="1"/>
  <c r="AL421" i="1"/>
  <c r="AN421" i="1" s="1"/>
  <c r="AO421" i="1" s="1"/>
  <c r="AL423" i="1"/>
  <c r="AN423" i="1" s="1"/>
  <c r="AO423" i="1" s="1"/>
  <c r="AL434" i="1"/>
  <c r="AN434" i="1" s="1"/>
  <c r="AO434" i="1" s="1"/>
  <c r="AL414" i="1"/>
  <c r="AL442" i="1"/>
  <c r="AN442" i="1" s="1"/>
  <c r="AO442" i="1" s="1"/>
  <c r="AL445" i="1"/>
  <c r="AN445" i="1" s="1"/>
  <c r="AO445" i="1" s="1"/>
  <c r="AL410" i="1"/>
  <c r="P38" i="1"/>
  <c r="P40" i="1"/>
  <c r="P32" i="1"/>
  <c r="P35" i="1"/>
  <c r="P33" i="1"/>
  <c r="P36" i="1"/>
  <c r="P34" i="1"/>
  <c r="P31" i="1"/>
  <c r="P37" i="1"/>
  <c r="K31" i="1"/>
  <c r="K35" i="1"/>
  <c r="AN465" i="1"/>
  <c r="AO465" i="1" s="1"/>
  <c r="E135" i="1"/>
  <c r="P153" i="1"/>
  <c r="P122" i="1"/>
  <c r="F350" i="1"/>
  <c r="F396" i="1"/>
  <c r="E376" i="1"/>
  <c r="F231" i="1"/>
  <c r="E266" i="1"/>
  <c r="S361" i="1"/>
  <c r="S362" i="1" s="1"/>
  <c r="P135" i="1"/>
  <c r="S35" i="1"/>
  <c r="L245" i="1"/>
  <c r="K266" i="1"/>
  <c r="L250" i="1"/>
  <c r="S245" i="1"/>
  <c r="F251" i="1"/>
  <c r="S178" i="1"/>
  <c r="M12" i="1"/>
  <c r="H12" i="1"/>
  <c r="H15" i="1"/>
  <c r="E112" i="1"/>
  <c r="F122" i="1"/>
  <c r="S52" i="1"/>
  <c r="I13" i="1"/>
  <c r="S19" i="1"/>
  <c r="F242" i="1"/>
  <c r="N242" i="1" s="1"/>
  <c r="R27" i="1"/>
  <c r="R28" i="1" s="1"/>
  <c r="E11" i="1"/>
  <c r="Q231" i="1"/>
  <c r="K135" i="1"/>
  <c r="S135" i="1"/>
  <c r="K33" i="1"/>
  <c r="K36" i="1"/>
  <c r="S376" i="1"/>
  <c r="S77" i="1"/>
  <c r="I135" i="1"/>
  <c r="H7" i="1"/>
  <c r="S44" i="1"/>
  <c r="S50" i="1"/>
  <c r="H8" i="1"/>
  <c r="Q155" i="1"/>
  <c r="P155" i="1" s="1"/>
  <c r="S39" i="1"/>
  <c r="K37" i="1"/>
  <c r="F285" i="1"/>
  <c r="E285" i="1" s="1"/>
  <c r="R304" i="1"/>
  <c r="I229" i="1"/>
  <c r="F189" i="1"/>
  <c r="P22" i="1"/>
  <c r="L13" i="1"/>
  <c r="S6" i="1"/>
  <c r="E7" i="1"/>
  <c r="S76" i="1"/>
  <c r="I105" i="1"/>
  <c r="H105" i="1" s="1"/>
  <c r="K34" i="1"/>
  <c r="E15" i="1"/>
  <c r="P24" i="1"/>
  <c r="S10" i="1"/>
  <c r="E6" i="1"/>
  <c r="F304" i="1"/>
  <c r="S210" i="1"/>
  <c r="I350" i="1"/>
  <c r="H350" i="1" s="1"/>
  <c r="R309" i="1"/>
  <c r="AL405" i="1"/>
  <c r="K105" i="1"/>
  <c r="S81" i="1"/>
  <c r="S22" i="1"/>
  <c r="K32" i="1"/>
  <c r="E9" i="1"/>
  <c r="G13" i="1"/>
  <c r="E295" i="1"/>
  <c r="D304" i="1"/>
  <c r="M304" i="1" s="1"/>
  <c r="F182" i="1"/>
  <c r="E8" i="1"/>
  <c r="S105" i="1"/>
  <c r="S106" i="1" s="1"/>
  <c r="N11" i="1"/>
  <c r="S11" i="1"/>
  <c r="P105" i="1"/>
  <c r="S47" i="1"/>
  <c r="M10" i="1"/>
  <c r="H10" i="1"/>
  <c r="L24" i="1"/>
  <c r="K24" i="1" s="1"/>
  <c r="S108" i="1"/>
  <c r="S109" i="1" s="1"/>
  <c r="D108" i="1"/>
  <c r="M109" i="1" s="1"/>
  <c r="E97" i="1"/>
  <c r="D105" i="1"/>
  <c r="F41" i="1"/>
  <c r="Q41" i="1"/>
  <c r="Q13" i="1"/>
  <c r="S304" i="1"/>
  <c r="S122" i="1"/>
  <c r="K122" i="1"/>
  <c r="S163" i="1"/>
  <c r="S394" i="1"/>
  <c r="F153" i="1"/>
  <c r="E153" i="1" s="1"/>
  <c r="I163" i="1"/>
  <c r="S266" i="1"/>
  <c r="R108" i="1"/>
  <c r="R109" i="1" s="1"/>
  <c r="K108" i="1"/>
  <c r="F13" i="1"/>
  <c r="S32" i="1"/>
  <c r="F309" i="1" l="1"/>
  <c r="N310" i="1" s="1"/>
  <c r="N305" i="1"/>
  <c r="AN409" i="1"/>
  <c r="AO409" i="1" s="1"/>
  <c r="AK409" i="1"/>
  <c r="AM409" i="1" s="1"/>
  <c r="AN411" i="1"/>
  <c r="AO411" i="1" s="1"/>
  <c r="AK411" i="1"/>
  <c r="AM411" i="1" s="1"/>
  <c r="AN410" i="1"/>
  <c r="AO410" i="1" s="1"/>
  <c r="AK410" i="1"/>
  <c r="AM410" i="1" s="1"/>
  <c r="AN420" i="1"/>
  <c r="AO420" i="1" s="1"/>
  <c r="AL432" i="1"/>
  <c r="AL451" i="1"/>
  <c r="AN433" i="1"/>
  <c r="AO433" i="1" s="1"/>
  <c r="AN412" i="1"/>
  <c r="AO412" i="1" s="1"/>
  <c r="AK412" i="1"/>
  <c r="AM412" i="1" s="1"/>
  <c r="AN413" i="1"/>
  <c r="AO413" i="1" s="1"/>
  <c r="AK413" i="1"/>
  <c r="AM413" i="1" s="1"/>
  <c r="AL418" i="1"/>
  <c r="AN414" i="1"/>
  <c r="AO414" i="1" s="1"/>
  <c r="AK414" i="1"/>
  <c r="AM414" i="1" s="1"/>
  <c r="AN439" i="1"/>
  <c r="AO439" i="1" s="1"/>
  <c r="AO448" i="1"/>
  <c r="AN448" i="1"/>
  <c r="N9" i="2"/>
  <c r="N8" i="2" s="1"/>
  <c r="F27" i="1"/>
  <c r="E41" i="1" s="1"/>
  <c r="K13" i="1"/>
  <c r="E108" i="1"/>
  <c r="E105" i="1"/>
  <c r="F314" i="1"/>
  <c r="S54" i="1"/>
  <c r="S398" i="1"/>
  <c r="S399" i="1" s="1"/>
  <c r="G27" i="1"/>
  <c r="H13" i="1"/>
  <c r="AB408" i="1"/>
  <c r="G24" i="1"/>
  <c r="H39" i="1" s="1"/>
  <c r="Q165" i="1"/>
  <c r="Q166" i="1" s="1"/>
  <c r="I54" i="1"/>
  <c r="I108" i="1"/>
  <c r="H135" i="1" s="1"/>
  <c r="F194" i="1"/>
  <c r="N195" i="1" s="1"/>
  <c r="F186" i="1"/>
  <c r="P231" i="1"/>
  <c r="I27" i="1"/>
  <c r="F54" i="1"/>
  <c r="S24" i="1"/>
  <c r="S25" i="1" s="1"/>
  <c r="J32" i="1"/>
  <c r="D13" i="1"/>
  <c r="S13" i="1"/>
  <c r="S14" i="1" s="1"/>
  <c r="M11" i="1"/>
  <c r="M13" i="1" s="1"/>
  <c r="H11" i="1"/>
  <c r="Q27" i="1"/>
  <c r="P13" i="1"/>
  <c r="N13" i="1"/>
  <c r="N14" i="1" s="1"/>
  <c r="H229" i="1"/>
  <c r="S250" i="1"/>
  <c r="L251" i="1"/>
  <c r="M250" i="1" s="1"/>
  <c r="Q74" i="1"/>
  <c r="R314" i="1"/>
  <c r="AF432" i="1"/>
  <c r="L27" i="1"/>
  <c r="AF406" i="1" s="1"/>
  <c r="J31" i="1"/>
  <c r="F155" i="1"/>
  <c r="E122" i="1"/>
  <c r="H9" i="1"/>
  <c r="I83" i="1"/>
  <c r="AN408" i="1"/>
  <c r="AO408" i="1" s="1"/>
  <c r="AE408" i="1"/>
  <c r="AF418" i="1"/>
  <c r="Z418" i="1"/>
  <c r="AI418" i="1" s="1"/>
  <c r="E304" i="1"/>
  <c r="D309" i="1"/>
  <c r="AK408" i="1"/>
  <c r="AM408" i="1" s="1"/>
  <c r="S185" i="1"/>
  <c r="S396" i="1"/>
  <c r="S309" i="1"/>
  <c r="S305" i="1"/>
  <c r="I352" i="1"/>
  <c r="F287" i="1"/>
  <c r="E287" i="1" s="1"/>
  <c r="Z480" i="1"/>
  <c r="AI480" i="1" s="1"/>
  <c r="F83" i="1"/>
  <c r="I41" i="1"/>
  <c r="S41" i="1"/>
  <c r="N39" i="1"/>
  <c r="N41" i="1" s="1"/>
  <c r="I155" i="1"/>
  <c r="I231" i="1"/>
  <c r="H231" i="1" s="1"/>
  <c r="E396" i="1"/>
  <c r="F398" i="1"/>
  <c r="F399" i="1" s="1"/>
  <c r="D314" i="1" l="1"/>
  <c r="M309" i="1"/>
  <c r="F352" i="1"/>
  <c r="F353" i="1" s="1"/>
  <c r="N315" i="1"/>
  <c r="AF400" i="1"/>
  <c r="M27" i="1"/>
  <c r="M24" i="1"/>
  <c r="N27" i="1"/>
  <c r="N28" i="1" s="1"/>
  <c r="AL467" i="1"/>
  <c r="Z406" i="1"/>
  <c r="Z400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K27" i="1"/>
  <c r="H155" i="1"/>
  <c r="H32" i="1"/>
  <c r="E350" i="1"/>
  <c r="E348" i="1"/>
  <c r="Y408" i="1"/>
  <c r="E329" i="1"/>
  <c r="E231" i="1"/>
  <c r="P74" i="1"/>
  <c r="H54" i="1"/>
  <c r="K54" i="1"/>
  <c r="S310" i="1"/>
  <c r="AN418" i="1"/>
  <c r="AO418" i="1" s="1"/>
  <c r="AN432" i="1"/>
  <c r="AO432" i="1" s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8" i="1"/>
  <c r="S194" i="1"/>
  <c r="S195" i="1" s="1"/>
  <c r="R250" i="1"/>
  <c r="S251" i="1" s="1"/>
  <c r="Q233" i="1"/>
  <c r="Q234" i="1" s="1"/>
  <c r="P229" i="1"/>
  <c r="S27" i="1"/>
  <c r="K41" i="1"/>
  <c r="D27" i="1"/>
  <c r="E13" i="1"/>
  <c r="D24" i="1"/>
  <c r="AC480" i="1"/>
  <c r="E309" i="1"/>
  <c r="AF405" i="1"/>
  <c r="I165" i="1"/>
  <c r="H122" i="1"/>
  <c r="H153" i="1"/>
  <c r="H108" i="1"/>
  <c r="F289" i="1"/>
  <c r="F290" i="1" s="1"/>
  <c r="AC432" i="1"/>
  <c r="H27" i="1"/>
  <c r="M28" i="1" l="1"/>
  <c r="Z405" i="1"/>
  <c r="M314" i="1"/>
  <c r="AG408" i="1"/>
  <c r="AG413" i="1"/>
  <c r="AL482" i="1"/>
  <c r="AL400" i="1"/>
  <c r="AG411" i="1"/>
  <c r="AG414" i="1"/>
  <c r="AG412" i="1"/>
  <c r="AG410" i="1"/>
  <c r="AG409" i="1"/>
  <c r="AH406" i="1"/>
  <c r="AI406" i="1" s="1"/>
  <c r="C9" i="2"/>
  <c r="J9" i="2"/>
  <c r="J8" i="2" s="1"/>
  <c r="O9" i="2"/>
  <c r="O8" i="2" s="1"/>
  <c r="E27" i="1"/>
  <c r="X451" i="1"/>
  <c r="X480" i="1"/>
  <c r="K9" i="2"/>
  <c r="K8" i="2" s="1"/>
  <c r="C10" i="2"/>
  <c r="AA432" i="1"/>
  <c r="AA480" i="1"/>
  <c r="AA451" i="1"/>
  <c r="S28" i="1"/>
  <c r="AJ467" i="1"/>
  <c r="AJ465" i="1"/>
  <c r="AJ418" i="1"/>
  <c r="AJ432" i="1"/>
  <c r="AJ451" i="1"/>
  <c r="E74" i="1"/>
  <c r="F85" i="1"/>
  <c r="F86" i="1" s="1"/>
  <c r="E314" i="1"/>
  <c r="AA465" i="1"/>
  <c r="S314" i="1"/>
  <c r="S315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AN406" i="1"/>
  <c r="AO406" i="1" s="1"/>
  <c r="AD465" i="1"/>
  <c r="AH400" i="1" l="1"/>
  <c r="AH482" i="1"/>
  <c r="C8" i="2"/>
  <c r="P9" i="2"/>
  <c r="P8" i="2" s="1"/>
  <c r="B9" i="2"/>
  <c r="AC482" i="1"/>
  <c r="AL488" i="1"/>
  <c r="AK482" i="1"/>
  <c r="AL487" i="1" l="1"/>
  <c r="AK487" i="1" s="1"/>
  <c r="AL497" i="1"/>
  <c r="AL501" i="1" s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AF480" i="1"/>
  <c r="L82" i="1"/>
  <c r="N82" i="1" s="1"/>
  <c r="N83" i="1" s="1"/>
  <c r="S82" i="1" l="1"/>
  <c r="S83" i="1" s="1"/>
  <c r="L83" i="1"/>
  <c r="AN480" i="1"/>
  <c r="AO480" i="1" s="1"/>
  <c r="AD480" i="1"/>
  <c r="L229" i="1" l="1"/>
  <c r="L68" i="1"/>
  <c r="N68" i="1" l="1"/>
  <c r="N72" i="1" s="1"/>
  <c r="N74" i="1" s="1"/>
  <c r="N85" i="1" s="1"/>
  <c r="N86" i="1" s="1"/>
  <c r="L72" i="1"/>
  <c r="L74" i="1" s="1"/>
  <c r="S68" i="1"/>
  <c r="S72" i="1" s="1"/>
  <c r="S85" i="1" s="1"/>
  <c r="S86" i="1" s="1"/>
  <c r="K229" i="1"/>
  <c r="S229" i="1"/>
  <c r="L231" i="1"/>
  <c r="L348" i="1"/>
  <c r="S348" i="1"/>
  <c r="L11" i="2"/>
  <c r="L285" i="1"/>
  <c r="L153" i="1"/>
  <c r="L10" i="2" l="1"/>
  <c r="K72" i="1"/>
  <c r="L233" i="1"/>
  <c r="L234" i="1" s="1"/>
  <c r="S231" i="1"/>
  <c r="K231" i="1"/>
  <c r="K285" i="1"/>
  <c r="S285" i="1"/>
  <c r="L287" i="1"/>
  <c r="L350" i="1"/>
  <c r="K348" i="1"/>
  <c r="S153" i="1"/>
  <c r="L155" i="1"/>
  <c r="K153" i="1"/>
  <c r="AF451" i="1"/>
  <c r="K155" i="1" l="1"/>
  <c r="S155" i="1"/>
  <c r="L165" i="1"/>
  <c r="L166" i="1" s="1"/>
  <c r="S233" i="1"/>
  <c r="S234" i="1" s="1"/>
  <c r="M11" i="2"/>
  <c r="K287" i="1"/>
  <c r="S287" i="1"/>
  <c r="L289" i="1"/>
  <c r="L290" i="1" s="1"/>
  <c r="K350" i="1"/>
  <c r="L352" i="1"/>
  <c r="L353" i="1" s="1"/>
  <c r="S350" i="1"/>
  <c r="AN451" i="1"/>
  <c r="AO451" i="1" s="1"/>
  <c r="AF467" i="1"/>
  <c r="AD451" i="1"/>
  <c r="L85" i="1"/>
  <c r="L86" i="1" s="1"/>
  <c r="K74" i="1"/>
  <c r="S74" i="1"/>
  <c r="M10" i="2" l="1"/>
  <c r="S352" i="1"/>
  <c r="S353" i="1" s="1"/>
  <c r="S165" i="1"/>
  <c r="S166" i="1" s="1"/>
  <c r="N166" i="1"/>
  <c r="AF482" i="1"/>
  <c r="AN467" i="1"/>
  <c r="AO467" i="1" s="1"/>
  <c r="AD467" i="1"/>
  <c r="S289" i="1"/>
  <c r="S290" i="1" s="1"/>
  <c r="AN482" i="1" l="1"/>
  <c r="AO482" i="1" s="1"/>
  <c r="AE482" i="1"/>
  <c r="L9" i="2"/>
  <c r="L8" i="2" s="1"/>
  <c r="AF488" i="1"/>
  <c r="AF487" i="1" l="1"/>
  <c r="AF497" i="1"/>
  <c r="AF501" i="1" s="1"/>
  <c r="AN488" i="1"/>
  <c r="AE488" i="1"/>
  <c r="AN497" i="1" l="1"/>
  <c r="AN501" i="1" s="1"/>
  <c r="AN487" i="1"/>
  <c r="AO487" i="1" s="1"/>
  <c r="AE487" i="1"/>
  <c r="AO488" i="1"/>
  <c r="AE497" i="1"/>
  <c r="M9" i="2"/>
  <c r="M8" i="2" s="1"/>
  <c r="AO497" i="1" l="1"/>
  <c r="Z467" i="1"/>
  <c r="X465" i="1"/>
  <c r="Z482" i="1" l="1"/>
  <c r="AI482" i="1" s="1"/>
  <c r="AI467" i="1"/>
  <c r="X467" i="1"/>
  <c r="Z488" i="1" l="1"/>
  <c r="AH488" i="1" s="1"/>
  <c r="AI488" i="1" s="1"/>
  <c r="Y482" i="1"/>
  <c r="D9" i="2"/>
  <c r="D8" i="2" s="1"/>
  <c r="Y488" i="1"/>
  <c r="Z497" i="1"/>
  <c r="Z487" i="1" l="1"/>
  <c r="AH487" i="1" s="1"/>
  <c r="AH497" i="1"/>
  <c r="AI497" i="1" s="1"/>
  <c r="E9" i="2"/>
  <c r="E8" i="2" s="1"/>
  <c r="Y497" i="1"/>
  <c r="Z501" i="1"/>
  <c r="Y487" i="1"/>
  <c r="AI487" i="1"/>
  <c r="AH501" i="1" l="1"/>
</calcChain>
</file>

<file path=xl/sharedStrings.xml><?xml version="1.0" encoding="utf-8"?>
<sst xmlns="http://schemas.openxmlformats.org/spreadsheetml/2006/main" count="5682" uniqueCount="484">
  <si>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</si>
  <si>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</si>
  <si>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</si>
  <si>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</si>
  <si>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</si>
  <si>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</si>
  <si>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</si>
  <si>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</si>
  <si>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</si>
  <si>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</si>
  <si>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</si>
  <si>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</si>
  <si>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</si>
  <si>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</si>
  <si>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</si>
  <si>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</si>
  <si>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</si>
  <si>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</si>
  <si>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</si>
  <si>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</si>
  <si>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</si>
  <si>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</si>
  <si>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</si>
  <si>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</si>
  <si>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</si>
  <si>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</si>
  <si>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</si>
  <si>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</si>
  <si>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</si>
  <si>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</si>
  <si>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</si>
  <si>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</si>
  <si>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</si>
  <si>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</si>
  <si>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</si>
  <si>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</si>
  <si>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</si>
  <si>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</si>
  <si>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</si>
  <si>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</si>
  <si>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</si>
  <si>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</si>
  <si>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</si>
  <si>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</si>
  <si>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</si>
  <si>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</si>
  <si>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</si>
  <si>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</si>
  <si>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</si>
  <si>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</si>
  <si>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</si>
  <si>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</si>
  <si>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</si>
  <si>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</si>
  <si>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</si>
  <si>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</si>
  <si>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</si>
  <si>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</si>
  <si>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</si>
  <si>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</si>
  <si>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</si>
  <si>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</si>
  <si>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</si>
  <si>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</si>
  <si>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</si>
  <si>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</si>
  <si>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</si>
  <si>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</si>
  <si>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</si>
  <si>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</si>
  <si>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</si>
  <si>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</si>
  <si>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</si>
  <si>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</si>
  <si>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</si>
  <si>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</si>
  <si>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</si>
  <si>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</si>
  <si>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</si>
  <si>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</si>
  <si>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</si>
  <si>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</si>
  <si>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</si>
  <si>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</si>
  <si>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</si>
  <si>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</si>
  <si>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</si>
  <si>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</si>
  <si>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</si>
  <si>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</si>
  <si>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</si>
  <si>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</si>
  <si>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</si>
  <si>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</si>
  <si>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</si>
  <si>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</si>
  <si>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</si>
  <si>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</si>
  <si>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</si>
  <si>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</si>
  <si>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</si>
  <si>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</si>
  <si>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</si>
  <si>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</si>
  <si>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</si>
  <si>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</si>
  <si>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</si>
  <si>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</si>
  <si>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</si>
  <si>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</si>
  <si>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</si>
  <si>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</si>
  <si>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</si>
  <si>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</si>
  <si>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</si>
  <si>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</si>
  <si>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</si>
  <si>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</si>
  <si>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</si>
  <si>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</si>
  <si>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</si>
  <si>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</si>
  <si>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</si>
  <si>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</si>
  <si>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</si>
  <si>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</si>
  <si>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</si>
  <si>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</si>
  <si>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</si>
  <si>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</si>
  <si>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</si>
  <si>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</si>
  <si>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</si>
  <si>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</si>
  <si>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</si>
  <si>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</si>
  <si>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</si>
  <si>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</si>
  <si>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</si>
  <si>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</si>
  <si>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</si>
  <si>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</si>
  <si>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</si>
  <si>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</si>
  <si>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</si>
  <si>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</si>
  <si>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</si>
  <si>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</si>
  <si>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</si>
  <si>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</si>
  <si>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</si>
  <si>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</si>
  <si>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</si>
  <si>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</si>
  <si>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</si>
  <si>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</si>
  <si>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</si>
  <si>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</si>
  <si>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</si>
  <si>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</si>
  <si>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</si>
  <si>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</si>
  <si>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</si>
  <si>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</si>
  <si>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</si>
  <si>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</si>
  <si>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</si>
  <si>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</si>
  <si>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</si>
  <si>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</si>
  <si>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</si>
  <si>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</si>
  <si>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</si>
  <si>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</si>
  <si>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</si>
  <si>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</si>
  <si>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</si>
  <si>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</si>
  <si>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</si>
  <si>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</si>
  <si>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</si>
  <si>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</si>
  <si>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</si>
  <si>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</si>
  <si>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</si>
  <si>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</si>
  <si>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</si>
  <si>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</si>
  <si>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</si>
  <si>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</si>
  <si>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</si>
  <si>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</si>
  <si>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</si>
  <si>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</si>
  <si>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</si>
  <si>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</si>
  <si>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</si>
  <si>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</si>
  <si>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</si>
  <si>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</si>
  <si>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</si>
  <si>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</si>
  <si>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</si>
  <si>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</si>
  <si>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</si>
  <si>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</si>
  <si>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</si>
  <si>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</si>
  <si>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</si>
  <si>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</si>
  <si>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</si>
  <si>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</si>
  <si>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</si>
  <si>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</si>
  <si>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</si>
  <si>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</si>
  <si>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</si>
  <si>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</si>
  <si>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</si>
  <si>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</si>
  <si>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</si>
  <si>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</si>
  <si>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</si>
  <si>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</si>
  <si>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</si>
  <si>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</si>
  <si>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</si>
  <si>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</si>
  <si>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</si>
  <si>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</si>
  <si>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</si>
  <si>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</si>
  <si>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</si>
  <si>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</si>
  <si>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</si>
  <si>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</si>
  <si>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</si>
  <si>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</si>
  <si>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</si>
  <si>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</si>
  <si>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</si>
  <si>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</si>
  <si>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</si>
  <si>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</si>
  <si>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</si>
  <si>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</si>
  <si>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</si>
  <si>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</si>
  <si>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</si>
  <si>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</si>
  <si>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</si>
  <si>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</si>
  <si>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</si>
  <si>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</si>
  <si>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</si>
  <si>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</si>
  <si>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</si>
  <si>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</si>
  <si>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</si>
  <si>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</si>
  <si>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</si>
  <si>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</si>
  <si>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</si>
  <si>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</si>
  <si>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</si>
  <si>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</si>
  <si>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</si>
  <si>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</si>
  <si>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</si>
  <si>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</si>
  <si>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</si>
  <si>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</si>
  <si>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</si>
  <si>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</si>
  <si>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</si>
  <si>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</si>
  <si>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</si>
  <si>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</si>
  <si>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</si>
  <si>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</si>
  <si>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</si>
  <si>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</si>
  <si>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</si>
  <si>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</si>
  <si>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</si>
  <si>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</si>
  <si>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</si>
  <si>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</si>
  <si>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</si>
  <si>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</si>
  <si>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</si>
  <si>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</si>
  <si>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</si>
  <si>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</si>
  <si>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</si>
  <si>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</si>
  <si>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</si>
  <si>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</si>
  <si>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</si>
  <si>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</si>
  <si>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</si>
  <si>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</si>
  <si>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</si>
  <si>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</si>
  <si>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</si>
  <si>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</si>
  <si>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</si>
  <si>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</si>
  <si>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</si>
  <si>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</si>
  <si>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</si>
  <si>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</si>
  <si>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</si>
  <si>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</si>
  <si>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</si>
  <si>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</si>
  <si>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</si>
  <si>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</si>
  <si>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</si>
  <si>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</si>
  <si>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</si>
  <si>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</si>
  <si>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</si>
  <si>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</si>
  <si>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</si>
  <si>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</si>
  <si>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</si>
  <si>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</si>
  <si>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</si>
  <si>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</si>
  <si>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</si>
  <si>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</si>
  <si>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</si>
  <si>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</si>
  <si>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</si>
  <si>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</si>
  <si>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</si>
  <si>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</si>
  <si>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</si>
  <si>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</si>
  <si>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</si>
  <si>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</si>
  <si>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</si>
  <si>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</si>
  <si>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</si>
  <si>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</si>
  <si>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</si>
  <si>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</si>
  <si>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</si>
  <si>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</si>
  <si>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</si>
  <si>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</si>
  <si>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</si>
  <si>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</si>
  <si>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</si>
  <si>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</si>
  <si>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</si>
  <si>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</si>
  <si>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</si>
  <si>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</si>
  <si>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</si>
  <si>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</si>
  <si>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</si>
  <si>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</si>
  <si>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</si>
  <si>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</si>
  <si>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</si>
  <si>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</si>
  <si>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</si>
  <si>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</si>
  <si>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</si>
  <si>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</si>
  <si>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</si>
  <si>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</si>
  <si>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</si>
  <si>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</si>
  <si>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</si>
  <si>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</si>
  <si>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</si>
  <si>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</si>
  <si>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</si>
  <si>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</si>
  <si>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</si>
  <si>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</si>
  <si>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</si>
  <si>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</si>
  <si>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</si>
  <si>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</si>
  <si>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</si>
  <si>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</si>
  <si>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</si>
  <si>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</si>
  <si>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</si>
  <si>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</si>
  <si>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</si>
  <si>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</si>
  <si>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</si>
  <si>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</si>
  <si>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</si>
  <si>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</si>
  <si>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</si>
  <si>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</si>
  <si>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</si>
  <si>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</si>
  <si>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</si>
  <si>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</si>
  <si>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</si>
  <si>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</si>
  <si>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</si>
  <si>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</si>
  <si>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</si>
  <si>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</si>
  <si>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</si>
  <si>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</si>
  <si>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</si>
  <si>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</si>
  <si>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</si>
  <si>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</si>
  <si>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</si>
  <si>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</si>
  <si>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</si>
  <si>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</si>
  <si>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</si>
  <si>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</si>
  <si>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</si>
  <si>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</si>
  <si>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</si>
  <si>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</si>
  <si>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</si>
  <si>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</si>
  <si>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</si>
  <si>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</si>
  <si>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</si>
  <si>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</si>
  <si>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</si>
  <si>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</si>
  <si>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</si>
  <si>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</si>
  <si>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</si>
  <si>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</si>
  <si>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</si>
  <si>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</si>
  <si>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</si>
  <si>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</si>
  <si>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</si>
  <si>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</si>
  <si>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</si>
  <si>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</si>
  <si>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</si>
  <si>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</si>
  <si>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</si>
  <si>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</si>
  <si>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</si>
  <si>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</si>
  <si>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</si>
  <si>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</si>
  <si>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</si>
  <si>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</si>
  <si>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</si>
  <si>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</si>
  <si>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</si>
  <si>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</si>
  <si>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</si>
  <si>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</si>
  <si>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</si>
  <si>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</si>
  <si>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</si>
  <si>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</si>
  <si>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</si>
  <si>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</si>
  <si>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Revenus d'intérêts Floor plan</t>
  </si>
  <si>
    <t>Réalisé, Mai 2025</t>
  </si>
  <si>
    <t>Réalisé, Avril 2025</t>
  </si>
  <si>
    <t>Réalisé, Juin 2025</t>
  </si>
  <si>
    <t>*** NE PAS EFFACER / Pour An Précédente ***</t>
  </si>
  <si>
    <t>NEUF</t>
  </si>
  <si>
    <t>UNITÉS</t>
  </si>
  <si>
    <t>USAGE</t>
  </si>
  <si>
    <t>CARROSSERIE</t>
  </si>
  <si>
    <t>PIECES</t>
  </si>
  <si>
    <t>TOTAL DES REVENUS ET DÉPENSES</t>
  </si>
  <si>
    <t>Volks</t>
  </si>
  <si>
    <t>Pacing du 30</t>
  </si>
  <si>
    <t>Repris bcp d'auto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</si>
</sst>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\/mm\/yy_)"/>
    <numFmt numFmtId="166" formatCode="0.0%"/>
    <numFmt numFmtId="167" formatCode="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d/m/yyyy"/>
  </numFmts>
  <fonts count="4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6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0" fontId="7" fillId="0" borderId="0"/>
    <xf numFmtId="0" fontId="23" fillId="0" borderId="0"/>
    <xf numFmtId="170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0" fontId="14" fillId="0" borderId="0"/>
    <xf numFmtId="0" fontId="6" fillId="0" borderId="0"/>
    <xf numFmtId="0" fontId="23" fillId="0" borderId="0"/>
    <xf numFmtId="43" fontId="2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5" fillId="0" borderId="0"/>
    <xf numFmtId="0" fontId="37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7">
    <xf numFmtId="0" fontId="0" fillId="0" borderId="0" xfId="0"/>
    <xf numFmtId="0" fontId="15" fillId="0" borderId="18" xfId="0" applyFont="1" applyBorder="1"/>
    <xf numFmtId="0" fontId="15" fillId="0" borderId="22" xfId="0" applyFont="1" applyBorder="1"/>
    <xf numFmtId="0" fontId="15" fillId="0" borderId="6" xfId="0" applyFont="1" applyBorder="1"/>
    <xf numFmtId="0" fontId="15" fillId="0" borderId="48" xfId="0" applyFont="1" applyBorder="1"/>
    <xf numFmtId="0" fontId="15" fillId="0" borderId="11" xfId="0" applyFont="1" applyBorder="1"/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37" fontId="15" fillId="0" borderId="67" xfId="0" applyNumberFormat="1" applyFont="1" applyBorder="1"/>
    <xf numFmtId="37" fontId="15" fillId="0" borderId="68" xfId="0" applyNumberFormat="1" applyFont="1" applyBorder="1"/>
    <xf numFmtId="37" fontId="15" fillId="0" borderId="12" xfId="0" applyNumberFormat="1" applyFont="1" applyBorder="1"/>
    <xf numFmtId="166" fontId="15" fillId="0" borderId="12" xfId="0" applyNumberFormat="1" applyFont="1" applyBorder="1"/>
    <xf numFmtId="37" fontId="15" fillId="0" borderId="69" xfId="0" applyNumberFormat="1" applyFont="1" applyBorder="1"/>
    <xf numFmtId="166" fontId="15" fillId="0" borderId="17" xfId="0" applyNumberFormat="1" applyFont="1" applyBorder="1"/>
    <xf numFmtId="0" fontId="17" fillId="2" borderId="22" xfId="0" applyFont="1" applyFill="1" applyBorder="1"/>
    <xf numFmtId="0" fontId="17" fillId="2" borderId="12" xfId="0" applyFont="1" applyFill="1" applyBorder="1"/>
    <xf numFmtId="37" fontId="17" fillId="2" borderId="67" xfId="0" applyNumberFormat="1" applyFont="1" applyFill="1" applyBorder="1"/>
    <xf numFmtId="37" fontId="17" fillId="2" borderId="68" xfId="0" applyNumberFormat="1" applyFont="1" applyFill="1" applyBorder="1"/>
    <xf numFmtId="37" fontId="17" fillId="2" borderId="12" xfId="0" applyNumberFormat="1" applyFont="1" applyFill="1" applyBorder="1"/>
    <xf numFmtId="166" fontId="17" fillId="2" borderId="12" xfId="0" applyNumberFormat="1" applyFont="1" applyFill="1" applyBorder="1"/>
    <xf numFmtId="37" fontId="17" fillId="2" borderId="69" xfId="0" applyNumberFormat="1" applyFont="1" applyFill="1" applyBorder="1"/>
    <xf numFmtId="166" fontId="17" fillId="2" borderId="17" xfId="0" applyNumberFormat="1" applyFont="1" applyFill="1" applyBorder="1"/>
    <xf numFmtId="0" fontId="17" fillId="0" borderId="18" xfId="0" applyFont="1" applyBorder="1"/>
    <xf numFmtId="0" fontId="15" fillId="0" borderId="0" xfId="0" applyFont="1"/>
    <xf numFmtId="37" fontId="15" fillId="0" borderId="70" xfId="0" applyNumberFormat="1" applyFont="1" applyBorder="1"/>
    <xf numFmtId="37" fontId="15" fillId="0" borderId="71" xfId="0" applyNumberFormat="1" applyFont="1" applyBorder="1"/>
    <xf numFmtId="37" fontId="15" fillId="0" borderId="0" xfId="0" applyNumberFormat="1" applyFont="1"/>
    <xf numFmtId="166" fontId="15" fillId="0" borderId="0" xfId="0" applyNumberFormat="1" applyFont="1"/>
    <xf numFmtId="37" fontId="15" fillId="0" borderId="72" xfId="0" applyNumberFormat="1" applyFont="1" applyBorder="1"/>
    <xf numFmtId="166" fontId="15" fillId="0" borderId="21" xfId="0" applyNumberFormat="1" applyFont="1" applyBorder="1"/>
    <xf numFmtId="0" fontId="15" fillId="0" borderId="0" xfId="0" applyFont="1" applyAlignment="1">
      <alignment horizontal="right"/>
    </xf>
    <xf numFmtId="167" fontId="15" fillId="0" borderId="0" xfId="0" applyNumberFormat="1" applyFont="1"/>
    <xf numFmtId="0" fontId="15" fillId="0" borderId="71" xfId="0" applyFont="1" applyBorder="1"/>
    <xf numFmtId="166" fontId="15" fillId="0" borderId="10" xfId="0" applyNumberFormat="1" applyFont="1" applyBorder="1"/>
    <xf numFmtId="0" fontId="15" fillId="0" borderId="12" xfId="0" applyFont="1" applyBorder="1" applyAlignment="1">
      <alignment horizontal="right"/>
    </xf>
    <xf numFmtId="167" fontId="15" fillId="0" borderId="12" xfId="0" applyNumberFormat="1" applyFont="1" applyBorder="1"/>
    <xf numFmtId="0" fontId="15" fillId="0" borderId="68" xfId="0" applyFont="1" applyBorder="1"/>
    <xf numFmtId="166" fontId="15" fillId="0" borderId="67" xfId="0" applyNumberFormat="1" applyFont="1" applyBorder="1"/>
    <xf numFmtId="166" fontId="15" fillId="0" borderId="73" xfId="0" applyNumberFormat="1" applyFont="1" applyBorder="1"/>
    <xf numFmtId="166" fontId="18" fillId="0" borderId="10" xfId="0" applyNumberFormat="1" applyFont="1" applyBorder="1"/>
    <xf numFmtId="0" fontId="17" fillId="2" borderId="34" xfId="0" applyFont="1" applyFill="1" applyBorder="1"/>
    <xf numFmtId="0" fontId="17" fillId="2" borderId="35" xfId="0" applyFont="1" applyFill="1" applyBorder="1"/>
    <xf numFmtId="166" fontId="17" fillId="2" borderId="35" xfId="0" applyNumberFormat="1" applyFont="1" applyFill="1" applyBorder="1"/>
    <xf numFmtId="37" fontId="17" fillId="2" borderId="74" xfId="0" applyNumberFormat="1" applyFont="1" applyFill="1" applyBorder="1"/>
    <xf numFmtId="166" fontId="17" fillId="2" borderId="38" xfId="0" applyNumberFormat="1" applyFont="1" applyFill="1" applyBorder="1"/>
    <xf numFmtId="0" fontId="17" fillId="2" borderId="38" xfId="0" applyFont="1" applyFill="1" applyBorder="1"/>
    <xf numFmtId="37" fontId="17" fillId="2" borderId="35" xfId="0" applyNumberFormat="1" applyFont="1" applyFill="1" applyBorder="1"/>
    <xf numFmtId="0" fontId="17" fillId="2" borderId="75" xfId="0" applyFont="1" applyFill="1" applyBorder="1"/>
    <xf numFmtId="166" fontId="15" fillId="0" borderId="70" xfId="0" applyNumberFormat="1" applyFont="1" applyBorder="1"/>
    <xf numFmtId="167" fontId="17" fillId="2" borderId="35" xfId="0" applyNumberFormat="1" applyFont="1" applyFill="1" applyBorder="1"/>
    <xf numFmtId="37" fontId="17" fillId="2" borderId="38" xfId="0" applyNumberFormat="1" applyFont="1" applyFill="1" applyBorder="1"/>
    <xf numFmtId="37" fontId="17" fillId="2" borderId="75" xfId="0" applyNumberFormat="1" applyFont="1" applyFill="1" applyBorder="1"/>
    <xf numFmtId="0" fontId="15" fillId="0" borderId="7" xfId="0" applyFont="1" applyBorder="1" applyAlignment="1">
      <alignment horizontal="right"/>
    </xf>
    <xf numFmtId="0" fontId="15" fillId="0" borderId="7" xfId="0" applyFont="1" applyBorder="1"/>
    <xf numFmtId="37" fontId="15" fillId="0" borderId="76" xfId="0" applyNumberFormat="1" applyFont="1" applyBorder="1"/>
    <xf numFmtId="0" fontId="15" fillId="0" borderId="77" xfId="0" applyFont="1" applyBorder="1"/>
    <xf numFmtId="167" fontId="15" fillId="0" borderId="7" xfId="0" applyNumberFormat="1" applyFont="1" applyBorder="1"/>
    <xf numFmtId="37" fontId="15" fillId="0" borderId="7" xfId="0" applyNumberFormat="1" applyFont="1" applyBorder="1"/>
    <xf numFmtId="166" fontId="15" fillId="0" borderId="7" xfId="0" applyNumberFormat="1" applyFont="1" applyBorder="1"/>
    <xf numFmtId="37" fontId="15" fillId="0" borderId="78" xfId="0" applyNumberFormat="1" applyFont="1" applyBorder="1"/>
    <xf numFmtId="0" fontId="15" fillId="0" borderId="47" xfId="0" applyFont="1" applyBorder="1" applyAlignment="1">
      <alignment horizontal="right"/>
    </xf>
    <xf numFmtId="0" fontId="15" fillId="0" borderId="47" xfId="0" applyFont="1" applyBorder="1"/>
    <xf numFmtId="37" fontId="15" fillId="0" borderId="79" xfId="0" applyNumberFormat="1" applyFont="1" applyBorder="1"/>
    <xf numFmtId="0" fontId="15" fillId="0" borderId="80" xfId="0" applyFont="1" applyBorder="1"/>
    <xf numFmtId="167" fontId="15" fillId="0" borderId="47" xfId="0" applyNumberFormat="1" applyFont="1" applyBorder="1"/>
    <xf numFmtId="37" fontId="15" fillId="0" borderId="80" xfId="0" applyNumberFormat="1" applyFont="1" applyBorder="1"/>
    <xf numFmtId="37" fontId="15" fillId="0" borderId="47" xfId="0" applyNumberFormat="1" applyFont="1" applyBorder="1"/>
    <xf numFmtId="166" fontId="15" fillId="0" borderId="47" xfId="0" applyNumberFormat="1" applyFont="1" applyBorder="1"/>
    <xf numFmtId="37" fontId="15" fillId="0" borderId="81" xfId="0" applyNumberFormat="1" applyFont="1" applyBorder="1"/>
    <xf numFmtId="166" fontId="15" fillId="0" borderId="82" xfId="0" applyNumberFormat="1" applyFont="1" applyBorder="1"/>
    <xf numFmtId="0" fontId="15" fillId="2" borderId="35" xfId="0" applyFont="1" applyFill="1" applyBorder="1"/>
    <xf numFmtId="166" fontId="17" fillId="2" borderId="39" xfId="0" applyNumberFormat="1" applyFont="1" applyFill="1" applyBorder="1"/>
    <xf numFmtId="166" fontId="17" fillId="0" borderId="0" xfId="0" applyNumberFormat="1" applyFont="1"/>
    <xf numFmtId="0" fontId="17" fillId="0" borderId="0" xfId="0" applyFont="1"/>
    <xf numFmtId="166" fontId="15" fillId="0" borderId="76" xfId="0" applyNumberFormat="1" applyFont="1" applyBorder="1"/>
    <xf numFmtId="0" fontId="15" fillId="0" borderId="70" xfId="0" applyFont="1" applyBorder="1"/>
    <xf numFmtId="0" fontId="15" fillId="0" borderId="72" xfId="0" applyFont="1" applyBorder="1"/>
    <xf numFmtId="166" fontId="15" fillId="0" borderId="83" xfId="0" applyNumberFormat="1" applyFont="1" applyBorder="1"/>
    <xf numFmtId="166" fontId="17" fillId="0" borderId="7" xfId="0" applyNumberFormat="1" applyFont="1" applyBorder="1"/>
    <xf numFmtId="0" fontId="17" fillId="0" borderId="7" xfId="0" applyFont="1" applyBorder="1"/>
    <xf numFmtId="166" fontId="17" fillId="0" borderId="77" xfId="0" applyNumberFormat="1" applyFont="1" applyBorder="1"/>
    <xf numFmtId="37" fontId="17" fillId="0" borderId="77" xfId="0" applyNumberFormat="1" applyFont="1" applyBorder="1"/>
    <xf numFmtId="37" fontId="15" fillId="0" borderId="84" xfId="0" applyNumberFormat="1" applyFont="1" applyBorder="1"/>
    <xf numFmtId="37" fontId="17" fillId="0" borderId="7" xfId="0" applyNumberFormat="1" applyFont="1" applyBorder="1"/>
    <xf numFmtId="166" fontId="17" fillId="0" borderId="71" xfId="0" applyNumberFormat="1" applyFont="1" applyBorder="1"/>
    <xf numFmtId="37" fontId="17" fillId="0" borderId="71" xfId="0" applyNumberFormat="1" applyFont="1" applyBorder="1"/>
    <xf numFmtId="37" fontId="15" fillId="0" borderId="85" xfId="0" applyNumberFormat="1" applyFont="1" applyBorder="1"/>
    <xf numFmtId="37" fontId="17" fillId="0" borderId="0" xfId="0" applyNumberFormat="1" applyFont="1"/>
    <xf numFmtId="166" fontId="15" fillId="2" borderId="38" xfId="0" applyNumberFormat="1" applyFont="1" applyFill="1" applyBorder="1"/>
    <xf numFmtId="166" fontId="15" fillId="2" borderId="35" xfId="0" applyNumberFormat="1" applyFont="1" applyFill="1" applyBorder="1"/>
    <xf numFmtId="37" fontId="15" fillId="2" borderId="75" xfId="0" applyNumberFormat="1" applyFont="1" applyFill="1" applyBorder="1"/>
    <xf numFmtId="0" fontId="17" fillId="3" borderId="6" xfId="0" applyFont="1" applyFill="1" applyBorder="1"/>
    <xf numFmtId="0" fontId="17" fillId="3" borderId="7" xfId="0" applyFont="1" applyFill="1" applyBorder="1"/>
    <xf numFmtId="37" fontId="17" fillId="3" borderId="7" xfId="0" applyNumberFormat="1" applyFont="1" applyFill="1" applyBorder="1"/>
    <xf numFmtId="37" fontId="15" fillId="3" borderId="76" xfId="0" applyNumberFormat="1" applyFont="1" applyFill="1" applyBorder="1"/>
    <xf numFmtId="0" fontId="15" fillId="3" borderId="7" xfId="0" applyFont="1" applyFill="1" applyBorder="1"/>
    <xf numFmtId="37" fontId="15" fillId="3" borderId="7" xfId="0" applyNumberFormat="1" applyFont="1" applyFill="1" applyBorder="1"/>
    <xf numFmtId="37" fontId="15" fillId="3" borderId="77" xfId="0" applyNumberFormat="1" applyFont="1" applyFill="1" applyBorder="1"/>
    <xf numFmtId="37" fontId="15" fillId="3" borderId="0" xfId="0" applyNumberFormat="1" applyFont="1" applyFill="1"/>
    <xf numFmtId="166" fontId="15" fillId="3" borderId="0" xfId="0" applyNumberFormat="1" applyFont="1" applyFill="1"/>
    <xf numFmtId="166" fontId="15" fillId="3" borderId="77" xfId="0" applyNumberFormat="1" applyFont="1" applyFill="1" applyBorder="1"/>
    <xf numFmtId="166" fontId="15" fillId="3" borderId="7" xfId="0" applyNumberFormat="1" applyFont="1" applyFill="1" applyBorder="1"/>
    <xf numFmtId="37" fontId="15" fillId="3" borderId="78" xfId="0" applyNumberFormat="1" applyFont="1" applyFill="1" applyBorder="1"/>
    <xf numFmtId="166" fontId="15" fillId="0" borderId="45" xfId="0" applyNumberFormat="1" applyFont="1" applyBorder="1"/>
    <xf numFmtId="0" fontId="17" fillId="2" borderId="57" xfId="0" applyFont="1" applyFill="1" applyBorder="1"/>
    <xf numFmtId="0" fontId="17" fillId="2" borderId="58" xfId="0" applyFont="1" applyFill="1" applyBorder="1"/>
    <xf numFmtId="0" fontId="17" fillId="2" borderId="58" xfId="0" applyFont="1" applyFill="1" applyBorder="1" applyAlignment="1">
      <alignment horizontal="center"/>
    </xf>
    <xf numFmtId="166" fontId="17" fillId="2" borderId="58" xfId="0" applyNumberFormat="1" applyFont="1" applyFill="1" applyBorder="1"/>
    <xf numFmtId="37" fontId="17" fillId="2" borderId="86" xfId="0" applyNumberFormat="1" applyFont="1" applyFill="1" applyBorder="1"/>
    <xf numFmtId="37" fontId="17" fillId="2" borderId="58" xfId="0" applyNumberFormat="1" applyFont="1" applyFill="1" applyBorder="1"/>
    <xf numFmtId="37" fontId="17" fillId="2" borderId="87" xfId="0" applyNumberFormat="1" applyFont="1" applyFill="1" applyBorder="1"/>
    <xf numFmtId="166" fontId="17" fillId="2" borderId="88" xfId="0" applyNumberFormat="1" applyFont="1" applyFill="1" applyBorder="1"/>
    <xf numFmtId="0" fontId="17" fillId="2" borderId="87" xfId="0" applyFont="1" applyFill="1" applyBorder="1" applyAlignment="1">
      <alignment horizontal="center"/>
    </xf>
    <xf numFmtId="37" fontId="17" fillId="2" borderId="89" xfId="0" applyNumberFormat="1" applyFont="1" applyFill="1" applyBorder="1"/>
    <xf numFmtId="166" fontId="17" fillId="2" borderId="46" xfId="0" applyNumberFormat="1" applyFont="1" applyFill="1" applyBorder="1"/>
    <xf numFmtId="39" fontId="15" fillId="0" borderId="0" xfId="0" applyNumberFormat="1" applyFont="1"/>
    <xf numFmtId="0" fontId="17" fillId="2" borderId="90" xfId="0" applyFont="1" applyFill="1" applyBorder="1"/>
    <xf numFmtId="0" fontId="17" fillId="2" borderId="91" xfId="0" applyFont="1" applyFill="1" applyBorder="1"/>
    <xf numFmtId="0" fontId="17" fillId="2" borderId="91" xfId="0" applyFont="1" applyFill="1" applyBorder="1" applyAlignment="1">
      <alignment horizontal="center"/>
    </xf>
    <xf numFmtId="166" fontId="17" fillId="2" borderId="91" xfId="0" applyNumberFormat="1" applyFont="1" applyFill="1" applyBorder="1"/>
    <xf numFmtId="37" fontId="17" fillId="2" borderId="92" xfId="0" applyNumberFormat="1" applyFont="1" applyFill="1" applyBorder="1"/>
    <xf numFmtId="37" fontId="17" fillId="2" borderId="91" xfId="0" applyNumberFormat="1" applyFont="1" applyFill="1" applyBorder="1"/>
    <xf numFmtId="37" fontId="17" fillId="2" borderId="93" xfId="0" applyNumberFormat="1" applyFont="1" applyFill="1" applyBorder="1"/>
    <xf numFmtId="37" fontId="17" fillId="2" borderId="94" xfId="0" applyNumberFormat="1" applyFont="1" applyFill="1" applyBorder="1"/>
    <xf numFmtId="37" fontId="17" fillId="2" borderId="63" xfId="0" applyNumberFormat="1" applyFont="1" applyFill="1" applyBorder="1"/>
    <xf numFmtId="166" fontId="17" fillId="2" borderId="66" xfId="0" applyNumberFormat="1" applyFont="1" applyFill="1" applyBorder="1"/>
    <xf numFmtId="166" fontId="17" fillId="2" borderId="61" xfId="0" applyNumberFormat="1" applyFont="1" applyFill="1" applyBorder="1"/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21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2" fillId="0" borderId="96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37" fontId="22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2" fillId="7" borderId="95" xfId="0" applyFont="1" applyFill="1" applyBorder="1" applyAlignment="1">
      <alignment horizontal="center"/>
    </xf>
    <xf numFmtId="0" fontId="22" fillId="8" borderId="95" xfId="0" applyFont="1" applyFill="1" applyBorder="1" applyAlignment="1">
      <alignment horizontal="center"/>
    </xf>
    <xf numFmtId="0" fontId="22" fillId="5" borderId="95" xfId="0" applyFont="1" applyFill="1" applyBorder="1" applyAlignment="1">
      <alignment horizontal="center"/>
    </xf>
    <xf numFmtId="3" fontId="21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2" fillId="0" borderId="100" xfId="0" applyNumberFormat="1" applyFont="1" applyBorder="1" applyAlignment="1">
      <alignment horizontal="center" vertical="center"/>
    </xf>
    <xf numFmtId="3" fontId="21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2" fillId="6" borderId="95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3" fontId="26" fillId="0" borderId="0" xfId="0" applyNumberFormat="1" applyFont="1" applyAlignment="1">
      <alignment horizontal="center"/>
    </xf>
    <xf numFmtId="0" fontId="15" fillId="0" borderId="9" xfId="0" applyFont="1" applyBorder="1"/>
    <xf numFmtId="0" fontId="15" fillId="0" borderId="14" xfId="0" applyFont="1" applyBorder="1"/>
    <xf numFmtId="0" fontId="15" fillId="0" borderId="20" xfId="0" applyFont="1" applyBorder="1"/>
    <xf numFmtId="166" fontId="15" fillId="0" borderId="16" xfId="0" applyNumberFormat="1" applyFont="1" applyBorder="1"/>
    <xf numFmtId="0" fontId="17" fillId="0" borderId="9" xfId="0" applyFont="1" applyBorder="1"/>
    <xf numFmtId="166" fontId="15" fillId="0" borderId="8" xfId="0" applyNumberFormat="1" applyFont="1" applyBorder="1"/>
    <xf numFmtId="0" fontId="17" fillId="2" borderId="37" xfId="0" applyFont="1" applyFill="1" applyBorder="1"/>
    <xf numFmtId="0" fontId="17" fillId="2" borderId="103" xfId="0" applyFont="1" applyFill="1" applyBorder="1"/>
    <xf numFmtId="0" fontId="17" fillId="2" borderId="104" xfId="0" applyFont="1" applyFill="1" applyBorder="1"/>
    <xf numFmtId="0" fontId="17" fillId="2" borderId="104" xfId="0" applyFont="1" applyFill="1" applyBorder="1" applyAlignment="1">
      <alignment horizontal="center"/>
    </xf>
    <xf numFmtId="166" fontId="17" fillId="2" borderId="104" xfId="0" applyNumberFormat="1" applyFont="1" applyFill="1" applyBorder="1"/>
    <xf numFmtId="37" fontId="17" fillId="2" borderId="105" xfId="0" applyNumberFormat="1" applyFont="1" applyFill="1" applyBorder="1"/>
    <xf numFmtId="37" fontId="17" fillId="2" borderId="104" xfId="0" applyNumberFormat="1" applyFont="1" applyFill="1" applyBorder="1"/>
    <xf numFmtId="166" fontId="17" fillId="2" borderId="106" xfId="0" applyNumberFormat="1" applyFont="1" applyFill="1" applyBorder="1"/>
    <xf numFmtId="166" fontId="17" fillId="2" borderId="31" xfId="0" applyNumberFormat="1" applyFont="1" applyFill="1" applyBorder="1"/>
    <xf numFmtId="37" fontId="17" fillId="2" borderId="107" xfId="0" applyNumberFormat="1" applyFont="1" applyFill="1" applyBorder="1"/>
    <xf numFmtId="37" fontId="17" fillId="2" borderId="101" xfId="0" applyNumberFormat="1" applyFont="1" applyFill="1" applyBorder="1"/>
    <xf numFmtId="166" fontId="17" fillId="2" borderId="102" xfId="0" applyNumberFormat="1" applyFont="1" applyFill="1" applyBorder="1"/>
    <xf numFmtId="166" fontId="17" fillId="0" borderId="9" xfId="0" applyNumberFormat="1" applyFont="1" applyBorder="1"/>
    <xf numFmtId="166" fontId="17" fillId="0" borderId="8" xfId="0" applyNumberFormat="1" applyFont="1" applyBorder="1"/>
    <xf numFmtId="9" fontId="17" fillId="0" borderId="7" xfId="0" applyNumberFormat="1" applyFont="1" applyBorder="1"/>
    <xf numFmtId="9" fontId="17" fillId="0" borderId="0" xfId="0" applyNumberFormat="1" applyFont="1"/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3" fontId="28" fillId="0" borderId="0" xfId="0" applyNumberFormat="1" applyFont="1"/>
    <xf numFmtId="0" fontId="28" fillId="0" borderId="0" xfId="0" applyFont="1" applyAlignment="1">
      <alignment horizontal="right"/>
    </xf>
    <xf numFmtId="0" fontId="29" fillId="0" borderId="0" xfId="0" applyFont="1"/>
    <xf numFmtId="165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/>
    </xf>
    <xf numFmtId="0" fontId="30" fillId="0" borderId="0" xfId="0" applyFont="1"/>
    <xf numFmtId="0" fontId="15" fillId="0" borderId="1" xfId="0" applyFont="1" applyBorder="1"/>
    <xf numFmtId="3" fontId="15" fillId="0" borderId="7" xfId="0" applyNumberFormat="1" applyFont="1" applyBorder="1" applyAlignment="1">
      <alignment horizontal="center"/>
    </xf>
    <xf numFmtId="3" fontId="15" fillId="0" borderId="8" xfId="0" applyNumberFormat="1" applyFont="1" applyBorder="1" applyAlignment="1">
      <alignment horizontal="center"/>
    </xf>
    <xf numFmtId="3" fontId="15" fillId="0" borderId="9" xfId="0" applyNumberFormat="1" applyFont="1" applyBorder="1" applyAlignment="1">
      <alignment horizontal="center"/>
    </xf>
    <xf numFmtId="3" fontId="15" fillId="0" borderId="10" xfId="0" applyNumberFormat="1" applyFont="1" applyBorder="1" applyAlignment="1">
      <alignment horizontal="center"/>
    </xf>
    <xf numFmtId="1" fontId="31" fillId="0" borderId="0" xfId="0" applyNumberFormat="1" applyFont="1"/>
    <xf numFmtId="0" fontId="31" fillId="0" borderId="0" xfId="0" applyFont="1"/>
    <xf numFmtId="3" fontId="15" fillId="0" borderId="12" xfId="0" applyNumberFormat="1" applyFont="1" applyBorder="1" applyAlignment="1">
      <alignment horizontal="center"/>
    </xf>
    <xf numFmtId="3" fontId="15" fillId="0" borderId="13" xfId="0" applyNumberFormat="1" applyFont="1" applyBorder="1"/>
    <xf numFmtId="3" fontId="15" fillId="0" borderId="15" xfId="0" applyNumberFormat="1" applyFont="1" applyBorder="1"/>
    <xf numFmtId="3" fontId="15" fillId="0" borderId="14" xfId="0" applyNumberFormat="1" applyFont="1" applyBorder="1" applyAlignment="1">
      <alignment horizontal="center"/>
    </xf>
    <xf numFmtId="3" fontId="15" fillId="0" borderId="16" xfId="0" applyNumberFormat="1" applyFont="1" applyBorder="1" applyAlignment="1">
      <alignment horizontal="center"/>
    </xf>
    <xf numFmtId="3" fontId="15" fillId="0" borderId="17" xfId="0" applyNumberFormat="1" applyFont="1" applyBorder="1" applyAlignment="1">
      <alignment horizontal="center"/>
    </xf>
    <xf numFmtId="3" fontId="15" fillId="0" borderId="0" xfId="0" applyNumberFormat="1" applyFont="1"/>
    <xf numFmtId="3" fontId="15" fillId="0" borderId="9" xfId="0" applyNumberFormat="1" applyFont="1" applyBorder="1"/>
    <xf numFmtId="3" fontId="18" fillId="0" borderId="8" xfId="0" applyNumberFormat="1" applyFont="1" applyBorder="1"/>
    <xf numFmtId="3" fontId="15" fillId="0" borderId="8" xfId="0" applyNumberFormat="1" applyFont="1" applyBorder="1"/>
    <xf numFmtId="3" fontId="15" fillId="0" borderId="10" xfId="0" applyNumberFormat="1" applyFont="1" applyBorder="1"/>
    <xf numFmtId="0" fontId="17" fillId="0" borderId="6" xfId="0" applyFont="1" applyBorder="1"/>
    <xf numFmtId="3" fontId="17" fillId="0" borderId="7" xfId="0" applyNumberFormat="1" applyFont="1" applyBorder="1"/>
    <xf numFmtId="3" fontId="17" fillId="0" borderId="19" xfId="0" applyNumberFormat="1" applyFont="1" applyBorder="1"/>
    <xf numFmtId="3" fontId="17" fillId="0" borderId="20" xfId="0" applyNumberFormat="1" applyFont="1" applyBorder="1"/>
    <xf numFmtId="3" fontId="17" fillId="0" borderId="21" xfId="0" applyNumberFormat="1" applyFont="1" applyBorder="1"/>
    <xf numFmtId="0" fontId="15" fillId="0" borderId="8" xfId="0" applyFont="1" applyBorder="1"/>
    <xf numFmtId="166" fontId="17" fillId="0" borderId="10" xfId="0" applyNumberFormat="1" applyFont="1" applyBorder="1"/>
    <xf numFmtId="0" fontId="17" fillId="0" borderId="22" xfId="0" applyFont="1" applyBorder="1"/>
    <xf numFmtId="3" fontId="15" fillId="0" borderId="23" xfId="0" applyNumberFormat="1" applyFont="1" applyBorder="1"/>
    <xf numFmtId="3" fontId="15" fillId="0" borderId="12" xfId="0" applyNumberFormat="1" applyFont="1" applyBorder="1"/>
    <xf numFmtId="3" fontId="15" fillId="0" borderId="16" xfId="0" applyNumberFormat="1" applyFont="1" applyBorder="1"/>
    <xf numFmtId="3" fontId="17" fillId="0" borderId="14" xfId="0" applyNumberFormat="1" applyFont="1" applyBorder="1"/>
    <xf numFmtId="3" fontId="17" fillId="0" borderId="12" xfId="0" applyNumberFormat="1" applyFont="1" applyBorder="1"/>
    <xf numFmtId="3" fontId="15" fillId="0" borderId="14" xfId="0" applyNumberFormat="1" applyFont="1" applyBorder="1"/>
    <xf numFmtId="3" fontId="15" fillId="0" borderId="17" xfId="0" applyNumberFormat="1" applyFont="1" applyBorder="1"/>
    <xf numFmtId="3" fontId="15" fillId="0" borderId="7" xfId="0" applyNumberFormat="1" applyFont="1" applyBorder="1"/>
    <xf numFmtId="3" fontId="15" fillId="0" borderId="19" xfId="0" applyNumberFormat="1" applyFont="1" applyBorder="1"/>
    <xf numFmtId="3" fontId="15" fillId="0" borderId="20" xfId="0" applyNumberFormat="1" applyFont="1" applyBorder="1"/>
    <xf numFmtId="3" fontId="15" fillId="0" borderId="21" xfId="0" applyNumberFormat="1" applyFont="1" applyBorder="1"/>
    <xf numFmtId="37" fontId="15" fillId="0" borderId="8" xfId="0" applyNumberFormat="1" applyFont="1" applyBorder="1"/>
    <xf numFmtId="37" fontId="15" fillId="0" borderId="9" xfId="0" applyNumberFormat="1" applyFont="1" applyBorder="1"/>
    <xf numFmtId="0" fontId="15" fillId="0" borderId="10" xfId="0" applyFont="1" applyBorder="1"/>
    <xf numFmtId="0" fontId="17" fillId="2" borderId="24" xfId="0" applyFont="1" applyFill="1" applyBorder="1"/>
    <xf numFmtId="37" fontId="17" fillId="2" borderId="25" xfId="0" applyNumberFormat="1" applyFont="1" applyFill="1" applyBorder="1"/>
    <xf numFmtId="3" fontId="17" fillId="2" borderId="25" xfId="0" applyNumberFormat="1" applyFont="1" applyFill="1" applyBorder="1"/>
    <xf numFmtId="37" fontId="17" fillId="2" borderId="26" xfId="0" applyNumberFormat="1" applyFont="1" applyFill="1" applyBorder="1"/>
    <xf numFmtId="37" fontId="17" fillId="2" borderId="27" xfId="0" applyNumberFormat="1" applyFont="1" applyFill="1" applyBorder="1"/>
    <xf numFmtId="167" fontId="17" fillId="2" borderId="25" xfId="0" applyNumberFormat="1" applyFont="1" applyFill="1" applyBorder="1"/>
    <xf numFmtId="37" fontId="17" fillId="2" borderId="28" xfId="0" applyNumberFormat="1" applyFont="1" applyFill="1" applyBorder="1"/>
    <xf numFmtId="0" fontId="17" fillId="2" borderId="29" xfId="0" applyFont="1" applyFill="1" applyBorder="1"/>
    <xf numFmtId="0" fontId="17" fillId="2" borderId="30" xfId="0" applyFont="1" applyFill="1" applyBorder="1"/>
    <xf numFmtId="0" fontId="17" fillId="2" borderId="31" xfId="0" applyFont="1" applyFill="1" applyBorder="1"/>
    <xf numFmtId="0" fontId="17" fillId="2" borderId="32" xfId="0" applyFont="1" applyFill="1" applyBorder="1"/>
    <xf numFmtId="166" fontId="17" fillId="2" borderId="32" xfId="0" applyNumberFormat="1" applyFont="1" applyFill="1" applyBorder="1"/>
    <xf numFmtId="166" fontId="17" fillId="2" borderId="33" xfId="0" applyNumberFormat="1" applyFont="1" applyFill="1" applyBorder="1"/>
    <xf numFmtId="0" fontId="17" fillId="0" borderId="8" xfId="0" applyFont="1" applyBorder="1"/>
    <xf numFmtId="0" fontId="17" fillId="0" borderId="18" xfId="0" applyFont="1" applyBorder="1" applyAlignment="1">
      <alignment horizontal="left"/>
    </xf>
    <xf numFmtId="0" fontId="15" fillId="0" borderId="9" xfId="0" applyFont="1" applyBorder="1" applyAlignment="1">
      <alignment horizontal="right"/>
    </xf>
    <xf numFmtId="166" fontId="15" fillId="0" borderId="9" xfId="2" applyNumberFormat="1" applyFont="1" applyFill="1" applyBorder="1"/>
    <xf numFmtId="37" fontId="15" fillId="0" borderId="10" xfId="0" applyNumberFormat="1" applyFont="1" applyBorder="1"/>
    <xf numFmtId="3" fontId="30" fillId="0" borderId="0" xfId="0" applyNumberFormat="1" applyFont="1"/>
    <xf numFmtId="0" fontId="15" fillId="0" borderId="14" xfId="0" applyFont="1" applyBorder="1" applyAlignment="1">
      <alignment horizontal="right"/>
    </xf>
    <xf numFmtId="37" fontId="15" fillId="0" borderId="15" xfId="0" applyNumberFormat="1" applyFont="1" applyBorder="1"/>
    <xf numFmtId="166" fontId="15" fillId="0" borderId="14" xfId="2" applyNumberFormat="1" applyFont="1" applyBorder="1"/>
    <xf numFmtId="37" fontId="15" fillId="0" borderId="16" xfId="0" applyNumberFormat="1" applyFont="1" applyBorder="1"/>
    <xf numFmtId="37" fontId="15" fillId="0" borderId="17" xfId="0" applyNumberFormat="1" applyFont="1" applyBorder="1"/>
    <xf numFmtId="3" fontId="15" fillId="0" borderId="82" xfId="0" applyNumberFormat="1" applyFont="1" applyBorder="1"/>
    <xf numFmtId="0" fontId="17" fillId="2" borderId="35" xfId="0" applyFont="1" applyFill="1" applyBorder="1" applyAlignment="1">
      <alignment horizontal="center"/>
    </xf>
    <xf numFmtId="37" fontId="17" fillId="2" borderId="36" xfId="0" applyNumberFormat="1" applyFont="1" applyFill="1" applyBorder="1"/>
    <xf numFmtId="0" fontId="17" fillId="2" borderId="37" xfId="0" applyFont="1" applyFill="1" applyBorder="1" applyAlignment="1">
      <alignment horizontal="center"/>
    </xf>
    <xf numFmtId="0" fontId="15" fillId="2" borderId="38" xfId="0" applyFont="1" applyFill="1" applyBorder="1"/>
    <xf numFmtId="0" fontId="15" fillId="2" borderId="37" xfId="0" applyFont="1" applyFill="1" applyBorder="1"/>
    <xf numFmtId="37" fontId="17" fillId="2" borderId="39" xfId="0" applyNumberFormat="1" applyFont="1" applyFill="1" applyBorder="1"/>
    <xf numFmtId="0" fontId="15" fillId="0" borderId="20" xfId="0" applyFont="1" applyBorder="1" applyAlignment="1">
      <alignment horizontal="right"/>
    </xf>
    <xf numFmtId="3" fontId="15" fillId="0" borderId="40" xfId="0" applyNumberFormat="1" applyFont="1" applyBorder="1"/>
    <xf numFmtId="37" fontId="15" fillId="0" borderId="19" xfId="0" applyNumberFormat="1" applyFont="1" applyBorder="1"/>
    <xf numFmtId="37" fontId="15" fillId="0" borderId="21" xfId="0" applyNumberFormat="1" applyFont="1" applyBorder="1"/>
    <xf numFmtId="37" fontId="17" fillId="2" borderId="17" xfId="0" applyNumberFormat="1" applyFont="1" applyFill="1" applyBorder="1"/>
    <xf numFmtId="0" fontId="17" fillId="3" borderId="18" xfId="0" applyFont="1" applyFill="1" applyBorder="1"/>
    <xf numFmtId="0" fontId="15" fillId="3" borderId="0" xfId="0" applyFont="1" applyFill="1"/>
    <xf numFmtId="0" fontId="17" fillId="3" borderId="0" xfId="0" applyFont="1" applyFill="1"/>
    <xf numFmtId="37" fontId="17" fillId="3" borderId="8" xfId="0" applyNumberFormat="1" applyFont="1" applyFill="1" applyBorder="1"/>
    <xf numFmtId="0" fontId="15" fillId="3" borderId="9" xfId="0" applyFont="1" applyFill="1" applyBorder="1"/>
    <xf numFmtId="0" fontId="15" fillId="3" borderId="14" xfId="0" applyFont="1" applyFill="1" applyBorder="1"/>
    <xf numFmtId="0" fontId="15" fillId="3" borderId="12" xfId="0" applyFont="1" applyFill="1" applyBorder="1"/>
    <xf numFmtId="37" fontId="17" fillId="3" borderId="16" xfId="0" applyNumberFormat="1" applyFont="1" applyFill="1" applyBorder="1"/>
    <xf numFmtId="37" fontId="17" fillId="3" borderId="17" xfId="0" applyNumberFormat="1" applyFont="1" applyFill="1" applyBorder="1"/>
    <xf numFmtId="0" fontId="17" fillId="2" borderId="41" xfId="0" applyFont="1" applyFill="1" applyBorder="1"/>
    <xf numFmtId="0" fontId="15" fillId="2" borderId="42" xfId="0" applyFont="1" applyFill="1" applyBorder="1"/>
    <xf numFmtId="0" fontId="17" fillId="2" borderId="42" xfId="0" applyFont="1" applyFill="1" applyBorder="1"/>
    <xf numFmtId="37" fontId="17" fillId="2" borderId="43" xfId="0" applyNumberFormat="1" applyFont="1" applyFill="1" applyBorder="1"/>
    <xf numFmtId="0" fontId="15" fillId="2" borderId="44" xfId="0" applyFont="1" applyFill="1" applyBorder="1"/>
    <xf numFmtId="37" fontId="17" fillId="2" borderId="45" xfId="0" applyNumberFormat="1" applyFont="1" applyFill="1" applyBorder="1"/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32" fillId="0" borderId="0" xfId="0" applyFont="1"/>
    <xf numFmtId="1" fontId="15" fillId="0" borderId="9" xfId="0" applyNumberFormat="1" applyFont="1" applyBorder="1"/>
    <xf numFmtId="3" fontId="17" fillId="0" borderId="16" xfId="0" applyNumberFormat="1" applyFont="1" applyBorder="1"/>
    <xf numFmtId="3" fontId="17" fillId="0" borderId="17" xfId="0" applyNumberFormat="1" applyFont="1" applyBorder="1"/>
    <xf numFmtId="166" fontId="33" fillId="4" borderId="46" xfId="0" applyNumberFormat="1" applyFont="1" applyFill="1" applyBorder="1"/>
    <xf numFmtId="166" fontId="15" fillId="0" borderId="9" xfId="2" applyNumberFormat="1" applyFont="1" applyBorder="1"/>
    <xf numFmtId="0" fontId="15" fillId="2" borderId="14" xfId="0" applyFont="1" applyFill="1" applyBorder="1"/>
    <xf numFmtId="0" fontId="17" fillId="0" borderId="9" xfId="0" applyFont="1" applyBorder="1" applyAlignment="1">
      <alignment horizontal="center"/>
    </xf>
    <xf numFmtId="0" fontId="15" fillId="2" borderId="42" xfId="0" applyFont="1" applyFill="1" applyBorder="1" applyAlignment="1">
      <alignment horizontal="right"/>
    </xf>
    <xf numFmtId="0" fontId="15" fillId="2" borderId="44" xfId="0" applyFont="1" applyFill="1" applyBorder="1" applyAlignment="1">
      <alignment horizontal="right"/>
    </xf>
    <xf numFmtId="0" fontId="17" fillId="2" borderId="44" xfId="0" applyFont="1" applyFill="1" applyBorder="1"/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166" fontId="15" fillId="0" borderId="9" xfId="0" applyNumberFormat="1" applyFont="1" applyBorder="1"/>
    <xf numFmtId="166" fontId="15" fillId="0" borderId="14" xfId="0" applyNumberFormat="1" applyFont="1" applyBorder="1"/>
    <xf numFmtId="37" fontId="15" fillId="0" borderId="14" xfId="0" applyNumberFormat="1" applyFont="1" applyBorder="1"/>
    <xf numFmtId="37" fontId="15" fillId="0" borderId="20" xfId="0" applyNumberFormat="1" applyFont="1" applyBorder="1"/>
    <xf numFmtId="1" fontId="15" fillId="0" borderId="12" xfId="0" applyNumberFormat="1" applyFont="1" applyBorder="1"/>
    <xf numFmtId="166" fontId="17" fillId="0" borderId="14" xfId="0" applyNumberFormat="1" applyFont="1" applyBorder="1"/>
    <xf numFmtId="166" fontId="17" fillId="0" borderId="16" xfId="0" applyNumberFormat="1" applyFont="1" applyBorder="1"/>
    <xf numFmtId="166" fontId="17" fillId="0" borderId="17" xfId="0" applyNumberFormat="1" applyFont="1" applyBorder="1"/>
    <xf numFmtId="167" fontId="15" fillId="0" borderId="15" xfId="0" applyNumberFormat="1" applyFont="1" applyBorder="1"/>
    <xf numFmtId="166" fontId="15" fillId="0" borderId="15" xfId="0" applyNumberFormat="1" applyFont="1" applyBorder="1"/>
    <xf numFmtId="166" fontId="15" fillId="0" borderId="13" xfId="0" applyNumberFormat="1" applyFont="1" applyBorder="1"/>
    <xf numFmtId="37" fontId="15" fillId="0" borderId="23" xfId="0" applyNumberFormat="1" applyFont="1" applyBorder="1"/>
    <xf numFmtId="1" fontId="15" fillId="0" borderId="7" xfId="0" applyNumberFormat="1" applyFont="1" applyBorder="1"/>
    <xf numFmtId="1" fontId="15" fillId="0" borderId="20" xfId="0" applyNumberFormat="1" applyFont="1" applyBorder="1"/>
    <xf numFmtId="166" fontId="15" fillId="0" borderId="20" xfId="0" applyNumberFormat="1" applyFont="1" applyBorder="1"/>
    <xf numFmtId="167" fontId="17" fillId="0" borderId="0" xfId="0" applyNumberFormat="1" applyFont="1"/>
    <xf numFmtId="37" fontId="17" fillId="0" borderId="8" xfId="0" applyNumberFormat="1" applyFont="1" applyBorder="1"/>
    <xf numFmtId="37" fontId="17" fillId="0" borderId="10" xfId="0" applyNumberFormat="1" applyFont="1" applyBorder="1"/>
    <xf numFmtId="0" fontId="17" fillId="0" borderId="12" xfId="0" applyFont="1" applyBorder="1"/>
    <xf numFmtId="167" fontId="17" fillId="0" borderId="12" xfId="0" applyNumberFormat="1" applyFont="1" applyBorder="1"/>
    <xf numFmtId="37" fontId="17" fillId="0" borderId="16" xfId="0" applyNumberFormat="1" applyFont="1" applyBorder="1"/>
    <xf numFmtId="37" fontId="17" fillId="0" borderId="17" xfId="0" applyNumberFormat="1" applyFont="1" applyBorder="1"/>
    <xf numFmtId="37" fontId="17" fillId="0" borderId="9" xfId="0" applyNumberFormat="1" applyFont="1" applyBorder="1"/>
    <xf numFmtId="37" fontId="15" fillId="0" borderId="44" xfId="0" applyNumberFormat="1" applyFont="1" applyBorder="1"/>
    <xf numFmtId="37" fontId="17" fillId="3" borderId="25" xfId="0" applyNumberFormat="1" applyFont="1" applyFill="1" applyBorder="1"/>
    <xf numFmtId="37" fontId="17" fillId="3" borderId="26" xfId="0" applyNumberFormat="1" applyFont="1" applyFill="1" applyBorder="1"/>
    <xf numFmtId="166" fontId="17" fillId="3" borderId="27" xfId="0" applyNumberFormat="1" applyFont="1" applyFill="1" applyBorder="1"/>
    <xf numFmtId="37" fontId="17" fillId="3" borderId="28" xfId="0" applyNumberFormat="1" applyFont="1" applyFill="1" applyBorder="1"/>
    <xf numFmtId="37" fontId="17" fillId="3" borderId="12" xfId="0" applyNumberFormat="1" applyFont="1" applyFill="1" applyBorder="1"/>
    <xf numFmtId="37" fontId="17" fillId="3" borderId="14" xfId="0" applyNumberFormat="1" applyFont="1" applyFill="1" applyBorder="1"/>
    <xf numFmtId="166" fontId="17" fillId="3" borderId="16" xfId="0" applyNumberFormat="1" applyFont="1" applyFill="1" applyBorder="1"/>
    <xf numFmtId="167" fontId="17" fillId="0" borderId="7" xfId="0" applyNumberFormat="1" applyFont="1" applyBorder="1"/>
    <xf numFmtId="37" fontId="17" fillId="0" borderId="20" xfId="0" applyNumberFormat="1" applyFont="1" applyBorder="1"/>
    <xf numFmtId="37" fontId="17" fillId="0" borderId="19" xfId="0" applyNumberFormat="1" applyFont="1" applyBorder="1"/>
    <xf numFmtId="37" fontId="17" fillId="0" borderId="21" xfId="0" applyNumberFormat="1" applyFont="1" applyBorder="1"/>
    <xf numFmtId="167" fontId="17" fillId="3" borderId="7" xfId="0" applyNumberFormat="1" applyFont="1" applyFill="1" applyBorder="1"/>
    <xf numFmtId="37" fontId="17" fillId="3" borderId="20" xfId="0" applyNumberFormat="1" applyFont="1" applyFill="1" applyBorder="1"/>
    <xf numFmtId="37" fontId="17" fillId="3" borderId="19" xfId="0" applyNumberFormat="1" applyFont="1" applyFill="1" applyBorder="1"/>
    <xf numFmtId="37" fontId="17" fillId="3" borderId="21" xfId="0" applyNumberFormat="1" applyFont="1" applyFill="1" applyBorder="1"/>
    <xf numFmtId="166" fontId="17" fillId="2" borderId="27" xfId="0" applyNumberFormat="1" applyFont="1" applyFill="1" applyBorder="1"/>
    <xf numFmtId="166" fontId="17" fillId="2" borderId="30" xfId="0" applyNumberFormat="1" applyFont="1" applyFill="1" applyBorder="1"/>
    <xf numFmtId="168" fontId="15" fillId="0" borderId="0" xfId="1" applyNumberFormat="1" applyFont="1"/>
    <xf numFmtId="168" fontId="15" fillId="0" borderId="9" xfId="1" applyNumberFormat="1" applyFont="1" applyBorder="1"/>
    <xf numFmtId="168" fontId="15" fillId="0" borderId="8" xfId="1" applyNumberFormat="1" applyFont="1" applyBorder="1"/>
    <xf numFmtId="168" fontId="15" fillId="0" borderId="10" xfId="1" applyNumberFormat="1" applyFont="1" applyBorder="1"/>
    <xf numFmtId="168" fontId="15" fillId="0" borderId="13" xfId="1" applyNumberFormat="1" applyFont="1" applyBorder="1"/>
    <xf numFmtId="168" fontId="15" fillId="0" borderId="0" xfId="1" applyNumberFormat="1" applyFont="1" applyAlignment="1">
      <alignment horizontal="right"/>
    </xf>
    <xf numFmtId="168" fontId="15" fillId="0" borderId="7" xfId="1" applyNumberFormat="1" applyFont="1" applyBorder="1"/>
    <xf numFmtId="168" fontId="15" fillId="0" borderId="7" xfId="1" applyNumberFormat="1" applyFont="1" applyBorder="1" applyAlignment="1">
      <alignment horizontal="right"/>
    </xf>
    <xf numFmtId="168" fontId="15" fillId="0" borderId="20" xfId="1" applyNumberFormat="1" applyFont="1" applyBorder="1"/>
    <xf numFmtId="168" fontId="15" fillId="0" borderId="19" xfId="1" applyNumberFormat="1" applyFont="1" applyBorder="1"/>
    <xf numFmtId="168" fontId="15" fillId="0" borderId="21" xfId="1" applyNumberFormat="1" applyFont="1" applyBorder="1"/>
    <xf numFmtId="168" fontId="15" fillId="0" borderId="12" xfId="1" applyNumberFormat="1" applyFont="1" applyBorder="1"/>
    <xf numFmtId="168" fontId="15" fillId="0" borderId="12" xfId="1" applyNumberFormat="1" applyFont="1" applyBorder="1" applyAlignment="1">
      <alignment horizontal="right"/>
    </xf>
    <xf numFmtId="168" fontId="15" fillId="0" borderId="14" xfId="1" applyNumberFormat="1" applyFont="1" applyBorder="1"/>
    <xf numFmtId="168" fontId="15" fillId="0" borderId="16" xfId="1" applyNumberFormat="1" applyFont="1" applyBorder="1"/>
    <xf numFmtId="168" fontId="15" fillId="0" borderId="17" xfId="1" applyNumberFormat="1" applyFont="1" applyBorder="1"/>
    <xf numFmtId="168" fontId="17" fillId="2" borderId="35" xfId="1" applyNumberFormat="1" applyFont="1" applyFill="1" applyBorder="1"/>
    <xf numFmtId="168" fontId="17" fillId="2" borderId="36" xfId="1" applyNumberFormat="1" applyFont="1" applyFill="1" applyBorder="1"/>
    <xf numFmtId="168" fontId="17" fillId="2" borderId="35" xfId="1" applyNumberFormat="1" applyFont="1" applyFill="1" applyBorder="1" applyAlignment="1">
      <alignment horizontal="center"/>
    </xf>
    <xf numFmtId="168" fontId="15" fillId="2" borderId="14" xfId="1" applyNumberFormat="1" applyFont="1" applyFill="1" applyBorder="1"/>
    <xf numFmtId="168" fontId="17" fillId="2" borderId="17" xfId="1" applyNumberFormat="1" applyFont="1" applyFill="1" applyBorder="1"/>
    <xf numFmtId="37" fontId="17" fillId="2" borderId="42" xfId="0" applyNumberFormat="1" applyFont="1" applyFill="1" applyBorder="1"/>
    <xf numFmtId="1" fontId="15" fillId="0" borderId="0" xfId="0" applyNumberFormat="1" applyFont="1" applyAlignment="1">
      <alignment horizontal="center"/>
    </xf>
    <xf numFmtId="1" fontId="15" fillId="0" borderId="9" xfId="0" applyNumberFormat="1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3" fontId="15" fillId="0" borderId="47" xfId="0" applyNumberFormat="1" applyFont="1" applyBorder="1"/>
    <xf numFmtId="2" fontId="15" fillId="0" borderId="12" xfId="0" applyNumberFormat="1" applyFont="1" applyBorder="1"/>
    <xf numFmtId="166" fontId="17" fillId="0" borderId="20" xfId="0" applyNumberFormat="1" applyFont="1" applyBorder="1"/>
    <xf numFmtId="0" fontId="15" fillId="0" borderId="16" xfId="0" applyFont="1" applyBorder="1"/>
    <xf numFmtId="0" fontId="18" fillId="0" borderId="12" xfId="0" applyFont="1" applyBorder="1"/>
    <xf numFmtId="37" fontId="15" fillId="0" borderId="13" xfId="0" applyNumberFormat="1" applyFont="1" applyBorder="1"/>
    <xf numFmtId="166" fontId="17" fillId="2" borderId="25" xfId="0" applyNumberFormat="1" applyFont="1" applyFill="1" applyBorder="1"/>
    <xf numFmtId="166" fontId="17" fillId="2" borderId="49" xfId="0" applyNumberFormat="1" applyFont="1" applyFill="1" applyBorder="1"/>
    <xf numFmtId="37" fontId="17" fillId="2" borderId="50" xfId="0" applyNumberFormat="1" applyFont="1" applyFill="1" applyBorder="1"/>
    <xf numFmtId="37" fontId="17" fillId="2" borderId="51" xfId="0" applyNumberFormat="1" applyFont="1" applyFill="1" applyBorder="1"/>
    <xf numFmtId="0" fontId="17" fillId="2" borderId="52" xfId="0" applyFont="1" applyFill="1" applyBorder="1"/>
    <xf numFmtId="37" fontId="17" fillId="2" borderId="53" xfId="0" applyNumberFormat="1" applyFont="1" applyFill="1" applyBorder="1"/>
    <xf numFmtId="167" fontId="17" fillId="2" borderId="53" xfId="0" applyNumberFormat="1" applyFont="1" applyFill="1" applyBorder="1"/>
    <xf numFmtId="37" fontId="17" fillId="2" borderId="54" xfId="0" applyNumberFormat="1" applyFont="1" applyFill="1" applyBorder="1"/>
    <xf numFmtId="37" fontId="17" fillId="2" borderId="55" xfId="0" applyNumberFormat="1" applyFont="1" applyFill="1" applyBorder="1"/>
    <xf numFmtId="0" fontId="15" fillId="2" borderId="32" xfId="0" applyFont="1" applyFill="1" applyBorder="1"/>
    <xf numFmtId="168" fontId="15" fillId="0" borderId="8" xfId="1" applyNumberFormat="1" applyFont="1" applyFill="1" applyBorder="1"/>
    <xf numFmtId="0" fontId="18" fillId="0" borderId="56" xfId="0" applyFont="1" applyBorder="1"/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37" fontId="15" fillId="4" borderId="0" xfId="0" applyNumberFormat="1" applyFont="1" applyFill="1"/>
    <xf numFmtId="166" fontId="17" fillId="2" borderId="0" xfId="0" applyNumberFormat="1" applyFont="1" applyFill="1"/>
    <xf numFmtId="37" fontId="15" fillId="4" borderId="5" xfId="0" applyNumberFormat="1" applyFont="1" applyFill="1" applyBorder="1"/>
    <xf numFmtId="3" fontId="15" fillId="4" borderId="1" xfId="0" applyNumberFormat="1" applyFont="1" applyFill="1" applyBorder="1"/>
    <xf numFmtId="3" fontId="15" fillId="4" borderId="3" xfId="0" applyNumberFormat="1" applyFont="1" applyFill="1" applyBorder="1"/>
    <xf numFmtId="37" fontId="33" fillId="0" borderId="0" xfId="0" applyNumberFormat="1" applyFont="1"/>
    <xf numFmtId="166" fontId="15" fillId="0" borderId="0" xfId="2" applyNumberFormat="1" applyFont="1" applyFill="1" applyBorder="1"/>
    <xf numFmtId="0" fontId="18" fillId="0" borderId="0" xfId="0" applyFont="1"/>
    <xf numFmtId="166" fontId="15" fillId="0" borderId="8" xfId="2" applyNumberFormat="1" applyFont="1" applyFill="1" applyBorder="1"/>
    <xf numFmtId="0" fontId="17" fillId="0" borderId="10" xfId="0" applyFont="1" applyBorder="1"/>
    <xf numFmtId="37" fontId="17" fillId="2" borderId="59" xfId="0" applyNumberFormat="1" applyFont="1" applyFill="1" applyBorder="1"/>
    <xf numFmtId="0" fontId="17" fillId="2" borderId="60" xfId="0" applyFont="1" applyFill="1" applyBorder="1"/>
    <xf numFmtId="0" fontId="15" fillId="2" borderId="60" xfId="0" applyFont="1" applyFill="1" applyBorder="1"/>
    <xf numFmtId="0" fontId="15" fillId="2" borderId="58" xfId="0" applyFont="1" applyFill="1" applyBorder="1"/>
    <xf numFmtId="37" fontId="17" fillId="2" borderId="61" xfId="0" applyNumberFormat="1" applyFont="1" applyFill="1" applyBorder="1"/>
    <xf numFmtId="0" fontId="17" fillId="0" borderId="0" xfId="0" applyFont="1" applyAlignment="1">
      <alignment horizontal="right" vertical="center"/>
    </xf>
    <xf numFmtId="0" fontId="15" fillId="0" borderId="62" xfId="0" applyFont="1" applyBorder="1" applyAlignment="1">
      <alignment horizontal="left"/>
    </xf>
    <xf numFmtId="0" fontId="17" fillId="0" borderId="6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43" fontId="15" fillId="0" borderId="0" xfId="0" applyNumberFormat="1" applyFont="1"/>
    <xf numFmtId="43" fontId="30" fillId="0" borderId="0" xfId="0" applyNumberFormat="1" applyFont="1"/>
    <xf numFmtId="37" fontId="30" fillId="0" borderId="0" xfId="0" applyNumberFormat="1" applyFont="1"/>
    <xf numFmtId="169" fontId="30" fillId="0" borderId="0" xfId="0" applyNumberFormat="1" applyFont="1"/>
    <xf numFmtId="168" fontId="30" fillId="0" borderId="0" xfId="0" applyNumberFormat="1" applyFont="1"/>
    <xf numFmtId="0" fontId="30" fillId="3" borderId="0" xfId="0" applyFont="1" applyFill="1"/>
    <xf numFmtId="9" fontId="30" fillId="0" borderId="0" xfId="0" applyNumberFormat="1" applyFont="1"/>
    <xf numFmtId="0" fontId="30" fillId="0" borderId="18" xfId="0" applyFont="1" applyBorder="1"/>
    <xf numFmtId="37" fontId="30" fillId="0" borderId="70" xfId="0" applyNumberFormat="1" applyFont="1" applyBorder="1"/>
    <xf numFmtId="0" fontId="30" fillId="0" borderId="70" xfId="0" applyFont="1" applyBorder="1"/>
    <xf numFmtId="0" fontId="30" fillId="0" borderId="72" xfId="0" applyFont="1" applyBorder="1"/>
    <xf numFmtId="0" fontId="30" fillId="0" borderId="10" xfId="0" applyFont="1" applyBorder="1"/>
    <xf numFmtId="1" fontId="15" fillId="0" borderId="72" xfId="0" applyNumberFormat="1" applyFont="1" applyBorder="1"/>
    <xf numFmtId="37" fontId="28" fillId="0" borderId="0" xfId="0" applyNumberFormat="1" applyFont="1"/>
    <xf numFmtId="0" fontId="28" fillId="3" borderId="0" xfId="0" applyFont="1" applyFill="1"/>
    <xf numFmtId="37" fontId="30" fillId="3" borderId="0" xfId="0" applyNumberFormat="1" applyFont="1" applyFill="1"/>
    <xf numFmtId="0" fontId="34" fillId="3" borderId="0" xfId="0" applyFont="1" applyFill="1"/>
    <xf numFmtId="37" fontId="28" fillId="3" borderId="0" xfId="0" applyNumberFormat="1" applyFont="1" applyFill="1"/>
    <xf numFmtId="0" fontId="30" fillId="3" borderId="0" xfId="0" applyFont="1" applyFill="1" applyAlignment="1">
      <alignment horizontal="center" vertical="center"/>
    </xf>
    <xf numFmtId="165" fontId="35" fillId="3" borderId="0" xfId="0" applyNumberFormat="1" applyFont="1" applyFill="1" applyAlignment="1">
      <alignment horizontal="right"/>
    </xf>
    <xf numFmtId="0" fontId="28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35" fillId="3" borderId="0" xfId="0" applyFont="1" applyFill="1" applyAlignment="1">
      <alignment horizontal="center"/>
    </xf>
    <xf numFmtId="0" fontId="35" fillId="3" borderId="0" xfId="0" applyFont="1" applyFill="1"/>
    <xf numFmtId="166" fontId="30" fillId="3" borderId="0" xfId="0" applyNumberFormat="1" applyFont="1" applyFill="1"/>
    <xf numFmtId="9" fontId="30" fillId="3" borderId="0" xfId="0" applyNumberFormat="1" applyFont="1" applyFill="1"/>
    <xf numFmtId="166" fontId="28" fillId="3" borderId="0" xfId="0" applyNumberFormat="1" applyFont="1" applyFill="1"/>
    <xf numFmtId="0" fontId="19" fillId="3" borderId="0" xfId="0" applyFont="1" applyFill="1"/>
    <xf numFmtId="165" fontId="30" fillId="3" borderId="0" xfId="0" applyNumberFormat="1" applyFont="1" applyFill="1" applyAlignment="1">
      <alignment horizontal="center"/>
    </xf>
    <xf numFmtId="0" fontId="35" fillId="3" borderId="0" xfId="0" applyFont="1" applyFill="1" applyAlignment="1">
      <alignment horizontal="left"/>
    </xf>
    <xf numFmtId="0" fontId="36" fillId="3" borderId="0" xfId="0" applyFont="1" applyFill="1"/>
    <xf numFmtId="168" fontId="15" fillId="0" borderId="0" xfId="1" applyNumberFormat="1" applyFont="1" applyBorder="1"/>
    <xf numFmtId="168" fontId="15" fillId="0" borderId="0" xfId="1" applyNumberFormat="1" applyFont="1" applyBorder="1" applyAlignment="1">
      <alignment horizontal="right"/>
    </xf>
    <xf numFmtId="0" fontId="15" fillId="0" borderId="111" xfId="0" applyFont="1" applyBorder="1"/>
    <xf numFmtId="0" fontId="15" fillId="0" borderId="110" xfId="0" applyFont="1" applyBorder="1"/>
    <xf numFmtId="0" fontId="15" fillId="0" borderId="108" xfId="0" applyFont="1" applyBorder="1" applyAlignment="1">
      <alignment horizontal="center"/>
    </xf>
    <xf numFmtId="37" fontId="15" fillId="0" borderId="108" xfId="0" applyNumberFormat="1" applyFont="1" applyBorder="1"/>
    <xf numFmtId="166" fontId="15" fillId="0" borderId="108" xfId="0" applyNumberFormat="1" applyFont="1" applyBorder="1"/>
    <xf numFmtId="0" fontId="15" fillId="0" borderId="114" xfId="0" applyFont="1" applyBorder="1"/>
    <xf numFmtId="166" fontId="15" fillId="0" borderId="109" xfId="0" applyNumberFormat="1" applyFont="1" applyBorder="1"/>
    <xf numFmtId="0" fontId="15" fillId="0" borderId="115" xfId="0" applyFont="1" applyBorder="1"/>
    <xf numFmtId="166" fontId="15" fillId="0" borderId="116" xfId="0" applyNumberFormat="1" applyFont="1" applyBorder="1"/>
    <xf numFmtId="0" fontId="17" fillId="3" borderId="117" xfId="0" applyFont="1" applyFill="1" applyBorder="1"/>
    <xf numFmtId="37" fontId="17" fillId="3" borderId="118" xfId="0" applyNumberFormat="1" applyFont="1" applyFill="1" applyBorder="1"/>
    <xf numFmtId="0" fontId="17" fillId="3" borderId="114" xfId="0" applyFont="1" applyFill="1" applyBorder="1"/>
    <xf numFmtId="166" fontId="17" fillId="3" borderId="109" xfId="0" applyNumberFormat="1" applyFont="1" applyFill="1" applyBorder="1"/>
    <xf numFmtId="0" fontId="17" fillId="0" borderId="115" xfId="0" applyFont="1" applyBorder="1"/>
    <xf numFmtId="37" fontId="17" fillId="0" borderId="119" xfId="0" applyNumberFormat="1" applyFont="1" applyBorder="1"/>
    <xf numFmtId="0" fontId="17" fillId="3" borderId="115" xfId="0" applyFont="1" applyFill="1" applyBorder="1"/>
    <xf numFmtId="37" fontId="17" fillId="3" borderId="119" xfId="0" applyNumberFormat="1" applyFont="1" applyFill="1" applyBorder="1"/>
    <xf numFmtId="0" fontId="17" fillId="2" borderId="117" xfId="0" applyFont="1" applyFill="1" applyBorder="1"/>
    <xf numFmtId="37" fontId="17" fillId="2" borderId="118" xfId="0" applyNumberFormat="1" applyFont="1" applyFill="1" applyBorder="1"/>
    <xf numFmtId="0" fontId="17" fillId="2" borderId="120" xfId="0" applyFont="1" applyFill="1" applyBorder="1"/>
    <xf numFmtId="166" fontId="17" fillId="2" borderId="121" xfId="0" applyNumberFormat="1" applyFont="1" applyFill="1" applyBorder="1"/>
    <xf numFmtId="0" fontId="17" fillId="0" borderId="110" xfId="0" applyFont="1" applyBorder="1"/>
    <xf numFmtId="166" fontId="17" fillId="0" borderId="108" xfId="0" applyNumberFormat="1" applyFont="1" applyBorder="1"/>
    <xf numFmtId="0" fontId="17" fillId="0" borderId="110" xfId="0" applyFont="1" applyBorder="1" applyAlignment="1">
      <alignment horizontal="left"/>
    </xf>
    <xf numFmtId="168" fontId="15" fillId="0" borderId="108" xfId="1" applyNumberFormat="1" applyFont="1" applyBorder="1"/>
    <xf numFmtId="168" fontId="15" fillId="0" borderId="116" xfId="1" applyNumberFormat="1" applyFont="1" applyBorder="1"/>
    <xf numFmtId="168" fontId="15" fillId="0" borderId="119" xfId="1" applyNumberFormat="1" applyFont="1" applyBorder="1"/>
    <xf numFmtId="0" fontId="17" fillId="2" borderId="122" xfId="0" applyFont="1" applyFill="1" applyBorder="1"/>
    <xf numFmtId="168" fontId="17" fillId="2" borderId="123" xfId="1" applyNumberFormat="1" applyFont="1" applyFill="1" applyBorder="1"/>
    <xf numFmtId="3" fontId="15" fillId="0" borderId="108" xfId="0" applyNumberFormat="1" applyFont="1" applyBorder="1"/>
    <xf numFmtId="37" fontId="17" fillId="2" borderId="123" xfId="0" applyNumberFormat="1" applyFont="1" applyFill="1" applyBorder="1"/>
    <xf numFmtId="37" fontId="15" fillId="0" borderId="109" xfId="0" applyNumberFormat="1" applyFont="1" applyBorder="1"/>
    <xf numFmtId="0" fontId="17" fillId="2" borderId="124" xfId="0" applyFont="1" applyFill="1" applyBorder="1"/>
    <xf numFmtId="0" fontId="15" fillId="2" borderId="125" xfId="0" applyFont="1" applyFill="1" applyBorder="1" applyAlignment="1">
      <alignment horizontal="right"/>
    </xf>
    <xf numFmtId="0" fontId="15" fillId="2" borderId="125" xfId="0" applyFont="1" applyFill="1" applyBorder="1"/>
    <xf numFmtId="37" fontId="17" fillId="2" borderId="126" xfId="0" applyNumberFormat="1" applyFont="1" applyFill="1" applyBorder="1"/>
    <xf numFmtId="41" fontId="15" fillId="0" borderId="0" xfId="0" applyNumberFormat="1" applyFont="1"/>
    <xf numFmtId="0" fontId="37" fillId="0" borderId="0" xfId="17"/>
    <xf numFmtId="0" fontId="8" fillId="0" borderId="0" xfId="17" applyFont="1"/>
    <xf numFmtId="0" fontId="8" fillId="0" borderId="0" xfId="17" applyFont="1" applyAlignment="1">
      <alignment horizontal="center" vertical="center"/>
    </xf>
    <xf numFmtId="0" fontId="8" fillId="0" borderId="0" xfId="17" applyFont="1" applyAlignment="1">
      <alignment horizontal="center"/>
    </xf>
    <xf numFmtId="3" fontId="8" fillId="0" borderId="0" xfId="17" applyNumberFormat="1" applyFont="1"/>
    <xf numFmtId="0" fontId="8" fillId="0" borderId="0" xfId="17" applyFont="1" applyAlignment="1">
      <alignment horizontal="right"/>
    </xf>
    <xf numFmtId="0" fontId="9" fillId="0" borderId="0" xfId="17" applyFont="1"/>
    <xf numFmtId="165" fontId="10" fillId="0" borderId="0" xfId="17" applyNumberFormat="1" applyFont="1" applyAlignment="1">
      <alignment horizontal="left"/>
    </xf>
    <xf numFmtId="0" fontId="10" fillId="0" borderId="0" xfId="17" applyFont="1" applyAlignment="1">
      <alignment horizontal="center"/>
    </xf>
    <xf numFmtId="0" fontId="10" fillId="0" borderId="0" xfId="17" applyFont="1"/>
    <xf numFmtId="0" fontId="11" fillId="0" borderId="0" xfId="17" applyFont="1"/>
    <xf numFmtId="0" fontId="11" fillId="0" borderId="49" xfId="17" applyFont="1" applyBorder="1"/>
    <xf numFmtId="0" fontId="11" fillId="0" borderId="20" xfId="17" applyFont="1" applyBorder="1"/>
    <xf numFmtId="3" fontId="11" fillId="0" borderId="7" xfId="17" applyNumberFormat="1" applyFont="1" applyBorder="1" applyAlignment="1">
      <alignment horizontal="center"/>
    </xf>
    <xf numFmtId="3" fontId="11" fillId="0" borderId="0" xfId="17" applyNumberFormat="1" applyFont="1" applyAlignment="1">
      <alignment horizontal="center"/>
    </xf>
    <xf numFmtId="3" fontId="11" fillId="0" borderId="8" xfId="17" applyNumberFormat="1" applyFont="1" applyBorder="1" applyAlignment="1">
      <alignment horizontal="center"/>
    </xf>
    <xf numFmtId="3" fontId="11" fillId="0" borderId="9" xfId="17" applyNumberFormat="1" applyFont="1" applyBorder="1" applyAlignment="1">
      <alignment horizontal="center"/>
    </xf>
    <xf numFmtId="0" fontId="11" fillId="0" borderId="9" xfId="17" applyFont="1" applyBorder="1" applyAlignment="1">
      <alignment horizontal="center"/>
    </xf>
    <xf numFmtId="0" fontId="11" fillId="0" borderId="8" xfId="17" applyFont="1" applyBorder="1" applyAlignment="1">
      <alignment horizontal="center"/>
    </xf>
    <xf numFmtId="0" fontId="11" fillId="0" borderId="14" xfId="17" applyFont="1" applyBorder="1"/>
    <xf numFmtId="3" fontId="11" fillId="0" borderId="12" xfId="17" applyNumberFormat="1" applyFont="1" applyBorder="1" applyAlignment="1">
      <alignment horizontal="center"/>
    </xf>
    <xf numFmtId="3" fontId="11" fillId="0" borderId="16" xfId="17" applyNumberFormat="1" applyFont="1" applyBorder="1"/>
    <xf numFmtId="3" fontId="11" fillId="0" borderId="12" xfId="17" applyNumberFormat="1" applyFont="1" applyBorder="1" applyAlignment="1">
      <alignment horizontal="right"/>
    </xf>
    <xf numFmtId="3" fontId="11" fillId="0" borderId="12" xfId="17" applyNumberFormat="1" applyFont="1" applyBorder="1"/>
    <xf numFmtId="3" fontId="11" fillId="0" borderId="14" xfId="17" applyNumberFormat="1" applyFont="1" applyBorder="1" applyAlignment="1">
      <alignment horizontal="center"/>
    </xf>
    <xf numFmtId="3" fontId="11" fillId="0" borderId="16" xfId="17" applyNumberFormat="1" applyFont="1" applyBorder="1" applyAlignment="1">
      <alignment horizontal="center"/>
    </xf>
    <xf numFmtId="0" fontId="11" fillId="0" borderId="9" xfId="17" applyFont="1" applyBorder="1"/>
    <xf numFmtId="37" fontId="11" fillId="0" borderId="0" xfId="17" applyNumberFormat="1" applyFont="1"/>
    <xf numFmtId="37" fontId="11" fillId="0" borderId="9" xfId="17" applyNumberFormat="1" applyFont="1" applyBorder="1"/>
    <xf numFmtId="37" fontId="11" fillId="0" borderId="8" xfId="17" applyNumberFormat="1" applyFont="1" applyBorder="1"/>
    <xf numFmtId="3" fontId="11" fillId="0" borderId="9" xfId="17" applyNumberFormat="1" applyFont="1" applyBorder="1"/>
    <xf numFmtId="3" fontId="11" fillId="0" borderId="8" xfId="17" applyNumberFormat="1" applyFont="1" applyBorder="1"/>
    <xf numFmtId="0" fontId="12" fillId="0" borderId="20" xfId="17" applyFont="1" applyBorder="1"/>
    <xf numFmtId="37" fontId="12" fillId="0" borderId="7" xfId="17" applyNumberFormat="1" applyFont="1" applyBorder="1"/>
    <xf numFmtId="37" fontId="12" fillId="0" borderId="19" xfId="17" applyNumberFormat="1" applyFont="1" applyBorder="1"/>
    <xf numFmtId="37" fontId="12" fillId="0" borderId="20" xfId="17" applyNumberFormat="1" applyFont="1" applyBorder="1"/>
    <xf numFmtId="3" fontId="12" fillId="0" borderId="20" xfId="17" applyNumberFormat="1" applyFont="1" applyBorder="1"/>
    <xf numFmtId="166" fontId="12" fillId="0" borderId="9" xfId="17" applyNumberFormat="1" applyFont="1" applyBorder="1"/>
    <xf numFmtId="166" fontId="12" fillId="0" borderId="8" xfId="17" applyNumberFormat="1" applyFont="1" applyBorder="1"/>
    <xf numFmtId="0" fontId="12" fillId="0" borderId="14" xfId="17" applyFont="1" applyBorder="1"/>
    <xf numFmtId="37" fontId="11" fillId="0" borderId="12" xfId="17" applyNumberFormat="1" applyFont="1" applyBorder="1"/>
    <xf numFmtId="37" fontId="11" fillId="0" borderId="16" xfId="17" applyNumberFormat="1" applyFont="1" applyBorder="1"/>
    <xf numFmtId="37" fontId="12" fillId="0" borderId="14" xfId="17" applyNumberFormat="1" applyFont="1" applyBorder="1"/>
    <xf numFmtId="3" fontId="11" fillId="0" borderId="14" xfId="17" applyNumberFormat="1" applyFont="1" applyBorder="1"/>
    <xf numFmtId="0" fontId="12" fillId="0" borderId="9" xfId="17" applyFont="1" applyBorder="1"/>
    <xf numFmtId="37" fontId="11" fillId="0" borderId="14" xfId="17" applyNumberFormat="1" applyFont="1" applyBorder="1"/>
    <xf numFmtId="37" fontId="11" fillId="0" borderId="7" xfId="17" applyNumberFormat="1" applyFont="1" applyBorder="1"/>
    <xf numFmtId="37" fontId="11" fillId="0" borderId="19" xfId="17" applyNumberFormat="1" applyFont="1" applyBorder="1"/>
    <xf numFmtId="3" fontId="11" fillId="0" borderId="19" xfId="17" applyNumberFormat="1" applyFont="1" applyBorder="1"/>
    <xf numFmtId="3" fontId="11" fillId="0" borderId="20" xfId="17" applyNumberFormat="1" applyFont="1" applyBorder="1"/>
    <xf numFmtId="3" fontId="12" fillId="0" borderId="9" xfId="17" applyNumberFormat="1" applyFont="1" applyBorder="1"/>
    <xf numFmtId="0" fontId="11" fillId="0" borderId="8" xfId="17" applyFont="1" applyBorder="1"/>
    <xf numFmtId="0" fontId="12" fillId="2" borderId="27" xfId="17" applyFont="1" applyFill="1" applyBorder="1"/>
    <xf numFmtId="37" fontId="12" fillId="2" borderId="25" xfId="17" applyNumberFormat="1" applyFont="1" applyFill="1" applyBorder="1"/>
    <xf numFmtId="3" fontId="12" fillId="2" borderId="25" xfId="17" applyNumberFormat="1" applyFont="1" applyFill="1" applyBorder="1"/>
    <xf numFmtId="37" fontId="12" fillId="2" borderId="26" xfId="17" applyNumberFormat="1" applyFont="1" applyFill="1" applyBorder="1"/>
    <xf numFmtId="37" fontId="12" fillId="2" borderId="27" xfId="17" applyNumberFormat="1" applyFont="1" applyFill="1" applyBorder="1"/>
    <xf numFmtId="0" fontId="12" fillId="2" borderId="32" xfId="17" applyFont="1" applyFill="1" applyBorder="1"/>
    <xf numFmtId="0" fontId="12" fillId="2" borderId="30" xfId="17" applyFont="1" applyFill="1" applyBorder="1"/>
    <xf numFmtId="0" fontId="12" fillId="2" borderId="31" xfId="17" applyFont="1" applyFill="1" applyBorder="1"/>
    <xf numFmtId="166" fontId="12" fillId="2" borderId="31" xfId="17" applyNumberFormat="1" applyFont="1" applyFill="1" applyBorder="1"/>
    <xf numFmtId="166" fontId="12" fillId="2" borderId="32" xfId="17" applyNumberFormat="1" applyFont="1" applyFill="1" applyBorder="1"/>
    <xf numFmtId="0" fontId="12" fillId="0" borderId="0" xfId="17" applyFont="1"/>
    <xf numFmtId="0" fontId="12" fillId="0" borderId="8" xfId="17" applyFont="1" applyBorder="1"/>
    <xf numFmtId="0" fontId="12" fillId="0" borderId="9" xfId="17" applyFont="1" applyBorder="1" applyAlignment="1">
      <alignment horizontal="left"/>
    </xf>
    <xf numFmtId="0" fontId="11" fillId="0" borderId="0" xfId="17" applyFont="1" applyAlignment="1">
      <alignment horizontal="center"/>
    </xf>
    <xf numFmtId="0" fontId="15" fillId="0" borderId="0" xfId="17" applyFont="1"/>
    <xf numFmtId="3" fontId="11" fillId="0" borderId="0" xfId="17" applyNumberFormat="1" applyFont="1"/>
    <xf numFmtId="0" fontId="11" fillId="0" borderId="0" xfId="17" applyFont="1" applyAlignment="1">
      <alignment horizontal="right"/>
    </xf>
    <xf numFmtId="0" fontId="11" fillId="0" borderId="9" xfId="17" applyFont="1" applyBorder="1" applyAlignment="1">
      <alignment horizontal="right"/>
    </xf>
    <xf numFmtId="0" fontId="11" fillId="0" borderId="12" xfId="17" applyFont="1" applyBorder="1" applyAlignment="1">
      <alignment horizontal="right"/>
    </xf>
    <xf numFmtId="0" fontId="11" fillId="0" borderId="14" xfId="17" applyFont="1" applyBorder="1" applyAlignment="1">
      <alignment horizontal="right"/>
    </xf>
    <xf numFmtId="3" fontId="11" fillId="0" borderId="84" xfId="17" applyNumberFormat="1" applyFont="1" applyBorder="1"/>
    <xf numFmtId="3" fontId="11" fillId="0" borderId="85" xfId="17" applyNumberFormat="1" applyFont="1" applyBorder="1"/>
    <xf numFmtId="3" fontId="11" fillId="0" borderId="128" xfId="17" applyNumberFormat="1" applyFont="1" applyBorder="1"/>
    <xf numFmtId="0" fontId="12" fillId="2" borderId="37" xfId="17" applyFont="1" applyFill="1" applyBorder="1"/>
    <xf numFmtId="0" fontId="12" fillId="2" borderId="35" xfId="17" applyFont="1" applyFill="1" applyBorder="1" applyAlignment="1">
      <alignment horizontal="center"/>
    </xf>
    <xf numFmtId="166" fontId="12" fillId="2" borderId="35" xfId="17" applyNumberFormat="1" applyFont="1" applyFill="1" applyBorder="1"/>
    <xf numFmtId="37" fontId="12" fillId="2" borderId="36" xfId="17" applyNumberFormat="1" applyFont="1" applyFill="1" applyBorder="1"/>
    <xf numFmtId="0" fontId="11" fillId="2" borderId="37" xfId="17" applyFont="1" applyFill="1" applyBorder="1"/>
    <xf numFmtId="0" fontId="15" fillId="0" borderId="9" xfId="17" applyFont="1" applyBorder="1"/>
    <xf numFmtId="0" fontId="15" fillId="0" borderId="14" xfId="17" applyFont="1" applyBorder="1"/>
    <xf numFmtId="0" fontId="11" fillId="0" borderId="7" xfId="17" applyFont="1" applyBorder="1" applyAlignment="1">
      <alignment horizontal="right"/>
    </xf>
    <xf numFmtId="0" fontId="11" fillId="0" borderId="7" xfId="17" applyFont="1" applyBorder="1"/>
    <xf numFmtId="0" fontId="11" fillId="0" borderId="20" xfId="17" applyFont="1" applyBorder="1" applyAlignment="1">
      <alignment horizontal="right"/>
    </xf>
    <xf numFmtId="0" fontId="11" fillId="0" borderId="12" xfId="17" applyFont="1" applyBorder="1"/>
    <xf numFmtId="37" fontId="12" fillId="0" borderId="0" xfId="17" applyNumberFormat="1" applyFont="1"/>
    <xf numFmtId="37" fontId="12" fillId="2" borderId="16" xfId="17" applyNumberFormat="1" applyFont="1" applyFill="1" applyBorder="1"/>
    <xf numFmtId="0" fontId="12" fillId="3" borderId="9" xfId="17" applyFont="1" applyFill="1" applyBorder="1"/>
    <xf numFmtId="0" fontId="11" fillId="3" borderId="0" xfId="17" applyFont="1" applyFill="1"/>
    <xf numFmtId="0" fontId="12" fillId="3" borderId="0" xfId="17" applyFont="1" applyFill="1"/>
    <xf numFmtId="37" fontId="12" fillId="3" borderId="8" xfId="17" applyNumberFormat="1" applyFont="1" applyFill="1" applyBorder="1"/>
    <xf numFmtId="37" fontId="12" fillId="0" borderId="8" xfId="17" applyNumberFormat="1" applyFont="1" applyBorder="1"/>
    <xf numFmtId="37" fontId="12" fillId="0" borderId="16" xfId="17" applyNumberFormat="1" applyFont="1" applyBorder="1"/>
    <xf numFmtId="0" fontId="11" fillId="3" borderId="14" xfId="17" applyFont="1" applyFill="1" applyBorder="1"/>
    <xf numFmtId="37" fontId="12" fillId="3" borderId="16" xfId="17" applyNumberFormat="1" applyFont="1" applyFill="1" applyBorder="1"/>
    <xf numFmtId="0" fontId="12" fillId="2" borderId="55" xfId="17" applyFont="1" applyFill="1" applyBorder="1"/>
    <xf numFmtId="0" fontId="11" fillId="2" borderId="53" xfId="17" applyFont="1" applyFill="1" applyBorder="1"/>
    <xf numFmtId="37" fontId="12" fillId="2" borderId="54" xfId="17" applyNumberFormat="1" applyFont="1" applyFill="1" applyBorder="1"/>
    <xf numFmtId="0" fontId="11" fillId="2" borderId="55" xfId="17" applyFont="1" applyFill="1" applyBorder="1"/>
    <xf numFmtId="0" fontId="16" fillId="0" borderId="0" xfId="17" applyFont="1"/>
    <xf numFmtId="37" fontId="16" fillId="0" borderId="0" xfId="17" applyNumberFormat="1" applyFont="1"/>
    <xf numFmtId="0" fontId="11" fillId="0" borderId="14" xfId="17" applyFont="1" applyBorder="1" applyAlignment="1">
      <alignment horizontal="center"/>
    </xf>
    <xf numFmtId="0" fontId="11" fillId="0" borderId="16" xfId="17" applyFont="1" applyBorder="1" applyAlignment="1">
      <alignment horizontal="center"/>
    </xf>
    <xf numFmtId="3" fontId="12" fillId="0" borderId="7" xfId="17" applyNumberFormat="1" applyFont="1" applyBorder="1"/>
    <xf numFmtId="3" fontId="12" fillId="0" borderId="19" xfId="17" applyNumberFormat="1" applyFont="1" applyBorder="1"/>
    <xf numFmtId="3" fontId="12" fillId="0" borderId="14" xfId="17" applyNumberFormat="1" applyFont="1" applyBorder="1"/>
    <xf numFmtId="3" fontId="12" fillId="0" borderId="16" xfId="17" applyNumberFormat="1" applyFont="1" applyBorder="1"/>
    <xf numFmtId="167" fontId="11" fillId="0" borderId="0" xfId="17" applyNumberFormat="1" applyFont="1"/>
    <xf numFmtId="166" fontId="12" fillId="10" borderId="31" xfId="17" applyNumberFormat="1" applyFont="1" applyFill="1" applyBorder="1"/>
    <xf numFmtId="166" fontId="15" fillId="0" borderId="0" xfId="17" applyNumberFormat="1" applyFont="1"/>
    <xf numFmtId="166" fontId="11" fillId="0" borderId="9" xfId="17" applyNumberFormat="1" applyFont="1" applyBorder="1"/>
    <xf numFmtId="166" fontId="11" fillId="0" borderId="14" xfId="17" applyNumberFormat="1" applyFont="1" applyBorder="1"/>
    <xf numFmtId="3" fontId="11" fillId="0" borderId="7" xfId="17" applyNumberFormat="1" applyFont="1" applyBorder="1"/>
    <xf numFmtId="0" fontId="11" fillId="2" borderId="14" xfId="17" applyFont="1" applyFill="1" applyBorder="1"/>
    <xf numFmtId="166" fontId="11" fillId="0" borderId="0" xfId="17" applyNumberFormat="1" applyFont="1"/>
    <xf numFmtId="0" fontId="12" fillId="0" borderId="0" xfId="17" applyFont="1" applyAlignment="1">
      <alignment horizontal="center"/>
    </xf>
    <xf numFmtId="166" fontId="12" fillId="0" borderId="0" xfId="17" applyNumberFormat="1" applyFont="1"/>
    <xf numFmtId="0" fontId="12" fillId="0" borderId="9" xfId="17" applyFont="1" applyBorder="1" applyAlignment="1">
      <alignment horizontal="center"/>
    </xf>
    <xf numFmtId="0" fontId="11" fillId="2" borderId="53" xfId="17" applyFont="1" applyFill="1" applyBorder="1" applyAlignment="1">
      <alignment horizontal="right"/>
    </xf>
    <xf numFmtId="37" fontId="10" fillId="0" borderId="0" xfId="17" applyNumberFormat="1" applyFont="1"/>
    <xf numFmtId="166" fontId="11" fillId="0" borderId="8" xfId="17" applyNumberFormat="1" applyFont="1" applyBorder="1"/>
    <xf numFmtId="39" fontId="11" fillId="0" borderId="12" xfId="17" applyNumberFormat="1" applyFont="1" applyBorder="1" applyAlignment="1">
      <alignment horizontal="center"/>
    </xf>
    <xf numFmtId="166" fontId="11" fillId="0" borderId="16" xfId="17" applyNumberFormat="1" applyFont="1" applyBorder="1"/>
    <xf numFmtId="37" fontId="11" fillId="0" borderId="20" xfId="17" applyNumberFormat="1" applyFont="1" applyBorder="1"/>
    <xf numFmtId="166" fontId="12" fillId="0" borderId="14" xfId="17" applyNumberFormat="1" applyFont="1" applyBorder="1"/>
    <xf numFmtId="166" fontId="12" fillId="0" borderId="16" xfId="17" applyNumberFormat="1" applyFont="1" applyBorder="1"/>
    <xf numFmtId="166" fontId="11" fillId="0" borderId="20" xfId="17" applyNumberFormat="1" applyFont="1" applyBorder="1"/>
    <xf numFmtId="167" fontId="12" fillId="0" borderId="0" xfId="17" applyNumberFormat="1" applyFont="1"/>
    <xf numFmtId="37" fontId="12" fillId="0" borderId="9" xfId="17" applyNumberFormat="1" applyFont="1" applyBorder="1"/>
    <xf numFmtId="0" fontId="12" fillId="0" borderId="12" xfId="17" applyFont="1" applyBorder="1"/>
    <xf numFmtId="37" fontId="11" fillId="0" borderId="55" xfId="17" applyNumberFormat="1" applyFont="1" applyBorder="1"/>
    <xf numFmtId="0" fontId="12" fillId="3" borderId="27" xfId="17" applyFont="1" applyFill="1" applyBorder="1"/>
    <xf numFmtId="37" fontId="12" fillId="3" borderId="25" xfId="17" applyNumberFormat="1" applyFont="1" applyFill="1" applyBorder="1"/>
    <xf numFmtId="37" fontId="12" fillId="3" borderId="26" xfId="17" applyNumberFormat="1" applyFont="1" applyFill="1" applyBorder="1"/>
    <xf numFmtId="0" fontId="12" fillId="3" borderId="14" xfId="17" applyFont="1" applyFill="1" applyBorder="1"/>
    <xf numFmtId="37" fontId="12" fillId="3" borderId="12" xfId="17" applyNumberFormat="1" applyFont="1" applyFill="1" applyBorder="1"/>
    <xf numFmtId="166" fontId="12" fillId="3" borderId="16" xfId="17" applyNumberFormat="1" applyFont="1" applyFill="1" applyBorder="1"/>
    <xf numFmtId="37" fontId="12" fillId="3" borderId="14" xfId="17" applyNumberFormat="1" applyFont="1" applyFill="1" applyBorder="1"/>
    <xf numFmtId="167" fontId="12" fillId="0" borderId="7" xfId="17" applyNumberFormat="1" applyFont="1" applyBorder="1"/>
    <xf numFmtId="0" fontId="12" fillId="3" borderId="20" xfId="17" applyFont="1" applyFill="1" applyBorder="1"/>
    <xf numFmtId="37" fontId="12" fillId="3" borderId="7" xfId="17" applyNumberFormat="1" applyFont="1" applyFill="1" applyBorder="1"/>
    <xf numFmtId="167" fontId="12" fillId="3" borderId="7" xfId="17" applyNumberFormat="1" applyFont="1" applyFill="1" applyBorder="1"/>
    <xf numFmtId="37" fontId="12" fillId="3" borderId="19" xfId="17" applyNumberFormat="1" applyFont="1" applyFill="1" applyBorder="1"/>
    <xf numFmtId="37" fontId="12" fillId="3" borderId="20" xfId="17" applyNumberFormat="1" applyFont="1" applyFill="1" applyBorder="1"/>
    <xf numFmtId="0" fontId="12" fillId="2" borderId="37" xfId="17" applyFont="1" applyFill="1" applyBorder="1" applyAlignment="1">
      <alignment horizontal="center"/>
    </xf>
    <xf numFmtId="0" fontId="11" fillId="2" borderId="55" xfId="17" applyFont="1" applyFill="1" applyBorder="1" applyAlignment="1">
      <alignment horizontal="right"/>
    </xf>
    <xf numFmtId="37" fontId="11" fillId="0" borderId="0" xfId="17" applyNumberFormat="1" applyFont="1" applyAlignment="1">
      <alignment horizontal="center"/>
    </xf>
    <xf numFmtId="1" fontId="11" fillId="0" borderId="9" xfId="17" applyNumberFormat="1" applyFont="1" applyBorder="1"/>
    <xf numFmtId="0" fontId="11" fillId="0" borderId="12" xfId="17" applyFont="1" applyBorder="1" applyAlignment="1">
      <alignment horizontal="center"/>
    </xf>
    <xf numFmtId="1" fontId="11" fillId="0" borderId="20" xfId="17" applyNumberFormat="1" applyFont="1" applyBorder="1"/>
    <xf numFmtId="167" fontId="11" fillId="0" borderId="12" xfId="17" applyNumberFormat="1" applyFont="1" applyBorder="1"/>
    <xf numFmtId="2" fontId="11" fillId="0" borderId="12" xfId="17" applyNumberFormat="1" applyFont="1" applyBorder="1"/>
    <xf numFmtId="166" fontId="12" fillId="2" borderId="27" xfId="17" applyNumberFormat="1" applyFont="1" applyFill="1" applyBorder="1"/>
    <xf numFmtId="0" fontId="15" fillId="0" borderId="20" xfId="17" applyFont="1" applyBorder="1"/>
    <xf numFmtId="166" fontId="12" fillId="0" borderId="7" xfId="17" applyNumberFormat="1" applyFont="1" applyBorder="1"/>
    <xf numFmtId="166" fontId="12" fillId="0" borderId="20" xfId="17" applyNumberFormat="1" applyFont="1" applyBorder="1"/>
    <xf numFmtId="0" fontId="11" fillId="0" borderId="16" xfId="17" applyFont="1" applyBorder="1"/>
    <xf numFmtId="166" fontId="11" fillId="0" borderId="12" xfId="17" applyNumberFormat="1" applyFont="1" applyBorder="1"/>
    <xf numFmtId="166" fontId="12" fillId="2" borderId="25" xfId="17" applyNumberFormat="1" applyFont="1" applyFill="1" applyBorder="1"/>
    <xf numFmtId="166" fontId="12" fillId="2" borderId="49" xfId="17" applyNumberFormat="1" applyFont="1" applyFill="1" applyBorder="1"/>
    <xf numFmtId="37" fontId="12" fillId="2" borderId="50" xfId="17" applyNumberFormat="1" applyFont="1" applyFill="1" applyBorder="1"/>
    <xf numFmtId="37" fontId="12" fillId="2" borderId="53" xfId="17" applyNumberFormat="1" applyFont="1" applyFill="1" applyBorder="1"/>
    <xf numFmtId="167" fontId="12" fillId="2" borderId="53" xfId="17" applyNumberFormat="1" applyFont="1" applyFill="1" applyBorder="1"/>
    <xf numFmtId="37" fontId="12" fillId="2" borderId="55" xfId="17" applyNumberFormat="1" applyFont="1" applyFill="1" applyBorder="1"/>
    <xf numFmtId="0" fontId="11" fillId="2" borderId="32" xfId="17" applyFont="1" applyFill="1" applyBorder="1"/>
    <xf numFmtId="0" fontId="11" fillId="0" borderId="53" xfId="17" applyFont="1" applyBorder="1" applyAlignment="1">
      <alignment horizontal="center"/>
    </xf>
    <xf numFmtId="0" fontId="11" fillId="0" borderId="54" xfId="17" applyFont="1" applyBorder="1" applyAlignment="1">
      <alignment horizontal="center"/>
    </xf>
    <xf numFmtId="0" fontId="11" fillId="0" borderId="55" xfId="17" applyFont="1" applyBorder="1" applyAlignment="1">
      <alignment horizontal="center"/>
    </xf>
    <xf numFmtId="37" fontId="11" fillId="10" borderId="0" xfId="17" applyNumberFormat="1" applyFont="1" applyFill="1"/>
    <xf numFmtId="166" fontId="12" fillId="2" borderId="0" xfId="17" applyNumberFormat="1" applyFont="1" applyFill="1"/>
    <xf numFmtId="37" fontId="11" fillId="10" borderId="50" xfId="17" applyNumberFormat="1" applyFont="1" applyFill="1" applyBorder="1"/>
    <xf numFmtId="166" fontId="12" fillId="0" borderId="26" xfId="17" applyNumberFormat="1" applyFont="1" applyBorder="1"/>
    <xf numFmtId="0" fontId="38" fillId="11" borderId="0" xfId="17" applyFont="1" applyFill="1"/>
    <xf numFmtId="0" fontId="8" fillId="0" borderId="0" xfId="17" applyFont="1" applyAlignment="1">
      <alignment horizontal="right" vertical="center"/>
    </xf>
    <xf numFmtId="0" fontId="17" fillId="0" borderId="0" xfId="17" applyFont="1" applyAlignment="1">
      <alignment horizontal="center" vertical="center"/>
    </xf>
    <xf numFmtId="0" fontId="11" fillId="0" borderId="129" xfId="17" applyFont="1" applyBorder="1" applyAlignment="1">
      <alignment horizontal="left"/>
    </xf>
    <xf numFmtId="0" fontId="12" fillId="0" borderId="101" xfId="17" applyFont="1" applyBorder="1" applyAlignment="1">
      <alignment horizontal="center" vertical="center"/>
    </xf>
    <xf numFmtId="0" fontId="11" fillId="0" borderId="67" xfId="17" applyFont="1" applyBorder="1" applyAlignment="1">
      <alignment horizontal="center"/>
    </xf>
    <xf numFmtId="0" fontId="11" fillId="0" borderId="68" xfId="17" applyFont="1" applyBorder="1" applyAlignment="1">
      <alignment horizontal="center"/>
    </xf>
    <xf numFmtId="0" fontId="11" fillId="0" borderId="69" xfId="17" applyFont="1" applyBorder="1" applyAlignment="1">
      <alignment horizontal="center"/>
    </xf>
    <xf numFmtId="0" fontId="15" fillId="0" borderId="12" xfId="17" applyFont="1" applyBorder="1"/>
    <xf numFmtId="37" fontId="15" fillId="0" borderId="67" xfId="17" applyNumberFormat="1" applyFont="1" applyBorder="1"/>
    <xf numFmtId="37" fontId="15" fillId="0" borderId="68" xfId="17" applyNumberFormat="1" applyFont="1" applyBorder="1"/>
    <xf numFmtId="37" fontId="15" fillId="0" borderId="12" xfId="17" applyNumberFormat="1" applyFont="1" applyBorder="1"/>
    <xf numFmtId="166" fontId="15" fillId="0" borderId="12" xfId="17" applyNumberFormat="1" applyFont="1" applyBorder="1"/>
    <xf numFmtId="37" fontId="15" fillId="0" borderId="69" xfId="17" applyNumberFormat="1" applyFont="1" applyBorder="1"/>
    <xf numFmtId="166" fontId="15" fillId="0" borderId="16" xfId="17" applyNumberFormat="1" applyFont="1" applyBorder="1"/>
    <xf numFmtId="0" fontId="17" fillId="2" borderId="14" xfId="17" applyFont="1" applyFill="1" applyBorder="1"/>
    <xf numFmtId="0" fontId="17" fillId="2" borderId="12" xfId="17" applyFont="1" applyFill="1" applyBorder="1"/>
    <xf numFmtId="37" fontId="17" fillId="2" borderId="67" xfId="17" applyNumberFormat="1" applyFont="1" applyFill="1" applyBorder="1"/>
    <xf numFmtId="166" fontId="17" fillId="2" borderId="38" xfId="17" applyNumberFormat="1" applyFont="1" applyFill="1" applyBorder="1"/>
    <xf numFmtId="37" fontId="17" fillId="2" borderId="12" xfId="17" applyNumberFormat="1" applyFont="1" applyFill="1" applyBorder="1"/>
    <xf numFmtId="37" fontId="17" fillId="2" borderId="68" xfId="17" applyNumberFormat="1" applyFont="1" applyFill="1" applyBorder="1"/>
    <xf numFmtId="166" fontId="17" fillId="2" borderId="12" xfId="17" applyNumberFormat="1" applyFont="1" applyFill="1" applyBorder="1"/>
    <xf numFmtId="37" fontId="17" fillId="2" borderId="69" xfId="17" applyNumberFormat="1" applyFont="1" applyFill="1" applyBorder="1"/>
    <xf numFmtId="166" fontId="17" fillId="2" borderId="16" xfId="17" applyNumberFormat="1" applyFont="1" applyFill="1" applyBorder="1"/>
    <xf numFmtId="0" fontId="17" fillId="0" borderId="9" xfId="17" applyFont="1" applyBorder="1"/>
    <xf numFmtId="37" fontId="15" fillId="0" borderId="70" xfId="17" applyNumberFormat="1" applyFont="1" applyBorder="1"/>
    <xf numFmtId="37" fontId="15" fillId="0" borderId="71" xfId="17" applyNumberFormat="1" applyFont="1" applyBorder="1"/>
    <xf numFmtId="37" fontId="15" fillId="0" borderId="0" xfId="17" applyNumberFormat="1" applyFont="1"/>
    <xf numFmtId="37" fontId="15" fillId="0" borderId="77" xfId="17" applyNumberFormat="1" applyFont="1" applyBorder="1"/>
    <xf numFmtId="37" fontId="15" fillId="0" borderId="72" xfId="17" applyNumberFormat="1" applyFont="1" applyBorder="1"/>
    <xf numFmtId="166" fontId="15" fillId="0" borderId="19" xfId="17" applyNumberFormat="1" applyFont="1" applyBorder="1"/>
    <xf numFmtId="0" fontId="15" fillId="0" borderId="0" xfId="17" applyFont="1" applyAlignment="1">
      <alignment horizontal="right"/>
    </xf>
    <xf numFmtId="167" fontId="15" fillId="0" borderId="0" xfId="17" applyNumberFormat="1" applyFont="1"/>
    <xf numFmtId="166" fontId="15" fillId="0" borderId="8" xfId="17" applyNumberFormat="1" applyFont="1" applyBorder="1"/>
    <xf numFmtId="0" fontId="15" fillId="0" borderId="12" xfId="17" applyFont="1" applyBorder="1" applyAlignment="1">
      <alignment horizontal="right"/>
    </xf>
    <xf numFmtId="167" fontId="15" fillId="0" borderId="12" xfId="17" applyNumberFormat="1" applyFont="1" applyBorder="1"/>
    <xf numFmtId="166" fontId="15" fillId="0" borderId="67" xfId="17" applyNumberFormat="1" applyFont="1" applyBorder="1"/>
    <xf numFmtId="0" fontId="15" fillId="0" borderId="71" xfId="17" applyFont="1" applyBorder="1"/>
    <xf numFmtId="0" fontId="17" fillId="2" borderId="37" xfId="17" applyFont="1" applyFill="1" applyBorder="1"/>
    <xf numFmtId="0" fontId="17" fillId="2" borderId="35" xfId="17" applyFont="1" applyFill="1" applyBorder="1"/>
    <xf numFmtId="166" fontId="17" fillId="2" borderId="35" xfId="17" applyNumberFormat="1" applyFont="1" applyFill="1" applyBorder="1"/>
    <xf numFmtId="37" fontId="17" fillId="2" borderId="74" xfId="17" applyNumberFormat="1" applyFont="1" applyFill="1" applyBorder="1"/>
    <xf numFmtId="0" fontId="17" fillId="2" borderId="38" xfId="17" applyFont="1" applyFill="1" applyBorder="1"/>
    <xf numFmtId="37" fontId="17" fillId="2" borderId="35" xfId="17" applyNumberFormat="1" applyFont="1" applyFill="1" applyBorder="1"/>
    <xf numFmtId="0" fontId="17" fillId="2" borderId="75" xfId="17" applyFont="1" applyFill="1" applyBorder="1"/>
    <xf numFmtId="0" fontId="15" fillId="0" borderId="68" xfId="17" applyFont="1" applyBorder="1"/>
    <xf numFmtId="167" fontId="17" fillId="2" borderId="35" xfId="17" applyNumberFormat="1" applyFont="1" applyFill="1" applyBorder="1"/>
    <xf numFmtId="37" fontId="17" fillId="2" borderId="38" xfId="17" applyNumberFormat="1" applyFont="1" applyFill="1" applyBorder="1"/>
    <xf numFmtId="37" fontId="17" fillId="2" borderId="75" xfId="17" applyNumberFormat="1" applyFont="1" applyFill="1" applyBorder="1"/>
    <xf numFmtId="0" fontId="15" fillId="0" borderId="7" xfId="17" applyFont="1" applyBorder="1" applyAlignment="1">
      <alignment horizontal="right"/>
    </xf>
    <xf numFmtId="0" fontId="15" fillId="0" borderId="7" xfId="17" applyFont="1" applyBorder="1"/>
    <xf numFmtId="37" fontId="15" fillId="0" borderId="76" xfId="17" applyNumberFormat="1" applyFont="1" applyBorder="1"/>
    <xf numFmtId="0" fontId="15" fillId="0" borderId="77" xfId="17" applyFont="1" applyBorder="1"/>
    <xf numFmtId="167" fontId="15" fillId="0" borderId="7" xfId="17" applyNumberFormat="1" applyFont="1" applyBorder="1"/>
    <xf numFmtId="37" fontId="15" fillId="0" borderId="7" xfId="17" applyNumberFormat="1" applyFont="1" applyBorder="1"/>
    <xf numFmtId="166" fontId="15" fillId="0" borderId="7" xfId="17" applyNumberFormat="1" applyFont="1" applyBorder="1"/>
    <xf numFmtId="37" fontId="15" fillId="0" borderId="78" xfId="17" applyNumberFormat="1" applyFont="1" applyBorder="1"/>
    <xf numFmtId="43" fontId="10" fillId="0" borderId="0" xfId="17" applyNumberFormat="1" applyFont="1"/>
    <xf numFmtId="166" fontId="10" fillId="0" borderId="0" xfId="17" applyNumberFormat="1" applyFont="1"/>
    <xf numFmtId="166" fontId="15" fillId="0" borderId="70" xfId="17" applyNumberFormat="1" applyFont="1" applyBorder="1"/>
    <xf numFmtId="0" fontId="15" fillId="2" borderId="35" xfId="17" applyFont="1" applyFill="1" applyBorder="1"/>
    <xf numFmtId="166" fontId="17" fillId="2" borderId="36" xfId="17" applyNumberFormat="1" applyFont="1" applyFill="1" applyBorder="1"/>
    <xf numFmtId="166" fontId="17" fillId="0" borderId="0" xfId="17" applyNumberFormat="1" applyFont="1"/>
    <xf numFmtId="0" fontId="17" fillId="0" borderId="0" xfId="17" applyFont="1"/>
    <xf numFmtId="166" fontId="15" fillId="0" borderId="76" xfId="17" applyNumberFormat="1" applyFont="1" applyBorder="1"/>
    <xf numFmtId="0" fontId="15" fillId="0" borderId="70" xfId="17" applyFont="1" applyBorder="1"/>
    <xf numFmtId="0" fontId="15" fillId="0" borderId="72" xfId="17" applyFont="1" applyBorder="1"/>
    <xf numFmtId="166" fontId="15" fillId="0" borderId="36" xfId="17" applyNumberFormat="1" applyFont="1" applyBorder="1"/>
    <xf numFmtId="166" fontId="17" fillId="0" borderId="7" xfId="17" applyNumberFormat="1" applyFont="1" applyBorder="1"/>
    <xf numFmtId="0" fontId="17" fillId="0" borderId="7" xfId="17" applyFont="1" applyBorder="1"/>
    <xf numFmtId="166" fontId="17" fillId="0" borderId="77" xfId="17" applyNumberFormat="1" applyFont="1" applyBorder="1"/>
    <xf numFmtId="37" fontId="17" fillId="0" borderId="77" xfId="17" applyNumberFormat="1" applyFont="1" applyBorder="1"/>
    <xf numFmtId="37" fontId="15" fillId="0" borderId="84" xfId="17" applyNumberFormat="1" applyFont="1" applyBorder="1"/>
    <xf numFmtId="37" fontId="17" fillId="0" borderId="7" xfId="17" applyNumberFormat="1" applyFont="1" applyBorder="1"/>
    <xf numFmtId="166" fontId="17" fillId="0" borderId="71" xfId="17" applyNumberFormat="1" applyFont="1" applyBorder="1"/>
    <xf numFmtId="37" fontId="17" fillId="0" borderId="71" xfId="17" applyNumberFormat="1" applyFont="1" applyBorder="1"/>
    <xf numFmtId="37" fontId="15" fillId="0" borderId="85" xfId="17" applyNumberFormat="1" applyFont="1" applyBorder="1"/>
    <xf numFmtId="37" fontId="17" fillId="0" borderId="0" xfId="17" applyNumberFormat="1" applyFont="1"/>
    <xf numFmtId="166" fontId="15" fillId="2" borderId="38" xfId="17" applyNumberFormat="1" applyFont="1" applyFill="1" applyBorder="1"/>
    <xf numFmtId="166" fontId="15" fillId="2" borderId="35" xfId="17" applyNumberFormat="1" applyFont="1" applyFill="1" applyBorder="1"/>
    <xf numFmtId="37" fontId="15" fillId="2" borderId="75" xfId="17" applyNumberFormat="1" applyFont="1" applyFill="1" applyBorder="1"/>
    <xf numFmtId="0" fontId="17" fillId="3" borderId="20" xfId="17" applyFont="1" applyFill="1" applyBorder="1"/>
    <xf numFmtId="0" fontId="17" fillId="3" borderId="7" xfId="17" applyFont="1" applyFill="1" applyBorder="1"/>
    <xf numFmtId="37" fontId="17" fillId="3" borderId="7" xfId="17" applyNumberFormat="1" applyFont="1" applyFill="1" applyBorder="1"/>
    <xf numFmtId="37" fontId="15" fillId="3" borderId="76" xfId="17" applyNumberFormat="1" applyFont="1" applyFill="1" applyBorder="1"/>
    <xf numFmtId="0" fontId="15" fillId="3" borderId="7" xfId="17" applyFont="1" applyFill="1" applyBorder="1"/>
    <xf numFmtId="37" fontId="15" fillId="3" borderId="7" xfId="17" applyNumberFormat="1" applyFont="1" applyFill="1" applyBorder="1"/>
    <xf numFmtId="37" fontId="15" fillId="3" borderId="77" xfId="17" applyNumberFormat="1" applyFont="1" applyFill="1" applyBorder="1"/>
    <xf numFmtId="37" fontId="15" fillId="3" borderId="0" xfId="17" applyNumberFormat="1" applyFont="1" applyFill="1"/>
    <xf numFmtId="166" fontId="15" fillId="3" borderId="0" xfId="17" applyNumberFormat="1" applyFont="1" applyFill="1"/>
    <xf numFmtId="166" fontId="15" fillId="3" borderId="77" xfId="17" applyNumberFormat="1" applyFont="1" applyFill="1" applyBorder="1"/>
    <xf numFmtId="166" fontId="15" fillId="3" borderId="7" xfId="17" applyNumberFormat="1" applyFont="1" applyFill="1" applyBorder="1"/>
    <xf numFmtId="37" fontId="15" fillId="3" borderId="78" xfId="17" applyNumberFormat="1" applyFont="1" applyFill="1" applyBorder="1"/>
    <xf numFmtId="166" fontId="15" fillId="0" borderId="54" xfId="17" applyNumberFormat="1" applyFont="1" applyBorder="1"/>
    <xf numFmtId="0" fontId="17" fillId="2" borderId="103" xfId="17" applyFont="1" applyFill="1" applyBorder="1"/>
    <xf numFmtId="0" fontId="17" fillId="2" borderId="104" xfId="17" applyFont="1" applyFill="1" applyBorder="1"/>
    <xf numFmtId="0" fontId="17" fillId="2" borderId="104" xfId="17" applyFont="1" applyFill="1" applyBorder="1" applyAlignment="1">
      <alignment horizontal="center"/>
    </xf>
    <xf numFmtId="166" fontId="17" fillId="2" borderId="104" xfId="17" applyNumberFormat="1" applyFont="1" applyFill="1" applyBorder="1"/>
    <xf numFmtId="37" fontId="17" fillId="2" borderId="105" xfId="17" applyNumberFormat="1" applyFont="1" applyFill="1" applyBorder="1"/>
    <xf numFmtId="37" fontId="17" fillId="2" borderId="104" xfId="17" applyNumberFormat="1" applyFont="1" applyFill="1" applyBorder="1"/>
    <xf numFmtId="37" fontId="17" fillId="2" borderId="132" xfId="17" applyNumberFormat="1" applyFont="1" applyFill="1" applyBorder="1"/>
    <xf numFmtId="166" fontId="17" fillId="2" borderId="106" xfId="17" applyNumberFormat="1" applyFont="1" applyFill="1" applyBorder="1"/>
    <xf numFmtId="0" fontId="17" fillId="2" borderId="132" xfId="17" applyFont="1" applyFill="1" applyBorder="1" applyAlignment="1">
      <alignment horizontal="center"/>
    </xf>
    <xf numFmtId="37" fontId="17" fillId="2" borderId="133" xfId="17" applyNumberFormat="1" applyFont="1" applyFill="1" applyBorder="1"/>
    <xf numFmtId="166" fontId="17" fillId="2" borderId="31" xfId="17" applyNumberFormat="1" applyFont="1" applyFill="1" applyBorder="1"/>
    <xf numFmtId="39" fontId="15" fillId="0" borderId="0" xfId="17" applyNumberFormat="1" applyFont="1"/>
    <xf numFmtId="0" fontId="39" fillId="0" borderId="0" xfId="17" applyFont="1"/>
    <xf numFmtId="0" fontId="39" fillId="0" borderId="0" xfId="17" applyFont="1" applyAlignment="1">
      <alignment horizontal="center"/>
    </xf>
    <xf numFmtId="0" fontId="39" fillId="0" borderId="0" xfId="17" applyFont="1" applyAlignment="1">
      <alignment horizontal="right" vertical="center"/>
    </xf>
    <xf numFmtId="0" fontId="39" fillId="0" borderId="0" xfId="17" applyFont="1" applyAlignment="1">
      <alignment horizontal="center" vertical="center"/>
    </xf>
    <xf numFmtId="0" fontId="39" fillId="0" borderId="0" xfId="17" applyFont="1" applyAlignment="1">
      <alignment horizontal="right"/>
    </xf>
    <xf numFmtId="37" fontId="17" fillId="2" borderId="134" xfId="17" applyNumberFormat="1" applyFont="1" applyFill="1" applyBorder="1"/>
    <xf numFmtId="37" fontId="17" fillId="2" borderId="107" xfId="17" applyNumberFormat="1" applyFont="1" applyFill="1" applyBorder="1"/>
    <xf numFmtId="37" fontId="17" fillId="2" borderId="101" xfId="17" applyNumberFormat="1" applyFont="1" applyFill="1" applyBorder="1"/>
    <xf numFmtId="166" fontId="17" fillId="2" borderId="102" xfId="17" applyNumberFormat="1" applyFont="1" applyFill="1" applyBorder="1"/>
    <xf numFmtId="0" fontId="10" fillId="0" borderId="9" xfId="17" applyFont="1" applyBorder="1"/>
    <xf numFmtId="37" fontId="10" fillId="0" borderId="70" xfId="17" applyNumberFormat="1" applyFont="1" applyBorder="1"/>
    <xf numFmtId="0" fontId="10" fillId="0" borderId="70" xfId="17" applyFont="1" applyBorder="1"/>
    <xf numFmtId="0" fontId="10" fillId="0" borderId="85" xfId="17" applyFont="1" applyBorder="1"/>
    <xf numFmtId="0" fontId="10" fillId="0" borderId="72" xfId="17" applyFont="1" applyBorder="1"/>
    <xf numFmtId="0" fontId="10" fillId="0" borderId="8" xfId="17" applyFont="1" applyBorder="1"/>
    <xf numFmtId="166" fontId="17" fillId="2" borderId="135" xfId="17" applyNumberFormat="1" applyFont="1" applyFill="1" applyBorder="1"/>
    <xf numFmtId="0" fontId="10" fillId="3" borderId="0" xfId="17" applyFont="1" applyFill="1"/>
    <xf numFmtId="3" fontId="37" fillId="0" borderId="0" xfId="17" applyNumberFormat="1"/>
    <xf numFmtId="9" fontId="15" fillId="0" borderId="0" xfId="2" applyFont="1"/>
    <xf numFmtId="0" fontId="40" fillId="12" borderId="0" xfId="17" applyFont="1" applyFill="1"/>
    <xf numFmtId="0" fontId="10" fillId="0" borderId="0" xfId="17" applyFont="1" applyAlignment="1">
      <alignment horizontal="left" vertical="center"/>
    </xf>
    <xf numFmtId="0" fontId="40" fillId="12" borderId="0" xfId="17" applyFont="1" applyFill="1" applyAlignment="1">
      <alignment horizontal="center" vertical="center"/>
    </xf>
    <xf numFmtId="0" fontId="40" fillId="12" borderId="0" xfId="17" applyFont="1" applyFill="1" applyAlignment="1">
      <alignment horizontal="right"/>
    </xf>
    <xf numFmtId="0" fontId="41" fillId="9" borderId="27" xfId="17" applyFont="1" applyFill="1" applyBorder="1"/>
    <xf numFmtId="0" fontId="42" fillId="9" borderId="26" xfId="17" applyFont="1" applyFill="1" applyBorder="1"/>
    <xf numFmtId="0" fontId="43" fillId="9" borderId="9" xfId="17" applyFont="1" applyFill="1" applyBorder="1"/>
    <xf numFmtId="10" fontId="43" fillId="9" borderId="8" xfId="17" applyNumberFormat="1" applyFont="1" applyFill="1" applyBorder="1"/>
    <xf numFmtId="0" fontId="1" fillId="0" borderId="0" xfId="17" applyFont="1"/>
    <xf numFmtId="0" fontId="42" fillId="9" borderId="32" xfId="17" applyFont="1" applyFill="1" applyBorder="1"/>
    <xf numFmtId="10" fontId="43" fillId="9" borderId="31" xfId="17" applyNumberFormat="1" applyFont="1" applyFill="1" applyBorder="1"/>
    <xf numFmtId="166" fontId="17" fillId="0" borderId="9" xfId="17" applyNumberFormat="1" applyFont="1" applyBorder="1" applyAlignment="1">
      <alignment vertical="center"/>
    </xf>
    <xf numFmtId="166" fontId="17" fillId="0" borderId="8" xfId="17" applyNumberFormat="1" applyFont="1" applyBorder="1" applyAlignment="1">
      <alignment vertical="center"/>
    </xf>
    <xf numFmtId="3" fontId="12" fillId="0" borderId="12" xfId="17" applyNumberFormat="1" applyFont="1" applyBorder="1"/>
    <xf numFmtId="43" fontId="11" fillId="0" borderId="0" xfId="17" applyNumberFormat="1" applyFont="1"/>
    <xf numFmtId="3" fontId="12" fillId="2" borderId="30" xfId="17" applyNumberFormat="1" applyFont="1" applyFill="1" applyBorder="1"/>
    <xf numFmtId="166" fontId="12" fillId="2" borderId="31" xfId="24" applyNumberFormat="1" applyFont="1" applyFill="1" applyBorder="1"/>
    <xf numFmtId="166" fontId="11" fillId="0" borderId="0" xfId="17" applyNumberFormat="1" applyFont="1" applyAlignment="1">
      <alignment horizontal="right"/>
    </xf>
    <xf numFmtId="166" fontId="11" fillId="0" borderId="9" xfId="24" applyNumberFormat="1" applyFont="1" applyBorder="1"/>
    <xf numFmtId="166" fontId="11" fillId="0" borderId="12" xfId="17" applyNumberFormat="1" applyFont="1" applyBorder="1" applyAlignment="1">
      <alignment horizontal="right"/>
    </xf>
    <xf numFmtId="166" fontId="11" fillId="0" borderId="14" xfId="24" applyNumberFormat="1" applyFont="1" applyBorder="1"/>
    <xf numFmtId="3" fontId="1" fillId="0" borderId="0" xfId="17" applyNumberFormat="1" applyFont="1"/>
    <xf numFmtId="0" fontId="11" fillId="2" borderId="38" xfId="17" applyFont="1" applyFill="1" applyBorder="1"/>
    <xf numFmtId="37" fontId="12" fillId="2" borderId="35" xfId="17" applyNumberFormat="1" applyFont="1" applyFill="1" applyBorder="1"/>
    <xf numFmtId="166" fontId="11" fillId="0" borderId="0" xfId="24" applyNumberFormat="1" applyFont="1"/>
    <xf numFmtId="168" fontId="11" fillId="0" borderId="0" xfId="25" applyNumberFormat="1" applyFont="1"/>
    <xf numFmtId="9" fontId="11" fillId="0" borderId="9" xfId="24" applyFont="1" applyBorder="1"/>
    <xf numFmtId="0" fontId="14" fillId="13" borderId="0" xfId="17" applyFont="1" applyFill="1"/>
    <xf numFmtId="0" fontId="11" fillId="13" borderId="0" xfId="17" applyFont="1" applyFill="1"/>
    <xf numFmtId="9" fontId="11" fillId="0" borderId="0" xfId="24" applyFont="1" applyAlignment="1">
      <alignment horizontal="right"/>
    </xf>
    <xf numFmtId="168" fontId="11" fillId="0" borderId="0" xfId="17" applyNumberFormat="1" applyFont="1"/>
    <xf numFmtId="9" fontId="11" fillId="0" borderId="9" xfId="24" applyFont="1" applyFill="1" applyBorder="1"/>
    <xf numFmtId="0" fontId="11" fillId="3" borderId="9" xfId="17" applyFont="1" applyFill="1" applyBorder="1"/>
    <xf numFmtId="0" fontId="11" fillId="3" borderId="12" xfId="17" applyFont="1" applyFill="1" applyBorder="1"/>
    <xf numFmtId="0" fontId="12" fillId="2" borderId="53" xfId="17" applyFont="1" applyFill="1" applyBorder="1"/>
    <xf numFmtId="166" fontId="12" fillId="2" borderId="53" xfId="24" applyNumberFormat="1" applyFont="1" applyFill="1" applyBorder="1"/>
    <xf numFmtId="1" fontId="16" fillId="0" borderId="0" xfId="17" applyNumberFormat="1" applyFont="1"/>
    <xf numFmtId="9" fontId="16" fillId="0" borderId="0" xfId="24" applyFont="1"/>
    <xf numFmtId="0" fontId="40" fillId="14" borderId="0" xfId="17" applyFont="1" applyFill="1"/>
    <xf numFmtId="0" fontId="44" fillId="0" borderId="0" xfId="17" applyFont="1"/>
    <xf numFmtId="166" fontId="17" fillId="0" borderId="9" xfId="17" applyNumberFormat="1" applyFont="1" applyBorder="1"/>
    <xf numFmtId="166" fontId="17" fillId="0" borderId="8" xfId="17" applyNumberFormat="1" applyFont="1" applyBorder="1"/>
    <xf numFmtId="39" fontId="11" fillId="0" borderId="0" xfId="17" applyNumberFormat="1" applyFont="1"/>
    <xf numFmtId="167" fontId="12" fillId="2" borderId="25" xfId="17" applyNumberFormat="1" applyFont="1" applyFill="1" applyBorder="1"/>
    <xf numFmtId="9" fontId="12" fillId="2" borderId="32" xfId="17" applyNumberFormat="1" applyFont="1" applyFill="1" applyBorder="1"/>
    <xf numFmtId="9" fontId="11" fillId="0" borderId="12" xfId="24" applyFont="1" applyBorder="1" applyAlignment="1">
      <alignment horizontal="right"/>
    </xf>
    <xf numFmtId="9" fontId="11" fillId="0" borderId="0" xfId="24" applyFont="1"/>
    <xf numFmtId="10" fontId="11" fillId="0" borderId="0" xfId="17" applyNumberFormat="1" applyFont="1"/>
    <xf numFmtId="167" fontId="12" fillId="0" borderId="12" xfId="17" applyNumberFormat="1" applyFont="1" applyBorder="1"/>
    <xf numFmtId="37" fontId="12" fillId="3" borderId="27" xfId="17" applyNumberFormat="1" applyFont="1" applyFill="1" applyBorder="1"/>
    <xf numFmtId="166" fontId="12" fillId="3" borderId="27" xfId="17" applyNumberFormat="1" applyFont="1" applyFill="1" applyBorder="1"/>
    <xf numFmtId="39" fontId="12" fillId="3" borderId="12" xfId="17" applyNumberFormat="1" applyFont="1" applyFill="1" applyBorder="1" applyAlignment="1">
      <alignment horizontal="center"/>
    </xf>
    <xf numFmtId="166" fontId="11" fillId="0" borderId="0" xfId="24" applyNumberFormat="1" applyFont="1" applyFill="1"/>
    <xf numFmtId="10" fontId="12" fillId="2" borderId="27" xfId="17" applyNumberFormat="1" applyFont="1" applyFill="1" applyBorder="1"/>
    <xf numFmtId="166" fontId="12" fillId="2" borderId="54" xfId="24" applyNumberFormat="1" applyFont="1" applyFill="1" applyBorder="1"/>
    <xf numFmtId="6" fontId="10" fillId="0" borderId="0" xfId="17" applyNumberFormat="1" applyFont="1"/>
    <xf numFmtId="6" fontId="11" fillId="0" borderId="0" xfId="17" applyNumberFormat="1" applyFont="1"/>
    <xf numFmtId="0" fontId="45" fillId="0" borderId="0" xfId="17" applyFont="1"/>
    <xf numFmtId="3" fontId="11" fillId="10" borderId="49" xfId="17" applyNumberFormat="1" applyFont="1" applyFill="1" applyBorder="1"/>
    <xf numFmtId="3" fontId="11" fillId="10" borderId="50" xfId="17" applyNumberFormat="1" applyFont="1" applyFill="1" applyBorder="1"/>
    <xf numFmtId="0" fontId="46" fillId="0" borderId="0" xfId="17" applyFont="1"/>
    <xf numFmtId="0" fontId="12" fillId="2" borderId="103" xfId="17" applyFont="1" applyFill="1" applyBorder="1"/>
    <xf numFmtId="0" fontId="12" fillId="2" borderId="104" xfId="17" applyFont="1" applyFill="1" applyBorder="1"/>
    <xf numFmtId="37" fontId="12" fillId="2" borderId="135" xfId="17" applyNumberFormat="1" applyFont="1" applyFill="1" applyBorder="1"/>
    <xf numFmtId="0" fontId="11" fillId="2" borderId="103" xfId="17" applyFont="1" applyFill="1" applyBorder="1"/>
    <xf numFmtId="0" fontId="11" fillId="2" borderId="104" xfId="17" applyFont="1" applyFill="1" applyBorder="1"/>
    <xf numFmtId="3" fontId="12" fillId="0" borderId="0" xfId="17" applyNumberFormat="1" applyFont="1"/>
    <xf numFmtId="37" fontId="37" fillId="0" borderId="0" xfId="17" applyNumberFormat="1"/>
    <xf numFmtId="0" fontId="40" fillId="12" borderId="0" xfId="17" applyFont="1" applyFill="1" applyAlignment="1">
      <alignment vertical="center"/>
    </xf>
    <xf numFmtId="9" fontId="17" fillId="2" borderId="68" xfId="24" applyFont="1" applyFill="1" applyBorder="1"/>
    <xf numFmtId="166" fontId="15" fillId="0" borderId="71" xfId="24" applyNumberFormat="1" applyFont="1" applyBorder="1"/>
    <xf numFmtId="166" fontId="15" fillId="0" borderId="68" xfId="24" applyNumberFormat="1" applyFont="1" applyBorder="1"/>
    <xf numFmtId="166" fontId="15" fillId="0" borderId="12" xfId="24" applyNumberFormat="1" applyFont="1" applyBorder="1"/>
    <xf numFmtId="166" fontId="15" fillId="0" borderId="0" xfId="24" applyNumberFormat="1" applyFont="1"/>
    <xf numFmtId="9" fontId="14" fillId="0" borderId="0" xfId="17" applyNumberFormat="1" applyFont="1"/>
    <xf numFmtId="37" fontId="32" fillId="0" borderId="0" xfId="17" applyNumberFormat="1" applyFont="1"/>
    <xf numFmtId="3" fontId="17" fillId="2" borderId="35" xfId="17" applyNumberFormat="1" applyFont="1" applyFill="1" applyBorder="1" applyAlignment="1">
      <alignment horizontal="center"/>
    </xf>
    <xf numFmtId="168" fontId="15" fillId="0" borderId="70" xfId="17" applyNumberFormat="1" applyFont="1" applyBorder="1"/>
    <xf numFmtId="1" fontId="17" fillId="0" borderId="0" xfId="17" applyNumberFormat="1" applyFont="1"/>
    <xf numFmtId="43" fontId="17" fillId="0" borderId="71" xfId="17" applyNumberFormat="1" applyFont="1" applyBorder="1"/>
    <xf numFmtId="39" fontId="15" fillId="0" borderId="70" xfId="17" applyNumberFormat="1" applyFont="1" applyBorder="1"/>
    <xf numFmtId="172" fontId="10" fillId="0" borderId="0" xfId="17" applyNumberFormat="1" applyFont="1" applyAlignment="1">
      <alignment horizontal="right"/>
    </xf>
    <xf numFmtId="10" fontId="37" fillId="0" borderId="0" xfId="17" applyNumberFormat="1"/>
    <xf numFmtId="43" fontId="10" fillId="0" borderId="0" xfId="25" applyFont="1"/>
    <xf numFmtId="17" fontId="10" fillId="0" borderId="0" xfId="17" applyNumberFormat="1" applyFont="1" applyAlignment="1">
      <alignment horizontal="right"/>
    </xf>
    <xf numFmtId="164" fontId="10" fillId="0" borderId="0" xfId="17" applyNumberFormat="1" applyFont="1"/>
    <xf numFmtId="9" fontId="10" fillId="0" borderId="0" xfId="24" applyFont="1"/>
    <xf numFmtId="0" fontId="22" fillId="7" borderId="95" xfId="0" applyFont="1" applyFill="1" applyBorder="1" applyAlignment="1">
      <alignment horizontal="center" vertical="center"/>
    </xf>
    <xf numFmtId="0" fontId="22" fillId="8" borderId="95" xfId="0" applyFont="1" applyFill="1" applyBorder="1" applyAlignment="1">
      <alignment horizontal="center" vertical="center"/>
    </xf>
    <xf numFmtId="0" fontId="22" fillId="6" borderId="95" xfId="0" applyFont="1" applyFill="1" applyBorder="1" applyAlignment="1">
      <alignment horizontal="center" vertical="center"/>
    </xf>
    <xf numFmtId="0" fontId="22" fillId="5" borderId="95" xfId="0" applyFont="1" applyFill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8" fillId="0" borderId="63" xfId="0" applyFont="1" applyBorder="1"/>
    <xf numFmtId="0" fontId="18" fillId="0" borderId="66" xfId="0" applyFont="1" applyBorder="1"/>
    <xf numFmtId="0" fontId="17" fillId="0" borderId="2" xfId="0" applyFont="1" applyBorder="1" applyAlignment="1">
      <alignment horizontal="center"/>
    </xf>
    <xf numFmtId="0" fontId="18" fillId="0" borderId="2" xfId="0" applyFont="1" applyBorder="1"/>
    <xf numFmtId="0" fontId="18" fillId="0" borderId="3" xfId="0" applyFont="1" applyBorder="1"/>
    <xf numFmtId="0" fontId="17" fillId="0" borderId="4" xfId="0" applyFont="1" applyBorder="1" applyAlignment="1">
      <alignment horizontal="center"/>
    </xf>
    <xf numFmtId="0" fontId="18" fillId="0" borderId="5" xfId="0" applyFont="1" applyBorder="1"/>
    <xf numFmtId="0" fontId="17" fillId="0" borderId="63" xfId="0" applyFont="1" applyBorder="1" applyAlignment="1">
      <alignment horizontal="center" vertical="center"/>
    </xf>
    <xf numFmtId="0" fontId="18" fillId="0" borderId="64" xfId="0" applyFont="1" applyBorder="1"/>
    <xf numFmtId="0" fontId="17" fillId="0" borderId="1" xfId="0" applyFont="1" applyBorder="1" applyAlignment="1">
      <alignment horizontal="center"/>
    </xf>
    <xf numFmtId="0" fontId="17" fillId="0" borderId="112" xfId="0" applyFont="1" applyBorder="1" applyAlignment="1">
      <alignment horizontal="center"/>
    </xf>
    <xf numFmtId="0" fontId="17" fillId="0" borderId="113" xfId="0" applyFont="1" applyBorder="1" applyAlignment="1">
      <alignment horizontal="center"/>
    </xf>
    <xf numFmtId="0" fontId="12" fillId="0" borderId="101" xfId="17" applyFont="1" applyBorder="1" applyAlignment="1">
      <alignment horizontal="center" vertical="center"/>
    </xf>
    <xf numFmtId="0" fontId="13" fillId="0" borderId="101" xfId="17" applyFont="1" applyBorder="1"/>
    <xf numFmtId="0" fontId="13" fillId="0" borderId="130" xfId="17" applyFont="1" applyBorder="1"/>
    <xf numFmtId="0" fontId="12" fillId="0" borderId="131" xfId="17" applyFont="1" applyBorder="1" applyAlignment="1">
      <alignment horizontal="center" vertical="center"/>
    </xf>
    <xf numFmtId="0" fontId="13" fillId="0" borderId="102" xfId="17" applyFont="1" applyBorder="1"/>
    <xf numFmtId="0" fontId="12" fillId="0" borderId="127" xfId="17" applyFont="1" applyBorder="1" applyAlignment="1">
      <alignment horizontal="center"/>
    </xf>
    <xf numFmtId="0" fontId="13" fillId="0" borderId="127" xfId="17" applyFont="1" applyBorder="1"/>
    <xf numFmtId="0" fontId="13" fillId="0" borderId="50" xfId="17" applyFont="1" applyBorder="1"/>
    <xf numFmtId="0" fontId="12" fillId="0" borderId="49" xfId="17" applyFont="1" applyBorder="1" applyAlignment="1">
      <alignment horizontal="center"/>
    </xf>
  </cellXfs>
  <cellStyles count="26">
    <cellStyle name="Comma 2" xfId="19" xr:uid="{2FDBCE47-4B20-4737-86AE-34257C6F40FA}"/>
    <cellStyle name="Milliers" xfId="1" builtinId="3"/>
    <cellStyle name="Milliers 2" xfId="7" xr:uid="{00000000-0005-0000-0000-000001000000}"/>
    <cellStyle name="Milliers 3" xfId="13" xr:uid="{2971D271-07C3-42EA-AF54-CA19A237EB8E}"/>
    <cellStyle name="Milliers 4" xfId="21" xr:uid="{5B2C26D2-7768-4385-B7FD-FFDD39A163D2}"/>
    <cellStyle name="Milliers 5" xfId="23" xr:uid="{C831CD9E-13B9-4152-A22D-37DBC65D228E}"/>
    <cellStyle name="Milliers 6" xfId="25" xr:uid="{9EE1D211-3C30-4AEF-8139-508DB395B2E3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72471CAB-9B8A-47AC-B215-647C63FBCBF8}"/>
    <cellStyle name="Percent 2" xfId="18" xr:uid="{41CC2E25-7C72-4E1E-B6BE-7A8AD4AFD977}"/>
    <cellStyle name="Pourcentage" xfId="2" builtinId="5"/>
    <cellStyle name="Pourcentage 2" xfId="8" xr:uid="{00000000-0005-0000-0000-000009000000}"/>
    <cellStyle name="Pourcentage 3" xfId="15" xr:uid="{B09CCB1C-0232-46FA-AAFA-AA26EA7AA4F5}"/>
    <cellStyle name="Pourcentage 4" xfId="20" xr:uid="{B440DACC-A14B-474F-8FDE-17DE450841D6}"/>
    <cellStyle name="Pourcentage 5" xfId="22" xr:uid="{BCEB7096-13DC-4AD2-B0FD-6F21CA50CCD5}"/>
    <cellStyle name="Pourcentage 6" xfId="24" xr:uid="{26A909FF-9538-46F1-BBF5-E6DC65F9CB4F}"/>
  </cellStyles>
  <dxfs count="286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baseColWidth="10" defaultColWidth="11.25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861" t="s">
        <v>205</v>
      </c>
      <c r="C6" s="861"/>
      <c r="D6" s="861"/>
      <c r="E6" s="861"/>
      <c r="F6" s="862" t="s">
        <v>206</v>
      </c>
      <c r="G6" s="862"/>
      <c r="H6" s="862"/>
      <c r="I6" s="862"/>
      <c r="J6" s="863" t="s">
        <v>207</v>
      </c>
      <c r="K6" s="863"/>
      <c r="L6" s="863"/>
      <c r="M6" s="863"/>
      <c r="N6" s="864" t="s">
        <v>208</v>
      </c>
      <c r="O6" s="864"/>
      <c r="P6" s="864"/>
      <c r="Q6" s="864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18083868.380977977</v>
      </c>
      <c r="C9" s="133">
        <f>+Conso!$Z$406</f>
        <v>2262964.711501942</v>
      </c>
      <c r="D9" s="133">
        <f>+Conso!$Z$482</f>
        <v>548567.16146591958</v>
      </c>
      <c r="E9" s="133">
        <f>+Conso!$Z$497</f>
        <v>423860.66146591958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14843580.84</v>
      </c>
      <c r="K9" s="133">
        <f>+Conso!$AF$406</f>
        <v>2095633.7800000003</v>
      </c>
      <c r="L9" s="133">
        <f>+Conso!$AF$482</f>
        <v>482154.45000000042</v>
      </c>
      <c r="M9" s="133">
        <f>+Conso!$AF$497</f>
        <v>357447.45000000042</v>
      </c>
      <c r="N9" s="133">
        <f>+Conso!$AL$405</f>
        <v>16428061.569999982</v>
      </c>
      <c r="O9" s="133">
        <f>+Conso!$AL$406</f>
        <v>1897181.0399999984</v>
      </c>
      <c r="P9" s="133">
        <f>+Conso!$AL$482</f>
        <v>366005.67999999854</v>
      </c>
      <c r="Q9" s="133">
        <f>+Conso!$AL$497</f>
        <v>361195.18999999855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2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E89" zoomScale="70" zoomScaleNormal="70" workbookViewId="0">
      <selection activeCell="V110" sqref="V110"/>
    </sheetView>
  </sheetViews>
  <sheetFormatPr baseColWidth="10" defaultColWidth="12.625" defaultRowHeight="15" customHeight="1"/>
  <cols>
    <col min="1" max="1" width="24.125" style="23" hidden="1" customWidth="1"/>
    <col min="2" max="2" width="21.625" style="23" hidden="1" customWidth="1"/>
    <col min="3" max="3" width="34.625" style="23" customWidth="1"/>
    <col min="4" max="4" width="16.375" style="23" customWidth="1"/>
    <col min="5" max="5" width="15.625" style="23" customWidth="1"/>
    <col min="6" max="6" width="16.875" style="23" customWidth="1"/>
    <col min="7" max="7" width="17.75" style="23" hidden="1" customWidth="1"/>
    <col min="8" max="8" width="15.625" style="23" hidden="1" customWidth="1"/>
    <col min="9" max="9" width="15.875" style="23" hidden="1" customWidth="1"/>
    <col min="10" max="10" width="16.75" style="23" customWidth="1"/>
    <col min="11" max="11" width="14.5" style="23" customWidth="1"/>
    <col min="12" max="12" width="15.875" style="23" customWidth="1"/>
    <col min="13" max="13" width="12" style="23" customWidth="1"/>
    <col min="14" max="14" width="18.625" style="23" customWidth="1"/>
    <col min="15" max="15" width="16.375" style="23" customWidth="1"/>
    <col min="16" max="16" width="15.625" style="23" customWidth="1"/>
    <col min="17" max="17" width="16.375" style="23" customWidth="1"/>
    <col min="18" max="19" width="18.75" style="23" customWidth="1"/>
    <col min="20" max="20" width="3" style="23" customWidth="1"/>
    <col min="21" max="21" width="4" style="23" customWidth="1"/>
    <col min="22" max="22" width="29.875" style="23" customWidth="1"/>
    <col min="23" max="23" width="12.875" style="23" customWidth="1"/>
    <col min="24" max="24" width="13.375" style="23" customWidth="1"/>
    <col min="25" max="25" width="10.5" style="23" customWidth="1"/>
    <col min="26" max="26" width="17.375" style="23" customWidth="1"/>
    <col min="27" max="27" width="10.875" style="23" hidden="1" customWidth="1"/>
    <col min="28" max="28" width="10" style="23" hidden="1" customWidth="1"/>
    <col min="29" max="29" width="17.5" style="23" hidden="1" customWidth="1"/>
    <col min="30" max="30" width="16.375" style="23" customWidth="1"/>
    <col min="31" max="31" width="12" style="23" customWidth="1"/>
    <col min="32" max="32" width="18.875" style="23" customWidth="1"/>
    <col min="33" max="33" width="10.875" style="23" customWidth="1"/>
    <col min="34" max="34" width="16.25" style="23" customWidth="1"/>
    <col min="35" max="35" width="12.375" style="23" customWidth="1"/>
    <col min="36" max="36" width="10.875" style="23" customWidth="1"/>
    <col min="37" max="37" width="10" style="23" customWidth="1"/>
    <col min="38" max="38" width="17.5" style="23" customWidth="1"/>
    <col min="39" max="39" width="10.875" style="23" customWidth="1"/>
    <col min="40" max="40" width="16" style="23" customWidth="1"/>
    <col min="41" max="41" width="12.375" style="23" customWidth="1"/>
    <col min="42" max="42" width="11" style="23" customWidth="1"/>
    <col min="43" max="43" width="24" style="23" customWidth="1"/>
    <col min="44" max="62" width="11" style="23" customWidth="1"/>
    <col min="63" max="16384" width="12.625" style="23"/>
  </cols>
  <sheetData>
    <row r="1" spans="1:40" ht="18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.75" thickTop="1">
      <c r="B3" s="184"/>
      <c r="C3" s="185"/>
      <c r="D3" s="868" t="s">
        <v>5</v>
      </c>
      <c r="E3" s="869"/>
      <c r="F3" s="870"/>
      <c r="G3" s="871" t="s">
        <v>6</v>
      </c>
      <c r="H3" s="869"/>
      <c r="I3" s="870"/>
      <c r="J3" s="871" t="s">
        <v>7</v>
      </c>
      <c r="K3" s="869"/>
      <c r="L3" s="870"/>
      <c r="M3" s="871" t="s">
        <v>9</v>
      </c>
      <c r="N3" s="870"/>
      <c r="O3" s="868" t="s">
        <v>8</v>
      </c>
      <c r="P3" s="869"/>
      <c r="Q3" s="870"/>
      <c r="R3" s="871" t="s">
        <v>217</v>
      </c>
      <c r="S3" s="872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8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8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10167352.836002938</v>
      </c>
      <c r="G5" s="153"/>
      <c r="H5" s="192"/>
      <c r="I5" s="193">
        <f>+SUM(START:END!I5)</f>
        <v>0</v>
      </c>
      <c r="J5" s="153"/>
      <c r="K5" s="194"/>
      <c r="L5" s="193">
        <f>+SUM(START:END!L5)</f>
        <v>8306066.7200000007</v>
      </c>
      <c r="M5" s="195"/>
      <c r="N5" s="196"/>
      <c r="O5" s="153"/>
      <c r="P5" s="194"/>
      <c r="Q5" s="193">
        <f>+SUM(START:END!Q5)</f>
        <v>9890070.0399999898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8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50</v>
      </c>
      <c r="E6" s="198">
        <f>IF(D6=0,0,F6/D6)</f>
        <v>1953.6491683802794</v>
      </c>
      <c r="F6" s="198">
        <f>+SUM(START:END!F6)</f>
        <v>97682.458419013972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46</v>
      </c>
      <c r="K6" s="198">
        <f>IF(J6=0,0,L6/J6)</f>
        <v>2161.2191304347866</v>
      </c>
      <c r="L6" s="200">
        <f>+SUM(START:END!L6)</f>
        <v>99416.080000000191</v>
      </c>
      <c r="M6" s="199">
        <f>J6-D6</f>
        <v>-4</v>
      </c>
      <c r="N6" s="201">
        <f>L6-F6</f>
        <v>1733.6215809862188</v>
      </c>
      <c r="O6" s="199">
        <f>+SUM(START:END!O6)</f>
        <v>51</v>
      </c>
      <c r="P6" s="198">
        <f>IF(O6=0,0,Q6/O6)</f>
        <v>1956.1580392156802</v>
      </c>
      <c r="Q6" s="200">
        <f>+SUM(START:END!Q6)</f>
        <v>99764.059999999692</v>
      </c>
      <c r="R6" s="199">
        <f t="shared" ref="R6:R12" si="2">J6-O6</f>
        <v>-5</v>
      </c>
      <c r="S6" s="202">
        <f t="shared" ref="S6:S12" si="3">L6-Q6</f>
        <v>-347.97999999950116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8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135</v>
      </c>
      <c r="E7" s="198">
        <f t="shared" ref="E7:E12" si="4">IF(D7=0,0,F7/D7)</f>
        <v>2435.9046775963693</v>
      </c>
      <c r="F7" s="198">
        <f>+SUM(START:END!F7)</f>
        <v>328847.13147550984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103</v>
      </c>
      <c r="K7" s="198">
        <f t="shared" ref="K7:K12" si="6">IF(J7=0,0,L7/J7)</f>
        <v>2274.8769902912659</v>
      </c>
      <c r="L7" s="200">
        <f>+SUM(START:END!L7)</f>
        <v>234312.33000000037</v>
      </c>
      <c r="M7" s="199">
        <f t="shared" ref="M7:M9" si="7">J7-D7</f>
        <v>-32</v>
      </c>
      <c r="N7" s="201">
        <f t="shared" ref="N7:N9" si="8">L7-F7</f>
        <v>-94534.801475509477</v>
      </c>
      <c r="O7" s="199">
        <f>+SUM(START:END!O7)</f>
        <v>127</v>
      </c>
      <c r="P7" s="198">
        <f t="shared" ref="P7:P12" si="9">IF(O7=0,0,Q7/O7)</f>
        <v>2623.2422834645654</v>
      </c>
      <c r="Q7" s="200">
        <f>+SUM(START:END!Q7)</f>
        <v>333151.76999999979</v>
      </c>
      <c r="R7" s="199">
        <f t="shared" si="2"/>
        <v>-24</v>
      </c>
      <c r="S7" s="202">
        <f t="shared" si="3"/>
        <v>-98839.43999999942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8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8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8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8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8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8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185</v>
      </c>
      <c r="E13" s="204">
        <f>IF(D13&lt;=0,0,F13/D13)</f>
        <v>2305.5653507812099</v>
      </c>
      <c r="F13" s="205">
        <f>+SUM(F6:F12)</f>
        <v>426529.58989452384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149</v>
      </c>
      <c r="K13" s="204">
        <f>IF(J13&lt;=0,0,L13/J13)</f>
        <v>2239.7879865771852</v>
      </c>
      <c r="L13" s="205">
        <f>+SUM(L6:L12)</f>
        <v>333728.41000000056</v>
      </c>
      <c r="M13" s="206">
        <f>+SUM(M6:M12)</f>
        <v>-36</v>
      </c>
      <c r="N13" s="205">
        <f>+SUM(N6:N12)</f>
        <v>-92801.179894523259</v>
      </c>
      <c r="O13" s="206">
        <f>+SUM(O6:O12)</f>
        <v>178</v>
      </c>
      <c r="P13" s="204">
        <f>IF(O13&lt;=0,0,Q13/O13)</f>
        <v>2432.1114044943793</v>
      </c>
      <c r="Q13" s="205">
        <f>+SUM(Q6:Q12)</f>
        <v>432915.82999999949</v>
      </c>
      <c r="R13" s="206">
        <f>+SUM(R6:R12)</f>
        <v>-29</v>
      </c>
      <c r="S13" s="207">
        <f>+SUM(S6:S12)</f>
        <v>-99187.419999998921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8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-0.21757266574980644</v>
      </c>
      <c r="O14" s="152"/>
      <c r="P14" s="198"/>
      <c r="Q14" s="208"/>
      <c r="R14" s="170">
        <f>R13/O13</f>
        <v>-0.16292134831460675</v>
      </c>
      <c r="S14" s="209">
        <f>IF(Q13=0,0,(S13/Q13))</f>
        <v>-0.22911479120548453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8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9</v>
      </c>
      <c r="E15" s="194">
        <f t="shared" ref="E15" si="12">IF(D15=0,0,F15/D15)</f>
        <v>1534.7521433415677</v>
      </c>
      <c r="F15" s="193">
        <f>+SUM(START:END!F15)</f>
        <v>13812.769290074109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13</v>
      </c>
      <c r="K15" s="215">
        <f>IF(J15=0,0,L15/J15)</f>
        <v>1451.6415384615398</v>
      </c>
      <c r="L15" s="215">
        <f>+SUM(START:END!L15)</f>
        <v>18871.340000000018</v>
      </c>
      <c r="M15" s="216">
        <f>J15-D15</f>
        <v>4</v>
      </c>
      <c r="N15" s="213">
        <f>L15-F15</f>
        <v>5058.5707099259089</v>
      </c>
      <c r="O15" s="214">
        <f>+SUM(START:END!O15)</f>
        <v>9</v>
      </c>
      <c r="P15" s="215">
        <f>IF(O15=0,0,Q15/O15)</f>
        <v>1653.9344444444444</v>
      </c>
      <c r="Q15" s="215">
        <f>+SUM(START:END!Q15)</f>
        <v>14885.41</v>
      </c>
      <c r="R15" s="216">
        <f>J15-O15</f>
        <v>4</v>
      </c>
      <c r="S15" s="217">
        <f>L15-Q15</f>
        <v>3985.9300000000185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8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8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6</v>
      </c>
      <c r="E17" s="198">
        <f t="shared" ref="E17" si="14">IF(D17=0,0,F17/D17)</f>
        <v>2393.8521192147828</v>
      </c>
      <c r="F17" s="198">
        <f>+SUM(START:END!F17)</f>
        <v>14363.112715288697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0</v>
      </c>
      <c r="K17" s="198">
        <f>IF(J17=0,0,L17/J17)</f>
        <v>0</v>
      </c>
      <c r="L17" s="201">
        <f>+SUM(START:END!L17)</f>
        <v>0</v>
      </c>
      <c r="M17" s="216">
        <f>J17-D17</f>
        <v>-6</v>
      </c>
      <c r="N17" s="201">
        <f>L17-F17</f>
        <v>-14363.112715288697</v>
      </c>
      <c r="O17" s="216">
        <f>+SUM(START:END!O17)</f>
        <v>0</v>
      </c>
      <c r="P17" s="198">
        <f>IF(O17=0,0,Q17/O17)</f>
        <v>0</v>
      </c>
      <c r="Q17" s="201">
        <f>+SUM(START:END!Q17)</f>
        <v>0</v>
      </c>
      <c r="R17" s="199">
        <f>J17-O17</f>
        <v>0</v>
      </c>
      <c r="S17" s="202">
        <f>L17-Q17</f>
        <v>0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8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8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20570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23810.209999999992</v>
      </c>
      <c r="M19" s="199"/>
      <c r="N19" s="201">
        <f>L19-F19</f>
        <v>3240.2099999999919</v>
      </c>
      <c r="O19" s="211"/>
      <c r="P19" s="198"/>
      <c r="Q19" s="201">
        <f>+SUM(START:END!Q19)</f>
        <v>22060.369999999988</v>
      </c>
      <c r="R19" s="199">
        <f>O19-K19</f>
        <v>0</v>
      </c>
      <c r="S19" s="202">
        <f>L19-Q19</f>
        <v>1749.8400000000038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8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9700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8.1129012345679001</v>
      </c>
      <c r="L21" s="201">
        <f>+SUM(START:END!L21)</f>
        <v>1314.29</v>
      </c>
      <c r="M21" s="199"/>
      <c r="N21" s="201">
        <f t="shared" ref="N21:N23" si="18">L21-F21</f>
        <v>-8385.7099999999991</v>
      </c>
      <c r="O21" s="199"/>
      <c r="P21" s="198">
        <f>IF(O13=0,0,Q21/(O13+O15))</f>
        <v>4.2780748663101607</v>
      </c>
      <c r="Q21" s="201">
        <f>+SUM(START:END!Q21)</f>
        <v>800</v>
      </c>
      <c r="R21" s="199">
        <f t="shared" ref="R21:R23" si="19">O21-K21</f>
        <v>-8.1129012345679001</v>
      </c>
      <c r="S21" s="202">
        <f t="shared" ref="S21:S24" si="20">L21-Q21</f>
        <v>514.29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180420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1014.0911728395063</v>
      </c>
      <c r="L22" s="201">
        <f>+SUM(START:END!L22)</f>
        <v>164282.77000000002</v>
      </c>
      <c r="M22" s="199"/>
      <c r="N22" s="201">
        <f t="shared" si="18"/>
        <v>-16137.229999999981</v>
      </c>
      <c r="O22" s="199"/>
      <c r="P22" s="198">
        <f>IF(O13=0,0,Q22/(O13+O15))</f>
        <v>777.99171122994653</v>
      </c>
      <c r="Q22" s="201">
        <f>+SUM(START:END!Q22)</f>
        <v>145484.45000000001</v>
      </c>
      <c r="R22" s="199">
        <f t="shared" si="19"/>
        <v>-1014.0911728395063</v>
      </c>
      <c r="S22" s="202">
        <f t="shared" si="20"/>
        <v>18798.320000000007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3880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1.6458641975308641</v>
      </c>
      <c r="L23" s="201">
        <f>+SUM(START:END!L23)</f>
        <v>266.63</v>
      </c>
      <c r="M23" s="216"/>
      <c r="N23" s="201">
        <f t="shared" si="18"/>
        <v>-3613.37</v>
      </c>
      <c r="O23" s="199"/>
      <c r="P23" s="198">
        <f>IF(O13=0,0,Q23/(O13+O15))</f>
        <v>21.696417112299464</v>
      </c>
      <c r="Q23" s="201">
        <f>+SUM(START:END!Q23)</f>
        <v>4057.23</v>
      </c>
      <c r="R23" s="199">
        <f t="shared" si="19"/>
        <v>-1.6458641975308641</v>
      </c>
      <c r="S23" s="202">
        <f t="shared" si="20"/>
        <v>-3790.6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194</v>
      </c>
      <c r="E24" s="204">
        <f>IF(D24&lt;=0,0,F24/D24)</f>
        <v>1000</v>
      </c>
      <c r="F24" s="205">
        <f>F21+F22+F23</f>
        <v>194000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162</v>
      </c>
      <c r="K24" s="204">
        <f>IF(J24&lt;=0,0,L24/J24)</f>
        <v>1023.8499382716051</v>
      </c>
      <c r="L24" s="205">
        <f>L21+L22+L23</f>
        <v>165863.69000000003</v>
      </c>
      <c r="M24" s="206">
        <f>+M15+M13</f>
        <v>-32</v>
      </c>
      <c r="N24" s="205">
        <f>N21+N22+N23</f>
        <v>-28136.309999999979</v>
      </c>
      <c r="O24" s="206">
        <f>+O15+O13</f>
        <v>187</v>
      </c>
      <c r="P24" s="204">
        <f>IF(O24&lt;=0,0,Q24/O24)</f>
        <v>803.96620320855629</v>
      </c>
      <c r="Q24" s="205">
        <f>Q21+Q22+Q23</f>
        <v>150341.68000000002</v>
      </c>
      <c r="R24" s="220"/>
      <c r="S24" s="207">
        <f t="shared" si="20"/>
        <v>15522.010000000009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0.10324488857647465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200</v>
      </c>
      <c r="E27" s="227">
        <f>IF(D27&lt;=0,0,F27/D27)</f>
        <v>3346.3773594994336</v>
      </c>
      <c r="F27" s="228">
        <f>F13+F17+F24+F19+F15</f>
        <v>669275.47189988673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162</v>
      </c>
      <c r="K27" s="230">
        <f>IF(J27&lt;=0,0,L27/J27)</f>
        <v>3347.3682098765462</v>
      </c>
      <c r="L27" s="228">
        <f>L13+L17+L24+L19+L15</f>
        <v>542273.65000000049</v>
      </c>
      <c r="M27" s="229">
        <f>+M13+M15+M17</f>
        <v>-38</v>
      </c>
      <c r="N27" s="228">
        <f>N13+N17+N24+N19+N15</f>
        <v>-127001.82189988604</v>
      </c>
      <c r="O27" s="229">
        <f>+O13+O15+O17</f>
        <v>187</v>
      </c>
      <c r="P27" s="230">
        <f>IF(O27&lt;=0,0,Q27/O27)</f>
        <v>3316.5951336898374</v>
      </c>
      <c r="Q27" s="228">
        <f>Q13+Q17+Q24+Q19+Q15</f>
        <v>620203.28999999957</v>
      </c>
      <c r="R27" s="229">
        <f>J27-O27</f>
        <v>-25</v>
      </c>
      <c r="S27" s="231">
        <f>L27-Q27</f>
        <v>-77929.639999999083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-0.19</v>
      </c>
      <c r="N28" s="166">
        <f>N27/F27</f>
        <v>-0.18976016189471762</v>
      </c>
      <c r="O28" s="235"/>
      <c r="P28" s="233"/>
      <c r="Q28" s="234"/>
      <c r="R28" s="236">
        <f>R27/O27</f>
        <v>-0.13368983957219252</v>
      </c>
      <c r="S28" s="237">
        <f>IF(Q27=0,0,S27/Q27)</f>
        <v>-0.12565176814847134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755.06948988316867</v>
      </c>
      <c r="F31" s="198">
        <f>+SUM(START:END!F31)</f>
        <v>146483.48103733471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0.3475219265869508</v>
      </c>
      <c r="K31" s="26">
        <f t="shared" ref="K31:K40" si="23">IF(L31=0,0,L31/J$24)</f>
        <v>715.91320987654319</v>
      </c>
      <c r="L31" s="198">
        <f>+SUM(START:END!L31)</f>
        <v>115977.94</v>
      </c>
      <c r="M31" s="152"/>
      <c r="N31" s="222">
        <f t="shared" ref="N31:N37" si="24">L31-F31</f>
        <v>-30505.541037334711</v>
      </c>
      <c r="O31" s="152"/>
      <c r="P31" s="26">
        <f t="shared" ref="P31:P40" si="25">IF(Q31=0,0,Q31/O$24)</f>
        <v>584.55818181818188</v>
      </c>
      <c r="Q31" s="201">
        <f>+SUM(START:END!Q31)</f>
        <v>109312.38</v>
      </c>
      <c r="R31" s="152"/>
      <c r="S31" s="242">
        <f t="shared" ref="S31:S41" si="26">L31-Q31</f>
        <v>6665.5599999999977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280</v>
      </c>
      <c r="F32" s="193">
        <f>+SUM(START:END!F32)</f>
        <v>54320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0.26720592071718646</v>
      </c>
      <c r="K32" s="10">
        <f t="shared" si="23"/>
        <v>273.57876543209881</v>
      </c>
      <c r="L32" s="193">
        <f>+SUM(START:END!L32)</f>
        <v>44319.76</v>
      </c>
      <c r="M32" s="153"/>
      <c r="N32" s="247">
        <f t="shared" si="24"/>
        <v>-10000.239999999998</v>
      </c>
      <c r="O32" s="153"/>
      <c r="P32" s="10">
        <f t="shared" si="25"/>
        <v>186.83203208556151</v>
      </c>
      <c r="Q32" s="193">
        <f>+SUM(START:END!Q32)</f>
        <v>34937.590000000004</v>
      </c>
      <c r="R32" s="153"/>
      <c r="S32" s="248">
        <f t="shared" si="26"/>
        <v>9382.1699999999983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115</v>
      </c>
      <c r="F33" s="198">
        <f>+SUM(START:END!F33)</f>
        <v>22310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140.65592592592594</v>
      </c>
      <c r="L33" s="198">
        <f>+SUM(START:END!L33)</f>
        <v>22786.260000000002</v>
      </c>
      <c r="M33" s="152"/>
      <c r="N33" s="222">
        <f t="shared" si="24"/>
        <v>476.26000000000204</v>
      </c>
      <c r="O33" s="152"/>
      <c r="P33" s="26">
        <f t="shared" si="25"/>
        <v>108.7468449197861</v>
      </c>
      <c r="Q33" s="201">
        <f>+SUM(START:END!Q33)</f>
        <v>20335.66</v>
      </c>
      <c r="R33" s="152"/>
      <c r="S33" s="242">
        <f t="shared" si="26"/>
        <v>2450.6000000000022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10</v>
      </c>
      <c r="F34" s="198">
        <f>+SUM(START:END!F34)</f>
        <v>1940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3.7731481481481484</v>
      </c>
      <c r="L34" s="198">
        <f>+SUM(START:END!L34)</f>
        <v>611.25</v>
      </c>
      <c r="M34" s="152"/>
      <c r="N34" s="222">
        <f t="shared" si="24"/>
        <v>-1328.75</v>
      </c>
      <c r="O34" s="152"/>
      <c r="P34" s="26">
        <f t="shared" si="25"/>
        <v>6.8069518716577546</v>
      </c>
      <c r="Q34" s="201">
        <f>+SUM(START:END!Q34)</f>
        <v>1272.9000000000001</v>
      </c>
      <c r="R34" s="152"/>
      <c r="S34" s="242">
        <f t="shared" si="26"/>
        <v>-661.65000000000009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120.75</v>
      </c>
      <c r="F35" s="193">
        <f>+SUM(START:END!F35)</f>
        <v>23425.5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156.02104938271606</v>
      </c>
      <c r="L35" s="193">
        <f>+SUM(START:END!L35)</f>
        <v>25275.41</v>
      </c>
      <c r="M35" s="153"/>
      <c r="N35" s="247">
        <f t="shared" si="24"/>
        <v>1849.9099999999999</v>
      </c>
      <c r="O35" s="153"/>
      <c r="P35" s="10">
        <f t="shared" si="25"/>
        <v>156.67278074866311</v>
      </c>
      <c r="Q35" s="201">
        <f>+SUM(START:END!Q35)</f>
        <v>29297.810000000005</v>
      </c>
      <c r="R35" s="153"/>
      <c r="S35" s="248">
        <f t="shared" si="26"/>
        <v>-4022.4000000000051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77.24742268041237</v>
      </c>
      <c r="F36" s="198">
        <f>+SUM(START:END!F36)</f>
        <v>14986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179.76197530864198</v>
      </c>
      <c r="L36" s="249">
        <f>+SUM(START:END!L36)</f>
        <v>29121.440000000002</v>
      </c>
      <c r="N36" s="222">
        <f t="shared" si="24"/>
        <v>14135.440000000002</v>
      </c>
      <c r="O36" s="152"/>
      <c r="P36" s="26">
        <f t="shared" si="25"/>
        <v>173.37181818181759</v>
      </c>
      <c r="Q36" s="219">
        <f>+SUM(START:END!Q36)</f>
        <v>32420.52999999989</v>
      </c>
      <c r="R36" s="152"/>
      <c r="S36" s="242">
        <f t="shared" si="26"/>
        <v>-3299.0899999998874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579.73541575646425</v>
      </c>
      <c r="F37" s="198">
        <f>+SUM(START:END!F37)</f>
        <v>112468.67065675407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130.63018518518518</v>
      </c>
      <c r="L37" s="202">
        <f>+SUM(START:END!L37)</f>
        <v>21162.09</v>
      </c>
      <c r="N37" s="222">
        <f t="shared" si="24"/>
        <v>-91306.580656754071</v>
      </c>
      <c r="O37" s="152"/>
      <c r="P37" s="26">
        <f t="shared" si="25"/>
        <v>654.65048128342244</v>
      </c>
      <c r="Q37" s="201">
        <f>+SUM(START:END!Q37)</f>
        <v>122419.64</v>
      </c>
      <c r="R37" s="152"/>
      <c r="S37" s="242">
        <f t="shared" si="26"/>
        <v>-101257.55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0.56170241922495345</v>
      </c>
      <c r="F41" s="251">
        <f>SUM(F31:F40)</f>
        <v>375933.65169408877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0.4780873088707146</v>
      </c>
      <c r="L41" s="251">
        <f>SUM(L31:L40)</f>
        <v>259254.15000000002</v>
      </c>
      <c r="M41" s="253"/>
      <c r="N41" s="251">
        <f>SUM(N31:N40)</f>
        <v>-116679.50169408877</v>
      </c>
      <c r="O41" s="252" t="s">
        <v>39</v>
      </c>
      <c r="P41" s="42">
        <f>Q41/Q$27</f>
        <v>0.56432546496165814</v>
      </c>
      <c r="Q41" s="46">
        <f>SUM(Q31:Q40)</f>
        <v>349996.50999999989</v>
      </c>
      <c r="R41" s="254"/>
      <c r="S41" s="255">
        <f t="shared" si="26"/>
        <v>-90742.35999999987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77393.512500000012</v>
      </c>
      <c r="G42" s="152"/>
      <c r="I42" s="198">
        <f>+SUM(START:END!I42)</f>
        <v>0</v>
      </c>
      <c r="J42" s="152"/>
      <c r="L42" s="201">
        <f>+SUM(START:END!L42)</f>
        <v>58984.08</v>
      </c>
      <c r="M42" s="152"/>
      <c r="N42" s="222">
        <f t="shared" ref="N42:N52" si="28">L42-F42</f>
        <v>-18409.43250000001</v>
      </c>
      <c r="O42" s="152"/>
      <c r="Q42" s="201">
        <f>+SUM(START:END!Q42)</f>
        <v>37570.229999999996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44976.212000000007</v>
      </c>
      <c r="G43" s="240"/>
      <c r="I43" s="193">
        <f>+SUM(START:END!I43)</f>
        <v>0</v>
      </c>
      <c r="J43" s="152"/>
      <c r="L43" s="201">
        <f>+SUM(START:END!L43)</f>
        <v>39966.639999999999</v>
      </c>
      <c r="M43" s="152"/>
      <c r="N43" s="222">
        <f t="shared" si="28"/>
        <v>-5009.5720000000074</v>
      </c>
      <c r="O43" s="152"/>
      <c r="Q43" s="201">
        <f>+SUM(START:END!Q43)</f>
        <v>29871.64</v>
      </c>
      <c r="R43" s="152"/>
      <c r="S43" s="242">
        <f t="shared" ref="S43:S53" si="29">L43-Q43</f>
        <v>10095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1025.5500000000002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5931.85</v>
      </c>
      <c r="M44" s="154"/>
      <c r="N44" s="258">
        <f t="shared" si="28"/>
        <v>4906.3</v>
      </c>
      <c r="O44" s="154"/>
      <c r="P44" s="53"/>
      <c r="Q44" s="257">
        <f>+SUM(START:END!Q44)</f>
        <v>11085.06</v>
      </c>
      <c r="R44" s="154"/>
      <c r="S44" s="259">
        <f t="shared" si="29"/>
        <v>-5153.2099999999991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39775.272187648501</v>
      </c>
      <c r="G49" s="240"/>
      <c r="I49" s="193">
        <f>+SUM(START:END!I49)</f>
        <v>0</v>
      </c>
      <c r="J49" s="152"/>
      <c r="L49" s="193">
        <f>+SUM(START:END!L49)</f>
        <v>38058.07</v>
      </c>
      <c r="M49" s="152"/>
      <c r="N49" s="222">
        <f t="shared" si="28"/>
        <v>-1717.2021876485014</v>
      </c>
      <c r="O49" s="152"/>
      <c r="Q49" s="193">
        <f>+SUM(START:END!Q49)</f>
        <v>36530.25</v>
      </c>
      <c r="R49" s="152"/>
      <c r="S49" s="242">
        <f t="shared" si="29"/>
        <v>1527.8199999999997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48361.123893352356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47214.32</v>
      </c>
      <c r="M50" s="154"/>
      <c r="N50" s="258">
        <f t="shared" si="28"/>
        <v>-1146.8038933523567</v>
      </c>
      <c r="O50" s="154"/>
      <c r="P50" s="53"/>
      <c r="Q50" s="201">
        <f>+SUM(START:END!Q50)</f>
        <v>46567.67</v>
      </c>
      <c r="R50" s="154"/>
      <c r="S50" s="259">
        <f t="shared" si="29"/>
        <v>646.65000000000146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24916.492092879365</v>
      </c>
      <c r="G51" s="240"/>
      <c r="I51" s="198">
        <f>+SUM(START:END!I51)</f>
        <v>0</v>
      </c>
      <c r="J51" s="152"/>
      <c r="L51" s="201">
        <f>+SUM(START:END!L51)</f>
        <v>23071.53</v>
      </c>
      <c r="M51" s="152"/>
      <c r="N51" s="222">
        <f t="shared" si="28"/>
        <v>-1844.9620928793665</v>
      </c>
      <c r="O51" s="152"/>
      <c r="Q51" s="201">
        <f>+SUM(START:END!Q51)</f>
        <v>22166.69</v>
      </c>
      <c r="R51" s="152"/>
      <c r="S51" s="242">
        <f t="shared" si="29"/>
        <v>904.84000000000015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10863.730729666109</v>
      </c>
      <c r="G52" s="240"/>
      <c r="I52" s="198">
        <f>+SUM(START:END!I52)</f>
        <v>0</v>
      </c>
      <c r="J52" s="152"/>
      <c r="L52" s="201">
        <f>+SUM(START:END!L52)</f>
        <v>8638.5300000000007</v>
      </c>
      <c r="M52" s="152"/>
      <c r="N52" s="222">
        <f t="shared" si="28"/>
        <v>-2225.2007296661086</v>
      </c>
      <c r="O52" s="152"/>
      <c r="Q52" s="201">
        <f>+SUM(START:END!Q52)</f>
        <v>8614.36</v>
      </c>
      <c r="R52" s="152"/>
      <c r="S52" s="242">
        <f t="shared" si="29"/>
        <v>24.170000000000073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0.36952182440138842</v>
      </c>
      <c r="F54" s="251">
        <f>+SUM(F42:F53)</f>
        <v>247311.89340354633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0.40913848570735423</v>
      </c>
      <c r="L54" s="251">
        <f>+SUM(L42:L53)</f>
        <v>221865.02000000002</v>
      </c>
      <c r="M54" s="254"/>
      <c r="N54" s="251">
        <f>+SUM(N42:N53)</f>
        <v>-25446.873403546349</v>
      </c>
      <c r="O54" s="252" t="s">
        <v>39</v>
      </c>
      <c r="P54" s="42">
        <f>Q54/Q$27</f>
        <v>0.31023037623679828</v>
      </c>
      <c r="Q54" s="251">
        <f>+SUM(Q42:Q53)</f>
        <v>192405.89999999997</v>
      </c>
      <c r="R54" s="254"/>
      <c r="S54" s="255">
        <f>+SUM(S42:S53)</f>
        <v>8045.2700000000023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26857.643799999998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30444.04</v>
      </c>
      <c r="M57" s="153"/>
      <c r="N57" s="247">
        <f t="shared" si="30"/>
        <v>3586.3962000000029</v>
      </c>
      <c r="O57" s="153"/>
      <c r="P57" s="7"/>
      <c r="Q57" s="193">
        <f>+SUM(START:END!Q57)</f>
        <v>26284.78</v>
      </c>
      <c r="R57" s="153"/>
      <c r="S57" s="248">
        <f t="shared" si="31"/>
        <v>4159.260000000002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23882.984275546671</v>
      </c>
      <c r="G58" s="240"/>
      <c r="I58" s="198">
        <f>+SUM(START:END!I58)</f>
        <v>0</v>
      </c>
      <c r="J58" s="152"/>
      <c r="L58" s="201">
        <f>+SUM(START:END!L58)</f>
        <v>22471.690000000002</v>
      </c>
      <c r="M58" s="152"/>
      <c r="N58" s="222">
        <f t="shared" si="30"/>
        <v>-1411.2942755466684</v>
      </c>
      <c r="O58" s="152"/>
      <c r="Q58" s="201">
        <f>+SUM(START:END!Q58)</f>
        <v>22020.98</v>
      </c>
      <c r="R58" s="152"/>
      <c r="S58" s="242">
        <f t="shared" si="31"/>
        <v>450.71000000000276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3800.0925025889419</v>
      </c>
      <c r="G59" s="240"/>
      <c r="I59" s="198">
        <f>+SUM(START:END!I59)</f>
        <v>0</v>
      </c>
      <c r="J59" s="152"/>
      <c r="L59" s="201">
        <f>+SUM(START:END!L59)</f>
        <v>5505.9500000000007</v>
      </c>
      <c r="M59" s="152"/>
      <c r="N59" s="222">
        <f t="shared" si="30"/>
        <v>1705.8574974110588</v>
      </c>
      <c r="O59" s="152"/>
      <c r="Q59" s="201">
        <f>+SUM(START:END!Q59)</f>
        <v>5300.42</v>
      </c>
      <c r="R59" s="152"/>
      <c r="S59" s="242">
        <f t="shared" si="31"/>
        <v>205.53000000000065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21647.22217076259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20864.12</v>
      </c>
      <c r="M60" s="153"/>
      <c r="N60" s="247">
        <f t="shared" si="30"/>
        <v>-783.10217076259141</v>
      </c>
      <c r="O60" s="153"/>
      <c r="P60" s="7"/>
      <c r="Q60" s="193">
        <f>+SUM(START:END!Q60)</f>
        <v>21333.34</v>
      </c>
      <c r="R60" s="153"/>
      <c r="S60" s="248">
        <f t="shared" si="31"/>
        <v>-469.22000000000116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291.77200000000005</v>
      </c>
      <c r="G61" s="240"/>
      <c r="I61" s="198">
        <f>+SUM(START:END!I61)</f>
        <v>0</v>
      </c>
      <c r="J61" s="152"/>
      <c r="L61" s="201">
        <f>+SUM(START:END!L61)</f>
        <v>0</v>
      </c>
      <c r="M61" s="152"/>
      <c r="N61" s="222">
        <f t="shared" si="30"/>
        <v>-291.77200000000005</v>
      </c>
      <c r="O61" s="152"/>
      <c r="Q61" s="201">
        <f>+SUM(START:END!Q61)</f>
        <v>58.06</v>
      </c>
      <c r="R61" s="152"/>
      <c r="S61" s="242">
        <f t="shared" si="31"/>
        <v>-58.06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85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-85</v>
      </c>
      <c r="O62" s="152"/>
      <c r="Q62" s="201">
        <f>+SUM(START:END!Q62)</f>
        <v>0</v>
      </c>
      <c r="R62" s="152"/>
      <c r="S62" s="242">
        <f t="shared" si="31"/>
        <v>0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2224.2926840073601</v>
      </c>
      <c r="G63" s="240"/>
      <c r="I63" s="198">
        <f>+SUM(START:END!I63)</f>
        <v>0</v>
      </c>
      <c r="J63" s="152"/>
      <c r="L63" s="200">
        <f>+SUM(START:END!L63)</f>
        <v>1514.01</v>
      </c>
      <c r="M63" s="152"/>
      <c r="N63" s="222">
        <f t="shared" si="30"/>
        <v>-710.2826840073601</v>
      </c>
      <c r="O63" s="152"/>
      <c r="Q63" s="200">
        <f>+SUM(START:END!Q63)</f>
        <v>1654.51</v>
      </c>
      <c r="R63" s="152"/>
      <c r="S63" s="242">
        <f t="shared" si="31"/>
        <v>-140.5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1034.4059547539466</v>
      </c>
      <c r="G64" s="240"/>
      <c r="I64" s="198">
        <f>+SUM(START:END!I64)</f>
        <v>0</v>
      </c>
      <c r="J64" s="152"/>
      <c r="L64" s="201">
        <f>+SUM(START:END!L64)</f>
        <v>1257.8499999999999</v>
      </c>
      <c r="M64" s="152"/>
      <c r="N64" s="222">
        <f t="shared" si="30"/>
        <v>223.44404524605329</v>
      </c>
      <c r="O64" s="152"/>
      <c r="Q64" s="201">
        <f>+SUM(START:END!Q64)</f>
        <v>985.98</v>
      </c>
      <c r="R64" s="152"/>
      <c r="S64" s="242">
        <f t="shared" si="31"/>
        <v>271.86999999999989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308.46718610525329</v>
      </c>
      <c r="G65" s="240"/>
      <c r="I65" s="198">
        <f>+SUM(START:END!I65)</f>
        <v>0</v>
      </c>
      <c r="J65" s="152"/>
      <c r="L65" s="201">
        <f>+SUM(START:END!L65)</f>
        <v>430.79</v>
      </c>
      <c r="M65" s="152"/>
      <c r="N65" s="222">
        <f t="shared" si="30"/>
        <v>122.32281389474673</v>
      </c>
      <c r="O65" s="152"/>
      <c r="Q65" s="201">
        <f>+SUM(START:END!Q65)</f>
        <v>54.08</v>
      </c>
      <c r="R65" s="152"/>
      <c r="S65" s="242">
        <f t="shared" si="31"/>
        <v>376.71000000000004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603.51115550381337</v>
      </c>
      <c r="G66" s="240"/>
      <c r="I66" s="198">
        <f>+SUM(START:END!I66)</f>
        <v>0</v>
      </c>
      <c r="J66" s="152"/>
      <c r="L66" s="201">
        <f>+SUM(START:END!L66)</f>
        <v>295.48</v>
      </c>
      <c r="M66" s="152"/>
      <c r="N66" s="222">
        <f t="shared" si="30"/>
        <v>-308.03115550381335</v>
      </c>
      <c r="O66" s="152"/>
      <c r="Q66" s="201">
        <f>+SUM(START:END!Q66)</f>
        <v>431.03</v>
      </c>
      <c r="R66" s="152"/>
      <c r="S66" s="242">
        <f t="shared" si="31"/>
        <v>-135.54999999999995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5804.1187499999987</v>
      </c>
      <c r="G67" s="240"/>
      <c r="I67" s="198">
        <f>+SUM(START:END!I67)</f>
        <v>0</v>
      </c>
      <c r="J67" s="152"/>
      <c r="L67" s="201">
        <f>+SUM(START:END!L67)</f>
        <v>6140.5</v>
      </c>
      <c r="M67" s="152"/>
      <c r="N67" s="222">
        <f t="shared" si="30"/>
        <v>336.38125000000127</v>
      </c>
      <c r="O67" s="152"/>
      <c r="Q67" s="201">
        <f>+SUM(START:END!Q67)</f>
        <v>3712.88</v>
      </c>
      <c r="R67" s="152"/>
      <c r="S67" s="242">
        <f t="shared" si="31"/>
        <v>2427.62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11374.165864383081</v>
      </c>
      <c r="G68" s="240"/>
      <c r="I68" s="198">
        <f>+SUM(START:END!I68)</f>
        <v>0</v>
      </c>
      <c r="J68" s="152"/>
      <c r="L68" s="200">
        <f>+SUM(START:END!L68)</f>
        <v>12681.920000000002</v>
      </c>
      <c r="M68" s="152"/>
      <c r="N68" s="222">
        <f t="shared" si="30"/>
        <v>1307.7541356169204</v>
      </c>
      <c r="O68" s="152"/>
      <c r="Q68" s="201">
        <f>+SUM(START:END!Q68)</f>
        <v>12385.38</v>
      </c>
      <c r="R68" s="152"/>
      <c r="S68" s="242">
        <f t="shared" si="31"/>
        <v>296.54000000000269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0.14629801995537353</v>
      </c>
      <c r="F72" s="251">
        <f>+SUM(F55:F71)</f>
        <v>97913.676343651663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0.1873709887987364</v>
      </c>
      <c r="L72" s="251">
        <f>+SUM(L55:L71)</f>
        <v>101606.34999999999</v>
      </c>
      <c r="M72" s="254"/>
      <c r="N72" s="251">
        <f>+SUM(N55:N71)</f>
        <v>3692.6736563483501</v>
      </c>
      <c r="O72" s="252" t="s">
        <v>39</v>
      </c>
      <c r="P72" s="42">
        <f>Q72/Q$27</f>
        <v>0.15192025182581675</v>
      </c>
      <c r="Q72" s="251">
        <f>+SUM(Q55:Q71)</f>
        <v>94221.439999999988</v>
      </c>
      <c r="R72" s="254"/>
      <c r="S72" s="255">
        <f>+SUM(S55:S71)</f>
        <v>7384.9100000000062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1.0775222635817157</v>
      </c>
      <c r="F74" s="251">
        <f>F41+F54+F72</f>
        <v>721159.22144128685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1.0745967833768053</v>
      </c>
      <c r="L74" s="251">
        <f>L41+L54+L72</f>
        <v>582725.52</v>
      </c>
      <c r="M74" s="254"/>
      <c r="N74" s="251">
        <f>N41+N54+N72</f>
        <v>-138433.70144128677</v>
      </c>
      <c r="O74" s="252" t="s">
        <v>39</v>
      </c>
      <c r="P74" s="42">
        <f>Q74/Q$27</f>
        <v>1.0264760930242731</v>
      </c>
      <c r="Q74" s="251">
        <f>Q41+Q54+Q72</f>
        <v>636623.84999999986</v>
      </c>
      <c r="R74" s="254"/>
      <c r="S74" s="260">
        <f>L74-Q74</f>
        <v>-53898.329999999842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25000</v>
      </c>
      <c r="G75" s="240"/>
      <c r="I75" s="198">
        <f>+SUM(START:END!I75)</f>
        <v>0</v>
      </c>
      <c r="J75" s="152"/>
      <c r="L75" s="200">
        <f>+SUM(START:END!L75)</f>
        <v>12000</v>
      </c>
      <c r="M75" s="152"/>
      <c r="N75" s="222">
        <f t="shared" ref="N75:N82" si="33">L75-F75</f>
        <v>-13000</v>
      </c>
      <c r="O75" s="152"/>
      <c r="Q75" s="200">
        <f>+SUM(START:END!Q75)</f>
        <v>20695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278936.24390151334</v>
      </c>
      <c r="G78" s="240"/>
      <c r="I78" s="198">
        <f>+SUM(START:END!I78)</f>
        <v>0</v>
      </c>
      <c r="J78" s="152"/>
      <c r="L78" s="201">
        <f>+SUM(START:END!L78)</f>
        <v>208299.55</v>
      </c>
      <c r="M78" s="152"/>
      <c r="N78" s="222">
        <f t="shared" si="33"/>
        <v>-70636.693901513354</v>
      </c>
      <c r="O78" s="152"/>
      <c r="Q78" s="200">
        <f>+SUM(START:END!Q78)</f>
        <v>260645.55</v>
      </c>
      <c r="R78" s="152"/>
      <c r="S78" s="242">
        <f t="shared" si="34"/>
        <v>-52346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91965.699999999983</v>
      </c>
      <c r="G82" s="240"/>
      <c r="I82" s="198">
        <f>+SUM(START:END!I82)</f>
        <v>0</v>
      </c>
      <c r="J82" s="152"/>
      <c r="L82" s="200">
        <f>+SUM(START:END!L82)</f>
        <v>74283</v>
      </c>
      <c r="M82" s="152"/>
      <c r="N82" s="222">
        <f t="shared" si="33"/>
        <v>-17682.699999999983</v>
      </c>
      <c r="O82" s="152"/>
      <c r="Q82" s="200">
        <f>+SUM(START:END!Q82)</f>
        <v>88156.5</v>
      </c>
      <c r="R82" s="152"/>
      <c r="S82" s="242">
        <f t="shared" si="34"/>
        <v>-13873.5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395901.94390151335</v>
      </c>
      <c r="G83" s="252"/>
      <c r="H83" s="42"/>
      <c r="I83" s="251">
        <f>+SUM(I75:I82)</f>
        <v>0</v>
      </c>
      <c r="J83" s="252"/>
      <c r="K83" s="42"/>
      <c r="L83" s="251">
        <f>+SUM(L75:L82)</f>
        <v>294582.55</v>
      </c>
      <c r="M83" s="254"/>
      <c r="N83" s="251">
        <f>+SUM(N75:N82)</f>
        <v>-101319.39390151334</v>
      </c>
      <c r="O83" s="252"/>
      <c r="P83" s="42"/>
      <c r="Q83" s="251">
        <f>+SUM(Q75:Q82)</f>
        <v>369497.05</v>
      </c>
      <c r="R83" s="254"/>
      <c r="S83" s="255">
        <f>+SUM(S75:S82)</f>
        <v>-66219.5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1"/>
      <c r="D84" s="262"/>
      <c r="E84" s="263"/>
      <c r="F84" s="264"/>
      <c r="G84" s="265"/>
      <c r="H84" s="263"/>
      <c r="I84" s="264"/>
      <c r="J84" s="266"/>
      <c r="K84" s="267"/>
      <c r="L84" s="264"/>
      <c r="M84" s="266"/>
      <c r="N84" s="268"/>
      <c r="O84" s="266"/>
      <c r="P84" s="267"/>
      <c r="Q84" s="264"/>
      <c r="R84" s="266"/>
      <c r="S84" s="269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0" t="s">
        <v>72</v>
      </c>
      <c r="D85" s="271"/>
      <c r="E85" s="272"/>
      <c r="F85" s="273">
        <f>F27-F74+F83</f>
        <v>344018.19436011324</v>
      </c>
      <c r="G85" s="274"/>
      <c r="H85" s="272"/>
      <c r="I85" s="273">
        <f>I27-I74+I83</f>
        <v>0</v>
      </c>
      <c r="J85" s="274"/>
      <c r="K85" s="271"/>
      <c r="L85" s="273">
        <f>L27-L74+L83</f>
        <v>254130.68000000046</v>
      </c>
      <c r="M85" s="274"/>
      <c r="N85" s="273">
        <f>N27-N74+N83</f>
        <v>-89887.514360112604</v>
      </c>
      <c r="O85" s="274"/>
      <c r="P85" s="271"/>
      <c r="Q85" s="273">
        <f>Q27-Q74+Q83</f>
        <v>353076.4899999997</v>
      </c>
      <c r="R85" s="274"/>
      <c r="S85" s="275">
        <f>S27-S41-S54-S72+S83</f>
        <v>-68836.959999999221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773">
        <f>L85/F85</f>
        <v>0.73871290578887283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868" t="s">
        <v>5</v>
      </c>
      <c r="E91" s="869"/>
      <c r="F91" s="870"/>
      <c r="G91" s="871" t="s">
        <v>74</v>
      </c>
      <c r="H91" s="869"/>
      <c r="I91" s="870"/>
      <c r="J91" s="871" t="s">
        <v>7</v>
      </c>
      <c r="K91" s="869"/>
      <c r="L91" s="870"/>
      <c r="M91" s="871" t="s">
        <v>9</v>
      </c>
      <c r="N91" s="870"/>
      <c r="O91" s="868" t="s">
        <v>8</v>
      </c>
      <c r="P91" s="869"/>
      <c r="Q91" s="870"/>
      <c r="R91" s="871" t="s">
        <v>217</v>
      </c>
      <c r="S91" s="872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6" t="s">
        <v>10</v>
      </c>
      <c r="E92" s="175" t="s">
        <v>11</v>
      </c>
      <c r="F92" s="277" t="s">
        <v>12</v>
      </c>
      <c r="G92" s="278" t="s">
        <v>10</v>
      </c>
      <c r="H92" s="175" t="s">
        <v>11</v>
      </c>
      <c r="I92" s="277" t="s">
        <v>12</v>
      </c>
      <c r="J92" s="278" t="s">
        <v>10</v>
      </c>
      <c r="K92" s="175" t="s">
        <v>13</v>
      </c>
      <c r="L92" s="277" t="s">
        <v>12</v>
      </c>
      <c r="M92" s="278" t="s">
        <v>14</v>
      </c>
      <c r="N92" s="277" t="s">
        <v>12</v>
      </c>
      <c r="O92" s="175" t="s">
        <v>10</v>
      </c>
      <c r="P92" s="175" t="s">
        <v>13</v>
      </c>
      <c r="Q92" s="277" t="s">
        <v>12</v>
      </c>
      <c r="R92" s="278" t="s">
        <v>10</v>
      </c>
      <c r="S92" s="279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5198439.9640742596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3925309.3999999994</v>
      </c>
      <c r="M93" s="280"/>
      <c r="N93" s="281"/>
      <c r="O93" s="153"/>
      <c r="P93" s="194"/>
      <c r="Q93" s="193">
        <f>+SUM(START:END!Q93)</f>
        <v>4212048.8199999901</v>
      </c>
      <c r="R93" s="280"/>
      <c r="S93" s="282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83</v>
      </c>
      <c r="E94" s="198">
        <f>IF(D94=0,0,F94/D94)</f>
        <v>1400</v>
      </c>
      <c r="F94" s="249">
        <f>+SUM(START:END!F94)</f>
        <v>116200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87</v>
      </c>
      <c r="K94" s="198">
        <f>IF(J94=0,0,L94/J94)</f>
        <v>1453.592988505746</v>
      </c>
      <c r="L94" s="198">
        <f>+SUM(START:END!L94)</f>
        <v>126462.58999999991</v>
      </c>
      <c r="M94" s="199">
        <f t="shared" ref="M94:M96" si="36">J94-D94</f>
        <v>4</v>
      </c>
      <c r="N94" s="201">
        <f t="shared" ref="N94:N96" si="37">L94-F94</f>
        <v>10262.589999999909</v>
      </c>
      <c r="O94" s="198">
        <f>+SUM(START:END!O94)</f>
        <v>91</v>
      </c>
      <c r="P94" s="198">
        <f>IF(O94=0,0,Q94/O94)</f>
        <v>620.13967032966843</v>
      </c>
      <c r="Q94" s="198">
        <f>+SUM(START:END!Q94)</f>
        <v>56432.709999999832</v>
      </c>
      <c r="R94" s="199">
        <f t="shared" ref="R94:R95" si="38">J94-O94</f>
        <v>-4</v>
      </c>
      <c r="S94" s="202">
        <f t="shared" ref="S94:S95" si="39">L94-Q94</f>
        <v>70029.880000000077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10</v>
      </c>
      <c r="E95" s="198">
        <f t="shared" ref="E95:E105" si="40">IF(D95=0,0,F95/D95)</f>
        <v>1800</v>
      </c>
      <c r="F95" s="202">
        <f>+SUM(START:END!F95)</f>
        <v>18000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1</v>
      </c>
      <c r="K95" s="198">
        <f t="shared" ref="K95" si="42">IF(J95=0,0,L95/J95)</f>
        <v>-3329.9200000000005</v>
      </c>
      <c r="L95" s="198">
        <f>+SUM(START:END!L95)</f>
        <v>-3329.9200000000005</v>
      </c>
      <c r="M95" s="199">
        <f t="shared" si="36"/>
        <v>-9</v>
      </c>
      <c r="N95" s="201">
        <f t="shared" si="37"/>
        <v>-21329.920000000002</v>
      </c>
      <c r="O95" s="198">
        <f>+SUM(START:END!O95)</f>
        <v>5</v>
      </c>
      <c r="P95" s="198">
        <f t="shared" ref="P95" si="43">IF(O95=0,0,Q95/O95)</f>
        <v>471.85599999999994</v>
      </c>
      <c r="Q95" s="198">
        <f>+SUM(START:END!Q95)</f>
        <v>2359.2799999999997</v>
      </c>
      <c r="R95" s="199">
        <f t="shared" si="38"/>
        <v>-4</v>
      </c>
      <c r="S95" s="202">
        <f t="shared" si="39"/>
        <v>-5689.2000000000007</v>
      </c>
      <c r="V95" s="283"/>
      <c r="W95" s="283"/>
      <c r="X95" s="283"/>
      <c r="Y95" s="283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14</v>
      </c>
      <c r="E96" s="194">
        <f t="shared" ref="E96" si="45">IF(D96=0,0,F96/D96)</f>
        <v>1500</v>
      </c>
      <c r="F96" s="202">
        <f>+SUM(START:END!F96)</f>
        <v>21000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2</v>
      </c>
      <c r="K96" s="194">
        <f t="shared" ref="K96" si="47">IF(J96=0,0,L96/J96)</f>
        <v>2899.7999999999993</v>
      </c>
      <c r="L96" s="198">
        <f>+SUM(START:END!L96)</f>
        <v>5799.5999999999985</v>
      </c>
      <c r="M96" s="199">
        <f t="shared" si="36"/>
        <v>-12</v>
      </c>
      <c r="N96" s="201">
        <f t="shared" si="37"/>
        <v>-15200.400000000001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0</v>
      </c>
      <c r="R96" s="199">
        <f t="shared" ref="R96" si="49">J96-O96</f>
        <v>2</v>
      </c>
      <c r="S96" s="202">
        <f t="shared" ref="S96" si="50">L96-Q96</f>
        <v>5799.5999999999985</v>
      </c>
      <c r="V96" s="283"/>
      <c r="W96" s="283"/>
      <c r="X96" s="283"/>
      <c r="Y96" s="283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107</v>
      </c>
      <c r="E97" s="198">
        <f t="shared" si="40"/>
        <v>1450.4672897196263</v>
      </c>
      <c r="F97" s="205">
        <f>+F94+F95+F96</f>
        <v>155200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90</v>
      </c>
      <c r="K97" s="198">
        <f t="shared" ref="K97" si="52">IF(J97=0,0,L97/J97)</f>
        <v>1432.5807777777768</v>
      </c>
      <c r="L97" s="205">
        <f>+L94+L95+L96</f>
        <v>128932.2699999999</v>
      </c>
      <c r="M97" s="204">
        <f>+M95+M94+M96</f>
        <v>-17</v>
      </c>
      <c r="N97" s="205">
        <f>+N94+N95+N96</f>
        <v>-26267.730000000094</v>
      </c>
      <c r="O97" s="204">
        <f>+O95+O94+O96</f>
        <v>96</v>
      </c>
      <c r="P97" s="204">
        <f>IF(O97&lt;=0,0,Q97/O97)</f>
        <v>612.41656249999824</v>
      </c>
      <c r="Q97" s="205">
        <f>+Q94+Q95+Q96</f>
        <v>58791.989999999831</v>
      </c>
      <c r="R97" s="206">
        <f>R94+R95+R96</f>
        <v>-6</v>
      </c>
      <c r="S97" s="207">
        <f>S94+S95+S96</f>
        <v>70140.280000000086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-0.16925083762886659</v>
      </c>
      <c r="O98" s="152"/>
      <c r="Q98" s="208"/>
      <c r="R98" s="170">
        <f>R97/O97</f>
        <v>-6.25E-2</v>
      </c>
      <c r="S98" s="209">
        <f>IF(Q97=0,0,(S97/Q97))</f>
        <v>1.1930244239053702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4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113</v>
      </c>
      <c r="E100" s="198">
        <f t="shared" ref="E100" si="58">IF(D100=0,0,F100/D100)</f>
        <v>400</v>
      </c>
      <c r="F100" s="198">
        <f>+SUM(START:END!F100)</f>
        <v>45200</v>
      </c>
      <c r="G100" s="284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89</v>
      </c>
      <c r="K100" s="198">
        <f t="shared" ref="K100" si="60">IF(J100=0,0,L100/J100)</f>
        <v>982.57876404494357</v>
      </c>
      <c r="L100" s="201">
        <f>+SUM(START:END!L100)</f>
        <v>87449.50999999998</v>
      </c>
      <c r="M100" s="199">
        <f t="shared" si="55"/>
        <v>-24</v>
      </c>
      <c r="N100" s="201">
        <f t="shared" si="56"/>
        <v>42249.50999999998</v>
      </c>
      <c r="O100" s="199">
        <f>+SUM(START:END!O100)</f>
        <v>107</v>
      </c>
      <c r="P100" s="198">
        <f t="shared" ref="P100" si="61">IF(O100=0,0,Q100/O100)</f>
        <v>-358.56887850467314</v>
      </c>
      <c r="Q100" s="200">
        <f>+SUM(START:END!Q100)</f>
        <v>-38366.870000000024</v>
      </c>
      <c r="R100" s="199">
        <f t="shared" ref="R100" si="62">J100-O100</f>
        <v>-18</v>
      </c>
      <c r="S100" s="202">
        <f t="shared" ref="S100" si="63">L100-Q100</f>
        <v>125816.38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5"/>
      <c r="O101" s="216"/>
      <c r="P101" s="212"/>
      <c r="Q101" s="213"/>
      <c r="R101" s="214"/>
      <c r="S101" s="286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64200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31118.34</v>
      </c>
      <c r="M102" s="199">
        <f t="shared" ref="M102:M104" si="67">J102-G102</f>
        <v>0</v>
      </c>
      <c r="N102" s="201">
        <f t="shared" si="56"/>
        <v>-33081.660000000003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27863.969999999998</v>
      </c>
      <c r="R102" s="199">
        <f t="shared" ref="R102:R104" si="69">J102-O102</f>
        <v>0</v>
      </c>
      <c r="S102" s="202">
        <f t="shared" ref="S102:S104" si="70">L102-Q102</f>
        <v>3254.3700000000026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133750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144769.14000000001</v>
      </c>
      <c r="M103" s="199">
        <f t="shared" si="67"/>
        <v>0</v>
      </c>
      <c r="N103" s="201">
        <f t="shared" si="56"/>
        <v>11019.140000000014</v>
      </c>
      <c r="O103" s="199">
        <f>+SUM(START:END!O103)</f>
        <v>0</v>
      </c>
      <c r="P103" s="198">
        <f t="shared" si="68"/>
        <v>0</v>
      </c>
      <c r="Q103" s="201">
        <f>+SUM(START:END!Q103)</f>
        <v>146636.98999999987</v>
      </c>
      <c r="R103" s="199">
        <f t="shared" si="69"/>
        <v>0</v>
      </c>
      <c r="S103" s="202">
        <f t="shared" si="70"/>
        <v>-1867.8499999998603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5350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3636.48</v>
      </c>
      <c r="M104" s="216">
        <f t="shared" si="67"/>
        <v>0</v>
      </c>
      <c r="N104" s="201">
        <f t="shared" si="56"/>
        <v>-1713.52</v>
      </c>
      <c r="O104" s="199">
        <f>+SUM(START:END!O104)</f>
        <v>0</v>
      </c>
      <c r="P104" s="212">
        <f t="shared" si="68"/>
        <v>0</v>
      </c>
      <c r="Q104" s="201">
        <f>+SUM(START:END!Q104)</f>
        <v>1973</v>
      </c>
      <c r="R104" s="199">
        <f t="shared" si="69"/>
        <v>0</v>
      </c>
      <c r="S104" s="202">
        <f t="shared" si="70"/>
        <v>1663.48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107</v>
      </c>
      <c r="E105" s="198">
        <f t="shared" si="40"/>
        <v>1900</v>
      </c>
      <c r="F105" s="205">
        <f>F102+F103+F104</f>
        <v>203300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90</v>
      </c>
      <c r="K105" s="204">
        <f>IF(J105&lt;=0,0,L105/J105)</f>
        <v>1994.7106666666668</v>
      </c>
      <c r="L105" s="205">
        <f>L102+L103+L104</f>
        <v>179523.96000000002</v>
      </c>
      <c r="M105" s="199">
        <f>M97</f>
        <v>-17</v>
      </c>
      <c r="N105" s="205">
        <f>N102+N103+N104</f>
        <v>-23776.03999999999</v>
      </c>
      <c r="O105" s="206">
        <f>O97</f>
        <v>96</v>
      </c>
      <c r="P105" s="204">
        <f>IF(O105&lt;=0,0,Q105/O105)</f>
        <v>1838.2704166666654</v>
      </c>
      <c r="Q105" s="205">
        <f>Q102+Q103+Q104</f>
        <v>176473.95999999988</v>
      </c>
      <c r="R105" s="220"/>
      <c r="S105" s="207">
        <f t="shared" ref="S105" si="72">L105-Q105</f>
        <v>3050.0000000001455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-0.11695051647811111</v>
      </c>
      <c r="O106" s="152"/>
      <c r="Q106" s="222"/>
      <c r="R106" s="223"/>
      <c r="S106" s="209">
        <f>IF(Q105=0,0,(S105/Q105))</f>
        <v>1.7283003112754696E-2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220</v>
      </c>
      <c r="E108" s="230">
        <f>IF(D108&lt;=0,0,F108/D108)</f>
        <v>1835</v>
      </c>
      <c r="F108" s="228">
        <f>F97+F105+F100</f>
        <v>403700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179</v>
      </c>
      <c r="K108" s="230">
        <f>IF(J108&lt;=0,0,L108/J108)</f>
        <v>2211.7639106145243</v>
      </c>
      <c r="L108" s="228">
        <f>L97+L105+L100+L99</f>
        <v>395905.73999999987</v>
      </c>
      <c r="M108" s="229">
        <f>M97+M100+M99</f>
        <v>-41</v>
      </c>
      <c r="N108" s="228">
        <f>N97+N105+N100+N99</f>
        <v>-7794.2600000001039</v>
      </c>
      <c r="O108" s="229">
        <f>O97+O100+O99</f>
        <v>203</v>
      </c>
      <c r="P108" s="230">
        <f>IF(O108&lt;=0,0,Q108/O108)</f>
        <v>969.94620689655028</v>
      </c>
      <c r="Q108" s="228">
        <f>Q97+Q105+Q100+Q99</f>
        <v>196899.0799999997</v>
      </c>
      <c r="R108" s="229">
        <f>J108-O108</f>
        <v>-24</v>
      </c>
      <c r="S108" s="231">
        <f>L108-Q108</f>
        <v>199006.66000000018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-0.18636363636363637</v>
      </c>
      <c r="N109" s="166">
        <f>N108/F108</f>
        <v>-1.9307059697795649E-2</v>
      </c>
      <c r="O109" s="235"/>
      <c r="P109" s="233"/>
      <c r="Q109" s="234"/>
      <c r="R109" s="236">
        <f>O108/R108</f>
        <v>-8.4583333333333339</v>
      </c>
      <c r="S109" s="287">
        <f>IF(Q108=0,0,(S108/Q108))</f>
        <v>1.0107038590530768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492.61405143965533</v>
      </c>
      <c r="F112" s="198">
        <f>+SUM(START:END!F112)</f>
        <v>52709.703504043122</v>
      </c>
      <c r="G112" s="288" t="e">
        <f>I112/I97</f>
        <v>#DIV/0!</v>
      </c>
      <c r="H112" s="26" t="e">
        <f>I112/G$97</f>
        <v>#DIV/0!</v>
      </c>
      <c r="I112" s="198">
        <f>+SUM(START:END!I112)</f>
        <v>0</v>
      </c>
      <c r="J112" s="288">
        <f>L112/L97</f>
        <v>0.33058380186744585</v>
      </c>
      <c r="K112" s="26">
        <f>IF($J$97=0,0,L112/(J$94+J$95))</f>
        <v>484.3513636363636</v>
      </c>
      <c r="L112" s="201">
        <f>+SUM(START:END!L112)</f>
        <v>42622.92</v>
      </c>
      <c r="M112" s="152"/>
      <c r="N112" s="222">
        <f t="shared" ref="N112:N118" si="73">L112-F112</f>
        <v>-10086.783504043124</v>
      </c>
      <c r="O112" s="152"/>
      <c r="P112" s="26">
        <f>IF($J$97=0,0,Q112/(O$94+O$95))</f>
        <v>540.81947916666661</v>
      </c>
      <c r="Q112" s="201">
        <f>+SUM(START:END!Q112)</f>
        <v>51918.67</v>
      </c>
      <c r="R112" s="152"/>
      <c r="S112" s="242">
        <f t="shared" ref="S112:S122" si="74">L112-Q112</f>
        <v>-9295.75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570</v>
      </c>
      <c r="F113" s="193">
        <f>+SUM(START:END!F113)</f>
        <v>60990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611.60761363636368</v>
      </c>
      <c r="L113" s="201">
        <f>+SUM(START:END!L113)</f>
        <v>53821.47</v>
      </c>
      <c r="M113" s="153"/>
      <c r="N113" s="247">
        <f t="shared" si="73"/>
        <v>-7168.5299999999988</v>
      </c>
      <c r="O113" s="153"/>
      <c r="P113" s="10">
        <f>IF($J$97=0,0,Q113/(O$94+O$95))</f>
        <v>551.47958333333338</v>
      </c>
      <c r="Q113" s="201">
        <f>+SUM(START:END!Q113)</f>
        <v>52942.040000000008</v>
      </c>
      <c r="R113" s="153"/>
      <c r="S113" s="248">
        <f t="shared" ref="S113" si="75">L113-Q113</f>
        <v>879.42999999999302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8</v>
      </c>
      <c r="F114" s="198">
        <f>+SUM(START:END!F114)</f>
        <v>856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-58.441704545454542</v>
      </c>
      <c r="L114" s="257">
        <f>+SUM(START:END!L114)</f>
        <v>-5142.87</v>
      </c>
      <c r="M114" s="152"/>
      <c r="N114" s="222">
        <f t="shared" si="73"/>
        <v>-5998.87</v>
      </c>
      <c r="O114" s="152"/>
      <c r="P114" s="26">
        <f>IF($J$97=0,0,Q114/(O$94+O$95))</f>
        <v>41.762708333333329</v>
      </c>
      <c r="Q114" s="257">
        <f>+SUM(START:END!Q114)</f>
        <v>4009.22</v>
      </c>
      <c r="R114" s="152"/>
      <c r="S114" s="242">
        <f t="shared" si="74"/>
        <v>-9152.09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45</v>
      </c>
      <c r="F115" s="198">
        <f>+SUM(START:END!F115)</f>
        <v>4815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66.675909090909087</v>
      </c>
      <c r="L115" s="201">
        <f>+SUM(START:END!L115)</f>
        <v>5867.48</v>
      </c>
      <c r="M115" s="152"/>
      <c r="N115" s="222">
        <f t="shared" si="73"/>
        <v>1052.4799999999996</v>
      </c>
      <c r="O115" s="152"/>
      <c r="P115" s="26">
        <f t="shared" ref="P115:P121" si="79">IF($J$97=0,0,Q115/(O$94+O$95))</f>
        <v>49.651250000000005</v>
      </c>
      <c r="Q115" s="201">
        <f>+SUM(START:END!Q115)</f>
        <v>4766.5200000000004</v>
      </c>
      <c r="R115" s="152"/>
      <c r="S115" s="242">
        <f t="shared" ref="S115:S118" si="80">L115-Q115</f>
        <v>1100.9599999999991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160</v>
      </c>
      <c r="F116" s="193">
        <f>+SUM(START:END!F116)</f>
        <v>17120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199.38147727272727</v>
      </c>
      <c r="L116" s="213">
        <f>+SUM(START:END!L116)</f>
        <v>17545.57</v>
      </c>
      <c r="M116" s="153"/>
      <c r="N116" s="247">
        <f t="shared" si="73"/>
        <v>425.56999999999971</v>
      </c>
      <c r="O116" s="153"/>
      <c r="P116" s="10">
        <f t="shared" si="79"/>
        <v>145.62458333333333</v>
      </c>
      <c r="Q116" s="213">
        <f>+SUM(START:END!Q116)</f>
        <v>13979.96</v>
      </c>
      <c r="R116" s="153"/>
      <c r="S116" s="248">
        <f t="shared" si="80"/>
        <v>3565.6100000000006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328.46728971962619</v>
      </c>
      <c r="F117" s="198">
        <f>+SUM(START:END!F117)</f>
        <v>35146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364.88306818181815</v>
      </c>
      <c r="L117" s="201">
        <f>+SUM(START:END!L117)</f>
        <v>32109.71</v>
      </c>
      <c r="M117" s="152"/>
      <c r="N117" s="222">
        <f t="shared" si="73"/>
        <v>-3036.2900000000009</v>
      </c>
      <c r="O117" s="152"/>
      <c r="P117" s="26">
        <f t="shared" si="79"/>
        <v>338.46260416666667</v>
      </c>
      <c r="Q117" s="201">
        <f>+SUM(START:END!Q117)</f>
        <v>32492.41</v>
      </c>
      <c r="R117" s="152"/>
      <c r="S117" s="242">
        <f t="shared" si="80"/>
        <v>-382.70000000000073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228.11194695046188</v>
      </c>
      <c r="F118" s="198">
        <f>+SUM(START:END!F118)</f>
        <v>24407.978323699423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136.96375</v>
      </c>
      <c r="L118" s="201">
        <f>+SUM(START:END!L118)</f>
        <v>12052.81</v>
      </c>
      <c r="M118" s="152"/>
      <c r="N118" s="222">
        <f t="shared" si="73"/>
        <v>-12355.168323699423</v>
      </c>
      <c r="O118" s="152"/>
      <c r="P118" s="26">
        <f t="shared" si="79"/>
        <v>208.36510416666667</v>
      </c>
      <c r="Q118" s="201">
        <f>+SUM(START:END!Q118)</f>
        <v>20003.05</v>
      </c>
      <c r="R118" s="152"/>
      <c r="S118" s="242">
        <f t="shared" si="80"/>
        <v>-7950.24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0.48561972213956534</v>
      </c>
      <c r="F122" s="251">
        <f>SUM(F112:F121)</f>
        <v>196044.68182774252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0.40130029435794501</v>
      </c>
      <c r="L122" s="251">
        <f>SUM(L112:L121)</f>
        <v>158877.09</v>
      </c>
      <c r="M122" s="254"/>
      <c r="N122" s="251">
        <f>SUM(N112:N121)</f>
        <v>-37167.591827742544</v>
      </c>
      <c r="O122" s="252" t="s">
        <v>39</v>
      </c>
      <c r="P122" s="42">
        <f>Q122/Q$108</f>
        <v>0.91474205973943745</v>
      </c>
      <c r="Q122" s="251">
        <f>SUM(Q112:Q121)</f>
        <v>180111.87</v>
      </c>
      <c r="R122" s="254"/>
      <c r="S122" s="255">
        <f t="shared" si="74"/>
        <v>-21234.78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28865.225000000002</v>
      </c>
      <c r="G123" s="152"/>
      <c r="I123" s="198">
        <f>+SUM(START:END!I123)</f>
        <v>0</v>
      </c>
      <c r="J123" s="152"/>
      <c r="L123" s="201">
        <f>+SUM(START:END!L123)</f>
        <v>24820.949999999997</v>
      </c>
      <c r="M123" s="152"/>
      <c r="N123" s="222">
        <f t="shared" ref="N123:N133" si="83">L123-F123</f>
        <v>-4044.2750000000051</v>
      </c>
      <c r="O123" s="152"/>
      <c r="Q123" s="201">
        <f>+SUM(START:END!Q123)</f>
        <v>33492.869999999995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27552.639999999996</v>
      </c>
      <c r="G124" s="240"/>
      <c r="I124" s="193">
        <f>+SUM(START:END!I124)</f>
        <v>0</v>
      </c>
      <c r="J124" s="152"/>
      <c r="L124" s="193">
        <f>+SUM(START:END!L124)</f>
        <v>6081.93</v>
      </c>
      <c r="M124" s="152"/>
      <c r="N124" s="222">
        <f t="shared" si="83"/>
        <v>-21470.709999999995</v>
      </c>
      <c r="O124" s="152"/>
      <c r="Q124" s="193">
        <f>+SUM(START:END!Q124)</f>
        <v>5578.08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10870.9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15711.85</v>
      </c>
      <c r="M125" s="154"/>
      <c r="N125" s="258">
        <f t="shared" si="83"/>
        <v>4840.9500000000007</v>
      </c>
      <c r="O125" s="154"/>
      <c r="P125" s="53"/>
      <c r="Q125" s="201">
        <f>+SUM(START:END!Q125)</f>
        <v>19028.98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27301.149827499998</v>
      </c>
      <c r="G130" s="240"/>
      <c r="I130" s="198">
        <f>+SUM(START:END!I130)</f>
        <v>0</v>
      </c>
      <c r="J130" s="152"/>
      <c r="L130" s="201">
        <f>+SUM(START:END!L130)</f>
        <v>26255.620000000003</v>
      </c>
      <c r="M130" s="152"/>
      <c r="N130" s="222">
        <f t="shared" si="83"/>
        <v>-1045.529827499995</v>
      </c>
      <c r="O130" s="152"/>
      <c r="Q130" s="201">
        <f>+SUM(START:END!Q130)</f>
        <v>23136.39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33194.349569999998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30914.82</v>
      </c>
      <c r="M131" s="154"/>
      <c r="N131" s="258">
        <f t="shared" si="83"/>
        <v>-2279.5295699999988</v>
      </c>
      <c r="O131" s="154"/>
      <c r="P131" s="53"/>
      <c r="Q131" s="219">
        <f>+SUM(START:END!Q131)</f>
        <v>20326.980000000003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17102.3061915</v>
      </c>
      <c r="G132" s="240"/>
      <c r="I132" s="198">
        <f>+SUM(START:END!I132)</f>
        <v>0</v>
      </c>
      <c r="J132" s="152"/>
      <c r="L132" s="201">
        <f>+SUM(START:END!L132)</f>
        <v>15108.08</v>
      </c>
      <c r="M132" s="152"/>
      <c r="N132" s="222">
        <f t="shared" si="83"/>
        <v>-1994.2261914999999</v>
      </c>
      <c r="O132" s="152"/>
      <c r="Q132" s="201">
        <f>+SUM(START:END!Q132)</f>
        <v>3697.7299999999991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7456.7017149999992</v>
      </c>
      <c r="G133" s="240"/>
      <c r="I133" s="198">
        <f>+SUM(START:END!I133)</f>
        <v>0</v>
      </c>
      <c r="J133" s="152"/>
      <c r="L133" s="201">
        <f>+SUM(START:END!L133)</f>
        <v>3831.35</v>
      </c>
      <c r="M133" s="152"/>
      <c r="N133" s="222">
        <f t="shared" si="83"/>
        <v>-3625.3517149999993</v>
      </c>
      <c r="O133" s="152"/>
      <c r="Q133" s="201">
        <f>+SUM(START:END!Q133)</f>
        <v>3596.0099999999998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0.37736753109734955</v>
      </c>
      <c r="F135" s="251">
        <f>+SUM(F123:F134)</f>
        <v>152343.27230400001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0.30998439173930659</v>
      </c>
      <c r="L135" s="251">
        <f>SUM(L123:L134)</f>
        <v>122724.60000000002</v>
      </c>
      <c r="M135" s="289"/>
      <c r="N135" s="251">
        <f>SUM(N123:N134)</f>
        <v>-29618.672303999996</v>
      </c>
      <c r="O135" s="252" t="s">
        <v>39</v>
      </c>
      <c r="P135" s="42">
        <f>Q135/Q$108</f>
        <v>0.55285702706178286</v>
      </c>
      <c r="Q135" s="251">
        <f>SUM(Q123:Q134)</f>
        <v>108857.03999999998</v>
      </c>
      <c r="R135" s="289"/>
      <c r="S135" s="260">
        <f t="shared" ref="S135:S153" si="85">L135-Q135</f>
        <v>13867.560000000041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3852.459866666667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4545.32</v>
      </c>
      <c r="M138" s="153"/>
      <c r="N138" s="247">
        <f t="shared" si="86"/>
        <v>692.86013333333267</v>
      </c>
      <c r="O138" s="153"/>
      <c r="P138" s="7"/>
      <c r="Q138" s="193">
        <f>+SUM(START:END!Q138)</f>
        <v>2189.16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11273.056868079997</v>
      </c>
      <c r="G139" s="240"/>
      <c r="I139" s="198">
        <f>+SUM(START:END!I139)</f>
        <v>0</v>
      </c>
      <c r="J139" s="152"/>
      <c r="L139" s="201">
        <f>+SUM(START:END!L139)</f>
        <v>10547.210000000001</v>
      </c>
      <c r="M139" s="152"/>
      <c r="N139" s="222">
        <f t="shared" si="86"/>
        <v>-725.84686807999606</v>
      </c>
      <c r="O139" s="152"/>
      <c r="Q139" s="201">
        <f>+SUM(START:END!Q139)</f>
        <v>11720.189999999999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1667.0107313221488</v>
      </c>
      <c r="G140" s="240"/>
      <c r="I140" s="198">
        <f>+SUM(START:END!I140)</f>
        <v>0</v>
      </c>
      <c r="J140" s="152"/>
      <c r="L140" s="201">
        <f>+SUM(START:END!L140)</f>
        <v>1855.0099999999998</v>
      </c>
      <c r="M140" s="152"/>
      <c r="N140" s="222">
        <f t="shared" si="86"/>
        <v>187.99926867785098</v>
      </c>
      <c r="O140" s="152"/>
      <c r="Q140" s="201">
        <f>+SUM(START:END!Q140)</f>
        <v>1841.24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4196.548392160973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9929.84</v>
      </c>
      <c r="M141" s="153"/>
      <c r="N141" s="247">
        <f t="shared" si="86"/>
        <v>5733.2916078390272</v>
      </c>
      <c r="O141" s="153"/>
      <c r="P141" s="7"/>
      <c r="Q141" s="193">
        <f>+SUM(START:END!Q141)</f>
        <v>3585.36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251.65659999999997</v>
      </c>
      <c r="G142" s="240"/>
      <c r="I142" s="198">
        <f>+SUM(START:END!I142)</f>
        <v>0</v>
      </c>
      <c r="J142" s="152"/>
      <c r="L142" s="201">
        <f>+SUM(START:END!L142)</f>
        <v>0</v>
      </c>
      <c r="M142" s="152"/>
      <c r="N142" s="222">
        <f t="shared" si="86"/>
        <v>-251.65659999999997</v>
      </c>
      <c r="O142" s="152"/>
      <c r="Q142" s="201">
        <f>+SUM(START:END!Q142)</f>
        <v>15.309999999999999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85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-85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970.85819212775982</v>
      </c>
      <c r="G144" s="240"/>
      <c r="I144" s="198">
        <f>+SUM(START:END!I144)</f>
        <v>0</v>
      </c>
      <c r="J144" s="152"/>
      <c r="L144" s="200">
        <f>+SUM(START:END!L144)</f>
        <v>1317.15</v>
      </c>
      <c r="M144" s="152"/>
      <c r="N144" s="222">
        <f t="shared" si="86"/>
        <v>346.29180787224027</v>
      </c>
      <c r="O144" s="152"/>
      <c r="Q144" s="200">
        <f>+SUM(START:END!Q144)</f>
        <v>620.46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188.29366453272999</v>
      </c>
      <c r="G145" s="240"/>
      <c r="I145" s="198">
        <f>+SUM(START:END!I145)</f>
        <v>0</v>
      </c>
      <c r="J145" s="152"/>
      <c r="L145" s="201">
        <f>+SUM(START:END!L145)</f>
        <v>219.49</v>
      </c>
      <c r="M145" s="152"/>
      <c r="N145" s="222">
        <f t="shared" si="86"/>
        <v>31.196335467270018</v>
      </c>
      <c r="O145" s="152"/>
      <c r="Q145" s="201">
        <f>+SUM(START:END!Q145)</f>
        <v>125.67999999999999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144.65053241446998</v>
      </c>
      <c r="G146" s="240"/>
      <c r="I146" s="198">
        <f>+SUM(START:END!I146)</f>
        <v>0</v>
      </c>
      <c r="J146" s="152"/>
      <c r="L146" s="201">
        <f>+SUM(START:END!L146)</f>
        <v>243.38</v>
      </c>
      <c r="M146" s="152"/>
      <c r="N146" s="222">
        <f t="shared" si="86"/>
        <v>98.729467585530017</v>
      </c>
      <c r="O146" s="152"/>
      <c r="Q146" s="201">
        <f>+SUM(START:END!Q146)</f>
        <v>20.28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322.05485231393004</v>
      </c>
      <c r="G147" s="240"/>
      <c r="I147" s="198">
        <f>+SUM(START:END!I147)</f>
        <v>0</v>
      </c>
      <c r="J147" s="152"/>
      <c r="L147" s="201">
        <f>+SUM(START:END!L147)</f>
        <v>110.80999999999999</v>
      </c>
      <c r="M147" s="152"/>
      <c r="N147" s="222">
        <f t="shared" si="86"/>
        <v>-211.24485231393004</v>
      </c>
      <c r="O147" s="152"/>
      <c r="Q147" s="201">
        <f>+SUM(START:END!Q147)</f>
        <v>161.66000000000003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655.39311509095455</v>
      </c>
      <c r="G148" s="240"/>
      <c r="I148" s="198">
        <f>+SUM(START:END!I148)</f>
        <v>0</v>
      </c>
      <c r="J148" s="152"/>
      <c r="L148" s="201">
        <f>+SUM(START:END!L148)</f>
        <v>1972.19</v>
      </c>
      <c r="M148" s="152"/>
      <c r="N148" s="222">
        <f t="shared" si="86"/>
        <v>1316.7968849090455</v>
      </c>
      <c r="O148" s="152"/>
      <c r="Q148" s="201">
        <f>+SUM(START:END!Q148)</f>
        <v>195.84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2589.5026027930126</v>
      </c>
      <c r="G149" s="240"/>
      <c r="I149" s="198">
        <f>+SUM(START:END!I149)</f>
        <v>0</v>
      </c>
      <c r="J149" s="152"/>
      <c r="L149" s="201">
        <f>+SUM(START:END!L149)</f>
        <v>2833.01</v>
      </c>
      <c r="M149" s="152"/>
      <c r="N149" s="222">
        <f t="shared" si="86"/>
        <v>243.50739720698766</v>
      </c>
      <c r="O149" s="152"/>
      <c r="Q149" s="201">
        <f>+SUM(START:END!Q149)</f>
        <v>2767.12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6.489097205227308E-2</v>
      </c>
      <c r="F153" s="251">
        <f>+SUM(F136:F152)</f>
        <v>26196.485417502641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8.4801523716226027E-2</v>
      </c>
      <c r="L153" s="251">
        <f>+SUM(L136:L152)</f>
        <v>33573.410000000003</v>
      </c>
      <c r="M153" s="254"/>
      <c r="N153" s="251">
        <f>+SUM(N136:N152)</f>
        <v>7376.9245824973586</v>
      </c>
      <c r="O153" s="252" t="s">
        <v>39</v>
      </c>
      <c r="P153" s="42">
        <f>Q153/Q$108</f>
        <v>0.11804168917396685</v>
      </c>
      <c r="Q153" s="251">
        <f>+SUM(Q136:Q152)</f>
        <v>23242.299999999996</v>
      </c>
      <c r="R153" s="254"/>
      <c r="S153" s="255">
        <f t="shared" si="85"/>
        <v>10331.110000000008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0.92787822528918795</v>
      </c>
      <c r="F155" s="251">
        <f>F122+F135+F153</f>
        <v>374584.43954924517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0.79608620981347755</v>
      </c>
      <c r="L155" s="251">
        <f>L122+L135+L153</f>
        <v>315175.09999999998</v>
      </c>
      <c r="M155" s="254"/>
      <c r="N155" s="251">
        <f>N122+N135+N153</f>
        <v>-59409.339549245182</v>
      </c>
      <c r="O155" s="252" t="s">
        <v>39</v>
      </c>
      <c r="P155" s="42">
        <f>Q155/Q$108</f>
        <v>1.5856407759751872</v>
      </c>
      <c r="Q155" s="251">
        <f>Q122+Q135+Q153</f>
        <v>312211.20999999996</v>
      </c>
      <c r="R155" s="254"/>
      <c r="S155" s="260">
        <f>L155-Q155</f>
        <v>2963.890000000014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0"/>
      <c r="H156" s="72"/>
      <c r="I156" s="198">
        <f>+SUM(START:END!I156)</f>
        <v>0</v>
      </c>
      <c r="J156" s="290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0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0"/>
      <c r="H157" s="72"/>
      <c r="I157" s="198">
        <f>+SUM(START:END!I157)</f>
        <v>0</v>
      </c>
      <c r="J157" s="290"/>
      <c r="K157" s="72"/>
      <c r="L157" s="201">
        <f>+SUM(START:END!L157)</f>
        <v>0</v>
      </c>
      <c r="M157" s="152"/>
      <c r="N157" s="222">
        <f t="shared" si="88"/>
        <v>0</v>
      </c>
      <c r="O157" s="290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40558.35</v>
      </c>
      <c r="G159" s="240"/>
      <c r="I159" s="198">
        <f>+SUM(START:END!I159)</f>
        <v>0</v>
      </c>
      <c r="J159" s="152"/>
      <c r="L159" s="200">
        <f>+SUM(START:END!L159)</f>
        <v>42552</v>
      </c>
      <c r="M159" s="152"/>
      <c r="N159" s="222">
        <f t="shared" si="88"/>
        <v>1993.6500000000015</v>
      </c>
      <c r="O159" s="152"/>
      <c r="Q159" s="201">
        <f>+SUM(START:END!Q159)</f>
        <v>30772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40558.35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42552</v>
      </c>
      <c r="M163" s="254"/>
      <c r="N163" s="251">
        <f>+SUM(N156:N162)</f>
        <v>1993.6500000000015</v>
      </c>
      <c r="O163" s="252"/>
      <c r="P163" s="42"/>
      <c r="Q163" s="251">
        <f>+SUM(Q156:Q162)</f>
        <v>30772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0" t="s">
        <v>72</v>
      </c>
      <c r="D165" s="291"/>
      <c r="E165" s="271"/>
      <c r="F165" s="273">
        <f>F108-F155+F163</f>
        <v>69673.910450754833</v>
      </c>
      <c r="G165" s="292"/>
      <c r="H165" s="271"/>
      <c r="I165" s="273">
        <f>I108-I155+I163</f>
        <v>0</v>
      </c>
      <c r="J165" s="293"/>
      <c r="K165" s="272"/>
      <c r="L165" s="273">
        <f>L108-L155+L163</f>
        <v>123282.6399999999</v>
      </c>
      <c r="M165" s="293"/>
      <c r="N165" s="273">
        <f>N108-N155+N163</f>
        <v>53608.729549245079</v>
      </c>
      <c r="O165" s="293"/>
      <c r="P165" s="272"/>
      <c r="Q165" s="273">
        <f>Q108-Q155+Q163</f>
        <v>-84540.130000000267</v>
      </c>
      <c r="R165" s="293"/>
      <c r="S165" s="275">
        <f>L165-Q165</f>
        <v>207822.77000000016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39"/>
      <c r="D170" s="876" t="s">
        <v>5</v>
      </c>
      <c r="E170" s="876"/>
      <c r="F170" s="877"/>
      <c r="G170" s="868" t="s">
        <v>74</v>
      </c>
      <c r="H170" s="869"/>
      <c r="I170" s="870"/>
      <c r="J170" s="871" t="s">
        <v>7</v>
      </c>
      <c r="K170" s="869"/>
      <c r="L170" s="870"/>
      <c r="M170" s="871" t="s">
        <v>9</v>
      </c>
      <c r="N170" s="870"/>
      <c r="O170" s="868" t="s">
        <v>8</v>
      </c>
      <c r="P170" s="869"/>
      <c r="Q170" s="870"/>
      <c r="R170" s="871" t="s">
        <v>217</v>
      </c>
      <c r="S170" s="872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0"/>
      <c r="D171" s="175" t="s">
        <v>40</v>
      </c>
      <c r="E171" s="175" t="s">
        <v>84</v>
      </c>
      <c r="F171" s="441" t="s">
        <v>12</v>
      </c>
      <c r="G171" s="276" t="s">
        <v>40</v>
      </c>
      <c r="H171" s="276" t="s">
        <v>84</v>
      </c>
      <c r="I171" s="295" t="s">
        <v>12</v>
      </c>
      <c r="J171" s="175" t="s">
        <v>40</v>
      </c>
      <c r="K171" s="175" t="s">
        <v>84</v>
      </c>
      <c r="L171" s="277" t="s">
        <v>12</v>
      </c>
      <c r="M171" s="278" t="s">
        <v>40</v>
      </c>
      <c r="N171" s="277" t="s">
        <v>12</v>
      </c>
      <c r="O171" s="175" t="s">
        <v>40</v>
      </c>
      <c r="P171" s="175" t="s">
        <v>84</v>
      </c>
      <c r="Q171" s="277" t="s">
        <v>12</v>
      </c>
      <c r="R171" s="278" t="s">
        <v>85</v>
      </c>
      <c r="S171" s="279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0" t="s">
        <v>86</v>
      </c>
      <c r="D172" s="174">
        <f>+SUM(START:END!D172)</f>
        <v>1714.856</v>
      </c>
      <c r="E172" s="26">
        <f>+SUM(START:END!E172)</f>
        <v>583051.04</v>
      </c>
      <c r="F172" s="442">
        <f>+SUM(START:END!F172)</f>
        <v>454779.8112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1877</v>
      </c>
      <c r="K172" s="26">
        <f>+SUM(START:END!K172)</f>
        <v>563818.31999999995</v>
      </c>
      <c r="L172" s="26">
        <f>+SUM(START:END!L172)</f>
        <v>440060.86</v>
      </c>
      <c r="M172" s="296">
        <f>(K172-E172)/E172</f>
        <v>-3.2986340269627316E-2</v>
      </c>
      <c r="N172" s="222">
        <f t="shared" ref="N172" si="92">L172-F172</f>
        <v>-14718.95120000001</v>
      </c>
      <c r="O172" s="174">
        <f>+SUM(START:END!O172)</f>
        <v>1754</v>
      </c>
      <c r="P172" s="26">
        <f>+SUM(START:END!P172)</f>
        <v>541966.77</v>
      </c>
      <c r="Q172" s="26">
        <f>+SUM(START:END!Q172)</f>
        <v>425927.23</v>
      </c>
      <c r="R172" s="296">
        <f>IF(O172=0,0,J172/O172)</f>
        <v>1.0701254275940706</v>
      </c>
      <c r="S172" s="242">
        <f>L172-Q172</f>
        <v>14133.630000000005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0" t="s">
        <v>87</v>
      </c>
      <c r="E173" s="31"/>
      <c r="F173" s="443">
        <f>F172/E172</f>
        <v>0.77999999999999992</v>
      </c>
      <c r="H173" s="31"/>
      <c r="I173" s="157" t="e">
        <f>I172/H172</f>
        <v>#DIV/0!</v>
      </c>
      <c r="K173" s="31"/>
      <c r="L173" s="157">
        <f>L172/K172</f>
        <v>0.78050117278913533</v>
      </c>
      <c r="M173" s="296"/>
      <c r="N173" s="222"/>
      <c r="P173" s="31"/>
      <c r="Q173" s="157">
        <f>Q172/P172</f>
        <v>0.7858917807820579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4"/>
      <c r="D174" s="7"/>
      <c r="E174" s="35">
        <f t="shared" ref="E174" si="93">IFERROR(E172/D172,0)</f>
        <v>340</v>
      </c>
      <c r="F174" s="445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300.3826957911561</v>
      </c>
      <c r="L174" s="155"/>
      <c r="M174" s="297"/>
      <c r="N174" s="247"/>
      <c r="O174" s="7"/>
      <c r="P174" s="35">
        <f t="shared" ref="P174" si="96">IFERROR(P172/O172,0)</f>
        <v>308.98903648802735</v>
      </c>
      <c r="Q174" s="155"/>
      <c r="R174" s="298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6" t="s">
        <v>88</v>
      </c>
      <c r="D175" s="57">
        <f>+SUM(START:END!D175)</f>
        <v>332.90999999999997</v>
      </c>
      <c r="E175" s="26">
        <f>+SUM(START:END!E175)</f>
        <v>89885.7</v>
      </c>
      <c r="F175" s="442">
        <f>+SUM(START:END!F175)</f>
        <v>57526.847999999998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600</v>
      </c>
      <c r="K175" s="26">
        <f>+SUM(START:END!K175)</f>
        <v>141557.07999999999</v>
      </c>
      <c r="L175" s="26">
        <f>+SUM(START:END!L175)</f>
        <v>86999.959999999992</v>
      </c>
      <c r="M175" s="296">
        <f>(K175-E175)/E175</f>
        <v>0.57485651221495737</v>
      </c>
      <c r="N175" s="258">
        <f t="shared" ref="N175" si="97">L175-F175</f>
        <v>29473.111999999994</v>
      </c>
      <c r="O175" s="57">
        <f>+SUM(START:END!O175)</f>
        <v>317</v>
      </c>
      <c r="P175" s="26">
        <f>+SUM(START:END!P175)</f>
        <v>96033.549999999988</v>
      </c>
      <c r="Q175" s="26">
        <f>+SUM(START:END!Q175)</f>
        <v>63293.549999999799</v>
      </c>
      <c r="R175" s="296">
        <f>IF(O175=0,0,J175/O175)</f>
        <v>1.8927444794952681</v>
      </c>
      <c r="S175" s="242">
        <f>L175-Q175</f>
        <v>23706.410000000193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0" t="s">
        <v>87</v>
      </c>
      <c r="F176" s="443">
        <f>F175/E175</f>
        <v>0.64</v>
      </c>
      <c r="I176" s="157" t="e">
        <f>I175/H175</f>
        <v>#DIV/0!</v>
      </c>
      <c r="L176" s="157">
        <f>L175/K175</f>
        <v>0.61459278476216095</v>
      </c>
      <c r="M176" s="170"/>
      <c r="N176" s="171"/>
      <c r="Q176" s="157">
        <f>Q175/P175</f>
        <v>0.65907747865198996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4"/>
      <c r="D177" s="300"/>
      <c r="E177" s="7"/>
      <c r="F177" s="445"/>
      <c r="G177" s="7"/>
      <c r="H177" s="7"/>
      <c r="I177" s="155"/>
      <c r="J177" s="7"/>
      <c r="K177" s="7"/>
      <c r="L177" s="155"/>
      <c r="M177" s="301"/>
      <c r="N177" s="302"/>
      <c r="O177" s="7"/>
      <c r="P177" s="7"/>
      <c r="Q177" s="155"/>
      <c r="R177" s="301"/>
      <c r="S177" s="303"/>
    </row>
    <row r="178" spans="1:25" ht="15.75" customHeight="1">
      <c r="A178" s="23" t="str">
        <f t="shared" si="91"/>
        <v>ServiceM/O Interne</v>
      </c>
      <c r="B178" s="184" t="s">
        <v>83</v>
      </c>
      <c r="C178" s="440" t="s">
        <v>89</v>
      </c>
      <c r="D178" s="174">
        <f>+SUM(START:END!D178)</f>
        <v>731.56600000000003</v>
      </c>
      <c r="E178" s="26">
        <f>+SUM(START:END!E178)</f>
        <v>224605.39331999997</v>
      </c>
      <c r="F178" s="442">
        <f>+SUM(START:END!F178)</f>
        <v>166207.99105679998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732</v>
      </c>
      <c r="K178" s="26">
        <f>+SUM(START:END!K178)</f>
        <v>232160.1</v>
      </c>
      <c r="L178" s="26">
        <f>+SUM(START:END!L178)</f>
        <v>178067.40999999997</v>
      </c>
      <c r="M178" s="296">
        <f>(K178-E178)/E178</f>
        <v>3.363546426170045E-2</v>
      </c>
      <c r="N178" s="222">
        <f t="shared" ref="N178" si="98">L178-F178</f>
        <v>11859.418943199998</v>
      </c>
      <c r="O178" s="23">
        <f>+SUM(START:END!O178)</f>
        <v>705</v>
      </c>
      <c r="P178" s="26">
        <f>+SUM(START:END!P178)</f>
        <v>204392.36</v>
      </c>
      <c r="Q178" s="26">
        <f>+SUM(START:END!Q178)</f>
        <v>156841.32999999978</v>
      </c>
      <c r="R178" s="296">
        <f>IF(O178=0,0,J178/O178)</f>
        <v>1.0382978723404255</v>
      </c>
      <c r="S178" s="242">
        <f>L178-Q178</f>
        <v>21226.080000000191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0" t="s">
        <v>87</v>
      </c>
      <c r="E179" s="31"/>
      <c r="F179" s="443">
        <f>F178/E178</f>
        <v>0.74</v>
      </c>
      <c r="H179" s="31"/>
      <c r="I179" s="157" t="e">
        <f>I178/H178</f>
        <v>#DIV/0!</v>
      </c>
      <c r="K179" s="31"/>
      <c r="L179" s="157">
        <f>L178/K178</f>
        <v>0.76700264171147403</v>
      </c>
      <c r="M179" s="296"/>
      <c r="N179" s="222">
        <f>L179-F179</f>
        <v>2.700264171147404E-2</v>
      </c>
      <c r="P179" s="31"/>
      <c r="Q179" s="157">
        <f>Q178/P178</f>
        <v>0.76735417116373528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0"/>
      <c r="E180" s="304"/>
      <c r="F180" s="447"/>
      <c r="H180" s="304"/>
      <c r="I180" s="306"/>
      <c r="K180" s="304"/>
      <c r="L180" s="306"/>
      <c r="M180" s="296"/>
      <c r="N180" s="222"/>
      <c r="P180" s="304"/>
      <c r="Q180" s="306"/>
      <c r="R180" s="307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6" t="s">
        <v>90</v>
      </c>
      <c r="D181" s="308">
        <f>+SUM(START:END!D181)</f>
        <v>270.04000000000002</v>
      </c>
      <c r="E181" s="26">
        <f>+SUM(START:END!E181)</f>
        <v>72910.8</v>
      </c>
      <c r="F181" s="442">
        <f>+SUM(START:END!F181)</f>
        <v>54683.100000000006</v>
      </c>
      <c r="G181" s="308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58334.9</v>
      </c>
      <c r="L181" s="26">
        <f>+SUM(START:END!L181)</f>
        <v>46962.25</v>
      </c>
      <c r="M181" s="310">
        <f>IF(H181=0,0,(K181-H181)/H181)</f>
        <v>0</v>
      </c>
      <c r="N181" s="258">
        <f t="shared" ref="N181" si="99">L181-F181</f>
        <v>-7720.8500000000058</v>
      </c>
      <c r="O181" s="53">
        <f>+SUM(START:END!O181)</f>
        <v>0</v>
      </c>
      <c r="P181" s="26">
        <f>+SUM(START:END!P181)</f>
        <v>67603.509999999995</v>
      </c>
      <c r="Q181" s="26">
        <f>+SUM(START:END!Q181)</f>
        <v>48831.61</v>
      </c>
      <c r="R181" s="296">
        <f>IF(O181=0,0,J181/O181)</f>
        <v>0</v>
      </c>
      <c r="S181" s="259">
        <f>L181-Q181</f>
        <v>-1869.3600000000006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0" t="s">
        <v>87</v>
      </c>
      <c r="D182" s="73"/>
      <c r="E182" s="311"/>
      <c r="F182" s="443">
        <f>IFERROR(F181/E181,0)</f>
        <v>0.75</v>
      </c>
      <c r="G182" s="73"/>
      <c r="H182" s="311"/>
      <c r="I182" s="157">
        <f>IFERROR(I181/H181,0)</f>
        <v>0</v>
      </c>
      <c r="J182" s="73"/>
      <c r="K182" s="311"/>
      <c r="L182" s="157">
        <f>IFERROR(L181/K181,0)</f>
        <v>0.80504552163456178</v>
      </c>
      <c r="M182" s="223">
        <f>J182-G182</f>
        <v>0</v>
      </c>
      <c r="N182" s="312"/>
      <c r="O182" s="73"/>
      <c r="P182" s="311"/>
      <c r="Q182" s="157">
        <f>IFERROR(Q181/P181,0)</f>
        <v>0.72232358941125996</v>
      </c>
      <c r="R182" s="152"/>
      <c r="S182" s="313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4"/>
      <c r="D183" s="314"/>
      <c r="E183" s="315"/>
      <c r="F183" s="445"/>
      <c r="G183" s="314"/>
      <c r="H183" s="315"/>
      <c r="I183" s="155"/>
      <c r="J183" s="314"/>
      <c r="K183" s="315"/>
      <c r="L183" s="155"/>
      <c r="M183" s="298"/>
      <c r="N183" s="316"/>
      <c r="O183" s="314"/>
      <c r="P183" s="315"/>
      <c r="Q183" s="155"/>
      <c r="R183" s="153"/>
      <c r="S183" s="317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0" t="s">
        <v>91</v>
      </c>
      <c r="F184" s="442">
        <f>+SUM(START:END!F184)</f>
        <v>-11270.196115877585</v>
      </c>
      <c r="I184" s="222">
        <f>+SUM(START:END!I184)</f>
        <v>0</v>
      </c>
      <c r="L184" s="222">
        <f>+SUM(START:END!L184)</f>
        <v>-6280.01</v>
      </c>
      <c r="M184" s="318"/>
      <c r="N184" s="222">
        <f t="shared" ref="N184" si="100">L184-F184</f>
        <v>4990.1861158775846</v>
      </c>
      <c r="Q184" s="222">
        <f>+SUM(START:END!Q184)</f>
        <v>-7626</v>
      </c>
      <c r="R184" s="319"/>
      <c r="S184" s="242">
        <f t="shared" ref="S184:S185" si="101">L184-Q184</f>
        <v>1345.9899999999998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8" t="s">
        <v>92</v>
      </c>
      <c r="D185" s="320"/>
      <c r="E185" s="320">
        <f t="shared" ref="E185" si="102">E172+E175+E178+E181+E184</f>
        <v>970452.93332000007</v>
      </c>
      <c r="F185" s="449">
        <f>F172+F175+F178+F181+F184</f>
        <v>721927.55414092238</v>
      </c>
      <c r="G185" s="320"/>
      <c r="H185" s="320">
        <f t="shared" ref="H185:I185" si="103">H172+H175+H178+H181+H184</f>
        <v>0</v>
      </c>
      <c r="I185" s="321">
        <f t="shared" si="103"/>
        <v>0</v>
      </c>
      <c r="J185" s="320"/>
      <c r="K185" s="320">
        <f t="shared" ref="K185:L185" si="104">K172+K175+K178+K181+K184</f>
        <v>995870.39999999991</v>
      </c>
      <c r="L185" s="321">
        <f t="shared" si="104"/>
        <v>745810.47</v>
      </c>
      <c r="M185" s="322">
        <f>(K185-E185)/E185</f>
        <v>2.6191344069665053E-2</v>
      </c>
      <c r="N185" s="321">
        <f t="shared" ref="N185" si="105">N172+N175+N178+N181+N184</f>
        <v>23882.915859077562</v>
      </c>
      <c r="O185" s="320"/>
      <c r="P185" s="320">
        <f t="shared" ref="P185:Q185" si="106">P172+P175+P178+P181+P184</f>
        <v>909996.19000000006</v>
      </c>
      <c r="Q185" s="321">
        <f t="shared" si="106"/>
        <v>687267.71999999962</v>
      </c>
      <c r="R185" s="170">
        <f>IF(O185=0,0,J185/O185)</f>
        <v>0</v>
      </c>
      <c r="S185" s="323">
        <f t="shared" si="101"/>
        <v>58542.750000000349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0" t="s">
        <v>93</v>
      </c>
      <c r="D186" s="324"/>
      <c r="E186" s="324"/>
      <c r="F186" s="451">
        <f>F185/E185</f>
        <v>0.74390784895785544</v>
      </c>
      <c r="G186" s="324"/>
      <c r="H186" s="324"/>
      <c r="I186" s="326" t="e">
        <f>I185/H185</f>
        <v>#DIV/0!</v>
      </c>
      <c r="J186" s="324"/>
      <c r="K186" s="324"/>
      <c r="L186" s="326">
        <f>L185/K185</f>
        <v>0.74890314040863148</v>
      </c>
      <c r="M186" s="325"/>
      <c r="N186" s="326"/>
      <c r="O186" s="324"/>
      <c r="P186" s="324"/>
      <c r="Q186" s="326">
        <f>Q185/P185</f>
        <v>0.75524241480615384</v>
      </c>
      <c r="R186" s="325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2"/>
      <c r="D187" s="83"/>
      <c r="E187" s="327"/>
      <c r="F187" s="453"/>
      <c r="G187" s="83"/>
      <c r="H187" s="327"/>
      <c r="I187" s="329"/>
      <c r="J187" s="83"/>
      <c r="K187" s="327"/>
      <c r="L187" s="329"/>
      <c r="M187" s="328"/>
      <c r="N187" s="329"/>
      <c r="O187" s="83"/>
      <c r="P187" s="327"/>
      <c r="Q187" s="329"/>
      <c r="R187" s="328"/>
      <c r="S187" s="330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0" t="s">
        <v>94</v>
      </c>
      <c r="D188" s="26"/>
      <c r="E188" s="26">
        <f>+SUM(START:END!E188)</f>
        <v>51339.815999999999</v>
      </c>
      <c r="F188" s="442">
        <f>+SUM(START:END!F188)</f>
        <v>9035.8076160000001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62918.25</v>
      </c>
      <c r="L188" s="26">
        <f>+SUM(START:END!L188)</f>
        <v>13209.469999999998</v>
      </c>
      <c r="M188" s="241">
        <f>IF(H188=0,0,(K188-H188)/H188)</f>
        <v>0</v>
      </c>
      <c r="N188" s="222">
        <f t="shared" ref="N188" si="107">L188-F188</f>
        <v>4173.6623839999975</v>
      </c>
      <c r="O188" s="26"/>
      <c r="P188" s="26">
        <f>+SUM(START:END!P188)</f>
        <v>66564</v>
      </c>
      <c r="Q188" s="26">
        <f>+SUM(START:END!Q188)</f>
        <v>13100.35999999999</v>
      </c>
      <c r="R188" s="296">
        <f>IF(O188=0,0,J188/O188)</f>
        <v>0</v>
      </c>
      <c r="S188" s="242">
        <f>L188-Q188</f>
        <v>109.11000000000786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0" t="s">
        <v>87</v>
      </c>
      <c r="E189" s="31"/>
      <c r="F189" s="443">
        <f>IFERROR(F188/E188,0)</f>
        <v>0.17600000000000002</v>
      </c>
      <c r="H189" s="31"/>
      <c r="I189" s="157">
        <f>IFERROR(I188/H188,0)</f>
        <v>0</v>
      </c>
      <c r="K189" s="31"/>
      <c r="L189" s="157">
        <f>IFERROR(L188/K188,0)</f>
        <v>0.20994655763629785</v>
      </c>
      <c r="M189" s="318"/>
      <c r="N189" s="312"/>
      <c r="P189" s="31"/>
      <c r="Q189" s="157">
        <f>IFERROR(Q188/P188,0)</f>
        <v>0.19680848506700302</v>
      </c>
      <c r="R189" s="318"/>
      <c r="S189" s="313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0"/>
      <c r="E190" s="31"/>
      <c r="F190" s="443"/>
      <c r="H190" s="31"/>
      <c r="I190" s="157"/>
      <c r="K190" s="31"/>
      <c r="L190" s="157"/>
      <c r="M190" s="318"/>
      <c r="N190" s="312"/>
      <c r="P190" s="31"/>
      <c r="Q190" s="157"/>
      <c r="R190" s="318"/>
      <c r="S190" s="313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0" t="s">
        <v>95</v>
      </c>
      <c r="E191" s="26">
        <f>+SUM(START:END!E191)</f>
        <v>55900</v>
      </c>
      <c r="F191" s="442">
        <f>+SUM(START:END!F191)</f>
        <v>39130</v>
      </c>
      <c r="H191" s="26">
        <f>+SUM(START:END!H191)</f>
        <v>0</v>
      </c>
      <c r="I191" s="222">
        <f>+SUM(START:END!I191)</f>
        <v>0</v>
      </c>
      <c r="K191" s="26">
        <f>+SUM(START:END!K191)</f>
        <v>36175.199999999997</v>
      </c>
      <c r="L191" s="26">
        <f>+SUM(START:END!L191)</f>
        <v>25204.449999999997</v>
      </c>
      <c r="M191" s="318"/>
      <c r="N191" s="222">
        <f t="shared" ref="N191" si="108">L191-F191</f>
        <v>-13925.550000000003</v>
      </c>
      <c r="P191" s="26">
        <f>+SUM(START:END!P191)</f>
        <v>37745.24</v>
      </c>
      <c r="Q191" s="26">
        <f>+SUM(START:END!Q191)</f>
        <v>26469.260000000002</v>
      </c>
      <c r="R191" s="318"/>
      <c r="S191" s="313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0" t="s">
        <v>87</v>
      </c>
      <c r="E192" s="31"/>
      <c r="F192" s="443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0.69673284460072094</v>
      </c>
      <c r="M192" s="318"/>
      <c r="N192" s="312"/>
      <c r="P192" s="31"/>
      <c r="Q192" s="157">
        <f>IF(Q191=0,0,Q191/P191)</f>
        <v>0.70126087421884198</v>
      </c>
      <c r="R192" s="318"/>
      <c r="S192" s="313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4"/>
      <c r="D193" s="93"/>
      <c r="E193" s="331"/>
      <c r="F193" s="455"/>
      <c r="G193" s="93"/>
      <c r="H193" s="331"/>
      <c r="I193" s="333"/>
      <c r="J193" s="93"/>
      <c r="K193" s="331"/>
      <c r="L193" s="333"/>
      <c r="M193" s="332"/>
      <c r="N193" s="333"/>
      <c r="O193" s="93"/>
      <c r="P193" s="331"/>
      <c r="Q193" s="333"/>
      <c r="R193" s="332"/>
      <c r="S193" s="334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6" t="s">
        <v>96</v>
      </c>
      <c r="D194" s="226"/>
      <c r="E194" s="226">
        <f t="shared" ref="E194:F194" si="109">E185+E188+E191</f>
        <v>1077692.7493199999</v>
      </c>
      <c r="F194" s="457">
        <f t="shared" si="109"/>
        <v>770093.36175692233</v>
      </c>
      <c r="G194" s="226"/>
      <c r="H194" s="226">
        <f t="shared" ref="H194:I194" si="110">H185+H188+H191</f>
        <v>0</v>
      </c>
      <c r="I194" s="228">
        <f t="shared" si="110"/>
        <v>0</v>
      </c>
      <c r="J194" s="226"/>
      <c r="K194" s="226">
        <f t="shared" ref="K194:N194" si="111">K185+K188+K191</f>
        <v>1094963.8499999999</v>
      </c>
      <c r="L194" s="228">
        <f t="shared" si="111"/>
        <v>784224.3899999999</v>
      </c>
      <c r="M194" s="335">
        <f>L195-F195</f>
        <v>1.6343136811173276E-3</v>
      </c>
      <c r="N194" s="228">
        <f t="shared" si="111"/>
        <v>14131.028243077555</v>
      </c>
      <c r="O194" s="226"/>
      <c r="P194" s="226">
        <f t="shared" ref="P194:Q194" si="112">P185+P188+P191</f>
        <v>1014305.43</v>
      </c>
      <c r="Q194" s="228">
        <f t="shared" si="112"/>
        <v>726837.33999999962</v>
      </c>
      <c r="R194" s="335">
        <f>L195-Q195</f>
        <v>-3.7596305686349307E-4</v>
      </c>
      <c r="S194" s="231">
        <f>L194-Q194</f>
        <v>57387.050000000279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8"/>
      <c r="D195" s="233"/>
      <c r="E195" s="233"/>
      <c r="F195" s="459">
        <f>F194/E194</f>
        <v>0.71457598860420468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0.71621030228532201</v>
      </c>
      <c r="M195" s="236"/>
      <c r="N195" s="166">
        <f>N194/F194</f>
        <v>1.8349759840597057E-2</v>
      </c>
      <c r="O195" s="233"/>
      <c r="P195" s="233"/>
      <c r="Q195" s="166">
        <f>Q194/P194</f>
        <v>0.7165862653421855</v>
      </c>
      <c r="R195" s="236"/>
      <c r="S195" s="237">
        <f>L194/S194</f>
        <v>13.66552889545631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0"/>
      <c r="D196" s="73"/>
      <c r="E196" s="73"/>
      <c r="F196" s="461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2" t="s">
        <v>30</v>
      </c>
      <c r="F197" s="442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0" t="s">
        <v>41</v>
      </c>
      <c r="F198" s="463">
        <f>+SUM(START:END!F198)</f>
        <v>49999.206250000003</v>
      </c>
      <c r="G198" s="437"/>
      <c r="H198" s="337"/>
      <c r="I198" s="339">
        <f>+SUM(START:END!I198)</f>
        <v>0</v>
      </c>
      <c r="J198" s="337"/>
      <c r="K198" s="337"/>
      <c r="L198" s="337">
        <f>+SUM(START:END!L198)</f>
        <v>46526.07</v>
      </c>
      <c r="M198" s="338"/>
      <c r="N198" s="339">
        <f t="shared" ref="N198:N208" si="113">L198-F198</f>
        <v>-3473.1362500000032</v>
      </c>
      <c r="O198" s="337"/>
      <c r="P198" s="337"/>
      <c r="Q198" s="337">
        <f>+SUM(START:END!Q198)</f>
        <v>42367.96</v>
      </c>
      <c r="R198" s="338"/>
      <c r="S198" s="340">
        <f>L198-Q198</f>
        <v>4158.1100000000006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4" t="s">
        <v>42</v>
      </c>
      <c r="D199" s="30"/>
      <c r="F199" s="464">
        <f>+SUM(START:END!F199)</f>
        <v>27134.095600000001</v>
      </c>
      <c r="G199" s="438"/>
      <c r="H199" s="337"/>
      <c r="I199" s="341">
        <f>+SUM(START:END!I199)</f>
        <v>0</v>
      </c>
      <c r="J199" s="342"/>
      <c r="K199" s="337"/>
      <c r="L199" s="341">
        <f>+SUM(START:END!L199)</f>
        <v>22944.97</v>
      </c>
      <c r="M199" s="338"/>
      <c r="N199" s="339">
        <f t="shared" si="113"/>
        <v>-4189.1255999999994</v>
      </c>
      <c r="O199" s="342"/>
      <c r="P199" s="337"/>
      <c r="Q199" s="341">
        <f>+SUM(START:END!Q199)</f>
        <v>22768.55</v>
      </c>
      <c r="R199" s="338"/>
      <c r="S199" s="340">
        <f t="shared" ref="S199:S208" si="114">L199-Q199</f>
        <v>176.42000000000189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0" t="s">
        <v>43</v>
      </c>
      <c r="D200" s="52"/>
      <c r="E200" s="53"/>
      <c r="F200" s="463">
        <f>+SUM(START:END!F200)</f>
        <v>50920.274999999994</v>
      </c>
      <c r="G200" s="344"/>
      <c r="H200" s="343"/>
      <c r="I200" s="339">
        <f>+SUM(START:END!I200)</f>
        <v>0</v>
      </c>
      <c r="J200" s="344"/>
      <c r="K200" s="343"/>
      <c r="L200" s="337">
        <f>+SUM(START:END!L200)</f>
        <v>62955.68</v>
      </c>
      <c r="M200" s="345"/>
      <c r="N200" s="346">
        <f t="shared" si="113"/>
        <v>12035.405000000006</v>
      </c>
      <c r="O200" s="344"/>
      <c r="P200" s="343"/>
      <c r="Q200" s="337">
        <f>+SUM(START:END!Q200)</f>
        <v>60487.62000000001</v>
      </c>
      <c r="R200" s="345"/>
      <c r="S200" s="347">
        <f t="shared" si="114"/>
        <v>2468.0599999999904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0" t="s">
        <v>44</v>
      </c>
      <c r="D201" s="30"/>
      <c r="F201" s="463">
        <f>+SUM(START:END!F201)</f>
        <v>98101.354591999989</v>
      </c>
      <c r="G201" s="438"/>
      <c r="H201" s="337"/>
      <c r="I201" s="339">
        <f>+SUM(START:END!I201)</f>
        <v>0</v>
      </c>
      <c r="J201" s="342"/>
      <c r="K201" s="337"/>
      <c r="L201" s="337">
        <f>+SUM(START:END!L201)</f>
        <v>78907.55</v>
      </c>
      <c r="M201" s="338"/>
      <c r="N201" s="339">
        <f t="shared" si="113"/>
        <v>-19193.804591999986</v>
      </c>
      <c r="O201" s="342"/>
      <c r="P201" s="337"/>
      <c r="Q201" s="337">
        <f>+SUM(START:END!Q201)</f>
        <v>107502.9</v>
      </c>
      <c r="R201" s="338"/>
      <c r="S201" s="340">
        <f t="shared" si="114"/>
        <v>-28595.349999999991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0" t="s">
        <v>20</v>
      </c>
      <c r="D202" s="30"/>
      <c r="F202" s="463">
        <f>+SUM(START:END!F202)</f>
        <v>0</v>
      </c>
      <c r="G202" s="438"/>
      <c r="H202" s="337"/>
      <c r="I202" s="339">
        <f>+SUM(START:END!I202)</f>
        <v>0</v>
      </c>
      <c r="J202" s="342"/>
      <c r="K202" s="337"/>
      <c r="L202" s="337">
        <f>+SUM(START:END!L202)</f>
        <v>0</v>
      </c>
      <c r="M202" s="338"/>
      <c r="N202" s="339">
        <f t="shared" si="113"/>
        <v>0</v>
      </c>
      <c r="O202" s="342"/>
      <c r="P202" s="337"/>
      <c r="Q202" s="337">
        <f>+SUM(START:END!Q202)</f>
        <v>0</v>
      </c>
      <c r="R202" s="338"/>
      <c r="S202" s="340">
        <f t="shared" si="114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0" t="s">
        <v>20</v>
      </c>
      <c r="D203" s="30"/>
      <c r="F203" s="463">
        <f>+SUM(START:END!F203)</f>
        <v>0</v>
      </c>
      <c r="G203" s="438"/>
      <c r="H203" s="337"/>
      <c r="I203" s="339">
        <f>+SUM(START:END!I203)</f>
        <v>0</v>
      </c>
      <c r="J203" s="342"/>
      <c r="K203" s="337"/>
      <c r="L203" s="337">
        <f>+SUM(START:END!L203)</f>
        <v>0</v>
      </c>
      <c r="M203" s="338"/>
      <c r="N203" s="339">
        <f t="shared" si="113"/>
        <v>0</v>
      </c>
      <c r="O203" s="342"/>
      <c r="P203" s="337"/>
      <c r="Q203" s="337">
        <f>+SUM(START:END!Q203)</f>
        <v>0</v>
      </c>
      <c r="R203" s="338"/>
      <c r="S203" s="340">
        <f t="shared" si="114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0" t="s">
        <v>20</v>
      </c>
      <c r="D204" s="30"/>
      <c r="F204" s="463">
        <f>+SUM(START:END!F204)</f>
        <v>0</v>
      </c>
      <c r="G204" s="438"/>
      <c r="H204" s="337"/>
      <c r="I204" s="339">
        <f>+SUM(START:END!I204)</f>
        <v>0</v>
      </c>
      <c r="J204" s="342"/>
      <c r="K204" s="337"/>
      <c r="L204" s="337">
        <f>+SUM(START:END!L204)</f>
        <v>0</v>
      </c>
      <c r="M204" s="338"/>
      <c r="N204" s="339">
        <f t="shared" si="113"/>
        <v>0</v>
      </c>
      <c r="O204" s="342"/>
      <c r="P204" s="337"/>
      <c r="Q204" s="337">
        <f>+SUM(START:END!Q204)</f>
        <v>0</v>
      </c>
      <c r="R204" s="338"/>
      <c r="S204" s="340">
        <f t="shared" si="114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4" t="s">
        <v>45</v>
      </c>
      <c r="D205" s="30"/>
      <c r="F205" s="463">
        <f>+SUM(START:END!F205)</f>
        <v>55064.475130492312</v>
      </c>
      <c r="G205" s="438"/>
      <c r="H205" s="337"/>
      <c r="I205" s="339">
        <f>+SUM(START:END!I205)</f>
        <v>0</v>
      </c>
      <c r="J205" s="342"/>
      <c r="K205" s="337"/>
      <c r="L205" s="337">
        <f>+SUM(START:END!L205)</f>
        <v>53804.74</v>
      </c>
      <c r="M205" s="338"/>
      <c r="N205" s="339">
        <f t="shared" si="113"/>
        <v>-1259.7351304923141</v>
      </c>
      <c r="O205" s="342"/>
      <c r="P205" s="337"/>
      <c r="Q205" s="337">
        <f>+SUM(START:END!Q205)</f>
        <v>60204.4</v>
      </c>
      <c r="R205" s="338"/>
      <c r="S205" s="340">
        <f t="shared" si="114"/>
        <v>-6399.6600000000035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0" t="s">
        <v>46</v>
      </c>
      <c r="D206" s="52"/>
      <c r="E206" s="53"/>
      <c r="F206" s="465">
        <f>+SUM(START:END!F206)</f>
        <v>66950.639365708717</v>
      </c>
      <c r="G206" s="344"/>
      <c r="H206" s="343"/>
      <c r="I206" s="346">
        <f>+SUM(START:END!I206)</f>
        <v>0</v>
      </c>
      <c r="J206" s="344"/>
      <c r="K206" s="343"/>
      <c r="L206" s="346">
        <f>+SUM(START:END!L206)</f>
        <v>66563.14</v>
      </c>
      <c r="M206" s="345"/>
      <c r="N206" s="346">
        <f t="shared" si="113"/>
        <v>-387.49936570871796</v>
      </c>
      <c r="O206" s="344"/>
      <c r="P206" s="343"/>
      <c r="Q206" s="346">
        <f>+SUM(START:END!Q206)</f>
        <v>68863.760000000009</v>
      </c>
      <c r="R206" s="345"/>
      <c r="S206" s="347">
        <f t="shared" si="114"/>
        <v>-2300.6200000000099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0" t="s">
        <v>47</v>
      </c>
      <c r="D207" s="30"/>
      <c r="F207" s="463">
        <f>+SUM(START:END!F207)</f>
        <v>34494.133760158613</v>
      </c>
      <c r="G207" s="438"/>
      <c r="H207" s="337"/>
      <c r="I207" s="339">
        <f>+SUM(START:END!I207)</f>
        <v>0</v>
      </c>
      <c r="J207" s="342"/>
      <c r="K207" s="337"/>
      <c r="L207" s="337">
        <f>+SUM(START:END!L207)</f>
        <v>33727.21</v>
      </c>
      <c r="M207" s="338"/>
      <c r="N207" s="339">
        <f t="shared" si="113"/>
        <v>-766.92376015861373</v>
      </c>
      <c r="O207" s="342"/>
      <c r="P207" s="337"/>
      <c r="Q207" s="337">
        <f>+SUM(START:END!Q207)</f>
        <v>36012.75</v>
      </c>
      <c r="R207" s="338"/>
      <c r="S207" s="340">
        <f t="shared" si="114"/>
        <v>-2285.5400000000009</v>
      </c>
    </row>
    <row r="208" spans="1:20" ht="15.75" customHeight="1">
      <c r="A208" s="23" t="str">
        <f t="shared" si="91"/>
        <v>ServiceCsst</v>
      </c>
      <c r="B208" s="184" t="s">
        <v>83</v>
      </c>
      <c r="C208" s="440" t="s">
        <v>48</v>
      </c>
      <c r="D208" s="30"/>
      <c r="F208" s="463">
        <f>+SUM(START:END!F208)</f>
        <v>15039.636379253405</v>
      </c>
      <c r="G208" s="438"/>
      <c r="H208" s="337"/>
      <c r="I208" s="339">
        <f>+SUM(START:END!I208)</f>
        <v>0</v>
      </c>
      <c r="J208" s="342"/>
      <c r="K208" s="337"/>
      <c r="L208" s="337">
        <f>+SUM(START:END!L208)</f>
        <v>13251.3</v>
      </c>
      <c r="M208" s="338"/>
      <c r="N208" s="339">
        <f t="shared" si="113"/>
        <v>-1788.3363792534055</v>
      </c>
      <c r="O208" s="342"/>
      <c r="P208" s="337"/>
      <c r="Q208" s="337">
        <f>+SUM(START:END!Q208)</f>
        <v>12928.2</v>
      </c>
      <c r="R208" s="338"/>
      <c r="S208" s="340">
        <f t="shared" si="114"/>
        <v>323.09999999999854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0" t="s">
        <v>20</v>
      </c>
      <c r="D209" s="34"/>
      <c r="E209" s="7"/>
      <c r="F209" s="463">
        <f>+SUM(START:END!F209)</f>
        <v>0</v>
      </c>
      <c r="G209" s="349"/>
      <c r="H209" s="348"/>
      <c r="I209" s="339">
        <f>+SUM(START:END!I209)</f>
        <v>0</v>
      </c>
      <c r="J209" s="349"/>
      <c r="K209" s="348"/>
      <c r="L209" s="337">
        <f>+SUM(START:END!L209)</f>
        <v>0</v>
      </c>
      <c r="M209" s="350"/>
      <c r="N209" s="351"/>
      <c r="O209" s="349"/>
      <c r="P209" s="348"/>
      <c r="Q209" s="337">
        <f>+SUM(START:END!Q209)</f>
        <v>0</v>
      </c>
      <c r="R209" s="350"/>
      <c r="S209" s="352">
        <f t="shared" ref="S209" si="115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6" t="s">
        <v>49</v>
      </c>
      <c r="D210" s="250" t="s">
        <v>97</v>
      </c>
      <c r="E210" s="42">
        <f>F210/F$194</f>
        <v>0.51643584509062035</v>
      </c>
      <c r="F210" s="467">
        <f>+SUM(F198:F209)</f>
        <v>397703.81607761304</v>
      </c>
      <c r="G210" s="355" t="s">
        <v>97</v>
      </c>
      <c r="H210" s="353" t="e">
        <f>I210/I$194</f>
        <v>#DIV/0!</v>
      </c>
      <c r="I210" s="354">
        <f>+SUM(I198:I209)</f>
        <v>0</v>
      </c>
      <c r="J210" s="355" t="s">
        <v>97</v>
      </c>
      <c r="K210" s="353">
        <f>L210/L$194</f>
        <v>0.48287284204460929</v>
      </c>
      <c r="L210" s="354">
        <f>+SUM(L198:L209)</f>
        <v>378680.66000000003</v>
      </c>
      <c r="M210" s="356"/>
      <c r="N210" s="354">
        <f>+SUM(N198:N209)</f>
        <v>-19023.156077613035</v>
      </c>
      <c r="O210" s="355" t="s">
        <v>97</v>
      </c>
      <c r="P210" s="353">
        <f>Q210/Q$194</f>
        <v>0.56565082360793439</v>
      </c>
      <c r="Q210" s="354">
        <f>+SUM(Q198:Q209)</f>
        <v>411136.14</v>
      </c>
      <c r="R210" s="356"/>
      <c r="S210" s="357">
        <f t="shared" ref="S210:S229" si="116">L210-Q210</f>
        <v>-32455.479999999981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0" t="s">
        <v>50</v>
      </c>
      <c r="D211" s="30"/>
      <c r="F211" s="463">
        <f>+SUM(START:END!F211)</f>
        <v>36726.912930246275</v>
      </c>
      <c r="G211" s="438"/>
      <c r="H211" s="337"/>
      <c r="I211" s="339">
        <f>+SUM(START:END!I211)</f>
        <v>0</v>
      </c>
      <c r="J211" s="342"/>
      <c r="K211" s="337"/>
      <c r="L211" s="337">
        <f>+SUM(START:END!L211)</f>
        <v>46669.46</v>
      </c>
      <c r="M211" s="338"/>
      <c r="N211" s="339">
        <f t="shared" ref="N211:N225" si="117">L211-F211</f>
        <v>9942.5470697537239</v>
      </c>
      <c r="O211" s="342"/>
      <c r="P211" s="337"/>
      <c r="Q211" s="337">
        <f>+SUM(START:END!Q211)</f>
        <v>32822.85</v>
      </c>
      <c r="R211" s="338"/>
      <c r="S211" s="340">
        <f t="shared" si="116"/>
        <v>13846.61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0" t="s">
        <v>51</v>
      </c>
      <c r="D212" s="30"/>
      <c r="F212" s="463">
        <f>+SUM(START:END!F212)</f>
        <v>10266.532209971128</v>
      </c>
      <c r="G212" s="438"/>
      <c r="H212" s="337"/>
      <c r="I212" s="339">
        <f>+SUM(START:END!I212)</f>
        <v>0</v>
      </c>
      <c r="J212" s="342"/>
      <c r="K212" s="337"/>
      <c r="L212" s="337">
        <f>+SUM(START:END!L212)</f>
        <v>12595</v>
      </c>
      <c r="M212" s="338"/>
      <c r="N212" s="339">
        <f t="shared" si="117"/>
        <v>2328.4677900288716</v>
      </c>
      <c r="O212" s="342"/>
      <c r="P212" s="337"/>
      <c r="Q212" s="337">
        <f>+SUM(START:END!Q212)</f>
        <v>10707.70999999999</v>
      </c>
      <c r="R212" s="338"/>
      <c r="S212" s="340">
        <f t="shared" ref="S212:S225" si="118">L212-Q212</f>
        <v>1887.29000000001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4" t="s">
        <v>52</v>
      </c>
      <c r="D213" s="34"/>
      <c r="E213" s="7"/>
      <c r="F213" s="464">
        <f>+SUM(START:END!F213)</f>
        <v>43251.218066666668</v>
      </c>
      <c r="G213" s="349"/>
      <c r="H213" s="348"/>
      <c r="I213" s="341">
        <f>+SUM(START:END!I213)</f>
        <v>0</v>
      </c>
      <c r="J213" s="349"/>
      <c r="K213" s="348"/>
      <c r="L213" s="341">
        <f>+SUM(START:END!L213)</f>
        <v>35065.06</v>
      </c>
      <c r="M213" s="350"/>
      <c r="N213" s="351">
        <f t="shared" si="117"/>
        <v>-8186.1580666666705</v>
      </c>
      <c r="O213" s="349"/>
      <c r="P213" s="348"/>
      <c r="Q213" s="341">
        <f>+SUM(START:END!Q213)</f>
        <v>39012.229999999996</v>
      </c>
      <c r="R213" s="350"/>
      <c r="S213" s="352">
        <f t="shared" si="118"/>
        <v>-3947.1699999999983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0" t="s">
        <v>53</v>
      </c>
      <c r="D214" s="30"/>
      <c r="F214" s="463">
        <f>+SUM(START:END!F214)</f>
        <v>14349.948412159998</v>
      </c>
      <c r="G214" s="438"/>
      <c r="H214" s="337"/>
      <c r="I214" s="339">
        <f>+SUM(START:END!I214)</f>
        <v>0</v>
      </c>
      <c r="J214" s="342"/>
      <c r="K214" s="337"/>
      <c r="L214" s="337">
        <f>+SUM(START:END!L214)</f>
        <v>16452.060000000001</v>
      </c>
      <c r="M214" s="338"/>
      <c r="N214" s="339">
        <f t="shared" si="117"/>
        <v>2102.1115878400033</v>
      </c>
      <c r="O214" s="342"/>
      <c r="P214" s="337"/>
      <c r="Q214" s="337">
        <f>+SUM(START:END!Q214)</f>
        <v>14213.079999999998</v>
      </c>
      <c r="R214" s="338"/>
      <c r="S214" s="340">
        <f t="shared" si="118"/>
        <v>2238.9800000000032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0" t="s">
        <v>54</v>
      </c>
      <c r="D215" s="30"/>
      <c r="F215" s="463">
        <f>+SUM(START:END!F215)</f>
        <v>3152.6255417810712</v>
      </c>
      <c r="G215" s="438"/>
      <c r="H215" s="337"/>
      <c r="I215" s="339">
        <f>+SUM(START:END!I215)</f>
        <v>0</v>
      </c>
      <c r="J215" s="342"/>
      <c r="K215" s="337"/>
      <c r="L215" s="337">
        <f>+SUM(START:END!L215)</f>
        <v>5179.3</v>
      </c>
      <c r="M215" s="338"/>
      <c r="N215" s="339">
        <f t="shared" si="117"/>
        <v>2026.674458218929</v>
      </c>
      <c r="O215" s="342"/>
      <c r="P215" s="337"/>
      <c r="Q215" s="337">
        <f>+SUM(START:END!Q215)</f>
        <v>3586.13</v>
      </c>
      <c r="R215" s="338"/>
      <c r="S215" s="340">
        <f t="shared" si="118"/>
        <v>1593.17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4" t="s">
        <v>55</v>
      </c>
      <c r="D216" s="34"/>
      <c r="E216" s="7"/>
      <c r="F216" s="464">
        <f>+SUM(START:END!F216)</f>
        <v>41384.695365051113</v>
      </c>
      <c r="G216" s="349"/>
      <c r="H216" s="348"/>
      <c r="I216" s="341">
        <f>+SUM(START:END!I216)</f>
        <v>0</v>
      </c>
      <c r="J216" s="349"/>
      <c r="K216" s="348"/>
      <c r="L216" s="341">
        <f>+SUM(START:END!L216)</f>
        <v>46184.71</v>
      </c>
      <c r="M216" s="350"/>
      <c r="N216" s="351">
        <f t="shared" si="117"/>
        <v>4800.0146349488859</v>
      </c>
      <c r="O216" s="349"/>
      <c r="P216" s="348"/>
      <c r="Q216" s="341">
        <f>+SUM(START:END!Q216)</f>
        <v>31778.129999999997</v>
      </c>
      <c r="R216" s="350"/>
      <c r="S216" s="352">
        <f t="shared" si="118"/>
        <v>14406.580000000002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0" t="s">
        <v>98</v>
      </c>
      <c r="D217" s="30"/>
      <c r="F217" s="463">
        <f>+SUM(START:END!F217)</f>
        <v>0</v>
      </c>
      <c r="G217" s="438"/>
      <c r="H217" s="337"/>
      <c r="I217" s="339">
        <f>+SUM(START:END!I217)</f>
        <v>0</v>
      </c>
      <c r="J217" s="342"/>
      <c r="K217" s="337"/>
      <c r="L217" s="337">
        <f>+SUM(START:END!L217)</f>
        <v>0</v>
      </c>
      <c r="M217" s="338"/>
      <c r="N217" s="339">
        <f t="shared" si="117"/>
        <v>0</v>
      </c>
      <c r="O217" s="342"/>
      <c r="P217" s="337"/>
      <c r="Q217" s="337">
        <f>+SUM(START:END!Q217)</f>
        <v>0</v>
      </c>
      <c r="R217" s="338"/>
      <c r="S217" s="340">
        <f t="shared" si="118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0" t="s">
        <v>56</v>
      </c>
      <c r="D218" s="30"/>
      <c r="F218" s="463">
        <f>+SUM(START:END!F218)</f>
        <v>14309.76126666667</v>
      </c>
      <c r="G218" s="438"/>
      <c r="H218" s="337"/>
      <c r="I218" s="339">
        <f>+SUM(START:END!I218)</f>
        <v>0</v>
      </c>
      <c r="J218" s="342"/>
      <c r="K218" s="337"/>
      <c r="L218" s="337">
        <f>+SUM(START:END!L218)</f>
        <v>14778.21</v>
      </c>
      <c r="M218" s="338"/>
      <c r="N218" s="339">
        <f t="shared" si="117"/>
        <v>468.44873333332907</v>
      </c>
      <c r="O218" s="342"/>
      <c r="P218" s="337"/>
      <c r="Q218" s="337">
        <f>+SUM(START:END!Q218)</f>
        <v>8848.9500000000007</v>
      </c>
      <c r="R218" s="338"/>
      <c r="S218" s="340">
        <f t="shared" si="118"/>
        <v>5929.2599999999984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0" t="s">
        <v>57</v>
      </c>
      <c r="D219" s="30"/>
      <c r="F219" s="463">
        <f>+SUM(START:END!F219)</f>
        <v>3661.3962203592514</v>
      </c>
      <c r="G219" s="438"/>
      <c r="H219" s="337"/>
      <c r="I219" s="339">
        <f>+SUM(START:END!I219)</f>
        <v>0</v>
      </c>
      <c r="J219" s="342"/>
      <c r="K219" s="337"/>
      <c r="L219" s="337">
        <f>+SUM(START:END!L219)</f>
        <v>3008.55</v>
      </c>
      <c r="M219" s="338"/>
      <c r="N219" s="339">
        <f t="shared" si="117"/>
        <v>-652.84622035925122</v>
      </c>
      <c r="O219" s="342"/>
      <c r="P219" s="337"/>
      <c r="Q219" s="337">
        <f>+SUM(START:END!Q219)</f>
        <v>4261.0300000000007</v>
      </c>
      <c r="R219" s="338"/>
      <c r="S219" s="340">
        <f t="shared" si="118"/>
        <v>-1252.4800000000005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0" t="s">
        <v>58</v>
      </c>
      <c r="D220" s="30"/>
      <c r="F220" s="463">
        <f>+SUM(START:END!F220)</f>
        <v>2499.1624492555202</v>
      </c>
      <c r="G220" s="438"/>
      <c r="H220" s="337"/>
      <c r="I220" s="339">
        <f>+SUM(START:END!I220)</f>
        <v>0</v>
      </c>
      <c r="J220" s="342"/>
      <c r="K220" s="337"/>
      <c r="L220" s="337">
        <f>+SUM(START:END!L220)</f>
        <v>1328.01</v>
      </c>
      <c r="M220" s="338"/>
      <c r="N220" s="339">
        <f t="shared" si="117"/>
        <v>-1171.1524492555202</v>
      </c>
      <c r="O220" s="342"/>
      <c r="P220" s="337"/>
      <c r="Q220" s="337">
        <f>+SUM(START:END!Q220)</f>
        <v>2129.38</v>
      </c>
      <c r="R220" s="338"/>
      <c r="S220" s="340">
        <f t="shared" si="118"/>
        <v>-801.37000000000012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0" t="s">
        <v>59</v>
      </c>
      <c r="D221" s="30"/>
      <c r="F221" s="463">
        <f>+SUM(START:END!F221)</f>
        <v>537.61350506546012</v>
      </c>
      <c r="G221" s="438"/>
      <c r="H221" s="337"/>
      <c r="I221" s="339">
        <f>+SUM(START:END!I221)</f>
        <v>0</v>
      </c>
      <c r="J221" s="342"/>
      <c r="K221" s="337"/>
      <c r="L221" s="337">
        <f>+SUM(START:END!L221)</f>
        <v>614.37</v>
      </c>
      <c r="M221" s="338"/>
      <c r="N221" s="339">
        <f t="shared" si="117"/>
        <v>76.756494934539887</v>
      </c>
      <c r="O221" s="342"/>
      <c r="P221" s="337"/>
      <c r="Q221" s="337">
        <f>+SUM(START:END!Q221)</f>
        <v>583.62</v>
      </c>
      <c r="R221" s="338"/>
      <c r="S221" s="340">
        <f t="shared" si="118"/>
        <v>30.75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0" t="s">
        <v>60</v>
      </c>
      <c r="D222" s="30"/>
      <c r="F222" s="463">
        <f>+SUM(START:END!F222)</f>
        <v>278.37171382893996</v>
      </c>
      <c r="G222" s="438"/>
      <c r="H222" s="337"/>
      <c r="I222" s="339">
        <f>+SUM(START:END!I222)</f>
        <v>0</v>
      </c>
      <c r="J222" s="342"/>
      <c r="K222" s="337"/>
      <c r="L222" s="337">
        <f>+SUM(START:END!L222)</f>
        <v>776.13</v>
      </c>
      <c r="M222" s="338"/>
      <c r="N222" s="339">
        <f t="shared" si="117"/>
        <v>497.75828617106004</v>
      </c>
      <c r="O222" s="342"/>
      <c r="P222" s="337"/>
      <c r="Q222" s="337">
        <f>+SUM(START:END!Q222)</f>
        <v>68.36</v>
      </c>
      <c r="R222" s="338"/>
      <c r="S222" s="340">
        <f t="shared" si="118"/>
        <v>707.77</v>
      </c>
    </row>
    <row r="223" spans="1:19" ht="15.75" customHeight="1">
      <c r="A223" s="23" t="str">
        <f t="shared" si="91"/>
        <v>ServiceDivers</v>
      </c>
      <c r="B223" s="184" t="s">
        <v>83</v>
      </c>
      <c r="C223" s="440" t="s">
        <v>61</v>
      </c>
      <c r="D223" s="30"/>
      <c r="F223" s="463">
        <f>+SUM(START:END!F223)</f>
        <v>457.35285562785998</v>
      </c>
      <c r="G223" s="438"/>
      <c r="H223" s="337"/>
      <c r="I223" s="339">
        <f>+SUM(START:END!I223)</f>
        <v>0</v>
      </c>
      <c r="J223" s="342"/>
      <c r="K223" s="337"/>
      <c r="L223" s="337">
        <f>+SUM(START:END!L223)</f>
        <v>221.60999999999999</v>
      </c>
      <c r="M223" s="338"/>
      <c r="N223" s="339">
        <f t="shared" si="117"/>
        <v>-235.74285562786</v>
      </c>
      <c r="O223" s="342"/>
      <c r="P223" s="337"/>
      <c r="Q223" s="337">
        <f>+SUM(START:END!Q223)</f>
        <v>323.25</v>
      </c>
      <c r="R223" s="338"/>
      <c r="S223" s="340">
        <f t="shared" si="118"/>
        <v>-101.64000000000001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0" t="s">
        <v>62</v>
      </c>
      <c r="D224" s="30"/>
      <c r="F224" s="463">
        <f>+SUM(START:END!F224)</f>
        <v>9199.5401965574583</v>
      </c>
      <c r="G224" s="438"/>
      <c r="H224" s="337"/>
      <c r="I224" s="339">
        <f>+SUM(START:END!I224)</f>
        <v>0</v>
      </c>
      <c r="J224" s="342"/>
      <c r="K224" s="337"/>
      <c r="L224" s="337">
        <f>+SUM(START:END!L224)</f>
        <v>2424.3000000000002</v>
      </c>
      <c r="M224" s="338"/>
      <c r="N224" s="339">
        <f t="shared" si="117"/>
        <v>-6775.2401965574581</v>
      </c>
      <c r="O224" s="342"/>
      <c r="P224" s="337"/>
      <c r="Q224" s="337">
        <f>+SUM(START:END!Q224)</f>
        <v>4868.68</v>
      </c>
      <c r="R224" s="338"/>
      <c r="S224" s="340">
        <f t="shared" si="118"/>
        <v>-2444.38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0" t="s">
        <v>63</v>
      </c>
      <c r="D225" s="30"/>
      <c r="F225" s="463">
        <f>+SUM(START:END!F225)</f>
        <v>5978.5100978251676</v>
      </c>
      <c r="G225" s="438"/>
      <c r="H225" s="337"/>
      <c r="I225" s="339">
        <f>+SUM(START:END!I225)</f>
        <v>0</v>
      </c>
      <c r="J225" s="342"/>
      <c r="K225" s="337"/>
      <c r="L225" s="337">
        <f>+SUM(START:END!L225)</f>
        <v>6340.98</v>
      </c>
      <c r="M225" s="338"/>
      <c r="N225" s="339">
        <f t="shared" si="117"/>
        <v>362.46990217483199</v>
      </c>
      <c r="O225" s="342"/>
      <c r="P225" s="337"/>
      <c r="Q225" s="337">
        <f>+SUM(START:END!Q225)</f>
        <v>6192.7000000000007</v>
      </c>
      <c r="R225" s="338"/>
      <c r="S225" s="340">
        <f t="shared" si="118"/>
        <v>148.27999999999884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0" t="s">
        <v>20</v>
      </c>
      <c r="D226" s="30"/>
      <c r="F226" s="468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9">L226-I226</f>
        <v>0</v>
      </c>
      <c r="O226" s="30"/>
      <c r="Q226" s="198">
        <f>+SUM(START:END!Q226)</f>
        <v>0</v>
      </c>
      <c r="R226" s="152"/>
      <c r="S226" s="242">
        <f t="shared" ref="S226:S228" si="120">L226-Q226</f>
        <v>0</v>
      </c>
    </row>
    <row r="227" spans="1:40" ht="15.75" hidden="1" customHeight="1">
      <c r="B227" s="184" t="s">
        <v>83</v>
      </c>
      <c r="C227" s="440" t="s">
        <v>20</v>
      </c>
      <c r="D227" s="30"/>
      <c r="F227" s="468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9"/>
        <v>0</v>
      </c>
      <c r="O227" s="30"/>
      <c r="Q227" s="198">
        <f>+SUM(START:END!Q227)</f>
        <v>0</v>
      </c>
      <c r="R227" s="152"/>
      <c r="S227" s="242">
        <f t="shared" si="120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0" t="s">
        <v>20</v>
      </c>
      <c r="D228" s="30"/>
      <c r="F228" s="468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9"/>
        <v>0</v>
      </c>
      <c r="O228" s="30"/>
      <c r="Q228" s="198">
        <f>+SUM(START:END!Q228)</f>
        <v>0</v>
      </c>
      <c r="R228" s="152"/>
      <c r="S228" s="242">
        <f t="shared" si="120"/>
        <v>0</v>
      </c>
    </row>
    <row r="229" spans="1:40" ht="15.75" customHeight="1">
      <c r="B229" s="184"/>
      <c r="C229" s="466" t="s">
        <v>64</v>
      </c>
      <c r="D229" s="250" t="s">
        <v>97</v>
      </c>
      <c r="E229" s="42">
        <f>F229/F$194</f>
        <v>0.24159881135268105</v>
      </c>
      <c r="F229" s="469">
        <f>+SUM(F211:F228)</f>
        <v>186053.64083106263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0.24436596520544329</v>
      </c>
      <c r="L229" s="251">
        <f>+SUM(L211:L228)</f>
        <v>191637.74999999997</v>
      </c>
      <c r="M229" s="254"/>
      <c r="N229" s="251">
        <f>+SUM(N211:N228)</f>
        <v>5584.1091689374152</v>
      </c>
      <c r="O229" s="252" t="s">
        <v>97</v>
      </c>
      <c r="P229" s="42">
        <f>Q229/Q$194</f>
        <v>0.21930092364269571</v>
      </c>
      <c r="Q229" s="251">
        <f>+SUM(Q211:Q228)</f>
        <v>159396.09999999998</v>
      </c>
      <c r="R229" s="254"/>
      <c r="S229" s="255">
        <f t="shared" si="116"/>
        <v>32241.649999999994</v>
      </c>
    </row>
    <row r="230" spans="1:40" ht="15.75" customHeight="1">
      <c r="B230" s="184"/>
      <c r="C230" s="444"/>
      <c r="D230" s="34"/>
      <c r="E230" s="7"/>
      <c r="F230" s="470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6" t="s">
        <v>65</v>
      </c>
      <c r="D231" s="250" t="s">
        <v>39</v>
      </c>
      <c r="E231" s="42">
        <f>F231/F$194</f>
        <v>0.75803465644330137</v>
      </c>
      <c r="F231" s="469">
        <f>F210+F229</f>
        <v>583757.45690867561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0.72723880725005263</v>
      </c>
      <c r="L231" s="251">
        <f>L210+L229</f>
        <v>570318.41</v>
      </c>
      <c r="M231" s="254"/>
      <c r="N231" s="251">
        <f>N210+N229</f>
        <v>-13439.04690867562</v>
      </c>
      <c r="O231" s="252" t="s">
        <v>39</v>
      </c>
      <c r="P231" s="42">
        <f>Q231/Q$194</f>
        <v>0.78495174725063011</v>
      </c>
      <c r="Q231" s="251">
        <f>Q210+Q229</f>
        <v>570532.24</v>
      </c>
      <c r="R231" s="254"/>
      <c r="S231" s="260">
        <f>L231-Q231</f>
        <v>-213.82999999995809</v>
      </c>
    </row>
    <row r="232" spans="1:40" ht="15.75" customHeight="1">
      <c r="B232" s="184"/>
      <c r="C232" s="440"/>
      <c r="D232" s="30"/>
      <c r="F232" s="442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1" t="s">
        <v>72</v>
      </c>
      <c r="D233" s="472"/>
      <c r="E233" s="473"/>
      <c r="F233" s="474">
        <f>F194-F231</f>
        <v>186335.90484824672</v>
      </c>
      <c r="G233" s="291"/>
      <c r="H233" s="271"/>
      <c r="I233" s="273">
        <f>I194-I231</f>
        <v>0</v>
      </c>
      <c r="J233" s="272"/>
      <c r="K233" s="272"/>
      <c r="L233" s="273">
        <f>L194-L231</f>
        <v>213905.97999999986</v>
      </c>
      <c r="M233" s="293"/>
      <c r="N233" s="273">
        <f>N194-N231</f>
        <v>27570.075151753175</v>
      </c>
      <c r="O233" s="293"/>
      <c r="P233" s="272"/>
      <c r="Q233" s="273">
        <f>Q194-Q231</f>
        <v>156305.09999999963</v>
      </c>
      <c r="R233" s="293"/>
      <c r="S233" s="275">
        <f>L233-Q233</f>
        <v>57600.880000000237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868" t="s">
        <v>5</v>
      </c>
      <c r="E238" s="869"/>
      <c r="F238" s="869"/>
      <c r="G238" s="875" t="s">
        <v>74</v>
      </c>
      <c r="H238" s="869"/>
      <c r="I238" s="870"/>
      <c r="J238" s="871" t="s">
        <v>7</v>
      </c>
      <c r="K238" s="869"/>
      <c r="L238" s="870"/>
      <c r="M238" s="871" t="s">
        <v>9</v>
      </c>
      <c r="N238" s="870"/>
      <c r="O238" s="868" t="s">
        <v>8</v>
      </c>
      <c r="P238" s="869"/>
      <c r="Q238" s="870"/>
      <c r="R238" s="871" t="s">
        <v>217</v>
      </c>
      <c r="S238" s="872"/>
      <c r="T238" s="176"/>
    </row>
    <row r="239" spans="1:40" ht="15.75" customHeight="1">
      <c r="A239" s="23" t="str">
        <f t="shared" ref="A239:A284" si="121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4" t="s">
        <v>40</v>
      </c>
      <c r="H239" s="175" t="s">
        <v>84</v>
      </c>
      <c r="I239" s="277" t="s">
        <v>12</v>
      </c>
      <c r="J239" s="278" t="s">
        <v>40</v>
      </c>
      <c r="K239" s="175" t="s">
        <v>84</v>
      </c>
      <c r="L239" s="277" t="s">
        <v>12</v>
      </c>
      <c r="M239" s="278" t="s">
        <v>40</v>
      </c>
      <c r="N239" s="277" t="s">
        <v>12</v>
      </c>
      <c r="O239" s="175" t="s">
        <v>40</v>
      </c>
      <c r="P239" s="175" t="s">
        <v>84</v>
      </c>
      <c r="Q239" s="277" t="s">
        <v>12</v>
      </c>
      <c r="R239" s="278" t="s">
        <v>85</v>
      </c>
      <c r="S239" s="279" t="s">
        <v>12</v>
      </c>
      <c r="T239" s="175"/>
    </row>
    <row r="240" spans="1:40" ht="15.75" customHeight="1">
      <c r="A240" s="23" t="str">
        <f t="shared" si="121"/>
        <v>Carrosserie</v>
      </c>
      <c r="B240" s="184" t="s">
        <v>99</v>
      </c>
      <c r="C240" s="1"/>
      <c r="D240" s="175"/>
      <c r="E240" s="175"/>
      <c r="F240" s="175"/>
      <c r="G240" s="278"/>
      <c r="H240" s="175"/>
      <c r="I240" s="175"/>
      <c r="J240" s="278"/>
      <c r="K240" s="198"/>
      <c r="L240" s="201"/>
      <c r="M240" s="278"/>
      <c r="N240" s="277"/>
      <c r="O240" s="175"/>
      <c r="P240" s="175"/>
      <c r="Q240" s="277"/>
      <c r="R240" s="278"/>
      <c r="S240" s="279"/>
      <c r="T240" s="175"/>
      <c r="V240" s="198"/>
      <c r="W240" s="198"/>
      <c r="X240" s="198"/>
      <c r="Y240" s="198"/>
    </row>
    <row r="241" spans="1:25" ht="15.75" customHeight="1">
      <c r="A241" s="23" t="str">
        <f t="shared" si="121"/>
        <v>CarrosserieM/O Sous-traitement</v>
      </c>
      <c r="B241" s="184" t="s">
        <v>99</v>
      </c>
      <c r="C241" s="1" t="s">
        <v>100</v>
      </c>
      <c r="D241" s="359">
        <f>+SUM(START:END!D241)</f>
        <v>0</v>
      </c>
      <c r="E241" s="26">
        <f>+SUM(START:END!E241)</f>
        <v>186000</v>
      </c>
      <c r="F241" s="26">
        <f>+SUM(START:END!F241)</f>
        <v>40920</v>
      </c>
      <c r="G241" s="360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19</v>
      </c>
      <c r="K241" s="198">
        <f>+SUM(START:END!K241)</f>
        <v>41240.520000000004</v>
      </c>
      <c r="L241" s="201">
        <f>+SUM(START:END!L241)</f>
        <v>9929.57</v>
      </c>
      <c r="M241" s="296">
        <f>IFERROR((K241-E241)/E241,0)</f>
        <v>-0.77827677419354824</v>
      </c>
      <c r="N241" s="222">
        <f t="shared" ref="N241:N242" si="122">L241-F241</f>
        <v>-30990.43</v>
      </c>
      <c r="O241" s="223">
        <f>+SUM(START:END!O241)</f>
        <v>23</v>
      </c>
      <c r="P241" s="198">
        <f>+SUM(START:END!P241)</f>
        <v>75009.47</v>
      </c>
      <c r="Q241" s="201">
        <f>+SUM(START:END!Q241)</f>
        <v>19220.369999999897</v>
      </c>
      <c r="R241" s="296">
        <f>IF(O241=0,0,J241/O241)</f>
        <v>0.82608695652173914</v>
      </c>
      <c r="S241" s="242">
        <f>L241-Q241</f>
        <v>-9290.7999999998974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1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0.22</v>
      </c>
      <c r="G242" s="278"/>
      <c r="H242" s="31"/>
      <c r="I242" s="27">
        <f>IFERROR(I241/H241,0)</f>
        <v>0</v>
      </c>
      <c r="J242" s="223"/>
      <c r="L242" s="157">
        <f>IFERROR(L241/K241,0)</f>
        <v>0.24077218231001934</v>
      </c>
      <c r="M242" s="296"/>
      <c r="N242" s="222">
        <f t="shared" si="122"/>
        <v>2.0772182310019344E-2</v>
      </c>
      <c r="O242" s="223"/>
      <c r="Q242" s="157">
        <f>IFERROR(Q241/P241,0)</f>
        <v>0.25623924552459704</v>
      </c>
      <c r="R242" s="223"/>
      <c r="S242" s="242">
        <f>IFERROR(S241/R241,0)</f>
        <v>-11246.757894736718</v>
      </c>
      <c r="T242" s="175"/>
    </row>
    <row r="243" spans="1:25" ht="15.75" customHeight="1">
      <c r="A243" s="23" t="str">
        <f t="shared" si="121"/>
        <v>Carrosserie</v>
      </c>
      <c r="B243" s="184" t="s">
        <v>99</v>
      </c>
      <c r="C243" s="1"/>
      <c r="D243" s="175"/>
      <c r="E243" s="361"/>
      <c r="F243" s="361"/>
      <c r="G243" s="278"/>
      <c r="H243" s="361"/>
      <c r="I243" s="361"/>
      <c r="J243" s="278"/>
      <c r="K243" s="175"/>
      <c r="L243" s="277"/>
      <c r="M243" s="278"/>
      <c r="N243" s="277"/>
      <c r="O243" s="278"/>
      <c r="P243" s="175"/>
      <c r="Q243" s="277"/>
      <c r="R243" s="362"/>
      <c r="S243" s="279"/>
      <c r="T243" s="175"/>
    </row>
    <row r="244" spans="1:25" ht="15.75" customHeight="1">
      <c r="A244" s="23" t="str">
        <f t="shared" si="121"/>
        <v>CarrosserieM/O Carrosserie</v>
      </c>
      <c r="B244" s="184" t="s">
        <v>99</v>
      </c>
      <c r="C244" s="3" t="s">
        <v>101</v>
      </c>
      <c r="D244" s="308">
        <f>+SUM(START:END!D244)</f>
        <v>0</v>
      </c>
      <c r="E244" s="26">
        <f>+SUM(START:END!E244)</f>
        <v>0</v>
      </c>
      <c r="F244" s="26">
        <f>+SUM(START:END!F244)</f>
        <v>0</v>
      </c>
      <c r="G244" s="309">
        <f>+SUM(START:END!G244)</f>
        <v>0</v>
      </c>
      <c r="H244" s="26">
        <f>+SUM(START:END!H244)</f>
        <v>0</v>
      </c>
      <c r="I244" s="26">
        <f>+SUM(START:END!I244)</f>
        <v>0</v>
      </c>
      <c r="J244" s="299">
        <f>+SUM(START:END!J244)</f>
        <v>0</v>
      </c>
      <c r="K244" s="363">
        <f>+SUM(START:END!K244)</f>
        <v>0</v>
      </c>
      <c r="L244" s="257">
        <f>+SUM(START:END!L244)</f>
        <v>0</v>
      </c>
      <c r="M244" s="310">
        <f>IFERROR((K244-E244)/E244,0)</f>
        <v>0</v>
      </c>
      <c r="N244" s="258">
        <f t="shared" ref="N244" si="123">L244-F244</f>
        <v>0</v>
      </c>
      <c r="O244" s="299">
        <f>+SUM(START:END!O244)</f>
        <v>0</v>
      </c>
      <c r="P244" s="363">
        <f>+SUM(START:END!P244)</f>
        <v>0</v>
      </c>
      <c r="Q244" s="257">
        <f>+SUM(START:END!Q244)</f>
        <v>0</v>
      </c>
      <c r="R244" s="296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1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6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1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8"/>
      <c r="K246" s="364"/>
      <c r="L246" s="155"/>
      <c r="M246" s="297"/>
      <c r="N246" s="247"/>
      <c r="O246" s="298"/>
      <c r="P246" s="364"/>
      <c r="Q246" s="155"/>
      <c r="R246" s="298"/>
      <c r="S246" s="248"/>
      <c r="T246" s="27"/>
    </row>
    <row r="247" spans="1:25" ht="15.75" customHeight="1">
      <c r="A247" s="23" t="str">
        <f t="shared" si="121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299">
        <f>+SUM(START:END!G247)</f>
        <v>0</v>
      </c>
      <c r="H247" s="26">
        <f>+SUM(START:END!H247)</f>
        <v>0</v>
      </c>
      <c r="I247" s="26">
        <f>+SUM(START:END!I247)</f>
        <v>0</v>
      </c>
      <c r="J247" s="299">
        <f>+SUM(START:END!J247)</f>
        <v>0</v>
      </c>
      <c r="K247" s="198">
        <f>+SUM(START:END!K247)</f>
        <v>0</v>
      </c>
      <c r="L247" s="201">
        <f>+SUM(START:END!L247)</f>
        <v>0</v>
      </c>
      <c r="M247" s="296">
        <f>IFERROR((K247-E247)/E247,0)</f>
        <v>0</v>
      </c>
      <c r="N247" s="258">
        <f t="shared" ref="N247" si="124">L247-F247</f>
        <v>0</v>
      </c>
      <c r="O247" s="299">
        <f>+SUM(START:END!O247)</f>
        <v>0</v>
      </c>
      <c r="P247" s="198">
        <f>+SUM(START:END!P247)</f>
        <v>0</v>
      </c>
      <c r="Q247" s="201">
        <f>+SUM(START:END!Q247)</f>
        <v>0</v>
      </c>
      <c r="R247" s="296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1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1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1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5">E244+E247+E241</f>
        <v>186000</v>
      </c>
      <c r="F250" s="226">
        <f t="shared" si="125"/>
        <v>40920</v>
      </c>
      <c r="G250" s="229"/>
      <c r="H250" s="226">
        <f t="shared" ref="H250:I250" si="126">H244+H247+H241</f>
        <v>0</v>
      </c>
      <c r="I250" s="226">
        <f t="shared" si="126"/>
        <v>0</v>
      </c>
      <c r="J250" s="229"/>
      <c r="K250" s="226">
        <f t="shared" ref="K250:N250" si="127">K244+K247+K241</f>
        <v>41240.520000000004</v>
      </c>
      <c r="L250" s="228">
        <f t="shared" si="127"/>
        <v>9929.57</v>
      </c>
      <c r="M250" s="335">
        <f>L251-F251</f>
        <v>2.0772182310019344E-2</v>
      </c>
      <c r="N250" s="228">
        <f t="shared" si="127"/>
        <v>-30990.43</v>
      </c>
      <c r="O250" s="229"/>
      <c r="P250" s="226">
        <f t="shared" ref="P250:Q250" si="128">P244+P247+P241</f>
        <v>75009.47</v>
      </c>
      <c r="Q250" s="228">
        <f t="shared" si="128"/>
        <v>19220.369999999897</v>
      </c>
      <c r="R250" s="335">
        <f>L251-Q251</f>
        <v>-1.5467063214577692E-2</v>
      </c>
      <c r="S250" s="231">
        <f>L250-Q250</f>
        <v>-9290.7999999998974</v>
      </c>
      <c r="T250" s="27"/>
    </row>
    <row r="251" spans="1:25" ht="23.25" customHeight="1" thickBot="1">
      <c r="A251" s="23" t="str">
        <f t="shared" si="121"/>
        <v>Carrosserie</v>
      </c>
      <c r="B251" s="184" t="s">
        <v>99</v>
      </c>
      <c r="C251" s="232"/>
      <c r="D251" s="233"/>
      <c r="E251" s="233"/>
      <c r="F251" s="336">
        <f>F250/E250</f>
        <v>0.22</v>
      </c>
      <c r="G251" s="235"/>
      <c r="H251" s="233"/>
      <c r="I251" s="336" t="e">
        <f>I250/H250</f>
        <v>#DIV/0!</v>
      </c>
      <c r="J251" s="235"/>
      <c r="K251" s="233"/>
      <c r="L251" s="166">
        <f>IF(K250=0,0,L250/K250)</f>
        <v>0.24077218231001934</v>
      </c>
      <c r="M251" s="236"/>
      <c r="N251" s="166">
        <f>N250/F250</f>
        <v>-0.7573418866080156</v>
      </c>
      <c r="O251" s="235"/>
      <c r="P251" s="233"/>
      <c r="Q251" s="166">
        <f>IF(P250=0,0,Q250/P250)</f>
        <v>0.25623924552459704</v>
      </c>
      <c r="R251" s="236"/>
      <c r="S251" s="237">
        <f>IF(R250=0,0,S250/R250)</f>
        <v>600682.87502978113</v>
      </c>
      <c r="T251" s="27"/>
    </row>
    <row r="252" spans="1:25" ht="15.75" customHeight="1" thickTop="1">
      <c r="A252" s="23" t="str">
        <f t="shared" si="121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1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1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2">
        <f t="shared" ref="N254:N264" si="129">L254-F254</f>
        <v>1739.3337499999998</v>
      </c>
      <c r="O254" s="152"/>
      <c r="Q254" s="201">
        <f>+SUM(START:END!Q254)</f>
        <v>2705.64</v>
      </c>
      <c r="R254" s="152"/>
      <c r="S254" s="202">
        <f>L254-Q254</f>
        <v>0</v>
      </c>
    </row>
    <row r="255" spans="1:25" ht="15.75" customHeight="1">
      <c r="A255" s="23" t="str">
        <f t="shared" si="121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15622.989999999998</v>
      </c>
      <c r="G255" s="240"/>
      <c r="I255" s="194">
        <f>+SUM(START:END!I255)</f>
        <v>0</v>
      </c>
      <c r="J255" s="152"/>
      <c r="L255" s="201">
        <f>+SUM(START:END!L255)</f>
        <v>13052.09</v>
      </c>
      <c r="M255" s="152"/>
      <c r="N255" s="242">
        <f t="shared" si="129"/>
        <v>-2570.8999999999978</v>
      </c>
      <c r="O255" s="152"/>
      <c r="Q255" s="201">
        <f>+SUM(START:END!Q255)</f>
        <v>1144.5</v>
      </c>
      <c r="R255" s="152"/>
      <c r="S255" s="242">
        <f t="shared" ref="S255:S264" si="130">L255-Q255</f>
        <v>11907.59</v>
      </c>
    </row>
    <row r="256" spans="1:25" ht="15.75" customHeight="1">
      <c r="A256" s="23" t="str">
        <f t="shared" si="121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9">
        <f t="shared" si="129"/>
        <v>-56.734999999999999</v>
      </c>
      <c r="O256" s="154"/>
      <c r="P256" s="53"/>
      <c r="Q256" s="257">
        <f>+SUM(START:END!Q256)</f>
        <v>0.69</v>
      </c>
      <c r="R256" s="154"/>
      <c r="S256" s="259">
        <f t="shared" si="130"/>
        <v>-0.44999999999999996</v>
      </c>
    </row>
    <row r="257" spans="1:19" ht="15.75" customHeight="1">
      <c r="A257" s="23" t="str">
        <f t="shared" si="121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42">
        <f t="shared" si="129"/>
        <v>0</v>
      </c>
      <c r="O257" s="152"/>
      <c r="Q257" s="201">
        <f>+SUM(START:END!Q257)</f>
        <v>0</v>
      </c>
      <c r="R257" s="152"/>
      <c r="S257" s="242">
        <f t="shared" si="130"/>
        <v>0</v>
      </c>
    </row>
    <row r="258" spans="1:19" ht="15.75" hidden="1" customHeight="1">
      <c r="A258" s="23" t="str">
        <f t="shared" si="121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42">
        <f t="shared" si="129"/>
        <v>0</v>
      </c>
      <c r="O258" s="152"/>
      <c r="Q258" s="201">
        <f>+SUM(START:END!Q258)</f>
        <v>0</v>
      </c>
      <c r="R258" s="152"/>
      <c r="S258" s="242">
        <f t="shared" si="130"/>
        <v>0</v>
      </c>
    </row>
    <row r="259" spans="1:19" ht="15.75" hidden="1" customHeight="1">
      <c r="A259" s="23" t="str">
        <f t="shared" si="121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42">
        <f t="shared" si="129"/>
        <v>0</v>
      </c>
      <c r="O259" s="152"/>
      <c r="Q259" s="201">
        <f>+SUM(START:END!Q259)</f>
        <v>0</v>
      </c>
      <c r="R259" s="152"/>
      <c r="S259" s="242">
        <f t="shared" si="130"/>
        <v>0</v>
      </c>
    </row>
    <row r="260" spans="1:19" ht="15.75" hidden="1" customHeight="1">
      <c r="A260" s="23" t="str">
        <f t="shared" si="121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42">
        <f t="shared" si="129"/>
        <v>0</v>
      </c>
      <c r="O260" s="152"/>
      <c r="Q260" s="201">
        <f>+SUM(START:END!Q260)</f>
        <v>0</v>
      </c>
      <c r="R260" s="152"/>
      <c r="S260" s="242">
        <f t="shared" si="130"/>
        <v>0</v>
      </c>
    </row>
    <row r="261" spans="1:19" ht="15.75" customHeight="1">
      <c r="A261" s="23" t="str">
        <f t="shared" si="121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1999.3758493749995</v>
      </c>
      <c r="G261" s="240"/>
      <c r="I261" s="194">
        <f>+SUM(START:END!I261)</f>
        <v>0</v>
      </c>
      <c r="J261" s="152"/>
      <c r="L261" s="201">
        <f>+SUM(START:END!L261)</f>
        <v>1677.76</v>
      </c>
      <c r="M261" s="152"/>
      <c r="N261" s="242">
        <f t="shared" si="129"/>
        <v>-321.61584937499947</v>
      </c>
      <c r="O261" s="152"/>
      <c r="Q261" s="201">
        <f>+SUM(START:END!Q261)</f>
        <v>1885.9299999999998</v>
      </c>
      <c r="R261" s="152"/>
      <c r="S261" s="242">
        <f t="shared" si="130"/>
        <v>-208.16999999999985</v>
      </c>
    </row>
    <row r="262" spans="1:19" ht="15.75" customHeight="1">
      <c r="A262" s="23" t="str">
        <f t="shared" si="121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2430.9591824999998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4067.9700000000003</v>
      </c>
      <c r="M262" s="154"/>
      <c r="N262" s="259">
        <f t="shared" si="129"/>
        <v>1637.0108175000005</v>
      </c>
      <c r="O262" s="154"/>
      <c r="P262" s="53"/>
      <c r="Q262" s="257">
        <f>+SUM(START:END!Q262)</f>
        <v>2827.39</v>
      </c>
      <c r="R262" s="154"/>
      <c r="S262" s="259">
        <f t="shared" si="130"/>
        <v>1240.5800000000004</v>
      </c>
    </row>
    <row r="263" spans="1:19" ht="15.75" customHeight="1">
      <c r="A263" s="23" t="str">
        <f t="shared" si="121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1252.4724483749997</v>
      </c>
      <c r="G263" s="240"/>
      <c r="I263" s="198">
        <f>+SUM(START:END!I263)</f>
        <v>0</v>
      </c>
      <c r="J263" s="152"/>
      <c r="L263" s="201">
        <f>+SUM(START:END!L263)</f>
        <v>449.43999999999988</v>
      </c>
      <c r="M263" s="152"/>
      <c r="N263" s="242">
        <f t="shared" si="129"/>
        <v>-803.03244837499983</v>
      </c>
      <c r="O263" s="152"/>
      <c r="Q263" s="201">
        <f>+SUM(START:END!Q263)</f>
        <v>619.36</v>
      </c>
      <c r="R263" s="152"/>
      <c r="S263" s="242">
        <f t="shared" si="130"/>
        <v>-169.92000000000013</v>
      </c>
    </row>
    <row r="264" spans="1:19" ht="15.75" customHeight="1">
      <c r="A264" s="23" t="str">
        <f t="shared" si="121"/>
        <v>CarrosserieCsst</v>
      </c>
      <c r="B264" s="184" t="s">
        <v>99</v>
      </c>
      <c r="C264" s="1" t="s">
        <v>48</v>
      </c>
      <c r="D264" s="30"/>
      <c r="F264" s="198">
        <f>+SUM(START:END!F264)</f>
        <v>546.08503374999987</v>
      </c>
      <c r="G264" s="240"/>
      <c r="I264" s="198">
        <f>+SUM(START:END!I264)</f>
        <v>0</v>
      </c>
      <c r="J264" s="152"/>
      <c r="L264" s="201">
        <f>+SUM(START:END!L264)</f>
        <v>637.04999999999995</v>
      </c>
      <c r="M264" s="152"/>
      <c r="N264" s="242">
        <f t="shared" si="129"/>
        <v>90.964966250000089</v>
      </c>
      <c r="O264" s="152"/>
      <c r="Q264" s="201">
        <f>+SUM(START:END!Q264)</f>
        <v>271.77999999999997</v>
      </c>
      <c r="R264" s="152"/>
      <c r="S264" s="242">
        <f t="shared" si="130"/>
        <v>365.27</v>
      </c>
    </row>
    <row r="265" spans="1:19" ht="15.75" hidden="1" customHeight="1">
      <c r="A265" s="23" t="str">
        <f t="shared" si="121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546.08503374999987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637.04999999999995</v>
      </c>
      <c r="M265" s="153"/>
      <c r="N265" s="248">
        <f t="shared" ref="N265" si="131">L265-I265</f>
        <v>637.04999999999995</v>
      </c>
      <c r="O265" s="153"/>
      <c r="P265" s="7"/>
      <c r="Q265" s="201">
        <f>+SUM(START:END!Q264)</f>
        <v>271.77999999999997</v>
      </c>
      <c r="R265" s="153"/>
      <c r="S265" s="248">
        <f t="shared" ref="S265:S285" si="132">L265-Q265</f>
        <v>365.27</v>
      </c>
    </row>
    <row r="266" spans="1:19" ht="15.75" customHeight="1">
      <c r="A266" s="23" t="str">
        <f t="shared" si="121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23421.248797749999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23227.239999999998</v>
      </c>
      <c r="M266" s="289"/>
      <c r="N266" s="260">
        <f>L266-F266</f>
        <v>-194.00879775000067</v>
      </c>
      <c r="O266" s="252" t="s">
        <v>39</v>
      </c>
      <c r="P266" s="42">
        <f>IF(Q244=0,0,Q266/Q$244)</f>
        <v>0</v>
      </c>
      <c r="Q266" s="251">
        <f>+SUM(Q254:Q265)</f>
        <v>9727.0700000000015</v>
      </c>
      <c r="R266" s="289"/>
      <c r="S266" s="260">
        <f t="shared" si="132"/>
        <v>13500.169999999996</v>
      </c>
    </row>
    <row r="267" spans="1:19" ht="15.75" customHeight="1">
      <c r="A267" s="23" t="str">
        <f t="shared" si="121"/>
        <v>CarrosseriePublicité 2</v>
      </c>
      <c r="B267" s="184" t="s">
        <v>99</v>
      </c>
      <c r="C267" s="3" t="s">
        <v>50</v>
      </c>
      <c r="D267" s="30"/>
      <c r="F267" s="198">
        <f>+SUM(START:END!F267)</f>
        <v>145</v>
      </c>
      <c r="G267" s="240"/>
      <c r="I267" s="198">
        <f>+SUM(START:END!I267)</f>
        <v>0</v>
      </c>
      <c r="J267" s="152"/>
      <c r="L267" s="201">
        <f>+SUM(START:END!L267)</f>
        <v>64.960000000000008</v>
      </c>
      <c r="M267" s="152"/>
      <c r="N267" s="242">
        <f t="shared" ref="N267:N281" si="133">L267-F267</f>
        <v>-80.039999999999992</v>
      </c>
      <c r="O267" s="152"/>
      <c r="Q267" s="201">
        <f>+SUM(START:END!Q267)</f>
        <v>387.54999999999995</v>
      </c>
      <c r="R267" s="152"/>
      <c r="S267" s="242">
        <f>L267-Q267</f>
        <v>-322.58999999999992</v>
      </c>
    </row>
    <row r="268" spans="1:19" ht="15.75" customHeight="1">
      <c r="A268" s="23" t="str">
        <f t="shared" si="121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1685.0339438417132</v>
      </c>
      <c r="G268" s="240"/>
      <c r="I268" s="198">
        <f>+SUM(START:END!I268)</f>
        <v>0</v>
      </c>
      <c r="J268" s="152"/>
      <c r="L268" s="201">
        <f>+SUM(START:END!L268)</f>
        <v>609.52</v>
      </c>
      <c r="M268" s="152"/>
      <c r="N268" s="242">
        <f t="shared" si="133"/>
        <v>-1075.5139438417132</v>
      </c>
      <c r="O268" s="152"/>
      <c r="Q268" s="201">
        <f>+SUM(START:END!Q268)</f>
        <v>2105.6999999999998</v>
      </c>
      <c r="R268" s="152"/>
      <c r="S268" s="242">
        <f t="shared" ref="S268:S281" si="134">L268-Q268</f>
        <v>-1496.1799999999998</v>
      </c>
    </row>
    <row r="269" spans="1:19" ht="15.75" customHeight="1">
      <c r="A269" s="23" t="str">
        <f t="shared" si="121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373.51080000000002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493.45000000000005</v>
      </c>
      <c r="M269" s="153"/>
      <c r="N269" s="248">
        <f t="shared" si="133"/>
        <v>119.93920000000003</v>
      </c>
      <c r="O269" s="153"/>
      <c r="P269" s="7"/>
      <c r="Q269" s="201">
        <f>+SUM(START:END!Q269)</f>
        <v>493.45000000000005</v>
      </c>
      <c r="R269" s="153"/>
      <c r="S269" s="248">
        <f t="shared" si="134"/>
        <v>0</v>
      </c>
    </row>
    <row r="270" spans="1:19" ht="15.75" customHeight="1">
      <c r="A270" s="23" t="str">
        <f t="shared" si="121"/>
        <v>CarrosserieInformatique</v>
      </c>
      <c r="B270" s="184" t="s">
        <v>99</v>
      </c>
      <c r="C270" s="1" t="s">
        <v>53</v>
      </c>
      <c r="D270" s="30"/>
      <c r="F270" s="198">
        <f>+SUM(START:END!F270)</f>
        <v>4351.2806587133327</v>
      </c>
      <c r="G270" s="240"/>
      <c r="I270" s="198">
        <f>+SUM(START:END!I270)</f>
        <v>0</v>
      </c>
      <c r="J270" s="152"/>
      <c r="L270" s="257">
        <f>+SUM(START:END!L270)</f>
        <v>5387.59</v>
      </c>
      <c r="M270" s="152"/>
      <c r="N270" s="242">
        <f t="shared" si="133"/>
        <v>1036.3093412866674</v>
      </c>
      <c r="O270" s="152"/>
      <c r="Q270" s="257">
        <f>+SUM(START:END!Q270)</f>
        <v>4600.1099999999997</v>
      </c>
      <c r="R270" s="152"/>
      <c r="S270" s="242">
        <f t="shared" si="134"/>
        <v>787.48000000000047</v>
      </c>
    </row>
    <row r="271" spans="1:19" ht="15.75" customHeight="1">
      <c r="A271" s="23" t="str">
        <f t="shared" si="121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642.114715135746</v>
      </c>
      <c r="G271" s="240"/>
      <c r="I271" s="198">
        <f>+SUM(START:END!I271)</f>
        <v>0</v>
      </c>
      <c r="J271" s="152"/>
      <c r="L271" s="201">
        <f>+SUM(START:END!L271)</f>
        <v>986.54</v>
      </c>
      <c r="M271" s="152"/>
      <c r="N271" s="242">
        <f t="shared" si="133"/>
        <v>344.42528486425397</v>
      </c>
      <c r="O271" s="152"/>
      <c r="Q271" s="201">
        <f>+SUM(START:END!Q271)</f>
        <v>930.9</v>
      </c>
      <c r="R271" s="152"/>
      <c r="S271" s="242">
        <f t="shared" si="134"/>
        <v>55.639999999999986</v>
      </c>
    </row>
    <row r="272" spans="1:19" ht="15.75" customHeight="1">
      <c r="A272" s="23" t="str">
        <f t="shared" si="121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2061.4402330574421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1951.1</v>
      </c>
      <c r="M272" s="153"/>
      <c r="N272" s="248">
        <f t="shared" si="133"/>
        <v>-110.34023305744222</v>
      </c>
      <c r="O272" s="153"/>
      <c r="P272" s="7"/>
      <c r="Q272" s="201">
        <f>+SUM(START:END!Q272)</f>
        <v>2091.5100000000002</v>
      </c>
      <c r="R272" s="153"/>
      <c r="S272" s="248">
        <f t="shared" si="134"/>
        <v>-140.41000000000031</v>
      </c>
    </row>
    <row r="273" spans="1:20" ht="15.75" customHeight="1">
      <c r="A273" s="23" t="str">
        <f t="shared" si="121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42">
        <f t="shared" si="133"/>
        <v>0</v>
      </c>
      <c r="O273" s="152"/>
      <c r="Q273" s="219">
        <f>+SUM(START:END!Q273)</f>
        <v>0</v>
      </c>
      <c r="R273" s="152"/>
      <c r="S273" s="242">
        <f t="shared" si="134"/>
        <v>0</v>
      </c>
    </row>
    <row r="274" spans="1:20" ht="15.75" customHeight="1">
      <c r="A274" s="23" t="str">
        <f t="shared" si="121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137.8546</v>
      </c>
      <c r="G274" s="240"/>
      <c r="I274" s="198">
        <f>+SUM(START:END!I274)</f>
        <v>0</v>
      </c>
      <c r="J274" s="152"/>
      <c r="L274" s="201">
        <f>+SUM(START:END!L274)</f>
        <v>0</v>
      </c>
      <c r="M274" s="152"/>
      <c r="N274" s="242">
        <f t="shared" si="133"/>
        <v>-137.8546</v>
      </c>
      <c r="O274" s="152"/>
      <c r="Q274" s="201">
        <f>+SUM(START:END!Q274)</f>
        <v>8.93</v>
      </c>
      <c r="R274" s="152"/>
      <c r="S274" s="242">
        <f t="shared" si="134"/>
        <v>-8.93</v>
      </c>
    </row>
    <row r="275" spans="1:20" ht="15.75" customHeight="1">
      <c r="A275" s="23" t="str">
        <f t="shared" si="121"/>
        <v>CarrosserieUniformes</v>
      </c>
      <c r="B275" s="184" t="s">
        <v>99</v>
      </c>
      <c r="C275" s="1" t="s">
        <v>57</v>
      </c>
      <c r="D275" s="30"/>
      <c r="F275" s="198">
        <f>+SUM(START:END!F275)</f>
        <v>85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42">
        <f t="shared" si="133"/>
        <v>-85</v>
      </c>
      <c r="O275" s="152"/>
      <c r="Q275" s="201">
        <f>+SUM(START:END!Q275)</f>
        <v>0</v>
      </c>
      <c r="R275" s="152"/>
      <c r="S275" s="242">
        <f t="shared" si="134"/>
        <v>0</v>
      </c>
    </row>
    <row r="276" spans="1:20" ht="15.75" customHeight="1">
      <c r="A276" s="23" t="str">
        <f t="shared" si="121"/>
        <v>CarrosseriePapeterie</v>
      </c>
      <c r="B276" s="184" t="s">
        <v>99</v>
      </c>
      <c r="C276" s="1" t="s">
        <v>58</v>
      </c>
      <c r="D276" s="30"/>
      <c r="F276" s="198">
        <f>+SUM(START:END!F276)</f>
        <v>438.71069115785986</v>
      </c>
      <c r="G276" s="240"/>
      <c r="I276" s="198">
        <f>+SUM(START:END!I276)</f>
        <v>0</v>
      </c>
      <c r="J276" s="152"/>
      <c r="L276" s="200">
        <f>+SUM(START:END!L276)</f>
        <v>331.19</v>
      </c>
      <c r="M276" s="152"/>
      <c r="N276" s="242">
        <f t="shared" si="133"/>
        <v>-107.52069115785986</v>
      </c>
      <c r="O276" s="152"/>
      <c r="Q276" s="200">
        <f>+SUM(START:END!Q276)</f>
        <v>361.93</v>
      </c>
      <c r="R276" s="152"/>
      <c r="S276" s="242">
        <f t="shared" si="134"/>
        <v>-30.740000000000009</v>
      </c>
    </row>
    <row r="277" spans="1:20" ht="15.75" customHeight="1">
      <c r="A277" s="23" t="str">
        <f t="shared" si="121"/>
        <v>CarrosserieTéléphone</v>
      </c>
      <c r="B277" s="184" t="s">
        <v>99</v>
      </c>
      <c r="C277" s="1" t="s">
        <v>59</v>
      </c>
      <c r="D277" s="30"/>
      <c r="F277" s="198">
        <f>+SUM(START:END!F277)</f>
        <v>97.106925977425846</v>
      </c>
      <c r="G277" s="240"/>
      <c r="I277" s="198">
        <f>+SUM(START:END!I277)</f>
        <v>0</v>
      </c>
      <c r="J277" s="152"/>
      <c r="L277" s="201">
        <f>+SUM(START:END!L277)</f>
        <v>74.2</v>
      </c>
      <c r="M277" s="152"/>
      <c r="N277" s="242">
        <f t="shared" si="133"/>
        <v>-22.906925977425843</v>
      </c>
      <c r="O277" s="152"/>
      <c r="Q277" s="201">
        <f>+SUM(START:END!Q277)</f>
        <v>73.34</v>
      </c>
      <c r="R277" s="152"/>
      <c r="S277" s="242">
        <f t="shared" si="134"/>
        <v>0.85999999999999943</v>
      </c>
    </row>
    <row r="278" spans="1:20" ht="15.75" customHeight="1">
      <c r="A278" s="23" t="str">
        <f t="shared" si="121"/>
        <v>CarrosserieFrais postaux</v>
      </c>
      <c r="B278" s="184" t="s">
        <v>99</v>
      </c>
      <c r="C278" s="1" t="s">
        <v>60</v>
      </c>
      <c r="D278" s="30"/>
      <c r="F278" s="198">
        <f>+SUM(START:END!F278)</f>
        <v>67.476296491774178</v>
      </c>
      <c r="G278" s="240"/>
      <c r="I278" s="198">
        <f>+SUM(START:END!I278)</f>
        <v>0</v>
      </c>
      <c r="J278" s="152"/>
      <c r="L278" s="201">
        <f>+SUM(START:END!L278)</f>
        <v>94.24</v>
      </c>
      <c r="M278" s="152"/>
      <c r="N278" s="242">
        <f t="shared" si="133"/>
        <v>26.763703508225817</v>
      </c>
      <c r="O278" s="152"/>
      <c r="Q278" s="201">
        <f>+SUM(START:END!Q278)</f>
        <v>11.83</v>
      </c>
      <c r="R278" s="152"/>
      <c r="S278" s="242">
        <f t="shared" si="134"/>
        <v>82.41</v>
      </c>
    </row>
    <row r="279" spans="1:20" ht="15.75" customHeight="1">
      <c r="A279" s="23" t="str">
        <f t="shared" si="121"/>
        <v>CarrosserieDivers</v>
      </c>
      <c r="B279" s="184" t="s">
        <v>99</v>
      </c>
      <c r="C279" s="1" t="s">
        <v>61</v>
      </c>
      <c r="D279" s="30"/>
      <c r="F279" s="198">
        <f>+SUM(START:END!F279)</f>
        <v>308.71520251645916</v>
      </c>
      <c r="G279" s="240"/>
      <c r="I279" s="198">
        <f>+SUM(START:END!I279)</f>
        <v>0</v>
      </c>
      <c r="J279" s="152"/>
      <c r="L279" s="201">
        <f>+SUM(START:END!L279)</f>
        <v>64.64</v>
      </c>
      <c r="M279" s="152"/>
      <c r="N279" s="242">
        <f t="shared" si="133"/>
        <v>-244.07520251645917</v>
      </c>
      <c r="O279" s="152"/>
      <c r="Q279" s="201">
        <f>+SUM(START:END!Q279)</f>
        <v>94.34</v>
      </c>
      <c r="R279" s="152"/>
      <c r="S279" s="242">
        <f t="shared" si="134"/>
        <v>-29.700000000000003</v>
      </c>
    </row>
    <row r="280" spans="1:20" ht="15.75" customHeight="1">
      <c r="A280" s="23" t="str">
        <f t="shared" si="121"/>
        <v>CarrosserieFormation</v>
      </c>
      <c r="B280" s="184" t="s">
        <v>99</v>
      </c>
      <c r="C280" s="1" t="s">
        <v>62</v>
      </c>
      <c r="D280" s="30"/>
      <c r="F280" s="198">
        <f>+SUM(START:END!F280)</f>
        <v>526.49610536094769</v>
      </c>
      <c r="G280" s="240"/>
      <c r="I280" s="198">
        <f>+SUM(START:END!I280)</f>
        <v>0</v>
      </c>
      <c r="J280" s="152"/>
      <c r="L280" s="201">
        <f>+SUM(START:END!L280)</f>
        <v>35.11</v>
      </c>
      <c r="M280" s="152"/>
      <c r="N280" s="242">
        <f t="shared" si="133"/>
        <v>-491.38610536094768</v>
      </c>
      <c r="O280" s="152"/>
      <c r="Q280" s="201">
        <f>+SUM(START:END!Q280)</f>
        <v>114.24</v>
      </c>
      <c r="R280" s="152"/>
      <c r="S280" s="242">
        <f t="shared" si="134"/>
        <v>-79.13</v>
      </c>
    </row>
    <row r="281" spans="1:20" ht="15.75" customHeight="1">
      <c r="A281" s="23" t="str">
        <f t="shared" si="121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651.93607437554863</v>
      </c>
      <c r="G281" s="240"/>
      <c r="I281" s="198">
        <f>+SUM(START:END!I281)</f>
        <v>0</v>
      </c>
      <c r="J281" s="152"/>
      <c r="L281" s="201">
        <f>+SUM(START:END!L281)</f>
        <v>704.57</v>
      </c>
      <c r="M281" s="152"/>
      <c r="N281" s="242">
        <f t="shared" si="133"/>
        <v>52.633925624451422</v>
      </c>
      <c r="O281" s="152"/>
      <c r="Q281" s="201">
        <f>+SUM(START:END!Q281)</f>
        <v>688.09</v>
      </c>
      <c r="R281" s="152"/>
      <c r="S281" s="242">
        <f t="shared" si="134"/>
        <v>16.480000000000018</v>
      </c>
    </row>
    <row r="282" spans="1:20" ht="15.75" hidden="1" customHeight="1">
      <c r="A282" s="23" t="str">
        <f t="shared" si="121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42"/>
      <c r="O282" s="152"/>
      <c r="Q282" s="201">
        <f>+SUM(START:END!Q282)</f>
        <v>0</v>
      </c>
      <c r="R282" s="152"/>
      <c r="S282" s="242">
        <f t="shared" ref="S282:S284" si="135">L282-Q282</f>
        <v>0</v>
      </c>
    </row>
    <row r="283" spans="1:20" ht="15.75" hidden="1" customHeight="1">
      <c r="A283" s="23" t="str">
        <f t="shared" si="121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42"/>
      <c r="O283" s="152"/>
      <c r="Q283" s="201">
        <f>+SUM(START:END!Q283)</f>
        <v>0</v>
      </c>
      <c r="R283" s="152"/>
      <c r="S283" s="242">
        <f t="shared" si="135"/>
        <v>0</v>
      </c>
    </row>
    <row r="284" spans="1:20" ht="15.75" hidden="1" customHeight="1">
      <c r="A284" s="23" t="str">
        <f t="shared" si="121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42"/>
      <c r="O284" s="152"/>
      <c r="Q284" s="201">
        <f>+SUM(START:END!Q284)</f>
        <v>0</v>
      </c>
      <c r="R284" s="152"/>
      <c r="S284" s="242">
        <f t="shared" si="135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0.28278778706325142</v>
      </c>
      <c r="F285" s="46">
        <f>+SUM(F267:F284)</f>
        <v>11571.676246628249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1.0873693422776616</v>
      </c>
      <c r="L285" s="251">
        <f>+SUM(L267:L284)</f>
        <v>10797.11</v>
      </c>
      <c r="M285" s="254"/>
      <c r="N285" s="255">
        <f>+SUM(N267:N284)</f>
        <v>-774.56624662824925</v>
      </c>
      <c r="O285" s="252" t="s">
        <v>39</v>
      </c>
      <c r="P285" s="42">
        <f>Q285/Q$250</f>
        <v>0.6223563854389933</v>
      </c>
      <c r="Q285" s="251">
        <f>+SUM(Q267:Q284)</f>
        <v>11961.92</v>
      </c>
      <c r="R285" s="254"/>
      <c r="S285" s="255">
        <f t="shared" si="132"/>
        <v>-1164.8099999999995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8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0.85515457097698566</v>
      </c>
      <c r="F287" s="46">
        <f>F266+F285</f>
        <v>34992.925044378251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3.4265683206825672</v>
      </c>
      <c r="L287" s="251">
        <f>L266+L285</f>
        <v>34024.35</v>
      </c>
      <c r="M287" s="254"/>
      <c r="N287" s="260">
        <f>N266+N285</f>
        <v>-968.57504437824991</v>
      </c>
      <c r="O287" s="252" t="s">
        <v>39</v>
      </c>
      <c r="P287" s="42">
        <f>Q287/Q$250</f>
        <v>1.1284376939673959</v>
      </c>
      <c r="Q287" s="251">
        <f>Q266+Q285</f>
        <v>21688.99</v>
      </c>
      <c r="R287" s="254"/>
      <c r="S287" s="260">
        <f>L287-Q287</f>
        <v>12335.359999999997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42"/>
      <c r="O288" s="152"/>
      <c r="Q288" s="222"/>
      <c r="R288" s="152"/>
      <c r="S288" s="242"/>
    </row>
    <row r="289" spans="1:20" ht="15.75" customHeight="1" thickBot="1">
      <c r="B289" s="184"/>
      <c r="C289" s="270" t="s">
        <v>72</v>
      </c>
      <c r="D289" s="291"/>
      <c r="E289" s="271"/>
      <c r="F289" s="358">
        <f>F250-F287</f>
        <v>5927.0749556217488</v>
      </c>
      <c r="G289" s="292"/>
      <c r="H289" s="271"/>
      <c r="I289" s="273">
        <f>I250-I287</f>
        <v>0</v>
      </c>
      <c r="J289" s="293"/>
      <c r="K289" s="272"/>
      <c r="L289" s="273">
        <f>L250-L287</f>
        <v>-24094.78</v>
      </c>
      <c r="M289" s="293"/>
      <c r="N289" s="275">
        <f>N250-N287</f>
        <v>-30021.854955621751</v>
      </c>
      <c r="O289" s="293"/>
      <c r="P289" s="272"/>
      <c r="Q289" s="273">
        <f>Q250-Q287</f>
        <v>-2468.6200000001045</v>
      </c>
      <c r="R289" s="293"/>
      <c r="S289" s="275">
        <f>L289-Q289</f>
        <v>-21626.159999999894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868" t="s">
        <v>5</v>
      </c>
      <c r="E293" s="869"/>
      <c r="F293" s="870"/>
      <c r="G293" s="871" t="s">
        <v>74</v>
      </c>
      <c r="H293" s="869"/>
      <c r="I293" s="870"/>
      <c r="J293" s="871" t="s">
        <v>7</v>
      </c>
      <c r="K293" s="869"/>
      <c r="L293" s="870"/>
      <c r="M293" s="871" t="s">
        <v>9</v>
      </c>
      <c r="N293" s="870"/>
      <c r="O293" s="868" t="s">
        <v>8</v>
      </c>
      <c r="P293" s="869"/>
      <c r="Q293" s="870"/>
      <c r="R293" s="871" t="s">
        <v>217</v>
      </c>
      <c r="S293" s="872"/>
    </row>
    <row r="294" spans="1:20" ht="15.75" customHeight="1">
      <c r="A294" s="23" t="str">
        <f t="shared" ref="A294:A347" si="136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7" t="s">
        <v>12</v>
      </c>
      <c r="G294" s="278" t="s">
        <v>84</v>
      </c>
      <c r="H294" s="175" t="s">
        <v>104</v>
      </c>
      <c r="I294" s="277" t="s">
        <v>12</v>
      </c>
      <c r="J294" s="278" t="s">
        <v>84</v>
      </c>
      <c r="K294" s="175" t="s">
        <v>104</v>
      </c>
      <c r="L294" s="277" t="s">
        <v>12</v>
      </c>
      <c r="M294" s="278" t="s">
        <v>40</v>
      </c>
      <c r="N294" s="277" t="s">
        <v>12</v>
      </c>
      <c r="O294" s="175" t="s">
        <v>84</v>
      </c>
      <c r="P294" s="175" t="s">
        <v>104</v>
      </c>
      <c r="Q294" s="277" t="s">
        <v>12</v>
      </c>
      <c r="R294" s="278" t="s">
        <v>85</v>
      </c>
      <c r="S294" s="279" t="s">
        <v>12</v>
      </c>
    </row>
    <row r="295" spans="1:20" ht="15.75" customHeight="1">
      <c r="A295" s="23" t="str">
        <f t="shared" si="136"/>
        <v>PiècesPièces Ro Clients</v>
      </c>
      <c r="B295" s="184" t="s">
        <v>103</v>
      </c>
      <c r="C295" s="1" t="s">
        <v>105</v>
      </c>
      <c r="D295" s="26">
        <f>+SUM(START:END!D295)</f>
        <v>331347.90603199997</v>
      </c>
      <c r="E295" s="27">
        <f>IF(D295=0,0,F295/D295)</f>
        <v>0.35700000000000004</v>
      </c>
      <c r="F295" s="242">
        <f>+SUM(START:END!F295)</f>
        <v>118291.202453424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283844.67</v>
      </c>
      <c r="K295" s="27">
        <f>IF(J295=0,0,L295/J295)</f>
        <v>0.32887054035575164</v>
      </c>
      <c r="L295" s="201">
        <f>+SUM(START:END!L295)</f>
        <v>93348.15</v>
      </c>
      <c r="M295" s="296">
        <f>(+J295-D295)/D295</f>
        <v>-0.14336362224486898</v>
      </c>
      <c r="N295" s="222">
        <f t="shared" ref="N295:N303" si="137">L295-F295</f>
        <v>-24943.05245342401</v>
      </c>
      <c r="O295" s="198">
        <f>+SUM(START:END!O295)</f>
        <v>286579.28999999998</v>
      </c>
      <c r="P295" s="27">
        <f>IF(O295=0,0,Q295/O295)</f>
        <v>0.3749716875912415</v>
      </c>
      <c r="Q295" s="201">
        <f>+SUM(START:END!Q295)</f>
        <v>107459.11999999979</v>
      </c>
      <c r="R295" s="296">
        <f>IF(O295=0,0,(J295-O295)/O295)</f>
        <v>-9.542280602342185E-3</v>
      </c>
      <c r="S295" s="242">
        <f t="shared" ref="S295:S304" si="138">L295-Q295</f>
        <v>-14110.969999999797</v>
      </c>
    </row>
    <row r="296" spans="1:20" ht="15.75" customHeight="1">
      <c r="A296" s="23" t="str">
        <f t="shared" si="136"/>
        <v>PiècesPièces Ro Carrosserie</v>
      </c>
      <c r="B296" s="184" t="s">
        <v>103</v>
      </c>
      <c r="C296" s="1" t="s">
        <v>106</v>
      </c>
      <c r="D296" s="26">
        <f>+SUM(START:END!D296)</f>
        <v>111600</v>
      </c>
      <c r="E296" s="27">
        <f t="shared" ref="E296:E303" si="139">IF(D296=0,0,F296/D296)</f>
        <v>0.248</v>
      </c>
      <c r="F296" s="242">
        <f>+SUM(START:END!F296)</f>
        <v>27676.799999999999</v>
      </c>
      <c r="G296" s="26">
        <f>+SUM(START:END!G296)</f>
        <v>0</v>
      </c>
      <c r="H296" s="27">
        <f t="shared" ref="H296:H303" si="140">IF(G296=0,0,I296/G296)</f>
        <v>0</v>
      </c>
      <c r="I296" s="242">
        <f>+SUM(START:END!I296)</f>
        <v>0</v>
      </c>
      <c r="J296" s="198">
        <f>+SUM(START:END!J296)</f>
        <v>12907.939999999999</v>
      </c>
      <c r="K296" s="27">
        <f t="shared" ref="K296:K303" si="141">IF(J296=0,0,L296/J296)</f>
        <v>0.23916054769390002</v>
      </c>
      <c r="L296" s="201">
        <f>+SUM(START:END!L296)</f>
        <v>3087.0699999999997</v>
      </c>
      <c r="M296" s="296">
        <f t="shared" ref="M296:M303" si="142">(+J296-D296)/D296</f>
        <v>-0.88433745519713258</v>
      </c>
      <c r="N296" s="222">
        <f t="shared" si="137"/>
        <v>-24589.73</v>
      </c>
      <c r="O296" s="198">
        <f>+SUM(START:END!O296)</f>
        <v>39612.050000000003</v>
      </c>
      <c r="P296" s="27">
        <f t="shared" ref="P296:P303" si="143">IF(O296=0,0,Q296/O296)</f>
        <v>0.23323357412706458</v>
      </c>
      <c r="Q296" s="201">
        <f>+SUM(START:END!Q296)</f>
        <v>9238.8599999999897</v>
      </c>
      <c r="R296" s="296">
        <f t="shared" ref="R296:R303" si="144">IF(O296=0,0,(J296-O296)/O296)</f>
        <v>-0.6741410757585129</v>
      </c>
      <c r="S296" s="242">
        <f t="shared" ref="S296:S303" si="145">L296-Q296</f>
        <v>-6151.78999999999</v>
      </c>
    </row>
    <row r="297" spans="1:20" ht="15.75" customHeight="1">
      <c r="A297" s="23" t="str">
        <f t="shared" si="136"/>
        <v>PiècesP/A Garantie</v>
      </c>
      <c r="B297" s="184" t="s">
        <v>103</v>
      </c>
      <c r="C297" s="1" t="s">
        <v>107</v>
      </c>
      <c r="D297" s="26">
        <f>+SUM(START:END!D297)</f>
        <v>135650.4975</v>
      </c>
      <c r="E297" s="27">
        <f t="shared" si="139"/>
        <v>0.23699999999999996</v>
      </c>
      <c r="F297" s="242">
        <f>+SUM(START:END!F297)</f>
        <v>32149.167907499996</v>
      </c>
      <c r="G297" s="26">
        <f>+SUM(START:END!G297)</f>
        <v>0</v>
      </c>
      <c r="H297" s="27">
        <f t="shared" si="140"/>
        <v>0</v>
      </c>
      <c r="I297" s="242">
        <f>+SUM(START:END!I297)</f>
        <v>0</v>
      </c>
      <c r="J297" s="198">
        <f>+SUM(START:END!J297)</f>
        <v>208829.43</v>
      </c>
      <c r="K297" s="27">
        <f t="shared" si="141"/>
        <v>0.23658073481309602</v>
      </c>
      <c r="L297" s="201">
        <f>+SUM(START:END!L297)</f>
        <v>49405.02</v>
      </c>
      <c r="M297" s="296">
        <f t="shared" si="142"/>
        <v>0.53946674615034118</v>
      </c>
      <c r="N297" s="222">
        <f t="shared" si="137"/>
        <v>17255.852092500001</v>
      </c>
      <c r="O297" s="198">
        <f>+SUM(START:END!O297)</f>
        <v>117574.34</v>
      </c>
      <c r="P297" s="27">
        <f t="shared" si="143"/>
        <v>0.23678559454384351</v>
      </c>
      <c r="Q297" s="201">
        <f>+SUM(START:END!Q297)</f>
        <v>27839.91</v>
      </c>
      <c r="R297" s="296">
        <f>IF(O297=0,0,(J297-O297)/O297)</f>
        <v>0.77614800984636612</v>
      </c>
      <c r="S297" s="242">
        <f t="shared" si="145"/>
        <v>21565.109999999997</v>
      </c>
    </row>
    <row r="298" spans="1:20" ht="15.75" customHeight="1">
      <c r="A298" s="23" t="str">
        <f t="shared" si="136"/>
        <v>PiècesVentes Internes</v>
      </c>
      <c r="B298" s="184" t="s">
        <v>103</v>
      </c>
      <c r="C298" s="1" t="s">
        <v>108</v>
      </c>
      <c r="D298" s="26">
        <f>+SUM(START:END!D298)</f>
        <v>175716.75659999996</v>
      </c>
      <c r="E298" s="27">
        <f t="shared" si="139"/>
        <v>0.29399999999999998</v>
      </c>
      <c r="F298" s="242">
        <f>+SUM(START:END!F298)</f>
        <v>51660.726440399987</v>
      </c>
      <c r="G298" s="26">
        <f>+SUM(START:END!G298)</f>
        <v>0</v>
      </c>
      <c r="H298" s="27">
        <f t="shared" si="140"/>
        <v>0</v>
      </c>
      <c r="I298" s="242">
        <f>+SUM(START:END!I298)</f>
        <v>0</v>
      </c>
      <c r="J298" s="198">
        <f>+SUM(START:END!J298)</f>
        <v>174782.46000000002</v>
      </c>
      <c r="K298" s="27">
        <f t="shared" si="141"/>
        <v>0.29731776289222611</v>
      </c>
      <c r="L298" s="201">
        <f>+SUM(START:END!L298)</f>
        <v>51965.93</v>
      </c>
      <c r="M298" s="296">
        <f t="shared" si="142"/>
        <v>-5.317060353707573E-3</v>
      </c>
      <c r="N298" s="222">
        <f t="shared" si="137"/>
        <v>305.20355960001325</v>
      </c>
      <c r="O298" s="198">
        <f>+SUM(START:END!O298)</f>
        <v>126929.17</v>
      </c>
      <c r="P298" s="27">
        <f t="shared" si="143"/>
        <v>0.2987774205094062</v>
      </c>
      <c r="Q298" s="201">
        <f>+SUM(START:END!Q298)</f>
        <v>37923.569999999905</v>
      </c>
      <c r="R298" s="296">
        <f t="shared" si="144"/>
        <v>0.37700782255174303</v>
      </c>
      <c r="S298" s="242">
        <f t="shared" si="145"/>
        <v>14042.360000000095</v>
      </c>
    </row>
    <row r="299" spans="1:20" ht="15.75" customHeight="1">
      <c r="A299" s="23" t="str">
        <f t="shared" si="136"/>
        <v>PiècesVentes Détails</v>
      </c>
      <c r="B299" s="184" t="s">
        <v>103</v>
      </c>
      <c r="C299" s="1" t="s">
        <v>109</v>
      </c>
      <c r="D299" s="26">
        <f>+SUM(START:END!D299)</f>
        <v>64859.752</v>
      </c>
      <c r="E299" s="27">
        <f t="shared" si="139"/>
        <v>0.27700000000000002</v>
      </c>
      <c r="F299" s="242">
        <f>+SUM(START:END!F299)</f>
        <v>17966.151304000003</v>
      </c>
      <c r="G299" s="26">
        <f>+SUM(START:END!G299)</f>
        <v>0</v>
      </c>
      <c r="H299" s="27">
        <f t="shared" si="140"/>
        <v>0</v>
      </c>
      <c r="I299" s="242">
        <f>+SUM(START:END!I299)</f>
        <v>0</v>
      </c>
      <c r="J299" s="198">
        <f>+SUM(START:END!J299)</f>
        <v>59671.55</v>
      </c>
      <c r="K299" s="27">
        <f t="shared" si="141"/>
        <v>0.26468107498464505</v>
      </c>
      <c r="L299" s="201">
        <f>+SUM(START:END!L299)</f>
        <v>15793.929999999997</v>
      </c>
      <c r="M299" s="296">
        <f t="shared" si="142"/>
        <v>-7.9991085997368566E-2</v>
      </c>
      <c r="N299" s="222">
        <f t="shared" si="137"/>
        <v>-2172.2213040000061</v>
      </c>
      <c r="O299" s="198">
        <f>+SUM(START:END!O299)</f>
        <v>61192.880000000005</v>
      </c>
      <c r="P299" s="27">
        <f t="shared" si="143"/>
        <v>0.28632612160107462</v>
      </c>
      <c r="Q299" s="201">
        <f>+SUM(START:END!Q299)</f>
        <v>17521.11999999997</v>
      </c>
      <c r="R299" s="296">
        <f t="shared" si="144"/>
        <v>-2.486122568507973E-2</v>
      </c>
      <c r="S299" s="242">
        <f t="shared" si="145"/>
        <v>-1727.1899999999732</v>
      </c>
    </row>
    <row r="300" spans="1:20" ht="15.75" customHeight="1">
      <c r="A300" s="23" t="str">
        <f t="shared" si="136"/>
        <v>PiècesVentes de Gros</v>
      </c>
      <c r="B300" s="184" t="s">
        <v>103</v>
      </c>
      <c r="C300" s="1" t="s">
        <v>110</v>
      </c>
      <c r="D300" s="26">
        <f>+SUM(START:END!D300)</f>
        <v>477514.11300000001</v>
      </c>
      <c r="E300" s="27">
        <f t="shared" si="139"/>
        <v>0.13500000000000001</v>
      </c>
      <c r="F300" s="242">
        <f>+SUM(START:END!F300)</f>
        <v>64464.405255000005</v>
      </c>
      <c r="G300" s="26">
        <f>+SUM(START:END!G300)</f>
        <v>0</v>
      </c>
      <c r="H300" s="27">
        <f t="shared" si="140"/>
        <v>0</v>
      </c>
      <c r="I300" s="242">
        <f>+SUM(START:END!I300)</f>
        <v>0</v>
      </c>
      <c r="J300" s="198">
        <f>+SUM(START:END!J300)</f>
        <v>545946.1</v>
      </c>
      <c r="K300" s="27">
        <f t="shared" si="141"/>
        <v>0.13452767590060627</v>
      </c>
      <c r="L300" s="201">
        <f>+SUM(START:END!L300)</f>
        <v>73444.859999999971</v>
      </c>
      <c r="M300" s="296">
        <f t="shared" si="142"/>
        <v>0.14330882614143797</v>
      </c>
      <c r="N300" s="222">
        <f t="shared" si="137"/>
        <v>8980.4547449999664</v>
      </c>
      <c r="O300" s="198">
        <f>+SUM(START:END!O300)</f>
        <v>447414.36</v>
      </c>
      <c r="P300" s="27">
        <f t="shared" si="143"/>
        <v>0.14567699615184415</v>
      </c>
      <c r="Q300" s="201">
        <f>+SUM(START:END!Q300)</f>
        <v>65177.979999999807</v>
      </c>
      <c r="R300" s="296">
        <f t="shared" si="144"/>
        <v>0.22022480458606647</v>
      </c>
      <c r="S300" s="242">
        <f t="shared" si="145"/>
        <v>8266.8800000001647</v>
      </c>
    </row>
    <row r="301" spans="1:20" ht="15.75" hidden="1" customHeight="1">
      <c r="A301" s="23" t="str">
        <f t="shared" si="136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9"/>
        <v>0</v>
      </c>
      <c r="F301" s="242">
        <f>+SUM(START:END!F301)</f>
        <v>0</v>
      </c>
      <c r="G301" s="26">
        <f>+SUM(START:END!G301)</f>
        <v>0</v>
      </c>
      <c r="H301" s="27">
        <f t="shared" si="140"/>
        <v>0</v>
      </c>
      <c r="I301" s="242">
        <f>+SUM(START:END!I301)</f>
        <v>0</v>
      </c>
      <c r="J301" s="198">
        <f>+SUM(START:END!J301)</f>
        <v>0</v>
      </c>
      <c r="K301" s="27">
        <f t="shared" si="141"/>
        <v>0</v>
      </c>
      <c r="L301" s="201">
        <f>+SUM(START:END!L301)</f>
        <v>0</v>
      </c>
      <c r="M301" s="296" t="e">
        <f t="shared" si="142"/>
        <v>#DIV/0!</v>
      </c>
      <c r="N301" s="222">
        <f t="shared" si="137"/>
        <v>0</v>
      </c>
      <c r="O301" s="198">
        <f>+SUM(START:END!O301)</f>
        <v>0</v>
      </c>
      <c r="P301" s="27">
        <f t="shared" si="143"/>
        <v>0</v>
      </c>
      <c r="Q301" s="201">
        <f>+SUM(START:END!Q301)</f>
        <v>0</v>
      </c>
      <c r="R301" s="296">
        <f t="shared" si="144"/>
        <v>0</v>
      </c>
      <c r="S301" s="242">
        <f t="shared" si="145"/>
        <v>0</v>
      </c>
    </row>
    <row r="302" spans="1:20" ht="15.75" customHeight="1">
      <c r="A302" s="23" t="str">
        <f t="shared" si="136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9"/>
        <v>0</v>
      </c>
      <c r="F302" s="242">
        <f>+SUM(START:END!F302)</f>
        <v>33244.724933922153</v>
      </c>
      <c r="G302" s="26">
        <f>+SUM(START:END!G302)</f>
        <v>0</v>
      </c>
      <c r="H302" s="27">
        <f t="shared" si="140"/>
        <v>0</v>
      </c>
      <c r="I302" s="242">
        <f>+SUM(START:END!I302)</f>
        <v>0</v>
      </c>
      <c r="J302" s="198">
        <f>+SUM(START:END!J302)</f>
        <v>0</v>
      </c>
      <c r="K302" s="27">
        <f t="shared" si="141"/>
        <v>0</v>
      </c>
      <c r="L302" s="201">
        <f>+SUM(START:END!L302)</f>
        <v>36593.64</v>
      </c>
      <c r="M302" s="296" t="e">
        <f t="shared" si="142"/>
        <v>#DIV/0!</v>
      </c>
      <c r="N302" s="222">
        <f t="shared" si="137"/>
        <v>3348.9150660778469</v>
      </c>
      <c r="O302" s="198">
        <f>+SUM(START:END!O302)</f>
        <v>0</v>
      </c>
      <c r="P302" s="27">
        <f t="shared" si="143"/>
        <v>0</v>
      </c>
      <c r="Q302" s="201">
        <f>+SUM(START:END!Q302)</f>
        <v>35484.880000000005</v>
      </c>
      <c r="R302" s="296">
        <f t="shared" si="144"/>
        <v>0</v>
      </c>
      <c r="S302" s="242">
        <f t="shared" si="145"/>
        <v>1108.7599999999948</v>
      </c>
    </row>
    <row r="303" spans="1:20" ht="15.75" customHeight="1">
      <c r="A303" s="23" t="str">
        <f t="shared" si="136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9"/>
        <v>0</v>
      </c>
      <c r="F303" s="242">
        <f>+SUM(START:END!F303)</f>
        <v>0</v>
      </c>
      <c r="G303" s="26">
        <f>+SUM(START:END!G303)</f>
        <v>0</v>
      </c>
      <c r="H303" s="27">
        <f t="shared" si="140"/>
        <v>0</v>
      </c>
      <c r="I303" s="242">
        <f>+SUM(START:END!I303)</f>
        <v>0</v>
      </c>
      <c r="J303" s="198">
        <f>+SUM(START:END!J303)</f>
        <v>0</v>
      </c>
      <c r="K303" s="27">
        <f t="shared" si="141"/>
        <v>0</v>
      </c>
      <c r="L303" s="201">
        <f>+SUM(START:END!L303)</f>
        <v>0</v>
      </c>
      <c r="M303" s="296" t="e">
        <f t="shared" si="142"/>
        <v>#DIV/0!</v>
      </c>
      <c r="N303" s="222">
        <f t="shared" si="137"/>
        <v>0</v>
      </c>
      <c r="O303" s="198">
        <f>+SUM(START:END!O303)</f>
        <v>0</v>
      </c>
      <c r="P303" s="27">
        <f t="shared" si="143"/>
        <v>0</v>
      </c>
      <c r="Q303" s="201">
        <f>+SUM(START:END!Q303)</f>
        <v>0</v>
      </c>
      <c r="R303" s="296">
        <f t="shared" si="144"/>
        <v>0</v>
      </c>
      <c r="S303" s="242">
        <f t="shared" si="145"/>
        <v>0</v>
      </c>
    </row>
    <row r="304" spans="1:20" ht="15.75" customHeight="1">
      <c r="A304" s="23" t="str">
        <f t="shared" si="136"/>
        <v>PiècesSous-total Pièces</v>
      </c>
      <c r="B304" s="184" t="s">
        <v>103</v>
      </c>
      <c r="C304" s="22" t="s">
        <v>113</v>
      </c>
      <c r="D304" s="83">
        <f>SUM(D295:D303)</f>
        <v>1296689.025132</v>
      </c>
      <c r="E304" s="78">
        <f>IF(D304&lt;=0,0,F304/D304)</f>
        <v>0.26641173912849292</v>
      </c>
      <c r="F304" s="330">
        <f>SUM(F295:F303)</f>
        <v>345453.17829424614</v>
      </c>
      <c r="G304" s="83">
        <f>SUM(G295:G303)</f>
        <v>0</v>
      </c>
      <c r="H304" s="78">
        <f>IF(G304&lt;=0,0,I304/G304)</f>
        <v>0</v>
      </c>
      <c r="I304" s="330">
        <f>SUM(I295:I303)</f>
        <v>0</v>
      </c>
      <c r="J304" s="83">
        <f>SUM(J295:J303)</f>
        <v>1285982.1499999999</v>
      </c>
      <c r="K304" s="78">
        <f>IF(J304&lt;=0,0,L304/J304)</f>
        <v>0.25166647919646473</v>
      </c>
      <c r="L304" s="329">
        <f>SUM(L295:L303)</f>
        <v>323638.59999999998</v>
      </c>
      <c r="M304" s="365">
        <f>(+J304-D304)/D304</f>
        <v>-8.2570878016879484E-3</v>
      </c>
      <c r="N304" s="329">
        <f>SUM(N295:N303)</f>
        <v>-21814.578294246188</v>
      </c>
      <c r="O304" s="83">
        <f>SUM(O295:O303)</f>
        <v>1079302.0899999999</v>
      </c>
      <c r="P304" s="78">
        <f>IF(O304&lt;=0,0,Q304/O304)</f>
        <v>0.27855541352653129</v>
      </c>
      <c r="Q304" s="329">
        <f>SUM(Q295:Q303)</f>
        <v>300645.43999999948</v>
      </c>
      <c r="R304" s="365">
        <f>IF(O304=0,0,(J304-O304)/O304)</f>
        <v>0.19149417194216689</v>
      </c>
      <c r="S304" s="330">
        <f t="shared" si="138"/>
        <v>22993.160000000498</v>
      </c>
    </row>
    <row r="305" spans="1:19" ht="15.75" customHeight="1">
      <c r="A305" s="23" t="str">
        <f t="shared" si="136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-6.314771339479533E-2</v>
      </c>
      <c r="O305" s="152"/>
      <c r="Q305" s="208"/>
      <c r="R305" s="152"/>
      <c r="S305" s="209">
        <f>IF(Q304=0,0,S304/Q304)</f>
        <v>7.6479323950499764E-2</v>
      </c>
    </row>
    <row r="306" spans="1:19" ht="15.75" customHeight="1">
      <c r="A306" s="23" t="str">
        <f t="shared" si="136"/>
        <v>Pièces</v>
      </c>
      <c r="B306" s="184" t="s">
        <v>103</v>
      </c>
      <c r="C306" s="2"/>
      <c r="D306" s="7"/>
      <c r="E306" s="7"/>
      <c r="F306" s="366"/>
      <c r="G306" s="153"/>
      <c r="H306" s="367"/>
      <c r="I306" s="366"/>
      <c r="J306" s="153"/>
      <c r="K306" s="7"/>
      <c r="L306" s="366"/>
      <c r="M306" s="153"/>
      <c r="N306" s="302"/>
      <c r="O306" s="153"/>
      <c r="P306" s="7"/>
      <c r="Q306" s="366"/>
      <c r="R306" s="153"/>
      <c r="S306" s="303"/>
    </row>
    <row r="307" spans="1:19" ht="15.75" customHeight="1">
      <c r="A307" s="23" t="str">
        <f t="shared" si="136"/>
        <v>PiècesVentes Pneus</v>
      </c>
      <c r="B307" s="184" t="s">
        <v>103</v>
      </c>
      <c r="C307" s="1" t="s">
        <v>114</v>
      </c>
      <c r="D307" s="26">
        <f>+SUM(START:END!D307)</f>
        <v>80551.94</v>
      </c>
      <c r="E307" s="27">
        <f t="shared" ref="E307:E308" si="146">IF(D307=0,0,F307/D307)</f>
        <v>0.17100000000000001</v>
      </c>
      <c r="F307" s="259">
        <f>+SUM(START:END!F307)</f>
        <v>13774.381740000003</v>
      </c>
      <c r="G307" s="26">
        <f>+SUM(START:END!G307)</f>
        <v>0</v>
      </c>
      <c r="H307" s="27">
        <f t="shared" ref="H307:H308" si="147">IF(G307=0,0,I307/G307)</f>
        <v>0</v>
      </c>
      <c r="I307" s="259">
        <f>+SUM(START:END!I307)</f>
        <v>0</v>
      </c>
      <c r="J307" s="198">
        <f>+SUM(START:END!J307)</f>
        <v>111328.46</v>
      </c>
      <c r="K307" s="27">
        <f t="shared" ref="K307:K308" si="148">IF(J307=0,0,L307/J307)</f>
        <v>0.16504000863750387</v>
      </c>
      <c r="L307" s="201">
        <f>+SUM(START:END!L307)</f>
        <v>18373.650000000005</v>
      </c>
      <c r="M307" s="296">
        <f t="shared" ref="M307:M308" si="149">(+J307-D307)/D307</f>
        <v>0.38207050010217014</v>
      </c>
      <c r="N307" s="222">
        <f t="shared" ref="N307:N308" si="150">L307-F307</f>
        <v>4599.2682600000026</v>
      </c>
      <c r="O307" s="198">
        <f>+SUM(START:END!O307)</f>
        <v>82639.78</v>
      </c>
      <c r="P307" s="27">
        <f t="shared" ref="P307:P308" si="151">IF(O307=0,0,Q307/O307)</f>
        <v>0.1664625680271655</v>
      </c>
      <c r="Q307" s="201">
        <f>+SUM(START:END!Q307)</f>
        <v>13756.429999999991</v>
      </c>
      <c r="R307" s="296">
        <f t="shared" ref="R307:R308" si="152">IF(O307=0,0,(J307-O307)/O307)</f>
        <v>0.34715339271232337</v>
      </c>
      <c r="S307" s="242">
        <f t="shared" ref="S307:S308" si="153">L307-Q307</f>
        <v>4617.2200000000139</v>
      </c>
    </row>
    <row r="308" spans="1:19" ht="15.75" customHeight="1">
      <c r="A308" s="23" t="str">
        <f t="shared" si="136"/>
        <v>PiècesHuiles et Graisse</v>
      </c>
      <c r="B308" s="184" t="s">
        <v>103</v>
      </c>
      <c r="C308" s="2" t="s">
        <v>115</v>
      </c>
      <c r="D308" s="26">
        <f>+SUM(START:END!D308)</f>
        <v>77141.866448778455</v>
      </c>
      <c r="E308" s="27">
        <f t="shared" si="146"/>
        <v>0.25600000000000001</v>
      </c>
      <c r="F308" s="248">
        <f>+SUM(START:END!F308)</f>
        <v>19748.317810887285</v>
      </c>
      <c r="G308" s="26">
        <f>+SUM(START:END!G308)</f>
        <v>0</v>
      </c>
      <c r="H308" s="27">
        <f t="shared" si="147"/>
        <v>0</v>
      </c>
      <c r="I308" s="248">
        <f>+SUM(START:END!I308)</f>
        <v>0</v>
      </c>
      <c r="J308" s="198">
        <f>+SUM(START:END!J308)</f>
        <v>78689.739999999991</v>
      </c>
      <c r="K308" s="27">
        <f t="shared" si="148"/>
        <v>0.27053310889068899</v>
      </c>
      <c r="L308" s="201">
        <f>+SUM(START:END!L308)</f>
        <v>21288.18</v>
      </c>
      <c r="M308" s="296">
        <f t="shared" si="149"/>
        <v>2.0065285200861847E-2</v>
      </c>
      <c r="N308" s="222">
        <f t="shared" si="150"/>
        <v>1539.862189112715</v>
      </c>
      <c r="O308" s="198">
        <f>+SUM(START:END!O308)</f>
        <v>74685.94</v>
      </c>
      <c r="P308" s="27">
        <f t="shared" si="151"/>
        <v>0.26268786333813299</v>
      </c>
      <c r="Q308" s="201">
        <f>+SUM(START:END!Q308)</f>
        <v>19619.09</v>
      </c>
      <c r="R308" s="296">
        <f t="shared" si="152"/>
        <v>5.360848373870622E-2</v>
      </c>
      <c r="S308" s="242">
        <f t="shared" si="153"/>
        <v>1669.0900000000001</v>
      </c>
    </row>
    <row r="309" spans="1:19" ht="15.75" customHeight="1">
      <c r="A309" s="23" t="str">
        <f t="shared" si="136"/>
        <v>PiècesSous-total Pièces et Acc.</v>
      </c>
      <c r="B309" s="184" t="s">
        <v>103</v>
      </c>
      <c r="C309" s="22" t="s">
        <v>116</v>
      </c>
      <c r="D309" s="83">
        <f>D304+D307+D308</f>
        <v>1454382.8315807784</v>
      </c>
      <c r="E309" s="78">
        <f>IF(D309&lt;=0,0,F309/D309)</f>
        <v>0.26057504916585272</v>
      </c>
      <c r="F309" s="329">
        <f t="shared" ref="F309" si="154">F304+F307+F308</f>
        <v>378975.87784513342</v>
      </c>
      <c r="G309" s="328">
        <f>G304+G307+G308</f>
        <v>0</v>
      </c>
      <c r="H309" s="78">
        <f>IF(G309&lt;=0,0,I309/G309)</f>
        <v>0</v>
      </c>
      <c r="I309" s="329">
        <f t="shared" ref="I309" si="155">I304+I307+I308</f>
        <v>0</v>
      </c>
      <c r="J309" s="328">
        <f>J304+J307+J308</f>
        <v>1476000.3499999999</v>
      </c>
      <c r="K309" s="78">
        <f>IF(J309&lt;=0,0,L309/J309)</f>
        <v>0.24613844434386484</v>
      </c>
      <c r="L309" s="329">
        <f t="shared" ref="L309:N309" si="156">L304+L307+L308</f>
        <v>363300.43</v>
      </c>
      <c r="M309" s="365">
        <f>(+J309-D309)/D309</f>
        <v>1.4863705724389832E-2</v>
      </c>
      <c r="N309" s="329">
        <f t="shared" si="156"/>
        <v>-15675.447845133469</v>
      </c>
      <c r="O309" s="328">
        <f>O304+O307+O308</f>
        <v>1236627.8099999998</v>
      </c>
      <c r="P309" s="78">
        <f>IF(O309&lt;=0,0,Q309/O309)</f>
        <v>0.27010629819169241</v>
      </c>
      <c r="Q309" s="329">
        <f t="shared" ref="Q309" si="157">Q304+Q307+Q308</f>
        <v>334020.9599999995</v>
      </c>
      <c r="R309" s="365">
        <f>IF(O309=0,0,(J309-O309)/O309)</f>
        <v>0.1935687828336968</v>
      </c>
      <c r="S309" s="330">
        <f t="shared" ref="S309" si="158">L309-Q309</f>
        <v>29279.470000000496</v>
      </c>
    </row>
    <row r="310" spans="1:19" ht="15.75" customHeight="1">
      <c r="A310" s="23" t="str">
        <f t="shared" si="136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-4.1362653302010853E-2</v>
      </c>
      <c r="O310" s="152"/>
      <c r="Q310" s="208"/>
      <c r="R310" s="152"/>
      <c r="S310" s="209">
        <f>IF(Q309=0,0,S309/Q309)</f>
        <v>8.7657582925336597E-2</v>
      </c>
    </row>
    <row r="311" spans="1:19" ht="15.75" hidden="1" customHeight="1">
      <c r="A311" s="23" t="str">
        <f t="shared" si="136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9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60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61">IF(J311=0,0,L311/J311)</f>
        <v>0</v>
      </c>
      <c r="L311" s="201">
        <f>+SUM(START:END!L311)</f>
        <v>0</v>
      </c>
      <c r="M311" s="27" t="e">
        <f t="shared" ref="M311:M312" si="162">(+J311-D311)/D311</f>
        <v>#DIV/0!</v>
      </c>
      <c r="N311" s="222">
        <f t="shared" ref="N311:N312" si="163">L311-F311</f>
        <v>0</v>
      </c>
      <c r="O311" s="199">
        <f>+SUM(START:END!O311)</f>
        <v>0</v>
      </c>
      <c r="P311" s="27">
        <f t="shared" ref="P311:P312" si="164">IF(O311=0,0,Q311/O311)</f>
        <v>0</v>
      </c>
      <c r="Q311" s="201">
        <f>+SUM(START:END!Q311)</f>
        <v>0</v>
      </c>
      <c r="R311" s="27">
        <f t="shared" ref="R311:R312" si="165">IF(O311=0,0,(J311-O311)/O311)</f>
        <v>0</v>
      </c>
      <c r="S311" s="242">
        <f t="shared" ref="S311:S312" si="166">L311-Q311</f>
        <v>0</v>
      </c>
    </row>
    <row r="312" spans="1:19" ht="15.75" hidden="1" customHeight="1">
      <c r="A312" s="23" t="str">
        <f t="shared" si="136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5">
        <f t="shared" si="159"/>
        <v>0</v>
      </c>
      <c r="F312" s="368">
        <f>+SUM(START:END!F312)</f>
        <v>0</v>
      </c>
      <c r="G312" s="307">
        <f>+SUM(START:END!G312)</f>
        <v>0</v>
      </c>
      <c r="H312" s="305">
        <f t="shared" si="160"/>
        <v>0</v>
      </c>
      <c r="I312" s="368">
        <f>+SUM(START:END!I312)</f>
        <v>0</v>
      </c>
      <c r="J312" s="211">
        <f>+SUM(START:END!J312)</f>
        <v>0</v>
      </c>
      <c r="K312" s="11">
        <f t="shared" si="161"/>
        <v>0</v>
      </c>
      <c r="L312" s="193">
        <f>+SUM(START:END!L312)</f>
        <v>0</v>
      </c>
      <c r="M312" s="11" t="e">
        <f t="shared" si="162"/>
        <v>#DIV/0!</v>
      </c>
      <c r="N312" s="247">
        <f t="shared" si="163"/>
        <v>0</v>
      </c>
      <c r="O312" s="211">
        <f>+SUM(START:END!O312)</f>
        <v>0</v>
      </c>
      <c r="P312" s="11">
        <f t="shared" si="164"/>
        <v>0</v>
      </c>
      <c r="Q312" s="193">
        <f>+SUM(START:END!Q312)</f>
        <v>0</v>
      </c>
      <c r="R312" s="11">
        <f t="shared" si="165"/>
        <v>0</v>
      </c>
      <c r="S312" s="248">
        <f t="shared" si="166"/>
        <v>0</v>
      </c>
    </row>
    <row r="313" spans="1:19" ht="15.75" customHeight="1" thickBot="1">
      <c r="A313" s="23" t="str">
        <f t="shared" si="136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6"/>
      <c r="N313" s="222"/>
      <c r="O313" s="223"/>
      <c r="P313" s="27"/>
      <c r="Q313" s="222"/>
      <c r="R313" s="296"/>
      <c r="S313" s="242"/>
    </row>
    <row r="314" spans="1:19" ht="15.75" customHeight="1" thickTop="1">
      <c r="A314" s="23" t="str">
        <f t="shared" si="136"/>
        <v>PiècesTotal Dépt. Pièces</v>
      </c>
      <c r="B314" s="184" t="s">
        <v>103</v>
      </c>
      <c r="C314" s="225" t="s">
        <v>118</v>
      </c>
      <c r="D314" s="226">
        <f>D309+D312+D311</f>
        <v>1454382.8315807784</v>
      </c>
      <c r="E314" s="369">
        <f>IF(D314&lt;=0,0,F314/D314)</f>
        <v>0.26057504916585272</v>
      </c>
      <c r="F314" s="228">
        <f>F309+F312+F311</f>
        <v>378975.87784513342</v>
      </c>
      <c r="G314" s="229">
        <f>G309+G312+G311</f>
        <v>0</v>
      </c>
      <c r="H314" s="369">
        <f>IF(G314&lt;=0,0,I314/G314)</f>
        <v>0</v>
      </c>
      <c r="I314" s="228">
        <f>I309+I312+I311</f>
        <v>0</v>
      </c>
      <c r="J314" s="229">
        <f>J309+J312+J311</f>
        <v>1476000.3499999999</v>
      </c>
      <c r="K314" s="369">
        <f>IF(J314&lt;=0,0,L314/J314)</f>
        <v>0.24613844434386484</v>
      </c>
      <c r="L314" s="228">
        <f>L309+L312+L311</f>
        <v>363300.43</v>
      </c>
      <c r="M314" s="370">
        <f>(+J314-D314)/D314</f>
        <v>1.4863705724389832E-2</v>
      </c>
      <c r="N314" s="372">
        <f>N309+N312+N311</f>
        <v>-15675.447845133469</v>
      </c>
      <c r="O314" s="229">
        <f>O309+O312+O311</f>
        <v>1236627.8099999998</v>
      </c>
      <c r="P314" s="369">
        <f>IF(O314&lt;=0,0,Q314/O314)</f>
        <v>0.27010629819169241</v>
      </c>
      <c r="Q314" s="228">
        <f>Q309+Q312+Q311</f>
        <v>334020.9599999995</v>
      </c>
      <c r="R314" s="370">
        <f>IF(O314=0,0,(J314-O314)/O314)</f>
        <v>0.1935687828336968</v>
      </c>
      <c r="S314" s="372">
        <f>L314-Q314</f>
        <v>29279.470000000496</v>
      </c>
    </row>
    <row r="315" spans="1:19" ht="15.75" customHeight="1" thickBot="1">
      <c r="A315" s="23" t="str">
        <f t="shared" si="136"/>
        <v>Pièces</v>
      </c>
      <c r="B315" s="184" t="s">
        <v>103</v>
      </c>
      <c r="C315" s="373"/>
      <c r="D315" s="374"/>
      <c r="E315" s="375"/>
      <c r="F315" s="376"/>
      <c r="G315" s="377"/>
      <c r="H315" s="375"/>
      <c r="I315" s="376"/>
      <c r="J315" s="377"/>
      <c r="K315" s="375"/>
      <c r="L315" s="376"/>
      <c r="M315" s="378"/>
      <c r="N315" s="237">
        <f>N314/F314</f>
        <v>-4.1362653302010853E-2</v>
      </c>
      <c r="O315" s="377"/>
      <c r="P315" s="375"/>
      <c r="Q315" s="376"/>
      <c r="R315" s="378"/>
      <c r="S315" s="237">
        <f>IF(Q314=0,0,S314/Q314)</f>
        <v>8.7657582925336597E-2</v>
      </c>
    </row>
    <row r="316" spans="1:19" ht="15.75" customHeight="1" thickTop="1">
      <c r="A316" s="23" t="str">
        <f t="shared" si="136"/>
        <v>Pièces</v>
      </c>
      <c r="B316" s="184" t="s">
        <v>103</v>
      </c>
      <c r="C316" s="22"/>
      <c r="D316" s="87"/>
      <c r="E316" s="311"/>
      <c r="F316" s="312"/>
      <c r="G316" s="318"/>
      <c r="H316" s="311"/>
      <c r="I316" s="312"/>
      <c r="J316" s="318"/>
      <c r="K316" s="311"/>
      <c r="L316" s="312"/>
      <c r="M316" s="152"/>
      <c r="N316" s="171"/>
      <c r="O316" s="318"/>
      <c r="P316" s="311"/>
      <c r="Q316" s="312"/>
      <c r="R316" s="152"/>
      <c r="S316" s="209"/>
    </row>
    <row r="317" spans="1:19" ht="15.75" customHeight="1">
      <c r="A317" s="23" t="str">
        <f t="shared" si="136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6"/>
        <v>PiècesSalaires cadres</v>
      </c>
      <c r="B318" s="184" t="s">
        <v>103</v>
      </c>
      <c r="C318" s="1" t="s">
        <v>41</v>
      </c>
      <c r="F318" s="198">
        <f>+SUM(START:END!F318)</f>
        <v>22063.75</v>
      </c>
      <c r="G318" s="152"/>
      <c r="I318" s="198">
        <f>+SUM(START:END!I318)</f>
        <v>0</v>
      </c>
      <c r="J318" s="152"/>
      <c r="L318" s="201">
        <f>+SUM(START:END!L318)</f>
        <v>27180.37</v>
      </c>
      <c r="M318" s="152"/>
      <c r="N318" s="379">
        <f t="shared" ref="N318:N328" si="167">L318-F318</f>
        <v>5116.619999999999</v>
      </c>
      <c r="O318" s="152"/>
      <c r="Q318" s="201">
        <f>+SUM(START:END!Q318)</f>
        <v>20510.93</v>
      </c>
      <c r="R318" s="152"/>
      <c r="S318" s="202">
        <f>L318-Q318</f>
        <v>6669.4399999999987</v>
      </c>
    </row>
    <row r="319" spans="1:19" ht="15.75" customHeight="1">
      <c r="A319" s="23" t="str">
        <f t="shared" si="136"/>
        <v>PiècesSalaires commis</v>
      </c>
      <c r="B319" s="184" t="s">
        <v>103</v>
      </c>
      <c r="C319" s="2" t="s">
        <v>42</v>
      </c>
      <c r="D319" s="30"/>
      <c r="F319" s="193">
        <f>+SUM(START:END!F319)</f>
        <v>85337.878400000001</v>
      </c>
      <c r="G319" s="240"/>
      <c r="I319" s="193">
        <f>+SUM(START:END!I319)</f>
        <v>0</v>
      </c>
      <c r="J319" s="152"/>
      <c r="L319" s="201">
        <f>+SUM(START:END!L319)</f>
        <v>79155.240000000005</v>
      </c>
      <c r="M319" s="152"/>
      <c r="N319" s="222">
        <f t="shared" si="167"/>
        <v>-6182.6383999999962</v>
      </c>
      <c r="O319" s="152"/>
      <c r="Q319" s="201">
        <f>+SUM(START:END!Q319)</f>
        <v>78342.179999999993</v>
      </c>
      <c r="R319" s="152"/>
      <c r="S319" s="242">
        <f t="shared" ref="S319:S328" si="168">L319-Q319</f>
        <v>813.06000000001222</v>
      </c>
    </row>
    <row r="320" spans="1:19" ht="15.75" customHeight="1">
      <c r="A320" s="23" t="str">
        <f t="shared" si="136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7"/>
        <v>-114.04000000000002</v>
      </c>
      <c r="O320" s="154"/>
      <c r="P320" s="53"/>
      <c r="Q320" s="257">
        <f>+SUM(START:END!Q320)</f>
        <v>1009.11</v>
      </c>
      <c r="R320" s="154"/>
      <c r="S320" s="259">
        <f t="shared" si="168"/>
        <v>-667.35</v>
      </c>
    </row>
    <row r="321" spans="1:19" ht="15.75" customHeight="1">
      <c r="A321" s="23" t="str">
        <f t="shared" si="136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7"/>
        <v>0</v>
      </c>
      <c r="O321" s="152"/>
      <c r="Q321" s="201">
        <f>+SUM(START:END!Q321)</f>
        <v>0</v>
      </c>
      <c r="R321" s="152"/>
      <c r="S321" s="242">
        <f t="shared" si="168"/>
        <v>0</v>
      </c>
    </row>
    <row r="322" spans="1:19" ht="15.75" hidden="1" customHeight="1">
      <c r="A322" s="23" t="str">
        <f t="shared" si="136"/>
        <v>Pièces[...]</v>
      </c>
      <c r="B322" s="184" t="s">
        <v>103</v>
      </c>
      <c r="C322" s="380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7"/>
        <v>0</v>
      </c>
      <c r="O322" s="152"/>
      <c r="Q322" s="201">
        <f>+SUM(START:END!Q322)</f>
        <v>0</v>
      </c>
      <c r="R322" s="152"/>
      <c r="S322" s="242">
        <f t="shared" si="168"/>
        <v>0</v>
      </c>
    </row>
    <row r="323" spans="1:19" ht="15.75" hidden="1" customHeight="1">
      <c r="A323" s="23" t="str">
        <f t="shared" si="136"/>
        <v>Pièces[...]</v>
      </c>
      <c r="B323" s="184" t="s">
        <v>103</v>
      </c>
      <c r="C323" s="380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7"/>
        <v>0</v>
      </c>
      <c r="O323" s="152"/>
      <c r="Q323" s="201">
        <f>+SUM(START:END!Q323)</f>
        <v>0</v>
      </c>
      <c r="R323" s="152"/>
      <c r="S323" s="242">
        <f t="shared" si="168"/>
        <v>0</v>
      </c>
    </row>
    <row r="324" spans="1:19" ht="15.75" hidden="1" customHeight="1">
      <c r="A324" s="23" t="str">
        <f t="shared" si="136"/>
        <v>Pièces[...]</v>
      </c>
      <c r="B324" s="184" t="s">
        <v>103</v>
      </c>
      <c r="C324" s="380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7"/>
        <v>0</v>
      </c>
      <c r="O324" s="152"/>
      <c r="Q324" s="201">
        <f>+SUM(START:END!Q324)</f>
        <v>0</v>
      </c>
      <c r="R324" s="152"/>
      <c r="S324" s="242">
        <f t="shared" si="168"/>
        <v>0</v>
      </c>
    </row>
    <row r="325" spans="1:19" ht="15.75" customHeight="1">
      <c r="A325" s="23" t="str">
        <f t="shared" si="136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13298.0491234</v>
      </c>
      <c r="G325" s="240"/>
      <c r="I325" s="193">
        <f>+SUM(START:END!I325)</f>
        <v>0</v>
      </c>
      <c r="J325" s="152"/>
      <c r="L325" s="201">
        <f>+SUM(START:END!L325)</f>
        <v>12474.88</v>
      </c>
      <c r="M325" s="152"/>
      <c r="N325" s="222">
        <f t="shared" si="167"/>
        <v>-823.1691234000009</v>
      </c>
      <c r="O325" s="152"/>
      <c r="Q325" s="201">
        <f>+SUM(START:END!Q325)</f>
        <v>12129.76</v>
      </c>
      <c r="R325" s="152"/>
      <c r="S325" s="242">
        <f t="shared" si="168"/>
        <v>345.11999999999898</v>
      </c>
    </row>
    <row r="326" spans="1:19" ht="15.75" customHeight="1">
      <c r="A326" s="23" t="str">
        <f t="shared" si="136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16168.553119200002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19130.769999999997</v>
      </c>
      <c r="M326" s="154"/>
      <c r="N326" s="258">
        <f t="shared" si="167"/>
        <v>2962.2168807999951</v>
      </c>
      <c r="O326" s="154"/>
      <c r="P326" s="53"/>
      <c r="Q326" s="257">
        <f>+SUM(START:END!Q326)</f>
        <v>22533.86</v>
      </c>
      <c r="R326" s="154"/>
      <c r="S326" s="259">
        <f t="shared" si="168"/>
        <v>-3403.0900000000038</v>
      </c>
    </row>
    <row r="327" spans="1:19" ht="15.75" customHeight="1">
      <c r="A327" s="23" t="str">
        <f t="shared" si="136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8330.3197592399993</v>
      </c>
      <c r="G327" s="240"/>
      <c r="I327" s="198">
        <f>+SUM(START:END!I327)</f>
        <v>0</v>
      </c>
      <c r="J327" s="152"/>
      <c r="L327" s="201">
        <f>+SUM(START:END!L327)</f>
        <v>2026.84</v>
      </c>
      <c r="M327" s="152"/>
      <c r="N327" s="222">
        <f t="shared" si="167"/>
        <v>-6303.4797592399991</v>
      </c>
      <c r="O327" s="152"/>
      <c r="Q327" s="201">
        <f>+SUM(START:END!Q327)</f>
        <v>3472.27</v>
      </c>
      <c r="R327" s="152"/>
      <c r="S327" s="242">
        <f t="shared" si="168"/>
        <v>-1445.43</v>
      </c>
    </row>
    <row r="328" spans="1:19" ht="15.75" customHeight="1">
      <c r="A328" s="23" t="str">
        <f t="shared" si="136"/>
        <v>PiècesCsst</v>
      </c>
      <c r="B328" s="184" t="s">
        <v>103</v>
      </c>
      <c r="C328" s="1" t="s">
        <v>48</v>
      </c>
      <c r="D328" s="30"/>
      <c r="F328" s="198">
        <f>+SUM(START:END!F328)</f>
        <v>3632.0662803999994</v>
      </c>
      <c r="G328" s="240"/>
      <c r="I328" s="198">
        <f>+SUM(START:END!I328)</f>
        <v>0</v>
      </c>
      <c r="J328" s="152"/>
      <c r="L328" s="201">
        <f>+SUM(START:END!L328)</f>
        <v>3604.35</v>
      </c>
      <c r="M328" s="152"/>
      <c r="N328" s="222">
        <f t="shared" si="167"/>
        <v>-27.716280399999505</v>
      </c>
      <c r="O328" s="152"/>
      <c r="Q328" s="201">
        <f>+SUM(START:END!Q328)</f>
        <v>3059.01</v>
      </c>
      <c r="R328" s="152"/>
      <c r="S328" s="242">
        <f t="shared" si="168"/>
        <v>545.33999999999969</v>
      </c>
    </row>
    <row r="329" spans="1:19" ht="15.75" customHeight="1">
      <c r="A329" s="23" t="str">
        <f t="shared" si="136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0.3939206303342746</v>
      </c>
      <c r="F329" s="251">
        <f>+SUM(F318:F328)</f>
        <v>149286.41668224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0.39613002935339214</v>
      </c>
      <c r="L329" s="251">
        <f>+SUM(L318:L328)</f>
        <v>143914.21</v>
      </c>
      <c r="M329" s="289"/>
      <c r="N329" s="251">
        <f>+SUM(N318:N328)</f>
        <v>-5372.2066822400011</v>
      </c>
      <c r="O329" s="252" t="s">
        <v>39</v>
      </c>
      <c r="P329" s="42">
        <f>Q329/Q$314</f>
        <v>0.42230020535238322</v>
      </c>
      <c r="Q329" s="251">
        <f>+SUM(Q318:Q328)</f>
        <v>141057.11999999997</v>
      </c>
      <c r="R329" s="289"/>
      <c r="S329" s="260">
        <f t="shared" ref="S329:S344" si="169">L329-Q329</f>
        <v>2857.0900000000256</v>
      </c>
    </row>
    <row r="330" spans="1:19" ht="15.75" customHeight="1">
      <c r="A330" s="23" t="str">
        <f t="shared" si="136"/>
        <v>PiècesPublicité 2</v>
      </c>
      <c r="B330" s="184" t="s">
        <v>103</v>
      </c>
      <c r="C330" s="3" t="s">
        <v>50</v>
      </c>
      <c r="D330" s="30"/>
      <c r="F330" s="198">
        <f>+SUM(START:END!F331)</f>
        <v>15966.544991643648</v>
      </c>
      <c r="G330" s="240"/>
      <c r="I330" s="198">
        <f>+SUM(START:END!I331)</f>
        <v>0</v>
      </c>
      <c r="J330" s="152"/>
      <c r="L330" s="201">
        <f>+SUM(START:END!L331)</f>
        <v>21705.13</v>
      </c>
      <c r="M330" s="152"/>
      <c r="N330" s="222">
        <f t="shared" ref="N330:N344" si="170">L330-F330</f>
        <v>5738.5850083563528</v>
      </c>
      <c r="O330" s="152"/>
      <c r="Q330" s="201">
        <f>+SUM(START:END!Q331)</f>
        <v>12872.5</v>
      </c>
      <c r="R330" s="152"/>
      <c r="S330" s="242">
        <f t="shared" si="169"/>
        <v>8832.630000000001</v>
      </c>
    </row>
    <row r="331" spans="1:19" ht="15.75" customHeight="1">
      <c r="A331" s="23" t="str">
        <f t="shared" si="136"/>
        <v>PiècesService gratuit 2</v>
      </c>
      <c r="B331" s="184" t="s">
        <v>103</v>
      </c>
      <c r="C331" s="1" t="s">
        <v>51</v>
      </c>
      <c r="D331" s="30"/>
      <c r="F331" s="198">
        <f>+SUM(START:END!F332)</f>
        <v>1684.577334604282</v>
      </c>
      <c r="G331" s="240"/>
      <c r="I331" s="198">
        <f>+SUM(START:END!I332)</f>
        <v>0</v>
      </c>
      <c r="J331" s="152"/>
      <c r="L331" s="201">
        <f>+SUM(START:END!L332)</f>
        <v>5374.64</v>
      </c>
      <c r="M331" s="152"/>
      <c r="N331" s="222">
        <f t="shared" si="170"/>
        <v>3690.0626653957183</v>
      </c>
      <c r="O331" s="152"/>
      <c r="Q331" s="201">
        <f>+SUM(START:END!Q332)</f>
        <v>4368</v>
      </c>
      <c r="R331" s="152"/>
      <c r="S331" s="242">
        <f t="shared" si="169"/>
        <v>1006.6400000000003</v>
      </c>
    </row>
    <row r="332" spans="1:19" ht="15.75" customHeight="1">
      <c r="A332" s="23" t="str">
        <f t="shared" si="136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3792.9614666666675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3667</v>
      </c>
      <c r="M332" s="153"/>
      <c r="N332" s="247">
        <f t="shared" si="170"/>
        <v>-125.96146666666755</v>
      </c>
      <c r="O332" s="153"/>
      <c r="P332" s="7"/>
      <c r="Q332" s="201">
        <f>+SUM(START:END!Q333)</f>
        <v>3982.7799999999997</v>
      </c>
      <c r="R332" s="153"/>
      <c r="S332" s="248">
        <f t="shared" si="169"/>
        <v>-315.77999999999975</v>
      </c>
    </row>
    <row r="333" spans="1:19" ht="15.75" customHeight="1">
      <c r="A333" s="23" t="str">
        <f t="shared" si="136"/>
        <v>PiècesInformatique</v>
      </c>
      <c r="B333" s="184" t="s">
        <v>103</v>
      </c>
      <c r="C333" s="1" t="s">
        <v>53</v>
      </c>
      <c r="D333" s="30"/>
      <c r="F333" s="198">
        <f>+SUM(START:END!F334)</f>
        <v>13348.970216833335</v>
      </c>
      <c r="G333" s="240"/>
      <c r="I333" s="198">
        <f>+SUM(START:END!I334)</f>
        <v>0</v>
      </c>
      <c r="J333" s="152"/>
      <c r="L333" s="257">
        <f>+SUM(START:END!L334)</f>
        <v>18897.579999999998</v>
      </c>
      <c r="M333" s="152"/>
      <c r="N333" s="222">
        <f t="shared" si="170"/>
        <v>5548.609783166663</v>
      </c>
      <c r="O333" s="152"/>
      <c r="Q333" s="257">
        <f>+SUM(START:END!Q334)</f>
        <v>14033.76</v>
      </c>
      <c r="R333" s="152"/>
      <c r="S333" s="242">
        <f t="shared" si="169"/>
        <v>4863.8199999999979</v>
      </c>
    </row>
    <row r="334" spans="1:19" ht="15.75" customHeight="1">
      <c r="A334" s="23" t="str">
        <f t="shared" si="136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2454.829406630427</v>
      </c>
      <c r="G334" s="240"/>
      <c r="I334" s="198">
        <f>+SUM(START:END!I335)</f>
        <v>0</v>
      </c>
      <c r="J334" s="152"/>
      <c r="L334" s="201">
        <f>+SUM(START:END!L335)</f>
        <v>3523.5299999999997</v>
      </c>
      <c r="M334" s="152"/>
      <c r="N334" s="222">
        <f t="shared" si="170"/>
        <v>1068.7005933695727</v>
      </c>
      <c r="O334" s="152"/>
      <c r="Q334" s="201">
        <f>+SUM(START:END!Q335)</f>
        <v>3324.69</v>
      </c>
      <c r="R334" s="152"/>
      <c r="S334" s="242">
        <f t="shared" si="169"/>
        <v>198.83999999999969</v>
      </c>
    </row>
    <row r="335" spans="1:19" ht="15.75" customHeight="1">
      <c r="A335" s="23" t="str">
        <f t="shared" si="136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37464.257631795728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40750.68</v>
      </c>
      <c r="M335" s="153"/>
      <c r="N335" s="247">
        <f t="shared" si="170"/>
        <v>3286.4223682042721</v>
      </c>
      <c r="O335" s="153"/>
      <c r="P335" s="7"/>
      <c r="Q335" s="213">
        <f>+SUM(START:END!Q336)</f>
        <v>33692.839999999997</v>
      </c>
      <c r="R335" s="153"/>
      <c r="S335" s="248">
        <f t="shared" si="169"/>
        <v>7057.8400000000038</v>
      </c>
    </row>
    <row r="336" spans="1:19" ht="15.75" customHeight="1">
      <c r="A336" s="23" t="str">
        <f t="shared" si="136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70"/>
        <v>0</v>
      </c>
      <c r="O336" s="152"/>
      <c r="Q336" s="201">
        <f>+SUM(START:END!Q337)</f>
        <v>0</v>
      </c>
      <c r="R336" s="152"/>
      <c r="S336" s="242">
        <f t="shared" si="169"/>
        <v>0</v>
      </c>
    </row>
    <row r="337" spans="1:19" ht="15.75" customHeight="1">
      <c r="A337" s="23" t="str">
        <f t="shared" si="136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767.02599999999995</v>
      </c>
      <c r="G337" s="240"/>
      <c r="I337" s="198">
        <f>+SUM(START:END!I338)</f>
        <v>0</v>
      </c>
      <c r="J337" s="152"/>
      <c r="L337" s="201">
        <f>+SUM(START:END!L338)</f>
        <v>114.94</v>
      </c>
      <c r="M337" s="152"/>
      <c r="N337" s="222">
        <f t="shared" si="170"/>
        <v>-652.08600000000001</v>
      </c>
      <c r="O337" s="152"/>
      <c r="Q337" s="201">
        <f>+SUM(START:END!Q338)</f>
        <v>169.13</v>
      </c>
      <c r="R337" s="152"/>
      <c r="S337" s="242">
        <f t="shared" si="169"/>
        <v>-54.19</v>
      </c>
    </row>
    <row r="338" spans="1:19" ht="15.75" customHeight="1">
      <c r="A338" s="23" t="str">
        <f t="shared" si="136"/>
        <v>PiècesUniformes</v>
      </c>
      <c r="B338" s="184" t="s">
        <v>103</v>
      </c>
      <c r="C338" s="1" t="s">
        <v>57</v>
      </c>
      <c r="D338" s="30"/>
      <c r="F338" s="198">
        <f>+SUM(START:END!F339)</f>
        <v>85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70"/>
        <v>-85</v>
      </c>
      <c r="O338" s="152"/>
      <c r="Q338" s="201">
        <f>+SUM(START:END!Q339)</f>
        <v>0</v>
      </c>
      <c r="R338" s="152"/>
      <c r="S338" s="242">
        <f t="shared" si="169"/>
        <v>0</v>
      </c>
    </row>
    <row r="339" spans="1:19" ht="15.75" customHeight="1">
      <c r="A339" s="23" t="str">
        <f t="shared" si="136"/>
        <v>PiècesPapeterie</v>
      </c>
      <c r="B339" s="184" t="s">
        <v>103</v>
      </c>
      <c r="C339" s="1" t="s">
        <v>58</v>
      </c>
      <c r="D339" s="30"/>
      <c r="F339" s="198">
        <f>+SUM(START:END!F340)</f>
        <v>2149.2271398495</v>
      </c>
      <c r="G339" s="240"/>
      <c r="I339" s="198">
        <f>+SUM(START:END!I340)</f>
        <v>0</v>
      </c>
      <c r="J339" s="152"/>
      <c r="L339" s="200">
        <f>+SUM(START:END!L340)</f>
        <v>1182.8</v>
      </c>
      <c r="M339" s="152"/>
      <c r="N339" s="222">
        <f t="shared" si="170"/>
        <v>-966.42713984950001</v>
      </c>
      <c r="O339" s="152"/>
      <c r="Q339" s="200">
        <f>+SUM(START:END!Q340)</f>
        <v>1292.5700000000002</v>
      </c>
      <c r="R339" s="152"/>
      <c r="S339" s="242">
        <f t="shared" si="169"/>
        <v>-109.77000000000021</v>
      </c>
    </row>
    <row r="340" spans="1:19" ht="15.75" customHeight="1">
      <c r="A340" s="23" t="str">
        <f t="shared" si="136"/>
        <v>PiècesTéléphone</v>
      </c>
      <c r="B340" s="184" t="s">
        <v>103</v>
      </c>
      <c r="C340" s="1" t="s">
        <v>59</v>
      </c>
      <c r="D340" s="30"/>
      <c r="F340" s="198">
        <f>+SUM(START:END!F341)</f>
        <v>346.62223077652089</v>
      </c>
      <c r="G340" s="240"/>
      <c r="I340" s="198">
        <f>+SUM(START:END!I341)</f>
        <v>0</v>
      </c>
      <c r="J340" s="152"/>
      <c r="L340" s="201">
        <f>+SUM(START:END!L341)</f>
        <v>265.01</v>
      </c>
      <c r="M340" s="152"/>
      <c r="N340" s="222">
        <f t="shared" si="170"/>
        <v>-81.612230776520903</v>
      </c>
      <c r="O340" s="152"/>
      <c r="Q340" s="201">
        <f>+SUM(START:END!Q341)</f>
        <v>261.66000000000003</v>
      </c>
      <c r="R340" s="152"/>
      <c r="S340" s="242">
        <f t="shared" si="169"/>
        <v>3.3499999999999659</v>
      </c>
    </row>
    <row r="341" spans="1:19" ht="15.75" customHeight="1">
      <c r="A341" s="23" t="str">
        <f t="shared" si="136"/>
        <v>PiècesFrais postaux</v>
      </c>
      <c r="B341" s="184" t="s">
        <v>103</v>
      </c>
      <c r="C341" s="1" t="s">
        <v>60</v>
      </c>
      <c r="D341" s="30"/>
      <c r="F341" s="198">
        <f>+SUM(START:END!F342)</f>
        <v>-93.331042386520863</v>
      </c>
      <c r="G341" s="240"/>
      <c r="I341" s="198">
        <f>+SUM(START:END!I342)</f>
        <v>0</v>
      </c>
      <c r="J341" s="152"/>
      <c r="L341" s="201">
        <f>+SUM(START:END!L342)</f>
        <v>-1707.18</v>
      </c>
      <c r="M341" s="152"/>
      <c r="N341" s="222">
        <f t="shared" si="170"/>
        <v>-1613.8489576134791</v>
      </c>
      <c r="O341" s="152"/>
      <c r="Q341" s="201">
        <f>+SUM(START:END!Q342)</f>
        <v>-291.20999999999998</v>
      </c>
      <c r="R341" s="152"/>
      <c r="S341" s="242">
        <f t="shared" si="169"/>
        <v>-1415.97</v>
      </c>
    </row>
    <row r="342" spans="1:19" ht="15.75" customHeight="1">
      <c r="A342" s="23" t="str">
        <f t="shared" si="136"/>
        <v>PiècesDivers</v>
      </c>
      <c r="B342" s="184" t="s">
        <v>103</v>
      </c>
      <c r="C342" s="1" t="s">
        <v>61</v>
      </c>
      <c r="D342" s="30"/>
      <c r="F342" s="198">
        <f>+SUM(START:END!F343)</f>
        <v>469.53352998735431</v>
      </c>
      <c r="G342" s="240"/>
      <c r="I342" s="198">
        <f>+SUM(START:END!I343)</f>
        <v>0</v>
      </c>
      <c r="J342" s="152"/>
      <c r="L342" s="201">
        <f>+SUM(START:END!L343)</f>
        <v>230.84</v>
      </c>
      <c r="M342" s="152"/>
      <c r="N342" s="222">
        <f t="shared" si="170"/>
        <v>-238.69352998735431</v>
      </c>
      <c r="O342" s="152"/>
      <c r="Q342" s="201">
        <f>+SUM(START:END!Q343)</f>
        <v>336.63</v>
      </c>
      <c r="R342" s="152"/>
      <c r="S342" s="242">
        <f t="shared" si="169"/>
        <v>-105.78999999999999</v>
      </c>
    </row>
    <row r="343" spans="1:19" ht="15.75" customHeight="1">
      <c r="A343" s="23" t="str">
        <f t="shared" si="136"/>
        <v>PiècesFormation</v>
      </c>
      <c r="B343" s="184" t="s">
        <v>103</v>
      </c>
      <c r="C343" s="1" t="s">
        <v>62</v>
      </c>
      <c r="D343" s="30"/>
      <c r="F343" s="198">
        <f>+SUM(START:END!F344)</f>
        <v>1136.8629636429398</v>
      </c>
      <c r="G343" s="240"/>
      <c r="I343" s="198">
        <f>+SUM(START:END!I344)</f>
        <v>0</v>
      </c>
      <c r="J343" s="152"/>
      <c r="L343" s="201">
        <f>+SUM(START:END!L344)</f>
        <v>125.38</v>
      </c>
      <c r="M343" s="152"/>
      <c r="N343" s="222">
        <f t="shared" si="170"/>
        <v>-1011.4829636429398</v>
      </c>
      <c r="O343" s="152"/>
      <c r="Q343" s="201">
        <f>+SUM(START:END!Q344)</f>
        <v>408</v>
      </c>
      <c r="R343" s="152"/>
      <c r="S343" s="242">
        <f t="shared" si="169"/>
        <v>-282.62</v>
      </c>
    </row>
    <row r="344" spans="1:19" ht="15.75" customHeight="1">
      <c r="A344" s="23" t="str">
        <f t="shared" si="136"/>
        <v>PiècesFrais bancaires</v>
      </c>
      <c r="B344" s="184" t="s">
        <v>103</v>
      </c>
      <c r="C344" s="1" t="s">
        <v>63</v>
      </c>
      <c r="D344" s="30"/>
      <c r="F344" s="198">
        <f>+SUM(START:END!F345)</f>
        <v>5038.7154531222977</v>
      </c>
      <c r="G344" s="240"/>
      <c r="I344" s="198">
        <f>+SUM(START:END!I345)</f>
        <v>0</v>
      </c>
      <c r="J344" s="152"/>
      <c r="L344" s="200">
        <f>+SUM(START:END!L345)</f>
        <v>5644.25</v>
      </c>
      <c r="M344" s="152"/>
      <c r="N344" s="222">
        <f t="shared" si="170"/>
        <v>605.53454687770227</v>
      </c>
      <c r="O344" s="152"/>
      <c r="Q344" s="201">
        <f>+SUM(START:END!Q345)</f>
        <v>5504.59</v>
      </c>
      <c r="R344" s="152"/>
      <c r="S344" s="242">
        <f t="shared" si="169"/>
        <v>139.65999999999985</v>
      </c>
    </row>
    <row r="345" spans="1:19" ht="15.75" hidden="1" customHeight="1">
      <c r="A345" s="23" t="str">
        <f t="shared" si="136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71">L345-I345</f>
        <v>0</v>
      </c>
      <c r="O345" s="152"/>
      <c r="Q345" s="201">
        <f>+SUM(START:END!Q346)</f>
        <v>0</v>
      </c>
      <c r="R345" s="152"/>
      <c r="S345" s="242">
        <f t="shared" ref="S345:S347" si="172">L345-Q345</f>
        <v>0</v>
      </c>
    </row>
    <row r="346" spans="1:19" ht="15.75" hidden="1" customHeight="1">
      <c r="A346" s="23" t="str">
        <f t="shared" si="136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71"/>
        <v>0</v>
      </c>
      <c r="O346" s="152"/>
      <c r="Q346" s="201">
        <f>+SUM(START:END!Q347)</f>
        <v>0</v>
      </c>
      <c r="R346" s="152"/>
      <c r="S346" s="242">
        <f t="shared" si="172"/>
        <v>0</v>
      </c>
    </row>
    <row r="347" spans="1:19" ht="15.75" hidden="1" customHeight="1">
      <c r="A347" s="23" t="str">
        <f t="shared" si="136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71"/>
        <v>0</v>
      </c>
      <c r="O347" s="152"/>
      <c r="Q347" s="201">
        <f>+SUM(START:END!Q348)</f>
        <v>0</v>
      </c>
      <c r="R347" s="152"/>
      <c r="S347" s="242">
        <f t="shared" si="172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0.22326433493411518</v>
      </c>
      <c r="F348" s="251">
        <f>+SUM(F330:F347)</f>
        <v>84611.797323166189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0.27463386156740854</v>
      </c>
      <c r="L348" s="251">
        <f>+SUM(L330:L347)</f>
        <v>99774.6</v>
      </c>
      <c r="M348" s="254"/>
      <c r="N348" s="251">
        <f>+SUM(N330:N347)</f>
        <v>15162.802676833817</v>
      </c>
      <c r="O348" s="252" t="s">
        <v>39</v>
      </c>
      <c r="P348" s="42">
        <f>Q348/Q$314</f>
        <v>0.23937402012137243</v>
      </c>
      <c r="Q348" s="251">
        <f>+SUM(Q330:Q347)</f>
        <v>79955.940000000017</v>
      </c>
      <c r="R348" s="254"/>
      <c r="S348" s="255">
        <f>+SUM(S330:S347)</f>
        <v>19818.660000000003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0.61718496526838973</v>
      </c>
      <c r="F350" s="251">
        <f>F329+F348</f>
        <v>233898.21400540619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0.67076389092080069</v>
      </c>
      <c r="L350" s="251">
        <f>L329+L348</f>
        <v>243688.81</v>
      </c>
      <c r="M350" s="254"/>
      <c r="N350" s="251">
        <f>N329+N348</f>
        <v>9790.5959945938157</v>
      </c>
      <c r="O350" s="252" t="s">
        <v>39</v>
      </c>
      <c r="P350" s="42">
        <f>Q350/Q$314</f>
        <v>0.66167422547375565</v>
      </c>
      <c r="Q350" s="251">
        <f>Q329+Q348</f>
        <v>221013.06</v>
      </c>
      <c r="R350" s="254"/>
      <c r="S350" s="260">
        <f>L350-Q350</f>
        <v>22675.75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0" t="s">
        <v>72</v>
      </c>
      <c r="D352" s="291"/>
      <c r="E352" s="271"/>
      <c r="F352" s="273">
        <f>F314-F350</f>
        <v>145077.66383972723</v>
      </c>
      <c r="G352" s="292"/>
      <c r="H352" s="271"/>
      <c r="I352" s="273">
        <f>I314-I350</f>
        <v>0</v>
      </c>
      <c r="J352" s="293"/>
      <c r="K352" s="272"/>
      <c r="L352" s="273">
        <f>L314-L350</f>
        <v>119611.62</v>
      </c>
      <c r="M352" s="293"/>
      <c r="N352" s="273">
        <f>N314-N350</f>
        <v>-25466.043839727285</v>
      </c>
      <c r="O352" s="293"/>
      <c r="P352" s="272"/>
      <c r="Q352" s="273">
        <f>Q314-Q350</f>
        <v>113007.8999999995</v>
      </c>
      <c r="R352" s="293"/>
      <c r="S352" s="275">
        <f>L352-Q352</f>
        <v>6603.7200000004959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hidden="1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hidden="1" customHeight="1" thickBot="1">
      <c r="B356" s="181"/>
      <c r="C356" s="182"/>
    </row>
    <row r="357" spans="1:24" ht="15.75" hidden="1" customHeight="1" thickTop="1">
      <c r="B357" s="181"/>
      <c r="C357" s="185"/>
      <c r="D357" s="868" t="s">
        <v>5</v>
      </c>
      <c r="E357" s="869"/>
      <c r="F357" s="870"/>
      <c r="G357" s="871" t="s">
        <v>74</v>
      </c>
      <c r="H357" s="869"/>
      <c r="I357" s="870"/>
      <c r="J357" s="871" t="s">
        <v>7</v>
      </c>
      <c r="K357" s="869"/>
      <c r="L357" s="870"/>
      <c r="M357" s="871" t="s">
        <v>9</v>
      </c>
      <c r="N357" s="870"/>
      <c r="O357" s="868" t="s">
        <v>8</v>
      </c>
      <c r="P357" s="869"/>
      <c r="Q357" s="870"/>
      <c r="R357" s="871" t="s">
        <v>217</v>
      </c>
      <c r="S357" s="872"/>
    </row>
    <row r="358" spans="1:24" ht="15.75" hidden="1" customHeight="1" thickBot="1">
      <c r="A358" s="23" t="str">
        <f t="shared" ref="A358:A393" si="173">+B358&amp;C358</f>
        <v>Boutique</v>
      </c>
      <c r="B358" s="184" t="s">
        <v>119</v>
      </c>
      <c r="C358" s="1"/>
      <c r="D358" s="381" t="s">
        <v>84</v>
      </c>
      <c r="E358" s="381" t="s">
        <v>104</v>
      </c>
      <c r="F358" s="382" t="s">
        <v>12</v>
      </c>
      <c r="G358" s="383" t="s">
        <v>84</v>
      </c>
      <c r="H358" s="381" t="s">
        <v>104</v>
      </c>
      <c r="I358" s="382" t="s">
        <v>12</v>
      </c>
      <c r="J358" s="278" t="s">
        <v>84</v>
      </c>
      <c r="K358" s="175" t="s">
        <v>104</v>
      </c>
      <c r="L358" s="277" t="s">
        <v>12</v>
      </c>
      <c r="M358" s="278" t="s">
        <v>40</v>
      </c>
      <c r="N358" s="277" t="s">
        <v>12</v>
      </c>
      <c r="O358" s="278" t="s">
        <v>84</v>
      </c>
      <c r="P358" s="175" t="s">
        <v>104</v>
      </c>
      <c r="Q358" s="277" t="s">
        <v>12</v>
      </c>
      <c r="R358" s="278" t="s">
        <v>85</v>
      </c>
      <c r="S358" s="279" t="s">
        <v>12</v>
      </c>
    </row>
    <row r="359" spans="1:24" ht="15.75" hidden="1" customHeight="1" thickTop="1">
      <c r="A359" s="23" t="str">
        <f t="shared" si="173"/>
        <v>BoutiqueBoutique</v>
      </c>
      <c r="B359" s="184" t="s">
        <v>119</v>
      </c>
      <c r="C359" s="225" t="s">
        <v>119</v>
      </c>
      <c r="D359" s="384">
        <f>+SUM(START:END!D360)</f>
        <v>0</v>
      </c>
      <c r="E359" s="385">
        <f>IFERROR(F359/D359,0)</f>
        <v>0</v>
      </c>
      <c r="F359" s="386">
        <f>+SUM(START:END!F360)</f>
        <v>0</v>
      </c>
      <c r="G359" s="384">
        <f>+SUM(START:END!G360)</f>
        <v>0</v>
      </c>
      <c r="H359" s="385">
        <f>IFERROR(I359/G359,0)</f>
        <v>0</v>
      </c>
      <c r="I359" s="384">
        <f>+SUM(START:END!I360)</f>
        <v>0</v>
      </c>
      <c r="J359" s="387">
        <f>+SUM(START:END!J360)</f>
        <v>0</v>
      </c>
      <c r="K359" s="369">
        <f>IFERROR(L359/J359,0)</f>
        <v>0</v>
      </c>
      <c r="L359" s="388">
        <f>+SUM(START:END!L360)</f>
        <v>0</v>
      </c>
      <c r="M359" s="370">
        <f>IF(D359=0,0,(+J359-D359)/D359)</f>
        <v>0</v>
      </c>
      <c r="N359" s="371">
        <f t="shared" ref="N359" si="174">L359-F359</f>
        <v>0</v>
      </c>
      <c r="O359" s="387">
        <f>+SUM(START:END!O360)</f>
        <v>0</v>
      </c>
      <c r="P359" s="369">
        <f>IFERROR(Q359/O359,0)</f>
        <v>0</v>
      </c>
      <c r="Q359" s="388">
        <f>+SUM(START:END!Q360)</f>
        <v>0</v>
      </c>
      <c r="R359" s="370">
        <f>IF(O359=0,0,(J359-O359)/O359)</f>
        <v>0</v>
      </c>
      <c r="S359" s="372">
        <f>L359-Q359</f>
        <v>0</v>
      </c>
      <c r="X359" s="283"/>
    </row>
    <row r="360" spans="1:24" ht="15.75" hidden="1" customHeight="1" thickBot="1">
      <c r="A360" s="23" t="str">
        <f t="shared" si="173"/>
        <v>Boutique</v>
      </c>
      <c r="B360" s="184" t="s">
        <v>119</v>
      </c>
      <c r="C360" s="373"/>
      <c r="D360" s="374"/>
      <c r="E360" s="375"/>
      <c r="F360" s="376"/>
      <c r="G360" s="377"/>
      <c r="H360" s="375"/>
      <c r="I360" s="376"/>
      <c r="J360" s="377"/>
      <c r="K360" s="375"/>
      <c r="L360" s="376"/>
      <c r="M360" s="378"/>
      <c r="N360" s="166"/>
      <c r="O360" s="377"/>
      <c r="P360" s="375"/>
      <c r="Q360" s="376"/>
      <c r="R360" s="378"/>
      <c r="S360" s="237"/>
    </row>
    <row r="361" spans="1:24" ht="15.75" hidden="1" customHeight="1" thickTop="1">
      <c r="A361" s="23" t="str">
        <f t="shared" si="173"/>
        <v>BoutiqueTotal Dépt. Boutique</v>
      </c>
      <c r="B361" s="184" t="s">
        <v>119</v>
      </c>
      <c r="C361" s="22" t="s">
        <v>120</v>
      </c>
      <c r="D361" s="389">
        <f>+D359</f>
        <v>0</v>
      </c>
      <c r="E361" s="311">
        <f>IF(D361&lt;=0,0,F361/D361)</f>
        <v>0</v>
      </c>
      <c r="F361" s="312">
        <f t="shared" ref="F361" si="175">+F359</f>
        <v>0</v>
      </c>
      <c r="G361" s="318">
        <f>+G359</f>
        <v>0</v>
      </c>
      <c r="H361" s="311">
        <f>IF(G361&lt;=0,0,I361/G361)</f>
        <v>0</v>
      </c>
      <c r="I361" s="312">
        <f t="shared" ref="I361" si="176">+I359</f>
        <v>0</v>
      </c>
      <c r="J361" s="318">
        <f>+J359</f>
        <v>0</v>
      </c>
      <c r="K361" s="311">
        <f>IF(J361&lt;=0,0,L361/J361)</f>
        <v>0</v>
      </c>
      <c r="L361" s="312">
        <f t="shared" ref="L361:N361" si="177">+L359</f>
        <v>0</v>
      </c>
      <c r="M361" s="390">
        <f>IF(G361=0,0,(+J361-G361)/G361)</f>
        <v>0</v>
      </c>
      <c r="N361" s="312">
        <f t="shared" si="177"/>
        <v>0</v>
      </c>
      <c r="O361" s="318">
        <f>+O359</f>
        <v>0</v>
      </c>
      <c r="P361" s="311">
        <f>IF(O361&lt;=0,0,Q361/O361)</f>
        <v>0</v>
      </c>
      <c r="Q361" s="312">
        <f t="shared" ref="Q361" si="178">+Q359</f>
        <v>0</v>
      </c>
      <c r="R361" s="152">
        <f>IF(O361=0,0,(J361-O361)/O361)</f>
        <v>0</v>
      </c>
      <c r="S361" s="209">
        <f>L361-Q361</f>
        <v>0</v>
      </c>
    </row>
    <row r="362" spans="1:24" ht="15.75" hidden="1" customHeight="1">
      <c r="A362" s="23" t="str">
        <f t="shared" si="173"/>
        <v>Boutique</v>
      </c>
      <c r="B362" s="184" t="s">
        <v>119</v>
      </c>
      <c r="C362" s="239"/>
      <c r="F362" s="222"/>
      <c r="G362" s="152"/>
      <c r="H362" s="391"/>
      <c r="I362" s="222"/>
      <c r="J362" s="152"/>
      <c r="L362" s="208"/>
      <c r="M362" s="152"/>
      <c r="N362" s="392"/>
      <c r="O362" s="152"/>
      <c r="Q362" s="208"/>
      <c r="R362" s="152"/>
      <c r="S362" s="224">
        <f>IF(Q361=0,0,S361/Q361)</f>
        <v>0</v>
      </c>
    </row>
    <row r="363" spans="1:24" ht="15.75" hidden="1" customHeight="1">
      <c r="A363" s="23" t="str">
        <f t="shared" si="173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hidden="1" customHeight="1">
      <c r="A364" s="23" t="str">
        <f t="shared" si="173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9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hidden="1" customHeight="1">
      <c r="A365" s="23" t="str">
        <f t="shared" si="173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9"/>
        <v>0</v>
      </c>
      <c r="O365" s="152"/>
      <c r="Q365" s="193">
        <f>+SUM(START:END!Q365)</f>
        <v>0</v>
      </c>
      <c r="R365" s="152"/>
      <c r="S365" s="242">
        <f t="shared" ref="S365:S393" si="180">L365-Q365</f>
        <v>0</v>
      </c>
    </row>
    <row r="366" spans="1:24" ht="15.75" hidden="1" customHeight="1">
      <c r="A366" s="23" t="str">
        <f t="shared" si="173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9"/>
        <v>0</v>
      </c>
      <c r="O366" s="154"/>
      <c r="P366" s="53"/>
      <c r="Q366" s="201">
        <f>+SUM(START:END!Q366)</f>
        <v>0</v>
      </c>
      <c r="R366" s="154"/>
      <c r="S366" s="259">
        <f t="shared" si="180"/>
        <v>0</v>
      </c>
    </row>
    <row r="367" spans="1:24" ht="15.75" hidden="1" customHeight="1">
      <c r="A367" s="23" t="str">
        <f t="shared" si="173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9"/>
        <v>0</v>
      </c>
      <c r="O367" s="152"/>
      <c r="Q367" s="201">
        <f>+SUM(START:END!Q367)</f>
        <v>0</v>
      </c>
      <c r="R367" s="152"/>
      <c r="S367" s="242">
        <f t="shared" si="180"/>
        <v>0</v>
      </c>
    </row>
    <row r="368" spans="1:24" ht="15.75" hidden="1" customHeight="1">
      <c r="A368" s="23" t="str">
        <f t="shared" si="173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9"/>
        <v>0</v>
      </c>
      <c r="O368" s="152"/>
      <c r="Q368" s="201">
        <f>+SUM(START:END!Q368)</f>
        <v>0</v>
      </c>
      <c r="R368" s="152"/>
      <c r="S368" s="242">
        <f t="shared" si="180"/>
        <v>0</v>
      </c>
    </row>
    <row r="369" spans="1:19" ht="15.75" hidden="1" customHeight="1">
      <c r="A369" s="23" t="str">
        <f t="shared" si="173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9"/>
        <v>0</v>
      </c>
      <c r="O369" s="152"/>
      <c r="Q369" s="201">
        <f>+SUM(START:END!Q369)</f>
        <v>0</v>
      </c>
      <c r="R369" s="152"/>
      <c r="S369" s="242">
        <f t="shared" si="180"/>
        <v>0</v>
      </c>
    </row>
    <row r="370" spans="1:19" ht="15.75" hidden="1" customHeight="1">
      <c r="A370" s="23" t="str">
        <f t="shared" si="173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9"/>
        <v>0</v>
      </c>
      <c r="O370" s="152"/>
      <c r="Q370" s="201">
        <f>+SUM(START:END!Q370)</f>
        <v>0</v>
      </c>
      <c r="R370" s="152"/>
      <c r="S370" s="242">
        <f t="shared" si="180"/>
        <v>0</v>
      </c>
    </row>
    <row r="371" spans="1:19" ht="15.75" hidden="1" customHeight="1">
      <c r="A371" s="23" t="str">
        <f t="shared" si="173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9"/>
        <v>0</v>
      </c>
      <c r="O371" s="152"/>
      <c r="Q371" s="193">
        <f>+SUM(START:END!Q371)</f>
        <v>0</v>
      </c>
      <c r="R371" s="152"/>
      <c r="S371" s="242">
        <f t="shared" si="180"/>
        <v>0</v>
      </c>
    </row>
    <row r="372" spans="1:19" ht="15.75" hidden="1" customHeight="1">
      <c r="A372" s="23" t="str">
        <f t="shared" si="173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9"/>
        <v>0</v>
      </c>
      <c r="O372" s="154"/>
      <c r="P372" s="53"/>
      <c r="Q372" s="201">
        <f>+SUM(START:END!Q372)</f>
        <v>0</v>
      </c>
      <c r="R372" s="154"/>
      <c r="S372" s="259">
        <f t="shared" si="180"/>
        <v>0</v>
      </c>
    </row>
    <row r="373" spans="1:19" ht="15.75" hidden="1" customHeight="1">
      <c r="A373" s="23" t="str">
        <f t="shared" si="173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9"/>
        <v>0</v>
      </c>
      <c r="O373" s="152"/>
      <c r="Q373" s="201">
        <f>+SUM(START:END!Q373)</f>
        <v>0</v>
      </c>
      <c r="R373" s="152"/>
      <c r="S373" s="242">
        <f t="shared" si="180"/>
        <v>0</v>
      </c>
    </row>
    <row r="374" spans="1:19" ht="15.75" hidden="1" customHeight="1">
      <c r="A374" s="23" t="str">
        <f t="shared" si="173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9"/>
        <v>0</v>
      </c>
      <c r="O374" s="152"/>
      <c r="Q374" s="201">
        <f>+SUM(START:END!Q374)</f>
        <v>0</v>
      </c>
      <c r="R374" s="152"/>
      <c r="S374" s="242">
        <f t="shared" si="180"/>
        <v>0</v>
      </c>
    </row>
    <row r="375" spans="1:19" ht="15.75" hidden="1" customHeight="1">
      <c r="A375" s="23" t="str">
        <f t="shared" si="173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81">L375-I375</f>
        <v>0</v>
      </c>
      <c r="O375" s="153"/>
      <c r="P375" s="7"/>
      <c r="Q375" s="201">
        <f>+SUM(START:END!Q375)</f>
        <v>0</v>
      </c>
      <c r="R375" s="153"/>
      <c r="S375" s="248">
        <f t="shared" si="180"/>
        <v>0</v>
      </c>
    </row>
    <row r="376" spans="1:19" ht="15.75" hidden="1" customHeight="1">
      <c r="A376" s="23" t="str">
        <f t="shared" si="173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89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89"/>
      <c r="S376" s="260">
        <f t="shared" si="180"/>
        <v>0</v>
      </c>
    </row>
    <row r="377" spans="1:19" ht="15.75" hidden="1" customHeight="1">
      <c r="A377" s="23" t="str">
        <f t="shared" si="173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82">L377-F377</f>
        <v>0</v>
      </c>
      <c r="O377" s="152"/>
      <c r="Q377" s="201">
        <f>+SUM(START:END!Q377)</f>
        <v>0</v>
      </c>
      <c r="R377" s="152"/>
      <c r="S377" s="242">
        <f t="shared" si="180"/>
        <v>0</v>
      </c>
    </row>
    <row r="378" spans="1:19" ht="15.75" hidden="1" customHeight="1">
      <c r="A378" s="23" t="str">
        <f t="shared" si="173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82"/>
        <v>0</v>
      </c>
      <c r="O378" s="152"/>
      <c r="Q378" s="201">
        <f>+SUM(START:END!Q378)</f>
        <v>0</v>
      </c>
      <c r="R378" s="152"/>
      <c r="S378" s="242">
        <f t="shared" si="180"/>
        <v>0</v>
      </c>
    </row>
    <row r="379" spans="1:19" ht="15.75" hidden="1" customHeight="1">
      <c r="A379" s="23" t="str">
        <f t="shared" si="173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82"/>
        <v>0</v>
      </c>
      <c r="O379" s="153"/>
      <c r="P379" s="7"/>
      <c r="Q379" s="193">
        <f>+SUM(START:END!Q379)</f>
        <v>0</v>
      </c>
      <c r="R379" s="153"/>
      <c r="S379" s="248">
        <f t="shared" si="180"/>
        <v>0</v>
      </c>
    </row>
    <row r="380" spans="1:19" ht="15.75" hidden="1" customHeight="1">
      <c r="A380" s="23" t="str">
        <f t="shared" si="173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82"/>
        <v>0</v>
      </c>
      <c r="O380" s="152"/>
      <c r="Q380" s="201">
        <f>+SUM(START:END!Q380)</f>
        <v>0</v>
      </c>
      <c r="R380" s="152"/>
      <c r="S380" s="242">
        <f t="shared" si="180"/>
        <v>0</v>
      </c>
    </row>
    <row r="381" spans="1:19" ht="15.75" hidden="1" customHeight="1">
      <c r="A381" s="23" t="str">
        <f t="shared" si="173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82"/>
        <v>0</v>
      </c>
      <c r="O381" s="152"/>
      <c r="Q381" s="201">
        <f>+SUM(START:END!Q381)</f>
        <v>0</v>
      </c>
      <c r="R381" s="152"/>
      <c r="S381" s="242">
        <f t="shared" si="180"/>
        <v>0</v>
      </c>
    </row>
    <row r="382" spans="1:19" ht="15.75" hidden="1" customHeight="1">
      <c r="A382" s="23" t="str">
        <f t="shared" si="173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82"/>
        <v>0</v>
      </c>
      <c r="O382" s="153"/>
      <c r="P382" s="7"/>
      <c r="Q382" s="193">
        <f>+SUM(START:END!Q382)</f>
        <v>0</v>
      </c>
      <c r="R382" s="153"/>
      <c r="S382" s="248">
        <f t="shared" si="180"/>
        <v>0</v>
      </c>
    </row>
    <row r="383" spans="1:19" ht="20.25" hidden="1" customHeight="1">
      <c r="A383" s="23" t="str">
        <f t="shared" si="173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82"/>
        <v>0</v>
      </c>
      <c r="O383" s="152"/>
      <c r="Q383" s="201">
        <f>+SUM(START:END!Q383)</f>
        <v>0</v>
      </c>
      <c r="R383" s="152"/>
      <c r="S383" s="242">
        <f t="shared" si="180"/>
        <v>0</v>
      </c>
    </row>
    <row r="384" spans="1:19" ht="20.25" hidden="1" customHeight="1">
      <c r="A384" s="23" t="str">
        <f t="shared" si="173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82"/>
        <v>0</v>
      </c>
      <c r="O384" s="152"/>
      <c r="Q384" s="201">
        <f>+SUM(START:END!Q384)</f>
        <v>0</v>
      </c>
      <c r="R384" s="152"/>
      <c r="S384" s="242">
        <f t="shared" si="180"/>
        <v>0</v>
      </c>
    </row>
    <row r="385" spans="1:38" ht="20.25" hidden="1" customHeight="1">
      <c r="A385" s="23" t="str">
        <f t="shared" si="173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82"/>
        <v>0</v>
      </c>
      <c r="O385" s="152"/>
      <c r="Q385" s="201">
        <f>+SUM(START:END!Q385)</f>
        <v>0</v>
      </c>
      <c r="R385" s="152"/>
      <c r="S385" s="242">
        <f t="shared" si="180"/>
        <v>0</v>
      </c>
    </row>
    <row r="386" spans="1:38" ht="20.25" hidden="1" customHeight="1">
      <c r="A386" s="23" t="str">
        <f t="shared" si="173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82"/>
        <v>0</v>
      </c>
      <c r="O386" s="152"/>
      <c r="Q386" s="201">
        <f>+SUM(START:END!Q386)</f>
        <v>0</v>
      </c>
      <c r="R386" s="152"/>
      <c r="S386" s="242">
        <f t="shared" si="180"/>
        <v>0</v>
      </c>
    </row>
    <row r="387" spans="1:38" ht="20.25" hidden="1" customHeight="1">
      <c r="A387" s="23" t="str">
        <f t="shared" si="173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82"/>
        <v>0</v>
      </c>
      <c r="O387" s="152"/>
      <c r="Q387" s="201">
        <f>+SUM(START:END!Q387)</f>
        <v>0</v>
      </c>
      <c r="R387" s="152"/>
      <c r="S387" s="242">
        <f t="shared" si="180"/>
        <v>0</v>
      </c>
    </row>
    <row r="388" spans="1:38" ht="20.25" hidden="1" customHeight="1">
      <c r="A388" s="23" t="str">
        <f t="shared" si="173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82"/>
        <v>0</v>
      </c>
      <c r="O388" s="152"/>
      <c r="Q388" s="201">
        <f>+SUM(START:END!Q388)</f>
        <v>0</v>
      </c>
      <c r="R388" s="152"/>
      <c r="S388" s="242">
        <f t="shared" si="180"/>
        <v>0</v>
      </c>
    </row>
    <row r="389" spans="1:38" ht="20.25" hidden="1" customHeight="1">
      <c r="A389" s="23" t="str">
        <f t="shared" si="173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82"/>
        <v>0</v>
      </c>
      <c r="O389" s="152"/>
      <c r="Q389" s="201">
        <f>+SUM(START:END!Q389)</f>
        <v>0</v>
      </c>
      <c r="R389" s="152"/>
      <c r="S389" s="242">
        <f t="shared" si="180"/>
        <v>0</v>
      </c>
    </row>
    <row r="390" spans="1:38" ht="20.25" hidden="1" customHeight="1">
      <c r="A390" s="23" t="str">
        <f t="shared" si="173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82"/>
        <v>0</v>
      </c>
      <c r="O390" s="152"/>
      <c r="Q390" s="201">
        <f>+SUM(START:END!Q390)</f>
        <v>0</v>
      </c>
      <c r="R390" s="152"/>
      <c r="S390" s="242">
        <f t="shared" si="180"/>
        <v>0</v>
      </c>
    </row>
    <row r="391" spans="1:38" ht="15.75" hidden="1" customHeight="1">
      <c r="A391" s="23" t="str">
        <f t="shared" si="173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81"/>
        <v>0</v>
      </c>
      <c r="O391" s="152"/>
      <c r="Q391" s="201">
        <f>+SUM(START:END!Q391)</f>
        <v>0</v>
      </c>
      <c r="R391" s="152"/>
      <c r="S391" s="242">
        <f t="shared" si="180"/>
        <v>0</v>
      </c>
    </row>
    <row r="392" spans="1:38" ht="15.75" hidden="1" customHeight="1">
      <c r="A392" s="23" t="str">
        <f t="shared" si="173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81"/>
        <v>0</v>
      </c>
      <c r="O392" s="152"/>
      <c r="Q392" s="201">
        <f>+SUM(START:END!Q392)</f>
        <v>0</v>
      </c>
      <c r="R392" s="152"/>
      <c r="S392" s="242">
        <f t="shared" si="180"/>
        <v>0</v>
      </c>
    </row>
    <row r="393" spans="1:38" ht="15.75" hidden="1" customHeight="1">
      <c r="A393" s="23" t="str">
        <f t="shared" si="173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81"/>
        <v>0</v>
      </c>
      <c r="O393" s="153"/>
      <c r="P393" s="7"/>
      <c r="Q393" s="201">
        <f>+SUM(START:END!Q393)</f>
        <v>0</v>
      </c>
      <c r="R393" s="153"/>
      <c r="S393" s="248">
        <f t="shared" si="180"/>
        <v>0</v>
      </c>
    </row>
    <row r="394" spans="1:38" ht="15.75" hidden="1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89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89"/>
      <c r="S394" s="260">
        <f>+SUM(S377:S393)</f>
        <v>0</v>
      </c>
    </row>
    <row r="395" spans="1:38" ht="15.75" hidden="1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3"/>
      <c r="T395" s="184"/>
      <c r="U395" s="184"/>
    </row>
    <row r="396" spans="1:38" ht="15.75" hidden="1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hidden="1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3"/>
    </row>
    <row r="398" spans="1:38" ht="15.75" hidden="1" customHeight="1" thickTop="1" thickBot="1">
      <c r="B398" s="181"/>
      <c r="C398" s="104" t="s">
        <v>72</v>
      </c>
      <c r="D398" s="105"/>
      <c r="E398" s="105"/>
      <c r="F398" s="394">
        <f>F361-F396</f>
        <v>0</v>
      </c>
      <c r="G398" s="395"/>
      <c r="H398" s="105"/>
      <c r="I398" s="394">
        <f>I361-I396</f>
        <v>0</v>
      </c>
      <c r="J398" s="396"/>
      <c r="K398" s="397"/>
      <c r="L398" s="394">
        <f>L361-L396</f>
        <v>0</v>
      </c>
      <c r="M398" s="395"/>
      <c r="N398" s="394">
        <f>N361-N396</f>
        <v>0</v>
      </c>
      <c r="O398" s="396"/>
      <c r="P398" s="397"/>
      <c r="Q398" s="394">
        <f>Q361-Q396</f>
        <v>0</v>
      </c>
      <c r="R398" s="396"/>
      <c r="S398" s="398">
        <f>L398-Q398</f>
        <v>0</v>
      </c>
    </row>
    <row r="399" spans="1:38" ht="15.75" hidden="1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5" t="e">
        <f>+Z406-#REF!-#REF!-#REF!</f>
        <v>#REF!</v>
      </c>
      <c r="AF400" s="475" t="e">
        <f>+AF406-#REF!-#REF!-#REF!</f>
        <v>#REF!</v>
      </c>
      <c r="AH400" s="475" t="e">
        <f>+AH406-#REF!-#REF!-#REF!</f>
        <v>#REF!</v>
      </c>
      <c r="AL400" s="475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399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0"/>
      <c r="W403" s="401"/>
      <c r="X403" s="873" t="s">
        <v>122</v>
      </c>
      <c r="Y403" s="866"/>
      <c r="Z403" s="874"/>
      <c r="AA403" s="865" t="s">
        <v>74</v>
      </c>
      <c r="AB403" s="866"/>
      <c r="AC403" s="874"/>
      <c r="AD403" s="865" t="s">
        <v>7</v>
      </c>
      <c r="AE403" s="866"/>
      <c r="AF403" s="874"/>
      <c r="AG403" s="865" t="s">
        <v>124</v>
      </c>
      <c r="AH403" s="866"/>
      <c r="AI403" s="874"/>
      <c r="AJ403" s="865" t="s">
        <v>123</v>
      </c>
      <c r="AK403" s="866"/>
      <c r="AL403" s="866"/>
      <c r="AM403" s="865" t="s">
        <v>217</v>
      </c>
      <c r="AN403" s="866"/>
      <c r="AO403" s="867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3">+U404&amp;V404</f>
        <v/>
      </c>
      <c r="B404" s="181"/>
      <c r="V404" s="2"/>
      <c r="W404" s="402" t="s">
        <v>125</v>
      </c>
      <c r="X404" s="402" t="s">
        <v>126</v>
      </c>
      <c r="Y404" s="402" t="s">
        <v>127</v>
      </c>
      <c r="Z404" s="403" t="s">
        <v>128</v>
      </c>
      <c r="AA404" s="402" t="s">
        <v>126</v>
      </c>
      <c r="AB404" s="402" t="s">
        <v>127</v>
      </c>
      <c r="AC404" s="403" t="s">
        <v>128</v>
      </c>
      <c r="AD404" s="404" t="s">
        <v>126</v>
      </c>
      <c r="AE404" s="402" t="s">
        <v>127</v>
      </c>
      <c r="AF404" s="402" t="s">
        <v>128</v>
      </c>
      <c r="AG404" s="404" t="s">
        <v>129</v>
      </c>
      <c r="AH404" s="402" t="s">
        <v>130</v>
      </c>
      <c r="AI404" s="402" t="s">
        <v>131</v>
      </c>
      <c r="AJ404" s="404" t="s">
        <v>126</v>
      </c>
      <c r="AK404" s="402" t="s">
        <v>127</v>
      </c>
      <c r="AL404" s="402" t="s">
        <v>128</v>
      </c>
      <c r="AM404" s="405" t="s">
        <v>129</v>
      </c>
      <c r="AN404" s="402" t="s">
        <v>130</v>
      </c>
      <c r="AO404" s="282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3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18083868.380977977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14843580.84</v>
      </c>
      <c r="AG405" s="9"/>
      <c r="AH405" s="10"/>
      <c r="AI405" s="11"/>
      <c r="AJ405" s="9"/>
      <c r="AK405" s="10"/>
      <c r="AL405" s="10">
        <f>Q5+Q93+P194+P250+O314+O361</f>
        <v>16428061.569999982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3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2262964.711501942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2095633.7800000003</v>
      </c>
      <c r="AG406" s="17"/>
      <c r="AH406" s="18">
        <f>AF406-Z406</f>
        <v>-167330.93150194176</v>
      </c>
      <c r="AI406" s="19">
        <f>AH406/Z406</f>
        <v>-7.3943235018845394E-2</v>
      </c>
      <c r="AJ406" s="17"/>
      <c r="AK406" s="18"/>
      <c r="AL406" s="18">
        <f>Q27+Q108+Q194+Q250+Q314+Q361</f>
        <v>1897181.0399999984</v>
      </c>
      <c r="AM406" s="20"/>
      <c r="AN406" s="18">
        <f>AF406-AL406</f>
        <v>198452.74000000185</v>
      </c>
      <c r="AO406" s="21">
        <f>IF(AL406=0,0,AN406/AL406)</f>
        <v>0.10460400763861841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3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3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682.16844021019813</v>
      </c>
      <c r="Z408" s="24">
        <f>+SUM(START:END!Z409)</f>
        <v>199193.18454137785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663.60192468619243</v>
      </c>
      <c r="AF408" s="24">
        <f>+SUM(START:END!AF409)</f>
        <v>158600.85999999999</v>
      </c>
      <c r="AG408" s="25">
        <f>AE408-Y408</f>
        <v>-18.566515524005695</v>
      </c>
      <c r="AH408" s="24">
        <f>AF408-Z408</f>
        <v>-40592.324541377864</v>
      </c>
      <c r="AI408" s="27">
        <f t="shared" ref="AI408:AI417" si="184">IF(Z408=0,0,AH408/Z408)</f>
        <v>-0.20378370191147646</v>
      </c>
      <c r="AJ408" s="32"/>
      <c r="AK408" s="26">
        <f>AL408/(O$13+O$97)</f>
        <v>588.43448905109483</v>
      </c>
      <c r="AL408" s="24">
        <f t="shared" ref="AL408:AL414" si="185">+SUMIF($C:$C,$V408,Q:Q)</f>
        <v>161231.04999999999</v>
      </c>
      <c r="AM408" s="28">
        <f t="shared" ref="AM408:AM417" si="186">AE408-AK408</f>
        <v>75.167435635097604</v>
      </c>
      <c r="AN408" s="26">
        <f t="shared" ref="AN408:AN418" si="187">AF408-AL408</f>
        <v>-2630.1900000000023</v>
      </c>
      <c r="AO408" s="33">
        <f>IF(AL408=0,0,AN408/AL408)</f>
        <v>-1.6313172927919298E-2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3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8">Z409/(D$13+D$97)</f>
        <v>394.89726027397262</v>
      </c>
      <c r="Z409" s="8">
        <f>+SUM(START:END!Z410)</f>
        <v>115310</v>
      </c>
      <c r="AA409" s="7"/>
      <c r="AB409" s="35">
        <f t="shared" ref="AB409:AB414" si="189">IF(AC409=0,0,AC409/(G$13+G$97))</f>
        <v>0</v>
      </c>
      <c r="AC409" s="8">
        <f>+SUM(START:END!AC410)</f>
        <v>0</v>
      </c>
      <c r="AD409" s="36"/>
      <c r="AE409" s="35">
        <f t="shared" ref="AE409:AE414" si="190">IF(AF409=0,0,AF409/(J$13+J$97))</f>
        <v>410.63276150627621</v>
      </c>
      <c r="AF409" s="8">
        <f>+SUM(START:END!AF410)</f>
        <v>98141.23000000001</v>
      </c>
      <c r="AG409" s="9">
        <f t="shared" ref="AG409:AG414" si="191">AE409-Y409</f>
        <v>15.735501232303591</v>
      </c>
      <c r="AH409" s="8">
        <f t="shared" ref="AH409:AH414" si="192">AF409-Z409</f>
        <v>-17168.76999999999</v>
      </c>
      <c r="AI409" s="37">
        <f t="shared" si="184"/>
        <v>-0.14889229034775814</v>
      </c>
      <c r="AJ409" s="36"/>
      <c r="AK409" s="10">
        <f t="shared" ref="AK409:AK414" si="193">AL409/(O$13+O$97)</f>
        <v>320.72857664233578</v>
      </c>
      <c r="AL409" s="8">
        <f t="shared" si="185"/>
        <v>87879.63</v>
      </c>
      <c r="AM409" s="12">
        <f t="shared" si="186"/>
        <v>89.904184863940429</v>
      </c>
      <c r="AN409" s="10">
        <f t="shared" ref="AN409:AN414" si="194">AF409-AL409</f>
        <v>10261.600000000006</v>
      </c>
      <c r="AO409" s="38">
        <f t="shared" ref="AO409:AO414" si="195">IF(AL409=0,0,AN409/AL409)</f>
        <v>0.11676881206714236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3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8"/>
        <v>79.335616438356169</v>
      </c>
      <c r="Z410" s="24">
        <f>+SUM(START:END!Z411)</f>
        <v>23166</v>
      </c>
      <c r="AB410" s="31">
        <f t="shared" si="189"/>
        <v>0</v>
      </c>
      <c r="AC410" s="24">
        <f>+SUM(START:END!AC411)</f>
        <v>0</v>
      </c>
      <c r="AD410" s="32"/>
      <c r="AE410" s="31">
        <f t="shared" si="190"/>
        <v>73.821715481171552</v>
      </c>
      <c r="AF410" s="24">
        <f>+SUM(START:END!AF411)</f>
        <v>17643.39</v>
      </c>
      <c r="AG410" s="25">
        <f t="shared" si="191"/>
        <v>-5.5139009571846174</v>
      </c>
      <c r="AH410" s="24">
        <f t="shared" si="192"/>
        <v>-5522.6100000000006</v>
      </c>
      <c r="AI410" s="27">
        <f t="shared" si="184"/>
        <v>-0.23839290339290342</v>
      </c>
      <c r="AJ410" s="32"/>
      <c r="AK410" s="26">
        <f t="shared" si="193"/>
        <v>88.849927007299272</v>
      </c>
      <c r="AL410" s="24">
        <f t="shared" si="185"/>
        <v>24344.880000000001</v>
      </c>
      <c r="AM410" s="28">
        <f t="shared" si="186"/>
        <v>-15.02821152612772</v>
      </c>
      <c r="AN410" s="26">
        <f t="shared" si="194"/>
        <v>-6701.4900000000016</v>
      </c>
      <c r="AO410" s="33">
        <f t="shared" si="195"/>
        <v>-0.2752730758993267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3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8"/>
        <v>23.133561643835616</v>
      </c>
      <c r="Z411" s="24">
        <f>+SUM(START:END!Z412)</f>
        <v>6755</v>
      </c>
      <c r="AB411" s="31">
        <f t="shared" si="189"/>
        <v>0</v>
      </c>
      <c r="AC411" s="24">
        <f>+SUM(START:END!AC412)</f>
        <v>0</v>
      </c>
      <c r="AD411" s="32"/>
      <c r="AE411" s="31">
        <f t="shared" si="190"/>
        <v>27.107656903765694</v>
      </c>
      <c r="AF411" s="24">
        <f>+SUM(START:END!AF412)</f>
        <v>6478.7300000000005</v>
      </c>
      <c r="AG411" s="25">
        <f t="shared" si="191"/>
        <v>3.9740952599300776</v>
      </c>
      <c r="AH411" s="24">
        <f t="shared" si="192"/>
        <v>-276.26999999999953</v>
      </c>
      <c r="AI411" s="27">
        <f t="shared" si="184"/>
        <v>-4.0898593634344858E-2</v>
      </c>
      <c r="AJ411" s="32"/>
      <c r="AK411" s="26">
        <f t="shared" si="193"/>
        <v>22.041678832116787</v>
      </c>
      <c r="AL411" s="24">
        <f t="shared" si="185"/>
        <v>6039.42</v>
      </c>
      <c r="AM411" s="28">
        <f t="shared" si="186"/>
        <v>5.0659780716489067</v>
      </c>
      <c r="AN411" s="26">
        <f t="shared" si="194"/>
        <v>439.3100000000004</v>
      </c>
      <c r="AO411" s="39">
        <f t="shared" si="195"/>
        <v>7.2740428716664904E-2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3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8"/>
        <v>138.85445205479451</v>
      </c>
      <c r="Z412" s="8">
        <f>+SUM(START:END!Z413)</f>
        <v>40545.5</v>
      </c>
      <c r="AA412" s="7"/>
      <c r="AB412" s="35">
        <f t="shared" si="189"/>
        <v>0</v>
      </c>
      <c r="AC412" s="8">
        <f>+SUM(START:END!AC413)</f>
        <v>0</v>
      </c>
      <c r="AD412" s="36"/>
      <c r="AE412" s="35">
        <f t="shared" si="190"/>
        <v>179.16728033472805</v>
      </c>
      <c r="AF412" s="8">
        <f>+SUM(START:END!AF413)</f>
        <v>42820.98</v>
      </c>
      <c r="AG412" s="9">
        <f t="shared" si="191"/>
        <v>40.312828279933541</v>
      </c>
      <c r="AH412" s="8">
        <f t="shared" si="192"/>
        <v>2275.4800000000032</v>
      </c>
      <c r="AI412" s="37">
        <f t="shared" si="184"/>
        <v>5.6121641119236496E-2</v>
      </c>
      <c r="AJ412" s="36"/>
      <c r="AK412" s="10">
        <f t="shared" si="193"/>
        <v>157.94806569343066</v>
      </c>
      <c r="AL412" s="8">
        <f t="shared" si="185"/>
        <v>43277.770000000004</v>
      </c>
      <c r="AM412" s="12">
        <f t="shared" si="186"/>
        <v>21.219214641297384</v>
      </c>
      <c r="AN412" s="10">
        <f t="shared" si="194"/>
        <v>-456.79000000000087</v>
      </c>
      <c r="AO412" s="38">
        <f t="shared" si="195"/>
        <v>-1.0554841434759711E-2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3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8"/>
        <v>171.68493150684932</v>
      </c>
      <c r="Z413" s="24">
        <f>+SUM(START:END!Z414)</f>
        <v>50132</v>
      </c>
      <c r="AA413" s="27"/>
      <c r="AB413" s="31">
        <f t="shared" si="189"/>
        <v>0</v>
      </c>
      <c r="AC413" s="24">
        <f>+SUM(START:END!AC414)</f>
        <v>0</v>
      </c>
      <c r="AD413" s="32"/>
      <c r="AE413" s="31">
        <f t="shared" si="190"/>
        <v>256.19728033472802</v>
      </c>
      <c r="AF413" s="24">
        <f>+SUM(START:END!AF414)</f>
        <v>61231.15</v>
      </c>
      <c r="AG413" s="25">
        <f t="shared" si="191"/>
        <v>84.512348827878697</v>
      </c>
      <c r="AH413" s="24">
        <f t="shared" si="192"/>
        <v>11099.150000000001</v>
      </c>
      <c r="AI413" s="27">
        <f t="shared" si="184"/>
        <v>0.22139850793904095</v>
      </c>
      <c r="AJ413" s="32"/>
      <c r="AK413" s="26">
        <f t="shared" si="193"/>
        <v>236.90854014598497</v>
      </c>
      <c r="AL413" s="24">
        <f t="shared" si="185"/>
        <v>64912.939999999886</v>
      </c>
      <c r="AM413" s="28">
        <f t="shared" si="186"/>
        <v>19.288740188743049</v>
      </c>
      <c r="AN413" s="26">
        <f t="shared" si="194"/>
        <v>-3681.7899999998845</v>
      </c>
      <c r="AO413" s="33">
        <f t="shared" si="195"/>
        <v>-5.6718891487581538E-2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3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8"/>
        <v>468.75564719333386</v>
      </c>
      <c r="Z414" s="24">
        <f>+SUM(START:END!Z415)</f>
        <v>136876.64898045349</v>
      </c>
      <c r="AB414" s="31">
        <f t="shared" si="189"/>
        <v>0</v>
      </c>
      <c r="AC414" s="24">
        <f>+SUM(START:END!AC415)</f>
        <v>0</v>
      </c>
      <c r="AD414" s="32"/>
      <c r="AE414" s="31">
        <f t="shared" si="190"/>
        <v>138.9744769874477</v>
      </c>
      <c r="AF414" s="24">
        <f>+SUM(START:END!AF415)</f>
        <v>33214.9</v>
      </c>
      <c r="AG414" s="25">
        <f t="shared" si="191"/>
        <v>-329.78117020588616</v>
      </c>
      <c r="AH414" s="24">
        <f t="shared" si="192"/>
        <v>-103661.7489804535</v>
      </c>
      <c r="AI414" s="27">
        <f t="shared" si="184"/>
        <v>-0.7573369873721616</v>
      </c>
      <c r="AJ414" s="32"/>
      <c r="AK414" s="26">
        <f t="shared" si="193"/>
        <v>519.79083941605836</v>
      </c>
      <c r="AL414" s="24">
        <f t="shared" si="185"/>
        <v>142422.69</v>
      </c>
      <c r="AM414" s="28">
        <f t="shared" si="186"/>
        <v>-380.81636242861066</v>
      </c>
      <c r="AN414" s="26">
        <f t="shared" si="194"/>
        <v>-109207.79000000001</v>
      </c>
      <c r="AO414" s="33">
        <f t="shared" si="195"/>
        <v>-0.76678645797239198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3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6">Z415/(D$13+D$97)</f>
        <v>0</v>
      </c>
      <c r="Z415" s="24">
        <f>+SUM(START:END!Z416)</f>
        <v>0</v>
      </c>
      <c r="AB415" s="31">
        <f t="shared" ref="AB415:AB417" si="197">IF(AC415=0,0,AC415/(G$13+G$97))</f>
        <v>0</v>
      </c>
      <c r="AC415" s="24">
        <f>+SUM(START:END!AC416)</f>
        <v>0</v>
      </c>
      <c r="AD415" s="32"/>
      <c r="AE415" s="31">
        <f t="shared" ref="AE415:AE417" si="198">IF(AF415=0,0,AF415/(J$13+J$97))</f>
        <v>0</v>
      </c>
      <c r="AF415" s="24">
        <f>+SUM(START:END!AF416)</f>
        <v>0</v>
      </c>
      <c r="AG415" s="25">
        <f t="shared" ref="AG415:AG417" si="199">AE415-AB415</f>
        <v>0</v>
      </c>
      <c r="AH415" s="24">
        <f t="shared" ref="AH415:AH417" si="200">AF415-AC415</f>
        <v>0</v>
      </c>
      <c r="AI415" s="27">
        <f t="shared" si="184"/>
        <v>0</v>
      </c>
      <c r="AJ415" s="32"/>
      <c r="AK415" s="26">
        <f t="shared" ref="AK415:AK417" si="201">AL415/(O$13+O$97)</f>
        <v>0</v>
      </c>
      <c r="AL415" s="24"/>
      <c r="AM415" s="28">
        <f t="shared" si="186"/>
        <v>0</v>
      </c>
      <c r="AN415" s="26">
        <f t="shared" ref="AN415:AN417" si="202">AF415-AL415</f>
        <v>0</v>
      </c>
      <c r="AO415" s="33">
        <f t="shared" ref="AO415:AO417" si="203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3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6"/>
        <v>0</v>
      </c>
      <c r="Z416" s="24">
        <f>+SUM(START:END!Z417)</f>
        <v>0</v>
      </c>
      <c r="AB416" s="31">
        <f t="shared" si="197"/>
        <v>0</v>
      </c>
      <c r="AC416" s="24">
        <f>+SUM(START:END!AC417)</f>
        <v>0</v>
      </c>
      <c r="AD416" s="32"/>
      <c r="AE416" s="31">
        <f t="shared" si="198"/>
        <v>0</v>
      </c>
      <c r="AF416" s="24">
        <f>+SUM(START:END!AF417)</f>
        <v>0</v>
      </c>
      <c r="AG416" s="25">
        <f t="shared" si="199"/>
        <v>0</v>
      </c>
      <c r="AH416" s="24">
        <f t="shared" si="200"/>
        <v>0</v>
      </c>
      <c r="AI416" s="27">
        <f t="shared" si="184"/>
        <v>0</v>
      </c>
      <c r="AJ416" s="32"/>
      <c r="AK416" s="26">
        <f t="shared" si="201"/>
        <v>0</v>
      </c>
      <c r="AL416" s="24"/>
      <c r="AM416" s="28">
        <f t="shared" si="186"/>
        <v>0</v>
      </c>
      <c r="AN416" s="26">
        <f t="shared" si="202"/>
        <v>0</v>
      </c>
      <c r="AO416" s="33">
        <f t="shared" si="203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3"/>
        <v>[...]</v>
      </c>
      <c r="B417" s="181"/>
      <c r="T417" s="184"/>
      <c r="U417" s="184"/>
      <c r="V417" s="1" t="s">
        <v>20</v>
      </c>
      <c r="W417" s="30"/>
      <c r="Y417" s="31">
        <f t="shared" si="196"/>
        <v>0</v>
      </c>
      <c r="Z417" s="24">
        <f>+SUM(START:END!Z418)</f>
        <v>0</v>
      </c>
      <c r="AB417" s="31">
        <f t="shared" si="197"/>
        <v>0</v>
      </c>
      <c r="AC417" s="24">
        <f>+SUM(START:END!AC418)</f>
        <v>0</v>
      </c>
      <c r="AD417" s="32"/>
      <c r="AE417" s="31">
        <f t="shared" si="198"/>
        <v>0</v>
      </c>
      <c r="AF417" s="24">
        <f>+SUM(START:END!AF418)</f>
        <v>0</v>
      </c>
      <c r="AG417" s="25">
        <f t="shared" si="199"/>
        <v>0</v>
      </c>
      <c r="AH417" s="24">
        <f t="shared" si="200"/>
        <v>0</v>
      </c>
      <c r="AI417" s="27">
        <f t="shared" si="184"/>
        <v>0</v>
      </c>
      <c r="AJ417" s="32"/>
      <c r="AK417" s="26">
        <f t="shared" si="201"/>
        <v>0</v>
      </c>
      <c r="AL417" s="24"/>
      <c r="AM417" s="28">
        <f t="shared" si="186"/>
        <v>0</v>
      </c>
      <c r="AN417" s="26">
        <f t="shared" si="202"/>
        <v>0</v>
      </c>
      <c r="AO417" s="33">
        <f t="shared" si="203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3"/>
        <v>TOTAL VARIABLES</v>
      </c>
      <c r="B418" s="181"/>
      <c r="T418" s="184"/>
      <c r="U418" s="184"/>
      <c r="V418" s="40" t="s">
        <v>38</v>
      </c>
      <c r="W418" s="41"/>
      <c r="X418" s="42">
        <f>Z418/(Z406+Z480)</f>
        <v>0.20956001076764635</v>
      </c>
      <c r="Y418" s="41"/>
      <c r="Z418" s="43">
        <f>SUM(Z408:Z417)</f>
        <v>571978.33352183132</v>
      </c>
      <c r="AA418" s="42" t="e">
        <f>AC418/AC406</f>
        <v>#DIV/0!</v>
      </c>
      <c r="AB418" s="41"/>
      <c r="AC418" s="43">
        <f>SUM(AC408:AC417)</f>
        <v>0</v>
      </c>
      <c r="AD418" s="42">
        <f>AF418/(AF406+AF480)</f>
        <v>0.16967409830493588</v>
      </c>
      <c r="AE418" s="41"/>
      <c r="AF418" s="43">
        <f>SUM(AF408:AF417)</f>
        <v>418131.24</v>
      </c>
      <c r="AG418" s="45"/>
      <c r="AH418" s="43">
        <f>SUM(AH408:AH417)</f>
        <v>-153847.09352183135</v>
      </c>
      <c r="AI418" s="42">
        <f>AH418/Z418</f>
        <v>-0.26897363851975226</v>
      </c>
      <c r="AJ418" s="44">
        <f>IF($AL$406=0,0,AL418/$AL$406)</f>
        <v>0.27941897416389966</v>
      </c>
      <c r="AK418" s="41"/>
      <c r="AL418" s="43">
        <f>SUM(AL408:AL417)</f>
        <v>530108.37999999989</v>
      </c>
      <c r="AM418" s="47"/>
      <c r="AN418" s="46">
        <f t="shared" si="187"/>
        <v>-111977.1399999999</v>
      </c>
      <c r="AO418" s="21">
        <f>IF(AL418=0,0,AN418/AL418)</f>
        <v>-0.21123442719392574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3"/>
        <v>Salaires propriétaire</v>
      </c>
      <c r="B419" s="181"/>
      <c r="O419" s="406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46336.125</v>
      </c>
      <c r="AB419" s="23">
        <f t="shared" ref="AB419:AB429" si="204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46761.47</v>
      </c>
      <c r="AG419" s="25"/>
      <c r="AH419" s="24">
        <f t="shared" ref="AH419:AH430" si="205">AF419-Z419</f>
        <v>425.34500000000116</v>
      </c>
      <c r="AI419" s="27">
        <f t="shared" ref="AI419:AI431" si="206">IF(Z419=0,0,AH419/Z419)</f>
        <v>9.1795548289806527E-3</v>
      </c>
      <c r="AJ419" s="32"/>
      <c r="AL419" s="24">
        <f>+SUM(START:END!AL420)</f>
        <v>49097.04</v>
      </c>
      <c r="AM419" s="28"/>
      <c r="AN419" s="26">
        <f t="shared" ref="AN419:AN429" si="207">AF419-AL419</f>
        <v>-2335.5699999999997</v>
      </c>
      <c r="AO419" s="33">
        <f t="shared" ref="AO419:AO429" si="208">IF(AL419=0,0,AN419/AL419)</f>
        <v>-4.7570484900922735E-2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3"/>
        <v>Salaires cadres</v>
      </c>
      <c r="B420" s="181"/>
      <c r="O420" s="406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179288</v>
      </c>
      <c r="AB420" s="23">
        <f t="shared" si="204"/>
        <v>0</v>
      </c>
      <c r="AC420" s="24">
        <f>+SUM(START:END!AC421)</f>
        <v>0</v>
      </c>
      <c r="AD420" s="32"/>
      <c r="AE420" s="31"/>
      <c r="AF420" s="24">
        <f>+SUM(START:END!AF421)</f>
        <v>160217.10999999999</v>
      </c>
      <c r="AG420" s="25"/>
      <c r="AH420" s="24">
        <f t="shared" si="205"/>
        <v>-19070.890000000014</v>
      </c>
      <c r="AI420" s="27">
        <f t="shared" si="206"/>
        <v>-0.10637014189460541</v>
      </c>
      <c r="AJ420" s="32"/>
      <c r="AL420" s="24">
        <f>+SUMIF($C:$C,$V420,Q:Q)</f>
        <v>136647.63</v>
      </c>
      <c r="AM420" s="28"/>
      <c r="AN420" s="26">
        <f t="shared" si="207"/>
        <v>23569.479999999981</v>
      </c>
      <c r="AO420" s="33">
        <f t="shared" si="208"/>
        <v>0.17248363546444223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3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7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200623.81599999999</v>
      </c>
      <c r="AA421" s="7"/>
      <c r="AB421" s="7">
        <f t="shared" si="204"/>
        <v>0</v>
      </c>
      <c r="AC421" s="8">
        <f>+SUM(START:END!AC422)</f>
        <v>0</v>
      </c>
      <c r="AD421" s="36"/>
      <c r="AE421" s="35"/>
      <c r="AF421" s="8">
        <f>+SUM(START:END!AF422)</f>
        <v>161200.87</v>
      </c>
      <c r="AG421" s="9"/>
      <c r="AH421" s="8">
        <f t="shared" si="205"/>
        <v>-39422.945999999996</v>
      </c>
      <c r="AI421" s="37">
        <f t="shared" si="206"/>
        <v>-0.19650182508740635</v>
      </c>
      <c r="AJ421" s="36"/>
      <c r="AK421" s="7"/>
      <c r="AL421" s="8">
        <f>+SUMIF($C:$C,$V421,Q:Q)</f>
        <v>137704.95000000001</v>
      </c>
      <c r="AM421" s="12"/>
      <c r="AN421" s="10">
        <f t="shared" si="207"/>
        <v>23495.919999999984</v>
      </c>
      <c r="AO421" s="13">
        <f t="shared" si="208"/>
        <v>0.17062509372393644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3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7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63329.5</v>
      </c>
      <c r="AB422" s="23">
        <f t="shared" si="204"/>
        <v>0</v>
      </c>
      <c r="AC422" s="24">
        <f>+SUM(START:END!AC423)</f>
        <v>0</v>
      </c>
      <c r="AD422" s="32"/>
      <c r="AE422" s="31"/>
      <c r="AF422" s="24">
        <f>+SUM(START:END!AF423)</f>
        <v>84941.38</v>
      </c>
      <c r="AG422" s="25"/>
      <c r="AH422" s="24">
        <f t="shared" si="205"/>
        <v>21611.880000000005</v>
      </c>
      <c r="AI422" s="27">
        <f t="shared" si="206"/>
        <v>0.34126086578924519</v>
      </c>
      <c r="AJ422" s="32"/>
      <c r="AL422" s="24">
        <f>+SUMIF($C:$C,$V422,Q:Q)</f>
        <v>91611.46</v>
      </c>
      <c r="AM422" s="28"/>
      <c r="AN422" s="26">
        <f t="shared" si="207"/>
        <v>-6670.0800000000017</v>
      </c>
      <c r="AO422" s="33">
        <f t="shared" si="208"/>
        <v>-7.2808358255615629E-2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3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7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98101.354591999989</v>
      </c>
      <c r="AB423" s="23">
        <f t="shared" si="204"/>
        <v>0</v>
      </c>
      <c r="AC423" s="24">
        <f>+SUM(START:END!AC424)</f>
        <v>0</v>
      </c>
      <c r="AD423" s="32"/>
      <c r="AE423" s="31"/>
      <c r="AF423" s="24">
        <f>+SUM(START:END!AF424)</f>
        <v>78907.55</v>
      </c>
      <c r="AG423" s="25"/>
      <c r="AH423" s="24">
        <f t="shared" si="205"/>
        <v>-19193.804591999986</v>
      </c>
      <c r="AI423" s="27">
        <f t="shared" si="206"/>
        <v>-0.19565279880004033</v>
      </c>
      <c r="AJ423" s="32"/>
      <c r="AL423" s="24">
        <f>+SUMIF($C:$C,$V423,Q:Q)</f>
        <v>107502.9</v>
      </c>
      <c r="AM423" s="28"/>
      <c r="AN423" s="26">
        <f t="shared" si="207"/>
        <v>-28595.349999999991</v>
      </c>
      <c r="AO423" s="33">
        <f t="shared" si="208"/>
        <v>-0.26599608010574594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3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7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4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5"/>
        <v>0</v>
      </c>
      <c r="AI424" s="27">
        <f t="shared" si="206"/>
        <v>0</v>
      </c>
      <c r="AJ424" s="32"/>
      <c r="AL424" s="24"/>
      <c r="AM424" s="28"/>
      <c r="AN424" s="26">
        <f t="shared" si="207"/>
        <v>0</v>
      </c>
      <c r="AO424" s="33">
        <f t="shared" si="208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3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7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4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5"/>
        <v>0</v>
      </c>
      <c r="AI425" s="27">
        <f t="shared" si="206"/>
        <v>0</v>
      </c>
      <c r="AJ425" s="32"/>
      <c r="AL425" s="24"/>
      <c r="AM425" s="28"/>
      <c r="AN425" s="26">
        <f t="shared" si="207"/>
        <v>0</v>
      </c>
      <c r="AO425" s="33">
        <f t="shared" si="208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3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7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4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5"/>
        <v>0</v>
      </c>
      <c r="AI426" s="27">
        <f t="shared" si="206"/>
        <v>0</v>
      </c>
      <c r="AJ426" s="32"/>
      <c r="AL426" s="24"/>
      <c r="AM426" s="28"/>
      <c r="AN426" s="26">
        <f t="shared" si="207"/>
        <v>0</v>
      </c>
      <c r="AO426" s="33">
        <f t="shared" si="208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3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7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137438.32211841582</v>
      </c>
      <c r="AA427" s="7"/>
      <c r="AB427" s="7">
        <f t="shared" si="204"/>
        <v>0</v>
      </c>
      <c r="AC427" s="8">
        <f>+SUM(START:END!AC428)</f>
        <v>0</v>
      </c>
      <c r="AD427" s="36"/>
      <c r="AE427" s="35"/>
      <c r="AF427" s="8">
        <f>+SUM(START:END!AF428)</f>
        <v>132271.06999999998</v>
      </c>
      <c r="AG427" s="9"/>
      <c r="AH427" s="8">
        <f t="shared" si="205"/>
        <v>-5167.2521184158395</v>
      </c>
      <c r="AI427" s="37">
        <f t="shared" si="206"/>
        <v>-3.7596880104253411E-2</v>
      </c>
      <c r="AJ427" s="36"/>
      <c r="AK427" s="7"/>
      <c r="AL427" s="8">
        <f>+SUMIF($C:$C,$V427,Q:Q)</f>
        <v>133886.73000000001</v>
      </c>
      <c r="AM427" s="12"/>
      <c r="AN427" s="10">
        <f t="shared" si="207"/>
        <v>-1615.6600000000326</v>
      </c>
      <c r="AO427" s="38">
        <f t="shared" si="208"/>
        <v>-1.2067364704478424E-2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3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7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167105.62513076107</v>
      </c>
      <c r="AB428" s="23">
        <f t="shared" si="204"/>
        <v>0</v>
      </c>
      <c r="AC428" s="24">
        <f>+SUM(START:END!AC429)</f>
        <v>0</v>
      </c>
      <c r="AD428" s="32"/>
      <c r="AE428" s="31"/>
      <c r="AF428" s="24">
        <f>+SUM(START:END!AF429)</f>
        <v>167891.02000000002</v>
      </c>
      <c r="AG428" s="25"/>
      <c r="AH428" s="24">
        <f t="shared" si="205"/>
        <v>785.39486923895311</v>
      </c>
      <c r="AI428" s="27">
        <f t="shared" si="206"/>
        <v>4.6999906114732959E-3</v>
      </c>
      <c r="AJ428" s="32"/>
      <c r="AL428" s="24">
        <f>+SUMIF($C:$C,$V428,Q:Q)</f>
        <v>161119.66000000003</v>
      </c>
      <c r="AM428" s="28"/>
      <c r="AN428" s="26">
        <f t="shared" si="207"/>
        <v>6771.359999999986</v>
      </c>
      <c r="AO428" s="33">
        <f t="shared" si="208"/>
        <v>4.2026901000163389E-2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3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7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86095.724252152984</v>
      </c>
      <c r="AB429" s="23">
        <f t="shared" si="204"/>
        <v>0</v>
      </c>
      <c r="AC429" s="24">
        <f>+SUM(START:END!AC430)</f>
        <v>0</v>
      </c>
      <c r="AD429" s="32"/>
      <c r="AE429" s="31"/>
      <c r="AF429" s="24">
        <f>+SUM(START:END!AF430)</f>
        <v>74383.100000000006</v>
      </c>
      <c r="AG429" s="25"/>
      <c r="AH429" s="24">
        <f t="shared" si="205"/>
        <v>-11712.624252152978</v>
      </c>
      <c r="AI429" s="27">
        <f t="shared" si="206"/>
        <v>-0.13604188075414306</v>
      </c>
      <c r="AJ429" s="32"/>
      <c r="AL429" s="24">
        <f>+SUMIF($C:$C,$V429,Q:Q)</f>
        <v>65968.800000000003</v>
      </c>
      <c r="AM429" s="28"/>
      <c r="AN429" s="26">
        <f t="shared" si="207"/>
        <v>8414.3000000000029</v>
      </c>
      <c r="AO429" s="33">
        <f t="shared" si="208"/>
        <v>0.1275496901565589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3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7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37538.220138069511</v>
      </c>
      <c r="AB430" s="23">
        <f t="shared" ref="AB430:AB431" si="209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29962.58</v>
      </c>
      <c r="AG430" s="25"/>
      <c r="AH430" s="24">
        <f t="shared" si="205"/>
        <v>-7575.6401380695097</v>
      </c>
      <c r="AI430" s="48">
        <f t="shared" si="206"/>
        <v>-0.20181138344347468</v>
      </c>
      <c r="AJ430" s="32"/>
      <c r="AL430" s="24">
        <f>+SUMIF($C:$C,$V430,Q:Q)</f>
        <v>28469.360000000001</v>
      </c>
      <c r="AM430" s="28"/>
      <c r="AN430" s="26">
        <f t="shared" ref="AN430:AN431" si="210">AF430-AL430</f>
        <v>1493.2200000000012</v>
      </c>
      <c r="AO430" s="33">
        <f t="shared" ref="AO430:AO431" si="211">IF(AL430=0,0,AN430/AL430)</f>
        <v>5.2450072639497379E-2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3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9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12">AF431-AC431</f>
        <v>0</v>
      </c>
      <c r="AI431" s="27">
        <f t="shared" si="206"/>
        <v>0</v>
      </c>
      <c r="AJ431" s="32"/>
      <c r="AK431" s="26"/>
      <c r="AL431" s="24"/>
      <c r="AM431" s="28"/>
      <c r="AN431" s="26">
        <f t="shared" si="210"/>
        <v>0</v>
      </c>
      <c r="AO431" s="38">
        <f t="shared" si="211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3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Z432/(Z406+Z480)</f>
        <v>0.37218706695377346</v>
      </c>
      <c r="Y432" s="41"/>
      <c r="Z432" s="43">
        <f>SUM(Z419:Z431)</f>
        <v>1015856.6872313994</v>
      </c>
      <c r="AA432" s="42" t="e">
        <f>AC432/AC406</f>
        <v>#DIV/0!</v>
      </c>
      <c r="AB432" s="41"/>
      <c r="AC432" s="43">
        <f>SUM(AC419:AC431)</f>
        <v>0</v>
      </c>
      <c r="AD432" s="42">
        <f>AF432/(AF406+AF480)</f>
        <v>0.3800383984253991</v>
      </c>
      <c r="AE432" s="49"/>
      <c r="AF432" s="43">
        <f>SUM(AF419:AF431)</f>
        <v>936536.14999999991</v>
      </c>
      <c r="AG432" s="50"/>
      <c r="AH432" s="43">
        <f>SUM(AH419:AH431)</f>
        <v>-79320.537231399358</v>
      </c>
      <c r="AI432" s="42">
        <f>AH432/Z432</f>
        <v>-7.8082408895272779E-2</v>
      </c>
      <c r="AJ432" s="44">
        <f>IF($AL$406=0,0,AL432/$AL$406)</f>
        <v>0.48071771263326601</v>
      </c>
      <c r="AK432" s="41"/>
      <c r="AL432" s="43">
        <f>SUM(AL419:AL431)</f>
        <v>912008.53</v>
      </c>
      <c r="AM432" s="51"/>
      <c r="AN432" s="46">
        <f t="shared" ref="AN432:AN450" si="213">AF432-AL432</f>
        <v>24527.619999999879</v>
      </c>
      <c r="AO432" s="21">
        <f>IF(AL432=0,0,AN432/AL432)</f>
        <v>2.6894068633327231E-2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3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8"/>
      <c r="S433" s="409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52838.457921889931</v>
      </c>
      <c r="AA433" s="53"/>
      <c r="AB433" s="53">
        <f t="shared" ref="AB433:AB450" si="214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68439.55</v>
      </c>
      <c r="AG433" s="55"/>
      <c r="AH433" s="54">
        <f t="shared" ref="AH433:AH448" si="215">AF433-Z433</f>
        <v>15601.092078110072</v>
      </c>
      <c r="AI433" s="58">
        <f t="shared" ref="AI433:AI450" si="216">IF(Z433=0,0,AH433/Z433)</f>
        <v>0.29526017018083428</v>
      </c>
      <c r="AJ433" s="55"/>
      <c r="AK433" s="53"/>
      <c r="AL433" s="54">
        <f t="shared" ref="AL433:AL446" si="217">+SUMIF($C:$C,$V433,Q:Q)</f>
        <v>46082.9</v>
      </c>
      <c r="AM433" s="59"/>
      <c r="AN433" s="57">
        <f t="shared" si="213"/>
        <v>22356.65</v>
      </c>
      <c r="AO433" s="29">
        <f t="shared" ref="AO433:AO450" si="218">IF(AL433=0,0,AN433/AL433)</f>
        <v>0.48513982409961182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3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8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13636.143488417125</v>
      </c>
      <c r="AB434" s="23">
        <f t="shared" si="214"/>
        <v>0</v>
      </c>
      <c r="AC434" s="24">
        <f>+SUM(START:END!AC435)</f>
        <v>0</v>
      </c>
      <c r="AD434" s="32"/>
      <c r="AE434" s="31"/>
      <c r="AF434" s="24">
        <f>+SUM(START:END!AF435)</f>
        <v>18579.16</v>
      </c>
      <c r="AG434" s="25"/>
      <c r="AH434" s="24">
        <f t="shared" si="215"/>
        <v>4943.016511582875</v>
      </c>
      <c r="AI434" s="27">
        <f t="shared" si="216"/>
        <v>0.36249372968109311</v>
      </c>
      <c r="AJ434" s="32"/>
      <c r="AL434" s="24">
        <f t="shared" si="217"/>
        <v>17181.409999999989</v>
      </c>
      <c r="AM434" s="28"/>
      <c r="AN434" s="26">
        <f t="shared" si="213"/>
        <v>1397.7500000000109</v>
      </c>
      <c r="AO434" s="33">
        <f t="shared" si="218"/>
        <v>8.1352461759541958E-2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3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8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78127.794000000009</v>
      </c>
      <c r="AA435" s="7"/>
      <c r="AB435" s="7">
        <f t="shared" si="214"/>
        <v>0</v>
      </c>
      <c r="AC435" s="8">
        <f>+SUM(START:END!AC436)</f>
        <v>0</v>
      </c>
      <c r="AD435" s="36"/>
      <c r="AE435" s="35"/>
      <c r="AF435" s="8">
        <f>+SUM(START:END!AF436)</f>
        <v>74214.87000000001</v>
      </c>
      <c r="AG435" s="9"/>
      <c r="AH435" s="8">
        <f t="shared" si="215"/>
        <v>-3912.9239999999991</v>
      </c>
      <c r="AI435" s="37">
        <f t="shared" si="216"/>
        <v>-5.008363604890724E-2</v>
      </c>
      <c r="AJ435" s="36"/>
      <c r="AK435" s="7"/>
      <c r="AL435" s="8">
        <f t="shared" si="217"/>
        <v>71962.399999999994</v>
      </c>
      <c r="AM435" s="12"/>
      <c r="AN435" s="10">
        <f t="shared" si="213"/>
        <v>2252.4700000000157</v>
      </c>
      <c r="AO435" s="13">
        <f t="shared" si="218"/>
        <v>3.1300651451313687E-2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3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8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67206.240431333339</v>
      </c>
      <c r="AB436" s="23">
        <f t="shared" si="214"/>
        <v>0</v>
      </c>
      <c r="AC436" s="24">
        <f>+SUM(START:END!AC437)</f>
        <v>0</v>
      </c>
      <c r="AD436" s="32"/>
      <c r="AE436" s="31"/>
      <c r="AF436" s="24">
        <f>+SUM(START:END!AF437)</f>
        <v>73756.13</v>
      </c>
      <c r="AG436" s="25"/>
      <c r="AH436" s="24">
        <f t="shared" si="215"/>
        <v>6549.8895686666656</v>
      </c>
      <c r="AI436" s="27">
        <f t="shared" si="216"/>
        <v>9.7459544331435818E-2</v>
      </c>
      <c r="AJ436" s="32"/>
      <c r="AL436" s="24">
        <f t="shared" si="217"/>
        <v>66588.12</v>
      </c>
      <c r="AM436" s="28"/>
      <c r="AN436" s="26">
        <f t="shared" si="213"/>
        <v>7168.0100000000093</v>
      </c>
      <c r="AO436" s="33">
        <f t="shared" si="218"/>
        <v>0.10764697967144905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3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8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11716.672897458335</v>
      </c>
      <c r="AB437" s="23">
        <f t="shared" si="214"/>
        <v>0</v>
      </c>
      <c r="AC437" s="24">
        <f>+SUM(START:END!AC438)</f>
        <v>0</v>
      </c>
      <c r="AD437" s="32"/>
      <c r="AE437" s="31"/>
      <c r="AF437" s="24">
        <f>+SUM(START:END!AF438)</f>
        <v>17050.330000000002</v>
      </c>
      <c r="AG437" s="25"/>
      <c r="AH437" s="24">
        <f t="shared" si="215"/>
        <v>5333.657102541667</v>
      </c>
      <c r="AI437" s="27">
        <f t="shared" si="216"/>
        <v>0.45521942527717763</v>
      </c>
      <c r="AJ437" s="32"/>
      <c r="AL437" s="24">
        <f t="shared" si="217"/>
        <v>14983.380000000001</v>
      </c>
      <c r="AM437" s="28"/>
      <c r="AN437" s="26">
        <f t="shared" si="213"/>
        <v>2066.9500000000007</v>
      </c>
      <c r="AO437" s="33">
        <f t="shared" si="218"/>
        <v>0.13794951472898642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3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8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106754.16379282785</v>
      </c>
      <c r="AB438" s="23">
        <f t="shared" si="214"/>
        <v>0</v>
      </c>
      <c r="AC438" s="24">
        <f>+SUM(START:END!AC439)</f>
        <v>0</v>
      </c>
      <c r="AD438" s="32"/>
      <c r="AE438" s="31"/>
      <c r="AF438" s="24">
        <f>+SUM(START:END!AF439)</f>
        <v>119680.45000000001</v>
      </c>
      <c r="AG438" s="25"/>
      <c r="AH438" s="24">
        <f t="shared" si="215"/>
        <v>12926.286207172161</v>
      </c>
      <c r="AI438" s="27">
        <f t="shared" si="216"/>
        <v>0.12108460923601556</v>
      </c>
      <c r="AJ438" s="32"/>
      <c r="AL438" s="24">
        <f t="shared" si="217"/>
        <v>92481.18</v>
      </c>
      <c r="AM438" s="28"/>
      <c r="AN438" s="26">
        <f t="shared" si="213"/>
        <v>27199.270000000019</v>
      </c>
      <c r="AO438" s="33">
        <f t="shared" si="218"/>
        <v>0.29410600081011101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8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4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5"/>
        <v>0</v>
      </c>
      <c r="AI439" s="67">
        <f t="shared" si="216"/>
        <v>0</v>
      </c>
      <c r="AJ439" s="63"/>
      <c r="AK439" s="61"/>
      <c r="AL439" s="62">
        <f t="shared" si="217"/>
        <v>0</v>
      </c>
      <c r="AM439" s="68"/>
      <c r="AN439" s="66">
        <f t="shared" si="213"/>
        <v>0</v>
      </c>
      <c r="AO439" s="69">
        <f t="shared" si="218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3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0"/>
      <c r="Q440" s="408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15758.070466666672</v>
      </c>
      <c r="AB440" s="31">
        <f t="shared" si="214"/>
        <v>0</v>
      </c>
      <c r="AC440" s="24">
        <f>+SUM(START:END!AC441)</f>
        <v>0</v>
      </c>
      <c r="AD440" s="32"/>
      <c r="AE440" s="31"/>
      <c r="AF440" s="24">
        <f>+SUM(START:END!AF441)</f>
        <v>14893.15</v>
      </c>
      <c r="AG440" s="25"/>
      <c r="AH440" s="24">
        <f t="shared" si="215"/>
        <v>-864.92046666667193</v>
      </c>
      <c r="AI440" s="27">
        <f t="shared" si="216"/>
        <v>-5.4887460269723611E-2</v>
      </c>
      <c r="AJ440" s="32"/>
      <c r="AL440" s="24">
        <f t="shared" si="217"/>
        <v>9100.380000000001</v>
      </c>
      <c r="AM440" s="28"/>
      <c r="AN440" s="26">
        <f t="shared" si="213"/>
        <v>5792.7699999999986</v>
      </c>
      <c r="AO440" s="33">
        <f t="shared" si="218"/>
        <v>0.63654155101215526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3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8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4001.3962203592509</v>
      </c>
      <c r="AB441" s="23">
        <f t="shared" si="214"/>
        <v>0</v>
      </c>
      <c r="AC441" s="24">
        <f>+SUM(START:END!AC442)</f>
        <v>0</v>
      </c>
      <c r="AD441" s="32"/>
      <c r="AE441" s="31"/>
      <c r="AF441" s="24">
        <f>+SUM(START:END!AF442)</f>
        <v>3008.55</v>
      </c>
      <c r="AG441" s="25"/>
      <c r="AH441" s="24">
        <f t="shared" si="215"/>
        <v>-992.84622035925076</v>
      </c>
      <c r="AI441" s="48">
        <f t="shared" si="216"/>
        <v>-0.24812494581456659</v>
      </c>
      <c r="AJ441" s="32"/>
      <c r="AL441" s="24">
        <f t="shared" si="217"/>
        <v>4261.0300000000007</v>
      </c>
      <c r="AM441" s="28"/>
      <c r="AN441" s="26">
        <f t="shared" si="213"/>
        <v>-1252.4800000000005</v>
      </c>
      <c r="AO441" s="33">
        <f t="shared" si="218"/>
        <v>-0.29393832007754001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3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0"/>
      <c r="Q442" s="408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8282.2511563980006</v>
      </c>
      <c r="AB442" s="23">
        <f t="shared" si="214"/>
        <v>0</v>
      </c>
      <c r="AC442" s="24">
        <f>+SUM(START:END!AC443)</f>
        <v>0</v>
      </c>
      <c r="AD442" s="32"/>
      <c r="AE442" s="31"/>
      <c r="AF442" s="24">
        <f>+SUM(START:END!AF443)</f>
        <v>5673.16</v>
      </c>
      <c r="AG442" s="25"/>
      <c r="AH442" s="24">
        <f t="shared" si="215"/>
        <v>-2609.0911563980007</v>
      </c>
      <c r="AI442" s="27">
        <f t="shared" si="216"/>
        <v>-0.31502197978897201</v>
      </c>
      <c r="AJ442" s="32"/>
      <c r="AL442" s="24">
        <f t="shared" si="217"/>
        <v>6058.85</v>
      </c>
      <c r="AM442" s="28"/>
      <c r="AN442" s="26">
        <f t="shared" si="213"/>
        <v>-385.69000000000051</v>
      </c>
      <c r="AO442" s="33">
        <f t="shared" si="218"/>
        <v>-6.3657294701139733E-2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3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8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2204.0422811060835</v>
      </c>
      <c r="AB443" s="23">
        <f t="shared" si="214"/>
        <v>0</v>
      </c>
      <c r="AC443" s="24">
        <f>+SUM(START:END!AC444)</f>
        <v>0</v>
      </c>
      <c r="AD443" s="32"/>
      <c r="AE443" s="31"/>
      <c r="AF443" s="24">
        <f>+SUM(START:END!AF444)</f>
        <v>2430.92</v>
      </c>
      <c r="AG443" s="25"/>
      <c r="AH443" s="24">
        <f t="shared" si="215"/>
        <v>226.87771889391661</v>
      </c>
      <c r="AI443" s="48">
        <f t="shared" si="216"/>
        <v>0.102937099183079</v>
      </c>
      <c r="AJ443" s="32"/>
      <c r="AL443" s="24">
        <f t="shared" si="217"/>
        <v>2030.2800000000002</v>
      </c>
      <c r="AM443" s="28"/>
      <c r="AN443" s="26">
        <f t="shared" si="213"/>
        <v>400.63999999999987</v>
      </c>
      <c r="AO443" s="33">
        <f t="shared" si="218"/>
        <v>0.19733238765096431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3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8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705.6346864539164</v>
      </c>
      <c r="AB444" s="23">
        <f t="shared" si="214"/>
        <v>0</v>
      </c>
      <c r="AC444" s="24">
        <f>+SUM(START:END!AC445)</f>
        <v>0</v>
      </c>
      <c r="AD444" s="32"/>
      <c r="AE444" s="31"/>
      <c r="AF444" s="24">
        <f>+SUM(START:END!AF445)</f>
        <v>-162.63999999999987</v>
      </c>
      <c r="AG444" s="25"/>
      <c r="AH444" s="24">
        <f t="shared" si="215"/>
        <v>-868.27468645391627</v>
      </c>
      <c r="AI444" s="27">
        <f t="shared" si="216"/>
        <v>-1.2304875357209661</v>
      </c>
      <c r="AJ444" s="32"/>
      <c r="AL444" s="24">
        <f t="shared" si="217"/>
        <v>-136.65999999999997</v>
      </c>
      <c r="AM444" s="28"/>
      <c r="AN444" s="26">
        <f t="shared" si="213"/>
        <v>-25.979999999999905</v>
      </c>
      <c r="AO444" s="33">
        <f t="shared" si="218"/>
        <v>0.19010683447973006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3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8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2161.1675959494169</v>
      </c>
      <c r="AB445" s="31">
        <f t="shared" si="214"/>
        <v>0</v>
      </c>
      <c r="AC445" s="24">
        <f>+SUM(START:END!AC446)</f>
        <v>0</v>
      </c>
      <c r="AD445" s="32"/>
      <c r="AE445" s="31"/>
      <c r="AF445" s="24">
        <f>+SUM(START:END!AF446)</f>
        <v>923.38</v>
      </c>
      <c r="AG445" s="25"/>
      <c r="AH445" s="24">
        <f t="shared" si="215"/>
        <v>-1237.7875959494168</v>
      </c>
      <c r="AI445" s="48">
        <f t="shared" si="216"/>
        <v>-0.57274021610788006</v>
      </c>
      <c r="AJ445" s="32"/>
      <c r="AL445" s="24">
        <f t="shared" si="217"/>
        <v>1346.91</v>
      </c>
      <c r="AM445" s="28"/>
      <c r="AN445" s="26">
        <f t="shared" si="213"/>
        <v>-423.53000000000009</v>
      </c>
      <c r="AO445" s="33">
        <f t="shared" si="218"/>
        <v>-0.31444565709661376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3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8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17322.411130652297</v>
      </c>
      <c r="AB446" s="31">
        <f t="shared" si="214"/>
        <v>0</v>
      </c>
      <c r="AC446" s="24">
        <f>+SUM(START:END!AC447)</f>
        <v>0</v>
      </c>
      <c r="AD446" s="32"/>
      <c r="AE446" s="31"/>
      <c r="AF446" s="24">
        <f>+SUM(START:END!AF447)</f>
        <v>10697.48</v>
      </c>
      <c r="AG446" s="25"/>
      <c r="AH446" s="24">
        <f t="shared" si="215"/>
        <v>-6624.9311306522977</v>
      </c>
      <c r="AI446" s="27">
        <f t="shared" si="216"/>
        <v>-0.38244855642118841</v>
      </c>
      <c r="AJ446" s="32"/>
      <c r="AL446" s="24">
        <f t="shared" si="217"/>
        <v>9299.6400000000012</v>
      </c>
      <c r="AM446" s="28"/>
      <c r="AN446" s="26">
        <f t="shared" si="213"/>
        <v>1397.8399999999983</v>
      </c>
      <c r="AO446" s="33">
        <f t="shared" si="218"/>
        <v>0.15031119484195068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3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8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25632.830092499105</v>
      </c>
      <c r="AB447" s="31">
        <f t="shared" si="214"/>
        <v>0</v>
      </c>
      <c r="AC447" s="24">
        <f>+SUM(START:END!AC448)</f>
        <v>0</v>
      </c>
      <c r="AD447" s="32"/>
      <c r="AE447" s="31"/>
      <c r="AF447" s="24">
        <f>+SUM(START:END!AF448)</f>
        <v>28204.730000000003</v>
      </c>
      <c r="AG447" s="25"/>
      <c r="AH447" s="24">
        <f t="shared" si="215"/>
        <v>2571.8999075008978</v>
      </c>
      <c r="AI447" s="27">
        <f t="shared" si="216"/>
        <v>0.10033616647946762</v>
      </c>
      <c r="AJ447" s="32"/>
      <c r="AL447" s="24">
        <f>+SUM(START:END!AL448)</f>
        <v>27537.879999999997</v>
      </c>
      <c r="AM447" s="28"/>
      <c r="AN447" s="26">
        <f t="shared" si="213"/>
        <v>666.85000000000582</v>
      </c>
      <c r="AO447" s="33">
        <f t="shared" si="218"/>
        <v>2.4215734835071032E-2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3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8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4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5"/>
        <v>0</v>
      </c>
      <c r="AI448" s="27">
        <f t="shared" si="216"/>
        <v>0</v>
      </c>
      <c r="AJ448" s="32"/>
      <c r="AL448" s="24">
        <f>+SUMIF($C:$C,$V448,Q:Q)</f>
        <v>0</v>
      </c>
      <c r="AM448" s="28"/>
      <c r="AN448" s="26">
        <f t="shared" si="213"/>
        <v>0</v>
      </c>
      <c r="AO448" s="33">
        <f t="shared" si="218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3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8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4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9">AF449-AC449</f>
        <v>0</v>
      </c>
      <c r="AI449" s="27">
        <f t="shared" si="216"/>
        <v>0</v>
      </c>
      <c r="AJ449" s="32"/>
      <c r="AL449" s="24"/>
      <c r="AM449" s="28"/>
      <c r="AN449" s="26">
        <f t="shared" si="213"/>
        <v>0</v>
      </c>
      <c r="AO449" s="33">
        <f t="shared" si="218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3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0"/>
      <c r="Q450" s="408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4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9"/>
        <v>0</v>
      </c>
      <c r="AI450" s="27">
        <f t="shared" si="216"/>
        <v>0</v>
      </c>
      <c r="AJ450" s="32"/>
      <c r="AL450" s="24"/>
      <c r="AM450" s="28"/>
      <c r="AN450" s="26">
        <f t="shared" si="213"/>
        <v>0</v>
      </c>
      <c r="AO450" s="33">
        <f t="shared" si="218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3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8"/>
      <c r="R451" s="184"/>
      <c r="S451" s="184"/>
      <c r="T451" s="184"/>
      <c r="U451" s="184"/>
      <c r="V451" s="40" t="s">
        <v>64</v>
      </c>
      <c r="W451" s="70"/>
      <c r="X451" s="42">
        <f>Z451/+Z406</f>
        <v>0.17956412404341751</v>
      </c>
      <c r="Y451" s="41"/>
      <c r="Z451" s="43">
        <f>+SUM(Z433:Z450)</f>
        <v>406347.27616201126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0.20871453026492057</v>
      </c>
      <c r="AE451" s="41"/>
      <c r="AF451" s="43">
        <f>+SUM(AF433:AF450)</f>
        <v>437389.22</v>
      </c>
      <c r="AG451" s="50"/>
      <c r="AH451" s="43">
        <f>+SUM(AH433:AH450)</f>
        <v>31041.943837988696</v>
      </c>
      <c r="AI451" s="42">
        <f>AH451/Z451</f>
        <v>7.6392646534222675E-2</v>
      </c>
      <c r="AJ451" s="44">
        <f>IF($AL$406=0,0,AL451/$AL$406)</f>
        <v>0.19438192361441708</v>
      </c>
      <c r="AK451" s="42"/>
      <c r="AL451" s="43">
        <f>+SUM(AL433:AL450)</f>
        <v>368777.70000000007</v>
      </c>
      <c r="AM451" s="51"/>
      <c r="AN451" s="46">
        <f>+SUM(AN433:AN450)</f>
        <v>68611.520000000062</v>
      </c>
      <c r="AO451" s="71">
        <f>IF(AL451=0,0,AN451/AL451)</f>
        <v>0.18605116307195377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3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20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21">AF452-Z452</f>
        <v>0</v>
      </c>
      <c r="AI452" s="27">
        <f t="shared" ref="AI452:AI461" si="222">IF(Z452=0,0,AH452/Z452)</f>
        <v>0</v>
      </c>
      <c r="AJ452" s="32"/>
      <c r="AL452" s="24">
        <f>+SUM(START:END!AL453)</f>
        <v>108000</v>
      </c>
      <c r="AM452" s="28"/>
      <c r="AN452" s="26">
        <f t="shared" ref="AN452:AN464" si="223">AF452-AL452</f>
        <v>0</v>
      </c>
      <c r="AO452" s="33">
        <f t="shared" ref="AO452:AO461" si="224">IF(AL452=0,0,AN452/AL452)</f>
        <v>0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3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16270.320000000002</v>
      </c>
      <c r="AB453" s="31">
        <f t="shared" si="220"/>
        <v>0</v>
      </c>
      <c r="AC453" s="24">
        <f>+SUM(START:END!AC454)</f>
        <v>0</v>
      </c>
      <c r="AD453" s="32"/>
      <c r="AE453" s="31"/>
      <c r="AF453" s="24">
        <f>+SUM(START:END!AF454)</f>
        <v>16269</v>
      </c>
      <c r="AG453" s="25"/>
      <c r="AH453" s="24">
        <f t="shared" si="221"/>
        <v>-1.320000000001528</v>
      </c>
      <c r="AI453" s="27">
        <f t="shared" si="222"/>
        <v>-8.1129320136391167E-5</v>
      </c>
      <c r="AJ453" s="32"/>
      <c r="AL453" s="24">
        <f>+SUM(START:END!AL454)</f>
        <v>15531</v>
      </c>
      <c r="AM453" s="28"/>
      <c r="AN453" s="26">
        <f t="shared" si="223"/>
        <v>738</v>
      </c>
      <c r="AO453" s="33">
        <f t="shared" si="224"/>
        <v>4.7517867490824803E-2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3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10826.640000000001</v>
      </c>
      <c r="AA454" s="7"/>
      <c r="AB454" s="35">
        <f t="shared" si="220"/>
        <v>0</v>
      </c>
      <c r="AC454" s="8">
        <f>+SUM(START:END!AC455)</f>
        <v>0</v>
      </c>
      <c r="AD454" s="36"/>
      <c r="AE454" s="35"/>
      <c r="AF454" s="8">
        <f>+SUM(START:END!AF455)</f>
        <v>10827</v>
      </c>
      <c r="AG454" s="9"/>
      <c r="AH454" s="8">
        <f t="shared" si="221"/>
        <v>0.35999999999876309</v>
      </c>
      <c r="AI454" s="37">
        <f t="shared" si="222"/>
        <v>3.3251313426766112E-5</v>
      </c>
      <c r="AJ454" s="36"/>
      <c r="AK454" s="7"/>
      <c r="AL454" s="8">
        <f>+SUM(START:END!AL455)</f>
        <v>10651.7</v>
      </c>
      <c r="AM454" s="12"/>
      <c r="AN454" s="10">
        <f t="shared" si="223"/>
        <v>175.29999999999927</v>
      </c>
      <c r="AO454" s="13">
        <f t="shared" si="224"/>
        <v>1.6457466883220449E-2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3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20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21"/>
        <v>0</v>
      </c>
      <c r="AI455" s="27">
        <f t="shared" si="222"/>
        <v>0</v>
      </c>
      <c r="AJ455" s="32"/>
      <c r="AL455" s="24">
        <f>+SUM(START:END!AL456)</f>
        <v>0</v>
      </c>
      <c r="AM455" s="28"/>
      <c r="AN455" s="26">
        <f t="shared" si="223"/>
        <v>0</v>
      </c>
      <c r="AO455" s="33">
        <f t="shared" si="224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3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13032.75</v>
      </c>
      <c r="AA456" s="7"/>
      <c r="AB456" s="35">
        <f t="shared" si="220"/>
        <v>0</v>
      </c>
      <c r="AC456" s="8">
        <f>+SUM(START:END!AC457)</f>
        <v>0</v>
      </c>
      <c r="AD456" s="36"/>
      <c r="AE456" s="35"/>
      <c r="AF456" s="8">
        <f>+SUM(START:END!AF457)</f>
        <v>13032.75</v>
      </c>
      <c r="AG456" s="9"/>
      <c r="AH456" s="8">
        <f t="shared" si="221"/>
        <v>0</v>
      </c>
      <c r="AI456" s="37">
        <f t="shared" si="222"/>
        <v>0</v>
      </c>
      <c r="AJ456" s="36"/>
      <c r="AK456" s="7"/>
      <c r="AL456" s="8">
        <f>+SUM(START:END!AL457)</f>
        <v>11679.24</v>
      </c>
      <c r="AM456" s="12"/>
      <c r="AN456" s="10">
        <f t="shared" si="223"/>
        <v>1353.5100000000002</v>
      </c>
      <c r="AO456" s="13">
        <f t="shared" si="224"/>
        <v>0.11589024628314858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3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11100</v>
      </c>
      <c r="AA457" s="72"/>
      <c r="AB457" s="73">
        <f t="shared" si="220"/>
        <v>0</v>
      </c>
      <c r="AC457" s="24">
        <f>+SUM(START:END!AC458)</f>
        <v>0</v>
      </c>
      <c r="AD457" s="32"/>
      <c r="AE457" s="31"/>
      <c r="AF457" s="24">
        <f>+SUM(START:END!AF458)</f>
        <v>15967.16</v>
      </c>
      <c r="AG457" s="25"/>
      <c r="AH457" s="24">
        <f t="shared" si="221"/>
        <v>4867.16</v>
      </c>
      <c r="AI457" s="27">
        <f t="shared" si="222"/>
        <v>0.4384828828828829</v>
      </c>
      <c r="AJ457" s="32"/>
      <c r="AL457" s="24">
        <f>+SUM(START:END!AL458)</f>
        <v>11842.16</v>
      </c>
      <c r="AM457" s="28"/>
      <c r="AN457" s="26">
        <f t="shared" si="223"/>
        <v>4125</v>
      </c>
      <c r="AO457" s="33">
        <f t="shared" si="224"/>
        <v>0.34833172326670137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3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20"/>
        <v>0</v>
      </c>
      <c r="AC458" s="24">
        <f>+SUM(START:END!AC459)</f>
        <v>0</v>
      </c>
      <c r="AD458" s="32"/>
      <c r="AE458" s="31"/>
      <c r="AF458" s="24">
        <f>+SUM(START:END!AF459)</f>
        <v>20748.11</v>
      </c>
      <c r="AG458" s="25"/>
      <c r="AH458" s="24">
        <f t="shared" si="221"/>
        <v>395.95999999999913</v>
      </c>
      <c r="AI458" s="27">
        <f t="shared" si="222"/>
        <v>1.945543836891921E-2</v>
      </c>
      <c r="AJ458" s="32"/>
      <c r="AL458" s="24">
        <f>+SUM(START:END!AL459)</f>
        <v>21669.989999999969</v>
      </c>
      <c r="AM458" s="28"/>
      <c r="AN458" s="26">
        <f t="shared" si="223"/>
        <v>-921.87999999996828</v>
      </c>
      <c r="AO458" s="33">
        <f t="shared" si="224"/>
        <v>-4.2541782437369356E-2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3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4093.6870222936104</v>
      </c>
      <c r="AA459" s="7"/>
      <c r="AB459" s="35">
        <f t="shared" si="220"/>
        <v>0</v>
      </c>
      <c r="AC459" s="8">
        <f>+SUM(START:END!AC460)</f>
        <v>0</v>
      </c>
      <c r="AD459" s="36"/>
      <c r="AE459" s="35"/>
      <c r="AF459" s="8">
        <f>+SUM(START:END!AF460)</f>
        <v>2714.66</v>
      </c>
      <c r="AG459" s="9"/>
      <c r="AH459" s="8">
        <f t="shared" si="221"/>
        <v>-1379.0270222936106</v>
      </c>
      <c r="AI459" s="37">
        <f t="shared" si="222"/>
        <v>-0.33686674501094849</v>
      </c>
      <c r="AJ459" s="36"/>
      <c r="AK459" s="7"/>
      <c r="AL459" s="8">
        <f>+SUM(START:END!AL460)</f>
        <v>895.85</v>
      </c>
      <c r="AM459" s="12"/>
      <c r="AN459" s="10">
        <f t="shared" si="223"/>
        <v>1818.81</v>
      </c>
      <c r="AO459" s="13">
        <f t="shared" si="224"/>
        <v>2.0302617625718589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3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1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20"/>
        <v>0</v>
      </c>
      <c r="AC460" s="24">
        <f>+SUM(START:END!AC461)</f>
        <v>0</v>
      </c>
      <c r="AD460" s="32"/>
      <c r="AE460" s="31"/>
      <c r="AF460" s="24">
        <f>+SUM(START:END!AF461)</f>
        <v>2550.06</v>
      </c>
      <c r="AG460" s="25"/>
      <c r="AH460" s="24">
        <f t="shared" si="221"/>
        <v>-449.94000000000005</v>
      </c>
      <c r="AI460" s="74">
        <f t="shared" si="222"/>
        <v>-0.14998000000000003</v>
      </c>
      <c r="AL460" s="24">
        <f>+SUM(START:END!AL461)</f>
        <v>2512.0500000000002</v>
      </c>
      <c r="AM460" s="28"/>
      <c r="AN460" s="26">
        <f t="shared" si="223"/>
        <v>38.009999999999764</v>
      </c>
      <c r="AO460" s="33">
        <f t="shared" si="224"/>
        <v>1.5131068251029939E-2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3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1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20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21"/>
        <v>0</v>
      </c>
      <c r="AI461" s="48">
        <f t="shared" si="222"/>
        <v>0</v>
      </c>
      <c r="AL461" s="24">
        <f>+SUM(START:END!AL462)</f>
        <v>0</v>
      </c>
      <c r="AM461" s="28"/>
      <c r="AN461" s="26">
        <f t="shared" si="223"/>
        <v>0</v>
      </c>
      <c r="AO461" s="33">
        <f t="shared" si="224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3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1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5">AF462-AC462</f>
        <v>0</v>
      </c>
      <c r="AI462" s="48">
        <v>1</v>
      </c>
      <c r="AL462" s="24">
        <f>+SUM(START:END!AL463)</f>
        <v>0</v>
      </c>
      <c r="AM462" s="28"/>
      <c r="AN462" s="26">
        <f t="shared" si="223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3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1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5"/>
        <v>0</v>
      </c>
      <c r="AI463" s="48">
        <v>2</v>
      </c>
      <c r="AL463" s="24">
        <f>+SUM(START:END!AL464)</f>
        <v>0</v>
      </c>
      <c r="AM463" s="28"/>
      <c r="AN463" s="26">
        <f t="shared" si="223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3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5"/>
        <v>0</v>
      </c>
      <c r="AI464" s="48">
        <v>3</v>
      </c>
      <c r="AL464" s="24">
        <f>+SUM(START:END!AL465)</f>
        <v>0</v>
      </c>
      <c r="AM464" s="28"/>
      <c r="AN464" s="26">
        <f t="shared" si="223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3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8.2491585517653093E-2</v>
      </c>
      <c r="Y465" s="41"/>
      <c r="Z465" s="43">
        <f>SUM(Z452:Z464)</f>
        <v>186675.54702229361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9.0716585032333277E-2</v>
      </c>
      <c r="AE465" s="41"/>
      <c r="AF465" s="43">
        <f>SUM(AF452:AF464)</f>
        <v>190108.74000000002</v>
      </c>
      <c r="AG465" s="50"/>
      <c r="AH465" s="43">
        <f>SUM(AH452:AH464)</f>
        <v>3433.1929777063856</v>
      </c>
      <c r="AI465" s="42">
        <f>IF(Z465=0,0,AH465/Z465)</f>
        <v>1.839123030557601E-2</v>
      </c>
      <c r="AJ465" s="44">
        <f>IF($AL$406=0,0,AL465/$AL$406)</f>
        <v>9.6343989395972524E-2</v>
      </c>
      <c r="AK465" s="42"/>
      <c r="AL465" s="43">
        <f>SUM(AL452:AL464)</f>
        <v>182781.98999999996</v>
      </c>
      <c r="AM465" s="51"/>
      <c r="AN465" s="46">
        <f>SUM(AN452:AN464)</f>
        <v>7326.7500000000309</v>
      </c>
      <c r="AO465" s="71">
        <f>IF(AL465=0,0,AN465/AL465)</f>
        <v>4.0084638535777144E-2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3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6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3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0.96371712420123801</v>
      </c>
      <c r="Y467" s="41"/>
      <c r="Z467" s="43">
        <f>Z418+Z432+Z451+Z465</f>
        <v>2180857.8439375358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0.94585483824373151</v>
      </c>
      <c r="AE467" s="41"/>
      <c r="AF467" s="43">
        <f>AF418+AF432+AF451+AF465</f>
        <v>1982165.3499999999</v>
      </c>
      <c r="AG467" s="50"/>
      <c r="AH467" s="43">
        <f>AH418+AH432+AH451+AH465</f>
        <v>-198692.49393753565</v>
      </c>
      <c r="AI467" s="42">
        <f>AH467/Z467</f>
        <v>-9.1107494461352245E-2</v>
      </c>
      <c r="AJ467" s="44">
        <f>IF($AL$406=0,0,AL467/$AL$406)</f>
        <v>1.0508625998075554</v>
      </c>
      <c r="AK467" s="42"/>
      <c r="AL467" s="43">
        <f>AL418+AL432+AL451+AL465</f>
        <v>1993676.5999999999</v>
      </c>
      <c r="AM467" s="51"/>
      <c r="AN467" s="46">
        <f t="shared" si="226"/>
        <v>-11511.25</v>
      </c>
      <c r="AO467" s="21">
        <f>IF(AL467=0,0,AN467/AL467)</f>
        <v>-5.7738802772726531E-3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3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30000</v>
      </c>
      <c r="AA468" s="78"/>
      <c r="AB468" s="79">
        <f t="shared" ref="AB468:AB476" si="227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31551.47</v>
      </c>
      <c r="AG468" s="81"/>
      <c r="AH468" s="24">
        <f t="shared" ref="AH468:AH479" si="228">AF468-Z468</f>
        <v>1551.4700000000012</v>
      </c>
      <c r="AI468" s="74">
        <f t="shared" ref="AI468:AI479" si="229">IF(Z468=0,0,AH468/Z468)</f>
        <v>5.1715666666666708E-2</v>
      </c>
      <c r="AJ468" s="80"/>
      <c r="AK468" s="172"/>
      <c r="AL468" s="82">
        <f>+SUM(START:END!AL469)</f>
        <v>62232.19</v>
      </c>
      <c r="AM468" s="83"/>
      <c r="AN468" s="26">
        <f t="shared" si="226"/>
        <v>-30680.720000000001</v>
      </c>
      <c r="AO468" s="33">
        <f t="shared" ref="AO468:AO476" si="230">IF(AL468=0,0,AN468/AL468)</f>
        <v>-0.49300402251632153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.75">
      <c r="A469" s="23" t="str">
        <f t="shared" si="183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278936.24390151334</v>
      </c>
      <c r="AA469" s="72"/>
      <c r="AB469" s="73">
        <f t="shared" si="227"/>
        <v>0</v>
      </c>
      <c r="AC469" s="24">
        <f>+SUM(START:END!AC470)</f>
        <v>0</v>
      </c>
      <c r="AD469" s="84"/>
      <c r="AE469" s="73"/>
      <c r="AF469" s="24">
        <f>+SUM(START:END!AF470)</f>
        <v>208299.55</v>
      </c>
      <c r="AG469" s="85"/>
      <c r="AH469" s="24">
        <f t="shared" si="228"/>
        <v>-70636.693901513354</v>
      </c>
      <c r="AI469" s="48">
        <f t="shared" si="229"/>
        <v>-0.25323598293828647</v>
      </c>
      <c r="AJ469" s="84"/>
      <c r="AK469" s="173"/>
      <c r="AL469" s="86">
        <f>+SUM(START:END!AL470)</f>
        <v>260645.55</v>
      </c>
      <c r="AM469" s="87"/>
      <c r="AN469" s="26">
        <f t="shared" si="226"/>
        <v>-52346</v>
      </c>
      <c r="AO469" s="33">
        <f t="shared" si="230"/>
        <v>-0.20083212623426719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3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25000</v>
      </c>
      <c r="AA470" s="72"/>
      <c r="AB470" s="73">
        <f t="shared" si="227"/>
        <v>0</v>
      </c>
      <c r="AC470" s="24">
        <f>+SUM(START:END!AC471)</f>
        <v>0</v>
      </c>
      <c r="AD470" s="84"/>
      <c r="AE470" s="73"/>
      <c r="AF470" s="24">
        <f>+SUM(START:END!AF471)</f>
        <v>12000</v>
      </c>
      <c r="AG470" s="85"/>
      <c r="AH470" s="24">
        <f t="shared" si="228"/>
        <v>-13000</v>
      </c>
      <c r="AI470" s="48">
        <f t="shared" si="229"/>
        <v>-0.52</v>
      </c>
      <c r="AJ470" s="84"/>
      <c r="AK470" s="72"/>
      <c r="AL470" s="86">
        <f>+SUM(START:END!AL471)</f>
        <v>20695</v>
      </c>
      <c r="AM470" s="87"/>
      <c r="AN470" s="26">
        <f t="shared" si="226"/>
        <v>-8695</v>
      </c>
      <c r="AO470" s="33">
        <f t="shared" si="230"/>
        <v>-0.42014979463638558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3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7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8"/>
        <v>0</v>
      </c>
      <c r="AI471" s="48">
        <f t="shared" si="229"/>
        <v>0</v>
      </c>
      <c r="AJ471" s="84"/>
      <c r="AK471" s="72"/>
      <c r="AL471" s="86">
        <f>+SUM(START:END!AL472)</f>
        <v>0</v>
      </c>
      <c r="AM471" s="87"/>
      <c r="AN471" s="26">
        <f t="shared" si="226"/>
        <v>0</v>
      </c>
      <c r="AO471" s="33">
        <f t="shared" si="230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3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7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8"/>
        <v>0</v>
      </c>
      <c r="AI472" s="48">
        <f t="shared" si="229"/>
        <v>0</v>
      </c>
      <c r="AJ472" s="84"/>
      <c r="AK472" s="72"/>
      <c r="AL472" s="86">
        <f>+SUM(START:END!AL473)</f>
        <v>0</v>
      </c>
      <c r="AM472" s="87"/>
      <c r="AN472" s="26">
        <f t="shared" si="226"/>
        <v>0</v>
      </c>
      <c r="AO472" s="33">
        <f t="shared" si="230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3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7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8"/>
        <v>0</v>
      </c>
      <c r="AI473" s="48">
        <f t="shared" si="229"/>
        <v>0</v>
      </c>
      <c r="AJ473" s="84"/>
      <c r="AK473" s="72"/>
      <c r="AL473" s="86">
        <f>+SUM(START:END!AL474)</f>
        <v>0</v>
      </c>
      <c r="AM473" s="87"/>
      <c r="AN473" s="26">
        <f t="shared" si="226"/>
        <v>0</v>
      </c>
      <c r="AO473" s="33">
        <f t="shared" si="230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3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7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8"/>
        <v>0</v>
      </c>
      <c r="AI474" s="48">
        <f t="shared" si="229"/>
        <v>0</v>
      </c>
      <c r="AJ474" s="84"/>
      <c r="AK474" s="72"/>
      <c r="AL474" s="86">
        <f>+SUM(START:END!AL475)</f>
        <v>0</v>
      </c>
      <c r="AM474" s="87"/>
      <c r="AN474" s="26">
        <f t="shared" si="226"/>
        <v>0</v>
      </c>
      <c r="AO474" s="33">
        <f t="shared" si="230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3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7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8"/>
        <v>0</v>
      </c>
      <c r="AI475" s="48">
        <f t="shared" si="229"/>
        <v>0</v>
      </c>
      <c r="AJ475" s="84"/>
      <c r="AK475" s="72"/>
      <c r="AL475" s="86">
        <f>+SUM(START:END!AL476)</f>
        <v>0</v>
      </c>
      <c r="AM475" s="87"/>
      <c r="AN475" s="26">
        <f t="shared" si="226"/>
        <v>0</v>
      </c>
      <c r="AO475" s="33">
        <f t="shared" si="230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3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7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8"/>
        <v>0</v>
      </c>
      <c r="AI476" s="48">
        <f t="shared" si="229"/>
        <v>0</v>
      </c>
      <c r="AJ476" s="84"/>
      <c r="AK476" s="72"/>
      <c r="AL476" s="86">
        <f>+SUM(START:END!AL477)</f>
        <v>0</v>
      </c>
      <c r="AM476" s="87"/>
      <c r="AN476" s="26">
        <f t="shared" si="226"/>
        <v>0</v>
      </c>
      <c r="AO476" s="33">
        <f t="shared" si="230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3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31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8"/>
        <v>0</v>
      </c>
      <c r="AI477" s="48">
        <f t="shared" si="229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32">AF477-AL477</f>
        <v>0</v>
      </c>
      <c r="AO477" s="33">
        <f t="shared" ref="AO477:AO479" si="233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3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31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8"/>
        <v>0</v>
      </c>
      <c r="AI478" s="48">
        <f t="shared" si="229"/>
        <v>0</v>
      </c>
      <c r="AJ478" s="84"/>
      <c r="AK478" s="72"/>
      <c r="AL478" s="86">
        <f>+SUM(START:END!AL479)</f>
        <v>0</v>
      </c>
      <c r="AM478" s="87"/>
      <c r="AN478" s="26">
        <f t="shared" si="232"/>
        <v>0</v>
      </c>
      <c r="AO478" s="33">
        <f t="shared" si="233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3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132524.04999999999</v>
      </c>
      <c r="AA479" s="72"/>
      <c r="AB479" s="73">
        <f t="shared" si="231"/>
        <v>0</v>
      </c>
      <c r="AC479" s="24">
        <f>+SUM(START:END!AC480)</f>
        <v>0</v>
      </c>
      <c r="AD479" s="84"/>
      <c r="AE479" s="73"/>
      <c r="AF479" s="24">
        <f>+SUM(START:END!AF480)</f>
        <v>116835</v>
      </c>
      <c r="AG479" s="85"/>
      <c r="AH479" s="24">
        <f t="shared" si="228"/>
        <v>-15689.049999999988</v>
      </c>
      <c r="AI479" s="48">
        <f t="shared" si="229"/>
        <v>-0.11838643627326503</v>
      </c>
      <c r="AJ479" s="84"/>
      <c r="AK479" s="72"/>
      <c r="AL479" s="86">
        <f>+SUM(START:END!AL480)</f>
        <v>118928.5</v>
      </c>
      <c r="AM479" s="87"/>
      <c r="AN479" s="26">
        <f t="shared" si="232"/>
        <v>-2093.5</v>
      </c>
      <c r="AO479" s="33">
        <f t="shared" si="233"/>
        <v>-1.760301357538353E-2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3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0.20612795751106569</v>
      </c>
      <c r="Y480" s="70"/>
      <c r="Z480" s="43">
        <f>SUM(Z468:Z479)</f>
        <v>466460.29390151333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0.17593055786684253</v>
      </c>
      <c r="AE480" s="70"/>
      <c r="AF480" s="43">
        <f>SUM(AF468:AF479)</f>
        <v>368686.02</v>
      </c>
      <c r="AG480" s="50"/>
      <c r="AH480" s="43">
        <f>SUM(AH468:AH479)</f>
        <v>-97774.273901513341</v>
      </c>
      <c r="AI480" s="42">
        <f>AH480/Z480</f>
        <v>-0.20960899604920508</v>
      </c>
      <c r="AJ480" s="88"/>
      <c r="AK480" s="89"/>
      <c r="AL480" s="43">
        <f>SUM(AL468:AL479)</f>
        <v>462501.24</v>
      </c>
      <c r="AM480" s="90"/>
      <c r="AN480" s="46">
        <f t="shared" si="226"/>
        <v>-93815.219999999972</v>
      </c>
      <c r="AO480" s="71">
        <f>IF(AL480=0,0,AN480/AL480)</f>
        <v>-0.20284317507991972</v>
      </c>
      <c r="AP480" s="184"/>
      <c r="AQ480" s="412"/>
      <c r="AR480" s="408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3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6"/>
        <v>0</v>
      </c>
      <c r="AO481" s="103">
        <f t="shared" ref="AO481" si="234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3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3.0334613695980298E-2</v>
      </c>
      <c r="Z482" s="108">
        <f>Z406-Z467+Z480</f>
        <v>548567.16146591958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3.2482354170275833E-2</v>
      </c>
      <c r="AF482" s="109">
        <f>AF406-AF467+AF480</f>
        <v>482154.45000000042</v>
      </c>
      <c r="AG482" s="110"/>
      <c r="AH482" s="109">
        <f>AH406-AH467+AH480</f>
        <v>-66412.711465919449</v>
      </c>
      <c r="AI482" s="111">
        <f>AH482/Z482</f>
        <v>-0.12106578032933424</v>
      </c>
      <c r="AJ482" s="112" t="s">
        <v>185</v>
      </c>
      <c r="AK482" s="107">
        <f>IF($AL$405=0,0,AL482/$AL$405)</f>
        <v>2.2279298043804383E-2</v>
      </c>
      <c r="AL482" s="109">
        <f>AL406-AL467+AL480</f>
        <v>366005.67999999854</v>
      </c>
      <c r="AM482" s="113"/>
      <c r="AN482" s="109">
        <f t="shared" si="226"/>
        <v>116148.77000000188</v>
      </c>
      <c r="AO482" s="114">
        <f>IF(AL482=0,0,AN482/AL482)</f>
        <v>0.31734144125851366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3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5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399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5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5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5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3.7903605357323678E-2</v>
      </c>
      <c r="Z487" s="163">
        <f>+Z488+Z414</f>
        <v>685443.81044637307</v>
      </c>
      <c r="AA487" s="161"/>
      <c r="AB487" s="162"/>
      <c r="AC487" s="163"/>
      <c r="AD487" s="161" t="s">
        <v>185</v>
      </c>
      <c r="AE487" s="162">
        <f>AF487/AF405</f>
        <v>3.4720015039174365E-2</v>
      </c>
      <c r="AF487" s="163">
        <f>+AF488+AF414</f>
        <v>515369.35000000044</v>
      </c>
      <c r="AG487" s="164"/>
      <c r="AH487" s="163">
        <f t="shared" ref="AH487:AH488" si="236">AF487-Z487</f>
        <v>-170074.46044637263</v>
      </c>
      <c r="AI487" s="165">
        <f>AH487/Z487</f>
        <v>-0.2481231252721024</v>
      </c>
      <c r="AJ487" s="161" t="s">
        <v>185</v>
      </c>
      <c r="AK487" s="162">
        <f>AL487/AL405</f>
        <v>3.0948774317261042E-2</v>
      </c>
      <c r="AL487" s="163">
        <f>+AL488+AL414</f>
        <v>508428.36999999854</v>
      </c>
      <c r="AM487" s="167"/>
      <c r="AN487" s="168">
        <f>AF487-AL487</f>
        <v>6940.9800000019022</v>
      </c>
      <c r="AO487" s="169">
        <f>IF(AL487=0,0,AN487/AL487)</f>
        <v>1.3651834574065807E-2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5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3.0334613695980298E-2</v>
      </c>
      <c r="Z488" s="120">
        <f>Z482</f>
        <v>548567.16146591958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3.2482354170275833E-2</v>
      </c>
      <c r="AF488" s="120">
        <f>AF482</f>
        <v>482154.45000000042</v>
      </c>
      <c r="AG488" s="121"/>
      <c r="AH488" s="110">
        <f t="shared" si="236"/>
        <v>-66412.711465919157</v>
      </c>
      <c r="AI488" s="111">
        <f>AH488/Z488</f>
        <v>-0.12106578032933371</v>
      </c>
      <c r="AJ488" s="118" t="s">
        <v>185</v>
      </c>
      <c r="AK488" s="119">
        <f>IF($AL$405=0,0,AL488/$AL$405)</f>
        <v>2.2279298043804383E-2</v>
      </c>
      <c r="AL488" s="122">
        <f>AL482</f>
        <v>366005.67999999854</v>
      </c>
      <c r="AM488" s="123"/>
      <c r="AN488" s="124">
        <f>AF488-AL488</f>
        <v>116148.77000000188</v>
      </c>
      <c r="AO488" s="125">
        <f>IF(AL488=0,0,AN488/AL488)</f>
        <v>0.31734144125851366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5"/>
        <v/>
      </c>
      <c r="B489" s="181"/>
      <c r="C489" s="184"/>
      <c r="D489" s="184"/>
      <c r="E489" s="184"/>
      <c r="F489" s="408"/>
      <c r="G489" s="184"/>
      <c r="H489" s="184"/>
      <c r="I489" s="408"/>
      <c r="J489" s="184"/>
      <c r="K489" s="184"/>
      <c r="L489" s="184"/>
      <c r="M489" s="408"/>
      <c r="N489" s="184"/>
      <c r="O489" s="184"/>
      <c r="P489" s="184"/>
      <c r="Q489" s="408"/>
      <c r="R489" s="408"/>
      <c r="S489" s="408"/>
      <c r="T489" s="411"/>
      <c r="U489" s="411"/>
      <c r="V489" s="413"/>
      <c r="W489" s="184"/>
      <c r="X489" s="184"/>
      <c r="Y489" s="184"/>
      <c r="Z489" s="414">
        <f>+SUM(START:END!Z490)</f>
        <v>0</v>
      </c>
      <c r="AA489" s="184"/>
      <c r="AB489" s="184">
        <f t="shared" ref="AB489:AB496" si="237">IF(AC489=0,0,AC489/(G$13+G$97))</f>
        <v>0</v>
      </c>
      <c r="AC489" s="415">
        <f>+SUM(START:END!AC490)</f>
        <v>0</v>
      </c>
      <c r="AD489" s="184"/>
      <c r="AE489" s="184"/>
      <c r="AF489" s="414">
        <f>+SUM(START:END!AF490)</f>
        <v>0</v>
      </c>
      <c r="AG489" s="184"/>
      <c r="AH489" s="414">
        <f t="shared" ref="AH489:AH495" si="238">AF489-Z489</f>
        <v>0</v>
      </c>
      <c r="AI489" s="415">
        <f t="shared" ref="AI489:AI496" si="239">IF(Z489=0,0,AH489/Z489)</f>
        <v>0</v>
      </c>
      <c r="AJ489" s="184"/>
      <c r="AK489" s="184">
        <f t="shared" ref="AK489:AK496" si="240">AL489/(O$13+O$97)</f>
        <v>0</v>
      </c>
      <c r="AL489" s="414">
        <f>+SUM(START:END!AL490)</f>
        <v>0</v>
      </c>
      <c r="AM489" s="416"/>
      <c r="AN489" s="26">
        <f t="shared" ref="AN489:AN496" si="241">AF489-AL489</f>
        <v>0</v>
      </c>
      <c r="AO489" s="417">
        <f t="shared" ref="AO489:AO496" si="242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5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127944</v>
      </c>
      <c r="AB490" s="31">
        <f t="shared" si="237"/>
        <v>0</v>
      </c>
      <c r="AC490" s="24">
        <f>+SUM(START:END!AC491)</f>
        <v>0</v>
      </c>
      <c r="AE490" s="31"/>
      <c r="AF490" s="24">
        <f>+SUM(START:END!AF491)</f>
        <v>127944</v>
      </c>
      <c r="AG490" s="174"/>
      <c r="AH490" s="24">
        <f t="shared" si="238"/>
        <v>0</v>
      </c>
      <c r="AI490" s="48">
        <f t="shared" si="239"/>
        <v>0</v>
      </c>
      <c r="AK490" s="174">
        <f t="shared" si="240"/>
        <v>69.142335766423358</v>
      </c>
      <c r="AL490" s="24">
        <f>+SUM(START:END!AL491)</f>
        <v>18945</v>
      </c>
      <c r="AM490" s="28"/>
      <c r="AN490" s="26">
        <f t="shared" si="241"/>
        <v>108999</v>
      </c>
      <c r="AO490" s="33">
        <f t="shared" si="242"/>
        <v>5.7534441805225649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5"/>
        <v>Intérêts sur marge</v>
      </c>
      <c r="B491" s="181"/>
      <c r="C491" s="184"/>
      <c r="D491" s="184"/>
      <c r="E491" s="184"/>
      <c r="F491" s="408"/>
      <c r="G491" s="184"/>
      <c r="H491" s="184"/>
      <c r="I491" s="408"/>
      <c r="J491" s="184"/>
      <c r="K491" s="184"/>
      <c r="L491" s="184"/>
      <c r="M491" s="408"/>
      <c r="N491" s="184"/>
      <c r="O491" s="184"/>
      <c r="P491" s="184"/>
      <c r="Q491" s="408"/>
      <c r="R491" s="408"/>
      <c r="S491" s="408"/>
      <c r="T491" s="184"/>
      <c r="U491" s="184"/>
      <c r="V491" s="1" t="s">
        <v>188</v>
      </c>
      <c r="Z491" s="24">
        <f>+SUM(START:END!Z492)</f>
        <v>0</v>
      </c>
      <c r="AB491" s="23">
        <f t="shared" si="237"/>
        <v>0</v>
      </c>
      <c r="AC491" s="24">
        <f>+SUM(START:END!AC492)</f>
        <v>0</v>
      </c>
      <c r="AF491" s="24">
        <f>+SUM(START:END!AF492)</f>
        <v>0</v>
      </c>
      <c r="AH491" s="24">
        <f t="shared" si="238"/>
        <v>0</v>
      </c>
      <c r="AI491" s="48">
        <f t="shared" si="239"/>
        <v>0</v>
      </c>
      <c r="AK491" s="23">
        <f t="shared" si="240"/>
        <v>0</v>
      </c>
      <c r="AL491" s="24">
        <f>+SUM(START:END!AL492)</f>
        <v>0</v>
      </c>
      <c r="AM491" s="76"/>
      <c r="AN491" s="26">
        <f t="shared" si="241"/>
        <v>0</v>
      </c>
      <c r="AO491" s="33">
        <f t="shared" si="242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5"/>
        <v>Intérêts sur prêt</v>
      </c>
      <c r="B492" s="181"/>
      <c r="C492" s="184"/>
      <c r="D492" s="184"/>
      <c r="E492" s="184"/>
      <c r="F492" s="408"/>
      <c r="G492" s="184"/>
      <c r="H492" s="184"/>
      <c r="I492" s="408"/>
      <c r="J492" s="184"/>
      <c r="K492" s="184"/>
      <c r="L492" s="184"/>
      <c r="M492" s="408"/>
      <c r="N492" s="184"/>
      <c r="O492" s="184"/>
      <c r="P492" s="184"/>
      <c r="Q492" s="408"/>
      <c r="R492" s="408"/>
      <c r="S492" s="408"/>
      <c r="T492" s="184"/>
      <c r="U492" s="184"/>
      <c r="V492" s="1" t="s">
        <v>189</v>
      </c>
      <c r="Z492" s="24">
        <f>+SUM(START:END!Z493)</f>
        <v>0</v>
      </c>
      <c r="AB492" s="23">
        <f t="shared" si="237"/>
        <v>0</v>
      </c>
      <c r="AC492" s="24">
        <f>+SUM(START:END!AC493)</f>
        <v>0</v>
      </c>
      <c r="AF492" s="24">
        <f>+SUM(START:END!AF493)</f>
        <v>0</v>
      </c>
      <c r="AH492" s="24">
        <f t="shared" si="238"/>
        <v>0</v>
      </c>
      <c r="AI492" s="48">
        <f t="shared" si="239"/>
        <v>0</v>
      </c>
      <c r="AK492" s="174">
        <f t="shared" si="240"/>
        <v>-3.3467883211678831</v>
      </c>
      <c r="AL492" s="24">
        <f>+SUM(START:END!AL493)</f>
        <v>-917.02</v>
      </c>
      <c r="AM492" s="76"/>
      <c r="AN492" s="26">
        <f t="shared" si="241"/>
        <v>917.02</v>
      </c>
      <c r="AO492" s="33">
        <f t="shared" si="242"/>
        <v>-1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5"/>
        <v>Intérêts sur avance</v>
      </c>
      <c r="B493" s="181"/>
      <c r="C493" s="184"/>
      <c r="D493" s="184"/>
      <c r="E493" s="184"/>
      <c r="F493" s="408"/>
      <c r="G493" s="184"/>
      <c r="H493" s="184"/>
      <c r="I493" s="408"/>
      <c r="J493" s="184"/>
      <c r="K493" s="184"/>
      <c r="L493" s="184"/>
      <c r="M493" s="408"/>
      <c r="N493" s="184"/>
      <c r="O493" s="184"/>
      <c r="P493" s="184"/>
      <c r="Q493" s="408"/>
      <c r="R493" s="408"/>
      <c r="S493" s="408"/>
      <c r="T493" s="184"/>
      <c r="U493" s="184"/>
      <c r="V493" s="1" t="s">
        <v>190</v>
      </c>
      <c r="Z493" s="24">
        <f>+SUM(START:END!Z494)</f>
        <v>0</v>
      </c>
      <c r="AB493" s="23">
        <f t="shared" si="237"/>
        <v>0</v>
      </c>
      <c r="AC493" s="24">
        <f>+SUM(START:END!AC494)</f>
        <v>0</v>
      </c>
      <c r="AF493" s="24">
        <f>+SUM(START:END!AF494)</f>
        <v>0</v>
      </c>
      <c r="AH493" s="24">
        <f t="shared" si="238"/>
        <v>0</v>
      </c>
      <c r="AI493" s="48">
        <f t="shared" si="239"/>
        <v>0</v>
      </c>
      <c r="AK493" s="23">
        <f t="shared" si="240"/>
        <v>0</v>
      </c>
      <c r="AL493" s="24">
        <f>+SUM(START:END!AL494)</f>
        <v>0</v>
      </c>
      <c r="AM493" s="76"/>
      <c r="AN493" s="26">
        <f t="shared" si="241"/>
        <v>0</v>
      </c>
      <c r="AO493" s="33">
        <f t="shared" si="242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5"/>
        <v>[...]</v>
      </c>
      <c r="B494" s="181"/>
      <c r="C494" s="184"/>
      <c r="D494" s="184"/>
      <c r="E494" s="184"/>
      <c r="F494" s="408"/>
      <c r="G494" s="184"/>
      <c r="H494" s="184"/>
      <c r="I494" s="408"/>
      <c r="J494" s="184"/>
      <c r="K494" s="184"/>
      <c r="L494" s="184"/>
      <c r="M494" s="408"/>
      <c r="N494" s="184"/>
      <c r="O494" s="184"/>
      <c r="P494" s="184"/>
      <c r="Q494" s="408"/>
      <c r="R494" s="408"/>
      <c r="S494" s="408"/>
      <c r="T494" s="184"/>
      <c r="U494" s="184"/>
      <c r="V494" s="152" t="s">
        <v>20</v>
      </c>
      <c r="Z494" s="24">
        <f>+SUM(START:END!Z495)</f>
        <v>0</v>
      </c>
      <c r="AB494" s="23">
        <f t="shared" si="237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8"/>
        <v>0</v>
      </c>
      <c r="AI494" s="48">
        <f t="shared" si="239"/>
        <v>0</v>
      </c>
      <c r="AK494" s="23">
        <f t="shared" si="240"/>
        <v>0</v>
      </c>
      <c r="AL494" s="24">
        <f>+SUM(START:END!AL495)</f>
        <v>0</v>
      </c>
      <c r="AM494" s="418"/>
      <c r="AN494" s="26">
        <f t="shared" si="241"/>
        <v>0</v>
      </c>
      <c r="AO494" s="33">
        <f t="shared" si="242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5"/>
        <v>Revenus d'intérêts floor plan</v>
      </c>
      <c r="B495" s="181"/>
      <c r="C495" s="184"/>
      <c r="D495" s="184"/>
      <c r="E495" s="184"/>
      <c r="F495" s="408"/>
      <c r="G495" s="184"/>
      <c r="H495" s="184"/>
      <c r="I495" s="408"/>
      <c r="J495" s="184"/>
      <c r="K495" s="184"/>
      <c r="L495" s="184"/>
      <c r="M495" s="408"/>
      <c r="N495" s="184"/>
      <c r="O495" s="184"/>
      <c r="P495" s="184"/>
      <c r="Q495" s="408"/>
      <c r="R495" s="408"/>
      <c r="S495" s="408"/>
      <c r="T495" s="184"/>
      <c r="U495" s="184"/>
      <c r="V495" s="152" t="s">
        <v>216</v>
      </c>
      <c r="Z495" s="24">
        <f>+SUM(START:END!Z496)</f>
        <v>-3237.5</v>
      </c>
      <c r="AB495" s="23">
        <f t="shared" si="237"/>
        <v>0</v>
      </c>
      <c r="AC495" s="24">
        <f>+SUM(START:END!AC496)</f>
        <v>0</v>
      </c>
      <c r="AF495" s="24">
        <f>+SUM(START:END!AF496)</f>
        <v>-3237</v>
      </c>
      <c r="AH495" s="24">
        <f t="shared" si="238"/>
        <v>0.5</v>
      </c>
      <c r="AI495" s="48">
        <f t="shared" si="239"/>
        <v>-1.5444015444015445E-4</v>
      </c>
      <c r="AK495" s="23">
        <f t="shared" si="240"/>
        <v>-48.239014598540145</v>
      </c>
      <c r="AL495" s="24">
        <f>+SUM(START:END!AL496)</f>
        <v>-13217.49</v>
      </c>
      <c r="AM495" s="76"/>
      <c r="AN495" s="26">
        <f t="shared" si="241"/>
        <v>9980.49</v>
      </c>
      <c r="AO495" s="33">
        <f t="shared" si="242"/>
        <v>-0.75509722345165387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5"/>
        <v>[...]</v>
      </c>
      <c r="B496" s="181"/>
      <c r="C496" s="184"/>
      <c r="D496" s="184"/>
      <c r="E496" s="184"/>
      <c r="F496" s="408"/>
      <c r="G496" s="184"/>
      <c r="H496" s="184"/>
      <c r="I496" s="408"/>
      <c r="J496" s="184"/>
      <c r="K496" s="184"/>
      <c r="L496" s="184"/>
      <c r="M496" s="408"/>
      <c r="N496" s="184"/>
      <c r="O496" s="184"/>
      <c r="P496" s="184"/>
      <c r="Q496" s="408"/>
      <c r="R496" s="408"/>
      <c r="S496" s="408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7"/>
        <v>0</v>
      </c>
      <c r="AC496" s="24">
        <f>+SUM(START:END!AC497)</f>
        <v>0</v>
      </c>
      <c r="AE496" s="23">
        <f t="shared" ref="AE496" si="243">IF(AF496=0,0,AF496/(J$13+J$97))</f>
        <v>0</v>
      </c>
      <c r="AF496" s="24">
        <f>+SUM(START:END!AF497)</f>
        <v>0</v>
      </c>
      <c r="AG496" s="23">
        <f t="shared" ref="AG496" si="244">AE496-AB496</f>
        <v>0</v>
      </c>
      <c r="AH496" s="26">
        <f t="shared" ref="AH496" si="245">AF496-AC496</f>
        <v>0</v>
      </c>
      <c r="AI496" s="48">
        <f t="shared" si="239"/>
        <v>0</v>
      </c>
      <c r="AK496" s="23">
        <f t="shared" si="240"/>
        <v>0</v>
      </c>
      <c r="AL496" s="24">
        <f>+SUM(START:END!AL497)</f>
        <v>0</v>
      </c>
      <c r="AM496" s="76">
        <f>AE496-AK496</f>
        <v>0</v>
      </c>
      <c r="AN496" s="26">
        <f t="shared" si="241"/>
        <v>0</v>
      </c>
      <c r="AO496" s="33">
        <f t="shared" si="242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5"/>
        <v>Profit Net</v>
      </c>
      <c r="B497" s="181"/>
      <c r="C497" s="184"/>
      <c r="D497" s="184"/>
      <c r="E497" s="184"/>
      <c r="F497" s="408"/>
      <c r="G497" s="184"/>
      <c r="H497" s="184"/>
      <c r="I497" s="408"/>
      <c r="J497" s="184"/>
      <c r="K497" s="184"/>
      <c r="L497" s="184"/>
      <c r="M497" s="408"/>
      <c r="N497" s="184"/>
      <c r="O497" s="184"/>
      <c r="P497" s="184"/>
      <c r="Q497" s="408"/>
      <c r="R497" s="408"/>
      <c r="S497" s="408"/>
      <c r="T497" s="184"/>
      <c r="U497" s="184"/>
      <c r="V497" s="104" t="s">
        <v>191</v>
      </c>
      <c r="W497" s="105"/>
      <c r="X497" s="106" t="s">
        <v>185</v>
      </c>
      <c r="Y497" s="107">
        <f>Z497/Z405</f>
        <v>2.3438605752725411E-2</v>
      </c>
      <c r="Z497" s="108">
        <f>Z488-Z490-Z491-Z492-Z496-Z493-Z494-Z495</f>
        <v>423860.66146591958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2.4080944743249729E-2</v>
      </c>
      <c r="AF497" s="108">
        <f>AF488-AF490-AF491-AF492-AF496-AF493-AF494-AF495</f>
        <v>357447.45000000042</v>
      </c>
      <c r="AG497" s="110"/>
      <c r="AH497" s="108">
        <f>AH488-AH490-AH491-AH492-AH496-AH493-AH494-AH495</f>
        <v>-66413.211465919157</v>
      </c>
      <c r="AI497" s="111">
        <f>AH497/Z497</f>
        <v>-0.15668642434574953</v>
      </c>
      <c r="AJ497" s="112" t="s">
        <v>185</v>
      </c>
      <c r="AK497" s="107">
        <f>IF($AL$405=0,0,AL497/$AL$405)</f>
        <v>2.1986476521344018E-2</v>
      </c>
      <c r="AL497" s="108">
        <f>AL488-AL490-AL491-AL492-AL496-AL493-AL494-AL495</f>
        <v>361195.18999999855</v>
      </c>
      <c r="AM497" s="113"/>
      <c r="AN497" s="109">
        <f>AN488-AN490-AN491-AN492-AN496-AN493-AN494-AN495</f>
        <v>-3747.7399999981189</v>
      </c>
      <c r="AO497" s="126">
        <f>IF(AL497=0,0,AN497/AL497)</f>
        <v>-1.0375941052808965E-2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5"/>
        <v/>
      </c>
      <c r="B498" s="181"/>
      <c r="C498" s="184"/>
      <c r="D498" s="184"/>
      <c r="E498" s="184"/>
      <c r="F498" s="408"/>
      <c r="G498" s="184"/>
      <c r="H498" s="184"/>
      <c r="I498" s="408"/>
      <c r="J498" s="184"/>
      <c r="K498" s="184"/>
      <c r="L498" s="184"/>
      <c r="M498" s="408"/>
      <c r="N498" s="184"/>
      <c r="O498" s="184"/>
      <c r="P498" s="184"/>
      <c r="Q498" s="408"/>
      <c r="R498" s="408"/>
      <c r="S498" s="408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19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8"/>
      <c r="G499" s="184"/>
      <c r="H499" s="184"/>
      <c r="I499" s="408"/>
      <c r="J499" s="184"/>
      <c r="K499" s="184"/>
      <c r="L499" s="184"/>
      <c r="M499" s="408"/>
      <c r="N499" s="184"/>
      <c r="O499" s="184"/>
      <c r="P499" s="184"/>
      <c r="Q499" s="408"/>
      <c r="R499" s="408"/>
      <c r="S499" s="408"/>
      <c r="T499" s="184"/>
      <c r="U499" s="184"/>
      <c r="V499" s="184"/>
      <c r="W499" s="184"/>
      <c r="X499" s="184"/>
      <c r="Y499" s="184"/>
      <c r="Z499" s="408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hidden="1" customHeight="1">
      <c r="B500" s="181"/>
      <c r="C500" s="184"/>
      <c r="D500" s="184"/>
      <c r="E500" s="184"/>
      <c r="F500" s="408"/>
      <c r="G500" s="184"/>
      <c r="H500" s="184"/>
      <c r="I500" s="408"/>
      <c r="J500" s="184"/>
      <c r="K500" s="184"/>
      <c r="L500" s="184"/>
      <c r="M500" s="408"/>
      <c r="N500" s="184"/>
      <c r="O500" s="184"/>
      <c r="P500" s="184"/>
      <c r="Q500" s="408"/>
      <c r="R500" s="408"/>
      <c r="S500" s="408"/>
      <c r="T500" s="411"/>
      <c r="U500" s="411"/>
      <c r="V500" s="184"/>
      <c r="W500" s="184"/>
      <c r="X500" s="184"/>
      <c r="Y500" s="184"/>
      <c r="Z500" s="408" t="e">
        <f>+#REF!+#REF!+#REF!</f>
        <v>#REF!</v>
      </c>
      <c r="AA500" s="184"/>
      <c r="AB500" s="184"/>
      <c r="AC500" s="184"/>
      <c r="AD500" s="184"/>
      <c r="AE500" s="184"/>
      <c r="AF500" s="408" t="e">
        <f>+#REF!+#REF!+#REF!</f>
        <v>#REF!</v>
      </c>
      <c r="AG500" s="184"/>
      <c r="AH500" s="408" t="e">
        <f>+#REF!+#REF!+#REF!</f>
        <v>#REF!</v>
      </c>
      <c r="AI500" s="184"/>
      <c r="AJ500" s="184"/>
      <c r="AK500" s="184"/>
      <c r="AL500" s="408" t="e">
        <f>+#REF!+#REF!+#REF!</f>
        <v>#REF!</v>
      </c>
      <c r="AM500" s="184"/>
      <c r="AN500" s="408" t="e">
        <f>+#REF!+#REF!+#REF!</f>
        <v>#REF!</v>
      </c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hidden="1" customHeight="1">
      <c r="B501" s="181"/>
      <c r="C501" s="184"/>
      <c r="D501" s="184"/>
      <c r="E501" s="184"/>
      <c r="F501" s="408"/>
      <c r="G501" s="184"/>
      <c r="H501" s="184"/>
      <c r="I501" s="408"/>
      <c r="J501" s="184"/>
      <c r="K501" s="184"/>
      <c r="L501" s="184"/>
      <c r="M501" s="408"/>
      <c r="N501" s="184"/>
      <c r="O501" s="184"/>
      <c r="P501" s="184"/>
      <c r="Q501" s="408"/>
      <c r="R501" s="408"/>
      <c r="S501" s="408"/>
      <c r="T501" s="411"/>
      <c r="U501" s="411"/>
      <c r="V501" s="184"/>
      <c r="W501" s="184"/>
      <c r="X501" s="184"/>
      <c r="Y501" s="184"/>
      <c r="Z501" s="408" t="e">
        <f>+Z500-Z497</f>
        <v>#REF!</v>
      </c>
      <c r="AA501" s="184"/>
      <c r="AB501" s="184"/>
      <c r="AC501" s="184"/>
      <c r="AD501" s="184"/>
      <c r="AE501" s="184"/>
      <c r="AF501" s="408" t="e">
        <f>+AF500-AF497</f>
        <v>#REF!</v>
      </c>
      <c r="AG501" s="184"/>
      <c r="AH501" s="408" t="e">
        <f>+AH500-AH497</f>
        <v>#REF!</v>
      </c>
      <c r="AI501" s="184"/>
      <c r="AJ501" s="184"/>
      <c r="AK501" s="184"/>
      <c r="AL501" s="408" t="e">
        <f>+AL500-AL497</f>
        <v>#REF!</v>
      </c>
      <c r="AM501" s="184"/>
      <c r="AN501" s="408" t="e">
        <f>+AN500-AN497</f>
        <v>#REF!</v>
      </c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8"/>
      <c r="G502" s="184"/>
      <c r="H502" s="184"/>
      <c r="I502" s="408"/>
      <c r="J502" s="184"/>
      <c r="K502" s="184"/>
      <c r="L502" s="184"/>
      <c r="M502" s="408"/>
      <c r="N502" s="184"/>
      <c r="O502" s="184"/>
      <c r="P502" s="184"/>
      <c r="Q502" s="408"/>
      <c r="R502" s="408"/>
      <c r="S502" s="408"/>
      <c r="T502" s="411"/>
      <c r="U502" s="411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8"/>
      <c r="AG502" s="184"/>
      <c r="AH502" s="184"/>
      <c r="AI502" s="408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8"/>
      <c r="G503" s="184"/>
      <c r="H503" s="184"/>
      <c r="I503" s="408"/>
      <c r="J503" s="184"/>
      <c r="K503" s="184"/>
      <c r="L503" s="184"/>
      <c r="M503" s="408"/>
      <c r="N503" s="184"/>
      <c r="O503" s="184"/>
      <c r="P503" s="184"/>
      <c r="Q503" s="408"/>
      <c r="R503" s="408"/>
      <c r="S503" s="408"/>
      <c r="T503" s="411"/>
      <c r="U503" s="411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8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8"/>
      <c r="G504" s="184"/>
      <c r="H504" s="184"/>
      <c r="I504" s="408"/>
      <c r="J504" s="184"/>
      <c r="K504" s="184"/>
      <c r="L504" s="184"/>
      <c r="M504" s="408"/>
      <c r="N504" s="184"/>
      <c r="O504" s="184"/>
      <c r="P504" s="184"/>
      <c r="Q504" s="408"/>
      <c r="R504" s="408"/>
      <c r="S504" s="408"/>
      <c r="T504" s="411"/>
      <c r="U504" s="411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8"/>
      <c r="G505" s="184"/>
      <c r="H505" s="184"/>
      <c r="I505" s="408"/>
      <c r="J505" s="184"/>
      <c r="K505" s="184"/>
      <c r="L505" s="184"/>
      <c r="M505" s="408"/>
      <c r="N505" s="184"/>
      <c r="O505" s="184"/>
      <c r="P505" s="184"/>
      <c r="Q505" s="408"/>
      <c r="R505" s="408"/>
      <c r="S505" s="408"/>
      <c r="T505" s="411"/>
      <c r="U505" s="411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08"/>
      <c r="AG505" s="184"/>
      <c r="AH505" s="184"/>
      <c r="AI505" s="184"/>
      <c r="AJ505" s="184"/>
      <c r="AK505" s="184"/>
      <c r="AL505" s="408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8"/>
      <c r="G506" s="184"/>
      <c r="H506" s="184"/>
      <c r="I506" s="408"/>
      <c r="J506" s="184"/>
      <c r="K506" s="184"/>
      <c r="L506" s="184"/>
      <c r="M506" s="408"/>
      <c r="N506" s="184"/>
      <c r="O506" s="184"/>
      <c r="P506" s="184"/>
      <c r="Q506" s="408"/>
      <c r="R506" s="408"/>
      <c r="S506" s="408"/>
      <c r="T506" s="411"/>
      <c r="U506" s="411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8"/>
      <c r="G507" s="184"/>
      <c r="H507" s="184"/>
      <c r="I507" s="408"/>
      <c r="J507" s="184"/>
      <c r="K507" s="184"/>
      <c r="L507" s="184"/>
      <c r="M507" s="408"/>
      <c r="N507" s="184"/>
      <c r="O507" s="184"/>
      <c r="P507" s="184"/>
      <c r="Q507" s="408"/>
      <c r="R507" s="408"/>
      <c r="S507" s="408"/>
      <c r="T507" s="411"/>
      <c r="U507" s="411"/>
      <c r="V507" s="184"/>
      <c r="W507" s="411"/>
      <c r="X507" s="411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8"/>
      <c r="G508" s="184"/>
      <c r="H508" s="184"/>
      <c r="I508" s="408"/>
      <c r="J508" s="184"/>
      <c r="K508" s="184"/>
      <c r="L508" s="184"/>
      <c r="M508" s="408"/>
      <c r="N508" s="184"/>
      <c r="O508" s="184"/>
      <c r="P508" s="184"/>
      <c r="Q508" s="408"/>
      <c r="R508" s="408"/>
      <c r="S508" s="408"/>
      <c r="T508" s="411"/>
      <c r="U508" s="411"/>
      <c r="V508" s="184"/>
      <c r="W508" s="411"/>
      <c r="X508" s="411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8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8"/>
      <c r="G509" s="184"/>
      <c r="H509" s="184"/>
      <c r="I509" s="408"/>
      <c r="J509" s="184"/>
      <c r="K509" s="184"/>
      <c r="L509" s="184"/>
      <c r="M509" s="408"/>
      <c r="N509" s="184"/>
      <c r="O509" s="184"/>
      <c r="P509" s="184"/>
      <c r="Q509" s="408"/>
      <c r="R509" s="408"/>
      <c r="S509" s="408"/>
      <c r="T509" s="411"/>
      <c r="U509" s="411"/>
      <c r="V509" s="184"/>
      <c r="W509" s="411"/>
      <c r="X509" s="411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8"/>
      <c r="G510" s="184"/>
      <c r="H510" s="184"/>
      <c r="I510" s="408"/>
      <c r="J510" s="184"/>
      <c r="K510" s="184"/>
      <c r="L510" s="184"/>
      <c r="M510" s="408"/>
      <c r="N510" s="184"/>
      <c r="O510" s="184"/>
      <c r="P510" s="184"/>
      <c r="Q510" s="408"/>
      <c r="R510" s="408"/>
      <c r="S510" s="408"/>
      <c r="T510" s="411"/>
      <c r="U510" s="411"/>
      <c r="V510" s="184"/>
      <c r="W510" s="411"/>
      <c r="X510" s="411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8"/>
      <c r="G511" s="184"/>
      <c r="H511" s="184"/>
      <c r="I511" s="408"/>
      <c r="J511" s="184"/>
      <c r="K511" s="184"/>
      <c r="L511" s="184"/>
      <c r="M511" s="408"/>
      <c r="N511" s="184"/>
      <c r="O511" s="184"/>
      <c r="P511" s="184"/>
      <c r="Q511" s="408"/>
      <c r="R511" s="408"/>
      <c r="S511" s="408"/>
      <c r="T511" s="411"/>
      <c r="U511" s="411"/>
      <c r="V511" s="184"/>
      <c r="W511" s="411"/>
      <c r="X511" s="411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8"/>
      <c r="G512" s="184"/>
      <c r="H512" s="184"/>
      <c r="I512" s="408"/>
      <c r="J512" s="184"/>
      <c r="K512" s="184"/>
      <c r="L512" s="184"/>
      <c r="M512" s="408"/>
      <c r="N512" s="184"/>
      <c r="O512" s="184"/>
      <c r="P512" s="184"/>
      <c r="Q512" s="408"/>
      <c r="R512" s="408"/>
      <c r="S512" s="408"/>
      <c r="T512" s="411"/>
      <c r="U512" s="411"/>
      <c r="V512" s="411"/>
      <c r="W512" s="411"/>
      <c r="X512" s="411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0"/>
      <c r="D513" s="411"/>
      <c r="E513" s="411"/>
      <c r="F513" s="421"/>
      <c r="G513" s="411"/>
      <c r="H513" s="411"/>
      <c r="I513" s="421"/>
      <c r="J513" s="411"/>
      <c r="K513" s="411"/>
      <c r="L513" s="411"/>
      <c r="M513" s="421"/>
      <c r="N513" s="411"/>
      <c r="O513" s="411"/>
      <c r="P513" s="411"/>
      <c r="Q513" s="421"/>
      <c r="R513" s="421"/>
      <c r="S513" s="421"/>
      <c r="T513" s="411"/>
      <c r="U513" s="411"/>
      <c r="V513" s="411"/>
      <c r="W513" s="411"/>
      <c r="X513" s="411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2"/>
      <c r="D514" s="411"/>
      <c r="E514" s="411"/>
      <c r="F514" s="421"/>
      <c r="G514" s="411"/>
      <c r="H514" s="411"/>
      <c r="I514" s="421"/>
      <c r="J514" s="411"/>
      <c r="K514" s="411"/>
      <c r="L514" s="411"/>
      <c r="M514" s="421"/>
      <c r="N514" s="411"/>
      <c r="O514" s="411"/>
      <c r="P514" s="411"/>
      <c r="Q514" s="421"/>
      <c r="R514" s="421"/>
      <c r="S514" s="421"/>
      <c r="T514" s="411"/>
      <c r="U514" s="411"/>
      <c r="V514" s="411"/>
      <c r="W514" s="411"/>
      <c r="X514" s="411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1"/>
      <c r="D515" s="411"/>
      <c r="E515" s="411"/>
      <c r="F515" s="421"/>
      <c r="G515" s="411"/>
      <c r="H515" s="411"/>
      <c r="I515" s="421"/>
      <c r="J515" s="411"/>
      <c r="K515" s="411"/>
      <c r="L515" s="411"/>
      <c r="M515" s="421"/>
      <c r="N515" s="411"/>
      <c r="O515" s="411"/>
      <c r="P515" s="411"/>
      <c r="Q515" s="421"/>
      <c r="R515" s="421"/>
      <c r="S515" s="421"/>
      <c r="T515" s="411"/>
      <c r="U515" s="411"/>
      <c r="V515" s="411"/>
      <c r="W515" s="411"/>
      <c r="X515" s="411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1"/>
      <c r="D516" s="411"/>
      <c r="E516" s="411"/>
      <c r="F516" s="411"/>
      <c r="G516" s="411"/>
      <c r="H516" s="411"/>
      <c r="I516" s="411"/>
      <c r="J516" s="420"/>
      <c r="K516" s="420"/>
      <c r="L516" s="420"/>
      <c r="M516" s="421"/>
      <c r="N516" s="411"/>
      <c r="O516" s="411"/>
      <c r="P516" s="411"/>
      <c r="Q516" s="411"/>
      <c r="R516" s="411"/>
      <c r="S516" s="421"/>
      <c r="T516" s="411"/>
      <c r="U516" s="411"/>
      <c r="V516" s="411"/>
      <c r="W516" s="411"/>
      <c r="X516" s="411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21"/>
      <c r="N517" s="411"/>
      <c r="O517" s="411"/>
      <c r="P517" s="411"/>
      <c r="Q517" s="411"/>
      <c r="R517" s="411"/>
      <c r="S517" s="421"/>
      <c r="T517" s="411"/>
      <c r="U517" s="411"/>
      <c r="V517" s="411"/>
      <c r="W517" s="411"/>
      <c r="X517" s="411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21"/>
      <c r="N518" s="411"/>
      <c r="O518" s="411"/>
      <c r="P518" s="411"/>
      <c r="Q518" s="411"/>
      <c r="R518" s="411"/>
      <c r="S518" s="421"/>
      <c r="T518" s="411"/>
      <c r="U518" s="411"/>
      <c r="V518" s="411"/>
      <c r="W518" s="411"/>
      <c r="X518" s="411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21"/>
      <c r="N519" s="411"/>
      <c r="O519" s="411"/>
      <c r="P519" s="411"/>
      <c r="Q519" s="411"/>
      <c r="R519" s="411"/>
      <c r="S519" s="421"/>
      <c r="T519" s="411"/>
      <c r="U519" s="411"/>
      <c r="V519" s="411"/>
      <c r="W519" s="411"/>
      <c r="X519" s="411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2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1"/>
      <c r="D521" s="411"/>
      <c r="E521" s="411"/>
      <c r="F521" s="411"/>
      <c r="G521" s="411"/>
      <c r="H521" s="411"/>
      <c r="I521" s="411"/>
      <c r="J521" s="420"/>
      <c r="K521" s="420"/>
      <c r="L521" s="420"/>
      <c r="M521" s="423"/>
      <c r="N521" s="420"/>
      <c r="O521" s="420"/>
      <c r="P521" s="420"/>
      <c r="Q521" s="411"/>
      <c r="R521" s="411"/>
      <c r="S521" s="420"/>
      <c r="T521" s="411"/>
      <c r="U521" s="411"/>
      <c r="V521" s="411"/>
      <c r="W521" s="411"/>
      <c r="X521" s="411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24"/>
      <c r="R525" s="424"/>
      <c r="S525" s="424"/>
      <c r="T525" s="411"/>
      <c r="U525" s="411"/>
      <c r="V525" s="411"/>
      <c r="W525" s="411"/>
      <c r="X525" s="411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25"/>
      <c r="R526" s="411"/>
      <c r="S526" s="411"/>
      <c r="T526" s="411"/>
      <c r="U526" s="411"/>
      <c r="V526" s="411"/>
      <c r="W526" s="411"/>
      <c r="X526" s="411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1"/>
      <c r="D527" s="411"/>
      <c r="E527" s="411"/>
      <c r="F527" s="411"/>
      <c r="G527" s="411"/>
      <c r="H527" s="411"/>
      <c r="I527" s="411"/>
      <c r="J527" s="411"/>
      <c r="K527" s="411"/>
      <c r="L527" s="426"/>
      <c r="M527" s="427"/>
      <c r="N527" s="427"/>
      <c r="O527" s="411"/>
      <c r="P527" s="426"/>
      <c r="Q527" s="427"/>
      <c r="R527" s="427"/>
      <c r="S527" s="426"/>
      <c r="T527" s="411"/>
      <c r="U527" s="411"/>
      <c r="V527" s="411"/>
      <c r="W527" s="411"/>
      <c r="X527" s="411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1"/>
      <c r="D528" s="411"/>
      <c r="E528" s="426"/>
      <c r="F528" s="428"/>
      <c r="G528" s="411"/>
      <c r="H528" s="426"/>
      <c r="I528" s="428"/>
      <c r="J528" s="427"/>
      <c r="K528" s="420"/>
      <c r="L528" s="426"/>
      <c r="M528" s="427"/>
      <c r="N528" s="427"/>
      <c r="O528" s="420"/>
      <c r="P528" s="426"/>
      <c r="Q528" s="427"/>
      <c r="R528" s="427"/>
      <c r="S528" s="426"/>
      <c r="T528" s="411"/>
      <c r="U528" s="411"/>
      <c r="V528" s="411"/>
      <c r="W528" s="411"/>
      <c r="X528" s="411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1"/>
      <c r="D529" s="429"/>
      <c r="E529" s="428"/>
      <c r="F529" s="428"/>
      <c r="G529" s="429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S529" s="428"/>
      <c r="T529" s="411"/>
      <c r="U529" s="411"/>
      <c r="V529" s="411"/>
      <c r="W529" s="411"/>
      <c r="X529" s="411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0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1"/>
      <c r="D532" s="411"/>
      <c r="E532" s="421"/>
      <c r="F532" s="430"/>
      <c r="G532" s="411"/>
      <c r="H532" s="421"/>
      <c r="I532" s="430"/>
      <c r="J532" s="430"/>
      <c r="K532" s="421"/>
      <c r="L532" s="430"/>
      <c r="M532" s="421"/>
      <c r="N532" s="430"/>
      <c r="O532" s="421"/>
      <c r="P532" s="430"/>
      <c r="Q532" s="421"/>
      <c r="R532" s="421"/>
      <c r="S532" s="421"/>
      <c r="T532" s="411"/>
      <c r="U532" s="411"/>
      <c r="V532" s="411"/>
      <c r="W532" s="411"/>
      <c r="X532" s="411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1"/>
      <c r="D533" s="411"/>
      <c r="E533" s="421"/>
      <c r="F533" s="430"/>
      <c r="G533" s="411"/>
      <c r="H533" s="421"/>
      <c r="I533" s="430"/>
      <c r="J533" s="430"/>
      <c r="K533" s="421"/>
      <c r="L533" s="430"/>
      <c r="M533" s="421"/>
      <c r="N533" s="430"/>
      <c r="O533" s="421"/>
      <c r="P533" s="430"/>
      <c r="Q533" s="421"/>
      <c r="R533" s="421"/>
      <c r="S533" s="421"/>
      <c r="T533" s="411"/>
      <c r="U533" s="411"/>
      <c r="V533" s="411"/>
      <c r="W533" s="411"/>
      <c r="X533" s="411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1"/>
      <c r="D534" s="411"/>
      <c r="E534" s="421"/>
      <c r="F534" s="430"/>
      <c r="G534" s="411"/>
      <c r="H534" s="421"/>
      <c r="I534" s="430"/>
      <c r="J534" s="430"/>
      <c r="K534" s="421"/>
      <c r="L534" s="430"/>
      <c r="M534" s="421"/>
      <c r="N534" s="430"/>
      <c r="O534" s="421"/>
      <c r="P534" s="430"/>
      <c r="Q534" s="421"/>
      <c r="R534" s="421"/>
      <c r="S534" s="421"/>
      <c r="T534" s="411"/>
      <c r="U534" s="411"/>
      <c r="V534" s="411"/>
      <c r="W534" s="411"/>
      <c r="X534" s="411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1"/>
      <c r="D535" s="411"/>
      <c r="E535" s="421"/>
      <c r="F535" s="430"/>
      <c r="G535" s="411"/>
      <c r="H535" s="421"/>
      <c r="I535" s="430"/>
      <c r="J535" s="430"/>
      <c r="K535" s="421"/>
      <c r="L535" s="430"/>
      <c r="M535" s="421"/>
      <c r="N535" s="430"/>
      <c r="O535" s="421"/>
      <c r="P535" s="430"/>
      <c r="Q535" s="421"/>
      <c r="R535" s="421"/>
      <c r="S535" s="421"/>
      <c r="T535" s="411"/>
      <c r="U535" s="411"/>
      <c r="V535" s="411"/>
      <c r="W535" s="411"/>
      <c r="X535" s="411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1"/>
      <c r="D536" s="411"/>
      <c r="E536" s="421"/>
      <c r="F536" s="430"/>
      <c r="G536" s="411"/>
      <c r="H536" s="421"/>
      <c r="I536" s="430"/>
      <c r="J536" s="430"/>
      <c r="K536" s="421"/>
      <c r="L536" s="430"/>
      <c r="M536" s="421"/>
      <c r="N536" s="430"/>
      <c r="O536" s="421"/>
      <c r="P536" s="430"/>
      <c r="Q536" s="421"/>
      <c r="R536" s="421"/>
      <c r="S536" s="411"/>
      <c r="T536" s="411"/>
      <c r="U536" s="411"/>
      <c r="V536" s="411"/>
      <c r="W536" s="411"/>
      <c r="X536" s="411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1"/>
      <c r="D537" s="411"/>
      <c r="E537" s="421"/>
      <c r="F537" s="430"/>
      <c r="G537" s="411"/>
      <c r="H537" s="421"/>
      <c r="I537" s="430"/>
      <c r="J537" s="430"/>
      <c r="K537" s="421"/>
      <c r="L537" s="430"/>
      <c r="M537" s="421"/>
      <c r="N537" s="430"/>
      <c r="O537" s="421"/>
      <c r="P537" s="430"/>
      <c r="Q537" s="421"/>
      <c r="R537" s="421"/>
      <c r="S537" s="421"/>
      <c r="T537" s="411"/>
      <c r="U537" s="411"/>
      <c r="V537" s="411"/>
      <c r="W537" s="411"/>
      <c r="X537" s="411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1"/>
      <c r="D538" s="411"/>
      <c r="E538" s="421"/>
      <c r="F538" s="431"/>
      <c r="G538" s="411"/>
      <c r="H538" s="421"/>
      <c r="I538" s="431"/>
      <c r="J538" s="430"/>
      <c r="K538" s="421"/>
      <c r="L538" s="430"/>
      <c r="M538" s="421"/>
      <c r="N538" s="430"/>
      <c r="O538" s="421"/>
      <c r="P538" s="411"/>
      <c r="Q538" s="411"/>
      <c r="R538" s="421"/>
      <c r="S538" s="421"/>
      <c r="T538" s="411"/>
      <c r="U538" s="411"/>
      <c r="V538" s="411"/>
      <c r="W538" s="411"/>
      <c r="X538" s="411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0"/>
      <c r="D539" s="420"/>
      <c r="E539" s="423"/>
      <c r="F539" s="432"/>
      <c r="G539" s="420"/>
      <c r="H539" s="423"/>
      <c r="I539" s="432"/>
      <c r="J539" s="432"/>
      <c r="K539" s="423"/>
      <c r="L539" s="432"/>
      <c r="M539" s="423"/>
      <c r="N539" s="432"/>
      <c r="O539" s="423"/>
      <c r="P539" s="432"/>
      <c r="Q539" s="423"/>
      <c r="R539" s="423"/>
      <c r="S539" s="420"/>
      <c r="T539" s="411"/>
      <c r="U539" s="411"/>
      <c r="V539" s="411"/>
      <c r="W539" s="411"/>
      <c r="X539" s="411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1"/>
      <c r="D540" s="411"/>
      <c r="E540" s="421"/>
      <c r="F540" s="411"/>
      <c r="G540" s="411"/>
      <c r="H540" s="421"/>
      <c r="I540" s="411"/>
      <c r="J540" s="430"/>
      <c r="K540" s="421"/>
      <c r="L540" s="430"/>
      <c r="M540" s="421"/>
      <c r="N540" s="430"/>
      <c r="O540" s="421"/>
      <c r="P540" s="420"/>
      <c r="Q540" s="432"/>
      <c r="R540" s="432"/>
      <c r="S540" s="411"/>
      <c r="T540" s="411"/>
      <c r="U540" s="411"/>
      <c r="V540" s="411"/>
      <c r="W540" s="411"/>
      <c r="X540" s="411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1"/>
      <c r="D541" s="411"/>
      <c r="E541" s="421"/>
      <c r="F541" s="411"/>
      <c r="G541" s="411"/>
      <c r="H541" s="421"/>
      <c r="I541" s="411"/>
      <c r="J541" s="430"/>
      <c r="K541" s="421"/>
      <c r="L541" s="430"/>
      <c r="M541" s="421"/>
      <c r="N541" s="430"/>
      <c r="O541" s="421"/>
      <c r="P541" s="411"/>
      <c r="Q541" s="411"/>
      <c r="R541" s="421"/>
      <c r="S541" s="411"/>
      <c r="T541" s="411"/>
      <c r="U541" s="411"/>
      <c r="V541" s="411"/>
      <c r="W541" s="411"/>
      <c r="X541" s="411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0"/>
      <c r="D542" s="411"/>
      <c r="E542" s="421"/>
      <c r="F542" s="411"/>
      <c r="G542" s="411"/>
      <c r="H542" s="421"/>
      <c r="I542" s="411"/>
      <c r="J542" s="430"/>
      <c r="K542" s="421"/>
      <c r="L542" s="430"/>
      <c r="M542" s="421"/>
      <c r="N542" s="430"/>
      <c r="O542" s="421"/>
      <c r="P542" s="411"/>
      <c r="Q542" s="411"/>
      <c r="R542" s="421"/>
      <c r="S542" s="411"/>
      <c r="T542" s="411"/>
      <c r="U542" s="411"/>
      <c r="V542" s="411"/>
      <c r="W542" s="411"/>
      <c r="X542" s="411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1"/>
      <c r="D544" s="411"/>
      <c r="E544" s="421"/>
      <c r="F544" s="430"/>
      <c r="G544" s="411"/>
      <c r="H544" s="421"/>
      <c r="I544" s="430"/>
      <c r="J544" s="430"/>
      <c r="K544" s="411"/>
      <c r="L544" s="430"/>
      <c r="M544" s="411"/>
      <c r="N544" s="430"/>
      <c r="O544" s="411"/>
      <c r="P544" s="430"/>
      <c r="Q544" s="421"/>
      <c r="R544" s="421"/>
      <c r="S544" s="411"/>
      <c r="T544" s="411"/>
      <c r="U544" s="411"/>
      <c r="V544" s="411"/>
      <c r="W544" s="411"/>
      <c r="X544" s="411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1"/>
      <c r="D545" s="411"/>
      <c r="E545" s="421"/>
      <c r="F545" s="431"/>
      <c r="G545" s="411"/>
      <c r="H545" s="421"/>
      <c r="I545" s="431"/>
      <c r="J545" s="430"/>
      <c r="K545" s="421"/>
      <c r="L545" s="430"/>
      <c r="M545" s="421"/>
      <c r="N545" s="430"/>
      <c r="O545" s="421"/>
      <c r="P545" s="411"/>
      <c r="Q545" s="430"/>
      <c r="R545" s="430"/>
      <c r="S545" s="421"/>
      <c r="T545" s="411"/>
      <c r="U545" s="411"/>
      <c r="V545" s="411"/>
      <c r="W545" s="411"/>
      <c r="X545" s="411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1"/>
      <c r="D546" s="411"/>
      <c r="E546" s="421"/>
      <c r="F546" s="431"/>
      <c r="G546" s="411"/>
      <c r="H546" s="421"/>
      <c r="I546" s="431"/>
      <c r="J546" s="430"/>
      <c r="K546" s="421"/>
      <c r="L546" s="430"/>
      <c r="M546" s="421"/>
      <c r="N546" s="430"/>
      <c r="O546" s="421"/>
      <c r="P546" s="411"/>
      <c r="Q546" s="411"/>
      <c r="R546" s="421"/>
      <c r="S546" s="421"/>
      <c r="T546" s="411"/>
      <c r="U546" s="411"/>
      <c r="V546" s="411"/>
      <c r="W546" s="411"/>
      <c r="X546" s="411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1"/>
      <c r="D547" s="411"/>
      <c r="E547" s="421"/>
      <c r="F547" s="430"/>
      <c r="G547" s="411"/>
      <c r="H547" s="421"/>
      <c r="I547" s="430"/>
      <c r="J547" s="430"/>
      <c r="K547" s="421"/>
      <c r="L547" s="430"/>
      <c r="M547" s="421"/>
      <c r="N547" s="430"/>
      <c r="O547" s="421"/>
      <c r="P547" s="411"/>
      <c r="Q547" s="411"/>
      <c r="R547" s="421"/>
      <c r="S547" s="411"/>
      <c r="T547" s="411"/>
      <c r="U547" s="411"/>
      <c r="V547" s="411"/>
      <c r="W547" s="411"/>
      <c r="X547" s="411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0"/>
      <c r="D548" s="420"/>
      <c r="E548" s="423"/>
      <c r="F548" s="432"/>
      <c r="G548" s="420"/>
      <c r="H548" s="423"/>
      <c r="I548" s="432"/>
      <c r="J548" s="432"/>
      <c r="K548" s="423"/>
      <c r="L548" s="432"/>
      <c r="M548" s="423"/>
      <c r="N548" s="432"/>
      <c r="O548" s="423"/>
      <c r="P548" s="432"/>
      <c r="Q548" s="420"/>
      <c r="R548" s="423"/>
      <c r="S548" s="420"/>
      <c r="T548" s="411"/>
      <c r="U548" s="411"/>
      <c r="V548" s="411"/>
      <c r="W548" s="411"/>
      <c r="X548" s="411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20"/>
      <c r="Q549" s="432"/>
      <c r="R549" s="432"/>
      <c r="S549" s="411"/>
      <c r="T549" s="411"/>
      <c r="U549" s="411"/>
      <c r="V549" s="411"/>
      <c r="W549" s="411"/>
      <c r="X549" s="411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1"/>
      <c r="D550" s="411"/>
      <c r="E550" s="421"/>
      <c r="F550" s="430"/>
      <c r="G550" s="411"/>
      <c r="H550" s="421"/>
      <c r="I550" s="430"/>
      <c r="J550" s="430"/>
      <c r="K550" s="421"/>
      <c r="L550" s="430"/>
      <c r="M550" s="421"/>
      <c r="N550" s="430"/>
      <c r="O550" s="421"/>
      <c r="P550" s="411"/>
      <c r="Q550" s="411"/>
      <c r="R550" s="421"/>
      <c r="S550" s="411"/>
      <c r="T550" s="411"/>
      <c r="U550" s="411"/>
      <c r="V550" s="411"/>
      <c r="W550" s="411"/>
      <c r="X550" s="411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0"/>
      <c r="D551" s="411"/>
      <c r="E551" s="421"/>
      <c r="F551" s="430"/>
      <c r="G551" s="411"/>
      <c r="H551" s="421"/>
      <c r="I551" s="430"/>
      <c r="J551" s="430"/>
      <c r="K551" s="421"/>
      <c r="L551" s="430"/>
      <c r="M551" s="421"/>
      <c r="N551" s="430"/>
      <c r="O551" s="421"/>
      <c r="P551" s="411"/>
      <c r="Q551" s="411"/>
      <c r="R551" s="421"/>
      <c r="S551" s="411"/>
      <c r="T551" s="411"/>
      <c r="U551" s="411"/>
      <c r="V551" s="411"/>
      <c r="W551" s="411"/>
      <c r="X551" s="411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1"/>
      <c r="D552" s="411"/>
      <c r="E552" s="421"/>
      <c r="F552" s="430"/>
      <c r="G552" s="411"/>
      <c r="H552" s="421"/>
      <c r="I552" s="430"/>
      <c r="J552" s="430"/>
      <c r="K552" s="421"/>
      <c r="L552" s="430"/>
      <c r="M552" s="421"/>
      <c r="N552" s="430"/>
      <c r="O552" s="421"/>
      <c r="P552" s="411"/>
      <c r="Q552" s="411"/>
      <c r="R552" s="421"/>
      <c r="S552" s="411"/>
      <c r="T552" s="411"/>
      <c r="U552" s="411"/>
      <c r="V552" s="411"/>
      <c r="W552" s="411"/>
      <c r="X552" s="411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30"/>
      <c r="Q553" s="421"/>
      <c r="R553" s="411"/>
      <c r="S553" s="421"/>
      <c r="T553" s="411"/>
      <c r="U553" s="411"/>
      <c r="V553" s="411"/>
      <c r="W553" s="411"/>
      <c r="X553" s="411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30"/>
      <c r="Q554" s="421"/>
      <c r="R554" s="411"/>
      <c r="S554" s="421"/>
      <c r="T554" s="411"/>
      <c r="U554" s="411"/>
      <c r="V554" s="411"/>
      <c r="W554" s="411"/>
      <c r="X554" s="411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30"/>
      <c r="Q555" s="421"/>
      <c r="R555" s="411"/>
      <c r="S555" s="421"/>
      <c r="T555" s="411"/>
      <c r="U555" s="411"/>
      <c r="V555" s="411"/>
      <c r="W555" s="411"/>
      <c r="X555" s="411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30"/>
      <c r="Q556" s="421"/>
      <c r="R556" s="411"/>
      <c r="S556" s="421"/>
      <c r="T556" s="411"/>
      <c r="U556" s="411"/>
      <c r="V556" s="411"/>
      <c r="W556" s="411"/>
      <c r="X556" s="411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30"/>
      <c r="Q557" s="421"/>
      <c r="R557" s="411"/>
      <c r="S557" s="421"/>
      <c r="T557" s="411"/>
      <c r="U557" s="411"/>
      <c r="V557" s="411"/>
      <c r="W557" s="411"/>
      <c r="X557" s="411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30"/>
      <c r="Q558" s="421"/>
      <c r="R558" s="411"/>
      <c r="S558" s="421"/>
      <c r="T558" s="411"/>
      <c r="U558" s="411"/>
      <c r="V558" s="411"/>
      <c r="W558" s="411"/>
      <c r="X558" s="411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30"/>
      <c r="Q559" s="421"/>
      <c r="R559" s="411"/>
      <c r="S559" s="421"/>
      <c r="T559" s="411"/>
      <c r="U559" s="411"/>
      <c r="V559" s="411"/>
      <c r="W559" s="411"/>
      <c r="X559" s="411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30"/>
      <c r="Q560" s="421"/>
      <c r="R560" s="411"/>
      <c r="S560" s="421"/>
      <c r="T560" s="411"/>
      <c r="U560" s="411"/>
      <c r="V560" s="411"/>
      <c r="W560" s="411"/>
      <c r="X560" s="411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0"/>
      <c r="D561" s="420"/>
      <c r="E561" s="411"/>
      <c r="F561" s="411"/>
      <c r="G561" s="420"/>
      <c r="H561" s="411"/>
      <c r="I561" s="411"/>
      <c r="J561" s="411"/>
      <c r="K561" s="411"/>
      <c r="L561" s="411"/>
      <c r="M561" s="411"/>
      <c r="N561" s="411"/>
      <c r="O561" s="411"/>
      <c r="P561" s="432"/>
      <c r="Q561" s="423"/>
      <c r="R561" s="411"/>
      <c r="S561" s="423"/>
      <c r="T561" s="411"/>
      <c r="U561" s="411"/>
      <c r="V561" s="411"/>
      <c r="W561" s="411"/>
      <c r="X561" s="411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32"/>
      <c r="Q562" s="432"/>
      <c r="R562" s="411"/>
      <c r="S562" s="411"/>
      <c r="T562" s="411"/>
      <c r="U562" s="411"/>
      <c r="V562" s="411"/>
      <c r="W562" s="411"/>
      <c r="X562" s="411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30"/>
      <c r="Q563" s="421"/>
      <c r="R563" s="411"/>
      <c r="S563" s="421"/>
      <c r="T563" s="411"/>
      <c r="U563" s="411"/>
      <c r="V563" s="411"/>
      <c r="W563" s="411"/>
      <c r="X563" s="411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30"/>
      <c r="Q564" s="421"/>
      <c r="R564" s="411"/>
      <c r="S564" s="421"/>
      <c r="T564" s="411"/>
      <c r="U564" s="411"/>
      <c r="V564" s="411"/>
      <c r="W564" s="411"/>
      <c r="X564" s="411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0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32"/>
      <c r="Q565" s="423"/>
      <c r="R565" s="411"/>
      <c r="S565" s="423"/>
      <c r="T565" s="411"/>
      <c r="U565" s="411"/>
      <c r="V565" s="411"/>
      <c r="W565" s="411"/>
      <c r="X565" s="411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32"/>
      <c r="Q566" s="432"/>
      <c r="R566" s="411"/>
      <c r="S566" s="411"/>
      <c r="T566" s="411"/>
      <c r="U566" s="411"/>
      <c r="V566" s="411"/>
      <c r="W566" s="411"/>
      <c r="X566" s="411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30"/>
      <c r="Q567" s="421"/>
      <c r="R567" s="411"/>
      <c r="S567" s="421"/>
      <c r="T567" s="411"/>
      <c r="U567" s="411"/>
      <c r="V567" s="411"/>
      <c r="W567" s="411"/>
      <c r="X567" s="411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0"/>
      <c r="D568" s="420"/>
      <c r="E568" s="411"/>
      <c r="F568" s="411"/>
      <c r="G568" s="420"/>
      <c r="H568" s="411"/>
      <c r="I568" s="411"/>
      <c r="J568" s="411"/>
      <c r="K568" s="411"/>
      <c r="L568" s="411"/>
      <c r="M568" s="411"/>
      <c r="N568" s="411"/>
      <c r="O568" s="411"/>
      <c r="P568" s="432"/>
      <c r="Q568" s="423"/>
      <c r="R568" s="411"/>
      <c r="S568" s="423"/>
      <c r="T568" s="411"/>
      <c r="U568" s="411"/>
      <c r="V568" s="411"/>
      <c r="W568" s="411"/>
      <c r="X568" s="411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32"/>
      <c r="Q569" s="432"/>
      <c r="R569" s="411"/>
      <c r="S569" s="411"/>
      <c r="T569" s="411"/>
      <c r="U569" s="411"/>
      <c r="V569" s="411"/>
      <c r="W569" s="411"/>
      <c r="X569" s="411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1"/>
      <c r="D570" s="411"/>
      <c r="E570" s="421"/>
      <c r="F570" s="430"/>
      <c r="G570" s="411"/>
      <c r="H570" s="421"/>
      <c r="I570" s="430"/>
      <c r="J570" s="430"/>
      <c r="K570" s="421"/>
      <c r="L570" s="430"/>
      <c r="M570" s="421"/>
      <c r="N570" s="430"/>
      <c r="O570" s="421"/>
      <c r="P570" s="430"/>
      <c r="Q570" s="421"/>
      <c r="R570" s="421"/>
      <c r="S570" s="411"/>
      <c r="T570" s="411"/>
      <c r="U570" s="411"/>
      <c r="V570" s="411"/>
      <c r="W570" s="411"/>
      <c r="X570" s="411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0"/>
      <c r="D571" s="420"/>
      <c r="E571" s="423"/>
      <c r="F571" s="432"/>
      <c r="G571" s="420"/>
      <c r="H571" s="423"/>
      <c r="I571" s="432"/>
      <c r="J571" s="432"/>
      <c r="K571" s="423"/>
      <c r="L571" s="432"/>
      <c r="M571" s="423"/>
      <c r="N571" s="432"/>
      <c r="O571" s="423"/>
      <c r="P571" s="432"/>
      <c r="Q571" s="423"/>
      <c r="R571" s="423"/>
      <c r="S571" s="423"/>
      <c r="T571" s="411"/>
      <c r="U571" s="411"/>
      <c r="V571" s="411"/>
      <c r="W571" s="411"/>
      <c r="X571" s="411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1"/>
      <c r="D572" s="411"/>
      <c r="E572" s="421"/>
      <c r="F572" s="430"/>
      <c r="G572" s="411"/>
      <c r="H572" s="421"/>
      <c r="I572" s="430"/>
      <c r="J572" s="421"/>
      <c r="K572" s="430"/>
      <c r="L572" s="421"/>
      <c r="M572" s="411"/>
      <c r="N572" s="421"/>
      <c r="O572" s="430"/>
      <c r="P572" s="423"/>
      <c r="Q572" s="432"/>
      <c r="R572" s="432"/>
      <c r="S572" s="421"/>
      <c r="T572" s="411"/>
      <c r="U572" s="411"/>
      <c r="V572" s="411"/>
      <c r="W572" s="411"/>
      <c r="X572" s="411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1"/>
      <c r="D573" s="411"/>
      <c r="E573" s="421"/>
      <c r="F573" s="430"/>
      <c r="G573" s="411"/>
      <c r="H573" s="421"/>
      <c r="I573" s="430"/>
      <c r="J573" s="421"/>
      <c r="K573" s="430"/>
      <c r="L573" s="421"/>
      <c r="M573" s="411"/>
      <c r="N573" s="421"/>
      <c r="O573" s="430"/>
      <c r="P573" s="421"/>
      <c r="Q573" s="411"/>
      <c r="R573" s="430"/>
      <c r="S573" s="421"/>
      <c r="T573" s="411"/>
      <c r="U573" s="411"/>
      <c r="V573" s="411"/>
      <c r="W573" s="411"/>
      <c r="X573" s="411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30"/>
      <c r="S574" s="421"/>
      <c r="T574" s="411"/>
      <c r="U574" s="411"/>
      <c r="V574" s="411"/>
      <c r="W574" s="411"/>
      <c r="X574" s="411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1"/>
      <c r="D575" s="411"/>
      <c r="E575" s="421"/>
      <c r="F575" s="430"/>
      <c r="G575" s="411"/>
      <c r="H575" s="421"/>
      <c r="I575" s="430"/>
      <c r="J575" s="421"/>
      <c r="K575" s="430"/>
      <c r="L575" s="421"/>
      <c r="M575" s="411"/>
      <c r="N575" s="421"/>
      <c r="O575" s="430"/>
      <c r="P575" s="421"/>
      <c r="Q575" s="411"/>
      <c r="R575" s="430"/>
      <c r="S575" s="421"/>
      <c r="T575" s="411"/>
      <c r="U575" s="411"/>
      <c r="V575" s="411"/>
      <c r="W575" s="411"/>
      <c r="X575" s="411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1"/>
      <c r="D576" s="411"/>
      <c r="E576" s="421"/>
      <c r="F576" s="430"/>
      <c r="G576" s="411"/>
      <c r="H576" s="421"/>
      <c r="I576" s="430"/>
      <c r="J576" s="421"/>
      <c r="K576" s="430"/>
      <c r="L576" s="421"/>
      <c r="M576" s="411"/>
      <c r="N576" s="421"/>
      <c r="O576" s="430"/>
      <c r="P576" s="421"/>
      <c r="Q576" s="411"/>
      <c r="R576" s="430"/>
      <c r="S576" s="421"/>
      <c r="T576" s="411"/>
      <c r="U576" s="411"/>
      <c r="V576" s="411"/>
      <c r="W576" s="411"/>
      <c r="X576" s="411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1"/>
      <c r="D577" s="411"/>
      <c r="E577" s="421"/>
      <c r="F577" s="430"/>
      <c r="G577" s="411"/>
      <c r="H577" s="421"/>
      <c r="I577" s="430"/>
      <c r="J577" s="421"/>
      <c r="K577" s="430"/>
      <c r="L577" s="421"/>
      <c r="M577" s="411"/>
      <c r="N577" s="421"/>
      <c r="O577" s="430"/>
      <c r="P577" s="421"/>
      <c r="Q577" s="411"/>
      <c r="R577" s="430"/>
      <c r="S577" s="421"/>
      <c r="T577" s="411"/>
      <c r="U577" s="411"/>
      <c r="V577" s="411"/>
      <c r="W577" s="411"/>
      <c r="X577" s="411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1"/>
      <c r="D578" s="411"/>
      <c r="E578" s="421"/>
      <c r="F578" s="430"/>
      <c r="G578" s="411"/>
      <c r="H578" s="421"/>
      <c r="I578" s="430"/>
      <c r="J578" s="421"/>
      <c r="K578" s="430"/>
      <c r="L578" s="421"/>
      <c r="M578" s="411"/>
      <c r="N578" s="421"/>
      <c r="O578" s="430"/>
      <c r="P578" s="421"/>
      <c r="Q578" s="411"/>
      <c r="R578" s="430"/>
      <c r="S578" s="421"/>
      <c r="T578" s="411"/>
      <c r="U578" s="411"/>
      <c r="V578" s="411"/>
      <c r="W578" s="411"/>
      <c r="X578" s="411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1"/>
      <c r="D579" s="411"/>
      <c r="E579" s="421"/>
      <c r="F579" s="430"/>
      <c r="G579" s="411"/>
      <c r="H579" s="421"/>
      <c r="I579" s="430"/>
      <c r="J579" s="421"/>
      <c r="K579" s="430"/>
      <c r="L579" s="421"/>
      <c r="M579" s="411"/>
      <c r="N579" s="421"/>
      <c r="O579" s="430"/>
      <c r="P579" s="421"/>
      <c r="Q579" s="411"/>
      <c r="R579" s="430"/>
      <c r="S579" s="421"/>
      <c r="T579" s="411"/>
      <c r="U579" s="411"/>
      <c r="V579" s="411"/>
      <c r="W579" s="411"/>
      <c r="X579" s="411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1"/>
      <c r="D580" s="411"/>
      <c r="E580" s="421"/>
      <c r="F580" s="430"/>
      <c r="G580" s="411"/>
      <c r="H580" s="421"/>
      <c r="I580" s="430"/>
      <c r="J580" s="421"/>
      <c r="K580" s="430"/>
      <c r="L580" s="421"/>
      <c r="M580" s="411"/>
      <c r="N580" s="421"/>
      <c r="O580" s="430"/>
      <c r="P580" s="421"/>
      <c r="Q580" s="411"/>
      <c r="R580" s="430"/>
      <c r="S580" s="421"/>
      <c r="T580" s="411"/>
      <c r="U580" s="411"/>
      <c r="V580" s="411"/>
      <c r="W580" s="411"/>
      <c r="X580" s="411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1"/>
      <c r="D581" s="411"/>
      <c r="E581" s="421"/>
      <c r="F581" s="430"/>
      <c r="G581" s="411"/>
      <c r="H581" s="421"/>
      <c r="I581" s="430"/>
      <c r="J581" s="421"/>
      <c r="K581" s="430"/>
      <c r="L581" s="421"/>
      <c r="M581" s="411"/>
      <c r="N581" s="421"/>
      <c r="O581" s="430"/>
      <c r="P581" s="421"/>
      <c r="Q581" s="411"/>
      <c r="R581" s="430"/>
      <c r="S581" s="421"/>
      <c r="T581" s="411"/>
      <c r="U581" s="411"/>
      <c r="V581" s="411"/>
      <c r="W581" s="411"/>
      <c r="X581" s="411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1"/>
      <c r="O634" s="411"/>
      <c r="P634" s="411"/>
      <c r="Q634" s="411"/>
      <c r="R634" s="411"/>
      <c r="S634" s="411"/>
      <c r="T634" s="411"/>
      <c r="U634" s="411"/>
      <c r="V634" s="411"/>
      <c r="W634" s="411"/>
      <c r="X634" s="411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1"/>
      <c r="O635" s="411"/>
      <c r="P635" s="411"/>
      <c r="Q635" s="411"/>
      <c r="R635" s="411"/>
      <c r="S635" s="411"/>
      <c r="T635" s="411"/>
      <c r="U635" s="411"/>
      <c r="V635" s="411"/>
      <c r="W635" s="411"/>
      <c r="X635" s="411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1"/>
      <c r="O636" s="411"/>
      <c r="P636" s="411"/>
      <c r="Q636" s="411"/>
      <c r="R636" s="411"/>
      <c r="S636" s="411"/>
      <c r="T636" s="411"/>
      <c r="U636" s="411"/>
      <c r="V636" s="411"/>
      <c r="W636" s="411"/>
      <c r="X636" s="411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1"/>
      <c r="O637" s="411"/>
      <c r="P637" s="411"/>
      <c r="Q637" s="411"/>
      <c r="R637" s="411"/>
      <c r="S637" s="411"/>
      <c r="T637" s="411"/>
      <c r="U637" s="411"/>
      <c r="V637" s="411"/>
      <c r="W637" s="411"/>
      <c r="X637" s="411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1"/>
      <c r="O638" s="411"/>
      <c r="P638" s="411"/>
      <c r="Q638" s="411"/>
      <c r="R638" s="411"/>
      <c r="S638" s="411"/>
      <c r="T638" s="411"/>
      <c r="U638" s="411"/>
      <c r="V638" s="411"/>
      <c r="W638" s="411"/>
      <c r="X638" s="411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1"/>
      <c r="O639" s="411"/>
      <c r="P639" s="411"/>
      <c r="Q639" s="411"/>
      <c r="R639" s="411"/>
      <c r="S639" s="411"/>
      <c r="T639" s="411"/>
      <c r="U639" s="411"/>
      <c r="V639" s="411"/>
      <c r="W639" s="411"/>
      <c r="X639" s="411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1"/>
      <c r="O640" s="411"/>
      <c r="P640" s="411"/>
      <c r="Q640" s="411"/>
      <c r="R640" s="411"/>
      <c r="S640" s="411"/>
      <c r="T640" s="411"/>
      <c r="U640" s="411"/>
      <c r="V640" s="411"/>
      <c r="W640" s="411"/>
      <c r="X640" s="411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1"/>
      <c r="O641" s="411"/>
      <c r="P641" s="411"/>
      <c r="Q641" s="411"/>
      <c r="R641" s="411"/>
      <c r="S641" s="411"/>
      <c r="T641" s="411"/>
      <c r="U641" s="411"/>
      <c r="V641" s="411"/>
      <c r="W641" s="411"/>
      <c r="X641" s="411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1"/>
      <c r="O642" s="411"/>
      <c r="P642" s="411"/>
      <c r="Q642" s="411"/>
      <c r="R642" s="411"/>
      <c r="S642" s="411"/>
      <c r="T642" s="411"/>
      <c r="U642" s="411"/>
      <c r="V642" s="411"/>
      <c r="W642" s="411"/>
      <c r="X642" s="411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1"/>
      <c r="O643" s="411"/>
      <c r="P643" s="411"/>
      <c r="Q643" s="411"/>
      <c r="R643" s="411"/>
      <c r="S643" s="411"/>
      <c r="T643" s="411"/>
      <c r="U643" s="411"/>
      <c r="V643" s="411"/>
      <c r="W643" s="411"/>
      <c r="X643" s="411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1"/>
      <c r="O644" s="411"/>
      <c r="P644" s="411"/>
      <c r="Q644" s="411"/>
      <c r="R644" s="411"/>
      <c r="S644" s="411"/>
      <c r="T644" s="411"/>
      <c r="U644" s="411"/>
      <c r="V644" s="411"/>
      <c r="W644" s="411"/>
      <c r="X644" s="411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3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1"/>
      <c r="O645" s="128"/>
      <c r="P645" s="411"/>
      <c r="Q645" s="411"/>
      <c r="R645" s="411"/>
      <c r="S645" s="411"/>
      <c r="T645" s="411"/>
      <c r="U645" s="411"/>
      <c r="V645" s="411"/>
      <c r="W645" s="411"/>
      <c r="X645" s="411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7"/>
      <c r="O646" s="427"/>
      <c r="P646" s="427"/>
      <c r="Q646" s="434"/>
      <c r="R646" s="427"/>
      <c r="S646" s="427"/>
      <c r="T646" s="411"/>
      <c r="U646" s="411"/>
      <c r="V646" s="411"/>
      <c r="W646" s="411"/>
      <c r="X646" s="411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1"/>
      <c r="D647" s="424"/>
      <c r="E647" s="424"/>
      <c r="F647" s="128"/>
      <c r="G647" s="424"/>
      <c r="H647" s="424"/>
      <c r="I647" s="128"/>
      <c r="J647" s="428"/>
      <c r="K647" s="428"/>
      <c r="L647" s="435"/>
      <c r="M647" s="428"/>
      <c r="N647" s="428"/>
      <c r="O647" s="428"/>
      <c r="P647" s="428"/>
      <c r="Q647" s="425"/>
      <c r="R647" s="424"/>
      <c r="S647" s="128"/>
      <c r="T647" s="411"/>
      <c r="U647" s="411"/>
      <c r="V647" s="411"/>
      <c r="W647" s="411"/>
      <c r="X647" s="411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6"/>
      <c r="D648" s="411"/>
      <c r="E648" s="411"/>
      <c r="F648" s="427"/>
      <c r="G648" s="411"/>
      <c r="H648" s="411"/>
      <c r="I648" s="427"/>
      <c r="J648" s="427"/>
      <c r="K648" s="427"/>
      <c r="L648" s="411"/>
      <c r="M648" s="427"/>
      <c r="N648" s="427"/>
      <c r="O648" s="411"/>
      <c r="P648" s="427"/>
      <c r="Q648" s="427"/>
      <c r="R648" s="411"/>
      <c r="S648" s="427"/>
      <c r="T648" s="411"/>
      <c r="U648" s="411"/>
      <c r="V648" s="411"/>
      <c r="W648" s="411"/>
      <c r="X648" s="411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1"/>
      <c r="D649" s="411"/>
      <c r="E649" s="411"/>
      <c r="F649" s="421"/>
      <c r="G649" s="411"/>
      <c r="H649" s="411"/>
      <c r="I649" s="421"/>
      <c r="J649" s="421"/>
      <c r="K649" s="421"/>
      <c r="L649" s="421"/>
      <c r="M649" s="421"/>
      <c r="N649" s="421"/>
      <c r="O649" s="421"/>
      <c r="P649" s="421"/>
      <c r="Q649" s="421"/>
      <c r="R649" s="421"/>
      <c r="S649" s="421"/>
      <c r="T649" s="411"/>
      <c r="U649" s="411"/>
      <c r="V649" s="411"/>
      <c r="W649" s="411"/>
      <c r="X649" s="411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0"/>
      <c r="D650" s="420"/>
      <c r="E650" s="420"/>
      <c r="F650" s="423"/>
      <c r="G650" s="420"/>
      <c r="H650" s="420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11"/>
      <c r="U650" s="411"/>
      <c r="V650" s="411"/>
      <c r="W650" s="411"/>
      <c r="X650" s="411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1"/>
      <c r="D651" s="411"/>
      <c r="E651" s="411"/>
      <c r="F651" s="411"/>
      <c r="G651" s="411"/>
      <c r="H651" s="411"/>
      <c r="I651" s="411"/>
      <c r="J651" s="421"/>
      <c r="K651" s="421"/>
      <c r="L651" s="421"/>
      <c r="M651" s="421"/>
      <c r="N651" s="421"/>
      <c r="O651" s="421"/>
      <c r="P651" s="421"/>
      <c r="Q651" s="421"/>
      <c r="R651" s="421"/>
      <c r="S651" s="421"/>
      <c r="T651" s="411"/>
      <c r="U651" s="411"/>
      <c r="V651" s="411"/>
      <c r="W651" s="411"/>
      <c r="X651" s="411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1"/>
      <c r="D652" s="411"/>
      <c r="E652" s="411"/>
      <c r="F652" s="411"/>
      <c r="G652" s="411"/>
      <c r="H652" s="411"/>
      <c r="I652" s="411"/>
      <c r="J652" s="411"/>
      <c r="K652" s="421"/>
      <c r="L652" s="421"/>
      <c r="M652" s="411"/>
      <c r="N652" s="421"/>
      <c r="O652" s="421"/>
      <c r="P652" s="411"/>
      <c r="Q652" s="421"/>
      <c r="R652" s="421"/>
      <c r="S652" s="411"/>
      <c r="T652" s="411"/>
      <c r="U652" s="411"/>
      <c r="V652" s="411"/>
      <c r="W652" s="411"/>
      <c r="X652" s="411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1"/>
      <c r="D653" s="411"/>
      <c r="E653" s="411"/>
      <c r="F653" s="411"/>
      <c r="G653" s="411"/>
      <c r="H653" s="411"/>
      <c r="I653" s="411"/>
      <c r="J653" s="411"/>
      <c r="K653" s="421"/>
      <c r="L653" s="421"/>
      <c r="M653" s="411"/>
      <c r="N653" s="421"/>
      <c r="O653" s="421"/>
      <c r="P653" s="411"/>
      <c r="Q653" s="421"/>
      <c r="R653" s="421"/>
      <c r="S653" s="411"/>
      <c r="T653" s="411"/>
      <c r="U653" s="411"/>
      <c r="V653" s="411"/>
      <c r="W653" s="411"/>
      <c r="X653" s="411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1"/>
      <c r="D654" s="411"/>
      <c r="E654" s="411"/>
      <c r="F654" s="411"/>
      <c r="G654" s="411"/>
      <c r="H654" s="411"/>
      <c r="I654" s="411"/>
      <c r="J654" s="411"/>
      <c r="K654" s="421"/>
      <c r="L654" s="421"/>
      <c r="M654" s="411"/>
      <c r="N654" s="421"/>
      <c r="O654" s="421"/>
      <c r="P654" s="411"/>
      <c r="Q654" s="421"/>
      <c r="R654" s="421"/>
      <c r="S654" s="411"/>
      <c r="T654" s="411"/>
      <c r="U654" s="411"/>
      <c r="V654" s="411"/>
      <c r="W654" s="411"/>
      <c r="X654" s="411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1"/>
      <c r="D655" s="411"/>
      <c r="E655" s="411"/>
      <c r="F655" s="411"/>
      <c r="G655" s="411"/>
      <c r="H655" s="411"/>
      <c r="I655" s="411"/>
      <c r="J655" s="411"/>
      <c r="K655" s="421"/>
      <c r="L655" s="421"/>
      <c r="M655" s="411"/>
      <c r="N655" s="421"/>
      <c r="O655" s="421"/>
      <c r="P655" s="411"/>
      <c r="Q655" s="421"/>
      <c r="R655" s="421"/>
      <c r="S655" s="411"/>
      <c r="T655" s="411"/>
      <c r="U655" s="411"/>
      <c r="V655" s="411"/>
      <c r="W655" s="411"/>
      <c r="X655" s="411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1"/>
      <c r="D656" s="411"/>
      <c r="E656" s="411"/>
      <c r="F656" s="411"/>
      <c r="G656" s="411"/>
      <c r="H656" s="411"/>
      <c r="I656" s="411"/>
      <c r="J656" s="411"/>
      <c r="K656" s="421"/>
      <c r="L656" s="421"/>
      <c r="M656" s="411"/>
      <c r="N656" s="421"/>
      <c r="O656" s="421"/>
      <c r="P656" s="411"/>
      <c r="Q656" s="421"/>
      <c r="R656" s="421"/>
      <c r="S656" s="411"/>
      <c r="T656" s="411"/>
      <c r="U656" s="411"/>
      <c r="V656" s="411"/>
      <c r="W656" s="411"/>
      <c r="X656" s="411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1"/>
      <c r="D657" s="411"/>
      <c r="E657" s="411"/>
      <c r="F657" s="411"/>
      <c r="G657" s="411"/>
      <c r="H657" s="411"/>
      <c r="I657" s="411"/>
      <c r="J657" s="411"/>
      <c r="K657" s="421"/>
      <c r="L657" s="423"/>
      <c r="M657" s="411"/>
      <c r="N657" s="421"/>
      <c r="O657" s="421"/>
      <c r="P657" s="411"/>
      <c r="Q657" s="421"/>
      <c r="R657" s="423"/>
      <c r="S657" s="411"/>
      <c r="T657" s="411"/>
      <c r="U657" s="411"/>
      <c r="V657" s="411"/>
      <c r="W657" s="411"/>
      <c r="X657" s="411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1"/>
      <c r="D658" s="411"/>
      <c r="E658" s="411"/>
      <c r="F658" s="411"/>
      <c r="G658" s="411"/>
      <c r="H658" s="411"/>
      <c r="I658" s="411"/>
      <c r="J658" s="411"/>
      <c r="K658" s="421"/>
      <c r="L658" s="421"/>
      <c r="M658" s="411"/>
      <c r="N658" s="421"/>
      <c r="O658" s="421"/>
      <c r="P658" s="411"/>
      <c r="Q658" s="421"/>
      <c r="R658" s="421"/>
      <c r="S658" s="411"/>
      <c r="T658" s="411"/>
      <c r="U658" s="411"/>
      <c r="V658" s="411"/>
      <c r="W658" s="411"/>
      <c r="X658" s="411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23"/>
      <c r="O659" s="423"/>
      <c r="P659" s="411"/>
      <c r="Q659" s="423"/>
      <c r="R659" s="411"/>
      <c r="S659" s="411"/>
      <c r="T659" s="411"/>
      <c r="U659" s="411"/>
      <c r="V659" s="411"/>
      <c r="W659" s="411"/>
      <c r="X659" s="411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1"/>
      <c r="D660" s="411"/>
      <c r="E660" s="411"/>
      <c r="F660" s="411"/>
      <c r="G660" s="411"/>
      <c r="H660" s="411"/>
      <c r="I660" s="411"/>
      <c r="J660" s="411"/>
      <c r="K660" s="423"/>
      <c r="L660" s="423"/>
      <c r="M660" s="411"/>
      <c r="N660" s="421"/>
      <c r="O660" s="421"/>
      <c r="P660" s="411"/>
      <c r="Q660" s="421"/>
      <c r="R660" s="423"/>
      <c r="S660" s="411"/>
      <c r="T660" s="411"/>
      <c r="U660" s="411"/>
      <c r="V660" s="411"/>
      <c r="W660" s="411"/>
      <c r="X660" s="411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1"/>
      <c r="D661" s="411"/>
      <c r="E661" s="411"/>
      <c r="F661" s="411"/>
      <c r="G661" s="411"/>
      <c r="H661" s="411"/>
      <c r="I661" s="411"/>
      <c r="J661" s="411"/>
      <c r="K661" s="421"/>
      <c r="L661" s="421"/>
      <c r="M661" s="411"/>
      <c r="N661" s="421"/>
      <c r="O661" s="421"/>
      <c r="P661" s="411"/>
      <c r="Q661" s="421"/>
      <c r="R661" s="421"/>
      <c r="S661" s="411"/>
      <c r="T661" s="411"/>
      <c r="U661" s="411"/>
      <c r="V661" s="411"/>
      <c r="W661" s="411"/>
      <c r="X661" s="411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1"/>
      <c r="D662" s="411"/>
      <c r="E662" s="411"/>
      <c r="F662" s="411"/>
      <c r="G662" s="411"/>
      <c r="H662" s="411"/>
      <c r="I662" s="411"/>
      <c r="J662" s="411"/>
      <c r="K662" s="421"/>
      <c r="L662" s="421"/>
      <c r="M662" s="411"/>
      <c r="N662" s="421"/>
      <c r="O662" s="421"/>
      <c r="P662" s="411"/>
      <c r="Q662" s="421"/>
      <c r="R662" s="421"/>
      <c r="S662" s="411"/>
      <c r="T662" s="411"/>
      <c r="U662" s="411"/>
      <c r="V662" s="411"/>
      <c r="W662" s="411"/>
      <c r="X662" s="411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1"/>
      <c r="D663" s="411"/>
      <c r="E663" s="411"/>
      <c r="F663" s="411"/>
      <c r="G663" s="411"/>
      <c r="H663" s="411"/>
      <c r="I663" s="411"/>
      <c r="J663" s="411"/>
      <c r="K663" s="421"/>
      <c r="L663" s="421"/>
      <c r="M663" s="411"/>
      <c r="N663" s="421"/>
      <c r="O663" s="421"/>
      <c r="P663" s="411"/>
      <c r="Q663" s="421"/>
      <c r="R663" s="421"/>
      <c r="S663" s="411"/>
      <c r="T663" s="411"/>
      <c r="U663" s="411"/>
      <c r="V663" s="411"/>
      <c r="W663" s="411"/>
      <c r="X663" s="411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1"/>
      <c r="D664" s="411"/>
      <c r="E664" s="411"/>
      <c r="F664" s="411"/>
      <c r="G664" s="411"/>
      <c r="H664" s="411"/>
      <c r="I664" s="411"/>
      <c r="J664" s="411"/>
      <c r="K664" s="421"/>
      <c r="L664" s="421"/>
      <c r="M664" s="411"/>
      <c r="N664" s="421"/>
      <c r="O664" s="421"/>
      <c r="P664" s="411"/>
      <c r="Q664" s="421"/>
      <c r="R664" s="421"/>
      <c r="S664" s="411"/>
      <c r="T664" s="411"/>
      <c r="U664" s="411"/>
      <c r="V664" s="411"/>
      <c r="W664" s="411"/>
      <c r="X664" s="411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1"/>
      <c r="D665" s="411"/>
      <c r="E665" s="411"/>
      <c r="F665" s="411"/>
      <c r="G665" s="411"/>
      <c r="H665" s="411"/>
      <c r="I665" s="411"/>
      <c r="J665" s="411"/>
      <c r="K665" s="421"/>
      <c r="L665" s="421"/>
      <c r="M665" s="411"/>
      <c r="N665" s="421"/>
      <c r="O665" s="421"/>
      <c r="P665" s="411"/>
      <c r="Q665" s="421"/>
      <c r="R665" s="421"/>
      <c r="S665" s="411"/>
      <c r="T665" s="411"/>
      <c r="U665" s="411"/>
      <c r="V665" s="411"/>
      <c r="W665" s="411"/>
      <c r="X665" s="411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1"/>
      <c r="D666" s="411"/>
      <c r="E666" s="411"/>
      <c r="F666" s="411"/>
      <c r="G666" s="411"/>
      <c r="H666" s="411"/>
      <c r="I666" s="411"/>
      <c r="J666" s="411"/>
      <c r="K666" s="421"/>
      <c r="L666" s="421"/>
      <c r="M666" s="411"/>
      <c r="N666" s="421"/>
      <c r="O666" s="421"/>
      <c r="P666" s="411"/>
      <c r="Q666" s="421"/>
      <c r="R666" s="421"/>
      <c r="S666" s="411"/>
      <c r="T666" s="411"/>
      <c r="U666" s="411"/>
      <c r="V666" s="411"/>
      <c r="W666" s="411"/>
      <c r="X666" s="411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1"/>
      <c r="D667" s="411"/>
      <c r="E667" s="411"/>
      <c r="F667" s="411"/>
      <c r="G667" s="411"/>
      <c r="H667" s="411"/>
      <c r="I667" s="411"/>
      <c r="J667" s="411"/>
      <c r="K667" s="421"/>
      <c r="L667" s="421"/>
      <c r="M667" s="411"/>
      <c r="N667" s="421"/>
      <c r="O667" s="421"/>
      <c r="P667" s="411"/>
      <c r="Q667" s="421"/>
      <c r="R667" s="421"/>
      <c r="S667" s="411"/>
      <c r="T667" s="411"/>
      <c r="U667" s="411"/>
      <c r="V667" s="411"/>
      <c r="W667" s="411"/>
      <c r="X667" s="411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1"/>
      <c r="D668" s="411"/>
      <c r="E668" s="411"/>
      <c r="F668" s="411"/>
      <c r="G668" s="411"/>
      <c r="H668" s="411"/>
      <c r="I668" s="411"/>
      <c r="J668" s="411"/>
      <c r="K668" s="421"/>
      <c r="L668" s="421"/>
      <c r="M668" s="411"/>
      <c r="N668" s="421"/>
      <c r="O668" s="421"/>
      <c r="P668" s="411"/>
      <c r="Q668" s="421"/>
      <c r="R668" s="421"/>
      <c r="S668" s="411"/>
      <c r="T668" s="411"/>
      <c r="U668" s="411"/>
      <c r="V668" s="411"/>
      <c r="W668" s="411"/>
      <c r="X668" s="411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1"/>
      <c r="D669" s="411"/>
      <c r="E669" s="411"/>
      <c r="F669" s="411"/>
      <c r="G669" s="411"/>
      <c r="H669" s="411"/>
      <c r="I669" s="411"/>
      <c r="J669" s="411"/>
      <c r="K669" s="421"/>
      <c r="L669" s="421"/>
      <c r="M669" s="411"/>
      <c r="N669" s="423"/>
      <c r="O669" s="423"/>
      <c r="P669" s="411"/>
      <c r="Q669" s="423"/>
      <c r="R669" s="421"/>
      <c r="S669" s="411"/>
      <c r="T669" s="411"/>
      <c r="U669" s="411"/>
      <c r="V669" s="411"/>
      <c r="W669" s="411"/>
      <c r="X669" s="411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1"/>
      <c r="D670" s="411"/>
      <c r="E670" s="411"/>
      <c r="F670" s="411"/>
      <c r="G670" s="411"/>
      <c r="H670" s="411"/>
      <c r="I670" s="411"/>
      <c r="J670" s="411"/>
      <c r="K670" s="423"/>
      <c r="L670" s="423"/>
      <c r="M670" s="411"/>
      <c r="N670" s="421"/>
      <c r="O670" s="421"/>
      <c r="P670" s="411"/>
      <c r="Q670" s="421"/>
      <c r="R670" s="423"/>
      <c r="S670" s="411"/>
      <c r="T670" s="411"/>
      <c r="U670" s="411"/>
      <c r="V670" s="411"/>
      <c r="W670" s="411"/>
      <c r="X670" s="411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1"/>
      <c r="D671" s="411"/>
      <c r="E671" s="411"/>
      <c r="F671" s="411"/>
      <c r="G671" s="411"/>
      <c r="H671" s="411"/>
      <c r="I671" s="411"/>
      <c r="J671" s="411"/>
      <c r="K671" s="421"/>
      <c r="L671" s="421"/>
      <c r="M671" s="411"/>
      <c r="N671" s="421"/>
      <c r="O671" s="421"/>
      <c r="P671" s="411"/>
      <c r="Q671" s="421"/>
      <c r="R671" s="421"/>
      <c r="S671" s="411"/>
      <c r="T671" s="411"/>
      <c r="U671" s="411"/>
      <c r="V671" s="411"/>
      <c r="W671" s="411"/>
      <c r="X671" s="411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1"/>
      <c r="D672" s="411"/>
      <c r="E672" s="411"/>
      <c r="F672" s="411"/>
      <c r="G672" s="411"/>
      <c r="H672" s="411"/>
      <c r="I672" s="411"/>
      <c r="J672" s="411"/>
      <c r="K672" s="421"/>
      <c r="L672" s="421"/>
      <c r="M672" s="411"/>
      <c r="N672" s="421"/>
      <c r="O672" s="421"/>
      <c r="P672" s="411"/>
      <c r="Q672" s="421"/>
      <c r="R672" s="421"/>
      <c r="S672" s="411"/>
      <c r="T672" s="411"/>
      <c r="U672" s="411"/>
      <c r="V672" s="411"/>
      <c r="W672" s="411"/>
      <c r="X672" s="411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1"/>
      <c r="D673" s="411"/>
      <c r="E673" s="411"/>
      <c r="F673" s="411"/>
      <c r="G673" s="411"/>
      <c r="H673" s="411"/>
      <c r="I673" s="411"/>
      <c r="J673" s="411"/>
      <c r="K673" s="421"/>
      <c r="L673" s="421"/>
      <c r="M673" s="411"/>
      <c r="N673" s="421"/>
      <c r="O673" s="421"/>
      <c r="P673" s="411"/>
      <c r="Q673" s="421"/>
      <c r="R673" s="421"/>
      <c r="S673" s="411"/>
      <c r="T673" s="411"/>
      <c r="U673" s="411"/>
      <c r="V673" s="411"/>
      <c r="W673" s="411"/>
      <c r="X673" s="411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1"/>
      <c r="D674" s="411"/>
      <c r="E674" s="411"/>
      <c r="F674" s="411"/>
      <c r="G674" s="411"/>
      <c r="H674" s="411"/>
      <c r="I674" s="411"/>
      <c r="J674" s="411"/>
      <c r="K674" s="421"/>
      <c r="L674" s="421"/>
      <c r="M674" s="411"/>
      <c r="N674" s="421"/>
      <c r="O674" s="421"/>
      <c r="P674" s="411"/>
      <c r="Q674" s="421"/>
      <c r="R674" s="421"/>
      <c r="S674" s="411"/>
      <c r="T674" s="411"/>
      <c r="U674" s="411"/>
      <c r="V674" s="411"/>
      <c r="W674" s="411"/>
      <c r="X674" s="411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1"/>
      <c r="D675" s="411"/>
      <c r="E675" s="411"/>
      <c r="F675" s="411"/>
      <c r="G675" s="411"/>
      <c r="H675" s="411"/>
      <c r="I675" s="411"/>
      <c r="J675" s="411"/>
      <c r="K675" s="421"/>
      <c r="L675" s="421"/>
      <c r="M675" s="411"/>
      <c r="N675" s="421"/>
      <c r="O675" s="421"/>
      <c r="P675" s="411"/>
      <c r="Q675" s="421"/>
      <c r="R675" s="421"/>
      <c r="S675" s="411"/>
      <c r="T675" s="411"/>
      <c r="U675" s="411"/>
      <c r="V675" s="411"/>
      <c r="W675" s="411"/>
      <c r="X675" s="411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1"/>
      <c r="D676" s="411"/>
      <c r="E676" s="411"/>
      <c r="F676" s="411"/>
      <c r="G676" s="411"/>
      <c r="H676" s="411"/>
      <c r="I676" s="411"/>
      <c r="J676" s="411"/>
      <c r="K676" s="421"/>
      <c r="L676" s="421"/>
      <c r="M676" s="411"/>
      <c r="N676" s="421"/>
      <c r="O676" s="421"/>
      <c r="P676" s="411"/>
      <c r="Q676" s="421"/>
      <c r="R676" s="421"/>
      <c r="S676" s="411"/>
      <c r="T676" s="411"/>
      <c r="U676" s="411"/>
      <c r="V676" s="411"/>
      <c r="W676" s="411"/>
      <c r="X676" s="411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1"/>
      <c r="D677" s="411"/>
      <c r="E677" s="411"/>
      <c r="F677" s="411"/>
      <c r="G677" s="411"/>
      <c r="H677" s="411"/>
      <c r="I677" s="411"/>
      <c r="J677" s="411"/>
      <c r="K677" s="421"/>
      <c r="L677" s="421"/>
      <c r="M677" s="411"/>
      <c r="N677" s="421"/>
      <c r="O677" s="421"/>
      <c r="P677" s="411"/>
      <c r="Q677" s="421"/>
      <c r="R677" s="421"/>
      <c r="S677" s="411"/>
      <c r="T677" s="411"/>
      <c r="U677" s="411"/>
      <c r="V677" s="411"/>
      <c r="W677" s="411"/>
      <c r="X677" s="411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1"/>
      <c r="D678" s="411"/>
      <c r="E678" s="411"/>
      <c r="F678" s="411"/>
      <c r="G678" s="411"/>
      <c r="H678" s="411"/>
      <c r="I678" s="411"/>
      <c r="J678" s="411"/>
      <c r="K678" s="421"/>
      <c r="L678" s="421"/>
      <c r="M678" s="411"/>
      <c r="N678" s="421"/>
      <c r="O678" s="421"/>
      <c r="P678" s="411"/>
      <c r="Q678" s="421"/>
      <c r="R678" s="421"/>
      <c r="S678" s="411"/>
      <c r="T678" s="411"/>
      <c r="U678" s="411"/>
      <c r="V678" s="411"/>
      <c r="W678" s="411"/>
      <c r="X678" s="411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1"/>
      <c r="D679" s="411"/>
      <c r="E679" s="411"/>
      <c r="F679" s="411"/>
      <c r="G679" s="411"/>
      <c r="H679" s="411"/>
      <c r="I679" s="411"/>
      <c r="J679" s="411"/>
      <c r="K679" s="421"/>
      <c r="L679" s="421"/>
      <c r="M679" s="411"/>
      <c r="N679" s="421"/>
      <c r="O679" s="421"/>
      <c r="P679" s="411"/>
      <c r="Q679" s="421"/>
      <c r="R679" s="421"/>
      <c r="S679" s="411"/>
      <c r="T679" s="411"/>
      <c r="U679" s="411"/>
      <c r="V679" s="411"/>
      <c r="W679" s="411"/>
      <c r="X679" s="411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1"/>
      <c r="D680" s="411"/>
      <c r="E680" s="411"/>
      <c r="F680" s="411"/>
      <c r="G680" s="411"/>
      <c r="H680" s="411"/>
      <c r="I680" s="411"/>
      <c r="J680" s="411"/>
      <c r="K680" s="421"/>
      <c r="L680" s="421"/>
      <c r="M680" s="411"/>
      <c r="N680" s="421"/>
      <c r="O680" s="421"/>
      <c r="P680" s="411"/>
      <c r="Q680" s="421"/>
      <c r="R680" s="421"/>
      <c r="S680" s="411"/>
      <c r="T680" s="411"/>
      <c r="U680" s="411"/>
      <c r="V680" s="411"/>
      <c r="W680" s="411"/>
      <c r="X680" s="411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1"/>
      <c r="D681" s="411"/>
      <c r="E681" s="411"/>
      <c r="F681" s="411"/>
      <c r="G681" s="411"/>
      <c r="H681" s="411"/>
      <c r="I681" s="411"/>
      <c r="J681" s="411"/>
      <c r="K681" s="421"/>
      <c r="L681" s="421"/>
      <c r="M681" s="411"/>
      <c r="N681" s="421"/>
      <c r="O681" s="421"/>
      <c r="P681" s="411"/>
      <c r="Q681" s="421"/>
      <c r="R681" s="421"/>
      <c r="S681" s="411"/>
      <c r="T681" s="411"/>
      <c r="U681" s="411"/>
      <c r="V681" s="411"/>
      <c r="W681" s="411"/>
      <c r="X681" s="411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1"/>
      <c r="D682" s="411"/>
      <c r="E682" s="411"/>
      <c r="F682" s="411"/>
      <c r="G682" s="411"/>
      <c r="H682" s="411"/>
      <c r="I682" s="411"/>
      <c r="J682" s="411"/>
      <c r="K682" s="421"/>
      <c r="L682" s="421"/>
      <c r="M682" s="411"/>
      <c r="N682" s="421"/>
      <c r="O682" s="421"/>
      <c r="P682" s="411"/>
      <c r="Q682" s="421"/>
      <c r="R682" s="421"/>
      <c r="S682" s="411"/>
      <c r="T682" s="411"/>
      <c r="U682" s="411"/>
      <c r="V682" s="411"/>
      <c r="W682" s="411"/>
      <c r="X682" s="411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1"/>
      <c r="D683" s="411"/>
      <c r="E683" s="411"/>
      <c r="F683" s="411"/>
      <c r="G683" s="411"/>
      <c r="H683" s="411"/>
      <c r="I683" s="411"/>
      <c r="J683" s="411"/>
      <c r="K683" s="421"/>
      <c r="L683" s="421"/>
      <c r="M683" s="411"/>
      <c r="N683" s="421"/>
      <c r="O683" s="421"/>
      <c r="P683" s="411"/>
      <c r="Q683" s="421"/>
      <c r="R683" s="421"/>
      <c r="S683" s="411"/>
      <c r="T683" s="411"/>
      <c r="U683" s="411"/>
      <c r="V683" s="411"/>
      <c r="W683" s="411"/>
      <c r="X683" s="411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1"/>
      <c r="D684" s="411"/>
      <c r="E684" s="411"/>
      <c r="F684" s="411"/>
      <c r="G684" s="411"/>
      <c r="H684" s="411"/>
      <c r="I684" s="411"/>
      <c r="J684" s="411"/>
      <c r="K684" s="421"/>
      <c r="L684" s="421"/>
      <c r="M684" s="411"/>
      <c r="N684" s="411"/>
      <c r="O684" s="411"/>
      <c r="P684" s="411"/>
      <c r="Q684" s="411"/>
      <c r="R684" s="421"/>
      <c r="S684" s="411"/>
      <c r="T684" s="411"/>
      <c r="U684" s="411"/>
      <c r="V684" s="411"/>
      <c r="W684" s="411"/>
      <c r="X684" s="411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1"/>
      <c r="D685" s="411"/>
      <c r="E685" s="411"/>
      <c r="F685" s="411"/>
      <c r="G685" s="411"/>
      <c r="H685" s="411"/>
      <c r="I685" s="411"/>
      <c r="J685" s="411"/>
      <c r="K685" s="421"/>
      <c r="L685" s="421"/>
      <c r="M685" s="411"/>
      <c r="N685" s="423"/>
      <c r="O685" s="423"/>
      <c r="P685" s="411"/>
      <c r="Q685" s="423"/>
      <c r="R685" s="421"/>
      <c r="S685" s="411"/>
      <c r="T685" s="411"/>
      <c r="U685" s="411"/>
      <c r="V685" s="411"/>
      <c r="W685" s="411"/>
      <c r="X685" s="411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21"/>
      <c r="O686" s="421"/>
      <c r="P686" s="411"/>
      <c r="Q686" s="421"/>
      <c r="R686" s="411"/>
      <c r="S686" s="411"/>
      <c r="T686" s="411"/>
      <c r="U686" s="411"/>
      <c r="V686" s="411"/>
      <c r="W686" s="411"/>
      <c r="X686" s="411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1"/>
      <c r="D687" s="411"/>
      <c r="E687" s="411"/>
      <c r="F687" s="411"/>
      <c r="G687" s="411"/>
      <c r="H687" s="411"/>
      <c r="I687" s="411"/>
      <c r="J687" s="411"/>
      <c r="K687" s="423"/>
      <c r="L687" s="423"/>
      <c r="M687" s="411"/>
      <c r="N687" s="421"/>
      <c r="O687" s="421"/>
      <c r="P687" s="411"/>
      <c r="Q687" s="421"/>
      <c r="R687" s="423"/>
      <c r="S687" s="411"/>
      <c r="T687" s="411"/>
      <c r="U687" s="411"/>
      <c r="V687" s="411"/>
      <c r="W687" s="411"/>
      <c r="X687" s="411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1"/>
      <c r="D688" s="411"/>
      <c r="E688" s="411"/>
      <c r="F688" s="411"/>
      <c r="G688" s="411"/>
      <c r="H688" s="411"/>
      <c r="I688" s="411"/>
      <c r="J688" s="411"/>
      <c r="K688" s="421"/>
      <c r="L688" s="421"/>
      <c r="M688" s="411"/>
      <c r="N688" s="421"/>
      <c r="O688" s="421"/>
      <c r="P688" s="411"/>
      <c r="Q688" s="421"/>
      <c r="R688" s="421"/>
      <c r="S688" s="411"/>
      <c r="T688" s="411"/>
      <c r="U688" s="411"/>
      <c r="V688" s="411"/>
      <c r="W688" s="411"/>
      <c r="X688" s="411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1"/>
      <c r="D689" s="411"/>
      <c r="E689" s="411"/>
      <c r="F689" s="411"/>
      <c r="G689" s="411"/>
      <c r="H689" s="411"/>
      <c r="I689" s="411"/>
      <c r="J689" s="411"/>
      <c r="K689" s="421"/>
      <c r="L689" s="421"/>
      <c r="M689" s="411"/>
      <c r="N689" s="421"/>
      <c r="O689" s="421"/>
      <c r="P689" s="411"/>
      <c r="Q689" s="421"/>
      <c r="R689" s="421"/>
      <c r="S689" s="411"/>
      <c r="T689" s="411"/>
      <c r="U689" s="411"/>
      <c r="V689" s="411"/>
      <c r="W689" s="411"/>
      <c r="X689" s="411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1"/>
      <c r="D690" s="411"/>
      <c r="E690" s="411"/>
      <c r="F690" s="411"/>
      <c r="G690" s="411"/>
      <c r="H690" s="411"/>
      <c r="I690" s="411"/>
      <c r="J690" s="411"/>
      <c r="K690" s="421"/>
      <c r="L690" s="421"/>
      <c r="M690" s="411"/>
      <c r="N690" s="421"/>
      <c r="O690" s="421"/>
      <c r="P690" s="411"/>
      <c r="Q690" s="421"/>
      <c r="R690" s="421"/>
      <c r="S690" s="411"/>
      <c r="T690" s="411"/>
      <c r="U690" s="411"/>
      <c r="V690" s="411"/>
      <c r="W690" s="411"/>
      <c r="X690" s="411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1"/>
      <c r="D691" s="411"/>
      <c r="E691" s="411"/>
      <c r="F691" s="411"/>
      <c r="G691" s="411"/>
      <c r="H691" s="411"/>
      <c r="I691" s="411"/>
      <c r="J691" s="411"/>
      <c r="K691" s="421"/>
      <c r="L691" s="421"/>
      <c r="M691" s="411"/>
      <c r="N691" s="421"/>
      <c r="O691" s="421"/>
      <c r="P691" s="411"/>
      <c r="Q691" s="421"/>
      <c r="R691" s="421"/>
      <c r="S691" s="411"/>
      <c r="T691" s="411"/>
      <c r="U691" s="411"/>
      <c r="V691" s="411"/>
      <c r="W691" s="411"/>
      <c r="X691" s="411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1"/>
      <c r="D692" s="411"/>
      <c r="E692" s="411"/>
      <c r="F692" s="411"/>
      <c r="G692" s="411"/>
      <c r="H692" s="411"/>
      <c r="I692" s="411"/>
      <c r="J692" s="411"/>
      <c r="K692" s="421"/>
      <c r="L692" s="421"/>
      <c r="M692" s="411"/>
      <c r="N692" s="421"/>
      <c r="O692" s="421"/>
      <c r="P692" s="411"/>
      <c r="Q692" s="421"/>
      <c r="R692" s="421"/>
      <c r="S692" s="411"/>
      <c r="T692" s="411"/>
      <c r="U692" s="411"/>
      <c r="V692" s="411"/>
      <c r="W692" s="411"/>
      <c r="X692" s="411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1"/>
      <c r="D693" s="411"/>
      <c r="E693" s="411"/>
      <c r="F693" s="411"/>
      <c r="G693" s="411"/>
      <c r="H693" s="411"/>
      <c r="I693" s="411"/>
      <c r="J693" s="411"/>
      <c r="K693" s="421"/>
      <c r="L693" s="421"/>
      <c r="M693" s="411"/>
      <c r="N693" s="421"/>
      <c r="O693" s="421"/>
      <c r="P693" s="411"/>
      <c r="Q693" s="421"/>
      <c r="R693" s="421"/>
      <c r="S693" s="411"/>
      <c r="T693" s="411"/>
      <c r="U693" s="411"/>
      <c r="V693" s="411"/>
      <c r="W693" s="411"/>
      <c r="X693" s="411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1"/>
      <c r="D694" s="411"/>
      <c r="E694" s="411"/>
      <c r="F694" s="411"/>
      <c r="G694" s="411"/>
      <c r="H694" s="411"/>
      <c r="I694" s="411"/>
      <c r="J694" s="411"/>
      <c r="K694" s="421"/>
      <c r="L694" s="423"/>
      <c r="M694" s="411"/>
      <c r="N694" s="421"/>
      <c r="O694" s="421"/>
      <c r="P694" s="411"/>
      <c r="Q694" s="421"/>
      <c r="R694" s="423"/>
      <c r="S694" s="411"/>
      <c r="T694" s="411"/>
      <c r="U694" s="411"/>
      <c r="V694" s="411"/>
      <c r="W694" s="411"/>
      <c r="X694" s="411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1"/>
      <c r="D695" s="411"/>
      <c r="E695" s="411"/>
      <c r="F695" s="411"/>
      <c r="G695" s="411"/>
      <c r="H695" s="411"/>
      <c r="I695" s="411"/>
      <c r="J695" s="411"/>
      <c r="K695" s="421"/>
      <c r="L695" s="421"/>
      <c r="M695" s="411"/>
      <c r="N695" s="421"/>
      <c r="O695" s="421"/>
      <c r="P695" s="411"/>
      <c r="Q695" s="421"/>
      <c r="R695" s="421"/>
      <c r="S695" s="411"/>
      <c r="T695" s="411"/>
      <c r="U695" s="411"/>
      <c r="V695" s="411"/>
      <c r="W695" s="411"/>
      <c r="X695" s="411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1"/>
      <c r="D696" s="411"/>
      <c r="E696" s="411"/>
      <c r="F696" s="411"/>
      <c r="G696" s="411"/>
      <c r="H696" s="411"/>
      <c r="I696" s="411"/>
      <c r="J696" s="411"/>
      <c r="K696" s="421"/>
      <c r="L696" s="421"/>
      <c r="M696" s="411"/>
      <c r="N696" s="421"/>
      <c r="O696" s="421"/>
      <c r="P696" s="411"/>
      <c r="Q696" s="421"/>
      <c r="R696" s="421"/>
      <c r="S696" s="411"/>
      <c r="T696" s="411"/>
      <c r="U696" s="411"/>
      <c r="V696" s="411"/>
      <c r="W696" s="411"/>
      <c r="X696" s="411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1"/>
      <c r="D697" s="411"/>
      <c r="E697" s="411"/>
      <c r="F697" s="411"/>
      <c r="G697" s="411"/>
      <c r="H697" s="411"/>
      <c r="I697" s="411"/>
      <c r="J697" s="411"/>
      <c r="K697" s="421"/>
      <c r="L697" s="421"/>
      <c r="M697" s="411"/>
      <c r="N697" s="423"/>
      <c r="O697" s="423"/>
      <c r="P697" s="411"/>
      <c r="Q697" s="423"/>
      <c r="R697" s="421"/>
      <c r="S697" s="411"/>
      <c r="T697" s="411"/>
      <c r="U697" s="411"/>
      <c r="V697" s="411"/>
      <c r="W697" s="411"/>
      <c r="X697" s="411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20" type="noConversion"/>
  <conditionalFormatting sqref="F5 H318:H347 J318:K347 O318:P347">
    <cfRule type="expression" dxfId="285" priority="255" stopIfTrue="1">
      <formula>"esterreur(reference)"</formula>
    </cfRule>
  </conditionalFormatting>
  <conditionalFormatting sqref="F171">
    <cfRule type="expression" dxfId="284" priority="15" stopIfTrue="1">
      <formula>"esterreur(reference)"</formula>
    </cfRule>
  </conditionalFormatting>
  <conditionalFormatting sqref="F184">
    <cfRule type="expression" dxfId="283" priority="12" stopIfTrue="1">
      <formula>"esterreur(reference)"</formula>
    </cfRule>
  </conditionalFormatting>
  <conditionalFormatting sqref="F232">
    <cfRule type="expression" dxfId="282" priority="13" stopIfTrue="1">
      <formula>"esterreur(reference)"</formula>
    </cfRule>
  </conditionalFormatting>
  <conditionalFormatting sqref="G112:G113">
    <cfRule type="expression" dxfId="281" priority="75" stopIfTrue="1">
      <formula>"esterreur(reference)"</formula>
    </cfRule>
  </conditionalFormatting>
  <conditionalFormatting sqref="H136:H152">
    <cfRule type="expression" dxfId="280" priority="113" stopIfTrue="1">
      <formula>"esterreur(reference)"</formula>
    </cfRule>
  </conditionalFormatting>
  <conditionalFormatting sqref="H359">
    <cfRule type="expression" dxfId="279" priority="407" stopIfTrue="1">
      <formula>"esterreur(reference)"</formula>
    </cfRule>
  </conditionalFormatting>
  <conditionalFormatting sqref="H395:L398">
    <cfRule type="expression" dxfId="278" priority="404" stopIfTrue="1">
      <formula>"esterreur(reference)"</formula>
    </cfRule>
  </conditionalFormatting>
  <conditionalFormatting sqref="I5">
    <cfRule type="expression" dxfId="277" priority="74" stopIfTrue="1">
      <formula>"esterreur(reference)"</formula>
    </cfRule>
  </conditionalFormatting>
  <conditionalFormatting sqref="I184">
    <cfRule type="expression" dxfId="276" priority="71" stopIfTrue="1">
      <formula>"esterreur(reference)"</formula>
    </cfRule>
  </conditionalFormatting>
  <conditionalFormatting sqref="I376:L376 H377:H394">
    <cfRule type="expression" dxfId="275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4" priority="390" stopIfTrue="1">
      <formula>"esterreur(reference)"</formula>
    </cfRule>
  </conditionalFormatting>
  <conditionalFormatting sqref="J49:L72">
    <cfRule type="expression" dxfId="273" priority="118" stopIfTrue="1">
      <formula>"esterreur(reference)"</formula>
    </cfRule>
  </conditionalFormatting>
  <conditionalFormatting sqref="J102:L104">
    <cfRule type="expression" dxfId="272" priority="363" stopIfTrue="1">
      <formula>"esterreur(reference)"</formula>
    </cfRule>
  </conditionalFormatting>
  <conditionalFormatting sqref="J112:L121">
    <cfRule type="expression" dxfId="271" priority="335" stopIfTrue="1">
      <formula>"esterreur(reference)"</formula>
    </cfRule>
  </conditionalFormatting>
  <conditionalFormatting sqref="J123:L134">
    <cfRule type="expression" dxfId="270" priority="263" stopIfTrue="1">
      <formula>"esterreur(reference)"</formula>
    </cfRule>
  </conditionalFormatting>
  <conditionalFormatting sqref="J136:L152">
    <cfRule type="expression" dxfId="269" priority="112" stopIfTrue="1">
      <formula>"esterreur(reference)"</formula>
    </cfRule>
  </conditionalFormatting>
  <conditionalFormatting sqref="J295:L303">
    <cfRule type="expression" dxfId="268" priority="85" stopIfTrue="1">
      <formula>"esterreur(reference)"</formula>
    </cfRule>
  </conditionalFormatting>
  <conditionalFormatting sqref="J307:L308">
    <cfRule type="expression" dxfId="267" priority="279" stopIfTrue="1">
      <formula>"esterreur(reference)"</formula>
    </cfRule>
  </conditionalFormatting>
  <conditionalFormatting sqref="J359:L359">
    <cfRule type="expression" dxfId="266" priority="268" stopIfTrue="1">
      <formula>"esterreur(reference)"</formula>
    </cfRule>
  </conditionalFormatting>
  <conditionalFormatting sqref="J364:L375">
    <cfRule type="expression" dxfId="265" priority="275" stopIfTrue="1">
      <formula>"esterreur(reference)"</formula>
    </cfRule>
  </conditionalFormatting>
  <conditionalFormatting sqref="J377:L393">
    <cfRule type="expression" dxfId="264" priority="274" stopIfTrue="1">
      <formula>"esterreur(reference)"</formula>
    </cfRule>
  </conditionalFormatting>
  <conditionalFormatting sqref="J311:M312">
    <cfRule type="expression" dxfId="263" priority="36" stopIfTrue="1">
      <formula>"esterreur(reference)"</formula>
    </cfRule>
  </conditionalFormatting>
  <conditionalFormatting sqref="K5">
    <cfRule type="expression" dxfId="262" priority="284" stopIfTrue="1">
      <formula>"esterreur(reference)"</formula>
    </cfRule>
  </conditionalFormatting>
  <conditionalFormatting sqref="K394">
    <cfRule type="expression" dxfId="261" priority="408" stopIfTrue="1">
      <formula>"esterreur(reference)"</formula>
    </cfRule>
  </conditionalFormatting>
  <conditionalFormatting sqref="K93:L93">
    <cfRule type="expression" dxfId="260" priority="105" stopIfTrue="1">
      <formula>"esterreur(reference)"</formula>
    </cfRule>
  </conditionalFormatting>
  <conditionalFormatting sqref="K239:L241">
    <cfRule type="expression" dxfId="259" priority="86" stopIfTrue="1">
      <formula>"esterreur(reference)"</formula>
    </cfRule>
  </conditionalFormatting>
  <conditionalFormatting sqref="K244:L244">
    <cfRule type="expression" dxfId="258" priority="281" stopIfTrue="1">
      <formula>"esterreur(reference)"</formula>
    </cfRule>
  </conditionalFormatting>
  <conditionalFormatting sqref="K247:L247">
    <cfRule type="expression" dxfId="257" priority="280" stopIfTrue="1">
      <formula>"esterreur(reference)"</formula>
    </cfRule>
  </conditionalFormatting>
  <conditionalFormatting sqref="K99:M100">
    <cfRule type="expression" dxfId="256" priority="21" stopIfTrue="1">
      <formula>"esterreur(reference)"</formula>
    </cfRule>
  </conditionalFormatting>
  <conditionalFormatting sqref="L5:L14">
    <cfRule type="expression" dxfId="255" priority="73" stopIfTrue="1">
      <formula>"esterreur(reference)"</formula>
    </cfRule>
  </conditionalFormatting>
  <conditionalFormatting sqref="L16:L24">
    <cfRule type="expression" dxfId="254" priority="387" stopIfTrue="1">
      <formula>"esterreur(reference)"</formula>
    </cfRule>
  </conditionalFormatting>
  <conditionalFormatting sqref="L42:L48">
    <cfRule type="expression" dxfId="253" priority="383" stopIfTrue="1">
      <formula>"esterreur(reference)"</formula>
    </cfRule>
  </conditionalFormatting>
  <conditionalFormatting sqref="L75:L82">
    <cfRule type="expression" dxfId="252" priority="258" stopIfTrue="1">
      <formula>"esterreur(reference)"</formula>
    </cfRule>
  </conditionalFormatting>
  <conditionalFormatting sqref="L156:L162">
    <cfRule type="expression" dxfId="251" priority="109" stopIfTrue="1">
      <formula>"esterreur(reference)"</formula>
    </cfRule>
  </conditionalFormatting>
  <conditionalFormatting sqref="L184">
    <cfRule type="expression" dxfId="250" priority="70" stopIfTrue="1">
      <formula>"esterreur(reference)"</formula>
    </cfRule>
  </conditionalFormatting>
  <conditionalFormatting sqref="L254:L265">
    <cfRule type="expression" dxfId="249" priority="305" stopIfTrue="1">
      <formula>"esterreur(reference)"</formula>
    </cfRule>
  </conditionalFormatting>
  <conditionalFormatting sqref="L267:L285">
    <cfRule type="expression" dxfId="248" priority="260" stopIfTrue="1">
      <formula>"esterreur(reference)"</formula>
    </cfRule>
  </conditionalFormatting>
  <conditionalFormatting sqref="L318:L328">
    <cfRule type="expression" dxfId="247" priority="286" stopIfTrue="1">
      <formula>"esterreur(reference)"</formula>
    </cfRule>
  </conditionalFormatting>
  <conditionalFormatting sqref="L330:L347">
    <cfRule type="expression" dxfId="246" priority="259" stopIfTrue="1">
      <formula>"esterreur(reference)"</formula>
    </cfRule>
  </conditionalFormatting>
  <conditionalFormatting sqref="L355:L356 H356:I356 K356 J356:J357 H358:L358">
    <cfRule type="expression" dxfId="245" priority="403" stopIfTrue="1">
      <formula>"esterreur(reference)"</formula>
    </cfRule>
  </conditionalFormatting>
  <conditionalFormatting sqref="M13">
    <cfRule type="expression" dxfId="244" priority="24" stopIfTrue="1">
      <formula>"esterreur(reference)"</formula>
    </cfRule>
  </conditionalFormatting>
  <conditionalFormatting sqref="M95:M96">
    <cfRule type="expression" dxfId="243" priority="391" stopIfTrue="1">
      <formula>"esterreur(reference)"</formula>
    </cfRule>
  </conditionalFormatting>
  <conditionalFormatting sqref="M24:N24">
    <cfRule type="expression" dxfId="242" priority="23" stopIfTrue="1">
      <formula>"esterreur(reference)"</formula>
    </cfRule>
  </conditionalFormatting>
  <conditionalFormatting sqref="M27:N27">
    <cfRule type="expression" dxfId="241" priority="22" stopIfTrue="1">
      <formula>"esterreur(reference)"</formula>
    </cfRule>
  </conditionalFormatting>
  <conditionalFormatting sqref="N54">
    <cfRule type="expression" dxfId="240" priority="28" stopIfTrue="1">
      <formula>"esterreur(reference)"</formula>
    </cfRule>
  </conditionalFormatting>
  <conditionalFormatting sqref="N72">
    <cfRule type="expression" dxfId="239" priority="27" stopIfTrue="1">
      <formula>"esterreur(reference)"</formula>
    </cfRule>
  </conditionalFormatting>
  <conditionalFormatting sqref="N83">
    <cfRule type="expression" dxfId="238" priority="26" stopIfTrue="1">
      <formula>"esterreur(reference)"</formula>
    </cfRule>
  </conditionalFormatting>
  <conditionalFormatting sqref="N85">
    <cfRule type="expression" dxfId="237" priority="25" stopIfTrue="1">
      <formula>"esterreur(reference)"</formula>
    </cfRule>
  </conditionalFormatting>
  <conditionalFormatting sqref="N105">
    <cfRule type="expression" dxfId="236" priority="20" stopIfTrue="1">
      <formula>"esterreur(reference)"</formula>
    </cfRule>
  </conditionalFormatting>
  <conditionalFormatting sqref="N108">
    <cfRule type="expression" dxfId="235" priority="19" stopIfTrue="1">
      <formula>"esterreur(reference)"</formula>
    </cfRule>
  </conditionalFormatting>
  <conditionalFormatting sqref="N122">
    <cfRule type="expression" dxfId="234" priority="18" stopIfTrue="1">
      <formula>"esterreur(reference)"</formula>
    </cfRule>
  </conditionalFormatting>
  <conditionalFormatting sqref="N135">
    <cfRule type="expression" dxfId="233" priority="17" stopIfTrue="1">
      <formula>"esterreur(reference)"</formula>
    </cfRule>
  </conditionalFormatting>
  <conditionalFormatting sqref="N153">
    <cfRule type="expression" dxfId="232" priority="16" stopIfTrue="1">
      <formula>"esterreur(reference)"</formula>
    </cfRule>
  </conditionalFormatting>
  <conditionalFormatting sqref="N304">
    <cfRule type="expression" dxfId="231" priority="8" stopIfTrue="1">
      <formula>"esterreur(reference)"</formula>
    </cfRule>
  </conditionalFormatting>
  <conditionalFormatting sqref="N309">
    <cfRule type="expression" dxfId="230" priority="7" stopIfTrue="1">
      <formula>"esterreur(reference)"</formula>
    </cfRule>
  </conditionalFormatting>
  <conditionalFormatting sqref="N361">
    <cfRule type="expression" dxfId="229" priority="3" stopIfTrue="1">
      <formula>"esterreur(reference)"</formula>
    </cfRule>
  </conditionalFormatting>
  <conditionalFormatting sqref="N376">
    <cfRule type="expression" dxfId="228" priority="2" stopIfTrue="1">
      <formula>"esterreur(reference)"</formula>
    </cfRule>
  </conditionalFormatting>
  <conditionalFormatting sqref="N232:Q232">
    <cfRule type="expression" dxfId="227" priority="11" stopIfTrue="1">
      <formula>"esterreur(reference)"</formula>
    </cfRule>
  </conditionalFormatting>
  <conditionalFormatting sqref="N348:Q348">
    <cfRule type="expression" dxfId="226" priority="5" stopIfTrue="1">
      <formula>"esterreur(reference)"</formula>
    </cfRule>
  </conditionalFormatting>
  <conditionalFormatting sqref="N351:Q351">
    <cfRule type="expression" dxfId="225" priority="4" stopIfTrue="1">
      <formula>"esterreur(reference)"</formula>
    </cfRule>
  </conditionalFormatting>
  <conditionalFormatting sqref="N395:Q398">
    <cfRule type="expression" dxfId="224" priority="1" stopIfTrue="1">
      <formula>"esterreur(reference)"</formula>
    </cfRule>
  </conditionalFormatting>
  <conditionalFormatting sqref="O13:O14 O16 O18:O24 O83:Q85">
    <cfRule type="expression" dxfId="223" priority="250" stopIfTrue="1">
      <formula>"esterreur(reference)"</formula>
    </cfRule>
  </conditionalFormatting>
  <conditionalFormatting sqref="O229:P229 O233:P233">
    <cfRule type="expression" dxfId="222" priority="181" stopIfTrue="1">
      <formula>"esterreur(reference)"</formula>
    </cfRule>
  </conditionalFormatting>
  <conditionalFormatting sqref="O25:Q72">
    <cfRule type="expression" dxfId="221" priority="119" stopIfTrue="1">
      <formula>"esterreur(reference)"</formula>
    </cfRule>
  </conditionalFormatting>
  <conditionalFormatting sqref="O101:Q153">
    <cfRule type="expression" dxfId="220" priority="31" stopIfTrue="1">
      <formula>"esterreur(reference)"</formula>
    </cfRule>
  </conditionalFormatting>
  <conditionalFormatting sqref="O243:Q243 O252:Q253 O254:P283 O284:O285 O289:P289">
    <cfRule type="expression" dxfId="219" priority="66" stopIfTrue="1">
      <formula>"esterreur(reference)"</formula>
    </cfRule>
  </conditionalFormatting>
  <conditionalFormatting sqref="O288:Q288">
    <cfRule type="expression" dxfId="218" priority="10" stopIfTrue="1">
      <formula>"esterreur(reference)"</formula>
    </cfRule>
  </conditionalFormatting>
  <conditionalFormatting sqref="O295:Q310">
    <cfRule type="expression" dxfId="217" priority="132" stopIfTrue="1">
      <formula>"esterreur(reference)"</formula>
    </cfRule>
  </conditionalFormatting>
  <conditionalFormatting sqref="O313:Q317 O352:P352">
    <cfRule type="expression" dxfId="216" priority="146" stopIfTrue="1">
      <formula>"esterreur(reference)"</formula>
    </cfRule>
  </conditionalFormatting>
  <conditionalFormatting sqref="O358:Q393">
    <cfRule type="expression" dxfId="215" priority="120" stopIfTrue="1">
      <formula>"esterreur(reference)"</formula>
    </cfRule>
  </conditionalFormatting>
  <conditionalFormatting sqref="O311:R312">
    <cfRule type="expression" dxfId="214" priority="33" stopIfTrue="1">
      <formula>"esterreur(reference)"</formula>
    </cfRule>
  </conditionalFormatting>
  <conditionalFormatting sqref="P5">
    <cfRule type="expression" dxfId="213" priority="227" stopIfTrue="1">
      <formula>"esterreur(reference)"</formula>
    </cfRule>
  </conditionalFormatting>
  <conditionalFormatting sqref="P97 O98:Q98 O156:P157 O164:Q164 O165:P165">
    <cfRule type="expression" dxfId="212" priority="218" stopIfTrue="1">
      <formula>"esterreur(reference)"</formula>
    </cfRule>
  </conditionalFormatting>
  <conditionalFormatting sqref="P394">
    <cfRule type="expression" dxfId="211" priority="129" stopIfTrue="1">
      <formula>"esterreur(reference)"</formula>
    </cfRule>
  </conditionalFormatting>
  <conditionalFormatting sqref="P93:Q93">
    <cfRule type="expression" dxfId="210" priority="104" stopIfTrue="1">
      <formula>"esterreur(reference)"</formula>
    </cfRule>
  </conditionalFormatting>
  <conditionalFormatting sqref="P99:Q100">
    <cfRule type="expression" dxfId="209" priority="106" stopIfTrue="1">
      <formula>"esterreur(reference)"</formula>
    </cfRule>
  </conditionalFormatting>
  <conditionalFormatting sqref="P241:Q241">
    <cfRule type="expression" dxfId="208" priority="41" stopIfTrue="1">
      <formula>"esterreur(reference)"</formula>
    </cfRule>
  </conditionalFormatting>
  <conditionalFormatting sqref="P244:Q244">
    <cfRule type="expression" dxfId="207" priority="45" stopIfTrue="1">
      <formula>"esterreur(reference)"</formula>
    </cfRule>
  </conditionalFormatting>
  <conditionalFormatting sqref="P247:Q247">
    <cfRule type="expression" dxfId="206" priority="44" stopIfTrue="1">
      <formula>"esterreur(reference)"</formula>
    </cfRule>
  </conditionalFormatting>
  <conditionalFormatting sqref="Q5:Q14">
    <cfRule type="expression" dxfId="205" priority="72" stopIfTrue="1">
      <formula>"esterreur(reference)"</formula>
    </cfRule>
  </conditionalFormatting>
  <conditionalFormatting sqref="Q16:Q24">
    <cfRule type="expression" dxfId="204" priority="247" stopIfTrue="1">
      <formula>"esterreur(reference)"</formula>
    </cfRule>
  </conditionalFormatting>
  <conditionalFormatting sqref="Q75:Q82">
    <cfRule type="expression" dxfId="203" priority="229" stopIfTrue="1">
      <formula>"esterreur(reference)"</formula>
    </cfRule>
  </conditionalFormatting>
  <conditionalFormatting sqref="Q156:Q162">
    <cfRule type="expression" dxfId="202" priority="189" stopIfTrue="1">
      <formula>"esterreur(reference)"</formula>
    </cfRule>
  </conditionalFormatting>
  <conditionalFormatting sqref="Q184">
    <cfRule type="expression" dxfId="201" priority="69" stopIfTrue="1">
      <formula>"esterreur(reference)"</formula>
    </cfRule>
  </conditionalFormatting>
  <conditionalFormatting sqref="Q254:Q265">
    <cfRule type="expression" dxfId="200" priority="53" stopIfTrue="1">
      <formula>"esterreur(reference)"</formula>
    </cfRule>
  </conditionalFormatting>
  <conditionalFormatting sqref="Q267:Q285">
    <cfRule type="expression" dxfId="199" priority="43" stopIfTrue="1">
      <formula>"esterreur(reference)"</formula>
    </cfRule>
  </conditionalFormatting>
  <conditionalFormatting sqref="Q318:Q328">
    <cfRule type="expression" dxfId="198" priority="134" stopIfTrue="1">
      <formula>"esterreur(reference)"</formula>
    </cfRule>
  </conditionalFormatting>
  <conditionalFormatting sqref="Q330:Q347">
    <cfRule type="expression" dxfId="197" priority="130" stopIfTrue="1">
      <formula>"esterreur(reference)"</formula>
    </cfRule>
  </conditionalFormatting>
  <conditionalFormatting sqref="S186">
    <cfRule type="expression" dxfId="196" priority="267" stopIfTrue="1">
      <formula>"esterreur(reference)"</formula>
    </cfRule>
  </conditionalFormatting>
  <conditionalFormatting sqref="AG408:AG417 AI408:AI417">
    <cfRule type="cellIs" dxfId="195" priority="108" operator="greaterThan">
      <formula>0</formula>
    </cfRule>
  </conditionalFormatting>
  <conditionalFormatting sqref="AI419:AI450 AG431 AI452:AI459 AI465:AI467 AI490:AI495 AH496:AI496">
    <cfRule type="cellIs" dxfId="194" priority="399" operator="greaterThan">
      <formula>0</formula>
    </cfRule>
  </conditionalFormatting>
  <conditionalFormatting sqref="AI468:AI479">
    <cfRule type="cellIs" dxfId="193" priority="400" operator="lessThan">
      <formula>0</formula>
    </cfRule>
  </conditionalFormatting>
  <conditionalFormatting sqref="AO408:AO417">
    <cfRule type="cellIs" dxfId="192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ColWidth="11.25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3F07-4A91-4BCB-A000-B17DFA5E4F21}">
  <sheetPr>
    <tabColor rgb="FFFFC000"/>
  </sheetPr>
  <dimension ref="A1:BJ693"/>
  <sheetViews>
    <sheetView topLeftCell="O480" zoomScale="80" zoomScaleNormal="80" workbookViewId="0">
      <selection activeCell="F20" sqref="F20"/>
    </sheetView>
  </sheetViews>
  <sheetFormatPr baseColWidth="10" defaultColWidth="12.625" defaultRowHeight="15" customHeight="1"/>
  <cols>
    <col min="1" max="1" width="10.375" style="476" customWidth="1"/>
    <col min="2" max="2" width="21.875" style="476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472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3" t="s">
        <v>5</v>
      </c>
      <c r="E3" s="884"/>
      <c r="F3" s="885"/>
      <c r="G3" s="886"/>
      <c r="H3" s="884"/>
      <c r="I3" s="885"/>
      <c r="J3" s="886" t="s">
        <v>7</v>
      </c>
      <c r="K3" s="884"/>
      <c r="L3" s="885"/>
      <c r="M3" s="886" t="s">
        <v>220</v>
      </c>
      <c r="N3" s="885"/>
      <c r="O3" s="883" t="s">
        <v>8</v>
      </c>
      <c r="P3" s="884"/>
      <c r="Q3" s="885"/>
      <c r="R3" s="886" t="s">
        <v>221</v>
      </c>
      <c r="S3" s="885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3150915.1351248776</v>
      </c>
      <c r="G5" s="496"/>
      <c r="H5" s="496"/>
      <c r="I5" s="498"/>
      <c r="J5" s="495"/>
      <c r="K5" s="499"/>
      <c r="L5" s="497">
        <v>2860821</v>
      </c>
      <c r="M5" s="500"/>
      <c r="N5" s="501"/>
      <c r="O5" s="495"/>
      <c r="P5" s="499"/>
      <c r="Q5" s="497">
        <v>3890022.88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15</v>
      </c>
      <c r="E6" s="543">
        <v>1953.6491683802794</v>
      </c>
      <c r="F6" s="543">
        <v>29304.737525704193</v>
      </c>
      <c r="G6" s="506"/>
      <c r="H6" s="543"/>
      <c r="I6" s="543"/>
      <c r="J6" s="506">
        <v>24</v>
      </c>
      <c r="K6" s="543">
        <v>1996.3658333333381</v>
      </c>
      <c r="L6" s="507">
        <v>47912.780000000115</v>
      </c>
      <c r="M6" s="506">
        <v>9</v>
      </c>
      <c r="N6" s="507">
        <v>18608.042474295922</v>
      </c>
      <c r="O6" s="506">
        <v>18</v>
      </c>
      <c r="P6" s="543">
        <v>2168.0938888888832</v>
      </c>
      <c r="Q6" s="507">
        <v>39025.6899999999</v>
      </c>
      <c r="R6" s="506">
        <v>6</v>
      </c>
      <c r="S6" s="507">
        <v>8887.0900000002148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42</v>
      </c>
      <c r="E7" s="543">
        <v>2435.9046775963693</v>
      </c>
      <c r="F7" s="543">
        <v>102307.99645904751</v>
      </c>
      <c r="G7" s="506"/>
      <c r="H7" s="543"/>
      <c r="I7" s="543"/>
      <c r="J7" s="506">
        <v>32</v>
      </c>
      <c r="K7" s="543">
        <v>2603.3337500000016</v>
      </c>
      <c r="L7" s="507">
        <v>83306.680000000051</v>
      </c>
      <c r="M7" s="506">
        <v>-10</v>
      </c>
      <c r="N7" s="507">
        <v>-19001.316459047463</v>
      </c>
      <c r="O7" s="506">
        <v>51</v>
      </c>
      <c r="P7" s="543">
        <v>2906.286862745098</v>
      </c>
      <c r="Q7" s="507">
        <v>148220.63</v>
      </c>
      <c r="R7" s="506">
        <v>-19</v>
      </c>
      <c r="S7" s="507">
        <v>-64913.949999999953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57</v>
      </c>
      <c r="E13" s="580">
        <v>2308.9953330658195</v>
      </c>
      <c r="F13" s="581">
        <v>131612.73398475171</v>
      </c>
      <c r="G13" s="512"/>
      <c r="H13" s="580"/>
      <c r="I13" s="581"/>
      <c r="J13" s="512">
        <v>56</v>
      </c>
      <c r="K13" s="580">
        <v>2343.2046428571457</v>
      </c>
      <c r="L13" s="581">
        <v>131219.46000000017</v>
      </c>
      <c r="M13" s="512">
        <v>-1</v>
      </c>
      <c r="N13" s="581">
        <v>-393.27398475154041</v>
      </c>
      <c r="O13" s="512">
        <v>69</v>
      </c>
      <c r="P13" s="580">
        <v>2713.7147826086939</v>
      </c>
      <c r="Q13" s="581">
        <v>187246.31999999989</v>
      </c>
      <c r="R13" s="512">
        <v>-13</v>
      </c>
      <c r="S13" s="581">
        <v>-56026.859999999739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-1.7543859649122806E-2</v>
      </c>
      <c r="N14" s="786">
        <v>-2.9881150010690003E-3</v>
      </c>
      <c r="O14" s="502"/>
      <c r="P14" s="543"/>
      <c r="Q14" s="527"/>
      <c r="R14" s="785">
        <v>-0.18840579710144928</v>
      </c>
      <c r="S14" s="786">
        <v>-0.29921474558218164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3</v>
      </c>
      <c r="E15" s="499">
        <v>1534.7521433415677</v>
      </c>
      <c r="F15" s="497">
        <v>4604.2564300247031</v>
      </c>
      <c r="G15" s="519"/>
      <c r="H15" s="499"/>
      <c r="I15" s="497"/>
      <c r="J15" s="582">
        <v>2</v>
      </c>
      <c r="K15" s="787">
        <v>495.50500000000102</v>
      </c>
      <c r="L15" s="787">
        <v>991.01000000000204</v>
      </c>
      <c r="M15" s="519">
        <v>-1</v>
      </c>
      <c r="N15" s="497">
        <v>-3613.2464300247011</v>
      </c>
      <c r="O15" s="582">
        <v>4</v>
      </c>
      <c r="P15" s="787">
        <v>2264.375</v>
      </c>
      <c r="Q15" s="787">
        <v>9057.5</v>
      </c>
      <c r="R15" s="519">
        <v>-2</v>
      </c>
      <c r="S15" s="497">
        <v>-8066.489999999998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6375</v>
      </c>
      <c r="G19" s="506"/>
      <c r="H19" s="543"/>
      <c r="I19" s="543"/>
      <c r="J19" s="519"/>
      <c r="K19" s="543"/>
      <c r="L19" s="507">
        <v>5903.289999999979</v>
      </c>
      <c r="M19" s="506"/>
      <c r="N19" s="507">
        <v>-471.71000000002095</v>
      </c>
      <c r="O19" s="519"/>
      <c r="P19" s="543"/>
      <c r="Q19" s="507">
        <v>6030.3699999999899</v>
      </c>
      <c r="R19" s="506">
        <v>0</v>
      </c>
      <c r="S19" s="507">
        <v>-127.08000000001084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3000</v>
      </c>
      <c r="G21" s="506"/>
      <c r="H21" s="543"/>
      <c r="I21" s="543"/>
      <c r="J21" s="506"/>
      <c r="K21" s="543">
        <v>0</v>
      </c>
      <c r="L21" s="507">
        <v>0</v>
      </c>
      <c r="M21" s="506"/>
      <c r="N21" s="507">
        <v>-3000</v>
      </c>
      <c r="O21" s="506"/>
      <c r="P21" s="543"/>
      <c r="Q21" s="507">
        <v>0</v>
      </c>
      <c r="R21" s="506">
        <v>0</v>
      </c>
      <c r="S21" s="507">
        <v>0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55800</v>
      </c>
      <c r="G22" s="506"/>
      <c r="H22" s="543"/>
      <c r="I22" s="543"/>
      <c r="J22" s="506"/>
      <c r="K22" s="543">
        <v>931.86034482758623</v>
      </c>
      <c r="L22" s="507">
        <v>54047.9</v>
      </c>
      <c r="M22" s="506"/>
      <c r="N22" s="507">
        <v>-1752.0999999999985</v>
      </c>
      <c r="O22" s="506"/>
      <c r="P22" s="543"/>
      <c r="Q22" s="507">
        <v>55912.32</v>
      </c>
      <c r="R22" s="506">
        <v>-931.86034482758623</v>
      </c>
      <c r="S22" s="507">
        <v>-1864.4199999999983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1200</v>
      </c>
      <c r="G23" s="506"/>
      <c r="H23" s="543"/>
      <c r="I23" s="543"/>
      <c r="J23" s="506"/>
      <c r="K23" s="543">
        <v>0</v>
      </c>
      <c r="L23" s="507">
        <v>0</v>
      </c>
      <c r="M23" s="519"/>
      <c r="N23" s="507">
        <v>-1200</v>
      </c>
      <c r="O23" s="506"/>
      <c r="P23" s="543"/>
      <c r="Q23" s="507">
        <v>1358.23</v>
      </c>
      <c r="R23" s="506">
        <v>0</v>
      </c>
      <c r="S23" s="507">
        <v>-1358.23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60</v>
      </c>
      <c r="E24" s="580">
        <v>1000</v>
      </c>
      <c r="F24" s="581">
        <v>60000</v>
      </c>
      <c r="G24" s="512"/>
      <c r="H24" s="580"/>
      <c r="I24" s="581"/>
      <c r="J24" s="512">
        <v>58</v>
      </c>
      <c r="K24" s="580">
        <v>931.86034482758623</v>
      </c>
      <c r="L24" s="581">
        <v>54047.9</v>
      </c>
      <c r="M24" s="526">
        <v>-2</v>
      </c>
      <c r="N24" s="581">
        <v>-5952.0999999999985</v>
      </c>
      <c r="O24" s="512">
        <v>73</v>
      </c>
      <c r="P24" s="580">
        <v>784.52808219178087</v>
      </c>
      <c r="Q24" s="581">
        <v>57270.55</v>
      </c>
      <c r="R24" s="525"/>
      <c r="S24" s="581">
        <v>-3222.6500000000015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-9.9201666666666646E-2</v>
      </c>
      <c r="O25" s="502"/>
      <c r="P25" s="486"/>
      <c r="Q25" s="505"/>
      <c r="R25" s="504"/>
      <c r="S25" s="514">
        <v>-5.6270631240663851E-2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62</v>
      </c>
      <c r="E27" s="530">
        <v>3344.8337847291286</v>
      </c>
      <c r="F27" s="531">
        <v>207379.69465320598</v>
      </c>
      <c r="G27" s="532"/>
      <c r="H27" s="530"/>
      <c r="I27" s="531"/>
      <c r="J27" s="532">
        <v>58</v>
      </c>
      <c r="K27" s="530">
        <v>3313.1320689655199</v>
      </c>
      <c r="L27" s="531">
        <v>192161.66000000015</v>
      </c>
      <c r="M27" s="532">
        <v>-4</v>
      </c>
      <c r="N27" s="531">
        <v>-15218.034653205832</v>
      </c>
      <c r="O27" s="532">
        <v>73</v>
      </c>
      <c r="P27" s="530">
        <v>3556.2293150684914</v>
      </c>
      <c r="Q27" s="531">
        <v>259604.73999999987</v>
      </c>
      <c r="R27" s="532">
        <v>-15</v>
      </c>
      <c r="S27" s="531">
        <v>-67443.079999999725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0.92661752791827356</v>
      </c>
      <c r="M28" s="537">
        <v>-6.4516129032258063E-2</v>
      </c>
      <c r="N28" s="536">
        <v>-7.3382472081726394E-2</v>
      </c>
      <c r="O28" s="533"/>
      <c r="P28" s="534"/>
      <c r="Q28" s="535"/>
      <c r="R28" s="537">
        <v>-0.20547945205479451</v>
      </c>
      <c r="S28" s="536">
        <v>-0.25979140442504922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0.33304493795843365</v>
      </c>
      <c r="E31" s="503">
        <v>756.10631869289614</v>
      </c>
      <c r="F31" s="543">
        <v>45366.379121573766</v>
      </c>
      <c r="G31" s="587"/>
      <c r="H31" s="503"/>
      <c r="I31" s="543"/>
      <c r="J31" s="587">
        <v>0.30815297759700838</v>
      </c>
      <c r="K31" s="503">
        <v>702.43189655172421</v>
      </c>
      <c r="L31" s="543">
        <v>40741.050000000003</v>
      </c>
      <c r="M31" s="502"/>
      <c r="N31" s="505">
        <v>-4625.3291215737627</v>
      </c>
      <c r="O31" s="792">
        <v>0.24820204721436409</v>
      </c>
      <c r="P31" s="503">
        <v>667.43849315068496</v>
      </c>
      <c r="Q31" s="507">
        <v>48723.01</v>
      </c>
      <c r="R31" s="502"/>
      <c r="S31" s="505">
        <v>-7981.9599999999991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</v>
      </c>
      <c r="F32" s="497">
        <v>16800</v>
      </c>
      <c r="G32" s="588"/>
      <c r="H32" s="516"/>
      <c r="I32" s="497"/>
      <c r="J32" s="588">
        <v>0.20000869599003845</v>
      </c>
      <c r="K32" s="516">
        <v>186.3801724137931</v>
      </c>
      <c r="L32" s="497">
        <v>10810.05</v>
      </c>
      <c r="M32" s="495"/>
      <c r="N32" s="517">
        <v>-5989.9500000000007</v>
      </c>
      <c r="O32" s="794">
        <v>0.29711867617824522</v>
      </c>
      <c r="P32" s="516">
        <v>233.09794520547948</v>
      </c>
      <c r="Q32" s="497">
        <v>17016.150000000001</v>
      </c>
      <c r="R32" s="495"/>
      <c r="S32" s="517">
        <v>-6206.1000000000022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6900</v>
      </c>
      <c r="G33" s="545"/>
      <c r="H33" s="503"/>
      <c r="I33" s="543"/>
      <c r="J33" s="502"/>
      <c r="K33" s="503">
        <v>166.21517241379308</v>
      </c>
      <c r="L33" s="543">
        <v>9640.48</v>
      </c>
      <c r="M33" s="502"/>
      <c r="N33" s="505">
        <v>2740.4799999999996</v>
      </c>
      <c r="O33" s="502"/>
      <c r="P33" s="503">
        <v>51.421369863013702</v>
      </c>
      <c r="Q33" s="507">
        <v>3753.76</v>
      </c>
      <c r="R33" s="502"/>
      <c r="S33" s="505">
        <v>5886.7199999999993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600</v>
      </c>
      <c r="G34" s="545"/>
      <c r="H34" s="503"/>
      <c r="I34" s="543"/>
      <c r="J34" s="502"/>
      <c r="K34" s="503">
        <v>6.0170689655172414</v>
      </c>
      <c r="L34" s="543">
        <v>348.99</v>
      </c>
      <c r="M34" s="502"/>
      <c r="N34" s="505">
        <v>-251.01</v>
      </c>
      <c r="O34" s="502"/>
      <c r="P34" s="503">
        <v>1.516027397260274</v>
      </c>
      <c r="Q34" s="507">
        <v>110.67</v>
      </c>
      <c r="R34" s="502"/>
      <c r="S34" s="505">
        <v>238.32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7245</v>
      </c>
      <c r="G35" s="547"/>
      <c r="H35" s="516"/>
      <c r="I35" s="497"/>
      <c r="J35" s="495"/>
      <c r="K35" s="516">
        <v>133.99603448275863</v>
      </c>
      <c r="L35" s="497">
        <v>7771.77</v>
      </c>
      <c r="M35" s="495"/>
      <c r="N35" s="517">
        <v>526.77000000000044</v>
      </c>
      <c r="O35" s="495"/>
      <c r="P35" s="516">
        <v>164.94</v>
      </c>
      <c r="Q35" s="507">
        <v>12040.62</v>
      </c>
      <c r="R35" s="495"/>
      <c r="S35" s="517">
        <v>-4268.8500000000004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91.033333333333331</v>
      </c>
      <c r="F36" s="543">
        <v>5462</v>
      </c>
      <c r="G36" s="545"/>
      <c r="H36" s="503"/>
      <c r="I36" s="543"/>
      <c r="J36" s="502"/>
      <c r="K36" s="503">
        <v>245.72724137931036</v>
      </c>
      <c r="L36" s="548">
        <v>14252.18</v>
      </c>
      <c r="M36" s="486"/>
      <c r="N36" s="505">
        <v>8790.18</v>
      </c>
      <c r="O36" s="502"/>
      <c r="P36" s="503">
        <v>131.05397260273958</v>
      </c>
      <c r="Q36" s="524">
        <v>9566.9399999999896</v>
      </c>
      <c r="R36" s="502"/>
      <c r="S36" s="505">
        <v>4685.2400000000107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601.02305483238945</v>
      </c>
      <c r="F37" s="543">
        <v>36061.383289943369</v>
      </c>
      <c r="G37" s="545"/>
      <c r="H37" s="503"/>
      <c r="I37" s="543"/>
      <c r="J37" s="502"/>
      <c r="K37" s="503">
        <v>-85.485517241379313</v>
      </c>
      <c r="L37" s="549">
        <v>-4958.16</v>
      </c>
      <c r="M37" s="486"/>
      <c r="N37" s="505">
        <v>-41019.543289943365</v>
      </c>
      <c r="O37" s="502"/>
      <c r="P37" s="503">
        <v>474.72863013698634</v>
      </c>
      <c r="Q37" s="507">
        <v>34655.19</v>
      </c>
      <c r="R37" s="502"/>
      <c r="S37" s="505">
        <v>-39613.350000000006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0.57110105504577746</v>
      </c>
      <c r="F41" s="554">
        <v>118434.76241151712</v>
      </c>
      <c r="G41" s="621"/>
      <c r="H41" s="553"/>
      <c r="I41" s="554"/>
      <c r="J41" s="621" t="s">
        <v>39</v>
      </c>
      <c r="K41" s="553">
        <v>0.40906370188517277</v>
      </c>
      <c r="L41" s="554">
        <v>78606.359999999986</v>
      </c>
      <c r="M41" s="796"/>
      <c r="N41" s="554">
        <v>-39828.402411517134</v>
      </c>
      <c r="O41" s="621" t="s">
        <v>39</v>
      </c>
      <c r="P41" s="553">
        <v>0.4848383739064242</v>
      </c>
      <c r="Q41" s="797">
        <v>125866.33999999998</v>
      </c>
      <c r="R41" s="555"/>
      <c r="S41" s="554">
        <v>-47259.979999999996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24486.465384615389</v>
      </c>
      <c r="G42" s="502"/>
      <c r="H42" s="486"/>
      <c r="I42" s="543"/>
      <c r="J42" s="502"/>
      <c r="K42" s="486"/>
      <c r="L42" s="507">
        <v>22738.29</v>
      </c>
      <c r="M42" s="502"/>
      <c r="N42" s="505">
        <v>-1748.1753846153879</v>
      </c>
      <c r="O42" s="502"/>
      <c r="P42" s="798">
        <v>5.0650269328672524E-2</v>
      </c>
      <c r="Q42" s="507">
        <v>13149.05</v>
      </c>
      <c r="R42" s="502"/>
      <c r="S42" s="505">
        <v>9589.2400000000016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13904.219076923078</v>
      </c>
      <c r="G43" s="545"/>
      <c r="H43" s="486"/>
      <c r="I43" s="497"/>
      <c r="J43" s="502"/>
      <c r="K43" s="486"/>
      <c r="L43" s="507">
        <v>12985.89</v>
      </c>
      <c r="M43" s="502"/>
      <c r="N43" s="505">
        <v>-918.3290769230789</v>
      </c>
      <c r="O43" s="502"/>
      <c r="P43" s="486"/>
      <c r="Q43" s="507">
        <v>9365.85</v>
      </c>
      <c r="R43" s="502"/>
      <c r="S43" s="505">
        <v>3620.0399999999991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315.55384615384617</v>
      </c>
      <c r="G44" s="560"/>
      <c r="H44" s="559"/>
      <c r="I44" s="543"/>
      <c r="J44" s="488"/>
      <c r="K44" s="559"/>
      <c r="L44" s="524">
        <v>1208.75</v>
      </c>
      <c r="M44" s="488"/>
      <c r="N44" s="523">
        <v>893.19615384615383</v>
      </c>
      <c r="O44" s="488"/>
      <c r="P44" s="559"/>
      <c r="Q44" s="524">
        <v>4575.3599999999997</v>
      </c>
      <c r="R44" s="488"/>
      <c r="S44" s="523">
        <v>-3366.6099999999997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13219.128099359219</v>
      </c>
      <c r="G49" s="545"/>
      <c r="H49" s="486"/>
      <c r="I49" s="497"/>
      <c r="J49" s="502"/>
      <c r="K49" s="486"/>
      <c r="L49" s="497">
        <v>12288.84</v>
      </c>
      <c r="M49" s="502"/>
      <c r="N49" s="505">
        <v>-930.2880993592189</v>
      </c>
      <c r="O49" s="502"/>
      <c r="P49" s="486"/>
      <c r="Q49" s="497">
        <v>11763.15</v>
      </c>
      <c r="R49" s="502"/>
      <c r="S49" s="505">
        <v>525.69000000000051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16072.596279397112</v>
      </c>
      <c r="G50" s="560"/>
      <c r="H50" s="559"/>
      <c r="I50" s="543"/>
      <c r="J50" s="488"/>
      <c r="K50" s="559"/>
      <c r="L50" s="507">
        <v>15510.75</v>
      </c>
      <c r="M50" s="488"/>
      <c r="N50" s="523">
        <v>-561.84627939711208</v>
      </c>
      <c r="O50" s="488"/>
      <c r="P50" s="559"/>
      <c r="Q50" s="507">
        <v>18598.07</v>
      </c>
      <c r="R50" s="488"/>
      <c r="S50" s="523">
        <v>-3087.3199999999997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8280.8811265589466</v>
      </c>
      <c r="G51" s="545"/>
      <c r="H51" s="486"/>
      <c r="I51" s="543"/>
      <c r="J51" s="502"/>
      <c r="K51" s="486"/>
      <c r="L51" s="507">
        <v>8178.51</v>
      </c>
      <c r="M51" s="502"/>
      <c r="N51" s="505">
        <v>-102.37112655894634</v>
      </c>
      <c r="O51" s="502"/>
      <c r="P51" s="486"/>
      <c r="Q51" s="507">
        <v>7275.41</v>
      </c>
      <c r="R51" s="502"/>
      <c r="S51" s="505">
        <v>903.10000000000036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3610.5107584152929</v>
      </c>
      <c r="G52" s="545"/>
      <c r="H52" s="486"/>
      <c r="I52" s="543"/>
      <c r="J52" s="502"/>
      <c r="K52" s="486"/>
      <c r="L52" s="507">
        <v>3094.69</v>
      </c>
      <c r="M52" s="502"/>
      <c r="N52" s="505">
        <v>-515.82075841529286</v>
      </c>
      <c r="O52" s="502"/>
      <c r="P52" s="486"/>
      <c r="Q52" s="507">
        <v>3705.07</v>
      </c>
      <c r="R52" s="502"/>
      <c r="S52" s="505">
        <v>-610.38000000000011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0.38523228952101185</v>
      </c>
      <c r="F54" s="554">
        <v>79889.354571422882</v>
      </c>
      <c r="G54" s="621"/>
      <c r="H54" s="553"/>
      <c r="I54" s="554"/>
      <c r="J54" s="621" t="s">
        <v>39</v>
      </c>
      <c r="K54" s="553">
        <v>0.3955300968986214</v>
      </c>
      <c r="L54" s="554">
        <v>76005.72</v>
      </c>
      <c r="M54" s="555"/>
      <c r="N54" s="554">
        <v>-3883.6345714228833</v>
      </c>
      <c r="O54" s="621" t="s">
        <v>39</v>
      </c>
      <c r="P54" s="553">
        <v>0.26360057986614588</v>
      </c>
      <c r="Q54" s="554">
        <v>68431.960000000006</v>
      </c>
      <c r="R54" s="555"/>
      <c r="S54" s="554">
        <v>7573.7600000000029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5799.11</v>
      </c>
      <c r="M57" s="495"/>
      <c r="N57" s="517">
        <v>-3153.4379333333336</v>
      </c>
      <c r="O57" s="495"/>
      <c r="P57" s="561"/>
      <c r="Q57" s="497">
        <v>11626.31</v>
      </c>
      <c r="R57" s="495"/>
      <c r="S57" s="517">
        <v>-5827.2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7784.61</v>
      </c>
      <c r="M58" s="502"/>
      <c r="N58" s="505">
        <v>-176.38475851555722</v>
      </c>
      <c r="O58" s="502"/>
      <c r="P58" s="486"/>
      <c r="Q58" s="507">
        <v>7516.3</v>
      </c>
      <c r="R58" s="502"/>
      <c r="S58" s="505">
        <v>268.30999999999949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1501.77</v>
      </c>
      <c r="M59" s="502"/>
      <c r="N59" s="505">
        <v>235.07249913701935</v>
      </c>
      <c r="O59" s="502"/>
      <c r="P59" s="486"/>
      <c r="Q59" s="507">
        <v>2705.19</v>
      </c>
      <c r="R59" s="502"/>
      <c r="S59" s="505">
        <v>-1203.42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7415.88</v>
      </c>
      <c r="M60" s="495"/>
      <c r="N60" s="517">
        <v>200.13927641247028</v>
      </c>
      <c r="O60" s="495"/>
      <c r="P60" s="561"/>
      <c r="Q60" s="497">
        <v>6746.26</v>
      </c>
      <c r="R60" s="495"/>
      <c r="S60" s="517">
        <v>669.61999999999989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36.28</v>
      </c>
      <c r="R61" s="502"/>
      <c r="S61" s="505">
        <v>-36.28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58.13</v>
      </c>
      <c r="M63" s="502"/>
      <c r="N63" s="505">
        <v>-683.30089466912</v>
      </c>
      <c r="O63" s="502"/>
      <c r="P63" s="486"/>
      <c r="Q63" s="507">
        <v>381.04</v>
      </c>
      <c r="R63" s="502"/>
      <c r="S63" s="505">
        <v>-322.91000000000003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396.63</v>
      </c>
      <c r="M64" s="502"/>
      <c r="N64" s="505">
        <v>51.828015082017771</v>
      </c>
      <c r="O64" s="502"/>
      <c r="P64" s="486"/>
      <c r="Q64" s="507">
        <v>318.89999999999998</v>
      </c>
      <c r="R64" s="502"/>
      <c r="S64" s="505">
        <v>77.730000000000018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131.27000000000001</v>
      </c>
      <c r="M65" s="502"/>
      <c r="N65" s="505">
        <v>28.447604631582251</v>
      </c>
      <c r="O65" s="502"/>
      <c r="P65" s="486"/>
      <c r="Q65" s="507">
        <v>10.56</v>
      </c>
      <c r="R65" s="502"/>
      <c r="S65" s="505">
        <v>120.71000000000001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121.08</v>
      </c>
      <c r="M66" s="502"/>
      <c r="N66" s="505">
        <v>-80.090385167937782</v>
      </c>
      <c r="O66" s="502"/>
      <c r="P66" s="486"/>
      <c r="Q66" s="507">
        <v>201.95</v>
      </c>
      <c r="R66" s="502"/>
      <c r="S66" s="505">
        <v>-80.86999999999999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3882.08</v>
      </c>
      <c r="M67" s="502"/>
      <c r="N67" s="505">
        <v>1947.3737500000004</v>
      </c>
      <c r="O67" s="502"/>
      <c r="P67" s="486"/>
      <c r="Q67" s="507">
        <v>1147.3499999999999</v>
      </c>
      <c r="R67" s="502"/>
      <c r="S67" s="505">
        <v>2734.73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3725.0158256549021</v>
      </c>
      <c r="G68" s="545"/>
      <c r="H68" s="486"/>
      <c r="I68" s="543"/>
      <c r="J68" s="502"/>
      <c r="K68" s="486"/>
      <c r="L68" s="507">
        <v>4608.58</v>
      </c>
      <c r="M68" s="502"/>
      <c r="N68" s="505">
        <v>883.56417434509785</v>
      </c>
      <c r="O68" s="502"/>
      <c r="P68" s="486"/>
      <c r="Q68" s="507">
        <v>4277.07</v>
      </c>
      <c r="R68" s="502"/>
      <c r="S68" s="505">
        <v>331.51000000000022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0.15706223973958813</v>
      </c>
      <c r="F72" s="554">
        <v>32571.519318744424</v>
      </c>
      <c r="G72" s="621"/>
      <c r="H72" s="553"/>
      <c r="I72" s="554"/>
      <c r="J72" s="621" t="s">
        <v>39</v>
      </c>
      <c r="K72" s="553">
        <v>0.16496079394817875</v>
      </c>
      <c r="L72" s="554">
        <v>31699.140000000007</v>
      </c>
      <c r="M72" s="555"/>
      <c r="N72" s="554">
        <v>-872.37931874442779</v>
      </c>
      <c r="O72" s="621" t="s">
        <v>39</v>
      </c>
      <c r="P72" s="553">
        <v>0.13469403524758453</v>
      </c>
      <c r="Q72" s="554">
        <v>34967.21</v>
      </c>
      <c r="R72" s="555"/>
      <c r="S72" s="554">
        <v>-3268.0699999999993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1.1133955843063774</v>
      </c>
      <c r="F74" s="554">
        <v>230895.63630168443</v>
      </c>
      <c r="G74" s="621"/>
      <c r="H74" s="553"/>
      <c r="I74" s="554"/>
      <c r="J74" s="621" t="s">
        <v>39</v>
      </c>
      <c r="K74" s="553">
        <v>0.96955459273197298</v>
      </c>
      <c r="L74" s="554">
        <v>186311.22</v>
      </c>
      <c r="M74" s="555"/>
      <c r="N74" s="563">
        <v>-44584.416301684425</v>
      </c>
      <c r="O74" s="621" t="s">
        <v>39</v>
      </c>
      <c r="P74" s="553">
        <v>0.88313298902015458</v>
      </c>
      <c r="Q74" s="554">
        <v>229265.50999999998</v>
      </c>
      <c r="R74" s="555"/>
      <c r="S74" s="563">
        <v>-42954.289999999979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0</v>
      </c>
      <c r="G75" s="545"/>
      <c r="H75" s="486"/>
      <c r="I75" s="543"/>
      <c r="J75" s="502"/>
      <c r="K75" s="486"/>
      <c r="L75" s="507">
        <v>0</v>
      </c>
      <c r="M75" s="502"/>
      <c r="N75" s="505">
        <v>0</v>
      </c>
      <c r="O75" s="502"/>
      <c r="P75" s="486"/>
      <c r="Q75" s="507">
        <v>695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1386.1696514722112</v>
      </c>
      <c r="F78" s="543">
        <v>85942.518391277088</v>
      </c>
      <c r="G78" s="545"/>
      <c r="H78" s="486"/>
      <c r="I78" s="543"/>
      <c r="J78" s="800">
        <v>0.96464034614640326</v>
      </c>
      <c r="K78" s="799">
        <v>1337.155172413793</v>
      </c>
      <c r="L78" s="507">
        <v>77555</v>
      </c>
      <c r="M78" s="502"/>
      <c r="N78" s="505">
        <v>-8387.5183912770881</v>
      </c>
      <c r="O78" s="502"/>
      <c r="P78" s="486"/>
      <c r="Q78" s="507">
        <v>106078.85</v>
      </c>
      <c r="R78" s="502"/>
      <c r="S78" s="505">
        <v>-28523.850000000006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0.95</v>
      </c>
      <c r="E82" s="804">
        <v>474.04999999999995</v>
      </c>
      <c r="F82" s="543">
        <v>28442.999999999996</v>
      </c>
      <c r="G82" s="545"/>
      <c r="H82" s="486"/>
      <c r="I82" s="543"/>
      <c r="J82" s="805">
        <v>0.88902226102138804</v>
      </c>
      <c r="K82" s="804">
        <v>421.39655172413791</v>
      </c>
      <c r="L82" s="507">
        <v>24441</v>
      </c>
      <c r="M82" s="502"/>
      <c r="N82" s="505">
        <v>-4001.9999999999964</v>
      </c>
      <c r="O82" s="502"/>
      <c r="P82" s="486"/>
      <c r="Q82" s="507">
        <v>36038</v>
      </c>
      <c r="R82" s="502"/>
      <c r="S82" s="505">
        <v>-11597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114385.51839127709</v>
      </c>
      <c r="G83" s="621"/>
      <c r="H83" s="553"/>
      <c r="I83" s="554"/>
      <c r="J83" s="621"/>
      <c r="K83" s="553"/>
      <c r="L83" s="554">
        <v>101996</v>
      </c>
      <c r="M83" s="555"/>
      <c r="N83" s="554">
        <v>-12389.518391277084</v>
      </c>
      <c r="O83" s="621"/>
      <c r="P83" s="553"/>
      <c r="Q83" s="554">
        <v>142811.85</v>
      </c>
      <c r="R83" s="555"/>
      <c r="S83" s="554">
        <v>-40120.850000000006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90869.576742798643</v>
      </c>
      <c r="G85" s="575"/>
      <c r="H85" s="808"/>
      <c r="I85" s="574"/>
      <c r="J85" s="575"/>
      <c r="K85" s="573"/>
      <c r="L85" s="574">
        <v>107846.44000000015</v>
      </c>
      <c r="M85" s="575"/>
      <c r="N85" s="574">
        <v>16976.86325720153</v>
      </c>
      <c r="O85" s="575"/>
      <c r="P85" s="809">
        <v>4.4511583952431641E-2</v>
      </c>
      <c r="Q85" s="574">
        <v>173151.0799999999</v>
      </c>
      <c r="R85" s="575"/>
      <c r="S85" s="574">
        <v>-64609.639999999737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472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3" t="s">
        <v>5</v>
      </c>
      <c r="E91" s="884"/>
      <c r="F91" s="885"/>
      <c r="G91" s="886"/>
      <c r="H91" s="884"/>
      <c r="I91" s="885"/>
      <c r="J91" s="886" t="s">
        <v>7</v>
      </c>
      <c r="K91" s="884"/>
      <c r="L91" s="885"/>
      <c r="M91" s="886" t="s">
        <v>220</v>
      </c>
      <c r="N91" s="885"/>
      <c r="O91" s="883" t="s">
        <v>8</v>
      </c>
      <c r="P91" s="884"/>
      <c r="Q91" s="885"/>
      <c r="R91" s="886" t="s">
        <v>221</v>
      </c>
      <c r="S91" s="885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1417410.8992929801</v>
      </c>
      <c r="G93" s="519"/>
      <c r="H93" s="499"/>
      <c r="I93" s="497"/>
      <c r="J93" s="495"/>
      <c r="K93" s="499"/>
      <c r="L93" s="497">
        <v>1017681</v>
      </c>
      <c r="M93" s="578"/>
      <c r="N93" s="579"/>
      <c r="O93" s="495"/>
      <c r="P93" s="499"/>
      <c r="Q93" s="497">
        <v>1101235.54999999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22</v>
      </c>
      <c r="E94" s="543">
        <v>1400</v>
      </c>
      <c r="F94" s="543">
        <v>30800</v>
      </c>
      <c r="G94" s="506"/>
      <c r="H94" s="543"/>
      <c r="I94" s="543"/>
      <c r="J94" s="506">
        <v>28</v>
      </c>
      <c r="K94" s="543">
        <v>952.90392857142695</v>
      </c>
      <c r="L94" s="507">
        <v>26681.309999999954</v>
      </c>
      <c r="M94" s="506">
        <v>6</v>
      </c>
      <c r="N94" s="507">
        <v>-4118.690000000046</v>
      </c>
      <c r="O94" s="506">
        <v>22</v>
      </c>
      <c r="P94" s="543">
        <v>1680.7486363636317</v>
      </c>
      <c r="Q94" s="507">
        <v>36976.469999999899</v>
      </c>
      <c r="R94" s="506">
        <v>6</v>
      </c>
      <c r="S94" s="507">
        <v>-10295.159999999945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3</v>
      </c>
      <c r="E95" s="543">
        <v>1800</v>
      </c>
      <c r="F95" s="543">
        <v>5400</v>
      </c>
      <c r="G95" s="506"/>
      <c r="H95" s="543"/>
      <c r="I95" s="543"/>
      <c r="J95" s="506">
        <v>0</v>
      </c>
      <c r="K95" s="543">
        <v>0</v>
      </c>
      <c r="L95" s="507">
        <v>-4705.95</v>
      </c>
      <c r="M95" s="506">
        <v>-3</v>
      </c>
      <c r="N95" s="507">
        <v>-10105.950000000001</v>
      </c>
      <c r="O95" s="506">
        <v>1</v>
      </c>
      <c r="P95" s="543">
        <v>1000</v>
      </c>
      <c r="Q95" s="507">
        <v>1000</v>
      </c>
      <c r="R95" s="506">
        <v>-1</v>
      </c>
      <c r="S95" s="507">
        <v>-5705.95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4</v>
      </c>
      <c r="E96" s="499">
        <v>1500</v>
      </c>
      <c r="F96" s="543">
        <v>6000</v>
      </c>
      <c r="G96" s="506"/>
      <c r="H96" s="543"/>
      <c r="I96" s="543"/>
      <c r="J96" s="506">
        <v>2</v>
      </c>
      <c r="K96" s="543">
        <v>2899.7999999999993</v>
      </c>
      <c r="L96" s="507">
        <v>5799.5999999999985</v>
      </c>
      <c r="M96" s="506">
        <v>-2</v>
      </c>
      <c r="N96" s="507">
        <v>-200.40000000000146</v>
      </c>
      <c r="O96" s="506">
        <v>0</v>
      </c>
      <c r="P96" s="543">
        <v>0</v>
      </c>
      <c r="Q96" s="507">
        <v>0</v>
      </c>
      <c r="R96" s="506">
        <v>2</v>
      </c>
      <c r="S96" s="507">
        <v>5799.5999999999985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29</v>
      </c>
      <c r="E97" s="543">
        <v>1455.1724137931035</v>
      </c>
      <c r="F97" s="581">
        <v>42200</v>
      </c>
      <c r="G97" s="512"/>
      <c r="H97" s="580"/>
      <c r="I97" s="581"/>
      <c r="J97" s="512">
        <v>30</v>
      </c>
      <c r="K97" s="580">
        <v>925.8319999999984</v>
      </c>
      <c r="L97" s="581">
        <v>27774.959999999952</v>
      </c>
      <c r="M97" s="512">
        <v>1</v>
      </c>
      <c r="N97" s="581">
        <v>-14425.040000000048</v>
      </c>
      <c r="O97" s="512">
        <v>23</v>
      </c>
      <c r="P97" s="580">
        <v>1651.150869565213</v>
      </c>
      <c r="Q97" s="581">
        <v>37976.469999999899</v>
      </c>
      <c r="R97" s="512">
        <v>5</v>
      </c>
      <c r="S97" s="581">
        <v>-16001.109999999946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3.4482758620689655E-2</v>
      </c>
      <c r="N98" s="815">
        <v>-0.34182559241706273</v>
      </c>
      <c r="O98" s="502"/>
      <c r="P98" s="486">
        <v>0</v>
      </c>
      <c r="Q98" s="527"/>
      <c r="R98" s="814">
        <v>0.21739130434782608</v>
      </c>
      <c r="S98" s="815">
        <v>-0.42134274196627514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31</v>
      </c>
      <c r="E100" s="543">
        <v>400</v>
      </c>
      <c r="F100" s="543">
        <v>12400</v>
      </c>
      <c r="G100" s="506"/>
      <c r="H100" s="543"/>
      <c r="I100" s="543"/>
      <c r="J100" s="506">
        <v>18</v>
      </c>
      <c r="K100" s="543">
        <v>1446.8283333333336</v>
      </c>
      <c r="L100" s="507">
        <v>26042.910000000003</v>
      </c>
      <c r="M100" s="506">
        <v>-13</v>
      </c>
      <c r="N100" s="507">
        <v>13642.910000000003</v>
      </c>
      <c r="O100" s="506">
        <v>31</v>
      </c>
      <c r="P100" s="543">
        <v>-367.32290322580644</v>
      </c>
      <c r="Q100" s="507">
        <v>-11387.01</v>
      </c>
      <c r="R100" s="506">
        <v>-13</v>
      </c>
      <c r="S100" s="507">
        <v>37429.920000000006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17400</v>
      </c>
      <c r="G102" s="506"/>
      <c r="H102" s="543"/>
      <c r="I102" s="543"/>
      <c r="J102" s="506"/>
      <c r="K102" s="543">
        <v>305.93433333333337</v>
      </c>
      <c r="L102" s="507">
        <v>9178.0300000000007</v>
      </c>
      <c r="M102" s="506"/>
      <c r="N102" s="507">
        <v>-8221.9699999999993</v>
      </c>
      <c r="O102" s="506"/>
      <c r="P102" s="543"/>
      <c r="Q102" s="507">
        <v>8282.2800000000007</v>
      </c>
      <c r="R102" s="506">
        <v>-305.93433333333337</v>
      </c>
      <c r="S102" s="507">
        <v>895.75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36250</v>
      </c>
      <c r="G103" s="506"/>
      <c r="H103" s="543"/>
      <c r="I103" s="543"/>
      <c r="J103" s="506"/>
      <c r="K103" s="543">
        <v>1730.1366666666665</v>
      </c>
      <c r="L103" s="507">
        <v>51904.1</v>
      </c>
      <c r="M103" s="506"/>
      <c r="N103" s="507">
        <v>15654.099999999999</v>
      </c>
      <c r="O103" s="506"/>
      <c r="P103" s="543"/>
      <c r="Q103" s="507">
        <v>26988.309999999899</v>
      </c>
      <c r="R103" s="506">
        <v>-1730.1366666666665</v>
      </c>
      <c r="S103" s="507">
        <v>24915.790000000099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1450</v>
      </c>
      <c r="G104" s="506"/>
      <c r="H104" s="499"/>
      <c r="I104" s="543"/>
      <c r="J104" s="506"/>
      <c r="K104" s="499">
        <v>9.5846666666666671</v>
      </c>
      <c r="L104" s="507">
        <v>287.54000000000002</v>
      </c>
      <c r="M104" s="519"/>
      <c r="N104" s="507">
        <v>-1162.46</v>
      </c>
      <c r="O104" s="506"/>
      <c r="P104" s="499"/>
      <c r="Q104" s="507">
        <v>655.39</v>
      </c>
      <c r="R104" s="506">
        <v>-9.5846666666666671</v>
      </c>
      <c r="S104" s="507">
        <v>-367.84999999999997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29</v>
      </c>
      <c r="E105" s="543">
        <v>1900</v>
      </c>
      <c r="F105" s="581">
        <v>55100</v>
      </c>
      <c r="G105" s="512"/>
      <c r="H105" s="580"/>
      <c r="I105" s="581"/>
      <c r="J105" s="512">
        <v>30</v>
      </c>
      <c r="K105" s="580">
        <v>2045.6556666666665</v>
      </c>
      <c r="L105" s="581">
        <v>61369.67</v>
      </c>
      <c r="M105" s="506">
        <v>1</v>
      </c>
      <c r="N105" s="581">
        <v>6269.6699999999983</v>
      </c>
      <c r="O105" s="512">
        <v>23</v>
      </c>
      <c r="P105" s="580">
        <v>1561.9991304347784</v>
      </c>
      <c r="Q105" s="581">
        <v>35925.979999999901</v>
      </c>
      <c r="R105" s="525"/>
      <c r="S105" s="581">
        <v>25443.690000000097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0.11378711433756802</v>
      </c>
      <c r="O106" s="502"/>
      <c r="P106" s="486"/>
      <c r="Q106" s="505"/>
      <c r="R106" s="504"/>
      <c r="S106" s="514">
        <v>0.70822535669173581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60</v>
      </c>
      <c r="E108" s="530">
        <v>1828.3333333333333</v>
      </c>
      <c r="F108" s="531">
        <v>109700</v>
      </c>
      <c r="G108" s="532"/>
      <c r="H108" s="817"/>
      <c r="I108" s="531"/>
      <c r="J108" s="532">
        <v>48</v>
      </c>
      <c r="K108" s="530">
        <v>2399.7404166666656</v>
      </c>
      <c r="L108" s="531">
        <v>115187.53999999995</v>
      </c>
      <c r="M108" s="532">
        <v>-12</v>
      </c>
      <c r="N108" s="531">
        <v>5487.5399999999499</v>
      </c>
      <c r="O108" s="532">
        <v>54</v>
      </c>
      <c r="P108" s="530">
        <v>1157.6933333333297</v>
      </c>
      <c r="Q108" s="531">
        <v>62515.439999999806</v>
      </c>
      <c r="R108" s="532">
        <v>-6</v>
      </c>
      <c r="S108" s="531">
        <v>52672.100000000144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1.0500231540565172</v>
      </c>
      <c r="M109" s="537">
        <v>-0.2</v>
      </c>
      <c r="N109" s="536">
        <v>5.0023154056517319E-2</v>
      </c>
      <c r="O109" s="533"/>
      <c r="P109" s="534"/>
      <c r="Q109" s="535"/>
      <c r="R109" s="818">
        <v>-9</v>
      </c>
      <c r="S109" s="585">
        <v>0.84254545757016674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0.34756198822191847</v>
      </c>
      <c r="E112" s="503">
        <v>505.7626173436193</v>
      </c>
      <c r="F112" s="543">
        <v>14667.115902964959</v>
      </c>
      <c r="G112" s="587"/>
      <c r="H112" s="503"/>
      <c r="I112" s="543"/>
      <c r="J112" s="587">
        <v>0.33543198622068282</v>
      </c>
      <c r="K112" s="503">
        <v>310.55366666666669</v>
      </c>
      <c r="L112" s="507">
        <v>9316.61</v>
      </c>
      <c r="M112" s="502"/>
      <c r="N112" s="505">
        <v>-5350.5059029649583</v>
      </c>
      <c r="O112" s="792">
        <v>0.33860624750009766</v>
      </c>
      <c r="P112" s="503">
        <v>559.09</v>
      </c>
      <c r="Q112" s="507">
        <v>12859.07</v>
      </c>
      <c r="R112" s="502"/>
      <c r="S112" s="505">
        <v>-3542.4599999999991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16530</v>
      </c>
      <c r="G113" s="588"/>
      <c r="H113" s="516"/>
      <c r="I113" s="497"/>
      <c r="J113" s="588">
        <v>0.30000047254612905</v>
      </c>
      <c r="K113" s="516">
        <v>613.69766666666669</v>
      </c>
      <c r="L113" s="507">
        <v>18410.93</v>
      </c>
      <c r="M113" s="495"/>
      <c r="N113" s="517">
        <v>1880.9300000000003</v>
      </c>
      <c r="O113" s="794">
        <v>0.25687267839075678</v>
      </c>
      <c r="P113" s="516">
        <v>468.58434782608697</v>
      </c>
      <c r="Q113" s="507">
        <v>10777.44</v>
      </c>
      <c r="R113" s="495"/>
      <c r="S113" s="517">
        <v>7633.49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232</v>
      </c>
      <c r="G114" s="545"/>
      <c r="H114" s="503"/>
      <c r="I114" s="543"/>
      <c r="J114" s="502"/>
      <c r="K114" s="503">
        <v>-84.632999999999996</v>
      </c>
      <c r="L114" s="524">
        <v>-2538.9899999999998</v>
      </c>
      <c r="M114" s="502"/>
      <c r="N114" s="505">
        <v>-2770.99</v>
      </c>
      <c r="O114" s="502"/>
      <c r="P114" s="503">
        <v>82.301739130434783</v>
      </c>
      <c r="Q114" s="524">
        <v>1892.94</v>
      </c>
      <c r="R114" s="502"/>
      <c r="S114" s="505">
        <v>-4431.93</v>
      </c>
      <c r="T114" s="486"/>
      <c r="U114" s="485" t="s">
        <v>483</v>
      </c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1305</v>
      </c>
      <c r="G115" s="545"/>
      <c r="H115" s="503"/>
      <c r="I115" s="543"/>
      <c r="J115" s="502"/>
      <c r="K115" s="503">
        <v>29.908999999999999</v>
      </c>
      <c r="L115" s="507">
        <v>897.27</v>
      </c>
      <c r="M115" s="502"/>
      <c r="N115" s="505">
        <v>-407.73</v>
      </c>
      <c r="O115" s="502"/>
      <c r="P115" s="503">
        <v>125.55652173913045</v>
      </c>
      <c r="Q115" s="507">
        <v>2887.8</v>
      </c>
      <c r="R115" s="502"/>
      <c r="S115" s="505">
        <v>-1990.5300000000002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4640</v>
      </c>
      <c r="G116" s="547"/>
      <c r="H116" s="516"/>
      <c r="I116" s="497"/>
      <c r="J116" s="495"/>
      <c r="K116" s="516">
        <v>119.116</v>
      </c>
      <c r="L116" s="497">
        <v>3573.48</v>
      </c>
      <c r="M116" s="495"/>
      <c r="N116" s="517">
        <v>-1066.52</v>
      </c>
      <c r="O116" s="495"/>
      <c r="P116" s="516">
        <v>178.62695652173915</v>
      </c>
      <c r="Q116" s="497">
        <v>4108.42</v>
      </c>
      <c r="R116" s="495"/>
      <c r="S116" s="517">
        <v>-534.94000000000005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426.9655172413793</v>
      </c>
      <c r="F117" s="543">
        <v>12382</v>
      </c>
      <c r="G117" s="545"/>
      <c r="H117" s="503"/>
      <c r="I117" s="543"/>
      <c r="J117" s="502"/>
      <c r="K117" s="503">
        <v>430.76933333333335</v>
      </c>
      <c r="L117" s="507">
        <v>12923.08</v>
      </c>
      <c r="M117" s="502"/>
      <c r="N117" s="505">
        <v>541.07999999999993</v>
      </c>
      <c r="O117" s="502"/>
      <c r="P117" s="503">
        <v>499.74913043478261</v>
      </c>
      <c r="Q117" s="507">
        <v>11494.23</v>
      </c>
      <c r="R117" s="502"/>
      <c r="S117" s="505">
        <v>1428.8500000000004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295.9744618297787</v>
      </c>
      <c r="F118" s="543">
        <v>8583.259393063583</v>
      </c>
      <c r="G118" s="545"/>
      <c r="H118" s="503"/>
      <c r="I118" s="543"/>
      <c r="J118" s="502"/>
      <c r="K118" s="503">
        <v>98.564000000000007</v>
      </c>
      <c r="L118" s="507">
        <v>2956.92</v>
      </c>
      <c r="M118" s="502"/>
      <c r="N118" s="505">
        <v>-5626.339393063583</v>
      </c>
      <c r="O118" s="502"/>
      <c r="P118" s="503">
        <v>379.10826086956519</v>
      </c>
      <c r="Q118" s="507">
        <v>8719.49</v>
      </c>
      <c r="R118" s="502"/>
      <c r="S118" s="505">
        <v>-5762.57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0.53180834362833673</v>
      </c>
      <c r="F122" s="554">
        <v>58339.375296028542</v>
      </c>
      <c r="G122" s="621"/>
      <c r="H122" s="553"/>
      <c r="I122" s="554"/>
      <c r="J122" s="621" t="s">
        <v>39</v>
      </c>
      <c r="K122" s="553">
        <v>0.39534918446908429</v>
      </c>
      <c r="L122" s="554">
        <v>45539.3</v>
      </c>
      <c r="M122" s="555"/>
      <c r="N122" s="554">
        <v>-12800.075296028539</v>
      </c>
      <c r="O122" s="621" t="s">
        <v>39</v>
      </c>
      <c r="P122" s="553">
        <v>0.84362183166270854</v>
      </c>
      <c r="Q122" s="554">
        <v>52739.389999999992</v>
      </c>
      <c r="R122" s="555"/>
      <c r="S122" s="554">
        <v>-7200.0899999999892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9202.1205128205147</v>
      </c>
      <c r="G123" s="502"/>
      <c r="H123" s="486"/>
      <c r="I123" s="543"/>
      <c r="J123" s="502"/>
      <c r="K123" s="486"/>
      <c r="L123" s="507">
        <v>9430.7000000000007</v>
      </c>
      <c r="M123" s="502"/>
      <c r="N123" s="505">
        <v>228.57948717948602</v>
      </c>
      <c r="O123" s="502"/>
      <c r="P123" s="486"/>
      <c r="Q123" s="507">
        <v>9398.39</v>
      </c>
      <c r="R123" s="502"/>
      <c r="S123" s="505">
        <v>32.31000000000131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8529.65846153846</v>
      </c>
      <c r="G124" s="545"/>
      <c r="H124" s="486"/>
      <c r="I124" s="497"/>
      <c r="J124" s="502"/>
      <c r="K124" s="486"/>
      <c r="L124" s="497">
        <v>1983.51</v>
      </c>
      <c r="M124" s="502"/>
      <c r="N124" s="505">
        <v>-6546.1484615384597</v>
      </c>
      <c r="O124" s="502"/>
      <c r="P124" s="486"/>
      <c r="Q124" s="497">
        <v>1810.72</v>
      </c>
      <c r="R124" s="502"/>
      <c r="S124" s="505">
        <v>172.78999999999996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3344.8923076923074</v>
      </c>
      <c r="G125" s="560"/>
      <c r="H125" s="559"/>
      <c r="I125" s="543"/>
      <c r="J125" s="488"/>
      <c r="K125" s="559"/>
      <c r="L125" s="507">
        <v>4612.75</v>
      </c>
      <c r="M125" s="488"/>
      <c r="N125" s="523">
        <v>1267.8576923076926</v>
      </c>
      <c r="O125" s="488"/>
      <c r="P125" s="559"/>
      <c r="Q125" s="507">
        <v>7173.33</v>
      </c>
      <c r="R125" s="488"/>
      <c r="S125" s="523">
        <v>-2560.58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9509.0581712820513</v>
      </c>
      <c r="G130" s="545"/>
      <c r="H130" s="486"/>
      <c r="I130" s="543"/>
      <c r="J130" s="502"/>
      <c r="K130" s="486"/>
      <c r="L130" s="507">
        <v>9038.93</v>
      </c>
      <c r="M130" s="502"/>
      <c r="N130" s="505">
        <v>-470.12817128205097</v>
      </c>
      <c r="O130" s="502"/>
      <c r="P130" s="486"/>
      <c r="Q130" s="507">
        <v>6719.86</v>
      </c>
      <c r="R130" s="502"/>
      <c r="S130" s="505">
        <v>2319.0700000000006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11561.674252307692</v>
      </c>
      <c r="G131" s="560"/>
      <c r="H131" s="559"/>
      <c r="I131" s="589"/>
      <c r="J131" s="488"/>
      <c r="K131" s="559"/>
      <c r="L131" s="524">
        <v>10732.49</v>
      </c>
      <c r="M131" s="488"/>
      <c r="N131" s="523">
        <v>-829.18425230769208</v>
      </c>
      <c r="O131" s="488"/>
      <c r="P131" s="559"/>
      <c r="Q131" s="524">
        <v>6401.3</v>
      </c>
      <c r="R131" s="488"/>
      <c r="S131" s="523">
        <v>4331.1899999999996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5956.7756473846148</v>
      </c>
      <c r="G132" s="545"/>
      <c r="H132" s="486"/>
      <c r="I132" s="543"/>
      <c r="J132" s="502"/>
      <c r="K132" s="486"/>
      <c r="L132" s="507">
        <v>4967.2199999999993</v>
      </c>
      <c r="M132" s="502"/>
      <c r="N132" s="505">
        <v>-989.55564738461544</v>
      </c>
      <c r="O132" s="502"/>
      <c r="P132" s="486"/>
      <c r="Q132" s="507">
        <v>999.32999999999902</v>
      </c>
      <c r="R132" s="502"/>
      <c r="S132" s="505">
        <v>3967.8900000000003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2597.1876943589741</v>
      </c>
      <c r="G133" s="545"/>
      <c r="H133" s="486"/>
      <c r="I133" s="543"/>
      <c r="J133" s="502"/>
      <c r="K133" s="486"/>
      <c r="L133" s="507">
        <v>1397.64</v>
      </c>
      <c r="M133" s="502"/>
      <c r="N133" s="505">
        <v>-1199.547694358974</v>
      </c>
      <c r="O133" s="502"/>
      <c r="P133" s="486"/>
      <c r="Q133" s="507">
        <v>1212.53</v>
      </c>
      <c r="R133" s="502"/>
      <c r="S133" s="505">
        <v>185.11000000000013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0.4621820150171797</v>
      </c>
      <c r="F135" s="554">
        <v>50701.367047384614</v>
      </c>
      <c r="G135" s="621"/>
      <c r="H135" s="553"/>
      <c r="I135" s="554"/>
      <c r="J135" s="621" t="s">
        <v>39</v>
      </c>
      <c r="K135" s="553">
        <v>0.36603993800023871</v>
      </c>
      <c r="L135" s="554">
        <v>42163.24</v>
      </c>
      <c r="M135" s="590"/>
      <c r="N135" s="563">
        <v>-8538.1270473846162</v>
      </c>
      <c r="O135" s="621" t="s">
        <v>39</v>
      </c>
      <c r="P135" s="553">
        <v>0.53931412783786059</v>
      </c>
      <c r="Q135" s="554">
        <v>33715.46</v>
      </c>
      <c r="R135" s="590"/>
      <c r="S135" s="563">
        <v>8447.7799999999988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1451.24</v>
      </c>
      <c r="M138" s="495"/>
      <c r="N138" s="517">
        <v>167.08671111111107</v>
      </c>
      <c r="O138" s="495"/>
      <c r="P138" s="561"/>
      <c r="Q138" s="497">
        <v>625</v>
      </c>
      <c r="R138" s="495"/>
      <c r="S138" s="517">
        <v>826.24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4372.5200000000004</v>
      </c>
      <c r="M139" s="502"/>
      <c r="N139" s="505">
        <v>614.8343773066681</v>
      </c>
      <c r="O139" s="502"/>
      <c r="P139" s="486"/>
      <c r="Q139" s="507">
        <v>3778.28</v>
      </c>
      <c r="R139" s="502"/>
      <c r="S139" s="505">
        <v>594.24000000000024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626.44000000000005</v>
      </c>
      <c r="M140" s="502"/>
      <c r="N140" s="505">
        <v>70.769756225950459</v>
      </c>
      <c r="O140" s="502"/>
      <c r="P140" s="486"/>
      <c r="Q140" s="507">
        <v>874.21</v>
      </c>
      <c r="R140" s="502"/>
      <c r="S140" s="505">
        <v>-247.76999999999998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5540.76</v>
      </c>
      <c r="M141" s="495"/>
      <c r="N141" s="517">
        <v>4141.9105359463429</v>
      </c>
      <c r="O141" s="495"/>
      <c r="P141" s="561"/>
      <c r="Q141" s="497">
        <v>1058.31</v>
      </c>
      <c r="R141" s="495"/>
      <c r="S141" s="517">
        <v>4482.4500000000007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13.6</v>
      </c>
      <c r="R142" s="502"/>
      <c r="S142" s="505">
        <v>-13.6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21.8</v>
      </c>
      <c r="M144" s="502"/>
      <c r="N144" s="505">
        <v>-301.81939737591995</v>
      </c>
      <c r="O144" s="502"/>
      <c r="P144" s="486"/>
      <c r="Q144" s="507">
        <v>142.91</v>
      </c>
      <c r="R144" s="502"/>
      <c r="S144" s="505">
        <v>-121.11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82.36</v>
      </c>
      <c r="M145" s="502"/>
      <c r="N145" s="505">
        <v>19.595445155756671</v>
      </c>
      <c r="O145" s="502"/>
      <c r="P145" s="486"/>
      <c r="Q145" s="507">
        <v>40.54</v>
      </c>
      <c r="R145" s="502"/>
      <c r="S145" s="505">
        <v>41.82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49.22</v>
      </c>
      <c r="M146" s="502"/>
      <c r="N146" s="505">
        <v>1.0031558618433394</v>
      </c>
      <c r="O146" s="502"/>
      <c r="P146" s="486"/>
      <c r="Q146" s="507">
        <v>3.96</v>
      </c>
      <c r="R146" s="502"/>
      <c r="S146" s="505">
        <v>45.26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45.41</v>
      </c>
      <c r="M147" s="502"/>
      <c r="N147" s="505">
        <v>-61.941617437976689</v>
      </c>
      <c r="O147" s="502"/>
      <c r="P147" s="486"/>
      <c r="Q147" s="507">
        <v>75.75</v>
      </c>
      <c r="R147" s="502"/>
      <c r="S147" s="505">
        <v>-30.340000000000003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1550.28</v>
      </c>
      <c r="M148" s="502"/>
      <c r="N148" s="505">
        <v>1331.815628303015</v>
      </c>
      <c r="O148" s="502"/>
      <c r="P148" s="486"/>
      <c r="Q148" s="507">
        <v>38.28</v>
      </c>
      <c r="R148" s="502"/>
      <c r="S148" s="505">
        <v>1512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848.05675343487826</v>
      </c>
      <c r="G149" s="545"/>
      <c r="H149" s="486"/>
      <c r="I149" s="543"/>
      <c r="J149" s="502"/>
      <c r="K149" s="486"/>
      <c r="L149" s="507">
        <v>1024.1300000000001</v>
      </c>
      <c r="M149" s="502"/>
      <c r="N149" s="505">
        <v>176.07324656512185</v>
      </c>
      <c r="O149" s="502"/>
      <c r="P149" s="486"/>
      <c r="Q149" s="507">
        <v>950.46</v>
      </c>
      <c r="R149" s="502"/>
      <c r="S149" s="505">
        <v>73.670000000000073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7.946263468554926E-2</v>
      </c>
      <c r="F153" s="554">
        <v>8717.0510250047537</v>
      </c>
      <c r="G153" s="621"/>
      <c r="H153" s="553"/>
      <c r="I153" s="554"/>
      <c r="J153" s="621" t="s">
        <v>39</v>
      </c>
      <c r="K153" s="553">
        <v>0.12817497448074686</v>
      </c>
      <c r="L153" s="554">
        <v>14764.16</v>
      </c>
      <c r="M153" s="555"/>
      <c r="N153" s="554">
        <v>6047.1089749952462</v>
      </c>
      <c r="O153" s="621" t="s">
        <v>39</v>
      </c>
      <c r="P153" s="553">
        <v>0.12159076221810204</v>
      </c>
      <c r="Q153" s="554">
        <v>7601.3000000000011</v>
      </c>
      <c r="R153" s="555"/>
      <c r="S153" s="554">
        <v>7162.8599999999988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1.0734529933310657</v>
      </c>
      <c r="F155" s="554">
        <v>117757.7933684179</v>
      </c>
      <c r="G155" s="621"/>
      <c r="H155" s="553"/>
      <c r="I155" s="554"/>
      <c r="J155" s="621" t="s">
        <v>39</v>
      </c>
      <c r="K155" s="553">
        <v>0.88956409695006988</v>
      </c>
      <c r="L155" s="554">
        <v>102466.70000000001</v>
      </c>
      <c r="M155" s="555"/>
      <c r="N155" s="563">
        <v>-15291.093368417889</v>
      </c>
      <c r="O155" s="621" t="s">
        <v>39</v>
      </c>
      <c r="P155" s="553">
        <v>1.5045267217186713</v>
      </c>
      <c r="Q155" s="554">
        <v>94056.15</v>
      </c>
      <c r="R155" s="555"/>
      <c r="S155" s="563">
        <v>8410.5500000000175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0.7996835443037974</v>
      </c>
      <c r="E159" s="804">
        <v>379.04999999999995</v>
      </c>
      <c r="F159" s="543">
        <v>10992.449999999999</v>
      </c>
      <c r="G159" s="545"/>
      <c r="H159" s="486"/>
      <c r="I159" s="543"/>
      <c r="J159" s="805">
        <v>1.020042194092827</v>
      </c>
      <c r="K159" s="804">
        <v>483.5</v>
      </c>
      <c r="L159" s="507">
        <v>14505</v>
      </c>
      <c r="M159" s="502"/>
      <c r="N159" s="505">
        <v>3512.5500000000011</v>
      </c>
      <c r="O159" s="502"/>
      <c r="P159" s="486"/>
      <c r="Q159" s="507">
        <v>6428</v>
      </c>
      <c r="R159" s="502"/>
      <c r="S159" s="505">
        <v>8077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10992.449999999999</v>
      </c>
      <c r="G163" s="621"/>
      <c r="H163" s="553"/>
      <c r="I163" s="554"/>
      <c r="J163" s="621"/>
      <c r="K163" s="553"/>
      <c r="L163" s="554">
        <v>14505</v>
      </c>
      <c r="M163" s="555"/>
      <c r="N163" s="554">
        <v>3512.5500000000011</v>
      </c>
      <c r="O163" s="621"/>
      <c r="P163" s="553"/>
      <c r="Q163" s="554">
        <v>6428</v>
      </c>
      <c r="R163" s="555"/>
      <c r="S163" s="554">
        <v>8077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2934.6566315820983</v>
      </c>
      <c r="G165" s="622"/>
      <c r="H165" s="573"/>
      <c r="I165" s="574"/>
      <c r="J165" s="572"/>
      <c r="K165" s="808"/>
      <c r="L165" s="574">
        <v>27225.839999999938</v>
      </c>
      <c r="M165" s="572"/>
      <c r="N165" s="574">
        <v>24291.183368417842</v>
      </c>
      <c r="O165" s="572"/>
      <c r="P165" s="809">
        <v>-2.2804122151705342E-2</v>
      </c>
      <c r="Q165" s="574">
        <v>-25112.710000000188</v>
      </c>
      <c r="R165" s="572"/>
      <c r="S165" s="574">
        <v>52338.550000000127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472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3" t="s">
        <v>5</v>
      </c>
      <c r="E170" s="884"/>
      <c r="F170" s="885"/>
      <c r="G170" s="886"/>
      <c r="H170" s="884"/>
      <c r="I170" s="885"/>
      <c r="J170" s="886" t="s">
        <v>7</v>
      </c>
      <c r="K170" s="884"/>
      <c r="L170" s="885"/>
      <c r="M170" s="886" t="s">
        <v>220</v>
      </c>
      <c r="N170" s="885"/>
      <c r="O170" s="883" t="s">
        <v>8</v>
      </c>
      <c r="P170" s="884"/>
      <c r="Q170" s="885"/>
      <c r="R170" s="886" t="s">
        <v>221</v>
      </c>
      <c r="S170" s="885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653.56399999999996</v>
      </c>
      <c r="E172" s="503">
        <v>222211.76</v>
      </c>
      <c r="F172" s="503">
        <v>173325.1728</v>
      </c>
      <c r="G172" s="504"/>
      <c r="H172" s="503"/>
      <c r="I172" s="503"/>
      <c r="J172" s="504">
        <v>776</v>
      </c>
      <c r="K172" s="543">
        <v>218088.11000000002</v>
      </c>
      <c r="L172" s="507">
        <v>171401.35</v>
      </c>
      <c r="M172" s="587">
        <v>-1.8557298677621716E-2</v>
      </c>
      <c r="N172" s="505">
        <v>-1923.8227999999945</v>
      </c>
      <c r="O172" s="504">
        <v>724</v>
      </c>
      <c r="P172" s="543">
        <v>213462.55</v>
      </c>
      <c r="Q172" s="507">
        <v>161811.37</v>
      </c>
      <c r="R172" s="587">
        <v>1.0718232044198894</v>
      </c>
      <c r="S172" s="505">
        <v>9589.9800000000105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0.77999999999999992</v>
      </c>
      <c r="G173" s="504"/>
      <c r="H173" s="584"/>
      <c r="I173" s="597"/>
      <c r="J173" s="504"/>
      <c r="K173" s="486"/>
      <c r="L173" s="597">
        <v>0.78592707323659228</v>
      </c>
      <c r="M173" s="587"/>
      <c r="N173" s="505"/>
      <c r="O173" s="504"/>
      <c r="P173" s="486"/>
      <c r="Q173" s="597">
        <v>0.75803165473287937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340.00000000000006</v>
      </c>
      <c r="F174" s="599"/>
      <c r="G174" s="521"/>
      <c r="H174" s="598"/>
      <c r="I174" s="599"/>
      <c r="J174" s="521"/>
      <c r="K174" s="598">
        <v>281.04137886597942</v>
      </c>
      <c r="L174" s="599"/>
      <c r="M174" s="588"/>
      <c r="N174" s="517"/>
      <c r="O174" s="521"/>
      <c r="P174" s="598">
        <v>294.83777624309391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82.2</v>
      </c>
      <c r="E175" s="503">
        <v>22194</v>
      </c>
      <c r="F175" s="503">
        <v>14204.16</v>
      </c>
      <c r="G175" s="600"/>
      <c r="H175" s="503"/>
      <c r="I175" s="503"/>
      <c r="J175" s="600">
        <v>192</v>
      </c>
      <c r="K175" s="589">
        <v>40008.99</v>
      </c>
      <c r="L175" s="507">
        <v>23879.969999999998</v>
      </c>
      <c r="M175" s="587">
        <v>0.80269397134360632</v>
      </c>
      <c r="N175" s="523">
        <v>9675.8099999999977</v>
      </c>
      <c r="O175" s="600">
        <v>99</v>
      </c>
      <c r="P175" s="589">
        <v>23543.040000000001</v>
      </c>
      <c r="Q175" s="507">
        <v>13888.54</v>
      </c>
      <c r="R175" s="587">
        <v>1.9393939393939394</v>
      </c>
      <c r="S175" s="505">
        <v>9991.4299999999967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0.59686510456774833</v>
      </c>
      <c r="M176" s="513"/>
      <c r="N176" s="514"/>
      <c r="O176" s="502"/>
      <c r="P176" s="486"/>
      <c r="Q176" s="597">
        <v>0.58992126760180508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208.38015625</v>
      </c>
      <c r="L177" s="599"/>
      <c r="M177" s="588"/>
      <c r="N177" s="517"/>
      <c r="O177" s="521"/>
      <c r="P177" s="598">
        <v>237.80848484848485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226.72499999999999</v>
      </c>
      <c r="E178" s="503">
        <v>69609.109499999991</v>
      </c>
      <c r="F178" s="503">
        <v>51510.74102999999</v>
      </c>
      <c r="G178" s="504"/>
      <c r="H178" s="503"/>
      <c r="I178" s="503"/>
      <c r="J178" s="504">
        <v>220</v>
      </c>
      <c r="K178" s="589">
        <v>64988.78</v>
      </c>
      <c r="L178" s="507">
        <v>50798.22</v>
      </c>
      <c r="M178" s="587">
        <v>-6.6375357093168857E-2</v>
      </c>
      <c r="N178" s="505">
        <v>-712.52102999998897</v>
      </c>
      <c r="O178" s="504">
        <v>232</v>
      </c>
      <c r="P178" s="589">
        <v>68576.179999999993</v>
      </c>
      <c r="Q178" s="507">
        <v>51620.109999999899</v>
      </c>
      <c r="R178" s="587">
        <v>0.94827586206896552</v>
      </c>
      <c r="S178" s="505">
        <v>-821.88999999989755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0.78164600104818094</v>
      </c>
      <c r="M179" s="587"/>
      <c r="N179" s="505">
        <v>4.1646001048180947E-2</v>
      </c>
      <c r="O179" s="504"/>
      <c r="P179" s="584"/>
      <c r="Q179" s="597">
        <v>0.75274111214710271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295.40354545454545</v>
      </c>
      <c r="L180" s="599"/>
      <c r="M180" s="588"/>
      <c r="N180" s="517"/>
      <c r="O180" s="521"/>
      <c r="P180" s="598">
        <v>295.58698275862065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124.97200000000001</v>
      </c>
      <c r="E181" s="503">
        <v>33742.44</v>
      </c>
      <c r="F181" s="503">
        <v>25306.83</v>
      </c>
      <c r="G181" s="600"/>
      <c r="H181" s="503"/>
      <c r="I181" s="503"/>
      <c r="J181" s="600">
        <v>0</v>
      </c>
      <c r="K181" s="589">
        <v>25065.34</v>
      </c>
      <c r="L181" s="524">
        <v>20456.11</v>
      </c>
      <c r="M181" s="603">
        <v>-0.25715686239643609</v>
      </c>
      <c r="N181" s="523">
        <v>-4850.7200000000012</v>
      </c>
      <c r="O181" s="600">
        <v>0</v>
      </c>
      <c r="P181" s="589">
        <v>31075.29</v>
      </c>
      <c r="Q181" s="524">
        <v>24885.31</v>
      </c>
      <c r="R181" s="587">
        <v>0</v>
      </c>
      <c r="S181" s="523">
        <v>-4429.2000000000007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0.75</v>
      </c>
      <c r="G182" s="520"/>
      <c r="H182" s="604"/>
      <c r="I182" s="597"/>
      <c r="J182" s="605"/>
      <c r="K182" s="604">
        <v>0</v>
      </c>
      <c r="L182" s="597">
        <v>0.81611141121564679</v>
      </c>
      <c r="M182" s="504">
        <v>0</v>
      </c>
      <c r="N182" s="568"/>
      <c r="O182" s="605"/>
      <c r="P182" s="604"/>
      <c r="Q182" s="597">
        <v>0.80080700775439262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-3962.1963906912711</v>
      </c>
      <c r="G184" s="502"/>
      <c r="H184" s="503"/>
      <c r="I184" s="503"/>
      <c r="J184" s="504"/>
      <c r="K184" s="503"/>
      <c r="L184" s="503">
        <v>-3279.28</v>
      </c>
      <c r="M184" s="605"/>
      <c r="N184" s="505">
        <v>682.91639069127086</v>
      </c>
      <c r="O184" s="504"/>
      <c r="P184" s="503"/>
      <c r="Q184" s="507">
        <v>-3446.54</v>
      </c>
      <c r="R184" s="607"/>
      <c r="S184" s="505">
        <v>167.25999999999976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1087.461</v>
      </c>
      <c r="E185" s="609">
        <v>347757.30950000003</v>
      </c>
      <c r="F185" s="610">
        <v>260384.70743930875</v>
      </c>
      <c r="G185" s="823"/>
      <c r="H185" s="609"/>
      <c r="I185" s="610"/>
      <c r="J185" s="823">
        <v>1188</v>
      </c>
      <c r="K185" s="609">
        <v>348151.22000000003</v>
      </c>
      <c r="L185" s="610">
        <v>263256.37</v>
      </c>
      <c r="M185" s="824">
        <v>1.1327166654422202E-3</v>
      </c>
      <c r="N185" s="610">
        <v>2871.6625606912421</v>
      </c>
      <c r="O185" s="823">
        <v>1055</v>
      </c>
      <c r="P185" s="609">
        <v>336657.06</v>
      </c>
      <c r="Q185" s="610">
        <v>248758.78999999989</v>
      </c>
      <c r="R185" s="513">
        <v>1.1260663507109006</v>
      </c>
      <c r="S185" s="610">
        <v>14497.580000000104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0.74875408891817619</v>
      </c>
      <c r="G186" s="614"/>
      <c r="H186" s="825"/>
      <c r="I186" s="514"/>
      <c r="J186" s="614"/>
      <c r="K186" s="825">
        <v>293.0565824915825</v>
      </c>
      <c r="L186" s="514">
        <v>0.75615524196640749</v>
      </c>
      <c r="M186" s="614"/>
      <c r="N186" s="613">
        <v>1.1028537693061632E-2</v>
      </c>
      <c r="O186" s="614"/>
      <c r="P186" s="825">
        <v>319.10621800947865</v>
      </c>
      <c r="Q186" s="514">
        <v>0.73890857954976463</v>
      </c>
      <c r="R186" s="614"/>
      <c r="S186" s="514">
        <v>5.8279669232995185E-2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15911.099999999999</v>
      </c>
      <c r="F188" s="503">
        <v>2800.3535999999995</v>
      </c>
      <c r="G188" s="504"/>
      <c r="H188" s="503"/>
      <c r="I188" s="503"/>
      <c r="J188" s="504"/>
      <c r="K188" s="543">
        <v>18629.919999999998</v>
      </c>
      <c r="L188" s="507">
        <v>3102.9199999999983</v>
      </c>
      <c r="M188" s="587">
        <v>0.17087567798580866</v>
      </c>
      <c r="N188" s="505">
        <v>302.56639999999879</v>
      </c>
      <c r="O188" s="504"/>
      <c r="P188" s="543">
        <v>21634.6</v>
      </c>
      <c r="Q188" s="507">
        <v>4449.5999999999904</v>
      </c>
      <c r="R188" s="587">
        <v>0</v>
      </c>
      <c r="S188" s="505">
        <v>-1346.6799999999921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0.16655573400207829</v>
      </c>
      <c r="M189" s="605"/>
      <c r="N189" s="568"/>
      <c r="O189" s="605"/>
      <c r="P189" s="604"/>
      <c r="Q189" s="597">
        <v>0.20567054625461023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25870</v>
      </c>
      <c r="F191" s="503">
        <v>18109</v>
      </c>
      <c r="G191" s="502"/>
      <c r="H191" s="503"/>
      <c r="I191" s="503"/>
      <c r="J191" s="504">
        <v>50</v>
      </c>
      <c r="K191" s="543">
        <v>10458.5</v>
      </c>
      <c r="L191" s="507">
        <v>7042.3899999999994</v>
      </c>
      <c r="M191" s="587">
        <v>-0.59572864321608043</v>
      </c>
      <c r="N191" s="505">
        <v>-11066.61</v>
      </c>
      <c r="O191" s="605"/>
      <c r="P191" s="543">
        <v>8946.15</v>
      </c>
      <c r="Q191" s="507">
        <v>7163.79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0.67336520533537314</v>
      </c>
      <c r="M192" s="605"/>
      <c r="N192" s="568"/>
      <c r="O192" s="605"/>
      <c r="P192" s="604"/>
      <c r="Q192" s="597">
        <v>0.80076792810315056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307.03625907990318</v>
      </c>
      <c r="K193" s="618">
        <v>253611.95</v>
      </c>
      <c r="L193" s="619">
        <v>826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389538.40950000001</v>
      </c>
      <c r="F194" s="531">
        <v>281294.06103930873</v>
      </c>
      <c r="G194" s="532"/>
      <c r="H194" s="529"/>
      <c r="I194" s="531"/>
      <c r="J194" s="532"/>
      <c r="K194" s="529">
        <v>377239.64</v>
      </c>
      <c r="L194" s="531">
        <v>273401.68</v>
      </c>
      <c r="M194" s="629">
        <v>2.6212114262996744E-3</v>
      </c>
      <c r="N194" s="531">
        <v>-7892.3810393087333</v>
      </c>
      <c r="O194" s="532"/>
      <c r="P194" s="529">
        <v>367237.81</v>
      </c>
      <c r="Q194" s="531">
        <v>260372.17999999988</v>
      </c>
      <c r="R194" s="629"/>
      <c r="S194" s="531">
        <v>13029.500000000116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0.72212150119000962</v>
      </c>
      <c r="G195" s="533"/>
      <c r="H195" s="534"/>
      <c r="I195" s="536"/>
      <c r="J195" s="533"/>
      <c r="K195" s="534"/>
      <c r="L195" s="536">
        <v>0.72474271261630929</v>
      </c>
      <c r="M195" s="537"/>
      <c r="N195" s="536">
        <v>-2.8057403736674813E-2</v>
      </c>
      <c r="O195" s="533"/>
      <c r="P195" s="534"/>
      <c r="Q195" s="536">
        <v>0.70900155950717569</v>
      </c>
      <c r="R195" s="537"/>
      <c r="S195" s="536">
        <v>20.983282551133776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15681.80576923077</v>
      </c>
      <c r="G198" s="502"/>
      <c r="H198" s="486"/>
      <c r="I198" s="543"/>
      <c r="J198" s="502"/>
      <c r="K198" s="486"/>
      <c r="L198" s="507">
        <v>14201.22</v>
      </c>
      <c r="M198" s="502"/>
      <c r="N198" s="507">
        <v>-1480.5857692307709</v>
      </c>
      <c r="O198" s="502"/>
      <c r="P198" s="486"/>
      <c r="Q198" s="507">
        <v>9367.5400000000009</v>
      </c>
      <c r="R198" s="502"/>
      <c r="S198" s="507">
        <v>4833.6799999999985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8357.6063384615391</v>
      </c>
      <c r="G199" s="545"/>
      <c r="H199" s="486"/>
      <c r="I199" s="497"/>
      <c r="J199" s="502"/>
      <c r="K199" s="486"/>
      <c r="L199" s="507">
        <v>7986.65</v>
      </c>
      <c r="M199" s="502"/>
      <c r="N199" s="507">
        <v>-370.95633846153942</v>
      </c>
      <c r="O199" s="502"/>
      <c r="P199" s="486"/>
      <c r="Q199" s="507">
        <v>8321.08</v>
      </c>
      <c r="R199" s="502"/>
      <c r="S199" s="505">
        <v>-334.43000000000029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15667.776923076923</v>
      </c>
      <c r="G200" s="560"/>
      <c r="H200" s="559"/>
      <c r="I200" s="543"/>
      <c r="J200" s="488"/>
      <c r="K200" s="559"/>
      <c r="L200" s="524">
        <v>24058.41</v>
      </c>
      <c r="M200" s="488"/>
      <c r="N200" s="524">
        <v>8390.6330769230772</v>
      </c>
      <c r="O200" s="488"/>
      <c r="P200" s="559"/>
      <c r="Q200" s="524">
        <v>20320.27</v>
      </c>
      <c r="R200" s="488"/>
      <c r="S200" s="523">
        <v>3738.1399999999994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0.15421156240405029</v>
      </c>
      <c r="F201" s="543">
        <v>34267.622694153848</v>
      </c>
      <c r="G201" s="545"/>
      <c r="H201" s="486"/>
      <c r="I201" s="543"/>
      <c r="J201" s="502"/>
      <c r="K201" s="826">
        <v>0.1140687587232518</v>
      </c>
      <c r="L201" s="507">
        <v>24877.040000000001</v>
      </c>
      <c r="M201" s="502"/>
      <c r="N201" s="507">
        <v>-9390.5826941538471</v>
      </c>
      <c r="O201" s="502"/>
      <c r="P201" s="486"/>
      <c r="Q201" s="507">
        <v>43948.92</v>
      </c>
      <c r="R201" s="502"/>
      <c r="S201" s="505">
        <v>-19071.879999999997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18683.627921397998</v>
      </c>
      <c r="G205" s="545"/>
      <c r="H205" s="486"/>
      <c r="I205" s="543"/>
      <c r="J205" s="502"/>
      <c r="K205" s="486"/>
      <c r="L205" s="507">
        <v>17889.96</v>
      </c>
      <c r="M205" s="502"/>
      <c r="N205" s="507">
        <v>-793.66792139799873</v>
      </c>
      <c r="O205" s="502"/>
      <c r="P205" s="486"/>
      <c r="Q205" s="507">
        <v>20422.400000000001</v>
      </c>
      <c r="R205" s="502"/>
      <c r="S205" s="505">
        <v>-2532.4400000000023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22716.657737030167</v>
      </c>
      <c r="G206" s="560"/>
      <c r="H206" s="559"/>
      <c r="I206" s="524"/>
      <c r="J206" s="488"/>
      <c r="K206" s="559"/>
      <c r="L206" s="524">
        <v>22915.759999999998</v>
      </c>
      <c r="M206" s="488"/>
      <c r="N206" s="524">
        <v>199.10226296983092</v>
      </c>
      <c r="O206" s="488"/>
      <c r="P206" s="559"/>
      <c r="Q206" s="524">
        <v>22408.44</v>
      </c>
      <c r="R206" s="488"/>
      <c r="S206" s="523">
        <v>507.31999999999971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11704.01713842641</v>
      </c>
      <c r="G207" s="545"/>
      <c r="H207" s="486"/>
      <c r="I207" s="543"/>
      <c r="J207" s="502"/>
      <c r="K207" s="486"/>
      <c r="L207" s="507">
        <v>11908.5</v>
      </c>
      <c r="M207" s="502"/>
      <c r="N207" s="507">
        <v>204.48286157358962</v>
      </c>
      <c r="O207" s="502"/>
      <c r="P207" s="486"/>
      <c r="Q207" s="507">
        <v>11244.77</v>
      </c>
      <c r="R207" s="502"/>
      <c r="S207" s="505">
        <v>663.72999999999956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5103.0173177386605</v>
      </c>
      <c r="G208" s="545"/>
      <c r="H208" s="486"/>
      <c r="I208" s="543"/>
      <c r="J208" s="502"/>
      <c r="K208" s="486"/>
      <c r="L208" s="507">
        <v>4529.1000000000004</v>
      </c>
      <c r="M208" s="502"/>
      <c r="N208" s="507">
        <v>-573.91731773866013</v>
      </c>
      <c r="O208" s="502"/>
      <c r="P208" s="486"/>
      <c r="Q208" s="507">
        <v>4370.88</v>
      </c>
      <c r="R208" s="502"/>
      <c r="S208" s="505">
        <v>158.22000000000025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0.46990729683782723</v>
      </c>
      <c r="F210" s="554">
        <v>132182.13183951634</v>
      </c>
      <c r="G210" s="621"/>
      <c r="H210" s="553"/>
      <c r="I210" s="554"/>
      <c r="J210" s="621" t="s">
        <v>97</v>
      </c>
      <c r="K210" s="553">
        <v>0.46951664671555787</v>
      </c>
      <c r="L210" s="554">
        <v>128366.64</v>
      </c>
      <c r="M210" s="590"/>
      <c r="N210" s="554">
        <v>-3815.4918395163404</v>
      </c>
      <c r="O210" s="621" t="s">
        <v>97</v>
      </c>
      <c r="P210" s="553">
        <v>0.5392446305131372</v>
      </c>
      <c r="Q210" s="554">
        <v>140404.29999999999</v>
      </c>
      <c r="R210" s="590"/>
      <c r="S210" s="563">
        <v>-12037.659999999989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14414.766996886956</v>
      </c>
      <c r="G211" s="545"/>
      <c r="H211" s="486"/>
      <c r="I211" s="543"/>
      <c r="J211" s="502"/>
      <c r="K211" s="486"/>
      <c r="L211" s="507">
        <v>20858.59</v>
      </c>
      <c r="M211" s="502"/>
      <c r="N211" s="505">
        <v>6443.8230031130443</v>
      </c>
      <c r="O211" s="502"/>
      <c r="P211" s="486"/>
      <c r="Q211" s="507">
        <v>11076.5</v>
      </c>
      <c r="R211" s="502"/>
      <c r="S211" s="505">
        <v>9782.09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3861.29</v>
      </c>
      <c r="M212" s="502"/>
      <c r="N212" s="505">
        <v>439.11259667629065</v>
      </c>
      <c r="O212" s="502"/>
      <c r="P212" s="486"/>
      <c r="Q212" s="507">
        <v>2109.5300000000002</v>
      </c>
      <c r="R212" s="502"/>
      <c r="S212" s="505">
        <v>1751.7599999999998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16083.739355555555</v>
      </c>
      <c r="G213" s="547"/>
      <c r="H213" s="561"/>
      <c r="I213" s="497"/>
      <c r="J213" s="495"/>
      <c r="K213" s="561"/>
      <c r="L213" s="507">
        <v>12388.42</v>
      </c>
      <c r="M213" s="495"/>
      <c r="N213" s="517">
        <v>-3695.3193555555554</v>
      </c>
      <c r="O213" s="495"/>
      <c r="P213" s="561"/>
      <c r="Q213" s="507">
        <v>13105.98</v>
      </c>
      <c r="R213" s="495"/>
      <c r="S213" s="517">
        <v>-717.55999999999949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4747.1400000000003</v>
      </c>
      <c r="M214" s="502"/>
      <c r="N214" s="505">
        <v>-36.176137386665687</v>
      </c>
      <c r="O214" s="502"/>
      <c r="P214" s="486"/>
      <c r="Q214" s="524">
        <v>4927.17</v>
      </c>
      <c r="R214" s="502"/>
      <c r="S214" s="505">
        <v>-180.02999999999975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2197.58</v>
      </c>
      <c r="M215" s="502"/>
      <c r="N215" s="505">
        <v>1146.7048194063095</v>
      </c>
      <c r="O215" s="502"/>
      <c r="P215" s="486"/>
      <c r="Q215" s="507">
        <v>1797.78</v>
      </c>
      <c r="R215" s="502"/>
      <c r="S215" s="505">
        <v>399.79999999999995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15128.231788350371</v>
      </c>
      <c r="G216" s="547"/>
      <c r="H216" s="561"/>
      <c r="I216" s="497"/>
      <c r="J216" s="495"/>
      <c r="K216" s="561"/>
      <c r="L216" s="507">
        <v>16230.76</v>
      </c>
      <c r="M216" s="495"/>
      <c r="N216" s="517">
        <v>1102.5282116496292</v>
      </c>
      <c r="O216" s="495"/>
      <c r="P216" s="561"/>
      <c r="Q216" s="507">
        <v>11142.48</v>
      </c>
      <c r="R216" s="495"/>
      <c r="S216" s="517">
        <v>5088.2800000000007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5855.42</v>
      </c>
      <c r="M218" s="502"/>
      <c r="N218" s="505">
        <v>1085.4995777777767</v>
      </c>
      <c r="O218" s="502"/>
      <c r="P218" s="486"/>
      <c r="Q218" s="507">
        <v>4529.47</v>
      </c>
      <c r="R218" s="502"/>
      <c r="S218" s="505">
        <v>1325.9499999999998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793.22</v>
      </c>
      <c r="M219" s="502"/>
      <c r="N219" s="505">
        <v>-427.24540678641711</v>
      </c>
      <c r="O219" s="502"/>
      <c r="P219" s="486"/>
      <c r="Q219" s="507">
        <v>893.35</v>
      </c>
      <c r="R219" s="502"/>
      <c r="S219" s="505">
        <v>-100.13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43.61</v>
      </c>
      <c r="M220" s="502"/>
      <c r="N220" s="505">
        <v>-789.44414975184009</v>
      </c>
      <c r="O220" s="502"/>
      <c r="P220" s="486"/>
      <c r="Q220" s="507">
        <v>479.88</v>
      </c>
      <c r="R220" s="502"/>
      <c r="S220" s="505">
        <v>-436.27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201.64</v>
      </c>
      <c r="M221" s="502"/>
      <c r="N221" s="505">
        <v>22.435498311513271</v>
      </c>
      <c r="O221" s="502"/>
      <c r="P221" s="486"/>
      <c r="Q221" s="507">
        <v>330.28</v>
      </c>
      <c r="R221" s="502"/>
      <c r="S221" s="505">
        <v>-128.63999999999999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551.49</v>
      </c>
      <c r="M222" s="502"/>
      <c r="N222" s="505">
        <v>458.69942872368671</v>
      </c>
      <c r="O222" s="502"/>
      <c r="P222" s="486"/>
      <c r="Q222" s="507">
        <v>7.92</v>
      </c>
      <c r="R222" s="502"/>
      <c r="S222" s="505">
        <v>543.57000000000005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90.81</v>
      </c>
      <c r="M223" s="502"/>
      <c r="N223" s="505">
        <v>-61.640951875953334</v>
      </c>
      <c r="O223" s="502"/>
      <c r="P223" s="486"/>
      <c r="Q223" s="507">
        <v>151.44999999999999</v>
      </c>
      <c r="R223" s="502"/>
      <c r="S223" s="505">
        <v>-60.639999999999986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1047.57</v>
      </c>
      <c r="M224" s="502"/>
      <c r="N224" s="505">
        <v>-2018.9433988524863</v>
      </c>
      <c r="O224" s="502"/>
      <c r="P224" s="486"/>
      <c r="Q224" s="507">
        <v>1114.8599999999999</v>
      </c>
      <c r="R224" s="502"/>
      <c r="S224" s="505">
        <v>-67.289999999999964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1957.9497075888899</v>
      </c>
      <c r="G225" s="545"/>
      <c r="H225" s="486"/>
      <c r="I225" s="543"/>
      <c r="J225" s="502"/>
      <c r="K225" s="486"/>
      <c r="L225" s="507">
        <v>2304.3000000000002</v>
      </c>
      <c r="M225" s="502"/>
      <c r="N225" s="505">
        <v>346.35029241111033</v>
      </c>
      <c r="O225" s="502"/>
      <c r="P225" s="486"/>
      <c r="Q225" s="507">
        <v>2138.54</v>
      </c>
      <c r="R225" s="502"/>
      <c r="S225" s="505">
        <v>165.76000000000022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0.23873755359077806</v>
      </c>
      <c r="F229" s="554">
        <v>67155.455972139564</v>
      </c>
      <c r="G229" s="621"/>
      <c r="H229" s="553"/>
      <c r="I229" s="554"/>
      <c r="J229" s="621" t="s">
        <v>97</v>
      </c>
      <c r="K229" s="553">
        <v>0.2603196878673168</v>
      </c>
      <c r="L229" s="554">
        <v>71171.840000000026</v>
      </c>
      <c r="M229" s="555"/>
      <c r="N229" s="554">
        <v>4016.3840278604621</v>
      </c>
      <c r="O229" s="621" t="s">
        <v>97</v>
      </c>
      <c r="P229" s="553">
        <v>0.20664723089847778</v>
      </c>
      <c r="Q229" s="554">
        <v>53805.189999999995</v>
      </c>
      <c r="R229" s="555"/>
      <c r="S229" s="554">
        <v>17366.650000000031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0.70864485042860526</v>
      </c>
      <c r="F231" s="554">
        <v>199337.58781165589</v>
      </c>
      <c r="G231" s="621"/>
      <c r="H231" s="553"/>
      <c r="I231" s="554"/>
      <c r="J231" s="621" t="s">
        <v>39</v>
      </c>
      <c r="K231" s="553">
        <v>0.72983633458287467</v>
      </c>
      <c r="L231" s="554">
        <v>199538.48000000004</v>
      </c>
      <c r="M231" s="555"/>
      <c r="N231" s="563">
        <v>200.89218834415078</v>
      </c>
      <c r="O231" s="621" t="s">
        <v>39</v>
      </c>
      <c r="P231" s="553">
        <v>0.74589186141161501</v>
      </c>
      <c r="Q231" s="554">
        <v>194209.49</v>
      </c>
      <c r="R231" s="555"/>
      <c r="S231" s="563">
        <v>5328.9900000000489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81956.473227652838</v>
      </c>
      <c r="G233" s="622"/>
      <c r="H233" s="573"/>
      <c r="I233" s="574"/>
      <c r="J233" s="572"/>
      <c r="K233" s="808"/>
      <c r="L233" s="574">
        <v>73863.199999999953</v>
      </c>
      <c r="M233" s="572"/>
      <c r="N233" s="574">
        <v>-8093.2732276528841</v>
      </c>
      <c r="O233" s="572"/>
      <c r="P233" s="809">
        <v>0.18016306654263048</v>
      </c>
      <c r="Q233" s="574">
        <v>66162.689999999886</v>
      </c>
      <c r="R233" s="572"/>
      <c r="S233" s="574">
        <v>7700.5100000000675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472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3" t="s">
        <v>5</v>
      </c>
      <c r="E238" s="884"/>
      <c r="F238" s="885"/>
      <c r="G238" s="886"/>
      <c r="H238" s="884"/>
      <c r="I238" s="885"/>
      <c r="J238" s="886" t="s">
        <v>7</v>
      </c>
      <c r="K238" s="884"/>
      <c r="L238" s="885"/>
      <c r="M238" s="886" t="s">
        <v>220</v>
      </c>
      <c r="N238" s="885"/>
      <c r="O238" s="883" t="s">
        <v>8</v>
      </c>
      <c r="P238" s="884"/>
      <c r="Q238" s="885"/>
      <c r="R238" s="886" t="s">
        <v>221</v>
      </c>
      <c r="S238" s="885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60000</v>
      </c>
      <c r="F241" s="503">
        <v>13200</v>
      </c>
      <c r="G241" s="624"/>
      <c r="H241" s="503"/>
      <c r="I241" s="503"/>
      <c r="J241" s="504">
        <v>8</v>
      </c>
      <c r="K241" s="543">
        <v>19150.68</v>
      </c>
      <c r="L241" s="507">
        <v>4315.59</v>
      </c>
      <c r="M241" s="587">
        <v>-0.68082200000000004</v>
      </c>
      <c r="N241" s="505">
        <v>-8884.41</v>
      </c>
      <c r="O241" s="504">
        <v>22</v>
      </c>
      <c r="P241" s="543">
        <v>71665.97</v>
      </c>
      <c r="Q241" s="507">
        <v>17236.2599999999</v>
      </c>
      <c r="R241" s="587">
        <v>0.36363636363636365</v>
      </c>
      <c r="S241" s="505">
        <v>-12920.6699999999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0.22534917820150513</v>
      </c>
      <c r="M242" s="587"/>
      <c r="N242" s="505">
        <v>13049.534239492847</v>
      </c>
      <c r="O242" s="504"/>
      <c r="P242" s="486"/>
      <c r="Q242" s="597">
        <v>0.24050829145269226</v>
      </c>
      <c r="R242" s="504"/>
      <c r="S242" s="505">
        <v>-35531.842499999722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60000</v>
      </c>
      <c r="F250" s="531">
        <v>13200</v>
      </c>
      <c r="G250" s="532"/>
      <c r="H250" s="529"/>
      <c r="I250" s="531"/>
      <c r="J250" s="532"/>
      <c r="K250" s="529">
        <v>19150.68</v>
      </c>
      <c r="L250" s="531">
        <v>4315.59</v>
      </c>
      <c r="M250" s="629">
        <v>5.3491782015051281E-3</v>
      </c>
      <c r="N250" s="531">
        <v>-8884.41</v>
      </c>
      <c r="O250" s="532"/>
      <c r="P250" s="529">
        <v>71665.97</v>
      </c>
      <c r="Q250" s="531">
        <v>17236.2599999999</v>
      </c>
      <c r="R250" s="827">
        <v>-1.5159113251187128E-2</v>
      </c>
      <c r="S250" s="531">
        <v>-12920.6699999999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0.22534917820150513</v>
      </c>
      <c r="M251" s="537"/>
      <c r="N251" s="536">
        <v>-0.6730613636363636</v>
      </c>
      <c r="O251" s="533"/>
      <c r="P251" s="534"/>
      <c r="Q251" s="536">
        <v>0.24050829145269226</v>
      </c>
      <c r="R251" s="537"/>
      <c r="S251" s="536">
        <v>-0.74962143759724986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297.32500000000005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604.55499999999995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4847.8046153846153</v>
      </c>
      <c r="G255" s="545"/>
      <c r="H255" s="486"/>
      <c r="I255" s="497"/>
      <c r="J255" s="502"/>
      <c r="K255" s="486"/>
      <c r="L255" s="507">
        <v>4215.95</v>
      </c>
      <c r="M255" s="502"/>
      <c r="N255" s="505">
        <v>-631.8546153846155</v>
      </c>
      <c r="O255" s="502"/>
      <c r="P255" s="486"/>
      <c r="Q255" s="507">
        <v>452.67</v>
      </c>
      <c r="R255" s="502"/>
      <c r="S255" s="505">
        <v>3763.2799999999997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17.530769230769231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-17.450769230769232</v>
      </c>
      <c r="O256" s="488"/>
      <c r="P256" s="559"/>
      <c r="Q256" s="524">
        <v>0.13</v>
      </c>
      <c r="R256" s="488"/>
      <c r="S256" s="523">
        <v>-0.05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619.8155113461537</v>
      </c>
      <c r="G261" s="545"/>
      <c r="H261" s="486"/>
      <c r="I261" s="497"/>
      <c r="J261" s="502"/>
      <c r="K261" s="486"/>
      <c r="L261" s="507">
        <v>537.70000000000005</v>
      </c>
      <c r="M261" s="502"/>
      <c r="N261" s="505">
        <v>-82.115511346153653</v>
      </c>
      <c r="O261" s="502"/>
      <c r="P261" s="486"/>
      <c r="Q261" s="507">
        <v>148.47</v>
      </c>
      <c r="R261" s="502"/>
      <c r="S261" s="505">
        <v>389.23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753.60828692307689</v>
      </c>
      <c r="G262" s="560"/>
      <c r="H262" s="559"/>
      <c r="I262" s="543"/>
      <c r="J262" s="488"/>
      <c r="K262" s="559"/>
      <c r="L262" s="524">
        <v>1369.98</v>
      </c>
      <c r="M262" s="488"/>
      <c r="N262" s="523">
        <v>616.37171307692313</v>
      </c>
      <c r="O262" s="488"/>
      <c r="P262" s="559"/>
      <c r="Q262" s="524">
        <v>830.33</v>
      </c>
      <c r="R262" s="488"/>
      <c r="S262" s="523">
        <v>539.65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388.27209565384607</v>
      </c>
      <c r="G263" s="545"/>
      <c r="H263" s="486"/>
      <c r="I263" s="543"/>
      <c r="J263" s="502"/>
      <c r="K263" s="486"/>
      <c r="L263" s="507">
        <v>382.41999999999996</v>
      </c>
      <c r="M263" s="502"/>
      <c r="N263" s="505">
        <v>-5.8520956538461064</v>
      </c>
      <c r="O263" s="502"/>
      <c r="P263" s="486"/>
      <c r="Q263" s="507">
        <v>325.86</v>
      </c>
      <c r="R263" s="502"/>
      <c r="S263" s="505">
        <v>56.559999999999945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169.28881807692304</v>
      </c>
      <c r="G264" s="545"/>
      <c r="H264" s="486"/>
      <c r="I264" s="543"/>
      <c r="J264" s="502"/>
      <c r="K264" s="486"/>
      <c r="L264" s="507">
        <v>341.14</v>
      </c>
      <c r="M264" s="502"/>
      <c r="N264" s="505">
        <v>171.85118192307695</v>
      </c>
      <c r="O264" s="502"/>
      <c r="P264" s="486"/>
      <c r="Q264" s="507">
        <v>127.2</v>
      </c>
      <c r="R264" s="502"/>
      <c r="S264" s="505">
        <v>213.94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0.53739735580419568</v>
      </c>
      <c r="F266" s="554">
        <v>7093.6450966153834</v>
      </c>
      <c r="G266" s="621"/>
      <c r="H266" s="553"/>
      <c r="I266" s="554"/>
      <c r="J266" s="621" t="s">
        <v>39</v>
      </c>
      <c r="K266" s="553">
        <v>1.7956177486739937</v>
      </c>
      <c r="L266" s="554">
        <v>7749.1500000000005</v>
      </c>
      <c r="M266" s="590"/>
      <c r="N266" s="563">
        <v>655.50490338461714</v>
      </c>
      <c r="O266" s="621" t="s">
        <v>39</v>
      </c>
      <c r="P266" s="553">
        <v>0</v>
      </c>
      <c r="Q266" s="554">
        <v>2786.54</v>
      </c>
      <c r="R266" s="590"/>
      <c r="S266" s="563">
        <v>4962.6100000000006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28</v>
      </c>
      <c r="M267" s="502"/>
      <c r="N267" s="505">
        <v>-20.333333333333336</v>
      </c>
      <c r="O267" s="502"/>
      <c r="P267" s="486"/>
      <c r="Q267" s="505">
        <v>57.6</v>
      </c>
      <c r="R267" s="502"/>
      <c r="S267" s="505">
        <v>-29.6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609.52</v>
      </c>
      <c r="M268" s="502"/>
      <c r="N268" s="505">
        <v>47.842018719428893</v>
      </c>
      <c r="O268" s="502"/>
      <c r="P268" s="486"/>
      <c r="Q268" s="505">
        <v>966.44</v>
      </c>
      <c r="R268" s="502"/>
      <c r="S268" s="505">
        <v>-356.92000000000007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157.77000000000001</v>
      </c>
      <c r="M269" s="495"/>
      <c r="N269" s="517">
        <v>33.266400000000004</v>
      </c>
      <c r="O269" s="495"/>
      <c r="P269" s="561"/>
      <c r="Q269" s="517">
        <v>157.77000000000001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1872.86</v>
      </c>
      <c r="M270" s="502"/>
      <c r="N270" s="505">
        <v>422.43311376222232</v>
      </c>
      <c r="O270" s="502"/>
      <c r="P270" s="486"/>
      <c r="Q270" s="505">
        <v>1612.47</v>
      </c>
      <c r="R270" s="502"/>
      <c r="S270" s="505">
        <v>260.38999999999987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285.75</v>
      </c>
      <c r="M271" s="502"/>
      <c r="N271" s="505">
        <v>71.711761621417992</v>
      </c>
      <c r="O271" s="502"/>
      <c r="P271" s="486"/>
      <c r="Q271" s="505">
        <v>509.97</v>
      </c>
      <c r="R271" s="502"/>
      <c r="S271" s="505">
        <v>-224.22000000000003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726.05</v>
      </c>
      <c r="M272" s="495"/>
      <c r="N272" s="517">
        <v>38.903255647519245</v>
      </c>
      <c r="O272" s="495"/>
      <c r="P272" s="561"/>
      <c r="Q272" s="517">
        <v>617.34</v>
      </c>
      <c r="R272" s="495"/>
      <c r="S272" s="517">
        <v>108.70999999999992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7.93</v>
      </c>
      <c r="R274" s="502"/>
      <c r="S274" s="505">
        <v>-7.93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12.72</v>
      </c>
      <c r="M276" s="502"/>
      <c r="N276" s="505">
        <v>-133.51689705261995</v>
      </c>
      <c r="O276" s="502"/>
      <c r="P276" s="486"/>
      <c r="Q276" s="505">
        <v>83.36</v>
      </c>
      <c r="R276" s="502"/>
      <c r="S276" s="505">
        <v>-70.64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26.51</v>
      </c>
      <c r="M277" s="502"/>
      <c r="N277" s="505">
        <v>-5.8589753258086112</v>
      </c>
      <c r="O277" s="502"/>
      <c r="P277" s="486"/>
      <c r="Q277" s="505">
        <v>23.66</v>
      </c>
      <c r="R277" s="502"/>
      <c r="S277" s="505">
        <v>2.8500000000000014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28.72</v>
      </c>
      <c r="M278" s="502"/>
      <c r="N278" s="505">
        <v>6.2279011694086073</v>
      </c>
      <c r="O278" s="502"/>
      <c r="P278" s="486"/>
      <c r="Q278" s="505">
        <v>2.31</v>
      </c>
      <c r="R278" s="502"/>
      <c r="S278" s="505">
        <v>26.41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26.49</v>
      </c>
      <c r="M279" s="502"/>
      <c r="N279" s="505">
        <v>-76.415067505486391</v>
      </c>
      <c r="O279" s="502"/>
      <c r="P279" s="486"/>
      <c r="Q279" s="505">
        <v>44.2</v>
      </c>
      <c r="R279" s="502"/>
      <c r="S279" s="505">
        <v>-17.710000000000004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22.33</v>
      </c>
      <c r="M280" s="502"/>
      <c r="N280" s="505">
        <v>-153.16870178698258</v>
      </c>
      <c r="O280" s="502"/>
      <c r="P280" s="486"/>
      <c r="Q280" s="505">
        <v>22.33</v>
      </c>
      <c r="R280" s="502"/>
      <c r="S280" s="505">
        <v>0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213.50771769284086</v>
      </c>
      <c r="G281" s="545"/>
      <c r="H281" s="486"/>
      <c r="I281" s="543"/>
      <c r="J281" s="502"/>
      <c r="K281" s="486"/>
      <c r="L281" s="507">
        <v>256.04000000000002</v>
      </c>
      <c r="M281" s="502"/>
      <c r="N281" s="505">
        <v>42.532282307159164</v>
      </c>
      <c r="O281" s="502"/>
      <c r="P281" s="486"/>
      <c r="Q281" s="505">
        <v>237.63</v>
      </c>
      <c r="R281" s="502"/>
      <c r="S281" s="505">
        <v>18.410000000000025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3853.4211084437411</v>
      </c>
      <c r="G285" s="621"/>
      <c r="H285" s="553"/>
      <c r="I285" s="554"/>
      <c r="J285" s="621" t="s">
        <v>39</v>
      </c>
      <c r="K285" s="553">
        <v>0.93909755097217285</v>
      </c>
      <c r="L285" s="554">
        <v>4052.7599999999993</v>
      </c>
      <c r="M285" s="555"/>
      <c r="N285" s="554">
        <v>199.33889155625866</v>
      </c>
      <c r="O285" s="621" t="s">
        <v>39</v>
      </c>
      <c r="P285" s="553">
        <v>0</v>
      </c>
      <c r="Q285" s="554">
        <v>4343.01</v>
      </c>
      <c r="R285" s="555"/>
      <c r="S285" s="554">
        <v>-290.25000000000091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10947.066205059124</v>
      </c>
      <c r="G287" s="621"/>
      <c r="H287" s="553"/>
      <c r="I287" s="554"/>
      <c r="J287" s="621" t="s">
        <v>39</v>
      </c>
      <c r="K287" s="553">
        <v>2.7347152996461666</v>
      </c>
      <c r="L287" s="554">
        <v>11801.91</v>
      </c>
      <c r="M287" s="555"/>
      <c r="N287" s="563">
        <v>854.84379494087625</v>
      </c>
      <c r="O287" s="621" t="s">
        <v>39</v>
      </c>
      <c r="P287" s="553">
        <v>0</v>
      </c>
      <c r="Q287" s="554">
        <v>7129.55</v>
      </c>
      <c r="R287" s="555"/>
      <c r="S287" s="563">
        <v>4672.3599999999997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2252.9337949408764</v>
      </c>
      <c r="G289" s="622"/>
      <c r="H289" s="573"/>
      <c r="I289" s="574"/>
      <c r="J289" s="572"/>
      <c r="K289" s="808"/>
      <c r="L289" s="574">
        <v>-7486.32</v>
      </c>
      <c r="M289" s="572"/>
      <c r="N289" s="574">
        <v>-9739.2537949408761</v>
      </c>
      <c r="O289" s="572"/>
      <c r="P289" s="809">
        <v>0.14102523136154999</v>
      </c>
      <c r="Q289" s="574">
        <v>10106.709999999901</v>
      </c>
      <c r="R289" s="572"/>
      <c r="S289" s="574">
        <v>-17593.029999999901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472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3" t="s">
        <v>5</v>
      </c>
      <c r="E293" s="884"/>
      <c r="F293" s="885"/>
      <c r="G293" s="886"/>
      <c r="H293" s="884"/>
      <c r="I293" s="885"/>
      <c r="J293" s="886" t="s">
        <v>7</v>
      </c>
      <c r="K293" s="884"/>
      <c r="L293" s="885"/>
      <c r="M293" s="886" t="s">
        <v>220</v>
      </c>
      <c r="N293" s="885"/>
      <c r="O293" s="883" t="s">
        <v>8</v>
      </c>
      <c r="P293" s="884"/>
      <c r="Q293" s="885"/>
      <c r="R293" s="886" t="s">
        <v>221</v>
      </c>
      <c r="S293" s="885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126282.943208</v>
      </c>
      <c r="E295" s="591">
        <v>0.35699999999999998</v>
      </c>
      <c r="F295" s="505">
        <v>45083.010725255997</v>
      </c>
      <c r="G295" s="503"/>
      <c r="H295" s="591"/>
      <c r="I295" s="505"/>
      <c r="J295" s="543">
        <v>79614.17</v>
      </c>
      <c r="K295" s="591">
        <v>0.33377638679144678</v>
      </c>
      <c r="L295" s="505">
        <v>26573.329999999998</v>
      </c>
      <c r="M295" s="587">
        <v>-0.36955721827873539</v>
      </c>
      <c r="N295" s="505">
        <v>-18509.680725255999</v>
      </c>
      <c r="O295" s="543">
        <v>94158.54</v>
      </c>
      <c r="P295" s="591">
        <v>0.39031595009863046</v>
      </c>
      <c r="Q295" s="505">
        <v>36751.5799999999</v>
      </c>
      <c r="R295" s="587">
        <v>-0.15446681734869716</v>
      </c>
      <c r="S295" s="505">
        <v>-10178.249999999902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36000</v>
      </c>
      <c r="E296" s="591">
        <v>0.248</v>
      </c>
      <c r="F296" s="505">
        <v>8928</v>
      </c>
      <c r="G296" s="503"/>
      <c r="H296" s="591"/>
      <c r="I296" s="505"/>
      <c r="J296" s="543">
        <v>5388.62</v>
      </c>
      <c r="K296" s="591">
        <v>0.25085829024870926</v>
      </c>
      <c r="L296" s="505">
        <v>1351.7799999999997</v>
      </c>
      <c r="M296" s="587">
        <v>-0.85031611111111116</v>
      </c>
      <c r="N296" s="505">
        <v>-7576.22</v>
      </c>
      <c r="O296" s="543">
        <v>39357.14</v>
      </c>
      <c r="P296" s="591">
        <v>0.23324890985473004</v>
      </c>
      <c r="Q296" s="505">
        <v>9180.0099999999893</v>
      </c>
      <c r="R296" s="587">
        <v>-0.86308405539630162</v>
      </c>
      <c r="S296" s="505">
        <v>-7828.2299999999896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33493.949999999997</v>
      </c>
      <c r="E297" s="591">
        <v>0.23699999999999999</v>
      </c>
      <c r="F297" s="505">
        <v>7938.0661499999987</v>
      </c>
      <c r="G297" s="503"/>
      <c r="H297" s="591"/>
      <c r="I297" s="505"/>
      <c r="J297" s="543">
        <v>49369.33</v>
      </c>
      <c r="K297" s="591">
        <v>0.24429944664025219</v>
      </c>
      <c r="L297" s="505">
        <v>12060.900000000001</v>
      </c>
      <c r="M297" s="587">
        <v>0.47397753922723374</v>
      </c>
      <c r="N297" s="505">
        <v>4122.8338500000027</v>
      </c>
      <c r="O297" s="543">
        <v>30357.78</v>
      </c>
      <c r="P297" s="591">
        <v>0.24208786017949929</v>
      </c>
      <c r="Q297" s="505">
        <v>7349.25</v>
      </c>
      <c r="R297" s="587">
        <v>0.62624967965378242</v>
      </c>
      <c r="S297" s="505">
        <v>4711.6500000000015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54457.672499999993</v>
      </c>
      <c r="E298" s="591">
        <v>0.29399999999999998</v>
      </c>
      <c r="F298" s="505">
        <v>16010.555714999997</v>
      </c>
      <c r="G298" s="503"/>
      <c r="H298" s="591"/>
      <c r="I298" s="505"/>
      <c r="J298" s="543">
        <v>51699.32</v>
      </c>
      <c r="K298" s="591">
        <v>0.32751823428238519</v>
      </c>
      <c r="L298" s="505">
        <v>16932.47</v>
      </c>
      <c r="M298" s="587">
        <v>-5.065131088736842E-2</v>
      </c>
      <c r="N298" s="505">
        <v>921.91428500000438</v>
      </c>
      <c r="O298" s="543">
        <v>42372.56</v>
      </c>
      <c r="P298" s="591">
        <v>0.28409588658320151</v>
      </c>
      <c r="Q298" s="505">
        <v>12037.869999999901</v>
      </c>
      <c r="R298" s="587">
        <v>0.22011320533854936</v>
      </c>
      <c r="S298" s="505">
        <v>4894.6000000001004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23233.344000000001</v>
      </c>
      <c r="E299" s="591">
        <v>0.27700000000000002</v>
      </c>
      <c r="F299" s="505">
        <v>6435.6362880000006</v>
      </c>
      <c r="G299" s="503"/>
      <c r="H299" s="591"/>
      <c r="I299" s="505"/>
      <c r="J299" s="543">
        <v>18999.689999999999</v>
      </c>
      <c r="K299" s="591">
        <v>0.26101741659995498</v>
      </c>
      <c r="L299" s="505">
        <v>4959.2499999999982</v>
      </c>
      <c r="M299" s="587">
        <v>-0.18222318750154959</v>
      </c>
      <c r="N299" s="505">
        <v>-1476.3862880000024</v>
      </c>
      <c r="O299" s="543">
        <v>21891.26</v>
      </c>
      <c r="P299" s="591">
        <v>0.31894829260627261</v>
      </c>
      <c r="Q299" s="505">
        <v>6982.1799999999903</v>
      </c>
      <c r="R299" s="587">
        <v>-0.13208787433889141</v>
      </c>
      <c r="S299" s="505">
        <v>-2022.9299999999921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181814.997</v>
      </c>
      <c r="E300" s="591">
        <v>0.13500000000000001</v>
      </c>
      <c r="F300" s="505">
        <v>24545.024595000003</v>
      </c>
      <c r="G300" s="503"/>
      <c r="H300" s="591"/>
      <c r="I300" s="505"/>
      <c r="J300" s="543">
        <v>185450.93</v>
      </c>
      <c r="K300" s="591">
        <v>0.13779882365647877</v>
      </c>
      <c r="L300" s="505">
        <v>25554.919999999987</v>
      </c>
      <c r="M300" s="587">
        <v>1.999798179464805E-2</v>
      </c>
      <c r="N300" s="505">
        <v>1009.8954049999847</v>
      </c>
      <c r="O300" s="543">
        <v>169839.65</v>
      </c>
      <c r="P300" s="591">
        <v>0.13764453706775717</v>
      </c>
      <c r="Q300" s="505">
        <v>23377.499999999902</v>
      </c>
      <c r="R300" s="587">
        <v>9.191775889787808E-2</v>
      </c>
      <c r="S300" s="505">
        <v>2177.4200000000856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11672.617495226517</v>
      </c>
      <c r="G302" s="503"/>
      <c r="H302" s="591"/>
      <c r="I302" s="505"/>
      <c r="J302" s="543">
        <v>0</v>
      </c>
      <c r="K302" s="591">
        <v>0</v>
      </c>
      <c r="L302" s="505">
        <v>8155.1299999999992</v>
      </c>
      <c r="M302" s="587"/>
      <c r="N302" s="505">
        <v>-3517.4874952265181</v>
      </c>
      <c r="O302" s="543">
        <v>0</v>
      </c>
      <c r="P302" s="591">
        <v>0</v>
      </c>
      <c r="Q302" s="505">
        <v>17862.830000000002</v>
      </c>
      <c r="R302" s="587">
        <v>0</v>
      </c>
      <c r="S302" s="505">
        <v>-9707.7000000000025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455282.90670799999</v>
      </c>
      <c r="E304" s="631">
        <v>0.26491860158026698</v>
      </c>
      <c r="F304" s="510">
        <v>120612.91096848251</v>
      </c>
      <c r="G304" s="509"/>
      <c r="H304" s="631"/>
      <c r="I304" s="510"/>
      <c r="J304" s="509">
        <v>390522.06</v>
      </c>
      <c r="K304" s="631">
        <v>0.24476921995136455</v>
      </c>
      <c r="L304" s="510">
        <v>95587.779999999984</v>
      </c>
      <c r="M304" s="632">
        <v>-0.14224308831680996</v>
      </c>
      <c r="N304" s="510">
        <v>-25025.130968482525</v>
      </c>
      <c r="O304" s="509">
        <v>397976.93</v>
      </c>
      <c r="P304" s="631">
        <v>0.28529598436773629</v>
      </c>
      <c r="Q304" s="510">
        <v>113541.21999999968</v>
      </c>
      <c r="R304" s="632">
        <v>-1.8731914937883447E-2</v>
      </c>
      <c r="S304" s="510">
        <v>-17953.439999999697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-0.2074830195833833</v>
      </c>
      <c r="O305" s="502"/>
      <c r="P305" s="486"/>
      <c r="Q305" s="527"/>
      <c r="R305" s="502"/>
      <c r="S305" s="514">
        <v>-0.15812266241282019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28768.550000000003</v>
      </c>
      <c r="E307" s="591">
        <v>0.17100000000000001</v>
      </c>
      <c r="F307" s="523">
        <v>4919.422050000001</v>
      </c>
      <c r="G307" s="503"/>
      <c r="H307" s="591"/>
      <c r="I307" s="523"/>
      <c r="J307" s="543">
        <v>42082.240000000005</v>
      </c>
      <c r="K307" s="591">
        <v>0.16357636855832786</v>
      </c>
      <c r="L307" s="523">
        <v>6883.6600000000071</v>
      </c>
      <c r="M307" s="587">
        <v>0.46278627181418602</v>
      </c>
      <c r="N307" s="505">
        <v>1964.2379500000061</v>
      </c>
      <c r="O307" s="543">
        <v>33810.449999999997</v>
      </c>
      <c r="P307" s="591">
        <v>0.15712154082539573</v>
      </c>
      <c r="Q307" s="523">
        <v>5312.35</v>
      </c>
      <c r="R307" s="587">
        <v>0.24465187538172395</v>
      </c>
      <c r="S307" s="505">
        <v>1571.3100000000068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15664.764983377116</v>
      </c>
      <c r="E308" s="591">
        <v>0.25600000000000001</v>
      </c>
      <c r="F308" s="517">
        <v>4010.1798357445418</v>
      </c>
      <c r="G308" s="503"/>
      <c r="H308" s="591"/>
      <c r="I308" s="517"/>
      <c r="J308" s="543">
        <v>27375.41</v>
      </c>
      <c r="K308" s="591">
        <v>0.26588460227627642</v>
      </c>
      <c r="L308" s="517">
        <v>7278.7000000000007</v>
      </c>
      <c r="M308" s="587">
        <v>0.74757872390998514</v>
      </c>
      <c r="N308" s="505">
        <v>3268.5201642554589</v>
      </c>
      <c r="O308" s="543">
        <v>27235.040000000001</v>
      </c>
      <c r="P308" s="591">
        <v>0.26812554708933783</v>
      </c>
      <c r="Q308" s="517">
        <v>7302.41</v>
      </c>
      <c r="R308" s="587">
        <v>5.1540221714379336E-3</v>
      </c>
      <c r="S308" s="505">
        <v>-23.709999999999127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499716.22169137711</v>
      </c>
      <c r="E309" s="631">
        <v>0.25923215463321908</v>
      </c>
      <c r="F309" s="510">
        <v>129542.51285422705</v>
      </c>
      <c r="G309" s="511"/>
      <c r="H309" s="631"/>
      <c r="I309" s="510"/>
      <c r="J309" s="511">
        <v>459979.70999999996</v>
      </c>
      <c r="K309" s="631">
        <v>0.23859778510665175</v>
      </c>
      <c r="L309" s="510">
        <v>109750.13999999998</v>
      </c>
      <c r="M309" s="632">
        <v>-7.9518154437496477E-2</v>
      </c>
      <c r="N309" s="510">
        <v>-19792.372854227069</v>
      </c>
      <c r="O309" s="511">
        <v>459022.42</v>
      </c>
      <c r="P309" s="631">
        <v>0.2748362051683656</v>
      </c>
      <c r="Q309" s="510">
        <v>126155.97999999969</v>
      </c>
      <c r="R309" s="632">
        <v>2.0854972617676912E-3</v>
      </c>
      <c r="S309" s="510">
        <v>-16405.839999999705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-0.15278669849873328</v>
      </c>
      <c r="O310" s="502"/>
      <c r="P310" s="486"/>
      <c r="Q310" s="527"/>
      <c r="R310" s="502"/>
      <c r="S310" s="514">
        <v>-0.13004409303466824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499716.22169137711</v>
      </c>
      <c r="E314" s="635">
        <v>0.25923215463321908</v>
      </c>
      <c r="F314" s="531">
        <v>129542.51285422705</v>
      </c>
      <c r="G314" s="532"/>
      <c r="H314" s="635"/>
      <c r="I314" s="531"/>
      <c r="J314" s="532">
        <v>459979.70999999996</v>
      </c>
      <c r="K314" s="635">
        <v>0.23859778510665175</v>
      </c>
      <c r="L314" s="531">
        <v>109750.13999999998</v>
      </c>
      <c r="M314" s="636">
        <v>-7.9518154437496477E-2</v>
      </c>
      <c r="N314" s="637">
        <v>-19792.372854227069</v>
      </c>
      <c r="O314" s="532">
        <v>459022.42</v>
      </c>
      <c r="P314" s="635">
        <v>0.2748362051683656</v>
      </c>
      <c r="Q314" s="531">
        <v>126155.97999999969</v>
      </c>
      <c r="R314" s="636">
        <v>2.0854972617676912E-3</v>
      </c>
      <c r="S314" s="637">
        <v>-16405.839999999705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0.84721330150126672</v>
      </c>
      <c r="M315" s="641"/>
      <c r="N315" s="536">
        <v>-0.15278669849873328</v>
      </c>
      <c r="O315" s="640"/>
      <c r="P315" s="639"/>
      <c r="Q315" s="574"/>
      <c r="R315" s="641"/>
      <c r="S315" s="536">
        <v>-0.13004409303466824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6935.8538461538465</v>
      </c>
      <c r="G318" s="502"/>
      <c r="H318" s="486"/>
      <c r="I318" s="543"/>
      <c r="J318" s="502"/>
      <c r="K318" s="486"/>
      <c r="L318" s="507">
        <v>7994.18</v>
      </c>
      <c r="M318" s="502"/>
      <c r="N318" s="507">
        <v>1058.3261538461538</v>
      </c>
      <c r="O318" s="502"/>
      <c r="P318" s="486"/>
      <c r="Q318" s="507">
        <v>7005.54</v>
      </c>
      <c r="R318" s="502"/>
      <c r="S318" s="507">
        <v>988.64000000000033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26364.924123076926</v>
      </c>
      <c r="G319" s="545"/>
      <c r="H319" s="486"/>
      <c r="I319" s="497"/>
      <c r="J319" s="502"/>
      <c r="K319" s="486"/>
      <c r="L319" s="507">
        <v>24736.400000000001</v>
      </c>
      <c r="M319" s="502"/>
      <c r="N319" s="507">
        <v>-1628.5241230769243</v>
      </c>
      <c r="O319" s="502"/>
      <c r="P319" s="486"/>
      <c r="Q319" s="507">
        <v>24992.33</v>
      </c>
      <c r="R319" s="502"/>
      <c r="S319" s="505">
        <v>-255.93000000000029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140.24615384615385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-26.326153846153844</v>
      </c>
      <c r="O320" s="488"/>
      <c r="P320" s="559"/>
      <c r="Q320" s="524">
        <v>190.37</v>
      </c>
      <c r="R320" s="488"/>
      <c r="S320" s="523">
        <v>-76.45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4125.0641995076921</v>
      </c>
      <c r="G325" s="545"/>
      <c r="H325" s="486"/>
      <c r="I325" s="497"/>
      <c r="J325" s="502"/>
      <c r="K325" s="486"/>
      <c r="L325" s="507">
        <v>4453.74</v>
      </c>
      <c r="M325" s="502"/>
      <c r="N325" s="507">
        <v>328.67580049230764</v>
      </c>
      <c r="O325" s="502"/>
      <c r="P325" s="486"/>
      <c r="Q325" s="507">
        <v>3726.86</v>
      </c>
      <c r="R325" s="502"/>
      <c r="S325" s="505">
        <v>726.87999999999965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5015.4965597538467</v>
      </c>
      <c r="G326" s="560"/>
      <c r="H326" s="559"/>
      <c r="I326" s="543"/>
      <c r="J326" s="488"/>
      <c r="K326" s="559"/>
      <c r="L326" s="524">
        <v>4954.4799999999996</v>
      </c>
      <c r="M326" s="488"/>
      <c r="N326" s="524">
        <v>-61.016559753847105</v>
      </c>
      <c r="O326" s="488"/>
      <c r="P326" s="559"/>
      <c r="Q326" s="524">
        <v>7350.11</v>
      </c>
      <c r="R326" s="488"/>
      <c r="S326" s="523">
        <v>-2395.63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2584.0710536123074</v>
      </c>
      <c r="G327" s="545"/>
      <c r="H327" s="486"/>
      <c r="I327" s="543"/>
      <c r="J327" s="502"/>
      <c r="K327" s="486"/>
      <c r="L327" s="507">
        <v>1601.67</v>
      </c>
      <c r="M327" s="502"/>
      <c r="N327" s="507">
        <v>-982.40105361230735</v>
      </c>
      <c r="O327" s="502"/>
      <c r="P327" s="486"/>
      <c r="Q327" s="507">
        <v>1026.28</v>
      </c>
      <c r="R327" s="502"/>
      <c r="S327" s="505">
        <v>575.3900000000001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1126.6695170461537</v>
      </c>
      <c r="G328" s="545"/>
      <c r="H328" s="486"/>
      <c r="I328" s="543"/>
      <c r="J328" s="502"/>
      <c r="K328" s="486"/>
      <c r="L328" s="507">
        <v>1626.85</v>
      </c>
      <c r="M328" s="502"/>
      <c r="N328" s="507">
        <v>500.18048295384619</v>
      </c>
      <c r="O328" s="502"/>
      <c r="P328" s="486"/>
      <c r="Q328" s="507">
        <v>1204.1600000000001</v>
      </c>
      <c r="R328" s="502"/>
      <c r="S328" s="505">
        <v>422.68999999999983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0.35735238133823477</v>
      </c>
      <c r="F330" s="554">
        <v>46292.325452996927</v>
      </c>
      <c r="G330" s="621"/>
      <c r="H330" s="553"/>
      <c r="I330" s="554"/>
      <c r="J330" s="621" t="s">
        <v>39</v>
      </c>
      <c r="K330" s="553">
        <v>0.41440712512986322</v>
      </c>
      <c r="L330" s="554">
        <v>45481.24</v>
      </c>
      <c r="M330" s="590"/>
      <c r="N330" s="563">
        <v>-811.08545299692923</v>
      </c>
      <c r="O330" s="621" t="s">
        <v>39</v>
      </c>
      <c r="P330" s="553">
        <v>0.3606301500729503</v>
      </c>
      <c r="Q330" s="554">
        <v>45495.65</v>
      </c>
      <c r="R330" s="590"/>
      <c r="S330" s="563">
        <v>-14.410000000003492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7533.1629382917936</v>
      </c>
      <c r="G331" s="545"/>
      <c r="H331" s="486"/>
      <c r="I331" s="543"/>
      <c r="J331" s="502"/>
      <c r="K331" s="486"/>
      <c r="L331" s="507">
        <v>12743.83</v>
      </c>
      <c r="M331" s="502"/>
      <c r="N331" s="505">
        <v>5210.6670617082063</v>
      </c>
      <c r="O331" s="502"/>
      <c r="P331" s="486"/>
      <c r="Q331" s="507">
        <v>4417.4399999999996</v>
      </c>
      <c r="R331" s="502"/>
      <c r="S331" s="505">
        <v>8326.39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669.47</v>
      </c>
      <c r="M332" s="502"/>
      <c r="N332" s="505">
        <v>107.9442217985727</v>
      </c>
      <c r="O332" s="502"/>
      <c r="P332" s="486"/>
      <c r="Q332" s="507">
        <v>881.44</v>
      </c>
      <c r="R332" s="502"/>
      <c r="S332" s="505">
        <v>-211.97000000000003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1170.8399999999999</v>
      </c>
      <c r="M333" s="495"/>
      <c r="N333" s="517">
        <v>-93.48048888888934</v>
      </c>
      <c r="O333" s="495"/>
      <c r="P333" s="561"/>
      <c r="Q333" s="507">
        <v>1271.42</v>
      </c>
      <c r="R333" s="495"/>
      <c r="S333" s="517">
        <v>-100.58000000000015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5543.45</v>
      </c>
      <c r="M334" s="502"/>
      <c r="N334" s="505">
        <v>1093.7932610555545</v>
      </c>
      <c r="O334" s="502"/>
      <c r="P334" s="486"/>
      <c r="Q334" s="524">
        <v>4958.8900000000003</v>
      </c>
      <c r="R334" s="502"/>
      <c r="S334" s="505">
        <v>584.55999999999949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1020.62</v>
      </c>
      <c r="M335" s="502"/>
      <c r="N335" s="505">
        <v>202.34353112319104</v>
      </c>
      <c r="O335" s="502"/>
      <c r="P335" s="486"/>
      <c r="Q335" s="507">
        <v>1821.32</v>
      </c>
      <c r="R335" s="502"/>
      <c r="S335" s="505">
        <v>-800.69999999999993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13547.66</v>
      </c>
      <c r="M336" s="495"/>
      <c r="N336" s="517">
        <v>1059.5741227347571</v>
      </c>
      <c r="O336" s="495"/>
      <c r="P336" s="561"/>
      <c r="Q336" s="497">
        <v>11758.11</v>
      </c>
      <c r="R336" s="495"/>
      <c r="S336" s="517">
        <v>1789.5499999999993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0</v>
      </c>
      <c r="M338" s="502"/>
      <c r="N338" s="505">
        <v>-255.67533333333333</v>
      </c>
      <c r="O338" s="502"/>
      <c r="P338" s="486"/>
      <c r="Q338" s="507">
        <v>65.61</v>
      </c>
      <c r="R338" s="502"/>
      <c r="S338" s="505">
        <v>-65.61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45.41</v>
      </c>
      <c r="M340" s="502"/>
      <c r="N340" s="505">
        <v>-670.99904661649998</v>
      </c>
      <c r="O340" s="502"/>
      <c r="P340" s="486"/>
      <c r="Q340" s="507">
        <v>297.66000000000003</v>
      </c>
      <c r="R340" s="502"/>
      <c r="S340" s="505">
        <v>-252.25000000000003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94.67</v>
      </c>
      <c r="M341" s="502"/>
      <c r="N341" s="505">
        <v>-20.870743592173625</v>
      </c>
      <c r="O341" s="502"/>
      <c r="P341" s="486"/>
      <c r="Q341" s="507">
        <v>84.4</v>
      </c>
      <c r="R341" s="502"/>
      <c r="S341" s="505">
        <v>10.269999999999996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-558.02</v>
      </c>
      <c r="M342" s="502"/>
      <c r="N342" s="505">
        <v>-526.90965253782633</v>
      </c>
      <c r="O342" s="502"/>
      <c r="P342" s="486"/>
      <c r="Q342" s="507">
        <v>-52.37</v>
      </c>
      <c r="R342" s="502"/>
      <c r="S342" s="505">
        <v>-505.65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94.59</v>
      </c>
      <c r="M343" s="502"/>
      <c r="N343" s="505">
        <v>-61.921176662451444</v>
      </c>
      <c r="O343" s="502"/>
      <c r="P343" s="486"/>
      <c r="Q343" s="507">
        <v>157.71</v>
      </c>
      <c r="R343" s="502"/>
      <c r="S343" s="505">
        <v>-63.120000000000005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79.75</v>
      </c>
      <c r="M344" s="502"/>
      <c r="N344" s="505">
        <v>-299.20432121431327</v>
      </c>
      <c r="O344" s="502"/>
      <c r="P344" s="486"/>
      <c r="Q344" s="507">
        <v>79.75</v>
      </c>
      <c r="R344" s="502"/>
      <c r="S344" s="505">
        <v>0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1650.1689027259927</v>
      </c>
      <c r="G345" s="545"/>
      <c r="H345" s="486"/>
      <c r="I345" s="543"/>
      <c r="J345" s="502"/>
      <c r="K345" s="486"/>
      <c r="L345" s="507">
        <v>2048.8200000000002</v>
      </c>
      <c r="M345" s="502"/>
      <c r="N345" s="505">
        <v>398.6510972740075</v>
      </c>
      <c r="O345" s="502"/>
      <c r="P345" s="486"/>
      <c r="Q345" s="507">
        <v>1900.91</v>
      </c>
      <c r="R345" s="502"/>
      <c r="S345" s="505">
        <v>147.91000000000008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0.23456014655727001</v>
      </c>
      <c r="F349" s="554">
        <v>30385.510800484532</v>
      </c>
      <c r="G349" s="621"/>
      <c r="H349" s="553"/>
      <c r="I349" s="554"/>
      <c r="J349" s="621" t="s">
        <v>39</v>
      </c>
      <c r="K349" s="553">
        <v>0.33258353930117995</v>
      </c>
      <c r="L349" s="554">
        <v>36501.089999999997</v>
      </c>
      <c r="M349" s="555"/>
      <c r="N349" s="554">
        <v>6115.5791995154686</v>
      </c>
      <c r="O349" s="621" t="s">
        <v>39</v>
      </c>
      <c r="P349" s="553">
        <v>0.21911200721519558</v>
      </c>
      <c r="Q349" s="554">
        <v>27642.29</v>
      </c>
      <c r="R349" s="555"/>
      <c r="S349" s="554">
        <v>8858.7999999999956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0.59191252789550475</v>
      </c>
      <c r="F351" s="554">
        <v>76677.836253481451</v>
      </c>
      <c r="G351" s="621"/>
      <c r="H351" s="553"/>
      <c r="I351" s="554"/>
      <c r="J351" s="621" t="s">
        <v>39</v>
      </c>
      <c r="K351" s="553">
        <v>0.74699066443104312</v>
      </c>
      <c r="L351" s="554">
        <v>81982.329999999987</v>
      </c>
      <c r="M351" s="555"/>
      <c r="N351" s="563">
        <v>5304.4937465185358</v>
      </c>
      <c r="O351" s="621" t="s">
        <v>39</v>
      </c>
      <c r="P351" s="553">
        <v>0.57974215728814582</v>
      </c>
      <c r="Q351" s="554">
        <v>73137.94</v>
      </c>
      <c r="R351" s="555"/>
      <c r="S351" s="563">
        <v>8844.3899999999849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52864.676600745603</v>
      </c>
      <c r="G353" s="622"/>
      <c r="H353" s="573"/>
      <c r="I353" s="574"/>
      <c r="J353" s="572"/>
      <c r="K353" s="808"/>
      <c r="L353" s="574">
        <v>27767.809999999998</v>
      </c>
      <c r="M353" s="572"/>
      <c r="N353" s="574">
        <v>-25096.866600745605</v>
      </c>
      <c r="O353" s="572"/>
      <c r="P353" s="809">
        <v>0.11550207068316988</v>
      </c>
      <c r="Q353" s="574">
        <v>53018.039999999688</v>
      </c>
      <c r="R353" s="572"/>
      <c r="S353" s="574">
        <v>-25250.22999999969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472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3" t="s">
        <v>5</v>
      </c>
      <c r="E358" s="884"/>
      <c r="F358" s="885"/>
      <c r="G358" s="886"/>
      <c r="H358" s="884"/>
      <c r="I358" s="885"/>
      <c r="J358" s="886" t="s">
        <v>7</v>
      </c>
      <c r="K358" s="884"/>
      <c r="L358" s="885"/>
      <c r="M358" s="886"/>
      <c r="N358" s="885"/>
      <c r="O358" s="883" t="s">
        <v>8</v>
      </c>
      <c r="P358" s="884"/>
      <c r="Q358" s="885"/>
      <c r="R358" s="886" t="s">
        <v>9</v>
      </c>
      <c r="S358" s="885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134821.14982839843</v>
      </c>
      <c r="G400" s="544"/>
      <c r="H400" s="486"/>
      <c r="I400" s="562"/>
      <c r="J400" s="840"/>
      <c r="K400" s="538"/>
      <c r="L400" s="562">
        <v>101631.00999999995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/>
      <c r="L401" s="841"/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472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78" t="s">
        <v>122</v>
      </c>
      <c r="Y404" s="879"/>
      <c r="Z404" s="880"/>
      <c r="AA404" s="881"/>
      <c r="AB404" s="879"/>
      <c r="AC404" s="880"/>
      <c r="AD404" s="881" t="s">
        <v>7</v>
      </c>
      <c r="AE404" s="879"/>
      <c r="AF404" s="880"/>
      <c r="AG404" s="881" t="s">
        <v>220</v>
      </c>
      <c r="AH404" s="879"/>
      <c r="AI404" s="880"/>
      <c r="AJ404" s="881" t="s">
        <v>123</v>
      </c>
      <c r="AK404" s="879"/>
      <c r="AL404" s="879"/>
      <c r="AM404" s="881" t="s">
        <v>124</v>
      </c>
      <c r="AN404" s="879"/>
      <c r="AO404" s="882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5517580.6656092349</v>
      </c>
      <c r="AA406" s="657"/>
      <c r="AB406" s="657"/>
      <c r="AC406" s="658"/>
      <c r="AD406" s="659"/>
      <c r="AE406" s="660"/>
      <c r="AF406" s="660">
        <v>4734872.0299999993</v>
      </c>
      <c r="AG406" s="659"/>
      <c r="AH406" s="660"/>
      <c r="AI406" s="661"/>
      <c r="AJ406" s="659"/>
      <c r="AK406" s="660"/>
      <c r="AL406" s="660">
        <v>5889184.6299999896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0.13431906363708956</v>
      </c>
      <c r="Y407" s="665"/>
      <c r="Z407" s="666">
        <v>741116.26854674181</v>
      </c>
      <c r="AA407" s="665"/>
      <c r="AB407" s="665"/>
      <c r="AC407" s="666"/>
      <c r="AD407" s="843">
        <v>0.14674453831015158</v>
      </c>
      <c r="AE407" s="668"/>
      <c r="AF407" s="666">
        <v>694816.6100000001</v>
      </c>
      <c r="AG407" s="669"/>
      <c r="AH407" s="668">
        <v>-46299.658546741703</v>
      </c>
      <c r="AI407" s="670">
        <v>-6.2472867634562806E-2</v>
      </c>
      <c r="AJ407" s="669">
        <v>0.12325723264003025</v>
      </c>
      <c r="AK407" s="668"/>
      <c r="AL407" s="668">
        <v>725884.59999999916</v>
      </c>
      <c r="AM407" s="671"/>
      <c r="AN407" s="668">
        <v>-31067.989999999059</v>
      </c>
      <c r="AO407" s="672">
        <v>-4.2800177879512936E-2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698.06389563417122</v>
      </c>
      <c r="Z409" s="674">
        <v>60033.495024538723</v>
      </c>
      <c r="AA409" s="542"/>
      <c r="AB409" s="681"/>
      <c r="AC409" s="674"/>
      <c r="AD409" s="686"/>
      <c r="AE409" s="681">
        <v>582.06581395348837</v>
      </c>
      <c r="AF409" s="674">
        <v>50057.66</v>
      </c>
      <c r="AG409" s="675">
        <v>-115.99808168068284</v>
      </c>
      <c r="AH409" s="676">
        <v>-9975.8350245387192</v>
      </c>
      <c r="AI409" s="586">
        <v>-0.16617115196210203</v>
      </c>
      <c r="AJ409" s="844">
        <v>8.4837286808399123E-2</v>
      </c>
      <c r="AK409" s="676">
        <v>669.37043478260875</v>
      </c>
      <c r="AL409" s="674">
        <v>61582.080000000002</v>
      </c>
      <c r="AM409" s="678">
        <v>-115.99808168068284</v>
      </c>
      <c r="AN409" s="676">
        <v>-11524.419999999998</v>
      </c>
      <c r="AO409" s="682">
        <v>-0.1871391807486853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387.55813953488371</v>
      </c>
      <c r="Z410" s="658">
        <v>33330</v>
      </c>
      <c r="AA410" s="657"/>
      <c r="AB410" s="684"/>
      <c r="AC410" s="658"/>
      <c r="AD410" s="694"/>
      <c r="AE410" s="684">
        <v>339.77883720930231</v>
      </c>
      <c r="AF410" s="658">
        <v>29220.98</v>
      </c>
      <c r="AG410" s="659">
        <v>-47.779302325581398</v>
      </c>
      <c r="AH410" s="660">
        <v>-4109.0200000000004</v>
      </c>
      <c r="AI410" s="685">
        <v>-0.1232829282928293</v>
      </c>
      <c r="AJ410" s="845">
        <v>3.8289268018635518E-2</v>
      </c>
      <c r="AK410" s="660">
        <v>302.10423913043485</v>
      </c>
      <c r="AL410" s="658">
        <v>27793.590000000004</v>
      </c>
      <c r="AM410" s="662">
        <v>-47.779302325581398</v>
      </c>
      <c r="AN410" s="660">
        <v>1427.3899999999958</v>
      </c>
      <c r="AO410" s="663">
        <v>5.1356805651950527E-2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82.930232558139537</v>
      </c>
      <c r="Z411" s="674">
        <v>7132</v>
      </c>
      <c r="AA411" s="542"/>
      <c r="AB411" s="681"/>
      <c r="AC411" s="674"/>
      <c r="AD411" s="686"/>
      <c r="AE411" s="681">
        <v>82.575465116279062</v>
      </c>
      <c r="AF411" s="674">
        <v>7101.49</v>
      </c>
      <c r="AG411" s="675">
        <v>-0.35476744186047426</v>
      </c>
      <c r="AH411" s="676">
        <v>-30.510000000000218</v>
      </c>
      <c r="AI411" s="586">
        <v>-4.2779024116657623E-3</v>
      </c>
      <c r="AJ411" s="844">
        <v>7.7790601977228988E-3</v>
      </c>
      <c r="AK411" s="676">
        <v>61.377173913043485</v>
      </c>
      <c r="AL411" s="674">
        <v>5646.7000000000007</v>
      </c>
      <c r="AM411" s="678">
        <v>-0.35476744186047426</v>
      </c>
      <c r="AN411" s="676">
        <v>1454.7899999999991</v>
      </c>
      <c r="AO411" s="682">
        <v>0.25763543308481041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22.151162790697676</v>
      </c>
      <c r="Z412" s="674">
        <v>1905</v>
      </c>
      <c r="AA412" s="542"/>
      <c r="AB412" s="681"/>
      <c r="AC412" s="674"/>
      <c r="AD412" s="686"/>
      <c r="AE412" s="681">
        <v>14.491395348837209</v>
      </c>
      <c r="AF412" s="674">
        <v>1246.26</v>
      </c>
      <c r="AG412" s="675">
        <v>-7.6597674418604669</v>
      </c>
      <c r="AH412" s="676">
        <v>-658.74</v>
      </c>
      <c r="AI412" s="586">
        <v>-0.34579527559055118</v>
      </c>
      <c r="AJ412" s="844">
        <v>4.1307805675998687E-3</v>
      </c>
      <c r="AK412" s="676">
        <v>32.592065217391308</v>
      </c>
      <c r="AL412" s="674">
        <v>2998.4700000000003</v>
      </c>
      <c r="AM412" s="678">
        <v>-7.6597674418604669</v>
      </c>
      <c r="AN412" s="676">
        <v>-1752.2100000000003</v>
      </c>
      <c r="AO412" s="682">
        <v>-0.58436802769412399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138.19767441860466</v>
      </c>
      <c r="Z413" s="658">
        <v>11885</v>
      </c>
      <c r="AA413" s="657"/>
      <c r="AB413" s="684"/>
      <c r="AC413" s="658"/>
      <c r="AD413" s="694"/>
      <c r="AE413" s="684">
        <v>131.92151162790697</v>
      </c>
      <c r="AF413" s="658">
        <v>11345.25</v>
      </c>
      <c r="AG413" s="659">
        <v>-6.2761627906976969</v>
      </c>
      <c r="AH413" s="660">
        <v>-539.75</v>
      </c>
      <c r="AI413" s="685">
        <v>-4.5414387883887256E-2</v>
      </c>
      <c r="AJ413" s="845">
        <v>2.2247393042916216E-2</v>
      </c>
      <c r="AK413" s="660">
        <v>175.53304347826088</v>
      </c>
      <c r="AL413" s="658">
        <v>16149.04</v>
      </c>
      <c r="AM413" s="662">
        <v>-6.2761627906976969</v>
      </c>
      <c r="AN413" s="660">
        <v>-4803.7900000000009</v>
      </c>
      <c r="AO413" s="663">
        <v>-0.29746597940187158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207.48837209302326</v>
      </c>
      <c r="Z414" s="674">
        <v>17844</v>
      </c>
      <c r="AA414" s="586"/>
      <c r="AB414" s="681"/>
      <c r="AC414" s="674"/>
      <c r="AD414" s="686"/>
      <c r="AE414" s="681">
        <v>315.99139534883722</v>
      </c>
      <c r="AF414" s="674">
        <v>27175.260000000002</v>
      </c>
      <c r="AG414" s="675">
        <v>108.50302325581396</v>
      </c>
      <c r="AH414" s="676">
        <v>9331.260000000002</v>
      </c>
      <c r="AI414" s="586">
        <v>0.52293544048419649</v>
      </c>
      <c r="AJ414" s="844">
        <v>2.9014487977841126E-2</v>
      </c>
      <c r="AK414" s="676">
        <v>228.92576086956512</v>
      </c>
      <c r="AL414" s="674">
        <v>21061.169999999991</v>
      </c>
      <c r="AM414" s="678">
        <v>108.50302325581396</v>
      </c>
      <c r="AN414" s="676">
        <v>6114.0900000000111</v>
      </c>
      <c r="AO414" s="682">
        <v>0.29030153595455588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519.12375212798781</v>
      </c>
      <c r="Z415" s="674">
        <v>44644.642683006954</v>
      </c>
      <c r="AA415" s="542"/>
      <c r="AB415" s="681"/>
      <c r="AC415" s="674"/>
      <c r="AD415" s="686"/>
      <c r="AE415" s="681">
        <v>-17.868214285714284</v>
      </c>
      <c r="AF415" s="674">
        <v>-2001.2399999999998</v>
      </c>
      <c r="AG415" s="675">
        <v>-536.99196641370213</v>
      </c>
      <c r="AH415" s="676">
        <v>-46645.882683006952</v>
      </c>
      <c r="AI415" s="586">
        <v>-1.0448259831355247</v>
      </c>
      <c r="AJ415" s="844">
        <v>5.9754236417193657E-2</v>
      </c>
      <c r="AK415" s="676">
        <v>471.46391304347827</v>
      </c>
      <c r="AL415" s="674">
        <v>43374.68</v>
      </c>
      <c r="AM415" s="678">
        <v>-536.99196641370213</v>
      </c>
      <c r="AN415" s="676">
        <v>-45375.92</v>
      </c>
      <c r="AO415" s="682">
        <v>-1.0461384383700352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0.23852416309006796</v>
      </c>
      <c r="Y419" s="688"/>
      <c r="Z419" s="690">
        <v>176774.13770754565</v>
      </c>
      <c r="AA419" s="689"/>
      <c r="AB419" s="688"/>
      <c r="AC419" s="690"/>
      <c r="AD419" s="667">
        <v>0.17867399571809311</v>
      </c>
      <c r="AE419" s="688"/>
      <c r="AF419" s="690">
        <v>124145.65999999999</v>
      </c>
      <c r="AG419" s="691"/>
      <c r="AH419" s="692">
        <v>-52628.477707545666</v>
      </c>
      <c r="AI419" s="689">
        <v>-0.29771593509121785</v>
      </c>
      <c r="AJ419" s="667">
        <v>0.2460525130303084</v>
      </c>
      <c r="AK419" s="688"/>
      <c r="AL419" s="690">
        <v>178605.72999999998</v>
      </c>
      <c r="AM419" s="693"/>
      <c r="AN419" s="692">
        <v>-54460.069999999992</v>
      </c>
      <c r="AO419" s="672">
        <v>-0.30491782094561021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14451.14423076923</v>
      </c>
      <c r="AA420" s="542"/>
      <c r="AB420" s="542"/>
      <c r="AC420" s="674"/>
      <c r="AD420" s="686"/>
      <c r="AE420" s="681"/>
      <c r="AF420" s="674">
        <v>13074.76</v>
      </c>
      <c r="AG420" s="675"/>
      <c r="AH420" s="676">
        <v>-1376.3842307692303</v>
      </c>
      <c r="AI420" s="586">
        <v>-9.5243961916776587E-2</v>
      </c>
      <c r="AJ420" s="686"/>
      <c r="AK420" s="542"/>
      <c r="AL420" s="674">
        <v>14884.91</v>
      </c>
      <c r="AM420" s="678"/>
      <c r="AN420" s="676">
        <v>-1810.1499999999996</v>
      </c>
      <c r="AO420" s="682">
        <v>-0.12160973764705327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56603.570512820515</v>
      </c>
      <c r="AA421" s="542"/>
      <c r="AB421" s="542"/>
      <c r="AC421" s="674"/>
      <c r="AD421" s="686"/>
      <c r="AE421" s="681"/>
      <c r="AF421" s="674">
        <v>55266.27</v>
      </c>
      <c r="AG421" s="675"/>
      <c r="AH421" s="676">
        <v>-1337.3005128205186</v>
      </c>
      <c r="AI421" s="586">
        <v>-2.3625727152982771E-2</v>
      </c>
      <c r="AJ421" s="686"/>
      <c r="AK421" s="542"/>
      <c r="AL421" s="674">
        <v>39822.400000000001</v>
      </c>
      <c r="AM421" s="678"/>
      <c r="AN421" s="676">
        <v>15443.869999999995</v>
      </c>
      <c r="AO421" s="682">
        <v>0.3878186648720317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62004.212615384618</v>
      </c>
      <c r="AA422" s="657"/>
      <c r="AB422" s="657"/>
      <c r="AC422" s="658"/>
      <c r="AD422" s="694"/>
      <c r="AE422" s="684"/>
      <c r="AF422" s="658">
        <v>51908.4</v>
      </c>
      <c r="AG422" s="659"/>
      <c r="AH422" s="660">
        <v>-10095.812615384617</v>
      </c>
      <c r="AI422" s="685">
        <v>-0.16282462415915949</v>
      </c>
      <c r="AJ422" s="694"/>
      <c r="AK422" s="657"/>
      <c r="AL422" s="658">
        <v>44942.65</v>
      </c>
      <c r="AM422" s="662"/>
      <c r="AN422" s="660">
        <v>6965.75</v>
      </c>
      <c r="AO422" s="663">
        <v>0.15499197310349969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19486</v>
      </c>
      <c r="AA423" s="542"/>
      <c r="AB423" s="542"/>
      <c r="AC423" s="674"/>
      <c r="AD423" s="686"/>
      <c r="AE423" s="681"/>
      <c r="AF423" s="674">
        <v>29993.91</v>
      </c>
      <c r="AG423" s="675"/>
      <c r="AH423" s="676">
        <v>10507.91</v>
      </c>
      <c r="AI423" s="586">
        <v>0.53925433644667964</v>
      </c>
      <c r="AJ423" s="686"/>
      <c r="AK423" s="542"/>
      <c r="AL423" s="674">
        <v>32259.46</v>
      </c>
      <c r="AM423" s="678"/>
      <c r="AN423" s="676">
        <v>-2265.5499999999993</v>
      </c>
      <c r="AO423" s="682">
        <v>-7.0229011892945489E-2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34267.622694153848</v>
      </c>
      <c r="AA424" s="542"/>
      <c r="AB424" s="542"/>
      <c r="AC424" s="674"/>
      <c r="AD424" s="686"/>
      <c r="AE424" s="681"/>
      <c r="AF424" s="674">
        <v>24877.040000000001</v>
      </c>
      <c r="AG424" s="675"/>
      <c r="AH424" s="676">
        <v>-9390.5826941538471</v>
      </c>
      <c r="AI424" s="586">
        <v>-0.2740365965263154</v>
      </c>
      <c r="AJ424" s="686"/>
      <c r="AK424" s="542"/>
      <c r="AL424" s="674">
        <v>43948.92</v>
      </c>
      <c r="AM424" s="678"/>
      <c r="AN424" s="676">
        <v>-19071.879999999997</v>
      </c>
      <c r="AO424" s="682">
        <v>-0.43395560118428389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0.1188317984089961</v>
      </c>
      <c r="Z428" s="658">
        <v>46156.693902893116</v>
      </c>
      <c r="AA428" s="657"/>
      <c r="AB428" s="657"/>
      <c r="AC428" s="658"/>
      <c r="AD428" s="694"/>
      <c r="AE428" s="684"/>
      <c r="AF428" s="658">
        <v>44209.169999999991</v>
      </c>
      <c r="AG428" s="659"/>
      <c r="AH428" s="660">
        <v>-1947.5239028931246</v>
      </c>
      <c r="AI428" s="685">
        <v>-4.2193747823239418E-2</v>
      </c>
      <c r="AJ428" s="694"/>
      <c r="AK428" s="657"/>
      <c r="AL428" s="658">
        <v>42780.740000000005</v>
      </c>
      <c r="AM428" s="662"/>
      <c r="AN428" s="660">
        <v>1428.4299999999857</v>
      </c>
      <c r="AO428" s="663">
        <v>3.3389558011385156E-2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0.14448271524618028</v>
      </c>
      <c r="Z429" s="674">
        <v>56120.03311541189</v>
      </c>
      <c r="AA429" s="542"/>
      <c r="AB429" s="542"/>
      <c r="AC429" s="674"/>
      <c r="AD429" s="686"/>
      <c r="AE429" s="681"/>
      <c r="AF429" s="674">
        <v>55483.460000000006</v>
      </c>
      <c r="AG429" s="675"/>
      <c r="AH429" s="676">
        <v>-636.57311541188392</v>
      </c>
      <c r="AI429" s="586">
        <v>-1.1343063787983864E-2</v>
      </c>
      <c r="AJ429" s="686"/>
      <c r="AK429" s="542"/>
      <c r="AL429" s="674">
        <v>55588.25</v>
      </c>
      <c r="AM429" s="678"/>
      <c r="AN429" s="676">
        <v>-104.7899999999936</v>
      </c>
      <c r="AO429" s="682">
        <v>-1.8851106124044847E-3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7.4440007637705932E-2</v>
      </c>
      <c r="Z430" s="674">
        <v>28914.017061636128</v>
      </c>
      <c r="AA430" s="542"/>
      <c r="AB430" s="542"/>
      <c r="AC430" s="674"/>
      <c r="AD430" s="686"/>
      <c r="AE430" s="681"/>
      <c r="AF430" s="674">
        <v>27038.32</v>
      </c>
      <c r="AG430" s="675"/>
      <c r="AH430" s="676">
        <v>-1875.6970616361286</v>
      </c>
      <c r="AI430" s="586">
        <v>-6.4871548551614172E-2</v>
      </c>
      <c r="AJ430" s="686"/>
      <c r="AK430" s="542"/>
      <c r="AL430" s="674">
        <v>20871.649999999998</v>
      </c>
      <c r="AM430" s="678"/>
      <c r="AN430" s="676">
        <v>6166.6700000000019</v>
      </c>
      <c r="AO430" s="682">
        <v>0.29545675593448539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12606.674105636004</v>
      </c>
      <c r="AA431" s="542"/>
      <c r="AB431" s="542"/>
      <c r="AC431" s="674"/>
      <c r="AD431" s="686"/>
      <c r="AE431" s="681"/>
      <c r="AF431" s="674">
        <v>10989.42</v>
      </c>
      <c r="AG431" s="675"/>
      <c r="AH431" s="676">
        <v>-1617.2541056360042</v>
      </c>
      <c r="AI431" s="708">
        <v>-0.12828554875651035</v>
      </c>
      <c r="AJ431" s="686"/>
      <c r="AK431" s="542"/>
      <c r="AL431" s="674">
        <v>10619.84</v>
      </c>
      <c r="AM431" s="678"/>
      <c r="AN431" s="676">
        <v>369.57999999999993</v>
      </c>
      <c r="AO431" s="682">
        <v>3.4800900955193288E-2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0.44609730250153584</v>
      </c>
      <c r="Y433" s="688"/>
      <c r="Z433" s="690">
        <v>330609.96823870536</v>
      </c>
      <c r="AA433" s="689"/>
      <c r="AB433" s="688"/>
      <c r="AC433" s="690"/>
      <c r="AD433" s="667">
        <v>0.45024938307102352</v>
      </c>
      <c r="AE433" s="695"/>
      <c r="AF433" s="690">
        <v>312840.75</v>
      </c>
      <c r="AG433" s="691"/>
      <c r="AH433" s="692">
        <v>-17769.218238705362</v>
      </c>
      <c r="AI433" s="689">
        <v>-5.3746770956027916E-2</v>
      </c>
      <c r="AJ433" s="667">
        <v>0.42116724889879242</v>
      </c>
      <c r="AK433" s="688"/>
      <c r="AL433" s="690">
        <v>305718.82</v>
      </c>
      <c r="AM433" s="697"/>
      <c r="AN433" s="692">
        <v>7121.929999999993</v>
      </c>
      <c r="AO433" s="672">
        <v>2.329568719387309E-2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21996.263268512084</v>
      </c>
      <c r="AA434" s="699"/>
      <c r="AB434" s="699"/>
      <c r="AC434" s="700"/>
      <c r="AD434" s="701"/>
      <c r="AE434" s="702"/>
      <c r="AF434" s="700">
        <v>33630.42</v>
      </c>
      <c r="AG434" s="701"/>
      <c r="AH434" s="703">
        <v>11634.156731487914</v>
      </c>
      <c r="AI434" s="704">
        <v>0.52891514297077669</v>
      </c>
      <c r="AJ434" s="701"/>
      <c r="AK434" s="699"/>
      <c r="AL434" s="700">
        <v>15551.54</v>
      </c>
      <c r="AM434" s="705"/>
      <c r="AN434" s="703">
        <v>18078.879999999997</v>
      </c>
      <c r="AO434" s="679">
        <v>1.1625138089218172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5140.28</v>
      </c>
      <c r="AG435" s="675"/>
      <c r="AH435" s="676">
        <v>594.89883719429145</v>
      </c>
      <c r="AI435" s="586">
        <v>0.13087985713107517</v>
      </c>
      <c r="AJ435" s="686"/>
      <c r="AK435" s="542"/>
      <c r="AL435" s="674">
        <v>3957.4100000000003</v>
      </c>
      <c r="AM435" s="678"/>
      <c r="AN435" s="676">
        <v>1182.8699999999994</v>
      </c>
      <c r="AO435" s="682">
        <v>0.2989000381562687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27709.26466666667</v>
      </c>
      <c r="AA436" s="657"/>
      <c r="AB436" s="657"/>
      <c r="AC436" s="658"/>
      <c r="AD436" s="694"/>
      <c r="AE436" s="684"/>
      <c r="AF436" s="658">
        <v>20967.38</v>
      </c>
      <c r="AG436" s="659"/>
      <c r="AH436" s="660">
        <v>-6741.8846666666686</v>
      </c>
      <c r="AI436" s="685">
        <v>-0.24330796027138654</v>
      </c>
      <c r="AJ436" s="694"/>
      <c r="AK436" s="657"/>
      <c r="AL436" s="658">
        <v>26786.480000000003</v>
      </c>
      <c r="AM436" s="662"/>
      <c r="AN436" s="660">
        <v>-5819.1000000000022</v>
      </c>
      <c r="AO436" s="663">
        <v>-0.21724018982710686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24320.58</v>
      </c>
      <c r="AG437" s="675"/>
      <c r="AH437" s="849">
        <v>1918.4998562222245</v>
      </c>
      <c r="AI437" s="586">
        <v>8.5639362233738442E-2</v>
      </c>
      <c r="AJ437" s="686"/>
      <c r="AK437" s="542"/>
      <c r="AL437" s="674">
        <v>22793.11</v>
      </c>
      <c r="AM437" s="678"/>
      <c r="AN437" s="676">
        <v>1527.4700000000012</v>
      </c>
      <c r="AO437" s="682">
        <v>6.7014549572217266E-2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5632.16</v>
      </c>
      <c r="AG438" s="675"/>
      <c r="AH438" s="676">
        <v>1726.6023675138886</v>
      </c>
      <c r="AI438" s="586">
        <v>0.44208856455020668</v>
      </c>
      <c r="AJ438" s="686"/>
      <c r="AK438" s="542"/>
      <c r="AL438" s="674">
        <v>7708.47</v>
      </c>
      <c r="AM438" s="678"/>
      <c r="AN438" s="676">
        <v>-2076.3100000000004</v>
      </c>
      <c r="AO438" s="682">
        <v>-0.26935435955513876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36918.054597609284</v>
      </c>
      <c r="AA439" s="542"/>
      <c r="AB439" s="542"/>
      <c r="AC439" s="674"/>
      <c r="AD439" s="686"/>
      <c r="AE439" s="681"/>
      <c r="AF439" s="674">
        <v>43461.11</v>
      </c>
      <c r="AG439" s="675"/>
      <c r="AH439" s="676">
        <v>6543.0554023907171</v>
      </c>
      <c r="AI439" s="586">
        <v>0.17723185779172743</v>
      </c>
      <c r="AJ439" s="686"/>
      <c r="AK439" s="542"/>
      <c r="AL439" s="674">
        <v>31322.5</v>
      </c>
      <c r="AM439" s="678"/>
      <c r="AN439" s="676">
        <v>12138.61</v>
      </c>
      <c r="AO439" s="682">
        <v>0.38753643546971028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5855.42</v>
      </c>
      <c r="AG441" s="675"/>
      <c r="AH441" s="676">
        <v>602.72984444444319</v>
      </c>
      <c r="AI441" s="586">
        <v>0.11474688713686268</v>
      </c>
      <c r="AJ441" s="686"/>
      <c r="AK441" s="542"/>
      <c r="AL441" s="674">
        <v>4652.8900000000003</v>
      </c>
      <c r="AM441" s="678"/>
      <c r="AN441" s="676">
        <v>1202.5299999999997</v>
      </c>
      <c r="AO441" s="682">
        <v>0.25844797534435582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793.22</v>
      </c>
      <c r="AG442" s="675"/>
      <c r="AH442" s="676">
        <v>-540.57874011975036</v>
      </c>
      <c r="AI442" s="708">
        <v>-0.40529258564992826</v>
      </c>
      <c r="AJ442" s="686"/>
      <c r="AK442" s="542"/>
      <c r="AL442" s="674">
        <v>893.35</v>
      </c>
      <c r="AM442" s="678"/>
      <c r="AN442" s="676">
        <v>-100.13</v>
      </c>
      <c r="AO442" s="682">
        <v>-0.1120837297811608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181.67000000000002</v>
      </c>
      <c r="AG443" s="675"/>
      <c r="AH443" s="676">
        <v>-2579.0803854659998</v>
      </c>
      <c r="AI443" s="586">
        <v>-0.93419542709967418</v>
      </c>
      <c r="AJ443" s="686"/>
      <c r="AK443" s="542"/>
      <c r="AL443" s="674">
        <v>1384.8500000000001</v>
      </c>
      <c r="AM443" s="678"/>
      <c r="AN443" s="676">
        <v>-1203.18</v>
      </c>
      <c r="AO443" s="682">
        <v>-0.86881611726901831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801.81</v>
      </c>
      <c r="AG444" s="675"/>
      <c r="AH444" s="676">
        <v>67.129239631305495</v>
      </c>
      <c r="AI444" s="708">
        <v>9.1371985292791863E-2</v>
      </c>
      <c r="AJ444" s="686"/>
      <c r="AK444" s="542"/>
      <c r="AL444" s="674">
        <v>797.78</v>
      </c>
      <c r="AM444" s="678"/>
      <c r="AN444" s="676">
        <v>4.0299999999999727</v>
      </c>
      <c r="AO444" s="682">
        <v>5.0515179623454752E-3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202.68000000000006</v>
      </c>
      <c r="AG445" s="675"/>
      <c r="AH445" s="676">
        <v>-32.531562151305394</v>
      </c>
      <c r="AI445" s="586">
        <v>-0.13830766588922483</v>
      </c>
      <c r="AJ445" s="686"/>
      <c r="AK445" s="542"/>
      <c r="AL445" s="674">
        <v>-27.62</v>
      </c>
      <c r="AM445" s="678"/>
      <c r="AN445" s="676">
        <v>230.30000000000007</v>
      </c>
      <c r="AO445" s="682">
        <v>-8.3381607530774815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378.38</v>
      </c>
      <c r="AG446" s="675"/>
      <c r="AH446" s="676">
        <v>-342.00919864980563</v>
      </c>
      <c r="AI446" s="708">
        <v>-0.47475614472124056</v>
      </c>
      <c r="AJ446" s="686"/>
      <c r="AK446" s="542"/>
      <c r="AL446" s="674">
        <v>631.05999999999995</v>
      </c>
      <c r="AM446" s="678"/>
      <c r="AN446" s="676">
        <v>-252.67999999999995</v>
      </c>
      <c r="AO446" s="682">
        <v>-0.40040566665610239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6582.0099999999993</v>
      </c>
      <c r="AG447" s="675"/>
      <c r="AH447" s="676">
        <v>807.87295644923324</v>
      </c>
      <c r="AI447" s="586">
        <v>0.13991232808572851</v>
      </c>
      <c r="AJ447" s="686"/>
      <c r="AK447" s="542"/>
      <c r="AL447" s="674">
        <v>2402.5699999999997</v>
      </c>
      <c r="AM447" s="678"/>
      <c r="AN447" s="676">
        <v>4179.4399999999996</v>
      </c>
      <c r="AO447" s="682">
        <v>1.7395705432099793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1.5214456146370786E-3</v>
      </c>
      <c r="Z448" s="674">
        <v>8394.6989070975033</v>
      </c>
      <c r="AA448" s="542"/>
      <c r="AB448" s="681"/>
      <c r="AC448" s="674"/>
      <c r="AD448" s="686"/>
      <c r="AE448" s="681"/>
      <c r="AF448" s="674">
        <v>10241.870000000001</v>
      </c>
      <c r="AG448" s="675"/>
      <c r="AH448" s="676">
        <v>1847.1710929024975</v>
      </c>
      <c r="AI448" s="586">
        <v>0.22004018409055287</v>
      </c>
      <c r="AJ448" s="686"/>
      <c r="AK448" s="542"/>
      <c r="AL448" s="674">
        <v>9504.61</v>
      </c>
      <c r="AM448" s="678"/>
      <c r="AN448" s="676">
        <v>737.26000000000022</v>
      </c>
      <c r="AO448" s="682">
        <v>7.7568674569498397E-2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0.19252439094962071</v>
      </c>
      <c r="Y452" s="688"/>
      <c r="Z452" s="690">
        <v>142682.958224817</v>
      </c>
      <c r="AA452" s="689"/>
      <c r="AB452" s="688"/>
      <c r="AC452" s="690"/>
      <c r="AD452" s="667">
        <v>0.22767013298660202</v>
      </c>
      <c r="AE452" s="688"/>
      <c r="AF452" s="690">
        <v>158188.99000000002</v>
      </c>
      <c r="AG452" s="696"/>
      <c r="AH452" s="850">
        <v>15506.031775182984</v>
      </c>
      <c r="AI452" s="689">
        <v>0.10867472869991283</v>
      </c>
      <c r="AJ452" s="667">
        <v>0.17683113817265192</v>
      </c>
      <c r="AK452" s="689"/>
      <c r="AL452" s="690">
        <v>128359.00000000001</v>
      </c>
      <c r="AM452" s="697"/>
      <c r="AN452" s="692">
        <v>29829.989999999991</v>
      </c>
      <c r="AO452" s="710">
        <v>0.23239500151917658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3445</v>
      </c>
      <c r="AM455" s="662"/>
      <c r="AN455" s="660">
        <v>164</v>
      </c>
      <c r="AO455" s="663">
        <v>4.7605224963715533E-2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5719.9699999999993</v>
      </c>
      <c r="AG458" s="675"/>
      <c r="AH458" s="676">
        <v>2019.9699999999993</v>
      </c>
      <c r="AI458" s="586">
        <v>0.54593783783783767</v>
      </c>
      <c r="AJ458" s="686"/>
      <c r="AK458" s="542"/>
      <c r="AL458" s="674">
        <v>8641.99</v>
      </c>
      <c r="AM458" s="678"/>
      <c r="AN458" s="676">
        <v>-2922.0200000000004</v>
      </c>
      <c r="AO458" s="682">
        <v>-0.33811888234075721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6423.329999999999</v>
      </c>
      <c r="AG459" s="675"/>
      <c r="AH459" s="676">
        <v>-360.72000000000116</v>
      </c>
      <c r="AI459" s="586">
        <v>-5.3171777920269038E-2</v>
      </c>
      <c r="AJ459" s="686"/>
      <c r="AK459" s="542"/>
      <c r="AL459" s="674">
        <v>6423.3299999999899</v>
      </c>
      <c r="AM459" s="678"/>
      <c r="AN459" s="676">
        <v>9.0949470177292824E-12</v>
      </c>
      <c r="AO459" s="682">
        <v>1.4159239861145694E-15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74.7</v>
      </c>
      <c r="AG460" s="659"/>
      <c r="AH460" s="660">
        <v>-1289.8623407645368</v>
      </c>
      <c r="AI460" s="685">
        <v>-0.94525717311079605</v>
      </c>
      <c r="AJ460" s="694"/>
      <c r="AK460" s="657"/>
      <c r="AL460" s="658">
        <v>254.6</v>
      </c>
      <c r="AM460" s="662"/>
      <c r="AN460" s="660">
        <v>-179.89999999999998</v>
      </c>
      <c r="AO460" s="663">
        <v>-0.70659858601728198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862.14</v>
      </c>
      <c r="AG461" s="675"/>
      <c r="AH461" s="676">
        <v>-137.86000000000001</v>
      </c>
      <c r="AI461" s="713">
        <v>-0.13786000000000001</v>
      </c>
      <c r="AJ461" s="542"/>
      <c r="AK461" s="542"/>
      <c r="AL461" s="674">
        <v>830.07</v>
      </c>
      <c r="AM461" s="678"/>
      <c r="AN461" s="676">
        <v>32.069999999999936</v>
      </c>
      <c r="AO461" s="682">
        <v>3.8635295818424877E-2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8.3961430859940747E-2</v>
      </c>
      <c r="Y466" s="688"/>
      <c r="Z466" s="690">
        <v>62225.182340764542</v>
      </c>
      <c r="AA466" s="689"/>
      <c r="AB466" s="688"/>
      <c r="AC466" s="690"/>
      <c r="AD466" s="667">
        <v>8.9889028415713876E-2</v>
      </c>
      <c r="AE466" s="688"/>
      <c r="AF466" s="690">
        <v>62456.39</v>
      </c>
      <c r="AG466" s="696"/>
      <c r="AH466" s="850">
        <v>231.20765923546026</v>
      </c>
      <c r="AI466" s="689">
        <v>3.7156606142075225E-3</v>
      </c>
      <c r="AJ466" s="667">
        <v>8.908450461684965E-2</v>
      </c>
      <c r="AK466" s="689"/>
      <c r="AL466" s="690">
        <v>64665.069999999985</v>
      </c>
      <c r="AM466" s="697"/>
      <c r="AN466" s="692">
        <v>-2208.6799999999912</v>
      </c>
      <c r="AO466" s="710">
        <v>-3.415568868942679E-2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0.96110728740116524</v>
      </c>
      <c r="Y468" s="688"/>
      <c r="Z468" s="690">
        <v>712292.24651183258</v>
      </c>
      <c r="AA468" s="689"/>
      <c r="AB468" s="688"/>
      <c r="AC468" s="690"/>
      <c r="AD468" s="667">
        <v>0.94648254019143263</v>
      </c>
      <c r="AE468" s="688"/>
      <c r="AF468" s="690">
        <v>657631.79</v>
      </c>
      <c r="AG468" s="696"/>
      <c r="AH468" s="850">
        <v>-54660.456511832541</v>
      </c>
      <c r="AI468" s="689">
        <v>-7.6738805988006115E-2</v>
      </c>
      <c r="AJ468" s="667">
        <v>0.93313540471860235</v>
      </c>
      <c r="AK468" s="689"/>
      <c r="AL468" s="690">
        <v>677348.62</v>
      </c>
      <c r="AM468" s="697"/>
      <c r="AN468" s="692">
        <v>-19716.829999999958</v>
      </c>
      <c r="AO468" s="672">
        <v>-2.91088361558926E-2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0</v>
      </c>
      <c r="AA469" s="717"/>
      <c r="AB469" s="718"/>
      <c r="AC469" s="700"/>
      <c r="AD469" s="719"/>
      <c r="AE469" s="718"/>
      <c r="AF469" s="674">
        <v>1302.69</v>
      </c>
      <c r="AG469" s="720"/>
      <c r="AH469" s="676">
        <v>1302.69</v>
      </c>
      <c r="AI469" s="713" t="e">
        <v>#DIV/0!</v>
      </c>
      <c r="AJ469" s="719"/>
      <c r="AK469" s="717"/>
      <c r="AL469" s="721">
        <v>39288.01</v>
      </c>
      <c r="AM469" s="722"/>
      <c r="AN469" s="676">
        <v>-37985.32</v>
      </c>
      <c r="AO469" s="682">
        <v>-0.96684255578228573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85942.518391277088</v>
      </c>
      <c r="AA470" s="711"/>
      <c r="AB470" s="676"/>
      <c r="AC470" s="674"/>
      <c r="AD470" s="726"/>
      <c r="AE470" s="852"/>
      <c r="AF470" s="674">
        <v>77555</v>
      </c>
      <c r="AG470" s="724"/>
      <c r="AH470" s="676">
        <v>-8387.5183912770881</v>
      </c>
      <c r="AI470" s="708">
        <v>-9.7594514895300022E-2</v>
      </c>
      <c r="AJ470" s="723"/>
      <c r="AK470" s="711"/>
      <c r="AL470" s="725">
        <v>106078.85</v>
      </c>
      <c r="AM470" s="726"/>
      <c r="AN470" s="676">
        <v>-28523.850000000006</v>
      </c>
      <c r="AO470" s="682">
        <v>-0.26889290372208979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0</v>
      </c>
      <c r="AA471" s="711"/>
      <c r="AB471" s="712"/>
      <c r="AC471" s="674"/>
      <c r="AD471" s="723"/>
      <c r="AF471" s="674">
        <v>0</v>
      </c>
      <c r="AG471" s="724"/>
      <c r="AH471" s="676">
        <v>0</v>
      </c>
      <c r="AI471" s="708">
        <v>0</v>
      </c>
      <c r="AJ471" s="723"/>
      <c r="AK471" s="711"/>
      <c r="AL471" s="725">
        <v>695</v>
      </c>
      <c r="AM471" s="726"/>
      <c r="AN471" s="676">
        <v>-695</v>
      </c>
      <c r="AO471" s="682">
        <v>-1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39435.449999999997</v>
      </c>
      <c r="AA480" s="711"/>
      <c r="AB480" s="712"/>
      <c r="AC480" s="674"/>
      <c r="AD480" s="853">
        <v>78.048096192384776</v>
      </c>
      <c r="AE480" s="711">
        <v>1.1091934381408066</v>
      </c>
      <c r="AF480" s="674">
        <v>38946</v>
      </c>
      <c r="AG480" s="724"/>
      <c r="AH480" s="676">
        <v>-489.44999999999709</v>
      </c>
      <c r="AI480" s="708">
        <v>-1.2411421703061512E-2</v>
      </c>
      <c r="AJ480" s="723"/>
      <c r="AK480" s="711"/>
      <c r="AL480" s="725">
        <v>42466</v>
      </c>
      <c r="AM480" s="726"/>
      <c r="AN480" s="676">
        <v>-3520</v>
      </c>
      <c r="AO480" s="682">
        <v>-8.2889841284792543E-2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0.16917449219827721</v>
      </c>
      <c r="Y481" s="709"/>
      <c r="Z481" s="690">
        <v>125377.96839127709</v>
      </c>
      <c r="AA481" s="689"/>
      <c r="AB481" s="709"/>
      <c r="AC481" s="690"/>
      <c r="AD481" s="689">
        <v>0.16954645053750225</v>
      </c>
      <c r="AE481" s="709"/>
      <c r="AF481" s="690">
        <v>117803.69</v>
      </c>
      <c r="AG481" s="696"/>
      <c r="AH481" s="692">
        <v>-7574.2783912770828</v>
      </c>
      <c r="AI481" s="689">
        <v>-6.0411557855519118E-2</v>
      </c>
      <c r="AJ481" s="727"/>
      <c r="AK481" s="728"/>
      <c r="AL481" s="690">
        <v>188527.86000000002</v>
      </c>
      <c r="AM481" s="729"/>
      <c r="AN481" s="692">
        <v>-70724.170000000013</v>
      </c>
      <c r="AO481" s="710">
        <v>-0.37513909084842956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2.7947392121934617E-2</v>
      </c>
      <c r="Z483" s="747">
        <v>154201.9904261863</v>
      </c>
      <c r="AA483" s="745"/>
      <c r="AB483" s="746"/>
      <c r="AC483" s="747"/>
      <c r="AD483" s="745" t="s">
        <v>185</v>
      </c>
      <c r="AE483" s="746">
        <v>3.2733410537391039E-2</v>
      </c>
      <c r="AF483" s="748">
        <v>154988.51000000007</v>
      </c>
      <c r="AG483" s="749"/>
      <c r="AH483" s="749">
        <v>786.51957381376997</v>
      </c>
      <c r="AI483" s="750">
        <v>5.1005799058752273E-3</v>
      </c>
      <c r="AJ483" s="751" t="s">
        <v>185</v>
      </c>
      <c r="AK483" s="746">
        <v>4.0254102204976987E-2</v>
      </c>
      <c r="AL483" s="748">
        <v>237063.83999999918</v>
      </c>
      <c r="AM483" s="752"/>
      <c r="AN483" s="748">
        <v>-82075.329999999114</v>
      </c>
      <c r="AO483" s="753">
        <v>-0.34621615004633099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472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3.6038736025844252E-2</v>
      </c>
      <c r="Z488" s="748">
        <v>198846.63310919324</v>
      </c>
      <c r="AA488" s="745"/>
      <c r="AB488" s="746"/>
      <c r="AC488" s="747"/>
      <c r="AD488" s="745" t="s">
        <v>185</v>
      </c>
      <c r="AE488" s="746">
        <v>3.2310750751166573E-2</v>
      </c>
      <c r="AF488" s="748">
        <v>152987.27000000008</v>
      </c>
      <c r="AG488" s="749"/>
      <c r="AH488" s="749">
        <v>-45859.36310919316</v>
      </c>
      <c r="AI488" s="750">
        <v>-0.2306268021345389</v>
      </c>
      <c r="AJ488" s="745" t="s">
        <v>185</v>
      </c>
      <c r="AK488" s="746">
        <v>4.7619244024278397E-2</v>
      </c>
      <c r="AL488" s="748">
        <v>280438.5199999992</v>
      </c>
      <c r="AM488" s="752"/>
      <c r="AN488" s="748">
        <v>-127451.24999999913</v>
      </c>
      <c r="AO488" s="770">
        <v>-0.45447126878290289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2.7947392121934617E-2</v>
      </c>
      <c r="Z489" s="747">
        <v>154201.9904261863</v>
      </c>
      <c r="AA489" s="745"/>
      <c r="AB489" s="746"/>
      <c r="AC489" s="747"/>
      <c r="AD489" s="745" t="s">
        <v>185</v>
      </c>
      <c r="AE489" s="746">
        <v>3.2733410537391039E-2</v>
      </c>
      <c r="AF489" s="747">
        <v>154988.51000000007</v>
      </c>
      <c r="AG489" s="748"/>
      <c r="AH489" s="749">
        <v>786.51957381376997</v>
      </c>
      <c r="AI489" s="750">
        <v>5.1005799058752273E-3</v>
      </c>
      <c r="AJ489" s="745" t="s">
        <v>185</v>
      </c>
      <c r="AK489" s="746">
        <v>4.0254102204976987E-2</v>
      </c>
      <c r="AL489" s="760">
        <v>237063.83999999918</v>
      </c>
      <c r="AM489" s="761"/>
      <c r="AN489" s="762">
        <v>-82075.329999999114</v>
      </c>
      <c r="AO489" s="763">
        <v>-0.34621615004633099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-917.02</v>
      </c>
      <c r="AM493" s="768"/>
      <c r="AN493" s="676">
        <v>917.02</v>
      </c>
      <c r="AO493" s="682">
        <v>-1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-4354.1000000000004</v>
      </c>
      <c r="AM496" s="768"/>
      <c r="AN496" s="676">
        <v>3275.1000000000004</v>
      </c>
      <c r="AO496" s="682">
        <v>-0.752187593302864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2.0413504381528846E-2</v>
      </c>
      <c r="Z498" s="747">
        <v>112633.15709285297</v>
      </c>
      <c r="AA498" s="745"/>
      <c r="AB498" s="746"/>
      <c r="AC498" s="747"/>
      <c r="AD498" s="745" t="s">
        <v>185</v>
      </c>
      <c r="AE498" s="746">
        <v>2.3954081394677119E-2</v>
      </c>
      <c r="AF498" s="748">
        <v>113419.51000000007</v>
      </c>
      <c r="AG498" s="749"/>
      <c r="AH498" s="749">
        <v>786.35290714709845</v>
      </c>
      <c r="AI498" s="750">
        <v>6.9815401382990775E-3</v>
      </c>
      <c r="AJ498" s="751" t="s">
        <v>185</v>
      </c>
      <c r="AK498" s="746">
        <v>4.0076848465183813E-2</v>
      </c>
      <c r="AL498" s="748">
        <v>236019.95999999918</v>
      </c>
      <c r="AM498" s="752"/>
      <c r="AN498" s="748">
        <v>-122600.44999999911</v>
      </c>
      <c r="AO498" s="770">
        <v>-0.51944949910168414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106583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841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707"/>
      <c r="AF503" s="707"/>
      <c r="AG503" s="860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860"/>
      <c r="AF504" s="860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191" priority="3" stopIfTrue="1">
      <formula>"esterreur(reference)"</formula>
    </cfRule>
  </conditionalFormatting>
  <conditionalFormatting sqref="D172:D181">
    <cfRule type="expression" dxfId="190" priority="62" stopIfTrue="1">
      <formula>"esterreur(reference)"</formula>
    </cfRule>
  </conditionalFormatting>
  <conditionalFormatting sqref="D400">
    <cfRule type="expression" dxfId="189" priority="6" stopIfTrue="1">
      <formula>"esterreur(reference)"</formula>
    </cfRule>
  </conditionalFormatting>
  <conditionalFormatting sqref="E186">
    <cfRule type="expression" dxfId="188" priority="63" stopIfTrue="1">
      <formula>"esterreur(reference)"</formula>
    </cfRule>
  </conditionalFormatting>
  <conditionalFormatting sqref="F5">
    <cfRule type="expression" dxfId="187" priority="60" stopIfTrue="1">
      <formula>"esterreur(reference)"</formula>
    </cfRule>
  </conditionalFormatting>
  <conditionalFormatting sqref="F83:F85">
    <cfRule type="expression" dxfId="186" priority="59" stopIfTrue="1">
      <formula>"esterreur(reference)"</formula>
    </cfRule>
  </conditionalFormatting>
  <conditionalFormatting sqref="F101">
    <cfRule type="expression" dxfId="185" priority="64" stopIfTrue="1">
      <formula>"esterreur(reference)"</formula>
    </cfRule>
  </conditionalFormatting>
  <conditionalFormatting sqref="F184">
    <cfRule type="expression" dxfId="184" priority="28" stopIfTrue="1">
      <formula>"esterreur(reference)"</formula>
    </cfRule>
  </conditionalFormatting>
  <conditionalFormatting sqref="G31:G32">
    <cfRule type="expression" dxfId="183" priority="57" stopIfTrue="1">
      <formula>"esterreur(reference)"</formula>
    </cfRule>
  </conditionalFormatting>
  <conditionalFormatting sqref="G112:G113">
    <cfRule type="expression" dxfId="182" priority="54" stopIfTrue="1">
      <formula>"esterreur(reference)"</formula>
    </cfRule>
  </conditionalFormatting>
  <conditionalFormatting sqref="G172:G181">
    <cfRule type="expression" dxfId="181" priority="61" stopIfTrue="1">
      <formula>"esterreur(reference)"</formula>
    </cfRule>
  </conditionalFormatting>
  <conditionalFormatting sqref="H25:H26 H28:H72">
    <cfRule type="expression" dxfId="180" priority="56" stopIfTrue="1">
      <formula>"esterreur(reference)"</formula>
    </cfRule>
  </conditionalFormatting>
  <conditionalFormatting sqref="H360 J360:L360">
    <cfRule type="expression" dxfId="179" priority="16" stopIfTrue="1">
      <formula>"esterreur(reference)"</formula>
    </cfRule>
  </conditionalFormatting>
  <conditionalFormatting sqref="H197:L197">
    <cfRule type="expression" dxfId="178" priority="18" stopIfTrue="1">
      <formula>"esterreur(reference)"</formula>
    </cfRule>
  </conditionalFormatting>
  <conditionalFormatting sqref="H313:L313 H314:J314 L314 H315:L317">
    <cfRule type="expression" dxfId="177" priority="1" stopIfTrue="1">
      <formula>"esterreur(reference)"</formula>
    </cfRule>
  </conditionalFormatting>
  <conditionalFormatting sqref="H396:L399">
    <cfRule type="expression" dxfId="176" priority="14" stopIfTrue="1">
      <formula>"esterreur(reference)"</formula>
    </cfRule>
  </conditionalFormatting>
  <conditionalFormatting sqref="I16:I18 I20 I24:I30">
    <cfRule type="expression" dxfId="175" priority="58" stopIfTrue="1">
      <formula>"esterreur(reference)"</formula>
    </cfRule>
  </conditionalFormatting>
  <conditionalFormatting sqref="I377:L377 J378:L394 H378:H395">
    <cfRule type="expression" dxfId="174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173" priority="7" stopIfTrue="1">
      <formula>"esterreur(reference)"</formula>
    </cfRule>
  </conditionalFormatting>
  <conditionalFormatting sqref="K395">
    <cfRule type="expression" dxfId="172" priority="17" stopIfTrue="1">
      <formula>"esterreur(reference)"</formula>
    </cfRule>
  </conditionalFormatting>
  <conditionalFormatting sqref="K5:L5">
    <cfRule type="expression" dxfId="171" priority="27" stopIfTrue="1">
      <formula>"esterreur(reference)"</formula>
    </cfRule>
  </conditionalFormatting>
  <conditionalFormatting sqref="K244:L244">
    <cfRule type="expression" dxfId="170" priority="24" stopIfTrue="1">
      <formula>"esterreur(reference)"</formula>
    </cfRule>
  </conditionalFormatting>
  <conditionalFormatting sqref="K247:L247">
    <cfRule type="expression" dxfId="169" priority="25" stopIfTrue="1">
      <formula>"esterreur(reference)"</formula>
    </cfRule>
  </conditionalFormatting>
  <conditionalFormatting sqref="L42:L48">
    <cfRule type="expression" dxfId="168" priority="20" stopIfTrue="1">
      <formula>"esterreur(reference)"</formula>
    </cfRule>
  </conditionalFormatting>
  <conditionalFormatting sqref="L75:L82">
    <cfRule type="expression" dxfId="167" priority="9" stopIfTrue="1">
      <formula>"esterreur(reference)"</formula>
    </cfRule>
  </conditionalFormatting>
  <conditionalFormatting sqref="L156:L162">
    <cfRule type="expression" dxfId="166" priority="23" stopIfTrue="1">
      <formula>"esterreur(reference)"</formula>
    </cfRule>
  </conditionalFormatting>
  <conditionalFormatting sqref="L198:L209">
    <cfRule type="expression" dxfId="165" priority="21" stopIfTrue="1">
      <formula>"esterreur(reference)"</formula>
    </cfRule>
  </conditionalFormatting>
  <conditionalFormatting sqref="L211:L228">
    <cfRule type="expression" dxfId="164" priority="22" stopIfTrue="1">
      <formula>"esterreur(reference)"</formula>
    </cfRule>
  </conditionalFormatting>
  <conditionalFormatting sqref="L254:L265">
    <cfRule type="expression" dxfId="163" priority="26" stopIfTrue="1">
      <formula>"esterreur(reference)"</formula>
    </cfRule>
  </conditionalFormatting>
  <conditionalFormatting sqref="L331:L348">
    <cfRule type="expression" dxfId="162" priority="19" stopIfTrue="1">
      <formula>"esterreur(reference)"</formula>
    </cfRule>
  </conditionalFormatting>
  <conditionalFormatting sqref="L356:L357 H357:I357 K357 J357:J358 H359:L359">
    <cfRule type="expression" dxfId="161" priority="13" stopIfTrue="1">
      <formula>"esterreur(reference)"</formula>
    </cfRule>
  </conditionalFormatting>
  <conditionalFormatting sqref="M95:M97">
    <cfRule type="expression" dxfId="160" priority="8" stopIfTrue="1">
      <formula>"esterreur(reference)"</formula>
    </cfRule>
  </conditionalFormatting>
  <conditionalFormatting sqref="N197:N209">
    <cfRule type="expression" dxfId="159" priority="2" stopIfTrue="1">
      <formula>"esterreur(reference)"</formula>
    </cfRule>
  </conditionalFormatting>
  <conditionalFormatting sqref="N318:N328">
    <cfRule type="expression" dxfId="158" priority="5" stopIfTrue="1">
      <formula>"esterreur(reference)"</formula>
    </cfRule>
  </conditionalFormatting>
  <conditionalFormatting sqref="O295:P303 O304:Q306 O307:P308 O309:Q317 Q318:Q329 O318:P348 O349:Q349 O352:Q352 O353:P353">
    <cfRule type="expression" dxfId="157" priority="49" stopIfTrue="1">
      <formula>"esterreur(reference)"</formula>
    </cfRule>
  </conditionalFormatting>
  <conditionalFormatting sqref="O197:Q197">
    <cfRule type="expression" dxfId="156" priority="38" stopIfTrue="1">
      <formula>"esterreur(reference)"</formula>
    </cfRule>
  </conditionalFormatting>
  <conditionalFormatting sqref="O243:Q243 O252:Q253 O254:P284 Q282:Q285 O285 O288:Q288 O289:P289">
    <cfRule type="expression" dxfId="155" priority="44" stopIfTrue="1">
      <formula>"esterreur(reference)"</formula>
    </cfRule>
  </conditionalFormatting>
  <conditionalFormatting sqref="O359:Q394">
    <cfRule type="expression" dxfId="154" priority="51" stopIfTrue="1">
      <formula>"esterreur(reference)"</formula>
    </cfRule>
  </conditionalFormatting>
  <conditionalFormatting sqref="O396:Q399">
    <cfRule type="expression" dxfId="153" priority="52" stopIfTrue="1">
      <formula>"esterreur(reference)"</formula>
    </cfRule>
  </conditionalFormatting>
  <conditionalFormatting sqref="P5">
    <cfRule type="expression" dxfId="152" priority="32" stopIfTrue="1">
      <formula>"esterreur(reference)"</formula>
    </cfRule>
  </conditionalFormatting>
  <conditionalFormatting sqref="P175">
    <cfRule type="expression" dxfId="151" priority="41" stopIfTrue="1">
      <formula>"esterreur(reference)"</formula>
    </cfRule>
  </conditionalFormatting>
  <conditionalFormatting sqref="P178">
    <cfRule type="expression" dxfId="150" priority="42" stopIfTrue="1">
      <formula>"esterreur(reference)"</formula>
    </cfRule>
  </conditionalFormatting>
  <conditionalFormatting sqref="P181">
    <cfRule type="expression" dxfId="149" priority="43" stopIfTrue="1">
      <formula>"esterreur(reference)"</formula>
    </cfRule>
  </conditionalFormatting>
  <conditionalFormatting sqref="P395">
    <cfRule type="expression" dxfId="148" priority="53" stopIfTrue="1">
      <formula>"esterreur(reference)"</formula>
    </cfRule>
  </conditionalFormatting>
  <conditionalFormatting sqref="P93:Q96 O97:Q98 O156:P157 O164:Q164 O165:P165">
    <cfRule type="expression" dxfId="147" priority="35" stopIfTrue="1">
      <formula>"esterreur(reference)"</formula>
    </cfRule>
  </conditionalFormatting>
  <conditionalFormatting sqref="P99:Q100">
    <cfRule type="expression" dxfId="146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5" priority="37" stopIfTrue="1">
      <formula>"esterreur(reference)"</formula>
    </cfRule>
  </conditionalFormatting>
  <conditionalFormatting sqref="P182:Q196">
    <cfRule type="expression" dxfId="144" priority="4" stopIfTrue="1">
      <formula>"esterreur(reference)"</formula>
    </cfRule>
  </conditionalFormatting>
  <conditionalFormatting sqref="P241:Q241">
    <cfRule type="expression" dxfId="143" priority="48" stopIfTrue="1">
      <formula>"esterreur(reference)"</formula>
    </cfRule>
  </conditionalFormatting>
  <conditionalFormatting sqref="P244:Q244">
    <cfRule type="expression" dxfId="142" priority="45" stopIfTrue="1">
      <formula>"esterreur(reference)"</formula>
    </cfRule>
  </conditionalFormatting>
  <conditionalFormatting sqref="P247:Q247">
    <cfRule type="expression" dxfId="141" priority="46" stopIfTrue="1">
      <formula>"esterreur(reference)"</formula>
    </cfRule>
  </conditionalFormatting>
  <conditionalFormatting sqref="Q5:Q14 O13:O14 O16 Q16:Q24 O18:O24 O25:Q26 O27 Q27 O28:Q72 O83:Q85">
    <cfRule type="expression" dxfId="140" priority="31" stopIfTrue="1">
      <formula>"esterreur(reference)"</formula>
    </cfRule>
  </conditionalFormatting>
  <conditionalFormatting sqref="Q75:Q82">
    <cfRule type="expression" dxfId="139" priority="33" stopIfTrue="1">
      <formula>"esterreur(reference)"</formula>
    </cfRule>
  </conditionalFormatting>
  <conditionalFormatting sqref="Q156:Q162">
    <cfRule type="expression" dxfId="138" priority="36" stopIfTrue="1">
      <formula>"esterreur(reference)"</formula>
    </cfRule>
  </conditionalFormatting>
  <conditionalFormatting sqref="Q198:Q209">
    <cfRule type="expression" dxfId="137" priority="39" stopIfTrue="1">
      <formula>"esterreur(reference)"</formula>
    </cfRule>
  </conditionalFormatting>
  <conditionalFormatting sqref="Q211:Q228">
    <cfRule type="expression" dxfId="136" priority="40" stopIfTrue="1">
      <formula>"esterreur(reference)"</formula>
    </cfRule>
  </conditionalFormatting>
  <conditionalFormatting sqref="Q254:Q265">
    <cfRule type="expression" dxfId="135" priority="47" stopIfTrue="1">
      <formula>"esterreur(reference)"</formula>
    </cfRule>
  </conditionalFormatting>
  <conditionalFormatting sqref="Q331:Q348">
    <cfRule type="expression" dxfId="134" priority="50" stopIfTrue="1">
      <formula>"esterreur(reference)"</formula>
    </cfRule>
  </conditionalFormatting>
  <conditionalFormatting sqref="R312">
    <cfRule type="expression" dxfId="133" priority="10" stopIfTrue="1">
      <formula>"esterreur(reference)"</formula>
    </cfRule>
  </conditionalFormatting>
  <conditionalFormatting sqref="S186">
    <cfRule type="expression" dxfId="132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131" priority="11" operator="greaterThan">
      <formula>0</formula>
    </cfRule>
  </conditionalFormatting>
  <conditionalFormatting sqref="AH469:AI476 AH480:AI480">
    <cfRule type="cellIs" dxfId="130" priority="12" operator="lessThan">
      <formula>0</formula>
    </cfRule>
  </conditionalFormatting>
  <conditionalFormatting sqref="AH477:AI479">
    <cfRule type="cellIs" dxfId="129" priority="55" operator="greaterThan">
      <formula>0</formula>
    </cfRule>
  </conditionalFormatting>
  <conditionalFormatting sqref="AO409:AO418">
    <cfRule type="cellIs" dxfId="128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59A1-5E28-49D9-9619-1CFC4427D437}">
  <sheetPr>
    <tabColor rgb="FFFFC000"/>
  </sheetPr>
  <dimension ref="A1:BJ693"/>
  <sheetViews>
    <sheetView topLeftCell="T466" zoomScale="80" zoomScaleNormal="80" workbookViewId="0">
      <selection activeCell="Y502" sqref="A1:XFD1048576"/>
    </sheetView>
  </sheetViews>
  <sheetFormatPr baseColWidth="10" defaultColWidth="12.625" defaultRowHeight="15" customHeight="1"/>
  <cols>
    <col min="1" max="1" width="10.375" style="476" hidden="1" customWidth="1"/>
    <col min="2" max="2" width="21.875" style="476" hidden="1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471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3" t="s">
        <v>5</v>
      </c>
      <c r="E3" s="884"/>
      <c r="F3" s="885"/>
      <c r="G3" s="886"/>
      <c r="H3" s="884"/>
      <c r="I3" s="885"/>
      <c r="J3" s="886" t="s">
        <v>7</v>
      </c>
      <c r="K3" s="884"/>
      <c r="L3" s="885"/>
      <c r="M3" s="886" t="s">
        <v>220</v>
      </c>
      <c r="N3" s="885"/>
      <c r="O3" s="883" t="s">
        <v>8</v>
      </c>
      <c r="P3" s="884"/>
      <c r="Q3" s="885"/>
      <c r="R3" s="886" t="s">
        <v>221</v>
      </c>
      <c r="S3" s="885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3234339.5387282078</v>
      </c>
      <c r="G5" s="496"/>
      <c r="H5" s="496"/>
      <c r="I5" s="498"/>
      <c r="J5" s="495"/>
      <c r="K5" s="499"/>
      <c r="L5" s="497">
        <v>3181778.7700000005</v>
      </c>
      <c r="M5" s="500"/>
      <c r="N5" s="501"/>
      <c r="O5" s="495"/>
      <c r="P5" s="499"/>
      <c r="Q5" s="497">
        <v>3906259.79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16</v>
      </c>
      <c r="E6" s="543">
        <v>1953.6491683802797</v>
      </c>
      <c r="F6" s="543">
        <v>31258.386694084475</v>
      </c>
      <c r="G6" s="506"/>
      <c r="H6" s="543"/>
      <c r="I6" s="543"/>
      <c r="J6" s="506">
        <v>10</v>
      </c>
      <c r="K6" s="543">
        <v>2530.1250000000045</v>
      </c>
      <c r="L6" s="507">
        <v>25301.250000000044</v>
      </c>
      <c r="M6" s="506">
        <v>-6</v>
      </c>
      <c r="N6" s="507">
        <v>-5957.1366940844309</v>
      </c>
      <c r="O6" s="506">
        <v>18</v>
      </c>
      <c r="P6" s="543">
        <v>1997.7755555555498</v>
      </c>
      <c r="Q6" s="507">
        <v>35959.959999999897</v>
      </c>
      <c r="R6" s="506">
        <v>-8</v>
      </c>
      <c r="S6" s="507">
        <v>-10658.709999999854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43</v>
      </c>
      <c r="E7" s="543">
        <v>2435.9046775963693</v>
      </c>
      <c r="F7" s="543">
        <v>104743.90113664388</v>
      </c>
      <c r="G7" s="506"/>
      <c r="H7" s="543"/>
      <c r="I7" s="543"/>
      <c r="J7" s="506">
        <v>42</v>
      </c>
      <c r="K7" s="543">
        <v>2234.1590476190518</v>
      </c>
      <c r="L7" s="507">
        <v>93834.680000000168</v>
      </c>
      <c r="M7" s="506">
        <v>-1</v>
      </c>
      <c r="N7" s="507">
        <v>-10909.221136643711</v>
      </c>
      <c r="O7" s="506">
        <v>51</v>
      </c>
      <c r="P7" s="543">
        <v>2441.8603921568629</v>
      </c>
      <c r="Q7" s="507">
        <v>124534.88</v>
      </c>
      <c r="R7" s="506">
        <v>-9</v>
      </c>
      <c r="S7" s="507">
        <v>-30700.199999999837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59</v>
      </c>
      <c r="E13" s="580">
        <v>2305.1235225547175</v>
      </c>
      <c r="F13" s="581">
        <v>136002.28783072834</v>
      </c>
      <c r="G13" s="512"/>
      <c r="H13" s="580"/>
      <c r="I13" s="581"/>
      <c r="J13" s="512">
        <v>52</v>
      </c>
      <c r="K13" s="580">
        <v>2291.0755769230809</v>
      </c>
      <c r="L13" s="581">
        <v>119135.93000000021</v>
      </c>
      <c r="M13" s="512">
        <v>-7</v>
      </c>
      <c r="N13" s="581">
        <v>-16866.357830728142</v>
      </c>
      <c r="O13" s="512">
        <v>69</v>
      </c>
      <c r="P13" s="580">
        <v>2326.0121739130423</v>
      </c>
      <c r="Q13" s="581">
        <v>160494.83999999991</v>
      </c>
      <c r="R13" s="512">
        <v>-17</v>
      </c>
      <c r="S13" s="581">
        <v>-41358.909999999691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-0.11864406779661017</v>
      </c>
      <c r="N14" s="786">
        <v>-0.12401525077078417</v>
      </c>
      <c r="O14" s="502"/>
      <c r="P14" s="543"/>
      <c r="Q14" s="527"/>
      <c r="R14" s="785">
        <v>-0.24637681159420291</v>
      </c>
      <c r="S14" s="786">
        <v>-0.25769619758491746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2</v>
      </c>
      <c r="E15" s="499">
        <v>1534.7521433415677</v>
      </c>
      <c r="F15" s="497">
        <v>3069.5042866831354</v>
      </c>
      <c r="G15" s="519"/>
      <c r="H15" s="499"/>
      <c r="I15" s="497"/>
      <c r="J15" s="582">
        <v>5</v>
      </c>
      <c r="K15" s="787">
        <v>2015.8520000000019</v>
      </c>
      <c r="L15" s="787">
        <v>10079.260000000009</v>
      </c>
      <c r="M15" s="519">
        <v>3</v>
      </c>
      <c r="N15" s="497">
        <v>7009.7557133168739</v>
      </c>
      <c r="O15" s="582">
        <v>5</v>
      </c>
      <c r="P15" s="787">
        <v>1165.5819999999999</v>
      </c>
      <c r="Q15" s="787">
        <v>5827.91</v>
      </c>
      <c r="R15" s="519">
        <v>0</v>
      </c>
      <c r="S15" s="497">
        <v>4251.3500000000095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6545</v>
      </c>
      <c r="G19" s="506"/>
      <c r="H19" s="543"/>
      <c r="I19" s="543"/>
      <c r="J19" s="519"/>
      <c r="K19" s="543"/>
      <c r="L19" s="507">
        <v>11767.320000000007</v>
      </c>
      <c r="M19" s="506"/>
      <c r="N19" s="507">
        <v>5222.320000000007</v>
      </c>
      <c r="O19" s="519"/>
      <c r="P19" s="543"/>
      <c r="Q19" s="507">
        <v>9930</v>
      </c>
      <c r="R19" s="506">
        <v>0</v>
      </c>
      <c r="S19" s="507">
        <v>1837.320000000007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3050</v>
      </c>
      <c r="G21" s="506"/>
      <c r="H21" s="543"/>
      <c r="I21" s="543"/>
      <c r="J21" s="506"/>
      <c r="K21" s="543">
        <v>11.182280701754387</v>
      </c>
      <c r="L21" s="507">
        <v>637.39</v>
      </c>
      <c r="M21" s="506"/>
      <c r="N21" s="507">
        <v>-2412.61</v>
      </c>
      <c r="O21" s="506"/>
      <c r="P21" s="543"/>
      <c r="Q21" s="507">
        <v>800</v>
      </c>
      <c r="R21" s="506">
        <v>-11.182280701754387</v>
      </c>
      <c r="S21" s="507">
        <v>-162.61000000000001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56730</v>
      </c>
      <c r="G22" s="506"/>
      <c r="H22" s="543"/>
      <c r="I22" s="543"/>
      <c r="J22" s="506"/>
      <c r="K22" s="543">
        <v>1090.3154385964913</v>
      </c>
      <c r="L22" s="507">
        <v>62147.98</v>
      </c>
      <c r="M22" s="506"/>
      <c r="N22" s="507">
        <v>5417.9800000000032</v>
      </c>
      <c r="O22" s="506"/>
      <c r="P22" s="543"/>
      <c r="Q22" s="507">
        <v>58571.93</v>
      </c>
      <c r="R22" s="506">
        <v>-1090.3154385964913</v>
      </c>
      <c r="S22" s="507">
        <v>3576.0500000000029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1220</v>
      </c>
      <c r="G23" s="506"/>
      <c r="H23" s="543"/>
      <c r="I23" s="543"/>
      <c r="J23" s="506"/>
      <c r="K23" s="543">
        <v>4.6777192982456137</v>
      </c>
      <c r="L23" s="507">
        <v>266.63</v>
      </c>
      <c r="M23" s="519"/>
      <c r="N23" s="507">
        <v>-953.37</v>
      </c>
      <c r="O23" s="506"/>
      <c r="P23" s="543"/>
      <c r="Q23" s="507">
        <v>0</v>
      </c>
      <c r="R23" s="506">
        <v>-4.6777192982456137</v>
      </c>
      <c r="S23" s="507">
        <v>266.63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61</v>
      </c>
      <c r="E24" s="580">
        <v>1000</v>
      </c>
      <c r="F24" s="581">
        <v>61000</v>
      </c>
      <c r="G24" s="512"/>
      <c r="H24" s="580"/>
      <c r="I24" s="581"/>
      <c r="J24" s="512">
        <v>57</v>
      </c>
      <c r="K24" s="580">
        <v>1106.1754385964912</v>
      </c>
      <c r="L24" s="581">
        <v>63052</v>
      </c>
      <c r="M24" s="526">
        <v>-4</v>
      </c>
      <c r="N24" s="581">
        <v>2052</v>
      </c>
      <c r="O24" s="512">
        <v>74</v>
      </c>
      <c r="P24" s="580">
        <v>802.32337837837838</v>
      </c>
      <c r="Q24" s="581">
        <v>59371.93</v>
      </c>
      <c r="R24" s="525"/>
      <c r="S24" s="581">
        <v>3680.0699999999997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3.3639344262295083E-2</v>
      </c>
      <c r="O25" s="502"/>
      <c r="P25" s="486"/>
      <c r="Q25" s="505"/>
      <c r="R25" s="504"/>
      <c r="S25" s="514">
        <v>6.1983331180239548E-2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63</v>
      </c>
      <c r="E27" s="530">
        <v>3355.6269262831911</v>
      </c>
      <c r="F27" s="531">
        <v>211404.49635584105</v>
      </c>
      <c r="G27" s="532"/>
      <c r="H27" s="530"/>
      <c r="I27" s="531"/>
      <c r="J27" s="532">
        <v>57</v>
      </c>
      <c r="K27" s="530">
        <v>3579.5528070175483</v>
      </c>
      <c r="L27" s="531">
        <v>204034.51000000024</v>
      </c>
      <c r="M27" s="532">
        <v>-6</v>
      </c>
      <c r="N27" s="531">
        <v>-7369.9863558408106</v>
      </c>
      <c r="O27" s="532">
        <v>74</v>
      </c>
      <c r="P27" s="530">
        <v>3184.1172972972959</v>
      </c>
      <c r="Q27" s="531">
        <v>235624.67999999991</v>
      </c>
      <c r="R27" s="532">
        <v>-17</v>
      </c>
      <c r="S27" s="531">
        <v>-31590.169999999664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0.96513798673687867</v>
      </c>
      <c r="M28" s="537">
        <v>-9.5238095238095233E-2</v>
      </c>
      <c r="N28" s="536">
        <v>-3.4862013263121307E-2</v>
      </c>
      <c r="O28" s="533"/>
      <c r="P28" s="534"/>
      <c r="Q28" s="535"/>
      <c r="R28" s="537">
        <v>-0.22972972972972974</v>
      </c>
      <c r="S28" s="536">
        <v>-0.13406986908162455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0.34122337682034687</v>
      </c>
      <c r="E31" s="503">
        <v>777.94338568459739</v>
      </c>
      <c r="F31" s="543">
        <v>47454.546526760438</v>
      </c>
      <c r="G31" s="587"/>
      <c r="H31" s="503"/>
      <c r="I31" s="543"/>
      <c r="J31" s="587">
        <v>0.33936869186974011</v>
      </c>
      <c r="K31" s="503">
        <v>769.32614035087715</v>
      </c>
      <c r="L31" s="543">
        <v>43851.59</v>
      </c>
      <c r="M31" s="502"/>
      <c r="N31" s="505">
        <v>-3602.9565267604412</v>
      </c>
      <c r="O31" s="792">
        <v>0.21053998926785431</v>
      </c>
      <c r="P31" s="503">
        <v>473.21067567567565</v>
      </c>
      <c r="Q31" s="507">
        <v>35017.589999999997</v>
      </c>
      <c r="R31" s="502"/>
      <c r="S31" s="505">
        <v>8834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</v>
      </c>
      <c r="F32" s="497">
        <v>17080</v>
      </c>
      <c r="G32" s="588"/>
      <c r="H32" s="516"/>
      <c r="I32" s="497"/>
      <c r="J32" s="588">
        <v>0.29999762101122884</v>
      </c>
      <c r="K32" s="516">
        <v>331.85</v>
      </c>
      <c r="L32" s="497">
        <v>18915.45</v>
      </c>
      <c r="M32" s="495"/>
      <c r="N32" s="517">
        <v>1835.4500000000007</v>
      </c>
      <c r="O32" s="794">
        <v>0.29999833254536273</v>
      </c>
      <c r="P32" s="516">
        <v>240.69567567567566</v>
      </c>
      <c r="Q32" s="497">
        <v>17811.48</v>
      </c>
      <c r="R32" s="495"/>
      <c r="S32" s="517">
        <v>1103.9700000000012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7015</v>
      </c>
      <c r="G33" s="545"/>
      <c r="H33" s="503"/>
      <c r="I33" s="543"/>
      <c r="J33" s="502"/>
      <c r="K33" s="503">
        <v>138.49438596491228</v>
      </c>
      <c r="L33" s="543">
        <v>7894.18</v>
      </c>
      <c r="M33" s="502"/>
      <c r="N33" s="505">
        <v>879.18000000000029</v>
      </c>
      <c r="O33" s="502"/>
      <c r="P33" s="503">
        <v>153.52486486486487</v>
      </c>
      <c r="Q33" s="507">
        <v>11360.84</v>
      </c>
      <c r="R33" s="502"/>
      <c r="S33" s="505">
        <v>-3466.66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610</v>
      </c>
      <c r="G34" s="545"/>
      <c r="H34" s="503"/>
      <c r="I34" s="543"/>
      <c r="J34" s="502"/>
      <c r="K34" s="503">
        <v>6.6315789473684203E-2</v>
      </c>
      <c r="L34" s="543">
        <v>3.78</v>
      </c>
      <c r="M34" s="502"/>
      <c r="N34" s="505">
        <v>-606.22</v>
      </c>
      <c r="O34" s="502"/>
      <c r="P34" s="503">
        <v>13.206486486486487</v>
      </c>
      <c r="Q34" s="507">
        <v>977.28</v>
      </c>
      <c r="R34" s="502"/>
      <c r="S34" s="505">
        <v>-973.5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7365.75</v>
      </c>
      <c r="G35" s="547"/>
      <c r="H35" s="516"/>
      <c r="I35" s="497"/>
      <c r="J35" s="495"/>
      <c r="K35" s="516">
        <v>167.94543859649121</v>
      </c>
      <c r="L35" s="497">
        <v>9572.89</v>
      </c>
      <c r="M35" s="495"/>
      <c r="N35" s="517">
        <v>2207.1399999999994</v>
      </c>
      <c r="O35" s="495"/>
      <c r="P35" s="516">
        <v>132.78283783783783</v>
      </c>
      <c r="Q35" s="507">
        <v>9825.93</v>
      </c>
      <c r="R35" s="495"/>
      <c r="S35" s="517">
        <v>-253.04000000000087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87.901639344262293</v>
      </c>
      <c r="F36" s="543">
        <v>5362</v>
      </c>
      <c r="G36" s="545"/>
      <c r="H36" s="503"/>
      <c r="I36" s="543"/>
      <c r="J36" s="502"/>
      <c r="K36" s="503">
        <v>171.58052631578948</v>
      </c>
      <c r="L36" s="548">
        <v>9780.09</v>
      </c>
      <c r="M36" s="486"/>
      <c r="N36" s="505">
        <v>4418.09</v>
      </c>
      <c r="O36" s="502"/>
      <c r="P36" s="503">
        <v>164.58405405405404</v>
      </c>
      <c r="Q36" s="524">
        <v>12179.22</v>
      </c>
      <c r="R36" s="502"/>
      <c r="S36" s="505">
        <v>-2399.1299999999992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626.28924071156302</v>
      </c>
      <c r="F37" s="543">
        <v>38203.643683405346</v>
      </c>
      <c r="G37" s="545"/>
      <c r="H37" s="503"/>
      <c r="I37" s="543"/>
      <c r="J37" s="502"/>
      <c r="K37" s="503">
        <v>227.21438596491228</v>
      </c>
      <c r="L37" s="549">
        <v>12951.22</v>
      </c>
      <c r="M37" s="486"/>
      <c r="N37" s="505">
        <v>-25252.423683405344</v>
      </c>
      <c r="O37" s="502"/>
      <c r="P37" s="503">
        <v>644.70648648648648</v>
      </c>
      <c r="Q37" s="507">
        <v>47708.28</v>
      </c>
      <c r="R37" s="502"/>
      <c r="S37" s="505">
        <v>-34757.06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0.58225317971939539</v>
      </c>
      <c r="F41" s="554">
        <v>123090.94021016579</v>
      </c>
      <c r="G41" s="621"/>
      <c r="H41" s="553"/>
      <c r="I41" s="554"/>
      <c r="J41" s="621" t="s">
        <v>39</v>
      </c>
      <c r="K41" s="553">
        <v>0.50466560779350456</v>
      </c>
      <c r="L41" s="554">
        <v>102969.2</v>
      </c>
      <c r="M41" s="796"/>
      <c r="N41" s="554">
        <v>-20121.740210165794</v>
      </c>
      <c r="O41" s="621" t="s">
        <v>39</v>
      </c>
      <c r="P41" s="553">
        <v>0.57243842198533723</v>
      </c>
      <c r="Q41" s="797">
        <v>134880.62</v>
      </c>
      <c r="R41" s="555"/>
      <c r="S41" s="554">
        <v>-31911.42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28420.581730769234</v>
      </c>
      <c r="G42" s="502"/>
      <c r="H42" s="486"/>
      <c r="I42" s="543"/>
      <c r="J42" s="502"/>
      <c r="K42" s="486"/>
      <c r="L42" s="507">
        <v>18969.05</v>
      </c>
      <c r="M42" s="502"/>
      <c r="N42" s="505">
        <v>-9451.5317307692349</v>
      </c>
      <c r="O42" s="502"/>
      <c r="P42" s="798">
        <v>5.0529426713704202E-2</v>
      </c>
      <c r="Q42" s="507">
        <v>11905.98</v>
      </c>
      <c r="R42" s="502"/>
      <c r="S42" s="505">
        <v>7063.07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17167.773846153847</v>
      </c>
      <c r="G43" s="545"/>
      <c r="H43" s="486"/>
      <c r="I43" s="497"/>
      <c r="J43" s="502"/>
      <c r="K43" s="486"/>
      <c r="L43" s="507">
        <v>14463.37</v>
      </c>
      <c r="M43" s="502"/>
      <c r="N43" s="505">
        <v>-2704.4038461538457</v>
      </c>
      <c r="O43" s="502"/>
      <c r="P43" s="486"/>
      <c r="Q43" s="507">
        <v>9609.39</v>
      </c>
      <c r="R43" s="502"/>
      <c r="S43" s="505">
        <v>4853.9800000000014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394.44230769230774</v>
      </c>
      <c r="G44" s="560"/>
      <c r="H44" s="559"/>
      <c r="I44" s="543"/>
      <c r="J44" s="488"/>
      <c r="K44" s="559"/>
      <c r="L44" s="524">
        <v>2903.5</v>
      </c>
      <c r="M44" s="488"/>
      <c r="N44" s="523">
        <v>2509.0576923076924</v>
      </c>
      <c r="O44" s="488"/>
      <c r="P44" s="559"/>
      <c r="Q44" s="524">
        <v>3925.06</v>
      </c>
      <c r="R44" s="488"/>
      <c r="S44" s="523">
        <v>-1021.56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14936.127334752829</v>
      </c>
      <c r="G49" s="545"/>
      <c r="H49" s="486"/>
      <c r="I49" s="497"/>
      <c r="J49" s="502"/>
      <c r="K49" s="486"/>
      <c r="L49" s="497">
        <v>14676.27</v>
      </c>
      <c r="M49" s="502"/>
      <c r="N49" s="505">
        <v>-259.85733475282905</v>
      </c>
      <c r="O49" s="502"/>
      <c r="P49" s="486"/>
      <c r="Q49" s="497">
        <v>14577.13</v>
      </c>
      <c r="R49" s="502"/>
      <c r="S49" s="505">
        <v>99.140000000001237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18160.225305690667</v>
      </c>
      <c r="G50" s="560"/>
      <c r="H50" s="559"/>
      <c r="I50" s="543"/>
      <c r="J50" s="488"/>
      <c r="K50" s="559"/>
      <c r="L50" s="507">
        <v>17960</v>
      </c>
      <c r="M50" s="488"/>
      <c r="N50" s="523">
        <v>-200.22530569066657</v>
      </c>
      <c r="O50" s="488"/>
      <c r="P50" s="559"/>
      <c r="Q50" s="507">
        <v>16512.36</v>
      </c>
      <c r="R50" s="488"/>
      <c r="S50" s="523">
        <v>1447.6399999999994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9356.4639074971456</v>
      </c>
      <c r="G51" s="545"/>
      <c r="H51" s="486"/>
      <c r="I51" s="543"/>
      <c r="J51" s="502"/>
      <c r="K51" s="486"/>
      <c r="L51" s="507">
        <v>8486.02</v>
      </c>
      <c r="M51" s="502"/>
      <c r="N51" s="505">
        <v>-870.44390749714512</v>
      </c>
      <c r="O51" s="502"/>
      <c r="P51" s="486"/>
      <c r="Q51" s="507">
        <v>8805.59</v>
      </c>
      <c r="R51" s="502"/>
      <c r="S51" s="505">
        <v>-319.56999999999971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4079.470902002975</v>
      </c>
      <c r="G52" s="545"/>
      <c r="H52" s="486"/>
      <c r="I52" s="543"/>
      <c r="J52" s="502"/>
      <c r="K52" s="486"/>
      <c r="L52" s="507">
        <v>2876.17</v>
      </c>
      <c r="M52" s="502"/>
      <c r="N52" s="505">
        <v>-1203.3009020029749</v>
      </c>
      <c r="O52" s="502"/>
      <c r="P52" s="486"/>
      <c r="Q52" s="507">
        <v>3234.85</v>
      </c>
      <c r="R52" s="502"/>
      <c r="S52" s="505">
        <v>-358.67999999999984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0.4376211808609568</v>
      </c>
      <c r="F54" s="554">
        <v>92515.085334559</v>
      </c>
      <c r="G54" s="621"/>
      <c r="H54" s="553"/>
      <c r="I54" s="554"/>
      <c r="J54" s="621" t="s">
        <v>39</v>
      </c>
      <c r="K54" s="553">
        <v>0.39372937450630241</v>
      </c>
      <c r="L54" s="554">
        <v>80334.38</v>
      </c>
      <c r="M54" s="555"/>
      <c r="N54" s="554">
        <v>-12180.705334559003</v>
      </c>
      <c r="O54" s="621" t="s">
        <v>39</v>
      </c>
      <c r="P54" s="553">
        <v>0.29101518567579604</v>
      </c>
      <c r="Q54" s="554">
        <v>68570.36</v>
      </c>
      <c r="R54" s="555"/>
      <c r="S54" s="554">
        <v>11764.020000000002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13630.57</v>
      </c>
      <c r="M57" s="495"/>
      <c r="N57" s="517">
        <v>4678.0220666666664</v>
      </c>
      <c r="O57" s="495"/>
      <c r="P57" s="561"/>
      <c r="Q57" s="497">
        <v>7403.65</v>
      </c>
      <c r="R57" s="495"/>
      <c r="S57" s="517">
        <v>6226.92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9063.09</v>
      </c>
      <c r="M58" s="502"/>
      <c r="N58" s="505">
        <v>1102.0952414844432</v>
      </c>
      <c r="O58" s="502"/>
      <c r="P58" s="486"/>
      <c r="Q58" s="507">
        <v>7461.29</v>
      </c>
      <c r="R58" s="502"/>
      <c r="S58" s="505">
        <v>1601.8000000000002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1778.24</v>
      </c>
      <c r="M59" s="502"/>
      <c r="N59" s="505">
        <v>511.54249913701938</v>
      </c>
      <c r="O59" s="502"/>
      <c r="P59" s="486"/>
      <c r="Q59" s="507">
        <v>1278.4000000000001</v>
      </c>
      <c r="R59" s="502"/>
      <c r="S59" s="505">
        <v>499.83999999999992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7261.42</v>
      </c>
      <c r="M60" s="495"/>
      <c r="N60" s="517">
        <v>45.679276412470244</v>
      </c>
      <c r="O60" s="495"/>
      <c r="P60" s="561"/>
      <c r="Q60" s="497">
        <v>7123.34</v>
      </c>
      <c r="R60" s="495"/>
      <c r="S60" s="517">
        <v>138.07999999999993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17.22</v>
      </c>
      <c r="R61" s="502"/>
      <c r="S61" s="505">
        <v>-17.22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1047.3499999999999</v>
      </c>
      <c r="M63" s="502"/>
      <c r="N63" s="505">
        <v>305.91910533087992</v>
      </c>
      <c r="O63" s="502"/>
      <c r="P63" s="486"/>
      <c r="Q63" s="507">
        <v>885.48</v>
      </c>
      <c r="R63" s="502"/>
      <c r="S63" s="505">
        <v>161.86999999999989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471.73</v>
      </c>
      <c r="M64" s="502"/>
      <c r="N64" s="505">
        <v>126.92801508201779</v>
      </c>
      <c r="O64" s="502"/>
      <c r="P64" s="486"/>
      <c r="Q64" s="507">
        <v>340.16</v>
      </c>
      <c r="R64" s="502"/>
      <c r="S64" s="505">
        <v>131.57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211.16</v>
      </c>
      <c r="M65" s="502"/>
      <c r="N65" s="505">
        <v>108.33760463158224</v>
      </c>
      <c r="O65" s="502"/>
      <c r="P65" s="486"/>
      <c r="Q65" s="507">
        <v>10.56</v>
      </c>
      <c r="R65" s="502"/>
      <c r="S65" s="505">
        <v>200.6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111.68</v>
      </c>
      <c r="M66" s="502"/>
      <c r="N66" s="505">
        <v>-89.490385167937774</v>
      </c>
      <c r="O66" s="502"/>
      <c r="P66" s="486"/>
      <c r="Q66" s="507">
        <v>105.31</v>
      </c>
      <c r="R66" s="502"/>
      <c r="S66" s="505">
        <v>6.3700000000000045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-43.66</v>
      </c>
      <c r="M67" s="502"/>
      <c r="N67" s="505">
        <v>-1978.3662499999996</v>
      </c>
      <c r="O67" s="502"/>
      <c r="P67" s="486"/>
      <c r="Q67" s="507">
        <v>1174.1300000000001</v>
      </c>
      <c r="R67" s="502"/>
      <c r="S67" s="505">
        <v>-1217.7900000000002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3960.0994470928576</v>
      </c>
      <c r="G68" s="545"/>
      <c r="H68" s="486"/>
      <c r="I68" s="543"/>
      <c r="J68" s="502"/>
      <c r="K68" s="486"/>
      <c r="L68" s="507">
        <v>4559.6400000000003</v>
      </c>
      <c r="M68" s="502"/>
      <c r="N68" s="505">
        <v>599.54055290714268</v>
      </c>
      <c r="O68" s="502"/>
      <c r="P68" s="486"/>
      <c r="Q68" s="507">
        <v>4750.5</v>
      </c>
      <c r="R68" s="502"/>
      <c r="S68" s="505">
        <v>-190.85999999999967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0.15518403584454293</v>
      </c>
      <c r="F72" s="554">
        <v>32806.602940182383</v>
      </c>
      <c r="G72" s="621"/>
      <c r="H72" s="553"/>
      <c r="I72" s="554"/>
      <c r="J72" s="621" t="s">
        <v>39</v>
      </c>
      <c r="K72" s="553">
        <v>0.18669008492729958</v>
      </c>
      <c r="L72" s="554">
        <v>38091.22</v>
      </c>
      <c r="M72" s="555"/>
      <c r="N72" s="554">
        <v>5284.6170598176195</v>
      </c>
      <c r="O72" s="621" t="s">
        <v>39</v>
      </c>
      <c r="P72" s="553">
        <v>0.12965551825895325</v>
      </c>
      <c r="Q72" s="554">
        <v>30550.040000000005</v>
      </c>
      <c r="R72" s="555"/>
      <c r="S72" s="554">
        <v>7541.1800000000021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1.1750583964248951</v>
      </c>
      <c r="F74" s="554">
        <v>248412.62848490715</v>
      </c>
      <c r="G74" s="621"/>
      <c r="H74" s="553"/>
      <c r="I74" s="554"/>
      <c r="J74" s="621" t="s">
        <v>39</v>
      </c>
      <c r="K74" s="553">
        <v>1.0850850672271066</v>
      </c>
      <c r="L74" s="554">
        <v>221394.80000000002</v>
      </c>
      <c r="M74" s="555"/>
      <c r="N74" s="563">
        <v>-27017.828484907135</v>
      </c>
      <c r="O74" s="621" t="s">
        <v>39</v>
      </c>
      <c r="P74" s="553">
        <v>0.99310912592008649</v>
      </c>
      <c r="Q74" s="554">
        <v>234001.02</v>
      </c>
      <c r="R74" s="555"/>
      <c r="S74" s="563">
        <v>-12606.219999999972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0</v>
      </c>
      <c r="G75" s="545"/>
      <c r="H75" s="486"/>
      <c r="I75" s="543"/>
      <c r="J75" s="502"/>
      <c r="K75" s="486"/>
      <c r="L75" s="507">
        <v>0</v>
      </c>
      <c r="M75" s="502"/>
      <c r="N75" s="505">
        <v>0</v>
      </c>
      <c r="O75" s="502"/>
      <c r="P75" s="486"/>
      <c r="Q75" s="507">
        <v>0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1388.0997122512033</v>
      </c>
      <c r="F78" s="543">
        <v>87450.281871825806</v>
      </c>
      <c r="G78" s="545"/>
      <c r="H78" s="486"/>
      <c r="I78" s="543"/>
      <c r="J78" s="800">
        <v>0.87876037058288237</v>
      </c>
      <c r="K78" s="799">
        <v>1219.8070175438597</v>
      </c>
      <c r="L78" s="507">
        <v>69529</v>
      </c>
      <c r="M78" s="502"/>
      <c r="N78" s="505">
        <v>-17921.281871825806</v>
      </c>
      <c r="O78" s="502"/>
      <c r="P78" s="486"/>
      <c r="Q78" s="507">
        <v>99044.7</v>
      </c>
      <c r="R78" s="502"/>
      <c r="S78" s="505">
        <v>-29515.699999999997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0.95</v>
      </c>
      <c r="E82" s="804">
        <v>474.04999999999995</v>
      </c>
      <c r="F82" s="543">
        <v>28917.049999999996</v>
      </c>
      <c r="G82" s="545"/>
      <c r="H82" s="486"/>
      <c r="I82" s="543"/>
      <c r="J82" s="805">
        <v>0.98067954696868764</v>
      </c>
      <c r="K82" s="804">
        <v>464.84210526315792</v>
      </c>
      <c r="L82" s="507">
        <v>26496</v>
      </c>
      <c r="M82" s="502"/>
      <c r="N82" s="505">
        <v>-2421.0499999999956</v>
      </c>
      <c r="O82" s="502"/>
      <c r="P82" s="486"/>
      <c r="Q82" s="507">
        <v>32586</v>
      </c>
      <c r="R82" s="502"/>
      <c r="S82" s="505">
        <v>-6090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116367.33187182579</v>
      </c>
      <c r="G83" s="621"/>
      <c r="H83" s="553"/>
      <c r="I83" s="554"/>
      <c r="J83" s="621"/>
      <c r="K83" s="553"/>
      <c r="L83" s="554">
        <v>96025</v>
      </c>
      <c r="M83" s="555"/>
      <c r="N83" s="554">
        <v>-20342.331871825801</v>
      </c>
      <c r="O83" s="621"/>
      <c r="P83" s="553"/>
      <c r="Q83" s="554">
        <v>131630.70000000001</v>
      </c>
      <c r="R83" s="555"/>
      <c r="S83" s="554">
        <v>-35605.699999999997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79359.199742759694</v>
      </c>
      <c r="G85" s="575"/>
      <c r="H85" s="808"/>
      <c r="I85" s="574"/>
      <c r="J85" s="575"/>
      <c r="K85" s="573"/>
      <c r="L85" s="574">
        <v>78664.710000000225</v>
      </c>
      <c r="M85" s="575"/>
      <c r="N85" s="574">
        <v>-694.48974275943328</v>
      </c>
      <c r="O85" s="575"/>
      <c r="P85" s="809">
        <v>3.4113030664558008E-2</v>
      </c>
      <c r="Q85" s="574">
        <v>133254.35999999993</v>
      </c>
      <c r="R85" s="575"/>
      <c r="S85" s="574">
        <v>-54589.649999999667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471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3" t="s">
        <v>5</v>
      </c>
      <c r="E91" s="884"/>
      <c r="F91" s="885"/>
      <c r="G91" s="886"/>
      <c r="H91" s="884"/>
      <c r="I91" s="885"/>
      <c r="J91" s="886" t="s">
        <v>7</v>
      </c>
      <c r="K91" s="884"/>
      <c r="L91" s="885"/>
      <c r="M91" s="886" t="s">
        <v>220</v>
      </c>
      <c r="N91" s="885"/>
      <c r="O91" s="883" t="s">
        <v>8</v>
      </c>
      <c r="P91" s="884"/>
      <c r="Q91" s="885"/>
      <c r="R91" s="886" t="s">
        <v>221</v>
      </c>
      <c r="S91" s="885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2037727.6949818912</v>
      </c>
      <c r="G93" s="519"/>
      <c r="H93" s="499"/>
      <c r="I93" s="497"/>
      <c r="J93" s="495"/>
      <c r="K93" s="499"/>
      <c r="L93" s="497">
        <v>1290713.76</v>
      </c>
      <c r="M93" s="578"/>
      <c r="N93" s="579"/>
      <c r="O93" s="495"/>
      <c r="P93" s="499"/>
      <c r="Q93" s="497">
        <v>1785178.63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31</v>
      </c>
      <c r="E94" s="543">
        <v>1400</v>
      </c>
      <c r="F94" s="543">
        <v>43400</v>
      </c>
      <c r="G94" s="506"/>
      <c r="H94" s="543"/>
      <c r="I94" s="543"/>
      <c r="J94" s="506">
        <v>29</v>
      </c>
      <c r="K94" s="543">
        <v>1404.1734482758638</v>
      </c>
      <c r="L94" s="507">
        <v>40721.03000000005</v>
      </c>
      <c r="M94" s="506">
        <v>-2</v>
      </c>
      <c r="N94" s="507">
        <v>-2678.9699999999502</v>
      </c>
      <c r="O94" s="506">
        <v>38</v>
      </c>
      <c r="P94" s="543">
        <v>23.055789473685028</v>
      </c>
      <c r="Q94" s="507">
        <v>876.12000000003104</v>
      </c>
      <c r="R94" s="506">
        <v>-9</v>
      </c>
      <c r="S94" s="507">
        <v>39844.910000000018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4</v>
      </c>
      <c r="E95" s="543">
        <v>1800</v>
      </c>
      <c r="F95" s="543">
        <v>7200</v>
      </c>
      <c r="G95" s="506"/>
      <c r="H95" s="543"/>
      <c r="I95" s="543"/>
      <c r="J95" s="506">
        <v>1</v>
      </c>
      <c r="K95" s="543">
        <v>1376.0299999999993</v>
      </c>
      <c r="L95" s="507">
        <v>1376.0299999999993</v>
      </c>
      <c r="M95" s="506">
        <v>-3</v>
      </c>
      <c r="N95" s="507">
        <v>-5823.9700000000012</v>
      </c>
      <c r="O95" s="506">
        <v>2</v>
      </c>
      <c r="P95" s="543">
        <v>-811.44999999999504</v>
      </c>
      <c r="Q95" s="507">
        <v>-1622.8999999999901</v>
      </c>
      <c r="R95" s="506">
        <v>-1</v>
      </c>
      <c r="S95" s="507">
        <v>2998.9299999999894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5</v>
      </c>
      <c r="E96" s="499">
        <v>1500</v>
      </c>
      <c r="F96" s="543">
        <v>7500</v>
      </c>
      <c r="G96" s="506"/>
      <c r="H96" s="543"/>
      <c r="I96" s="543"/>
      <c r="J96" s="506">
        <v>0</v>
      </c>
      <c r="K96" s="543">
        <v>0</v>
      </c>
      <c r="L96" s="507">
        <v>0</v>
      </c>
      <c r="M96" s="506">
        <v>-5</v>
      </c>
      <c r="N96" s="507">
        <v>-7500</v>
      </c>
      <c r="O96" s="506">
        <v>0</v>
      </c>
      <c r="P96" s="543">
        <v>0</v>
      </c>
      <c r="Q96" s="507">
        <v>0</v>
      </c>
      <c r="R96" s="506">
        <v>0</v>
      </c>
      <c r="S96" s="507">
        <v>0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40</v>
      </c>
      <c r="E97" s="543">
        <v>1452.5</v>
      </c>
      <c r="F97" s="581">
        <v>58100</v>
      </c>
      <c r="G97" s="512"/>
      <c r="H97" s="580"/>
      <c r="I97" s="581"/>
      <c r="J97" s="512">
        <v>30</v>
      </c>
      <c r="K97" s="580">
        <v>1403.2353333333349</v>
      </c>
      <c r="L97" s="581">
        <v>42097.060000000049</v>
      </c>
      <c r="M97" s="512">
        <v>-10</v>
      </c>
      <c r="N97" s="581">
        <v>-16002.939999999951</v>
      </c>
      <c r="O97" s="512">
        <v>40</v>
      </c>
      <c r="P97" s="580">
        <v>-18.669499999998976</v>
      </c>
      <c r="Q97" s="581">
        <v>-746.77999999995905</v>
      </c>
      <c r="R97" s="512">
        <v>-10</v>
      </c>
      <c r="S97" s="581">
        <v>42843.840000000011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-0.25</v>
      </c>
      <c r="N98" s="815">
        <v>-0.27543786574870827</v>
      </c>
      <c r="O98" s="502"/>
      <c r="P98" s="486">
        <v>0</v>
      </c>
      <c r="Q98" s="527"/>
      <c r="R98" s="814">
        <v>-0.25</v>
      </c>
      <c r="S98" s="815">
        <v>-57.371434692951553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44</v>
      </c>
      <c r="E100" s="543">
        <v>400</v>
      </c>
      <c r="F100" s="543">
        <v>17600</v>
      </c>
      <c r="G100" s="506"/>
      <c r="H100" s="543"/>
      <c r="I100" s="543"/>
      <c r="J100" s="506">
        <v>26</v>
      </c>
      <c r="K100" s="543">
        <v>637.83153846153823</v>
      </c>
      <c r="L100" s="507">
        <v>16583.619999999995</v>
      </c>
      <c r="M100" s="506">
        <v>-18</v>
      </c>
      <c r="N100" s="507">
        <v>-1016.3800000000047</v>
      </c>
      <c r="O100" s="506">
        <v>47</v>
      </c>
      <c r="P100" s="543">
        <v>-663.50468085106388</v>
      </c>
      <c r="Q100" s="507">
        <v>-31184.720000000001</v>
      </c>
      <c r="R100" s="506">
        <v>-21</v>
      </c>
      <c r="S100" s="507">
        <v>47768.34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24000</v>
      </c>
      <c r="G102" s="506"/>
      <c r="H102" s="543"/>
      <c r="I102" s="543"/>
      <c r="J102" s="506"/>
      <c r="K102" s="543">
        <v>357.35966666666667</v>
      </c>
      <c r="L102" s="507">
        <v>10720.79</v>
      </c>
      <c r="M102" s="506"/>
      <c r="N102" s="507">
        <v>-13279.21</v>
      </c>
      <c r="O102" s="506"/>
      <c r="P102" s="543"/>
      <c r="Q102" s="507">
        <v>10569.46</v>
      </c>
      <c r="R102" s="506">
        <v>-357.35966666666667</v>
      </c>
      <c r="S102" s="507">
        <v>151.33000000000175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50000</v>
      </c>
      <c r="G103" s="506"/>
      <c r="H103" s="543"/>
      <c r="I103" s="543"/>
      <c r="J103" s="506"/>
      <c r="K103" s="543">
        <v>1630.4856666666667</v>
      </c>
      <c r="L103" s="507">
        <v>48914.57</v>
      </c>
      <c r="M103" s="506"/>
      <c r="N103" s="507">
        <v>-1085.4300000000003</v>
      </c>
      <c r="O103" s="506"/>
      <c r="P103" s="543"/>
      <c r="Q103" s="507">
        <v>69528.23</v>
      </c>
      <c r="R103" s="506">
        <v>-1630.4856666666667</v>
      </c>
      <c r="S103" s="507">
        <v>-20613.659999999996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2000</v>
      </c>
      <c r="G104" s="506"/>
      <c r="H104" s="499"/>
      <c r="I104" s="543"/>
      <c r="J104" s="506"/>
      <c r="K104" s="499">
        <v>40.291000000000004</v>
      </c>
      <c r="L104" s="507">
        <v>1208.73</v>
      </c>
      <c r="M104" s="519"/>
      <c r="N104" s="507">
        <v>-791.27</v>
      </c>
      <c r="O104" s="506"/>
      <c r="P104" s="499"/>
      <c r="Q104" s="507">
        <v>1317.61</v>
      </c>
      <c r="R104" s="506">
        <v>-40.291000000000004</v>
      </c>
      <c r="S104" s="507">
        <v>-108.87999999999988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40</v>
      </c>
      <c r="E105" s="543">
        <v>1900</v>
      </c>
      <c r="F105" s="581">
        <v>76000</v>
      </c>
      <c r="G105" s="512"/>
      <c r="H105" s="580"/>
      <c r="I105" s="581"/>
      <c r="J105" s="512">
        <v>30</v>
      </c>
      <c r="K105" s="580">
        <v>2028.1363333333334</v>
      </c>
      <c r="L105" s="581">
        <v>60844.090000000004</v>
      </c>
      <c r="M105" s="506">
        <v>-10</v>
      </c>
      <c r="N105" s="581">
        <v>-15155.909999999996</v>
      </c>
      <c r="O105" s="512">
        <v>40</v>
      </c>
      <c r="P105" s="580">
        <v>2035.3825000000002</v>
      </c>
      <c r="Q105" s="581">
        <v>81415.3</v>
      </c>
      <c r="R105" s="525"/>
      <c r="S105" s="581">
        <v>-20571.21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-0.19941986842105258</v>
      </c>
      <c r="O106" s="502"/>
      <c r="P106" s="486"/>
      <c r="Q106" s="505"/>
      <c r="R106" s="504"/>
      <c r="S106" s="514">
        <v>-0.25267007552634452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84</v>
      </c>
      <c r="E108" s="530">
        <v>1805.952380952381</v>
      </c>
      <c r="F108" s="531">
        <v>151700</v>
      </c>
      <c r="G108" s="532"/>
      <c r="H108" s="817"/>
      <c r="I108" s="531"/>
      <c r="J108" s="532">
        <v>56</v>
      </c>
      <c r="K108" s="530">
        <v>2134.3708928571436</v>
      </c>
      <c r="L108" s="531">
        <v>119524.77000000005</v>
      </c>
      <c r="M108" s="532">
        <v>-28</v>
      </c>
      <c r="N108" s="531">
        <v>-32175.229999999952</v>
      </c>
      <c r="O108" s="532">
        <v>87</v>
      </c>
      <c r="P108" s="530">
        <v>568.7793103448281</v>
      </c>
      <c r="Q108" s="531">
        <v>49483.800000000047</v>
      </c>
      <c r="R108" s="532">
        <v>-31</v>
      </c>
      <c r="S108" s="531">
        <v>70040.97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0.78790224126565622</v>
      </c>
      <c r="M109" s="537">
        <v>-0.33333333333333331</v>
      </c>
      <c r="N109" s="536">
        <v>-0.21209775873434378</v>
      </c>
      <c r="O109" s="533"/>
      <c r="P109" s="534"/>
      <c r="Q109" s="535"/>
      <c r="R109" s="818">
        <v>-2.806451612903226</v>
      </c>
      <c r="S109" s="585">
        <v>1.4154323233058079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0.34107937332696203</v>
      </c>
      <c r="E112" s="503">
        <v>495.41778975741238</v>
      </c>
      <c r="F112" s="543">
        <v>19816.711590296494</v>
      </c>
      <c r="G112" s="587"/>
      <c r="H112" s="503"/>
      <c r="I112" s="543"/>
      <c r="J112" s="587">
        <v>0.39383439128528169</v>
      </c>
      <c r="K112" s="503">
        <v>552.64233333333334</v>
      </c>
      <c r="L112" s="507">
        <v>16579.27</v>
      </c>
      <c r="M112" s="502"/>
      <c r="N112" s="505">
        <v>-3237.4415902964938</v>
      </c>
      <c r="O112" s="792">
        <v>-29.245346688450677</v>
      </c>
      <c r="P112" s="503">
        <v>545.99599999999998</v>
      </c>
      <c r="Q112" s="507">
        <v>21839.84</v>
      </c>
      <c r="R112" s="502"/>
      <c r="S112" s="505">
        <v>-5260.57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22800</v>
      </c>
      <c r="G113" s="588"/>
      <c r="H113" s="516"/>
      <c r="I113" s="497"/>
      <c r="J113" s="588">
        <v>0.29999183158134174</v>
      </c>
      <c r="K113" s="516">
        <v>608.42433333333327</v>
      </c>
      <c r="L113" s="507">
        <v>18252.73</v>
      </c>
      <c r="M113" s="495"/>
      <c r="N113" s="517">
        <v>-4547.2700000000004</v>
      </c>
      <c r="O113" s="794">
        <v>0.26739044044959071</v>
      </c>
      <c r="P113" s="516">
        <v>610.62149999999997</v>
      </c>
      <c r="Q113" s="507">
        <v>24424.86</v>
      </c>
      <c r="R113" s="495"/>
      <c r="S113" s="517">
        <v>-6172.130000000001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320</v>
      </c>
      <c r="G114" s="545"/>
      <c r="H114" s="503"/>
      <c r="I114" s="543"/>
      <c r="J114" s="502"/>
      <c r="K114" s="503">
        <v>-60.936</v>
      </c>
      <c r="L114" s="524">
        <v>-1828.08</v>
      </c>
      <c r="M114" s="502"/>
      <c r="N114" s="505">
        <v>-2148.08</v>
      </c>
      <c r="O114" s="502"/>
      <c r="P114" s="503">
        <v>68.48875000000001</v>
      </c>
      <c r="Q114" s="524">
        <v>2739.55</v>
      </c>
      <c r="R114" s="502"/>
      <c r="S114" s="505">
        <v>-4567.63</v>
      </c>
      <c r="T114" s="486"/>
      <c r="U114" s="485" t="s">
        <v>483</v>
      </c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1800</v>
      </c>
      <c r="G115" s="545"/>
      <c r="H115" s="503"/>
      <c r="I115" s="543"/>
      <c r="J115" s="502"/>
      <c r="K115" s="503">
        <v>89.722999999999999</v>
      </c>
      <c r="L115" s="507">
        <v>2691.69</v>
      </c>
      <c r="M115" s="502"/>
      <c r="N115" s="505">
        <v>891.69</v>
      </c>
      <c r="O115" s="502"/>
      <c r="P115" s="503">
        <v>-9.7462499999999999</v>
      </c>
      <c r="Q115" s="507">
        <v>-389.85</v>
      </c>
      <c r="R115" s="502"/>
      <c r="S115" s="505">
        <v>3081.54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6400</v>
      </c>
      <c r="G116" s="547"/>
      <c r="H116" s="516"/>
      <c r="I116" s="497"/>
      <c r="J116" s="495"/>
      <c r="K116" s="516">
        <v>143.59433333333334</v>
      </c>
      <c r="L116" s="497">
        <v>4307.83</v>
      </c>
      <c r="M116" s="495"/>
      <c r="N116" s="517">
        <v>-2092.17</v>
      </c>
      <c r="O116" s="495"/>
      <c r="P116" s="516">
        <v>125.50174999999999</v>
      </c>
      <c r="Q116" s="497">
        <v>5020.07</v>
      </c>
      <c r="R116" s="495"/>
      <c r="S116" s="517">
        <v>-712.23999999999978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282.05</v>
      </c>
      <c r="F117" s="543">
        <v>11282</v>
      </c>
      <c r="G117" s="545"/>
      <c r="H117" s="503"/>
      <c r="I117" s="543"/>
      <c r="J117" s="502"/>
      <c r="K117" s="503">
        <v>389.327</v>
      </c>
      <c r="L117" s="507">
        <v>11679.81</v>
      </c>
      <c r="M117" s="502"/>
      <c r="N117" s="505">
        <v>397.80999999999949</v>
      </c>
      <c r="O117" s="502"/>
      <c r="P117" s="503">
        <v>253.96025</v>
      </c>
      <c r="Q117" s="507">
        <v>10158.41</v>
      </c>
      <c r="R117" s="502"/>
      <c r="S117" s="505">
        <v>1521.3999999999996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201.80243858381502</v>
      </c>
      <c r="F118" s="543">
        <v>8072.097543352601</v>
      </c>
      <c r="G118" s="545"/>
      <c r="H118" s="503"/>
      <c r="I118" s="543"/>
      <c r="J118" s="502"/>
      <c r="K118" s="503">
        <v>136.03866666666667</v>
      </c>
      <c r="L118" s="507">
        <v>4081.16</v>
      </c>
      <c r="M118" s="502"/>
      <c r="N118" s="505">
        <v>-3990.9375433526011</v>
      </c>
      <c r="O118" s="502"/>
      <c r="P118" s="503">
        <v>103.20374999999999</v>
      </c>
      <c r="Q118" s="507">
        <v>4128.1499999999996</v>
      </c>
      <c r="R118" s="502"/>
      <c r="S118" s="505">
        <v>-46.989999999999782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0.46467243990539941</v>
      </c>
      <c r="F122" s="554">
        <v>70490.809133649091</v>
      </c>
      <c r="G122" s="621"/>
      <c r="H122" s="553"/>
      <c r="I122" s="554"/>
      <c r="J122" s="621" t="s">
        <v>39</v>
      </c>
      <c r="K122" s="553">
        <v>0.46655107556366754</v>
      </c>
      <c r="L122" s="554">
        <v>55764.41</v>
      </c>
      <c r="M122" s="555"/>
      <c r="N122" s="554">
        <v>-14726.399133649087</v>
      </c>
      <c r="O122" s="621" t="s">
        <v>39</v>
      </c>
      <c r="P122" s="553">
        <v>1.3725912318779061</v>
      </c>
      <c r="Q122" s="554">
        <v>67921.03</v>
      </c>
      <c r="R122" s="555"/>
      <c r="S122" s="554">
        <v>-12156.619999999995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10460.983974358975</v>
      </c>
      <c r="G123" s="502"/>
      <c r="H123" s="486"/>
      <c r="I123" s="543"/>
      <c r="J123" s="502"/>
      <c r="K123" s="486"/>
      <c r="L123" s="507">
        <v>7373.01</v>
      </c>
      <c r="M123" s="502"/>
      <c r="N123" s="505">
        <v>-3087.9739743589744</v>
      </c>
      <c r="O123" s="502"/>
      <c r="P123" s="486"/>
      <c r="Q123" s="507">
        <v>11393</v>
      </c>
      <c r="R123" s="502"/>
      <c r="S123" s="505">
        <v>-4019.99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10493.323076923078</v>
      </c>
      <c r="G124" s="545"/>
      <c r="H124" s="486"/>
      <c r="I124" s="497"/>
      <c r="J124" s="502"/>
      <c r="K124" s="486"/>
      <c r="L124" s="497">
        <v>2166.67</v>
      </c>
      <c r="M124" s="502"/>
      <c r="N124" s="505">
        <v>-8326.6530769230776</v>
      </c>
      <c r="O124" s="502"/>
      <c r="P124" s="486"/>
      <c r="Q124" s="497">
        <v>1971.71</v>
      </c>
      <c r="R124" s="502"/>
      <c r="S124" s="505">
        <v>194.96000000000004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4181.1153846153848</v>
      </c>
      <c r="G125" s="560"/>
      <c r="H125" s="559"/>
      <c r="I125" s="543"/>
      <c r="J125" s="488"/>
      <c r="K125" s="559"/>
      <c r="L125" s="507">
        <v>5875.5</v>
      </c>
      <c r="M125" s="488"/>
      <c r="N125" s="523">
        <v>1694.3846153846152</v>
      </c>
      <c r="O125" s="488"/>
      <c r="P125" s="559"/>
      <c r="Q125" s="507">
        <v>6473.02</v>
      </c>
      <c r="R125" s="488"/>
      <c r="S125" s="523">
        <v>-597.52000000000044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9745.1404849358969</v>
      </c>
      <c r="G130" s="545"/>
      <c r="H130" s="486"/>
      <c r="I130" s="543"/>
      <c r="J130" s="502"/>
      <c r="K130" s="486"/>
      <c r="L130" s="507">
        <v>9327.2199999999993</v>
      </c>
      <c r="M130" s="502"/>
      <c r="N130" s="505">
        <v>-417.92048493589755</v>
      </c>
      <c r="O130" s="502"/>
      <c r="P130" s="486"/>
      <c r="Q130" s="507">
        <v>9125.73</v>
      </c>
      <c r="R130" s="502"/>
      <c r="S130" s="505">
        <v>201.48999999999978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11848.717065384617</v>
      </c>
      <c r="G131" s="560"/>
      <c r="H131" s="559"/>
      <c r="I131" s="589"/>
      <c r="J131" s="488"/>
      <c r="K131" s="559"/>
      <c r="L131" s="524">
        <v>11184.74</v>
      </c>
      <c r="M131" s="488"/>
      <c r="N131" s="523">
        <v>-663.97706538461716</v>
      </c>
      <c r="O131" s="488"/>
      <c r="P131" s="559"/>
      <c r="Q131" s="524">
        <v>6559.76</v>
      </c>
      <c r="R131" s="488"/>
      <c r="S131" s="523">
        <v>4624.9799999999996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6104.6650967307687</v>
      </c>
      <c r="G132" s="545"/>
      <c r="H132" s="486"/>
      <c r="I132" s="543"/>
      <c r="J132" s="502"/>
      <c r="K132" s="486"/>
      <c r="L132" s="507">
        <v>6075.35</v>
      </c>
      <c r="M132" s="502"/>
      <c r="N132" s="505">
        <v>-29.315096730768346</v>
      </c>
      <c r="O132" s="502"/>
      <c r="P132" s="486"/>
      <c r="Q132" s="507">
        <v>1379</v>
      </c>
      <c r="R132" s="502"/>
      <c r="S132" s="505">
        <v>4696.3500000000004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2661.6683262820511</v>
      </c>
      <c r="G133" s="545"/>
      <c r="H133" s="486"/>
      <c r="I133" s="543"/>
      <c r="J133" s="502"/>
      <c r="K133" s="486"/>
      <c r="L133" s="507">
        <v>1387.06</v>
      </c>
      <c r="M133" s="502"/>
      <c r="N133" s="505">
        <v>-1274.6083262820512</v>
      </c>
      <c r="O133" s="502"/>
      <c r="P133" s="486"/>
      <c r="Q133" s="507">
        <v>1120.67</v>
      </c>
      <c r="R133" s="502"/>
      <c r="S133" s="505">
        <v>266.38999999999987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0.36582474231529843</v>
      </c>
      <c r="F135" s="554">
        <v>55495.613409230769</v>
      </c>
      <c r="G135" s="621"/>
      <c r="H135" s="553"/>
      <c r="I135" s="554"/>
      <c r="J135" s="621" t="s">
        <v>39</v>
      </c>
      <c r="K135" s="553">
        <v>0.36301722228789879</v>
      </c>
      <c r="L135" s="554">
        <v>43389.549999999996</v>
      </c>
      <c r="M135" s="590"/>
      <c r="N135" s="563">
        <v>-12106.063409230774</v>
      </c>
      <c r="O135" s="621" t="s">
        <v>39</v>
      </c>
      <c r="P135" s="553">
        <v>0.76839066522781119</v>
      </c>
      <c r="Q135" s="554">
        <v>38022.89</v>
      </c>
      <c r="R135" s="590"/>
      <c r="S135" s="563">
        <v>5366.6599999999962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1826.88</v>
      </c>
      <c r="M138" s="495"/>
      <c r="N138" s="517">
        <v>542.72671111111117</v>
      </c>
      <c r="O138" s="495"/>
      <c r="P138" s="561"/>
      <c r="Q138" s="497">
        <v>829.56</v>
      </c>
      <c r="R138" s="495"/>
      <c r="S138" s="517">
        <v>997.32000000000016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3875.95</v>
      </c>
      <c r="M139" s="502"/>
      <c r="N139" s="505">
        <v>118.26437730666748</v>
      </c>
      <c r="O139" s="502"/>
      <c r="P139" s="486"/>
      <c r="Q139" s="507">
        <v>4193.7</v>
      </c>
      <c r="R139" s="502"/>
      <c r="S139" s="505">
        <v>-317.75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481.14</v>
      </c>
      <c r="M140" s="502"/>
      <c r="N140" s="505">
        <v>-74.530243774049609</v>
      </c>
      <c r="O140" s="502"/>
      <c r="P140" s="486"/>
      <c r="Q140" s="507">
        <v>280.52</v>
      </c>
      <c r="R140" s="502"/>
      <c r="S140" s="505">
        <v>200.62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2496.9699999999998</v>
      </c>
      <c r="M141" s="495"/>
      <c r="N141" s="517">
        <v>1098.1205359463422</v>
      </c>
      <c r="O141" s="495"/>
      <c r="P141" s="561"/>
      <c r="Q141" s="497">
        <v>1199.7</v>
      </c>
      <c r="R141" s="495"/>
      <c r="S141" s="517">
        <v>1297.2699999999998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0</v>
      </c>
      <c r="R142" s="502"/>
      <c r="S142" s="505">
        <v>0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392.75</v>
      </c>
      <c r="M144" s="502"/>
      <c r="N144" s="505">
        <v>69.130602624080041</v>
      </c>
      <c r="O144" s="502"/>
      <c r="P144" s="486"/>
      <c r="Q144" s="507">
        <v>332.05</v>
      </c>
      <c r="R144" s="502"/>
      <c r="S144" s="505">
        <v>60.699999999999989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70.14</v>
      </c>
      <c r="M145" s="502"/>
      <c r="N145" s="505">
        <v>7.3754451557566725</v>
      </c>
      <c r="O145" s="502"/>
      <c r="P145" s="486"/>
      <c r="Q145" s="507">
        <v>41.59</v>
      </c>
      <c r="R145" s="502"/>
      <c r="S145" s="505">
        <v>28.549999999999997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79.180000000000007</v>
      </c>
      <c r="M146" s="502"/>
      <c r="N146" s="505">
        <v>30.963155861843347</v>
      </c>
      <c r="O146" s="502"/>
      <c r="P146" s="486"/>
      <c r="Q146" s="507">
        <v>3.96</v>
      </c>
      <c r="R146" s="502"/>
      <c r="S146" s="505">
        <v>75.220000000000013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41.88</v>
      </c>
      <c r="M147" s="502"/>
      <c r="N147" s="505">
        <v>-65.471617437976676</v>
      </c>
      <c r="O147" s="502"/>
      <c r="P147" s="486"/>
      <c r="Q147" s="507">
        <v>39.49</v>
      </c>
      <c r="R147" s="502"/>
      <c r="S147" s="505">
        <v>2.3900000000000006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-16.37</v>
      </c>
      <c r="M148" s="502"/>
      <c r="N148" s="505">
        <v>-234.83437169698485</v>
      </c>
      <c r="O148" s="502"/>
      <c r="P148" s="486"/>
      <c r="Q148" s="507">
        <v>119.28</v>
      </c>
      <c r="R148" s="502"/>
      <c r="S148" s="505">
        <v>-135.65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901.5771308274592</v>
      </c>
      <c r="G149" s="545"/>
      <c r="H149" s="486"/>
      <c r="I149" s="543"/>
      <c r="J149" s="502"/>
      <c r="K149" s="486"/>
      <c r="L149" s="507">
        <v>1013.26</v>
      </c>
      <c r="M149" s="502"/>
      <c r="N149" s="505">
        <v>111.68286917254079</v>
      </c>
      <c r="O149" s="502"/>
      <c r="P149" s="486"/>
      <c r="Q149" s="507">
        <v>1070.47</v>
      </c>
      <c r="R149" s="502"/>
      <c r="S149" s="505">
        <v>-57.210000000000036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5.7815236667088557E-2</v>
      </c>
      <c r="F153" s="554">
        <v>8770.5714023973342</v>
      </c>
      <c r="G153" s="621"/>
      <c r="H153" s="553"/>
      <c r="I153" s="554"/>
      <c r="J153" s="621" t="s">
        <v>39</v>
      </c>
      <c r="K153" s="553">
        <v>8.5854839963297944E-2</v>
      </c>
      <c r="L153" s="554">
        <v>10261.779999999999</v>
      </c>
      <c r="M153" s="555"/>
      <c r="N153" s="554">
        <v>1491.2085976026647</v>
      </c>
      <c r="O153" s="621" t="s">
        <v>39</v>
      </c>
      <c r="P153" s="553">
        <v>0.16389848799000872</v>
      </c>
      <c r="Q153" s="554">
        <v>8110.3200000000006</v>
      </c>
      <c r="R153" s="555"/>
      <c r="S153" s="554">
        <v>2151.4599999999982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0.88831241888778634</v>
      </c>
      <c r="F155" s="554">
        <v>134756.99394527718</v>
      </c>
      <c r="G155" s="621"/>
      <c r="H155" s="553"/>
      <c r="I155" s="554"/>
      <c r="J155" s="621" t="s">
        <v>39</v>
      </c>
      <c r="K155" s="553">
        <v>0.91542313781486417</v>
      </c>
      <c r="L155" s="554">
        <v>109415.73999999999</v>
      </c>
      <c r="M155" s="555"/>
      <c r="N155" s="563">
        <v>-25341.253945277189</v>
      </c>
      <c r="O155" s="621" t="s">
        <v>39</v>
      </c>
      <c r="P155" s="553">
        <v>2.3048803850957262</v>
      </c>
      <c r="Q155" s="554">
        <v>114054.24</v>
      </c>
      <c r="R155" s="555"/>
      <c r="S155" s="563">
        <v>-4638.5000000000146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0.79968354430379751</v>
      </c>
      <c r="E159" s="804">
        <v>379.05</v>
      </c>
      <c r="F159" s="543">
        <v>15162</v>
      </c>
      <c r="G159" s="545"/>
      <c r="H159" s="486"/>
      <c r="I159" s="543"/>
      <c r="J159" s="805">
        <v>0.9888185654008439</v>
      </c>
      <c r="K159" s="804">
        <v>468.7</v>
      </c>
      <c r="L159" s="507">
        <v>14061</v>
      </c>
      <c r="M159" s="502"/>
      <c r="N159" s="505">
        <v>-1101</v>
      </c>
      <c r="O159" s="502"/>
      <c r="P159" s="486"/>
      <c r="Q159" s="507">
        <v>10877</v>
      </c>
      <c r="R159" s="502"/>
      <c r="S159" s="505">
        <v>3184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15162</v>
      </c>
      <c r="G163" s="621"/>
      <c r="H163" s="553"/>
      <c r="I163" s="554"/>
      <c r="J163" s="621"/>
      <c r="K163" s="553"/>
      <c r="L163" s="554">
        <v>14061</v>
      </c>
      <c r="M163" s="555"/>
      <c r="N163" s="554">
        <v>-1101</v>
      </c>
      <c r="O163" s="621"/>
      <c r="P163" s="553"/>
      <c r="Q163" s="554">
        <v>10877</v>
      </c>
      <c r="R163" s="555"/>
      <c r="S163" s="554">
        <v>3184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32105.00605472282</v>
      </c>
      <c r="G165" s="622"/>
      <c r="H165" s="573"/>
      <c r="I165" s="574"/>
      <c r="J165" s="572"/>
      <c r="K165" s="808"/>
      <c r="L165" s="574">
        <v>24170.030000000057</v>
      </c>
      <c r="M165" s="572"/>
      <c r="N165" s="574">
        <v>-7934.9760547227634</v>
      </c>
      <c r="O165" s="572"/>
      <c r="P165" s="809">
        <v>-3.0077348618048359E-2</v>
      </c>
      <c r="Q165" s="574">
        <v>-53693.439999999959</v>
      </c>
      <c r="R165" s="572"/>
      <c r="S165" s="574">
        <v>77863.470000000016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471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3" t="s">
        <v>5</v>
      </c>
      <c r="E170" s="884"/>
      <c r="F170" s="885"/>
      <c r="G170" s="886"/>
      <c r="H170" s="884"/>
      <c r="I170" s="885"/>
      <c r="J170" s="886" t="s">
        <v>7</v>
      </c>
      <c r="K170" s="884"/>
      <c r="L170" s="885"/>
      <c r="M170" s="886" t="s">
        <v>220</v>
      </c>
      <c r="N170" s="885"/>
      <c r="O170" s="883" t="s">
        <v>8</v>
      </c>
      <c r="P170" s="884"/>
      <c r="Q170" s="885"/>
      <c r="R170" s="886" t="s">
        <v>221</v>
      </c>
      <c r="S170" s="885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641.572</v>
      </c>
      <c r="E172" s="503">
        <v>218134.47999999998</v>
      </c>
      <c r="F172" s="503">
        <v>170144.89439999999</v>
      </c>
      <c r="G172" s="504"/>
      <c r="H172" s="503"/>
      <c r="I172" s="503"/>
      <c r="J172" s="504">
        <v>670</v>
      </c>
      <c r="K172" s="543">
        <v>205475.49</v>
      </c>
      <c r="L172" s="507">
        <v>158789.87</v>
      </c>
      <c r="M172" s="587">
        <v>-5.8032962051666435E-2</v>
      </c>
      <c r="N172" s="505">
        <v>-11355.024399999995</v>
      </c>
      <c r="O172" s="504">
        <v>672</v>
      </c>
      <c r="P172" s="543">
        <v>204973.06</v>
      </c>
      <c r="Q172" s="507">
        <v>164440.97</v>
      </c>
      <c r="R172" s="587">
        <v>0.99702380952380953</v>
      </c>
      <c r="S172" s="505">
        <v>-5651.1000000000058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0.78</v>
      </c>
      <c r="G173" s="504"/>
      <c r="H173" s="584"/>
      <c r="I173" s="597"/>
      <c r="J173" s="504"/>
      <c r="K173" s="486"/>
      <c r="L173" s="597">
        <v>0.77279226831385095</v>
      </c>
      <c r="M173" s="587"/>
      <c r="N173" s="505"/>
      <c r="O173" s="504"/>
      <c r="P173" s="486"/>
      <c r="Q173" s="597">
        <v>0.80225650141535676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339.99999999999994</v>
      </c>
      <c r="F174" s="599"/>
      <c r="G174" s="521"/>
      <c r="H174" s="598"/>
      <c r="I174" s="599"/>
      <c r="J174" s="521"/>
      <c r="K174" s="598">
        <v>306.67983582089551</v>
      </c>
      <c r="L174" s="599"/>
      <c r="M174" s="588"/>
      <c r="N174" s="517"/>
      <c r="O174" s="521"/>
      <c r="P174" s="598">
        <v>305.01943452380954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123.3</v>
      </c>
      <c r="E175" s="503">
        <v>33291</v>
      </c>
      <c r="F175" s="503">
        <v>21306.240000000002</v>
      </c>
      <c r="G175" s="600"/>
      <c r="H175" s="503"/>
      <c r="I175" s="503"/>
      <c r="J175" s="600">
        <v>178</v>
      </c>
      <c r="K175" s="589">
        <v>42881.71</v>
      </c>
      <c r="L175" s="507">
        <v>25065.75</v>
      </c>
      <c r="M175" s="587">
        <v>0.28808717070679762</v>
      </c>
      <c r="N175" s="523">
        <v>3759.5099999999984</v>
      </c>
      <c r="O175" s="600">
        <v>121</v>
      </c>
      <c r="P175" s="589">
        <v>35390.559999999998</v>
      </c>
      <c r="Q175" s="507">
        <v>23971.609999999899</v>
      </c>
      <c r="R175" s="587">
        <v>1.4710743801652892</v>
      </c>
      <c r="S175" s="505">
        <v>1094.1400000001013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0.58453242652869952</v>
      </c>
      <c r="M176" s="513"/>
      <c r="N176" s="514"/>
      <c r="O176" s="502"/>
      <c r="P176" s="486"/>
      <c r="Q176" s="597">
        <v>0.67734474956033197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240.9084831460674</v>
      </c>
      <c r="L177" s="599"/>
      <c r="M177" s="588"/>
      <c r="N177" s="517"/>
      <c r="O177" s="521"/>
      <c r="P177" s="598">
        <v>292.48396694214875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232.77099999999999</v>
      </c>
      <c r="E178" s="503">
        <v>71465.352419999996</v>
      </c>
      <c r="F178" s="503">
        <v>52884.360790799998</v>
      </c>
      <c r="G178" s="504"/>
      <c r="H178" s="503"/>
      <c r="I178" s="503"/>
      <c r="J178" s="504">
        <v>247</v>
      </c>
      <c r="K178" s="589">
        <v>87494.05</v>
      </c>
      <c r="L178" s="507">
        <v>66932.45</v>
      </c>
      <c r="M178" s="587">
        <v>0.22428627351894626</v>
      </c>
      <c r="N178" s="505">
        <v>14048.089209199999</v>
      </c>
      <c r="O178" s="504">
        <v>264</v>
      </c>
      <c r="P178" s="589">
        <v>81821.48</v>
      </c>
      <c r="Q178" s="507">
        <v>63739.039999999899</v>
      </c>
      <c r="R178" s="587">
        <v>0.93560606060606055</v>
      </c>
      <c r="S178" s="505">
        <v>3193.4100000000981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0.76499430532704793</v>
      </c>
      <c r="M179" s="587"/>
      <c r="N179" s="505">
        <v>2.4994305327047939E-2</v>
      </c>
      <c r="O179" s="504"/>
      <c r="P179" s="584"/>
      <c r="Q179" s="597">
        <v>0.77900130870279904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354.22692307692307</v>
      </c>
      <c r="L180" s="599"/>
      <c r="M180" s="588"/>
      <c r="N180" s="517"/>
      <c r="O180" s="521"/>
      <c r="P180" s="598">
        <v>309.92984848484849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107.38800000000001</v>
      </c>
      <c r="E181" s="503">
        <v>28994.760000000002</v>
      </c>
      <c r="F181" s="503">
        <v>21746.07</v>
      </c>
      <c r="G181" s="600"/>
      <c r="H181" s="503"/>
      <c r="I181" s="503"/>
      <c r="J181" s="600">
        <v>0</v>
      </c>
      <c r="K181" s="589">
        <v>23911.63</v>
      </c>
      <c r="L181" s="524">
        <v>19209.34</v>
      </c>
      <c r="M181" s="603">
        <v>-0.17531202189637027</v>
      </c>
      <c r="N181" s="523">
        <v>-2536.7299999999996</v>
      </c>
      <c r="O181" s="600">
        <v>0</v>
      </c>
      <c r="P181" s="589">
        <v>27206.52</v>
      </c>
      <c r="Q181" s="524">
        <v>17588.689999999999</v>
      </c>
      <c r="R181" s="587">
        <v>0</v>
      </c>
      <c r="S181" s="523">
        <v>1620.6500000000015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0.74999999999999989</v>
      </c>
      <c r="G182" s="520"/>
      <c r="H182" s="604"/>
      <c r="I182" s="597"/>
      <c r="J182" s="605"/>
      <c r="K182" s="604">
        <v>0</v>
      </c>
      <c r="L182" s="597">
        <v>0.80334715784745747</v>
      </c>
      <c r="M182" s="504">
        <v>0</v>
      </c>
      <c r="N182" s="568"/>
      <c r="O182" s="605"/>
      <c r="P182" s="604"/>
      <c r="Q182" s="597">
        <v>0.64648804771797341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-4075.8992150135141</v>
      </c>
      <c r="G184" s="502"/>
      <c r="H184" s="503"/>
      <c r="I184" s="503"/>
      <c r="J184" s="504"/>
      <c r="K184" s="503"/>
      <c r="L184" s="503">
        <v>-1048.6300000000001</v>
      </c>
      <c r="M184" s="605"/>
      <c r="N184" s="505">
        <v>3027.269215013514</v>
      </c>
      <c r="O184" s="504"/>
      <c r="P184" s="503"/>
      <c r="Q184" s="507">
        <v>-2141.9499999999998</v>
      </c>
      <c r="R184" s="607"/>
      <c r="S184" s="505">
        <v>1093.3199999999997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1105.0309999999999</v>
      </c>
      <c r="E185" s="609">
        <v>351885.59242</v>
      </c>
      <c r="F185" s="610">
        <v>262005.66597578648</v>
      </c>
      <c r="G185" s="823"/>
      <c r="H185" s="609"/>
      <c r="I185" s="610"/>
      <c r="J185" s="823">
        <v>1095</v>
      </c>
      <c r="K185" s="609">
        <v>359762.88</v>
      </c>
      <c r="L185" s="610">
        <v>268948.78000000003</v>
      </c>
      <c r="M185" s="824">
        <v>2.2385933808275707E-2</v>
      </c>
      <c r="N185" s="610">
        <v>6943.1140242135443</v>
      </c>
      <c r="O185" s="823">
        <v>1057</v>
      </c>
      <c r="P185" s="609">
        <v>349391.62</v>
      </c>
      <c r="Q185" s="610">
        <v>267598.35999999975</v>
      </c>
      <c r="R185" s="513">
        <v>1.0359508041627248</v>
      </c>
      <c r="S185" s="610">
        <v>1350.4200000002747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0.74457628166561718</v>
      </c>
      <c r="G186" s="614"/>
      <c r="H186" s="825"/>
      <c r="I186" s="514"/>
      <c r="J186" s="614"/>
      <c r="K186" s="825">
        <v>328.55057534246578</v>
      </c>
      <c r="L186" s="514">
        <v>0.74757234542930062</v>
      </c>
      <c r="M186" s="614"/>
      <c r="N186" s="613">
        <v>2.6499862124566419E-2</v>
      </c>
      <c r="O186" s="614"/>
      <c r="P186" s="825">
        <v>330.55025543992429</v>
      </c>
      <c r="Q186" s="514">
        <v>0.76589804872824296</v>
      </c>
      <c r="R186" s="614"/>
      <c r="S186" s="514">
        <v>5.0464434834364309E-3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16335.396000000001</v>
      </c>
      <c r="F188" s="503">
        <v>2875.0296960000001</v>
      </c>
      <c r="G188" s="504"/>
      <c r="H188" s="503"/>
      <c r="I188" s="503"/>
      <c r="J188" s="504"/>
      <c r="K188" s="543">
        <v>26364.6</v>
      </c>
      <c r="L188" s="507">
        <v>6412.0199999999986</v>
      </c>
      <c r="M188" s="587">
        <v>0.61395536416748009</v>
      </c>
      <c r="N188" s="505">
        <v>3536.9903039999986</v>
      </c>
      <c r="O188" s="504"/>
      <c r="P188" s="543">
        <v>31330.82</v>
      </c>
      <c r="Q188" s="507">
        <v>5707.76</v>
      </c>
      <c r="R188" s="587">
        <v>0</v>
      </c>
      <c r="S188" s="505">
        <v>704.2599999999984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0.24320566213786665</v>
      </c>
      <c r="M189" s="605"/>
      <c r="N189" s="568"/>
      <c r="O189" s="605"/>
      <c r="P189" s="604"/>
      <c r="Q189" s="597">
        <v>0.18217716612587861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22230</v>
      </c>
      <c r="F191" s="503">
        <v>15560.999999999998</v>
      </c>
      <c r="G191" s="502"/>
      <c r="H191" s="503"/>
      <c r="I191" s="503"/>
      <c r="J191" s="504">
        <v>68</v>
      </c>
      <c r="K191" s="543">
        <v>13699.1</v>
      </c>
      <c r="L191" s="507">
        <v>8680.98</v>
      </c>
      <c r="M191" s="587">
        <v>-0.38375618533513267</v>
      </c>
      <c r="N191" s="505">
        <v>-6880.0199999999986</v>
      </c>
      <c r="O191" s="605"/>
      <c r="P191" s="543">
        <v>15244.65</v>
      </c>
      <c r="Q191" s="507">
        <v>8650.89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0.63368980443970768</v>
      </c>
      <c r="M192" s="605"/>
      <c r="N192" s="568"/>
      <c r="O192" s="605"/>
      <c r="P192" s="604"/>
      <c r="Q192" s="597">
        <v>0.56747055524397083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329.3851219512195</v>
      </c>
      <c r="K193" s="618">
        <v>243086.22</v>
      </c>
      <c r="L193" s="619">
        <v>738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390450.98842000001</v>
      </c>
      <c r="F194" s="531">
        <v>280441.6956717865</v>
      </c>
      <c r="G194" s="532"/>
      <c r="H194" s="529"/>
      <c r="I194" s="531"/>
      <c r="J194" s="532"/>
      <c r="K194" s="529">
        <v>399826.57999999996</v>
      </c>
      <c r="L194" s="531">
        <v>284041.78000000003</v>
      </c>
      <c r="M194" s="629">
        <v>-7.8382504864907832E-3</v>
      </c>
      <c r="N194" s="531">
        <v>3600.084328213532</v>
      </c>
      <c r="O194" s="532"/>
      <c r="P194" s="529">
        <v>395967.09</v>
      </c>
      <c r="Q194" s="531">
        <v>281957.00999999978</v>
      </c>
      <c r="R194" s="629"/>
      <c r="S194" s="531">
        <v>2084.7700000002515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0.71825069980389245</v>
      </c>
      <c r="G195" s="533"/>
      <c r="H195" s="534"/>
      <c r="I195" s="536"/>
      <c r="J195" s="533"/>
      <c r="K195" s="534"/>
      <c r="L195" s="536">
        <v>0.71041244931740166</v>
      </c>
      <c r="M195" s="537"/>
      <c r="N195" s="536">
        <v>1.2837193554937253E-2</v>
      </c>
      <c r="O195" s="533"/>
      <c r="P195" s="534"/>
      <c r="Q195" s="536">
        <v>0.71207182899972765</v>
      </c>
      <c r="R195" s="537"/>
      <c r="S195" s="536">
        <v>136.24609909005108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18635.594711538462</v>
      </c>
      <c r="G198" s="502"/>
      <c r="H198" s="486"/>
      <c r="I198" s="543"/>
      <c r="J198" s="502"/>
      <c r="K198" s="486"/>
      <c r="L198" s="507">
        <v>16126.1</v>
      </c>
      <c r="M198" s="502"/>
      <c r="N198" s="507">
        <v>-2509.4947115384621</v>
      </c>
      <c r="O198" s="502"/>
      <c r="P198" s="486"/>
      <c r="Q198" s="507">
        <v>12594.56</v>
      </c>
      <c r="R198" s="502"/>
      <c r="S198" s="507">
        <v>3531.5400000000009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10418.882923076924</v>
      </c>
      <c r="G199" s="545"/>
      <c r="H199" s="486"/>
      <c r="I199" s="497"/>
      <c r="J199" s="502"/>
      <c r="K199" s="486"/>
      <c r="L199" s="507">
        <v>6435.82</v>
      </c>
      <c r="M199" s="502"/>
      <c r="N199" s="507">
        <v>-3983.0629230769246</v>
      </c>
      <c r="O199" s="502"/>
      <c r="P199" s="486"/>
      <c r="Q199" s="507">
        <v>9538.9</v>
      </c>
      <c r="R199" s="502"/>
      <c r="S199" s="505">
        <v>-3103.08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19584.721153846156</v>
      </c>
      <c r="G200" s="560"/>
      <c r="H200" s="559"/>
      <c r="I200" s="543"/>
      <c r="J200" s="488"/>
      <c r="K200" s="559"/>
      <c r="L200" s="524">
        <v>23882.37</v>
      </c>
      <c r="M200" s="488"/>
      <c r="N200" s="524">
        <v>4297.6488461538429</v>
      </c>
      <c r="O200" s="488"/>
      <c r="P200" s="559"/>
      <c r="Q200" s="524">
        <v>22496.47</v>
      </c>
      <c r="R200" s="488"/>
      <c r="S200" s="523">
        <v>1385.8999999999978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0.17029890465593661</v>
      </c>
      <c r="F201" s="543">
        <v>37148.063011692306</v>
      </c>
      <c r="G201" s="545"/>
      <c r="H201" s="486"/>
      <c r="I201" s="543"/>
      <c r="J201" s="502"/>
      <c r="K201" s="826">
        <v>0.14855606379135536</v>
      </c>
      <c r="L201" s="507">
        <v>30524.63</v>
      </c>
      <c r="M201" s="502"/>
      <c r="N201" s="507">
        <v>-6623.4330116923047</v>
      </c>
      <c r="O201" s="502"/>
      <c r="P201" s="486"/>
      <c r="Q201" s="507">
        <v>37414.44</v>
      </c>
      <c r="R201" s="502"/>
      <c r="S201" s="505">
        <v>-6889.8100000000013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20385.092827274158</v>
      </c>
      <c r="G205" s="545"/>
      <c r="H205" s="486"/>
      <c r="I205" s="543"/>
      <c r="J205" s="502"/>
      <c r="K205" s="486"/>
      <c r="L205" s="507">
        <v>20248.400000000001</v>
      </c>
      <c r="M205" s="502"/>
      <c r="N205" s="507">
        <v>-136.69282727415703</v>
      </c>
      <c r="O205" s="502"/>
      <c r="P205" s="486"/>
      <c r="Q205" s="507">
        <v>25829.47</v>
      </c>
      <c r="R205" s="502"/>
      <c r="S205" s="505">
        <v>-5581.07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24785.39920849193</v>
      </c>
      <c r="G206" s="560"/>
      <c r="H206" s="559"/>
      <c r="I206" s="524"/>
      <c r="J206" s="488"/>
      <c r="K206" s="559"/>
      <c r="L206" s="524">
        <v>24326.74</v>
      </c>
      <c r="M206" s="488"/>
      <c r="N206" s="524">
        <v>-458.65920849192844</v>
      </c>
      <c r="O206" s="488"/>
      <c r="P206" s="559"/>
      <c r="Q206" s="524">
        <v>26288.97</v>
      </c>
      <c r="R206" s="488"/>
      <c r="S206" s="523">
        <v>-1962.2299999999996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12769.868722636058</v>
      </c>
      <c r="G207" s="545"/>
      <c r="H207" s="486"/>
      <c r="I207" s="543"/>
      <c r="J207" s="502"/>
      <c r="K207" s="486"/>
      <c r="L207" s="507">
        <v>12104.1</v>
      </c>
      <c r="M207" s="502"/>
      <c r="N207" s="507">
        <v>-665.76872263605765</v>
      </c>
      <c r="O207" s="502"/>
      <c r="P207" s="486"/>
      <c r="Q207" s="507">
        <v>13775.33</v>
      </c>
      <c r="R207" s="502"/>
      <c r="S207" s="505">
        <v>-1671.2299999999996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5567.7346048061572</v>
      </c>
      <c r="G208" s="545"/>
      <c r="H208" s="486"/>
      <c r="I208" s="543"/>
      <c r="J208" s="502"/>
      <c r="K208" s="486"/>
      <c r="L208" s="507">
        <v>4882.72</v>
      </c>
      <c r="M208" s="502"/>
      <c r="N208" s="507">
        <v>-685.01460480615697</v>
      </c>
      <c r="O208" s="502"/>
      <c r="P208" s="486"/>
      <c r="Q208" s="507">
        <v>4899.96</v>
      </c>
      <c r="R208" s="502"/>
      <c r="S208" s="505">
        <v>-17.239999999999782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0.53235791776872299</v>
      </c>
      <c r="F210" s="554">
        <v>149295.35716336215</v>
      </c>
      <c r="G210" s="621"/>
      <c r="H210" s="553"/>
      <c r="I210" s="554"/>
      <c r="J210" s="621" t="s">
        <v>97</v>
      </c>
      <c r="K210" s="553">
        <v>0.48771303996193799</v>
      </c>
      <c r="L210" s="554">
        <v>138530.88</v>
      </c>
      <c r="M210" s="590"/>
      <c r="N210" s="554">
        <v>-10764.477163362142</v>
      </c>
      <c r="O210" s="621" t="s">
        <v>97</v>
      </c>
      <c r="P210" s="553">
        <v>0.54206171359243771</v>
      </c>
      <c r="Q210" s="554">
        <v>152838.09999999998</v>
      </c>
      <c r="R210" s="590"/>
      <c r="S210" s="563">
        <v>-14307.219999999972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12567.820151081718</v>
      </c>
      <c r="G211" s="545"/>
      <c r="H211" s="486"/>
      <c r="I211" s="543"/>
      <c r="J211" s="502"/>
      <c r="K211" s="486"/>
      <c r="L211" s="507">
        <v>15357.7</v>
      </c>
      <c r="M211" s="502"/>
      <c r="N211" s="505">
        <v>2789.8798489182827</v>
      </c>
      <c r="O211" s="502"/>
      <c r="P211" s="486"/>
      <c r="Q211" s="507">
        <v>11204.43</v>
      </c>
      <c r="R211" s="502"/>
      <c r="S211" s="505">
        <v>4153.2700000000004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4586.43</v>
      </c>
      <c r="M212" s="502"/>
      <c r="N212" s="505">
        <v>1164.252596676291</v>
      </c>
      <c r="O212" s="502"/>
      <c r="P212" s="486"/>
      <c r="Q212" s="507">
        <v>3949.0899999999901</v>
      </c>
      <c r="R212" s="502"/>
      <c r="S212" s="505">
        <v>637.34000000001015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16083.739355555555</v>
      </c>
      <c r="G213" s="547"/>
      <c r="H213" s="561"/>
      <c r="I213" s="497"/>
      <c r="J213" s="495"/>
      <c r="K213" s="561"/>
      <c r="L213" s="507">
        <v>12345.56</v>
      </c>
      <c r="M213" s="495"/>
      <c r="N213" s="517">
        <v>-3738.179355555556</v>
      </c>
      <c r="O213" s="495"/>
      <c r="P213" s="561"/>
      <c r="Q213" s="507">
        <v>12840.8</v>
      </c>
      <c r="R213" s="495"/>
      <c r="S213" s="517">
        <v>-495.23999999999978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6920.01</v>
      </c>
      <c r="M214" s="502"/>
      <c r="N214" s="505">
        <v>2136.6938626133342</v>
      </c>
      <c r="O214" s="502"/>
      <c r="P214" s="486"/>
      <c r="Q214" s="524">
        <v>4890.13</v>
      </c>
      <c r="R214" s="502"/>
      <c r="S214" s="505">
        <v>2029.88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1292</v>
      </c>
      <c r="M215" s="502"/>
      <c r="N215" s="505">
        <v>241.1248194063096</v>
      </c>
      <c r="O215" s="502"/>
      <c r="P215" s="486"/>
      <c r="Q215" s="507">
        <v>603.02</v>
      </c>
      <c r="R215" s="502"/>
      <c r="S215" s="505">
        <v>688.98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15128.231788350371</v>
      </c>
      <c r="G216" s="547"/>
      <c r="H216" s="561"/>
      <c r="I216" s="497"/>
      <c r="J216" s="495"/>
      <c r="K216" s="561"/>
      <c r="L216" s="507">
        <v>17314.099999999999</v>
      </c>
      <c r="M216" s="495"/>
      <c r="N216" s="517">
        <v>2185.8682116496275</v>
      </c>
      <c r="O216" s="495"/>
      <c r="P216" s="561"/>
      <c r="Q216" s="507">
        <v>11277.68</v>
      </c>
      <c r="R216" s="495"/>
      <c r="S216" s="517">
        <v>6036.4199999999983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6967.67</v>
      </c>
      <c r="M218" s="502"/>
      <c r="N218" s="505">
        <v>2197.7495777777767</v>
      </c>
      <c r="O218" s="502"/>
      <c r="P218" s="486"/>
      <c r="Q218" s="507">
        <v>1539.27</v>
      </c>
      <c r="R218" s="502"/>
      <c r="S218" s="505">
        <v>5428.4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785.83</v>
      </c>
      <c r="M219" s="502"/>
      <c r="N219" s="505">
        <v>-434.63540678641709</v>
      </c>
      <c r="O219" s="502"/>
      <c r="P219" s="486"/>
      <c r="Q219" s="507">
        <v>1556.43</v>
      </c>
      <c r="R219" s="502"/>
      <c r="S219" s="505">
        <v>-770.6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785.52</v>
      </c>
      <c r="M220" s="502"/>
      <c r="N220" s="505">
        <v>-47.534149751840118</v>
      </c>
      <c r="O220" s="502"/>
      <c r="P220" s="486"/>
      <c r="Q220" s="507">
        <v>1120.67</v>
      </c>
      <c r="R220" s="502"/>
      <c r="S220" s="505">
        <v>-335.15000000000009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223.36</v>
      </c>
      <c r="M221" s="502"/>
      <c r="N221" s="505">
        <v>44.155498311513298</v>
      </c>
      <c r="O221" s="502"/>
      <c r="P221" s="486"/>
      <c r="Q221" s="507">
        <v>129.33000000000001</v>
      </c>
      <c r="R221" s="502"/>
      <c r="S221" s="505">
        <v>94.03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158.37</v>
      </c>
      <c r="M222" s="502"/>
      <c r="N222" s="505">
        <v>65.579428723686689</v>
      </c>
      <c r="O222" s="502"/>
      <c r="P222" s="486"/>
      <c r="Q222" s="507">
        <v>35.72</v>
      </c>
      <c r="R222" s="502"/>
      <c r="S222" s="505">
        <v>122.65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83.76</v>
      </c>
      <c r="M223" s="502"/>
      <c r="N223" s="505">
        <v>-68.690951875953331</v>
      </c>
      <c r="O223" s="502"/>
      <c r="P223" s="486"/>
      <c r="Q223" s="507">
        <v>78.989999999999995</v>
      </c>
      <c r="R223" s="502"/>
      <c r="S223" s="505">
        <v>4.7700000000000102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418.5</v>
      </c>
      <c r="M224" s="502"/>
      <c r="N224" s="505">
        <v>-2648.0133988524863</v>
      </c>
      <c r="O224" s="502"/>
      <c r="P224" s="486"/>
      <c r="Q224" s="507">
        <v>667.07</v>
      </c>
      <c r="R224" s="502"/>
      <c r="S224" s="505">
        <v>-248.57000000000005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2081.5147954694116</v>
      </c>
      <c r="G225" s="545"/>
      <c r="H225" s="486"/>
      <c r="I225" s="543"/>
      <c r="J225" s="502"/>
      <c r="K225" s="486"/>
      <c r="L225" s="507">
        <v>2279.83</v>
      </c>
      <c r="M225" s="502"/>
      <c r="N225" s="505">
        <v>198.31520453058829</v>
      </c>
      <c r="O225" s="502"/>
      <c r="P225" s="486"/>
      <c r="Q225" s="507">
        <v>2375.2600000000002</v>
      </c>
      <c r="R225" s="502"/>
      <c r="S225" s="505">
        <v>-95.430000000000291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0.23331792391810716</v>
      </c>
      <c r="F229" s="554">
        <v>65432.074214214845</v>
      </c>
      <c r="G229" s="621"/>
      <c r="H229" s="553"/>
      <c r="I229" s="554"/>
      <c r="J229" s="621" t="s">
        <v>97</v>
      </c>
      <c r="K229" s="553">
        <v>0.24474793813783308</v>
      </c>
      <c r="L229" s="554">
        <v>69518.64</v>
      </c>
      <c r="M229" s="555"/>
      <c r="N229" s="554">
        <v>4086.5657857851547</v>
      </c>
      <c r="O229" s="621" t="s">
        <v>97</v>
      </c>
      <c r="P229" s="553">
        <v>0.18537538754578234</v>
      </c>
      <c r="Q229" s="554">
        <v>52267.889999999985</v>
      </c>
      <c r="R229" s="555"/>
      <c r="S229" s="554">
        <v>17250.750000000015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0.76567584168683012</v>
      </c>
      <c r="F231" s="554">
        <v>214727.43137757698</v>
      </c>
      <c r="G231" s="621"/>
      <c r="H231" s="553"/>
      <c r="I231" s="554"/>
      <c r="J231" s="621" t="s">
        <v>39</v>
      </c>
      <c r="K231" s="553">
        <v>0.73246097809977107</v>
      </c>
      <c r="L231" s="554">
        <v>208049.52000000002</v>
      </c>
      <c r="M231" s="555"/>
      <c r="N231" s="563">
        <v>-6677.9113775769656</v>
      </c>
      <c r="O231" s="621" t="s">
        <v>39</v>
      </c>
      <c r="P231" s="553">
        <v>0.72743710113822002</v>
      </c>
      <c r="Q231" s="554">
        <v>205105.98999999996</v>
      </c>
      <c r="R231" s="555"/>
      <c r="S231" s="563">
        <v>2943.530000000057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65714.264294209512</v>
      </c>
      <c r="G233" s="622"/>
      <c r="H233" s="573"/>
      <c r="I233" s="574"/>
      <c r="J233" s="572"/>
      <c r="K233" s="808"/>
      <c r="L233" s="574">
        <v>75992.260000000009</v>
      </c>
      <c r="M233" s="572"/>
      <c r="N233" s="574">
        <v>10277.995705790498</v>
      </c>
      <c r="O233" s="572"/>
      <c r="P233" s="809">
        <v>0.19408436190997541</v>
      </c>
      <c r="Q233" s="574">
        <v>76851.019999999815</v>
      </c>
      <c r="R233" s="572"/>
      <c r="S233" s="574">
        <v>-858.75999999980559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471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3" t="s">
        <v>5</v>
      </c>
      <c r="E238" s="884"/>
      <c r="F238" s="885"/>
      <c r="G238" s="886"/>
      <c r="H238" s="884"/>
      <c r="I238" s="885"/>
      <c r="J238" s="886" t="s">
        <v>7</v>
      </c>
      <c r="K238" s="884"/>
      <c r="L238" s="885"/>
      <c r="M238" s="886" t="s">
        <v>220</v>
      </c>
      <c r="N238" s="885"/>
      <c r="O238" s="883" t="s">
        <v>8</v>
      </c>
      <c r="P238" s="884"/>
      <c r="Q238" s="885"/>
      <c r="R238" s="886" t="s">
        <v>221</v>
      </c>
      <c r="S238" s="885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60000</v>
      </c>
      <c r="F241" s="503">
        <v>13200</v>
      </c>
      <c r="G241" s="624"/>
      <c r="H241" s="503"/>
      <c r="I241" s="503"/>
      <c r="J241" s="504">
        <v>5</v>
      </c>
      <c r="K241" s="543">
        <v>7721.01</v>
      </c>
      <c r="L241" s="507">
        <v>2028.9899999999998</v>
      </c>
      <c r="M241" s="587">
        <v>-0.87131649999999994</v>
      </c>
      <c r="N241" s="505">
        <v>-11171.01</v>
      </c>
      <c r="O241" s="504">
        <v>1</v>
      </c>
      <c r="P241" s="543">
        <v>2841.31</v>
      </c>
      <c r="Q241" s="507">
        <v>1481.92</v>
      </c>
      <c r="R241" s="587">
        <v>5</v>
      </c>
      <c r="S241" s="505">
        <v>547.06999999999971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0.26278815854402465</v>
      </c>
      <c r="M242" s="587"/>
      <c r="N242" s="505">
        <v>12820.840647457038</v>
      </c>
      <c r="O242" s="504"/>
      <c r="P242" s="486"/>
      <c r="Q242" s="597">
        <v>0.52156223713709526</v>
      </c>
      <c r="R242" s="504"/>
      <c r="S242" s="505">
        <v>109.41399999999994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60000</v>
      </c>
      <c r="F250" s="531">
        <v>13200</v>
      </c>
      <c r="G250" s="532"/>
      <c r="H250" s="529"/>
      <c r="I250" s="531"/>
      <c r="J250" s="532"/>
      <c r="K250" s="529">
        <v>7721.01</v>
      </c>
      <c r="L250" s="531">
        <v>2028.9899999999998</v>
      </c>
      <c r="M250" s="629">
        <v>4.2788158544024651E-2</v>
      </c>
      <c r="N250" s="531">
        <v>-11171.01</v>
      </c>
      <c r="O250" s="532"/>
      <c r="P250" s="529">
        <v>2841.31</v>
      </c>
      <c r="Q250" s="531">
        <v>1481.92</v>
      </c>
      <c r="R250" s="827">
        <v>-0.25877407859307061</v>
      </c>
      <c r="S250" s="531">
        <v>547.06999999999971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0.26278815854402465</v>
      </c>
      <c r="M251" s="537"/>
      <c r="N251" s="536">
        <v>-0.84628863636363638</v>
      </c>
      <c r="O251" s="533"/>
      <c r="P251" s="534"/>
      <c r="Q251" s="536">
        <v>0.52156223713709526</v>
      </c>
      <c r="R251" s="537"/>
      <c r="S251" s="536">
        <v>0.36916297775858326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371.65625000000006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530.22374999999988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5927.3807692307682</v>
      </c>
      <c r="G255" s="545"/>
      <c r="H255" s="486"/>
      <c r="I255" s="497"/>
      <c r="J255" s="502"/>
      <c r="K255" s="486"/>
      <c r="L255" s="507">
        <v>4976.26</v>
      </c>
      <c r="M255" s="502"/>
      <c r="N255" s="505">
        <v>-951.12076923076802</v>
      </c>
      <c r="O255" s="502"/>
      <c r="P255" s="486"/>
      <c r="Q255" s="507">
        <v>492.92</v>
      </c>
      <c r="R255" s="502"/>
      <c r="S255" s="505">
        <v>4483.34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21.91346153846154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-21.833461538461542</v>
      </c>
      <c r="O256" s="488"/>
      <c r="P256" s="559"/>
      <c r="Q256" s="524">
        <v>0.48</v>
      </c>
      <c r="R256" s="488"/>
      <c r="S256" s="523">
        <v>-0.39999999999999997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759.74482668269218</v>
      </c>
      <c r="G261" s="545"/>
      <c r="H261" s="486"/>
      <c r="I261" s="497"/>
      <c r="J261" s="502"/>
      <c r="K261" s="486"/>
      <c r="L261" s="507">
        <v>572.55999999999995</v>
      </c>
      <c r="M261" s="502"/>
      <c r="N261" s="505">
        <v>-187.18482668269223</v>
      </c>
      <c r="O261" s="502"/>
      <c r="P261" s="486"/>
      <c r="Q261" s="507">
        <v>608.66999999999996</v>
      </c>
      <c r="R261" s="502"/>
      <c r="S261" s="505">
        <v>-36.110000000000014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923.7426086538461</v>
      </c>
      <c r="G262" s="560"/>
      <c r="H262" s="559"/>
      <c r="I262" s="543"/>
      <c r="J262" s="488"/>
      <c r="K262" s="559"/>
      <c r="L262" s="524">
        <v>1444.17</v>
      </c>
      <c r="M262" s="488"/>
      <c r="N262" s="523">
        <v>520.42739134615397</v>
      </c>
      <c r="O262" s="488"/>
      <c r="P262" s="559"/>
      <c r="Q262" s="524">
        <v>1185.3800000000001</v>
      </c>
      <c r="R262" s="488"/>
      <c r="S262" s="523">
        <v>258.78999999999996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475.92825706730758</v>
      </c>
      <c r="G263" s="545"/>
      <c r="H263" s="486"/>
      <c r="I263" s="543"/>
      <c r="J263" s="502"/>
      <c r="K263" s="486"/>
      <c r="L263" s="507">
        <v>463.91999999999996</v>
      </c>
      <c r="M263" s="502"/>
      <c r="N263" s="505">
        <v>-12.008257067307625</v>
      </c>
      <c r="O263" s="502"/>
      <c r="P263" s="486"/>
      <c r="Q263" s="507">
        <v>293.75</v>
      </c>
      <c r="R263" s="502"/>
      <c r="S263" s="505">
        <v>170.16999999999996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207.50739759615382</v>
      </c>
      <c r="G264" s="545"/>
      <c r="H264" s="486"/>
      <c r="I264" s="543"/>
      <c r="J264" s="502"/>
      <c r="K264" s="486"/>
      <c r="L264" s="507">
        <v>164.21</v>
      </c>
      <c r="M264" s="502"/>
      <c r="N264" s="505">
        <v>-43.297397596153814</v>
      </c>
      <c r="O264" s="502"/>
      <c r="P264" s="486"/>
      <c r="Q264" s="507">
        <v>120.18</v>
      </c>
      <c r="R264" s="502"/>
      <c r="S264" s="505">
        <v>44.03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0.65817224020979004</v>
      </c>
      <c r="F266" s="554">
        <v>8687.8735707692285</v>
      </c>
      <c r="G266" s="621"/>
      <c r="H266" s="553"/>
      <c r="I266" s="554"/>
      <c r="J266" s="621" t="s">
        <v>39</v>
      </c>
      <c r="K266" s="553">
        <v>4.2006515557001274</v>
      </c>
      <c r="L266" s="554">
        <v>8523.08</v>
      </c>
      <c r="M266" s="590"/>
      <c r="N266" s="563">
        <v>-164.79357076922861</v>
      </c>
      <c r="O266" s="621" t="s">
        <v>39</v>
      </c>
      <c r="P266" s="553">
        <v>0</v>
      </c>
      <c r="Q266" s="554">
        <v>3603.2599999999998</v>
      </c>
      <c r="R266" s="590"/>
      <c r="S266" s="563">
        <v>4919.82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3.5</v>
      </c>
      <c r="M267" s="502"/>
      <c r="N267" s="505">
        <v>-44.833333333333336</v>
      </c>
      <c r="O267" s="502"/>
      <c r="P267" s="486"/>
      <c r="Q267" s="505">
        <v>154.94999999999999</v>
      </c>
      <c r="R267" s="502"/>
      <c r="S267" s="505">
        <v>-151.44999999999999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0</v>
      </c>
      <c r="M268" s="502"/>
      <c r="N268" s="505">
        <v>-561.67798128057109</v>
      </c>
      <c r="O268" s="502"/>
      <c r="P268" s="486"/>
      <c r="Q268" s="505">
        <v>389.26</v>
      </c>
      <c r="R268" s="502"/>
      <c r="S268" s="505">
        <v>-389.26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177.91</v>
      </c>
      <c r="M269" s="495"/>
      <c r="N269" s="517">
        <v>53.406399999999991</v>
      </c>
      <c r="O269" s="495"/>
      <c r="P269" s="561"/>
      <c r="Q269" s="517">
        <v>177.91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2065.0700000000002</v>
      </c>
      <c r="M270" s="502"/>
      <c r="N270" s="505">
        <v>614.64311376222258</v>
      </c>
      <c r="O270" s="502"/>
      <c r="P270" s="486"/>
      <c r="Q270" s="505">
        <v>1501.65</v>
      </c>
      <c r="R270" s="502"/>
      <c r="S270" s="505">
        <v>563.42000000000007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264.81</v>
      </c>
      <c r="M271" s="502"/>
      <c r="N271" s="505">
        <v>50.771761621417994</v>
      </c>
      <c r="O271" s="502"/>
      <c r="P271" s="486"/>
      <c r="Q271" s="505">
        <v>163.65</v>
      </c>
      <c r="R271" s="502"/>
      <c r="S271" s="505">
        <v>101.16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730.06</v>
      </c>
      <c r="M272" s="495"/>
      <c r="N272" s="517">
        <v>42.913255647519236</v>
      </c>
      <c r="O272" s="495"/>
      <c r="P272" s="561"/>
      <c r="Q272" s="517">
        <v>699.86</v>
      </c>
      <c r="R272" s="495"/>
      <c r="S272" s="517">
        <v>30.199999999999932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0</v>
      </c>
      <c r="R274" s="502"/>
      <c r="S274" s="505">
        <v>0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229.11</v>
      </c>
      <c r="M276" s="502"/>
      <c r="N276" s="505">
        <v>82.873102947380062</v>
      </c>
      <c r="O276" s="502"/>
      <c r="P276" s="486"/>
      <c r="Q276" s="505">
        <v>193.7</v>
      </c>
      <c r="R276" s="502"/>
      <c r="S276" s="505">
        <v>35.410000000000025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24.76</v>
      </c>
      <c r="M277" s="502"/>
      <c r="N277" s="505">
        <v>-7.6089753258086112</v>
      </c>
      <c r="O277" s="502"/>
      <c r="P277" s="486"/>
      <c r="Q277" s="505">
        <v>24.27</v>
      </c>
      <c r="R277" s="502"/>
      <c r="S277" s="505">
        <v>0.49000000000000199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46.19</v>
      </c>
      <c r="M278" s="502"/>
      <c r="N278" s="505">
        <v>23.697901169408606</v>
      </c>
      <c r="O278" s="502"/>
      <c r="P278" s="486"/>
      <c r="Q278" s="505">
        <v>2.31</v>
      </c>
      <c r="R278" s="502"/>
      <c r="S278" s="505">
        <v>43.879999999999995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24.43</v>
      </c>
      <c r="M279" s="502"/>
      <c r="N279" s="505">
        <v>-78.475067505486379</v>
      </c>
      <c r="O279" s="502"/>
      <c r="P279" s="486"/>
      <c r="Q279" s="505">
        <v>23.05</v>
      </c>
      <c r="R279" s="502"/>
      <c r="S279" s="505">
        <v>1.379999999999999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-9.5500000000000007</v>
      </c>
      <c r="M280" s="502"/>
      <c r="N280" s="505">
        <v>-185.04870178698258</v>
      </c>
      <c r="O280" s="502"/>
      <c r="P280" s="486"/>
      <c r="Q280" s="505">
        <v>69.58</v>
      </c>
      <c r="R280" s="502"/>
      <c r="S280" s="505">
        <v>-79.13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226.98206782432285</v>
      </c>
      <c r="G281" s="545"/>
      <c r="H281" s="486"/>
      <c r="I281" s="543"/>
      <c r="J281" s="502"/>
      <c r="K281" s="486"/>
      <c r="L281" s="507">
        <v>253.32</v>
      </c>
      <c r="M281" s="502"/>
      <c r="N281" s="505">
        <v>26.337932175677139</v>
      </c>
      <c r="O281" s="502"/>
      <c r="P281" s="486"/>
      <c r="Q281" s="505">
        <v>263.92</v>
      </c>
      <c r="R281" s="502"/>
      <c r="S281" s="505">
        <v>-10.600000000000023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3866.8954585752231</v>
      </c>
      <c r="G285" s="621"/>
      <c r="H285" s="553"/>
      <c r="I285" s="554"/>
      <c r="J285" s="621" t="s">
        <v>39</v>
      </c>
      <c r="K285" s="553">
        <v>1.8775893424807419</v>
      </c>
      <c r="L285" s="554">
        <v>3809.61</v>
      </c>
      <c r="M285" s="555"/>
      <c r="N285" s="554">
        <v>-57.285458575223117</v>
      </c>
      <c r="O285" s="621" t="s">
        <v>39</v>
      </c>
      <c r="P285" s="553">
        <v>0</v>
      </c>
      <c r="Q285" s="554">
        <v>3664.11</v>
      </c>
      <c r="R285" s="555"/>
      <c r="S285" s="554">
        <v>145.5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12554.769029344452</v>
      </c>
      <c r="G287" s="621"/>
      <c r="H287" s="553"/>
      <c r="I287" s="554"/>
      <c r="J287" s="621" t="s">
        <v>39</v>
      </c>
      <c r="K287" s="553">
        <v>6.0782408981808693</v>
      </c>
      <c r="L287" s="554">
        <v>12332.69</v>
      </c>
      <c r="M287" s="555"/>
      <c r="N287" s="563">
        <v>-222.07902934445156</v>
      </c>
      <c r="O287" s="621" t="s">
        <v>39</v>
      </c>
      <c r="P287" s="553">
        <v>0</v>
      </c>
      <c r="Q287" s="554">
        <v>7267.37</v>
      </c>
      <c r="R287" s="555"/>
      <c r="S287" s="563">
        <v>5065.3200000000006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645.23097065554794</v>
      </c>
      <c r="G289" s="622"/>
      <c r="H289" s="573"/>
      <c r="I289" s="574"/>
      <c r="J289" s="572"/>
      <c r="K289" s="808"/>
      <c r="L289" s="574">
        <v>-10303.700000000001</v>
      </c>
      <c r="M289" s="572"/>
      <c r="N289" s="574">
        <v>-10948.930970655549</v>
      </c>
      <c r="O289" s="572"/>
      <c r="P289" s="809">
        <v>-2.0361910527186402</v>
      </c>
      <c r="Q289" s="574">
        <v>-5785.45</v>
      </c>
      <c r="R289" s="572"/>
      <c r="S289" s="574">
        <v>-4518.2500000000009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471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3" t="s">
        <v>5</v>
      </c>
      <c r="E293" s="884"/>
      <c r="F293" s="885"/>
      <c r="G293" s="886"/>
      <c r="H293" s="884"/>
      <c r="I293" s="885"/>
      <c r="J293" s="886" t="s">
        <v>7</v>
      </c>
      <c r="K293" s="884"/>
      <c r="L293" s="885"/>
      <c r="M293" s="886" t="s">
        <v>220</v>
      </c>
      <c r="N293" s="885"/>
      <c r="O293" s="883" t="s">
        <v>8</v>
      </c>
      <c r="P293" s="884"/>
      <c r="Q293" s="885"/>
      <c r="R293" s="886" t="s">
        <v>221</v>
      </c>
      <c r="S293" s="885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123965.82498399999</v>
      </c>
      <c r="E295" s="591">
        <v>0.35699999999999998</v>
      </c>
      <c r="F295" s="505">
        <v>44255.799519287997</v>
      </c>
      <c r="G295" s="503"/>
      <c r="H295" s="591"/>
      <c r="I295" s="505"/>
      <c r="J295" s="543">
        <v>118021.43</v>
      </c>
      <c r="K295" s="591">
        <v>0.31805825433567442</v>
      </c>
      <c r="L295" s="505">
        <v>37537.689999999995</v>
      </c>
      <c r="M295" s="587">
        <v>-4.7951885003526006E-2</v>
      </c>
      <c r="N295" s="505">
        <v>-6718.109519288002</v>
      </c>
      <c r="O295" s="543">
        <v>109437.56</v>
      </c>
      <c r="P295" s="591">
        <v>0.37261000702135444</v>
      </c>
      <c r="Q295" s="505">
        <v>40777.529999999897</v>
      </c>
      <c r="R295" s="587">
        <v>7.843623341017468E-2</v>
      </c>
      <c r="S295" s="505">
        <v>-3239.8399999999019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36000</v>
      </c>
      <c r="E296" s="591">
        <v>0.248</v>
      </c>
      <c r="F296" s="505">
        <v>8928</v>
      </c>
      <c r="G296" s="503"/>
      <c r="H296" s="591"/>
      <c r="I296" s="505"/>
      <c r="J296" s="543">
        <v>1379.61</v>
      </c>
      <c r="K296" s="591">
        <v>0.2307898609027188</v>
      </c>
      <c r="L296" s="505">
        <v>318.39999999999986</v>
      </c>
      <c r="M296" s="587">
        <v>-0.96167749999999996</v>
      </c>
      <c r="N296" s="505">
        <v>-8609.6</v>
      </c>
      <c r="O296" s="543">
        <v>254.91</v>
      </c>
      <c r="P296" s="591">
        <v>0.23086579577105606</v>
      </c>
      <c r="Q296" s="505">
        <v>58.849999999999902</v>
      </c>
      <c r="R296" s="587">
        <v>4.4121454631046246</v>
      </c>
      <c r="S296" s="505">
        <v>259.54999999999995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50240.924999999996</v>
      </c>
      <c r="E297" s="591">
        <v>0.23699999999999999</v>
      </c>
      <c r="F297" s="505">
        <v>11907.099224999998</v>
      </c>
      <c r="G297" s="503"/>
      <c r="H297" s="591"/>
      <c r="I297" s="505"/>
      <c r="J297" s="543">
        <v>85718.31</v>
      </c>
      <c r="K297" s="591">
        <v>0.2366525891609389</v>
      </c>
      <c r="L297" s="505">
        <v>20285.46</v>
      </c>
      <c r="M297" s="587">
        <v>0.70614513964462244</v>
      </c>
      <c r="N297" s="505">
        <v>8378.360775000001</v>
      </c>
      <c r="O297" s="543">
        <v>42120.959999999999</v>
      </c>
      <c r="P297" s="591">
        <v>0.23626123431184853</v>
      </c>
      <c r="Q297" s="505">
        <v>9951.5499999999993</v>
      </c>
      <c r="R297" s="587">
        <v>1.0350511954143495</v>
      </c>
      <c r="S297" s="505">
        <v>10333.91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55909.877099999991</v>
      </c>
      <c r="E298" s="591">
        <v>0.29399999999999998</v>
      </c>
      <c r="F298" s="505">
        <v>16437.503867399995</v>
      </c>
      <c r="G298" s="503"/>
      <c r="H298" s="591"/>
      <c r="I298" s="505"/>
      <c r="J298" s="543">
        <v>56839.72</v>
      </c>
      <c r="K298" s="591">
        <v>0.28767435870549679</v>
      </c>
      <c r="L298" s="505">
        <v>16351.330000000002</v>
      </c>
      <c r="M298" s="587">
        <v>1.6631102557011536E-2</v>
      </c>
      <c r="N298" s="505">
        <v>-86.173867399993469</v>
      </c>
      <c r="O298" s="543">
        <v>59301.120000000003</v>
      </c>
      <c r="P298" s="591">
        <v>0.29746706301668502</v>
      </c>
      <c r="Q298" s="505">
        <v>17640.13</v>
      </c>
      <c r="R298" s="587">
        <v>-4.1506804593235358E-2</v>
      </c>
      <c r="S298" s="505">
        <v>-1288.7999999999993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22507.302</v>
      </c>
      <c r="E299" s="591">
        <v>0.27700000000000002</v>
      </c>
      <c r="F299" s="505">
        <v>6234.5226540000003</v>
      </c>
      <c r="G299" s="503"/>
      <c r="H299" s="591"/>
      <c r="I299" s="505"/>
      <c r="J299" s="543">
        <v>22502.2</v>
      </c>
      <c r="K299" s="591">
        <v>0.24628525210868266</v>
      </c>
      <c r="L299" s="505">
        <v>5541.9599999999991</v>
      </c>
      <c r="M299" s="587">
        <v>-2.2668198969378703E-4</v>
      </c>
      <c r="N299" s="505">
        <v>-692.5626540000012</v>
      </c>
      <c r="O299" s="543">
        <v>21253.68</v>
      </c>
      <c r="P299" s="591">
        <v>0.22581360028004513</v>
      </c>
      <c r="Q299" s="505">
        <v>4799.3699999999899</v>
      </c>
      <c r="R299" s="587">
        <v>5.8743709324691085E-2</v>
      </c>
      <c r="S299" s="505">
        <v>742.59000000000924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153843.459</v>
      </c>
      <c r="E300" s="591">
        <v>0.13500000000000001</v>
      </c>
      <c r="F300" s="505">
        <v>20768.866965000001</v>
      </c>
      <c r="G300" s="503"/>
      <c r="H300" s="591"/>
      <c r="I300" s="505"/>
      <c r="J300" s="543">
        <v>196342.46</v>
      </c>
      <c r="K300" s="591">
        <v>0.13329399051025437</v>
      </c>
      <c r="L300" s="505">
        <v>26171.269999999997</v>
      </c>
      <c r="M300" s="587">
        <v>0.27624834540414217</v>
      </c>
      <c r="N300" s="505">
        <v>5402.4030349999957</v>
      </c>
      <c r="O300" s="543">
        <v>144594.10999999999</v>
      </c>
      <c r="P300" s="591">
        <v>0.16606506309281827</v>
      </c>
      <c r="Q300" s="505">
        <v>24012.029999999901</v>
      </c>
      <c r="R300" s="587">
        <v>0.35788698446983774</v>
      </c>
      <c r="S300" s="505">
        <v>2159.2400000000962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11344.051136382641</v>
      </c>
      <c r="G302" s="503"/>
      <c r="H302" s="591"/>
      <c r="I302" s="505"/>
      <c r="J302" s="543">
        <v>0</v>
      </c>
      <c r="K302" s="591">
        <v>0</v>
      </c>
      <c r="L302" s="505">
        <v>22987.82</v>
      </c>
      <c r="M302" s="587"/>
      <c r="N302" s="505">
        <v>11643.768863617359</v>
      </c>
      <c r="O302" s="543">
        <v>0</v>
      </c>
      <c r="P302" s="591">
        <v>0</v>
      </c>
      <c r="Q302" s="505">
        <v>12321.78</v>
      </c>
      <c r="R302" s="587">
        <v>0</v>
      </c>
      <c r="S302" s="505">
        <v>10666.039999999999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442467.38808399998</v>
      </c>
      <c r="E304" s="631">
        <v>0.27092582774555318</v>
      </c>
      <c r="F304" s="510">
        <v>119875.84336707061</v>
      </c>
      <c r="G304" s="509"/>
      <c r="H304" s="631"/>
      <c r="I304" s="510"/>
      <c r="J304" s="509">
        <v>480803.73</v>
      </c>
      <c r="K304" s="631">
        <v>0.26870409262423983</v>
      </c>
      <c r="L304" s="510">
        <v>129193.93</v>
      </c>
      <c r="M304" s="632">
        <v>8.6642186403853252E-2</v>
      </c>
      <c r="N304" s="510">
        <v>9318.0866329293785</v>
      </c>
      <c r="O304" s="509">
        <v>376962.33999999997</v>
      </c>
      <c r="P304" s="631">
        <v>0.2906424021030849</v>
      </c>
      <c r="Q304" s="510">
        <v>109561.23999999979</v>
      </c>
      <c r="R304" s="632">
        <v>0.27546887044472407</v>
      </c>
      <c r="S304" s="510">
        <v>19632.690000000206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7.7731145585324971E-2</v>
      </c>
      <c r="O305" s="502"/>
      <c r="P305" s="486"/>
      <c r="Q305" s="527"/>
      <c r="R305" s="502"/>
      <c r="S305" s="514">
        <v>0.1791937550177439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28768.550000000003</v>
      </c>
      <c r="E307" s="591">
        <v>0.17100000000000001</v>
      </c>
      <c r="F307" s="523">
        <v>4919.422050000001</v>
      </c>
      <c r="G307" s="503"/>
      <c r="H307" s="591"/>
      <c r="I307" s="523"/>
      <c r="J307" s="543">
        <v>41058.479999999996</v>
      </c>
      <c r="K307" s="591">
        <v>0.16683398898351812</v>
      </c>
      <c r="L307" s="523">
        <v>6849.949999999998</v>
      </c>
      <c r="M307" s="587">
        <v>0.42720018909538338</v>
      </c>
      <c r="N307" s="505">
        <v>1930.527949999997</v>
      </c>
      <c r="O307" s="543">
        <v>39158.370000000003</v>
      </c>
      <c r="P307" s="591">
        <v>0.16776592079803115</v>
      </c>
      <c r="Q307" s="523">
        <v>6569.44</v>
      </c>
      <c r="R307" s="587">
        <v>4.8523725578975663E-2</v>
      </c>
      <c r="S307" s="505">
        <v>280.5099999999984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24789.98267957495</v>
      </c>
      <c r="E308" s="591">
        <v>0.25600000000000001</v>
      </c>
      <c r="F308" s="517">
        <v>6346.2355659711875</v>
      </c>
      <c r="G308" s="503"/>
      <c r="H308" s="591"/>
      <c r="I308" s="517"/>
      <c r="J308" s="543">
        <v>30042.26</v>
      </c>
      <c r="K308" s="591">
        <v>0.26962452225631489</v>
      </c>
      <c r="L308" s="517">
        <v>8100.1299999999974</v>
      </c>
      <c r="M308" s="587">
        <v>0.21187095563211195</v>
      </c>
      <c r="N308" s="505">
        <v>1753.8944340288099</v>
      </c>
      <c r="O308" s="543">
        <v>28957.45</v>
      </c>
      <c r="P308" s="591">
        <v>0.2606904268158971</v>
      </c>
      <c r="Q308" s="517">
        <v>7548.93</v>
      </c>
      <c r="R308" s="587">
        <v>3.7462207480285649E-2</v>
      </c>
      <c r="S308" s="505">
        <v>551.19999999999709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496025.92076357489</v>
      </c>
      <c r="E309" s="631">
        <v>0.26438437084329086</v>
      </c>
      <c r="F309" s="510">
        <v>131141.5009830418</v>
      </c>
      <c r="G309" s="511"/>
      <c r="H309" s="631"/>
      <c r="I309" s="510"/>
      <c r="J309" s="511">
        <v>551904.47</v>
      </c>
      <c r="K309" s="631">
        <v>0.26117565237331747</v>
      </c>
      <c r="L309" s="510">
        <v>144144.01</v>
      </c>
      <c r="M309" s="632">
        <v>0.11265247822211888</v>
      </c>
      <c r="N309" s="510">
        <v>13002.509016958211</v>
      </c>
      <c r="O309" s="511">
        <v>445078.16</v>
      </c>
      <c r="P309" s="631">
        <v>0.27788290038765279</v>
      </c>
      <c r="Q309" s="510">
        <v>123679.60999999978</v>
      </c>
      <c r="R309" s="632">
        <v>0.24001696690756519</v>
      </c>
      <c r="S309" s="510">
        <v>20464.400000000227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9.914869754799889E-2</v>
      </c>
      <c r="O310" s="502"/>
      <c r="P310" s="486"/>
      <c r="Q310" s="527"/>
      <c r="R310" s="502"/>
      <c r="S310" s="514">
        <v>0.16546300558354174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496025.92076357489</v>
      </c>
      <c r="E314" s="635">
        <v>0.26438437084329086</v>
      </c>
      <c r="F314" s="531">
        <v>131141.5009830418</v>
      </c>
      <c r="G314" s="532"/>
      <c r="H314" s="635"/>
      <c r="I314" s="531"/>
      <c r="J314" s="532">
        <v>551904.47</v>
      </c>
      <c r="K314" s="635">
        <v>0.26117565237331747</v>
      </c>
      <c r="L314" s="531">
        <v>144144.01</v>
      </c>
      <c r="M314" s="636">
        <v>0.11265247822211888</v>
      </c>
      <c r="N314" s="637">
        <v>13002.509016958211</v>
      </c>
      <c r="O314" s="532">
        <v>445078.16</v>
      </c>
      <c r="P314" s="635">
        <v>0.27788290038765279</v>
      </c>
      <c r="Q314" s="531">
        <v>123679.60999999978</v>
      </c>
      <c r="R314" s="636">
        <v>0.24001696690756519</v>
      </c>
      <c r="S314" s="637">
        <v>20464.400000000227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1.0991486975479989</v>
      </c>
      <c r="M315" s="641"/>
      <c r="N315" s="536">
        <v>9.914869754799889E-2</v>
      </c>
      <c r="O315" s="640"/>
      <c r="P315" s="639"/>
      <c r="Q315" s="574"/>
      <c r="R315" s="641"/>
      <c r="S315" s="536">
        <v>0.16546300558354174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8192.0423076923089</v>
      </c>
      <c r="G318" s="502"/>
      <c r="H318" s="486"/>
      <c r="I318" s="543"/>
      <c r="J318" s="502"/>
      <c r="K318" s="486"/>
      <c r="L318" s="507">
        <v>9851.89</v>
      </c>
      <c r="M318" s="502"/>
      <c r="N318" s="507">
        <v>1659.8476923076905</v>
      </c>
      <c r="O318" s="502"/>
      <c r="P318" s="486"/>
      <c r="Q318" s="507">
        <v>7201.22</v>
      </c>
      <c r="R318" s="502"/>
      <c r="S318" s="507">
        <v>2650.6699999999992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32608.030153846154</v>
      </c>
      <c r="G319" s="545"/>
      <c r="H319" s="486"/>
      <c r="I319" s="497"/>
      <c r="J319" s="502"/>
      <c r="K319" s="486"/>
      <c r="L319" s="507">
        <v>30722.14</v>
      </c>
      <c r="M319" s="502"/>
      <c r="N319" s="507">
        <v>-1885.8901538461541</v>
      </c>
      <c r="O319" s="502"/>
      <c r="P319" s="486"/>
      <c r="Q319" s="507">
        <v>30808.98</v>
      </c>
      <c r="R319" s="502"/>
      <c r="S319" s="505">
        <v>-86.840000000000146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175.30769230769232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-61.387692307692319</v>
      </c>
      <c r="O320" s="488"/>
      <c r="P320" s="559"/>
      <c r="Q320" s="524">
        <v>704.82</v>
      </c>
      <c r="R320" s="488"/>
      <c r="S320" s="523">
        <v>-590.90000000000009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5047.9207243846158</v>
      </c>
      <c r="G325" s="545"/>
      <c r="H325" s="486"/>
      <c r="I325" s="497"/>
      <c r="J325" s="502"/>
      <c r="K325" s="486"/>
      <c r="L325" s="507">
        <v>4518.67</v>
      </c>
      <c r="M325" s="502"/>
      <c r="N325" s="507">
        <v>-529.25072438461575</v>
      </c>
      <c r="O325" s="502"/>
      <c r="P325" s="486"/>
      <c r="Q325" s="507">
        <v>5375.55</v>
      </c>
      <c r="R325" s="502"/>
      <c r="S325" s="505">
        <v>-856.88000000000011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6137.5599996923083</v>
      </c>
      <c r="G326" s="560"/>
      <c r="H326" s="559"/>
      <c r="I326" s="543"/>
      <c r="J326" s="488"/>
      <c r="K326" s="559"/>
      <c r="L326" s="524">
        <v>6165.28</v>
      </c>
      <c r="M326" s="488"/>
      <c r="N326" s="524">
        <v>27.720000307691407</v>
      </c>
      <c r="O326" s="488"/>
      <c r="P326" s="559"/>
      <c r="Q326" s="524">
        <v>8164.94</v>
      </c>
      <c r="R326" s="488"/>
      <c r="S326" s="523">
        <v>-1999.6599999999999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3162.1776520153844</v>
      </c>
      <c r="G327" s="545"/>
      <c r="H327" s="486"/>
      <c r="I327" s="543"/>
      <c r="J327" s="502"/>
      <c r="K327" s="486"/>
      <c r="L327" s="507">
        <v>1705.62</v>
      </c>
      <c r="M327" s="502"/>
      <c r="N327" s="507">
        <v>-1456.5576520153845</v>
      </c>
      <c r="O327" s="502"/>
      <c r="P327" s="486"/>
      <c r="Q327" s="507">
        <v>1439.68</v>
      </c>
      <c r="R327" s="502"/>
      <c r="S327" s="505">
        <v>265.93999999999983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1378.7272463076922</v>
      </c>
      <c r="G328" s="545"/>
      <c r="H328" s="486"/>
      <c r="I328" s="543"/>
      <c r="J328" s="502"/>
      <c r="K328" s="486"/>
      <c r="L328" s="507">
        <v>1138</v>
      </c>
      <c r="M328" s="502"/>
      <c r="N328" s="507">
        <v>-240.72724630769221</v>
      </c>
      <c r="O328" s="502"/>
      <c r="P328" s="486"/>
      <c r="Q328" s="507">
        <v>1065.93</v>
      </c>
      <c r="R328" s="502"/>
      <c r="S328" s="505">
        <v>72.069999999999936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0.43237087688647396</v>
      </c>
      <c r="F330" s="554">
        <v>56701.765776246168</v>
      </c>
      <c r="G330" s="621"/>
      <c r="H330" s="553"/>
      <c r="I330" s="554"/>
      <c r="J330" s="621" t="s">
        <v>39</v>
      </c>
      <c r="K330" s="553">
        <v>0.3761205200271589</v>
      </c>
      <c r="L330" s="554">
        <v>54215.519999999997</v>
      </c>
      <c r="M330" s="590"/>
      <c r="N330" s="563">
        <v>-2486.2457762461709</v>
      </c>
      <c r="O330" s="621" t="s">
        <v>39</v>
      </c>
      <c r="P330" s="553">
        <v>0.442765949860289</v>
      </c>
      <c r="Q330" s="554">
        <v>54761.120000000003</v>
      </c>
      <c r="R330" s="590"/>
      <c r="S330" s="563">
        <v>-545.60000000000582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5653.4690242329343</v>
      </c>
      <c r="G331" s="545"/>
      <c r="H331" s="486"/>
      <c r="I331" s="543"/>
      <c r="J331" s="502"/>
      <c r="K331" s="486"/>
      <c r="L331" s="507">
        <v>7263.68</v>
      </c>
      <c r="M331" s="502"/>
      <c r="N331" s="505">
        <v>1610.210975767066</v>
      </c>
      <c r="O331" s="502"/>
      <c r="P331" s="486"/>
      <c r="Q331" s="507">
        <v>4654.3900000000003</v>
      </c>
      <c r="R331" s="502"/>
      <c r="S331" s="505">
        <v>2609.29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522.87</v>
      </c>
      <c r="M332" s="502"/>
      <c r="N332" s="505">
        <v>-38.655778201427324</v>
      </c>
      <c r="O332" s="502"/>
      <c r="P332" s="486"/>
      <c r="Q332" s="507">
        <v>2532.06</v>
      </c>
      <c r="R332" s="502"/>
      <c r="S332" s="505">
        <v>-2009.19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1353.63</v>
      </c>
      <c r="M333" s="495"/>
      <c r="N333" s="517">
        <v>89.309511111110851</v>
      </c>
      <c r="O333" s="495"/>
      <c r="P333" s="561"/>
      <c r="Q333" s="507">
        <v>1412.1</v>
      </c>
      <c r="R333" s="495"/>
      <c r="S333" s="517">
        <v>-58.4699999999998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7804.67</v>
      </c>
      <c r="M334" s="502"/>
      <c r="N334" s="505">
        <v>3355.0132610555547</v>
      </c>
      <c r="O334" s="502"/>
      <c r="P334" s="486"/>
      <c r="Q334" s="524">
        <v>4532.71</v>
      </c>
      <c r="R334" s="502"/>
      <c r="S334" s="505">
        <v>3271.96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945.81</v>
      </c>
      <c r="M335" s="502"/>
      <c r="N335" s="505">
        <v>127.53353112319098</v>
      </c>
      <c r="O335" s="502"/>
      <c r="P335" s="486"/>
      <c r="Q335" s="507">
        <v>584.44000000000005</v>
      </c>
      <c r="R335" s="502"/>
      <c r="S335" s="505">
        <v>361.36999999999989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14454.17</v>
      </c>
      <c r="M336" s="495"/>
      <c r="N336" s="517">
        <v>1966.0841227347573</v>
      </c>
      <c r="O336" s="495"/>
      <c r="P336" s="561"/>
      <c r="Q336" s="497">
        <v>11822.3</v>
      </c>
      <c r="R336" s="495"/>
      <c r="S336" s="517">
        <v>2631.8700000000008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0</v>
      </c>
      <c r="M338" s="502"/>
      <c r="N338" s="505">
        <v>-255.67533333333333</v>
      </c>
      <c r="O338" s="502"/>
      <c r="P338" s="486"/>
      <c r="Q338" s="507">
        <v>99.95</v>
      </c>
      <c r="R338" s="502"/>
      <c r="S338" s="505">
        <v>-99.95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818.22</v>
      </c>
      <c r="M340" s="502"/>
      <c r="N340" s="505">
        <v>101.81095338350008</v>
      </c>
      <c r="O340" s="502"/>
      <c r="P340" s="486"/>
      <c r="Q340" s="507">
        <v>691.77</v>
      </c>
      <c r="R340" s="502"/>
      <c r="S340" s="505">
        <v>126.45000000000005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88.45</v>
      </c>
      <c r="M341" s="502"/>
      <c r="N341" s="505">
        <v>-27.090743592173624</v>
      </c>
      <c r="O341" s="502"/>
      <c r="P341" s="486"/>
      <c r="Q341" s="507">
        <v>86.59</v>
      </c>
      <c r="R341" s="502"/>
      <c r="S341" s="505">
        <v>1.8599999999999994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-151.96</v>
      </c>
      <c r="M342" s="502"/>
      <c r="N342" s="505">
        <v>-120.84965253782639</v>
      </c>
      <c r="O342" s="502"/>
      <c r="P342" s="486"/>
      <c r="Q342" s="507">
        <v>-264.58999999999997</v>
      </c>
      <c r="R342" s="502"/>
      <c r="S342" s="505">
        <v>112.62999999999997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87.25</v>
      </c>
      <c r="M343" s="502"/>
      <c r="N343" s="505">
        <v>-69.261176662451447</v>
      </c>
      <c r="O343" s="502"/>
      <c r="P343" s="486"/>
      <c r="Q343" s="507">
        <v>82.26</v>
      </c>
      <c r="R343" s="502"/>
      <c r="S343" s="505">
        <v>4.9899999999999949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-34.119999999999997</v>
      </c>
      <c r="M344" s="502"/>
      <c r="N344" s="505">
        <v>-413.07432121431327</v>
      </c>
      <c r="O344" s="502"/>
      <c r="P344" s="486"/>
      <c r="Q344" s="507">
        <v>248.5</v>
      </c>
      <c r="R344" s="502"/>
      <c r="S344" s="505">
        <v>-282.62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1754.3101197821436</v>
      </c>
      <c r="G345" s="545"/>
      <c r="H345" s="486"/>
      <c r="I345" s="543"/>
      <c r="J345" s="502"/>
      <c r="K345" s="486"/>
      <c r="L345" s="507">
        <v>2026.49</v>
      </c>
      <c r="M345" s="502"/>
      <c r="N345" s="505">
        <v>272.17988021785641</v>
      </c>
      <c r="O345" s="502"/>
      <c r="P345" s="486"/>
      <c r="Q345" s="507">
        <v>2111.31</v>
      </c>
      <c r="R345" s="502"/>
      <c r="S345" s="505">
        <v>-84.819999999999936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0.21816097794382755</v>
      </c>
      <c r="F349" s="554">
        <v>28609.958103481822</v>
      </c>
      <c r="G349" s="621"/>
      <c r="H349" s="553"/>
      <c r="I349" s="554"/>
      <c r="J349" s="621" t="s">
        <v>39</v>
      </c>
      <c r="K349" s="553">
        <v>0.24405564962428888</v>
      </c>
      <c r="L349" s="554">
        <v>35179.159999999996</v>
      </c>
      <c r="M349" s="555"/>
      <c r="N349" s="554">
        <v>6569.2018965181787</v>
      </c>
      <c r="O349" s="621" t="s">
        <v>39</v>
      </c>
      <c r="P349" s="553">
        <v>0.23119243341727913</v>
      </c>
      <c r="Q349" s="554">
        <v>28593.79</v>
      </c>
      <c r="R349" s="555"/>
      <c r="S349" s="554">
        <v>6585.3700000000008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0.65053185483030151</v>
      </c>
      <c r="F351" s="554">
        <v>85311.723879727986</v>
      </c>
      <c r="G351" s="621"/>
      <c r="H351" s="553"/>
      <c r="I351" s="554"/>
      <c r="J351" s="621" t="s">
        <v>39</v>
      </c>
      <c r="K351" s="553">
        <v>0.62017616965144784</v>
      </c>
      <c r="L351" s="554">
        <v>89394.68</v>
      </c>
      <c r="M351" s="555"/>
      <c r="N351" s="563">
        <v>4082.956120272007</v>
      </c>
      <c r="O351" s="621" t="s">
        <v>39</v>
      </c>
      <c r="P351" s="553">
        <v>0.67395838327756818</v>
      </c>
      <c r="Q351" s="554">
        <v>83354.91</v>
      </c>
      <c r="R351" s="555"/>
      <c r="S351" s="563">
        <v>6039.7699999999895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45829.777103313812</v>
      </c>
      <c r="G353" s="622"/>
      <c r="H353" s="573"/>
      <c r="I353" s="574"/>
      <c r="J353" s="572"/>
      <c r="K353" s="808"/>
      <c r="L353" s="574">
        <v>54749.330000000016</v>
      </c>
      <c r="M353" s="572"/>
      <c r="N353" s="574">
        <v>8919.5528966862039</v>
      </c>
      <c r="O353" s="572"/>
      <c r="P353" s="809">
        <v>9.0601390101908805E-2</v>
      </c>
      <c r="Q353" s="574">
        <v>40324.699999999779</v>
      </c>
      <c r="R353" s="572"/>
      <c r="S353" s="574">
        <v>14424.630000000237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471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3" t="s">
        <v>5</v>
      </c>
      <c r="E358" s="884"/>
      <c r="F358" s="885"/>
      <c r="G358" s="886"/>
      <c r="H358" s="884"/>
      <c r="I358" s="885"/>
      <c r="J358" s="886" t="s">
        <v>7</v>
      </c>
      <c r="K358" s="884"/>
      <c r="L358" s="885"/>
      <c r="M358" s="886"/>
      <c r="N358" s="885"/>
      <c r="O358" s="883" t="s">
        <v>8</v>
      </c>
      <c r="P358" s="884"/>
      <c r="Q358" s="885"/>
      <c r="R358" s="886" t="s">
        <v>9</v>
      </c>
      <c r="S358" s="885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111544.04139752332</v>
      </c>
      <c r="G400" s="544"/>
      <c r="H400" s="486"/>
      <c r="I400" s="562"/>
      <c r="J400" s="840"/>
      <c r="K400" s="538"/>
      <c r="L400" s="562">
        <v>130741.59000000003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>
        <v>112189.27236817888</v>
      </c>
      <c r="L401" s="841">
        <v>120437.89000000003</v>
      </c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471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78" t="s">
        <v>122</v>
      </c>
      <c r="Y404" s="879"/>
      <c r="Z404" s="880"/>
      <c r="AA404" s="881"/>
      <c r="AB404" s="879"/>
      <c r="AC404" s="880"/>
      <c r="AD404" s="881" t="s">
        <v>7</v>
      </c>
      <c r="AE404" s="879"/>
      <c r="AF404" s="880"/>
      <c r="AG404" s="881" t="s">
        <v>220</v>
      </c>
      <c r="AH404" s="879"/>
      <c r="AI404" s="880"/>
      <c r="AJ404" s="881" t="s">
        <v>123</v>
      </c>
      <c r="AK404" s="879"/>
      <c r="AL404" s="879"/>
      <c r="AM404" s="881" t="s">
        <v>124</v>
      </c>
      <c r="AN404" s="879"/>
      <c r="AO404" s="882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6218544.1428936739</v>
      </c>
      <c r="AA406" s="657"/>
      <c r="AB406" s="657"/>
      <c r="AC406" s="658"/>
      <c r="AD406" s="659"/>
      <c r="AE406" s="660"/>
      <c r="AF406" s="660">
        <v>5431944.5899999999</v>
      </c>
      <c r="AG406" s="659"/>
      <c r="AH406" s="660"/>
      <c r="AI406" s="661"/>
      <c r="AJ406" s="659"/>
      <c r="AK406" s="660"/>
      <c r="AL406" s="660">
        <v>6535324.9799999995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0.12669970251976723</v>
      </c>
      <c r="Y407" s="665"/>
      <c r="Z407" s="666">
        <v>787887.69301066932</v>
      </c>
      <c r="AA407" s="665"/>
      <c r="AB407" s="665"/>
      <c r="AC407" s="666"/>
      <c r="AD407" s="843">
        <v>0.13876689047743035</v>
      </c>
      <c r="AE407" s="668"/>
      <c r="AF407" s="666">
        <v>753774.06000000029</v>
      </c>
      <c r="AG407" s="669"/>
      <c r="AH407" s="668">
        <v>-34113.633010669029</v>
      </c>
      <c r="AI407" s="670">
        <v>-4.3297583289204994E-2</v>
      </c>
      <c r="AJ407" s="669">
        <v>0.10592082599081394</v>
      </c>
      <c r="AK407" s="668"/>
      <c r="AL407" s="668">
        <v>692227.01999999955</v>
      </c>
      <c r="AM407" s="671"/>
      <c r="AN407" s="668">
        <v>61547.040000000736</v>
      </c>
      <c r="AO407" s="672">
        <v>8.8911640577105433E-2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679.50765774804984</v>
      </c>
      <c r="Z409" s="674">
        <v>67271.258117056932</v>
      </c>
      <c r="AA409" s="542"/>
      <c r="AB409" s="681"/>
      <c r="AC409" s="674"/>
      <c r="AD409" s="686"/>
      <c r="AE409" s="681">
        <v>736.96170731707321</v>
      </c>
      <c r="AF409" s="674">
        <v>60430.86</v>
      </c>
      <c r="AG409" s="675">
        <v>57.454049569023368</v>
      </c>
      <c r="AH409" s="676">
        <v>-6840.3981170569314</v>
      </c>
      <c r="AI409" s="586">
        <v>-0.1016838142844621</v>
      </c>
      <c r="AJ409" s="844">
        <v>8.2136970036217352E-2</v>
      </c>
      <c r="AK409" s="676">
        <v>521.62779816513751</v>
      </c>
      <c r="AL409" s="674">
        <v>56857.429999999993</v>
      </c>
      <c r="AM409" s="678">
        <v>57.454049569023368</v>
      </c>
      <c r="AN409" s="676">
        <v>3573.4300000000076</v>
      </c>
      <c r="AO409" s="682">
        <v>6.2848953953775405E-2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402.82828282828285</v>
      </c>
      <c r="Z410" s="658">
        <v>39880</v>
      </c>
      <c r="AA410" s="657"/>
      <c r="AB410" s="684"/>
      <c r="AC410" s="658"/>
      <c r="AD410" s="694"/>
      <c r="AE410" s="684">
        <v>453.27048780487803</v>
      </c>
      <c r="AF410" s="658">
        <v>37168.18</v>
      </c>
      <c r="AG410" s="659">
        <v>50.442204976595178</v>
      </c>
      <c r="AH410" s="660">
        <v>-2711.8199999999997</v>
      </c>
      <c r="AI410" s="685">
        <v>-6.7999498495486449E-2</v>
      </c>
      <c r="AJ410" s="845">
        <v>6.1015156559476723E-2</v>
      </c>
      <c r="AK410" s="660">
        <v>387.48935779816509</v>
      </c>
      <c r="AL410" s="658">
        <v>42236.34</v>
      </c>
      <c r="AM410" s="662">
        <v>50.442204976595178</v>
      </c>
      <c r="AN410" s="660">
        <v>-5068.1599999999962</v>
      </c>
      <c r="AO410" s="663">
        <v>-0.11999524580018052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74.090909090909093</v>
      </c>
      <c r="Z411" s="674">
        <v>7335</v>
      </c>
      <c r="AA411" s="542"/>
      <c r="AB411" s="681"/>
      <c r="AC411" s="674"/>
      <c r="AD411" s="686"/>
      <c r="AE411" s="681">
        <v>73.97682926829269</v>
      </c>
      <c r="AF411" s="674">
        <v>6066.1</v>
      </c>
      <c r="AG411" s="675">
        <v>-0.1140798226164037</v>
      </c>
      <c r="AH411" s="676">
        <v>-1268.8999999999996</v>
      </c>
      <c r="AI411" s="586">
        <v>-0.17299250170415809</v>
      </c>
      <c r="AJ411" s="844">
        <v>2.0369603602009075E-2</v>
      </c>
      <c r="AK411" s="676">
        <v>129.36137614678898</v>
      </c>
      <c r="AL411" s="674">
        <v>14100.39</v>
      </c>
      <c r="AM411" s="678">
        <v>-0.1140798226164037</v>
      </c>
      <c r="AN411" s="676">
        <v>-8034.2899999999991</v>
      </c>
      <c r="AO411" s="682">
        <v>-0.56979204121304439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24.343434343434343</v>
      </c>
      <c r="Z412" s="674">
        <v>2410</v>
      </c>
      <c r="AA412" s="542"/>
      <c r="AB412" s="681"/>
      <c r="AC412" s="674"/>
      <c r="AD412" s="686"/>
      <c r="AE412" s="681">
        <v>32.871585365853662</v>
      </c>
      <c r="AF412" s="674">
        <v>2695.4700000000003</v>
      </c>
      <c r="AG412" s="675">
        <v>8.5281510224193191</v>
      </c>
      <c r="AH412" s="676">
        <v>285.47000000000025</v>
      </c>
      <c r="AI412" s="586">
        <v>0.11845228215767645</v>
      </c>
      <c r="AJ412" s="844">
        <v>8.486088855647391E-4</v>
      </c>
      <c r="AK412" s="676">
        <v>5.3892660550458711</v>
      </c>
      <c r="AL412" s="674">
        <v>587.42999999999995</v>
      </c>
      <c r="AM412" s="678">
        <v>8.5281510224193191</v>
      </c>
      <c r="AN412" s="676">
        <v>2108.0400000000004</v>
      </c>
      <c r="AO412" s="682">
        <v>3.5885807670701202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139.04797979797979</v>
      </c>
      <c r="Z413" s="658">
        <v>13765.75</v>
      </c>
      <c r="AA413" s="657"/>
      <c r="AB413" s="684"/>
      <c r="AC413" s="658"/>
      <c r="AD413" s="694"/>
      <c r="AE413" s="684">
        <v>169.27707317073171</v>
      </c>
      <c r="AF413" s="658">
        <v>13880.72</v>
      </c>
      <c r="AG413" s="659">
        <v>30.229093372751919</v>
      </c>
      <c r="AH413" s="660">
        <v>114.96999999999935</v>
      </c>
      <c r="AI413" s="685">
        <v>8.3518878375678299E-3</v>
      </c>
      <c r="AJ413" s="845">
        <v>2.1446721337170585E-2</v>
      </c>
      <c r="AK413" s="660">
        <v>136.20183486238531</v>
      </c>
      <c r="AL413" s="658">
        <v>14846</v>
      </c>
      <c r="AM413" s="662">
        <v>30.229093372751919</v>
      </c>
      <c r="AN413" s="660">
        <v>-965.28000000000065</v>
      </c>
      <c r="AO413" s="663">
        <v>-6.5019533881180161E-2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168.12121212121212</v>
      </c>
      <c r="Z414" s="674">
        <v>16644</v>
      </c>
      <c r="AA414" s="586"/>
      <c r="AB414" s="681"/>
      <c r="AC414" s="674"/>
      <c r="AD414" s="686"/>
      <c r="AE414" s="681">
        <v>261.70609756097565</v>
      </c>
      <c r="AF414" s="674">
        <v>21459.9</v>
      </c>
      <c r="AG414" s="675">
        <v>93.584885439763525</v>
      </c>
      <c r="AH414" s="676">
        <v>4815.9000000000015</v>
      </c>
      <c r="AI414" s="586">
        <v>0.28934751261715941</v>
      </c>
      <c r="AJ414" s="844">
        <v>3.2269225780871734E-2</v>
      </c>
      <c r="AK414" s="676">
        <v>204.9323853211009</v>
      </c>
      <c r="AL414" s="674">
        <v>22337.629999999997</v>
      </c>
      <c r="AM414" s="678">
        <v>93.584885439763525</v>
      </c>
      <c r="AN414" s="676">
        <v>-877.72999999999593</v>
      </c>
      <c r="AO414" s="682">
        <v>-3.929378362879124E-2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467.4317295632116</v>
      </c>
      <c r="Z415" s="674">
        <v>46275.741226757949</v>
      </c>
      <c r="AA415" s="542"/>
      <c r="AB415" s="681"/>
      <c r="AC415" s="674"/>
      <c r="AD415" s="686"/>
      <c r="AE415" s="681">
        <v>163.77288461538458</v>
      </c>
      <c r="AF415" s="674">
        <v>17032.379999999997</v>
      </c>
      <c r="AG415" s="675">
        <v>-303.65884494782699</v>
      </c>
      <c r="AH415" s="676">
        <v>-29243.361226757952</v>
      </c>
      <c r="AI415" s="586">
        <v>-0.63193717597004384</v>
      </c>
      <c r="AJ415" s="844">
        <v>7.4883569266048056E-2</v>
      </c>
      <c r="AK415" s="676">
        <v>475.56357798165141</v>
      </c>
      <c r="AL415" s="674">
        <v>51836.43</v>
      </c>
      <c r="AM415" s="678">
        <v>-303.65884494782699</v>
      </c>
      <c r="AN415" s="676">
        <v>-34804.050000000003</v>
      </c>
      <c r="AO415" s="682">
        <v>-0.67142065917733929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0.24569713559568626</v>
      </c>
      <c r="Y419" s="688"/>
      <c r="Z419" s="690">
        <v>193581.74934381485</v>
      </c>
      <c r="AA419" s="689"/>
      <c r="AB419" s="688"/>
      <c r="AC419" s="690"/>
      <c r="AD419" s="667">
        <v>0.2105851321017865</v>
      </c>
      <c r="AE419" s="688"/>
      <c r="AF419" s="690">
        <v>158733.61000000002</v>
      </c>
      <c r="AG419" s="691"/>
      <c r="AH419" s="692">
        <v>-34848.139343814837</v>
      </c>
      <c r="AI419" s="689">
        <v>-0.18001769000404105</v>
      </c>
      <c r="AJ419" s="667">
        <v>0.29296985546735821</v>
      </c>
      <c r="AK419" s="688"/>
      <c r="AL419" s="690">
        <v>202801.64999999997</v>
      </c>
      <c r="AM419" s="693"/>
      <c r="AN419" s="692">
        <v>-44068.03999999995</v>
      </c>
      <c r="AO419" s="672">
        <v>-0.21729625967047092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17433.836538461539</v>
      </c>
      <c r="AA420" s="542"/>
      <c r="AB420" s="542"/>
      <c r="AC420" s="674"/>
      <c r="AD420" s="686"/>
      <c r="AE420" s="681"/>
      <c r="AF420" s="674">
        <v>18425.95</v>
      </c>
      <c r="AG420" s="675"/>
      <c r="AH420" s="676">
        <v>992.11346153846171</v>
      </c>
      <c r="AI420" s="586">
        <v>5.6907351365244101E-2</v>
      </c>
      <c r="AJ420" s="686"/>
      <c r="AK420" s="542"/>
      <c r="AL420" s="674">
        <v>18548.37</v>
      </c>
      <c r="AM420" s="678"/>
      <c r="AN420" s="676">
        <v>-122.41999999999825</v>
      </c>
      <c r="AO420" s="682">
        <v>-6.6000408661245303E-3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66080.858974358984</v>
      </c>
      <c r="AA421" s="542"/>
      <c r="AB421" s="542"/>
      <c r="AC421" s="674"/>
      <c r="AD421" s="686"/>
      <c r="AE421" s="681"/>
      <c r="AF421" s="674">
        <v>53221.929999999993</v>
      </c>
      <c r="AG421" s="675"/>
      <c r="AH421" s="676">
        <v>-12858.928974358991</v>
      </c>
      <c r="AI421" s="586">
        <v>-0.1945938532570918</v>
      </c>
      <c r="AJ421" s="686"/>
      <c r="AK421" s="542"/>
      <c r="AL421" s="674">
        <v>43996.639999999999</v>
      </c>
      <c r="AM421" s="678"/>
      <c r="AN421" s="676">
        <v>9225.2899999999936</v>
      </c>
      <c r="AO421" s="682">
        <v>0.20968169387480484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76615.390769230769</v>
      </c>
      <c r="AA422" s="657"/>
      <c r="AB422" s="657"/>
      <c r="AC422" s="658"/>
      <c r="AD422" s="694"/>
      <c r="AE422" s="684"/>
      <c r="AF422" s="658">
        <v>58764.26</v>
      </c>
      <c r="AG422" s="659"/>
      <c r="AH422" s="660">
        <v>-17851.130769230767</v>
      </c>
      <c r="AI422" s="685">
        <v>-0.2329966680323961</v>
      </c>
      <c r="AJ422" s="694"/>
      <c r="AK422" s="657"/>
      <c r="AL422" s="658">
        <v>52421.899999999994</v>
      </c>
      <c r="AM422" s="662"/>
      <c r="AN422" s="660">
        <v>6342.3600000000079</v>
      </c>
      <c r="AO422" s="663">
        <v>0.12098683946976375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24357.5</v>
      </c>
      <c r="AA423" s="542"/>
      <c r="AB423" s="542"/>
      <c r="AC423" s="674"/>
      <c r="AD423" s="686"/>
      <c r="AE423" s="681"/>
      <c r="AF423" s="674">
        <v>32775.370000000003</v>
      </c>
      <c r="AG423" s="675"/>
      <c r="AH423" s="676">
        <v>8417.8700000000026</v>
      </c>
      <c r="AI423" s="586">
        <v>0.34559663348044761</v>
      </c>
      <c r="AJ423" s="686"/>
      <c r="AK423" s="542"/>
      <c r="AL423" s="674">
        <v>33599.850000000006</v>
      </c>
      <c r="AM423" s="678"/>
      <c r="AN423" s="676">
        <v>-824.4800000000032</v>
      </c>
      <c r="AO423" s="682">
        <v>-2.4538204783652397E-2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37148.063011692306</v>
      </c>
      <c r="AA424" s="542"/>
      <c r="AB424" s="542"/>
      <c r="AC424" s="674"/>
      <c r="AD424" s="686"/>
      <c r="AE424" s="681"/>
      <c r="AF424" s="674">
        <v>30524.63</v>
      </c>
      <c r="AG424" s="675"/>
      <c r="AH424" s="676">
        <v>-6623.4330116923047</v>
      </c>
      <c r="AI424" s="586">
        <v>-0.17829820654733969</v>
      </c>
      <c r="AJ424" s="686"/>
      <c r="AK424" s="542"/>
      <c r="AL424" s="674">
        <v>37414.44</v>
      </c>
      <c r="AM424" s="678"/>
      <c r="AN424" s="676">
        <v>-6889.8100000000013</v>
      </c>
      <c r="AO424" s="682">
        <v>-0.18414841970105661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0.1159399880390808</v>
      </c>
      <c r="Z428" s="658">
        <v>50874.026198030195</v>
      </c>
      <c r="AA428" s="657"/>
      <c r="AB428" s="657"/>
      <c r="AC428" s="658"/>
      <c r="AD428" s="694"/>
      <c r="AE428" s="684"/>
      <c r="AF428" s="658">
        <v>49343.119999999995</v>
      </c>
      <c r="AG428" s="659"/>
      <c r="AH428" s="660">
        <v>-1530.9061980301994</v>
      </c>
      <c r="AI428" s="685">
        <v>-3.0092098314984061E-2</v>
      </c>
      <c r="AJ428" s="694"/>
      <c r="AK428" s="657"/>
      <c r="AL428" s="658">
        <v>55516.55</v>
      </c>
      <c r="AM428" s="662"/>
      <c r="AN428" s="660">
        <v>-6173.4300000000076</v>
      </c>
      <c r="AO428" s="663">
        <v>-0.11119981338898054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0.14096668149245067</v>
      </c>
      <c r="Z429" s="674">
        <v>61855.644187913364</v>
      </c>
      <c r="AA429" s="542"/>
      <c r="AB429" s="542"/>
      <c r="AC429" s="674"/>
      <c r="AD429" s="686"/>
      <c r="AE429" s="681"/>
      <c r="AF429" s="674">
        <v>61080.929999999993</v>
      </c>
      <c r="AG429" s="675"/>
      <c r="AH429" s="676">
        <v>-774.71418791337055</v>
      </c>
      <c r="AI429" s="586">
        <v>-1.2524551285244722E-2</v>
      </c>
      <c r="AJ429" s="686"/>
      <c r="AK429" s="542"/>
      <c r="AL429" s="674">
        <v>58711.41</v>
      </c>
      <c r="AM429" s="678"/>
      <c r="AN429" s="676">
        <v>2369.5199999999895</v>
      </c>
      <c r="AO429" s="682">
        <v>4.035876501688495E-2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7.2628485899371306E-2</v>
      </c>
      <c r="Z430" s="674">
        <v>31869.10363594666</v>
      </c>
      <c r="AA430" s="542"/>
      <c r="AB430" s="542"/>
      <c r="AC430" s="674"/>
      <c r="AD430" s="686"/>
      <c r="AE430" s="681"/>
      <c r="AF430" s="674">
        <v>28835.01</v>
      </c>
      <c r="AG430" s="675"/>
      <c r="AH430" s="676">
        <v>-3034.0936359466614</v>
      </c>
      <c r="AI430" s="586">
        <v>-9.520486269731053E-2</v>
      </c>
      <c r="AJ430" s="686"/>
      <c r="AK430" s="542"/>
      <c r="AL430" s="674">
        <v>25693.35</v>
      </c>
      <c r="AM430" s="678"/>
      <c r="AN430" s="676">
        <v>3141.66</v>
      </c>
      <c r="AO430" s="682">
        <v>0.12227521907419624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13895.108476995028</v>
      </c>
      <c r="AA431" s="542"/>
      <c r="AB431" s="542"/>
      <c r="AC431" s="674"/>
      <c r="AD431" s="686"/>
      <c r="AE431" s="681"/>
      <c r="AF431" s="674">
        <v>10448.16</v>
      </c>
      <c r="AG431" s="675"/>
      <c r="AH431" s="676">
        <v>-3446.9484769950286</v>
      </c>
      <c r="AI431" s="708">
        <v>-0.24806920238887328</v>
      </c>
      <c r="AJ431" s="686"/>
      <c r="AK431" s="542"/>
      <c r="AL431" s="674">
        <v>10441.59</v>
      </c>
      <c r="AM431" s="678"/>
      <c r="AN431" s="676">
        <v>6.569999999999709</v>
      </c>
      <c r="AO431" s="682">
        <v>6.292145161799792E-4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0.48246664488447749</v>
      </c>
      <c r="Y433" s="688"/>
      <c r="Z433" s="690">
        <v>380129.53179262881</v>
      </c>
      <c r="AA433" s="689"/>
      <c r="AB433" s="688"/>
      <c r="AC433" s="690"/>
      <c r="AD433" s="667">
        <v>0.45559986503117367</v>
      </c>
      <c r="AE433" s="695"/>
      <c r="AF433" s="690">
        <v>343419.35999999993</v>
      </c>
      <c r="AG433" s="691"/>
      <c r="AH433" s="692">
        <v>-36710.171792628884</v>
      </c>
      <c r="AI433" s="689">
        <v>-9.6572796171635777E-2</v>
      </c>
      <c r="AJ433" s="667">
        <v>0.48588698545745912</v>
      </c>
      <c r="AK433" s="688"/>
      <c r="AL433" s="690">
        <v>336344.10000000003</v>
      </c>
      <c r="AM433" s="697"/>
      <c r="AN433" s="692">
        <v>7075.2599999998929</v>
      </c>
      <c r="AO433" s="672">
        <v>2.1035778537515277E-2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18269.622508647986</v>
      </c>
      <c r="AA434" s="699"/>
      <c r="AB434" s="699"/>
      <c r="AC434" s="700"/>
      <c r="AD434" s="701"/>
      <c r="AE434" s="702"/>
      <c r="AF434" s="700">
        <v>22624.880000000001</v>
      </c>
      <c r="AG434" s="701"/>
      <c r="AH434" s="703">
        <v>4355.2574913520148</v>
      </c>
      <c r="AI434" s="704">
        <v>0.23838792997996752</v>
      </c>
      <c r="AJ434" s="701"/>
      <c r="AK434" s="699"/>
      <c r="AL434" s="700">
        <v>16013.77</v>
      </c>
      <c r="AM434" s="705"/>
      <c r="AN434" s="703">
        <v>6611.1100000000006</v>
      </c>
      <c r="AO434" s="679">
        <v>0.41283907537075909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5109.3</v>
      </c>
      <c r="AG435" s="675"/>
      <c r="AH435" s="676">
        <v>563.91883719429188</v>
      </c>
      <c r="AI435" s="586">
        <v>0.12406414709700694</v>
      </c>
      <c r="AJ435" s="686"/>
      <c r="AK435" s="542"/>
      <c r="AL435" s="674">
        <v>6870.4099999999908</v>
      </c>
      <c r="AM435" s="678"/>
      <c r="AN435" s="676">
        <v>-1761.1099999999906</v>
      </c>
      <c r="AO435" s="682">
        <v>-0.2563325915047272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27709.26466666667</v>
      </c>
      <c r="AA436" s="657"/>
      <c r="AB436" s="657"/>
      <c r="AC436" s="658"/>
      <c r="AD436" s="694"/>
      <c r="AE436" s="684"/>
      <c r="AF436" s="658">
        <v>29334.550000000003</v>
      </c>
      <c r="AG436" s="659"/>
      <c r="AH436" s="660">
        <v>1625.2853333333333</v>
      </c>
      <c r="AI436" s="685">
        <v>5.8654942774013695E-2</v>
      </c>
      <c r="AJ436" s="694"/>
      <c r="AK436" s="657"/>
      <c r="AL436" s="658">
        <v>22664.019999999997</v>
      </c>
      <c r="AM436" s="662"/>
      <c r="AN436" s="660">
        <v>6670.5300000000061</v>
      </c>
      <c r="AO436" s="663">
        <v>0.29432245471015323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29728.79</v>
      </c>
      <c r="AG437" s="675"/>
      <c r="AH437" s="849">
        <v>7326.7098562222236</v>
      </c>
      <c r="AI437" s="586">
        <v>0.3270548899566022</v>
      </c>
      <c r="AJ437" s="686"/>
      <c r="AK437" s="542"/>
      <c r="AL437" s="674">
        <v>22579.48</v>
      </c>
      <c r="AM437" s="678"/>
      <c r="AN437" s="676">
        <v>7149.3100000000013</v>
      </c>
      <c r="AO437" s="682">
        <v>0.31662863803772279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4762</v>
      </c>
      <c r="AG438" s="675"/>
      <c r="AH438" s="676">
        <v>856.44236751388871</v>
      </c>
      <c r="AI438" s="586">
        <v>0.21928811404293991</v>
      </c>
      <c r="AJ438" s="686"/>
      <c r="AK438" s="542"/>
      <c r="AL438" s="674">
        <v>2910.03</v>
      </c>
      <c r="AM438" s="678"/>
      <c r="AN438" s="676">
        <v>1851.9699999999998</v>
      </c>
      <c r="AO438" s="682">
        <v>0.63640924664006893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36918.054597609284</v>
      </c>
      <c r="AA439" s="542"/>
      <c r="AB439" s="542"/>
      <c r="AC439" s="674"/>
      <c r="AD439" s="686"/>
      <c r="AE439" s="681"/>
      <c r="AF439" s="674">
        <v>42256.72</v>
      </c>
      <c r="AG439" s="675"/>
      <c r="AH439" s="676">
        <v>5338.6654023907176</v>
      </c>
      <c r="AI439" s="586">
        <v>0.14460852448970687</v>
      </c>
      <c r="AJ439" s="686"/>
      <c r="AK439" s="542"/>
      <c r="AL439" s="674">
        <v>32122.880000000001</v>
      </c>
      <c r="AM439" s="678"/>
      <c r="AN439" s="676">
        <v>10133.84</v>
      </c>
      <c r="AO439" s="682">
        <v>0.31547109101051962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6967.67</v>
      </c>
      <c r="AG441" s="675"/>
      <c r="AH441" s="676">
        <v>1714.9798444444432</v>
      </c>
      <c r="AI441" s="586">
        <v>0.32649552774982904</v>
      </c>
      <c r="AJ441" s="686"/>
      <c r="AK441" s="542"/>
      <c r="AL441" s="674">
        <v>1656.44</v>
      </c>
      <c r="AM441" s="678"/>
      <c r="AN441" s="676">
        <v>5311.23</v>
      </c>
      <c r="AO441" s="682">
        <v>3.2064125473907894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785.83</v>
      </c>
      <c r="AG442" s="675"/>
      <c r="AH442" s="676">
        <v>-547.96874011975035</v>
      </c>
      <c r="AI442" s="708">
        <v>-0.41083315168715251</v>
      </c>
      <c r="AJ442" s="686"/>
      <c r="AK442" s="542"/>
      <c r="AL442" s="674">
        <v>1556.43</v>
      </c>
      <c r="AM442" s="678"/>
      <c r="AN442" s="676">
        <v>-770.6</v>
      </c>
      <c r="AO442" s="682">
        <v>-0.49510739320110764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3272.95</v>
      </c>
      <c r="AG443" s="675"/>
      <c r="AH443" s="676">
        <v>512.19961453399992</v>
      </c>
      <c r="AI443" s="586">
        <v>0.18552912904784161</v>
      </c>
      <c r="AJ443" s="686"/>
      <c r="AK443" s="542"/>
      <c r="AL443" s="674">
        <v>3223.6699999999996</v>
      </c>
      <c r="AM443" s="678"/>
      <c r="AN443" s="676">
        <v>49.2800000000002</v>
      </c>
      <c r="AO443" s="682">
        <v>1.5286924530116359E-2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878.44</v>
      </c>
      <c r="AG444" s="675"/>
      <c r="AH444" s="676">
        <v>143.7592396313056</v>
      </c>
      <c r="AI444" s="708">
        <v>0.19567579197141494</v>
      </c>
      <c r="AJ444" s="686"/>
      <c r="AK444" s="542"/>
      <c r="AL444" s="674">
        <v>621.94000000000005</v>
      </c>
      <c r="AM444" s="678"/>
      <c r="AN444" s="676">
        <v>256.5</v>
      </c>
      <c r="AO444" s="682">
        <v>0.41241920442486407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342.94000000000005</v>
      </c>
      <c r="AG445" s="675"/>
      <c r="AH445" s="676">
        <v>107.7284378486946</v>
      </c>
      <c r="AI445" s="586">
        <v>0.45800655743018154</v>
      </c>
      <c r="AJ445" s="686"/>
      <c r="AK445" s="542"/>
      <c r="AL445" s="674">
        <v>-212.03999999999996</v>
      </c>
      <c r="AM445" s="678"/>
      <c r="AN445" s="676">
        <v>554.98</v>
      </c>
      <c r="AO445" s="682">
        <v>-2.617336351631768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349</v>
      </c>
      <c r="AG446" s="675"/>
      <c r="AH446" s="676">
        <v>-371.38919864980562</v>
      </c>
      <c r="AI446" s="708">
        <v>-0.51553965460043594</v>
      </c>
      <c r="AJ446" s="686"/>
      <c r="AK446" s="542"/>
      <c r="AL446" s="674">
        <v>329.1</v>
      </c>
      <c r="AM446" s="678"/>
      <c r="AN446" s="676">
        <v>19.899999999999977</v>
      </c>
      <c r="AO446" s="682">
        <v>6.0467942874506159E-2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314.8</v>
      </c>
      <c r="AG447" s="675"/>
      <c r="AH447" s="676">
        <v>-5459.3370435507659</v>
      </c>
      <c r="AI447" s="586">
        <v>-0.94548103073660061</v>
      </c>
      <c r="AJ447" s="686"/>
      <c r="AK447" s="542"/>
      <c r="AL447" s="674">
        <v>2278.56</v>
      </c>
      <c r="AM447" s="678"/>
      <c r="AN447" s="676">
        <v>-1963.76</v>
      </c>
      <c r="AO447" s="682">
        <v>-0.86184256723544694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1.4351403408778196E-3</v>
      </c>
      <c r="Z448" s="674">
        <v>8924.4835609961956</v>
      </c>
      <c r="AA448" s="542"/>
      <c r="AB448" s="681"/>
      <c r="AC448" s="674"/>
      <c r="AD448" s="686"/>
      <c r="AE448" s="681"/>
      <c r="AF448" s="674">
        <v>10132.540000000001</v>
      </c>
      <c r="AG448" s="675"/>
      <c r="AH448" s="676">
        <v>1208.0564390038053</v>
      </c>
      <c r="AI448" s="586">
        <v>0.13536429651610629</v>
      </c>
      <c r="AJ448" s="686"/>
      <c r="AK448" s="542"/>
      <c r="AL448" s="674">
        <v>10571.46</v>
      </c>
      <c r="AM448" s="678"/>
      <c r="AN448" s="676">
        <v>-438.91999999999825</v>
      </c>
      <c r="AO448" s="682">
        <v>-4.1519336023595442E-2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0.17703805168709844</v>
      </c>
      <c r="Y452" s="688"/>
      <c r="Z452" s="690">
        <v>139486.10211885162</v>
      </c>
      <c r="AA452" s="689"/>
      <c r="AB452" s="688"/>
      <c r="AC452" s="690"/>
      <c r="AD452" s="667">
        <v>0.2081000372976485</v>
      </c>
      <c r="AE452" s="688"/>
      <c r="AF452" s="690">
        <v>156860.41</v>
      </c>
      <c r="AG452" s="696"/>
      <c r="AH452" s="850">
        <v>17374.307881148394</v>
      </c>
      <c r="AI452" s="689">
        <v>0.12455941930576213</v>
      </c>
      <c r="AJ452" s="667">
        <v>0.17795628665289615</v>
      </c>
      <c r="AK452" s="689"/>
      <c r="AL452" s="690">
        <v>123186.15</v>
      </c>
      <c r="AM452" s="697"/>
      <c r="AN452" s="692">
        <v>33674.260000000024</v>
      </c>
      <c r="AO452" s="710">
        <v>0.27336076336503762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3445</v>
      </c>
      <c r="AM455" s="662"/>
      <c r="AN455" s="660">
        <v>164</v>
      </c>
      <c r="AO455" s="663">
        <v>4.7605224963715533E-2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5868.07</v>
      </c>
      <c r="AG458" s="675"/>
      <c r="AH458" s="676">
        <v>2168.0699999999997</v>
      </c>
      <c r="AI458" s="586">
        <v>0.58596486486486477</v>
      </c>
      <c r="AJ458" s="686"/>
      <c r="AK458" s="542"/>
      <c r="AL458" s="674">
        <v>2432.3200000000002</v>
      </c>
      <c r="AM458" s="678"/>
      <c r="AN458" s="676">
        <v>3435.7499999999995</v>
      </c>
      <c r="AO458" s="682">
        <v>1.4125402907512166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7014.5700000000006</v>
      </c>
      <c r="AG459" s="675"/>
      <c r="AH459" s="676">
        <v>230.52000000000044</v>
      </c>
      <c r="AI459" s="586">
        <v>3.3979702390165227E-2</v>
      </c>
      <c r="AJ459" s="686"/>
      <c r="AK459" s="542"/>
      <c r="AL459" s="674">
        <v>7623.3299999999899</v>
      </c>
      <c r="AM459" s="678"/>
      <c r="AN459" s="676">
        <v>-608.7599999999893</v>
      </c>
      <c r="AO459" s="682">
        <v>-7.9854866574054925E-2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1660.02</v>
      </c>
      <c r="AG460" s="659"/>
      <c r="AH460" s="660">
        <v>295.4576592354631</v>
      </c>
      <c r="AI460" s="685">
        <v>0.21652192091855921</v>
      </c>
      <c r="AJ460" s="694"/>
      <c r="AK460" s="657"/>
      <c r="AL460" s="658">
        <v>311.39999999999998</v>
      </c>
      <c r="AM460" s="662"/>
      <c r="AN460" s="660">
        <v>1348.62</v>
      </c>
      <c r="AO460" s="663">
        <v>4.3308285163776494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843.96</v>
      </c>
      <c r="AG461" s="675"/>
      <c r="AH461" s="676">
        <v>-156.03999999999996</v>
      </c>
      <c r="AI461" s="713">
        <v>-0.15603999999999996</v>
      </c>
      <c r="AJ461" s="542"/>
      <c r="AK461" s="542"/>
      <c r="AL461" s="674">
        <v>614.35</v>
      </c>
      <c r="AM461" s="678"/>
      <c r="AN461" s="676">
        <v>229.61</v>
      </c>
      <c r="AO461" s="682">
        <v>0.37374460812240579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7.8977223394606208E-2</v>
      </c>
      <c r="Y466" s="688"/>
      <c r="Z466" s="690">
        <v>62225.182340764542</v>
      </c>
      <c r="AA466" s="689"/>
      <c r="AB466" s="688"/>
      <c r="AC466" s="690"/>
      <c r="AD466" s="667">
        <v>8.5918146347461158E-2</v>
      </c>
      <c r="AE466" s="688"/>
      <c r="AF466" s="690">
        <v>64762.869999999995</v>
      </c>
      <c r="AG466" s="696"/>
      <c r="AH466" s="850">
        <v>2537.687659235462</v>
      </c>
      <c r="AI466" s="689">
        <v>4.0782325800803466E-2</v>
      </c>
      <c r="AJ466" s="667">
        <v>8.5949375394216807E-2</v>
      </c>
      <c r="AK466" s="689"/>
      <c r="AL466" s="690">
        <v>59496.479999999989</v>
      </c>
      <c r="AM466" s="697"/>
      <c r="AN466" s="692">
        <v>5266.3900000000103</v>
      </c>
      <c r="AO466" s="710">
        <v>8.8515992878906644E-2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0.98417905556186835</v>
      </c>
      <c r="Y468" s="688"/>
      <c r="Z468" s="690">
        <v>775422.56559605978</v>
      </c>
      <c r="AA468" s="689"/>
      <c r="AB468" s="688"/>
      <c r="AC468" s="690"/>
      <c r="AD468" s="667">
        <v>0.96020318077806988</v>
      </c>
      <c r="AE468" s="688"/>
      <c r="AF468" s="690">
        <v>723776.25</v>
      </c>
      <c r="AG468" s="696"/>
      <c r="AH468" s="850">
        <v>-51646.31559605978</v>
      </c>
      <c r="AI468" s="689">
        <v>-6.6604091610823521E-2</v>
      </c>
      <c r="AJ468" s="667">
        <v>1.0427625029719303</v>
      </c>
      <c r="AK468" s="689"/>
      <c r="AL468" s="690">
        <v>721828.38</v>
      </c>
      <c r="AM468" s="697"/>
      <c r="AN468" s="692">
        <v>1947.8699999999953</v>
      </c>
      <c r="AO468" s="672">
        <v>2.6985223274263548E-3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0</v>
      </c>
      <c r="AA469" s="717"/>
      <c r="AB469" s="718"/>
      <c r="AC469" s="700"/>
      <c r="AD469" s="719"/>
      <c r="AE469" s="718"/>
      <c r="AF469" s="674">
        <v>7299.74</v>
      </c>
      <c r="AG469" s="720"/>
      <c r="AH469" s="676">
        <v>7299.74</v>
      </c>
      <c r="AI469" s="713" t="e">
        <v>#DIV/0!</v>
      </c>
      <c r="AJ469" s="719"/>
      <c r="AK469" s="717"/>
      <c r="AL469" s="721">
        <v>125.88</v>
      </c>
      <c r="AM469" s="722"/>
      <c r="AN469" s="676">
        <v>7173.86</v>
      </c>
      <c r="AO469" s="682">
        <v>56.989672704162693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87450.281871825806</v>
      </c>
      <c r="AA470" s="711"/>
      <c r="AB470" s="676"/>
      <c r="AC470" s="674"/>
      <c r="AD470" s="726"/>
      <c r="AE470" s="852"/>
      <c r="AF470" s="674">
        <v>69529</v>
      </c>
      <c r="AG470" s="724"/>
      <c r="AH470" s="676">
        <v>-17921.281871825806</v>
      </c>
      <c r="AI470" s="708">
        <v>-0.20493109328215411</v>
      </c>
      <c r="AJ470" s="723"/>
      <c r="AK470" s="711"/>
      <c r="AL470" s="725">
        <v>99044.7</v>
      </c>
      <c r="AM470" s="726"/>
      <c r="AN470" s="676">
        <v>-29515.699999999997</v>
      </c>
      <c r="AO470" s="682">
        <v>-0.2980038305936612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0</v>
      </c>
      <c r="AA471" s="711"/>
      <c r="AB471" s="712"/>
      <c r="AC471" s="674"/>
      <c r="AD471" s="723"/>
      <c r="AF471" s="674">
        <v>0</v>
      </c>
      <c r="AG471" s="724"/>
      <c r="AH471" s="676">
        <v>0</v>
      </c>
      <c r="AI471" s="708">
        <v>0</v>
      </c>
      <c r="AJ471" s="723"/>
      <c r="AK471" s="711"/>
      <c r="AL471" s="725">
        <v>0</v>
      </c>
      <c r="AM471" s="726"/>
      <c r="AN471" s="676">
        <v>0</v>
      </c>
      <c r="AO471" s="682">
        <v>0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44079.049999999996</v>
      </c>
      <c r="AA480" s="711"/>
      <c r="AB480" s="712"/>
      <c r="AC480" s="674"/>
      <c r="AD480" s="853">
        <v>81.276553106212418</v>
      </c>
      <c r="AE480" s="711">
        <v>1.1683519142684298</v>
      </c>
      <c r="AF480" s="674">
        <v>40557</v>
      </c>
      <c r="AG480" s="724"/>
      <c r="AH480" s="676">
        <v>-3522.0499999999956</v>
      </c>
      <c r="AI480" s="708">
        <v>-7.9903037837702848E-2</v>
      </c>
      <c r="AJ480" s="723"/>
      <c r="AK480" s="711"/>
      <c r="AL480" s="725">
        <v>43463</v>
      </c>
      <c r="AM480" s="726"/>
      <c r="AN480" s="676">
        <v>-2906</v>
      </c>
      <c r="AO480" s="682">
        <v>-6.686146837539976E-2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0.16693918820996823</v>
      </c>
      <c r="Y481" s="709"/>
      <c r="Z481" s="690">
        <v>131529.33187182579</v>
      </c>
      <c r="AA481" s="689"/>
      <c r="AB481" s="709"/>
      <c r="AC481" s="690"/>
      <c r="AD481" s="689">
        <v>0.15573067080605024</v>
      </c>
      <c r="AE481" s="709"/>
      <c r="AF481" s="690">
        <v>117385.74</v>
      </c>
      <c r="AG481" s="696"/>
      <c r="AH481" s="692">
        <v>-14143.591871825789</v>
      </c>
      <c r="AI481" s="689">
        <v>-0.10753184609504896</v>
      </c>
      <c r="AJ481" s="727"/>
      <c r="AK481" s="728"/>
      <c r="AL481" s="690">
        <v>142633.58000000002</v>
      </c>
      <c r="AM481" s="729"/>
      <c r="AN481" s="692">
        <v>-25247.840000000011</v>
      </c>
      <c r="AO481" s="710">
        <v>-0.17701189299181869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2.3155654438987455E-2</v>
      </c>
      <c r="Z483" s="747">
        <v>143994.45928643533</v>
      </c>
      <c r="AA483" s="745"/>
      <c r="AB483" s="746"/>
      <c r="AC483" s="747"/>
      <c r="AD483" s="745" t="s">
        <v>185</v>
      </c>
      <c r="AE483" s="746">
        <v>2.7132741794039596E-2</v>
      </c>
      <c r="AF483" s="748">
        <v>147383.55000000028</v>
      </c>
      <c r="AG483" s="749"/>
      <c r="AH483" s="749">
        <v>3389.0907135649468</v>
      </c>
      <c r="AI483" s="750">
        <v>2.3536257786303645E-2</v>
      </c>
      <c r="AJ483" s="751" t="s">
        <v>185</v>
      </c>
      <c r="AK483" s="746">
        <v>1.7295577549075389E-2</v>
      </c>
      <c r="AL483" s="748">
        <v>113032.21999999956</v>
      </c>
      <c r="AM483" s="752"/>
      <c r="AN483" s="748">
        <v>34351.330000000715</v>
      </c>
      <c r="AO483" s="753">
        <v>0.3039074168409755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471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3.0597225997121391E-2</v>
      </c>
      <c r="Z488" s="748">
        <v>190270.20051319327</v>
      </c>
      <c r="AA488" s="745"/>
      <c r="AB488" s="746"/>
      <c r="AC488" s="747"/>
      <c r="AD488" s="745" t="s">
        <v>185</v>
      </c>
      <c r="AE488" s="746">
        <v>3.0268337107614032E-2</v>
      </c>
      <c r="AF488" s="748">
        <v>164415.93000000028</v>
      </c>
      <c r="AG488" s="749"/>
      <c r="AH488" s="749">
        <v>-25854.270513192983</v>
      </c>
      <c r="AI488" s="750">
        <v>-0.13588186927568963</v>
      </c>
      <c r="AJ488" s="745" t="s">
        <v>185</v>
      </c>
      <c r="AK488" s="746">
        <v>2.5227307058875527E-2</v>
      </c>
      <c r="AL488" s="748">
        <v>164868.64999999956</v>
      </c>
      <c r="AM488" s="752"/>
      <c r="AN488" s="748">
        <v>-452.71999999927357</v>
      </c>
      <c r="AO488" s="770">
        <v>-2.7459435132105151E-3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2.3155654438987455E-2</v>
      </c>
      <c r="Z489" s="747">
        <v>143994.45928643533</v>
      </c>
      <c r="AA489" s="745"/>
      <c r="AB489" s="746"/>
      <c r="AC489" s="747"/>
      <c r="AD489" s="745" t="s">
        <v>185</v>
      </c>
      <c r="AE489" s="746">
        <v>2.7132741794039596E-2</v>
      </c>
      <c r="AF489" s="747">
        <v>147383.55000000028</v>
      </c>
      <c r="AG489" s="748"/>
      <c r="AH489" s="749">
        <v>3389.0907135649468</v>
      </c>
      <c r="AI489" s="750">
        <v>2.3536257786303645E-2</v>
      </c>
      <c r="AJ489" s="745" t="s">
        <v>185</v>
      </c>
      <c r="AK489" s="746">
        <v>1.7295577549075389E-2</v>
      </c>
      <c r="AL489" s="760">
        <v>113032.21999999956</v>
      </c>
      <c r="AM489" s="761"/>
      <c r="AN489" s="762">
        <v>34351.330000000715</v>
      </c>
      <c r="AO489" s="763">
        <v>0.3039074168409755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0</v>
      </c>
      <c r="AM493" s="768"/>
      <c r="AN493" s="676">
        <v>0</v>
      </c>
      <c r="AO493" s="682">
        <v>0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-4607.6499999999996</v>
      </c>
      <c r="AM496" s="768"/>
      <c r="AN496" s="676">
        <v>3528.6499999999996</v>
      </c>
      <c r="AO496" s="682">
        <v>-0.76582422710058273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1.6470997648243807E-2</v>
      </c>
      <c r="Z498" s="747">
        <v>102425.625953102</v>
      </c>
      <c r="AA498" s="745"/>
      <c r="AB498" s="746"/>
      <c r="AC498" s="747"/>
      <c r="AD498" s="745" t="s">
        <v>185</v>
      </c>
      <c r="AE498" s="746">
        <v>1.9480049593068528E-2</v>
      </c>
      <c r="AF498" s="748">
        <v>105814.55000000028</v>
      </c>
      <c r="AG498" s="749"/>
      <c r="AH498" s="749">
        <v>3388.9240468982753</v>
      </c>
      <c r="AI498" s="750">
        <v>3.3086681339394249E-2</v>
      </c>
      <c r="AJ498" s="751" t="s">
        <v>185</v>
      </c>
      <c r="AK498" s="746">
        <v>1.7034328107735443E-2</v>
      </c>
      <c r="AL498" s="748">
        <v>111324.86999999956</v>
      </c>
      <c r="AM498" s="752"/>
      <c r="AN498" s="748">
        <v>-5510.3199999992794</v>
      </c>
      <c r="AO498" s="770">
        <v>-4.9497654926516428E-2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54927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485"/>
      <c r="AG502" s="485"/>
      <c r="AH502" s="485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485"/>
      <c r="AF503" s="485"/>
      <c r="AG503" s="485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485"/>
      <c r="AF504" s="485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F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F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F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F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F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F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127" priority="3" stopIfTrue="1">
      <formula>"esterreur(reference)"</formula>
    </cfRule>
  </conditionalFormatting>
  <conditionalFormatting sqref="D172:D181">
    <cfRule type="expression" dxfId="126" priority="62" stopIfTrue="1">
      <formula>"esterreur(reference)"</formula>
    </cfRule>
  </conditionalFormatting>
  <conditionalFormatting sqref="D400">
    <cfRule type="expression" dxfId="125" priority="6" stopIfTrue="1">
      <formula>"esterreur(reference)"</formula>
    </cfRule>
  </conditionalFormatting>
  <conditionalFormatting sqref="E186">
    <cfRule type="expression" dxfId="124" priority="63" stopIfTrue="1">
      <formula>"esterreur(reference)"</formula>
    </cfRule>
  </conditionalFormatting>
  <conditionalFormatting sqref="F5">
    <cfRule type="expression" dxfId="123" priority="60" stopIfTrue="1">
      <formula>"esterreur(reference)"</formula>
    </cfRule>
  </conditionalFormatting>
  <conditionalFormatting sqref="F83:F85">
    <cfRule type="expression" dxfId="122" priority="59" stopIfTrue="1">
      <formula>"esterreur(reference)"</formula>
    </cfRule>
  </conditionalFormatting>
  <conditionalFormatting sqref="F101">
    <cfRule type="expression" dxfId="121" priority="64" stopIfTrue="1">
      <formula>"esterreur(reference)"</formula>
    </cfRule>
  </conditionalFormatting>
  <conditionalFormatting sqref="F184">
    <cfRule type="expression" dxfId="120" priority="28" stopIfTrue="1">
      <formula>"esterreur(reference)"</formula>
    </cfRule>
  </conditionalFormatting>
  <conditionalFormatting sqref="G31:G32">
    <cfRule type="expression" dxfId="119" priority="57" stopIfTrue="1">
      <formula>"esterreur(reference)"</formula>
    </cfRule>
  </conditionalFormatting>
  <conditionalFormatting sqref="G112:G113">
    <cfRule type="expression" dxfId="118" priority="54" stopIfTrue="1">
      <formula>"esterreur(reference)"</formula>
    </cfRule>
  </conditionalFormatting>
  <conditionalFormatting sqref="G172:G181">
    <cfRule type="expression" dxfId="117" priority="61" stopIfTrue="1">
      <formula>"esterreur(reference)"</formula>
    </cfRule>
  </conditionalFormatting>
  <conditionalFormatting sqref="H25:H26 H28:H72">
    <cfRule type="expression" dxfId="116" priority="56" stopIfTrue="1">
      <formula>"esterreur(reference)"</formula>
    </cfRule>
  </conditionalFormatting>
  <conditionalFormatting sqref="H360 J360:L360">
    <cfRule type="expression" dxfId="115" priority="16" stopIfTrue="1">
      <formula>"esterreur(reference)"</formula>
    </cfRule>
  </conditionalFormatting>
  <conditionalFormatting sqref="H197:L197">
    <cfRule type="expression" dxfId="114" priority="18" stopIfTrue="1">
      <formula>"esterreur(reference)"</formula>
    </cfRule>
  </conditionalFormatting>
  <conditionalFormatting sqref="H313:L313 H314:J314 L314 H315:L317">
    <cfRule type="expression" dxfId="113" priority="1" stopIfTrue="1">
      <formula>"esterreur(reference)"</formula>
    </cfRule>
  </conditionalFormatting>
  <conditionalFormatting sqref="H396:L399">
    <cfRule type="expression" dxfId="112" priority="14" stopIfTrue="1">
      <formula>"esterreur(reference)"</formula>
    </cfRule>
  </conditionalFormatting>
  <conditionalFormatting sqref="I16:I18 I20 I24:I30">
    <cfRule type="expression" dxfId="111" priority="58" stopIfTrue="1">
      <formula>"esterreur(reference)"</formula>
    </cfRule>
  </conditionalFormatting>
  <conditionalFormatting sqref="I377:L377 J378:L394 H378:H395">
    <cfRule type="expression" dxfId="110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109" priority="7" stopIfTrue="1">
      <formula>"esterreur(reference)"</formula>
    </cfRule>
  </conditionalFormatting>
  <conditionalFormatting sqref="K395">
    <cfRule type="expression" dxfId="108" priority="17" stopIfTrue="1">
      <formula>"esterreur(reference)"</formula>
    </cfRule>
  </conditionalFormatting>
  <conditionalFormatting sqref="K5:L5">
    <cfRule type="expression" dxfId="107" priority="27" stopIfTrue="1">
      <formula>"esterreur(reference)"</formula>
    </cfRule>
  </conditionalFormatting>
  <conditionalFormatting sqref="K244:L244">
    <cfRule type="expression" dxfId="106" priority="24" stopIfTrue="1">
      <formula>"esterreur(reference)"</formula>
    </cfRule>
  </conditionalFormatting>
  <conditionalFormatting sqref="K247:L247">
    <cfRule type="expression" dxfId="105" priority="25" stopIfTrue="1">
      <formula>"esterreur(reference)"</formula>
    </cfRule>
  </conditionalFormatting>
  <conditionalFormatting sqref="L42:L48">
    <cfRule type="expression" dxfId="104" priority="20" stopIfTrue="1">
      <formula>"esterreur(reference)"</formula>
    </cfRule>
  </conditionalFormatting>
  <conditionalFormatting sqref="L75:L82">
    <cfRule type="expression" dxfId="103" priority="9" stopIfTrue="1">
      <formula>"esterreur(reference)"</formula>
    </cfRule>
  </conditionalFormatting>
  <conditionalFormatting sqref="L156:L162">
    <cfRule type="expression" dxfId="102" priority="23" stopIfTrue="1">
      <formula>"esterreur(reference)"</formula>
    </cfRule>
  </conditionalFormatting>
  <conditionalFormatting sqref="L198:L209">
    <cfRule type="expression" dxfId="101" priority="21" stopIfTrue="1">
      <formula>"esterreur(reference)"</formula>
    </cfRule>
  </conditionalFormatting>
  <conditionalFormatting sqref="L211:L228">
    <cfRule type="expression" dxfId="100" priority="22" stopIfTrue="1">
      <formula>"esterreur(reference)"</formula>
    </cfRule>
  </conditionalFormatting>
  <conditionalFormatting sqref="L254:L265">
    <cfRule type="expression" dxfId="99" priority="26" stopIfTrue="1">
      <formula>"esterreur(reference)"</formula>
    </cfRule>
  </conditionalFormatting>
  <conditionalFormatting sqref="L331:L348">
    <cfRule type="expression" dxfId="98" priority="19" stopIfTrue="1">
      <formula>"esterreur(reference)"</formula>
    </cfRule>
  </conditionalFormatting>
  <conditionalFormatting sqref="L356:L357 H357:I357 K357 J357:J358 H359:L359">
    <cfRule type="expression" dxfId="97" priority="13" stopIfTrue="1">
      <formula>"esterreur(reference)"</formula>
    </cfRule>
  </conditionalFormatting>
  <conditionalFormatting sqref="M95:M97">
    <cfRule type="expression" dxfId="96" priority="8" stopIfTrue="1">
      <formula>"esterreur(reference)"</formula>
    </cfRule>
  </conditionalFormatting>
  <conditionalFormatting sqref="N197:N209">
    <cfRule type="expression" dxfId="95" priority="2" stopIfTrue="1">
      <formula>"esterreur(reference)"</formula>
    </cfRule>
  </conditionalFormatting>
  <conditionalFormatting sqref="N318:N328">
    <cfRule type="expression" dxfId="94" priority="5" stopIfTrue="1">
      <formula>"esterreur(reference)"</formula>
    </cfRule>
  </conditionalFormatting>
  <conditionalFormatting sqref="O295:P303 O304:Q306 O307:P308 O309:Q317 Q318:Q329 O318:P348 O349:Q349 O352:Q352 O353:P353">
    <cfRule type="expression" dxfId="93" priority="49" stopIfTrue="1">
      <formula>"esterreur(reference)"</formula>
    </cfRule>
  </conditionalFormatting>
  <conditionalFormatting sqref="O197:Q197">
    <cfRule type="expression" dxfId="92" priority="38" stopIfTrue="1">
      <formula>"esterreur(reference)"</formula>
    </cfRule>
  </conditionalFormatting>
  <conditionalFormatting sqref="O243:Q243 O252:Q253 O254:P284 Q282:Q285 O285 O288:Q288 O289:P289">
    <cfRule type="expression" dxfId="91" priority="44" stopIfTrue="1">
      <formula>"esterreur(reference)"</formula>
    </cfRule>
  </conditionalFormatting>
  <conditionalFormatting sqref="O359:Q394">
    <cfRule type="expression" dxfId="90" priority="51" stopIfTrue="1">
      <formula>"esterreur(reference)"</formula>
    </cfRule>
  </conditionalFormatting>
  <conditionalFormatting sqref="O396:Q399">
    <cfRule type="expression" dxfId="89" priority="52" stopIfTrue="1">
      <formula>"esterreur(reference)"</formula>
    </cfRule>
  </conditionalFormatting>
  <conditionalFormatting sqref="P5">
    <cfRule type="expression" dxfId="88" priority="32" stopIfTrue="1">
      <formula>"esterreur(reference)"</formula>
    </cfRule>
  </conditionalFormatting>
  <conditionalFormatting sqref="P175">
    <cfRule type="expression" dxfId="87" priority="41" stopIfTrue="1">
      <formula>"esterreur(reference)"</formula>
    </cfRule>
  </conditionalFormatting>
  <conditionalFormatting sqref="P178">
    <cfRule type="expression" dxfId="86" priority="42" stopIfTrue="1">
      <formula>"esterreur(reference)"</formula>
    </cfRule>
  </conditionalFormatting>
  <conditionalFormatting sqref="P181">
    <cfRule type="expression" dxfId="85" priority="43" stopIfTrue="1">
      <formula>"esterreur(reference)"</formula>
    </cfRule>
  </conditionalFormatting>
  <conditionalFormatting sqref="P395">
    <cfRule type="expression" dxfId="84" priority="53" stopIfTrue="1">
      <formula>"esterreur(reference)"</formula>
    </cfRule>
  </conditionalFormatting>
  <conditionalFormatting sqref="P93:Q96 O97:Q98 O156:P157 O164:Q164 O165:P165">
    <cfRule type="expression" dxfId="83" priority="35" stopIfTrue="1">
      <formula>"esterreur(reference)"</formula>
    </cfRule>
  </conditionalFormatting>
  <conditionalFormatting sqref="P99:Q100">
    <cfRule type="expression" dxfId="82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81" priority="37" stopIfTrue="1">
      <formula>"esterreur(reference)"</formula>
    </cfRule>
  </conditionalFormatting>
  <conditionalFormatting sqref="P182:Q196">
    <cfRule type="expression" dxfId="80" priority="4" stopIfTrue="1">
      <formula>"esterreur(reference)"</formula>
    </cfRule>
  </conditionalFormatting>
  <conditionalFormatting sqref="P241:Q241">
    <cfRule type="expression" dxfId="79" priority="48" stopIfTrue="1">
      <formula>"esterreur(reference)"</formula>
    </cfRule>
  </conditionalFormatting>
  <conditionalFormatting sqref="P244:Q244">
    <cfRule type="expression" dxfId="78" priority="45" stopIfTrue="1">
      <formula>"esterreur(reference)"</formula>
    </cfRule>
  </conditionalFormatting>
  <conditionalFormatting sqref="P247:Q247">
    <cfRule type="expression" dxfId="77" priority="46" stopIfTrue="1">
      <formula>"esterreur(reference)"</formula>
    </cfRule>
  </conditionalFormatting>
  <conditionalFormatting sqref="Q5:Q14 O13:O14 O16 Q16:Q24 O18:O24 O25:Q26 O27 Q27 O28:Q72 O83:Q85">
    <cfRule type="expression" dxfId="76" priority="31" stopIfTrue="1">
      <formula>"esterreur(reference)"</formula>
    </cfRule>
  </conditionalFormatting>
  <conditionalFormatting sqref="Q75:Q82">
    <cfRule type="expression" dxfId="75" priority="33" stopIfTrue="1">
      <formula>"esterreur(reference)"</formula>
    </cfRule>
  </conditionalFormatting>
  <conditionalFormatting sqref="Q156:Q162">
    <cfRule type="expression" dxfId="74" priority="36" stopIfTrue="1">
      <formula>"esterreur(reference)"</formula>
    </cfRule>
  </conditionalFormatting>
  <conditionalFormatting sqref="Q198:Q209">
    <cfRule type="expression" dxfId="73" priority="39" stopIfTrue="1">
      <formula>"esterreur(reference)"</formula>
    </cfRule>
  </conditionalFormatting>
  <conditionalFormatting sqref="Q211:Q228">
    <cfRule type="expression" dxfId="72" priority="40" stopIfTrue="1">
      <formula>"esterreur(reference)"</formula>
    </cfRule>
  </conditionalFormatting>
  <conditionalFormatting sqref="Q254:Q265">
    <cfRule type="expression" dxfId="71" priority="47" stopIfTrue="1">
      <formula>"esterreur(reference)"</formula>
    </cfRule>
  </conditionalFormatting>
  <conditionalFormatting sqref="Q331:Q348">
    <cfRule type="expression" dxfId="70" priority="50" stopIfTrue="1">
      <formula>"esterreur(reference)"</formula>
    </cfRule>
  </conditionalFormatting>
  <conditionalFormatting sqref="R312">
    <cfRule type="expression" dxfId="69" priority="10" stopIfTrue="1">
      <formula>"esterreur(reference)"</formula>
    </cfRule>
  </conditionalFormatting>
  <conditionalFormatting sqref="S186">
    <cfRule type="expression" dxfId="68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67" priority="11" operator="greaterThan">
      <formula>0</formula>
    </cfRule>
  </conditionalFormatting>
  <conditionalFormatting sqref="AH469:AI476 AH480:AI480">
    <cfRule type="cellIs" dxfId="66" priority="12" operator="lessThan">
      <formula>0</formula>
    </cfRule>
  </conditionalFormatting>
  <conditionalFormatting sqref="AH477:AI479">
    <cfRule type="cellIs" dxfId="65" priority="55" operator="greaterThan">
      <formula>0</formula>
    </cfRule>
  </conditionalFormatting>
  <conditionalFormatting sqref="AO409:AO418">
    <cfRule type="cellIs" dxfId="64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68F3-3573-4D85-852C-708AF1FEB1DC}">
  <sheetPr>
    <tabColor rgb="FFFFC000"/>
  </sheetPr>
  <dimension ref="A1:BJ693"/>
  <sheetViews>
    <sheetView topLeftCell="U476" zoomScale="80" zoomScaleNormal="80" workbookViewId="0">
      <selection activeCell="AF504" sqref="AF504"/>
    </sheetView>
  </sheetViews>
  <sheetFormatPr baseColWidth="10" defaultColWidth="12.625" defaultRowHeight="15" customHeight="1"/>
  <cols>
    <col min="1" max="1" width="10.375" style="476" hidden="1" customWidth="1"/>
    <col min="2" max="2" width="21.875" style="476" hidden="1" customWidth="1"/>
    <col min="3" max="3" width="31.25" style="476" customWidth="1"/>
    <col min="4" max="4" width="16.5" style="476" customWidth="1"/>
    <col min="5" max="5" width="14.625" style="476" customWidth="1"/>
    <col min="6" max="6" width="14" style="476" customWidth="1"/>
    <col min="7" max="7" width="17.75" style="476" hidden="1" customWidth="1"/>
    <col min="8" max="8" width="15.125" style="476" hidden="1" customWidth="1"/>
    <col min="9" max="9" width="14" style="476" hidden="1" customWidth="1"/>
    <col min="10" max="10" width="15.625" style="476" customWidth="1"/>
    <col min="11" max="11" width="15.5" style="476" customWidth="1"/>
    <col min="12" max="12" width="14.875" style="476" customWidth="1"/>
    <col min="13" max="14" width="16.25" style="476" customWidth="1"/>
    <col min="15" max="15" width="15.5" style="476" customWidth="1"/>
    <col min="16" max="16" width="14.625" style="476" customWidth="1"/>
    <col min="17" max="17" width="14.875" style="476" bestFit="1" customWidth="1"/>
    <col min="18" max="18" width="14.75" style="476" customWidth="1"/>
    <col min="19" max="19" width="19" style="476" customWidth="1"/>
    <col min="20" max="20" width="4.625" style="476" customWidth="1"/>
    <col min="21" max="21" width="31.75" style="476" customWidth="1"/>
    <col min="22" max="22" width="34" style="476" customWidth="1"/>
    <col min="23" max="23" width="12.25" style="476" customWidth="1"/>
    <col min="24" max="24" width="13.75" style="476" customWidth="1"/>
    <col min="25" max="25" width="15.125" style="476" customWidth="1"/>
    <col min="26" max="26" width="15" style="476" customWidth="1"/>
    <col min="27" max="27" width="11.125" style="476" hidden="1" customWidth="1"/>
    <col min="28" max="28" width="9.375" style="476" hidden="1" customWidth="1"/>
    <col min="29" max="29" width="14.5" style="476" hidden="1" customWidth="1"/>
    <col min="30" max="30" width="13.5" style="476" customWidth="1"/>
    <col min="31" max="31" width="14.25" style="476" customWidth="1"/>
    <col min="32" max="32" width="14.125" style="476" customWidth="1"/>
    <col min="33" max="33" width="9" style="476" customWidth="1"/>
    <col min="34" max="34" width="13.5" style="476" customWidth="1"/>
    <col min="35" max="35" width="11.5" style="476" bestFit="1" customWidth="1"/>
    <col min="36" max="36" width="10.875" style="476" customWidth="1"/>
    <col min="37" max="37" width="11.375" style="476" customWidth="1"/>
    <col min="38" max="38" width="12.75" style="476" customWidth="1"/>
    <col min="39" max="39" width="9" style="476" customWidth="1"/>
    <col min="40" max="40" width="11.5" style="476" bestFit="1" customWidth="1"/>
    <col min="41" max="41" width="14.75" style="476" customWidth="1"/>
    <col min="42" max="42" width="11" style="476" customWidth="1"/>
    <col min="43" max="43" width="48.375" style="476" customWidth="1"/>
    <col min="44" max="62" width="11" style="476" customWidth="1"/>
    <col min="63" max="16384" width="12.625" style="476"/>
  </cols>
  <sheetData>
    <row r="1" spans="1:40" ht="36" thickBot="1">
      <c r="B1" s="477"/>
      <c r="C1" s="774" t="s">
        <v>481</v>
      </c>
      <c r="D1" s="478"/>
      <c r="E1" s="775"/>
      <c r="F1" s="478"/>
      <c r="G1" s="478"/>
      <c r="H1" s="477"/>
      <c r="I1" s="478"/>
      <c r="J1" s="477"/>
      <c r="K1" s="479" t="s">
        <v>0</v>
      </c>
      <c r="L1" s="478"/>
      <c r="M1" s="478"/>
      <c r="N1" s="480"/>
      <c r="O1" s="774"/>
      <c r="P1" s="776"/>
      <c r="Q1" s="774"/>
      <c r="R1" s="776"/>
      <c r="S1" s="777" t="s">
        <v>473</v>
      </c>
      <c r="T1" s="478" t="s">
        <v>1</v>
      </c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</row>
    <row r="2" spans="1:40" ht="15" customHeight="1" thickTop="1" thickBot="1">
      <c r="B2" s="482"/>
      <c r="C2" s="483"/>
      <c r="D2" s="484" t="s">
        <v>2</v>
      </c>
      <c r="E2" s="484" t="s">
        <v>3</v>
      </c>
      <c r="F2" s="484" t="s">
        <v>4</v>
      </c>
      <c r="G2" s="484"/>
      <c r="H2" s="484"/>
      <c r="I2" s="484"/>
      <c r="J2" s="484" t="s">
        <v>218</v>
      </c>
      <c r="K2" s="484"/>
      <c r="L2" s="484" t="s">
        <v>219</v>
      </c>
      <c r="M2" s="485"/>
      <c r="N2" s="485"/>
      <c r="O2" s="484" t="s">
        <v>2</v>
      </c>
      <c r="P2" s="484" t="s">
        <v>3</v>
      </c>
      <c r="Q2" s="484" t="s">
        <v>4</v>
      </c>
      <c r="R2" s="485"/>
      <c r="S2" s="485"/>
      <c r="T2" s="485"/>
      <c r="U2" s="485"/>
      <c r="V2" s="778" t="s">
        <v>474</v>
      </c>
      <c r="W2" s="779"/>
    </row>
    <row r="3" spans="1:40" ht="21" thickTop="1">
      <c r="B3" s="486"/>
      <c r="C3" s="487"/>
      <c r="D3" s="883" t="s">
        <v>5</v>
      </c>
      <c r="E3" s="884"/>
      <c r="F3" s="885"/>
      <c r="G3" s="886"/>
      <c r="H3" s="884"/>
      <c r="I3" s="885"/>
      <c r="J3" s="886" t="s">
        <v>7</v>
      </c>
      <c r="K3" s="884"/>
      <c r="L3" s="885"/>
      <c r="M3" s="886" t="s">
        <v>220</v>
      </c>
      <c r="N3" s="885"/>
      <c r="O3" s="883" t="s">
        <v>8</v>
      </c>
      <c r="P3" s="884"/>
      <c r="Q3" s="885"/>
      <c r="R3" s="886" t="s">
        <v>221</v>
      </c>
      <c r="S3" s="885"/>
      <c r="T3" s="486"/>
      <c r="U3" s="486"/>
      <c r="V3" s="780" t="s">
        <v>475</v>
      </c>
      <c r="W3" s="781">
        <v>0.45</v>
      </c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</row>
    <row r="4" spans="1:40" ht="20.25">
      <c r="B4" s="486"/>
      <c r="C4" s="488"/>
      <c r="D4" s="489" t="s">
        <v>10</v>
      </c>
      <c r="E4" s="490" t="s">
        <v>11</v>
      </c>
      <c r="F4" s="491" t="s">
        <v>12</v>
      </c>
      <c r="G4" s="492"/>
      <c r="H4" s="490"/>
      <c r="I4" s="491"/>
      <c r="J4" s="492" t="s">
        <v>476</v>
      </c>
      <c r="K4" s="490" t="s">
        <v>13</v>
      </c>
      <c r="L4" s="491" t="s">
        <v>12</v>
      </c>
      <c r="M4" s="492" t="s">
        <v>476</v>
      </c>
      <c r="N4" s="491" t="s">
        <v>12</v>
      </c>
      <c r="O4" s="490" t="s">
        <v>10</v>
      </c>
      <c r="P4" s="490" t="s">
        <v>11</v>
      </c>
      <c r="Q4" s="491" t="s">
        <v>12</v>
      </c>
      <c r="R4" s="492" t="s">
        <v>476</v>
      </c>
      <c r="S4" s="491" t="s">
        <v>12</v>
      </c>
      <c r="T4" s="486"/>
      <c r="U4" s="486"/>
      <c r="V4" s="780" t="s">
        <v>477</v>
      </c>
      <c r="W4" s="781">
        <v>0.1</v>
      </c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</row>
    <row r="5" spans="1:40" ht="20.25">
      <c r="A5" s="782" t="s">
        <v>228</v>
      </c>
      <c r="B5" s="486" t="s">
        <v>0</v>
      </c>
      <c r="C5" s="495" t="s">
        <v>15</v>
      </c>
      <c r="D5" s="496"/>
      <c r="E5" s="496"/>
      <c r="F5" s="497">
        <v>3782098.1621498531</v>
      </c>
      <c r="G5" s="496"/>
      <c r="H5" s="496"/>
      <c r="I5" s="498"/>
      <c r="J5" s="495"/>
      <c r="K5" s="499"/>
      <c r="L5" s="497">
        <v>2263466.9500000002</v>
      </c>
      <c r="M5" s="500"/>
      <c r="N5" s="501"/>
      <c r="O5" s="495"/>
      <c r="P5" s="499"/>
      <c r="Q5" s="497">
        <v>2093787.3699999901</v>
      </c>
      <c r="R5" s="500"/>
      <c r="S5" s="501"/>
      <c r="T5" s="486"/>
      <c r="U5" s="486"/>
      <c r="V5" s="780" t="s">
        <v>222</v>
      </c>
      <c r="W5" s="781">
        <v>0.22500000000000001</v>
      </c>
      <c r="X5" s="486"/>
      <c r="Y5" s="486"/>
      <c r="Z5" s="486"/>
      <c r="AA5" s="486"/>
      <c r="AB5" s="48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</row>
    <row r="6" spans="1:40" ht="20.25">
      <c r="A6" s="782" t="s">
        <v>229</v>
      </c>
      <c r="B6" s="486" t="s">
        <v>0</v>
      </c>
      <c r="C6" s="502" t="s">
        <v>16</v>
      </c>
      <c r="D6" s="543">
        <v>19</v>
      </c>
      <c r="E6" s="543">
        <v>1953.6491683802797</v>
      </c>
      <c r="F6" s="543">
        <v>37119.334199225312</v>
      </c>
      <c r="G6" s="506"/>
      <c r="H6" s="543"/>
      <c r="I6" s="543"/>
      <c r="J6" s="506">
        <v>12</v>
      </c>
      <c r="K6" s="543">
        <v>2183.5041666666693</v>
      </c>
      <c r="L6" s="507">
        <v>26202.050000000032</v>
      </c>
      <c r="M6" s="506">
        <v>-7</v>
      </c>
      <c r="N6" s="507">
        <v>-10917.28419922528</v>
      </c>
      <c r="O6" s="506">
        <v>15</v>
      </c>
      <c r="P6" s="543">
        <v>1651.8939999999934</v>
      </c>
      <c r="Q6" s="507">
        <v>24778.409999999902</v>
      </c>
      <c r="R6" s="506">
        <v>-3</v>
      </c>
      <c r="S6" s="507">
        <v>1423.6400000001304</v>
      </c>
      <c r="T6" s="486"/>
      <c r="U6" s="486"/>
      <c r="V6" s="780" t="s">
        <v>478</v>
      </c>
      <c r="W6" s="781">
        <v>2.5000000000000001E-2</v>
      </c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</row>
    <row r="7" spans="1:40" ht="20.25">
      <c r="A7" s="782" t="s">
        <v>230</v>
      </c>
      <c r="B7" s="486" t="s">
        <v>0</v>
      </c>
      <c r="C7" s="502" t="s">
        <v>17</v>
      </c>
      <c r="D7" s="543">
        <v>50</v>
      </c>
      <c r="E7" s="543">
        <v>2435.9046775963693</v>
      </c>
      <c r="F7" s="543">
        <v>121795.23387981846</v>
      </c>
      <c r="G7" s="506"/>
      <c r="H7" s="543"/>
      <c r="I7" s="543"/>
      <c r="J7" s="506">
        <v>29</v>
      </c>
      <c r="K7" s="543">
        <v>1971.4127586206946</v>
      </c>
      <c r="L7" s="507">
        <v>57170.970000000147</v>
      </c>
      <c r="M7" s="506">
        <v>-21</v>
      </c>
      <c r="N7" s="507">
        <v>-64624.263879818318</v>
      </c>
      <c r="O7" s="506">
        <v>25</v>
      </c>
      <c r="P7" s="543">
        <v>2415.8503999999921</v>
      </c>
      <c r="Q7" s="507">
        <v>60396.259999999798</v>
      </c>
      <c r="R7" s="506">
        <v>4</v>
      </c>
      <c r="S7" s="507">
        <v>-3225.2899999996516</v>
      </c>
      <c r="T7" s="486"/>
      <c r="U7" s="486"/>
      <c r="V7" s="780" t="s">
        <v>479</v>
      </c>
      <c r="W7" s="781">
        <v>0.2</v>
      </c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6"/>
      <c r="AK7" s="486"/>
      <c r="AL7" s="486"/>
      <c r="AM7" s="486"/>
      <c r="AN7" s="486"/>
    </row>
    <row r="8" spans="1:40" ht="21" thickBot="1">
      <c r="A8" s="782" t="s">
        <v>231</v>
      </c>
      <c r="B8" s="486" t="s">
        <v>0</v>
      </c>
      <c r="C8" s="502" t="s">
        <v>18</v>
      </c>
      <c r="D8" s="543">
        <v>0</v>
      </c>
      <c r="E8" s="543">
        <v>0</v>
      </c>
      <c r="F8" s="543">
        <v>0</v>
      </c>
      <c r="G8" s="506"/>
      <c r="H8" s="543"/>
      <c r="I8" s="543"/>
      <c r="J8" s="506">
        <v>0</v>
      </c>
      <c r="K8" s="543">
        <v>0</v>
      </c>
      <c r="L8" s="507">
        <v>0</v>
      </c>
      <c r="M8" s="506">
        <v>0</v>
      </c>
      <c r="N8" s="507">
        <v>0</v>
      </c>
      <c r="O8" s="506">
        <v>0</v>
      </c>
      <c r="P8" s="543">
        <v>0</v>
      </c>
      <c r="Q8" s="507">
        <v>0</v>
      </c>
      <c r="R8" s="506">
        <v>0</v>
      </c>
      <c r="S8" s="507">
        <v>0</v>
      </c>
      <c r="T8" s="486"/>
      <c r="U8" s="486"/>
      <c r="V8" s="783"/>
      <c r="W8" s="784">
        <v>1</v>
      </c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</row>
    <row r="9" spans="1:40" ht="21" thickTop="1">
      <c r="A9" s="782" t="s">
        <v>232</v>
      </c>
      <c r="B9" s="486" t="s">
        <v>0</v>
      </c>
      <c r="C9" s="502" t="s">
        <v>19</v>
      </c>
      <c r="D9" s="543">
        <v>0</v>
      </c>
      <c r="E9" s="543">
        <v>0</v>
      </c>
      <c r="F9" s="543">
        <v>0</v>
      </c>
      <c r="G9" s="506"/>
      <c r="H9" s="543"/>
      <c r="I9" s="543"/>
      <c r="J9" s="506">
        <v>0</v>
      </c>
      <c r="K9" s="543">
        <v>0</v>
      </c>
      <c r="L9" s="507">
        <v>0</v>
      </c>
      <c r="M9" s="506">
        <v>0</v>
      </c>
      <c r="N9" s="507">
        <v>0</v>
      </c>
      <c r="O9" s="506">
        <v>0</v>
      </c>
      <c r="P9" s="543">
        <v>0</v>
      </c>
      <c r="Q9" s="507">
        <v>0</v>
      </c>
      <c r="R9" s="506">
        <v>0</v>
      </c>
      <c r="S9" s="507">
        <v>0</v>
      </c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</row>
    <row r="10" spans="1:40" ht="20.25" hidden="1" customHeight="1">
      <c r="A10" s="782" t="s">
        <v>233</v>
      </c>
      <c r="B10" s="486" t="s">
        <v>0</v>
      </c>
      <c r="C10" s="502" t="s">
        <v>20</v>
      </c>
      <c r="D10" s="543">
        <v>0</v>
      </c>
      <c r="E10" s="543">
        <v>0</v>
      </c>
      <c r="F10" s="543">
        <v>0</v>
      </c>
      <c r="G10" s="506"/>
      <c r="H10" s="543"/>
      <c r="I10" s="543"/>
      <c r="J10" s="506">
        <v>0</v>
      </c>
      <c r="K10" s="543">
        <v>0</v>
      </c>
      <c r="L10" s="507">
        <v>0</v>
      </c>
      <c r="M10" s="506">
        <v>0</v>
      </c>
      <c r="N10" s="507">
        <v>0</v>
      </c>
      <c r="O10" s="506">
        <v>0</v>
      </c>
      <c r="P10" s="543">
        <v>0</v>
      </c>
      <c r="Q10" s="507">
        <v>0</v>
      </c>
      <c r="R10" s="506">
        <v>0</v>
      </c>
      <c r="S10" s="507">
        <v>0</v>
      </c>
      <c r="T10" s="486"/>
      <c r="U10" s="486"/>
      <c r="V10" s="486"/>
      <c r="W10" s="486"/>
      <c r="X10" s="486"/>
      <c r="Y10" s="486"/>
      <c r="Z10" s="486"/>
      <c r="AA10" s="486"/>
      <c r="AB10" s="486"/>
      <c r="AC10" s="486"/>
      <c r="AD10" s="486"/>
      <c r="AE10" s="486"/>
      <c r="AF10" s="486"/>
      <c r="AG10" s="486"/>
      <c r="AH10" s="486"/>
      <c r="AI10" s="486"/>
      <c r="AJ10" s="486"/>
      <c r="AK10" s="486"/>
      <c r="AL10" s="486"/>
      <c r="AM10" s="486"/>
      <c r="AN10" s="486"/>
    </row>
    <row r="11" spans="1:40" ht="20.25" hidden="1" customHeight="1">
      <c r="A11" s="782" t="s">
        <v>233</v>
      </c>
      <c r="B11" s="486" t="s">
        <v>0</v>
      </c>
      <c r="C11" s="502" t="s">
        <v>20</v>
      </c>
      <c r="D11" s="543">
        <v>0</v>
      </c>
      <c r="E11" s="543">
        <v>0</v>
      </c>
      <c r="F11" s="543">
        <v>0</v>
      </c>
      <c r="G11" s="506"/>
      <c r="H11" s="543"/>
      <c r="I11" s="543"/>
      <c r="J11" s="506">
        <v>0</v>
      </c>
      <c r="K11" s="543">
        <v>0</v>
      </c>
      <c r="L11" s="507">
        <v>0</v>
      </c>
      <c r="M11" s="506">
        <v>0</v>
      </c>
      <c r="N11" s="507">
        <v>0</v>
      </c>
      <c r="O11" s="506">
        <v>0</v>
      </c>
      <c r="P11" s="543">
        <v>0</v>
      </c>
      <c r="Q11" s="507">
        <v>0</v>
      </c>
      <c r="R11" s="506">
        <v>0</v>
      </c>
      <c r="S11" s="507">
        <v>0</v>
      </c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</row>
    <row r="12" spans="1:40" ht="20.25" hidden="1" customHeight="1">
      <c r="A12" s="782" t="s">
        <v>233</v>
      </c>
      <c r="B12" s="486" t="s">
        <v>0</v>
      </c>
      <c r="C12" s="502" t="s">
        <v>20</v>
      </c>
      <c r="D12" s="543">
        <v>0</v>
      </c>
      <c r="E12" s="543">
        <v>0</v>
      </c>
      <c r="F12" s="543">
        <v>0</v>
      </c>
      <c r="G12" s="506"/>
      <c r="H12" s="543"/>
      <c r="I12" s="543"/>
      <c r="J12" s="506">
        <v>0</v>
      </c>
      <c r="K12" s="543">
        <v>0</v>
      </c>
      <c r="L12" s="507">
        <v>0</v>
      </c>
      <c r="M12" s="506">
        <v>0</v>
      </c>
      <c r="N12" s="507">
        <v>0</v>
      </c>
      <c r="O12" s="506">
        <v>0</v>
      </c>
      <c r="P12" s="543">
        <v>0</v>
      </c>
      <c r="Q12" s="507">
        <v>0</v>
      </c>
      <c r="R12" s="506">
        <v>0</v>
      </c>
      <c r="S12" s="507">
        <v>0</v>
      </c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</row>
    <row r="13" spans="1:40" ht="20.25">
      <c r="A13" s="782" t="s">
        <v>234</v>
      </c>
      <c r="B13" s="486" t="s">
        <v>0</v>
      </c>
      <c r="C13" s="508" t="s">
        <v>21</v>
      </c>
      <c r="D13" s="580">
        <v>69</v>
      </c>
      <c r="E13" s="580">
        <v>2303.109682304982</v>
      </c>
      <c r="F13" s="581">
        <v>158914.56807904376</v>
      </c>
      <c r="G13" s="512"/>
      <c r="H13" s="580"/>
      <c r="I13" s="581"/>
      <c r="J13" s="512">
        <v>41</v>
      </c>
      <c r="K13" s="580">
        <v>2033.4882926829312</v>
      </c>
      <c r="L13" s="581">
        <v>83373.020000000179</v>
      </c>
      <c r="M13" s="512">
        <v>-28</v>
      </c>
      <c r="N13" s="581">
        <v>-75541.548079043598</v>
      </c>
      <c r="O13" s="512">
        <v>40</v>
      </c>
      <c r="P13" s="580">
        <v>2129.3667499999924</v>
      </c>
      <c r="Q13" s="581">
        <v>85174.669999999693</v>
      </c>
      <c r="R13" s="512">
        <v>1</v>
      </c>
      <c r="S13" s="581">
        <v>-1801.6499999995212</v>
      </c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</row>
    <row r="14" spans="1:40" ht="20.25">
      <c r="A14" s="782" t="s">
        <v>0</v>
      </c>
      <c r="B14" s="486" t="s">
        <v>0</v>
      </c>
      <c r="C14" s="502"/>
      <c r="D14" s="486"/>
      <c r="E14" s="543"/>
      <c r="F14" s="527"/>
      <c r="G14" s="502"/>
      <c r="H14" s="543"/>
      <c r="I14" s="527"/>
      <c r="J14" s="502"/>
      <c r="K14" s="543"/>
      <c r="L14" s="527"/>
      <c r="M14" s="785">
        <v>-0.40579710144927539</v>
      </c>
      <c r="N14" s="786">
        <v>-0.47535949027322277</v>
      </c>
      <c r="O14" s="502"/>
      <c r="P14" s="543"/>
      <c r="Q14" s="527"/>
      <c r="R14" s="785">
        <v>2.5000000000000001E-2</v>
      </c>
      <c r="S14" s="786">
        <v>-2.1152415383582087E-2</v>
      </c>
      <c r="T14" s="486"/>
      <c r="U14" s="486"/>
      <c r="V14" s="486"/>
      <c r="W14" s="543"/>
      <c r="X14" s="543"/>
      <c r="Y14" s="486"/>
      <c r="Z14" s="486"/>
      <c r="AA14" s="486"/>
      <c r="AB14" s="486"/>
      <c r="AC14" s="486"/>
      <c r="AD14" s="486">
        <v>20</v>
      </c>
      <c r="AE14" s="486">
        <v>1000</v>
      </c>
      <c r="AF14" s="486">
        <v>20000</v>
      </c>
      <c r="AG14" s="486"/>
      <c r="AH14" s="486"/>
      <c r="AI14" s="486"/>
      <c r="AJ14" s="486"/>
      <c r="AK14" s="486"/>
      <c r="AL14" s="486"/>
      <c r="AM14" s="486"/>
      <c r="AN14" s="486"/>
    </row>
    <row r="15" spans="1:40" ht="20.25">
      <c r="A15" s="782" t="s">
        <v>235</v>
      </c>
      <c r="B15" s="486" t="s">
        <v>0</v>
      </c>
      <c r="C15" s="515" t="s">
        <v>22</v>
      </c>
      <c r="D15" s="499">
        <v>4</v>
      </c>
      <c r="E15" s="499">
        <v>1534.7521433415677</v>
      </c>
      <c r="F15" s="497">
        <v>6139.0085733662709</v>
      </c>
      <c r="G15" s="519"/>
      <c r="H15" s="499"/>
      <c r="I15" s="497"/>
      <c r="J15" s="582">
        <v>6</v>
      </c>
      <c r="K15" s="787">
        <v>1300.1783333333344</v>
      </c>
      <c r="L15" s="787">
        <v>7801.070000000007</v>
      </c>
      <c r="M15" s="519">
        <v>2</v>
      </c>
      <c r="N15" s="497">
        <v>1662.0614266337361</v>
      </c>
      <c r="O15" s="582">
        <v>0</v>
      </c>
      <c r="P15" s="787">
        <v>0</v>
      </c>
      <c r="Q15" s="787">
        <v>0</v>
      </c>
      <c r="R15" s="519">
        <v>6</v>
      </c>
      <c r="S15" s="497">
        <v>7801.070000000007</v>
      </c>
      <c r="T15" s="486"/>
      <c r="U15" s="782"/>
      <c r="V15" s="543"/>
      <c r="W15" s="486"/>
      <c r="X15" s="486"/>
      <c r="Y15" s="486"/>
      <c r="Z15" s="486"/>
      <c r="AA15" s="486"/>
      <c r="AB15" s="486"/>
      <c r="AC15" s="486"/>
      <c r="AD15" s="486">
        <v>25</v>
      </c>
      <c r="AE15" s="486">
        <v>800</v>
      </c>
      <c r="AF15" s="486">
        <v>20000</v>
      </c>
      <c r="AG15" s="486"/>
      <c r="AH15" s="486"/>
      <c r="AI15" s="486"/>
      <c r="AJ15" s="486"/>
      <c r="AK15" s="486"/>
      <c r="AL15" s="486"/>
      <c r="AM15" s="486"/>
      <c r="AN15" s="486"/>
    </row>
    <row r="16" spans="1:40" ht="20.25">
      <c r="A16" s="782" t="s">
        <v>0</v>
      </c>
      <c r="B16" s="486" t="s">
        <v>0</v>
      </c>
      <c r="C16" s="502"/>
      <c r="D16" s="486"/>
      <c r="E16" s="543"/>
      <c r="F16" s="527"/>
      <c r="G16" s="502"/>
      <c r="H16" s="543"/>
      <c r="I16" s="527"/>
      <c r="J16" s="502"/>
      <c r="K16" s="543"/>
      <c r="L16" s="507"/>
      <c r="M16" s="513"/>
      <c r="N16" s="514"/>
      <c r="O16" s="502"/>
      <c r="P16" s="543"/>
      <c r="Q16" s="507"/>
      <c r="R16" s="513"/>
      <c r="S16" s="514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</row>
    <row r="17" spans="1:40" ht="20.25">
      <c r="A17" s="782" t="s">
        <v>236</v>
      </c>
      <c r="B17" s="486" t="s">
        <v>0</v>
      </c>
      <c r="C17" s="520" t="s">
        <v>23</v>
      </c>
      <c r="D17" s="543">
        <v>2</v>
      </c>
      <c r="E17" s="543">
        <v>2393.8521192147828</v>
      </c>
      <c r="F17" s="543">
        <v>4787.7042384295655</v>
      </c>
      <c r="G17" s="506"/>
      <c r="H17" s="543"/>
      <c r="I17" s="543"/>
      <c r="J17" s="519">
        <v>0</v>
      </c>
      <c r="K17" s="543">
        <v>0</v>
      </c>
      <c r="L17" s="507">
        <v>0</v>
      </c>
      <c r="M17" s="519">
        <v>-2</v>
      </c>
      <c r="N17" s="507">
        <v>-4787.7042384295655</v>
      </c>
      <c r="O17" s="519">
        <v>0</v>
      </c>
      <c r="P17" s="543">
        <v>0</v>
      </c>
      <c r="Q17" s="507">
        <v>0</v>
      </c>
      <c r="R17" s="506">
        <v>0</v>
      </c>
      <c r="S17" s="507">
        <v>0</v>
      </c>
      <c r="T17" s="486"/>
      <c r="U17" s="485"/>
      <c r="V17" s="772"/>
      <c r="W17" s="486"/>
      <c r="X17" s="486"/>
      <c r="Y17" s="486"/>
      <c r="Z17" s="486"/>
      <c r="AA17" s="543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</row>
    <row r="18" spans="1:40" ht="20.25">
      <c r="A18" s="782" t="s">
        <v>0</v>
      </c>
      <c r="B18" s="486" t="s">
        <v>0</v>
      </c>
      <c r="C18" s="508"/>
      <c r="D18" s="589"/>
      <c r="E18" s="589"/>
      <c r="F18" s="524"/>
      <c r="G18" s="525"/>
      <c r="H18" s="589"/>
      <c r="I18" s="524"/>
      <c r="J18" s="506"/>
      <c r="K18" s="589"/>
      <c r="L18" s="524"/>
      <c r="M18" s="506"/>
      <c r="N18" s="524"/>
      <c r="O18" s="506"/>
      <c r="P18" s="589"/>
      <c r="Q18" s="524"/>
      <c r="R18" s="525"/>
      <c r="S18" s="524"/>
      <c r="T18" s="486"/>
      <c r="U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</row>
    <row r="19" spans="1:40" ht="20.25">
      <c r="A19" s="782" t="s">
        <v>237</v>
      </c>
      <c r="B19" s="486" t="s">
        <v>0</v>
      </c>
      <c r="C19" s="515" t="s">
        <v>24</v>
      </c>
      <c r="D19" s="543">
        <v>0</v>
      </c>
      <c r="E19" s="543">
        <v>0</v>
      </c>
      <c r="F19" s="543">
        <v>7650</v>
      </c>
      <c r="G19" s="506"/>
      <c r="H19" s="543"/>
      <c r="I19" s="543"/>
      <c r="J19" s="519"/>
      <c r="K19" s="543"/>
      <c r="L19" s="507">
        <v>6139.6000000000058</v>
      </c>
      <c r="M19" s="506"/>
      <c r="N19" s="507">
        <v>-1510.3999999999942</v>
      </c>
      <c r="O19" s="519"/>
      <c r="P19" s="543"/>
      <c r="Q19" s="507">
        <v>6100</v>
      </c>
      <c r="R19" s="506">
        <v>0</v>
      </c>
      <c r="S19" s="507">
        <v>39.600000000005821</v>
      </c>
      <c r="T19" s="486"/>
      <c r="W19" s="543"/>
      <c r="X19" s="788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</row>
    <row r="20" spans="1:40" ht="20.25">
      <c r="A20" s="782" t="s">
        <v>0</v>
      </c>
      <c r="B20" s="486" t="s">
        <v>0</v>
      </c>
      <c r="C20" s="508"/>
      <c r="D20" s="589"/>
      <c r="E20" s="589"/>
      <c r="F20" s="524"/>
      <c r="G20" s="525"/>
      <c r="H20" s="589"/>
      <c r="I20" s="524"/>
      <c r="J20" s="506"/>
      <c r="K20" s="589"/>
      <c r="L20" s="524"/>
      <c r="M20" s="525"/>
      <c r="N20" s="524"/>
      <c r="O20" s="506"/>
      <c r="P20" s="589"/>
      <c r="Q20" s="524"/>
      <c r="R20" s="525"/>
      <c r="S20" s="524"/>
      <c r="T20" s="486"/>
      <c r="U20" s="486"/>
      <c r="W20" s="543"/>
      <c r="X20" s="788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6"/>
      <c r="AJ20" s="486"/>
      <c r="AK20" s="486"/>
      <c r="AL20" s="486"/>
      <c r="AM20" s="486"/>
      <c r="AN20" s="486"/>
    </row>
    <row r="21" spans="1:40" ht="15.75" customHeight="1">
      <c r="A21" s="782" t="s">
        <v>238</v>
      </c>
      <c r="B21" s="486" t="s">
        <v>0</v>
      </c>
      <c r="C21" s="502" t="s">
        <v>25</v>
      </c>
      <c r="D21" s="543">
        <v>0</v>
      </c>
      <c r="E21" s="543">
        <v>0</v>
      </c>
      <c r="F21" s="543">
        <v>3650</v>
      </c>
      <c r="G21" s="506"/>
      <c r="H21" s="543"/>
      <c r="I21" s="543"/>
      <c r="J21" s="506"/>
      <c r="K21" s="543">
        <v>14.402127659574468</v>
      </c>
      <c r="L21" s="507">
        <v>676.9</v>
      </c>
      <c r="M21" s="506"/>
      <c r="N21" s="507">
        <v>-2973.1</v>
      </c>
      <c r="O21" s="506"/>
      <c r="P21" s="543"/>
      <c r="Q21" s="507">
        <v>0</v>
      </c>
      <c r="R21" s="506">
        <v>-14.402127659574468</v>
      </c>
      <c r="S21" s="507">
        <v>676.9</v>
      </c>
      <c r="T21" s="486"/>
      <c r="U21" s="486"/>
      <c r="W21" s="486"/>
      <c r="X21" s="788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  <c r="AK21" s="486"/>
      <c r="AL21" s="486"/>
      <c r="AM21" s="486"/>
      <c r="AN21" s="486"/>
    </row>
    <row r="22" spans="1:40" ht="18" customHeight="1">
      <c r="A22" s="782" t="s">
        <v>239</v>
      </c>
      <c r="B22" s="486" t="s">
        <v>0</v>
      </c>
      <c r="C22" s="502" t="s">
        <v>26</v>
      </c>
      <c r="D22" s="543">
        <v>0</v>
      </c>
      <c r="E22" s="543">
        <v>0</v>
      </c>
      <c r="F22" s="543">
        <v>67890</v>
      </c>
      <c r="G22" s="506"/>
      <c r="H22" s="543"/>
      <c r="I22" s="543"/>
      <c r="J22" s="506"/>
      <c r="K22" s="543">
        <v>1023.1253191489361</v>
      </c>
      <c r="L22" s="507">
        <v>48086.89</v>
      </c>
      <c r="M22" s="506"/>
      <c r="N22" s="507">
        <v>-19803.11</v>
      </c>
      <c r="O22" s="506"/>
      <c r="P22" s="543"/>
      <c r="Q22" s="507">
        <v>31000.2</v>
      </c>
      <c r="R22" s="506">
        <v>-1023.1253191489361</v>
      </c>
      <c r="S22" s="507">
        <v>17086.689999999999</v>
      </c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  <c r="AK22" s="486"/>
      <c r="AL22" s="486"/>
      <c r="AM22" s="486"/>
      <c r="AN22" s="486"/>
    </row>
    <row r="23" spans="1:40" ht="19.5" customHeight="1">
      <c r="A23" s="782" t="s">
        <v>240</v>
      </c>
      <c r="B23" s="486" t="s">
        <v>0</v>
      </c>
      <c r="C23" s="502" t="s">
        <v>27</v>
      </c>
      <c r="D23" s="543">
        <v>0</v>
      </c>
      <c r="E23" s="543">
        <v>0</v>
      </c>
      <c r="F23" s="543">
        <v>1460</v>
      </c>
      <c r="G23" s="506"/>
      <c r="H23" s="543"/>
      <c r="I23" s="543"/>
      <c r="J23" s="506"/>
      <c r="K23" s="543">
        <v>0</v>
      </c>
      <c r="L23" s="507">
        <v>0</v>
      </c>
      <c r="M23" s="519"/>
      <c r="N23" s="507">
        <v>-1460</v>
      </c>
      <c r="O23" s="506"/>
      <c r="P23" s="543"/>
      <c r="Q23" s="507">
        <v>2699</v>
      </c>
      <c r="R23" s="506">
        <v>0</v>
      </c>
      <c r="S23" s="507">
        <v>-2699</v>
      </c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</row>
    <row r="24" spans="1:40" ht="18" customHeight="1">
      <c r="A24" s="782" t="s">
        <v>241</v>
      </c>
      <c r="B24" s="486" t="s">
        <v>0</v>
      </c>
      <c r="C24" s="508" t="s">
        <v>28</v>
      </c>
      <c r="D24" s="580">
        <v>73</v>
      </c>
      <c r="E24" s="580">
        <v>1000</v>
      </c>
      <c r="F24" s="581">
        <v>73000</v>
      </c>
      <c r="G24" s="512"/>
      <c r="H24" s="580"/>
      <c r="I24" s="581"/>
      <c r="J24" s="512">
        <v>47</v>
      </c>
      <c r="K24" s="580">
        <v>1037.5274468085106</v>
      </c>
      <c r="L24" s="581">
        <v>48763.79</v>
      </c>
      <c r="M24" s="526">
        <v>-26</v>
      </c>
      <c r="N24" s="581">
        <v>-24236.21</v>
      </c>
      <c r="O24" s="512">
        <v>40</v>
      </c>
      <c r="P24" s="580">
        <v>842.4799999999999</v>
      </c>
      <c r="Q24" s="581">
        <v>33699.199999999997</v>
      </c>
      <c r="R24" s="525"/>
      <c r="S24" s="581">
        <v>15064.590000000004</v>
      </c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</row>
    <row r="25" spans="1:40" ht="15.75" customHeight="1">
      <c r="A25" s="782" t="s">
        <v>0</v>
      </c>
      <c r="B25" s="486" t="s">
        <v>0</v>
      </c>
      <c r="C25" s="502"/>
      <c r="D25" s="486"/>
      <c r="E25" s="486"/>
      <c r="F25" s="505"/>
      <c r="G25" s="502"/>
      <c r="H25" s="486"/>
      <c r="I25" s="505"/>
      <c r="J25" s="502"/>
      <c r="K25" s="486"/>
      <c r="L25" s="505"/>
      <c r="M25" s="513"/>
      <c r="N25" s="514">
        <v>-0.33200287671232875</v>
      </c>
      <c r="O25" s="502"/>
      <c r="P25" s="486"/>
      <c r="Q25" s="505"/>
      <c r="R25" s="504"/>
      <c r="S25" s="514">
        <v>0.44703108679137799</v>
      </c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</row>
    <row r="26" spans="1:40" ht="15.75" customHeight="1" thickBot="1">
      <c r="A26" s="782" t="s">
        <v>0</v>
      </c>
      <c r="B26" s="486" t="s">
        <v>0</v>
      </c>
      <c r="C26" s="502"/>
      <c r="D26" s="486"/>
      <c r="E26" s="486"/>
      <c r="F26" s="527"/>
      <c r="G26" s="502"/>
      <c r="H26" s="486"/>
      <c r="I26" s="527"/>
      <c r="J26" s="502"/>
      <c r="K26" s="486"/>
      <c r="L26" s="527"/>
      <c r="M26" s="502"/>
      <c r="N26" s="527"/>
      <c r="O26" s="502"/>
      <c r="P26" s="486"/>
      <c r="Q26" s="527"/>
      <c r="R26" s="502"/>
      <c r="S26" s="527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</row>
    <row r="27" spans="1:40" ht="18" customHeight="1" thickTop="1">
      <c r="A27" s="782" t="s">
        <v>242</v>
      </c>
      <c r="B27" s="486" t="s">
        <v>0</v>
      </c>
      <c r="C27" s="528" t="s">
        <v>29</v>
      </c>
      <c r="D27" s="529">
        <v>75</v>
      </c>
      <c r="E27" s="530">
        <v>3339.8837452111948</v>
      </c>
      <c r="F27" s="531">
        <v>250491.28089083961</v>
      </c>
      <c r="G27" s="532"/>
      <c r="H27" s="530"/>
      <c r="I27" s="531"/>
      <c r="J27" s="532">
        <v>47</v>
      </c>
      <c r="K27" s="530">
        <v>3108.031489361706</v>
      </c>
      <c r="L27" s="531">
        <v>146077.48000000019</v>
      </c>
      <c r="M27" s="532">
        <v>-28</v>
      </c>
      <c r="N27" s="531">
        <v>-104413.80089083943</v>
      </c>
      <c r="O27" s="532">
        <v>40</v>
      </c>
      <c r="P27" s="530">
        <v>3124.3467499999924</v>
      </c>
      <c r="Q27" s="531">
        <v>124973.86999999969</v>
      </c>
      <c r="R27" s="532">
        <v>7</v>
      </c>
      <c r="S27" s="531">
        <v>21103.610000000495</v>
      </c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  <c r="AK27" s="486"/>
      <c r="AL27" s="486"/>
      <c r="AM27" s="486"/>
      <c r="AN27" s="486"/>
    </row>
    <row r="28" spans="1:40" ht="22.5" customHeight="1" thickBot="1">
      <c r="A28" s="782" t="s">
        <v>0</v>
      </c>
      <c r="B28" s="486" t="s">
        <v>0</v>
      </c>
      <c r="C28" s="533"/>
      <c r="D28" s="534"/>
      <c r="E28" s="534"/>
      <c r="F28" s="535"/>
      <c r="G28" s="533"/>
      <c r="H28" s="534"/>
      <c r="I28" s="535"/>
      <c r="J28" s="533"/>
      <c r="K28" s="789"/>
      <c r="L28" s="790">
        <v>0.58316393081824902</v>
      </c>
      <c r="M28" s="537">
        <v>-0.37333333333333335</v>
      </c>
      <c r="N28" s="536">
        <v>-0.41683606918175092</v>
      </c>
      <c r="O28" s="533"/>
      <c r="P28" s="534"/>
      <c r="Q28" s="535"/>
      <c r="R28" s="537">
        <v>0.17499999999999999</v>
      </c>
      <c r="S28" s="536">
        <v>0.16886417936805947</v>
      </c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</row>
    <row r="29" spans="1:40" ht="15.75" customHeight="1" thickTop="1">
      <c r="A29" s="782" t="s">
        <v>0</v>
      </c>
      <c r="B29" s="486" t="s">
        <v>0</v>
      </c>
      <c r="C29" s="520"/>
      <c r="D29" s="538"/>
      <c r="E29" s="538"/>
      <c r="F29" s="539"/>
      <c r="G29" s="520"/>
      <c r="H29" s="538"/>
      <c r="I29" s="539"/>
      <c r="J29" s="520"/>
      <c r="K29" s="538"/>
      <c r="L29" s="539"/>
      <c r="M29" s="513"/>
      <c r="N29" s="514"/>
      <c r="O29" s="520"/>
      <c r="P29" s="538"/>
      <c r="Q29" s="539"/>
      <c r="R29" s="513"/>
      <c r="S29" s="514"/>
      <c r="T29" s="486"/>
      <c r="U29" s="503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  <c r="AK29" s="486"/>
      <c r="AL29" s="486"/>
      <c r="AM29" s="486"/>
      <c r="AN29" s="486"/>
    </row>
    <row r="30" spans="1:40" ht="15.75" customHeight="1">
      <c r="A30" s="782" t="s">
        <v>243</v>
      </c>
      <c r="B30" s="486" t="s">
        <v>0</v>
      </c>
      <c r="C30" s="540" t="s">
        <v>30</v>
      </c>
      <c r="D30" s="486"/>
      <c r="E30" s="541"/>
      <c r="F30" s="505"/>
      <c r="G30" s="502"/>
      <c r="H30" s="541"/>
      <c r="I30" s="505"/>
      <c r="J30" s="502"/>
      <c r="K30" s="541"/>
      <c r="L30" s="527"/>
      <c r="M30" s="502"/>
      <c r="N30" s="527"/>
      <c r="O30" s="502"/>
      <c r="P30" s="541"/>
      <c r="Q30" s="527"/>
      <c r="R30" s="502"/>
      <c r="S30" s="527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</row>
    <row r="31" spans="1:40" ht="15.75" customHeight="1">
      <c r="A31" s="782" t="s">
        <v>244</v>
      </c>
      <c r="B31" s="486" t="s">
        <v>0</v>
      </c>
      <c r="C31" s="502" t="s">
        <v>31</v>
      </c>
      <c r="D31" s="791">
        <v>0.32512203902136383</v>
      </c>
      <c r="E31" s="503">
        <v>735.10349847945918</v>
      </c>
      <c r="F31" s="543">
        <v>53662.555389000518</v>
      </c>
      <c r="G31" s="587"/>
      <c r="H31" s="503"/>
      <c r="I31" s="543"/>
      <c r="J31" s="587">
        <v>0.34423485882886173</v>
      </c>
      <c r="K31" s="503">
        <v>667.77234042553187</v>
      </c>
      <c r="L31" s="543">
        <v>31385.3</v>
      </c>
      <c r="M31" s="502"/>
      <c r="N31" s="505">
        <v>-22277.255389000518</v>
      </c>
      <c r="O31" s="792">
        <v>0.30022752069365333</v>
      </c>
      <c r="P31" s="503">
        <v>639.29449999999997</v>
      </c>
      <c r="Q31" s="507">
        <v>25571.78</v>
      </c>
      <c r="R31" s="502"/>
      <c r="S31" s="505">
        <v>5813.52</v>
      </c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</row>
    <row r="32" spans="1:40" ht="15.75" customHeight="1">
      <c r="A32" s="782" t="s">
        <v>245</v>
      </c>
      <c r="B32" s="486" t="s">
        <v>0</v>
      </c>
      <c r="C32" s="495" t="s">
        <v>32</v>
      </c>
      <c r="D32" s="793">
        <v>0.28000000000000003</v>
      </c>
      <c r="E32" s="516">
        <v>280.00000000000006</v>
      </c>
      <c r="F32" s="497">
        <v>20440.000000000004</v>
      </c>
      <c r="G32" s="588"/>
      <c r="H32" s="516"/>
      <c r="I32" s="497"/>
      <c r="J32" s="588">
        <v>0.29928477667547992</v>
      </c>
      <c r="K32" s="516">
        <v>310.51617021276599</v>
      </c>
      <c r="L32" s="497">
        <v>14594.26</v>
      </c>
      <c r="M32" s="495"/>
      <c r="N32" s="517">
        <v>-5845.7400000000034</v>
      </c>
      <c r="O32" s="794">
        <v>3.262985471465198E-3</v>
      </c>
      <c r="P32" s="516">
        <v>2.7489999999999997</v>
      </c>
      <c r="Q32" s="497">
        <v>109.96</v>
      </c>
      <c r="R32" s="495"/>
      <c r="S32" s="517">
        <v>14484.300000000001</v>
      </c>
      <c r="T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</row>
    <row r="33" spans="1:40" ht="15.75" customHeight="1">
      <c r="A33" s="782" t="s">
        <v>246</v>
      </c>
      <c r="B33" s="486" t="s">
        <v>0</v>
      </c>
      <c r="C33" s="502" t="s">
        <v>33</v>
      </c>
      <c r="D33" s="544"/>
      <c r="E33" s="503">
        <v>115</v>
      </c>
      <c r="F33" s="543">
        <v>8395</v>
      </c>
      <c r="G33" s="545"/>
      <c r="H33" s="503"/>
      <c r="I33" s="543"/>
      <c r="J33" s="502"/>
      <c r="K33" s="503">
        <v>111.73617021276597</v>
      </c>
      <c r="L33" s="543">
        <v>5251.6</v>
      </c>
      <c r="M33" s="502"/>
      <c r="N33" s="505">
        <v>-3143.3999999999996</v>
      </c>
      <c r="O33" s="502"/>
      <c r="P33" s="503">
        <v>130.5265</v>
      </c>
      <c r="Q33" s="507">
        <v>5221.0600000000004</v>
      </c>
      <c r="R33" s="502"/>
      <c r="S33" s="505">
        <v>30.539999999999964</v>
      </c>
      <c r="T33" s="486"/>
      <c r="U33" s="795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</row>
    <row r="34" spans="1:40" ht="15.75" customHeight="1">
      <c r="A34" s="782" t="s">
        <v>247</v>
      </c>
      <c r="B34" s="486" t="s">
        <v>0</v>
      </c>
      <c r="C34" s="502" t="s">
        <v>34</v>
      </c>
      <c r="D34" s="544"/>
      <c r="E34" s="503">
        <v>10</v>
      </c>
      <c r="F34" s="543">
        <v>730</v>
      </c>
      <c r="G34" s="545"/>
      <c r="H34" s="503"/>
      <c r="I34" s="543"/>
      <c r="J34" s="502"/>
      <c r="K34" s="503">
        <v>5.4995744680851066</v>
      </c>
      <c r="L34" s="543">
        <v>258.48</v>
      </c>
      <c r="M34" s="502"/>
      <c r="N34" s="505">
        <v>-471.52</v>
      </c>
      <c r="O34" s="502"/>
      <c r="P34" s="503">
        <v>4.6237499999999994</v>
      </c>
      <c r="Q34" s="507">
        <v>184.95</v>
      </c>
      <c r="R34" s="502"/>
      <c r="S34" s="505">
        <v>73.53000000000003</v>
      </c>
      <c r="T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</row>
    <row r="35" spans="1:40" ht="15.75" customHeight="1">
      <c r="A35" s="782" t="s">
        <v>248</v>
      </c>
      <c r="B35" s="486" t="s">
        <v>0</v>
      </c>
      <c r="C35" s="495" t="s">
        <v>35</v>
      </c>
      <c r="D35" s="546"/>
      <c r="E35" s="516">
        <v>120.75</v>
      </c>
      <c r="F35" s="497">
        <v>8814.75</v>
      </c>
      <c r="G35" s="547"/>
      <c r="H35" s="516"/>
      <c r="I35" s="497"/>
      <c r="J35" s="495"/>
      <c r="K35" s="516">
        <v>168.73936170212767</v>
      </c>
      <c r="L35" s="497">
        <v>7930.75</v>
      </c>
      <c r="M35" s="495"/>
      <c r="N35" s="517">
        <v>-884</v>
      </c>
      <c r="O35" s="495"/>
      <c r="P35" s="516">
        <v>185.78149999999999</v>
      </c>
      <c r="Q35" s="507">
        <v>7431.26</v>
      </c>
      <c r="R35" s="495"/>
      <c r="S35" s="517">
        <v>499.48999999999978</v>
      </c>
      <c r="T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</row>
    <row r="36" spans="1:40" ht="15.75" customHeight="1">
      <c r="A36" s="782" t="s">
        <v>249</v>
      </c>
      <c r="B36" s="486" t="s">
        <v>0</v>
      </c>
      <c r="C36" s="502" t="s">
        <v>36</v>
      </c>
      <c r="D36" s="544"/>
      <c r="E36" s="503">
        <v>57.013698630136986</v>
      </c>
      <c r="F36" s="543">
        <v>4162</v>
      </c>
      <c r="G36" s="545"/>
      <c r="H36" s="503"/>
      <c r="I36" s="543"/>
      <c r="J36" s="502"/>
      <c r="K36" s="503">
        <v>108.28021276595744</v>
      </c>
      <c r="L36" s="548">
        <v>5089.17</v>
      </c>
      <c r="M36" s="486"/>
      <c r="N36" s="505">
        <v>927.17000000000007</v>
      </c>
      <c r="O36" s="502"/>
      <c r="P36" s="503">
        <v>266.85924999999753</v>
      </c>
      <c r="Q36" s="524">
        <v>10674.369999999901</v>
      </c>
      <c r="R36" s="502"/>
      <c r="S36" s="505">
        <v>-5585.1999999999007</v>
      </c>
      <c r="T36" s="486"/>
      <c r="U36" s="782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</row>
    <row r="37" spans="1:40" ht="15.75" customHeight="1">
      <c r="A37" s="782" t="s">
        <v>250</v>
      </c>
      <c r="B37" s="486" t="s">
        <v>0</v>
      </c>
      <c r="C37" s="502" t="s">
        <v>37</v>
      </c>
      <c r="D37" s="544"/>
      <c r="E37" s="503">
        <v>523.33758470418286</v>
      </c>
      <c r="F37" s="543">
        <v>38203.643683405346</v>
      </c>
      <c r="G37" s="545"/>
      <c r="H37" s="503"/>
      <c r="I37" s="543"/>
      <c r="J37" s="502"/>
      <c r="K37" s="503">
        <v>280.19212765957451</v>
      </c>
      <c r="L37" s="549">
        <v>13169.03</v>
      </c>
      <c r="M37" s="486"/>
      <c r="N37" s="505">
        <v>-25034.613683405347</v>
      </c>
      <c r="O37" s="502"/>
      <c r="P37" s="503">
        <v>1001.4042499999999</v>
      </c>
      <c r="Q37" s="507">
        <v>40056.17</v>
      </c>
      <c r="R37" s="502"/>
      <c r="S37" s="505">
        <v>-26887.14</v>
      </c>
      <c r="T37" s="486"/>
      <c r="U37" s="782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  <c r="AK37" s="486"/>
      <c r="AL37" s="486"/>
      <c r="AM37" s="486"/>
      <c r="AN37" s="486"/>
    </row>
    <row r="38" spans="1:40" ht="15.75" hidden="1" customHeight="1">
      <c r="A38" s="782" t="s">
        <v>233</v>
      </c>
      <c r="B38" s="486" t="s">
        <v>0</v>
      </c>
      <c r="C38" s="502" t="s">
        <v>20</v>
      </c>
      <c r="D38" s="544"/>
      <c r="E38" s="503">
        <v>0</v>
      </c>
      <c r="F38" s="543">
        <v>0</v>
      </c>
      <c r="G38" s="545"/>
      <c r="H38" s="503"/>
      <c r="I38" s="543"/>
      <c r="J38" s="502"/>
      <c r="K38" s="503">
        <v>0</v>
      </c>
      <c r="L38" s="549">
        <v>0</v>
      </c>
      <c r="M38" s="486"/>
      <c r="N38" s="505">
        <v>0</v>
      </c>
      <c r="O38" s="502"/>
      <c r="P38" s="503">
        <v>0</v>
      </c>
      <c r="Q38" s="507">
        <v>0</v>
      </c>
      <c r="R38" s="502"/>
      <c r="S38" s="505">
        <v>0</v>
      </c>
      <c r="T38" s="486"/>
      <c r="U38" s="486"/>
      <c r="V38" s="486"/>
      <c r="W38" s="486"/>
      <c r="X38" s="486"/>
      <c r="Y38" s="486"/>
      <c r="Z38" s="486"/>
      <c r="AA38" s="486"/>
      <c r="AB38" s="486"/>
      <c r="AC38" s="486"/>
      <c r="AD38" s="486"/>
      <c r="AE38" s="486"/>
      <c r="AF38" s="486"/>
      <c r="AG38" s="486"/>
      <c r="AH38" s="486"/>
      <c r="AI38" s="486"/>
      <c r="AJ38" s="486"/>
      <c r="AK38" s="486"/>
      <c r="AL38" s="486"/>
      <c r="AM38" s="486"/>
      <c r="AN38" s="486"/>
    </row>
    <row r="39" spans="1:40" ht="15.75" hidden="1" customHeight="1">
      <c r="A39" s="782" t="s">
        <v>233</v>
      </c>
      <c r="B39" s="486" t="s">
        <v>0</v>
      </c>
      <c r="C39" s="502" t="s">
        <v>20</v>
      </c>
      <c r="D39" s="544"/>
      <c r="E39" s="503">
        <v>0</v>
      </c>
      <c r="F39" s="543">
        <v>0</v>
      </c>
      <c r="G39" s="545"/>
      <c r="H39" s="503"/>
      <c r="I39" s="543"/>
      <c r="J39" s="502"/>
      <c r="K39" s="503">
        <v>0</v>
      </c>
      <c r="L39" s="549">
        <v>0</v>
      </c>
      <c r="M39" s="486"/>
      <c r="N39" s="505">
        <v>0</v>
      </c>
      <c r="O39" s="502"/>
      <c r="P39" s="503">
        <v>0</v>
      </c>
      <c r="Q39" s="507">
        <v>0</v>
      </c>
      <c r="R39" s="502"/>
      <c r="S39" s="505">
        <v>0</v>
      </c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486"/>
      <c r="AJ39" s="486"/>
      <c r="AK39" s="486"/>
      <c r="AL39" s="486"/>
      <c r="AM39" s="486"/>
      <c r="AN39" s="486"/>
    </row>
    <row r="40" spans="1:40" ht="15.75" hidden="1" customHeight="1">
      <c r="A40" s="782" t="s">
        <v>233</v>
      </c>
      <c r="B40" s="486" t="s">
        <v>0</v>
      </c>
      <c r="C40" s="502" t="s">
        <v>20</v>
      </c>
      <c r="D40" s="544"/>
      <c r="E40" s="503">
        <v>0</v>
      </c>
      <c r="F40" s="543">
        <v>0</v>
      </c>
      <c r="G40" s="545"/>
      <c r="H40" s="503"/>
      <c r="I40" s="543"/>
      <c r="J40" s="502"/>
      <c r="K40" s="503">
        <v>0</v>
      </c>
      <c r="L40" s="550">
        <v>0</v>
      </c>
      <c r="M40" s="486"/>
      <c r="N40" s="505">
        <v>0</v>
      </c>
      <c r="O40" s="502"/>
      <c r="P40" s="503">
        <v>0</v>
      </c>
      <c r="Q40" s="507">
        <v>0</v>
      </c>
      <c r="R40" s="502"/>
      <c r="S40" s="505">
        <v>0</v>
      </c>
      <c r="T40" s="486"/>
      <c r="U40" s="486"/>
      <c r="V40" s="486"/>
      <c r="W40" s="486"/>
      <c r="X40" s="486"/>
      <c r="Y40" s="486"/>
      <c r="Z40" s="486"/>
      <c r="AA40" s="486"/>
      <c r="AB40" s="486"/>
      <c r="AC40" s="486"/>
      <c r="AD40" s="486"/>
      <c r="AE40" s="486"/>
      <c r="AF40" s="486"/>
      <c r="AG40" s="486"/>
      <c r="AH40" s="486"/>
      <c r="AI40" s="486"/>
      <c r="AJ40" s="486"/>
      <c r="AK40" s="486"/>
      <c r="AL40" s="486"/>
      <c r="AM40" s="486"/>
      <c r="AN40" s="486"/>
    </row>
    <row r="41" spans="1:40" ht="15.75" customHeight="1">
      <c r="A41" s="782" t="s">
        <v>251</v>
      </c>
      <c r="B41" s="486" t="s">
        <v>0</v>
      </c>
      <c r="C41" s="551" t="s">
        <v>38</v>
      </c>
      <c r="D41" s="552" t="s">
        <v>39</v>
      </c>
      <c r="E41" s="553">
        <v>0.53657735548479579</v>
      </c>
      <c r="F41" s="554">
        <v>134407.94907240587</v>
      </c>
      <c r="G41" s="621"/>
      <c r="H41" s="553"/>
      <c r="I41" s="554"/>
      <c r="J41" s="621" t="s">
        <v>39</v>
      </c>
      <c r="K41" s="553">
        <v>0.5317629384077539</v>
      </c>
      <c r="L41" s="554">
        <v>77678.59</v>
      </c>
      <c r="M41" s="796"/>
      <c r="N41" s="554">
        <v>-56729.359072405874</v>
      </c>
      <c r="O41" s="621" t="s">
        <v>39</v>
      </c>
      <c r="P41" s="553">
        <v>0.71414568501399633</v>
      </c>
      <c r="Q41" s="797">
        <v>89249.549999999901</v>
      </c>
      <c r="R41" s="555"/>
      <c r="S41" s="554">
        <v>-11570.959999999905</v>
      </c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</row>
    <row r="42" spans="1:40" ht="15.75" customHeight="1">
      <c r="A42" s="782" t="s">
        <v>252</v>
      </c>
      <c r="B42" s="486" t="s">
        <v>0</v>
      </c>
      <c r="C42" s="556" t="s">
        <v>41</v>
      </c>
      <c r="D42" s="486"/>
      <c r="E42" s="486"/>
      <c r="F42" s="543">
        <v>24486.465384615389</v>
      </c>
      <c r="G42" s="502"/>
      <c r="H42" s="486"/>
      <c r="I42" s="543"/>
      <c r="J42" s="502"/>
      <c r="K42" s="486"/>
      <c r="L42" s="507">
        <v>17276.740000000002</v>
      </c>
      <c r="M42" s="502"/>
      <c r="N42" s="505">
        <v>-7209.7253846153872</v>
      </c>
      <c r="O42" s="502"/>
      <c r="P42" s="798">
        <v>0.10014253379526482</v>
      </c>
      <c r="Q42" s="507">
        <v>12515.2</v>
      </c>
      <c r="R42" s="502"/>
      <c r="S42" s="505">
        <v>4761.5400000000009</v>
      </c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</row>
    <row r="43" spans="1:40" ht="15.75" customHeight="1">
      <c r="A43" s="782" t="s">
        <v>253</v>
      </c>
      <c r="B43" s="486" t="s">
        <v>0</v>
      </c>
      <c r="C43" s="557" t="s">
        <v>42</v>
      </c>
      <c r="D43" s="544"/>
      <c r="E43" s="486"/>
      <c r="F43" s="497">
        <v>13904.219076923078</v>
      </c>
      <c r="G43" s="545"/>
      <c r="H43" s="486"/>
      <c r="I43" s="497"/>
      <c r="J43" s="502"/>
      <c r="K43" s="486"/>
      <c r="L43" s="507">
        <v>12517.38</v>
      </c>
      <c r="M43" s="502"/>
      <c r="N43" s="505">
        <v>-1386.8390769230791</v>
      </c>
      <c r="O43" s="502"/>
      <c r="P43" s="486"/>
      <c r="Q43" s="507">
        <v>10896.4</v>
      </c>
      <c r="R43" s="502"/>
      <c r="S43" s="505">
        <v>1620.9799999999996</v>
      </c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6"/>
      <c r="AL43" s="486"/>
      <c r="AM43" s="486"/>
      <c r="AN43" s="486"/>
    </row>
    <row r="44" spans="1:40" ht="15.75" customHeight="1">
      <c r="A44" s="782" t="s">
        <v>254</v>
      </c>
      <c r="B44" s="486" t="s">
        <v>0</v>
      </c>
      <c r="C44" s="556" t="s">
        <v>43</v>
      </c>
      <c r="D44" s="558"/>
      <c r="E44" s="559"/>
      <c r="F44" s="543">
        <v>315.55384615384617</v>
      </c>
      <c r="G44" s="560"/>
      <c r="H44" s="559"/>
      <c r="I44" s="543"/>
      <c r="J44" s="488"/>
      <c r="K44" s="559"/>
      <c r="L44" s="524">
        <v>1819.6</v>
      </c>
      <c r="M44" s="488"/>
      <c r="N44" s="523">
        <v>1504.0461538461536</v>
      </c>
      <c r="O44" s="488"/>
      <c r="P44" s="559"/>
      <c r="Q44" s="524">
        <v>2584.64</v>
      </c>
      <c r="R44" s="488"/>
      <c r="S44" s="523">
        <v>-765.04</v>
      </c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486"/>
      <c r="AJ44" s="486"/>
      <c r="AK44" s="486"/>
      <c r="AL44" s="486"/>
      <c r="AM44" s="486"/>
      <c r="AN44" s="486"/>
    </row>
    <row r="45" spans="1:40" ht="15.75" customHeight="1">
      <c r="A45" s="782" t="s">
        <v>255</v>
      </c>
      <c r="B45" s="486" t="s">
        <v>0</v>
      </c>
      <c r="C45" s="556" t="s">
        <v>44</v>
      </c>
      <c r="D45" s="544"/>
      <c r="E45" s="486"/>
      <c r="F45" s="543">
        <v>0</v>
      </c>
      <c r="G45" s="545"/>
      <c r="H45" s="486"/>
      <c r="I45" s="543"/>
      <c r="J45" s="502"/>
      <c r="K45" s="486"/>
      <c r="L45" s="507">
        <v>0</v>
      </c>
      <c r="M45" s="502"/>
      <c r="N45" s="505">
        <v>0</v>
      </c>
      <c r="O45" s="502"/>
      <c r="P45" s="486"/>
      <c r="Q45" s="507">
        <v>0</v>
      </c>
      <c r="R45" s="502"/>
      <c r="S45" s="505">
        <v>0</v>
      </c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486"/>
      <c r="AJ45" s="486"/>
      <c r="AK45" s="486"/>
      <c r="AL45" s="486"/>
      <c r="AM45" s="486"/>
      <c r="AN45" s="486"/>
    </row>
    <row r="46" spans="1:40" ht="15.75" hidden="1" customHeight="1">
      <c r="A46" s="782" t="s">
        <v>233</v>
      </c>
      <c r="B46" s="486" t="s">
        <v>0</v>
      </c>
      <c r="C46" s="556" t="s">
        <v>20</v>
      </c>
      <c r="D46" s="544"/>
      <c r="E46" s="486"/>
      <c r="F46" s="543">
        <v>0</v>
      </c>
      <c r="G46" s="545"/>
      <c r="H46" s="486"/>
      <c r="I46" s="543"/>
      <c r="J46" s="502"/>
      <c r="K46" s="486"/>
      <c r="L46" s="507">
        <v>0</v>
      </c>
      <c r="M46" s="502"/>
      <c r="N46" s="505">
        <v>0</v>
      </c>
      <c r="O46" s="502"/>
      <c r="P46" s="486"/>
      <c r="Q46" s="507">
        <v>0</v>
      </c>
      <c r="R46" s="502"/>
      <c r="S46" s="505">
        <v>0</v>
      </c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486"/>
      <c r="AJ46" s="486"/>
      <c r="AK46" s="486"/>
      <c r="AL46" s="486"/>
      <c r="AM46" s="486"/>
      <c r="AN46" s="486"/>
    </row>
    <row r="47" spans="1:40" ht="15.75" hidden="1" customHeight="1">
      <c r="A47" s="782" t="s">
        <v>233</v>
      </c>
      <c r="B47" s="486" t="s">
        <v>0</v>
      </c>
      <c r="C47" s="556" t="s">
        <v>20</v>
      </c>
      <c r="D47" s="544"/>
      <c r="E47" s="486"/>
      <c r="F47" s="543">
        <v>0</v>
      </c>
      <c r="G47" s="545"/>
      <c r="H47" s="486"/>
      <c r="I47" s="543"/>
      <c r="J47" s="502"/>
      <c r="K47" s="486"/>
      <c r="L47" s="507">
        <v>0</v>
      </c>
      <c r="M47" s="502"/>
      <c r="N47" s="505">
        <v>0</v>
      </c>
      <c r="O47" s="502"/>
      <c r="P47" s="486"/>
      <c r="Q47" s="507">
        <v>0</v>
      </c>
      <c r="R47" s="502"/>
      <c r="S47" s="505">
        <v>0</v>
      </c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486"/>
      <c r="AJ47" s="486"/>
      <c r="AK47" s="486"/>
      <c r="AL47" s="486"/>
      <c r="AM47" s="486"/>
      <c r="AN47" s="486"/>
    </row>
    <row r="48" spans="1:40" ht="15.75" hidden="1" customHeight="1">
      <c r="A48" s="782" t="s">
        <v>233</v>
      </c>
      <c r="B48" s="486" t="s">
        <v>0</v>
      </c>
      <c r="C48" s="556" t="s">
        <v>20</v>
      </c>
      <c r="D48" s="544"/>
      <c r="E48" s="486"/>
      <c r="F48" s="543">
        <v>0</v>
      </c>
      <c r="G48" s="545"/>
      <c r="H48" s="486"/>
      <c r="I48" s="543"/>
      <c r="J48" s="502"/>
      <c r="K48" s="486"/>
      <c r="L48" s="507">
        <v>0</v>
      </c>
      <c r="M48" s="502"/>
      <c r="N48" s="505">
        <v>0</v>
      </c>
      <c r="O48" s="502"/>
      <c r="P48" s="486"/>
      <c r="Q48" s="507">
        <v>0</v>
      </c>
      <c r="R48" s="502"/>
      <c r="S48" s="505">
        <v>0</v>
      </c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486"/>
      <c r="AJ48" s="486"/>
      <c r="AK48" s="486"/>
      <c r="AL48" s="486"/>
      <c r="AM48" s="486"/>
      <c r="AN48" s="486"/>
    </row>
    <row r="49" spans="1:40" ht="15.75" customHeight="1">
      <c r="A49" s="782" t="s">
        <v>256</v>
      </c>
      <c r="B49" s="486" t="s">
        <v>0</v>
      </c>
      <c r="C49" s="557" t="s">
        <v>45</v>
      </c>
      <c r="D49" s="544"/>
      <c r="E49" s="486"/>
      <c r="F49" s="497">
        <v>11620.016753536451</v>
      </c>
      <c r="G49" s="545"/>
      <c r="H49" s="486"/>
      <c r="I49" s="497"/>
      <c r="J49" s="502"/>
      <c r="K49" s="486"/>
      <c r="L49" s="497">
        <v>11092.96</v>
      </c>
      <c r="M49" s="502"/>
      <c r="N49" s="505">
        <v>-527.05675353645165</v>
      </c>
      <c r="O49" s="502"/>
      <c r="P49" s="486"/>
      <c r="Q49" s="497">
        <v>10189.969999999999</v>
      </c>
      <c r="R49" s="502"/>
      <c r="S49" s="505">
        <v>902.98999999999978</v>
      </c>
      <c r="T49" s="486"/>
      <c r="U49" s="486"/>
      <c r="V49" s="486"/>
      <c r="W49" s="486"/>
      <c r="X49" s="485"/>
      <c r="Y49" s="486"/>
      <c r="Z49" s="486"/>
      <c r="AA49" s="486"/>
      <c r="AB49" s="486"/>
      <c r="AC49" s="486"/>
      <c r="AD49" s="486"/>
      <c r="AE49" s="486"/>
      <c r="AF49" s="486"/>
      <c r="AG49" s="486"/>
      <c r="AH49" s="486"/>
      <c r="AI49" s="486"/>
      <c r="AJ49" s="486"/>
      <c r="AK49" s="486"/>
      <c r="AL49" s="486"/>
      <c r="AM49" s="486"/>
      <c r="AN49" s="486"/>
    </row>
    <row r="50" spans="1:40" ht="15.75" customHeight="1">
      <c r="A50" s="782" t="s">
        <v>257</v>
      </c>
      <c r="B50" s="486" t="s">
        <v>0</v>
      </c>
      <c r="C50" s="556" t="s">
        <v>46</v>
      </c>
      <c r="D50" s="558"/>
      <c r="E50" s="559"/>
      <c r="F50" s="543">
        <v>14128.302308264583</v>
      </c>
      <c r="G50" s="560"/>
      <c r="H50" s="559"/>
      <c r="I50" s="543"/>
      <c r="J50" s="488"/>
      <c r="K50" s="559"/>
      <c r="L50" s="507">
        <v>13743.57</v>
      </c>
      <c r="M50" s="488"/>
      <c r="N50" s="523">
        <v>-384.73230826458348</v>
      </c>
      <c r="O50" s="488"/>
      <c r="P50" s="559"/>
      <c r="Q50" s="507">
        <v>11457.24</v>
      </c>
      <c r="R50" s="488"/>
      <c r="S50" s="523">
        <v>2286.33</v>
      </c>
      <c r="T50" s="486"/>
      <c r="U50" s="486"/>
      <c r="V50" s="486"/>
      <c r="W50" s="486"/>
      <c r="X50" s="485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</row>
    <row r="51" spans="1:40" ht="15.75" customHeight="1">
      <c r="A51" s="782" t="s">
        <v>258</v>
      </c>
      <c r="B51" s="486" t="s">
        <v>0</v>
      </c>
      <c r="C51" s="556" t="s">
        <v>47</v>
      </c>
      <c r="D51" s="544"/>
      <c r="E51" s="486"/>
      <c r="F51" s="543">
        <v>7279.1470588232733</v>
      </c>
      <c r="G51" s="545"/>
      <c r="H51" s="486"/>
      <c r="I51" s="543"/>
      <c r="J51" s="502"/>
      <c r="K51" s="486"/>
      <c r="L51" s="507">
        <v>6407</v>
      </c>
      <c r="M51" s="502"/>
      <c r="N51" s="505">
        <v>-872.14705882327326</v>
      </c>
      <c r="O51" s="502"/>
      <c r="P51" s="486"/>
      <c r="Q51" s="507">
        <v>6085.69</v>
      </c>
      <c r="R51" s="502"/>
      <c r="S51" s="505">
        <v>321.3100000000004</v>
      </c>
      <c r="T51" s="486"/>
      <c r="U51" s="486"/>
      <c r="V51" s="486"/>
      <c r="W51" s="486"/>
      <c r="X51" s="485"/>
      <c r="Y51" s="486"/>
      <c r="Z51" s="486"/>
      <c r="AA51" s="486"/>
      <c r="AB51" s="486"/>
      <c r="AC51" s="486"/>
      <c r="AD51" s="486"/>
      <c r="AE51" s="486"/>
      <c r="AF51" s="486"/>
      <c r="AG51" s="486"/>
      <c r="AH51" s="486"/>
      <c r="AI51" s="486"/>
      <c r="AJ51" s="486"/>
      <c r="AK51" s="486"/>
      <c r="AL51" s="486"/>
      <c r="AM51" s="486"/>
      <c r="AN51" s="486"/>
    </row>
    <row r="52" spans="1:40" ht="15.75" customHeight="1">
      <c r="A52" s="782" t="s">
        <v>259</v>
      </c>
      <c r="B52" s="486" t="s">
        <v>0</v>
      </c>
      <c r="C52" s="556" t="s">
        <v>48</v>
      </c>
      <c r="D52" s="544"/>
      <c r="E52" s="486"/>
      <c r="F52" s="543">
        <v>3173.7490692478409</v>
      </c>
      <c r="G52" s="545"/>
      <c r="H52" s="486"/>
      <c r="I52" s="543"/>
      <c r="J52" s="502"/>
      <c r="K52" s="486"/>
      <c r="L52" s="507">
        <v>2667.67</v>
      </c>
      <c r="M52" s="502"/>
      <c r="N52" s="505">
        <v>-506.07906924784083</v>
      </c>
      <c r="O52" s="502"/>
      <c r="P52" s="486"/>
      <c r="Q52" s="507">
        <v>1674.44</v>
      </c>
      <c r="R52" s="502"/>
      <c r="S52" s="505">
        <v>993.23</v>
      </c>
      <c r="T52" s="486"/>
      <c r="U52" s="486"/>
      <c r="V52" s="486"/>
      <c r="W52" s="486"/>
      <c r="X52" s="485"/>
      <c r="Y52" s="486"/>
      <c r="Z52" s="486"/>
      <c r="AA52" s="486"/>
      <c r="AB52" s="486"/>
      <c r="AC52" s="486"/>
      <c r="AD52" s="486"/>
      <c r="AE52" s="486"/>
      <c r="AF52" s="486"/>
      <c r="AG52" s="486"/>
      <c r="AH52" s="486"/>
      <c r="AI52" s="486"/>
      <c r="AJ52" s="486"/>
      <c r="AK52" s="486"/>
      <c r="AL52" s="486"/>
      <c r="AM52" s="486"/>
      <c r="AN52" s="486"/>
    </row>
    <row r="53" spans="1:40" ht="15.75" hidden="1" customHeight="1">
      <c r="A53" s="782" t="s">
        <v>233</v>
      </c>
      <c r="B53" s="486" t="s">
        <v>0</v>
      </c>
      <c r="C53" s="502" t="s">
        <v>20</v>
      </c>
      <c r="D53" s="546" t="e">
        <v>#N/A</v>
      </c>
      <c r="E53" s="561"/>
      <c r="F53" s="543">
        <v>0</v>
      </c>
      <c r="G53" s="547"/>
      <c r="H53" s="561"/>
      <c r="I53" s="543"/>
      <c r="J53" s="495"/>
      <c r="K53" s="561"/>
      <c r="L53" s="507">
        <v>0</v>
      </c>
      <c r="M53" s="495"/>
      <c r="N53" s="517">
        <v>0</v>
      </c>
      <c r="O53" s="495"/>
      <c r="P53" s="561"/>
      <c r="Q53" s="507">
        <v>0</v>
      </c>
      <c r="R53" s="495"/>
      <c r="S53" s="517">
        <v>0</v>
      </c>
      <c r="T53" s="486"/>
      <c r="U53" s="486"/>
      <c r="V53" s="486"/>
      <c r="W53" s="486"/>
      <c r="X53" s="485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</row>
    <row r="54" spans="1:40" ht="15.75" customHeight="1">
      <c r="A54" s="782" t="s">
        <v>260</v>
      </c>
      <c r="B54" s="486" t="s">
        <v>0</v>
      </c>
      <c r="C54" s="551" t="s">
        <v>49</v>
      </c>
      <c r="D54" s="552" t="s">
        <v>39</v>
      </c>
      <c r="E54" s="553">
        <v>0.29904215919678268</v>
      </c>
      <c r="F54" s="554">
        <v>74907.453497564464</v>
      </c>
      <c r="G54" s="621"/>
      <c r="H54" s="553"/>
      <c r="I54" s="554"/>
      <c r="J54" s="621" t="s">
        <v>39</v>
      </c>
      <c r="K54" s="553">
        <v>0.44856277641153114</v>
      </c>
      <c r="L54" s="554">
        <v>65524.92</v>
      </c>
      <c r="M54" s="555"/>
      <c r="N54" s="554">
        <v>-9382.5334975644619</v>
      </c>
      <c r="O54" s="621" t="s">
        <v>39</v>
      </c>
      <c r="P54" s="553">
        <v>0.44332131188703799</v>
      </c>
      <c r="Q54" s="554">
        <v>55403.58</v>
      </c>
      <c r="R54" s="555"/>
      <c r="S54" s="554">
        <v>10121.34</v>
      </c>
      <c r="T54" s="503"/>
      <c r="U54" s="486"/>
      <c r="V54" s="486"/>
      <c r="W54" s="486"/>
      <c r="X54" s="485"/>
      <c r="Y54" s="486"/>
      <c r="Z54" s="486"/>
      <c r="AA54" s="486"/>
      <c r="AB54" s="486"/>
      <c r="AC54" s="486"/>
      <c r="AD54" s="486"/>
      <c r="AE54" s="486"/>
      <c r="AF54" s="486"/>
      <c r="AG54" s="486"/>
      <c r="AH54" s="486"/>
      <c r="AI54" s="486"/>
      <c r="AJ54" s="486"/>
      <c r="AK54" s="486"/>
      <c r="AL54" s="486"/>
      <c r="AM54" s="486"/>
      <c r="AN54" s="486"/>
    </row>
    <row r="55" spans="1:40" ht="15.75" hidden="1" customHeight="1">
      <c r="A55" s="782" t="s">
        <v>261</v>
      </c>
      <c r="B55" s="486" t="s">
        <v>0</v>
      </c>
      <c r="C55" s="502" t="s">
        <v>50</v>
      </c>
      <c r="D55" s="544"/>
      <c r="E55" s="486"/>
      <c r="F55" s="543">
        <v>0</v>
      </c>
      <c r="G55" s="545"/>
      <c r="H55" s="486"/>
      <c r="I55" s="543"/>
      <c r="J55" s="502"/>
      <c r="K55" s="486"/>
      <c r="L55" s="507">
        <v>0</v>
      </c>
      <c r="M55" s="502"/>
      <c r="N55" s="505">
        <v>0</v>
      </c>
      <c r="O55" s="502"/>
      <c r="P55" s="486"/>
      <c r="Q55" s="507">
        <v>0</v>
      </c>
      <c r="R55" s="502"/>
      <c r="S55" s="505">
        <v>0</v>
      </c>
      <c r="T55" s="503"/>
      <c r="U55" s="486"/>
      <c r="V55" s="486"/>
      <c r="W55" s="486"/>
      <c r="X55" s="485"/>
      <c r="Y55" s="486"/>
      <c r="Z55" s="486"/>
      <c r="AA55" s="486"/>
      <c r="AB55" s="486"/>
      <c r="AC55" s="486"/>
      <c r="AD55" s="486"/>
      <c r="AE55" s="486"/>
      <c r="AF55" s="486"/>
      <c r="AG55" s="486"/>
      <c r="AH55" s="486"/>
      <c r="AI55" s="486"/>
      <c r="AJ55" s="486"/>
      <c r="AK55" s="486"/>
      <c r="AL55" s="486"/>
      <c r="AM55" s="486"/>
      <c r="AN55" s="486"/>
    </row>
    <row r="56" spans="1:40" ht="15.75" hidden="1" customHeight="1">
      <c r="A56" s="782" t="s">
        <v>262</v>
      </c>
      <c r="B56" s="486" t="s">
        <v>0</v>
      </c>
      <c r="C56" s="502" t="s">
        <v>51</v>
      </c>
      <c r="D56" s="544"/>
      <c r="E56" s="486"/>
      <c r="F56" s="543">
        <v>0</v>
      </c>
      <c r="G56" s="545"/>
      <c r="H56" s="486"/>
      <c r="I56" s="543"/>
      <c r="J56" s="502"/>
      <c r="K56" s="486"/>
      <c r="L56" s="507">
        <v>0</v>
      </c>
      <c r="M56" s="502"/>
      <c r="N56" s="505">
        <v>0</v>
      </c>
      <c r="O56" s="502"/>
      <c r="P56" s="486"/>
      <c r="Q56" s="507">
        <v>0</v>
      </c>
      <c r="R56" s="502"/>
      <c r="S56" s="505">
        <v>0</v>
      </c>
      <c r="T56" s="503"/>
      <c r="U56" s="486"/>
      <c r="V56" s="486"/>
      <c r="W56" s="486"/>
      <c r="X56" s="485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  <c r="AK56" s="486"/>
      <c r="AL56" s="486"/>
      <c r="AM56" s="486"/>
      <c r="AN56" s="486"/>
    </row>
    <row r="57" spans="1:40" ht="15.75" customHeight="1">
      <c r="A57" s="782" t="s">
        <v>263</v>
      </c>
      <c r="B57" s="486" t="s">
        <v>0</v>
      </c>
      <c r="C57" s="495" t="s">
        <v>52</v>
      </c>
      <c r="D57" s="546"/>
      <c r="E57" s="561"/>
      <c r="F57" s="497">
        <v>8952.5479333333333</v>
      </c>
      <c r="G57" s="547"/>
      <c r="H57" s="561"/>
      <c r="I57" s="497"/>
      <c r="J57" s="495"/>
      <c r="K57" s="561"/>
      <c r="L57" s="497">
        <v>11014.36</v>
      </c>
      <c r="M57" s="495"/>
      <c r="N57" s="517">
        <v>2061.8120666666673</v>
      </c>
      <c r="O57" s="495"/>
      <c r="P57" s="561"/>
      <c r="Q57" s="497">
        <v>7254.82</v>
      </c>
      <c r="R57" s="495"/>
      <c r="S57" s="517">
        <v>3759.5400000000009</v>
      </c>
      <c r="T57" s="562"/>
      <c r="U57" s="486"/>
      <c r="V57" s="486"/>
      <c r="W57" s="486"/>
      <c r="X57" s="485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</row>
    <row r="58" spans="1:40" ht="15.75" customHeight="1">
      <c r="A58" s="782" t="s">
        <v>264</v>
      </c>
      <c r="B58" s="486" t="s">
        <v>0</v>
      </c>
      <c r="C58" s="502" t="s">
        <v>53</v>
      </c>
      <c r="D58" s="544"/>
      <c r="E58" s="486"/>
      <c r="F58" s="543">
        <v>7960.9947585155569</v>
      </c>
      <c r="G58" s="545"/>
      <c r="H58" s="486"/>
      <c r="I58" s="543"/>
      <c r="J58" s="502"/>
      <c r="K58" s="486"/>
      <c r="L58" s="507">
        <v>5623.99</v>
      </c>
      <c r="M58" s="502"/>
      <c r="N58" s="505">
        <v>-2337.0047585155571</v>
      </c>
      <c r="O58" s="502"/>
      <c r="P58" s="486"/>
      <c r="Q58" s="507">
        <v>7043.39</v>
      </c>
      <c r="R58" s="502"/>
      <c r="S58" s="505">
        <v>-1419.4000000000005</v>
      </c>
      <c r="T58" s="503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</row>
    <row r="59" spans="1:40" ht="15.75" customHeight="1">
      <c r="A59" s="782" t="s">
        <v>265</v>
      </c>
      <c r="B59" s="486" t="s">
        <v>0</v>
      </c>
      <c r="C59" s="502" t="s">
        <v>54</v>
      </c>
      <c r="D59" s="544"/>
      <c r="E59" s="486"/>
      <c r="F59" s="543">
        <v>1266.6975008629806</v>
      </c>
      <c r="G59" s="545"/>
      <c r="H59" s="486"/>
      <c r="I59" s="543"/>
      <c r="J59" s="502"/>
      <c r="K59" s="486"/>
      <c r="L59" s="507">
        <v>2225.94</v>
      </c>
      <c r="M59" s="502"/>
      <c r="N59" s="505">
        <v>959.24249913701942</v>
      </c>
      <c r="O59" s="502"/>
      <c r="P59" s="486"/>
      <c r="Q59" s="507">
        <v>1316.83</v>
      </c>
      <c r="R59" s="502"/>
      <c r="S59" s="505">
        <v>909.11000000000013</v>
      </c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</row>
    <row r="60" spans="1:40" ht="15.75" customHeight="1">
      <c r="A60" s="782" t="s">
        <v>266</v>
      </c>
      <c r="B60" s="486" t="s">
        <v>0</v>
      </c>
      <c r="C60" s="495" t="s">
        <v>55</v>
      </c>
      <c r="D60" s="546"/>
      <c r="E60" s="561"/>
      <c r="F60" s="497">
        <v>7215.7407235875298</v>
      </c>
      <c r="G60" s="547"/>
      <c r="H60" s="561"/>
      <c r="I60" s="497"/>
      <c r="J60" s="495"/>
      <c r="K60" s="561"/>
      <c r="L60" s="497">
        <v>6186.82</v>
      </c>
      <c r="M60" s="495"/>
      <c r="N60" s="517">
        <v>-1028.9207235875301</v>
      </c>
      <c r="O60" s="495"/>
      <c r="P60" s="561"/>
      <c r="Q60" s="497">
        <v>7463.74</v>
      </c>
      <c r="R60" s="495"/>
      <c r="S60" s="517">
        <v>-1276.92</v>
      </c>
      <c r="T60" s="486"/>
      <c r="U60" s="485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</row>
    <row r="61" spans="1:40" ht="15.75" customHeight="1">
      <c r="A61" s="782" t="s">
        <v>267</v>
      </c>
      <c r="B61" s="486" t="s">
        <v>0</v>
      </c>
      <c r="C61" s="502" t="s">
        <v>56</v>
      </c>
      <c r="D61" s="544"/>
      <c r="E61" s="486"/>
      <c r="F61" s="543">
        <v>97.257333333333349</v>
      </c>
      <c r="G61" s="545"/>
      <c r="H61" s="486"/>
      <c r="I61" s="543"/>
      <c r="J61" s="502"/>
      <c r="K61" s="486"/>
      <c r="L61" s="507">
        <v>0</v>
      </c>
      <c r="M61" s="502"/>
      <c r="N61" s="505">
        <v>-97.257333333333349</v>
      </c>
      <c r="O61" s="502"/>
      <c r="P61" s="486"/>
      <c r="Q61" s="507">
        <v>4.5599999999999996</v>
      </c>
      <c r="R61" s="502"/>
      <c r="S61" s="505">
        <v>-4.5599999999999996</v>
      </c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</row>
    <row r="62" spans="1:40" ht="15.75" customHeight="1">
      <c r="A62" s="782" t="s">
        <v>268</v>
      </c>
      <c r="B62" s="486" t="s">
        <v>0</v>
      </c>
      <c r="C62" s="502" t="s">
        <v>57</v>
      </c>
      <c r="D62" s="544"/>
      <c r="E62" s="486"/>
      <c r="F62" s="543">
        <v>28.333333333333332</v>
      </c>
      <c r="G62" s="545"/>
      <c r="H62" s="486"/>
      <c r="I62" s="543"/>
      <c r="J62" s="502"/>
      <c r="K62" s="486"/>
      <c r="L62" s="507">
        <v>0</v>
      </c>
      <c r="M62" s="502"/>
      <c r="N62" s="505">
        <v>-28.333333333333332</v>
      </c>
      <c r="O62" s="502"/>
      <c r="P62" s="486"/>
      <c r="Q62" s="507">
        <v>0</v>
      </c>
      <c r="R62" s="502"/>
      <c r="S62" s="505">
        <v>0</v>
      </c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</row>
    <row r="63" spans="1:40" ht="15.75" customHeight="1">
      <c r="A63" s="782" t="s">
        <v>269</v>
      </c>
      <c r="B63" s="486" t="s">
        <v>0</v>
      </c>
      <c r="C63" s="502" t="s">
        <v>58</v>
      </c>
      <c r="D63" s="544"/>
      <c r="E63" s="486"/>
      <c r="F63" s="543">
        <v>741.43089466911999</v>
      </c>
      <c r="G63" s="545"/>
      <c r="H63" s="486"/>
      <c r="I63" s="543"/>
      <c r="J63" s="502"/>
      <c r="K63" s="486"/>
      <c r="L63" s="507">
        <v>408.53</v>
      </c>
      <c r="M63" s="502"/>
      <c r="N63" s="505">
        <v>-332.90089466912002</v>
      </c>
      <c r="O63" s="502"/>
      <c r="P63" s="486"/>
      <c r="Q63" s="507">
        <v>387.99</v>
      </c>
      <c r="R63" s="502"/>
      <c r="S63" s="505">
        <v>20.539999999999964</v>
      </c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</row>
    <row r="64" spans="1:40" ht="15.75" customHeight="1">
      <c r="A64" s="782" t="s">
        <v>270</v>
      </c>
      <c r="B64" s="486" t="s">
        <v>0</v>
      </c>
      <c r="C64" s="502" t="s">
        <v>59</v>
      </c>
      <c r="D64" s="544"/>
      <c r="E64" s="486"/>
      <c r="F64" s="543">
        <v>344.80198491798222</v>
      </c>
      <c r="G64" s="545"/>
      <c r="H64" s="486"/>
      <c r="I64" s="543"/>
      <c r="J64" s="502"/>
      <c r="K64" s="486"/>
      <c r="L64" s="507">
        <v>389.49</v>
      </c>
      <c r="M64" s="502"/>
      <c r="N64" s="505">
        <v>44.688015082017785</v>
      </c>
      <c r="O64" s="502"/>
      <c r="P64" s="486"/>
      <c r="Q64" s="507">
        <v>326.92</v>
      </c>
      <c r="R64" s="502"/>
      <c r="S64" s="505">
        <v>62.569999999999993</v>
      </c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</row>
    <row r="65" spans="1:40" ht="15.75" customHeight="1">
      <c r="A65" s="782" t="s">
        <v>271</v>
      </c>
      <c r="B65" s="486" t="s">
        <v>0</v>
      </c>
      <c r="C65" s="502" t="s">
        <v>60</v>
      </c>
      <c r="D65" s="544"/>
      <c r="E65" s="486"/>
      <c r="F65" s="543">
        <v>102.82239536841776</v>
      </c>
      <c r="G65" s="545"/>
      <c r="H65" s="486"/>
      <c r="I65" s="543"/>
      <c r="J65" s="502"/>
      <c r="K65" s="486"/>
      <c r="L65" s="507">
        <v>88.36</v>
      </c>
      <c r="M65" s="502"/>
      <c r="N65" s="505">
        <v>-14.462395368417759</v>
      </c>
      <c r="O65" s="502"/>
      <c r="P65" s="486"/>
      <c r="Q65" s="507">
        <v>32.96</v>
      </c>
      <c r="R65" s="502"/>
      <c r="S65" s="505">
        <v>55.4</v>
      </c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</row>
    <row r="66" spans="1:40" ht="15.75" customHeight="1">
      <c r="A66" s="782" t="s">
        <v>272</v>
      </c>
      <c r="B66" s="486" t="s">
        <v>0</v>
      </c>
      <c r="C66" s="502" t="s">
        <v>61</v>
      </c>
      <c r="D66" s="544"/>
      <c r="E66" s="486"/>
      <c r="F66" s="543">
        <v>201.17038516793778</v>
      </c>
      <c r="G66" s="545"/>
      <c r="H66" s="486"/>
      <c r="I66" s="543"/>
      <c r="J66" s="502"/>
      <c r="K66" s="486"/>
      <c r="L66" s="507">
        <v>62.72</v>
      </c>
      <c r="M66" s="502"/>
      <c r="N66" s="505">
        <v>-138.45038516793778</v>
      </c>
      <c r="O66" s="502"/>
      <c r="P66" s="486"/>
      <c r="Q66" s="507">
        <v>123.77</v>
      </c>
      <c r="R66" s="502"/>
      <c r="S66" s="505">
        <v>-61.05</v>
      </c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</row>
    <row r="67" spans="1:40" ht="15.75" customHeight="1">
      <c r="A67" s="782" t="s">
        <v>273</v>
      </c>
      <c r="B67" s="486" t="s">
        <v>0</v>
      </c>
      <c r="C67" s="502" t="s">
        <v>62</v>
      </c>
      <c r="D67" s="544"/>
      <c r="E67" s="486"/>
      <c r="F67" s="543">
        <v>1934.7062499999995</v>
      </c>
      <c r="G67" s="545"/>
      <c r="H67" s="486"/>
      <c r="I67" s="543"/>
      <c r="J67" s="502"/>
      <c r="K67" s="486"/>
      <c r="L67" s="507">
        <v>2302.08</v>
      </c>
      <c r="M67" s="502"/>
      <c r="N67" s="505">
        <v>367.37375000000043</v>
      </c>
      <c r="O67" s="502"/>
      <c r="P67" s="486"/>
      <c r="Q67" s="507">
        <v>1391.4</v>
      </c>
      <c r="R67" s="502"/>
      <c r="S67" s="505">
        <v>910.67999999999984</v>
      </c>
      <c r="T67" s="486"/>
      <c r="U67" s="782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</row>
    <row r="68" spans="1:40" ht="15.75" customHeight="1">
      <c r="A68" s="782" t="s">
        <v>274</v>
      </c>
      <c r="B68" s="486" t="s">
        <v>0</v>
      </c>
      <c r="C68" s="502" t="s">
        <v>63</v>
      </c>
      <c r="D68" s="544"/>
      <c r="E68" s="486"/>
      <c r="F68" s="543">
        <v>3689.0505916353209</v>
      </c>
      <c r="G68" s="545"/>
      <c r="H68" s="486"/>
      <c r="I68" s="543"/>
      <c r="J68" s="502"/>
      <c r="K68" s="486"/>
      <c r="L68" s="507">
        <v>3513.7</v>
      </c>
      <c r="M68" s="502"/>
      <c r="N68" s="505">
        <v>-175.35059163532105</v>
      </c>
      <c r="O68" s="502"/>
      <c r="P68" s="486"/>
      <c r="Q68" s="507">
        <v>3357.81</v>
      </c>
      <c r="R68" s="502"/>
      <c r="S68" s="505">
        <v>155.88999999999987</v>
      </c>
      <c r="T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</row>
    <row r="69" spans="1:40" ht="15.75" hidden="1" customHeight="1">
      <c r="A69" s="782" t="s">
        <v>233</v>
      </c>
      <c r="B69" s="486" t="s">
        <v>0</v>
      </c>
      <c r="C69" s="502" t="s">
        <v>20</v>
      </c>
      <c r="D69" s="544"/>
      <c r="E69" s="486"/>
      <c r="F69" s="543">
        <v>0</v>
      </c>
      <c r="G69" s="545"/>
      <c r="H69" s="486"/>
      <c r="I69" s="543"/>
      <c r="J69" s="502"/>
      <c r="K69" s="486"/>
      <c r="L69" s="507"/>
      <c r="M69" s="502"/>
      <c r="N69" s="505">
        <v>0</v>
      </c>
      <c r="O69" s="502"/>
      <c r="P69" s="486"/>
      <c r="Q69" s="507">
        <v>0</v>
      </c>
      <c r="R69" s="502"/>
      <c r="S69" s="505">
        <v>0</v>
      </c>
      <c r="T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</row>
    <row r="70" spans="1:40" ht="15.75" hidden="1" customHeight="1">
      <c r="A70" s="782" t="s">
        <v>233</v>
      </c>
      <c r="B70" s="486" t="s">
        <v>0</v>
      </c>
      <c r="C70" s="502" t="s">
        <v>20</v>
      </c>
      <c r="D70" s="544"/>
      <c r="E70" s="486"/>
      <c r="F70" s="543">
        <v>0</v>
      </c>
      <c r="G70" s="545"/>
      <c r="H70" s="486"/>
      <c r="I70" s="543"/>
      <c r="J70" s="502"/>
      <c r="K70" s="486"/>
      <c r="L70" s="507">
        <v>0</v>
      </c>
      <c r="M70" s="502"/>
      <c r="N70" s="505">
        <v>0</v>
      </c>
      <c r="O70" s="502"/>
      <c r="P70" s="486"/>
      <c r="Q70" s="507">
        <v>0</v>
      </c>
      <c r="R70" s="502"/>
      <c r="S70" s="505">
        <v>0</v>
      </c>
      <c r="T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  <c r="AK70" s="486"/>
      <c r="AL70" s="486"/>
      <c r="AM70" s="486"/>
      <c r="AN70" s="486"/>
    </row>
    <row r="71" spans="1:40" ht="15.75" hidden="1" customHeight="1">
      <c r="A71" s="782" t="s">
        <v>233</v>
      </c>
      <c r="B71" s="486" t="s">
        <v>0</v>
      </c>
      <c r="C71" s="502" t="s">
        <v>20</v>
      </c>
      <c r="D71" s="544"/>
      <c r="E71" s="486"/>
      <c r="F71" s="543">
        <v>0</v>
      </c>
      <c r="G71" s="545"/>
      <c r="H71" s="486"/>
      <c r="I71" s="543"/>
      <c r="J71" s="502"/>
      <c r="K71" s="486"/>
      <c r="L71" s="507">
        <v>0</v>
      </c>
      <c r="M71" s="502"/>
      <c r="N71" s="505">
        <v>0</v>
      </c>
      <c r="O71" s="502"/>
      <c r="P71" s="486"/>
      <c r="Q71" s="507">
        <v>0</v>
      </c>
      <c r="R71" s="502"/>
      <c r="S71" s="505">
        <v>0</v>
      </c>
      <c r="T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</row>
    <row r="72" spans="1:40" ht="15.75" customHeight="1">
      <c r="A72" s="782" t="s">
        <v>275</v>
      </c>
      <c r="B72" s="486" t="s">
        <v>0</v>
      </c>
      <c r="C72" s="551" t="s">
        <v>64</v>
      </c>
      <c r="D72" s="552" t="s">
        <v>39</v>
      </c>
      <c r="E72" s="553">
        <v>0.12988697238888469</v>
      </c>
      <c r="F72" s="554">
        <v>32535.554084724845</v>
      </c>
      <c r="G72" s="621"/>
      <c r="H72" s="553"/>
      <c r="I72" s="554"/>
      <c r="J72" s="621" t="s">
        <v>39</v>
      </c>
      <c r="K72" s="553">
        <v>0.21780215540410447</v>
      </c>
      <c r="L72" s="554">
        <v>31815.99</v>
      </c>
      <c r="M72" s="555"/>
      <c r="N72" s="554">
        <v>-719.56408472484554</v>
      </c>
      <c r="O72" s="621" t="s">
        <v>39</v>
      </c>
      <c r="P72" s="553">
        <v>0.22968153262758106</v>
      </c>
      <c r="Q72" s="554">
        <v>28704.190000000002</v>
      </c>
      <c r="R72" s="555"/>
      <c r="S72" s="554">
        <v>3111.8000000000006</v>
      </c>
      <c r="T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</row>
    <row r="73" spans="1:40" ht="15.75" customHeight="1">
      <c r="A73" s="782" t="s">
        <v>0</v>
      </c>
      <c r="B73" s="486" t="s">
        <v>0</v>
      </c>
      <c r="C73" s="495"/>
      <c r="D73" s="546"/>
      <c r="E73" s="561"/>
      <c r="F73" s="505"/>
      <c r="G73" s="547"/>
      <c r="H73" s="561"/>
      <c r="I73" s="505"/>
      <c r="J73" s="495"/>
      <c r="K73" s="561"/>
      <c r="L73" s="517"/>
      <c r="M73" s="495"/>
      <c r="N73" s="517"/>
      <c r="O73" s="495"/>
      <c r="P73" s="561"/>
      <c r="Q73" s="517"/>
      <c r="R73" s="495"/>
      <c r="S73" s="517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  <c r="AK73" s="486"/>
      <c r="AL73" s="486"/>
      <c r="AM73" s="486"/>
      <c r="AN73" s="486"/>
    </row>
    <row r="74" spans="1:40" ht="15.75" customHeight="1">
      <c r="A74" s="782" t="s">
        <v>276</v>
      </c>
      <c r="B74" s="486" t="s">
        <v>0</v>
      </c>
      <c r="C74" s="551" t="s">
        <v>65</v>
      </c>
      <c r="D74" s="552" t="s">
        <v>39</v>
      </c>
      <c r="E74" s="553">
        <v>0.96550648707046316</v>
      </c>
      <c r="F74" s="554">
        <v>241850.95665469518</v>
      </c>
      <c r="G74" s="621"/>
      <c r="H74" s="553"/>
      <c r="I74" s="554"/>
      <c r="J74" s="621" t="s">
        <v>39</v>
      </c>
      <c r="K74" s="553">
        <v>1.1981278702233895</v>
      </c>
      <c r="L74" s="554">
        <v>175019.5</v>
      </c>
      <c r="M74" s="555"/>
      <c r="N74" s="563">
        <v>-66831.456654695183</v>
      </c>
      <c r="O74" s="621" t="s">
        <v>39</v>
      </c>
      <c r="P74" s="553">
        <v>1.3871485295286152</v>
      </c>
      <c r="Q74" s="554">
        <v>173357.31999999989</v>
      </c>
      <c r="R74" s="555"/>
      <c r="S74" s="563">
        <v>1662.1800000001094</v>
      </c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</row>
    <row r="75" spans="1:40" ht="15.75" customHeight="1">
      <c r="A75" s="782" t="s">
        <v>277</v>
      </c>
      <c r="B75" s="486" t="s">
        <v>0</v>
      </c>
      <c r="C75" s="502" t="s">
        <v>197</v>
      </c>
      <c r="D75" s="544"/>
      <c r="E75" s="486"/>
      <c r="F75" s="543">
        <v>25000</v>
      </c>
      <c r="G75" s="545"/>
      <c r="H75" s="486"/>
      <c r="I75" s="543"/>
      <c r="J75" s="502"/>
      <c r="K75" s="486"/>
      <c r="L75" s="507">
        <v>12000</v>
      </c>
      <c r="M75" s="502"/>
      <c r="N75" s="505">
        <v>-13000</v>
      </c>
      <c r="O75" s="502"/>
      <c r="P75" s="486"/>
      <c r="Q75" s="507">
        <v>20000</v>
      </c>
      <c r="R75" s="502"/>
      <c r="S75" s="505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</row>
    <row r="76" spans="1:40" ht="15.75" customHeight="1">
      <c r="A76" s="782" t="s">
        <v>278</v>
      </c>
      <c r="B76" s="486" t="s">
        <v>0</v>
      </c>
      <c r="C76" s="502" t="s">
        <v>194</v>
      </c>
      <c r="D76" s="544"/>
      <c r="E76" s="486"/>
      <c r="F76" s="543">
        <v>0</v>
      </c>
      <c r="G76" s="545"/>
      <c r="H76" s="486"/>
      <c r="I76" s="543"/>
      <c r="J76" s="502"/>
      <c r="K76" s="486"/>
      <c r="L76" s="507">
        <v>0</v>
      </c>
      <c r="M76" s="502"/>
      <c r="N76" s="505">
        <v>0</v>
      </c>
      <c r="O76" s="502"/>
      <c r="P76" s="486"/>
      <c r="Q76" s="507">
        <v>0</v>
      </c>
      <c r="R76" s="502"/>
      <c r="S76" s="505">
        <v>0</v>
      </c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</row>
    <row r="77" spans="1:40" ht="15.75" customHeight="1">
      <c r="A77" s="782" t="s">
        <v>279</v>
      </c>
      <c r="B77" s="486" t="s">
        <v>0</v>
      </c>
      <c r="C77" s="502" t="s">
        <v>68</v>
      </c>
      <c r="D77" s="544"/>
      <c r="E77" s="486"/>
      <c r="F77" s="543">
        <v>0</v>
      </c>
      <c r="G77" s="545"/>
      <c r="H77" s="486"/>
      <c r="I77" s="543"/>
      <c r="J77" s="502"/>
      <c r="K77" s="486"/>
      <c r="L77" s="507">
        <v>0</v>
      </c>
      <c r="M77" s="502"/>
      <c r="N77" s="505">
        <v>0</v>
      </c>
      <c r="O77" s="502"/>
      <c r="P77" s="486"/>
      <c r="Q77" s="507">
        <v>0</v>
      </c>
      <c r="R77" s="502"/>
      <c r="S77" s="505">
        <v>0</v>
      </c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  <c r="AK77" s="486"/>
      <c r="AL77" s="486"/>
      <c r="AM77" s="486"/>
      <c r="AN77" s="486"/>
    </row>
    <row r="78" spans="1:40" ht="15.75" customHeight="1">
      <c r="A78" s="782" t="s">
        <v>280</v>
      </c>
      <c r="B78" s="486" t="s">
        <v>0</v>
      </c>
      <c r="C78" s="502" t="s">
        <v>69</v>
      </c>
      <c r="D78" s="544"/>
      <c r="E78" s="799">
        <v>1407.2459151788062</v>
      </c>
      <c r="F78" s="543">
        <v>105543.44363841046</v>
      </c>
      <c r="G78" s="545"/>
      <c r="H78" s="486"/>
      <c r="I78" s="543"/>
      <c r="J78" s="800">
        <v>0.92553724732098874</v>
      </c>
      <c r="K78" s="799">
        <v>1302.4585106382979</v>
      </c>
      <c r="L78" s="507">
        <v>61215.55</v>
      </c>
      <c r="M78" s="502"/>
      <c r="N78" s="505">
        <v>-44327.89363841046</v>
      </c>
      <c r="O78" s="502"/>
      <c r="P78" s="486"/>
      <c r="Q78" s="507">
        <v>55522</v>
      </c>
      <c r="R78" s="502"/>
      <c r="S78" s="505">
        <v>5693.5500000000029</v>
      </c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  <c r="AK78" s="486"/>
      <c r="AL78" s="486"/>
      <c r="AM78" s="486"/>
      <c r="AN78" s="486"/>
    </row>
    <row r="79" spans="1:40" ht="15.75" hidden="1" customHeight="1">
      <c r="A79" s="782" t="s">
        <v>233</v>
      </c>
      <c r="B79" s="486" t="s">
        <v>0</v>
      </c>
      <c r="C79" s="502" t="s">
        <v>20</v>
      </c>
      <c r="D79" s="544"/>
      <c r="E79" s="486"/>
      <c r="F79" s="543">
        <v>0</v>
      </c>
      <c r="G79" s="545"/>
      <c r="H79" s="486"/>
      <c r="I79" s="543"/>
      <c r="J79" s="502"/>
      <c r="K79" s="486"/>
      <c r="L79" s="507">
        <v>0</v>
      </c>
      <c r="M79" s="502"/>
      <c r="N79" s="505">
        <v>0</v>
      </c>
      <c r="O79" s="502"/>
      <c r="P79" s="486"/>
      <c r="Q79" s="507">
        <v>0</v>
      </c>
      <c r="R79" s="502"/>
      <c r="S79" s="505">
        <v>0</v>
      </c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  <c r="AK79" s="486"/>
      <c r="AL79" s="486"/>
      <c r="AM79" s="486"/>
      <c r="AN79" s="486"/>
    </row>
    <row r="80" spans="1:40" ht="15.75" hidden="1" customHeight="1">
      <c r="A80" s="782" t="s">
        <v>233</v>
      </c>
      <c r="B80" s="486" t="s">
        <v>0</v>
      </c>
      <c r="C80" s="502" t="s">
        <v>20</v>
      </c>
      <c r="D80" s="544"/>
      <c r="E80" s="486"/>
      <c r="F80" s="543">
        <v>0</v>
      </c>
      <c r="G80" s="545"/>
      <c r="H80" s="486"/>
      <c r="I80" s="543"/>
      <c r="J80" s="502"/>
      <c r="K80" s="486"/>
      <c r="L80" s="507">
        <v>0</v>
      </c>
      <c r="M80" s="502"/>
      <c r="N80" s="505">
        <v>0</v>
      </c>
      <c r="O80" s="502"/>
      <c r="P80" s="486"/>
      <c r="Q80" s="507">
        <v>0</v>
      </c>
      <c r="R80" s="502"/>
      <c r="S80" s="505">
        <v>0</v>
      </c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</row>
    <row r="81" spans="1:40" ht="15.75" hidden="1" customHeight="1">
      <c r="A81" s="782" t="s">
        <v>233</v>
      </c>
      <c r="B81" s="486" t="s">
        <v>0</v>
      </c>
      <c r="C81" s="502" t="s">
        <v>20</v>
      </c>
      <c r="D81" s="544"/>
      <c r="E81" s="486"/>
      <c r="F81" s="543">
        <v>0</v>
      </c>
      <c r="G81" s="545"/>
      <c r="H81" s="486"/>
      <c r="I81" s="543"/>
      <c r="J81" s="502"/>
      <c r="K81" s="486"/>
      <c r="L81" s="507">
        <v>0</v>
      </c>
      <c r="M81" s="502"/>
      <c r="N81" s="505">
        <v>0</v>
      </c>
      <c r="O81" s="502"/>
      <c r="P81" s="486"/>
      <c r="Q81" s="507">
        <v>0</v>
      </c>
      <c r="R81" s="502"/>
      <c r="S81" s="505">
        <v>0</v>
      </c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  <c r="AK81" s="486"/>
      <c r="AL81" s="486"/>
      <c r="AM81" s="486"/>
      <c r="AN81" s="486"/>
    </row>
    <row r="82" spans="1:40" ht="15.75" customHeight="1">
      <c r="A82" s="801" t="s">
        <v>281</v>
      </c>
      <c r="B82" s="802" t="s">
        <v>0</v>
      </c>
      <c r="C82" s="502" t="s">
        <v>70</v>
      </c>
      <c r="D82" s="803">
        <v>0.94999999999999984</v>
      </c>
      <c r="E82" s="804">
        <v>474.0499999999999</v>
      </c>
      <c r="F82" s="543">
        <v>34605.649999999994</v>
      </c>
      <c r="G82" s="545"/>
      <c r="H82" s="486"/>
      <c r="I82" s="543"/>
      <c r="J82" s="805">
        <v>1.047939671424724</v>
      </c>
      <c r="K82" s="804">
        <v>496.72340425531917</v>
      </c>
      <c r="L82" s="507">
        <v>23346</v>
      </c>
      <c r="M82" s="502"/>
      <c r="N82" s="505">
        <v>-11259.649999999994</v>
      </c>
      <c r="O82" s="502"/>
      <c r="P82" s="486"/>
      <c r="Q82" s="507">
        <v>19532.5</v>
      </c>
      <c r="R82" s="502"/>
      <c r="S82" s="505">
        <v>3813.5</v>
      </c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  <c r="AK82" s="486"/>
      <c r="AL82" s="486"/>
      <c r="AM82" s="486"/>
      <c r="AN82" s="486"/>
    </row>
    <row r="83" spans="1:40" ht="15.75" customHeight="1">
      <c r="A83" s="782" t="s">
        <v>282</v>
      </c>
      <c r="B83" s="486" t="s">
        <v>0</v>
      </c>
      <c r="C83" s="551" t="s">
        <v>71</v>
      </c>
      <c r="D83" s="552"/>
      <c r="E83" s="553"/>
      <c r="F83" s="554">
        <v>165149.09363841044</v>
      </c>
      <c r="G83" s="621"/>
      <c r="H83" s="553"/>
      <c r="I83" s="554"/>
      <c r="J83" s="621"/>
      <c r="K83" s="553"/>
      <c r="L83" s="554">
        <v>96561.55</v>
      </c>
      <c r="M83" s="555"/>
      <c r="N83" s="554">
        <v>-68587.543638410454</v>
      </c>
      <c r="O83" s="621"/>
      <c r="P83" s="553"/>
      <c r="Q83" s="554">
        <v>95054.5</v>
      </c>
      <c r="R83" s="555"/>
      <c r="S83" s="554">
        <v>9507.0500000000029</v>
      </c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</row>
    <row r="84" spans="1:40" ht="15.75" customHeight="1">
      <c r="A84" s="782" t="s">
        <v>0</v>
      </c>
      <c r="B84" s="486" t="s">
        <v>0</v>
      </c>
      <c r="C84" s="564"/>
      <c r="D84" s="565"/>
      <c r="E84" s="566"/>
      <c r="F84" s="567"/>
      <c r="G84" s="806"/>
      <c r="H84" s="566"/>
      <c r="I84" s="567"/>
      <c r="J84" s="570"/>
      <c r="K84" s="807"/>
      <c r="L84" s="567"/>
      <c r="M84" s="570"/>
      <c r="N84" s="571"/>
      <c r="O84" s="570"/>
      <c r="P84" s="807"/>
      <c r="Q84" s="567"/>
      <c r="R84" s="570"/>
      <c r="S84" s="571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</row>
    <row r="85" spans="1:40" ht="22.5" customHeight="1" thickBot="1">
      <c r="A85" s="782" t="s">
        <v>283</v>
      </c>
      <c r="B85" s="486" t="s">
        <v>0</v>
      </c>
      <c r="C85" s="572" t="s">
        <v>72</v>
      </c>
      <c r="D85" s="573"/>
      <c r="E85" s="808"/>
      <c r="F85" s="574">
        <v>173789.41787455487</v>
      </c>
      <c r="G85" s="575"/>
      <c r="H85" s="808"/>
      <c r="I85" s="574"/>
      <c r="J85" s="575"/>
      <c r="K85" s="573"/>
      <c r="L85" s="574">
        <v>67619.530000000188</v>
      </c>
      <c r="M85" s="575"/>
      <c r="N85" s="574">
        <v>-106169.8878745547</v>
      </c>
      <c r="O85" s="575"/>
      <c r="P85" s="809">
        <v>2.2290252901850306E-2</v>
      </c>
      <c r="Q85" s="574">
        <v>46671.049999999799</v>
      </c>
      <c r="R85" s="575"/>
      <c r="S85" s="574">
        <v>28948.480000000403</v>
      </c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</row>
    <row r="86" spans="1:40" ht="15.75" customHeight="1" thickTop="1">
      <c r="B86" s="576"/>
      <c r="C86" s="576"/>
      <c r="D86" s="576"/>
      <c r="E86" s="576"/>
      <c r="F86" s="576"/>
      <c r="G86" s="576"/>
      <c r="H86" s="576"/>
      <c r="I86" s="576"/>
      <c r="J86" s="810"/>
      <c r="K86" s="576"/>
      <c r="L86" s="811"/>
      <c r="M86" s="576"/>
      <c r="N86" s="576"/>
      <c r="O86" s="576"/>
      <c r="P86" s="576"/>
      <c r="Q86" s="576"/>
      <c r="R86" s="576"/>
      <c r="S86" s="576"/>
      <c r="T86" s="576"/>
      <c r="U86" s="576"/>
      <c r="V86" s="576"/>
      <c r="W86" s="576"/>
      <c r="X86" s="576"/>
      <c r="Y86" s="576"/>
      <c r="Z86" s="576"/>
      <c r="AA86" s="576"/>
      <c r="AB86" s="576"/>
      <c r="AC86" s="576"/>
      <c r="AD86" s="576"/>
      <c r="AE86" s="576"/>
      <c r="AF86" s="576"/>
      <c r="AG86" s="576"/>
      <c r="AH86" s="576"/>
      <c r="AI86" s="576"/>
      <c r="AJ86" s="576"/>
      <c r="AK86" s="576"/>
      <c r="AL86" s="576"/>
      <c r="AM86" s="576"/>
      <c r="AN86" s="576"/>
    </row>
    <row r="87" spans="1:40" ht="12.75" customHeight="1">
      <c r="B87" s="576"/>
      <c r="C87" s="576"/>
      <c r="D87" s="576"/>
      <c r="E87" s="576"/>
      <c r="F87" s="576"/>
      <c r="G87" s="576"/>
      <c r="H87" s="576"/>
      <c r="I87" s="577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</row>
    <row r="88" spans="1:40" ht="15.75" hidden="1" customHeight="1">
      <c r="B88" s="482"/>
      <c r="C88" s="485"/>
      <c r="D88" s="485"/>
      <c r="E88" s="485"/>
      <c r="F88" s="485"/>
      <c r="G88" s="485"/>
      <c r="H88" s="485"/>
      <c r="I88" s="485"/>
      <c r="J88" s="485"/>
      <c r="K88" s="485"/>
      <c r="L88" s="485"/>
      <c r="M88" s="485"/>
      <c r="N88" s="485"/>
      <c r="O88" s="485"/>
      <c r="P88" s="485"/>
      <c r="Q88" s="485"/>
      <c r="R88" s="485"/>
      <c r="S88" s="485"/>
      <c r="T88" s="485"/>
      <c r="U88" s="485"/>
    </row>
    <row r="89" spans="1:40" ht="33" customHeight="1">
      <c r="B89" s="477"/>
      <c r="C89" s="812" t="s">
        <v>481</v>
      </c>
      <c r="D89" s="478"/>
      <c r="E89" s="478"/>
      <c r="F89" s="478"/>
      <c r="G89" s="478"/>
      <c r="H89" s="477"/>
      <c r="I89" s="477"/>
      <c r="J89" s="477"/>
      <c r="K89" s="479" t="s">
        <v>73</v>
      </c>
      <c r="L89" s="478"/>
      <c r="M89" s="478"/>
      <c r="N89" s="477"/>
      <c r="O89" s="477"/>
      <c r="P89" s="478"/>
      <c r="Q89" s="477"/>
      <c r="R89" s="478"/>
      <c r="S89" s="481" t="s">
        <v>473</v>
      </c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</row>
    <row r="90" spans="1:40" ht="15.75" customHeight="1" thickBot="1">
      <c r="B90" s="482"/>
      <c r="C90" s="483"/>
      <c r="D90" s="485"/>
      <c r="E90" s="485"/>
      <c r="F90" s="485"/>
      <c r="G90" s="485"/>
      <c r="H90" s="485"/>
      <c r="I90" s="485"/>
      <c r="J90" s="485"/>
      <c r="K90" s="485"/>
      <c r="L90" s="485"/>
      <c r="M90" s="485"/>
      <c r="N90" s="485"/>
      <c r="O90" s="485"/>
      <c r="P90" s="485"/>
      <c r="Q90" s="485"/>
      <c r="R90" s="485"/>
      <c r="S90" s="485"/>
      <c r="T90" s="485"/>
      <c r="U90" s="485"/>
    </row>
    <row r="91" spans="1:40" ht="15.75" customHeight="1" thickTop="1">
      <c r="B91" s="486"/>
      <c r="C91" s="487"/>
      <c r="D91" s="883" t="s">
        <v>5</v>
      </c>
      <c r="E91" s="884"/>
      <c r="F91" s="885"/>
      <c r="G91" s="886"/>
      <c r="H91" s="884"/>
      <c r="I91" s="885"/>
      <c r="J91" s="886" t="s">
        <v>7</v>
      </c>
      <c r="K91" s="884"/>
      <c r="L91" s="885"/>
      <c r="M91" s="886" t="s">
        <v>220</v>
      </c>
      <c r="N91" s="885"/>
      <c r="O91" s="883" t="s">
        <v>8</v>
      </c>
      <c r="P91" s="884"/>
      <c r="Q91" s="885"/>
      <c r="R91" s="886" t="s">
        <v>221</v>
      </c>
      <c r="S91" s="885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  <c r="AK91" s="486"/>
      <c r="AL91" s="486"/>
      <c r="AM91" s="486"/>
      <c r="AN91" s="486"/>
    </row>
    <row r="92" spans="1:40" ht="15.75" customHeight="1">
      <c r="B92" s="486"/>
      <c r="C92" s="502"/>
      <c r="D92" s="489" t="s">
        <v>10</v>
      </c>
      <c r="E92" s="490" t="s">
        <v>11</v>
      </c>
      <c r="F92" s="491" t="s">
        <v>12</v>
      </c>
      <c r="G92" s="492"/>
      <c r="H92" s="490"/>
      <c r="I92" s="491"/>
      <c r="J92" s="492" t="s">
        <v>476</v>
      </c>
      <c r="K92" s="490" t="s">
        <v>13</v>
      </c>
      <c r="L92" s="491" t="s">
        <v>12</v>
      </c>
      <c r="M92" s="492" t="s">
        <v>476</v>
      </c>
      <c r="N92" s="491" t="s">
        <v>12</v>
      </c>
      <c r="O92" s="490" t="s">
        <v>10</v>
      </c>
      <c r="P92" s="490" t="s">
        <v>11</v>
      </c>
      <c r="Q92" s="491" t="s">
        <v>12</v>
      </c>
      <c r="R92" s="492" t="s">
        <v>476</v>
      </c>
      <c r="S92" s="491" t="s">
        <v>12</v>
      </c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  <c r="AK92" s="486"/>
      <c r="AL92" s="486"/>
      <c r="AM92" s="486"/>
      <c r="AN92" s="486"/>
    </row>
    <row r="93" spans="1:40" ht="24" customHeight="1">
      <c r="A93" s="782" t="s">
        <v>284</v>
      </c>
      <c r="B93" s="486" t="s">
        <v>73</v>
      </c>
      <c r="C93" s="495" t="s">
        <v>15</v>
      </c>
      <c r="D93" s="499"/>
      <c r="E93" s="499"/>
      <c r="F93" s="497">
        <v>1743301.3697993888</v>
      </c>
      <c r="G93" s="519"/>
      <c r="H93" s="499"/>
      <c r="I93" s="497"/>
      <c r="J93" s="495"/>
      <c r="K93" s="499"/>
      <c r="L93" s="497">
        <v>1616914.64</v>
      </c>
      <c r="M93" s="578"/>
      <c r="N93" s="579"/>
      <c r="O93" s="495"/>
      <c r="P93" s="499"/>
      <c r="Q93" s="497">
        <v>1325634.6399999999</v>
      </c>
      <c r="R93" s="578"/>
      <c r="S93" s="579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/>
      <c r="AL93" s="486"/>
      <c r="AM93" s="486"/>
      <c r="AN93" s="486"/>
    </row>
    <row r="94" spans="1:40" ht="21.75" customHeight="1">
      <c r="A94" s="782" t="s">
        <v>285</v>
      </c>
      <c r="B94" s="486" t="s">
        <v>73</v>
      </c>
      <c r="C94" s="502" t="s">
        <v>75</v>
      </c>
      <c r="D94" s="543">
        <v>30</v>
      </c>
      <c r="E94" s="543">
        <v>1400</v>
      </c>
      <c r="F94" s="543">
        <v>42000</v>
      </c>
      <c r="G94" s="506"/>
      <c r="H94" s="543"/>
      <c r="I94" s="543"/>
      <c r="J94" s="506">
        <v>30</v>
      </c>
      <c r="K94" s="543">
        <v>1968.674999999997</v>
      </c>
      <c r="L94" s="507">
        <v>59060.249999999913</v>
      </c>
      <c r="M94" s="506">
        <v>0</v>
      </c>
      <c r="N94" s="507">
        <v>17060.249999999913</v>
      </c>
      <c r="O94" s="506">
        <v>31</v>
      </c>
      <c r="P94" s="543">
        <v>599.35870967741619</v>
      </c>
      <c r="Q94" s="507">
        <v>18580.119999999901</v>
      </c>
      <c r="R94" s="506">
        <v>-1</v>
      </c>
      <c r="S94" s="507">
        <v>40480.130000000012</v>
      </c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  <c r="AK94" s="486"/>
      <c r="AL94" s="486"/>
      <c r="AM94" s="486"/>
      <c r="AN94" s="486"/>
    </row>
    <row r="95" spans="1:40" ht="18.75" customHeight="1">
      <c r="A95" s="782" t="s">
        <v>286</v>
      </c>
      <c r="B95" s="486" t="s">
        <v>73</v>
      </c>
      <c r="C95" s="502" t="s">
        <v>76</v>
      </c>
      <c r="D95" s="543">
        <v>3</v>
      </c>
      <c r="E95" s="543">
        <v>1800</v>
      </c>
      <c r="F95" s="543">
        <v>5400</v>
      </c>
      <c r="G95" s="506"/>
      <c r="H95" s="543"/>
      <c r="I95" s="543"/>
      <c r="J95" s="506">
        <v>0</v>
      </c>
      <c r="K95" s="543">
        <v>0</v>
      </c>
      <c r="L95" s="507">
        <v>0</v>
      </c>
      <c r="M95" s="506">
        <v>-3</v>
      </c>
      <c r="N95" s="507">
        <v>-5400</v>
      </c>
      <c r="O95" s="506">
        <v>2</v>
      </c>
      <c r="P95" s="543">
        <v>1491.0899999999949</v>
      </c>
      <c r="Q95" s="507">
        <v>2982.1799999999898</v>
      </c>
      <c r="R95" s="506">
        <v>-2</v>
      </c>
      <c r="S95" s="507">
        <v>-2982.1799999999898</v>
      </c>
      <c r="T95" s="486"/>
      <c r="U95" s="486"/>
      <c r="V95" s="813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</row>
    <row r="96" spans="1:40" ht="18.75" customHeight="1">
      <c r="A96" s="782" t="s">
        <v>287</v>
      </c>
      <c r="B96" s="486" t="s">
        <v>73</v>
      </c>
      <c r="C96" s="502" t="s">
        <v>224</v>
      </c>
      <c r="D96" s="543">
        <v>5</v>
      </c>
      <c r="E96" s="499">
        <v>1500</v>
      </c>
      <c r="F96" s="543">
        <v>7500</v>
      </c>
      <c r="G96" s="506"/>
      <c r="H96" s="543"/>
      <c r="I96" s="543"/>
      <c r="J96" s="506">
        <v>0</v>
      </c>
      <c r="K96" s="543">
        <v>0</v>
      </c>
      <c r="L96" s="507">
        <v>0</v>
      </c>
      <c r="M96" s="506">
        <v>-5</v>
      </c>
      <c r="N96" s="507">
        <v>-7500</v>
      </c>
      <c r="O96" s="506">
        <v>0</v>
      </c>
      <c r="P96" s="543">
        <v>0</v>
      </c>
      <c r="Q96" s="507">
        <v>0</v>
      </c>
      <c r="R96" s="506">
        <v>0</v>
      </c>
      <c r="S96" s="507">
        <v>0</v>
      </c>
      <c r="T96" s="486"/>
      <c r="U96" s="486"/>
      <c r="V96" s="813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</row>
    <row r="97" spans="1:40" ht="15.75" customHeight="1">
      <c r="A97" s="782" t="s">
        <v>288</v>
      </c>
      <c r="B97" s="486" t="s">
        <v>73</v>
      </c>
      <c r="C97" s="508" t="s">
        <v>77</v>
      </c>
      <c r="D97" s="580">
        <v>38</v>
      </c>
      <c r="E97" s="543">
        <v>1444.7368421052631</v>
      </c>
      <c r="F97" s="581">
        <v>54900</v>
      </c>
      <c r="G97" s="512"/>
      <c r="H97" s="580"/>
      <c r="I97" s="581"/>
      <c r="J97" s="512">
        <v>30</v>
      </c>
      <c r="K97" s="580">
        <v>1968.674999999997</v>
      </c>
      <c r="L97" s="581">
        <v>59060.249999999913</v>
      </c>
      <c r="M97" s="512">
        <v>-8</v>
      </c>
      <c r="N97" s="581">
        <v>4160.2499999999127</v>
      </c>
      <c r="O97" s="512">
        <v>33</v>
      </c>
      <c r="P97" s="580">
        <v>653.40303030302698</v>
      </c>
      <c r="Q97" s="581">
        <v>21562.29999999989</v>
      </c>
      <c r="R97" s="512">
        <v>-3</v>
      </c>
      <c r="S97" s="581">
        <v>37497.950000000019</v>
      </c>
      <c r="T97" s="486"/>
      <c r="U97" s="486"/>
      <c r="V97" s="486"/>
      <c r="W97" s="486"/>
      <c r="X97" s="486"/>
      <c r="Y97" s="486"/>
      <c r="Z97" s="486"/>
      <c r="AA97" s="486"/>
      <c r="AB97" s="486"/>
      <c r="AC97" s="503"/>
      <c r="AD97" s="486"/>
      <c r="AE97" s="486"/>
      <c r="AF97" s="503"/>
      <c r="AG97" s="486"/>
      <c r="AH97" s="486"/>
      <c r="AI97" s="486"/>
      <c r="AJ97" s="486"/>
      <c r="AK97" s="486"/>
      <c r="AL97" s="486"/>
      <c r="AM97" s="486"/>
      <c r="AN97" s="486"/>
    </row>
    <row r="98" spans="1:40" ht="15.75" customHeight="1">
      <c r="A98" s="782" t="s">
        <v>73</v>
      </c>
      <c r="B98" s="486" t="s">
        <v>73</v>
      </c>
      <c r="C98" s="502"/>
      <c r="D98" s="486"/>
      <c r="E98" s="543">
        <v>0</v>
      </c>
      <c r="F98" s="527"/>
      <c r="G98" s="502"/>
      <c r="H98" s="486"/>
      <c r="I98" s="527"/>
      <c r="J98" s="502"/>
      <c r="K98" s="486"/>
      <c r="L98" s="527"/>
      <c r="M98" s="814">
        <v>-0.21052631578947367</v>
      </c>
      <c r="N98" s="815">
        <v>7.5778688524588578E-2</v>
      </c>
      <c r="O98" s="502"/>
      <c r="P98" s="486">
        <v>0</v>
      </c>
      <c r="Q98" s="527"/>
      <c r="R98" s="814">
        <v>-9.0909090909090912E-2</v>
      </c>
      <c r="S98" s="815">
        <v>1.7390514926515357</v>
      </c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/>
      <c r="AL98" s="486"/>
      <c r="AM98" s="486"/>
      <c r="AN98" s="486"/>
    </row>
    <row r="99" spans="1:40" ht="15.75" customHeight="1">
      <c r="A99" s="782" t="s">
        <v>73</v>
      </c>
      <c r="B99" s="486" t="s">
        <v>73</v>
      </c>
      <c r="C99" s="502"/>
      <c r="D99" s="543">
        <v>0</v>
      </c>
      <c r="E99" s="543">
        <v>0</v>
      </c>
      <c r="F99" s="543">
        <v>0</v>
      </c>
      <c r="G99" s="506"/>
      <c r="H99" s="543"/>
      <c r="I99" s="543"/>
      <c r="J99" s="506"/>
      <c r="K99" s="543"/>
      <c r="L99" s="507"/>
      <c r="M99" s="506"/>
      <c r="N99" s="507"/>
      <c r="O99" s="506"/>
      <c r="P99" s="543"/>
      <c r="Q99" s="507"/>
      <c r="R99" s="506"/>
      <c r="S99" s="507"/>
      <c r="T99" s="486"/>
      <c r="U99" s="486"/>
      <c r="V99" s="486"/>
      <c r="W99" s="543"/>
      <c r="X99" s="543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  <c r="AK99" s="486"/>
      <c r="AL99" s="486"/>
      <c r="AM99" s="486"/>
      <c r="AN99" s="486"/>
    </row>
    <row r="100" spans="1:40" ht="15.75" customHeight="1">
      <c r="A100" s="782" t="s">
        <v>289</v>
      </c>
      <c r="B100" s="486" t="s">
        <v>73</v>
      </c>
      <c r="C100" s="502" t="s">
        <v>78</v>
      </c>
      <c r="D100" s="543">
        <v>38</v>
      </c>
      <c r="E100" s="543">
        <v>400</v>
      </c>
      <c r="F100" s="543">
        <v>15200</v>
      </c>
      <c r="G100" s="506"/>
      <c r="H100" s="543"/>
      <c r="I100" s="543"/>
      <c r="J100" s="506">
        <v>45</v>
      </c>
      <c r="K100" s="543">
        <v>996.06622222222177</v>
      </c>
      <c r="L100" s="507">
        <v>44822.979999999981</v>
      </c>
      <c r="M100" s="506">
        <v>7</v>
      </c>
      <c r="N100" s="507">
        <v>29622.979999999981</v>
      </c>
      <c r="O100" s="506">
        <v>29</v>
      </c>
      <c r="P100" s="543">
        <v>144.9951724137924</v>
      </c>
      <c r="Q100" s="507">
        <v>4204.8599999999797</v>
      </c>
      <c r="R100" s="506">
        <v>16</v>
      </c>
      <c r="S100" s="507">
        <v>40618.120000000003</v>
      </c>
      <c r="T100" s="486"/>
      <c r="U100" s="543"/>
      <c r="V100" s="486"/>
      <c r="W100" s="486"/>
      <c r="X100" s="486"/>
      <c r="Y100" s="486"/>
      <c r="Z100" s="486"/>
      <c r="AA100" s="486"/>
      <c r="AB100" s="486"/>
      <c r="AC100" s="503"/>
      <c r="AD100" s="486"/>
      <c r="AE100" s="486"/>
      <c r="AF100" s="816"/>
      <c r="AG100" s="486"/>
      <c r="AH100" s="486"/>
      <c r="AI100" s="486"/>
      <c r="AJ100" s="486"/>
      <c r="AK100" s="486"/>
      <c r="AL100" s="486"/>
      <c r="AM100" s="486"/>
      <c r="AN100" s="486"/>
    </row>
    <row r="101" spans="1:40" ht="15.75" customHeight="1">
      <c r="A101" s="782" t="s">
        <v>73</v>
      </c>
      <c r="B101" s="486" t="s">
        <v>73</v>
      </c>
      <c r="C101" s="495"/>
      <c r="D101" s="499"/>
      <c r="E101" s="499"/>
      <c r="F101" s="497"/>
      <c r="G101" s="519"/>
      <c r="H101" s="499"/>
      <c r="I101" s="497"/>
      <c r="J101" s="519"/>
      <c r="K101" s="499"/>
      <c r="L101" s="497"/>
      <c r="M101" s="582"/>
      <c r="N101" s="583"/>
      <c r="O101" s="519"/>
      <c r="P101" s="499"/>
      <c r="Q101" s="497"/>
      <c r="R101" s="582"/>
      <c r="S101" s="583"/>
      <c r="T101" s="486"/>
      <c r="U101" s="486"/>
      <c r="V101" s="486"/>
      <c r="W101" s="543"/>
      <c r="X101" s="486"/>
      <c r="Y101" s="486"/>
      <c r="Z101" s="486"/>
      <c r="AA101" s="486"/>
      <c r="AB101" s="486"/>
      <c r="AC101" s="486"/>
      <c r="AD101" s="486"/>
      <c r="AE101" s="486"/>
      <c r="AF101" s="816"/>
      <c r="AG101" s="486"/>
      <c r="AH101" s="486"/>
      <c r="AI101" s="486"/>
      <c r="AJ101" s="486"/>
      <c r="AK101" s="486"/>
      <c r="AL101" s="486"/>
      <c r="AM101" s="486"/>
      <c r="AN101" s="486"/>
    </row>
    <row r="102" spans="1:40" ht="15.75" customHeight="1">
      <c r="A102" s="782" t="s">
        <v>290</v>
      </c>
      <c r="B102" s="486" t="s">
        <v>73</v>
      </c>
      <c r="C102" s="502" t="s">
        <v>25</v>
      </c>
      <c r="D102" s="543">
        <v>0</v>
      </c>
      <c r="E102" s="543">
        <v>0</v>
      </c>
      <c r="F102" s="507">
        <v>22800</v>
      </c>
      <c r="G102" s="506"/>
      <c r="H102" s="543"/>
      <c r="I102" s="543"/>
      <c r="J102" s="506"/>
      <c r="K102" s="543">
        <v>373.98400000000004</v>
      </c>
      <c r="L102" s="507">
        <v>11219.52</v>
      </c>
      <c r="M102" s="506"/>
      <c r="N102" s="507">
        <v>-11580.48</v>
      </c>
      <c r="O102" s="506"/>
      <c r="P102" s="543"/>
      <c r="Q102" s="507">
        <v>9012.23</v>
      </c>
      <c r="R102" s="506">
        <v>-373.98400000000004</v>
      </c>
      <c r="S102" s="507">
        <v>2207.2900000000009</v>
      </c>
      <c r="T102" s="486"/>
      <c r="U102" s="486"/>
      <c r="V102" s="486"/>
      <c r="W102" s="486"/>
      <c r="X102" s="486"/>
      <c r="Y102" s="486"/>
      <c r="Z102" s="486"/>
      <c r="AA102" s="486"/>
      <c r="AB102" s="486"/>
      <c r="AC102" s="486"/>
      <c r="AD102" s="486"/>
      <c r="AE102" s="486"/>
      <c r="AF102" s="486"/>
      <c r="AG102" s="486"/>
      <c r="AH102" s="486"/>
      <c r="AI102" s="486"/>
      <c r="AJ102" s="486"/>
      <c r="AK102" s="486"/>
      <c r="AL102" s="486"/>
      <c r="AM102" s="486"/>
      <c r="AN102" s="486"/>
    </row>
    <row r="103" spans="1:40" ht="15.75" customHeight="1">
      <c r="A103" s="782" t="s">
        <v>291</v>
      </c>
      <c r="B103" s="486" t="s">
        <v>73</v>
      </c>
      <c r="C103" s="502" t="s">
        <v>26</v>
      </c>
      <c r="D103" s="543">
        <v>0</v>
      </c>
      <c r="E103" s="543">
        <v>0</v>
      </c>
      <c r="F103" s="507">
        <v>47500</v>
      </c>
      <c r="G103" s="506"/>
      <c r="H103" s="543"/>
      <c r="I103" s="543"/>
      <c r="J103" s="506"/>
      <c r="K103" s="543">
        <v>1465.0156666666667</v>
      </c>
      <c r="L103" s="507">
        <v>43950.47</v>
      </c>
      <c r="M103" s="506"/>
      <c r="N103" s="507">
        <v>-3549.5299999999988</v>
      </c>
      <c r="O103" s="506"/>
      <c r="P103" s="543"/>
      <c r="Q103" s="507">
        <v>50120.45</v>
      </c>
      <c r="R103" s="506">
        <v>-1465.0156666666667</v>
      </c>
      <c r="S103" s="507">
        <v>-6169.9799999999959</v>
      </c>
      <c r="T103" s="486"/>
      <c r="U103" s="486"/>
      <c r="V103" s="486"/>
      <c r="W103" s="486"/>
      <c r="X103" s="486"/>
      <c r="Y103" s="486"/>
      <c r="Z103" s="486"/>
      <c r="AA103" s="486"/>
      <c r="AB103" s="486"/>
      <c r="AC103" s="486"/>
      <c r="AD103" s="486"/>
      <c r="AE103" s="486"/>
      <c r="AF103" s="486"/>
      <c r="AG103" s="486"/>
      <c r="AH103" s="486"/>
      <c r="AI103" s="486"/>
      <c r="AJ103" s="486"/>
      <c r="AK103" s="486"/>
      <c r="AL103" s="486"/>
      <c r="AM103" s="486"/>
      <c r="AN103" s="486"/>
    </row>
    <row r="104" spans="1:40" ht="15.75" customHeight="1">
      <c r="A104" s="782" t="s">
        <v>292</v>
      </c>
      <c r="B104" s="486" t="s">
        <v>73</v>
      </c>
      <c r="C104" s="502" t="s">
        <v>27</v>
      </c>
      <c r="D104" s="543">
        <v>0</v>
      </c>
      <c r="E104" s="499">
        <v>0</v>
      </c>
      <c r="F104" s="507">
        <v>1900</v>
      </c>
      <c r="G104" s="506"/>
      <c r="H104" s="499"/>
      <c r="I104" s="543"/>
      <c r="J104" s="506"/>
      <c r="K104" s="499">
        <v>71.340333333333334</v>
      </c>
      <c r="L104" s="507">
        <v>2140.21</v>
      </c>
      <c r="M104" s="519"/>
      <c r="N104" s="507">
        <v>240.21000000000004</v>
      </c>
      <c r="O104" s="506"/>
      <c r="P104" s="499"/>
      <c r="Q104" s="507">
        <v>0</v>
      </c>
      <c r="R104" s="506">
        <v>-71.340333333333334</v>
      </c>
      <c r="S104" s="507">
        <v>2140.21</v>
      </c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6"/>
      <c r="AD104" s="486"/>
      <c r="AE104" s="486"/>
      <c r="AF104" s="486"/>
      <c r="AG104" s="486"/>
      <c r="AH104" s="486"/>
      <c r="AI104" s="486"/>
      <c r="AJ104" s="486"/>
      <c r="AK104" s="486"/>
      <c r="AL104" s="486"/>
      <c r="AM104" s="486"/>
      <c r="AN104" s="486"/>
    </row>
    <row r="105" spans="1:40" ht="15.75" customHeight="1">
      <c r="A105" s="782" t="s">
        <v>293</v>
      </c>
      <c r="B105" s="486" t="s">
        <v>73</v>
      </c>
      <c r="C105" s="508" t="s">
        <v>28</v>
      </c>
      <c r="D105" s="580">
        <v>38</v>
      </c>
      <c r="E105" s="543">
        <v>1900</v>
      </c>
      <c r="F105" s="581">
        <v>72200</v>
      </c>
      <c r="G105" s="512"/>
      <c r="H105" s="580"/>
      <c r="I105" s="581"/>
      <c r="J105" s="512">
        <v>30</v>
      </c>
      <c r="K105" s="580">
        <v>1910.3400000000001</v>
      </c>
      <c r="L105" s="581">
        <v>57310.200000000004</v>
      </c>
      <c r="M105" s="506">
        <v>-8</v>
      </c>
      <c r="N105" s="581">
        <v>-14889.799999999996</v>
      </c>
      <c r="O105" s="512">
        <v>33</v>
      </c>
      <c r="P105" s="580">
        <v>1791.8993939393938</v>
      </c>
      <c r="Q105" s="581">
        <v>59132.679999999993</v>
      </c>
      <c r="R105" s="525"/>
      <c r="S105" s="581">
        <v>-1822.4799999999886</v>
      </c>
      <c r="T105" s="486"/>
      <c r="U105" s="486"/>
      <c r="V105" s="486"/>
      <c r="W105" s="486"/>
      <c r="X105" s="486"/>
      <c r="Y105" s="486"/>
      <c r="Z105" s="486"/>
      <c r="AA105" s="486"/>
      <c r="AB105" s="486"/>
      <c r="AC105" s="486"/>
      <c r="AD105" s="486"/>
      <c r="AE105" s="486"/>
      <c r="AF105" s="486"/>
      <c r="AG105" s="486"/>
      <c r="AH105" s="486"/>
      <c r="AI105" s="486"/>
      <c r="AJ105" s="486"/>
      <c r="AK105" s="486"/>
      <c r="AL105" s="486"/>
      <c r="AM105" s="486"/>
      <c r="AN105" s="486"/>
    </row>
    <row r="106" spans="1:40" ht="15.75" customHeight="1">
      <c r="A106" s="782" t="s">
        <v>73</v>
      </c>
      <c r="B106" s="486" t="s">
        <v>73</v>
      </c>
      <c r="C106" s="502"/>
      <c r="D106" s="486"/>
      <c r="E106" s="486"/>
      <c r="F106" s="505"/>
      <c r="G106" s="502"/>
      <c r="H106" s="584"/>
      <c r="I106" s="505"/>
      <c r="J106" s="502"/>
      <c r="K106" s="486"/>
      <c r="L106" s="505"/>
      <c r="M106" s="513"/>
      <c r="N106" s="514">
        <v>-0.20622991689750686</v>
      </c>
      <c r="O106" s="502"/>
      <c r="P106" s="486"/>
      <c r="Q106" s="505"/>
      <c r="R106" s="504"/>
      <c r="S106" s="514">
        <v>-3.0820182680710375E-2</v>
      </c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</row>
    <row r="107" spans="1:40" ht="15.75" customHeight="1" thickBot="1">
      <c r="A107" s="782" t="s">
        <v>73</v>
      </c>
      <c r="B107" s="486" t="s">
        <v>73</v>
      </c>
      <c r="C107" s="502"/>
      <c r="D107" s="486"/>
      <c r="E107" s="486"/>
      <c r="F107" s="505"/>
      <c r="G107" s="502"/>
      <c r="H107" s="584"/>
      <c r="I107" s="505"/>
      <c r="J107" s="502"/>
      <c r="K107" s="486"/>
      <c r="L107" s="505"/>
      <c r="M107" s="513"/>
      <c r="N107" s="514"/>
      <c r="O107" s="502"/>
      <c r="P107" s="486"/>
      <c r="Q107" s="505"/>
      <c r="R107" s="504"/>
      <c r="S107" s="514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</row>
    <row r="108" spans="1:40" ht="23.25" customHeight="1" thickTop="1">
      <c r="A108" s="782" t="s">
        <v>294</v>
      </c>
      <c r="B108" s="486" t="s">
        <v>73</v>
      </c>
      <c r="C108" s="528" t="s">
        <v>79</v>
      </c>
      <c r="D108" s="529">
        <v>76</v>
      </c>
      <c r="E108" s="530">
        <v>1872.3684210526317</v>
      </c>
      <c r="F108" s="531">
        <v>142300</v>
      </c>
      <c r="G108" s="532"/>
      <c r="H108" s="817"/>
      <c r="I108" s="531"/>
      <c r="J108" s="532">
        <v>75</v>
      </c>
      <c r="K108" s="530">
        <v>2149.2457333333323</v>
      </c>
      <c r="L108" s="531">
        <v>161193.42999999991</v>
      </c>
      <c r="M108" s="532">
        <v>-1</v>
      </c>
      <c r="N108" s="531">
        <v>18893.429999999906</v>
      </c>
      <c r="O108" s="532">
        <v>62</v>
      </c>
      <c r="P108" s="530">
        <v>1369.352258064514</v>
      </c>
      <c r="Q108" s="531">
        <v>84899.839999999866</v>
      </c>
      <c r="R108" s="532">
        <v>13</v>
      </c>
      <c r="S108" s="531">
        <v>76293.59000000004</v>
      </c>
      <c r="T108" s="486"/>
      <c r="U108" s="486"/>
      <c r="V108" s="486"/>
      <c r="W108" s="486"/>
      <c r="X108" s="486"/>
      <c r="Y108" s="486"/>
      <c r="Z108" s="486"/>
      <c r="AA108" s="486"/>
      <c r="AB108" s="486"/>
      <c r="AC108" s="486"/>
      <c r="AD108" s="486"/>
      <c r="AE108" s="486"/>
      <c r="AF108" s="486"/>
      <c r="AG108" s="486"/>
      <c r="AH108" s="486"/>
      <c r="AI108" s="486"/>
      <c r="AJ108" s="486"/>
      <c r="AK108" s="486"/>
      <c r="AL108" s="486"/>
      <c r="AM108" s="486"/>
      <c r="AN108" s="486"/>
    </row>
    <row r="109" spans="1:40" ht="19.5" customHeight="1" thickBot="1">
      <c r="A109" s="782" t="s">
        <v>73</v>
      </c>
      <c r="B109" s="486" t="s">
        <v>73</v>
      </c>
      <c r="C109" s="533"/>
      <c r="D109" s="534"/>
      <c r="E109" s="534"/>
      <c r="F109" s="535"/>
      <c r="G109" s="533"/>
      <c r="H109" s="534"/>
      <c r="I109" s="535"/>
      <c r="J109" s="533"/>
      <c r="K109" s="534"/>
      <c r="L109" s="790">
        <v>1.132771820098383</v>
      </c>
      <c r="M109" s="537">
        <v>-1.3157894736842105E-2</v>
      </c>
      <c r="N109" s="536">
        <v>0.13277182009838304</v>
      </c>
      <c r="O109" s="533"/>
      <c r="P109" s="534"/>
      <c r="Q109" s="535"/>
      <c r="R109" s="818">
        <v>4.7692307692307692</v>
      </c>
      <c r="S109" s="585">
        <v>0.89863055101164102</v>
      </c>
      <c r="T109" s="486"/>
      <c r="U109" s="486"/>
      <c r="V109" s="486"/>
      <c r="W109" s="486"/>
      <c r="X109" s="486"/>
      <c r="Y109" s="486"/>
      <c r="Z109" s="486"/>
      <c r="AA109" s="486"/>
      <c r="AB109" s="486"/>
      <c r="AC109" s="486"/>
      <c r="AD109" s="486"/>
      <c r="AE109" s="486"/>
      <c r="AF109" s="486"/>
      <c r="AG109" s="486"/>
      <c r="AH109" s="486"/>
      <c r="AI109" s="486"/>
      <c r="AJ109" s="486"/>
      <c r="AK109" s="486"/>
      <c r="AL109" s="486"/>
      <c r="AM109" s="486"/>
      <c r="AN109" s="486"/>
    </row>
    <row r="110" spans="1:40" ht="15.75" customHeight="1" thickTop="1">
      <c r="A110" s="782" t="s">
        <v>73</v>
      </c>
      <c r="B110" s="486" t="s">
        <v>73</v>
      </c>
      <c r="C110" s="520"/>
      <c r="D110" s="538"/>
      <c r="E110" s="538"/>
      <c r="F110" s="539"/>
      <c r="G110" s="520"/>
      <c r="H110" s="538"/>
      <c r="I110" s="539"/>
      <c r="J110" s="520"/>
      <c r="K110" s="538"/>
      <c r="L110" s="539"/>
      <c r="M110" s="513"/>
      <c r="N110" s="514"/>
      <c r="O110" s="520"/>
      <c r="P110" s="538"/>
      <c r="Q110" s="539"/>
      <c r="R110" s="513"/>
      <c r="S110" s="514"/>
      <c r="T110" s="486"/>
      <c r="U110" s="486"/>
      <c r="V110" s="486"/>
      <c r="W110" s="486"/>
      <c r="X110" s="486"/>
      <c r="Y110" s="486"/>
      <c r="Z110" s="486"/>
      <c r="AA110" s="486"/>
      <c r="AB110" s="486"/>
      <c r="AC110" s="486"/>
      <c r="AD110" s="486"/>
      <c r="AE110" s="486"/>
      <c r="AF110" s="486"/>
      <c r="AG110" s="486"/>
      <c r="AH110" s="486"/>
      <c r="AI110" s="486"/>
      <c r="AJ110" s="486"/>
      <c r="AK110" s="486"/>
      <c r="AL110" s="486"/>
      <c r="AM110" s="486"/>
      <c r="AN110" s="486"/>
    </row>
    <row r="111" spans="1:40" ht="15.75" customHeight="1">
      <c r="A111" s="782" t="s">
        <v>295</v>
      </c>
      <c r="B111" s="486" t="s">
        <v>73</v>
      </c>
      <c r="C111" s="540" t="s">
        <v>30</v>
      </c>
      <c r="D111" s="486"/>
      <c r="E111" s="541"/>
      <c r="F111" s="505"/>
      <c r="G111" s="502"/>
      <c r="H111" s="541"/>
      <c r="I111" s="505"/>
      <c r="J111" s="502"/>
      <c r="K111" s="541"/>
      <c r="L111" s="527"/>
      <c r="M111" s="502"/>
      <c r="N111" s="527"/>
      <c r="O111" s="502"/>
      <c r="P111" s="541"/>
      <c r="Q111" s="527"/>
      <c r="R111" s="502"/>
      <c r="S111" s="527"/>
      <c r="T111" s="486"/>
      <c r="U111" s="486"/>
      <c r="V111" s="486"/>
      <c r="W111" s="486"/>
      <c r="X111" s="486"/>
      <c r="Y111" s="486"/>
      <c r="Z111" s="486"/>
      <c r="AA111" s="486"/>
      <c r="AB111" s="486"/>
      <c r="AC111" s="486"/>
      <c r="AD111" s="486"/>
      <c r="AE111" s="486"/>
      <c r="AF111" s="486"/>
      <c r="AG111" s="486"/>
      <c r="AH111" s="486"/>
      <c r="AI111" s="486"/>
      <c r="AJ111" s="486"/>
      <c r="AK111" s="486"/>
      <c r="AL111" s="486"/>
      <c r="AM111" s="486"/>
      <c r="AN111" s="486"/>
    </row>
    <row r="112" spans="1:40" ht="15.75" customHeight="1">
      <c r="A112" s="782" t="s">
        <v>296</v>
      </c>
      <c r="B112" s="486" t="s">
        <v>73</v>
      </c>
      <c r="C112" s="502" t="s">
        <v>31</v>
      </c>
      <c r="D112" s="591">
        <v>0.33198316959529456</v>
      </c>
      <c r="E112" s="503">
        <v>479.62831607320186</v>
      </c>
      <c r="F112" s="543">
        <v>18225.876010781671</v>
      </c>
      <c r="G112" s="587"/>
      <c r="H112" s="503"/>
      <c r="I112" s="543"/>
      <c r="J112" s="587">
        <v>0.28321993218789332</v>
      </c>
      <c r="K112" s="503">
        <v>557.56799999999998</v>
      </c>
      <c r="L112" s="507">
        <v>16727.04</v>
      </c>
      <c r="M112" s="502"/>
      <c r="N112" s="505">
        <v>-1498.8360107816698</v>
      </c>
      <c r="O112" s="792">
        <v>0.79860497256786545</v>
      </c>
      <c r="P112" s="503">
        <v>521.81090909090904</v>
      </c>
      <c r="Q112" s="507">
        <v>17219.759999999998</v>
      </c>
      <c r="R112" s="502"/>
      <c r="S112" s="505">
        <v>-492.71999999999753</v>
      </c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/>
      <c r="AJ112" s="486"/>
      <c r="AK112" s="486"/>
      <c r="AL112" s="486"/>
      <c r="AM112" s="486"/>
      <c r="AN112" s="486"/>
    </row>
    <row r="113" spans="1:40" ht="15.75" customHeight="1">
      <c r="A113" s="782" t="s">
        <v>297</v>
      </c>
      <c r="B113" s="486" t="s">
        <v>73</v>
      </c>
      <c r="C113" s="495" t="s">
        <v>32</v>
      </c>
      <c r="D113" s="819">
        <v>0.3</v>
      </c>
      <c r="E113" s="516">
        <v>570</v>
      </c>
      <c r="F113" s="497">
        <v>21660</v>
      </c>
      <c r="G113" s="588"/>
      <c r="H113" s="516"/>
      <c r="I113" s="497"/>
      <c r="J113" s="588">
        <v>0.29938492624349594</v>
      </c>
      <c r="K113" s="516">
        <v>571.92700000000002</v>
      </c>
      <c r="L113" s="507">
        <v>17157.810000000001</v>
      </c>
      <c r="M113" s="495"/>
      <c r="N113" s="517">
        <v>-4502.1899999999987</v>
      </c>
      <c r="O113" s="794">
        <v>0.27194559536723012</v>
      </c>
      <c r="P113" s="516">
        <v>537.56787878787884</v>
      </c>
      <c r="Q113" s="507">
        <v>17739.740000000002</v>
      </c>
      <c r="R113" s="495"/>
      <c r="S113" s="517">
        <v>-581.93000000000029</v>
      </c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</row>
    <row r="114" spans="1:40" ht="15.75" customHeight="1">
      <c r="A114" s="782" t="s">
        <v>298</v>
      </c>
      <c r="B114" s="486" t="s">
        <v>73</v>
      </c>
      <c r="C114" s="502" t="s">
        <v>33</v>
      </c>
      <c r="D114" s="544"/>
      <c r="E114" s="503">
        <v>8</v>
      </c>
      <c r="F114" s="543">
        <v>304</v>
      </c>
      <c r="G114" s="545"/>
      <c r="H114" s="503"/>
      <c r="I114" s="543"/>
      <c r="J114" s="502"/>
      <c r="K114" s="503">
        <v>-25.86</v>
      </c>
      <c r="L114" s="524">
        <v>-775.8</v>
      </c>
      <c r="M114" s="502"/>
      <c r="N114" s="505">
        <v>-1079.8</v>
      </c>
      <c r="O114" s="502"/>
      <c r="P114" s="503">
        <v>-18.886969696969697</v>
      </c>
      <c r="Q114" s="524">
        <v>-623.27</v>
      </c>
      <c r="R114" s="502"/>
      <c r="S114" s="505">
        <v>-152.52999999999997</v>
      </c>
      <c r="T114" s="486"/>
      <c r="U114" s="485"/>
      <c r="V114" s="486"/>
      <c r="W114" s="543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</row>
    <row r="115" spans="1:40" ht="15.75" customHeight="1">
      <c r="A115" s="782" t="s">
        <v>299</v>
      </c>
      <c r="B115" s="486" t="s">
        <v>73</v>
      </c>
      <c r="C115" s="502" t="s">
        <v>34</v>
      </c>
      <c r="D115" s="544"/>
      <c r="E115" s="503">
        <v>45</v>
      </c>
      <c r="F115" s="543">
        <v>1710</v>
      </c>
      <c r="G115" s="545"/>
      <c r="H115" s="503"/>
      <c r="I115" s="543"/>
      <c r="J115" s="502"/>
      <c r="K115" s="503">
        <v>75.950666666666663</v>
      </c>
      <c r="L115" s="507">
        <v>2278.52</v>
      </c>
      <c r="M115" s="502"/>
      <c r="N115" s="505">
        <v>568.52</v>
      </c>
      <c r="O115" s="502"/>
      <c r="P115" s="503">
        <v>68.74454545454546</v>
      </c>
      <c r="Q115" s="507">
        <v>2268.5700000000002</v>
      </c>
      <c r="R115" s="502"/>
      <c r="S115" s="505">
        <v>9.9499999999998181</v>
      </c>
      <c r="T115" s="486"/>
      <c r="U115" s="486"/>
      <c r="V115" s="486"/>
      <c r="W115" s="543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</row>
    <row r="116" spans="1:40" ht="15.75" customHeight="1">
      <c r="A116" s="782" t="s">
        <v>300</v>
      </c>
      <c r="B116" s="486" t="s">
        <v>73</v>
      </c>
      <c r="C116" s="495" t="s">
        <v>35</v>
      </c>
      <c r="D116" s="546"/>
      <c r="E116" s="516">
        <v>160</v>
      </c>
      <c r="F116" s="497">
        <v>6080</v>
      </c>
      <c r="G116" s="547"/>
      <c r="H116" s="516"/>
      <c r="I116" s="497"/>
      <c r="J116" s="495"/>
      <c r="K116" s="516">
        <v>322.142</v>
      </c>
      <c r="L116" s="497">
        <v>9664.26</v>
      </c>
      <c r="M116" s="495"/>
      <c r="N116" s="517">
        <v>3584.26</v>
      </c>
      <c r="O116" s="495"/>
      <c r="P116" s="516">
        <v>147.01424242424244</v>
      </c>
      <c r="Q116" s="497">
        <v>4851.47</v>
      </c>
      <c r="R116" s="495"/>
      <c r="S116" s="517">
        <v>4812.79</v>
      </c>
      <c r="T116" s="486"/>
      <c r="U116" s="485"/>
      <c r="V116" s="486"/>
      <c r="W116" s="543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</row>
    <row r="117" spans="1:40" ht="19.5" customHeight="1">
      <c r="A117" s="782" t="s">
        <v>301</v>
      </c>
      <c r="B117" s="486" t="s">
        <v>73</v>
      </c>
      <c r="C117" s="502" t="s">
        <v>36</v>
      </c>
      <c r="D117" s="544"/>
      <c r="E117" s="503">
        <v>302.15789473684208</v>
      </c>
      <c r="F117" s="543">
        <v>11482</v>
      </c>
      <c r="G117" s="545"/>
      <c r="H117" s="503"/>
      <c r="I117" s="543"/>
      <c r="J117" s="502"/>
      <c r="K117" s="503">
        <v>250.22733333333332</v>
      </c>
      <c r="L117" s="507">
        <v>7506.82</v>
      </c>
      <c r="M117" s="502"/>
      <c r="N117" s="505">
        <v>-3975.1800000000003</v>
      </c>
      <c r="O117" s="502"/>
      <c r="P117" s="503">
        <v>328.47787878787881</v>
      </c>
      <c r="Q117" s="507">
        <v>10839.77</v>
      </c>
      <c r="R117" s="502"/>
      <c r="S117" s="505">
        <v>-3332.9500000000007</v>
      </c>
      <c r="T117" s="486"/>
      <c r="U117" s="486"/>
      <c r="V117" s="486"/>
      <c r="W117" s="543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</row>
    <row r="118" spans="1:40" ht="15.75" customHeight="1">
      <c r="A118" s="782" t="s">
        <v>302</v>
      </c>
      <c r="B118" s="486" t="s">
        <v>73</v>
      </c>
      <c r="C118" s="502" t="s">
        <v>37</v>
      </c>
      <c r="D118" s="544"/>
      <c r="E118" s="503">
        <v>204.01635229692729</v>
      </c>
      <c r="F118" s="543">
        <v>7752.6213872832368</v>
      </c>
      <c r="G118" s="545"/>
      <c r="H118" s="503"/>
      <c r="I118" s="543"/>
      <c r="J118" s="502"/>
      <c r="K118" s="503">
        <v>167.15766666666664</v>
      </c>
      <c r="L118" s="507">
        <v>5014.7299999999996</v>
      </c>
      <c r="M118" s="502"/>
      <c r="N118" s="505">
        <v>-2737.8913872832372</v>
      </c>
      <c r="O118" s="502"/>
      <c r="P118" s="503">
        <v>216.83060606060604</v>
      </c>
      <c r="Q118" s="507">
        <v>7155.41</v>
      </c>
      <c r="R118" s="502"/>
      <c r="S118" s="505">
        <v>-2140.6800000000003</v>
      </c>
      <c r="T118" s="486"/>
      <c r="U118" s="486"/>
      <c r="V118" s="486"/>
      <c r="W118" s="543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</row>
    <row r="119" spans="1:40" ht="15.75" hidden="1" customHeight="1">
      <c r="A119" s="782" t="s">
        <v>303</v>
      </c>
      <c r="B119" s="486" t="s">
        <v>73</v>
      </c>
      <c r="C119" s="502" t="s">
        <v>20</v>
      </c>
      <c r="D119" s="544"/>
      <c r="E119" s="503">
        <v>0</v>
      </c>
      <c r="F119" s="543">
        <v>0</v>
      </c>
      <c r="G119" s="545"/>
      <c r="H119" s="503"/>
      <c r="I119" s="543"/>
      <c r="J119" s="502"/>
      <c r="K119" s="503">
        <v>0</v>
      </c>
      <c r="L119" s="507">
        <v>0</v>
      </c>
      <c r="M119" s="502"/>
      <c r="N119" s="505">
        <v>0</v>
      </c>
      <c r="O119" s="502"/>
      <c r="P119" s="503">
        <v>0</v>
      </c>
      <c r="Q119" s="507">
        <v>0</v>
      </c>
      <c r="R119" s="502"/>
      <c r="S119" s="505">
        <v>0</v>
      </c>
      <c r="T119" s="486"/>
      <c r="U119" s="486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</row>
    <row r="120" spans="1:40" ht="15.75" hidden="1" customHeight="1">
      <c r="A120" s="782" t="s">
        <v>303</v>
      </c>
      <c r="B120" s="486" t="s">
        <v>73</v>
      </c>
      <c r="C120" s="502" t="s">
        <v>20</v>
      </c>
      <c r="D120" s="544"/>
      <c r="E120" s="503">
        <v>0</v>
      </c>
      <c r="F120" s="543">
        <v>0</v>
      </c>
      <c r="G120" s="545"/>
      <c r="H120" s="503"/>
      <c r="I120" s="543"/>
      <c r="J120" s="502"/>
      <c r="K120" s="503">
        <v>0</v>
      </c>
      <c r="L120" s="507">
        <v>0</v>
      </c>
      <c r="M120" s="502"/>
      <c r="N120" s="505">
        <v>0</v>
      </c>
      <c r="O120" s="502"/>
      <c r="P120" s="503">
        <v>0</v>
      </c>
      <c r="Q120" s="507">
        <v>0</v>
      </c>
      <c r="R120" s="502"/>
      <c r="S120" s="505">
        <v>0</v>
      </c>
      <c r="T120" s="486"/>
      <c r="U120" s="486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</row>
    <row r="121" spans="1:40" ht="15.75" hidden="1" customHeight="1">
      <c r="A121" s="782" t="s">
        <v>303</v>
      </c>
      <c r="B121" s="486" t="s">
        <v>73</v>
      </c>
      <c r="C121" s="502" t="s">
        <v>20</v>
      </c>
      <c r="D121" s="544"/>
      <c r="E121" s="503">
        <v>0</v>
      </c>
      <c r="F121" s="543">
        <v>0</v>
      </c>
      <c r="G121" s="545"/>
      <c r="H121" s="503"/>
      <c r="I121" s="543"/>
      <c r="J121" s="502"/>
      <c r="K121" s="503">
        <v>0</v>
      </c>
      <c r="L121" s="507">
        <v>0</v>
      </c>
      <c r="M121" s="502"/>
      <c r="N121" s="505">
        <v>0</v>
      </c>
      <c r="O121" s="502"/>
      <c r="P121" s="503">
        <v>0</v>
      </c>
      <c r="Q121" s="507">
        <v>0</v>
      </c>
      <c r="R121" s="502"/>
      <c r="S121" s="505">
        <v>0</v>
      </c>
      <c r="T121" s="486"/>
      <c r="U121" s="486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</row>
    <row r="122" spans="1:40" ht="15.75" customHeight="1">
      <c r="A122" s="782" t="s">
        <v>304</v>
      </c>
      <c r="B122" s="486" t="s">
        <v>73</v>
      </c>
      <c r="C122" s="551" t="s">
        <v>38</v>
      </c>
      <c r="D122" s="552" t="s">
        <v>39</v>
      </c>
      <c r="E122" s="553">
        <v>0.47234362191191082</v>
      </c>
      <c r="F122" s="554">
        <v>67214.497398064908</v>
      </c>
      <c r="G122" s="621"/>
      <c r="H122" s="553"/>
      <c r="I122" s="554"/>
      <c r="J122" s="621" t="s">
        <v>39</v>
      </c>
      <c r="K122" s="553">
        <v>0.35716951987435241</v>
      </c>
      <c r="L122" s="554">
        <v>57573.380000000005</v>
      </c>
      <c r="M122" s="555"/>
      <c r="N122" s="554">
        <v>-9641.1173980649037</v>
      </c>
      <c r="O122" s="621" t="s">
        <v>39</v>
      </c>
      <c r="P122" s="553">
        <v>0.70025396985436139</v>
      </c>
      <c r="Q122" s="554">
        <v>59451.450000000012</v>
      </c>
      <c r="R122" s="555"/>
      <c r="S122" s="554">
        <v>-1878.070000000007</v>
      </c>
      <c r="T122" s="486"/>
      <c r="U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</row>
    <row r="123" spans="1:40" ht="15.75" customHeight="1">
      <c r="A123" s="782" t="s">
        <v>305</v>
      </c>
      <c r="B123" s="486" t="s">
        <v>73</v>
      </c>
      <c r="C123" s="556" t="s">
        <v>41</v>
      </c>
      <c r="D123" s="486"/>
      <c r="E123" s="486"/>
      <c r="F123" s="543">
        <v>9202.1205128205147</v>
      </c>
      <c r="G123" s="502"/>
      <c r="H123" s="486"/>
      <c r="I123" s="543"/>
      <c r="J123" s="502"/>
      <c r="K123" s="486"/>
      <c r="L123" s="507">
        <v>8017.24</v>
      </c>
      <c r="M123" s="502"/>
      <c r="N123" s="505">
        <v>-1184.8805128205149</v>
      </c>
      <c r="O123" s="502"/>
      <c r="P123" s="486"/>
      <c r="Q123" s="507">
        <v>12701.48</v>
      </c>
      <c r="R123" s="502"/>
      <c r="S123" s="505">
        <v>-4684.24</v>
      </c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</row>
    <row r="124" spans="1:40" ht="15.75" customHeight="1">
      <c r="A124" s="782" t="s">
        <v>306</v>
      </c>
      <c r="B124" s="486" t="s">
        <v>73</v>
      </c>
      <c r="C124" s="557" t="s">
        <v>42</v>
      </c>
      <c r="D124" s="544"/>
      <c r="E124" s="486"/>
      <c r="F124" s="497">
        <v>8529.65846153846</v>
      </c>
      <c r="G124" s="545"/>
      <c r="H124" s="486"/>
      <c r="I124" s="497"/>
      <c r="J124" s="502"/>
      <c r="K124" s="486"/>
      <c r="L124" s="497">
        <v>1931.75</v>
      </c>
      <c r="M124" s="502"/>
      <c r="N124" s="505">
        <v>-6597.90846153846</v>
      </c>
      <c r="O124" s="502"/>
      <c r="P124" s="486"/>
      <c r="Q124" s="497">
        <v>1795.65</v>
      </c>
      <c r="R124" s="502"/>
      <c r="S124" s="505">
        <v>136.09999999999991</v>
      </c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</row>
    <row r="125" spans="1:40" ht="15.75" customHeight="1">
      <c r="A125" s="782" t="s">
        <v>307</v>
      </c>
      <c r="B125" s="486" t="s">
        <v>73</v>
      </c>
      <c r="C125" s="556" t="s">
        <v>43</v>
      </c>
      <c r="D125" s="558"/>
      <c r="E125" s="559"/>
      <c r="F125" s="543">
        <v>3344.8923076923074</v>
      </c>
      <c r="G125" s="560"/>
      <c r="H125" s="559"/>
      <c r="I125" s="543"/>
      <c r="J125" s="488"/>
      <c r="K125" s="559"/>
      <c r="L125" s="507">
        <v>5223.6000000000004</v>
      </c>
      <c r="M125" s="488"/>
      <c r="N125" s="523">
        <v>1878.7076923076929</v>
      </c>
      <c r="O125" s="488"/>
      <c r="P125" s="559"/>
      <c r="Q125" s="507">
        <v>5382.63</v>
      </c>
      <c r="R125" s="488"/>
      <c r="S125" s="523">
        <v>-159.02999999999975</v>
      </c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</row>
    <row r="126" spans="1:40" ht="15.75" customHeight="1">
      <c r="A126" s="782" t="s">
        <v>308</v>
      </c>
      <c r="B126" s="486" t="s">
        <v>73</v>
      </c>
      <c r="C126" s="556" t="s">
        <v>44</v>
      </c>
      <c r="D126" s="544"/>
      <c r="E126" s="486"/>
      <c r="F126" s="543">
        <v>0</v>
      </c>
      <c r="G126" s="545"/>
      <c r="H126" s="486"/>
      <c r="I126" s="543"/>
      <c r="J126" s="502"/>
      <c r="K126" s="486"/>
      <c r="L126" s="507">
        <v>0</v>
      </c>
      <c r="M126" s="502"/>
      <c r="N126" s="505">
        <v>0</v>
      </c>
      <c r="O126" s="502"/>
      <c r="P126" s="486"/>
      <c r="Q126" s="507">
        <v>0</v>
      </c>
      <c r="R126" s="502"/>
      <c r="S126" s="505">
        <v>0</v>
      </c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</row>
    <row r="127" spans="1:40" ht="15.75" hidden="1" customHeight="1">
      <c r="A127" s="782" t="s">
        <v>303</v>
      </c>
      <c r="B127" s="486" t="s">
        <v>73</v>
      </c>
      <c r="C127" s="556" t="s">
        <v>20</v>
      </c>
      <c r="D127" s="544"/>
      <c r="E127" s="486"/>
      <c r="F127" s="543">
        <v>0</v>
      </c>
      <c r="G127" s="545"/>
      <c r="H127" s="486"/>
      <c r="I127" s="543"/>
      <c r="J127" s="502"/>
      <c r="K127" s="486"/>
      <c r="L127" s="507">
        <v>0</v>
      </c>
      <c r="M127" s="502"/>
      <c r="N127" s="505">
        <v>0</v>
      </c>
      <c r="O127" s="502"/>
      <c r="P127" s="486"/>
      <c r="Q127" s="507">
        <v>0</v>
      </c>
      <c r="R127" s="502"/>
      <c r="S127" s="505">
        <v>0</v>
      </c>
      <c r="T127" s="486"/>
      <c r="U127" s="486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</row>
    <row r="128" spans="1:40" ht="15.75" hidden="1" customHeight="1">
      <c r="A128" s="782" t="s">
        <v>303</v>
      </c>
      <c r="B128" s="486" t="s">
        <v>73</v>
      </c>
      <c r="C128" s="556" t="s">
        <v>20</v>
      </c>
      <c r="D128" s="544"/>
      <c r="E128" s="486"/>
      <c r="F128" s="543">
        <v>0</v>
      </c>
      <c r="G128" s="545"/>
      <c r="H128" s="486"/>
      <c r="I128" s="543"/>
      <c r="J128" s="502"/>
      <c r="K128" s="486"/>
      <c r="L128" s="507">
        <v>0</v>
      </c>
      <c r="M128" s="502"/>
      <c r="N128" s="505">
        <v>0</v>
      </c>
      <c r="O128" s="502"/>
      <c r="P128" s="486"/>
      <c r="Q128" s="507">
        <v>0</v>
      </c>
      <c r="R128" s="502"/>
      <c r="S128" s="505">
        <v>0</v>
      </c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</row>
    <row r="129" spans="1:40" ht="15.75" hidden="1" customHeight="1">
      <c r="A129" s="782" t="s">
        <v>303</v>
      </c>
      <c r="B129" s="486" t="s">
        <v>73</v>
      </c>
      <c r="C129" s="556" t="s">
        <v>20</v>
      </c>
      <c r="D129" s="544"/>
      <c r="E129" s="486"/>
      <c r="F129" s="543">
        <v>0</v>
      </c>
      <c r="G129" s="545"/>
      <c r="H129" s="486"/>
      <c r="I129" s="543"/>
      <c r="J129" s="502"/>
      <c r="K129" s="486"/>
      <c r="L129" s="507">
        <v>0</v>
      </c>
      <c r="M129" s="502"/>
      <c r="N129" s="505">
        <v>0</v>
      </c>
      <c r="O129" s="502"/>
      <c r="P129" s="486"/>
      <c r="Q129" s="507">
        <v>0</v>
      </c>
      <c r="R129" s="502"/>
      <c r="S129" s="505">
        <v>0</v>
      </c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</row>
    <row r="130" spans="1:40" ht="15.75" customHeight="1">
      <c r="A130" s="782" t="s">
        <v>309</v>
      </c>
      <c r="B130" s="486" t="s">
        <v>73</v>
      </c>
      <c r="C130" s="557" t="s">
        <v>45</v>
      </c>
      <c r="D130" s="544"/>
      <c r="E130" s="486"/>
      <c r="F130" s="543">
        <v>8046.9511712820504</v>
      </c>
      <c r="G130" s="545"/>
      <c r="H130" s="486"/>
      <c r="I130" s="543"/>
      <c r="J130" s="502"/>
      <c r="K130" s="486"/>
      <c r="L130" s="507">
        <v>7889.47</v>
      </c>
      <c r="M130" s="502"/>
      <c r="N130" s="505">
        <v>-157.48117128205013</v>
      </c>
      <c r="O130" s="502"/>
      <c r="P130" s="486"/>
      <c r="Q130" s="507">
        <v>7290.8</v>
      </c>
      <c r="R130" s="502"/>
      <c r="S130" s="505">
        <v>598.67000000000007</v>
      </c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</row>
    <row r="131" spans="1:40" ht="15.75" customHeight="1">
      <c r="A131" s="782" t="s">
        <v>310</v>
      </c>
      <c r="B131" s="486" t="s">
        <v>73</v>
      </c>
      <c r="C131" s="556" t="s">
        <v>46</v>
      </c>
      <c r="D131" s="558"/>
      <c r="E131" s="559"/>
      <c r="F131" s="589">
        <v>9783.9582523076915</v>
      </c>
      <c r="G131" s="560"/>
      <c r="H131" s="559"/>
      <c r="I131" s="589"/>
      <c r="J131" s="488"/>
      <c r="K131" s="559"/>
      <c r="L131" s="524">
        <v>8997.59</v>
      </c>
      <c r="M131" s="488"/>
      <c r="N131" s="523">
        <v>-786.36825230769136</v>
      </c>
      <c r="O131" s="488"/>
      <c r="P131" s="559"/>
      <c r="Q131" s="524">
        <v>7365.92</v>
      </c>
      <c r="R131" s="488"/>
      <c r="S131" s="523">
        <v>1631.67</v>
      </c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</row>
    <row r="132" spans="1:40" ht="15.75" customHeight="1">
      <c r="A132" s="782" t="s">
        <v>311</v>
      </c>
      <c r="B132" s="486" t="s">
        <v>73</v>
      </c>
      <c r="C132" s="556" t="s">
        <v>47</v>
      </c>
      <c r="D132" s="544"/>
      <c r="E132" s="486"/>
      <c r="F132" s="543">
        <v>5040.8654473846145</v>
      </c>
      <c r="G132" s="545"/>
      <c r="H132" s="486"/>
      <c r="I132" s="543"/>
      <c r="J132" s="502"/>
      <c r="K132" s="486"/>
      <c r="L132" s="507">
        <v>4065.51</v>
      </c>
      <c r="M132" s="502"/>
      <c r="N132" s="505">
        <v>-975.35544738461431</v>
      </c>
      <c r="O132" s="502"/>
      <c r="P132" s="486"/>
      <c r="Q132" s="507">
        <v>1319.4</v>
      </c>
      <c r="R132" s="502"/>
      <c r="S132" s="505">
        <v>2746.11</v>
      </c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</row>
    <row r="133" spans="1:40" ht="15.75" customHeight="1">
      <c r="A133" s="782" t="s">
        <v>312</v>
      </c>
      <c r="B133" s="486" t="s">
        <v>73</v>
      </c>
      <c r="C133" s="556" t="s">
        <v>48</v>
      </c>
      <c r="D133" s="544"/>
      <c r="E133" s="486"/>
      <c r="F133" s="543">
        <v>2197.845694358974</v>
      </c>
      <c r="G133" s="545"/>
      <c r="H133" s="486"/>
      <c r="I133" s="543"/>
      <c r="J133" s="502"/>
      <c r="K133" s="486"/>
      <c r="L133" s="507">
        <v>1046.6500000000001</v>
      </c>
      <c r="M133" s="502"/>
      <c r="N133" s="505">
        <v>-1151.1956943589739</v>
      </c>
      <c r="O133" s="502"/>
      <c r="P133" s="486"/>
      <c r="Q133" s="507">
        <v>1262.81</v>
      </c>
      <c r="R133" s="502"/>
      <c r="S133" s="505">
        <v>-216.15999999999985</v>
      </c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</row>
    <row r="134" spans="1:40" ht="15.75" hidden="1" customHeight="1">
      <c r="A134" s="782" t="s">
        <v>303</v>
      </c>
      <c r="B134" s="486" t="s">
        <v>73</v>
      </c>
      <c r="C134" s="502" t="s">
        <v>20</v>
      </c>
      <c r="D134" s="546"/>
      <c r="E134" s="561"/>
      <c r="F134" s="543">
        <v>0</v>
      </c>
      <c r="G134" s="547"/>
      <c r="H134" s="561"/>
      <c r="I134" s="543"/>
      <c r="J134" s="495"/>
      <c r="K134" s="561"/>
      <c r="L134" s="507">
        <v>0</v>
      </c>
      <c r="M134" s="495"/>
      <c r="N134" s="517">
        <v>0</v>
      </c>
      <c r="O134" s="495"/>
      <c r="P134" s="561"/>
      <c r="Q134" s="507">
        <v>0</v>
      </c>
      <c r="R134" s="495"/>
      <c r="S134" s="517">
        <v>0</v>
      </c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</row>
    <row r="135" spans="1:40" ht="15.75" customHeight="1">
      <c r="A135" s="782" t="s">
        <v>313</v>
      </c>
      <c r="B135" s="486" t="s">
        <v>73</v>
      </c>
      <c r="C135" s="551" t="s">
        <v>49</v>
      </c>
      <c r="D135" s="552" t="s">
        <v>39</v>
      </c>
      <c r="E135" s="553">
        <v>0.32428876913130439</v>
      </c>
      <c r="F135" s="554">
        <v>46146.291847384615</v>
      </c>
      <c r="G135" s="621"/>
      <c r="H135" s="553"/>
      <c r="I135" s="554"/>
      <c r="J135" s="621" t="s">
        <v>39</v>
      </c>
      <c r="K135" s="553">
        <v>0.23060375351526441</v>
      </c>
      <c r="L135" s="554">
        <v>37171.810000000005</v>
      </c>
      <c r="M135" s="590"/>
      <c r="N135" s="563">
        <v>-8974.4818473846099</v>
      </c>
      <c r="O135" s="621" t="s">
        <v>39</v>
      </c>
      <c r="P135" s="553">
        <v>0.43720565315553073</v>
      </c>
      <c r="Q135" s="554">
        <v>37118.689999999995</v>
      </c>
      <c r="R135" s="590"/>
      <c r="S135" s="563">
        <v>53.120000000009895</v>
      </c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</row>
    <row r="136" spans="1:40" ht="15.75" hidden="1" customHeight="1">
      <c r="A136" s="782" t="s">
        <v>314</v>
      </c>
      <c r="B136" s="486" t="s">
        <v>73</v>
      </c>
      <c r="C136" s="502" t="s">
        <v>50</v>
      </c>
      <c r="D136" s="544"/>
      <c r="E136" s="486"/>
      <c r="F136" s="543">
        <v>0</v>
      </c>
      <c r="G136" s="545"/>
      <c r="H136" s="486"/>
      <c r="I136" s="543"/>
      <c r="J136" s="502"/>
      <c r="K136" s="486"/>
      <c r="L136" s="507">
        <v>0</v>
      </c>
      <c r="M136" s="502"/>
      <c r="N136" s="505">
        <v>0</v>
      </c>
      <c r="O136" s="502"/>
      <c r="P136" s="486"/>
      <c r="Q136" s="507">
        <v>0</v>
      </c>
      <c r="R136" s="502"/>
      <c r="S136" s="505">
        <v>0</v>
      </c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</row>
    <row r="137" spans="1:40" ht="15.75" hidden="1" customHeight="1">
      <c r="A137" s="782" t="s">
        <v>315</v>
      </c>
      <c r="B137" s="486" t="s">
        <v>73</v>
      </c>
      <c r="C137" s="502" t="s">
        <v>51</v>
      </c>
      <c r="D137" s="544"/>
      <c r="E137" s="486"/>
      <c r="F137" s="543">
        <v>0</v>
      </c>
      <c r="G137" s="545"/>
      <c r="H137" s="486"/>
      <c r="I137" s="543"/>
      <c r="J137" s="502"/>
      <c r="K137" s="486"/>
      <c r="L137" s="507">
        <v>0</v>
      </c>
      <c r="M137" s="502"/>
      <c r="N137" s="505">
        <v>0</v>
      </c>
      <c r="O137" s="502"/>
      <c r="P137" s="486"/>
      <c r="Q137" s="507">
        <v>0</v>
      </c>
      <c r="R137" s="502"/>
      <c r="S137" s="505">
        <v>0</v>
      </c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</row>
    <row r="138" spans="1:40" ht="15.75" customHeight="1">
      <c r="A138" s="782" t="s">
        <v>316</v>
      </c>
      <c r="B138" s="486" t="s">
        <v>73</v>
      </c>
      <c r="C138" s="495" t="s">
        <v>52</v>
      </c>
      <c r="D138" s="546"/>
      <c r="E138" s="561"/>
      <c r="F138" s="497">
        <v>1284.1532888888889</v>
      </c>
      <c r="G138" s="547"/>
      <c r="H138" s="561"/>
      <c r="I138" s="497"/>
      <c r="J138" s="495"/>
      <c r="K138" s="561"/>
      <c r="L138" s="497">
        <v>1267.2</v>
      </c>
      <c r="M138" s="495"/>
      <c r="N138" s="517">
        <v>-16.953288888888892</v>
      </c>
      <c r="O138" s="495"/>
      <c r="P138" s="561"/>
      <c r="Q138" s="497">
        <v>734.6</v>
      </c>
      <c r="R138" s="495"/>
      <c r="S138" s="517">
        <v>532.6</v>
      </c>
      <c r="T138" s="486"/>
      <c r="U138" s="485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</row>
    <row r="139" spans="1:40" ht="15.75" customHeight="1">
      <c r="A139" s="782" t="s">
        <v>317</v>
      </c>
      <c r="B139" s="486" t="s">
        <v>73</v>
      </c>
      <c r="C139" s="502" t="s">
        <v>53</v>
      </c>
      <c r="D139" s="544"/>
      <c r="E139" s="486"/>
      <c r="F139" s="543">
        <v>3757.6856226933323</v>
      </c>
      <c r="G139" s="545"/>
      <c r="H139" s="486"/>
      <c r="I139" s="543"/>
      <c r="J139" s="502"/>
      <c r="K139" s="486"/>
      <c r="L139" s="507">
        <v>2298.7399999999998</v>
      </c>
      <c r="M139" s="502"/>
      <c r="N139" s="505">
        <v>-1458.9456226933326</v>
      </c>
      <c r="O139" s="502"/>
      <c r="P139" s="486"/>
      <c r="Q139" s="507">
        <v>3748.21</v>
      </c>
      <c r="R139" s="502"/>
      <c r="S139" s="505">
        <v>-1449.4700000000003</v>
      </c>
      <c r="T139" s="486"/>
      <c r="U139" s="486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</row>
    <row r="140" spans="1:40" ht="15.75" customHeight="1">
      <c r="A140" s="782" t="s">
        <v>318</v>
      </c>
      <c r="B140" s="486" t="s">
        <v>73</v>
      </c>
      <c r="C140" s="502" t="s">
        <v>54</v>
      </c>
      <c r="D140" s="544"/>
      <c r="E140" s="486"/>
      <c r="F140" s="543">
        <v>555.6702437740496</v>
      </c>
      <c r="G140" s="545"/>
      <c r="H140" s="486"/>
      <c r="I140" s="543"/>
      <c r="J140" s="502"/>
      <c r="K140" s="486"/>
      <c r="L140" s="507">
        <v>747.43</v>
      </c>
      <c r="M140" s="502"/>
      <c r="N140" s="505">
        <v>191.75975622595035</v>
      </c>
      <c r="O140" s="502"/>
      <c r="P140" s="486"/>
      <c r="Q140" s="507">
        <v>686.51</v>
      </c>
      <c r="R140" s="502"/>
      <c r="S140" s="505">
        <v>60.919999999999959</v>
      </c>
      <c r="T140" s="591"/>
      <c r="U140" s="486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</row>
    <row r="141" spans="1:40" ht="15.75" customHeight="1">
      <c r="A141" s="782" t="s">
        <v>319</v>
      </c>
      <c r="B141" s="486" t="s">
        <v>73</v>
      </c>
      <c r="C141" s="495" t="s">
        <v>55</v>
      </c>
      <c r="D141" s="546"/>
      <c r="E141" s="561"/>
      <c r="F141" s="497">
        <v>1398.8494640536576</v>
      </c>
      <c r="G141" s="547"/>
      <c r="H141" s="561"/>
      <c r="I141" s="497"/>
      <c r="J141" s="495"/>
      <c r="K141" s="561"/>
      <c r="L141" s="497">
        <v>1892.11</v>
      </c>
      <c r="M141" s="495"/>
      <c r="N141" s="517">
        <v>493.26053594634232</v>
      </c>
      <c r="O141" s="495"/>
      <c r="P141" s="561"/>
      <c r="Q141" s="497">
        <v>1327.35</v>
      </c>
      <c r="R141" s="495"/>
      <c r="S141" s="517">
        <v>564.76</v>
      </c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</row>
    <row r="142" spans="1:40" ht="15.75" customHeight="1">
      <c r="A142" s="782" t="s">
        <v>320</v>
      </c>
      <c r="B142" s="486" t="s">
        <v>73</v>
      </c>
      <c r="C142" s="502" t="s">
        <v>56</v>
      </c>
      <c r="D142" s="544"/>
      <c r="E142" s="486"/>
      <c r="F142" s="543">
        <v>83.885533333333328</v>
      </c>
      <c r="G142" s="545"/>
      <c r="H142" s="486"/>
      <c r="I142" s="543"/>
      <c r="J142" s="502"/>
      <c r="K142" s="486"/>
      <c r="L142" s="507">
        <v>0</v>
      </c>
      <c r="M142" s="502"/>
      <c r="N142" s="505">
        <v>-83.885533333333328</v>
      </c>
      <c r="O142" s="502"/>
      <c r="P142" s="486"/>
      <c r="Q142" s="507">
        <v>1.71</v>
      </c>
      <c r="R142" s="502"/>
      <c r="S142" s="505">
        <v>-1.71</v>
      </c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</row>
    <row r="143" spans="1:40" ht="15.75" customHeight="1">
      <c r="A143" s="782" t="s">
        <v>321</v>
      </c>
      <c r="B143" s="486" t="s">
        <v>73</v>
      </c>
      <c r="C143" s="502" t="s">
        <v>57</v>
      </c>
      <c r="D143" s="544"/>
      <c r="E143" s="486"/>
      <c r="F143" s="543">
        <v>28.333333333333332</v>
      </c>
      <c r="G143" s="545"/>
      <c r="H143" s="486"/>
      <c r="I143" s="543"/>
      <c r="J143" s="502"/>
      <c r="K143" s="486"/>
      <c r="L143" s="507">
        <v>0</v>
      </c>
      <c r="M143" s="502"/>
      <c r="N143" s="505">
        <v>-28.333333333333332</v>
      </c>
      <c r="O143" s="502"/>
      <c r="P143" s="486"/>
      <c r="Q143" s="507">
        <v>0</v>
      </c>
      <c r="R143" s="502"/>
      <c r="S143" s="505">
        <v>0</v>
      </c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</row>
    <row r="144" spans="1:40" ht="15.75" customHeight="1">
      <c r="A144" s="782" t="s">
        <v>322</v>
      </c>
      <c r="B144" s="486" t="s">
        <v>73</v>
      </c>
      <c r="C144" s="502" t="s">
        <v>58</v>
      </c>
      <c r="D144" s="544"/>
      <c r="E144" s="486"/>
      <c r="F144" s="543">
        <v>323.61939737591996</v>
      </c>
      <c r="G144" s="545"/>
      <c r="H144" s="486"/>
      <c r="I144" s="543"/>
      <c r="J144" s="502"/>
      <c r="K144" s="486"/>
      <c r="L144" s="507">
        <v>902.6</v>
      </c>
      <c r="M144" s="502"/>
      <c r="N144" s="505">
        <v>578.98060262408012</v>
      </c>
      <c r="O144" s="502"/>
      <c r="P144" s="486"/>
      <c r="Q144" s="507">
        <v>145.5</v>
      </c>
      <c r="R144" s="502"/>
      <c r="S144" s="505">
        <v>757.1</v>
      </c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</row>
    <row r="145" spans="1:40" ht="15.75" customHeight="1">
      <c r="A145" s="782" t="s">
        <v>323</v>
      </c>
      <c r="B145" s="486" t="s">
        <v>73</v>
      </c>
      <c r="C145" s="502" t="s">
        <v>59</v>
      </c>
      <c r="D145" s="544"/>
      <c r="E145" s="486"/>
      <c r="F145" s="543">
        <v>62.764554844243328</v>
      </c>
      <c r="G145" s="545"/>
      <c r="H145" s="486"/>
      <c r="I145" s="543"/>
      <c r="J145" s="502"/>
      <c r="K145" s="486"/>
      <c r="L145" s="507">
        <v>66.989999999999995</v>
      </c>
      <c r="M145" s="502"/>
      <c r="N145" s="505">
        <v>4.2254451557566668</v>
      </c>
      <c r="O145" s="502"/>
      <c r="P145" s="486"/>
      <c r="Q145" s="507">
        <v>43.55</v>
      </c>
      <c r="R145" s="502"/>
      <c r="S145" s="505">
        <v>23.439999999999998</v>
      </c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</row>
    <row r="146" spans="1:40" ht="15.75" customHeight="1">
      <c r="A146" s="782" t="s">
        <v>324</v>
      </c>
      <c r="B146" s="486" t="s">
        <v>73</v>
      </c>
      <c r="C146" s="502" t="s">
        <v>60</v>
      </c>
      <c r="D146" s="544"/>
      <c r="E146" s="486"/>
      <c r="F146" s="543">
        <v>48.216844138156659</v>
      </c>
      <c r="G146" s="545"/>
      <c r="H146" s="486"/>
      <c r="I146" s="543"/>
      <c r="J146" s="502"/>
      <c r="K146" s="486"/>
      <c r="L146" s="507">
        <v>114.98</v>
      </c>
      <c r="M146" s="502"/>
      <c r="N146" s="505">
        <v>66.763155861843344</v>
      </c>
      <c r="O146" s="502"/>
      <c r="P146" s="486"/>
      <c r="Q146" s="507">
        <v>12.36</v>
      </c>
      <c r="R146" s="502"/>
      <c r="S146" s="505">
        <v>102.62</v>
      </c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</row>
    <row r="147" spans="1:40" ht="15.75" customHeight="1">
      <c r="A147" s="782" t="s">
        <v>325</v>
      </c>
      <c r="B147" s="486" t="s">
        <v>73</v>
      </c>
      <c r="C147" s="502" t="s">
        <v>61</v>
      </c>
      <c r="D147" s="544"/>
      <c r="E147" s="486"/>
      <c r="F147" s="543">
        <v>107.35161743797669</v>
      </c>
      <c r="G147" s="545"/>
      <c r="H147" s="486"/>
      <c r="I147" s="543"/>
      <c r="J147" s="502"/>
      <c r="K147" s="486"/>
      <c r="L147" s="507">
        <v>23.52</v>
      </c>
      <c r="M147" s="502"/>
      <c r="N147" s="505">
        <v>-83.831617437976689</v>
      </c>
      <c r="O147" s="502"/>
      <c r="P147" s="486"/>
      <c r="Q147" s="507">
        <v>46.42</v>
      </c>
      <c r="R147" s="502"/>
      <c r="S147" s="505">
        <v>-22.900000000000002</v>
      </c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</row>
    <row r="148" spans="1:40" ht="15.75" customHeight="1">
      <c r="A148" s="782" t="s">
        <v>326</v>
      </c>
      <c r="B148" s="486" t="s">
        <v>73</v>
      </c>
      <c r="C148" s="502" t="s">
        <v>62</v>
      </c>
      <c r="D148" s="544"/>
      <c r="E148" s="486"/>
      <c r="F148" s="543">
        <v>218.46437169698484</v>
      </c>
      <c r="G148" s="545"/>
      <c r="H148" s="486"/>
      <c r="I148" s="543"/>
      <c r="J148" s="502"/>
      <c r="K148" s="486"/>
      <c r="L148" s="507">
        <v>438.28</v>
      </c>
      <c r="M148" s="502"/>
      <c r="N148" s="505">
        <v>219.81562830301513</v>
      </c>
      <c r="O148" s="502"/>
      <c r="P148" s="486"/>
      <c r="Q148" s="507">
        <v>38.28</v>
      </c>
      <c r="R148" s="502"/>
      <c r="S148" s="505">
        <v>400</v>
      </c>
      <c r="T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</row>
    <row r="149" spans="1:40" ht="15.75" customHeight="1">
      <c r="A149" s="782" t="s">
        <v>327</v>
      </c>
      <c r="B149" s="486" t="s">
        <v>73</v>
      </c>
      <c r="C149" s="502" t="s">
        <v>63</v>
      </c>
      <c r="D149" s="544"/>
      <c r="E149" s="486"/>
      <c r="F149" s="543">
        <v>839.8687185306751</v>
      </c>
      <c r="G149" s="545"/>
      <c r="H149" s="486"/>
      <c r="I149" s="543"/>
      <c r="J149" s="502"/>
      <c r="K149" s="486"/>
      <c r="L149" s="507">
        <v>795.62</v>
      </c>
      <c r="M149" s="502"/>
      <c r="N149" s="505">
        <v>-44.248718530675092</v>
      </c>
      <c r="O149" s="502"/>
      <c r="P149" s="486"/>
      <c r="Q149" s="507">
        <v>746.19</v>
      </c>
      <c r="R149" s="502"/>
      <c r="S149" s="505">
        <v>49.42999999999995</v>
      </c>
      <c r="T149" s="503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</row>
    <row r="150" spans="1:40" ht="15.75" hidden="1" customHeight="1">
      <c r="A150" s="782" t="s">
        <v>303</v>
      </c>
      <c r="B150" s="486" t="s">
        <v>73</v>
      </c>
      <c r="C150" s="502" t="s">
        <v>20</v>
      </c>
      <c r="D150" s="544"/>
      <c r="E150" s="486"/>
      <c r="F150" s="543">
        <v>0</v>
      </c>
      <c r="G150" s="545"/>
      <c r="H150" s="486"/>
      <c r="I150" s="543"/>
      <c r="J150" s="502"/>
      <c r="K150" s="486"/>
      <c r="L150" s="507">
        <v>0</v>
      </c>
      <c r="M150" s="502"/>
      <c r="N150" s="505">
        <v>0</v>
      </c>
      <c r="O150" s="502"/>
      <c r="P150" s="486"/>
      <c r="Q150" s="507">
        <v>0</v>
      </c>
      <c r="R150" s="502"/>
      <c r="S150" s="505">
        <v>0</v>
      </c>
      <c r="T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</row>
    <row r="151" spans="1:40" ht="15.75" hidden="1" customHeight="1">
      <c r="A151" s="782" t="s">
        <v>303</v>
      </c>
      <c r="B151" s="486" t="s">
        <v>73</v>
      </c>
      <c r="C151" s="502" t="s">
        <v>20</v>
      </c>
      <c r="D151" s="544"/>
      <c r="E151" s="486"/>
      <c r="F151" s="543">
        <v>0</v>
      </c>
      <c r="G151" s="545"/>
      <c r="H151" s="486"/>
      <c r="I151" s="543"/>
      <c r="J151" s="502"/>
      <c r="K151" s="486"/>
      <c r="L151" s="507">
        <v>0</v>
      </c>
      <c r="M151" s="502"/>
      <c r="N151" s="505">
        <v>0</v>
      </c>
      <c r="O151" s="502"/>
      <c r="P151" s="486"/>
      <c r="Q151" s="507">
        <v>0</v>
      </c>
      <c r="R151" s="502"/>
      <c r="S151" s="505">
        <v>0</v>
      </c>
      <c r="T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</row>
    <row r="152" spans="1:40" ht="15.75" hidden="1" customHeight="1">
      <c r="A152" s="782" t="s">
        <v>303</v>
      </c>
      <c r="B152" s="486" t="s">
        <v>73</v>
      </c>
      <c r="C152" s="502" t="s">
        <v>20</v>
      </c>
      <c r="D152" s="544"/>
      <c r="E152" s="486"/>
      <c r="F152" s="543">
        <v>0</v>
      </c>
      <c r="G152" s="545"/>
      <c r="H152" s="486"/>
      <c r="I152" s="543"/>
      <c r="J152" s="502"/>
      <c r="K152" s="486"/>
      <c r="L152" s="507">
        <v>0</v>
      </c>
      <c r="M152" s="502"/>
      <c r="N152" s="505">
        <v>0</v>
      </c>
      <c r="O152" s="502"/>
      <c r="P152" s="486"/>
      <c r="Q152" s="507">
        <v>0</v>
      </c>
      <c r="R152" s="502"/>
      <c r="S152" s="505">
        <v>0</v>
      </c>
      <c r="T152" s="503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</row>
    <row r="153" spans="1:40" ht="15.75" customHeight="1">
      <c r="A153" s="782" t="s">
        <v>328</v>
      </c>
      <c r="B153" s="486" t="s">
        <v>73</v>
      </c>
      <c r="C153" s="551" t="s">
        <v>64</v>
      </c>
      <c r="D153" s="552" t="s">
        <v>39</v>
      </c>
      <c r="E153" s="553">
        <v>6.120072375334188E-2</v>
      </c>
      <c r="F153" s="554">
        <v>8708.8629901005497</v>
      </c>
      <c r="G153" s="621"/>
      <c r="H153" s="553"/>
      <c r="I153" s="554"/>
      <c r="J153" s="621" t="s">
        <v>39</v>
      </c>
      <c r="K153" s="553">
        <v>5.3026168622381221E-2</v>
      </c>
      <c r="L153" s="554">
        <v>8547.4699999999993</v>
      </c>
      <c r="M153" s="555"/>
      <c r="N153" s="554">
        <v>-161.39299010055038</v>
      </c>
      <c r="O153" s="621" t="s">
        <v>39</v>
      </c>
      <c r="P153" s="553">
        <v>8.8700756090942134E-2</v>
      </c>
      <c r="Q153" s="554">
        <v>7530.68</v>
      </c>
      <c r="R153" s="555"/>
      <c r="S153" s="554">
        <v>1016.7899999999991</v>
      </c>
      <c r="T153" s="562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</row>
    <row r="154" spans="1:40" ht="15.75" customHeight="1">
      <c r="A154" s="782" t="s">
        <v>73</v>
      </c>
      <c r="B154" s="486" t="s">
        <v>73</v>
      </c>
      <c r="C154" s="495"/>
      <c r="D154" s="546"/>
      <c r="E154" s="561"/>
      <c r="F154" s="505"/>
      <c r="G154" s="547"/>
      <c r="H154" s="561"/>
      <c r="I154" s="505"/>
      <c r="J154" s="495"/>
      <c r="K154" s="561"/>
      <c r="L154" s="517"/>
      <c r="M154" s="495"/>
      <c r="N154" s="517"/>
      <c r="O154" s="495"/>
      <c r="P154" s="561"/>
      <c r="Q154" s="517"/>
      <c r="R154" s="495"/>
      <c r="S154" s="517"/>
      <c r="T154" s="562"/>
      <c r="U154" s="486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</row>
    <row r="155" spans="1:40" ht="15.75" customHeight="1">
      <c r="A155" s="782" t="s">
        <v>329</v>
      </c>
      <c r="B155" s="486" t="s">
        <v>73</v>
      </c>
      <c r="C155" s="551" t="s">
        <v>65</v>
      </c>
      <c r="D155" s="552" t="s">
        <v>39</v>
      </c>
      <c r="E155" s="553">
        <v>0.85783311479655711</v>
      </c>
      <c r="F155" s="554">
        <v>122069.65223555008</v>
      </c>
      <c r="G155" s="621"/>
      <c r="H155" s="553"/>
      <c r="I155" s="554"/>
      <c r="J155" s="621" t="s">
        <v>39</v>
      </c>
      <c r="K155" s="553">
        <v>0.64079944201199801</v>
      </c>
      <c r="L155" s="554">
        <v>103292.66</v>
      </c>
      <c r="M155" s="555"/>
      <c r="N155" s="563">
        <v>-18776.992235550075</v>
      </c>
      <c r="O155" s="621" t="s">
        <v>39</v>
      </c>
      <c r="P155" s="553">
        <v>1.2261603791008342</v>
      </c>
      <c r="Q155" s="554">
        <v>104100.82</v>
      </c>
      <c r="R155" s="555"/>
      <c r="S155" s="563">
        <v>-808.16000000000349</v>
      </c>
      <c r="T155" s="562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</row>
    <row r="156" spans="1:40" ht="15.75" customHeight="1">
      <c r="A156" s="782" t="s">
        <v>330</v>
      </c>
      <c r="B156" s="486" t="s">
        <v>73</v>
      </c>
      <c r="C156" s="502" t="s">
        <v>225</v>
      </c>
      <c r="D156" s="592"/>
      <c r="E156" s="593"/>
      <c r="F156" s="543">
        <v>0</v>
      </c>
      <c r="G156" s="594"/>
      <c r="H156" s="593"/>
      <c r="I156" s="543"/>
      <c r="J156" s="594"/>
      <c r="K156" s="593"/>
      <c r="L156" s="507">
        <v>0</v>
      </c>
      <c r="M156" s="502"/>
      <c r="N156" s="505">
        <v>0</v>
      </c>
      <c r="O156" s="594"/>
      <c r="P156" s="593"/>
      <c r="Q156" s="507">
        <v>0</v>
      </c>
      <c r="R156" s="502"/>
      <c r="S156" s="505">
        <v>0</v>
      </c>
      <c r="T156" s="562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</row>
    <row r="157" spans="1:40" ht="15.75" customHeight="1">
      <c r="A157" s="782" t="s">
        <v>331</v>
      </c>
      <c r="B157" s="486" t="s">
        <v>73</v>
      </c>
      <c r="C157" s="502" t="s">
        <v>81</v>
      </c>
      <c r="D157" s="592"/>
      <c r="E157" s="593"/>
      <c r="F157" s="543">
        <v>0</v>
      </c>
      <c r="G157" s="594"/>
      <c r="H157" s="593"/>
      <c r="I157" s="543"/>
      <c r="J157" s="594"/>
      <c r="K157" s="593"/>
      <c r="L157" s="507">
        <v>0</v>
      </c>
      <c r="M157" s="502"/>
      <c r="N157" s="505">
        <v>0</v>
      </c>
      <c r="O157" s="594"/>
      <c r="P157" s="593"/>
      <c r="Q157" s="507">
        <v>0</v>
      </c>
      <c r="R157" s="502"/>
      <c r="S157" s="505">
        <v>0</v>
      </c>
      <c r="T157" s="562"/>
      <c r="U157" s="486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</row>
    <row r="158" spans="1:40" ht="15.75" customHeight="1">
      <c r="A158" s="782" t="s">
        <v>332</v>
      </c>
      <c r="B158" s="486" t="s">
        <v>73</v>
      </c>
      <c r="C158" s="502" t="s">
        <v>82</v>
      </c>
      <c r="D158" s="544"/>
      <c r="E158" s="486"/>
      <c r="F158" s="543">
        <v>0</v>
      </c>
      <c r="G158" s="545"/>
      <c r="H158" s="486"/>
      <c r="I158" s="543"/>
      <c r="J158" s="502"/>
      <c r="K158" s="486"/>
      <c r="L158" s="507">
        <v>0</v>
      </c>
      <c r="M158" s="502"/>
      <c r="N158" s="505">
        <v>0</v>
      </c>
      <c r="O158" s="502"/>
      <c r="P158" s="486"/>
      <c r="Q158" s="507">
        <v>0</v>
      </c>
      <c r="R158" s="502"/>
      <c r="S158" s="505">
        <v>0</v>
      </c>
      <c r="T158" s="562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</row>
    <row r="159" spans="1:40" ht="15.75" customHeight="1">
      <c r="A159" s="782" t="s">
        <v>333</v>
      </c>
      <c r="B159" s="486" t="s">
        <v>73</v>
      </c>
      <c r="C159" s="502" t="s">
        <v>70</v>
      </c>
      <c r="D159" s="820">
        <v>0.79968354430379751</v>
      </c>
      <c r="E159" s="804">
        <v>379.05</v>
      </c>
      <c r="F159" s="543">
        <v>14403.9</v>
      </c>
      <c r="G159" s="545"/>
      <c r="H159" s="486"/>
      <c r="I159" s="543"/>
      <c r="J159" s="805">
        <v>0.98354430379746838</v>
      </c>
      <c r="K159" s="804">
        <v>466.2</v>
      </c>
      <c r="L159" s="507">
        <v>13986</v>
      </c>
      <c r="M159" s="502"/>
      <c r="N159" s="505">
        <v>-417.89999999999964</v>
      </c>
      <c r="O159" s="502"/>
      <c r="P159" s="486"/>
      <c r="Q159" s="507">
        <v>13467</v>
      </c>
      <c r="R159" s="502"/>
      <c r="S159" s="505">
        <v>519</v>
      </c>
      <c r="T159" s="562"/>
      <c r="U159" s="486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</row>
    <row r="160" spans="1:40" ht="15.75" hidden="1" customHeight="1">
      <c r="A160" s="782" t="s">
        <v>303</v>
      </c>
      <c r="B160" s="486" t="s">
        <v>73</v>
      </c>
      <c r="C160" s="502" t="s">
        <v>20</v>
      </c>
      <c r="D160" s="544"/>
      <c r="E160" s="486"/>
      <c r="F160" s="543">
        <v>0</v>
      </c>
      <c r="G160" s="545"/>
      <c r="H160" s="486"/>
      <c r="I160" s="543"/>
      <c r="J160" s="502"/>
      <c r="K160" s="486"/>
      <c r="L160" s="507">
        <v>0</v>
      </c>
      <c r="M160" s="502"/>
      <c r="N160" s="505">
        <v>0</v>
      </c>
      <c r="O160" s="502"/>
      <c r="P160" s="486"/>
      <c r="Q160" s="507">
        <v>0</v>
      </c>
      <c r="R160" s="502"/>
      <c r="S160" s="505">
        <v>0</v>
      </c>
      <c r="T160" s="562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</row>
    <row r="161" spans="1:40" ht="15.75" hidden="1" customHeight="1">
      <c r="A161" s="782" t="s">
        <v>303</v>
      </c>
      <c r="B161" s="486" t="s">
        <v>73</v>
      </c>
      <c r="C161" s="502" t="s">
        <v>20</v>
      </c>
      <c r="D161" s="544"/>
      <c r="E161" s="486"/>
      <c r="F161" s="543">
        <v>0</v>
      </c>
      <c r="G161" s="545"/>
      <c r="H161" s="486"/>
      <c r="I161" s="543"/>
      <c r="J161" s="502"/>
      <c r="K161" s="486"/>
      <c r="L161" s="507">
        <v>0</v>
      </c>
      <c r="M161" s="502"/>
      <c r="N161" s="505">
        <v>0</v>
      </c>
      <c r="O161" s="502"/>
      <c r="P161" s="486"/>
      <c r="Q161" s="507">
        <v>0</v>
      </c>
      <c r="R161" s="502"/>
      <c r="S161" s="505">
        <v>0</v>
      </c>
      <c r="T161" s="562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</row>
    <row r="162" spans="1:40" ht="15.75" hidden="1" customHeight="1">
      <c r="A162" s="782" t="s">
        <v>303</v>
      </c>
      <c r="B162" s="486" t="s">
        <v>73</v>
      </c>
      <c r="C162" s="495" t="s">
        <v>20</v>
      </c>
      <c r="D162" s="546"/>
      <c r="E162" s="561"/>
      <c r="F162" s="543">
        <v>0</v>
      </c>
      <c r="G162" s="545"/>
      <c r="H162" s="486"/>
      <c r="I162" s="543"/>
      <c r="J162" s="502"/>
      <c r="K162" s="486"/>
      <c r="L162" s="507">
        <v>0</v>
      </c>
      <c r="M162" s="502"/>
      <c r="N162" s="505">
        <v>0</v>
      </c>
      <c r="O162" s="502"/>
      <c r="P162" s="486"/>
      <c r="Q162" s="507">
        <v>0</v>
      </c>
      <c r="R162" s="502"/>
      <c r="S162" s="505">
        <v>0</v>
      </c>
      <c r="T162" s="562"/>
      <c r="U162" s="486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</row>
    <row r="163" spans="1:40" ht="15.75" customHeight="1">
      <c r="B163" s="486"/>
      <c r="C163" s="551" t="s">
        <v>71</v>
      </c>
      <c r="D163" s="552"/>
      <c r="E163" s="553"/>
      <c r="F163" s="554">
        <v>14403.9</v>
      </c>
      <c r="G163" s="621"/>
      <c r="H163" s="553"/>
      <c r="I163" s="554"/>
      <c r="J163" s="621"/>
      <c r="K163" s="553"/>
      <c r="L163" s="554">
        <v>13986</v>
      </c>
      <c r="M163" s="555"/>
      <c r="N163" s="554">
        <v>-417.89999999999964</v>
      </c>
      <c r="O163" s="621"/>
      <c r="P163" s="553"/>
      <c r="Q163" s="554">
        <v>13467</v>
      </c>
      <c r="R163" s="555"/>
      <c r="S163" s="554">
        <v>519</v>
      </c>
      <c r="T163" s="562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</row>
    <row r="164" spans="1:40" ht="15.75" customHeight="1">
      <c r="B164" s="486"/>
      <c r="C164" s="502"/>
      <c r="D164" s="544"/>
      <c r="E164" s="486"/>
      <c r="F164" s="505"/>
      <c r="G164" s="545"/>
      <c r="H164" s="486"/>
      <c r="I164" s="505"/>
      <c r="J164" s="502"/>
      <c r="K164" s="486"/>
      <c r="L164" s="505"/>
      <c r="M164" s="502"/>
      <c r="N164" s="505"/>
      <c r="O164" s="502"/>
      <c r="P164" s="486"/>
      <c r="Q164" s="505"/>
      <c r="R164" s="502"/>
      <c r="S164" s="505"/>
      <c r="T164" s="593"/>
      <c r="U164" s="486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</row>
    <row r="165" spans="1:40" ht="15.75" customHeight="1" thickBot="1">
      <c r="B165" s="486"/>
      <c r="C165" s="572" t="s">
        <v>72</v>
      </c>
      <c r="D165" s="595"/>
      <c r="E165" s="573"/>
      <c r="F165" s="574">
        <v>34634.247764449923</v>
      </c>
      <c r="G165" s="622"/>
      <c r="H165" s="573"/>
      <c r="I165" s="574"/>
      <c r="J165" s="572"/>
      <c r="K165" s="808"/>
      <c r="L165" s="574">
        <v>71886.769999999902</v>
      </c>
      <c r="M165" s="572"/>
      <c r="N165" s="574">
        <v>37252.522235549979</v>
      </c>
      <c r="O165" s="572"/>
      <c r="P165" s="809">
        <v>-4.3254602942483017E-3</v>
      </c>
      <c r="Q165" s="574">
        <v>-5733.9800000001414</v>
      </c>
      <c r="R165" s="572"/>
      <c r="S165" s="574">
        <v>77620.750000000044</v>
      </c>
      <c r="T165" s="503"/>
      <c r="U165" s="486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</row>
    <row r="166" spans="1:40" ht="15.75" customHeight="1" thickTop="1">
      <c r="B166" s="486"/>
      <c r="C166" s="485"/>
      <c r="D166" s="485"/>
      <c r="E166" s="485"/>
      <c r="F166" s="596"/>
      <c r="G166" s="485"/>
      <c r="H166" s="485"/>
      <c r="I166" s="485"/>
      <c r="J166" s="485"/>
      <c r="K166" s="485"/>
      <c r="L166" s="596"/>
      <c r="M166" s="485"/>
      <c r="N166" s="485"/>
      <c r="O166" s="485"/>
      <c r="P166" s="485"/>
      <c r="Q166" s="485"/>
      <c r="R166" s="485"/>
      <c r="S166" s="485"/>
      <c r="T166" s="596"/>
      <c r="U166" s="485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</row>
    <row r="167" spans="1:40" ht="8.25" customHeight="1">
      <c r="B167" s="486"/>
      <c r="C167" s="485"/>
      <c r="D167" s="485"/>
      <c r="E167" s="485"/>
      <c r="F167" s="485"/>
      <c r="G167" s="485"/>
      <c r="H167" s="485"/>
      <c r="I167" s="485"/>
      <c r="J167" s="485"/>
      <c r="K167" s="485"/>
      <c r="L167" s="485"/>
      <c r="M167" s="485"/>
      <c r="N167" s="485"/>
      <c r="O167" s="485"/>
      <c r="P167" s="485"/>
      <c r="Q167" s="485"/>
      <c r="R167" s="485"/>
      <c r="S167" s="485"/>
      <c r="T167" s="596"/>
      <c r="U167" s="485"/>
      <c r="V167" s="485"/>
      <c r="W167" s="485"/>
      <c r="X167" s="485"/>
      <c r="Y167" s="485"/>
      <c r="Z167" s="485"/>
      <c r="AA167" s="485"/>
      <c r="AB167" s="485"/>
      <c r="AC167" s="485"/>
      <c r="AD167" s="485"/>
      <c r="AE167" s="485"/>
      <c r="AF167" s="485"/>
      <c r="AG167" s="485"/>
      <c r="AH167" s="485"/>
      <c r="AI167" s="485"/>
      <c r="AJ167" s="485"/>
      <c r="AK167" s="485"/>
      <c r="AL167" s="485"/>
      <c r="AM167" s="485"/>
      <c r="AN167" s="485"/>
    </row>
    <row r="168" spans="1:40" ht="33.75" customHeight="1">
      <c r="B168" s="486"/>
      <c r="C168" s="812" t="s">
        <v>481</v>
      </c>
      <c r="D168" s="478"/>
      <c r="E168" s="478"/>
      <c r="F168" s="478"/>
      <c r="G168" s="478"/>
      <c r="H168" s="477"/>
      <c r="I168" s="477"/>
      <c r="J168" s="477"/>
      <c r="K168" s="479" t="s">
        <v>83</v>
      </c>
      <c r="L168" s="478"/>
      <c r="M168" s="478"/>
      <c r="N168" s="477"/>
      <c r="O168" s="477"/>
      <c r="P168" s="478"/>
      <c r="Q168" s="477"/>
      <c r="R168" s="478"/>
      <c r="S168" s="481" t="s">
        <v>473</v>
      </c>
      <c r="T168" s="478"/>
      <c r="U168" s="477"/>
      <c r="V168" s="485"/>
      <c r="W168" s="485"/>
      <c r="X168" s="485"/>
      <c r="Y168" s="485"/>
      <c r="Z168" s="485"/>
      <c r="AA168" s="485"/>
      <c r="AB168" s="485"/>
      <c r="AC168" s="485"/>
      <c r="AD168" s="485"/>
      <c r="AE168" s="485"/>
      <c r="AF168" s="485"/>
      <c r="AG168" s="485"/>
      <c r="AH168" s="485"/>
      <c r="AI168" s="485"/>
      <c r="AJ168" s="485"/>
      <c r="AK168" s="485"/>
      <c r="AL168" s="485"/>
      <c r="AM168" s="485"/>
      <c r="AN168" s="485"/>
    </row>
    <row r="169" spans="1:40" ht="15.75" customHeight="1" thickBot="1">
      <c r="B169" s="486"/>
      <c r="C169" s="483"/>
      <c r="D169" s="485"/>
      <c r="E169" s="485"/>
      <c r="F169" s="485"/>
      <c r="G169" s="485"/>
      <c r="H169" s="485"/>
      <c r="I169" s="485"/>
      <c r="J169" s="485"/>
      <c r="K169" s="485"/>
      <c r="L169" s="485"/>
      <c r="M169" s="485"/>
      <c r="N169" s="485"/>
      <c r="O169" s="485"/>
      <c r="P169" s="485"/>
      <c r="Q169" s="485"/>
      <c r="R169" s="485"/>
      <c r="S169" s="485"/>
      <c r="T169" s="485"/>
      <c r="U169" s="485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</row>
    <row r="170" spans="1:40" ht="15.75" customHeight="1" thickTop="1">
      <c r="B170" s="486"/>
      <c r="C170" s="487"/>
      <c r="D170" s="883" t="s">
        <v>5</v>
      </c>
      <c r="E170" s="884"/>
      <c r="F170" s="885"/>
      <c r="G170" s="886"/>
      <c r="H170" s="884"/>
      <c r="I170" s="885"/>
      <c r="J170" s="886" t="s">
        <v>7</v>
      </c>
      <c r="K170" s="884"/>
      <c r="L170" s="885"/>
      <c r="M170" s="886" t="s">
        <v>220</v>
      </c>
      <c r="N170" s="885"/>
      <c r="O170" s="883" t="s">
        <v>8</v>
      </c>
      <c r="P170" s="884"/>
      <c r="Q170" s="885"/>
      <c r="R170" s="886" t="s">
        <v>221</v>
      </c>
      <c r="S170" s="885"/>
      <c r="T170" s="592"/>
      <c r="AA170" s="485"/>
      <c r="AB170" s="485"/>
      <c r="AC170" s="485"/>
      <c r="AD170" s="485"/>
      <c r="AE170" s="485"/>
      <c r="AF170" s="485"/>
      <c r="AG170" s="485"/>
      <c r="AH170" s="485"/>
      <c r="AI170" s="485"/>
      <c r="AJ170" s="485"/>
      <c r="AK170" s="485"/>
      <c r="AL170" s="485"/>
      <c r="AM170" s="485"/>
      <c r="AN170" s="485"/>
    </row>
    <row r="171" spans="1:40" ht="15.75" customHeight="1">
      <c r="A171" s="782" t="s">
        <v>83</v>
      </c>
      <c r="B171" s="486" t="s">
        <v>83</v>
      </c>
      <c r="C171" s="502"/>
      <c r="D171" s="541" t="s">
        <v>40</v>
      </c>
      <c r="E171" s="541" t="s">
        <v>84</v>
      </c>
      <c r="F171" s="494" t="s">
        <v>12</v>
      </c>
      <c r="G171" s="493"/>
      <c r="H171" s="541"/>
      <c r="I171" s="494"/>
      <c r="J171" s="493" t="s">
        <v>40</v>
      </c>
      <c r="K171" s="541" t="s">
        <v>84</v>
      </c>
      <c r="L171" s="494" t="s">
        <v>12</v>
      </c>
      <c r="M171" s="493" t="s">
        <v>226</v>
      </c>
      <c r="N171" s="494" t="s">
        <v>223</v>
      </c>
      <c r="O171" s="541" t="s">
        <v>40</v>
      </c>
      <c r="P171" s="541" t="s">
        <v>84</v>
      </c>
      <c r="Q171" s="494" t="s">
        <v>12</v>
      </c>
      <c r="R171" s="493" t="s">
        <v>85</v>
      </c>
      <c r="S171" s="494" t="s">
        <v>12</v>
      </c>
      <c r="T171" s="541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</row>
    <row r="172" spans="1:40" ht="15.75" customHeight="1">
      <c r="A172" s="782" t="s">
        <v>334</v>
      </c>
      <c r="B172" s="486" t="s">
        <v>83</v>
      </c>
      <c r="C172" s="502" t="s">
        <v>86</v>
      </c>
      <c r="D172" s="503">
        <v>419.72</v>
      </c>
      <c r="E172" s="503">
        <v>142704.80000000002</v>
      </c>
      <c r="F172" s="503">
        <v>111309.74400000002</v>
      </c>
      <c r="G172" s="504"/>
      <c r="H172" s="503"/>
      <c r="I172" s="503"/>
      <c r="J172" s="504">
        <v>431</v>
      </c>
      <c r="K172" s="543">
        <v>140254.72</v>
      </c>
      <c r="L172" s="507">
        <v>109869.64</v>
      </c>
      <c r="M172" s="587">
        <v>-1.7168868881775639E-2</v>
      </c>
      <c r="N172" s="505">
        <v>-1440.1040000000212</v>
      </c>
      <c r="O172" s="504">
        <v>358</v>
      </c>
      <c r="P172" s="543">
        <v>123531.16</v>
      </c>
      <c r="Q172" s="507">
        <v>99674.89</v>
      </c>
      <c r="R172" s="587">
        <v>1.2039106145251397</v>
      </c>
      <c r="S172" s="505">
        <v>10194.75</v>
      </c>
      <c r="T172" s="503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</row>
    <row r="173" spans="1:40" ht="15.75" customHeight="1">
      <c r="A173" s="782" t="s">
        <v>335</v>
      </c>
      <c r="B173" s="486" t="s">
        <v>83</v>
      </c>
      <c r="C173" s="502" t="s">
        <v>87</v>
      </c>
      <c r="D173" s="503"/>
      <c r="E173" s="584"/>
      <c r="F173" s="597">
        <v>0.78</v>
      </c>
      <c r="G173" s="504"/>
      <c r="H173" s="584"/>
      <c r="I173" s="597"/>
      <c r="J173" s="504"/>
      <c r="K173" s="486"/>
      <c r="L173" s="597">
        <v>0.78335787915016331</v>
      </c>
      <c r="M173" s="587"/>
      <c r="N173" s="505"/>
      <c r="O173" s="504"/>
      <c r="P173" s="486"/>
      <c r="Q173" s="597">
        <v>0.80688054738577697</v>
      </c>
      <c r="R173" s="504"/>
      <c r="S173" s="505"/>
      <c r="T173" s="503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</row>
    <row r="174" spans="1:40" ht="15.75" customHeight="1">
      <c r="A174" s="782" t="s">
        <v>83</v>
      </c>
      <c r="B174" s="486" t="s">
        <v>83</v>
      </c>
      <c r="C174" s="495"/>
      <c r="D174" s="516"/>
      <c r="E174" s="598">
        <v>340</v>
      </c>
      <c r="F174" s="599"/>
      <c r="G174" s="521"/>
      <c r="H174" s="598"/>
      <c r="I174" s="599"/>
      <c r="J174" s="521"/>
      <c r="K174" s="598">
        <v>325.41698375870072</v>
      </c>
      <c r="L174" s="599"/>
      <c r="M174" s="588"/>
      <c r="N174" s="517"/>
      <c r="O174" s="521"/>
      <c r="P174" s="598">
        <v>345.05910614525141</v>
      </c>
      <c r="Q174" s="599"/>
      <c r="R174" s="521"/>
      <c r="S174" s="517"/>
      <c r="T174" s="503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</row>
    <row r="175" spans="1:40" ht="18" customHeight="1">
      <c r="A175" s="782" t="s">
        <v>336</v>
      </c>
      <c r="B175" s="486" t="s">
        <v>83</v>
      </c>
      <c r="C175" s="488" t="s">
        <v>88</v>
      </c>
      <c r="D175" s="522">
        <v>127.41</v>
      </c>
      <c r="E175" s="503">
        <v>34400.699999999997</v>
      </c>
      <c r="F175" s="503">
        <v>22016.448</v>
      </c>
      <c r="G175" s="600"/>
      <c r="H175" s="503"/>
      <c r="I175" s="503"/>
      <c r="J175" s="600">
        <v>230</v>
      </c>
      <c r="K175" s="589">
        <v>58666.38</v>
      </c>
      <c r="L175" s="507">
        <v>38054.239999999998</v>
      </c>
      <c r="M175" s="587">
        <v>0.70538332068824183</v>
      </c>
      <c r="N175" s="523">
        <v>16037.791999999998</v>
      </c>
      <c r="O175" s="600">
        <v>97</v>
      </c>
      <c r="P175" s="589">
        <v>37099.949999999997</v>
      </c>
      <c r="Q175" s="507">
        <v>25433.3999999999</v>
      </c>
      <c r="R175" s="587">
        <v>2.3711340206185567</v>
      </c>
      <c r="S175" s="505">
        <v>12620.840000000098</v>
      </c>
      <c r="T175" s="503"/>
      <c r="U175" s="486"/>
      <c r="V175" s="543"/>
      <c r="W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</row>
    <row r="176" spans="1:40" ht="15.75" customHeight="1">
      <c r="A176" s="782" t="s">
        <v>335</v>
      </c>
      <c r="B176" s="486" t="s">
        <v>83</v>
      </c>
      <c r="C176" s="502" t="s">
        <v>87</v>
      </c>
      <c r="D176" s="486"/>
      <c r="E176" s="486"/>
      <c r="F176" s="597">
        <v>0.64</v>
      </c>
      <c r="G176" s="502"/>
      <c r="H176" s="486"/>
      <c r="I176" s="597"/>
      <c r="J176" s="502"/>
      <c r="K176" s="486"/>
      <c r="L176" s="597">
        <v>0.64865498774596286</v>
      </c>
      <c r="M176" s="513"/>
      <c r="N176" s="514"/>
      <c r="O176" s="502"/>
      <c r="P176" s="486"/>
      <c r="Q176" s="597">
        <v>0.68553731204489232</v>
      </c>
      <c r="R176" s="513"/>
      <c r="S176" s="514"/>
      <c r="T176" s="486"/>
      <c r="U176" s="486"/>
      <c r="V176" s="543"/>
      <c r="W176" s="821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</row>
    <row r="177" spans="1:40" ht="15.75" customHeight="1">
      <c r="A177" s="782" t="s">
        <v>83</v>
      </c>
      <c r="B177" s="486" t="s">
        <v>83</v>
      </c>
      <c r="C177" s="495"/>
      <c r="D177" s="561"/>
      <c r="E177" s="598">
        <v>270</v>
      </c>
      <c r="F177" s="599"/>
      <c r="G177" s="521"/>
      <c r="H177" s="598"/>
      <c r="I177" s="599"/>
      <c r="J177" s="521"/>
      <c r="K177" s="598">
        <v>255.07121739130434</v>
      </c>
      <c r="L177" s="599"/>
      <c r="M177" s="588"/>
      <c r="N177" s="517"/>
      <c r="O177" s="521"/>
      <c r="P177" s="598">
        <v>382.47371134020614</v>
      </c>
      <c r="Q177" s="599"/>
      <c r="R177" s="601"/>
      <c r="S177" s="602"/>
      <c r="T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</row>
    <row r="178" spans="1:40" ht="15.75" customHeight="1">
      <c r="A178" s="782" t="s">
        <v>337</v>
      </c>
      <c r="B178" s="486" t="s">
        <v>83</v>
      </c>
      <c r="C178" s="502" t="s">
        <v>89</v>
      </c>
      <c r="D178" s="503">
        <v>272.07</v>
      </c>
      <c r="E178" s="503">
        <v>83530.931399999987</v>
      </c>
      <c r="F178" s="503">
        <v>61812.889235999988</v>
      </c>
      <c r="G178" s="504"/>
      <c r="H178" s="503"/>
      <c r="I178" s="503"/>
      <c r="J178" s="504">
        <v>265</v>
      </c>
      <c r="K178" s="589">
        <v>79677.26999999999</v>
      </c>
      <c r="L178" s="507">
        <v>60336.739999999983</v>
      </c>
      <c r="M178" s="587">
        <v>-4.6134543640441172E-2</v>
      </c>
      <c r="N178" s="505">
        <v>-1476.1492360000047</v>
      </c>
      <c r="O178" s="504">
        <v>209</v>
      </c>
      <c r="P178" s="589">
        <v>53994.7</v>
      </c>
      <c r="Q178" s="507">
        <v>41482.18</v>
      </c>
      <c r="R178" s="587">
        <v>1.2679425837320575</v>
      </c>
      <c r="S178" s="505">
        <v>18854.559999999983</v>
      </c>
      <c r="T178" s="503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</row>
    <row r="179" spans="1:40" ht="15.75" customHeight="1">
      <c r="A179" s="782" t="s">
        <v>335</v>
      </c>
      <c r="B179" s="486" t="s">
        <v>83</v>
      </c>
      <c r="C179" s="502" t="s">
        <v>87</v>
      </c>
      <c r="D179" s="503"/>
      <c r="E179" s="584"/>
      <c r="F179" s="597">
        <v>0.74</v>
      </c>
      <c r="G179" s="504"/>
      <c r="H179" s="584"/>
      <c r="I179" s="597"/>
      <c r="J179" s="504"/>
      <c r="K179" s="584"/>
      <c r="L179" s="597">
        <v>0.75726414823198629</v>
      </c>
      <c r="M179" s="587"/>
      <c r="N179" s="505">
        <v>1.7264148231986298E-2</v>
      </c>
      <c r="O179" s="504"/>
      <c r="P179" s="584"/>
      <c r="Q179" s="597">
        <v>0.76826392219977147</v>
      </c>
      <c r="R179" s="504">
        <v>0</v>
      </c>
      <c r="S179" s="505"/>
      <c r="T179" s="503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</row>
    <row r="180" spans="1:40" ht="15.75" customHeight="1">
      <c r="A180" s="782" t="s">
        <v>83</v>
      </c>
      <c r="B180" s="486" t="s">
        <v>83</v>
      </c>
      <c r="C180" s="502"/>
      <c r="D180" s="503"/>
      <c r="E180" s="598">
        <v>307.02</v>
      </c>
      <c r="F180" s="599"/>
      <c r="G180" s="521"/>
      <c r="H180" s="598"/>
      <c r="I180" s="599"/>
      <c r="J180" s="521"/>
      <c r="K180" s="598">
        <v>300.66894339622638</v>
      </c>
      <c r="L180" s="599"/>
      <c r="M180" s="588"/>
      <c r="N180" s="517"/>
      <c r="O180" s="521"/>
      <c r="P180" s="598">
        <v>258.34784688995217</v>
      </c>
      <c r="Q180" s="597"/>
      <c r="R180" s="521"/>
      <c r="S180" s="505"/>
      <c r="T180" s="503"/>
      <c r="U180" s="772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</row>
    <row r="181" spans="1:40" ht="15.75" customHeight="1">
      <c r="A181" s="782" t="s">
        <v>338</v>
      </c>
      <c r="B181" s="486" t="s">
        <v>83</v>
      </c>
      <c r="C181" s="488" t="s">
        <v>90</v>
      </c>
      <c r="D181" s="522">
        <v>37.68</v>
      </c>
      <c r="E181" s="503">
        <v>10173.6</v>
      </c>
      <c r="F181" s="503">
        <v>7630.2000000000007</v>
      </c>
      <c r="G181" s="600"/>
      <c r="H181" s="503"/>
      <c r="I181" s="503"/>
      <c r="J181" s="600">
        <v>0</v>
      </c>
      <c r="K181" s="589">
        <v>9357.93</v>
      </c>
      <c r="L181" s="524">
        <v>7296.8</v>
      </c>
      <c r="M181" s="603">
        <v>-8.01751592356688E-2</v>
      </c>
      <c r="N181" s="523">
        <v>-333.40000000000055</v>
      </c>
      <c r="O181" s="600">
        <v>0</v>
      </c>
      <c r="P181" s="589">
        <v>9321.7000000000007</v>
      </c>
      <c r="Q181" s="524">
        <v>6357.61</v>
      </c>
      <c r="R181" s="587">
        <v>0</v>
      </c>
      <c r="S181" s="523">
        <v>939.19000000000051</v>
      </c>
      <c r="T181" s="503"/>
      <c r="U181" s="772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</row>
    <row r="182" spans="1:40" ht="15.75" customHeight="1">
      <c r="A182" s="782" t="s">
        <v>335</v>
      </c>
      <c r="B182" s="486" t="s">
        <v>83</v>
      </c>
      <c r="C182" s="502" t="s">
        <v>87</v>
      </c>
      <c r="D182" s="538"/>
      <c r="E182" s="604"/>
      <c r="F182" s="597">
        <v>0.75</v>
      </c>
      <c r="G182" s="520"/>
      <c r="H182" s="604"/>
      <c r="I182" s="597"/>
      <c r="J182" s="605"/>
      <c r="K182" s="604">
        <v>0</v>
      </c>
      <c r="L182" s="597">
        <v>0.77974509319903007</v>
      </c>
      <c r="M182" s="504">
        <v>0</v>
      </c>
      <c r="N182" s="568"/>
      <c r="O182" s="605"/>
      <c r="P182" s="604"/>
      <c r="Q182" s="597">
        <v>0.68202259244558383</v>
      </c>
      <c r="R182" s="502"/>
      <c r="S182" s="568"/>
      <c r="T182" s="562"/>
      <c r="U182" s="772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</row>
    <row r="183" spans="1:40" ht="15.75" customHeight="1">
      <c r="A183" s="782" t="s">
        <v>83</v>
      </c>
      <c r="B183" s="486" t="s">
        <v>83</v>
      </c>
      <c r="C183" s="495"/>
      <c r="D183" s="606"/>
      <c r="E183" s="822"/>
      <c r="F183" s="599"/>
      <c r="G183" s="515"/>
      <c r="H183" s="822"/>
      <c r="I183" s="599"/>
      <c r="J183" s="518"/>
      <c r="K183" s="499"/>
      <c r="L183" s="599"/>
      <c r="M183" s="521"/>
      <c r="N183" s="569"/>
      <c r="O183" s="518"/>
      <c r="P183" s="499">
        <v>0</v>
      </c>
      <c r="Q183" s="599"/>
      <c r="R183" s="495"/>
      <c r="S183" s="569"/>
      <c r="T183" s="562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</row>
    <row r="184" spans="1:40" ht="26.25" customHeight="1" thickBot="1">
      <c r="A184" s="782" t="s">
        <v>339</v>
      </c>
      <c r="B184" s="486" t="s">
        <v>83</v>
      </c>
      <c r="C184" s="502" t="s">
        <v>91</v>
      </c>
      <c r="D184" s="486"/>
      <c r="E184" s="486"/>
      <c r="F184" s="505">
        <v>-3232.1005101727992</v>
      </c>
      <c r="G184" s="502"/>
      <c r="H184" s="503"/>
      <c r="I184" s="503"/>
      <c r="J184" s="504"/>
      <c r="K184" s="503"/>
      <c r="L184" s="503">
        <v>-1952.1</v>
      </c>
      <c r="M184" s="605"/>
      <c r="N184" s="505">
        <v>1280.0005101727993</v>
      </c>
      <c r="O184" s="504"/>
      <c r="P184" s="503"/>
      <c r="Q184" s="507">
        <v>-2037.51</v>
      </c>
      <c r="R184" s="607"/>
      <c r="S184" s="505">
        <v>85.410000000000082</v>
      </c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</row>
    <row r="185" spans="1:40" ht="15.75" customHeight="1" thickTop="1">
      <c r="A185" s="782" t="s">
        <v>340</v>
      </c>
      <c r="B185" s="486" t="s">
        <v>83</v>
      </c>
      <c r="C185" s="608" t="s">
        <v>92</v>
      </c>
      <c r="D185" s="609">
        <v>856.88</v>
      </c>
      <c r="E185" s="609">
        <v>270810.03139999998</v>
      </c>
      <c r="F185" s="610">
        <v>199537.1807258272</v>
      </c>
      <c r="G185" s="823"/>
      <c r="H185" s="609"/>
      <c r="I185" s="610"/>
      <c r="J185" s="823">
        <v>926</v>
      </c>
      <c r="K185" s="609">
        <v>287956.3</v>
      </c>
      <c r="L185" s="610">
        <v>213605.31999999998</v>
      </c>
      <c r="M185" s="824">
        <v>6.3314746914504477E-2</v>
      </c>
      <c r="N185" s="610">
        <v>14068.139274172776</v>
      </c>
      <c r="O185" s="823">
        <v>664</v>
      </c>
      <c r="P185" s="609">
        <v>223947.51</v>
      </c>
      <c r="Q185" s="610">
        <v>170910.56999999986</v>
      </c>
      <c r="R185" s="513">
        <v>1.3945783132530121</v>
      </c>
      <c r="S185" s="610">
        <v>42694.750000000116</v>
      </c>
      <c r="T185" s="562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</row>
    <row r="186" spans="1:40" ht="15.75" customHeight="1">
      <c r="A186" s="782" t="s">
        <v>341</v>
      </c>
      <c r="B186" s="486" t="s">
        <v>83</v>
      </c>
      <c r="C186" s="611" t="s">
        <v>93</v>
      </c>
      <c r="D186" s="612"/>
      <c r="E186" s="825"/>
      <c r="F186" s="613">
        <v>0.73681606140763967</v>
      </c>
      <c r="G186" s="614"/>
      <c r="H186" s="825"/>
      <c r="I186" s="514"/>
      <c r="J186" s="614"/>
      <c r="K186" s="825">
        <v>310.96792656587473</v>
      </c>
      <c r="L186" s="514">
        <v>0.74179769638656967</v>
      </c>
      <c r="M186" s="614"/>
      <c r="N186" s="613">
        <v>7.050384907213364E-2</v>
      </c>
      <c r="O186" s="614"/>
      <c r="P186" s="825">
        <v>337.27034638554215</v>
      </c>
      <c r="Q186" s="514">
        <v>0.76317245054432559</v>
      </c>
      <c r="R186" s="614"/>
      <c r="S186" s="514">
        <v>0.24980754554852957</v>
      </c>
      <c r="T186" s="562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</row>
    <row r="187" spans="1:40" ht="15.75" customHeight="1">
      <c r="A187" s="782" t="s">
        <v>83</v>
      </c>
      <c r="B187" s="486" t="s">
        <v>83</v>
      </c>
      <c r="C187" s="508"/>
      <c r="D187" s="509"/>
      <c r="E187" s="615"/>
      <c r="F187" s="510"/>
      <c r="G187" s="511"/>
      <c r="H187" s="615"/>
      <c r="I187" s="510"/>
      <c r="J187" s="511"/>
      <c r="K187" s="615"/>
      <c r="L187" s="510"/>
      <c r="M187" s="511"/>
      <c r="N187" s="510"/>
      <c r="O187" s="511"/>
      <c r="P187" s="615"/>
      <c r="Q187" s="510"/>
      <c r="R187" s="511"/>
      <c r="S187" s="510"/>
      <c r="T187" s="562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</row>
    <row r="188" spans="1:40" ht="19.5" customHeight="1">
      <c r="A188" s="782" t="s">
        <v>342</v>
      </c>
      <c r="B188" s="486" t="s">
        <v>83</v>
      </c>
      <c r="C188" s="502" t="s">
        <v>94</v>
      </c>
      <c r="D188" s="503"/>
      <c r="E188" s="503">
        <v>19093.32</v>
      </c>
      <c r="F188" s="503">
        <v>3360.4243199999996</v>
      </c>
      <c r="G188" s="504"/>
      <c r="H188" s="503"/>
      <c r="I188" s="503"/>
      <c r="J188" s="504"/>
      <c r="K188" s="543">
        <v>17923.73</v>
      </c>
      <c r="L188" s="507">
        <v>3694.5300000000007</v>
      </c>
      <c r="M188" s="587">
        <v>-6.1256502274093773E-2</v>
      </c>
      <c r="N188" s="505">
        <v>334.10568000000103</v>
      </c>
      <c r="O188" s="504"/>
      <c r="P188" s="543">
        <v>13598.58</v>
      </c>
      <c r="Q188" s="507">
        <v>2943</v>
      </c>
      <c r="R188" s="587">
        <v>0</v>
      </c>
      <c r="S188" s="505">
        <v>751.53000000000065</v>
      </c>
      <c r="T188" s="562"/>
      <c r="U188" s="486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</row>
    <row r="189" spans="1:40" ht="21" customHeight="1">
      <c r="A189" s="782" t="s">
        <v>335</v>
      </c>
      <c r="B189" s="486" t="s">
        <v>83</v>
      </c>
      <c r="C189" s="502" t="s">
        <v>87</v>
      </c>
      <c r="D189" s="486"/>
      <c r="E189" s="584"/>
      <c r="F189" s="597">
        <v>0.17599999999999999</v>
      </c>
      <c r="G189" s="502"/>
      <c r="H189" s="584"/>
      <c r="I189" s="597"/>
      <c r="J189" s="605"/>
      <c r="K189" s="604"/>
      <c r="L189" s="597">
        <v>0.20612506436997213</v>
      </c>
      <c r="M189" s="605"/>
      <c r="N189" s="568"/>
      <c r="O189" s="605"/>
      <c r="P189" s="604"/>
      <c r="Q189" s="597">
        <v>0.21641965558168574</v>
      </c>
      <c r="R189" s="605"/>
      <c r="S189" s="568"/>
      <c r="T189" s="562"/>
      <c r="U189" s="486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</row>
    <row r="190" spans="1:40" ht="15.75" customHeight="1">
      <c r="A190" s="782" t="s">
        <v>83</v>
      </c>
      <c r="B190" s="486" t="s">
        <v>83</v>
      </c>
      <c r="C190" s="502"/>
      <c r="D190" s="486"/>
      <c r="E190" s="584"/>
      <c r="F190" s="597"/>
      <c r="G190" s="502"/>
      <c r="H190" s="584"/>
      <c r="I190" s="597"/>
      <c r="J190" s="605"/>
      <c r="K190" s="604"/>
      <c r="L190" s="597"/>
      <c r="M190" s="605"/>
      <c r="N190" s="568"/>
      <c r="O190" s="605"/>
      <c r="P190" s="604"/>
      <c r="Q190" s="597"/>
      <c r="R190" s="605"/>
      <c r="S190" s="568"/>
      <c r="T190" s="562"/>
      <c r="U190" s="486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</row>
    <row r="191" spans="1:40" ht="15.75" customHeight="1">
      <c r="A191" s="782" t="s">
        <v>343</v>
      </c>
      <c r="B191" s="486" t="s">
        <v>83</v>
      </c>
      <c r="C191" s="502" t="s">
        <v>95</v>
      </c>
      <c r="D191" s="486"/>
      <c r="E191" s="503">
        <v>7800</v>
      </c>
      <c r="F191" s="503">
        <v>5460</v>
      </c>
      <c r="G191" s="502"/>
      <c r="H191" s="503"/>
      <c r="I191" s="503"/>
      <c r="J191" s="504">
        <v>56</v>
      </c>
      <c r="K191" s="543">
        <v>12017.6</v>
      </c>
      <c r="L191" s="507">
        <v>9481.08</v>
      </c>
      <c r="M191" s="587">
        <v>0.54071794871794876</v>
      </c>
      <c r="N191" s="505">
        <v>4021.08</v>
      </c>
      <c r="O191" s="605"/>
      <c r="P191" s="543">
        <v>13554.44</v>
      </c>
      <c r="Q191" s="507">
        <v>10654.58</v>
      </c>
      <c r="R191" s="605"/>
      <c r="S191" s="568"/>
      <c r="T191" s="562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</row>
    <row r="192" spans="1:40" ht="15.75" customHeight="1">
      <c r="A192" s="782" t="s">
        <v>335</v>
      </c>
      <c r="B192" s="486" t="s">
        <v>83</v>
      </c>
      <c r="C192" s="502" t="s">
        <v>87</v>
      </c>
      <c r="D192" s="486"/>
      <c r="E192" s="584"/>
      <c r="F192" s="597">
        <v>0.7</v>
      </c>
      <c r="G192" s="502"/>
      <c r="H192" s="584"/>
      <c r="I192" s="597"/>
      <c r="J192" s="605"/>
      <c r="K192" s="604"/>
      <c r="L192" s="597">
        <v>0.78893289841565706</v>
      </c>
      <c r="M192" s="605"/>
      <c r="N192" s="568"/>
      <c r="O192" s="605"/>
      <c r="P192" s="604"/>
      <c r="Q192" s="597">
        <v>0.78605829528921889</v>
      </c>
      <c r="R192" s="605"/>
      <c r="S192" s="568"/>
      <c r="T192" s="562"/>
      <c r="U192" s="543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</row>
    <row r="193" spans="1:40" ht="15.75" customHeight="1" thickBot="1">
      <c r="A193" s="782" t="s">
        <v>83</v>
      </c>
      <c r="B193" s="486" t="s">
        <v>83</v>
      </c>
      <c r="C193" s="616"/>
      <c r="D193" s="617"/>
      <c r="E193" s="618"/>
      <c r="F193" s="619"/>
      <c r="G193" s="620"/>
      <c r="H193" s="618"/>
      <c r="I193" s="619"/>
      <c r="J193" s="620">
        <v>331.88963039014374</v>
      </c>
      <c r="K193" s="618">
        <v>161630.25</v>
      </c>
      <c r="L193" s="619">
        <v>487</v>
      </c>
      <c r="M193" s="620"/>
      <c r="N193" s="619"/>
      <c r="O193" s="620"/>
      <c r="P193" s="618"/>
      <c r="Q193" s="619"/>
      <c r="R193" s="620"/>
      <c r="S193" s="619"/>
      <c r="T193" s="562"/>
      <c r="U193" s="486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</row>
    <row r="194" spans="1:40" ht="24.75" customHeight="1" thickTop="1">
      <c r="A194" s="782" t="s">
        <v>344</v>
      </c>
      <c r="B194" s="486" t="s">
        <v>83</v>
      </c>
      <c r="C194" s="528" t="s">
        <v>96</v>
      </c>
      <c r="D194" s="529"/>
      <c r="E194" s="529">
        <v>297703.35139999999</v>
      </c>
      <c r="F194" s="531">
        <v>208357.60504582719</v>
      </c>
      <c r="G194" s="532"/>
      <c r="H194" s="529"/>
      <c r="I194" s="531"/>
      <c r="J194" s="532"/>
      <c r="K194" s="529">
        <v>317897.62999999995</v>
      </c>
      <c r="L194" s="531">
        <v>226780.92999999996</v>
      </c>
      <c r="M194" s="629">
        <v>1.3493924240542521E-2</v>
      </c>
      <c r="N194" s="531">
        <v>18423.324954172771</v>
      </c>
      <c r="O194" s="532"/>
      <c r="P194" s="529">
        <v>251100.53</v>
      </c>
      <c r="Q194" s="531">
        <v>184508.14999999985</v>
      </c>
      <c r="R194" s="629"/>
      <c r="S194" s="531">
        <v>42272.780000000115</v>
      </c>
      <c r="T194" s="562"/>
      <c r="U194" s="820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</row>
    <row r="195" spans="1:40" ht="24" customHeight="1" thickBot="1">
      <c r="A195" s="782" t="s">
        <v>83</v>
      </c>
      <c r="B195" s="486" t="s">
        <v>83</v>
      </c>
      <c r="C195" s="533"/>
      <c r="D195" s="534"/>
      <c r="E195" s="534"/>
      <c r="F195" s="536">
        <v>0.69988330351670747</v>
      </c>
      <c r="G195" s="533"/>
      <c r="H195" s="534"/>
      <c r="I195" s="536"/>
      <c r="J195" s="533"/>
      <c r="K195" s="534"/>
      <c r="L195" s="536">
        <v>0.71337722775724999</v>
      </c>
      <c r="M195" s="537"/>
      <c r="N195" s="536">
        <v>8.8421658283702451E-2</v>
      </c>
      <c r="O195" s="533"/>
      <c r="P195" s="534"/>
      <c r="Q195" s="536">
        <v>0.73479793133053062</v>
      </c>
      <c r="R195" s="537"/>
      <c r="S195" s="536">
        <v>5.3647034805848905</v>
      </c>
      <c r="T195" s="538"/>
      <c r="U195" s="486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</row>
    <row r="196" spans="1:40" ht="15.75" customHeight="1" thickTop="1">
      <c r="A196" s="782" t="s">
        <v>83</v>
      </c>
      <c r="B196" s="486" t="s">
        <v>83</v>
      </c>
      <c r="C196" s="520"/>
      <c r="D196" s="538"/>
      <c r="E196" s="538"/>
      <c r="F196" s="514"/>
      <c r="G196" s="520"/>
      <c r="H196" s="538"/>
      <c r="I196" s="514"/>
      <c r="J196" s="520"/>
      <c r="K196" s="562"/>
      <c r="L196" s="514"/>
      <c r="M196" s="513"/>
      <c r="N196" s="514"/>
      <c r="O196" s="520"/>
      <c r="P196" s="538"/>
      <c r="Q196" s="514"/>
      <c r="R196" s="513"/>
      <c r="S196" s="514"/>
      <c r="T196" s="538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</row>
    <row r="197" spans="1:40" ht="15.75" customHeight="1">
      <c r="A197" s="782" t="s">
        <v>345</v>
      </c>
      <c r="B197" s="486" t="s">
        <v>83</v>
      </c>
      <c r="C197" s="540" t="s">
        <v>30</v>
      </c>
      <c r="D197" s="486"/>
      <c r="E197" s="486"/>
      <c r="F197" s="505"/>
      <c r="G197" s="502"/>
      <c r="H197" s="486"/>
      <c r="I197" s="505"/>
      <c r="J197" s="502"/>
      <c r="K197" s="486"/>
      <c r="L197" s="527"/>
      <c r="M197" s="502"/>
      <c r="N197" s="527"/>
      <c r="O197" s="502"/>
      <c r="P197" s="486"/>
      <c r="Q197" s="527"/>
      <c r="R197" s="502"/>
      <c r="S197" s="527"/>
      <c r="T197" s="486"/>
      <c r="U197" s="486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</row>
    <row r="198" spans="1:40" ht="15.75" customHeight="1">
      <c r="A198" s="782" t="s">
        <v>346</v>
      </c>
      <c r="B198" s="486" t="s">
        <v>83</v>
      </c>
      <c r="C198" s="556" t="s">
        <v>41</v>
      </c>
      <c r="D198" s="486"/>
      <c r="E198" s="486"/>
      <c r="F198" s="543">
        <v>15681.80576923077</v>
      </c>
      <c r="G198" s="502"/>
      <c r="H198" s="486"/>
      <c r="I198" s="543"/>
      <c r="J198" s="502"/>
      <c r="K198" s="486"/>
      <c r="L198" s="507">
        <v>16198.75</v>
      </c>
      <c r="M198" s="502"/>
      <c r="N198" s="507">
        <v>516.94423076922976</v>
      </c>
      <c r="O198" s="502"/>
      <c r="P198" s="486"/>
      <c r="Q198" s="507">
        <v>20405.86</v>
      </c>
      <c r="R198" s="502"/>
      <c r="S198" s="507">
        <v>-4207.1100000000006</v>
      </c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</row>
    <row r="199" spans="1:40" ht="15.75" customHeight="1">
      <c r="A199" s="782" t="s">
        <v>347</v>
      </c>
      <c r="B199" s="486" t="s">
        <v>83</v>
      </c>
      <c r="C199" s="557" t="s">
        <v>42</v>
      </c>
      <c r="D199" s="544"/>
      <c r="E199" s="486"/>
      <c r="F199" s="497">
        <v>8357.6063384615391</v>
      </c>
      <c r="G199" s="545"/>
      <c r="H199" s="486"/>
      <c r="I199" s="497"/>
      <c r="J199" s="502"/>
      <c r="K199" s="486"/>
      <c r="L199" s="507">
        <v>8522.5</v>
      </c>
      <c r="M199" s="502"/>
      <c r="N199" s="507">
        <v>164.89366153846095</v>
      </c>
      <c r="O199" s="502"/>
      <c r="P199" s="486"/>
      <c r="Q199" s="507">
        <v>4908.57</v>
      </c>
      <c r="R199" s="502"/>
      <c r="S199" s="505">
        <v>3613.9300000000003</v>
      </c>
      <c r="T199" s="486"/>
      <c r="U199" s="486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</row>
    <row r="200" spans="1:40" ht="20.25">
      <c r="A200" s="782" t="s">
        <v>348</v>
      </c>
      <c r="B200" s="486" t="s">
        <v>83</v>
      </c>
      <c r="C200" s="556" t="s">
        <v>43</v>
      </c>
      <c r="D200" s="558"/>
      <c r="E200" s="559"/>
      <c r="F200" s="543">
        <v>15667.776923076923</v>
      </c>
      <c r="G200" s="560"/>
      <c r="H200" s="559"/>
      <c r="I200" s="543"/>
      <c r="J200" s="488"/>
      <c r="K200" s="559"/>
      <c r="L200" s="524">
        <v>15014.9</v>
      </c>
      <c r="M200" s="488"/>
      <c r="N200" s="524">
        <v>-652.87692307692305</v>
      </c>
      <c r="O200" s="488"/>
      <c r="P200" s="559"/>
      <c r="Q200" s="524">
        <v>17670.88</v>
      </c>
      <c r="R200" s="488"/>
      <c r="S200" s="523">
        <v>-2655.9800000000014</v>
      </c>
      <c r="T200" s="486"/>
      <c r="U200" s="486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</row>
    <row r="201" spans="1:40" ht="20.25">
      <c r="A201" s="782" t="s">
        <v>349</v>
      </c>
      <c r="B201" s="486" t="s">
        <v>83</v>
      </c>
      <c r="C201" s="556" t="s">
        <v>44</v>
      </c>
      <c r="D201" s="544"/>
      <c r="E201" s="798">
        <v>0.18699909804122805</v>
      </c>
      <c r="F201" s="543">
        <v>26685.668886153846</v>
      </c>
      <c r="G201" s="545"/>
      <c r="H201" s="486"/>
      <c r="I201" s="543"/>
      <c r="J201" s="502"/>
      <c r="K201" s="826">
        <v>0.16759421715005385</v>
      </c>
      <c r="L201" s="507">
        <v>23505.88</v>
      </c>
      <c r="M201" s="502"/>
      <c r="N201" s="507">
        <v>-3179.7888861538449</v>
      </c>
      <c r="O201" s="502"/>
      <c r="P201" s="486"/>
      <c r="Q201" s="507">
        <v>26139.54</v>
      </c>
      <c r="R201" s="502"/>
      <c r="S201" s="505">
        <v>-2633.66</v>
      </c>
      <c r="T201" s="486"/>
      <c r="U201" s="486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</row>
    <row r="202" spans="1:40" ht="15.75" hidden="1" customHeight="1">
      <c r="A202" s="782" t="s">
        <v>350</v>
      </c>
      <c r="B202" s="486" t="s">
        <v>83</v>
      </c>
      <c r="C202" s="502" t="s">
        <v>20</v>
      </c>
      <c r="D202" s="544"/>
      <c r="E202" s="486"/>
      <c r="F202" s="543">
        <v>0</v>
      </c>
      <c r="G202" s="545"/>
      <c r="H202" s="486"/>
      <c r="I202" s="543"/>
      <c r="J202" s="502"/>
      <c r="K202" s="486"/>
      <c r="L202" s="507">
        <v>0</v>
      </c>
      <c r="M202" s="502"/>
      <c r="N202" s="507">
        <v>0</v>
      </c>
      <c r="O202" s="502"/>
      <c r="P202" s="486"/>
      <c r="Q202" s="507">
        <v>0</v>
      </c>
      <c r="R202" s="502"/>
      <c r="S202" s="505">
        <v>0</v>
      </c>
      <c r="T202" s="486"/>
      <c r="U202" s="486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</row>
    <row r="203" spans="1:40" ht="15.75" hidden="1" customHeight="1">
      <c r="A203" s="782" t="s">
        <v>350</v>
      </c>
      <c r="B203" s="486" t="s">
        <v>83</v>
      </c>
      <c r="C203" s="502" t="s">
        <v>20</v>
      </c>
      <c r="D203" s="544"/>
      <c r="E203" s="486"/>
      <c r="F203" s="543">
        <v>0</v>
      </c>
      <c r="G203" s="545"/>
      <c r="H203" s="486"/>
      <c r="I203" s="543"/>
      <c r="J203" s="502"/>
      <c r="K203" s="486"/>
      <c r="L203" s="507">
        <v>0</v>
      </c>
      <c r="M203" s="502"/>
      <c r="N203" s="507">
        <v>0</v>
      </c>
      <c r="O203" s="502"/>
      <c r="P203" s="486"/>
      <c r="Q203" s="507">
        <v>0</v>
      </c>
      <c r="R203" s="502"/>
      <c r="S203" s="505">
        <v>0</v>
      </c>
      <c r="T203" s="486"/>
      <c r="U203" s="486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</row>
    <row r="204" spans="1:40" ht="15.75" hidden="1" customHeight="1">
      <c r="A204" s="782" t="s">
        <v>350</v>
      </c>
      <c r="B204" s="486" t="s">
        <v>83</v>
      </c>
      <c r="C204" s="502" t="s">
        <v>20</v>
      </c>
      <c r="D204" s="544"/>
      <c r="E204" s="486"/>
      <c r="F204" s="543">
        <v>0</v>
      </c>
      <c r="G204" s="545"/>
      <c r="H204" s="486"/>
      <c r="I204" s="543"/>
      <c r="J204" s="502"/>
      <c r="K204" s="486"/>
      <c r="L204" s="507">
        <v>0</v>
      </c>
      <c r="M204" s="502"/>
      <c r="N204" s="507">
        <v>0</v>
      </c>
      <c r="O204" s="502"/>
      <c r="P204" s="486"/>
      <c r="Q204" s="507">
        <v>0</v>
      </c>
      <c r="R204" s="502"/>
      <c r="S204" s="505">
        <v>0</v>
      </c>
      <c r="T204" s="486"/>
      <c r="U204" s="486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</row>
    <row r="205" spans="1:40" ht="20.25">
      <c r="A205" s="782" t="s">
        <v>351</v>
      </c>
      <c r="B205" s="486" t="s">
        <v>83</v>
      </c>
      <c r="C205" s="557" t="s">
        <v>45</v>
      </c>
      <c r="D205" s="544"/>
      <c r="E205" s="486"/>
      <c r="F205" s="543">
        <v>15995.75438182015</v>
      </c>
      <c r="G205" s="545"/>
      <c r="H205" s="486"/>
      <c r="I205" s="543"/>
      <c r="J205" s="502"/>
      <c r="K205" s="486"/>
      <c r="L205" s="507">
        <v>15666.38</v>
      </c>
      <c r="M205" s="502"/>
      <c r="N205" s="507">
        <v>-329.37438182015103</v>
      </c>
      <c r="O205" s="502"/>
      <c r="P205" s="486"/>
      <c r="Q205" s="507">
        <v>13952.53</v>
      </c>
      <c r="R205" s="502"/>
      <c r="S205" s="505">
        <v>1713.8499999999985</v>
      </c>
      <c r="T205" s="486"/>
      <c r="U205" s="486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</row>
    <row r="206" spans="1:40" ht="15.75" customHeight="1">
      <c r="A206" s="782" t="s">
        <v>352</v>
      </c>
      <c r="B206" s="486" t="s">
        <v>83</v>
      </c>
      <c r="C206" s="556" t="s">
        <v>46</v>
      </c>
      <c r="D206" s="558"/>
      <c r="E206" s="559"/>
      <c r="F206" s="524">
        <v>19448.582420186616</v>
      </c>
      <c r="G206" s="560"/>
      <c r="H206" s="559"/>
      <c r="I206" s="524"/>
      <c r="J206" s="488"/>
      <c r="K206" s="559"/>
      <c r="L206" s="524">
        <v>19320.64</v>
      </c>
      <c r="M206" s="488"/>
      <c r="N206" s="524">
        <v>-127.9424201866168</v>
      </c>
      <c r="O206" s="488"/>
      <c r="P206" s="559"/>
      <c r="Q206" s="524">
        <v>20166.349999999999</v>
      </c>
      <c r="R206" s="488"/>
      <c r="S206" s="523">
        <v>-845.70999999999913</v>
      </c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</row>
    <row r="207" spans="1:40" ht="15.75" customHeight="1">
      <c r="A207" s="782" t="s">
        <v>353</v>
      </c>
      <c r="B207" s="486" t="s">
        <v>83</v>
      </c>
      <c r="C207" s="556" t="s">
        <v>47</v>
      </c>
      <c r="D207" s="544"/>
      <c r="E207" s="486"/>
      <c r="F207" s="543">
        <v>10020.247899096146</v>
      </c>
      <c r="G207" s="545"/>
      <c r="H207" s="486"/>
      <c r="I207" s="543"/>
      <c r="J207" s="502"/>
      <c r="K207" s="486"/>
      <c r="L207" s="507">
        <v>9714.61</v>
      </c>
      <c r="M207" s="502"/>
      <c r="N207" s="507">
        <v>-305.6378990961457</v>
      </c>
      <c r="O207" s="502"/>
      <c r="P207" s="486"/>
      <c r="Q207" s="507">
        <v>10992.65</v>
      </c>
      <c r="R207" s="502"/>
      <c r="S207" s="505">
        <v>-1278.0399999999991</v>
      </c>
      <c r="T207" s="486"/>
      <c r="U207" s="486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</row>
    <row r="208" spans="1:40" ht="15.75" customHeight="1">
      <c r="A208" s="782" t="s">
        <v>354</v>
      </c>
      <c r="B208" s="486" t="s">
        <v>83</v>
      </c>
      <c r="C208" s="556" t="s">
        <v>48</v>
      </c>
      <c r="D208" s="544"/>
      <c r="E208" s="486"/>
      <c r="F208" s="543">
        <v>4368.8844567085871</v>
      </c>
      <c r="G208" s="545"/>
      <c r="H208" s="486"/>
      <c r="I208" s="543"/>
      <c r="J208" s="502"/>
      <c r="K208" s="486"/>
      <c r="L208" s="507">
        <v>3839.48</v>
      </c>
      <c r="M208" s="502"/>
      <c r="N208" s="507">
        <v>-529.40445670858708</v>
      </c>
      <c r="O208" s="502"/>
      <c r="P208" s="486"/>
      <c r="Q208" s="507">
        <v>3657.36</v>
      </c>
      <c r="R208" s="502"/>
      <c r="S208" s="505">
        <v>182.11999999999989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</row>
    <row r="209" spans="1:40" ht="15.75" hidden="1" customHeight="1">
      <c r="A209" s="782" t="s">
        <v>350</v>
      </c>
      <c r="B209" s="486" t="s">
        <v>83</v>
      </c>
      <c r="C209" s="502" t="s">
        <v>20</v>
      </c>
      <c r="D209" s="546"/>
      <c r="E209" s="561"/>
      <c r="F209" s="543">
        <v>0</v>
      </c>
      <c r="G209" s="547"/>
      <c r="H209" s="561"/>
      <c r="I209" s="543"/>
      <c r="J209" s="495"/>
      <c r="K209" s="561"/>
      <c r="L209" s="507">
        <v>0</v>
      </c>
      <c r="M209" s="495"/>
      <c r="N209" s="507">
        <v>0</v>
      </c>
      <c r="O209" s="495"/>
      <c r="P209" s="561"/>
      <c r="Q209" s="507">
        <v>0</v>
      </c>
      <c r="R209" s="495"/>
      <c r="S209" s="517">
        <v>0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</row>
    <row r="210" spans="1:40" ht="15.75" customHeight="1">
      <c r="A210" s="782" t="s">
        <v>355</v>
      </c>
      <c r="B210" s="486" t="s">
        <v>83</v>
      </c>
      <c r="C210" s="551" t="s">
        <v>49</v>
      </c>
      <c r="D210" s="552" t="s">
        <v>97</v>
      </c>
      <c r="E210" s="553">
        <v>0.55782138141380144</v>
      </c>
      <c r="F210" s="554">
        <v>116226.32707473458</v>
      </c>
      <c r="G210" s="621"/>
      <c r="H210" s="553"/>
      <c r="I210" s="554"/>
      <c r="J210" s="621" t="s">
        <v>97</v>
      </c>
      <c r="K210" s="553">
        <v>0.49291243315740885</v>
      </c>
      <c r="L210" s="554">
        <v>111783.14</v>
      </c>
      <c r="M210" s="590"/>
      <c r="N210" s="554">
        <v>-4443.187074734582</v>
      </c>
      <c r="O210" s="621" t="s">
        <v>97</v>
      </c>
      <c r="P210" s="553">
        <v>0.63896223554352527</v>
      </c>
      <c r="Q210" s="554">
        <v>117893.74</v>
      </c>
      <c r="R210" s="590"/>
      <c r="S210" s="563">
        <v>-6110.6000000000058</v>
      </c>
      <c r="T210" s="486"/>
      <c r="U210" s="486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</row>
    <row r="211" spans="1:40" ht="15.75" customHeight="1">
      <c r="A211" s="782" t="s">
        <v>356</v>
      </c>
      <c r="B211" s="486" t="s">
        <v>83</v>
      </c>
      <c r="C211" s="502" t="s">
        <v>50</v>
      </c>
      <c r="D211" s="544"/>
      <c r="E211" s="486"/>
      <c r="F211" s="543">
        <v>9744.3257822776013</v>
      </c>
      <c r="G211" s="545"/>
      <c r="H211" s="486"/>
      <c r="I211" s="543"/>
      <c r="J211" s="502"/>
      <c r="K211" s="486"/>
      <c r="L211" s="507">
        <v>10453.17</v>
      </c>
      <c r="M211" s="502"/>
      <c r="N211" s="505">
        <v>708.84421772239875</v>
      </c>
      <c r="O211" s="502"/>
      <c r="P211" s="486"/>
      <c r="Q211" s="507">
        <v>10541.92</v>
      </c>
      <c r="R211" s="502"/>
      <c r="S211" s="505">
        <v>-88.75</v>
      </c>
      <c r="T211" s="486"/>
      <c r="U211" s="486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</row>
    <row r="212" spans="1:40" ht="15.75" customHeight="1">
      <c r="A212" s="782" t="s">
        <v>357</v>
      </c>
      <c r="B212" s="486" t="s">
        <v>83</v>
      </c>
      <c r="C212" s="502" t="s">
        <v>51</v>
      </c>
      <c r="D212" s="544"/>
      <c r="E212" s="486"/>
      <c r="F212" s="543">
        <v>3422.1774033237093</v>
      </c>
      <c r="G212" s="545"/>
      <c r="H212" s="486"/>
      <c r="I212" s="543"/>
      <c r="J212" s="502"/>
      <c r="K212" s="486"/>
      <c r="L212" s="507">
        <v>4147.28</v>
      </c>
      <c r="M212" s="502"/>
      <c r="N212" s="505">
        <v>725.10259667629043</v>
      </c>
      <c r="O212" s="502"/>
      <c r="P212" s="486"/>
      <c r="Q212" s="507">
        <v>4649.09</v>
      </c>
      <c r="R212" s="502"/>
      <c r="S212" s="505">
        <v>-501.8100000000004</v>
      </c>
      <c r="T212" s="486"/>
      <c r="U212" s="782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</row>
    <row r="213" spans="1:40" ht="15.75" customHeight="1">
      <c r="A213" s="782" t="s">
        <v>358</v>
      </c>
      <c r="B213" s="486" t="s">
        <v>83</v>
      </c>
      <c r="C213" s="495" t="s">
        <v>52</v>
      </c>
      <c r="D213" s="546"/>
      <c r="E213" s="561"/>
      <c r="F213" s="497">
        <v>11083.739355555555</v>
      </c>
      <c r="G213" s="547"/>
      <c r="H213" s="561"/>
      <c r="I213" s="497"/>
      <c r="J213" s="495"/>
      <c r="K213" s="561"/>
      <c r="L213" s="507">
        <v>10331.08</v>
      </c>
      <c r="M213" s="495"/>
      <c r="N213" s="517">
        <v>-752.65935555555552</v>
      </c>
      <c r="O213" s="495"/>
      <c r="P213" s="561"/>
      <c r="Q213" s="507">
        <v>13065.45</v>
      </c>
      <c r="R213" s="495"/>
      <c r="S213" s="517">
        <v>-2734.3700000000008</v>
      </c>
      <c r="T213" s="486"/>
      <c r="U213" s="486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</row>
    <row r="214" spans="1:40" ht="15.75" customHeight="1">
      <c r="A214" s="782" t="s">
        <v>359</v>
      </c>
      <c r="B214" s="486" t="s">
        <v>83</v>
      </c>
      <c r="C214" s="502" t="s">
        <v>53</v>
      </c>
      <c r="D214" s="544"/>
      <c r="E214" s="486"/>
      <c r="F214" s="543">
        <v>4783.316137386666</v>
      </c>
      <c r="G214" s="545"/>
      <c r="H214" s="486"/>
      <c r="I214" s="543"/>
      <c r="J214" s="502"/>
      <c r="K214" s="486"/>
      <c r="L214" s="524">
        <v>4784.91</v>
      </c>
      <c r="M214" s="502"/>
      <c r="N214" s="505">
        <v>1.5938626133338403</v>
      </c>
      <c r="O214" s="502"/>
      <c r="P214" s="486"/>
      <c r="Q214" s="524">
        <v>4395.78</v>
      </c>
      <c r="R214" s="502"/>
      <c r="S214" s="505">
        <v>389.13000000000011</v>
      </c>
      <c r="T214" s="486"/>
      <c r="U214" s="486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</row>
    <row r="215" spans="1:40" ht="15.75" customHeight="1">
      <c r="A215" s="782" t="s">
        <v>360</v>
      </c>
      <c r="B215" s="486" t="s">
        <v>83</v>
      </c>
      <c r="C215" s="502" t="s">
        <v>54</v>
      </c>
      <c r="D215" s="544"/>
      <c r="E215" s="486"/>
      <c r="F215" s="543">
        <v>1050.8751805936904</v>
      </c>
      <c r="G215" s="545"/>
      <c r="H215" s="486"/>
      <c r="I215" s="543"/>
      <c r="J215" s="502"/>
      <c r="K215" s="486"/>
      <c r="L215" s="507">
        <v>1689.72</v>
      </c>
      <c r="M215" s="502"/>
      <c r="N215" s="505">
        <v>638.84481940630963</v>
      </c>
      <c r="O215" s="502"/>
      <c r="P215" s="486"/>
      <c r="Q215" s="507">
        <v>1185.33</v>
      </c>
      <c r="R215" s="502"/>
      <c r="S215" s="505">
        <v>504.3900000000001</v>
      </c>
      <c r="T215" s="486"/>
      <c r="U215" s="486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</row>
    <row r="216" spans="1:40" ht="15.75" customHeight="1">
      <c r="A216" s="782" t="s">
        <v>361</v>
      </c>
      <c r="B216" s="486" t="s">
        <v>83</v>
      </c>
      <c r="C216" s="495" t="s">
        <v>55</v>
      </c>
      <c r="D216" s="546"/>
      <c r="E216" s="561"/>
      <c r="F216" s="497">
        <v>11128.231788350371</v>
      </c>
      <c r="G216" s="547"/>
      <c r="H216" s="561"/>
      <c r="I216" s="497"/>
      <c r="J216" s="495"/>
      <c r="K216" s="561"/>
      <c r="L216" s="507">
        <v>12639.85</v>
      </c>
      <c r="M216" s="495"/>
      <c r="N216" s="517">
        <v>1511.6182116496293</v>
      </c>
      <c r="O216" s="495"/>
      <c r="P216" s="561"/>
      <c r="Q216" s="507">
        <v>9357.9699999999993</v>
      </c>
      <c r="R216" s="495"/>
      <c r="S216" s="517">
        <v>3281.880000000001</v>
      </c>
      <c r="T216" s="486"/>
      <c r="U216" s="485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</row>
    <row r="217" spans="1:40" ht="15.75" customHeight="1">
      <c r="A217" s="782" t="s">
        <v>362</v>
      </c>
      <c r="B217" s="486" t="s">
        <v>83</v>
      </c>
      <c r="C217" s="502" t="s">
        <v>98</v>
      </c>
      <c r="D217" s="544"/>
      <c r="E217" s="486"/>
      <c r="F217" s="543"/>
      <c r="G217" s="545"/>
      <c r="H217" s="486"/>
      <c r="I217" s="543"/>
      <c r="J217" s="502"/>
      <c r="K217" s="486"/>
      <c r="L217" s="524">
        <v>0</v>
      </c>
      <c r="M217" s="502"/>
      <c r="N217" s="505">
        <v>0</v>
      </c>
      <c r="O217" s="502"/>
      <c r="P217" s="486"/>
      <c r="Q217" s="524">
        <v>0</v>
      </c>
      <c r="R217" s="502"/>
      <c r="S217" s="505">
        <v>0</v>
      </c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</row>
    <row r="218" spans="1:40" ht="15.75" customHeight="1">
      <c r="A218" s="782" t="s">
        <v>363</v>
      </c>
      <c r="B218" s="486" t="s">
        <v>83</v>
      </c>
      <c r="C218" s="502" t="s">
        <v>56</v>
      </c>
      <c r="D218" s="544"/>
      <c r="E218" s="486"/>
      <c r="F218" s="543">
        <v>4769.9204222222234</v>
      </c>
      <c r="G218" s="545"/>
      <c r="H218" s="486"/>
      <c r="I218" s="543"/>
      <c r="J218" s="502"/>
      <c r="K218" s="486"/>
      <c r="L218" s="507">
        <v>1955.12</v>
      </c>
      <c r="M218" s="502"/>
      <c r="N218" s="505">
        <v>-2814.8004222222235</v>
      </c>
      <c r="O218" s="502"/>
      <c r="P218" s="486"/>
      <c r="Q218" s="507">
        <v>2780.21</v>
      </c>
      <c r="R218" s="502"/>
      <c r="S218" s="505">
        <v>-825.09000000000015</v>
      </c>
      <c r="T218" s="486"/>
      <c r="U218" s="486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</row>
    <row r="219" spans="1:40" ht="15.75" customHeight="1">
      <c r="A219" s="782" t="s">
        <v>364</v>
      </c>
      <c r="B219" s="486" t="s">
        <v>83</v>
      </c>
      <c r="C219" s="502" t="s">
        <v>57</v>
      </c>
      <c r="D219" s="544"/>
      <c r="E219" s="486"/>
      <c r="F219" s="543">
        <v>1220.4654067864171</v>
      </c>
      <c r="G219" s="545"/>
      <c r="H219" s="486"/>
      <c r="I219" s="543"/>
      <c r="J219" s="502"/>
      <c r="K219" s="486"/>
      <c r="L219" s="507">
        <v>1429.5</v>
      </c>
      <c r="M219" s="502"/>
      <c r="N219" s="505">
        <v>209.03459321358287</v>
      </c>
      <c r="O219" s="502"/>
      <c r="P219" s="486"/>
      <c r="Q219" s="507">
        <v>1811.25</v>
      </c>
      <c r="R219" s="502"/>
      <c r="S219" s="505">
        <v>-381.75</v>
      </c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</row>
    <row r="220" spans="1:40" ht="15.75" customHeight="1">
      <c r="A220" s="782" t="s">
        <v>365</v>
      </c>
      <c r="B220" s="486" t="s">
        <v>83</v>
      </c>
      <c r="C220" s="502" t="s">
        <v>58</v>
      </c>
      <c r="D220" s="544"/>
      <c r="E220" s="486"/>
      <c r="F220" s="543">
        <v>833.0541497518401</v>
      </c>
      <c r="G220" s="545"/>
      <c r="H220" s="486"/>
      <c r="I220" s="543"/>
      <c r="J220" s="502"/>
      <c r="K220" s="486"/>
      <c r="L220" s="507">
        <v>498.88</v>
      </c>
      <c r="M220" s="502"/>
      <c r="N220" s="505">
        <v>-334.1741497518401</v>
      </c>
      <c r="O220" s="502"/>
      <c r="P220" s="486"/>
      <c r="Q220" s="507">
        <v>528.83000000000004</v>
      </c>
      <c r="R220" s="502"/>
      <c r="S220" s="505">
        <v>-29.950000000000045</v>
      </c>
      <c r="T220" s="486"/>
      <c r="U220" s="486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</row>
    <row r="221" spans="1:40" ht="15.75" customHeight="1">
      <c r="A221" s="782" t="s">
        <v>366</v>
      </c>
      <c r="B221" s="486" t="s">
        <v>83</v>
      </c>
      <c r="C221" s="502" t="s">
        <v>59</v>
      </c>
      <c r="D221" s="544"/>
      <c r="E221" s="486"/>
      <c r="F221" s="543">
        <v>179.20450168848672</v>
      </c>
      <c r="G221" s="545"/>
      <c r="H221" s="486"/>
      <c r="I221" s="543"/>
      <c r="J221" s="502"/>
      <c r="K221" s="486"/>
      <c r="L221" s="507">
        <v>189.37</v>
      </c>
      <c r="M221" s="502"/>
      <c r="N221" s="505">
        <v>10.165498311513289</v>
      </c>
      <c r="O221" s="502"/>
      <c r="P221" s="486"/>
      <c r="Q221" s="507">
        <v>124.01</v>
      </c>
      <c r="R221" s="502"/>
      <c r="S221" s="505">
        <v>65.36</v>
      </c>
      <c r="T221" s="486"/>
      <c r="U221" s="486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</row>
    <row r="222" spans="1:40" ht="15.75" customHeight="1">
      <c r="A222" s="782" t="s">
        <v>367</v>
      </c>
      <c r="B222" s="486" t="s">
        <v>83</v>
      </c>
      <c r="C222" s="502" t="s">
        <v>60</v>
      </c>
      <c r="D222" s="544"/>
      <c r="E222" s="486"/>
      <c r="F222" s="543">
        <v>92.790571276313315</v>
      </c>
      <c r="G222" s="545"/>
      <c r="H222" s="486"/>
      <c r="I222" s="543"/>
      <c r="J222" s="502"/>
      <c r="K222" s="486"/>
      <c r="L222" s="507">
        <v>66.27</v>
      </c>
      <c r="M222" s="502"/>
      <c r="N222" s="505">
        <v>-26.520571276313319</v>
      </c>
      <c r="O222" s="502"/>
      <c r="P222" s="486"/>
      <c r="Q222" s="507">
        <v>24.72</v>
      </c>
      <c r="R222" s="502"/>
      <c r="S222" s="505">
        <v>41.55</v>
      </c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</row>
    <row r="223" spans="1:40" ht="15.75" customHeight="1">
      <c r="A223" s="782" t="s">
        <v>368</v>
      </c>
      <c r="B223" s="486" t="s">
        <v>83</v>
      </c>
      <c r="C223" s="502" t="s">
        <v>61</v>
      </c>
      <c r="D223" s="544"/>
      <c r="E223" s="486"/>
      <c r="F223" s="543">
        <v>152.45095187595334</v>
      </c>
      <c r="G223" s="545"/>
      <c r="H223" s="486"/>
      <c r="I223" s="543"/>
      <c r="J223" s="502"/>
      <c r="K223" s="486"/>
      <c r="L223" s="507">
        <v>47.04</v>
      </c>
      <c r="M223" s="502"/>
      <c r="N223" s="505">
        <v>-105.41095187595334</v>
      </c>
      <c r="O223" s="502"/>
      <c r="P223" s="486"/>
      <c r="Q223" s="507">
        <v>92.81</v>
      </c>
      <c r="R223" s="502"/>
      <c r="S223" s="505">
        <v>-45.77</v>
      </c>
      <c r="T223" s="486"/>
      <c r="U223" s="486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</row>
    <row r="224" spans="1:40" ht="15.75" customHeight="1">
      <c r="A224" s="782" t="s">
        <v>369</v>
      </c>
      <c r="B224" s="486" t="s">
        <v>83</v>
      </c>
      <c r="C224" s="502" t="s">
        <v>62</v>
      </c>
      <c r="D224" s="544"/>
      <c r="E224" s="486"/>
      <c r="F224" s="543">
        <v>3066.5133988524863</v>
      </c>
      <c r="G224" s="545"/>
      <c r="H224" s="486"/>
      <c r="I224" s="543"/>
      <c r="J224" s="502"/>
      <c r="K224" s="486"/>
      <c r="L224" s="507">
        <v>958.23</v>
      </c>
      <c r="M224" s="502"/>
      <c r="N224" s="505">
        <v>-2108.2833988524862</v>
      </c>
      <c r="O224" s="502"/>
      <c r="P224" s="486"/>
      <c r="Q224" s="507">
        <v>3086.75</v>
      </c>
      <c r="R224" s="502"/>
      <c r="S224" s="505">
        <v>-2128.52</v>
      </c>
      <c r="T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</row>
    <row r="225" spans="1:40" ht="15.75" customHeight="1">
      <c r="A225" s="782" t="s">
        <v>370</v>
      </c>
      <c r="B225" s="486" t="s">
        <v>83</v>
      </c>
      <c r="C225" s="502" t="s">
        <v>63</v>
      </c>
      <c r="D225" s="544"/>
      <c r="E225" s="486"/>
      <c r="F225" s="543">
        <v>1939.0455947668659</v>
      </c>
      <c r="G225" s="545"/>
      <c r="H225" s="486"/>
      <c r="I225" s="543"/>
      <c r="J225" s="502"/>
      <c r="K225" s="486"/>
      <c r="L225" s="507">
        <v>1756.85</v>
      </c>
      <c r="M225" s="502"/>
      <c r="N225" s="505">
        <v>-182.19559476686595</v>
      </c>
      <c r="O225" s="502"/>
      <c r="P225" s="486"/>
      <c r="Q225" s="507">
        <v>1678.9</v>
      </c>
      <c r="R225" s="502"/>
      <c r="S225" s="505">
        <v>77.949999999999818</v>
      </c>
      <c r="T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</row>
    <row r="226" spans="1:40" ht="15.75" hidden="1" customHeight="1">
      <c r="A226" s="782" t="s">
        <v>350</v>
      </c>
      <c r="B226" s="486" t="s">
        <v>83</v>
      </c>
      <c r="C226" s="502" t="s">
        <v>20</v>
      </c>
      <c r="D226" s="544"/>
      <c r="E226" s="486"/>
      <c r="F226" s="543">
        <v>0</v>
      </c>
      <c r="G226" s="545"/>
      <c r="H226" s="486"/>
      <c r="I226" s="543"/>
      <c r="J226" s="502"/>
      <c r="K226" s="486"/>
      <c r="L226" s="507">
        <v>0</v>
      </c>
      <c r="M226" s="502"/>
      <c r="N226" s="505">
        <v>0</v>
      </c>
      <c r="O226" s="502"/>
      <c r="P226" s="486"/>
      <c r="Q226" s="507">
        <v>0</v>
      </c>
      <c r="R226" s="502"/>
      <c r="S226" s="505">
        <v>0</v>
      </c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</row>
    <row r="227" spans="1:40" ht="15.75" hidden="1" customHeight="1">
      <c r="A227" s="782" t="s">
        <v>350</v>
      </c>
      <c r="B227" s="486" t="s">
        <v>83</v>
      </c>
      <c r="C227" s="502" t="s">
        <v>20</v>
      </c>
      <c r="D227" s="544"/>
      <c r="E227" s="486"/>
      <c r="F227" s="543">
        <v>0</v>
      </c>
      <c r="G227" s="545"/>
      <c r="H227" s="486"/>
      <c r="I227" s="543"/>
      <c r="J227" s="502"/>
      <c r="K227" s="486"/>
      <c r="L227" s="507">
        <v>0</v>
      </c>
      <c r="M227" s="502"/>
      <c r="N227" s="505">
        <v>0</v>
      </c>
      <c r="O227" s="502"/>
      <c r="P227" s="486"/>
      <c r="Q227" s="507">
        <v>0</v>
      </c>
      <c r="R227" s="502"/>
      <c r="S227" s="505">
        <v>0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</row>
    <row r="228" spans="1:40" ht="15.75" hidden="1" customHeight="1">
      <c r="A228" s="782" t="s">
        <v>350</v>
      </c>
      <c r="B228" s="486" t="s">
        <v>83</v>
      </c>
      <c r="C228" s="502" t="s">
        <v>20</v>
      </c>
      <c r="D228" s="544"/>
      <c r="E228" s="486"/>
      <c r="F228" s="543">
        <v>0</v>
      </c>
      <c r="G228" s="545"/>
      <c r="H228" s="486"/>
      <c r="I228" s="543"/>
      <c r="J228" s="502"/>
      <c r="K228" s="486"/>
      <c r="L228" s="507">
        <v>0</v>
      </c>
      <c r="M228" s="502"/>
      <c r="N228" s="505">
        <v>0</v>
      </c>
      <c r="O228" s="502"/>
      <c r="P228" s="486"/>
      <c r="Q228" s="507">
        <v>0</v>
      </c>
      <c r="R228" s="502"/>
      <c r="S228" s="505">
        <v>0</v>
      </c>
      <c r="T228" s="486"/>
      <c r="U228" s="486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</row>
    <row r="229" spans="1:40" ht="15.75" customHeight="1">
      <c r="B229" s="486"/>
      <c r="C229" s="551" t="s">
        <v>64</v>
      </c>
      <c r="D229" s="552" t="s">
        <v>97</v>
      </c>
      <c r="E229" s="553">
        <v>0.25660743524551738</v>
      </c>
      <c r="F229" s="554">
        <v>53466.110644708184</v>
      </c>
      <c r="G229" s="621"/>
      <c r="H229" s="553"/>
      <c r="I229" s="554"/>
      <c r="J229" s="621" t="s">
        <v>97</v>
      </c>
      <c r="K229" s="553">
        <v>0.22465411884500169</v>
      </c>
      <c r="L229" s="554">
        <v>50947.270000000004</v>
      </c>
      <c r="M229" s="555"/>
      <c r="N229" s="554">
        <v>-2518.8406447081798</v>
      </c>
      <c r="O229" s="621" t="s">
        <v>97</v>
      </c>
      <c r="P229" s="553">
        <v>0.2890008923725052</v>
      </c>
      <c r="Q229" s="554">
        <v>53323.020000000004</v>
      </c>
      <c r="R229" s="555"/>
      <c r="S229" s="554">
        <v>-2375.75</v>
      </c>
      <c r="T229" s="486"/>
      <c r="U229" s="486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</row>
    <row r="230" spans="1:40" ht="15.75" customHeight="1">
      <c r="B230" s="486"/>
      <c r="C230" s="495"/>
      <c r="D230" s="546"/>
      <c r="E230" s="561"/>
      <c r="F230" s="505"/>
      <c r="G230" s="547"/>
      <c r="H230" s="561"/>
      <c r="I230" s="505"/>
      <c r="J230" s="495"/>
      <c r="K230" s="561"/>
      <c r="L230" s="517"/>
      <c r="M230" s="495"/>
      <c r="N230" s="517"/>
      <c r="O230" s="495"/>
      <c r="P230" s="561"/>
      <c r="Q230" s="517"/>
      <c r="R230" s="495"/>
      <c r="S230" s="517"/>
      <c r="T230" s="486"/>
      <c r="U230" s="486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</row>
    <row r="231" spans="1:40" ht="15.75" customHeight="1">
      <c r="B231" s="486"/>
      <c r="C231" s="551" t="s">
        <v>65</v>
      </c>
      <c r="D231" s="552" t="s">
        <v>39</v>
      </c>
      <c r="E231" s="553">
        <v>0.81442881665931888</v>
      </c>
      <c r="F231" s="554">
        <v>169692.43771944277</v>
      </c>
      <c r="G231" s="621"/>
      <c r="H231" s="553"/>
      <c r="I231" s="554"/>
      <c r="J231" s="621" t="s">
        <v>39</v>
      </c>
      <c r="K231" s="553">
        <v>0.7175665520024106</v>
      </c>
      <c r="L231" s="554">
        <v>162730.41</v>
      </c>
      <c r="M231" s="555"/>
      <c r="N231" s="563">
        <v>-6962.0277194427617</v>
      </c>
      <c r="O231" s="621" t="s">
        <v>39</v>
      </c>
      <c r="P231" s="553">
        <v>0.92796312791603053</v>
      </c>
      <c r="Q231" s="554">
        <v>171216.76</v>
      </c>
      <c r="R231" s="555"/>
      <c r="S231" s="563">
        <v>-8486.3500000000058</v>
      </c>
      <c r="T231" s="486"/>
      <c r="U231" s="486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</row>
    <row r="232" spans="1:40" ht="15.75" customHeight="1">
      <c r="B232" s="486"/>
      <c r="C232" s="502"/>
      <c r="D232" s="544"/>
      <c r="E232" s="486"/>
      <c r="F232" s="505"/>
      <c r="G232" s="545"/>
      <c r="H232" s="486"/>
      <c r="I232" s="505"/>
      <c r="J232" s="502"/>
      <c r="K232" s="486"/>
      <c r="L232" s="505"/>
      <c r="M232" s="502"/>
      <c r="N232" s="505">
        <v>0</v>
      </c>
      <c r="O232" s="502"/>
      <c r="P232" s="486"/>
      <c r="Q232" s="505"/>
      <c r="R232" s="502"/>
      <c r="S232" s="505"/>
      <c r="T232" s="486"/>
      <c r="U232" s="486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</row>
    <row r="233" spans="1:40" ht="15.75" customHeight="1" thickBot="1">
      <c r="B233" s="486"/>
      <c r="C233" s="572" t="s">
        <v>72</v>
      </c>
      <c r="D233" s="595"/>
      <c r="E233" s="573"/>
      <c r="F233" s="574">
        <v>38665.167326384428</v>
      </c>
      <c r="G233" s="622"/>
      <c r="H233" s="573"/>
      <c r="I233" s="574"/>
      <c r="J233" s="572"/>
      <c r="K233" s="808"/>
      <c r="L233" s="574">
        <v>64050.51999999996</v>
      </c>
      <c r="M233" s="572"/>
      <c r="N233" s="574">
        <v>25385.352673615533</v>
      </c>
      <c r="O233" s="572"/>
      <c r="P233" s="809">
        <v>5.2932544586822811E-2</v>
      </c>
      <c r="Q233" s="574">
        <v>13291.389999999839</v>
      </c>
      <c r="R233" s="572"/>
      <c r="S233" s="574">
        <v>50759.130000000121</v>
      </c>
      <c r="T233" s="486"/>
      <c r="U233" s="486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</row>
    <row r="234" spans="1:40" ht="15.75" customHeight="1" thickTop="1">
      <c r="B234" s="486"/>
      <c r="C234" s="486"/>
      <c r="D234" s="486"/>
      <c r="E234" s="486"/>
      <c r="F234" s="486"/>
      <c r="G234" s="486"/>
      <c r="H234" s="486"/>
      <c r="I234" s="486"/>
      <c r="J234" s="486"/>
      <c r="K234" s="486"/>
      <c r="L234" s="503"/>
      <c r="M234" s="503"/>
      <c r="N234" s="486"/>
      <c r="O234" s="503"/>
      <c r="P234" s="486"/>
      <c r="Q234" s="503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</row>
    <row r="235" spans="1:40" ht="15.75" customHeight="1">
      <c r="B235" s="486"/>
      <c r="C235" s="485"/>
      <c r="D235" s="485"/>
      <c r="E235" s="485"/>
      <c r="F235" s="485"/>
      <c r="G235" s="485"/>
      <c r="H235" s="485"/>
      <c r="I235" s="485"/>
      <c r="J235" s="485"/>
      <c r="K235" s="485"/>
      <c r="L235" s="596"/>
      <c r="M235" s="596"/>
      <c r="N235" s="485"/>
      <c r="O235" s="596"/>
      <c r="P235" s="485"/>
      <c r="Q235" s="596"/>
      <c r="R235" s="485"/>
      <c r="S235" s="485"/>
      <c r="T235" s="485"/>
      <c r="U235" s="485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</row>
    <row r="236" spans="1:40" ht="33" customHeight="1">
      <c r="B236" s="486"/>
      <c r="C236" s="812" t="s">
        <v>481</v>
      </c>
      <c r="D236" s="478"/>
      <c r="E236" s="478"/>
      <c r="F236" s="478"/>
      <c r="G236" s="478"/>
      <c r="H236" s="477"/>
      <c r="I236" s="477"/>
      <c r="J236" s="477"/>
      <c r="K236" s="479" t="s">
        <v>99</v>
      </c>
      <c r="L236" s="478"/>
      <c r="M236" s="478"/>
      <c r="N236" s="477"/>
      <c r="O236" s="477"/>
      <c r="P236" s="478"/>
      <c r="Q236" s="477"/>
      <c r="R236" s="478"/>
      <c r="S236" s="481" t="s">
        <v>473</v>
      </c>
      <c r="T236" s="478"/>
      <c r="U236" s="477"/>
      <c r="V236" s="485"/>
      <c r="W236" s="485"/>
      <c r="X236" s="485"/>
      <c r="Y236" s="485"/>
      <c r="Z236" s="485"/>
      <c r="AA236" s="485"/>
      <c r="AB236" s="485"/>
      <c r="AC236" s="485"/>
      <c r="AD236" s="485"/>
      <c r="AE236" s="485"/>
      <c r="AF236" s="485"/>
      <c r="AG236" s="485"/>
      <c r="AH236" s="485"/>
      <c r="AI236" s="485"/>
      <c r="AJ236" s="485"/>
      <c r="AK236" s="485"/>
      <c r="AL236" s="485"/>
      <c r="AM236" s="485"/>
      <c r="AN236" s="485"/>
    </row>
    <row r="237" spans="1:40" ht="24" customHeight="1" thickBot="1">
      <c r="B237" s="486"/>
      <c r="C237" s="483"/>
      <c r="D237" s="485"/>
      <c r="E237" s="485"/>
      <c r="F237" s="485"/>
      <c r="G237" s="485"/>
      <c r="H237" s="485"/>
      <c r="I237" s="485"/>
      <c r="J237" s="485"/>
      <c r="K237" s="485"/>
      <c r="L237" s="485"/>
      <c r="M237" s="485"/>
      <c r="N237" s="485"/>
      <c r="O237" s="485"/>
      <c r="P237" s="485"/>
      <c r="Q237" s="485"/>
      <c r="R237" s="485"/>
      <c r="S237" s="485"/>
      <c r="T237" s="485"/>
      <c r="U237" s="485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</row>
    <row r="238" spans="1:40" ht="15.75" customHeight="1" thickTop="1">
      <c r="B238" s="486"/>
      <c r="C238" s="487"/>
      <c r="D238" s="883" t="s">
        <v>5</v>
      </c>
      <c r="E238" s="884"/>
      <c r="F238" s="885"/>
      <c r="G238" s="886"/>
      <c r="H238" s="884"/>
      <c r="I238" s="885"/>
      <c r="J238" s="886" t="s">
        <v>7</v>
      </c>
      <c r="K238" s="884"/>
      <c r="L238" s="885"/>
      <c r="M238" s="886" t="s">
        <v>220</v>
      </c>
      <c r="N238" s="885"/>
      <c r="O238" s="883" t="s">
        <v>8</v>
      </c>
      <c r="P238" s="884"/>
      <c r="Q238" s="885"/>
      <c r="R238" s="886" t="s">
        <v>221</v>
      </c>
      <c r="S238" s="885"/>
      <c r="T238" s="592"/>
      <c r="U238" s="486"/>
      <c r="V238" s="485"/>
      <c r="W238" s="485"/>
      <c r="X238" s="485"/>
      <c r="Y238" s="485"/>
      <c r="Z238" s="485"/>
      <c r="AA238" s="485"/>
      <c r="AB238" s="485"/>
      <c r="AC238" s="485"/>
      <c r="AD238" s="485"/>
      <c r="AE238" s="485"/>
      <c r="AF238" s="485"/>
      <c r="AG238" s="485"/>
      <c r="AH238" s="485"/>
      <c r="AI238" s="485"/>
      <c r="AJ238" s="485"/>
      <c r="AK238" s="485"/>
      <c r="AL238" s="485"/>
      <c r="AM238" s="485"/>
      <c r="AN238" s="485"/>
    </row>
    <row r="239" spans="1:40" ht="15.75" customHeight="1">
      <c r="A239" s="782" t="s">
        <v>99</v>
      </c>
      <c r="B239" s="486" t="s">
        <v>99</v>
      </c>
      <c r="C239" s="502"/>
      <c r="D239" s="541" t="s">
        <v>40</v>
      </c>
      <c r="E239" s="541" t="s">
        <v>84</v>
      </c>
      <c r="F239" s="494" t="s">
        <v>12</v>
      </c>
      <c r="G239" s="493"/>
      <c r="H239" s="541"/>
      <c r="I239" s="494"/>
      <c r="J239" s="493" t="s">
        <v>40</v>
      </c>
      <c r="K239" s="541" t="s">
        <v>84</v>
      </c>
      <c r="L239" s="494" t="s">
        <v>12</v>
      </c>
      <c r="M239" s="493" t="s">
        <v>40</v>
      </c>
      <c r="N239" s="494" t="s">
        <v>223</v>
      </c>
      <c r="O239" s="541" t="s">
        <v>40</v>
      </c>
      <c r="P239" s="541" t="s">
        <v>84</v>
      </c>
      <c r="Q239" s="494" t="s">
        <v>12</v>
      </c>
      <c r="R239" s="493" t="s">
        <v>85</v>
      </c>
      <c r="S239" s="494" t="s">
        <v>12</v>
      </c>
      <c r="T239" s="541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</row>
    <row r="240" spans="1:40" ht="15.75" customHeight="1">
      <c r="A240" s="782" t="s">
        <v>99</v>
      </c>
      <c r="B240" s="486" t="s">
        <v>99</v>
      </c>
      <c r="C240" s="502"/>
      <c r="D240" s="541"/>
      <c r="E240" s="541"/>
      <c r="F240" s="494"/>
      <c r="G240" s="493"/>
      <c r="H240" s="541"/>
      <c r="I240" s="494"/>
      <c r="J240" s="493"/>
      <c r="K240" s="543"/>
      <c r="L240" s="507"/>
      <c r="M240" s="493"/>
      <c r="N240" s="494"/>
      <c r="O240" s="541"/>
      <c r="P240" s="541"/>
      <c r="Q240" s="494"/>
      <c r="R240" s="493"/>
      <c r="S240" s="494"/>
      <c r="T240" s="541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</row>
    <row r="241" spans="1:40" ht="15.75" customHeight="1">
      <c r="A241" s="782" t="s">
        <v>371</v>
      </c>
      <c r="B241" s="486" t="s">
        <v>99</v>
      </c>
      <c r="C241" s="502" t="s">
        <v>100</v>
      </c>
      <c r="D241" s="623">
        <v>0</v>
      </c>
      <c r="E241" s="503">
        <v>66000</v>
      </c>
      <c r="F241" s="503">
        <v>14520</v>
      </c>
      <c r="G241" s="624"/>
      <c r="H241" s="503"/>
      <c r="I241" s="503"/>
      <c r="J241" s="504">
        <v>6</v>
      </c>
      <c r="K241" s="543">
        <v>14368.83</v>
      </c>
      <c r="L241" s="507">
        <v>3584.99</v>
      </c>
      <c r="M241" s="587">
        <v>-0.78229045454545454</v>
      </c>
      <c r="N241" s="505">
        <v>-10935.01</v>
      </c>
      <c r="O241" s="504">
        <v>0</v>
      </c>
      <c r="P241" s="543">
        <v>502.19</v>
      </c>
      <c r="Q241" s="507">
        <v>502.19</v>
      </c>
      <c r="R241" s="587">
        <v>0</v>
      </c>
      <c r="S241" s="505">
        <v>3082.7999999999997</v>
      </c>
      <c r="T241" s="541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</row>
    <row r="242" spans="1:40" ht="15.75" customHeight="1">
      <c r="A242" s="782" t="s">
        <v>372</v>
      </c>
      <c r="B242" s="486" t="s">
        <v>99</v>
      </c>
      <c r="C242" s="502" t="s">
        <v>87</v>
      </c>
      <c r="D242" s="541"/>
      <c r="E242" s="584"/>
      <c r="F242" s="597">
        <v>0.22</v>
      </c>
      <c r="G242" s="502"/>
      <c r="H242" s="584"/>
      <c r="I242" s="597"/>
      <c r="J242" s="504"/>
      <c r="K242" s="486"/>
      <c r="L242" s="597">
        <v>0.24949769744648659</v>
      </c>
      <c r="M242" s="587"/>
      <c r="N242" s="505">
        <v>13978.196891528896</v>
      </c>
      <c r="O242" s="504"/>
      <c r="P242" s="486"/>
      <c r="Q242" s="597">
        <v>1</v>
      </c>
      <c r="R242" s="504"/>
      <c r="S242" s="505">
        <v>0</v>
      </c>
      <c r="T242" s="541"/>
      <c r="U242" s="486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</row>
    <row r="243" spans="1:40" ht="15.75" customHeight="1">
      <c r="A243" s="782" t="s">
        <v>99</v>
      </c>
      <c r="B243" s="486" t="s">
        <v>99</v>
      </c>
      <c r="C243" s="502"/>
      <c r="D243" s="541"/>
      <c r="E243" s="625"/>
      <c r="F243" s="579"/>
      <c r="G243" s="493"/>
      <c r="H243" s="625"/>
      <c r="I243" s="579"/>
      <c r="J243" s="493"/>
      <c r="K243" s="541"/>
      <c r="L243" s="494"/>
      <c r="M243" s="493"/>
      <c r="N243" s="494"/>
      <c r="O243" s="493"/>
      <c r="P243" s="541"/>
      <c r="Q243" s="494"/>
      <c r="R243" s="578"/>
      <c r="S243" s="494"/>
      <c r="T243" s="541"/>
      <c r="U243" s="486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</row>
    <row r="244" spans="1:40" ht="15.75" customHeight="1">
      <c r="A244" s="782" t="s">
        <v>373</v>
      </c>
      <c r="B244" s="486" t="s">
        <v>99</v>
      </c>
      <c r="C244" s="488" t="s">
        <v>101</v>
      </c>
      <c r="D244" s="522">
        <v>0</v>
      </c>
      <c r="E244" s="503">
        <v>0</v>
      </c>
      <c r="F244" s="503">
        <v>0</v>
      </c>
      <c r="G244" s="626"/>
      <c r="H244" s="503"/>
      <c r="I244" s="503"/>
      <c r="J244" s="600">
        <v>0</v>
      </c>
      <c r="K244" s="589">
        <v>0</v>
      </c>
      <c r="L244" s="524">
        <v>0</v>
      </c>
      <c r="M244" s="603">
        <v>0</v>
      </c>
      <c r="N244" s="523">
        <v>0</v>
      </c>
      <c r="O244" s="600">
        <v>0</v>
      </c>
      <c r="P244" s="589">
        <v>0</v>
      </c>
      <c r="Q244" s="524">
        <v>0</v>
      </c>
      <c r="R244" s="587">
        <v>0</v>
      </c>
      <c r="S244" s="523">
        <v>0</v>
      </c>
      <c r="T244" s="591"/>
      <c r="U244" s="486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</row>
    <row r="245" spans="1:40" ht="15.75" customHeight="1">
      <c r="A245" s="782" t="s">
        <v>372</v>
      </c>
      <c r="B245" s="486" t="s">
        <v>99</v>
      </c>
      <c r="C245" s="502" t="s">
        <v>87</v>
      </c>
      <c r="D245" s="486"/>
      <c r="E245" s="584"/>
      <c r="F245" s="597" t="e">
        <v>#DIV/0!</v>
      </c>
      <c r="G245" s="502"/>
      <c r="H245" s="584"/>
      <c r="I245" s="597"/>
      <c r="J245" s="504"/>
      <c r="K245" s="486"/>
      <c r="L245" s="597">
        <v>0</v>
      </c>
      <c r="M245" s="587"/>
      <c r="N245" s="505">
        <v>0</v>
      </c>
      <c r="O245" s="504"/>
      <c r="P245" s="486"/>
      <c r="Q245" s="597">
        <v>0</v>
      </c>
      <c r="R245" s="504"/>
      <c r="S245" s="505">
        <v>0</v>
      </c>
      <c r="T245" s="591"/>
      <c r="U245" s="486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</row>
    <row r="246" spans="1:40" ht="15.75" customHeight="1">
      <c r="A246" s="782" t="s">
        <v>99</v>
      </c>
      <c r="B246" s="486" t="s">
        <v>99</v>
      </c>
      <c r="C246" s="495"/>
      <c r="D246" s="561"/>
      <c r="E246" s="627"/>
      <c r="F246" s="599"/>
      <c r="G246" s="495"/>
      <c r="H246" s="627"/>
      <c r="I246" s="599"/>
      <c r="J246" s="521"/>
      <c r="K246" s="628"/>
      <c r="L246" s="599"/>
      <c r="M246" s="588"/>
      <c r="N246" s="517"/>
      <c r="O246" s="521"/>
      <c r="P246" s="628"/>
      <c r="Q246" s="599"/>
      <c r="R246" s="521"/>
      <c r="S246" s="517"/>
      <c r="T246" s="591"/>
      <c r="U246" s="486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</row>
    <row r="247" spans="1:40" ht="15.75" customHeight="1">
      <c r="A247" s="782" t="s">
        <v>374</v>
      </c>
      <c r="B247" s="486" t="s">
        <v>99</v>
      </c>
      <c r="C247" s="488" t="s">
        <v>102</v>
      </c>
      <c r="D247" s="522">
        <v>0</v>
      </c>
      <c r="E247" s="503">
        <v>0</v>
      </c>
      <c r="F247" s="503">
        <v>0</v>
      </c>
      <c r="G247" s="600"/>
      <c r="H247" s="503"/>
      <c r="I247" s="503"/>
      <c r="J247" s="600">
        <v>0</v>
      </c>
      <c r="K247" s="543">
        <v>0</v>
      </c>
      <c r="L247" s="507">
        <v>0</v>
      </c>
      <c r="M247" s="587">
        <v>0</v>
      </c>
      <c r="N247" s="523">
        <v>0</v>
      </c>
      <c r="O247" s="600">
        <v>0</v>
      </c>
      <c r="P247" s="543">
        <v>0</v>
      </c>
      <c r="Q247" s="507">
        <v>0</v>
      </c>
      <c r="R247" s="587">
        <v>0</v>
      </c>
      <c r="S247" s="505">
        <v>0</v>
      </c>
      <c r="T247" s="591"/>
      <c r="U247" s="486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</row>
    <row r="248" spans="1:40" ht="15.75" customHeight="1">
      <c r="A248" s="782" t="s">
        <v>372</v>
      </c>
      <c r="B248" s="486" t="s">
        <v>99</v>
      </c>
      <c r="C248" s="502" t="s">
        <v>87</v>
      </c>
      <c r="D248" s="486"/>
      <c r="E248" s="486"/>
      <c r="F248" s="597" t="e">
        <v>#DIV/0!</v>
      </c>
      <c r="G248" s="502"/>
      <c r="H248" s="486"/>
      <c r="I248" s="597"/>
      <c r="J248" s="502"/>
      <c r="K248" s="486"/>
      <c r="L248" s="597">
        <v>0</v>
      </c>
      <c r="M248" s="513"/>
      <c r="N248" s="514">
        <v>0</v>
      </c>
      <c r="O248" s="502"/>
      <c r="P248" s="486"/>
      <c r="Q248" s="597">
        <v>0</v>
      </c>
      <c r="R248" s="513"/>
      <c r="S248" s="514">
        <v>0</v>
      </c>
      <c r="T248" s="591"/>
      <c r="U248" s="486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</row>
    <row r="249" spans="1:40" ht="15.75" customHeight="1" thickBot="1">
      <c r="A249" s="782" t="s">
        <v>99</v>
      </c>
      <c r="B249" s="486" t="s">
        <v>99</v>
      </c>
      <c r="C249" s="502"/>
      <c r="D249" s="486"/>
      <c r="E249" s="486"/>
      <c r="F249" s="597"/>
      <c r="G249" s="502"/>
      <c r="H249" s="486"/>
      <c r="I249" s="597"/>
      <c r="J249" s="502"/>
      <c r="K249" s="486"/>
      <c r="L249" s="597"/>
      <c r="M249" s="513"/>
      <c r="N249" s="514"/>
      <c r="O249" s="502"/>
      <c r="P249" s="486"/>
      <c r="Q249" s="597"/>
      <c r="R249" s="513"/>
      <c r="S249" s="514"/>
      <c r="T249" s="591"/>
      <c r="U249" s="486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</row>
    <row r="250" spans="1:40" ht="15.75" customHeight="1" thickTop="1">
      <c r="A250" s="782" t="s">
        <v>375</v>
      </c>
      <c r="B250" s="486" t="s">
        <v>99</v>
      </c>
      <c r="C250" s="528" t="s">
        <v>96</v>
      </c>
      <c r="D250" s="529"/>
      <c r="E250" s="529">
        <v>66000</v>
      </c>
      <c r="F250" s="531">
        <v>14520</v>
      </c>
      <c r="G250" s="532"/>
      <c r="H250" s="529"/>
      <c r="I250" s="531"/>
      <c r="J250" s="532"/>
      <c r="K250" s="529">
        <v>14368.83</v>
      </c>
      <c r="L250" s="531">
        <v>3584.99</v>
      </c>
      <c r="M250" s="629">
        <v>2.9497697446486587E-2</v>
      </c>
      <c r="N250" s="531">
        <v>-10935.01</v>
      </c>
      <c r="O250" s="532"/>
      <c r="P250" s="529">
        <v>502.19</v>
      </c>
      <c r="Q250" s="531">
        <v>502.19</v>
      </c>
      <c r="R250" s="827">
        <v>-0.75050230255351336</v>
      </c>
      <c r="S250" s="531">
        <v>3082.7999999999997</v>
      </c>
      <c r="T250" s="591"/>
      <c r="U250" s="486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</row>
    <row r="251" spans="1:40" ht="23.25" customHeight="1" thickBot="1">
      <c r="A251" s="782" t="s">
        <v>99</v>
      </c>
      <c r="B251" s="486" t="s">
        <v>99</v>
      </c>
      <c r="C251" s="533"/>
      <c r="D251" s="534"/>
      <c r="E251" s="534"/>
      <c r="F251" s="536">
        <v>0.22</v>
      </c>
      <c r="G251" s="533"/>
      <c r="H251" s="534"/>
      <c r="I251" s="536"/>
      <c r="J251" s="533"/>
      <c r="K251" s="534"/>
      <c r="L251" s="536">
        <v>0.24949769744648659</v>
      </c>
      <c r="M251" s="537"/>
      <c r="N251" s="536">
        <v>-0.7530998622589532</v>
      </c>
      <c r="O251" s="533"/>
      <c r="P251" s="534"/>
      <c r="Q251" s="536">
        <v>1</v>
      </c>
      <c r="R251" s="537"/>
      <c r="S251" s="536">
        <v>6.138712439514924</v>
      </c>
      <c r="T251" s="591"/>
      <c r="U251" s="486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</row>
    <row r="252" spans="1:40" ht="15.75" customHeight="1" thickTop="1">
      <c r="A252" s="782" t="s">
        <v>99</v>
      </c>
      <c r="B252" s="486" t="s">
        <v>99</v>
      </c>
      <c r="C252" s="502"/>
      <c r="D252" s="486"/>
      <c r="E252" s="486"/>
      <c r="F252" s="505"/>
      <c r="G252" s="502"/>
      <c r="H252" s="486"/>
      <c r="I252" s="505"/>
      <c r="J252" s="502"/>
      <c r="K252" s="486"/>
      <c r="L252" s="527"/>
      <c r="M252" s="502"/>
      <c r="N252" s="527"/>
      <c r="O252" s="502"/>
      <c r="P252" s="486"/>
      <c r="Q252" s="527"/>
      <c r="R252" s="502"/>
      <c r="S252" s="527"/>
      <c r="T252" s="486"/>
      <c r="U252" s="486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</row>
    <row r="253" spans="1:40" ht="15.75" customHeight="1">
      <c r="A253" s="782" t="s">
        <v>376</v>
      </c>
      <c r="B253" s="486" t="s">
        <v>99</v>
      </c>
      <c r="C253" s="540" t="s">
        <v>30</v>
      </c>
      <c r="D253" s="486"/>
      <c r="E253" s="486"/>
      <c r="F253" s="505"/>
      <c r="G253" s="502"/>
      <c r="H253" s="486"/>
      <c r="I253" s="505"/>
      <c r="J253" s="502"/>
      <c r="K253" s="486"/>
      <c r="L253" s="527"/>
      <c r="M253" s="502"/>
      <c r="N253" s="527"/>
      <c r="O253" s="502"/>
      <c r="P253" s="486"/>
      <c r="Q253" s="527"/>
      <c r="R253" s="502"/>
      <c r="S253" s="527"/>
      <c r="T253" s="486"/>
      <c r="U253" s="486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</row>
    <row r="254" spans="1:40" ht="15.75" customHeight="1">
      <c r="A254" s="782" t="s">
        <v>377</v>
      </c>
      <c r="B254" s="486" t="s">
        <v>99</v>
      </c>
      <c r="C254" s="556" t="s">
        <v>41</v>
      </c>
      <c r="D254" s="486"/>
      <c r="E254" s="486"/>
      <c r="F254" s="543">
        <v>297.32500000000005</v>
      </c>
      <c r="G254" s="502"/>
      <c r="H254" s="486"/>
      <c r="I254" s="543"/>
      <c r="J254" s="502"/>
      <c r="K254" s="486"/>
      <c r="L254" s="507">
        <v>901.88</v>
      </c>
      <c r="M254" s="502"/>
      <c r="N254" s="505">
        <v>604.55499999999995</v>
      </c>
      <c r="O254" s="502"/>
      <c r="P254" s="486"/>
      <c r="Q254" s="507">
        <v>901.88</v>
      </c>
      <c r="R254" s="502"/>
      <c r="S254" s="507">
        <v>0</v>
      </c>
      <c r="T254" s="486"/>
      <c r="U254" s="486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</row>
    <row r="255" spans="1:40" ht="15.75" customHeight="1">
      <c r="A255" s="782" t="s">
        <v>378</v>
      </c>
      <c r="B255" s="486" t="s">
        <v>99</v>
      </c>
      <c r="C255" s="557" t="s">
        <v>42</v>
      </c>
      <c r="D255" s="544"/>
      <c r="E255" s="486"/>
      <c r="F255" s="497">
        <v>4847.8046153846153</v>
      </c>
      <c r="G255" s="545"/>
      <c r="H255" s="486"/>
      <c r="I255" s="497"/>
      <c r="J255" s="502"/>
      <c r="K255" s="486"/>
      <c r="L255" s="507">
        <v>3859.88</v>
      </c>
      <c r="M255" s="502"/>
      <c r="N255" s="505">
        <v>-987.92461538461521</v>
      </c>
      <c r="O255" s="502"/>
      <c r="P255" s="486"/>
      <c r="Q255" s="507">
        <v>198.91</v>
      </c>
      <c r="R255" s="502"/>
      <c r="S255" s="505">
        <v>3660.9700000000003</v>
      </c>
      <c r="T255" s="486"/>
      <c r="U255" s="486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</row>
    <row r="256" spans="1:40" ht="15.75" customHeight="1">
      <c r="A256" s="782" t="s">
        <v>379</v>
      </c>
      <c r="B256" s="486" t="s">
        <v>99</v>
      </c>
      <c r="C256" s="556" t="s">
        <v>43</v>
      </c>
      <c r="D256" s="558"/>
      <c r="E256" s="559"/>
      <c r="F256" s="543">
        <v>17.530769230769231</v>
      </c>
      <c r="G256" s="560"/>
      <c r="H256" s="559"/>
      <c r="I256" s="543"/>
      <c r="J256" s="488"/>
      <c r="K256" s="559"/>
      <c r="L256" s="524">
        <v>0.08</v>
      </c>
      <c r="M256" s="488"/>
      <c r="N256" s="523">
        <v>-17.450769230769232</v>
      </c>
      <c r="O256" s="488"/>
      <c r="P256" s="559"/>
      <c r="Q256" s="524">
        <v>0.08</v>
      </c>
      <c r="R256" s="488"/>
      <c r="S256" s="523">
        <v>0</v>
      </c>
      <c r="T256" s="486"/>
      <c r="U256" s="486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</row>
    <row r="257" spans="1:40" ht="15.75" customHeight="1">
      <c r="A257" s="782" t="s">
        <v>380</v>
      </c>
      <c r="B257" s="486" t="s">
        <v>99</v>
      </c>
      <c r="C257" s="556" t="s">
        <v>44</v>
      </c>
      <c r="D257" s="544"/>
      <c r="E257" s="486"/>
      <c r="F257" s="543">
        <v>0</v>
      </c>
      <c r="G257" s="545"/>
      <c r="H257" s="486"/>
      <c r="I257" s="543"/>
      <c r="J257" s="502"/>
      <c r="K257" s="486"/>
      <c r="L257" s="507">
        <v>0</v>
      </c>
      <c r="M257" s="502"/>
      <c r="N257" s="505">
        <v>0</v>
      </c>
      <c r="O257" s="502"/>
      <c r="P257" s="486"/>
      <c r="Q257" s="507">
        <v>0</v>
      </c>
      <c r="R257" s="502"/>
      <c r="S257" s="505">
        <v>0</v>
      </c>
      <c r="T257" s="486"/>
      <c r="U257" s="486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</row>
    <row r="258" spans="1:40" ht="15.75" hidden="1" customHeight="1">
      <c r="A258" s="782" t="s">
        <v>381</v>
      </c>
      <c r="B258" s="486" t="s">
        <v>99</v>
      </c>
      <c r="C258" s="502" t="s">
        <v>20</v>
      </c>
      <c r="D258" s="544"/>
      <c r="E258" s="486"/>
      <c r="F258" s="543">
        <v>0</v>
      </c>
      <c r="G258" s="545"/>
      <c r="H258" s="486"/>
      <c r="I258" s="543"/>
      <c r="J258" s="502"/>
      <c r="K258" s="486"/>
      <c r="L258" s="507">
        <v>0</v>
      </c>
      <c r="M258" s="502"/>
      <c r="N258" s="505">
        <v>0</v>
      </c>
      <c r="O258" s="502"/>
      <c r="P258" s="486"/>
      <c r="Q258" s="507">
        <v>0</v>
      </c>
      <c r="R258" s="502"/>
      <c r="S258" s="505">
        <v>0</v>
      </c>
      <c r="T258" s="486"/>
      <c r="U258" s="486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</row>
    <row r="259" spans="1:40" ht="15.75" hidden="1" customHeight="1">
      <c r="A259" s="782" t="s">
        <v>381</v>
      </c>
      <c r="B259" s="486" t="s">
        <v>99</v>
      </c>
      <c r="C259" s="502" t="s">
        <v>20</v>
      </c>
      <c r="D259" s="544"/>
      <c r="E259" s="486"/>
      <c r="F259" s="543">
        <v>0</v>
      </c>
      <c r="G259" s="545"/>
      <c r="H259" s="486"/>
      <c r="I259" s="543"/>
      <c r="J259" s="502"/>
      <c r="K259" s="486"/>
      <c r="L259" s="507">
        <v>0</v>
      </c>
      <c r="M259" s="502"/>
      <c r="N259" s="505">
        <v>0</v>
      </c>
      <c r="O259" s="502"/>
      <c r="P259" s="486"/>
      <c r="Q259" s="507">
        <v>0</v>
      </c>
      <c r="R259" s="502"/>
      <c r="S259" s="505">
        <v>0</v>
      </c>
      <c r="T259" s="486"/>
      <c r="U259" s="486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</row>
    <row r="260" spans="1:40" ht="15.75" hidden="1" customHeight="1">
      <c r="A260" s="782" t="s">
        <v>381</v>
      </c>
      <c r="B260" s="486" t="s">
        <v>99</v>
      </c>
      <c r="C260" s="502" t="s">
        <v>20</v>
      </c>
      <c r="D260" s="544"/>
      <c r="E260" s="486"/>
      <c r="F260" s="543">
        <v>0</v>
      </c>
      <c r="G260" s="545"/>
      <c r="H260" s="486"/>
      <c r="I260" s="543"/>
      <c r="J260" s="502"/>
      <c r="K260" s="486"/>
      <c r="L260" s="507">
        <v>0</v>
      </c>
      <c r="M260" s="502"/>
      <c r="N260" s="505">
        <v>0</v>
      </c>
      <c r="O260" s="502"/>
      <c r="P260" s="486"/>
      <c r="Q260" s="507">
        <v>0</v>
      </c>
      <c r="R260" s="502"/>
      <c r="S260" s="505">
        <v>0</v>
      </c>
      <c r="T260" s="486"/>
      <c r="U260" s="486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</row>
    <row r="261" spans="1:40" ht="15.75" customHeight="1">
      <c r="A261" s="782" t="s">
        <v>382</v>
      </c>
      <c r="B261" s="486" t="s">
        <v>99</v>
      </c>
      <c r="C261" s="557" t="s">
        <v>45</v>
      </c>
      <c r="D261" s="544"/>
      <c r="E261" s="486"/>
      <c r="F261" s="497">
        <v>619.8155113461537</v>
      </c>
      <c r="G261" s="545"/>
      <c r="H261" s="486"/>
      <c r="I261" s="497"/>
      <c r="J261" s="502"/>
      <c r="K261" s="486"/>
      <c r="L261" s="507">
        <v>567.5</v>
      </c>
      <c r="M261" s="502"/>
      <c r="N261" s="505">
        <v>-52.315511346153698</v>
      </c>
      <c r="O261" s="502"/>
      <c r="P261" s="486"/>
      <c r="Q261" s="507">
        <v>1128.79</v>
      </c>
      <c r="R261" s="502"/>
      <c r="S261" s="505">
        <v>-561.29</v>
      </c>
      <c r="T261" s="486"/>
      <c r="U261" s="486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</row>
    <row r="262" spans="1:40" ht="15.75" customHeight="1">
      <c r="A262" s="782" t="s">
        <v>383</v>
      </c>
      <c r="B262" s="486" t="s">
        <v>99</v>
      </c>
      <c r="C262" s="556" t="s">
        <v>46</v>
      </c>
      <c r="D262" s="558"/>
      <c r="E262" s="559"/>
      <c r="F262" s="543">
        <v>753.60828692307689</v>
      </c>
      <c r="G262" s="560"/>
      <c r="H262" s="559"/>
      <c r="I262" s="543"/>
      <c r="J262" s="488"/>
      <c r="K262" s="559"/>
      <c r="L262" s="524">
        <v>1253.82</v>
      </c>
      <c r="M262" s="488"/>
      <c r="N262" s="523">
        <v>500.21171307692305</v>
      </c>
      <c r="O262" s="488"/>
      <c r="P262" s="559"/>
      <c r="Q262" s="524">
        <v>811.68</v>
      </c>
      <c r="R262" s="488"/>
      <c r="S262" s="523">
        <v>442.14</v>
      </c>
      <c r="T262" s="486"/>
      <c r="U262" s="486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</row>
    <row r="263" spans="1:40" ht="15.75" customHeight="1">
      <c r="A263" s="782" t="s">
        <v>384</v>
      </c>
      <c r="B263" s="486" t="s">
        <v>99</v>
      </c>
      <c r="C263" s="556" t="s">
        <v>47</v>
      </c>
      <c r="D263" s="544"/>
      <c r="E263" s="486"/>
      <c r="F263" s="543">
        <v>388.27209565384607</v>
      </c>
      <c r="G263" s="545"/>
      <c r="H263" s="486"/>
      <c r="I263" s="543"/>
      <c r="J263" s="502"/>
      <c r="K263" s="486"/>
      <c r="L263" s="507">
        <v>-396.90000000000003</v>
      </c>
      <c r="M263" s="502"/>
      <c r="N263" s="505">
        <v>-785.1720956538461</v>
      </c>
      <c r="O263" s="502"/>
      <c r="P263" s="486"/>
      <c r="Q263" s="507">
        <v>-0.25</v>
      </c>
      <c r="R263" s="502"/>
      <c r="S263" s="505">
        <v>-396.65000000000003</v>
      </c>
      <c r="T263" s="486"/>
      <c r="U263" s="486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</row>
    <row r="264" spans="1:40" ht="15.75" customHeight="1">
      <c r="A264" s="782" t="s">
        <v>385</v>
      </c>
      <c r="B264" s="486" t="s">
        <v>99</v>
      </c>
      <c r="C264" s="556" t="s">
        <v>48</v>
      </c>
      <c r="D264" s="544"/>
      <c r="E264" s="486"/>
      <c r="F264" s="543">
        <v>169.28881807692304</v>
      </c>
      <c r="G264" s="545"/>
      <c r="H264" s="486"/>
      <c r="I264" s="543"/>
      <c r="J264" s="502"/>
      <c r="K264" s="486"/>
      <c r="L264" s="507">
        <v>131.69999999999999</v>
      </c>
      <c r="M264" s="502"/>
      <c r="N264" s="505">
        <v>-37.588818076923047</v>
      </c>
      <c r="O264" s="502"/>
      <c r="P264" s="486"/>
      <c r="Q264" s="507">
        <v>24.4</v>
      </c>
      <c r="R264" s="502"/>
      <c r="S264" s="505">
        <v>107.29999999999998</v>
      </c>
      <c r="T264" s="486"/>
      <c r="U264" s="486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</row>
    <row r="265" spans="1:40" ht="15.75" hidden="1" customHeight="1">
      <c r="A265" s="782" t="s">
        <v>381</v>
      </c>
      <c r="B265" s="486" t="s">
        <v>99</v>
      </c>
      <c r="C265" s="502" t="s">
        <v>20</v>
      </c>
      <c r="D265" s="546"/>
      <c r="E265" s="561"/>
      <c r="F265" s="543">
        <v>0</v>
      </c>
      <c r="G265" s="547"/>
      <c r="H265" s="561"/>
      <c r="I265" s="543"/>
      <c r="J265" s="495"/>
      <c r="K265" s="561"/>
      <c r="L265" s="507">
        <v>0</v>
      </c>
      <c r="M265" s="495"/>
      <c r="N265" s="517">
        <v>0</v>
      </c>
      <c r="O265" s="495"/>
      <c r="P265" s="561"/>
      <c r="Q265" s="507">
        <v>0</v>
      </c>
      <c r="R265" s="495"/>
      <c r="S265" s="517">
        <v>0</v>
      </c>
      <c r="T265" s="486"/>
      <c r="U265" s="486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</row>
    <row r="266" spans="1:40" ht="15.75" customHeight="1">
      <c r="A266" s="782" t="s">
        <v>386</v>
      </c>
      <c r="B266" s="486" t="s">
        <v>99</v>
      </c>
      <c r="C266" s="551" t="s">
        <v>49</v>
      </c>
      <c r="D266" s="552" t="s">
        <v>39</v>
      </c>
      <c r="E266" s="553">
        <v>0.488543050731087</v>
      </c>
      <c r="F266" s="554">
        <v>7093.6450966153834</v>
      </c>
      <c r="G266" s="621"/>
      <c r="H266" s="553"/>
      <c r="I266" s="554"/>
      <c r="J266" s="621" t="s">
        <v>39</v>
      </c>
      <c r="K266" s="553">
        <v>1.7623368544961076</v>
      </c>
      <c r="L266" s="554">
        <v>6317.96</v>
      </c>
      <c r="M266" s="590"/>
      <c r="N266" s="563">
        <v>-775.68509661538337</v>
      </c>
      <c r="O266" s="621" t="s">
        <v>39</v>
      </c>
      <c r="P266" s="553">
        <v>0</v>
      </c>
      <c r="Q266" s="554">
        <v>3065.49</v>
      </c>
      <c r="R266" s="590"/>
      <c r="S266" s="563">
        <v>3252.4700000000003</v>
      </c>
      <c r="T266" s="486"/>
      <c r="U266" s="486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</row>
    <row r="267" spans="1:40" ht="15.75" customHeight="1">
      <c r="A267" s="782" t="s">
        <v>387</v>
      </c>
      <c r="B267" s="486" t="s">
        <v>99</v>
      </c>
      <c r="C267" s="630" t="s">
        <v>50</v>
      </c>
      <c r="D267" s="544"/>
      <c r="E267" s="486"/>
      <c r="F267" s="543">
        <v>48.333333333333336</v>
      </c>
      <c r="G267" s="545"/>
      <c r="H267" s="486"/>
      <c r="I267" s="543"/>
      <c r="J267" s="502"/>
      <c r="K267" s="486"/>
      <c r="L267" s="507">
        <v>33.46</v>
      </c>
      <c r="M267" s="502"/>
      <c r="N267" s="505">
        <v>-14.873333333333335</v>
      </c>
      <c r="O267" s="502"/>
      <c r="P267" s="486"/>
      <c r="Q267" s="505">
        <v>175</v>
      </c>
      <c r="R267" s="502"/>
      <c r="S267" s="505">
        <v>-141.54</v>
      </c>
      <c r="T267" s="486"/>
      <c r="U267" s="486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</row>
    <row r="268" spans="1:40" ht="15.75" customHeight="1">
      <c r="A268" s="782" t="s">
        <v>388</v>
      </c>
      <c r="B268" s="486" t="s">
        <v>99</v>
      </c>
      <c r="C268" s="556" t="s">
        <v>51</v>
      </c>
      <c r="D268" s="544"/>
      <c r="E268" s="486"/>
      <c r="F268" s="543">
        <v>561.67798128057109</v>
      </c>
      <c r="G268" s="545"/>
      <c r="H268" s="486"/>
      <c r="I268" s="543"/>
      <c r="J268" s="502"/>
      <c r="K268" s="486"/>
      <c r="L268" s="507">
        <v>0</v>
      </c>
      <c r="M268" s="502"/>
      <c r="N268" s="505">
        <v>-561.67798128057109</v>
      </c>
      <c r="O268" s="502"/>
      <c r="P268" s="486"/>
      <c r="Q268" s="505">
        <v>750</v>
      </c>
      <c r="R268" s="502"/>
      <c r="S268" s="505">
        <v>-750</v>
      </c>
      <c r="T268" s="486"/>
      <c r="U268" s="782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</row>
    <row r="269" spans="1:40" ht="15.75" customHeight="1">
      <c r="A269" s="782" t="s">
        <v>389</v>
      </c>
      <c r="B269" s="486" t="s">
        <v>99</v>
      </c>
      <c r="C269" s="557" t="s">
        <v>52</v>
      </c>
      <c r="D269" s="546"/>
      <c r="E269" s="561"/>
      <c r="F269" s="497">
        <v>124.50360000000001</v>
      </c>
      <c r="G269" s="547"/>
      <c r="H269" s="561"/>
      <c r="I269" s="497"/>
      <c r="J269" s="495"/>
      <c r="K269" s="561"/>
      <c r="L269" s="507">
        <v>157.77000000000001</v>
      </c>
      <c r="M269" s="495"/>
      <c r="N269" s="517">
        <v>33.266400000000004</v>
      </c>
      <c r="O269" s="495"/>
      <c r="P269" s="561"/>
      <c r="Q269" s="517">
        <v>157.77000000000001</v>
      </c>
      <c r="R269" s="495"/>
      <c r="S269" s="517">
        <v>0</v>
      </c>
      <c r="T269" s="486"/>
      <c r="U269" s="486" t="s">
        <v>1</v>
      </c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</row>
    <row r="270" spans="1:40" ht="15.75" customHeight="1">
      <c r="A270" s="782" t="s">
        <v>390</v>
      </c>
      <c r="B270" s="486" t="s">
        <v>99</v>
      </c>
      <c r="C270" s="556" t="s">
        <v>53</v>
      </c>
      <c r="D270" s="544"/>
      <c r="E270" s="486"/>
      <c r="F270" s="543">
        <v>1450.4268862377776</v>
      </c>
      <c r="G270" s="545"/>
      <c r="H270" s="486"/>
      <c r="I270" s="543"/>
      <c r="J270" s="502"/>
      <c r="K270" s="486"/>
      <c r="L270" s="524">
        <v>1449.66</v>
      </c>
      <c r="M270" s="502"/>
      <c r="N270" s="505">
        <v>-0.76688623777749854</v>
      </c>
      <c r="O270" s="502"/>
      <c r="P270" s="486"/>
      <c r="Q270" s="505">
        <v>1485.99</v>
      </c>
      <c r="R270" s="502"/>
      <c r="S270" s="505">
        <v>-36.329999999999927</v>
      </c>
      <c r="T270" s="486"/>
      <c r="U270" s="486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</row>
    <row r="271" spans="1:40" ht="15.75" customHeight="1">
      <c r="A271" s="782" t="s">
        <v>391</v>
      </c>
      <c r="B271" s="486" t="s">
        <v>99</v>
      </c>
      <c r="C271" s="556" t="s">
        <v>54</v>
      </c>
      <c r="D271" s="544"/>
      <c r="E271" s="486"/>
      <c r="F271" s="543">
        <v>214.03823837858201</v>
      </c>
      <c r="G271" s="545"/>
      <c r="H271" s="486"/>
      <c r="I271" s="543"/>
      <c r="J271" s="502"/>
      <c r="K271" s="486"/>
      <c r="L271" s="507">
        <v>435.98</v>
      </c>
      <c r="M271" s="502"/>
      <c r="N271" s="505">
        <v>221.94176162141801</v>
      </c>
      <c r="O271" s="502"/>
      <c r="P271" s="486"/>
      <c r="Q271" s="505">
        <v>257.27999999999997</v>
      </c>
      <c r="R271" s="502"/>
      <c r="S271" s="505">
        <v>178.70000000000005</v>
      </c>
      <c r="T271" s="486"/>
      <c r="U271" s="486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</row>
    <row r="272" spans="1:40" ht="15.75" customHeight="1">
      <c r="A272" s="782" t="s">
        <v>392</v>
      </c>
      <c r="B272" s="486" t="s">
        <v>99</v>
      </c>
      <c r="C272" s="556" t="s">
        <v>55</v>
      </c>
      <c r="D272" s="546"/>
      <c r="E272" s="561"/>
      <c r="F272" s="497">
        <v>687.14674435248071</v>
      </c>
      <c r="G272" s="547"/>
      <c r="H272" s="561"/>
      <c r="I272" s="497"/>
      <c r="J272" s="495"/>
      <c r="K272" s="561"/>
      <c r="L272" s="507">
        <v>494.99</v>
      </c>
      <c r="M272" s="495"/>
      <c r="N272" s="517">
        <v>-192.1567443524807</v>
      </c>
      <c r="O272" s="495"/>
      <c r="P272" s="561"/>
      <c r="Q272" s="517">
        <v>774.31</v>
      </c>
      <c r="R272" s="495"/>
      <c r="S272" s="517">
        <v>-279.31999999999994</v>
      </c>
      <c r="T272" s="486"/>
      <c r="U272" s="486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</row>
    <row r="273" spans="1:40" ht="15.75" customHeight="1">
      <c r="A273" s="782" t="s">
        <v>393</v>
      </c>
      <c r="B273" s="486" t="s">
        <v>99</v>
      </c>
      <c r="C273" s="630" t="s">
        <v>98</v>
      </c>
      <c r="D273" s="544"/>
      <c r="E273" s="486"/>
      <c r="F273" s="543"/>
      <c r="G273" s="545"/>
      <c r="H273" s="486"/>
      <c r="I273" s="543"/>
      <c r="J273" s="502"/>
      <c r="K273" s="486"/>
      <c r="L273" s="524">
        <v>0</v>
      </c>
      <c r="M273" s="502"/>
      <c r="N273" s="505">
        <v>0</v>
      </c>
      <c r="O273" s="502"/>
      <c r="P273" s="486"/>
      <c r="Q273" s="505">
        <v>0</v>
      </c>
      <c r="R273" s="502"/>
      <c r="S273" s="505">
        <v>0</v>
      </c>
      <c r="T273" s="486"/>
      <c r="U273" s="486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</row>
    <row r="274" spans="1:40" ht="15.75" customHeight="1">
      <c r="A274" s="782" t="s">
        <v>394</v>
      </c>
      <c r="B274" s="486" t="s">
        <v>99</v>
      </c>
      <c r="C274" s="556" t="s">
        <v>56</v>
      </c>
      <c r="D274" s="544"/>
      <c r="E274" s="486"/>
      <c r="F274" s="543">
        <v>45.951533333333337</v>
      </c>
      <c r="G274" s="545"/>
      <c r="H274" s="486"/>
      <c r="I274" s="543"/>
      <c r="J274" s="502"/>
      <c r="K274" s="486"/>
      <c r="L274" s="507">
        <v>0</v>
      </c>
      <c r="M274" s="502"/>
      <c r="N274" s="505">
        <v>-45.951533333333337</v>
      </c>
      <c r="O274" s="502"/>
      <c r="P274" s="486"/>
      <c r="Q274" s="505">
        <v>1</v>
      </c>
      <c r="R274" s="502"/>
      <c r="S274" s="505">
        <v>-1</v>
      </c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</row>
    <row r="275" spans="1:40" ht="15.75" customHeight="1">
      <c r="A275" s="782" t="s">
        <v>395</v>
      </c>
      <c r="B275" s="486" t="s">
        <v>99</v>
      </c>
      <c r="C275" s="556" t="s">
        <v>57</v>
      </c>
      <c r="D275" s="544"/>
      <c r="E275" s="486"/>
      <c r="F275" s="543">
        <v>28.333333333333332</v>
      </c>
      <c r="G275" s="545"/>
      <c r="H275" s="486"/>
      <c r="I275" s="543"/>
      <c r="J275" s="502"/>
      <c r="K275" s="486"/>
      <c r="L275" s="507">
        <v>0</v>
      </c>
      <c r="M275" s="502"/>
      <c r="N275" s="505">
        <v>-28.333333333333332</v>
      </c>
      <c r="O275" s="502"/>
      <c r="P275" s="486"/>
      <c r="Q275" s="505">
        <v>0</v>
      </c>
      <c r="R275" s="502"/>
      <c r="S275" s="505">
        <v>0</v>
      </c>
      <c r="T275" s="486"/>
      <c r="U275" s="486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</row>
    <row r="276" spans="1:40" ht="15.75" customHeight="1">
      <c r="A276" s="782" t="s">
        <v>396</v>
      </c>
      <c r="B276" s="486" t="s">
        <v>99</v>
      </c>
      <c r="C276" s="556" t="s">
        <v>58</v>
      </c>
      <c r="D276" s="544"/>
      <c r="E276" s="486"/>
      <c r="F276" s="543">
        <v>146.23689705261995</v>
      </c>
      <c r="G276" s="545"/>
      <c r="H276" s="486"/>
      <c r="I276" s="543"/>
      <c r="J276" s="502"/>
      <c r="K276" s="486"/>
      <c r="L276" s="507">
        <v>89.36</v>
      </c>
      <c r="M276" s="502"/>
      <c r="N276" s="505">
        <v>-56.876897052619952</v>
      </c>
      <c r="O276" s="502"/>
      <c r="P276" s="486"/>
      <c r="Q276" s="505">
        <v>84.87</v>
      </c>
      <c r="R276" s="502"/>
      <c r="S276" s="505">
        <v>4.4899999999999949</v>
      </c>
      <c r="T276" s="486"/>
      <c r="U276" s="486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</row>
    <row r="277" spans="1:40" ht="15.75" customHeight="1">
      <c r="A277" s="782" t="s">
        <v>397</v>
      </c>
      <c r="B277" s="486" t="s">
        <v>99</v>
      </c>
      <c r="C277" s="556" t="s">
        <v>59</v>
      </c>
      <c r="D277" s="544"/>
      <c r="E277" s="486"/>
      <c r="F277" s="543">
        <v>32.368975325808613</v>
      </c>
      <c r="G277" s="545"/>
      <c r="H277" s="486"/>
      <c r="I277" s="543"/>
      <c r="J277" s="502"/>
      <c r="K277" s="486"/>
      <c r="L277" s="507">
        <v>22.93</v>
      </c>
      <c r="M277" s="502"/>
      <c r="N277" s="505">
        <v>-9.4389753258086131</v>
      </c>
      <c r="O277" s="502"/>
      <c r="P277" s="486"/>
      <c r="Q277" s="505">
        <v>25.41</v>
      </c>
      <c r="R277" s="502"/>
      <c r="S277" s="505">
        <v>-2.4800000000000004</v>
      </c>
      <c r="T277" s="486"/>
      <c r="U277" s="486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</row>
    <row r="278" spans="1:40" ht="15.75" customHeight="1">
      <c r="A278" s="782" t="s">
        <v>398</v>
      </c>
      <c r="B278" s="486" t="s">
        <v>99</v>
      </c>
      <c r="C278" s="556" t="s">
        <v>60</v>
      </c>
      <c r="D278" s="544"/>
      <c r="E278" s="486"/>
      <c r="F278" s="543">
        <v>22.492098830591392</v>
      </c>
      <c r="G278" s="545"/>
      <c r="H278" s="486"/>
      <c r="I278" s="543"/>
      <c r="J278" s="502"/>
      <c r="K278" s="486"/>
      <c r="L278" s="507">
        <v>19.329999999999998</v>
      </c>
      <c r="M278" s="502"/>
      <c r="N278" s="505">
        <v>-3.1620988305913933</v>
      </c>
      <c r="O278" s="502"/>
      <c r="P278" s="486"/>
      <c r="Q278" s="505">
        <v>7.21</v>
      </c>
      <c r="R278" s="502"/>
      <c r="S278" s="505">
        <v>12.119999999999997</v>
      </c>
      <c r="T278" s="486"/>
      <c r="U278" s="486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</row>
    <row r="279" spans="1:40" ht="15.75" customHeight="1">
      <c r="A279" s="782" t="s">
        <v>399</v>
      </c>
      <c r="B279" s="486" t="s">
        <v>99</v>
      </c>
      <c r="C279" s="556" t="s">
        <v>61</v>
      </c>
      <c r="D279" s="544"/>
      <c r="E279" s="486"/>
      <c r="F279" s="543">
        <v>102.90506750548639</v>
      </c>
      <c r="G279" s="545"/>
      <c r="H279" s="486"/>
      <c r="I279" s="543"/>
      <c r="J279" s="502"/>
      <c r="K279" s="486"/>
      <c r="L279" s="507">
        <v>13.72</v>
      </c>
      <c r="M279" s="502"/>
      <c r="N279" s="505">
        <v>-89.185067505486387</v>
      </c>
      <c r="O279" s="502"/>
      <c r="P279" s="486"/>
      <c r="Q279" s="505">
        <v>27.09</v>
      </c>
      <c r="R279" s="502"/>
      <c r="S279" s="505">
        <v>-13.37</v>
      </c>
      <c r="T279" s="486"/>
      <c r="U279" s="486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</row>
    <row r="280" spans="1:40" ht="15.75" customHeight="1">
      <c r="A280" s="782" t="s">
        <v>400</v>
      </c>
      <c r="B280" s="486" t="s">
        <v>99</v>
      </c>
      <c r="C280" s="556" t="s">
        <v>62</v>
      </c>
      <c r="D280" s="544"/>
      <c r="E280" s="486"/>
      <c r="F280" s="543">
        <v>175.49870178698256</v>
      </c>
      <c r="G280" s="545"/>
      <c r="H280" s="486"/>
      <c r="I280" s="543"/>
      <c r="J280" s="502"/>
      <c r="K280" s="486"/>
      <c r="L280" s="507">
        <v>22.33</v>
      </c>
      <c r="M280" s="502"/>
      <c r="N280" s="505">
        <v>-153.16870178698258</v>
      </c>
      <c r="O280" s="502"/>
      <c r="P280" s="486"/>
      <c r="Q280" s="505">
        <v>22.33</v>
      </c>
      <c r="R280" s="502"/>
      <c r="S280" s="505">
        <v>0</v>
      </c>
      <c r="T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</row>
    <row r="281" spans="1:40" ht="15.75" customHeight="1">
      <c r="A281" s="782" t="s">
        <v>401</v>
      </c>
      <c r="B281" s="486" t="s">
        <v>99</v>
      </c>
      <c r="C281" s="556" t="s">
        <v>63</v>
      </c>
      <c r="D281" s="544"/>
      <c r="E281" s="486"/>
      <c r="F281" s="543">
        <v>211.44628885838492</v>
      </c>
      <c r="G281" s="545"/>
      <c r="H281" s="486"/>
      <c r="I281" s="543"/>
      <c r="J281" s="502"/>
      <c r="K281" s="486"/>
      <c r="L281" s="507">
        <v>195.21</v>
      </c>
      <c r="M281" s="502"/>
      <c r="N281" s="505">
        <v>-16.23628885838491</v>
      </c>
      <c r="O281" s="502"/>
      <c r="P281" s="486"/>
      <c r="Q281" s="505">
        <v>186.54</v>
      </c>
      <c r="R281" s="502"/>
      <c r="S281" s="505">
        <v>8.6700000000000159</v>
      </c>
      <c r="T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</row>
    <row r="282" spans="1:40" ht="15.75" hidden="1" customHeight="1">
      <c r="A282" s="782" t="s">
        <v>381</v>
      </c>
      <c r="B282" s="486" t="s">
        <v>99</v>
      </c>
      <c r="C282" s="556" t="s">
        <v>20</v>
      </c>
      <c r="D282" s="544"/>
      <c r="E282" s="486"/>
      <c r="F282" s="543">
        <v>0</v>
      </c>
      <c r="G282" s="545"/>
      <c r="H282" s="486"/>
      <c r="I282" s="543"/>
      <c r="J282" s="502"/>
      <c r="K282" s="486"/>
      <c r="L282" s="507">
        <v>0</v>
      </c>
      <c r="M282" s="502"/>
      <c r="N282" s="505">
        <v>0</v>
      </c>
      <c r="O282" s="502"/>
      <c r="P282" s="486"/>
      <c r="Q282" s="507">
        <v>0</v>
      </c>
      <c r="R282" s="502"/>
      <c r="S282" s="505">
        <v>0</v>
      </c>
      <c r="T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</row>
    <row r="283" spans="1:40" ht="15.75" hidden="1" customHeight="1">
      <c r="A283" s="782" t="s">
        <v>381</v>
      </c>
      <c r="B283" s="486" t="s">
        <v>99</v>
      </c>
      <c r="C283" s="556" t="s">
        <v>20</v>
      </c>
      <c r="D283" s="544"/>
      <c r="E283" s="486"/>
      <c r="F283" s="543">
        <v>0</v>
      </c>
      <c r="G283" s="545"/>
      <c r="H283" s="486"/>
      <c r="I283" s="543"/>
      <c r="J283" s="502"/>
      <c r="K283" s="486"/>
      <c r="L283" s="507">
        <v>0</v>
      </c>
      <c r="M283" s="502"/>
      <c r="N283" s="505">
        <v>0</v>
      </c>
      <c r="O283" s="502"/>
      <c r="P283" s="486"/>
      <c r="Q283" s="507">
        <v>0</v>
      </c>
      <c r="R283" s="502"/>
      <c r="S283" s="505">
        <v>0</v>
      </c>
      <c r="T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</row>
    <row r="284" spans="1:40" ht="15.75" hidden="1" customHeight="1">
      <c r="A284" s="782" t="s">
        <v>381</v>
      </c>
      <c r="B284" s="486" t="s">
        <v>99</v>
      </c>
      <c r="C284" s="556" t="s">
        <v>20</v>
      </c>
      <c r="D284" s="544"/>
      <c r="E284" s="486"/>
      <c r="F284" s="543">
        <v>0</v>
      </c>
      <c r="G284" s="545"/>
      <c r="H284" s="486"/>
      <c r="I284" s="543"/>
      <c r="J284" s="502"/>
      <c r="K284" s="486"/>
      <c r="L284" s="507">
        <v>0</v>
      </c>
      <c r="M284" s="502"/>
      <c r="N284" s="505">
        <v>0</v>
      </c>
      <c r="O284" s="502"/>
      <c r="P284" s="486"/>
      <c r="Q284" s="507">
        <v>0</v>
      </c>
      <c r="R284" s="502"/>
      <c r="S284" s="505">
        <v>0</v>
      </c>
      <c r="T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</row>
    <row r="285" spans="1:40" ht="15.75" customHeight="1">
      <c r="B285" s="486"/>
      <c r="C285" s="551" t="s">
        <v>64</v>
      </c>
      <c r="D285" s="552" t="s">
        <v>39</v>
      </c>
      <c r="E285" s="553" t="e">
        <v>#DIV/0!</v>
      </c>
      <c r="F285" s="554">
        <v>3851.3596796092852</v>
      </c>
      <c r="G285" s="621"/>
      <c r="H285" s="553"/>
      <c r="I285" s="554"/>
      <c r="J285" s="621" t="s">
        <v>39</v>
      </c>
      <c r="K285" s="553">
        <v>0.81861874091698983</v>
      </c>
      <c r="L285" s="554">
        <v>2934.7399999999993</v>
      </c>
      <c r="M285" s="555"/>
      <c r="N285" s="554">
        <v>-916.6196796092853</v>
      </c>
      <c r="O285" s="621" t="s">
        <v>39</v>
      </c>
      <c r="P285" s="553">
        <v>0</v>
      </c>
      <c r="Q285" s="554">
        <v>3954.7999999999997</v>
      </c>
      <c r="R285" s="555"/>
      <c r="S285" s="554">
        <v>-1020.0600000000004</v>
      </c>
      <c r="T285" s="538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</row>
    <row r="286" spans="1:40" ht="15.75" customHeight="1">
      <c r="B286" s="486"/>
      <c r="C286" s="495"/>
      <c r="D286" s="546"/>
      <c r="E286" s="561"/>
      <c r="F286" s="505"/>
      <c r="G286" s="547"/>
      <c r="H286" s="561"/>
      <c r="I286" s="505"/>
      <c r="J286" s="495"/>
      <c r="K286" s="561"/>
      <c r="L286" s="517"/>
      <c r="M286" s="495"/>
      <c r="N286" s="517"/>
      <c r="O286" s="495"/>
      <c r="P286" s="561"/>
      <c r="Q286" s="517"/>
      <c r="R286" s="495"/>
      <c r="S286" s="517"/>
      <c r="T286" s="538"/>
      <c r="U286" s="486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</row>
    <row r="287" spans="1:40" ht="15.75" customHeight="1">
      <c r="B287" s="486"/>
      <c r="C287" s="551" t="s">
        <v>65</v>
      </c>
      <c r="D287" s="552" t="s">
        <v>39</v>
      </c>
      <c r="E287" s="553" t="e">
        <v>#DIV/0!</v>
      </c>
      <c r="F287" s="554">
        <v>10945.004776224669</v>
      </c>
      <c r="G287" s="621"/>
      <c r="H287" s="553"/>
      <c r="I287" s="554"/>
      <c r="J287" s="621" t="s">
        <v>39</v>
      </c>
      <c r="K287" s="553">
        <v>2.5809555954130974</v>
      </c>
      <c r="L287" s="554">
        <v>9252.6999999999989</v>
      </c>
      <c r="M287" s="555"/>
      <c r="N287" s="563">
        <v>-1692.3047762246697</v>
      </c>
      <c r="O287" s="621" t="s">
        <v>39</v>
      </c>
      <c r="P287" s="553">
        <v>0</v>
      </c>
      <c r="Q287" s="554">
        <v>7020.2899999999991</v>
      </c>
      <c r="R287" s="555"/>
      <c r="S287" s="563">
        <v>2232.41</v>
      </c>
      <c r="T287" s="538"/>
      <c r="U287" s="486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</row>
    <row r="288" spans="1:40" ht="15.75" customHeight="1">
      <c r="B288" s="486"/>
      <c r="C288" s="502"/>
      <c r="D288" s="544"/>
      <c r="E288" s="486"/>
      <c r="F288" s="505"/>
      <c r="G288" s="545"/>
      <c r="H288" s="486"/>
      <c r="I288" s="505"/>
      <c r="J288" s="502"/>
      <c r="K288" s="486"/>
      <c r="L288" s="505"/>
      <c r="M288" s="502"/>
      <c r="N288" s="505">
        <v>0</v>
      </c>
      <c r="O288" s="502"/>
      <c r="P288" s="486"/>
      <c r="Q288" s="505"/>
      <c r="R288" s="502"/>
      <c r="S288" s="505"/>
      <c r="T288" s="486"/>
      <c r="U288" s="486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</row>
    <row r="289" spans="1:40" ht="29.25" customHeight="1" thickBot="1">
      <c r="B289" s="486"/>
      <c r="C289" s="572" t="s">
        <v>72</v>
      </c>
      <c r="D289" s="595"/>
      <c r="E289" s="573"/>
      <c r="F289" s="574">
        <v>3574.9952237753314</v>
      </c>
      <c r="G289" s="622"/>
      <c r="H289" s="573"/>
      <c r="I289" s="574"/>
      <c r="J289" s="572"/>
      <c r="K289" s="808"/>
      <c r="L289" s="574">
        <v>-5667.7099999999991</v>
      </c>
      <c r="M289" s="572"/>
      <c r="N289" s="574">
        <v>-9242.7052237753305</v>
      </c>
      <c r="O289" s="572"/>
      <c r="P289" s="809">
        <v>-12.979350445050677</v>
      </c>
      <c r="Q289" s="574">
        <v>-6518.0999999999995</v>
      </c>
      <c r="R289" s="572"/>
      <c r="S289" s="574">
        <v>850.39000000000033</v>
      </c>
      <c r="T289" s="538"/>
      <c r="U289" s="486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</row>
    <row r="290" spans="1:40" ht="15.75" customHeight="1" thickTop="1">
      <c r="B290" s="486"/>
      <c r="C290" s="486"/>
      <c r="D290" s="486"/>
      <c r="E290" s="486"/>
      <c r="F290" s="486"/>
      <c r="G290" s="486"/>
      <c r="H290" s="486"/>
      <c r="I290" s="486"/>
      <c r="J290" s="486"/>
      <c r="K290" s="486"/>
      <c r="L290" s="503"/>
      <c r="M290" s="486"/>
      <c r="N290" s="486"/>
      <c r="O290" s="486"/>
      <c r="P290" s="486"/>
      <c r="Q290" s="486"/>
      <c r="R290" s="486"/>
      <c r="S290" s="486"/>
      <c r="T290" s="486"/>
      <c r="U290" s="486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</row>
    <row r="291" spans="1:40" ht="36" customHeight="1">
      <c r="B291" s="486"/>
      <c r="C291" s="812" t="s">
        <v>481</v>
      </c>
      <c r="D291" s="478"/>
      <c r="E291" s="478"/>
      <c r="F291" s="478"/>
      <c r="G291" s="478"/>
      <c r="H291" s="477"/>
      <c r="I291" s="477"/>
      <c r="J291" s="477"/>
      <c r="K291" s="479" t="s">
        <v>103</v>
      </c>
      <c r="L291" s="478"/>
      <c r="M291" s="478"/>
      <c r="N291" s="477"/>
      <c r="O291" s="477"/>
      <c r="P291" s="478"/>
      <c r="Q291" s="477"/>
      <c r="R291" s="478"/>
      <c r="S291" s="481" t="s">
        <v>473</v>
      </c>
      <c r="T291" s="486"/>
      <c r="U291" s="486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</row>
    <row r="292" spans="1:40" ht="15.75" customHeight="1" thickBot="1">
      <c r="B292" s="486"/>
      <c r="C292" s="483"/>
      <c r="D292" s="485"/>
      <c r="E292" s="485"/>
      <c r="F292" s="485"/>
      <c r="G292" s="485"/>
      <c r="H292" s="485"/>
      <c r="I292" s="485"/>
      <c r="J292" s="485"/>
      <c r="K292" s="485"/>
      <c r="L292" s="485"/>
      <c r="M292" s="485"/>
      <c r="N292" s="485"/>
      <c r="O292" s="485"/>
      <c r="P292" s="485"/>
      <c r="Q292" s="485"/>
      <c r="R292" s="485"/>
      <c r="S292" s="485"/>
      <c r="T292" s="486"/>
      <c r="U292" s="486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</row>
    <row r="293" spans="1:40" ht="15.75" customHeight="1" thickTop="1">
      <c r="B293" s="486"/>
      <c r="C293" s="487"/>
      <c r="D293" s="883" t="s">
        <v>5</v>
      </c>
      <c r="E293" s="884"/>
      <c r="F293" s="885"/>
      <c r="G293" s="886"/>
      <c r="H293" s="884"/>
      <c r="I293" s="885"/>
      <c r="J293" s="886" t="s">
        <v>7</v>
      </c>
      <c r="K293" s="884"/>
      <c r="L293" s="885"/>
      <c r="M293" s="886" t="s">
        <v>220</v>
      </c>
      <c r="N293" s="885"/>
      <c r="O293" s="883" t="s">
        <v>8</v>
      </c>
      <c r="P293" s="884"/>
      <c r="Q293" s="885"/>
      <c r="R293" s="886" t="s">
        <v>221</v>
      </c>
      <c r="S293" s="885"/>
      <c r="T293" s="486"/>
      <c r="U293" s="486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</row>
    <row r="294" spans="1:40" ht="15.75" customHeight="1">
      <c r="A294" s="782" t="s">
        <v>103</v>
      </c>
      <c r="B294" s="486" t="s">
        <v>103</v>
      </c>
      <c r="C294" s="502"/>
      <c r="D294" s="541" t="s">
        <v>84</v>
      </c>
      <c r="E294" s="541" t="s">
        <v>104</v>
      </c>
      <c r="F294" s="494" t="s">
        <v>12</v>
      </c>
      <c r="G294" s="493"/>
      <c r="H294" s="541"/>
      <c r="I294" s="494"/>
      <c r="J294" s="493" t="s">
        <v>84</v>
      </c>
      <c r="K294" s="541" t="s">
        <v>104</v>
      </c>
      <c r="L294" s="494" t="s">
        <v>12</v>
      </c>
      <c r="M294" s="493" t="s">
        <v>40</v>
      </c>
      <c r="N294" s="494" t="s">
        <v>223</v>
      </c>
      <c r="O294" s="541" t="s">
        <v>84</v>
      </c>
      <c r="P294" s="541" t="s">
        <v>104</v>
      </c>
      <c r="Q294" s="494" t="s">
        <v>12</v>
      </c>
      <c r="R294" s="493" t="s">
        <v>85</v>
      </c>
      <c r="S294" s="494" t="s">
        <v>12</v>
      </c>
      <c r="T294" s="486"/>
      <c r="U294" s="486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</row>
    <row r="295" spans="1:40" ht="15.75" customHeight="1">
      <c r="A295" s="782" t="s">
        <v>402</v>
      </c>
      <c r="B295" s="486" t="s">
        <v>103</v>
      </c>
      <c r="C295" s="502" t="s">
        <v>105</v>
      </c>
      <c r="D295" s="503">
        <v>81099.13784000001</v>
      </c>
      <c r="E295" s="591">
        <v>0.35699999999999998</v>
      </c>
      <c r="F295" s="505">
        <v>28952.392208880003</v>
      </c>
      <c r="G295" s="503"/>
      <c r="H295" s="591"/>
      <c r="I295" s="505"/>
      <c r="J295" s="543">
        <v>86209.07</v>
      </c>
      <c r="K295" s="591">
        <v>0.33914215754792398</v>
      </c>
      <c r="L295" s="505">
        <v>29237.130000000008</v>
      </c>
      <c r="M295" s="587">
        <v>6.3008464653241447E-2</v>
      </c>
      <c r="N295" s="505">
        <v>284.73779112000557</v>
      </c>
      <c r="O295" s="543">
        <v>82983.19</v>
      </c>
      <c r="P295" s="591">
        <v>0.36067557778870635</v>
      </c>
      <c r="Q295" s="505">
        <v>29930.01</v>
      </c>
      <c r="R295" s="587">
        <v>3.8873897231475489E-2</v>
      </c>
      <c r="S295" s="505">
        <v>-692.8799999999901</v>
      </c>
      <c r="T295" s="486"/>
      <c r="U295" s="486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</row>
    <row r="296" spans="1:40" ht="15.75" customHeight="1">
      <c r="A296" s="782" t="s">
        <v>403</v>
      </c>
      <c r="B296" s="486" t="s">
        <v>103</v>
      </c>
      <c r="C296" s="502" t="s">
        <v>106</v>
      </c>
      <c r="D296" s="503">
        <v>39600</v>
      </c>
      <c r="E296" s="591">
        <v>0.24799999999999997</v>
      </c>
      <c r="F296" s="505">
        <v>9820.7999999999993</v>
      </c>
      <c r="G296" s="503"/>
      <c r="H296" s="591"/>
      <c r="I296" s="505"/>
      <c r="J296" s="543">
        <v>6139.71</v>
      </c>
      <c r="K296" s="591">
        <v>0.23077474343250745</v>
      </c>
      <c r="L296" s="505">
        <v>1416.8900000000003</v>
      </c>
      <c r="M296" s="587">
        <v>-0.84495681818181823</v>
      </c>
      <c r="N296" s="505">
        <v>-8403.91</v>
      </c>
      <c r="O296" s="543">
        <v>0</v>
      </c>
      <c r="P296" s="591">
        <v>0</v>
      </c>
      <c r="Q296" s="505">
        <v>0</v>
      </c>
      <c r="R296" s="587">
        <v>0</v>
      </c>
      <c r="S296" s="505">
        <v>1416.8900000000003</v>
      </c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</row>
    <row r="297" spans="1:40" ht="15.75" customHeight="1">
      <c r="A297" s="782" t="s">
        <v>404</v>
      </c>
      <c r="B297" s="486" t="s">
        <v>103</v>
      </c>
      <c r="C297" s="502" t="s">
        <v>107</v>
      </c>
      <c r="D297" s="503">
        <v>51915.622499999998</v>
      </c>
      <c r="E297" s="591">
        <v>0.23699999999999999</v>
      </c>
      <c r="F297" s="505">
        <v>12304.002532499999</v>
      </c>
      <c r="G297" s="503"/>
      <c r="H297" s="591"/>
      <c r="I297" s="505"/>
      <c r="J297" s="543">
        <v>73741.789999999994</v>
      </c>
      <c r="K297" s="591">
        <v>0.23132961649018824</v>
      </c>
      <c r="L297" s="505">
        <v>17058.659999999996</v>
      </c>
      <c r="M297" s="587">
        <v>0.42041617626755795</v>
      </c>
      <c r="N297" s="505">
        <v>4754.6574674999974</v>
      </c>
      <c r="O297" s="543">
        <v>45095.6</v>
      </c>
      <c r="P297" s="591">
        <v>0.23370594913916215</v>
      </c>
      <c r="Q297" s="505">
        <v>10539.11</v>
      </c>
      <c r="R297" s="587">
        <v>0.63523248387869313</v>
      </c>
      <c r="S297" s="505">
        <v>6519.5499999999956</v>
      </c>
      <c r="T297" s="486"/>
      <c r="U297" s="486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</row>
    <row r="298" spans="1:40" ht="15.75" customHeight="1">
      <c r="A298" s="782" t="s">
        <v>405</v>
      </c>
      <c r="B298" s="486" t="s">
        <v>103</v>
      </c>
      <c r="C298" s="502" t="s">
        <v>108</v>
      </c>
      <c r="D298" s="503">
        <v>65349.206999999995</v>
      </c>
      <c r="E298" s="591">
        <v>0.29399999999999998</v>
      </c>
      <c r="F298" s="505">
        <v>19212.666857999997</v>
      </c>
      <c r="G298" s="503"/>
      <c r="H298" s="591"/>
      <c r="I298" s="505"/>
      <c r="J298" s="543">
        <v>66243.42</v>
      </c>
      <c r="K298" s="591">
        <v>0.28202242577451464</v>
      </c>
      <c r="L298" s="505">
        <v>18682.129999999997</v>
      </c>
      <c r="M298" s="587">
        <v>1.3683609045171788E-2</v>
      </c>
      <c r="N298" s="505">
        <v>-530.53685799999948</v>
      </c>
      <c r="O298" s="543">
        <v>25255.49</v>
      </c>
      <c r="P298" s="591">
        <v>0.326486241209337</v>
      </c>
      <c r="Q298" s="505">
        <v>8245.57</v>
      </c>
      <c r="R298" s="587">
        <v>1.6229314893514237</v>
      </c>
      <c r="S298" s="505">
        <v>10436.559999999998</v>
      </c>
      <c r="T298" s="486"/>
      <c r="U298" s="486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</row>
    <row r="299" spans="1:40" ht="15.75" customHeight="1">
      <c r="A299" s="782" t="s">
        <v>406</v>
      </c>
      <c r="B299" s="486" t="s">
        <v>103</v>
      </c>
      <c r="C299" s="502" t="s">
        <v>109</v>
      </c>
      <c r="D299" s="503">
        <v>19119.106</v>
      </c>
      <c r="E299" s="591">
        <v>0.27700000000000002</v>
      </c>
      <c r="F299" s="505">
        <v>5295.992362</v>
      </c>
      <c r="G299" s="503"/>
      <c r="H299" s="591"/>
      <c r="I299" s="505"/>
      <c r="J299" s="543">
        <v>18169.66</v>
      </c>
      <c r="K299" s="591">
        <v>0.29129438855762846</v>
      </c>
      <c r="L299" s="505">
        <v>5292.7199999999993</v>
      </c>
      <c r="M299" s="587">
        <v>-4.96595395203102E-2</v>
      </c>
      <c r="N299" s="505">
        <v>-3.2723620000006122</v>
      </c>
      <c r="O299" s="543">
        <v>18047.939999999999</v>
      </c>
      <c r="P299" s="591">
        <v>0.31801801202796498</v>
      </c>
      <c r="Q299" s="505">
        <v>5739.5699999999897</v>
      </c>
      <c r="R299" s="587">
        <v>6.7442600097297077E-3</v>
      </c>
      <c r="S299" s="505">
        <v>-446.84999999999036</v>
      </c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</row>
    <row r="300" spans="1:40" ht="15.75" customHeight="1">
      <c r="A300" s="782" t="s">
        <v>407</v>
      </c>
      <c r="B300" s="486" t="s">
        <v>103</v>
      </c>
      <c r="C300" s="502" t="s">
        <v>110</v>
      </c>
      <c r="D300" s="503">
        <v>141855.65699999998</v>
      </c>
      <c r="E300" s="591">
        <v>0.13500000000000001</v>
      </c>
      <c r="F300" s="505">
        <v>19150.513694999998</v>
      </c>
      <c r="G300" s="503"/>
      <c r="H300" s="591"/>
      <c r="I300" s="505"/>
      <c r="J300" s="543">
        <v>164152.71</v>
      </c>
      <c r="K300" s="591">
        <v>0.13230771517570428</v>
      </c>
      <c r="L300" s="505">
        <v>21718.669999999984</v>
      </c>
      <c r="M300" s="587">
        <v>0.15718127476579957</v>
      </c>
      <c r="N300" s="505">
        <v>2568.1563049999859</v>
      </c>
      <c r="O300" s="543">
        <v>132980.6</v>
      </c>
      <c r="P300" s="591">
        <v>0.13376725627647942</v>
      </c>
      <c r="Q300" s="505">
        <v>17788.45</v>
      </c>
      <c r="R300" s="587">
        <v>0.23441095919254376</v>
      </c>
      <c r="S300" s="505">
        <v>3930.219999999983</v>
      </c>
      <c r="T300" s="486"/>
      <c r="U300" s="486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</row>
    <row r="301" spans="1:40" ht="15.75" hidden="1" customHeight="1">
      <c r="A301" s="782" t="s">
        <v>408</v>
      </c>
      <c r="B301" s="486" t="s">
        <v>103</v>
      </c>
      <c r="C301" s="502" t="s">
        <v>20</v>
      </c>
      <c r="D301" s="503">
        <v>0</v>
      </c>
      <c r="E301" s="591">
        <v>0</v>
      </c>
      <c r="F301" s="505">
        <v>0</v>
      </c>
      <c r="G301" s="503"/>
      <c r="H301" s="591"/>
      <c r="I301" s="505"/>
      <c r="J301" s="543">
        <v>0</v>
      </c>
      <c r="K301" s="591">
        <v>0</v>
      </c>
      <c r="L301" s="505">
        <v>0</v>
      </c>
      <c r="M301" s="587" t="e">
        <v>#DIV/0!</v>
      </c>
      <c r="N301" s="505">
        <v>0</v>
      </c>
      <c r="O301" s="543">
        <v>0</v>
      </c>
      <c r="P301" s="591">
        <v>0</v>
      </c>
      <c r="Q301" s="505">
        <v>0</v>
      </c>
      <c r="R301" s="587">
        <v>0</v>
      </c>
      <c r="S301" s="505">
        <v>0</v>
      </c>
      <c r="T301" s="486"/>
      <c r="U301" s="486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</row>
    <row r="302" spans="1:40" ht="15.75" customHeight="1">
      <c r="A302" s="782" t="s">
        <v>409</v>
      </c>
      <c r="B302" s="486" t="s">
        <v>103</v>
      </c>
      <c r="C302" s="502" t="s">
        <v>111</v>
      </c>
      <c r="D302" s="503">
        <v>0</v>
      </c>
      <c r="E302" s="591">
        <v>0</v>
      </c>
      <c r="F302" s="505">
        <v>10228.056302312993</v>
      </c>
      <c r="G302" s="503"/>
      <c r="H302" s="591"/>
      <c r="I302" s="505"/>
      <c r="J302" s="543">
        <v>0</v>
      </c>
      <c r="K302" s="591">
        <v>0</v>
      </c>
      <c r="L302" s="505">
        <v>5450.6900000000005</v>
      </c>
      <c r="M302" s="587"/>
      <c r="N302" s="505">
        <v>-4777.366302312992</v>
      </c>
      <c r="O302" s="543">
        <v>0</v>
      </c>
      <c r="P302" s="591">
        <v>0</v>
      </c>
      <c r="Q302" s="505">
        <v>5300.27</v>
      </c>
      <c r="R302" s="587">
        <v>0</v>
      </c>
      <c r="S302" s="505">
        <v>150.42000000000007</v>
      </c>
      <c r="T302" s="486"/>
      <c r="U302" s="486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</row>
    <row r="303" spans="1:40" ht="15.75" customHeight="1">
      <c r="A303" s="782" t="s">
        <v>410</v>
      </c>
      <c r="B303" s="486" t="s">
        <v>103</v>
      </c>
      <c r="C303" s="495" t="s">
        <v>112</v>
      </c>
      <c r="D303" s="503">
        <v>0</v>
      </c>
      <c r="E303" s="591">
        <v>0</v>
      </c>
      <c r="F303" s="505">
        <v>0</v>
      </c>
      <c r="G303" s="503"/>
      <c r="H303" s="591"/>
      <c r="I303" s="505"/>
      <c r="J303" s="543">
        <v>0</v>
      </c>
      <c r="K303" s="591">
        <v>0</v>
      </c>
      <c r="L303" s="505">
        <v>0</v>
      </c>
      <c r="M303" s="587"/>
      <c r="N303" s="505">
        <v>0</v>
      </c>
      <c r="O303" s="543">
        <v>0</v>
      </c>
      <c r="P303" s="591">
        <v>0</v>
      </c>
      <c r="Q303" s="505">
        <v>0</v>
      </c>
      <c r="R303" s="587">
        <v>0</v>
      </c>
      <c r="S303" s="505">
        <v>0</v>
      </c>
      <c r="T303" s="486"/>
      <c r="U303" s="486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</row>
    <row r="304" spans="1:40" ht="15.75" customHeight="1">
      <c r="A304" s="782" t="s">
        <v>411</v>
      </c>
      <c r="B304" s="486" t="s">
        <v>103</v>
      </c>
      <c r="C304" s="520" t="s">
        <v>113</v>
      </c>
      <c r="D304" s="509">
        <v>398938.73034000001</v>
      </c>
      <c r="E304" s="631">
        <v>0.26310913425035443</v>
      </c>
      <c r="F304" s="510">
        <v>104964.42395869301</v>
      </c>
      <c r="G304" s="509"/>
      <c r="H304" s="631"/>
      <c r="I304" s="510"/>
      <c r="J304" s="509">
        <v>414656.36</v>
      </c>
      <c r="K304" s="631">
        <v>0.23840678580210367</v>
      </c>
      <c r="L304" s="510">
        <v>98856.889999999985</v>
      </c>
      <c r="M304" s="632">
        <v>3.9398605511689604E-2</v>
      </c>
      <c r="N304" s="510">
        <v>-6107.5339586930204</v>
      </c>
      <c r="O304" s="509">
        <v>304362.82</v>
      </c>
      <c r="P304" s="631">
        <v>0.25477152564166672</v>
      </c>
      <c r="Q304" s="510">
        <v>77542.98</v>
      </c>
      <c r="R304" s="632">
        <v>0.36237520732657152</v>
      </c>
      <c r="S304" s="510">
        <v>21313.909999999989</v>
      </c>
      <c r="T304" s="486"/>
      <c r="U304" s="486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</row>
    <row r="305" spans="1:40" ht="15.75" customHeight="1">
      <c r="A305" s="782" t="s">
        <v>103</v>
      </c>
      <c r="B305" s="486" t="s">
        <v>103</v>
      </c>
      <c r="C305" s="502"/>
      <c r="D305" s="486"/>
      <c r="E305" s="486"/>
      <c r="F305" s="527"/>
      <c r="G305" s="502"/>
      <c r="H305" s="486"/>
      <c r="I305" s="527"/>
      <c r="J305" s="502"/>
      <c r="K305" s="486"/>
      <c r="L305" s="527"/>
      <c r="M305" s="502"/>
      <c r="N305" s="514">
        <v>-5.8186704869609328E-2</v>
      </c>
      <c r="O305" s="502"/>
      <c r="P305" s="486"/>
      <c r="Q305" s="527"/>
      <c r="R305" s="502"/>
      <c r="S305" s="514">
        <v>0.27486575831880578</v>
      </c>
      <c r="T305" s="486"/>
      <c r="U305" s="486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</row>
    <row r="306" spans="1:40" ht="15.75" customHeight="1">
      <c r="A306" s="782" t="s">
        <v>103</v>
      </c>
      <c r="B306" s="486" t="s">
        <v>103</v>
      </c>
      <c r="C306" s="495"/>
      <c r="D306" s="561"/>
      <c r="E306" s="561"/>
      <c r="F306" s="633"/>
      <c r="G306" s="495"/>
      <c r="H306" s="561"/>
      <c r="I306" s="633"/>
      <c r="J306" s="495"/>
      <c r="K306" s="561"/>
      <c r="L306" s="633"/>
      <c r="M306" s="495"/>
      <c r="N306" s="602"/>
      <c r="O306" s="495"/>
      <c r="P306" s="561"/>
      <c r="Q306" s="633"/>
      <c r="R306" s="495"/>
      <c r="S306" s="602"/>
      <c r="T306" s="486"/>
      <c r="U306" s="486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</row>
    <row r="307" spans="1:40" ht="15.75" customHeight="1">
      <c r="A307" s="782" t="s">
        <v>412</v>
      </c>
      <c r="B307" s="486" t="s">
        <v>103</v>
      </c>
      <c r="C307" s="502" t="s">
        <v>114</v>
      </c>
      <c r="D307" s="503">
        <v>23014.84</v>
      </c>
      <c r="E307" s="591">
        <v>0.17100000000000001</v>
      </c>
      <c r="F307" s="523">
        <v>3935.5376400000005</v>
      </c>
      <c r="G307" s="503"/>
      <c r="H307" s="591"/>
      <c r="I307" s="523"/>
      <c r="J307" s="543">
        <v>28187.74</v>
      </c>
      <c r="K307" s="591">
        <v>0.16461199088681819</v>
      </c>
      <c r="L307" s="523">
        <v>4640.0400000000009</v>
      </c>
      <c r="M307" s="587">
        <v>0.22476367422063337</v>
      </c>
      <c r="N307" s="505">
        <v>704.50236000000041</v>
      </c>
      <c r="O307" s="543">
        <v>9670.9599999999991</v>
      </c>
      <c r="P307" s="591">
        <v>0.19384218319587612</v>
      </c>
      <c r="Q307" s="523">
        <v>1874.6399999999901</v>
      </c>
      <c r="R307" s="587">
        <v>1.9146785841322893</v>
      </c>
      <c r="S307" s="505">
        <v>2765.4000000000106</v>
      </c>
      <c r="T307" s="486"/>
      <c r="U307" s="486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</row>
    <row r="308" spans="1:40" ht="15.75" customHeight="1">
      <c r="A308" s="782" t="s">
        <v>413</v>
      </c>
      <c r="B308" s="486" t="s">
        <v>103</v>
      </c>
      <c r="C308" s="495" t="s">
        <v>115</v>
      </c>
      <c r="D308" s="503">
        <v>36687.118785826395</v>
      </c>
      <c r="E308" s="591">
        <v>0.25600000000000001</v>
      </c>
      <c r="F308" s="517">
        <v>9391.9024091715564</v>
      </c>
      <c r="G308" s="503"/>
      <c r="H308" s="591"/>
      <c r="I308" s="517"/>
      <c r="J308" s="543">
        <v>21272.07</v>
      </c>
      <c r="K308" s="591">
        <v>0.27779854052755565</v>
      </c>
      <c r="L308" s="517">
        <v>5909.35</v>
      </c>
      <c r="M308" s="587">
        <v>-0.42017605350305692</v>
      </c>
      <c r="N308" s="505">
        <v>-3482.5524091715561</v>
      </c>
      <c r="O308" s="543">
        <v>18493.45</v>
      </c>
      <c r="P308" s="591">
        <v>0.25780749400463404</v>
      </c>
      <c r="Q308" s="517">
        <v>4767.75</v>
      </c>
      <c r="R308" s="587">
        <v>0.1502488718978881</v>
      </c>
      <c r="S308" s="505">
        <v>1141.6000000000004</v>
      </c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</row>
    <row r="309" spans="1:40" ht="15.75" customHeight="1">
      <c r="A309" s="782" t="s">
        <v>414</v>
      </c>
      <c r="B309" s="486" t="s">
        <v>103</v>
      </c>
      <c r="C309" s="520" t="s">
        <v>116</v>
      </c>
      <c r="D309" s="509">
        <v>458640.68912582641</v>
      </c>
      <c r="E309" s="631">
        <v>0.25791838101702225</v>
      </c>
      <c r="F309" s="510">
        <v>118291.86400786455</v>
      </c>
      <c r="G309" s="511"/>
      <c r="H309" s="631"/>
      <c r="I309" s="510"/>
      <c r="J309" s="511">
        <v>464116.17</v>
      </c>
      <c r="K309" s="631">
        <v>0.23573037759059332</v>
      </c>
      <c r="L309" s="510">
        <v>109406.28</v>
      </c>
      <c r="M309" s="632">
        <v>1.1938497835004338E-2</v>
      </c>
      <c r="N309" s="510">
        <v>-8885.584007864556</v>
      </c>
      <c r="O309" s="511">
        <v>332527.23000000004</v>
      </c>
      <c r="P309" s="631">
        <v>0.25316834955140355</v>
      </c>
      <c r="Q309" s="510">
        <v>84185.369999999981</v>
      </c>
      <c r="R309" s="632">
        <v>0.39572380282962066</v>
      </c>
      <c r="S309" s="510">
        <v>25220.910000000018</v>
      </c>
      <c r="T309" s="486"/>
      <c r="U309" s="503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</row>
    <row r="310" spans="1:40" ht="15.75" customHeight="1">
      <c r="A310" s="782" t="s">
        <v>103</v>
      </c>
      <c r="B310" s="486" t="s">
        <v>103</v>
      </c>
      <c r="C310" s="502"/>
      <c r="D310" s="486"/>
      <c r="E310" s="486"/>
      <c r="F310" s="527"/>
      <c r="G310" s="502"/>
      <c r="H310" s="486"/>
      <c r="I310" s="527"/>
      <c r="J310" s="502"/>
      <c r="K310" s="486"/>
      <c r="L310" s="527"/>
      <c r="M310" s="502"/>
      <c r="N310" s="514">
        <v>-7.5115766264988476E-2</v>
      </c>
      <c r="O310" s="502"/>
      <c r="P310" s="486"/>
      <c r="Q310" s="527"/>
      <c r="R310" s="502"/>
      <c r="S310" s="514">
        <v>0.29958780248872247</v>
      </c>
      <c r="T310" s="486"/>
      <c r="U310" s="486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</row>
    <row r="311" spans="1:40" ht="15.75" customHeight="1">
      <c r="A311" s="782" t="s">
        <v>103</v>
      </c>
      <c r="B311" s="486" t="s">
        <v>103</v>
      </c>
      <c r="C311" s="502"/>
      <c r="D311" s="486"/>
      <c r="E311" s="486"/>
      <c r="F311" s="527"/>
      <c r="G311" s="502"/>
      <c r="H311" s="486"/>
      <c r="I311" s="527"/>
      <c r="J311" s="502"/>
      <c r="K311" s="486"/>
      <c r="L311" s="527"/>
      <c r="M311" s="502"/>
      <c r="N311" s="514"/>
      <c r="O311" s="502"/>
      <c r="P311" s="486"/>
      <c r="Q311" s="527"/>
      <c r="R311" s="502"/>
      <c r="S311" s="514"/>
      <c r="T311" s="486"/>
      <c r="U311" s="486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</row>
    <row r="312" spans="1:40" ht="15.75" customHeight="1">
      <c r="A312" s="782" t="s">
        <v>415</v>
      </c>
      <c r="B312" s="486" t="s">
        <v>103</v>
      </c>
      <c r="C312" s="495" t="s">
        <v>117</v>
      </c>
      <c r="D312" s="516">
        <v>0</v>
      </c>
      <c r="E312" s="634">
        <v>0</v>
      </c>
      <c r="F312" s="517">
        <v>0</v>
      </c>
      <c r="G312" s="521"/>
      <c r="H312" s="634"/>
      <c r="I312" s="517"/>
      <c r="J312" s="519">
        <v>0</v>
      </c>
      <c r="K312" s="634">
        <v>0</v>
      </c>
      <c r="L312" s="497">
        <v>0</v>
      </c>
      <c r="M312" s="634">
        <v>0</v>
      </c>
      <c r="N312" s="517">
        <v>0</v>
      </c>
      <c r="O312" s="519">
        <v>0</v>
      </c>
      <c r="P312" s="634">
        <v>0</v>
      </c>
      <c r="Q312" s="497">
        <v>0</v>
      </c>
      <c r="R312" s="634">
        <v>0</v>
      </c>
      <c r="S312" s="517">
        <v>0</v>
      </c>
      <c r="T312" s="486"/>
      <c r="U312" s="503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</row>
    <row r="313" spans="1:40" ht="15.75" customHeight="1" thickBot="1">
      <c r="A313" s="782" t="s">
        <v>103</v>
      </c>
      <c r="B313" s="486" t="s">
        <v>103</v>
      </c>
      <c r="C313" s="502"/>
      <c r="D313" s="503"/>
      <c r="E313" s="591"/>
      <c r="F313" s="505"/>
      <c r="G313" s="504"/>
      <c r="H313" s="591"/>
      <c r="I313" s="505"/>
      <c r="J313" s="504"/>
      <c r="K313" s="591"/>
      <c r="L313" s="505"/>
      <c r="M313" s="587"/>
      <c r="N313" s="505"/>
      <c r="O313" s="504"/>
      <c r="P313" s="591"/>
      <c r="Q313" s="505"/>
      <c r="R313" s="587"/>
      <c r="S313" s="505"/>
      <c r="T313" s="486"/>
      <c r="U313" s="486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</row>
    <row r="314" spans="1:40" ht="15.75" customHeight="1" thickTop="1">
      <c r="A314" s="782" t="s">
        <v>416</v>
      </c>
      <c r="B314" s="486" t="s">
        <v>103</v>
      </c>
      <c r="C314" s="528" t="s">
        <v>118</v>
      </c>
      <c r="D314" s="529">
        <v>458640.68912582641</v>
      </c>
      <c r="E314" s="635">
        <v>0.25791838101702225</v>
      </c>
      <c r="F314" s="531">
        <v>118291.86400786455</v>
      </c>
      <c r="G314" s="532"/>
      <c r="H314" s="635"/>
      <c r="I314" s="531"/>
      <c r="J314" s="532">
        <v>464116.17</v>
      </c>
      <c r="K314" s="635">
        <v>0.23573037759059332</v>
      </c>
      <c r="L314" s="531">
        <v>109406.28</v>
      </c>
      <c r="M314" s="636">
        <v>1.1938497835004338E-2</v>
      </c>
      <c r="N314" s="637">
        <v>-8885.584007864556</v>
      </c>
      <c r="O314" s="532">
        <v>332527.23000000004</v>
      </c>
      <c r="P314" s="635">
        <v>0.25316834955140355</v>
      </c>
      <c r="Q314" s="531">
        <v>84185.369999999981</v>
      </c>
      <c r="R314" s="636">
        <v>0.39572380282962066</v>
      </c>
      <c r="S314" s="637">
        <v>25220.910000000018</v>
      </c>
      <c r="T314" s="486"/>
      <c r="U314" s="596"/>
      <c r="V314" s="503"/>
      <c r="W314" s="503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</row>
    <row r="315" spans="1:40" ht="15.75" customHeight="1" thickBot="1">
      <c r="A315" s="782" t="s">
        <v>103</v>
      </c>
      <c r="B315" s="486" t="s">
        <v>103</v>
      </c>
      <c r="C315" s="572"/>
      <c r="D315" s="638"/>
      <c r="E315" s="639"/>
      <c r="F315" s="574"/>
      <c r="G315" s="640"/>
      <c r="H315" s="639"/>
      <c r="I315" s="574"/>
      <c r="J315" s="640"/>
      <c r="K315" s="639"/>
      <c r="L315" s="828">
        <v>0.9248842337350115</v>
      </c>
      <c r="M315" s="641"/>
      <c r="N315" s="536">
        <v>-7.5115766264988476E-2</v>
      </c>
      <c r="O315" s="640"/>
      <c r="P315" s="639"/>
      <c r="Q315" s="574"/>
      <c r="R315" s="641"/>
      <c r="S315" s="536">
        <v>0.29958780248872247</v>
      </c>
      <c r="T315" s="486"/>
      <c r="U315" s="485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</row>
    <row r="316" spans="1:40" ht="15.75" customHeight="1" thickTop="1">
      <c r="A316" s="782" t="s">
        <v>103</v>
      </c>
      <c r="B316" s="486" t="s">
        <v>103</v>
      </c>
      <c r="C316" s="520"/>
      <c r="D316" s="562"/>
      <c r="E316" s="604"/>
      <c r="F316" s="568"/>
      <c r="G316" s="605"/>
      <c r="H316" s="604"/>
      <c r="I316" s="568"/>
      <c r="J316" s="605"/>
      <c r="K316" s="604"/>
      <c r="L316" s="568"/>
      <c r="M316" s="502"/>
      <c r="N316" s="514"/>
      <c r="O316" s="605"/>
      <c r="P316" s="604"/>
      <c r="Q316" s="568"/>
      <c r="R316" s="502"/>
      <c r="S316" s="514"/>
      <c r="T316" s="486"/>
      <c r="U316" s="485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</row>
    <row r="317" spans="1:40" ht="15.75" customHeight="1">
      <c r="A317" s="782" t="s">
        <v>417</v>
      </c>
      <c r="B317" s="486" t="s">
        <v>103</v>
      </c>
      <c r="C317" s="540" t="s">
        <v>30</v>
      </c>
      <c r="D317" s="486"/>
      <c r="E317" s="486"/>
      <c r="F317" s="505"/>
      <c r="G317" s="502"/>
      <c r="H317" s="486"/>
      <c r="I317" s="505"/>
      <c r="J317" s="502"/>
      <c r="K317" s="486"/>
      <c r="L317" s="527"/>
      <c r="M317" s="502"/>
      <c r="N317" s="527"/>
      <c r="O317" s="502"/>
      <c r="P317" s="486"/>
      <c r="Q317" s="527"/>
      <c r="R317" s="502"/>
      <c r="S317" s="527"/>
      <c r="T317" s="486"/>
      <c r="U317" s="485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</row>
    <row r="318" spans="1:40" ht="15.75" customHeight="1">
      <c r="A318" s="782" t="s">
        <v>418</v>
      </c>
      <c r="B318" s="486" t="s">
        <v>103</v>
      </c>
      <c r="C318" s="556" t="s">
        <v>41</v>
      </c>
      <c r="D318" s="486"/>
      <c r="E318" s="486"/>
      <c r="F318" s="543">
        <v>6935.8538461538465</v>
      </c>
      <c r="G318" s="502"/>
      <c r="H318" s="486"/>
      <c r="I318" s="543"/>
      <c r="J318" s="502"/>
      <c r="K318" s="486"/>
      <c r="L318" s="507">
        <v>9334.2999999999993</v>
      </c>
      <c r="M318" s="502"/>
      <c r="N318" s="507">
        <v>2398.4461538461528</v>
      </c>
      <c r="O318" s="502"/>
      <c r="P318" s="486"/>
      <c r="Q318" s="507">
        <v>6304.17</v>
      </c>
      <c r="R318" s="502"/>
      <c r="S318" s="507">
        <v>3030.1299999999992</v>
      </c>
      <c r="T318" s="486"/>
      <c r="U318" s="485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</row>
    <row r="319" spans="1:40" ht="15.75" customHeight="1">
      <c r="A319" s="782" t="s">
        <v>419</v>
      </c>
      <c r="B319" s="486" t="s">
        <v>103</v>
      </c>
      <c r="C319" s="557" t="s">
        <v>42</v>
      </c>
      <c r="D319" s="544"/>
      <c r="E319" s="486"/>
      <c r="F319" s="497">
        <v>26364.924123076926</v>
      </c>
      <c r="G319" s="545"/>
      <c r="H319" s="486"/>
      <c r="I319" s="497"/>
      <c r="J319" s="502"/>
      <c r="K319" s="486"/>
      <c r="L319" s="507">
        <v>23696.7</v>
      </c>
      <c r="M319" s="502"/>
      <c r="N319" s="507">
        <v>-2668.224123076925</v>
      </c>
      <c r="O319" s="502"/>
      <c r="P319" s="486"/>
      <c r="Q319" s="507">
        <v>22540.87</v>
      </c>
      <c r="R319" s="502"/>
      <c r="S319" s="505">
        <v>1155.8300000000017</v>
      </c>
      <c r="T319" s="486"/>
      <c r="U319" s="485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</row>
    <row r="320" spans="1:40" ht="15.75" customHeight="1">
      <c r="A320" s="782" t="s">
        <v>420</v>
      </c>
      <c r="B320" s="486" t="s">
        <v>103</v>
      </c>
      <c r="C320" s="556" t="s">
        <v>43</v>
      </c>
      <c r="D320" s="558"/>
      <c r="E320" s="559"/>
      <c r="F320" s="543">
        <v>140.24615384615385</v>
      </c>
      <c r="G320" s="560"/>
      <c r="H320" s="559"/>
      <c r="I320" s="543"/>
      <c r="J320" s="488"/>
      <c r="K320" s="559"/>
      <c r="L320" s="524">
        <v>113.92</v>
      </c>
      <c r="M320" s="488"/>
      <c r="N320" s="524">
        <v>-26.326153846153844</v>
      </c>
      <c r="O320" s="488"/>
      <c r="P320" s="559"/>
      <c r="Q320" s="524">
        <v>113.92</v>
      </c>
      <c r="R320" s="488"/>
      <c r="S320" s="523">
        <v>0</v>
      </c>
      <c r="T320" s="486"/>
      <c r="U320" s="829"/>
      <c r="V320" s="830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</row>
    <row r="321" spans="1:40" ht="15.75" customHeight="1">
      <c r="A321" s="782" t="s">
        <v>421</v>
      </c>
      <c r="B321" s="486" t="s">
        <v>103</v>
      </c>
      <c r="C321" s="556" t="s">
        <v>44</v>
      </c>
      <c r="D321" s="544"/>
      <c r="E321" s="486"/>
      <c r="F321" s="543">
        <v>0</v>
      </c>
      <c r="G321" s="545"/>
      <c r="H321" s="486"/>
      <c r="I321" s="543"/>
      <c r="J321" s="502"/>
      <c r="K321" s="486"/>
      <c r="L321" s="507">
        <v>0</v>
      </c>
      <c r="M321" s="502"/>
      <c r="N321" s="507">
        <v>0</v>
      </c>
      <c r="O321" s="502"/>
      <c r="P321" s="486"/>
      <c r="Q321" s="507">
        <v>0</v>
      </c>
      <c r="R321" s="502"/>
      <c r="S321" s="505">
        <v>0</v>
      </c>
      <c r="T321" s="486"/>
      <c r="U321" s="485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</row>
    <row r="322" spans="1:40" ht="15.75" hidden="1" customHeight="1">
      <c r="A322" s="782" t="s">
        <v>408</v>
      </c>
      <c r="B322" s="486" t="s">
        <v>103</v>
      </c>
      <c r="C322" s="502" t="s">
        <v>20</v>
      </c>
      <c r="D322" s="544"/>
      <c r="E322" s="486"/>
      <c r="F322" s="543">
        <v>0</v>
      </c>
      <c r="G322" s="545"/>
      <c r="H322" s="486"/>
      <c r="I322" s="543"/>
      <c r="J322" s="502"/>
      <c r="K322" s="486"/>
      <c r="L322" s="507">
        <v>0</v>
      </c>
      <c r="M322" s="502"/>
      <c r="N322" s="507">
        <v>0</v>
      </c>
      <c r="O322" s="502"/>
      <c r="P322" s="486"/>
      <c r="Q322" s="507">
        <v>0</v>
      </c>
      <c r="R322" s="502"/>
      <c r="S322" s="505">
        <v>0</v>
      </c>
      <c r="T322" s="486"/>
      <c r="U322" s="485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</row>
    <row r="323" spans="1:40" ht="15.75" hidden="1" customHeight="1">
      <c r="A323" s="782" t="s">
        <v>408</v>
      </c>
      <c r="B323" s="486" t="s">
        <v>103</v>
      </c>
      <c r="C323" s="502" t="s">
        <v>20</v>
      </c>
      <c r="D323" s="544"/>
      <c r="E323" s="486"/>
      <c r="F323" s="543">
        <v>0</v>
      </c>
      <c r="G323" s="545"/>
      <c r="H323" s="486"/>
      <c r="I323" s="543"/>
      <c r="J323" s="502"/>
      <c r="K323" s="486"/>
      <c r="L323" s="507">
        <v>0</v>
      </c>
      <c r="M323" s="502"/>
      <c r="N323" s="507">
        <v>0</v>
      </c>
      <c r="O323" s="502"/>
      <c r="P323" s="486"/>
      <c r="Q323" s="507">
        <v>0</v>
      </c>
      <c r="R323" s="502"/>
      <c r="S323" s="505">
        <v>0</v>
      </c>
      <c r="T323" s="486"/>
      <c r="U323" s="485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</row>
    <row r="324" spans="1:40" ht="15.75" hidden="1" customHeight="1">
      <c r="A324" s="782" t="s">
        <v>408</v>
      </c>
      <c r="B324" s="486" t="s">
        <v>103</v>
      </c>
      <c r="C324" s="502" t="s">
        <v>20</v>
      </c>
      <c r="D324" s="544"/>
      <c r="E324" s="486"/>
      <c r="F324" s="543">
        <v>0</v>
      </c>
      <c r="G324" s="545"/>
      <c r="H324" s="486"/>
      <c r="I324" s="543"/>
      <c r="J324" s="502"/>
      <c r="K324" s="486"/>
      <c r="L324" s="507">
        <v>0</v>
      </c>
      <c r="M324" s="502"/>
      <c r="N324" s="507">
        <v>0</v>
      </c>
      <c r="O324" s="502"/>
      <c r="P324" s="486"/>
      <c r="Q324" s="507">
        <v>0</v>
      </c>
      <c r="R324" s="502"/>
      <c r="S324" s="505">
        <v>0</v>
      </c>
      <c r="T324" s="486"/>
      <c r="U324" s="485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</row>
    <row r="325" spans="1:40" ht="15.75" customHeight="1">
      <c r="A325" s="782" t="s">
        <v>422</v>
      </c>
      <c r="B325" s="486" t="s">
        <v>103</v>
      </c>
      <c r="C325" s="557" t="s">
        <v>45</v>
      </c>
      <c r="D325" s="544"/>
      <c r="E325" s="486"/>
      <c r="F325" s="497">
        <v>4125.0641995076921</v>
      </c>
      <c r="G325" s="545"/>
      <c r="H325" s="486"/>
      <c r="I325" s="497"/>
      <c r="J325" s="502"/>
      <c r="K325" s="486"/>
      <c r="L325" s="507">
        <v>3502.47</v>
      </c>
      <c r="M325" s="502"/>
      <c r="N325" s="507">
        <v>-622.59419950769234</v>
      </c>
      <c r="O325" s="502"/>
      <c r="P325" s="486"/>
      <c r="Q325" s="507">
        <v>3027.35</v>
      </c>
      <c r="R325" s="502"/>
      <c r="S325" s="505">
        <v>475.11999999999989</v>
      </c>
      <c r="T325" s="486"/>
      <c r="U325" s="485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</row>
    <row r="326" spans="1:40" ht="15.75" customHeight="1">
      <c r="A326" s="782" t="s">
        <v>423</v>
      </c>
      <c r="B326" s="486" t="s">
        <v>103</v>
      </c>
      <c r="C326" s="556" t="s">
        <v>46</v>
      </c>
      <c r="D326" s="558"/>
      <c r="E326" s="559"/>
      <c r="F326" s="543">
        <v>5015.4965597538467</v>
      </c>
      <c r="G326" s="560"/>
      <c r="H326" s="559"/>
      <c r="I326" s="543"/>
      <c r="J326" s="488"/>
      <c r="K326" s="559"/>
      <c r="L326" s="524">
        <v>8011.01</v>
      </c>
      <c r="M326" s="488"/>
      <c r="N326" s="524">
        <v>2995.5134402461536</v>
      </c>
      <c r="O326" s="488"/>
      <c r="P326" s="559"/>
      <c r="Q326" s="524">
        <v>7018.81</v>
      </c>
      <c r="R326" s="488"/>
      <c r="S326" s="523">
        <v>992.19999999999982</v>
      </c>
      <c r="T326" s="486"/>
      <c r="U326" s="485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</row>
    <row r="327" spans="1:40" ht="15.75" customHeight="1">
      <c r="A327" s="782" t="s">
        <v>424</v>
      </c>
      <c r="B327" s="486" t="s">
        <v>103</v>
      </c>
      <c r="C327" s="556" t="s">
        <v>47</v>
      </c>
      <c r="D327" s="544"/>
      <c r="E327" s="486"/>
      <c r="F327" s="543">
        <v>2584.0710536123074</v>
      </c>
      <c r="G327" s="545"/>
      <c r="H327" s="486"/>
      <c r="I327" s="543"/>
      <c r="J327" s="502"/>
      <c r="K327" s="486"/>
      <c r="L327" s="507">
        <v>-1280.45</v>
      </c>
      <c r="M327" s="502"/>
      <c r="N327" s="507">
        <v>-3864.5210536123077</v>
      </c>
      <c r="O327" s="502"/>
      <c r="P327" s="486"/>
      <c r="Q327" s="507">
        <v>1006.31</v>
      </c>
      <c r="R327" s="502"/>
      <c r="S327" s="505">
        <v>-2286.7600000000002</v>
      </c>
      <c r="T327" s="486"/>
      <c r="U327" s="485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</row>
    <row r="328" spans="1:40" ht="15.75" customHeight="1">
      <c r="A328" s="782" t="s">
        <v>425</v>
      </c>
      <c r="B328" s="486" t="s">
        <v>103</v>
      </c>
      <c r="C328" s="556" t="s">
        <v>48</v>
      </c>
      <c r="D328" s="544"/>
      <c r="E328" s="486"/>
      <c r="F328" s="543">
        <v>1126.6695170461537</v>
      </c>
      <c r="G328" s="545"/>
      <c r="H328" s="486"/>
      <c r="I328" s="543"/>
      <c r="J328" s="502"/>
      <c r="K328" s="486"/>
      <c r="L328" s="507">
        <v>839.5</v>
      </c>
      <c r="M328" s="502"/>
      <c r="N328" s="507">
        <v>-287.16951704615371</v>
      </c>
      <c r="O328" s="502"/>
      <c r="P328" s="486"/>
      <c r="Q328" s="507">
        <v>788.92</v>
      </c>
      <c r="R328" s="502"/>
      <c r="S328" s="505">
        <v>50.580000000000041</v>
      </c>
      <c r="T328" s="486"/>
      <c r="U328" s="485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</row>
    <row r="329" spans="1:40" ht="15.75" hidden="1" customHeight="1">
      <c r="A329" s="782" t="s">
        <v>408</v>
      </c>
      <c r="B329" s="486" t="s">
        <v>103</v>
      </c>
      <c r="C329" s="502" t="s">
        <v>20</v>
      </c>
      <c r="D329" s="546"/>
      <c r="E329" s="561"/>
      <c r="F329" s="543">
        <v>0</v>
      </c>
      <c r="G329" s="547"/>
      <c r="H329" s="561"/>
      <c r="I329" s="543"/>
      <c r="J329" s="495"/>
      <c r="K329" s="561"/>
      <c r="L329" s="507">
        <v>0</v>
      </c>
      <c r="M329" s="495"/>
      <c r="N329" s="517">
        <v>0</v>
      </c>
      <c r="O329" s="495"/>
      <c r="P329" s="561"/>
      <c r="Q329" s="507">
        <v>0</v>
      </c>
      <c r="R329" s="495"/>
      <c r="S329" s="517">
        <v>0</v>
      </c>
      <c r="T329" s="486"/>
      <c r="U329" s="485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</row>
    <row r="330" spans="1:40" ht="15.75" customHeight="1">
      <c r="A330" s="782" t="s">
        <v>426</v>
      </c>
      <c r="B330" s="486" t="s">
        <v>103</v>
      </c>
      <c r="C330" s="551" t="s">
        <v>49</v>
      </c>
      <c r="D330" s="552" t="s">
        <v>39</v>
      </c>
      <c r="E330" s="553">
        <v>0.39133989341751529</v>
      </c>
      <c r="F330" s="554">
        <v>46292.325452996927</v>
      </c>
      <c r="G330" s="621"/>
      <c r="H330" s="553"/>
      <c r="I330" s="554"/>
      <c r="J330" s="621" t="s">
        <v>39</v>
      </c>
      <c r="K330" s="553">
        <v>0.40415824393261524</v>
      </c>
      <c r="L330" s="554">
        <v>44217.450000000004</v>
      </c>
      <c r="M330" s="590"/>
      <c r="N330" s="563">
        <v>-2074.8754529969228</v>
      </c>
      <c r="O330" s="621" t="s">
        <v>39</v>
      </c>
      <c r="P330" s="553">
        <v>0.48464893603247217</v>
      </c>
      <c r="Q330" s="554">
        <v>40800.349999999991</v>
      </c>
      <c r="R330" s="590"/>
      <c r="S330" s="563">
        <v>3417.1000000000131</v>
      </c>
      <c r="T330" s="486"/>
      <c r="U330" s="485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</row>
    <row r="331" spans="1:40" ht="15.75" customHeight="1">
      <c r="A331" s="782" t="s">
        <v>427</v>
      </c>
      <c r="B331" s="486" t="s">
        <v>103</v>
      </c>
      <c r="C331" s="630" t="s">
        <v>50</v>
      </c>
      <c r="D331" s="544"/>
      <c r="E331" s="486"/>
      <c r="F331" s="543">
        <v>2779.9130291189213</v>
      </c>
      <c r="G331" s="545"/>
      <c r="H331" s="486"/>
      <c r="I331" s="543"/>
      <c r="J331" s="502"/>
      <c r="K331" s="486"/>
      <c r="L331" s="507">
        <v>1697.62</v>
      </c>
      <c r="M331" s="502"/>
      <c r="N331" s="505">
        <v>-1082.2930291189214</v>
      </c>
      <c r="O331" s="502"/>
      <c r="P331" s="486"/>
      <c r="Q331" s="507">
        <v>3800.67</v>
      </c>
      <c r="R331" s="502"/>
      <c r="S331" s="505">
        <v>-2103.0500000000002</v>
      </c>
      <c r="T331" s="486"/>
      <c r="U331" s="485"/>
      <c r="V331" s="486"/>
      <c r="W331" s="503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</row>
    <row r="332" spans="1:40" ht="15.75" customHeight="1">
      <c r="A332" s="782" t="s">
        <v>428</v>
      </c>
      <c r="B332" s="486" t="s">
        <v>103</v>
      </c>
      <c r="C332" s="556" t="s">
        <v>51</v>
      </c>
      <c r="D332" s="544"/>
      <c r="E332" s="486"/>
      <c r="F332" s="543">
        <v>561.52577820142733</v>
      </c>
      <c r="G332" s="545"/>
      <c r="H332" s="486"/>
      <c r="I332" s="543"/>
      <c r="J332" s="502"/>
      <c r="K332" s="486"/>
      <c r="L332" s="507">
        <v>4182.3</v>
      </c>
      <c r="M332" s="502"/>
      <c r="N332" s="505">
        <v>3620.7742217985729</v>
      </c>
      <c r="O332" s="502"/>
      <c r="P332" s="486"/>
      <c r="Q332" s="507">
        <v>954.5</v>
      </c>
      <c r="R332" s="502"/>
      <c r="S332" s="505">
        <v>3227.8</v>
      </c>
      <c r="T332" s="486"/>
      <c r="U332" s="485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</row>
    <row r="333" spans="1:40" ht="15.75" customHeight="1">
      <c r="A333" s="782" t="s">
        <v>429</v>
      </c>
      <c r="B333" s="486" t="s">
        <v>103</v>
      </c>
      <c r="C333" s="557" t="s">
        <v>52</v>
      </c>
      <c r="D333" s="546"/>
      <c r="E333" s="561"/>
      <c r="F333" s="497">
        <v>1264.3204888888893</v>
      </c>
      <c r="G333" s="547"/>
      <c r="H333" s="561"/>
      <c r="I333" s="497"/>
      <c r="J333" s="495"/>
      <c r="K333" s="561"/>
      <c r="L333" s="507">
        <v>1142.53</v>
      </c>
      <c r="M333" s="495"/>
      <c r="N333" s="517">
        <v>-121.79048888888929</v>
      </c>
      <c r="O333" s="495"/>
      <c r="P333" s="561"/>
      <c r="Q333" s="507">
        <v>1299.26</v>
      </c>
      <c r="R333" s="495"/>
      <c r="S333" s="517">
        <v>-156.73000000000002</v>
      </c>
      <c r="T333" s="486"/>
      <c r="U333" s="485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</row>
    <row r="334" spans="1:40" ht="15.75" customHeight="1">
      <c r="A334" s="782" t="s">
        <v>430</v>
      </c>
      <c r="B334" s="486" t="s">
        <v>103</v>
      </c>
      <c r="C334" s="556" t="s">
        <v>53</v>
      </c>
      <c r="D334" s="544"/>
      <c r="E334" s="486"/>
      <c r="F334" s="543">
        <v>4449.6567389444454</v>
      </c>
      <c r="G334" s="545"/>
      <c r="H334" s="486"/>
      <c r="I334" s="543"/>
      <c r="J334" s="502"/>
      <c r="K334" s="486"/>
      <c r="L334" s="524">
        <v>5549.46</v>
      </c>
      <c r="M334" s="502"/>
      <c r="N334" s="505">
        <v>1099.8032610555547</v>
      </c>
      <c r="O334" s="502"/>
      <c r="P334" s="486"/>
      <c r="Q334" s="524">
        <v>4542.16</v>
      </c>
      <c r="R334" s="502"/>
      <c r="S334" s="505">
        <v>1007.3000000000002</v>
      </c>
      <c r="T334" s="486"/>
      <c r="U334" s="485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</row>
    <row r="335" spans="1:40" ht="15.75" customHeight="1">
      <c r="A335" s="782" t="s">
        <v>431</v>
      </c>
      <c r="B335" s="486" t="s">
        <v>103</v>
      </c>
      <c r="C335" s="556" t="s">
        <v>54</v>
      </c>
      <c r="D335" s="544"/>
      <c r="E335" s="486"/>
      <c r="F335" s="543">
        <v>818.27646887680896</v>
      </c>
      <c r="G335" s="545"/>
      <c r="H335" s="486"/>
      <c r="I335" s="543"/>
      <c r="J335" s="502"/>
      <c r="K335" s="486"/>
      <c r="L335" s="507">
        <v>1557.1</v>
      </c>
      <c r="M335" s="502"/>
      <c r="N335" s="505">
        <v>738.82353112319095</v>
      </c>
      <c r="O335" s="502"/>
      <c r="P335" s="486"/>
      <c r="Q335" s="507">
        <v>918.93</v>
      </c>
      <c r="R335" s="502"/>
      <c r="S335" s="505">
        <v>638.16999999999996</v>
      </c>
      <c r="T335" s="486"/>
      <c r="U335" s="485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</row>
    <row r="336" spans="1:40" ht="15.75" customHeight="1">
      <c r="A336" s="782" t="s">
        <v>432</v>
      </c>
      <c r="B336" s="486" t="s">
        <v>103</v>
      </c>
      <c r="C336" s="557" t="s">
        <v>55</v>
      </c>
      <c r="D336" s="546"/>
      <c r="E336" s="561"/>
      <c r="F336" s="497">
        <v>12488.085877265243</v>
      </c>
      <c r="G336" s="547"/>
      <c r="H336" s="561"/>
      <c r="I336" s="497"/>
      <c r="J336" s="495"/>
      <c r="K336" s="561"/>
      <c r="L336" s="497">
        <v>12748.85</v>
      </c>
      <c r="M336" s="495"/>
      <c r="N336" s="517">
        <v>260.76412273475762</v>
      </c>
      <c r="O336" s="495"/>
      <c r="P336" s="561"/>
      <c r="Q336" s="497">
        <v>10112.43</v>
      </c>
      <c r="R336" s="495"/>
      <c r="S336" s="517">
        <v>2636.42</v>
      </c>
      <c r="T336" s="486"/>
      <c r="U336" s="485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</row>
    <row r="337" spans="1:40" ht="15.75" customHeight="1">
      <c r="A337" s="782" t="s">
        <v>433</v>
      </c>
      <c r="B337" s="486" t="s">
        <v>103</v>
      </c>
      <c r="C337" s="556" t="s">
        <v>98</v>
      </c>
      <c r="D337" s="544"/>
      <c r="E337" s="486"/>
      <c r="F337" s="543"/>
      <c r="G337" s="545"/>
      <c r="H337" s="486"/>
      <c r="I337" s="543"/>
      <c r="J337" s="502"/>
      <c r="K337" s="486"/>
      <c r="L337" s="507">
        <v>0</v>
      </c>
      <c r="M337" s="502"/>
      <c r="N337" s="505">
        <v>0</v>
      </c>
      <c r="O337" s="502"/>
      <c r="P337" s="486"/>
      <c r="Q337" s="507">
        <v>0</v>
      </c>
      <c r="R337" s="502"/>
      <c r="S337" s="505">
        <v>0</v>
      </c>
      <c r="T337" s="486"/>
      <c r="U337" s="485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</row>
    <row r="338" spans="1:40" ht="15.75" customHeight="1">
      <c r="A338" s="782" t="s">
        <v>434</v>
      </c>
      <c r="B338" s="486" t="s">
        <v>103</v>
      </c>
      <c r="C338" s="556" t="s">
        <v>56</v>
      </c>
      <c r="D338" s="544"/>
      <c r="E338" s="486"/>
      <c r="F338" s="543">
        <v>255.67533333333333</v>
      </c>
      <c r="G338" s="545"/>
      <c r="H338" s="486"/>
      <c r="I338" s="543"/>
      <c r="J338" s="502"/>
      <c r="K338" s="486"/>
      <c r="L338" s="507">
        <v>114.94</v>
      </c>
      <c r="M338" s="502"/>
      <c r="N338" s="505">
        <v>-140.73533333333333</v>
      </c>
      <c r="O338" s="502"/>
      <c r="P338" s="486"/>
      <c r="Q338" s="507">
        <v>3.57</v>
      </c>
      <c r="R338" s="502"/>
      <c r="S338" s="505">
        <v>111.37</v>
      </c>
      <c r="T338" s="486"/>
      <c r="U338" s="485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</row>
    <row r="339" spans="1:40" ht="15.75" customHeight="1">
      <c r="A339" s="782" t="s">
        <v>435</v>
      </c>
      <c r="B339" s="486" t="s">
        <v>103</v>
      </c>
      <c r="C339" s="556" t="s">
        <v>57</v>
      </c>
      <c r="D339" s="544"/>
      <c r="E339" s="486"/>
      <c r="F339" s="543">
        <v>28.333333333333332</v>
      </c>
      <c r="G339" s="545"/>
      <c r="H339" s="486"/>
      <c r="I339" s="543"/>
      <c r="J339" s="502"/>
      <c r="K339" s="486"/>
      <c r="L339" s="507">
        <v>0</v>
      </c>
      <c r="M339" s="502"/>
      <c r="N339" s="505">
        <v>-28.333333333333332</v>
      </c>
      <c r="O339" s="502"/>
      <c r="P339" s="486"/>
      <c r="Q339" s="507">
        <v>0</v>
      </c>
      <c r="R339" s="502"/>
      <c r="S339" s="505">
        <v>0</v>
      </c>
      <c r="T339" s="486"/>
      <c r="U339" s="485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</row>
    <row r="340" spans="1:40" ht="15.75" customHeight="1">
      <c r="A340" s="782" t="s">
        <v>436</v>
      </c>
      <c r="B340" s="486" t="s">
        <v>103</v>
      </c>
      <c r="C340" s="556" t="s">
        <v>58</v>
      </c>
      <c r="D340" s="544"/>
      <c r="E340" s="486"/>
      <c r="F340" s="543">
        <v>716.40904661649995</v>
      </c>
      <c r="G340" s="545"/>
      <c r="H340" s="486"/>
      <c r="I340" s="543"/>
      <c r="J340" s="502"/>
      <c r="K340" s="486"/>
      <c r="L340" s="507">
        <v>319.17</v>
      </c>
      <c r="M340" s="502"/>
      <c r="N340" s="505">
        <v>-397.23904661649993</v>
      </c>
      <c r="O340" s="502"/>
      <c r="P340" s="486"/>
      <c r="Q340" s="507">
        <v>303.14</v>
      </c>
      <c r="R340" s="502"/>
      <c r="S340" s="505">
        <v>16.03000000000003</v>
      </c>
      <c r="T340" s="486"/>
      <c r="U340" s="485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</row>
    <row r="341" spans="1:40" ht="15.75" customHeight="1">
      <c r="A341" s="782" t="s">
        <v>437</v>
      </c>
      <c r="B341" s="486" t="s">
        <v>103</v>
      </c>
      <c r="C341" s="556" t="s">
        <v>59</v>
      </c>
      <c r="D341" s="544"/>
      <c r="E341" s="486"/>
      <c r="F341" s="543">
        <v>115.54074359217363</v>
      </c>
      <c r="G341" s="545"/>
      <c r="H341" s="486"/>
      <c r="I341" s="543"/>
      <c r="J341" s="502"/>
      <c r="K341" s="486"/>
      <c r="L341" s="507">
        <v>81.89</v>
      </c>
      <c r="M341" s="502"/>
      <c r="N341" s="505">
        <v>-33.650743592173626</v>
      </c>
      <c r="O341" s="502"/>
      <c r="P341" s="486"/>
      <c r="Q341" s="507">
        <v>90.67</v>
      </c>
      <c r="R341" s="502"/>
      <c r="S341" s="505">
        <v>-8.7800000000000011</v>
      </c>
      <c r="T341" s="486"/>
      <c r="U341" s="485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</row>
    <row r="342" spans="1:40" ht="15.75" customHeight="1">
      <c r="A342" s="782" t="s">
        <v>438</v>
      </c>
      <c r="B342" s="486" t="s">
        <v>103</v>
      </c>
      <c r="C342" s="556" t="s">
        <v>60</v>
      </c>
      <c r="D342" s="544"/>
      <c r="E342" s="486"/>
      <c r="F342" s="543">
        <v>-31.110347462173621</v>
      </c>
      <c r="G342" s="545"/>
      <c r="H342" s="486"/>
      <c r="I342" s="543"/>
      <c r="J342" s="502"/>
      <c r="K342" s="486"/>
      <c r="L342" s="507">
        <v>-997.2</v>
      </c>
      <c r="M342" s="502"/>
      <c r="N342" s="505">
        <v>-966.0896525378264</v>
      </c>
      <c r="O342" s="502"/>
      <c r="P342" s="486"/>
      <c r="Q342" s="507">
        <v>25.75</v>
      </c>
      <c r="R342" s="502"/>
      <c r="S342" s="505">
        <v>-1022.95</v>
      </c>
      <c r="T342" s="486"/>
      <c r="U342" s="485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</row>
    <row r="343" spans="1:40" ht="15.75" customHeight="1">
      <c r="A343" s="782" t="s">
        <v>439</v>
      </c>
      <c r="B343" s="486" t="s">
        <v>103</v>
      </c>
      <c r="C343" s="556" t="s">
        <v>61</v>
      </c>
      <c r="D343" s="544"/>
      <c r="E343" s="486"/>
      <c r="F343" s="543">
        <v>156.51117666245145</v>
      </c>
      <c r="G343" s="545"/>
      <c r="H343" s="486"/>
      <c r="I343" s="543"/>
      <c r="J343" s="502"/>
      <c r="K343" s="486"/>
      <c r="L343" s="507">
        <v>49</v>
      </c>
      <c r="M343" s="502"/>
      <c r="N343" s="505">
        <v>-107.51117666245145</v>
      </c>
      <c r="O343" s="502"/>
      <c r="P343" s="486"/>
      <c r="Q343" s="507">
        <v>96.66</v>
      </c>
      <c r="R343" s="502"/>
      <c r="S343" s="505">
        <v>-47.66</v>
      </c>
      <c r="T343" s="486"/>
      <c r="U343" s="485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</row>
    <row r="344" spans="1:40" ht="15.75" customHeight="1">
      <c r="A344" s="782" t="s">
        <v>440</v>
      </c>
      <c r="B344" s="486" t="s">
        <v>103</v>
      </c>
      <c r="C344" s="556" t="s">
        <v>62</v>
      </c>
      <c r="D344" s="544"/>
      <c r="E344" s="486"/>
      <c r="F344" s="543">
        <v>378.95432121431327</v>
      </c>
      <c r="G344" s="545"/>
      <c r="H344" s="486"/>
      <c r="I344" s="543"/>
      <c r="J344" s="502"/>
      <c r="K344" s="486"/>
      <c r="L344" s="507">
        <v>79.75</v>
      </c>
      <c r="M344" s="502"/>
      <c r="N344" s="505">
        <v>-299.20432121431327</v>
      </c>
      <c r="O344" s="502"/>
      <c r="P344" s="486"/>
      <c r="Q344" s="507">
        <v>79.75</v>
      </c>
      <c r="R344" s="502"/>
      <c r="S344" s="505">
        <v>0</v>
      </c>
      <c r="T344" s="486"/>
      <c r="U344" s="831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</row>
    <row r="345" spans="1:40" ht="15.75" customHeight="1">
      <c r="A345" s="782" t="s">
        <v>441</v>
      </c>
      <c r="B345" s="486" t="s">
        <v>103</v>
      </c>
      <c r="C345" s="556" t="s">
        <v>63</v>
      </c>
      <c r="D345" s="544"/>
      <c r="E345" s="486"/>
      <c r="F345" s="543">
        <v>1634.2364306141619</v>
      </c>
      <c r="G345" s="545"/>
      <c r="H345" s="486"/>
      <c r="I345" s="543"/>
      <c r="J345" s="502"/>
      <c r="K345" s="486"/>
      <c r="L345" s="507">
        <v>1568.94</v>
      </c>
      <c r="M345" s="502"/>
      <c r="N345" s="505">
        <v>-65.296430614161864</v>
      </c>
      <c r="O345" s="502"/>
      <c r="P345" s="486"/>
      <c r="Q345" s="507">
        <v>1492.37</v>
      </c>
      <c r="R345" s="502"/>
      <c r="S345" s="505">
        <v>76.570000000000164</v>
      </c>
      <c r="T345" s="486"/>
      <c r="U345" s="831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</row>
    <row r="346" spans="1:40" ht="15.75" hidden="1" customHeight="1">
      <c r="A346" s="782" t="s">
        <v>408</v>
      </c>
      <c r="B346" s="486" t="s">
        <v>103</v>
      </c>
      <c r="C346" s="556" t="s">
        <v>20</v>
      </c>
      <c r="D346" s="544"/>
      <c r="E346" s="486"/>
      <c r="F346" s="543">
        <v>0</v>
      </c>
      <c r="G346" s="545"/>
      <c r="H346" s="486"/>
      <c r="I346" s="543"/>
      <c r="J346" s="502"/>
      <c r="K346" s="486"/>
      <c r="L346" s="507">
        <v>0</v>
      </c>
      <c r="M346" s="502"/>
      <c r="N346" s="505">
        <v>0</v>
      </c>
      <c r="O346" s="502"/>
      <c r="P346" s="486"/>
      <c r="Q346" s="507">
        <v>0</v>
      </c>
      <c r="R346" s="502"/>
      <c r="S346" s="505">
        <v>0</v>
      </c>
      <c r="T346" s="486"/>
      <c r="U346" s="831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</row>
    <row r="347" spans="1:40" ht="15.75" hidden="1" customHeight="1">
      <c r="A347" s="782" t="s">
        <v>408</v>
      </c>
      <c r="B347" s="486" t="s">
        <v>103</v>
      </c>
      <c r="C347" s="556" t="s">
        <v>20</v>
      </c>
      <c r="D347" s="544"/>
      <c r="E347" s="486"/>
      <c r="F347" s="543">
        <v>0</v>
      </c>
      <c r="G347" s="545"/>
      <c r="H347" s="486"/>
      <c r="I347" s="543"/>
      <c r="J347" s="502"/>
      <c r="K347" s="486"/>
      <c r="L347" s="507">
        <v>0</v>
      </c>
      <c r="M347" s="502"/>
      <c r="N347" s="505">
        <v>0</v>
      </c>
      <c r="O347" s="502"/>
      <c r="P347" s="486"/>
      <c r="Q347" s="507">
        <v>0</v>
      </c>
      <c r="R347" s="502"/>
      <c r="S347" s="505">
        <v>0</v>
      </c>
      <c r="T347" s="486"/>
      <c r="U347" s="831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</row>
    <row r="348" spans="1:40" ht="15.75" hidden="1" customHeight="1">
      <c r="A348" s="782" t="s">
        <v>408</v>
      </c>
      <c r="B348" s="486" t="s">
        <v>103</v>
      </c>
      <c r="C348" s="556" t="s">
        <v>20</v>
      </c>
      <c r="D348" s="544"/>
      <c r="E348" s="486"/>
      <c r="F348" s="543">
        <v>0</v>
      </c>
      <c r="G348" s="545"/>
      <c r="H348" s="486"/>
      <c r="I348" s="543"/>
      <c r="J348" s="502"/>
      <c r="K348" s="486"/>
      <c r="L348" s="507">
        <v>0</v>
      </c>
      <c r="M348" s="502"/>
      <c r="N348" s="505">
        <v>0</v>
      </c>
      <c r="O348" s="502"/>
      <c r="P348" s="486"/>
      <c r="Q348" s="507">
        <v>0</v>
      </c>
      <c r="R348" s="502"/>
      <c r="S348" s="505">
        <v>0</v>
      </c>
      <c r="T348" s="486"/>
      <c r="U348" s="831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</row>
    <row r="349" spans="1:40" ht="15.75" customHeight="1">
      <c r="B349" s="482"/>
      <c r="C349" s="551" t="s">
        <v>64</v>
      </c>
      <c r="D349" s="552" t="s">
        <v>39</v>
      </c>
      <c r="E349" s="553">
        <v>0.21655190434311475</v>
      </c>
      <c r="F349" s="554">
        <v>25616.328419199825</v>
      </c>
      <c r="G349" s="621"/>
      <c r="H349" s="553"/>
      <c r="I349" s="554"/>
      <c r="J349" s="621" t="s">
        <v>39</v>
      </c>
      <c r="K349" s="553">
        <v>0.25678918979787996</v>
      </c>
      <c r="L349" s="554">
        <v>28094.349999999995</v>
      </c>
      <c r="M349" s="555"/>
      <c r="N349" s="554">
        <v>2478.0215808001731</v>
      </c>
      <c r="O349" s="621" t="s">
        <v>39</v>
      </c>
      <c r="P349" s="553">
        <v>0.28175750727234439</v>
      </c>
      <c r="Q349" s="554">
        <v>23719.859999999997</v>
      </c>
      <c r="R349" s="555"/>
      <c r="S349" s="554">
        <v>4374.49</v>
      </c>
      <c r="T349" s="486"/>
      <c r="U349" s="831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</row>
    <row r="350" spans="1:40" ht="15.75" customHeight="1">
      <c r="B350" s="482"/>
      <c r="C350" s="495"/>
      <c r="D350" s="546"/>
      <c r="E350" s="561"/>
      <c r="F350" s="505"/>
      <c r="G350" s="547"/>
      <c r="H350" s="561"/>
      <c r="I350" s="505"/>
      <c r="J350" s="495"/>
      <c r="K350" s="561"/>
      <c r="L350" s="517"/>
      <c r="M350" s="495"/>
      <c r="N350" s="517"/>
      <c r="O350" s="495"/>
      <c r="P350" s="561"/>
      <c r="Q350" s="517"/>
      <c r="R350" s="495"/>
      <c r="S350" s="517"/>
      <c r="T350" s="486"/>
      <c r="U350" s="485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</row>
    <row r="351" spans="1:40" ht="15.75" customHeight="1">
      <c r="B351" s="482"/>
      <c r="C351" s="551" t="s">
        <v>65</v>
      </c>
      <c r="D351" s="552" t="s">
        <v>39</v>
      </c>
      <c r="E351" s="553">
        <v>0.60789179776063007</v>
      </c>
      <c r="F351" s="554">
        <v>71908.653872196752</v>
      </c>
      <c r="G351" s="621"/>
      <c r="H351" s="553"/>
      <c r="I351" s="554"/>
      <c r="J351" s="621" t="s">
        <v>39</v>
      </c>
      <c r="K351" s="553">
        <v>0.66094743373049525</v>
      </c>
      <c r="L351" s="554">
        <v>72311.8</v>
      </c>
      <c r="M351" s="555"/>
      <c r="N351" s="563">
        <v>403.14612780325115</v>
      </c>
      <c r="O351" s="621" t="s">
        <v>39</v>
      </c>
      <c r="P351" s="553">
        <v>0.76640644330481655</v>
      </c>
      <c r="Q351" s="554">
        <v>64520.209999999992</v>
      </c>
      <c r="R351" s="555"/>
      <c r="S351" s="563">
        <v>7791.5900000000111</v>
      </c>
      <c r="T351" s="486"/>
      <c r="U351" s="485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</row>
    <row r="352" spans="1:40" ht="15.75" customHeight="1">
      <c r="B352" s="482"/>
      <c r="C352" s="502"/>
      <c r="D352" s="544"/>
      <c r="E352" s="486"/>
      <c r="F352" s="505"/>
      <c r="G352" s="545"/>
      <c r="H352" s="486"/>
      <c r="I352" s="505"/>
      <c r="J352" s="502"/>
      <c r="K352" s="486"/>
      <c r="L352" s="505"/>
      <c r="M352" s="502"/>
      <c r="N352" s="505">
        <v>0</v>
      </c>
      <c r="O352" s="502"/>
      <c r="P352" s="486"/>
      <c r="Q352" s="505"/>
      <c r="R352" s="502"/>
      <c r="S352" s="505"/>
      <c r="T352" s="486"/>
      <c r="U352" s="485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</row>
    <row r="353" spans="1:40" ht="24" customHeight="1" thickBot="1">
      <c r="B353" s="482"/>
      <c r="C353" s="572" t="s">
        <v>72</v>
      </c>
      <c r="D353" s="595"/>
      <c r="E353" s="573"/>
      <c r="F353" s="574">
        <v>46383.210135667803</v>
      </c>
      <c r="G353" s="622"/>
      <c r="H353" s="573"/>
      <c r="I353" s="574"/>
      <c r="J353" s="572"/>
      <c r="K353" s="808"/>
      <c r="L353" s="574">
        <v>37094.479999999996</v>
      </c>
      <c r="M353" s="572"/>
      <c r="N353" s="574">
        <v>-9288.7301356678072</v>
      </c>
      <c r="O353" s="572"/>
      <c r="P353" s="809">
        <v>5.9138495214361805E-2</v>
      </c>
      <c r="Q353" s="574">
        <v>19665.159999999989</v>
      </c>
      <c r="R353" s="572"/>
      <c r="S353" s="574">
        <v>17429.320000000007</v>
      </c>
      <c r="T353" s="486"/>
      <c r="U353" s="485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</row>
    <row r="354" spans="1:40" ht="15.75" customHeight="1" thickTop="1">
      <c r="B354" s="482"/>
      <c r="C354" s="538"/>
      <c r="D354" s="544"/>
      <c r="E354" s="486"/>
      <c r="F354" s="562"/>
      <c r="G354" s="544"/>
      <c r="H354" s="486"/>
      <c r="I354" s="562"/>
      <c r="J354" s="538"/>
      <c r="K354" s="538"/>
      <c r="L354" s="562"/>
      <c r="M354" s="538"/>
      <c r="N354" s="562"/>
      <c r="O354" s="538"/>
      <c r="P354" s="538"/>
      <c r="Q354" s="562"/>
      <c r="R354" s="538"/>
      <c r="S354" s="562"/>
      <c r="T354" s="486"/>
      <c r="U354" s="486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</row>
    <row r="355" spans="1:40" ht="15.75" hidden="1" customHeight="1">
      <c r="B355" s="482"/>
      <c r="C355" s="538"/>
      <c r="D355" s="544"/>
      <c r="E355" s="486"/>
      <c r="F355" s="562"/>
      <c r="G355" s="544"/>
      <c r="H355" s="486"/>
      <c r="I355" s="562"/>
      <c r="J355" s="538"/>
      <c r="K355" s="538"/>
      <c r="L355" s="562"/>
      <c r="M355" s="538"/>
      <c r="N355" s="562"/>
      <c r="O355" s="538"/>
      <c r="P355" s="538"/>
      <c r="Q355" s="562"/>
      <c r="R355" s="538"/>
      <c r="S355" s="562"/>
      <c r="T355" s="486"/>
      <c r="U355" s="486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</row>
    <row r="356" spans="1:40" ht="34.5" hidden="1" customHeight="1">
      <c r="B356" s="482"/>
      <c r="C356" s="812" t="s">
        <v>481</v>
      </c>
      <c r="D356" s="478"/>
      <c r="E356" s="478"/>
      <c r="F356" s="478"/>
      <c r="G356" s="478"/>
      <c r="H356" s="477"/>
      <c r="I356" s="477"/>
      <c r="J356" s="477"/>
      <c r="K356" s="479" t="s">
        <v>119</v>
      </c>
      <c r="L356" s="478"/>
      <c r="M356" s="478"/>
      <c r="N356" s="477"/>
      <c r="O356" s="477"/>
      <c r="P356" s="478"/>
      <c r="Q356" s="477"/>
      <c r="R356" s="478"/>
      <c r="S356" s="481" t="s">
        <v>473</v>
      </c>
      <c r="T356" s="485"/>
      <c r="U356" s="485"/>
      <c r="V356" s="486"/>
      <c r="W356" s="485"/>
      <c r="X356" s="485"/>
      <c r="Y356" s="485"/>
      <c r="Z356" s="485"/>
      <c r="AA356" s="485"/>
      <c r="AB356" s="485"/>
      <c r="AC356" s="485"/>
      <c r="AD356" s="485"/>
      <c r="AE356" s="485"/>
      <c r="AF356" s="485"/>
      <c r="AG356" s="485"/>
      <c r="AH356" s="485"/>
      <c r="AI356" s="485"/>
      <c r="AJ356" s="485"/>
      <c r="AK356" s="485"/>
      <c r="AL356" s="485"/>
      <c r="AM356" s="485"/>
      <c r="AN356" s="485"/>
    </row>
    <row r="357" spans="1:40" ht="15.75" hidden="1" customHeight="1">
      <c r="B357" s="482"/>
      <c r="C357" s="483"/>
      <c r="D357" s="485"/>
      <c r="E357" s="485"/>
      <c r="F357" s="485"/>
      <c r="G357" s="485"/>
      <c r="H357" s="485"/>
      <c r="I357" s="485"/>
      <c r="J357" s="485"/>
      <c r="K357" s="485"/>
      <c r="L357" s="485"/>
      <c r="M357" s="485"/>
      <c r="N357" s="485"/>
      <c r="O357" s="485"/>
      <c r="P357" s="485"/>
      <c r="Q357" s="485"/>
      <c r="R357" s="485"/>
      <c r="S357" s="485"/>
      <c r="T357" s="485"/>
      <c r="U357" s="485"/>
      <c r="V357" s="486"/>
      <c r="W357" s="485"/>
      <c r="X357" s="485"/>
      <c r="Y357" s="485"/>
      <c r="Z357" s="485"/>
      <c r="AA357" s="485"/>
      <c r="AB357" s="485"/>
      <c r="AC357" s="485"/>
      <c r="AD357" s="485"/>
      <c r="AE357" s="485"/>
      <c r="AF357" s="485"/>
      <c r="AG357" s="485"/>
      <c r="AH357" s="485"/>
      <c r="AI357" s="485"/>
      <c r="AJ357" s="485"/>
      <c r="AK357" s="485"/>
      <c r="AL357" s="485"/>
      <c r="AM357" s="485"/>
      <c r="AN357" s="485"/>
    </row>
    <row r="358" spans="1:40" ht="15.75" hidden="1" customHeight="1">
      <c r="B358" s="482"/>
      <c r="C358" s="487"/>
      <c r="D358" s="883" t="s">
        <v>5</v>
      </c>
      <c r="E358" s="884"/>
      <c r="F358" s="885"/>
      <c r="G358" s="886"/>
      <c r="H358" s="884"/>
      <c r="I358" s="885"/>
      <c r="J358" s="886" t="s">
        <v>7</v>
      </c>
      <c r="K358" s="884"/>
      <c r="L358" s="885"/>
      <c r="M358" s="886"/>
      <c r="N358" s="885"/>
      <c r="O358" s="883" t="s">
        <v>8</v>
      </c>
      <c r="P358" s="884"/>
      <c r="Q358" s="885"/>
      <c r="R358" s="886" t="s">
        <v>9</v>
      </c>
      <c r="S358" s="885"/>
      <c r="T358" s="485"/>
      <c r="U358" s="485"/>
      <c r="V358" s="486"/>
      <c r="W358" s="485"/>
      <c r="X358" s="485"/>
      <c r="Y358" s="485"/>
      <c r="Z358" s="485"/>
      <c r="AA358" s="485"/>
      <c r="AB358" s="485"/>
      <c r="AC358" s="485"/>
      <c r="AD358" s="485"/>
      <c r="AE358" s="485"/>
      <c r="AF358" s="485"/>
      <c r="AG358" s="485"/>
      <c r="AH358" s="485"/>
      <c r="AI358" s="485"/>
      <c r="AJ358" s="485"/>
      <c r="AK358" s="485"/>
      <c r="AL358" s="485"/>
      <c r="AM358" s="485"/>
      <c r="AN358" s="485"/>
    </row>
    <row r="359" spans="1:40" ht="15.75" hidden="1" customHeight="1">
      <c r="A359" s="782" t="s">
        <v>119</v>
      </c>
      <c r="B359" s="486" t="s">
        <v>119</v>
      </c>
      <c r="C359" s="502"/>
      <c r="D359" s="642" t="s">
        <v>84</v>
      </c>
      <c r="E359" s="642" t="s">
        <v>104</v>
      </c>
      <c r="F359" s="643" t="s">
        <v>12</v>
      </c>
      <c r="G359" s="644"/>
      <c r="H359" s="642"/>
      <c r="I359" s="643"/>
      <c r="J359" s="493" t="s">
        <v>84</v>
      </c>
      <c r="K359" s="541" t="s">
        <v>104</v>
      </c>
      <c r="L359" s="494" t="s">
        <v>12</v>
      </c>
      <c r="M359" s="493"/>
      <c r="N359" s="494"/>
      <c r="O359" s="493" t="s">
        <v>84</v>
      </c>
      <c r="P359" s="541" t="s">
        <v>104</v>
      </c>
      <c r="Q359" s="494" t="s">
        <v>12</v>
      </c>
      <c r="R359" s="493" t="s">
        <v>85</v>
      </c>
      <c r="S359" s="494" t="s">
        <v>12</v>
      </c>
      <c r="T359" s="485"/>
      <c r="U359" s="485"/>
      <c r="V359" s="486"/>
      <c r="W359" s="485"/>
      <c r="X359" s="485"/>
      <c r="Y359" s="485"/>
      <c r="Z359" s="485"/>
      <c r="AA359" s="485"/>
      <c r="AB359" s="485"/>
      <c r="AC359" s="485"/>
      <c r="AD359" s="485"/>
      <c r="AE359" s="485"/>
      <c r="AF359" s="485"/>
      <c r="AG359" s="485"/>
      <c r="AH359" s="485"/>
      <c r="AI359" s="485"/>
      <c r="AJ359" s="485"/>
      <c r="AK359" s="485"/>
      <c r="AL359" s="485"/>
      <c r="AM359" s="485"/>
      <c r="AN359" s="485"/>
    </row>
    <row r="360" spans="1:40" ht="15.75" hidden="1" customHeight="1">
      <c r="A360" s="782" t="s">
        <v>442</v>
      </c>
      <c r="B360" s="486" t="s">
        <v>119</v>
      </c>
      <c r="C360" s="528" t="s">
        <v>119</v>
      </c>
      <c r="D360" s="645">
        <v>0</v>
      </c>
      <c r="E360" s="646">
        <v>0</v>
      </c>
      <c r="F360" s="647">
        <v>0</v>
      </c>
      <c r="G360" s="645"/>
      <c r="H360" s="646"/>
      <c r="I360" s="645"/>
      <c r="J360" s="832">
        <v>0</v>
      </c>
      <c r="K360" s="635">
        <v>0</v>
      </c>
      <c r="L360" s="833">
        <v>0</v>
      </c>
      <c r="M360" s="636"/>
      <c r="N360" s="637"/>
      <c r="O360" s="832">
        <v>0</v>
      </c>
      <c r="P360" s="635">
        <v>0</v>
      </c>
      <c r="Q360" s="833">
        <v>0</v>
      </c>
      <c r="R360" s="636">
        <v>0</v>
      </c>
      <c r="S360" s="637">
        <v>0</v>
      </c>
      <c r="T360" s="485"/>
      <c r="U360" s="485"/>
      <c r="V360" s="834"/>
      <c r="W360" s="485"/>
      <c r="X360" s="485"/>
      <c r="Y360" s="485"/>
      <c r="Z360" s="485"/>
      <c r="AA360" s="485"/>
      <c r="AB360" s="485"/>
      <c r="AC360" s="485"/>
      <c r="AD360" s="485"/>
      <c r="AE360" s="485"/>
      <c r="AF360" s="485"/>
      <c r="AG360" s="485"/>
      <c r="AH360" s="485"/>
      <c r="AI360" s="485"/>
      <c r="AJ360" s="485"/>
      <c r="AK360" s="485"/>
      <c r="AL360" s="485"/>
      <c r="AM360" s="485"/>
      <c r="AN360" s="485"/>
    </row>
    <row r="361" spans="1:40" ht="15.75" hidden="1" customHeight="1">
      <c r="A361" s="782" t="s">
        <v>119</v>
      </c>
      <c r="B361" s="486" t="s">
        <v>119</v>
      </c>
      <c r="C361" s="572"/>
      <c r="D361" s="638"/>
      <c r="E361" s="639"/>
      <c r="F361" s="574"/>
      <c r="G361" s="640"/>
      <c r="H361" s="639"/>
      <c r="I361" s="574"/>
      <c r="J361" s="640"/>
      <c r="K361" s="639"/>
      <c r="L361" s="574"/>
      <c r="M361" s="641"/>
      <c r="N361" s="536"/>
      <c r="O361" s="640"/>
      <c r="P361" s="639"/>
      <c r="Q361" s="574"/>
      <c r="R361" s="641"/>
      <c r="S361" s="536"/>
      <c r="T361" s="485"/>
      <c r="U361" s="485"/>
      <c r="V361" s="486"/>
      <c r="W361" s="485"/>
      <c r="X361" s="485"/>
      <c r="Y361" s="485"/>
      <c r="Z361" s="485"/>
      <c r="AA361" s="485"/>
      <c r="AB361" s="485"/>
      <c r="AC361" s="485"/>
      <c r="AD361" s="485"/>
      <c r="AE361" s="485"/>
      <c r="AF361" s="485"/>
      <c r="AG361" s="485"/>
      <c r="AH361" s="485"/>
      <c r="AI361" s="485"/>
      <c r="AJ361" s="485"/>
      <c r="AK361" s="485"/>
      <c r="AL361" s="485"/>
      <c r="AM361" s="485"/>
      <c r="AN361" s="485"/>
    </row>
    <row r="362" spans="1:40" ht="15.75" hidden="1" customHeight="1">
      <c r="A362" s="782" t="s">
        <v>443</v>
      </c>
      <c r="B362" s="486" t="s">
        <v>119</v>
      </c>
      <c r="C362" s="520" t="s">
        <v>120</v>
      </c>
      <c r="D362" s="562">
        <v>0</v>
      </c>
      <c r="E362" s="604">
        <v>0</v>
      </c>
      <c r="F362" s="568">
        <v>0</v>
      </c>
      <c r="G362" s="605"/>
      <c r="H362" s="604"/>
      <c r="I362" s="568"/>
      <c r="J362" s="605">
        <v>0</v>
      </c>
      <c r="K362" s="604">
        <v>0</v>
      </c>
      <c r="L362" s="568">
        <v>0</v>
      </c>
      <c r="M362" s="591"/>
      <c r="N362" s="648"/>
      <c r="O362" s="605">
        <v>0</v>
      </c>
      <c r="P362" s="604">
        <v>0</v>
      </c>
      <c r="Q362" s="568">
        <v>0</v>
      </c>
      <c r="R362" s="502">
        <v>0</v>
      </c>
      <c r="S362" s="514">
        <v>0</v>
      </c>
      <c r="T362" s="485"/>
      <c r="U362" s="485"/>
      <c r="V362" s="486"/>
      <c r="W362" s="485"/>
      <c r="X362" s="485"/>
      <c r="Y362" s="485"/>
      <c r="Z362" s="485"/>
      <c r="AA362" s="485"/>
      <c r="AB362" s="485"/>
      <c r="AC362" s="485"/>
      <c r="AD362" s="485"/>
      <c r="AE362" s="485"/>
      <c r="AF362" s="485"/>
      <c r="AG362" s="485"/>
      <c r="AH362" s="485"/>
      <c r="AI362" s="485"/>
      <c r="AJ362" s="485"/>
      <c r="AK362" s="485"/>
      <c r="AL362" s="485"/>
      <c r="AM362" s="485"/>
      <c r="AN362" s="485"/>
    </row>
    <row r="363" spans="1:40" ht="15.75" hidden="1" customHeight="1">
      <c r="A363" s="782" t="s">
        <v>119</v>
      </c>
      <c r="B363" s="486" t="s">
        <v>119</v>
      </c>
      <c r="C363" s="540"/>
      <c r="D363" s="486"/>
      <c r="E363" s="486"/>
      <c r="F363" s="505"/>
      <c r="G363" s="502"/>
      <c r="H363" s="486"/>
      <c r="I363" s="505"/>
      <c r="J363" s="502"/>
      <c r="K363" s="486"/>
      <c r="L363" s="527"/>
      <c r="M363" s="502"/>
      <c r="N363" s="597"/>
      <c r="O363" s="502"/>
      <c r="P363" s="486"/>
      <c r="Q363" s="527"/>
      <c r="R363" s="502"/>
      <c r="S363" s="527">
        <v>0</v>
      </c>
      <c r="T363" s="485"/>
      <c r="U363" s="485"/>
      <c r="V363" s="486"/>
      <c r="W363" s="485"/>
      <c r="X363" s="485"/>
      <c r="Y363" s="485"/>
      <c r="Z363" s="485"/>
      <c r="AA363" s="485"/>
      <c r="AB363" s="485"/>
      <c r="AC363" s="485"/>
      <c r="AD363" s="485"/>
      <c r="AE363" s="485"/>
      <c r="AF363" s="485"/>
      <c r="AG363" s="485"/>
      <c r="AH363" s="485"/>
      <c r="AI363" s="485"/>
      <c r="AJ363" s="485"/>
      <c r="AK363" s="485"/>
      <c r="AL363" s="485"/>
      <c r="AM363" s="485"/>
      <c r="AN363" s="485"/>
    </row>
    <row r="364" spans="1:40" ht="15.75" hidden="1" customHeight="1">
      <c r="A364" s="782" t="s">
        <v>444</v>
      </c>
      <c r="B364" s="486" t="s">
        <v>119</v>
      </c>
      <c r="C364" s="540" t="s">
        <v>30</v>
      </c>
      <c r="D364" s="486"/>
      <c r="E364" s="486"/>
      <c r="F364" s="505"/>
      <c r="G364" s="502"/>
      <c r="H364" s="486"/>
      <c r="I364" s="505"/>
      <c r="J364" s="502"/>
      <c r="K364" s="486"/>
      <c r="L364" s="527"/>
      <c r="M364" s="502"/>
      <c r="N364" s="527"/>
      <c r="O364" s="502"/>
      <c r="P364" s="486"/>
      <c r="Q364" s="527"/>
      <c r="R364" s="502"/>
      <c r="S364" s="527"/>
      <c r="T364" s="485"/>
      <c r="U364" s="485"/>
      <c r="V364" s="486"/>
      <c r="W364" s="485"/>
      <c r="X364" s="485"/>
      <c r="Y364" s="485"/>
      <c r="Z364" s="485"/>
      <c r="AA364" s="485"/>
      <c r="AB364" s="485"/>
      <c r="AC364" s="485"/>
      <c r="AD364" s="485"/>
      <c r="AE364" s="485"/>
      <c r="AF364" s="485"/>
      <c r="AG364" s="485"/>
      <c r="AH364" s="485"/>
      <c r="AI364" s="485"/>
      <c r="AJ364" s="485"/>
      <c r="AK364" s="485"/>
      <c r="AL364" s="485"/>
      <c r="AM364" s="485"/>
      <c r="AN364" s="485"/>
    </row>
    <row r="365" spans="1:40" ht="15.75" hidden="1" customHeight="1">
      <c r="A365" s="782" t="s">
        <v>445</v>
      </c>
      <c r="B365" s="486" t="s">
        <v>119</v>
      </c>
      <c r="C365" s="556" t="s">
        <v>41</v>
      </c>
      <c r="D365" s="486"/>
      <c r="E365" s="486"/>
      <c r="F365" s="543">
        <v>0</v>
      </c>
      <c r="G365" s="502"/>
      <c r="H365" s="486"/>
      <c r="I365" s="543"/>
      <c r="J365" s="502"/>
      <c r="K365" s="486"/>
      <c r="L365" s="507">
        <v>0</v>
      </c>
      <c r="M365" s="502"/>
      <c r="N365" s="527"/>
      <c r="O365" s="502"/>
      <c r="P365" s="486"/>
      <c r="Q365" s="507">
        <v>0</v>
      </c>
      <c r="R365" s="502"/>
      <c r="S365" s="507">
        <v>0</v>
      </c>
      <c r="T365" s="485"/>
      <c r="U365" s="485"/>
      <c r="V365" s="486"/>
      <c r="W365" s="485"/>
      <c r="X365" s="485"/>
      <c r="Y365" s="485"/>
      <c r="Z365" s="485"/>
      <c r="AA365" s="485"/>
      <c r="AB365" s="485"/>
      <c r="AC365" s="485"/>
      <c r="AD365" s="485"/>
      <c r="AE365" s="485"/>
      <c r="AF365" s="485"/>
      <c r="AG365" s="485"/>
      <c r="AH365" s="485"/>
      <c r="AI365" s="485"/>
      <c r="AJ365" s="485"/>
      <c r="AK365" s="485"/>
      <c r="AL365" s="485"/>
      <c r="AM365" s="485"/>
      <c r="AN365" s="485"/>
    </row>
    <row r="366" spans="1:40" ht="15.75" hidden="1" customHeight="1">
      <c r="A366" s="782" t="s">
        <v>446</v>
      </c>
      <c r="B366" s="486" t="s">
        <v>119</v>
      </c>
      <c r="C366" s="557" t="s">
        <v>42</v>
      </c>
      <c r="D366" s="544"/>
      <c r="E366" s="486"/>
      <c r="F366" s="497">
        <v>0</v>
      </c>
      <c r="G366" s="545"/>
      <c r="H366" s="486"/>
      <c r="I366" s="497"/>
      <c r="J366" s="502"/>
      <c r="K366" s="486"/>
      <c r="L366" s="497">
        <v>0</v>
      </c>
      <c r="M366" s="502"/>
      <c r="N366" s="505"/>
      <c r="O366" s="502"/>
      <c r="P366" s="486"/>
      <c r="Q366" s="497">
        <v>0</v>
      </c>
      <c r="R366" s="502"/>
      <c r="S366" s="505">
        <v>0</v>
      </c>
      <c r="T366" s="485"/>
      <c r="U366" s="485"/>
      <c r="V366" s="486"/>
      <c r="W366" s="485"/>
      <c r="X366" s="485"/>
      <c r="Y366" s="485"/>
      <c r="Z366" s="485"/>
      <c r="AA366" s="485"/>
      <c r="AB366" s="485"/>
      <c r="AC366" s="485"/>
      <c r="AD366" s="485"/>
      <c r="AE366" s="485"/>
      <c r="AF366" s="485"/>
      <c r="AG366" s="485"/>
      <c r="AH366" s="485"/>
      <c r="AI366" s="485"/>
      <c r="AJ366" s="485"/>
      <c r="AK366" s="485"/>
      <c r="AL366" s="485"/>
      <c r="AM366" s="485"/>
      <c r="AN366" s="485"/>
    </row>
    <row r="367" spans="1:40" ht="15.75" hidden="1" customHeight="1">
      <c r="A367" s="782" t="s">
        <v>447</v>
      </c>
      <c r="B367" s="486" t="s">
        <v>119</v>
      </c>
      <c r="C367" s="556" t="s">
        <v>43</v>
      </c>
      <c r="D367" s="558"/>
      <c r="E367" s="559"/>
      <c r="F367" s="543">
        <v>0</v>
      </c>
      <c r="G367" s="560"/>
      <c r="H367" s="559"/>
      <c r="I367" s="543"/>
      <c r="J367" s="488"/>
      <c r="K367" s="559"/>
      <c r="L367" s="507">
        <v>0</v>
      </c>
      <c r="M367" s="488"/>
      <c r="N367" s="523"/>
      <c r="O367" s="488"/>
      <c r="P367" s="559"/>
      <c r="Q367" s="507">
        <v>0</v>
      </c>
      <c r="R367" s="488"/>
      <c r="S367" s="523">
        <v>0</v>
      </c>
      <c r="T367" s="485"/>
      <c r="U367" s="485"/>
      <c r="V367" s="486"/>
      <c r="W367" s="485"/>
      <c r="X367" s="485"/>
      <c r="Y367" s="485"/>
      <c r="Z367" s="485"/>
      <c r="AA367" s="485"/>
      <c r="AB367" s="485"/>
      <c r="AC367" s="485"/>
      <c r="AD367" s="485"/>
      <c r="AE367" s="485"/>
      <c r="AF367" s="485"/>
      <c r="AG367" s="485"/>
      <c r="AH367" s="485"/>
      <c r="AI367" s="485"/>
      <c r="AJ367" s="485"/>
      <c r="AK367" s="485"/>
      <c r="AL367" s="485"/>
      <c r="AM367" s="485"/>
      <c r="AN367" s="485"/>
    </row>
    <row r="368" spans="1:40" ht="15.75" hidden="1" customHeight="1">
      <c r="A368" s="782" t="s">
        <v>448</v>
      </c>
      <c r="B368" s="486" t="s">
        <v>119</v>
      </c>
      <c r="C368" s="556" t="s">
        <v>44</v>
      </c>
      <c r="D368" s="544"/>
      <c r="E368" s="486"/>
      <c r="F368" s="543">
        <v>0</v>
      </c>
      <c r="G368" s="545"/>
      <c r="H368" s="486"/>
      <c r="I368" s="543"/>
      <c r="J368" s="502"/>
      <c r="K368" s="486"/>
      <c r="L368" s="507">
        <v>0</v>
      </c>
      <c r="M368" s="502"/>
      <c r="N368" s="505"/>
      <c r="O368" s="502"/>
      <c r="P368" s="486"/>
      <c r="Q368" s="507">
        <v>0</v>
      </c>
      <c r="R368" s="502"/>
      <c r="S368" s="505">
        <v>0</v>
      </c>
      <c r="T368" s="485"/>
      <c r="U368" s="485"/>
      <c r="V368" s="486"/>
      <c r="W368" s="485"/>
      <c r="X368" s="485"/>
      <c r="Y368" s="485"/>
      <c r="Z368" s="485"/>
      <c r="AA368" s="485"/>
      <c r="AB368" s="485"/>
      <c r="AC368" s="485"/>
      <c r="AD368" s="485"/>
      <c r="AE368" s="485"/>
      <c r="AF368" s="485"/>
      <c r="AG368" s="485"/>
      <c r="AH368" s="485"/>
      <c r="AI368" s="485"/>
      <c r="AJ368" s="485"/>
      <c r="AK368" s="485"/>
      <c r="AL368" s="485"/>
      <c r="AM368" s="485"/>
      <c r="AN368" s="485"/>
    </row>
    <row r="369" spans="1:40" ht="15.75" hidden="1" customHeight="1">
      <c r="A369" s="782" t="s">
        <v>449</v>
      </c>
      <c r="B369" s="486" t="s">
        <v>119</v>
      </c>
      <c r="C369" s="502" t="s">
        <v>20</v>
      </c>
      <c r="D369" s="544"/>
      <c r="E369" s="486"/>
      <c r="F369" s="543">
        <v>0</v>
      </c>
      <c r="G369" s="545"/>
      <c r="H369" s="486"/>
      <c r="I369" s="543"/>
      <c r="J369" s="502"/>
      <c r="K369" s="486"/>
      <c r="L369" s="507">
        <v>0</v>
      </c>
      <c r="M369" s="502"/>
      <c r="N369" s="505"/>
      <c r="O369" s="502"/>
      <c r="P369" s="486"/>
      <c r="Q369" s="507">
        <v>0</v>
      </c>
      <c r="R369" s="502"/>
      <c r="S369" s="505">
        <v>0</v>
      </c>
      <c r="T369" s="485"/>
      <c r="U369" s="485"/>
      <c r="V369" s="486"/>
      <c r="W369" s="485"/>
      <c r="X369" s="485"/>
      <c r="Y369" s="485"/>
      <c r="Z369" s="485"/>
      <c r="AA369" s="485"/>
      <c r="AB369" s="485"/>
      <c r="AC369" s="485"/>
      <c r="AD369" s="485"/>
      <c r="AE369" s="485"/>
      <c r="AF369" s="485"/>
      <c r="AG369" s="485"/>
      <c r="AH369" s="485"/>
      <c r="AI369" s="485"/>
      <c r="AJ369" s="485"/>
      <c r="AK369" s="485"/>
      <c r="AL369" s="485"/>
      <c r="AM369" s="485"/>
      <c r="AN369" s="485"/>
    </row>
    <row r="370" spans="1:40" ht="15.75" hidden="1" customHeight="1">
      <c r="A370" s="782" t="s">
        <v>449</v>
      </c>
      <c r="B370" s="486" t="s">
        <v>119</v>
      </c>
      <c r="C370" s="502" t="s">
        <v>20</v>
      </c>
      <c r="D370" s="544"/>
      <c r="E370" s="486"/>
      <c r="F370" s="543">
        <v>0</v>
      </c>
      <c r="G370" s="545"/>
      <c r="H370" s="486"/>
      <c r="I370" s="543"/>
      <c r="J370" s="502"/>
      <c r="K370" s="486"/>
      <c r="L370" s="507">
        <v>0</v>
      </c>
      <c r="M370" s="502"/>
      <c r="N370" s="505"/>
      <c r="O370" s="502"/>
      <c r="P370" s="486"/>
      <c r="Q370" s="507">
        <v>0</v>
      </c>
      <c r="R370" s="502"/>
      <c r="S370" s="505">
        <v>0</v>
      </c>
      <c r="T370" s="485"/>
      <c r="U370" s="485"/>
      <c r="V370" s="486"/>
      <c r="W370" s="485"/>
      <c r="X370" s="485"/>
      <c r="Y370" s="485"/>
      <c r="Z370" s="485"/>
      <c r="AA370" s="485"/>
      <c r="AB370" s="485"/>
      <c r="AC370" s="485"/>
      <c r="AD370" s="485"/>
      <c r="AE370" s="485"/>
      <c r="AF370" s="485"/>
      <c r="AG370" s="485"/>
      <c r="AH370" s="485"/>
      <c r="AI370" s="485"/>
      <c r="AJ370" s="485"/>
      <c r="AK370" s="485"/>
      <c r="AL370" s="485"/>
      <c r="AM370" s="485"/>
      <c r="AN370" s="485"/>
    </row>
    <row r="371" spans="1:40" ht="15.75" hidden="1" customHeight="1">
      <c r="A371" s="782" t="s">
        <v>449</v>
      </c>
      <c r="B371" s="486" t="s">
        <v>119</v>
      </c>
      <c r="C371" s="502" t="s">
        <v>20</v>
      </c>
      <c r="D371" s="544"/>
      <c r="E371" s="486"/>
      <c r="F371" s="543">
        <v>0</v>
      </c>
      <c r="G371" s="545"/>
      <c r="H371" s="486"/>
      <c r="I371" s="543"/>
      <c r="J371" s="502"/>
      <c r="K371" s="486"/>
      <c r="L371" s="507">
        <v>0</v>
      </c>
      <c r="M371" s="502"/>
      <c r="N371" s="505"/>
      <c r="O371" s="502"/>
      <c r="P371" s="486"/>
      <c r="Q371" s="507">
        <v>0</v>
      </c>
      <c r="R371" s="502"/>
      <c r="S371" s="505">
        <v>0</v>
      </c>
      <c r="T371" s="485"/>
      <c r="U371" s="485"/>
      <c r="V371" s="486"/>
      <c r="W371" s="485"/>
      <c r="X371" s="485"/>
      <c r="Y371" s="485"/>
      <c r="Z371" s="485"/>
      <c r="AA371" s="485"/>
      <c r="AB371" s="485"/>
      <c r="AC371" s="485"/>
      <c r="AD371" s="485"/>
      <c r="AE371" s="485"/>
      <c r="AF371" s="485"/>
      <c r="AG371" s="485"/>
      <c r="AH371" s="485"/>
      <c r="AI371" s="485"/>
      <c r="AJ371" s="485"/>
      <c r="AK371" s="485"/>
      <c r="AL371" s="485"/>
      <c r="AM371" s="485"/>
      <c r="AN371" s="485"/>
    </row>
    <row r="372" spans="1:40" ht="15.75" hidden="1" customHeight="1">
      <c r="A372" s="782" t="s">
        <v>450</v>
      </c>
      <c r="B372" s="486" t="s">
        <v>119</v>
      </c>
      <c r="C372" s="557" t="s">
        <v>45</v>
      </c>
      <c r="D372" s="544"/>
      <c r="E372" s="486"/>
      <c r="F372" s="497">
        <v>0</v>
      </c>
      <c r="G372" s="545"/>
      <c r="H372" s="486"/>
      <c r="I372" s="497"/>
      <c r="J372" s="502"/>
      <c r="K372" s="486"/>
      <c r="L372" s="497">
        <v>0</v>
      </c>
      <c r="M372" s="502"/>
      <c r="N372" s="505"/>
      <c r="O372" s="502"/>
      <c r="P372" s="486"/>
      <c r="Q372" s="497">
        <v>0</v>
      </c>
      <c r="R372" s="502"/>
      <c r="S372" s="505">
        <v>0</v>
      </c>
      <c r="T372" s="485"/>
      <c r="U372" s="485"/>
      <c r="V372" s="486"/>
      <c r="W372" s="485"/>
      <c r="X372" s="485"/>
      <c r="Y372" s="485"/>
      <c r="Z372" s="485"/>
      <c r="AA372" s="485"/>
      <c r="AB372" s="485"/>
      <c r="AC372" s="485"/>
      <c r="AD372" s="485"/>
      <c r="AE372" s="485"/>
      <c r="AF372" s="485"/>
      <c r="AG372" s="485"/>
      <c r="AH372" s="485"/>
      <c r="AI372" s="485"/>
      <c r="AJ372" s="485"/>
      <c r="AK372" s="485"/>
      <c r="AL372" s="485"/>
      <c r="AM372" s="485"/>
      <c r="AN372" s="485"/>
    </row>
    <row r="373" spans="1:40" ht="15.75" hidden="1" customHeight="1">
      <c r="A373" s="782" t="s">
        <v>451</v>
      </c>
      <c r="B373" s="486" t="s">
        <v>119</v>
      </c>
      <c r="C373" s="556" t="s">
        <v>46</v>
      </c>
      <c r="D373" s="558"/>
      <c r="E373" s="559"/>
      <c r="F373" s="543">
        <v>0</v>
      </c>
      <c r="G373" s="560"/>
      <c r="H373" s="559"/>
      <c r="I373" s="543"/>
      <c r="J373" s="488"/>
      <c r="K373" s="559"/>
      <c r="L373" s="507">
        <v>0</v>
      </c>
      <c r="M373" s="488"/>
      <c r="N373" s="523"/>
      <c r="O373" s="488"/>
      <c r="P373" s="559"/>
      <c r="Q373" s="507">
        <v>0</v>
      </c>
      <c r="R373" s="488"/>
      <c r="S373" s="523">
        <v>0</v>
      </c>
      <c r="T373" s="485"/>
      <c r="U373" s="485"/>
      <c r="V373" s="486"/>
      <c r="W373" s="485"/>
      <c r="X373" s="485"/>
      <c r="Y373" s="485"/>
      <c r="Z373" s="485"/>
      <c r="AA373" s="485"/>
      <c r="AB373" s="485"/>
      <c r="AC373" s="485"/>
      <c r="AD373" s="485"/>
      <c r="AE373" s="485"/>
      <c r="AF373" s="485"/>
      <c r="AG373" s="485"/>
      <c r="AH373" s="485"/>
      <c r="AI373" s="485"/>
      <c r="AJ373" s="485"/>
      <c r="AK373" s="485"/>
      <c r="AL373" s="485"/>
      <c r="AM373" s="485"/>
      <c r="AN373" s="485"/>
    </row>
    <row r="374" spans="1:40" ht="15.75" hidden="1" customHeight="1">
      <c r="A374" s="782" t="s">
        <v>452</v>
      </c>
      <c r="B374" s="486" t="s">
        <v>119</v>
      </c>
      <c r="C374" s="556" t="s">
        <v>47</v>
      </c>
      <c r="D374" s="544"/>
      <c r="E374" s="486"/>
      <c r="F374" s="543">
        <v>0</v>
      </c>
      <c r="G374" s="545"/>
      <c r="H374" s="486"/>
      <c r="I374" s="543"/>
      <c r="J374" s="502"/>
      <c r="K374" s="486"/>
      <c r="L374" s="507">
        <v>0</v>
      </c>
      <c r="M374" s="502"/>
      <c r="N374" s="505"/>
      <c r="O374" s="502"/>
      <c r="P374" s="486"/>
      <c r="Q374" s="507">
        <v>0</v>
      </c>
      <c r="R374" s="502"/>
      <c r="S374" s="505">
        <v>0</v>
      </c>
      <c r="T374" s="485"/>
      <c r="U374" s="485"/>
      <c r="V374" s="486"/>
      <c r="W374" s="485"/>
      <c r="X374" s="485"/>
      <c r="Y374" s="485"/>
      <c r="Z374" s="485"/>
      <c r="AA374" s="485"/>
      <c r="AB374" s="485"/>
      <c r="AC374" s="485"/>
      <c r="AD374" s="485"/>
      <c r="AE374" s="485"/>
      <c r="AF374" s="485"/>
      <c r="AG374" s="485"/>
      <c r="AH374" s="485"/>
      <c r="AI374" s="485"/>
      <c r="AJ374" s="485"/>
      <c r="AK374" s="485"/>
      <c r="AL374" s="485"/>
      <c r="AM374" s="485"/>
      <c r="AN374" s="485"/>
    </row>
    <row r="375" spans="1:40" ht="15.75" hidden="1" customHeight="1">
      <c r="A375" s="782" t="s">
        <v>453</v>
      </c>
      <c r="B375" s="486" t="s">
        <v>119</v>
      </c>
      <c r="C375" s="556" t="s">
        <v>48</v>
      </c>
      <c r="D375" s="544"/>
      <c r="E375" s="486"/>
      <c r="F375" s="543">
        <v>0</v>
      </c>
      <c r="G375" s="545"/>
      <c r="H375" s="486"/>
      <c r="I375" s="543"/>
      <c r="J375" s="502"/>
      <c r="K375" s="486"/>
      <c r="L375" s="507">
        <v>0</v>
      </c>
      <c r="M375" s="502"/>
      <c r="N375" s="505"/>
      <c r="O375" s="502"/>
      <c r="P375" s="486"/>
      <c r="Q375" s="507">
        <v>0</v>
      </c>
      <c r="R375" s="502"/>
      <c r="S375" s="505">
        <v>0</v>
      </c>
      <c r="T375" s="485"/>
      <c r="U375" s="485"/>
      <c r="V375" s="486"/>
      <c r="W375" s="485"/>
      <c r="X375" s="485"/>
      <c r="Y375" s="485"/>
      <c r="Z375" s="485"/>
      <c r="AA375" s="485"/>
      <c r="AB375" s="485"/>
      <c r="AC375" s="485"/>
      <c r="AD375" s="485"/>
      <c r="AE375" s="485"/>
      <c r="AF375" s="485"/>
      <c r="AG375" s="485"/>
      <c r="AH375" s="485"/>
      <c r="AI375" s="485"/>
      <c r="AJ375" s="485"/>
      <c r="AK375" s="485"/>
      <c r="AL375" s="485"/>
      <c r="AM375" s="485"/>
      <c r="AN375" s="485"/>
    </row>
    <row r="376" spans="1:40" ht="15.75" hidden="1" customHeight="1">
      <c r="A376" s="782" t="s">
        <v>449</v>
      </c>
      <c r="B376" s="486" t="s">
        <v>119</v>
      </c>
      <c r="C376" s="502" t="s">
        <v>20</v>
      </c>
      <c r="D376" s="546"/>
      <c r="E376" s="561"/>
      <c r="F376" s="543">
        <v>0</v>
      </c>
      <c r="G376" s="547"/>
      <c r="H376" s="561"/>
      <c r="I376" s="543"/>
      <c r="J376" s="495"/>
      <c r="K376" s="561"/>
      <c r="L376" s="507">
        <v>0</v>
      </c>
      <c r="M376" s="495"/>
      <c r="N376" s="517"/>
      <c r="O376" s="495"/>
      <c r="P376" s="561"/>
      <c r="Q376" s="507">
        <v>0</v>
      </c>
      <c r="R376" s="495"/>
      <c r="S376" s="517">
        <v>0</v>
      </c>
      <c r="T376" s="485"/>
      <c r="U376" s="485"/>
      <c r="V376" s="486"/>
      <c r="W376" s="485"/>
      <c r="X376" s="485"/>
      <c r="Y376" s="485"/>
      <c r="Z376" s="485"/>
      <c r="AA376" s="485"/>
      <c r="AB376" s="485"/>
      <c r="AC376" s="485"/>
      <c r="AD376" s="485"/>
      <c r="AE376" s="485"/>
      <c r="AF376" s="485"/>
      <c r="AG376" s="485"/>
      <c r="AH376" s="485"/>
      <c r="AI376" s="485"/>
      <c r="AJ376" s="485"/>
      <c r="AK376" s="485"/>
      <c r="AL376" s="485"/>
      <c r="AM376" s="485"/>
      <c r="AN376" s="485"/>
    </row>
    <row r="377" spans="1:40" ht="15.75" hidden="1" customHeight="1">
      <c r="A377" s="782" t="s">
        <v>454</v>
      </c>
      <c r="B377" s="486" t="s">
        <v>119</v>
      </c>
      <c r="C377" s="551" t="s">
        <v>49</v>
      </c>
      <c r="D377" s="552" t="s">
        <v>39</v>
      </c>
      <c r="E377" s="553">
        <v>0</v>
      </c>
      <c r="F377" s="554">
        <v>0</v>
      </c>
      <c r="G377" s="621"/>
      <c r="H377" s="553"/>
      <c r="I377" s="554"/>
      <c r="J377" s="621" t="s">
        <v>39</v>
      </c>
      <c r="K377" s="553">
        <v>0</v>
      </c>
      <c r="L377" s="554">
        <v>0</v>
      </c>
      <c r="M377" s="590"/>
      <c r="N377" s="563"/>
      <c r="O377" s="621" t="s">
        <v>39</v>
      </c>
      <c r="P377" s="553">
        <v>0</v>
      </c>
      <c r="Q377" s="554">
        <v>0</v>
      </c>
      <c r="R377" s="590"/>
      <c r="S377" s="563">
        <v>0</v>
      </c>
      <c r="T377" s="485"/>
      <c r="U377" s="485"/>
      <c r="V377" s="486"/>
      <c r="W377" s="485"/>
      <c r="X377" s="485"/>
      <c r="Y377" s="485"/>
      <c r="Z377" s="485"/>
      <c r="AA377" s="485"/>
      <c r="AB377" s="485"/>
      <c r="AC377" s="485"/>
      <c r="AD377" s="485"/>
      <c r="AE377" s="485"/>
      <c r="AF377" s="485"/>
      <c r="AG377" s="485"/>
      <c r="AH377" s="485"/>
      <c r="AI377" s="485"/>
      <c r="AJ377" s="485"/>
      <c r="AK377" s="485"/>
      <c r="AL377" s="485"/>
      <c r="AM377" s="485"/>
      <c r="AN377" s="485"/>
    </row>
    <row r="378" spans="1:40" ht="15.75" hidden="1" customHeight="1">
      <c r="A378" s="782" t="s">
        <v>455</v>
      </c>
      <c r="B378" s="486" t="s">
        <v>119</v>
      </c>
      <c r="C378" s="630" t="s">
        <v>50</v>
      </c>
      <c r="D378" s="544"/>
      <c r="E378" s="486"/>
      <c r="F378" s="543">
        <v>0</v>
      </c>
      <c r="G378" s="545"/>
      <c r="H378" s="486"/>
      <c r="I378" s="543"/>
      <c r="J378" s="502"/>
      <c r="K378" s="486"/>
      <c r="L378" s="507">
        <v>0</v>
      </c>
      <c r="M378" s="502"/>
      <c r="N378" s="505"/>
      <c r="O378" s="502"/>
      <c r="P378" s="486"/>
      <c r="Q378" s="507">
        <v>0</v>
      </c>
      <c r="R378" s="502"/>
      <c r="S378" s="505">
        <v>0</v>
      </c>
      <c r="T378" s="485"/>
      <c r="U378" s="485"/>
      <c r="V378" s="486"/>
      <c r="W378" s="485"/>
      <c r="X378" s="485"/>
      <c r="Y378" s="485"/>
      <c r="Z378" s="485"/>
      <c r="AA378" s="485"/>
      <c r="AB378" s="485"/>
      <c r="AC378" s="485"/>
      <c r="AD378" s="485"/>
      <c r="AE378" s="485"/>
      <c r="AF378" s="485"/>
      <c r="AG378" s="485"/>
      <c r="AH378" s="485"/>
      <c r="AI378" s="485"/>
      <c r="AJ378" s="485"/>
      <c r="AK378" s="485"/>
      <c r="AL378" s="485"/>
      <c r="AM378" s="485"/>
      <c r="AN378" s="485"/>
    </row>
    <row r="379" spans="1:40" ht="15.75" hidden="1" customHeight="1">
      <c r="A379" s="782" t="s">
        <v>456</v>
      </c>
      <c r="B379" s="486" t="s">
        <v>119</v>
      </c>
      <c r="C379" s="556" t="s">
        <v>51</v>
      </c>
      <c r="D379" s="544"/>
      <c r="E379" s="486"/>
      <c r="F379" s="543">
        <v>0</v>
      </c>
      <c r="G379" s="545"/>
      <c r="H379" s="486"/>
      <c r="I379" s="543"/>
      <c r="J379" s="502"/>
      <c r="K379" s="486"/>
      <c r="L379" s="507">
        <v>0</v>
      </c>
      <c r="M379" s="502"/>
      <c r="N379" s="505"/>
      <c r="O379" s="502"/>
      <c r="P379" s="486"/>
      <c r="Q379" s="507">
        <v>0</v>
      </c>
      <c r="R379" s="502"/>
      <c r="S379" s="505">
        <v>0</v>
      </c>
      <c r="T379" s="485"/>
      <c r="U379" s="485"/>
      <c r="V379" s="486"/>
      <c r="W379" s="485"/>
      <c r="X379" s="485"/>
      <c r="Y379" s="485"/>
      <c r="Z379" s="485"/>
      <c r="AA379" s="485"/>
      <c r="AB379" s="485"/>
      <c r="AC379" s="485"/>
      <c r="AD379" s="485"/>
      <c r="AE379" s="485"/>
      <c r="AF379" s="485"/>
      <c r="AG379" s="485"/>
      <c r="AH379" s="485"/>
      <c r="AI379" s="485"/>
      <c r="AJ379" s="485"/>
      <c r="AK379" s="485"/>
      <c r="AL379" s="485"/>
      <c r="AM379" s="485"/>
      <c r="AN379" s="485"/>
    </row>
    <row r="380" spans="1:40" ht="15.75" hidden="1" customHeight="1">
      <c r="A380" s="782" t="s">
        <v>457</v>
      </c>
      <c r="B380" s="486" t="s">
        <v>119</v>
      </c>
      <c r="C380" s="557" t="s">
        <v>52</v>
      </c>
      <c r="D380" s="546"/>
      <c r="E380" s="561"/>
      <c r="F380" s="497">
        <v>0</v>
      </c>
      <c r="G380" s="547"/>
      <c r="H380" s="561"/>
      <c r="I380" s="497"/>
      <c r="J380" s="495"/>
      <c r="K380" s="561"/>
      <c r="L380" s="497">
        <v>0</v>
      </c>
      <c r="M380" s="495"/>
      <c r="N380" s="517"/>
      <c r="O380" s="495"/>
      <c r="P380" s="561"/>
      <c r="Q380" s="497">
        <v>0</v>
      </c>
      <c r="R380" s="495"/>
      <c r="S380" s="517">
        <v>0</v>
      </c>
      <c r="T380" s="485"/>
      <c r="U380" s="485"/>
      <c r="V380" s="486"/>
      <c r="W380" s="485"/>
      <c r="X380" s="485"/>
      <c r="Y380" s="485"/>
      <c r="Z380" s="485"/>
      <c r="AA380" s="485"/>
      <c r="AB380" s="485"/>
      <c r="AC380" s="485"/>
      <c r="AD380" s="485"/>
      <c r="AE380" s="485"/>
      <c r="AF380" s="485"/>
      <c r="AG380" s="485"/>
      <c r="AH380" s="485"/>
      <c r="AI380" s="485"/>
      <c r="AJ380" s="485"/>
      <c r="AK380" s="485"/>
      <c r="AL380" s="485"/>
      <c r="AM380" s="485"/>
      <c r="AN380" s="485"/>
    </row>
    <row r="381" spans="1:40" ht="15.75" hidden="1" customHeight="1">
      <c r="A381" s="782" t="s">
        <v>458</v>
      </c>
      <c r="B381" s="486" t="s">
        <v>119</v>
      </c>
      <c r="C381" s="556" t="s">
        <v>53</v>
      </c>
      <c r="D381" s="544"/>
      <c r="E381" s="486"/>
      <c r="F381" s="543">
        <v>0</v>
      </c>
      <c r="G381" s="545"/>
      <c r="H381" s="486"/>
      <c r="I381" s="543"/>
      <c r="J381" s="502"/>
      <c r="K381" s="486"/>
      <c r="L381" s="507">
        <v>0</v>
      </c>
      <c r="M381" s="502"/>
      <c r="N381" s="505"/>
      <c r="O381" s="502"/>
      <c r="P381" s="486"/>
      <c r="Q381" s="507">
        <v>0</v>
      </c>
      <c r="R381" s="502"/>
      <c r="S381" s="505">
        <v>0</v>
      </c>
      <c r="T381" s="485"/>
      <c r="U381" s="485"/>
      <c r="V381" s="486"/>
      <c r="W381" s="485"/>
      <c r="X381" s="485"/>
      <c r="Y381" s="485"/>
      <c r="Z381" s="485"/>
      <c r="AA381" s="485"/>
      <c r="AB381" s="485"/>
      <c r="AC381" s="485"/>
      <c r="AD381" s="485"/>
      <c r="AE381" s="485"/>
      <c r="AF381" s="485"/>
      <c r="AG381" s="485"/>
      <c r="AH381" s="485"/>
      <c r="AI381" s="485"/>
      <c r="AJ381" s="485"/>
      <c r="AK381" s="485"/>
      <c r="AL381" s="485"/>
      <c r="AM381" s="485"/>
      <c r="AN381" s="485"/>
    </row>
    <row r="382" spans="1:40" ht="15.75" hidden="1" customHeight="1">
      <c r="A382" s="782" t="s">
        <v>459</v>
      </c>
      <c r="B382" s="486" t="s">
        <v>119</v>
      </c>
      <c r="C382" s="556" t="s">
        <v>54</v>
      </c>
      <c r="D382" s="544"/>
      <c r="E382" s="486"/>
      <c r="F382" s="543">
        <v>0</v>
      </c>
      <c r="G382" s="545"/>
      <c r="H382" s="486"/>
      <c r="I382" s="543"/>
      <c r="J382" s="502"/>
      <c r="K382" s="486"/>
      <c r="L382" s="507">
        <v>0</v>
      </c>
      <c r="M382" s="502"/>
      <c r="N382" s="505"/>
      <c r="O382" s="502"/>
      <c r="P382" s="486"/>
      <c r="Q382" s="507">
        <v>0</v>
      </c>
      <c r="R382" s="502"/>
      <c r="S382" s="505">
        <v>0</v>
      </c>
      <c r="T382" s="485"/>
      <c r="U382" s="485"/>
      <c r="V382" s="486"/>
      <c r="W382" s="485"/>
      <c r="X382" s="485"/>
      <c r="Y382" s="485"/>
      <c r="Z382" s="485"/>
      <c r="AA382" s="485"/>
      <c r="AB382" s="485"/>
      <c r="AC382" s="485"/>
      <c r="AD382" s="485"/>
      <c r="AE382" s="485"/>
      <c r="AF382" s="485"/>
      <c r="AG382" s="485"/>
      <c r="AH382" s="485"/>
      <c r="AI382" s="485"/>
      <c r="AJ382" s="485"/>
      <c r="AK382" s="485"/>
      <c r="AL382" s="485"/>
      <c r="AM382" s="485"/>
      <c r="AN382" s="485"/>
    </row>
    <row r="383" spans="1:40" ht="15.75" hidden="1" customHeight="1">
      <c r="A383" s="782" t="s">
        <v>460</v>
      </c>
      <c r="B383" s="486" t="s">
        <v>119</v>
      </c>
      <c r="C383" s="556" t="s">
        <v>55</v>
      </c>
      <c r="D383" s="546"/>
      <c r="E383" s="561"/>
      <c r="F383" s="497">
        <v>0</v>
      </c>
      <c r="G383" s="547"/>
      <c r="H383" s="561"/>
      <c r="I383" s="497"/>
      <c r="J383" s="495"/>
      <c r="K383" s="561"/>
      <c r="L383" s="497">
        <v>0</v>
      </c>
      <c r="M383" s="495"/>
      <c r="N383" s="517"/>
      <c r="O383" s="495"/>
      <c r="P383" s="561"/>
      <c r="Q383" s="497">
        <v>0</v>
      </c>
      <c r="R383" s="495"/>
      <c r="S383" s="517">
        <v>0</v>
      </c>
      <c r="T383" s="485"/>
      <c r="U383" s="485"/>
      <c r="V383" s="486"/>
      <c r="W383" s="485"/>
      <c r="X383" s="485"/>
      <c r="Y383" s="485"/>
      <c r="Z383" s="485"/>
      <c r="AA383" s="485"/>
      <c r="AB383" s="485"/>
      <c r="AC383" s="485"/>
      <c r="AD383" s="485"/>
      <c r="AE383" s="485"/>
      <c r="AF383" s="485"/>
      <c r="AG383" s="485"/>
      <c r="AH383" s="485"/>
      <c r="AI383" s="485"/>
      <c r="AJ383" s="485"/>
      <c r="AK383" s="485"/>
      <c r="AL383" s="485"/>
      <c r="AM383" s="485"/>
      <c r="AN383" s="485"/>
    </row>
    <row r="384" spans="1:40" ht="20.25" hidden="1" customHeight="1">
      <c r="A384" s="782" t="s">
        <v>461</v>
      </c>
      <c r="B384" s="486" t="s">
        <v>119</v>
      </c>
      <c r="C384" s="630" t="s">
        <v>56</v>
      </c>
      <c r="D384" s="544"/>
      <c r="E384" s="486"/>
      <c r="F384" s="543">
        <v>0</v>
      </c>
      <c r="G384" s="545"/>
      <c r="H384" s="486"/>
      <c r="I384" s="543"/>
      <c r="J384" s="502"/>
      <c r="K384" s="486"/>
      <c r="L384" s="507">
        <v>0</v>
      </c>
      <c r="M384" s="502"/>
      <c r="N384" s="505"/>
      <c r="O384" s="502"/>
      <c r="P384" s="486"/>
      <c r="Q384" s="507">
        <v>0</v>
      </c>
      <c r="R384" s="502"/>
      <c r="S384" s="505">
        <v>0</v>
      </c>
      <c r="T384" s="485"/>
      <c r="U384" s="485"/>
      <c r="V384" s="486"/>
      <c r="W384" s="485"/>
      <c r="X384" s="485"/>
      <c r="Y384" s="485"/>
      <c r="Z384" s="485"/>
      <c r="AA384" s="485"/>
      <c r="AB384" s="485"/>
      <c r="AC384" s="485"/>
      <c r="AD384" s="485"/>
      <c r="AE384" s="485"/>
      <c r="AF384" s="485"/>
      <c r="AG384" s="485"/>
      <c r="AH384" s="485"/>
      <c r="AI384" s="485"/>
      <c r="AJ384" s="485"/>
      <c r="AK384" s="485"/>
      <c r="AL384" s="485"/>
      <c r="AM384" s="485"/>
      <c r="AN384" s="485"/>
    </row>
    <row r="385" spans="1:40" ht="20.25" hidden="1" customHeight="1">
      <c r="A385" s="782" t="s">
        <v>462</v>
      </c>
      <c r="B385" s="486" t="s">
        <v>119</v>
      </c>
      <c r="C385" s="556" t="s">
        <v>57</v>
      </c>
      <c r="D385" s="544"/>
      <c r="E385" s="486"/>
      <c r="F385" s="543">
        <v>0</v>
      </c>
      <c r="G385" s="545"/>
      <c r="H385" s="486"/>
      <c r="I385" s="543"/>
      <c r="J385" s="502"/>
      <c r="K385" s="486"/>
      <c r="L385" s="507">
        <v>0</v>
      </c>
      <c r="M385" s="502"/>
      <c r="N385" s="505"/>
      <c r="O385" s="502"/>
      <c r="P385" s="486"/>
      <c r="Q385" s="507">
        <v>0</v>
      </c>
      <c r="R385" s="502"/>
      <c r="S385" s="505">
        <v>0</v>
      </c>
      <c r="T385" s="485"/>
      <c r="U385" s="485"/>
      <c r="V385" s="486"/>
      <c r="W385" s="485"/>
      <c r="X385" s="485"/>
      <c r="Y385" s="485"/>
      <c r="Z385" s="485"/>
      <c r="AA385" s="485"/>
      <c r="AB385" s="485"/>
      <c r="AC385" s="485"/>
      <c r="AD385" s="485"/>
      <c r="AE385" s="485"/>
      <c r="AF385" s="485"/>
      <c r="AG385" s="485"/>
      <c r="AH385" s="485"/>
      <c r="AI385" s="485"/>
      <c r="AJ385" s="485"/>
      <c r="AK385" s="485"/>
      <c r="AL385" s="485"/>
      <c r="AM385" s="485"/>
      <c r="AN385" s="485"/>
    </row>
    <row r="386" spans="1:40" ht="20.25" hidden="1" customHeight="1">
      <c r="A386" s="782" t="s">
        <v>463</v>
      </c>
      <c r="B386" s="486" t="s">
        <v>119</v>
      </c>
      <c r="C386" s="556" t="s">
        <v>58</v>
      </c>
      <c r="D386" s="544"/>
      <c r="E386" s="486"/>
      <c r="F386" s="543">
        <v>0</v>
      </c>
      <c r="G386" s="545"/>
      <c r="H386" s="486"/>
      <c r="I386" s="543"/>
      <c r="J386" s="502"/>
      <c r="K386" s="486"/>
      <c r="L386" s="507">
        <v>0</v>
      </c>
      <c r="M386" s="502"/>
      <c r="N386" s="505"/>
      <c r="O386" s="502"/>
      <c r="P386" s="486"/>
      <c r="Q386" s="507">
        <v>0</v>
      </c>
      <c r="R386" s="502"/>
      <c r="S386" s="505">
        <v>0</v>
      </c>
      <c r="T386" s="485"/>
      <c r="U386" s="485"/>
      <c r="V386" s="486"/>
      <c r="W386" s="485"/>
      <c r="X386" s="485"/>
      <c r="Y386" s="485"/>
      <c r="Z386" s="485"/>
      <c r="AA386" s="485"/>
      <c r="AB386" s="485"/>
      <c r="AC386" s="485"/>
      <c r="AD386" s="485"/>
      <c r="AE386" s="485"/>
      <c r="AF386" s="485"/>
      <c r="AG386" s="485"/>
      <c r="AH386" s="485"/>
      <c r="AI386" s="485"/>
      <c r="AJ386" s="485"/>
      <c r="AK386" s="485"/>
      <c r="AL386" s="485"/>
      <c r="AM386" s="485"/>
      <c r="AN386" s="485"/>
    </row>
    <row r="387" spans="1:40" ht="20.25" hidden="1" customHeight="1">
      <c r="A387" s="782" t="s">
        <v>464</v>
      </c>
      <c r="B387" s="486" t="s">
        <v>119</v>
      </c>
      <c r="C387" s="556" t="s">
        <v>59</v>
      </c>
      <c r="D387" s="544"/>
      <c r="E387" s="486"/>
      <c r="F387" s="543">
        <v>0</v>
      </c>
      <c r="G387" s="545"/>
      <c r="H387" s="486"/>
      <c r="I387" s="543"/>
      <c r="J387" s="502"/>
      <c r="K387" s="486"/>
      <c r="L387" s="507">
        <v>0</v>
      </c>
      <c r="M387" s="502"/>
      <c r="N387" s="505"/>
      <c r="O387" s="502"/>
      <c r="P387" s="486"/>
      <c r="Q387" s="507">
        <v>0</v>
      </c>
      <c r="R387" s="502"/>
      <c r="S387" s="505">
        <v>0</v>
      </c>
      <c r="T387" s="485"/>
      <c r="U387" s="485"/>
      <c r="V387" s="486"/>
      <c r="W387" s="485"/>
      <c r="X387" s="485"/>
      <c r="Y387" s="485"/>
      <c r="Z387" s="485"/>
      <c r="AA387" s="485"/>
      <c r="AB387" s="485"/>
      <c r="AC387" s="485"/>
      <c r="AD387" s="485"/>
      <c r="AE387" s="485"/>
      <c r="AF387" s="485"/>
      <c r="AG387" s="485"/>
      <c r="AH387" s="485"/>
      <c r="AI387" s="485"/>
      <c r="AJ387" s="485"/>
      <c r="AK387" s="485"/>
      <c r="AL387" s="485"/>
      <c r="AM387" s="485"/>
      <c r="AN387" s="485"/>
    </row>
    <row r="388" spans="1:40" ht="20.25" hidden="1" customHeight="1">
      <c r="A388" s="782" t="s">
        <v>465</v>
      </c>
      <c r="B388" s="486" t="s">
        <v>119</v>
      </c>
      <c r="C388" s="556" t="s">
        <v>60</v>
      </c>
      <c r="D388" s="544"/>
      <c r="E388" s="486"/>
      <c r="F388" s="543">
        <v>0</v>
      </c>
      <c r="G388" s="545"/>
      <c r="H388" s="486"/>
      <c r="I388" s="543"/>
      <c r="J388" s="502"/>
      <c r="K388" s="486"/>
      <c r="L388" s="507">
        <v>0</v>
      </c>
      <c r="M388" s="502"/>
      <c r="N388" s="505"/>
      <c r="O388" s="502"/>
      <c r="P388" s="486"/>
      <c r="Q388" s="507">
        <v>0</v>
      </c>
      <c r="R388" s="502"/>
      <c r="S388" s="505">
        <v>0</v>
      </c>
      <c r="T388" s="485"/>
      <c r="U388" s="485"/>
      <c r="V388" s="486"/>
      <c r="W388" s="485"/>
      <c r="X388" s="485"/>
      <c r="Y388" s="485"/>
      <c r="Z388" s="485"/>
      <c r="AA388" s="485"/>
      <c r="AB388" s="485"/>
      <c r="AC388" s="485"/>
      <c r="AD388" s="485"/>
      <c r="AE388" s="485"/>
      <c r="AF388" s="485"/>
      <c r="AG388" s="485"/>
      <c r="AH388" s="485"/>
      <c r="AI388" s="485"/>
      <c r="AJ388" s="485"/>
      <c r="AK388" s="485"/>
      <c r="AL388" s="485"/>
      <c r="AM388" s="485"/>
      <c r="AN388" s="485"/>
    </row>
    <row r="389" spans="1:40" ht="20.25" hidden="1" customHeight="1">
      <c r="A389" s="782" t="s">
        <v>466</v>
      </c>
      <c r="B389" s="486" t="s">
        <v>119</v>
      </c>
      <c r="C389" s="556" t="s">
        <v>61</v>
      </c>
      <c r="D389" s="544"/>
      <c r="E389" s="486"/>
      <c r="F389" s="543">
        <v>0</v>
      </c>
      <c r="G389" s="545"/>
      <c r="H389" s="486"/>
      <c r="I389" s="543"/>
      <c r="J389" s="502"/>
      <c r="K389" s="486"/>
      <c r="L389" s="507">
        <v>0</v>
      </c>
      <c r="M389" s="502"/>
      <c r="N389" s="505"/>
      <c r="O389" s="502"/>
      <c r="P389" s="486"/>
      <c r="Q389" s="507">
        <v>0</v>
      </c>
      <c r="R389" s="502"/>
      <c r="S389" s="505">
        <v>0</v>
      </c>
      <c r="T389" s="485"/>
      <c r="U389" s="485"/>
      <c r="V389" s="486"/>
      <c r="W389" s="485"/>
      <c r="X389" s="485"/>
      <c r="Y389" s="485"/>
      <c r="Z389" s="485"/>
      <c r="AA389" s="485"/>
      <c r="AB389" s="485"/>
      <c r="AC389" s="485"/>
      <c r="AD389" s="485"/>
      <c r="AE389" s="485"/>
      <c r="AF389" s="485"/>
      <c r="AG389" s="485"/>
      <c r="AH389" s="485"/>
      <c r="AI389" s="485"/>
      <c r="AJ389" s="485"/>
      <c r="AK389" s="485"/>
      <c r="AL389" s="485"/>
      <c r="AM389" s="485"/>
      <c r="AN389" s="485"/>
    </row>
    <row r="390" spans="1:40" ht="20.25" hidden="1" customHeight="1">
      <c r="A390" s="782" t="s">
        <v>467</v>
      </c>
      <c r="B390" s="486" t="s">
        <v>119</v>
      </c>
      <c r="C390" s="556" t="s">
        <v>62</v>
      </c>
      <c r="D390" s="544"/>
      <c r="E390" s="486"/>
      <c r="F390" s="543">
        <v>0</v>
      </c>
      <c r="G390" s="545"/>
      <c r="H390" s="486"/>
      <c r="I390" s="543"/>
      <c r="J390" s="502"/>
      <c r="K390" s="486"/>
      <c r="L390" s="507">
        <v>0</v>
      </c>
      <c r="M390" s="502"/>
      <c r="N390" s="505"/>
      <c r="O390" s="502"/>
      <c r="P390" s="486"/>
      <c r="Q390" s="507">
        <v>0</v>
      </c>
      <c r="R390" s="502"/>
      <c r="S390" s="505">
        <v>0</v>
      </c>
      <c r="T390" s="485"/>
      <c r="U390" s="485"/>
      <c r="V390" s="486"/>
      <c r="W390" s="485"/>
      <c r="X390" s="485"/>
      <c r="Y390" s="485"/>
      <c r="Z390" s="485"/>
      <c r="AA390" s="485"/>
      <c r="AB390" s="485"/>
      <c r="AC390" s="485"/>
      <c r="AD390" s="485"/>
      <c r="AE390" s="485"/>
      <c r="AF390" s="485"/>
      <c r="AG390" s="485"/>
      <c r="AH390" s="485"/>
      <c r="AI390" s="485"/>
      <c r="AJ390" s="485"/>
      <c r="AK390" s="485"/>
      <c r="AL390" s="485"/>
      <c r="AM390" s="485"/>
      <c r="AN390" s="485"/>
    </row>
    <row r="391" spans="1:40" ht="20.25" hidden="1" customHeight="1">
      <c r="A391" s="782" t="s">
        <v>468</v>
      </c>
      <c r="B391" s="486" t="s">
        <v>119</v>
      </c>
      <c r="C391" s="556" t="s">
        <v>63</v>
      </c>
      <c r="D391" s="544"/>
      <c r="E391" s="486"/>
      <c r="F391" s="543">
        <v>0</v>
      </c>
      <c r="G391" s="545"/>
      <c r="H391" s="486"/>
      <c r="I391" s="543"/>
      <c r="J391" s="502"/>
      <c r="K391" s="486"/>
      <c r="L391" s="507">
        <v>0</v>
      </c>
      <c r="M391" s="502"/>
      <c r="N391" s="505"/>
      <c r="O391" s="502"/>
      <c r="P391" s="486"/>
      <c r="Q391" s="507">
        <v>0</v>
      </c>
      <c r="R391" s="502"/>
      <c r="S391" s="505">
        <v>0</v>
      </c>
      <c r="T391" s="485"/>
      <c r="U391" s="485"/>
      <c r="V391" s="486"/>
      <c r="W391" s="485"/>
      <c r="X391" s="485"/>
      <c r="Y391" s="485"/>
      <c r="Z391" s="485"/>
      <c r="AA391" s="485"/>
      <c r="AB391" s="485"/>
      <c r="AC391" s="485"/>
      <c r="AD391" s="485"/>
      <c r="AE391" s="485"/>
      <c r="AF391" s="485"/>
      <c r="AG391" s="485"/>
      <c r="AH391" s="485"/>
      <c r="AI391" s="485"/>
      <c r="AJ391" s="485"/>
      <c r="AK391" s="485"/>
      <c r="AL391" s="485"/>
      <c r="AM391" s="485"/>
      <c r="AN391" s="485"/>
    </row>
    <row r="392" spans="1:40" ht="15.75" hidden="1" customHeight="1">
      <c r="A392" s="782" t="s">
        <v>449</v>
      </c>
      <c r="B392" s="486" t="s">
        <v>119</v>
      </c>
      <c r="C392" s="556" t="s">
        <v>20</v>
      </c>
      <c r="D392" s="544"/>
      <c r="E392" s="486"/>
      <c r="F392" s="543">
        <v>0</v>
      </c>
      <c r="G392" s="545"/>
      <c r="H392" s="486"/>
      <c r="I392" s="543"/>
      <c r="J392" s="502"/>
      <c r="K392" s="486"/>
      <c r="L392" s="507">
        <v>0</v>
      </c>
      <c r="M392" s="502"/>
      <c r="N392" s="505"/>
      <c r="O392" s="502"/>
      <c r="P392" s="486"/>
      <c r="Q392" s="507">
        <v>0</v>
      </c>
      <c r="R392" s="502"/>
      <c r="S392" s="505">
        <v>0</v>
      </c>
      <c r="T392" s="485"/>
      <c r="U392" s="485"/>
      <c r="V392" s="486"/>
      <c r="W392" s="485"/>
      <c r="X392" s="485"/>
      <c r="Y392" s="485"/>
      <c r="Z392" s="485"/>
      <c r="AA392" s="485"/>
      <c r="AB392" s="485"/>
      <c r="AC392" s="485"/>
      <c r="AD392" s="485"/>
      <c r="AE392" s="485"/>
      <c r="AF392" s="485"/>
      <c r="AG392" s="485"/>
      <c r="AH392" s="485"/>
      <c r="AI392" s="485"/>
      <c r="AJ392" s="485"/>
      <c r="AK392" s="485"/>
      <c r="AL392" s="485"/>
      <c r="AM392" s="485"/>
      <c r="AN392" s="485"/>
    </row>
    <row r="393" spans="1:40" ht="15.75" hidden="1" customHeight="1">
      <c r="A393" s="782" t="s">
        <v>449</v>
      </c>
      <c r="B393" s="486" t="s">
        <v>119</v>
      </c>
      <c r="C393" s="556" t="s">
        <v>20</v>
      </c>
      <c r="D393" s="544"/>
      <c r="E393" s="486"/>
      <c r="F393" s="543">
        <v>0</v>
      </c>
      <c r="G393" s="545"/>
      <c r="H393" s="486"/>
      <c r="I393" s="543"/>
      <c r="J393" s="502"/>
      <c r="K393" s="486"/>
      <c r="L393" s="507">
        <v>0</v>
      </c>
      <c r="M393" s="502"/>
      <c r="N393" s="505"/>
      <c r="O393" s="502"/>
      <c r="P393" s="486"/>
      <c r="Q393" s="507">
        <v>0</v>
      </c>
      <c r="R393" s="502"/>
      <c r="S393" s="505">
        <v>0</v>
      </c>
      <c r="T393" s="485"/>
      <c r="U393" s="485"/>
      <c r="V393" s="486"/>
      <c r="W393" s="485"/>
      <c r="X393" s="485"/>
      <c r="Y393" s="485"/>
      <c r="Z393" s="485"/>
      <c r="AA393" s="485"/>
      <c r="AB393" s="485"/>
      <c r="AC393" s="485"/>
      <c r="AD393" s="485"/>
      <c r="AE393" s="485"/>
      <c r="AF393" s="485"/>
      <c r="AG393" s="485"/>
      <c r="AH393" s="485"/>
      <c r="AI393" s="485"/>
      <c r="AJ393" s="485"/>
      <c r="AK393" s="485"/>
      <c r="AL393" s="485"/>
      <c r="AM393" s="485"/>
      <c r="AN393" s="485"/>
    </row>
    <row r="394" spans="1:40" ht="15.75" hidden="1" customHeight="1">
      <c r="A394" s="782" t="s">
        <v>449</v>
      </c>
      <c r="B394" s="486" t="s">
        <v>119</v>
      </c>
      <c r="C394" s="556" t="s">
        <v>20</v>
      </c>
      <c r="D394" s="546"/>
      <c r="E394" s="561"/>
      <c r="F394" s="543">
        <v>0</v>
      </c>
      <c r="G394" s="547"/>
      <c r="H394" s="561"/>
      <c r="I394" s="543"/>
      <c r="J394" s="495"/>
      <c r="K394" s="561"/>
      <c r="L394" s="507">
        <v>0</v>
      </c>
      <c r="M394" s="495"/>
      <c r="N394" s="517"/>
      <c r="O394" s="495"/>
      <c r="P394" s="561"/>
      <c r="Q394" s="507">
        <v>0</v>
      </c>
      <c r="R394" s="495"/>
      <c r="S394" s="517">
        <v>0</v>
      </c>
      <c r="T394" s="485"/>
      <c r="U394" s="485"/>
      <c r="V394" s="486"/>
      <c r="W394" s="485"/>
      <c r="X394" s="485"/>
      <c r="Y394" s="485"/>
      <c r="Z394" s="485"/>
      <c r="AA394" s="485"/>
      <c r="AB394" s="485"/>
      <c r="AC394" s="485"/>
      <c r="AD394" s="485"/>
      <c r="AE394" s="485"/>
      <c r="AF394" s="485"/>
      <c r="AG394" s="485"/>
      <c r="AH394" s="485"/>
      <c r="AI394" s="485"/>
      <c r="AJ394" s="485"/>
      <c r="AK394" s="485"/>
      <c r="AL394" s="485"/>
      <c r="AM394" s="485"/>
      <c r="AN394" s="485"/>
    </row>
    <row r="395" spans="1:40" ht="15.75" hidden="1" customHeight="1">
      <c r="B395" s="482"/>
      <c r="C395" s="551" t="s">
        <v>64</v>
      </c>
      <c r="D395" s="552" t="s">
        <v>39</v>
      </c>
      <c r="E395" s="553">
        <v>0</v>
      </c>
      <c r="F395" s="554">
        <v>0</v>
      </c>
      <c r="G395" s="621"/>
      <c r="H395" s="553"/>
      <c r="I395" s="554"/>
      <c r="J395" s="621" t="s">
        <v>39</v>
      </c>
      <c r="K395" s="553">
        <v>0</v>
      </c>
      <c r="L395" s="554">
        <v>0</v>
      </c>
      <c r="M395" s="590"/>
      <c r="N395" s="554"/>
      <c r="O395" s="621" t="s">
        <v>39</v>
      </c>
      <c r="P395" s="553">
        <v>0</v>
      </c>
      <c r="Q395" s="554">
        <v>0</v>
      </c>
      <c r="R395" s="590"/>
      <c r="S395" s="563">
        <v>0</v>
      </c>
      <c r="T395" s="485"/>
      <c r="U395" s="485"/>
      <c r="V395" s="486"/>
      <c r="W395" s="485"/>
      <c r="X395" s="485"/>
      <c r="Y395" s="485"/>
      <c r="Z395" s="485"/>
      <c r="AA395" s="485"/>
      <c r="AB395" s="485"/>
      <c r="AC395" s="485"/>
      <c r="AD395" s="485"/>
      <c r="AE395" s="485"/>
      <c r="AF395" s="485"/>
      <c r="AG395" s="485"/>
      <c r="AH395" s="485"/>
      <c r="AI395" s="485"/>
      <c r="AJ395" s="485"/>
      <c r="AK395" s="485"/>
      <c r="AL395" s="485"/>
      <c r="AM395" s="485"/>
      <c r="AN395" s="485"/>
    </row>
    <row r="396" spans="1:40" ht="15.75" hidden="1" customHeight="1">
      <c r="B396" s="482"/>
      <c r="C396" s="502"/>
      <c r="D396" s="486"/>
      <c r="E396" s="486"/>
      <c r="F396" s="527"/>
      <c r="G396" s="502"/>
      <c r="H396" s="486"/>
      <c r="I396" s="527"/>
      <c r="J396" s="502"/>
      <c r="K396" s="486"/>
      <c r="L396" s="527"/>
      <c r="M396" s="520"/>
      <c r="N396" s="539"/>
      <c r="O396" s="502"/>
      <c r="P396" s="486"/>
      <c r="Q396" s="527"/>
      <c r="R396" s="502"/>
      <c r="S396" s="539"/>
      <c r="T396" s="485"/>
      <c r="U396" s="485"/>
      <c r="V396" s="486"/>
      <c r="W396" s="485"/>
      <c r="X396" s="485"/>
      <c r="Y396" s="485"/>
      <c r="Z396" s="485"/>
      <c r="AA396" s="485"/>
      <c r="AB396" s="485"/>
      <c r="AC396" s="485"/>
      <c r="AD396" s="485"/>
      <c r="AE396" s="485"/>
      <c r="AF396" s="485"/>
      <c r="AG396" s="485"/>
      <c r="AH396" s="485"/>
      <c r="AI396" s="485"/>
      <c r="AJ396" s="485"/>
      <c r="AK396" s="485"/>
      <c r="AL396" s="485"/>
      <c r="AM396" s="485"/>
      <c r="AN396" s="485"/>
    </row>
    <row r="397" spans="1:40" ht="15.75" hidden="1" customHeight="1">
      <c r="B397" s="482"/>
      <c r="C397" s="551" t="s">
        <v>65</v>
      </c>
      <c r="D397" s="552" t="s">
        <v>39</v>
      </c>
      <c r="E397" s="553">
        <v>0</v>
      </c>
      <c r="F397" s="554">
        <v>0</v>
      </c>
      <c r="G397" s="621"/>
      <c r="H397" s="553"/>
      <c r="I397" s="554"/>
      <c r="J397" s="621" t="s">
        <v>39</v>
      </c>
      <c r="K397" s="553">
        <v>0</v>
      </c>
      <c r="L397" s="554">
        <v>0</v>
      </c>
      <c r="M397" s="551"/>
      <c r="N397" s="554"/>
      <c r="O397" s="621" t="s">
        <v>39</v>
      </c>
      <c r="P397" s="553">
        <v>0</v>
      </c>
      <c r="Q397" s="554">
        <v>0</v>
      </c>
      <c r="R397" s="555"/>
      <c r="S397" s="554">
        <v>0</v>
      </c>
      <c r="T397" s="485"/>
      <c r="U397" s="485"/>
      <c r="V397" s="486"/>
      <c r="W397" s="485"/>
      <c r="X397" s="485"/>
      <c r="Y397" s="485"/>
      <c r="Z397" s="485"/>
      <c r="AA397" s="485"/>
      <c r="AB397" s="485"/>
      <c r="AC397" s="485"/>
      <c r="AD397" s="485"/>
      <c r="AE397" s="485"/>
      <c r="AF397" s="485"/>
      <c r="AG397" s="485"/>
      <c r="AH397" s="485"/>
      <c r="AI397" s="485"/>
      <c r="AJ397" s="485"/>
      <c r="AK397" s="485"/>
      <c r="AL397" s="485"/>
      <c r="AM397" s="485"/>
      <c r="AN397" s="485"/>
    </row>
    <row r="398" spans="1:40" ht="15.75" hidden="1" customHeight="1">
      <c r="B398" s="482"/>
      <c r="C398" s="502"/>
      <c r="D398" s="486"/>
      <c r="E398" s="486"/>
      <c r="F398" s="505"/>
      <c r="G398" s="502"/>
      <c r="H398" s="486"/>
      <c r="I398" s="505"/>
      <c r="J398" s="502"/>
      <c r="K398" s="486"/>
      <c r="L398" s="505"/>
      <c r="M398" s="520"/>
      <c r="N398" s="539"/>
      <c r="O398" s="502"/>
      <c r="P398" s="486"/>
      <c r="Q398" s="505"/>
      <c r="R398" s="502"/>
      <c r="S398" s="539"/>
      <c r="T398" s="485"/>
      <c r="U398" s="485"/>
      <c r="V398" s="486"/>
      <c r="W398" s="485"/>
      <c r="X398" s="485"/>
      <c r="Y398" s="485"/>
      <c r="Z398" s="485"/>
      <c r="AA398" s="485"/>
      <c r="AB398" s="485"/>
      <c r="AC398" s="485"/>
      <c r="AD398" s="485"/>
      <c r="AE398" s="485"/>
      <c r="AF398" s="485"/>
      <c r="AG398" s="485"/>
      <c r="AH398" s="485"/>
      <c r="AI398" s="485"/>
      <c r="AJ398" s="485"/>
      <c r="AK398" s="485"/>
      <c r="AL398" s="485"/>
      <c r="AM398" s="485"/>
      <c r="AN398" s="485"/>
    </row>
    <row r="399" spans="1:40" ht="15.75" hidden="1" customHeight="1">
      <c r="B399" s="482"/>
      <c r="C399" s="835" t="s">
        <v>72</v>
      </c>
      <c r="D399" s="836"/>
      <c r="E399" s="836"/>
      <c r="F399" s="837">
        <v>0</v>
      </c>
      <c r="G399" s="835"/>
      <c r="H399" s="836"/>
      <c r="I399" s="837"/>
      <c r="J399" s="838"/>
      <c r="K399" s="839"/>
      <c r="L399" s="837">
        <v>0</v>
      </c>
      <c r="M399" s="835"/>
      <c r="N399" s="837"/>
      <c r="O399" s="838"/>
      <c r="P399" s="839"/>
      <c r="Q399" s="837">
        <v>0</v>
      </c>
      <c r="R399" s="838"/>
      <c r="S399" s="837">
        <v>0</v>
      </c>
      <c r="T399" s="485"/>
      <c r="U399" s="485"/>
      <c r="V399" s="486"/>
      <c r="W399" s="485"/>
      <c r="X399" s="485"/>
      <c r="Y399" s="485"/>
      <c r="Z399" s="485"/>
      <c r="AA399" s="485"/>
      <c r="AB399" s="485"/>
      <c r="AC399" s="485"/>
      <c r="AD399" s="485"/>
      <c r="AE399" s="485"/>
      <c r="AF399" s="485"/>
      <c r="AG399" s="485"/>
      <c r="AH399" s="485"/>
      <c r="AI399" s="485"/>
      <c r="AJ399" s="485"/>
      <c r="AK399" s="485"/>
      <c r="AL399" s="485"/>
      <c r="AM399" s="485"/>
      <c r="AN399" s="485"/>
    </row>
    <row r="400" spans="1:40" ht="15.75" customHeight="1">
      <c r="B400" s="482"/>
      <c r="C400" s="538"/>
      <c r="D400" s="840"/>
      <c r="E400" s="486"/>
      <c r="F400" s="562">
        <v>85048.377462052231</v>
      </c>
      <c r="G400" s="544"/>
      <c r="H400" s="486"/>
      <c r="I400" s="562"/>
      <c r="J400" s="840"/>
      <c r="K400" s="538"/>
      <c r="L400" s="562">
        <v>101144.99999999996</v>
      </c>
      <c r="M400" s="538"/>
      <c r="N400" s="562"/>
      <c r="O400" s="538"/>
      <c r="P400" s="538"/>
      <c r="Q400" s="562"/>
      <c r="R400" s="538"/>
      <c r="S400" s="562"/>
      <c r="T400" s="486"/>
      <c r="U400" s="486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</row>
    <row r="401" spans="1:61" ht="15.75" customHeight="1">
      <c r="B401" s="482"/>
      <c r="F401" s="841">
        <v>88623.372685827562</v>
      </c>
      <c r="L401" s="841">
        <v>95477.28999999995</v>
      </c>
      <c r="V401" s="486"/>
      <c r="W401" s="485"/>
      <c r="X401" s="485"/>
      <c r="Y401" s="485"/>
      <c r="Z401" s="485"/>
      <c r="AA401" s="485"/>
      <c r="AB401" s="485"/>
      <c r="AC401" s="485"/>
      <c r="AD401" s="485"/>
      <c r="AE401" s="485"/>
      <c r="AF401" s="485"/>
      <c r="AG401" s="485"/>
      <c r="AH401" s="485"/>
      <c r="AI401" s="485"/>
      <c r="AJ401" s="485"/>
      <c r="AK401" s="485"/>
      <c r="AL401" s="485"/>
      <c r="AM401" s="485"/>
      <c r="AN401" s="485"/>
    </row>
    <row r="402" spans="1:61" ht="35.25">
      <c r="B402" s="482"/>
      <c r="C402" s="649" t="s">
        <v>227</v>
      </c>
      <c r="F402" s="841"/>
      <c r="L402" s="841"/>
      <c r="V402" s="842" t="s">
        <v>481</v>
      </c>
      <c r="W402" s="477"/>
      <c r="X402" s="477"/>
      <c r="Y402" s="477"/>
      <c r="Z402" s="477"/>
      <c r="AA402" s="477"/>
      <c r="AB402" s="477"/>
      <c r="AC402" s="477"/>
      <c r="AD402" s="477"/>
      <c r="AE402" s="478" t="s">
        <v>480</v>
      </c>
      <c r="AF402" s="477"/>
      <c r="AG402" s="477"/>
      <c r="AH402" s="477"/>
      <c r="AI402" s="477"/>
      <c r="AJ402" s="650"/>
      <c r="AK402" s="478"/>
      <c r="AL402" s="477"/>
      <c r="AM402" s="477"/>
      <c r="AN402" s="477"/>
      <c r="AO402" s="650" t="s">
        <v>473</v>
      </c>
      <c r="AP402" s="485"/>
      <c r="AQ402" s="485"/>
      <c r="AR402" s="485"/>
      <c r="AS402" s="485"/>
      <c r="AT402" s="485"/>
      <c r="AU402" s="485"/>
      <c r="AV402" s="485"/>
      <c r="AW402" s="485"/>
      <c r="AX402" s="485"/>
      <c r="AY402" s="485"/>
      <c r="AZ402" s="485"/>
      <c r="BA402" s="485"/>
      <c r="BB402" s="485"/>
      <c r="BC402" s="485"/>
      <c r="BD402" s="485"/>
      <c r="BE402" s="485"/>
      <c r="BF402" s="485"/>
      <c r="BG402" s="485"/>
      <c r="BH402" s="485"/>
      <c r="BI402" s="485"/>
    </row>
    <row r="403" spans="1:61" ht="15.75" customHeight="1" thickBot="1">
      <c r="B403" s="482"/>
      <c r="C403" s="649" t="s">
        <v>227</v>
      </c>
      <c r="V403" s="651"/>
      <c r="W403" s="484"/>
      <c r="X403" s="484"/>
      <c r="Y403" s="484"/>
      <c r="Z403" s="484"/>
      <c r="AA403" s="484"/>
      <c r="AB403" s="484"/>
      <c r="AC403" s="484"/>
      <c r="AD403" s="484"/>
      <c r="AE403" s="484"/>
      <c r="AF403" s="484"/>
      <c r="AG403" s="484"/>
      <c r="AH403" s="484"/>
      <c r="AI403" s="484"/>
      <c r="AJ403" s="484"/>
      <c r="AK403" s="484"/>
      <c r="AL403" s="485"/>
      <c r="AM403" s="485"/>
      <c r="AN403" s="485"/>
      <c r="AO403" s="485"/>
      <c r="AP403" s="485"/>
      <c r="AQ403" s="485"/>
      <c r="AR403" s="485"/>
      <c r="AS403" s="485"/>
      <c r="AT403" s="485"/>
      <c r="AU403" s="485"/>
      <c r="AV403" s="485"/>
      <c r="AW403" s="485"/>
      <c r="AX403" s="485"/>
      <c r="AY403" s="485"/>
      <c r="AZ403" s="485"/>
      <c r="BA403" s="485"/>
      <c r="BB403" s="485"/>
      <c r="BC403" s="485"/>
      <c r="BD403" s="485"/>
      <c r="BE403" s="485"/>
      <c r="BF403" s="485"/>
      <c r="BG403" s="485"/>
      <c r="BH403" s="485"/>
      <c r="BI403" s="485"/>
    </row>
    <row r="404" spans="1:61" ht="15.75" customHeight="1" thickTop="1" thickBot="1">
      <c r="A404" s="782" t="s">
        <v>469</v>
      </c>
      <c r="B404" s="482"/>
      <c r="C404" s="649" t="s">
        <v>227</v>
      </c>
      <c r="V404" s="652"/>
      <c r="W404" s="653"/>
      <c r="X404" s="878" t="s">
        <v>122</v>
      </c>
      <c r="Y404" s="879"/>
      <c r="Z404" s="880"/>
      <c r="AA404" s="881"/>
      <c r="AB404" s="879"/>
      <c r="AC404" s="880"/>
      <c r="AD404" s="881" t="s">
        <v>7</v>
      </c>
      <c r="AE404" s="879"/>
      <c r="AF404" s="880"/>
      <c r="AG404" s="881" t="s">
        <v>220</v>
      </c>
      <c r="AH404" s="879"/>
      <c r="AI404" s="880"/>
      <c r="AJ404" s="881" t="s">
        <v>123</v>
      </c>
      <c r="AK404" s="879"/>
      <c r="AL404" s="879"/>
      <c r="AM404" s="881" t="s">
        <v>124</v>
      </c>
      <c r="AN404" s="879"/>
      <c r="AO404" s="882"/>
      <c r="AP404" s="485"/>
      <c r="AQ404" s="485"/>
      <c r="AR404" s="485"/>
      <c r="AS404" s="485"/>
      <c r="AT404" s="485"/>
      <c r="AU404" s="485"/>
      <c r="AV404" s="485"/>
      <c r="AW404" s="485"/>
      <c r="AX404" s="485"/>
      <c r="AY404" s="485"/>
      <c r="AZ404" s="485"/>
      <c r="BA404" s="485"/>
      <c r="BB404" s="485"/>
      <c r="BC404" s="485"/>
      <c r="BD404" s="485"/>
      <c r="BE404" s="485"/>
      <c r="BF404" s="485"/>
      <c r="BG404" s="485"/>
      <c r="BH404" s="485"/>
      <c r="BI404" s="485"/>
    </row>
    <row r="405" spans="1:61" ht="15.75" customHeight="1">
      <c r="A405" s="782" t="s">
        <v>469</v>
      </c>
      <c r="B405" s="482"/>
      <c r="C405" s="649" t="s">
        <v>227</v>
      </c>
      <c r="V405" s="495"/>
      <c r="W405" s="625" t="s">
        <v>125</v>
      </c>
      <c r="X405" s="625" t="s">
        <v>126</v>
      </c>
      <c r="Y405" s="625" t="s">
        <v>127</v>
      </c>
      <c r="Z405" s="654" t="s">
        <v>128</v>
      </c>
      <c r="AA405" s="625"/>
      <c r="AB405" s="625"/>
      <c r="AC405" s="654"/>
      <c r="AD405" s="655" t="s">
        <v>126</v>
      </c>
      <c r="AE405" s="625" t="s">
        <v>127</v>
      </c>
      <c r="AF405" s="625" t="s">
        <v>128</v>
      </c>
      <c r="AG405" s="655" t="s">
        <v>129</v>
      </c>
      <c r="AH405" s="625" t="s">
        <v>130</v>
      </c>
      <c r="AI405" s="625" t="s">
        <v>131</v>
      </c>
      <c r="AJ405" s="655" t="s">
        <v>126</v>
      </c>
      <c r="AK405" s="625" t="s">
        <v>127</v>
      </c>
      <c r="AL405" s="625" t="s">
        <v>128</v>
      </c>
      <c r="AM405" s="656" t="s">
        <v>129</v>
      </c>
      <c r="AN405" s="625" t="s">
        <v>130</v>
      </c>
      <c r="AO405" s="579" t="s">
        <v>131</v>
      </c>
      <c r="AP405" s="485"/>
      <c r="AQ405" s="485"/>
      <c r="AR405" s="485"/>
      <c r="AS405" s="485"/>
      <c r="AT405" s="485"/>
      <c r="AU405" s="485"/>
      <c r="AV405" s="485"/>
      <c r="AW405" s="485"/>
      <c r="AX405" s="485"/>
      <c r="AY405" s="485"/>
      <c r="AZ405" s="485"/>
      <c r="BA405" s="485"/>
      <c r="BB405" s="485"/>
      <c r="BC405" s="485"/>
      <c r="BD405" s="485"/>
      <c r="BE405" s="485"/>
      <c r="BF405" s="485"/>
      <c r="BG405" s="485"/>
      <c r="BH405" s="485"/>
      <c r="BI405" s="485"/>
    </row>
    <row r="406" spans="1:61" ht="15.75" customHeight="1">
      <c r="A406" s="782" t="s">
        <v>15</v>
      </c>
      <c r="B406" s="482"/>
      <c r="C406" s="649" t="s">
        <v>227</v>
      </c>
      <c r="V406" s="557" t="s">
        <v>15</v>
      </c>
      <c r="W406" s="657"/>
      <c r="X406" s="657"/>
      <c r="Y406" s="657"/>
      <c r="Z406" s="658">
        <v>6347743.5724750683</v>
      </c>
      <c r="AA406" s="657"/>
      <c r="AB406" s="657"/>
      <c r="AC406" s="658"/>
      <c r="AD406" s="659"/>
      <c r="AE406" s="660"/>
      <c r="AF406" s="660">
        <v>4676764.22</v>
      </c>
      <c r="AG406" s="659"/>
      <c r="AH406" s="660"/>
      <c r="AI406" s="661"/>
      <c r="AJ406" s="659"/>
      <c r="AK406" s="660"/>
      <c r="AL406" s="660">
        <v>4003551.9599999897</v>
      </c>
      <c r="AM406" s="662"/>
      <c r="AN406" s="660"/>
      <c r="AO406" s="663"/>
      <c r="AP406" s="485"/>
      <c r="AQ406" s="485"/>
      <c r="AR406" s="485"/>
      <c r="AS406" s="485"/>
      <c r="AT406" s="485"/>
      <c r="AU406" s="485"/>
      <c r="AV406" s="485"/>
      <c r="AW406" s="485"/>
      <c r="AX406" s="485"/>
      <c r="AY406" s="485"/>
      <c r="AZ406" s="485"/>
      <c r="BA406" s="485"/>
      <c r="BB406" s="485"/>
      <c r="BC406" s="485"/>
      <c r="BD406" s="485"/>
      <c r="BE406" s="485"/>
      <c r="BF406" s="485"/>
      <c r="BG406" s="485"/>
      <c r="BH406" s="485"/>
      <c r="BI406" s="485"/>
    </row>
    <row r="407" spans="1:61" ht="15.75" customHeight="1">
      <c r="A407" s="782" t="s">
        <v>132</v>
      </c>
      <c r="B407" s="482"/>
      <c r="C407" s="649" t="s">
        <v>227</v>
      </c>
      <c r="V407" s="664" t="s">
        <v>132</v>
      </c>
      <c r="W407" s="665"/>
      <c r="X407" s="843">
        <v>0.11562545675712456</v>
      </c>
      <c r="Y407" s="665"/>
      <c r="Z407" s="666">
        <v>733960.74994453136</v>
      </c>
      <c r="AA407" s="665"/>
      <c r="AB407" s="665"/>
      <c r="AC407" s="666"/>
      <c r="AD407" s="843">
        <v>0.13835273269346046</v>
      </c>
      <c r="AE407" s="668"/>
      <c r="AF407" s="666">
        <v>647043.1100000001</v>
      </c>
      <c r="AG407" s="669"/>
      <c r="AH407" s="668">
        <v>-86917.639944531256</v>
      </c>
      <c r="AI407" s="670">
        <v>-0.11842273575405769</v>
      </c>
      <c r="AJ407" s="669">
        <v>0.11966109714234872</v>
      </c>
      <c r="AK407" s="668"/>
      <c r="AL407" s="668">
        <v>479069.4199999994</v>
      </c>
      <c r="AM407" s="671"/>
      <c r="AN407" s="668">
        <v>167973.6900000007</v>
      </c>
      <c r="AO407" s="672">
        <v>0.35062494700663821</v>
      </c>
      <c r="AP407" s="485"/>
      <c r="AQ407" s="485"/>
      <c r="AR407" s="485"/>
      <c r="AS407" s="485"/>
      <c r="AT407" s="485"/>
      <c r="AU407" s="485"/>
      <c r="AV407" s="485"/>
      <c r="AW407" s="485"/>
      <c r="AX407" s="485"/>
      <c r="AY407" s="485"/>
      <c r="AZ407" s="485"/>
      <c r="BA407" s="485"/>
      <c r="BB407" s="485"/>
      <c r="BC407" s="485"/>
      <c r="BD407" s="485"/>
      <c r="BE407" s="485"/>
      <c r="BF407" s="485"/>
      <c r="BG407" s="485"/>
      <c r="BH407" s="485"/>
      <c r="BI407" s="485"/>
    </row>
    <row r="408" spans="1:61" ht="15.75" customHeight="1">
      <c r="A408" s="782" t="s">
        <v>133</v>
      </c>
      <c r="B408" s="482"/>
      <c r="C408" s="649" t="s">
        <v>227</v>
      </c>
      <c r="V408" s="673" t="s">
        <v>133</v>
      </c>
      <c r="W408" s="542"/>
      <c r="X408" s="542"/>
      <c r="Y408" s="542"/>
      <c r="Z408" s="674"/>
      <c r="AA408" s="542"/>
      <c r="AB408" s="542"/>
      <c r="AC408" s="674"/>
      <c r="AD408" s="675"/>
      <c r="AE408" s="542"/>
      <c r="AF408" s="676"/>
      <c r="AG408" s="675"/>
      <c r="AH408" s="676"/>
      <c r="AI408" s="586"/>
      <c r="AJ408" s="675"/>
      <c r="AK408" s="542"/>
      <c r="AL408" s="676"/>
      <c r="AM408" s="678"/>
      <c r="AN408" s="676"/>
      <c r="AO408" s="679"/>
      <c r="AP408" s="485"/>
      <c r="AQ408" s="485"/>
      <c r="AR408" s="485"/>
      <c r="AS408" s="485"/>
      <c r="AT408" s="485"/>
      <c r="AU408" s="485"/>
      <c r="AV408" s="485"/>
      <c r="AW408" s="485"/>
      <c r="AX408" s="485"/>
      <c r="AY408" s="485"/>
      <c r="AZ408" s="485"/>
      <c r="BA408" s="485"/>
      <c r="BB408" s="485"/>
      <c r="BC408" s="485"/>
      <c r="BD408" s="485"/>
      <c r="BE408" s="485"/>
      <c r="BF408" s="485"/>
      <c r="BG408" s="485"/>
      <c r="BH408" s="485"/>
      <c r="BI408" s="485"/>
    </row>
    <row r="409" spans="1:61" ht="15.75" customHeight="1">
      <c r="A409" s="782" t="s">
        <v>31</v>
      </c>
      <c r="B409" s="482"/>
      <c r="C409" s="649" t="s">
        <v>227</v>
      </c>
      <c r="V409" s="556" t="s">
        <v>31</v>
      </c>
      <c r="W409" s="680" t="s">
        <v>134</v>
      </c>
      <c r="X409" s="542"/>
      <c r="Y409" s="681">
        <v>671.85449906338499</v>
      </c>
      <c r="Z409" s="674">
        <v>71888.431399782188</v>
      </c>
      <c r="AA409" s="542"/>
      <c r="AB409" s="681"/>
      <c r="AC409" s="674"/>
      <c r="AD409" s="686"/>
      <c r="AE409" s="681">
        <v>677.63859154929571</v>
      </c>
      <c r="AF409" s="674">
        <v>48112.34</v>
      </c>
      <c r="AG409" s="675">
        <v>5.784092485910719</v>
      </c>
      <c r="AH409" s="676">
        <v>-23776.091399782192</v>
      </c>
      <c r="AI409" s="586">
        <v>-0.33073598820872629</v>
      </c>
      <c r="AJ409" s="844">
        <v>8.932221138222525E-2</v>
      </c>
      <c r="AK409" s="676">
        <v>586.18547945205466</v>
      </c>
      <c r="AL409" s="674">
        <v>42791.539999999994</v>
      </c>
      <c r="AM409" s="678">
        <v>5.784092485910719</v>
      </c>
      <c r="AN409" s="676">
        <v>5320.8000000000029</v>
      </c>
      <c r="AO409" s="682">
        <v>0.12434233495686306</v>
      </c>
      <c r="AP409" s="485"/>
      <c r="AQ409" s="485"/>
      <c r="AR409" s="482"/>
      <c r="AS409" s="485"/>
      <c r="AT409" s="485"/>
      <c r="AU409" s="485"/>
      <c r="AV409" s="485"/>
      <c r="AW409" s="485"/>
      <c r="AX409" s="485"/>
      <c r="AY409" s="485"/>
      <c r="AZ409" s="485"/>
      <c r="BA409" s="485"/>
      <c r="BB409" s="485"/>
      <c r="BC409" s="485"/>
      <c r="BD409" s="485"/>
      <c r="BE409" s="485"/>
      <c r="BF409" s="485"/>
      <c r="BG409" s="485"/>
      <c r="BH409" s="485"/>
      <c r="BI409" s="485"/>
    </row>
    <row r="410" spans="1:61" ht="15.75" customHeight="1">
      <c r="A410" s="782" t="s">
        <v>32</v>
      </c>
      <c r="B410" s="482"/>
      <c r="C410" s="649" t="s">
        <v>227</v>
      </c>
      <c r="V410" s="557" t="s">
        <v>32</v>
      </c>
      <c r="W410" s="683" t="s">
        <v>135</v>
      </c>
      <c r="X410" s="657"/>
      <c r="Y410" s="684">
        <v>393.45794392523362</v>
      </c>
      <c r="Z410" s="658">
        <v>42100</v>
      </c>
      <c r="AA410" s="657"/>
      <c r="AB410" s="684"/>
      <c r="AC410" s="658"/>
      <c r="AD410" s="694"/>
      <c r="AE410" s="684">
        <v>447.21225352112674</v>
      </c>
      <c r="AF410" s="658">
        <v>31752.07</v>
      </c>
      <c r="AG410" s="659">
        <v>53.754309595893119</v>
      </c>
      <c r="AH410" s="660">
        <v>-10347.93</v>
      </c>
      <c r="AI410" s="685">
        <v>-0.24579406175771973</v>
      </c>
      <c r="AJ410" s="845">
        <v>3.7259109546169789E-2</v>
      </c>
      <c r="AK410" s="660">
        <v>244.5164383561644</v>
      </c>
      <c r="AL410" s="658">
        <v>17849.7</v>
      </c>
      <c r="AM410" s="662">
        <v>53.754309595893119</v>
      </c>
      <c r="AN410" s="660">
        <v>13902.369999999999</v>
      </c>
      <c r="AO410" s="663">
        <v>0.77885734774253901</v>
      </c>
      <c r="AP410" s="485"/>
      <c r="AQ410" s="485"/>
      <c r="AR410" s="486"/>
      <c r="AS410" s="485"/>
      <c r="AT410" s="485"/>
      <c r="AU410" s="485"/>
      <c r="AV410" s="485"/>
      <c r="AW410" s="485"/>
      <c r="AX410" s="485"/>
      <c r="AY410" s="485"/>
      <c r="AZ410" s="485"/>
      <c r="BA410" s="485"/>
      <c r="BB410" s="485"/>
      <c r="BC410" s="485"/>
      <c r="BD410" s="485"/>
      <c r="BE410" s="485"/>
      <c r="BF410" s="485"/>
      <c r="BG410" s="485"/>
      <c r="BH410" s="485"/>
      <c r="BI410" s="485"/>
    </row>
    <row r="411" spans="1:61" ht="15.75" customHeight="1">
      <c r="A411" s="782" t="s">
        <v>33</v>
      </c>
      <c r="B411" s="482"/>
      <c r="C411" s="649" t="s">
        <v>227</v>
      </c>
      <c r="V411" s="556" t="s">
        <v>33</v>
      </c>
      <c r="W411" s="680" t="s">
        <v>136</v>
      </c>
      <c r="X411" s="542"/>
      <c r="Y411" s="681">
        <v>81.299065420560751</v>
      </c>
      <c r="Z411" s="674">
        <v>8699</v>
      </c>
      <c r="AA411" s="542"/>
      <c r="AB411" s="681"/>
      <c r="AC411" s="674"/>
      <c r="AD411" s="686"/>
      <c r="AE411" s="681">
        <v>63.039436619718309</v>
      </c>
      <c r="AF411" s="674">
        <v>4475.8</v>
      </c>
      <c r="AG411" s="675">
        <v>-18.259628800842442</v>
      </c>
      <c r="AH411" s="676">
        <v>-4223.2</v>
      </c>
      <c r="AI411" s="586">
        <v>-0.48548108978043453</v>
      </c>
      <c r="AJ411" s="844">
        <v>9.5973356011744733E-3</v>
      </c>
      <c r="AK411" s="676">
        <v>62.983424657534258</v>
      </c>
      <c r="AL411" s="674">
        <v>4597.7900000000009</v>
      </c>
      <c r="AM411" s="678">
        <v>-18.259628800842442</v>
      </c>
      <c r="AN411" s="676">
        <v>-121.99000000000069</v>
      </c>
      <c r="AO411" s="682">
        <v>-2.6532312263065662E-2</v>
      </c>
      <c r="AP411" s="485"/>
      <c r="AQ411" s="485"/>
      <c r="AR411" s="486"/>
      <c r="AS411" s="485"/>
      <c r="AT411" s="485"/>
      <c r="AU411" s="485"/>
      <c r="AV411" s="485"/>
      <c r="AW411" s="485"/>
      <c r="AX411" s="485"/>
      <c r="AY411" s="485"/>
      <c r="AZ411" s="485"/>
      <c r="BA411" s="485"/>
      <c r="BB411" s="485"/>
      <c r="BC411" s="485"/>
      <c r="BD411" s="485"/>
      <c r="BE411" s="485"/>
      <c r="BF411" s="485"/>
      <c r="BG411" s="485"/>
      <c r="BH411" s="485"/>
      <c r="BI411" s="485"/>
    </row>
    <row r="412" spans="1:61" ht="15.75" customHeight="1">
      <c r="A412" s="782" t="s">
        <v>34</v>
      </c>
      <c r="B412" s="482"/>
      <c r="C412" s="649" t="s">
        <v>227</v>
      </c>
      <c r="V412" s="556" t="s">
        <v>34</v>
      </c>
      <c r="W412" s="680" t="s">
        <v>137</v>
      </c>
      <c r="X412" s="542"/>
      <c r="Y412" s="681">
        <v>22.803738317757009</v>
      </c>
      <c r="Z412" s="674">
        <v>2440</v>
      </c>
      <c r="AA412" s="542"/>
      <c r="AB412" s="681"/>
      <c r="AC412" s="674"/>
      <c r="AD412" s="686"/>
      <c r="AE412" s="681">
        <v>35.732394366197184</v>
      </c>
      <c r="AF412" s="674">
        <v>2537</v>
      </c>
      <c r="AG412" s="675">
        <v>12.928656048440175</v>
      </c>
      <c r="AH412" s="676">
        <v>97</v>
      </c>
      <c r="AI412" s="586">
        <v>3.9754098360655736E-2</v>
      </c>
      <c r="AJ412" s="844">
        <v>5.1214289569975124E-3</v>
      </c>
      <c r="AK412" s="676">
        <v>33.609863013698629</v>
      </c>
      <c r="AL412" s="674">
        <v>2453.52</v>
      </c>
      <c r="AM412" s="678">
        <v>12.928656048440175</v>
      </c>
      <c r="AN412" s="676">
        <v>83.480000000000018</v>
      </c>
      <c r="AO412" s="682">
        <v>3.402458508591738E-2</v>
      </c>
      <c r="AP412" s="485"/>
      <c r="AQ412" s="485"/>
      <c r="AR412" s="486"/>
      <c r="AS412" s="485"/>
      <c r="AT412" s="485"/>
      <c r="AU412" s="485"/>
      <c r="AV412" s="485"/>
      <c r="AW412" s="485"/>
      <c r="AX412" s="485"/>
      <c r="AY412" s="485"/>
      <c r="AZ412" s="485"/>
      <c r="BA412" s="485"/>
      <c r="BB412" s="485"/>
      <c r="BC412" s="485"/>
      <c r="BD412" s="485"/>
      <c r="BE412" s="485"/>
      <c r="BF412" s="485"/>
      <c r="BG412" s="485"/>
      <c r="BH412" s="485"/>
      <c r="BI412" s="485"/>
    </row>
    <row r="413" spans="1:61" ht="15.75" customHeight="1">
      <c r="A413" s="782" t="s">
        <v>35</v>
      </c>
      <c r="B413" s="482"/>
      <c r="C413" s="649" t="s">
        <v>227</v>
      </c>
      <c r="V413" s="557" t="s">
        <v>35</v>
      </c>
      <c r="W413" s="683"/>
      <c r="X413" s="657"/>
      <c r="Y413" s="684">
        <v>139.20327102803739</v>
      </c>
      <c r="Z413" s="658">
        <v>14894.75</v>
      </c>
      <c r="AA413" s="657"/>
      <c r="AB413" s="684"/>
      <c r="AC413" s="658"/>
      <c r="AD413" s="694"/>
      <c r="AE413" s="684">
        <v>247.81704225352115</v>
      </c>
      <c r="AF413" s="658">
        <v>17595.010000000002</v>
      </c>
      <c r="AG413" s="659">
        <v>108.61377122548376</v>
      </c>
      <c r="AH413" s="660">
        <v>2700.260000000002</v>
      </c>
      <c r="AI413" s="685">
        <v>0.18128938048641313</v>
      </c>
      <c r="AJ413" s="845">
        <v>2.5638726846727172E-2</v>
      </c>
      <c r="AK413" s="660">
        <v>168.25657534246574</v>
      </c>
      <c r="AL413" s="658">
        <v>12282.73</v>
      </c>
      <c r="AM413" s="662">
        <v>108.61377122548376</v>
      </c>
      <c r="AN413" s="660">
        <v>5312.2800000000025</v>
      </c>
      <c r="AO413" s="663">
        <v>0.43249994097403449</v>
      </c>
      <c r="AP413" s="485"/>
      <c r="AQ413" s="485"/>
      <c r="AR413" s="486"/>
      <c r="AS413" s="485"/>
      <c r="AT413" s="485"/>
      <c r="AU413" s="485"/>
      <c r="AV413" s="485"/>
      <c r="AW413" s="485"/>
      <c r="AX413" s="485"/>
      <c r="AY413" s="485"/>
      <c r="AZ413" s="485"/>
      <c r="BA413" s="485"/>
      <c r="BB413" s="485"/>
      <c r="BC413" s="485"/>
      <c r="BD413" s="485"/>
      <c r="BE413" s="485"/>
      <c r="BF413" s="485"/>
      <c r="BG413" s="485"/>
      <c r="BH413" s="485"/>
      <c r="BI413" s="485"/>
    </row>
    <row r="414" spans="1:61" ht="15.75" customHeight="1">
      <c r="A414" s="782" t="s">
        <v>36</v>
      </c>
      <c r="B414" s="482"/>
      <c r="C414" s="649" t="s">
        <v>227</v>
      </c>
      <c r="V414" s="556" t="s">
        <v>36</v>
      </c>
      <c r="W414" s="680" t="s">
        <v>138</v>
      </c>
      <c r="X414" s="586"/>
      <c r="Y414" s="681">
        <v>146.20560747663552</v>
      </c>
      <c r="Z414" s="674">
        <v>15644</v>
      </c>
      <c r="AA414" s="586"/>
      <c r="AB414" s="681"/>
      <c r="AC414" s="674"/>
      <c r="AD414" s="686"/>
      <c r="AE414" s="681">
        <v>177.40830985915494</v>
      </c>
      <c r="AF414" s="674">
        <v>12595.99</v>
      </c>
      <c r="AG414" s="675">
        <v>31.202702382519419</v>
      </c>
      <c r="AH414" s="676">
        <v>-3048.01</v>
      </c>
      <c r="AI414" s="586">
        <v>-0.19483571976476605</v>
      </c>
      <c r="AJ414" s="844">
        <v>4.4908188880016443E-2</v>
      </c>
      <c r="AK414" s="676">
        <v>294.71424657534112</v>
      </c>
      <c r="AL414" s="674">
        <v>21514.139999999901</v>
      </c>
      <c r="AM414" s="678">
        <v>31.202702382519419</v>
      </c>
      <c r="AN414" s="676">
        <v>-8918.1499999999014</v>
      </c>
      <c r="AO414" s="682">
        <v>-0.41452505189609912</v>
      </c>
      <c r="AP414" s="485"/>
      <c r="AQ414" s="485"/>
      <c r="AR414" s="486"/>
      <c r="AS414" s="485"/>
      <c r="AT414" s="485"/>
      <c r="AU414" s="485"/>
      <c r="AV414" s="485"/>
      <c r="AW414" s="485"/>
      <c r="AX414" s="485"/>
      <c r="AY414" s="485"/>
      <c r="AZ414" s="485"/>
      <c r="BA414" s="485"/>
      <c r="BB414" s="485"/>
      <c r="BC414" s="485"/>
      <c r="BD414" s="485"/>
      <c r="BE414" s="485"/>
      <c r="BF414" s="485"/>
      <c r="BG414" s="485"/>
      <c r="BH414" s="485"/>
      <c r="BI414" s="485"/>
    </row>
    <row r="415" spans="1:61" ht="15.75" customHeight="1">
      <c r="A415" s="782" t="s">
        <v>37</v>
      </c>
      <c r="B415" s="482"/>
      <c r="C415" s="649" t="s">
        <v>227</v>
      </c>
      <c r="V415" s="556" t="s">
        <v>37</v>
      </c>
      <c r="W415" s="680" t="s">
        <v>139</v>
      </c>
      <c r="X415" s="542"/>
      <c r="Y415" s="681">
        <v>429.49780439895875</v>
      </c>
      <c r="Z415" s="674">
        <v>45956.265070688583</v>
      </c>
      <c r="AA415" s="542"/>
      <c r="AB415" s="681"/>
      <c r="AC415" s="674"/>
      <c r="AD415" s="686"/>
      <c r="AE415" s="681">
        <v>221.75317073170734</v>
      </c>
      <c r="AF415" s="674">
        <v>18183.760000000002</v>
      </c>
      <c r="AG415" s="675">
        <v>-207.74463366725141</v>
      </c>
      <c r="AH415" s="676">
        <v>-27772.505070688581</v>
      </c>
      <c r="AI415" s="586">
        <v>-0.60432467755962604</v>
      </c>
      <c r="AJ415" s="844">
        <v>9.854851516091355E-2</v>
      </c>
      <c r="AK415" s="676">
        <v>646.73397260273975</v>
      </c>
      <c r="AL415" s="674">
        <v>47211.58</v>
      </c>
      <c r="AM415" s="678">
        <v>-207.74463366725141</v>
      </c>
      <c r="AN415" s="676">
        <v>-29027.82</v>
      </c>
      <c r="AO415" s="682">
        <v>-0.61484534091000553</v>
      </c>
      <c r="AP415" s="485"/>
      <c r="AQ415" s="485"/>
      <c r="AR415" s="486"/>
      <c r="AS415" s="485"/>
      <c r="AT415" s="485"/>
      <c r="AU415" s="485"/>
      <c r="AV415" s="485"/>
      <c r="AW415" s="485"/>
      <c r="AX415" s="485"/>
      <c r="AY415" s="485"/>
      <c r="AZ415" s="485"/>
      <c r="BA415" s="485"/>
      <c r="BB415" s="485"/>
      <c r="BC415" s="485"/>
      <c r="BD415" s="485"/>
      <c r="BE415" s="485"/>
      <c r="BF415" s="485"/>
      <c r="BG415" s="485"/>
      <c r="BH415" s="485"/>
      <c r="BI415" s="485"/>
    </row>
    <row r="416" spans="1:61" ht="15.75" hidden="1" customHeight="1">
      <c r="A416" s="782" t="s">
        <v>20</v>
      </c>
      <c r="B416" s="482"/>
      <c r="C416" s="649" t="s">
        <v>227</v>
      </c>
      <c r="V416" s="556" t="s">
        <v>20</v>
      </c>
      <c r="W416" s="680"/>
      <c r="X416" s="586"/>
      <c r="Y416" s="681">
        <v>0</v>
      </c>
      <c r="Z416" s="674">
        <v>0</v>
      </c>
      <c r="AA416" s="542"/>
      <c r="AB416" s="681"/>
      <c r="AC416" s="674"/>
      <c r="AD416" s="686"/>
      <c r="AE416" s="681">
        <v>0</v>
      </c>
      <c r="AF416" s="674">
        <v>0</v>
      </c>
      <c r="AG416" s="675">
        <v>0</v>
      </c>
      <c r="AH416" s="676">
        <v>0</v>
      </c>
      <c r="AI416" s="586">
        <v>0</v>
      </c>
      <c r="AJ416" s="686"/>
      <c r="AK416" s="676">
        <v>0</v>
      </c>
      <c r="AL416" s="674">
        <v>0</v>
      </c>
      <c r="AM416" s="678">
        <v>0</v>
      </c>
      <c r="AN416" s="676">
        <v>0</v>
      </c>
      <c r="AO416" s="682">
        <v>0</v>
      </c>
      <c r="AP416" s="485"/>
      <c r="AQ416" s="485"/>
      <c r="AR416" s="486"/>
      <c r="AS416" s="485"/>
      <c r="AT416" s="485"/>
      <c r="AU416" s="485"/>
      <c r="AV416" s="485"/>
      <c r="AW416" s="485"/>
      <c r="AX416" s="485"/>
      <c r="AY416" s="485"/>
      <c r="AZ416" s="485"/>
      <c r="BA416" s="485"/>
      <c r="BB416" s="485"/>
      <c r="BC416" s="485"/>
      <c r="BD416" s="485"/>
      <c r="BE416" s="485"/>
      <c r="BF416" s="485"/>
      <c r="BG416" s="485"/>
      <c r="BH416" s="485"/>
      <c r="BI416" s="485"/>
    </row>
    <row r="417" spans="1:61" ht="15.75" hidden="1" customHeight="1">
      <c r="A417" s="782" t="s">
        <v>20</v>
      </c>
      <c r="B417" s="482"/>
      <c r="C417" s="649" t="s">
        <v>227</v>
      </c>
      <c r="V417" s="556" t="s">
        <v>20</v>
      </c>
      <c r="W417" s="680"/>
      <c r="X417" s="586"/>
      <c r="Y417" s="681">
        <v>0</v>
      </c>
      <c r="Z417" s="674">
        <v>0</v>
      </c>
      <c r="AA417" s="542"/>
      <c r="AB417" s="681"/>
      <c r="AC417" s="674"/>
      <c r="AD417" s="686"/>
      <c r="AE417" s="681">
        <v>0</v>
      </c>
      <c r="AF417" s="674">
        <v>0</v>
      </c>
      <c r="AG417" s="675">
        <v>0</v>
      </c>
      <c r="AH417" s="676">
        <v>0</v>
      </c>
      <c r="AI417" s="586">
        <v>0</v>
      </c>
      <c r="AJ417" s="686"/>
      <c r="AK417" s="676">
        <v>0</v>
      </c>
      <c r="AL417" s="674">
        <v>0</v>
      </c>
      <c r="AM417" s="678">
        <v>0</v>
      </c>
      <c r="AN417" s="676">
        <v>0</v>
      </c>
      <c r="AO417" s="682">
        <v>0</v>
      </c>
      <c r="AP417" s="485"/>
      <c r="AQ417" s="485"/>
      <c r="AR417" s="486"/>
      <c r="AS417" s="485"/>
      <c r="AT417" s="485"/>
      <c r="AU417" s="485"/>
      <c r="AV417" s="485"/>
      <c r="AW417" s="485"/>
      <c r="AX417" s="485"/>
      <c r="AY417" s="485"/>
      <c r="AZ417" s="485"/>
      <c r="BA417" s="485"/>
      <c r="BB417" s="485"/>
      <c r="BC417" s="485"/>
      <c r="BD417" s="485"/>
      <c r="BE417" s="485"/>
      <c r="BF417" s="485"/>
      <c r="BG417" s="485"/>
      <c r="BH417" s="485"/>
      <c r="BI417" s="485"/>
    </row>
    <row r="418" spans="1:61" ht="15.75" hidden="1" customHeight="1">
      <c r="A418" s="782" t="s">
        <v>20</v>
      </c>
      <c r="B418" s="482"/>
      <c r="C418" s="649" t="s">
        <v>227</v>
      </c>
      <c r="V418" s="556" t="s">
        <v>20</v>
      </c>
      <c r="W418" s="680" t="s">
        <v>139</v>
      </c>
      <c r="X418" s="542"/>
      <c r="Y418" s="681">
        <v>0</v>
      </c>
      <c r="Z418" s="674">
        <v>0</v>
      </c>
      <c r="AA418" s="542"/>
      <c r="AB418" s="681"/>
      <c r="AC418" s="674"/>
      <c r="AD418" s="686"/>
      <c r="AE418" s="681">
        <v>0</v>
      </c>
      <c r="AF418" s="674">
        <v>0</v>
      </c>
      <c r="AG418" s="675">
        <v>0</v>
      </c>
      <c r="AH418" s="676">
        <v>0</v>
      </c>
      <c r="AI418" s="586">
        <v>0</v>
      </c>
      <c r="AJ418" s="686"/>
      <c r="AK418" s="676">
        <v>0</v>
      </c>
      <c r="AL418" s="674">
        <v>0</v>
      </c>
      <c r="AM418" s="678">
        <v>0</v>
      </c>
      <c r="AN418" s="676">
        <v>0</v>
      </c>
      <c r="AO418" s="682">
        <v>0</v>
      </c>
      <c r="AP418" s="485"/>
      <c r="AQ418" s="485"/>
      <c r="AR418" s="486"/>
      <c r="AS418" s="485"/>
      <c r="AT418" s="485"/>
      <c r="AU418" s="485"/>
      <c r="AV418" s="485"/>
      <c r="AW418" s="485"/>
      <c r="AX418" s="485"/>
      <c r="AY418" s="485"/>
      <c r="AZ418" s="485"/>
      <c r="BA418" s="485"/>
      <c r="BB418" s="485"/>
      <c r="BC418" s="485"/>
      <c r="BD418" s="485"/>
      <c r="BE418" s="485"/>
      <c r="BF418" s="485"/>
      <c r="BG418" s="485"/>
      <c r="BH418" s="485"/>
      <c r="BI418" s="485"/>
    </row>
    <row r="419" spans="1:61" ht="15.75" customHeight="1">
      <c r="A419" s="782" t="s">
        <v>38</v>
      </c>
      <c r="B419" s="482"/>
      <c r="C419" s="649" t="s">
        <v>227</v>
      </c>
      <c r="V419" s="687" t="s">
        <v>38</v>
      </c>
      <c r="W419" s="688"/>
      <c r="X419" s="689">
        <v>0.27470467117718256</v>
      </c>
      <c r="Y419" s="688"/>
      <c r="Z419" s="690">
        <v>201622.44647047078</v>
      </c>
      <c r="AA419" s="689"/>
      <c r="AB419" s="688"/>
      <c r="AC419" s="690"/>
      <c r="AD419" s="667">
        <v>0.20903084803731234</v>
      </c>
      <c r="AE419" s="688"/>
      <c r="AF419" s="690">
        <v>135251.97</v>
      </c>
      <c r="AG419" s="691"/>
      <c r="AH419" s="692">
        <v>-66370.476470470778</v>
      </c>
      <c r="AI419" s="689">
        <v>-0.3291819816311537</v>
      </c>
      <c r="AJ419" s="667">
        <v>0.31039551637422413</v>
      </c>
      <c r="AK419" s="688"/>
      <c r="AL419" s="690">
        <v>148700.99999999988</v>
      </c>
      <c r="AM419" s="693"/>
      <c r="AN419" s="692">
        <v>-13449.029999999882</v>
      </c>
      <c r="AO419" s="672">
        <v>-9.0443440192062546E-2</v>
      </c>
      <c r="AP419" s="485"/>
      <c r="AQ419" s="485"/>
      <c r="AR419" s="486"/>
      <c r="AS419" s="485"/>
      <c r="AT419" s="485"/>
      <c r="AU419" s="485"/>
      <c r="AV419" s="485"/>
      <c r="AW419" s="485"/>
      <c r="AX419" s="485"/>
      <c r="AY419" s="485"/>
      <c r="AZ419" s="485"/>
      <c r="BA419" s="485"/>
      <c r="BB419" s="485"/>
      <c r="BC419" s="485"/>
      <c r="BD419" s="485"/>
      <c r="BE419" s="485"/>
      <c r="BF419" s="485"/>
      <c r="BG419" s="485"/>
      <c r="BH419" s="485"/>
      <c r="BI419" s="485"/>
    </row>
    <row r="420" spans="1:61" ht="15.75" customHeight="1">
      <c r="A420" s="782" t="s">
        <v>140</v>
      </c>
      <c r="B420" s="482"/>
      <c r="C420" s="649" t="s">
        <v>227</v>
      </c>
      <c r="V420" s="556" t="s">
        <v>140</v>
      </c>
      <c r="W420" s="680" t="s">
        <v>141</v>
      </c>
      <c r="X420" s="542"/>
      <c r="Y420" s="542"/>
      <c r="Z420" s="674">
        <v>14451.14423076923</v>
      </c>
      <c r="AA420" s="542"/>
      <c r="AB420" s="542"/>
      <c r="AC420" s="674"/>
      <c r="AD420" s="686"/>
      <c r="AE420" s="681"/>
      <c r="AF420" s="674">
        <v>15260.759999999998</v>
      </c>
      <c r="AG420" s="675"/>
      <c r="AH420" s="676">
        <v>809.61576923076791</v>
      </c>
      <c r="AI420" s="586">
        <v>5.6024336640896726E-2</v>
      </c>
      <c r="AJ420" s="686"/>
      <c r="AK420" s="542"/>
      <c r="AL420" s="674">
        <v>15663.76</v>
      </c>
      <c r="AM420" s="678"/>
      <c r="AN420" s="676">
        <v>-403.00000000000182</v>
      </c>
      <c r="AO420" s="682">
        <v>-2.572817765338602E-2</v>
      </c>
      <c r="AP420" s="485"/>
      <c r="AQ420" s="485"/>
      <c r="AR420" s="485"/>
      <c r="AS420" s="485"/>
      <c r="AT420" s="485"/>
      <c r="AU420" s="485"/>
      <c r="AV420" s="485"/>
      <c r="AW420" s="485"/>
      <c r="AX420" s="485"/>
      <c r="AY420" s="485"/>
      <c r="AZ420" s="485"/>
      <c r="BA420" s="485"/>
      <c r="BB420" s="485"/>
      <c r="BC420" s="485"/>
      <c r="BD420" s="485"/>
      <c r="BE420" s="485"/>
      <c r="BF420" s="485"/>
      <c r="BG420" s="485"/>
      <c r="BH420" s="485"/>
      <c r="BI420" s="485"/>
    </row>
    <row r="421" spans="1:61" ht="15.75" customHeight="1">
      <c r="A421" s="782" t="s">
        <v>41</v>
      </c>
      <c r="B421" s="482"/>
      <c r="C421" s="649" t="s">
        <v>227</v>
      </c>
      <c r="V421" s="556" t="s">
        <v>41</v>
      </c>
      <c r="W421" s="680" t="s">
        <v>142</v>
      </c>
      <c r="X421" s="542"/>
      <c r="Y421" s="542"/>
      <c r="Z421" s="674">
        <v>56603.570512820515</v>
      </c>
      <c r="AA421" s="542"/>
      <c r="AB421" s="542"/>
      <c r="AC421" s="674"/>
      <c r="AD421" s="686"/>
      <c r="AE421" s="681"/>
      <c r="AF421" s="674">
        <v>51728.91</v>
      </c>
      <c r="AG421" s="675"/>
      <c r="AH421" s="676">
        <v>-4874.6605128205119</v>
      </c>
      <c r="AI421" s="586">
        <v>-8.6119311355392636E-2</v>
      </c>
      <c r="AJ421" s="686"/>
      <c r="AK421" s="542"/>
      <c r="AL421" s="674">
        <v>52828.59</v>
      </c>
      <c r="AM421" s="678"/>
      <c r="AN421" s="676">
        <v>-1099.679999999993</v>
      </c>
      <c r="AO421" s="682">
        <v>-2.0816001335640287E-2</v>
      </c>
      <c r="AP421" s="485"/>
      <c r="AQ421" s="485"/>
      <c r="AR421" s="485"/>
      <c r="AS421" s="485"/>
      <c r="AT421" s="485"/>
      <c r="AU421" s="485"/>
      <c r="AV421" s="485"/>
      <c r="AW421" s="485"/>
      <c r="AX421" s="485"/>
      <c r="AY421" s="485"/>
      <c r="AZ421" s="485"/>
      <c r="BA421" s="485"/>
      <c r="BB421" s="485"/>
      <c r="BC421" s="485"/>
      <c r="BD421" s="485"/>
      <c r="BE421" s="485"/>
      <c r="BF421" s="485"/>
      <c r="BG421" s="485"/>
      <c r="BH421" s="485"/>
      <c r="BI421" s="485"/>
    </row>
    <row r="422" spans="1:61" ht="15.75" customHeight="1">
      <c r="A422" s="782" t="s">
        <v>42</v>
      </c>
      <c r="B422" s="482"/>
      <c r="C422" s="649" t="s">
        <v>227</v>
      </c>
      <c r="V422" s="557" t="s">
        <v>42</v>
      </c>
      <c r="W422" s="683" t="s">
        <v>143</v>
      </c>
      <c r="X422" s="657"/>
      <c r="Y422" s="657"/>
      <c r="Z422" s="658">
        <v>62004.212615384618</v>
      </c>
      <c r="AA422" s="657"/>
      <c r="AB422" s="657"/>
      <c r="AC422" s="658"/>
      <c r="AD422" s="694"/>
      <c r="AE422" s="684"/>
      <c r="AF422" s="658">
        <v>50528.21</v>
      </c>
      <c r="AG422" s="659"/>
      <c r="AH422" s="660">
        <v>-11476.002615384619</v>
      </c>
      <c r="AI422" s="685">
        <v>-0.18508424075265442</v>
      </c>
      <c r="AJ422" s="694"/>
      <c r="AK422" s="657"/>
      <c r="AL422" s="658">
        <v>40340.399999999994</v>
      </c>
      <c r="AM422" s="662"/>
      <c r="AN422" s="660">
        <v>10187.810000000005</v>
      </c>
      <c r="AO422" s="663">
        <v>0.25254608283507368</v>
      </c>
      <c r="AP422" s="485"/>
      <c r="AQ422" s="485"/>
      <c r="AR422" s="485"/>
      <c r="AS422" s="485"/>
      <c r="AT422" s="485"/>
      <c r="AU422" s="485"/>
      <c r="AV422" s="485"/>
      <c r="AW422" s="485"/>
      <c r="AX422" s="485"/>
      <c r="AY422" s="485"/>
      <c r="AZ422" s="485"/>
      <c r="BA422" s="485"/>
      <c r="BB422" s="485"/>
      <c r="BC422" s="485"/>
      <c r="BD422" s="485"/>
      <c r="BE422" s="485"/>
      <c r="BF422" s="485"/>
      <c r="BG422" s="485"/>
      <c r="BH422" s="485"/>
      <c r="BI422" s="485"/>
    </row>
    <row r="423" spans="1:61" ht="15.75" customHeight="1">
      <c r="A423" s="782" t="s">
        <v>43</v>
      </c>
      <c r="B423" s="482"/>
      <c r="C423" s="649" t="s">
        <v>227</v>
      </c>
      <c r="V423" s="556" t="s">
        <v>43</v>
      </c>
      <c r="W423" s="680" t="s">
        <v>144</v>
      </c>
      <c r="X423" s="542"/>
      <c r="Y423" s="542"/>
      <c r="Z423" s="674">
        <v>19486</v>
      </c>
      <c r="AA423" s="542"/>
      <c r="AB423" s="542"/>
      <c r="AC423" s="674"/>
      <c r="AD423" s="686"/>
      <c r="AE423" s="681"/>
      <c r="AF423" s="674">
        <v>22172.1</v>
      </c>
      <c r="AG423" s="675"/>
      <c r="AH423" s="676">
        <v>2686.0999999999985</v>
      </c>
      <c r="AI423" s="586">
        <v>0.13784768551780757</v>
      </c>
      <c r="AJ423" s="686"/>
      <c r="AK423" s="542"/>
      <c r="AL423" s="674">
        <v>25752.15</v>
      </c>
      <c r="AM423" s="678"/>
      <c r="AN423" s="676">
        <v>-3580.0500000000029</v>
      </c>
      <c r="AO423" s="682">
        <v>-0.13901946051106423</v>
      </c>
      <c r="AP423" s="485"/>
      <c r="AQ423" s="485"/>
      <c r="AR423" s="485"/>
      <c r="AS423" s="485"/>
      <c r="AT423" s="485"/>
      <c r="AU423" s="485"/>
      <c r="AV423" s="485"/>
      <c r="AW423" s="485"/>
      <c r="AX423" s="485"/>
      <c r="AY423" s="485"/>
      <c r="AZ423" s="485"/>
      <c r="BA423" s="485"/>
      <c r="BB423" s="485"/>
      <c r="BC423" s="485"/>
      <c r="BD423" s="485"/>
      <c r="BE423" s="485"/>
      <c r="BF423" s="485"/>
      <c r="BG423" s="485"/>
      <c r="BH423" s="485"/>
      <c r="BI423" s="485"/>
    </row>
    <row r="424" spans="1:61" ht="15.75" customHeight="1">
      <c r="A424" s="782" t="s">
        <v>44</v>
      </c>
      <c r="B424" s="482"/>
      <c r="C424" s="649" t="s">
        <v>227</v>
      </c>
      <c r="V424" s="556" t="s">
        <v>44</v>
      </c>
      <c r="W424" s="680" t="s">
        <v>145</v>
      </c>
      <c r="X424" s="542"/>
      <c r="Y424" s="542"/>
      <c r="Z424" s="674">
        <v>26685.668886153846</v>
      </c>
      <c r="AA424" s="542"/>
      <c r="AB424" s="542"/>
      <c r="AC424" s="674"/>
      <c r="AD424" s="686"/>
      <c r="AE424" s="681"/>
      <c r="AF424" s="674">
        <v>23505.88</v>
      </c>
      <c r="AG424" s="675"/>
      <c r="AH424" s="676">
        <v>-3179.7888861538449</v>
      </c>
      <c r="AI424" s="586">
        <v>-0.1191571738268743</v>
      </c>
      <c r="AJ424" s="686"/>
      <c r="AK424" s="542"/>
      <c r="AL424" s="674">
        <v>26139.54</v>
      </c>
      <c r="AM424" s="678"/>
      <c r="AN424" s="676">
        <v>-2633.66</v>
      </c>
      <c r="AO424" s="682">
        <v>-0.10075387707664327</v>
      </c>
      <c r="AP424" s="485"/>
      <c r="AQ424" s="485"/>
      <c r="AR424" s="485"/>
      <c r="AS424" s="485"/>
      <c r="AT424" s="485"/>
      <c r="AU424" s="485"/>
      <c r="AV424" s="485"/>
      <c r="AW424" s="485"/>
      <c r="AX424" s="485"/>
      <c r="AY424" s="485"/>
      <c r="AZ424" s="485"/>
      <c r="BA424" s="485"/>
      <c r="BB424" s="485"/>
      <c r="BC424" s="485"/>
      <c r="BD424" s="485"/>
      <c r="BE424" s="485"/>
      <c r="BF424" s="485"/>
      <c r="BG424" s="485"/>
      <c r="BH424" s="485"/>
      <c r="BI424" s="485"/>
    </row>
    <row r="425" spans="1:61" ht="15.75" hidden="1" customHeight="1">
      <c r="A425" s="782" t="s">
        <v>20</v>
      </c>
      <c r="B425" s="482"/>
      <c r="C425" s="649" t="s">
        <v>227</v>
      </c>
      <c r="V425" s="556" t="s">
        <v>20</v>
      </c>
      <c r="W425" s="680"/>
      <c r="X425" s="542"/>
      <c r="Y425" s="542"/>
      <c r="Z425" s="674">
        <v>0</v>
      </c>
      <c r="AA425" s="542"/>
      <c r="AB425" s="542"/>
      <c r="AC425" s="674"/>
      <c r="AD425" s="686"/>
      <c r="AE425" s="681"/>
      <c r="AF425" s="674">
        <v>0</v>
      </c>
      <c r="AG425" s="675"/>
      <c r="AH425" s="676">
        <v>0</v>
      </c>
      <c r="AI425" s="586">
        <v>0</v>
      </c>
      <c r="AJ425" s="686"/>
      <c r="AK425" s="542"/>
      <c r="AL425" s="674">
        <v>0</v>
      </c>
      <c r="AM425" s="678"/>
      <c r="AN425" s="676">
        <v>0</v>
      </c>
      <c r="AO425" s="682">
        <v>0</v>
      </c>
      <c r="AP425" s="485"/>
      <c r="AQ425" s="485"/>
      <c r="AR425" s="485"/>
      <c r="AS425" s="485"/>
      <c r="AT425" s="485"/>
      <c r="AU425" s="485"/>
      <c r="AV425" s="485"/>
      <c r="AW425" s="485"/>
      <c r="AX425" s="485"/>
      <c r="AY425" s="485"/>
      <c r="AZ425" s="485"/>
      <c r="BA425" s="485"/>
      <c r="BB425" s="485"/>
      <c r="BC425" s="485"/>
      <c r="BD425" s="485"/>
      <c r="BE425" s="485"/>
      <c r="BF425" s="485"/>
      <c r="BG425" s="485"/>
      <c r="BH425" s="485"/>
      <c r="BI425" s="485"/>
    </row>
    <row r="426" spans="1:61" ht="15.75" hidden="1" customHeight="1">
      <c r="A426" s="782" t="s">
        <v>20</v>
      </c>
      <c r="B426" s="482"/>
      <c r="C426" s="649" t="s">
        <v>227</v>
      </c>
      <c r="V426" s="556" t="s">
        <v>20</v>
      </c>
      <c r="W426" s="680"/>
      <c r="X426" s="542"/>
      <c r="Y426" s="542"/>
      <c r="Z426" s="674">
        <v>0</v>
      </c>
      <c r="AA426" s="542"/>
      <c r="AB426" s="542"/>
      <c r="AC426" s="674"/>
      <c r="AD426" s="686"/>
      <c r="AE426" s="681"/>
      <c r="AF426" s="674">
        <v>0</v>
      </c>
      <c r="AG426" s="675"/>
      <c r="AH426" s="676">
        <v>0</v>
      </c>
      <c r="AI426" s="586">
        <v>0</v>
      </c>
      <c r="AJ426" s="686"/>
      <c r="AK426" s="542"/>
      <c r="AL426" s="674">
        <v>0</v>
      </c>
      <c r="AM426" s="678"/>
      <c r="AN426" s="676">
        <v>0</v>
      </c>
      <c r="AO426" s="682">
        <v>0</v>
      </c>
      <c r="AP426" s="485"/>
      <c r="AQ426" s="485"/>
      <c r="AR426" s="485"/>
      <c r="AS426" s="485"/>
      <c r="AT426" s="485"/>
      <c r="AU426" s="485"/>
      <c r="AV426" s="485"/>
      <c r="AW426" s="485"/>
      <c r="AX426" s="485"/>
      <c r="AY426" s="485"/>
      <c r="AZ426" s="485"/>
      <c r="BA426" s="485"/>
      <c r="BB426" s="485"/>
      <c r="BC426" s="485"/>
      <c r="BD426" s="485"/>
      <c r="BE426" s="485"/>
      <c r="BF426" s="485"/>
      <c r="BG426" s="485"/>
      <c r="BH426" s="485"/>
      <c r="BI426" s="485"/>
    </row>
    <row r="427" spans="1:61" ht="15.75" hidden="1" customHeight="1">
      <c r="A427" s="782" t="s">
        <v>20</v>
      </c>
      <c r="B427" s="482"/>
      <c r="C427" s="649" t="s">
        <v>227</v>
      </c>
      <c r="V427" s="556" t="s">
        <v>20</v>
      </c>
      <c r="W427" s="680"/>
      <c r="X427" s="542"/>
      <c r="Y427" s="542"/>
      <c r="Z427" s="674">
        <v>0</v>
      </c>
      <c r="AA427" s="542"/>
      <c r="AB427" s="542"/>
      <c r="AC427" s="674"/>
      <c r="AD427" s="686"/>
      <c r="AE427" s="681"/>
      <c r="AF427" s="674">
        <v>0</v>
      </c>
      <c r="AG427" s="675"/>
      <c r="AH427" s="676">
        <v>0</v>
      </c>
      <c r="AI427" s="586">
        <v>0</v>
      </c>
      <c r="AJ427" s="686"/>
      <c r="AK427" s="542"/>
      <c r="AL427" s="674">
        <v>0</v>
      </c>
      <c r="AM427" s="678"/>
      <c r="AN427" s="676">
        <v>0</v>
      </c>
      <c r="AO427" s="682">
        <v>0</v>
      </c>
      <c r="AP427" s="485"/>
      <c r="AQ427" s="485"/>
      <c r="AR427" s="485"/>
      <c r="AS427" s="485"/>
      <c r="AT427" s="485"/>
      <c r="AU427" s="485"/>
      <c r="AV427" s="485"/>
      <c r="AW427" s="485"/>
      <c r="AX427" s="485"/>
      <c r="AY427" s="485"/>
      <c r="AZ427" s="485"/>
      <c r="BA427" s="485"/>
      <c r="BB427" s="485"/>
      <c r="BC427" s="485"/>
      <c r="BD427" s="485"/>
      <c r="BE427" s="485"/>
      <c r="BF427" s="485"/>
      <c r="BG427" s="485"/>
      <c r="BH427" s="485"/>
      <c r="BI427" s="485"/>
    </row>
    <row r="428" spans="1:61" ht="15.75" customHeight="1">
      <c r="A428" s="782" t="s">
        <v>45</v>
      </c>
      <c r="B428" s="482"/>
      <c r="C428" s="649" t="s">
        <v>227</v>
      </c>
      <c r="V428" s="557" t="s">
        <v>45</v>
      </c>
      <c r="W428" s="683" t="s">
        <v>146</v>
      </c>
      <c r="X428" s="657"/>
      <c r="Y428" s="846">
        <v>0.10562290300567331</v>
      </c>
      <c r="Z428" s="658">
        <v>40407.6020174925</v>
      </c>
      <c r="AA428" s="657"/>
      <c r="AB428" s="657"/>
      <c r="AC428" s="658"/>
      <c r="AD428" s="694"/>
      <c r="AE428" s="684"/>
      <c r="AF428" s="658">
        <v>38718.78</v>
      </c>
      <c r="AG428" s="659"/>
      <c r="AH428" s="660">
        <v>-1688.8220174925009</v>
      </c>
      <c r="AI428" s="685">
        <v>-4.1794660736398259E-2</v>
      </c>
      <c r="AJ428" s="694"/>
      <c r="AK428" s="657"/>
      <c r="AL428" s="658">
        <v>35589.440000000002</v>
      </c>
      <c r="AM428" s="662"/>
      <c r="AN428" s="660">
        <v>3129.3399999999965</v>
      </c>
      <c r="AO428" s="663">
        <v>8.7928891266622802E-2</v>
      </c>
      <c r="AP428" s="485"/>
      <c r="AQ428" s="485"/>
      <c r="AR428" s="485"/>
      <c r="AS428" s="485"/>
      <c r="AT428" s="485"/>
      <c r="AU428" s="485"/>
      <c r="AV428" s="485"/>
      <c r="AW428" s="485"/>
      <c r="AX428" s="485"/>
      <c r="AY428" s="485"/>
      <c r="AZ428" s="485"/>
      <c r="BA428" s="485"/>
      <c r="BB428" s="485"/>
      <c r="BC428" s="485"/>
      <c r="BD428" s="485"/>
      <c r="BE428" s="485"/>
      <c r="BF428" s="485"/>
      <c r="BG428" s="485"/>
      <c r="BH428" s="485"/>
      <c r="BI428" s="485"/>
    </row>
    <row r="429" spans="1:61" ht="15.75" customHeight="1">
      <c r="A429" s="782" t="s">
        <v>46</v>
      </c>
      <c r="B429" s="482"/>
      <c r="C429" s="649" t="s">
        <v>227</v>
      </c>
      <c r="V429" s="556" t="s">
        <v>46</v>
      </c>
      <c r="W429" s="680" t="s">
        <v>147</v>
      </c>
      <c r="X429" s="542"/>
      <c r="Y429" s="847">
        <v>0.12842256048266887</v>
      </c>
      <c r="Z429" s="674">
        <v>49129.947827435812</v>
      </c>
      <c r="AA429" s="542"/>
      <c r="AB429" s="542"/>
      <c r="AC429" s="674"/>
      <c r="AD429" s="686"/>
      <c r="AE429" s="681"/>
      <c r="AF429" s="674">
        <v>51326.630000000005</v>
      </c>
      <c r="AG429" s="675"/>
      <c r="AH429" s="676">
        <v>2196.682172564193</v>
      </c>
      <c r="AI429" s="586">
        <v>4.4711673219760516E-2</v>
      </c>
      <c r="AJ429" s="686"/>
      <c r="AK429" s="542"/>
      <c r="AL429" s="674">
        <v>46819.999999999993</v>
      </c>
      <c r="AM429" s="678"/>
      <c r="AN429" s="676">
        <v>4506.6300000000119</v>
      </c>
      <c r="AO429" s="682">
        <v>9.6254378470739269E-2</v>
      </c>
      <c r="AP429" s="485"/>
      <c r="AQ429" s="485"/>
      <c r="AR429" s="485"/>
      <c r="AS429" s="485"/>
      <c r="AT429" s="485"/>
      <c r="AU429" s="485"/>
      <c r="AV429" s="485"/>
      <c r="AW429" s="485"/>
      <c r="AX429" s="485"/>
      <c r="AY429" s="485"/>
      <c r="AZ429" s="485"/>
      <c r="BA429" s="485"/>
      <c r="BB429" s="485"/>
      <c r="BC429" s="485"/>
      <c r="BD429" s="485"/>
      <c r="BE429" s="485"/>
      <c r="BF429" s="485"/>
      <c r="BG429" s="485"/>
      <c r="BH429" s="485"/>
      <c r="BI429" s="485"/>
    </row>
    <row r="430" spans="1:61" ht="15.75" customHeight="1">
      <c r="A430" s="782" t="s">
        <v>47</v>
      </c>
      <c r="B430" s="482"/>
      <c r="C430" s="649" t="s">
        <v>227</v>
      </c>
      <c r="V430" s="556" t="s">
        <v>47</v>
      </c>
      <c r="W430" s="680" t="s">
        <v>148</v>
      </c>
      <c r="X430" s="542"/>
      <c r="Y430" s="847">
        <v>6.6165536596505481E-2</v>
      </c>
      <c r="Z430" s="674">
        <v>25312.603554570189</v>
      </c>
      <c r="AA430" s="542"/>
      <c r="AB430" s="542"/>
      <c r="AC430" s="674"/>
      <c r="AD430" s="686"/>
      <c r="AE430" s="681"/>
      <c r="AF430" s="674">
        <v>18509.77</v>
      </c>
      <c r="AG430" s="675"/>
      <c r="AH430" s="676">
        <v>-6802.8335545701884</v>
      </c>
      <c r="AI430" s="586">
        <v>-0.26875281872543438</v>
      </c>
      <c r="AJ430" s="686"/>
      <c r="AK430" s="542"/>
      <c r="AL430" s="674">
        <v>19403.8</v>
      </c>
      <c r="AM430" s="678"/>
      <c r="AN430" s="676">
        <v>-894.02999999999884</v>
      </c>
      <c r="AO430" s="682">
        <v>-4.6074995619414694E-2</v>
      </c>
      <c r="AP430" s="485"/>
      <c r="AQ430" s="485"/>
      <c r="AR430" s="485"/>
      <c r="AS430" s="485"/>
      <c r="AT430" s="485"/>
      <c r="AU430" s="485"/>
      <c r="AV430" s="485"/>
      <c r="AW430" s="485"/>
      <c r="AX430" s="485"/>
      <c r="AY430" s="485"/>
      <c r="AZ430" s="485"/>
      <c r="BA430" s="485"/>
      <c r="BB430" s="485"/>
      <c r="BC430" s="485"/>
      <c r="BD430" s="485"/>
      <c r="BE430" s="485"/>
      <c r="BF430" s="485"/>
      <c r="BG430" s="485"/>
      <c r="BH430" s="485"/>
      <c r="BI430" s="485"/>
    </row>
    <row r="431" spans="1:61" ht="15.75" customHeight="1">
      <c r="A431" s="782" t="s">
        <v>48</v>
      </c>
      <c r="B431" s="482"/>
      <c r="C431" s="649" t="s">
        <v>227</v>
      </c>
      <c r="V431" s="556" t="s">
        <v>48</v>
      </c>
      <c r="W431" s="680"/>
      <c r="X431" s="542"/>
      <c r="Y431" s="542"/>
      <c r="Z431" s="674">
        <v>11036.437555438479</v>
      </c>
      <c r="AA431" s="542"/>
      <c r="AB431" s="542"/>
      <c r="AC431" s="674"/>
      <c r="AD431" s="686"/>
      <c r="AE431" s="681"/>
      <c r="AF431" s="674">
        <v>8525</v>
      </c>
      <c r="AG431" s="675"/>
      <c r="AH431" s="676">
        <v>-2511.4375554384787</v>
      </c>
      <c r="AI431" s="708">
        <v>-0.22755871564741517</v>
      </c>
      <c r="AJ431" s="686"/>
      <c r="AK431" s="542"/>
      <c r="AL431" s="674">
        <v>7407.93</v>
      </c>
      <c r="AM431" s="678"/>
      <c r="AN431" s="676">
        <v>1117.0699999999997</v>
      </c>
      <c r="AO431" s="682">
        <v>0.15079381149659887</v>
      </c>
      <c r="AP431" s="485"/>
      <c r="AQ431" s="485"/>
      <c r="AR431" s="485"/>
      <c r="AS431" s="485"/>
      <c r="AT431" s="485"/>
      <c r="AU431" s="485"/>
      <c r="AV431" s="485"/>
      <c r="AW431" s="485"/>
      <c r="AX431" s="485"/>
      <c r="AY431" s="485"/>
      <c r="AZ431" s="485"/>
      <c r="BA431" s="485"/>
      <c r="BB431" s="485"/>
      <c r="BC431" s="485"/>
      <c r="BD431" s="485"/>
      <c r="BE431" s="485"/>
      <c r="BF431" s="485"/>
      <c r="BG431" s="485"/>
      <c r="BH431" s="485"/>
      <c r="BI431" s="485"/>
    </row>
    <row r="432" spans="1:61" ht="15.75" hidden="1" customHeight="1">
      <c r="A432" s="782" t="s">
        <v>20</v>
      </c>
      <c r="B432" s="482"/>
      <c r="C432" s="649" t="s">
        <v>227</v>
      </c>
      <c r="V432" s="502" t="s">
        <v>20</v>
      </c>
      <c r="W432" s="680"/>
      <c r="X432" s="542"/>
      <c r="Y432" s="681"/>
      <c r="Z432" s="674">
        <v>0</v>
      </c>
      <c r="AA432" s="542"/>
      <c r="AB432" s="542"/>
      <c r="AC432" s="674"/>
      <c r="AD432" s="686"/>
      <c r="AE432" s="681"/>
      <c r="AF432" s="674">
        <v>0</v>
      </c>
      <c r="AG432" s="675"/>
      <c r="AH432" s="676">
        <v>0</v>
      </c>
      <c r="AI432" s="586">
        <v>0</v>
      </c>
      <c r="AJ432" s="686"/>
      <c r="AK432" s="542"/>
      <c r="AL432" s="674">
        <v>0</v>
      </c>
      <c r="AM432" s="678"/>
      <c r="AN432" s="676"/>
      <c r="AO432" s="663"/>
      <c r="AP432" s="485"/>
      <c r="AQ432" s="485"/>
      <c r="AR432" s="485"/>
      <c r="AS432" s="485"/>
      <c r="AT432" s="485"/>
      <c r="AU432" s="485"/>
      <c r="AV432" s="485"/>
      <c r="AW432" s="485"/>
      <c r="AX432" s="485"/>
      <c r="AY432" s="485"/>
      <c r="AZ432" s="485"/>
      <c r="BA432" s="485"/>
      <c r="BB432" s="485"/>
      <c r="BC432" s="485"/>
      <c r="BD432" s="485"/>
      <c r="BE432" s="485"/>
      <c r="BF432" s="485"/>
      <c r="BG432" s="485"/>
      <c r="BH432" s="485"/>
      <c r="BI432" s="485"/>
    </row>
    <row r="433" spans="1:62" ht="15.75" customHeight="1">
      <c r="A433" s="782" t="s">
        <v>49</v>
      </c>
      <c r="B433" s="482"/>
      <c r="C433" s="649" t="s">
        <v>227</v>
      </c>
      <c r="V433" s="687" t="s">
        <v>49</v>
      </c>
      <c r="W433" s="688"/>
      <c r="X433" s="689">
        <v>0.41571322066353578</v>
      </c>
      <c r="Y433" s="688"/>
      <c r="Z433" s="690">
        <v>305117.18720006518</v>
      </c>
      <c r="AA433" s="689"/>
      <c r="AB433" s="688"/>
      <c r="AC433" s="690"/>
      <c r="AD433" s="667">
        <v>0.43316439920054167</v>
      </c>
      <c r="AE433" s="695"/>
      <c r="AF433" s="690">
        <v>280276.04000000004</v>
      </c>
      <c r="AG433" s="691"/>
      <c r="AH433" s="692">
        <v>-24841.147200065141</v>
      </c>
      <c r="AI433" s="689">
        <v>-8.1415102924951965E-2</v>
      </c>
      <c r="AJ433" s="667">
        <v>0.56347910914455845</v>
      </c>
      <c r="AK433" s="688"/>
      <c r="AL433" s="690">
        <v>269945.61</v>
      </c>
      <c r="AM433" s="697"/>
      <c r="AN433" s="692">
        <v>10330.430000000051</v>
      </c>
      <c r="AO433" s="672">
        <v>3.8268560840830315E-2</v>
      </c>
      <c r="AP433" s="485"/>
      <c r="AQ433" s="485"/>
      <c r="AR433" s="485"/>
      <c r="AS433" s="485"/>
      <c r="AT433" s="485"/>
      <c r="AU433" s="485"/>
      <c r="AV433" s="485"/>
      <c r="AW433" s="485"/>
      <c r="AX433" s="485"/>
      <c r="AY433" s="485"/>
      <c r="AZ433" s="485"/>
      <c r="BA433" s="485"/>
      <c r="BB433" s="485"/>
      <c r="BC433" s="485"/>
      <c r="BD433" s="485"/>
      <c r="BE433" s="485"/>
      <c r="BF433" s="485"/>
      <c r="BG433" s="485"/>
      <c r="BH433" s="485"/>
      <c r="BI433" s="485"/>
    </row>
    <row r="434" spans="1:62" ht="15.75" customHeight="1">
      <c r="A434" s="782" t="s">
        <v>50</v>
      </c>
      <c r="B434" s="482"/>
      <c r="C434" s="649" t="s">
        <v>227</v>
      </c>
      <c r="V434" s="630" t="s">
        <v>50</v>
      </c>
      <c r="W434" s="698" t="s">
        <v>138</v>
      </c>
      <c r="X434" s="699"/>
      <c r="Y434" s="699"/>
      <c r="Z434" s="700">
        <v>12572.572144729857</v>
      </c>
      <c r="AA434" s="699"/>
      <c r="AB434" s="699"/>
      <c r="AC434" s="700"/>
      <c r="AD434" s="701"/>
      <c r="AE434" s="702"/>
      <c r="AF434" s="700">
        <v>12184.25</v>
      </c>
      <c r="AG434" s="701"/>
      <c r="AH434" s="703">
        <v>-388.32214472985652</v>
      </c>
      <c r="AI434" s="704">
        <v>-3.0886451893826081E-2</v>
      </c>
      <c r="AJ434" s="701"/>
      <c r="AK434" s="699"/>
      <c r="AL434" s="700">
        <v>14517.59</v>
      </c>
      <c r="AM434" s="705"/>
      <c r="AN434" s="703">
        <v>-2333.34</v>
      </c>
      <c r="AO434" s="679">
        <v>-0.16072502391925933</v>
      </c>
      <c r="AP434" s="485"/>
      <c r="AQ434" s="485"/>
      <c r="AR434" s="485"/>
      <c r="AS434" s="485"/>
      <c r="AT434" s="485"/>
      <c r="AU434" s="485"/>
      <c r="AV434" s="485"/>
      <c r="AW434" s="485"/>
      <c r="AX434" s="485"/>
      <c r="AY434" s="485"/>
      <c r="AZ434" s="485"/>
      <c r="BA434" s="485"/>
      <c r="BB434" s="485"/>
      <c r="BC434" s="485"/>
      <c r="BD434" s="485"/>
      <c r="BE434" s="485"/>
      <c r="BF434" s="485"/>
      <c r="BG434" s="485"/>
      <c r="BH434" s="485"/>
      <c r="BI434" s="485"/>
    </row>
    <row r="435" spans="1:62" ht="15.75" customHeight="1">
      <c r="A435" s="782" t="s">
        <v>51</v>
      </c>
      <c r="B435" s="482"/>
      <c r="C435" s="649" t="s">
        <v>227</v>
      </c>
      <c r="V435" s="556" t="s">
        <v>51</v>
      </c>
      <c r="W435" s="680" t="s">
        <v>149</v>
      </c>
      <c r="X435" s="542"/>
      <c r="Y435" s="542"/>
      <c r="Z435" s="674">
        <v>4545.3811628057083</v>
      </c>
      <c r="AA435" s="542"/>
      <c r="AB435" s="542"/>
      <c r="AC435" s="674"/>
      <c r="AD435" s="686"/>
      <c r="AE435" s="681"/>
      <c r="AF435" s="674">
        <v>8329.58</v>
      </c>
      <c r="AG435" s="675"/>
      <c r="AH435" s="676">
        <v>3784.1988371942916</v>
      </c>
      <c r="AI435" s="586">
        <v>0.83253718481519712</v>
      </c>
      <c r="AJ435" s="686"/>
      <c r="AK435" s="542"/>
      <c r="AL435" s="674">
        <v>6353.59</v>
      </c>
      <c r="AM435" s="678"/>
      <c r="AN435" s="676">
        <v>1975.9899999999998</v>
      </c>
      <c r="AO435" s="682">
        <v>0.31100370027024088</v>
      </c>
      <c r="AP435" s="485"/>
      <c r="AQ435" s="485"/>
      <c r="AR435" s="485"/>
      <c r="AS435" s="485"/>
      <c r="AT435" s="485"/>
      <c r="AU435" s="485"/>
      <c r="AV435" s="485"/>
      <c r="AW435" s="485"/>
      <c r="AX435" s="485"/>
      <c r="AY435" s="485"/>
      <c r="AZ435" s="485"/>
      <c r="BA435" s="485"/>
      <c r="BB435" s="485"/>
      <c r="BC435" s="485"/>
      <c r="BD435" s="485"/>
      <c r="BE435" s="485"/>
      <c r="BF435" s="485"/>
      <c r="BG435" s="485"/>
      <c r="BH435" s="485"/>
      <c r="BI435" s="485"/>
    </row>
    <row r="436" spans="1:62" ht="15.75" customHeight="1">
      <c r="A436" s="782" t="s">
        <v>52</v>
      </c>
      <c r="B436" s="482"/>
      <c r="C436" s="649" t="s">
        <v>227</v>
      </c>
      <c r="U436" s="848"/>
      <c r="V436" s="557" t="s">
        <v>52</v>
      </c>
      <c r="W436" s="683" t="s">
        <v>150</v>
      </c>
      <c r="X436" s="657"/>
      <c r="Y436" s="657"/>
      <c r="Z436" s="658">
        <v>22709.26466666667</v>
      </c>
      <c r="AA436" s="657"/>
      <c r="AB436" s="657"/>
      <c r="AC436" s="658"/>
      <c r="AD436" s="694"/>
      <c r="AE436" s="684"/>
      <c r="AF436" s="658">
        <v>23912.94</v>
      </c>
      <c r="AG436" s="659"/>
      <c r="AH436" s="660">
        <v>1203.675333333329</v>
      </c>
      <c r="AI436" s="685">
        <v>5.3003712405541657E-2</v>
      </c>
      <c r="AJ436" s="694"/>
      <c r="AK436" s="657"/>
      <c r="AL436" s="658">
        <v>22511.9</v>
      </c>
      <c r="AM436" s="662"/>
      <c r="AN436" s="660">
        <v>1401.0399999999972</v>
      </c>
      <c r="AO436" s="663">
        <v>6.2235528764786496E-2</v>
      </c>
      <c r="AP436" s="485"/>
      <c r="AQ436" s="485"/>
      <c r="AR436" s="485"/>
      <c r="AS436" s="485"/>
      <c r="AT436" s="485"/>
      <c r="AU436" s="485"/>
      <c r="AV436" s="485"/>
      <c r="AW436" s="485"/>
      <c r="AX436" s="485"/>
      <c r="AY436" s="485"/>
      <c r="AZ436" s="485"/>
      <c r="BA436" s="485"/>
      <c r="BB436" s="485"/>
      <c r="BC436" s="485"/>
      <c r="BD436" s="485"/>
      <c r="BE436" s="485"/>
      <c r="BF436" s="485"/>
      <c r="BG436" s="485"/>
      <c r="BH436" s="485"/>
      <c r="BI436" s="485"/>
    </row>
    <row r="437" spans="1:62" ht="15.75" customHeight="1">
      <c r="A437" s="782" t="s">
        <v>53</v>
      </c>
      <c r="B437" s="482"/>
      <c r="C437" s="649" t="s">
        <v>227</v>
      </c>
      <c r="U437" s="848"/>
      <c r="V437" s="556" t="s">
        <v>53</v>
      </c>
      <c r="W437" s="680" t="s">
        <v>151</v>
      </c>
      <c r="X437" s="542"/>
      <c r="Y437" s="542"/>
      <c r="Z437" s="674">
        <v>22402.080143777777</v>
      </c>
      <c r="AA437" s="542"/>
      <c r="AB437" s="542"/>
      <c r="AC437" s="674"/>
      <c r="AD437" s="686"/>
      <c r="AE437" s="681"/>
      <c r="AF437" s="674">
        <v>19706.759999999998</v>
      </c>
      <c r="AG437" s="675"/>
      <c r="AH437" s="849">
        <v>-2695.3201437777789</v>
      </c>
      <c r="AI437" s="586">
        <v>-0.12031561919603298</v>
      </c>
      <c r="AJ437" s="686"/>
      <c r="AK437" s="542"/>
      <c r="AL437" s="674">
        <v>21215.530000000002</v>
      </c>
      <c r="AM437" s="678"/>
      <c r="AN437" s="676">
        <v>-1508.7700000000041</v>
      </c>
      <c r="AO437" s="682">
        <v>-7.1116300181989514E-2</v>
      </c>
      <c r="AP437" s="485"/>
      <c r="AQ437" s="485"/>
      <c r="AR437" s="485"/>
      <c r="AS437" s="485"/>
      <c r="AT437" s="485"/>
      <c r="AU437" s="485"/>
      <c r="AV437" s="485"/>
      <c r="AW437" s="485"/>
      <c r="AX437" s="485"/>
      <c r="AY437" s="485"/>
      <c r="AZ437" s="485"/>
      <c r="BA437" s="485"/>
      <c r="BB437" s="485"/>
      <c r="BC437" s="485"/>
      <c r="BD437" s="485"/>
      <c r="BE437" s="485"/>
      <c r="BF437" s="485"/>
      <c r="BG437" s="485"/>
      <c r="BH437" s="485"/>
      <c r="BI437" s="485"/>
    </row>
    <row r="438" spans="1:62" ht="15.75" customHeight="1">
      <c r="A438" s="782" t="s">
        <v>54</v>
      </c>
      <c r="B438" s="482"/>
      <c r="C438" s="649" t="s">
        <v>227</v>
      </c>
      <c r="U438" s="848"/>
      <c r="V438" s="556" t="s">
        <v>54</v>
      </c>
      <c r="W438" s="680" t="s">
        <v>152</v>
      </c>
      <c r="X438" s="542"/>
      <c r="Y438" s="542"/>
      <c r="Z438" s="674">
        <v>3905.5576324861113</v>
      </c>
      <c r="AA438" s="542"/>
      <c r="AB438" s="542"/>
      <c r="AC438" s="674"/>
      <c r="AD438" s="686"/>
      <c r="AE438" s="681"/>
      <c r="AF438" s="674">
        <v>6656.17</v>
      </c>
      <c r="AG438" s="675"/>
      <c r="AH438" s="676">
        <v>2750.6123675138888</v>
      </c>
      <c r="AI438" s="586">
        <v>0.70428159723838624</v>
      </c>
      <c r="AJ438" s="686"/>
      <c r="AK438" s="542"/>
      <c r="AL438" s="674">
        <v>4364.88</v>
      </c>
      <c r="AM438" s="678"/>
      <c r="AN438" s="676">
        <v>2291.29</v>
      </c>
      <c r="AO438" s="682">
        <v>0.52493768442660504</v>
      </c>
      <c r="AP438" s="485"/>
      <c r="AQ438" s="485"/>
      <c r="AR438" s="485"/>
      <c r="AS438" s="485"/>
      <c r="AT438" s="485"/>
      <c r="AU438" s="485"/>
      <c r="AV438" s="485"/>
      <c r="AW438" s="485"/>
      <c r="AX438" s="485"/>
      <c r="AY438" s="485"/>
      <c r="AZ438" s="485"/>
      <c r="BA438" s="485"/>
      <c r="BB438" s="485"/>
      <c r="BC438" s="485"/>
      <c r="BD438" s="485"/>
      <c r="BE438" s="485"/>
      <c r="BF438" s="485"/>
      <c r="BG438" s="485"/>
      <c r="BH438" s="485"/>
      <c r="BI438" s="485"/>
    </row>
    <row r="439" spans="1:62" ht="15.75" customHeight="1">
      <c r="A439" s="782" t="s">
        <v>55</v>
      </c>
      <c r="B439" s="482"/>
      <c r="C439" s="649" t="s">
        <v>227</v>
      </c>
      <c r="V439" s="556" t="s">
        <v>55</v>
      </c>
      <c r="W439" s="680" t="s">
        <v>153</v>
      </c>
      <c r="X439" s="542"/>
      <c r="Y439" s="542"/>
      <c r="Z439" s="674">
        <v>32918.054597609284</v>
      </c>
      <c r="AA439" s="542"/>
      <c r="AB439" s="542"/>
      <c r="AC439" s="674"/>
      <c r="AD439" s="686"/>
      <c r="AE439" s="681"/>
      <c r="AF439" s="674">
        <v>33962.620000000003</v>
      </c>
      <c r="AG439" s="675"/>
      <c r="AH439" s="676">
        <v>1044.5654023907191</v>
      </c>
      <c r="AI439" s="586">
        <v>3.1732294485792061E-2</v>
      </c>
      <c r="AJ439" s="686"/>
      <c r="AK439" s="542"/>
      <c r="AL439" s="674">
        <v>29035.8</v>
      </c>
      <c r="AM439" s="678"/>
      <c r="AN439" s="676">
        <v>4926.8200000000033</v>
      </c>
      <c r="AO439" s="682">
        <v>0.16968087671081919</v>
      </c>
      <c r="AP439" s="485"/>
      <c r="AQ439" s="485"/>
      <c r="AR439" s="485"/>
      <c r="AS439" s="485"/>
      <c r="AT439" s="485"/>
      <c r="AU439" s="485"/>
      <c r="AV439" s="485"/>
      <c r="AW439" s="485"/>
      <c r="AX439" s="485"/>
      <c r="AY439" s="485"/>
      <c r="AZ439" s="485"/>
      <c r="BA439" s="485"/>
      <c r="BB439" s="485"/>
      <c r="BC439" s="485"/>
      <c r="BD439" s="485"/>
      <c r="BE439" s="485"/>
      <c r="BF439" s="485"/>
      <c r="BG439" s="485"/>
      <c r="BH439" s="485"/>
      <c r="BI439" s="485"/>
    </row>
    <row r="440" spans="1:62" ht="15.75" customHeight="1">
      <c r="B440" s="482"/>
      <c r="C440" s="649" t="s">
        <v>227</v>
      </c>
      <c r="V440" s="630" t="s">
        <v>98</v>
      </c>
      <c r="W440" s="698"/>
      <c r="X440" s="699"/>
      <c r="Y440" s="699"/>
      <c r="Z440" s="700">
        <v>0</v>
      </c>
      <c r="AA440" s="699"/>
      <c r="AB440" s="699"/>
      <c r="AC440" s="700"/>
      <c r="AD440" s="701"/>
      <c r="AE440" s="702"/>
      <c r="AF440" s="700">
        <v>0</v>
      </c>
      <c r="AG440" s="677"/>
      <c r="AH440" s="703">
        <v>0</v>
      </c>
      <c r="AI440" s="704">
        <v>0</v>
      </c>
      <c r="AJ440" s="701"/>
      <c r="AK440" s="699"/>
      <c r="AL440" s="700">
        <v>0</v>
      </c>
      <c r="AM440" s="705"/>
      <c r="AN440" s="703">
        <v>0</v>
      </c>
      <c r="AO440" s="679">
        <v>0</v>
      </c>
      <c r="AP440" s="485"/>
      <c r="AQ440" s="485"/>
      <c r="AR440" s="485"/>
      <c r="AS440" s="485"/>
      <c r="AT440" s="485"/>
      <c r="AU440" s="485"/>
      <c r="AV440" s="485"/>
      <c r="AW440" s="485"/>
      <c r="AX440" s="485"/>
      <c r="AY440" s="485"/>
      <c r="AZ440" s="485"/>
      <c r="BA440" s="485"/>
      <c r="BB440" s="485"/>
      <c r="BC440" s="485"/>
      <c r="BD440" s="485"/>
      <c r="BE440" s="485"/>
      <c r="BF440" s="485"/>
      <c r="BG440" s="485"/>
      <c r="BH440" s="485"/>
      <c r="BI440" s="485"/>
    </row>
    <row r="441" spans="1:62" ht="15.75" customHeight="1">
      <c r="A441" s="782" t="s">
        <v>56</v>
      </c>
      <c r="B441" s="482"/>
      <c r="C441" s="649" t="s">
        <v>227</v>
      </c>
      <c r="V441" s="556" t="s">
        <v>56</v>
      </c>
      <c r="W441" s="680" t="s">
        <v>154</v>
      </c>
      <c r="X441" s="542"/>
      <c r="Y441" s="681"/>
      <c r="Z441" s="674">
        <v>5252.6901555555569</v>
      </c>
      <c r="AA441" s="542"/>
      <c r="AB441" s="681"/>
      <c r="AC441" s="674"/>
      <c r="AD441" s="686"/>
      <c r="AE441" s="681"/>
      <c r="AF441" s="674">
        <v>2070.06</v>
      </c>
      <c r="AG441" s="675"/>
      <c r="AH441" s="676">
        <v>-3182.6301555555569</v>
      </c>
      <c r="AI441" s="586">
        <v>-0.60590479569586231</v>
      </c>
      <c r="AJ441" s="686"/>
      <c r="AK441" s="542"/>
      <c r="AL441" s="674">
        <v>2791.05</v>
      </c>
      <c r="AM441" s="678"/>
      <c r="AN441" s="676">
        <v>-720.99000000000024</v>
      </c>
      <c r="AO441" s="682">
        <v>-0.25832213683022526</v>
      </c>
      <c r="AP441" s="485"/>
      <c r="AQ441" s="485"/>
      <c r="AR441" s="485"/>
      <c r="AS441" s="485"/>
      <c r="AT441" s="485"/>
      <c r="AU441" s="485"/>
      <c r="AV441" s="485"/>
      <c r="AW441" s="485"/>
      <c r="AX441" s="485"/>
      <c r="AY441" s="485"/>
      <c r="AZ441" s="485"/>
      <c r="BA441" s="485"/>
      <c r="BB441" s="485"/>
      <c r="BC441" s="485"/>
      <c r="BD441" s="485"/>
      <c r="BE441" s="485"/>
      <c r="BF441" s="485"/>
      <c r="BG441" s="485"/>
      <c r="BH441" s="485"/>
      <c r="BI441" s="485"/>
      <c r="BJ441" s="485"/>
    </row>
    <row r="442" spans="1:62" ht="15.75" customHeight="1">
      <c r="A442" s="782" t="s">
        <v>57</v>
      </c>
      <c r="B442" s="482"/>
      <c r="C442" s="649" t="s">
        <v>227</v>
      </c>
      <c r="U442" s="485"/>
      <c r="V442" s="556" t="s">
        <v>57</v>
      </c>
      <c r="W442" s="680" t="s">
        <v>155</v>
      </c>
      <c r="X442" s="542"/>
      <c r="Y442" s="542"/>
      <c r="Z442" s="674">
        <v>1333.7987401197504</v>
      </c>
      <c r="AA442" s="542"/>
      <c r="AB442" s="542"/>
      <c r="AC442" s="674"/>
      <c r="AD442" s="686"/>
      <c r="AE442" s="681"/>
      <c r="AF442" s="674">
        <v>1429.5</v>
      </c>
      <c r="AG442" s="675"/>
      <c r="AH442" s="676">
        <v>95.701259880249609</v>
      </c>
      <c r="AI442" s="708">
        <v>7.1750899893380779E-2</v>
      </c>
      <c r="AJ442" s="686"/>
      <c r="AK442" s="542"/>
      <c r="AL442" s="674">
        <v>1811.25</v>
      </c>
      <c r="AM442" s="678"/>
      <c r="AN442" s="676">
        <v>-381.75</v>
      </c>
      <c r="AO442" s="682">
        <v>-0.21076604554865425</v>
      </c>
      <c r="AP442" s="485"/>
      <c r="AQ442" s="485"/>
      <c r="AR442" s="485"/>
      <c r="AS442" s="485"/>
      <c r="AT442" s="485"/>
      <c r="AU442" s="485"/>
      <c r="AV442" s="485"/>
      <c r="AW442" s="485"/>
      <c r="AX442" s="485"/>
      <c r="AY442" s="485"/>
      <c r="AZ442" s="485"/>
      <c r="BA442" s="485"/>
      <c r="BB442" s="485"/>
      <c r="BC442" s="485"/>
      <c r="BD442" s="485"/>
      <c r="BE442" s="485"/>
      <c r="BF442" s="485"/>
      <c r="BG442" s="485"/>
      <c r="BH442" s="485"/>
      <c r="BI442" s="485"/>
      <c r="BJ442" s="485"/>
    </row>
    <row r="443" spans="1:62" ht="15.75" customHeight="1">
      <c r="A443" s="782" t="s">
        <v>58</v>
      </c>
      <c r="B443" s="482"/>
      <c r="C443" s="649" t="s">
        <v>227</v>
      </c>
      <c r="T443" s="485"/>
      <c r="U443" s="485"/>
      <c r="V443" s="556" t="s">
        <v>58</v>
      </c>
      <c r="W443" s="680" t="s">
        <v>156</v>
      </c>
      <c r="X443" s="542"/>
      <c r="Y443" s="542"/>
      <c r="Z443" s="674">
        <v>2760.7503854659999</v>
      </c>
      <c r="AA443" s="542"/>
      <c r="AB443" s="542"/>
      <c r="AC443" s="674"/>
      <c r="AD443" s="686"/>
      <c r="AE443" s="681"/>
      <c r="AF443" s="674">
        <v>2218.54</v>
      </c>
      <c r="AG443" s="675"/>
      <c r="AH443" s="676">
        <v>-542.21038546599993</v>
      </c>
      <c r="AI443" s="586">
        <v>-0.19639964131508314</v>
      </c>
      <c r="AJ443" s="686"/>
      <c r="AK443" s="542"/>
      <c r="AL443" s="674">
        <v>1450.33</v>
      </c>
      <c r="AM443" s="678"/>
      <c r="AN443" s="676">
        <v>768.21</v>
      </c>
      <c r="AO443" s="682">
        <v>0.52967945226258861</v>
      </c>
      <c r="AP443" s="485"/>
      <c r="AQ443" s="485"/>
      <c r="AR443" s="485"/>
      <c r="AS443" s="485"/>
      <c r="AT443" s="485"/>
      <c r="AU443" s="485"/>
      <c r="AV443" s="485"/>
      <c r="AW443" s="485"/>
      <c r="AX443" s="485"/>
      <c r="AY443" s="485"/>
      <c r="AZ443" s="485"/>
      <c r="BA443" s="485"/>
      <c r="BB443" s="485"/>
      <c r="BC443" s="485"/>
      <c r="BD443" s="485"/>
      <c r="BE443" s="485"/>
      <c r="BF443" s="485"/>
      <c r="BG443" s="485"/>
      <c r="BH443" s="485"/>
      <c r="BI443" s="485"/>
      <c r="BJ443" s="485"/>
    </row>
    <row r="444" spans="1:62" ht="15.75" customHeight="1">
      <c r="A444" s="782" t="s">
        <v>59</v>
      </c>
      <c r="B444" s="482"/>
      <c r="C444" s="649" t="s">
        <v>227</v>
      </c>
      <c r="T444" s="485"/>
      <c r="U444" s="485"/>
      <c r="V444" s="556" t="s">
        <v>59</v>
      </c>
      <c r="W444" s="680" t="s">
        <v>157</v>
      </c>
      <c r="X444" s="542"/>
      <c r="Y444" s="542"/>
      <c r="Z444" s="674">
        <v>734.68076036869445</v>
      </c>
      <c r="AA444" s="542"/>
      <c r="AB444" s="542"/>
      <c r="AC444" s="674"/>
      <c r="AD444" s="686"/>
      <c r="AE444" s="681"/>
      <c r="AF444" s="674">
        <v>750.67</v>
      </c>
      <c r="AG444" s="675"/>
      <c r="AH444" s="676">
        <v>15.989239631305509</v>
      </c>
      <c r="AI444" s="708">
        <v>2.176352028503022E-2</v>
      </c>
      <c r="AJ444" s="686"/>
      <c r="AK444" s="542"/>
      <c r="AL444" s="674">
        <v>610.55999999999995</v>
      </c>
      <c r="AM444" s="678"/>
      <c r="AN444" s="676">
        <v>140.11000000000001</v>
      </c>
      <c r="AO444" s="682">
        <v>0.22947785639413001</v>
      </c>
      <c r="AP444" s="485"/>
      <c r="AQ444" s="485"/>
      <c r="AR444" s="485"/>
      <c r="AS444" s="485"/>
      <c r="AT444" s="485"/>
      <c r="AU444" s="485"/>
      <c r="AV444" s="485"/>
      <c r="AW444" s="485"/>
      <c r="AX444" s="485"/>
      <c r="AY444" s="485"/>
      <c r="AZ444" s="485"/>
      <c r="BA444" s="485"/>
      <c r="BB444" s="485"/>
      <c r="BC444" s="485"/>
      <c r="BD444" s="485"/>
      <c r="BE444" s="485"/>
      <c r="BF444" s="485"/>
      <c r="BG444" s="485"/>
      <c r="BH444" s="485"/>
      <c r="BI444" s="485"/>
      <c r="BJ444" s="485"/>
    </row>
    <row r="445" spans="1:62" ht="15.75" customHeight="1">
      <c r="A445" s="782" t="s">
        <v>60</v>
      </c>
      <c r="B445" s="482"/>
      <c r="C445" s="649" t="s">
        <v>227</v>
      </c>
      <c r="T445" s="485"/>
      <c r="U445" s="485"/>
      <c r="V445" s="556" t="s">
        <v>60</v>
      </c>
      <c r="W445" s="680" t="s">
        <v>158</v>
      </c>
      <c r="X445" s="542"/>
      <c r="Y445" s="542"/>
      <c r="Z445" s="674">
        <v>235.21156215130546</v>
      </c>
      <c r="AA445" s="542"/>
      <c r="AB445" s="542"/>
      <c r="AC445" s="674"/>
      <c r="AD445" s="686"/>
      <c r="AE445" s="681"/>
      <c r="AF445" s="674">
        <v>-708.26</v>
      </c>
      <c r="AG445" s="675"/>
      <c r="AH445" s="676">
        <v>-943.47156215130542</v>
      </c>
      <c r="AI445" s="586">
        <v>-4.0111614987038555</v>
      </c>
      <c r="AJ445" s="686"/>
      <c r="AK445" s="542"/>
      <c r="AL445" s="674">
        <v>102.99999999999999</v>
      </c>
      <c r="AM445" s="678"/>
      <c r="AN445" s="676">
        <v>-811.26</v>
      </c>
      <c r="AO445" s="682">
        <v>-7.8763106796116515</v>
      </c>
      <c r="AP445" s="485"/>
      <c r="AQ445" s="485"/>
      <c r="AR445" s="485"/>
      <c r="AS445" s="485"/>
      <c r="AT445" s="485"/>
      <c r="AU445" s="485"/>
      <c r="AV445" s="485"/>
      <c r="AW445" s="485"/>
      <c r="AX445" s="485"/>
      <c r="AY445" s="485"/>
      <c r="AZ445" s="485"/>
      <c r="BA445" s="485"/>
      <c r="BB445" s="485"/>
      <c r="BC445" s="485"/>
      <c r="BD445" s="485"/>
      <c r="BE445" s="485"/>
      <c r="BF445" s="485"/>
      <c r="BG445" s="485"/>
      <c r="BH445" s="485"/>
      <c r="BI445" s="485"/>
      <c r="BJ445" s="485"/>
    </row>
    <row r="446" spans="1:62" ht="15.75" customHeight="1">
      <c r="A446" s="782" t="s">
        <v>61</v>
      </c>
      <c r="B446" s="482"/>
      <c r="C446" s="649" t="s">
        <v>227</v>
      </c>
      <c r="T446" s="485"/>
      <c r="U446" s="485"/>
      <c r="V446" s="556" t="s">
        <v>61</v>
      </c>
      <c r="W446" s="680" t="s">
        <v>159</v>
      </c>
      <c r="X446" s="542"/>
      <c r="Y446" s="681"/>
      <c r="Z446" s="674">
        <v>720.38919864980562</v>
      </c>
      <c r="AA446" s="542"/>
      <c r="AB446" s="681"/>
      <c r="AC446" s="674"/>
      <c r="AD446" s="686"/>
      <c r="AE446" s="681"/>
      <c r="AF446" s="674">
        <v>196</v>
      </c>
      <c r="AG446" s="675"/>
      <c r="AH446" s="676">
        <v>-524.38919864980562</v>
      </c>
      <c r="AI446" s="708">
        <v>-0.72792484900196397</v>
      </c>
      <c r="AJ446" s="686"/>
      <c r="AK446" s="542"/>
      <c r="AL446" s="674">
        <v>386.75</v>
      </c>
      <c r="AM446" s="678"/>
      <c r="AN446" s="676">
        <v>-190.75</v>
      </c>
      <c r="AO446" s="682">
        <v>-0.49321266968325794</v>
      </c>
      <c r="AP446" s="485"/>
      <c r="AQ446" s="485"/>
      <c r="AR446" s="485"/>
      <c r="AS446" s="485"/>
      <c r="AT446" s="485"/>
      <c r="AU446" s="485"/>
      <c r="AV446" s="485"/>
      <c r="AW446" s="485"/>
      <c r="AX446" s="485"/>
      <c r="AY446" s="485"/>
      <c r="AZ446" s="485"/>
      <c r="BA446" s="485"/>
      <c r="BB446" s="485"/>
      <c r="BC446" s="485"/>
      <c r="BD446" s="485"/>
      <c r="BE446" s="485"/>
      <c r="BF446" s="485"/>
      <c r="BG446" s="485"/>
      <c r="BH446" s="485"/>
      <c r="BI446" s="485"/>
      <c r="BJ446" s="485"/>
    </row>
    <row r="447" spans="1:62" ht="15.75" customHeight="1">
      <c r="A447" s="782" t="s">
        <v>62</v>
      </c>
      <c r="B447" s="482"/>
      <c r="C447" s="649" t="s">
        <v>227</v>
      </c>
      <c r="T447" s="485"/>
      <c r="U447" s="485"/>
      <c r="V447" s="556" t="s">
        <v>62</v>
      </c>
      <c r="W447" s="680" t="s">
        <v>160</v>
      </c>
      <c r="X447" s="542"/>
      <c r="Y447" s="681"/>
      <c r="Z447" s="674">
        <v>5774.1370435507661</v>
      </c>
      <c r="AA447" s="542"/>
      <c r="AB447" s="681"/>
      <c r="AC447" s="674"/>
      <c r="AD447" s="686"/>
      <c r="AE447" s="681"/>
      <c r="AF447" s="674">
        <v>3800.6699999999996</v>
      </c>
      <c r="AG447" s="675"/>
      <c r="AH447" s="676">
        <v>-1973.4670435507664</v>
      </c>
      <c r="AI447" s="586">
        <v>-0.34177696661269341</v>
      </c>
      <c r="AJ447" s="686"/>
      <c r="AK447" s="542"/>
      <c r="AL447" s="674">
        <v>4618.51</v>
      </c>
      <c r="AM447" s="678"/>
      <c r="AN447" s="676">
        <v>-817.8400000000006</v>
      </c>
      <c r="AO447" s="682">
        <v>-0.17707875483651667</v>
      </c>
      <c r="AQ447" s="485"/>
      <c r="AR447" s="485"/>
      <c r="AS447" s="485"/>
      <c r="AT447" s="485"/>
      <c r="AU447" s="485"/>
      <c r="AV447" s="485"/>
      <c r="AW447" s="485"/>
      <c r="AX447" s="485"/>
      <c r="AY447" s="485"/>
      <c r="AZ447" s="485"/>
      <c r="BA447" s="485"/>
      <c r="BB447" s="485"/>
      <c r="BC447" s="485"/>
      <c r="BD447" s="485"/>
      <c r="BE447" s="485"/>
      <c r="BF447" s="485"/>
      <c r="BG447" s="485"/>
      <c r="BH447" s="485"/>
      <c r="BI447" s="485"/>
      <c r="BJ447" s="485"/>
    </row>
    <row r="448" spans="1:62" ht="15.75" customHeight="1">
      <c r="A448" s="782" t="s">
        <v>63</v>
      </c>
      <c r="B448" s="482"/>
      <c r="C448" s="649" t="s">
        <v>227</v>
      </c>
      <c r="T448" s="485"/>
      <c r="U448" s="485"/>
      <c r="V448" s="556" t="s">
        <v>63</v>
      </c>
      <c r="W448" s="680" t="s">
        <v>161</v>
      </c>
      <c r="X448" s="542"/>
      <c r="Y448" s="847">
        <v>1.3097012394222801E-3</v>
      </c>
      <c r="Z448" s="674">
        <v>8313.6476244054084</v>
      </c>
      <c r="AA448" s="542"/>
      <c r="AB448" s="681"/>
      <c r="AC448" s="674"/>
      <c r="AD448" s="686"/>
      <c r="AE448" s="681"/>
      <c r="AF448" s="674">
        <v>7830.32</v>
      </c>
      <c r="AG448" s="675"/>
      <c r="AH448" s="676">
        <v>-483.32762440540864</v>
      </c>
      <c r="AI448" s="586">
        <v>-5.8136650269679457E-2</v>
      </c>
      <c r="AJ448" s="686"/>
      <c r="AK448" s="542"/>
      <c r="AL448" s="674">
        <v>7461.8099999999995</v>
      </c>
      <c r="AM448" s="678"/>
      <c r="AN448" s="676">
        <v>368.51000000000022</v>
      </c>
      <c r="AO448" s="682">
        <v>4.9386140896109688E-2</v>
      </c>
      <c r="AQ448" s="485"/>
      <c r="AR448" s="485"/>
      <c r="AS448" s="485"/>
      <c r="AT448" s="485"/>
      <c r="AU448" s="485"/>
      <c r="AV448" s="485"/>
      <c r="AW448" s="485"/>
      <c r="AX448" s="485"/>
      <c r="AY448" s="485"/>
      <c r="AZ448" s="485"/>
      <c r="BA448" s="485"/>
      <c r="BB448" s="485"/>
      <c r="BC448" s="485"/>
      <c r="BD448" s="485"/>
      <c r="BE448" s="485"/>
      <c r="BF448" s="485"/>
      <c r="BG448" s="485"/>
      <c r="BH448" s="485"/>
      <c r="BI448" s="485"/>
      <c r="BJ448" s="485"/>
    </row>
    <row r="449" spans="1:62" ht="15.75" hidden="1" customHeight="1">
      <c r="A449" s="782" t="s">
        <v>20</v>
      </c>
      <c r="B449" s="482"/>
      <c r="C449" s="649" t="s">
        <v>227</v>
      </c>
      <c r="T449" s="485"/>
      <c r="U449" s="485"/>
      <c r="V449" s="556" t="s">
        <v>20</v>
      </c>
      <c r="W449" s="680"/>
      <c r="X449" s="542"/>
      <c r="Y449" s="681"/>
      <c r="Z449" s="674">
        <v>0</v>
      </c>
      <c r="AA449" s="542"/>
      <c r="AB449" s="542"/>
      <c r="AC449" s="674"/>
      <c r="AD449" s="686"/>
      <c r="AE449" s="681"/>
      <c r="AF449" s="674">
        <v>0</v>
      </c>
      <c r="AG449" s="675"/>
      <c r="AH449" s="676">
        <v>0</v>
      </c>
      <c r="AI449" s="586">
        <v>0</v>
      </c>
      <c r="AJ449" s="686"/>
      <c r="AK449" s="542"/>
      <c r="AL449" s="674">
        <v>0</v>
      </c>
      <c r="AM449" s="678"/>
      <c r="AN449" s="676">
        <v>0</v>
      </c>
      <c r="AO449" s="682">
        <v>0</v>
      </c>
      <c r="AP449" s="485"/>
      <c r="AQ449" s="485"/>
      <c r="AR449" s="485"/>
      <c r="AS449" s="485"/>
      <c r="AT449" s="485"/>
      <c r="AU449" s="485"/>
      <c r="AV449" s="485"/>
      <c r="AW449" s="485"/>
      <c r="AX449" s="485"/>
      <c r="AY449" s="485"/>
      <c r="AZ449" s="485"/>
      <c r="BA449" s="485"/>
      <c r="BB449" s="485"/>
      <c r="BC449" s="485"/>
      <c r="BD449" s="485"/>
      <c r="BE449" s="485"/>
      <c r="BF449" s="485"/>
      <c r="BG449" s="485"/>
      <c r="BH449" s="485"/>
      <c r="BI449" s="485"/>
      <c r="BJ449" s="485"/>
    </row>
    <row r="450" spans="1:62" ht="15.75" hidden="1" customHeight="1">
      <c r="A450" s="782" t="s">
        <v>20</v>
      </c>
      <c r="B450" s="482"/>
      <c r="C450" s="649" t="s">
        <v>227</v>
      </c>
      <c r="T450" s="485"/>
      <c r="U450" s="485"/>
      <c r="V450" s="556" t="s">
        <v>20</v>
      </c>
      <c r="W450" s="680"/>
      <c r="X450" s="542"/>
      <c r="Y450" s="681"/>
      <c r="Z450" s="674">
        <v>0</v>
      </c>
      <c r="AA450" s="542"/>
      <c r="AB450" s="542"/>
      <c r="AC450" s="674"/>
      <c r="AD450" s="686"/>
      <c r="AE450" s="681"/>
      <c r="AF450" s="674">
        <v>0</v>
      </c>
      <c r="AG450" s="675"/>
      <c r="AH450" s="676">
        <v>0</v>
      </c>
      <c r="AI450" s="586">
        <v>0</v>
      </c>
      <c r="AJ450" s="686"/>
      <c r="AK450" s="542"/>
      <c r="AL450" s="674">
        <v>0</v>
      </c>
      <c r="AM450" s="678"/>
      <c r="AN450" s="676">
        <v>0</v>
      </c>
      <c r="AO450" s="682">
        <v>0</v>
      </c>
      <c r="AP450" s="485"/>
      <c r="AQ450" s="485"/>
      <c r="AR450" s="485"/>
      <c r="AS450" s="485"/>
      <c r="AT450" s="485"/>
      <c r="AU450" s="485"/>
      <c r="AV450" s="485"/>
      <c r="AW450" s="485"/>
      <c r="AX450" s="485"/>
      <c r="AY450" s="485"/>
      <c r="AZ450" s="485"/>
      <c r="BA450" s="485"/>
      <c r="BB450" s="485"/>
      <c r="BC450" s="485"/>
      <c r="BD450" s="485"/>
      <c r="BE450" s="485"/>
      <c r="BF450" s="485"/>
      <c r="BG450" s="485"/>
      <c r="BH450" s="485"/>
      <c r="BI450" s="485"/>
      <c r="BJ450" s="485"/>
    </row>
    <row r="451" spans="1:62" ht="15.75" hidden="1" customHeight="1">
      <c r="A451" s="782" t="s">
        <v>20</v>
      </c>
      <c r="B451" s="482"/>
      <c r="C451" s="649" t="s">
        <v>227</v>
      </c>
      <c r="T451" s="485"/>
      <c r="U451" s="485"/>
      <c r="V451" s="556" t="s">
        <v>20</v>
      </c>
      <c r="W451" s="680"/>
      <c r="X451" s="542"/>
      <c r="Y451" s="681"/>
      <c r="Z451" s="674">
        <v>0</v>
      </c>
      <c r="AA451" s="542"/>
      <c r="AB451" s="542"/>
      <c r="AC451" s="674"/>
      <c r="AD451" s="686"/>
      <c r="AE451" s="681"/>
      <c r="AF451" s="674">
        <v>0</v>
      </c>
      <c r="AG451" s="675"/>
      <c r="AH451" s="676">
        <v>0</v>
      </c>
      <c r="AI451" s="586">
        <v>0</v>
      </c>
      <c r="AJ451" s="686"/>
      <c r="AK451" s="542"/>
      <c r="AL451" s="674">
        <v>0</v>
      </c>
      <c r="AM451" s="678"/>
      <c r="AN451" s="676">
        <v>0</v>
      </c>
      <c r="AO451" s="682">
        <v>0</v>
      </c>
      <c r="AP451" s="485"/>
      <c r="AQ451" s="485"/>
      <c r="AR451" s="485"/>
      <c r="AS451" s="485"/>
      <c r="AT451" s="485"/>
      <c r="AU451" s="485"/>
      <c r="AV451" s="485"/>
      <c r="AW451" s="485"/>
      <c r="AX451" s="485"/>
      <c r="AY451" s="485"/>
      <c r="AZ451" s="485"/>
      <c r="BA451" s="485"/>
      <c r="BB451" s="485"/>
      <c r="BC451" s="485"/>
      <c r="BD451" s="485"/>
      <c r="BE451" s="485"/>
      <c r="BF451" s="485"/>
      <c r="BG451" s="485"/>
      <c r="BH451" s="485"/>
      <c r="BI451" s="485"/>
      <c r="BJ451" s="485"/>
    </row>
    <row r="452" spans="1:62" ht="15.75" customHeight="1">
      <c r="A452" s="782" t="s">
        <v>64</v>
      </c>
      <c r="B452" s="482"/>
      <c r="C452" s="649" t="s">
        <v>227</v>
      </c>
      <c r="T452" s="485"/>
      <c r="U452" s="485"/>
      <c r="V452" s="687" t="s">
        <v>64</v>
      </c>
      <c r="W452" s="709"/>
      <c r="X452" s="689">
        <v>0.16918917779694267</v>
      </c>
      <c r="Y452" s="688"/>
      <c r="Z452" s="690">
        <v>124178.21581834269</v>
      </c>
      <c r="AA452" s="689"/>
      <c r="AB452" s="688"/>
      <c r="AC452" s="690"/>
      <c r="AD452" s="667">
        <v>0.18907522251492639</v>
      </c>
      <c r="AE452" s="688"/>
      <c r="AF452" s="690">
        <v>122339.82</v>
      </c>
      <c r="AG452" s="696"/>
      <c r="AH452" s="850">
        <v>-1838.3958183426948</v>
      </c>
      <c r="AI452" s="689">
        <v>-1.4804495347493472E-2</v>
      </c>
      <c r="AJ452" s="667">
        <v>0.24470889834713339</v>
      </c>
      <c r="AK452" s="689"/>
      <c r="AL452" s="690">
        <v>117232.55</v>
      </c>
      <c r="AM452" s="697"/>
      <c r="AN452" s="692">
        <v>5107.269999999995</v>
      </c>
      <c r="AO452" s="710">
        <v>4.3565289674241454E-2</v>
      </c>
      <c r="AP452" s="485"/>
      <c r="AQ452" s="485"/>
      <c r="AR452" s="485"/>
      <c r="AS452" s="485"/>
      <c r="AT452" s="485"/>
      <c r="AU452" s="485"/>
      <c r="AV452" s="485"/>
      <c r="AW452" s="485"/>
      <c r="AX452" s="485"/>
      <c r="AY452" s="485"/>
      <c r="AZ452" s="485"/>
      <c r="BA452" s="485"/>
      <c r="BB452" s="485"/>
      <c r="BC452" s="485"/>
      <c r="BD452" s="485"/>
      <c r="BE452" s="485"/>
      <c r="BF452" s="485"/>
      <c r="BG452" s="485"/>
      <c r="BH452" s="485"/>
      <c r="BI452" s="485"/>
      <c r="BJ452" s="485"/>
    </row>
    <row r="453" spans="1:62" ht="15.75" customHeight="1">
      <c r="A453" s="782" t="s">
        <v>162</v>
      </c>
      <c r="B453" s="482"/>
      <c r="C453" s="649" t="s">
        <v>227</v>
      </c>
      <c r="D453" s="485"/>
      <c r="E453" s="485"/>
      <c r="F453" s="485"/>
      <c r="G453" s="485"/>
      <c r="H453" s="485"/>
      <c r="I453" s="485"/>
      <c r="J453" s="485"/>
      <c r="K453" s="485"/>
      <c r="L453" s="485"/>
      <c r="M453" s="485"/>
      <c r="N453" s="485"/>
      <c r="O453" s="485"/>
      <c r="P453" s="485"/>
      <c r="Q453" s="485"/>
      <c r="R453" s="485"/>
      <c r="S453" s="485"/>
      <c r="T453" s="485"/>
      <c r="U453" s="485"/>
      <c r="V453" s="556" t="s">
        <v>162</v>
      </c>
      <c r="W453" s="680" t="s">
        <v>163</v>
      </c>
      <c r="X453" s="542"/>
      <c r="Y453" s="681"/>
      <c r="Z453" s="674">
        <v>36000</v>
      </c>
      <c r="AA453" s="542"/>
      <c r="AB453" s="681"/>
      <c r="AC453" s="674"/>
      <c r="AD453" s="686"/>
      <c r="AE453" s="681"/>
      <c r="AF453" s="674">
        <v>36000</v>
      </c>
      <c r="AG453" s="675"/>
      <c r="AH453" s="676">
        <v>0</v>
      </c>
      <c r="AI453" s="586">
        <v>0</v>
      </c>
      <c r="AJ453" s="686"/>
      <c r="AK453" s="542"/>
      <c r="AL453" s="674">
        <v>36000</v>
      </c>
      <c r="AM453" s="678"/>
      <c r="AN453" s="676">
        <v>0</v>
      </c>
      <c r="AO453" s="682">
        <v>0</v>
      </c>
      <c r="AP453" s="485"/>
      <c r="AQ453" s="485"/>
      <c r="AR453" s="485"/>
      <c r="AS453" s="485"/>
      <c r="AT453" s="485"/>
      <c r="AU453" s="485"/>
      <c r="AV453" s="485"/>
      <c r="AW453" s="485"/>
      <c r="AX453" s="485"/>
      <c r="AY453" s="485"/>
      <c r="AZ453" s="485"/>
      <c r="BA453" s="485"/>
      <c r="BB453" s="485"/>
      <c r="BC453" s="485"/>
      <c r="BD453" s="485"/>
      <c r="BE453" s="485"/>
      <c r="BF453" s="485"/>
      <c r="BG453" s="485"/>
      <c r="BH453" s="485"/>
      <c r="BI453" s="485"/>
      <c r="BJ453" s="485"/>
    </row>
    <row r="454" spans="1:62" ht="15.75" customHeight="1">
      <c r="A454" s="782" t="s">
        <v>164</v>
      </c>
      <c r="B454" s="482"/>
      <c r="C454" s="649" t="s">
        <v>227</v>
      </c>
      <c r="D454" s="485"/>
      <c r="E454" s="485"/>
      <c r="F454" s="485"/>
      <c r="G454" s="485"/>
      <c r="H454" s="485"/>
      <c r="I454" s="485"/>
      <c r="J454" s="485"/>
      <c r="K454" s="485"/>
      <c r="L454" s="485"/>
      <c r="M454" s="485"/>
      <c r="N454" s="485"/>
      <c r="O454" s="485"/>
      <c r="P454" s="485"/>
      <c r="Q454" s="485"/>
      <c r="R454" s="485"/>
      <c r="S454" s="485"/>
      <c r="T454" s="485"/>
      <c r="U454" s="485"/>
      <c r="V454" s="556" t="s">
        <v>164</v>
      </c>
      <c r="W454" s="680" t="s">
        <v>165</v>
      </c>
      <c r="X454" s="542"/>
      <c r="Y454" s="681"/>
      <c r="Z454" s="674">
        <v>5423.4400000000005</v>
      </c>
      <c r="AA454" s="542"/>
      <c r="AB454" s="681"/>
      <c r="AC454" s="674"/>
      <c r="AD454" s="686"/>
      <c r="AE454" s="681"/>
      <c r="AF454" s="674">
        <v>5423</v>
      </c>
      <c r="AG454" s="675"/>
      <c r="AH454" s="676">
        <v>-0.44000000000050932</v>
      </c>
      <c r="AI454" s="586">
        <v>-8.1129320136391167E-5</v>
      </c>
      <c r="AJ454" s="686"/>
      <c r="AK454" s="542"/>
      <c r="AL454" s="674">
        <v>5177</v>
      </c>
      <c r="AM454" s="678"/>
      <c r="AN454" s="676">
        <v>246</v>
      </c>
      <c r="AO454" s="682">
        <v>4.7517867490824803E-2</v>
      </c>
      <c r="AP454" s="485"/>
      <c r="AQ454" s="485"/>
      <c r="AR454" s="485"/>
      <c r="AS454" s="485"/>
      <c r="AT454" s="485"/>
      <c r="AU454" s="485"/>
      <c r="AV454" s="485"/>
      <c r="AW454" s="485"/>
      <c r="AX454" s="485"/>
      <c r="AY454" s="485"/>
      <c r="AZ454" s="485"/>
      <c r="BA454" s="485"/>
      <c r="BB454" s="485"/>
      <c r="BC454" s="485"/>
      <c r="BD454" s="485"/>
      <c r="BE454" s="485"/>
      <c r="BF454" s="485"/>
      <c r="BG454" s="485"/>
      <c r="BH454" s="485"/>
      <c r="BI454" s="485"/>
      <c r="BJ454" s="485"/>
    </row>
    <row r="455" spans="1:62" ht="15.75" customHeight="1">
      <c r="A455" s="782" t="s">
        <v>166</v>
      </c>
      <c r="B455" s="482"/>
      <c r="C455" s="649" t="s">
        <v>227</v>
      </c>
      <c r="D455" s="485"/>
      <c r="E455" s="485"/>
      <c r="F455" s="485"/>
      <c r="G455" s="485"/>
      <c r="H455" s="485"/>
      <c r="I455" s="485"/>
      <c r="J455" s="485"/>
      <c r="K455" s="485"/>
      <c r="L455" s="485"/>
      <c r="M455" s="485"/>
      <c r="N455" s="485"/>
      <c r="O455" s="485"/>
      <c r="P455" s="485"/>
      <c r="Q455" s="485"/>
      <c r="R455" s="485"/>
      <c r="S455" s="485"/>
      <c r="T455" s="485"/>
      <c r="U455" s="485"/>
      <c r="V455" s="557" t="s">
        <v>166</v>
      </c>
      <c r="W455" s="683" t="s">
        <v>167</v>
      </c>
      <c r="X455" s="657"/>
      <c r="Y455" s="684"/>
      <c r="Z455" s="658">
        <v>3608.8800000000006</v>
      </c>
      <c r="AA455" s="657"/>
      <c r="AB455" s="684"/>
      <c r="AC455" s="658"/>
      <c r="AD455" s="694"/>
      <c r="AE455" s="684"/>
      <c r="AF455" s="658">
        <v>3609</v>
      </c>
      <c r="AG455" s="659"/>
      <c r="AH455" s="660">
        <v>0.11999999999943611</v>
      </c>
      <c r="AI455" s="685">
        <v>3.3251313426724106E-5</v>
      </c>
      <c r="AJ455" s="694"/>
      <c r="AK455" s="657"/>
      <c r="AL455" s="658">
        <v>3761.7</v>
      </c>
      <c r="AM455" s="662"/>
      <c r="AN455" s="660">
        <v>-152.69999999999982</v>
      </c>
      <c r="AO455" s="663">
        <v>-4.0593348751894041E-2</v>
      </c>
      <c r="AP455" s="485"/>
      <c r="AQ455" s="485"/>
      <c r="AR455" s="485"/>
      <c r="AS455" s="485"/>
      <c r="AT455" s="485"/>
      <c r="AU455" s="485"/>
      <c r="AV455" s="485"/>
      <c r="AW455" s="485"/>
      <c r="AX455" s="485"/>
      <c r="AY455" s="485"/>
      <c r="AZ455" s="485"/>
      <c r="BA455" s="485"/>
      <c r="BB455" s="485"/>
      <c r="BC455" s="485"/>
      <c r="BD455" s="485"/>
      <c r="BE455" s="485"/>
      <c r="BF455" s="485"/>
      <c r="BG455" s="485"/>
      <c r="BH455" s="485"/>
      <c r="BI455" s="485"/>
      <c r="BJ455" s="485"/>
    </row>
    <row r="456" spans="1:62" ht="15.75" customHeight="1">
      <c r="A456" s="782" t="s">
        <v>168</v>
      </c>
      <c r="B456" s="482"/>
      <c r="C456" s="649" t="s">
        <v>227</v>
      </c>
      <c r="D456" s="485"/>
      <c r="E456" s="485"/>
      <c r="F456" s="485"/>
      <c r="G456" s="485"/>
      <c r="H456" s="485"/>
      <c r="I456" s="485"/>
      <c r="J456" s="485"/>
      <c r="K456" s="485"/>
      <c r="L456" s="485"/>
      <c r="M456" s="485"/>
      <c r="N456" s="485"/>
      <c r="O456" s="485"/>
      <c r="P456" s="485"/>
      <c r="Q456" s="485"/>
      <c r="R456" s="485"/>
      <c r="S456" s="485"/>
      <c r="T456" s="485"/>
      <c r="U456" s="485"/>
      <c r="V456" s="556" t="s">
        <v>168</v>
      </c>
      <c r="W456" s="680"/>
      <c r="X456" s="542"/>
      <c r="Y456" s="681"/>
      <c r="Z456" s="674">
        <v>0</v>
      </c>
      <c r="AA456" s="542"/>
      <c r="AB456" s="681"/>
      <c r="AC456" s="674"/>
      <c r="AD456" s="686"/>
      <c r="AE456" s="681"/>
      <c r="AF456" s="674">
        <v>0</v>
      </c>
      <c r="AG456" s="675"/>
      <c r="AH456" s="676">
        <v>0</v>
      </c>
      <c r="AI456" s="586">
        <v>0</v>
      </c>
      <c r="AJ456" s="686"/>
      <c r="AK456" s="542"/>
      <c r="AL456" s="674">
        <v>0</v>
      </c>
      <c r="AM456" s="678"/>
      <c r="AN456" s="676">
        <v>0</v>
      </c>
      <c r="AO456" s="682">
        <v>0</v>
      </c>
      <c r="AP456" s="485"/>
      <c r="AQ456" s="485"/>
      <c r="AR456" s="485"/>
      <c r="AS456" s="485"/>
      <c r="AT456" s="485"/>
      <c r="AU456" s="485"/>
      <c r="AV456" s="485"/>
      <c r="AW456" s="485"/>
      <c r="AX456" s="485"/>
      <c r="AY456" s="485"/>
      <c r="AZ456" s="485"/>
      <c r="BA456" s="485"/>
      <c r="BB456" s="485"/>
      <c r="BC456" s="485"/>
      <c r="BD456" s="485"/>
      <c r="BE456" s="485"/>
      <c r="BF456" s="485"/>
      <c r="BG456" s="485"/>
      <c r="BH456" s="485"/>
      <c r="BI456" s="485"/>
      <c r="BJ456" s="485"/>
    </row>
    <row r="457" spans="1:62" ht="15.75" customHeight="1">
      <c r="A457" s="782" t="s">
        <v>169</v>
      </c>
      <c r="B457" s="482"/>
      <c r="C457" s="649" t="s">
        <v>227</v>
      </c>
      <c r="D457" s="485"/>
      <c r="E457" s="485"/>
      <c r="F457" s="485"/>
      <c r="G457" s="485"/>
      <c r="H457" s="485"/>
      <c r="I457" s="485"/>
      <c r="J457" s="485"/>
      <c r="K457" s="485"/>
      <c r="L457" s="485"/>
      <c r="M457" s="485"/>
      <c r="N457" s="485"/>
      <c r="O457" s="485"/>
      <c r="P457" s="485"/>
      <c r="Q457" s="485"/>
      <c r="R457" s="485"/>
      <c r="S457" s="485"/>
      <c r="T457" s="485"/>
      <c r="U457" s="485"/>
      <c r="V457" s="557" t="s">
        <v>169</v>
      </c>
      <c r="W457" s="683" t="s">
        <v>170</v>
      </c>
      <c r="X457" s="657"/>
      <c r="Y457" s="684"/>
      <c r="Z457" s="658">
        <v>4344.25</v>
      </c>
      <c r="AA457" s="657"/>
      <c r="AB457" s="684"/>
      <c r="AC457" s="658"/>
      <c r="AD457" s="694"/>
      <c r="AE457" s="684"/>
      <c r="AF457" s="658">
        <v>4344.25</v>
      </c>
      <c r="AG457" s="659"/>
      <c r="AH457" s="660">
        <v>0</v>
      </c>
      <c r="AI457" s="685">
        <v>0</v>
      </c>
      <c r="AJ457" s="694"/>
      <c r="AK457" s="657"/>
      <c r="AL457" s="658">
        <v>3893.08</v>
      </c>
      <c r="AM457" s="662"/>
      <c r="AN457" s="660">
        <v>451.17000000000007</v>
      </c>
      <c r="AO457" s="663">
        <v>0.11589024628314858</v>
      </c>
      <c r="AP457" s="485"/>
      <c r="AQ457" s="485"/>
      <c r="AR457" s="485"/>
      <c r="AS457" s="485"/>
      <c r="AT457" s="485"/>
      <c r="AU457" s="485"/>
      <c r="AV457" s="485"/>
      <c r="AW457" s="485"/>
      <c r="AX457" s="485"/>
      <c r="AY457" s="485"/>
      <c r="AZ457" s="485"/>
      <c r="BA457" s="485"/>
      <c r="BB457" s="485"/>
      <c r="BC457" s="485"/>
      <c r="BD457" s="485"/>
      <c r="BE457" s="485"/>
      <c r="BF457" s="485"/>
      <c r="BG457" s="485"/>
      <c r="BH457" s="485"/>
      <c r="BI457" s="485"/>
      <c r="BJ457" s="485"/>
    </row>
    <row r="458" spans="1:62" ht="15.75" customHeight="1">
      <c r="A458" s="782" t="s">
        <v>171</v>
      </c>
      <c r="B458" s="482"/>
      <c r="C458" s="649" t="s">
        <v>227</v>
      </c>
      <c r="D458" s="485"/>
      <c r="E458" s="485"/>
      <c r="F458" s="485"/>
      <c r="G458" s="485"/>
      <c r="H458" s="485"/>
      <c r="I458" s="485"/>
      <c r="J458" s="485"/>
      <c r="K458" s="485"/>
      <c r="L458" s="485"/>
      <c r="M458" s="485"/>
      <c r="N458" s="485"/>
      <c r="O458" s="485"/>
      <c r="P458" s="485"/>
      <c r="Q458" s="485"/>
      <c r="R458" s="485"/>
      <c r="S458" s="485"/>
      <c r="T458" s="485"/>
      <c r="U458" s="485"/>
      <c r="V458" s="556" t="s">
        <v>171</v>
      </c>
      <c r="W458" s="680" t="s">
        <v>172</v>
      </c>
      <c r="X458" s="711"/>
      <c r="Y458" s="712"/>
      <c r="Z458" s="674">
        <v>3700</v>
      </c>
      <c r="AA458" s="711"/>
      <c r="AB458" s="712"/>
      <c r="AC458" s="674"/>
      <c r="AD458" s="686"/>
      <c r="AE458" s="681"/>
      <c r="AF458" s="851">
        <v>4379.12</v>
      </c>
      <c r="AG458" s="675"/>
      <c r="AH458" s="676">
        <v>679.11999999999989</v>
      </c>
      <c r="AI458" s="586">
        <v>0.18354594594594592</v>
      </c>
      <c r="AJ458" s="686"/>
      <c r="AK458" s="542"/>
      <c r="AL458" s="674">
        <v>767.85</v>
      </c>
      <c r="AM458" s="678"/>
      <c r="AN458" s="676">
        <v>3611.27</v>
      </c>
      <c r="AO458" s="682">
        <v>4.7030930520283905</v>
      </c>
      <c r="AP458" s="485"/>
      <c r="AQ458" s="485"/>
      <c r="AR458" s="485"/>
      <c r="AS458" s="485"/>
      <c r="AT458" s="485"/>
      <c r="AU458" s="485"/>
      <c r="AV458" s="485"/>
      <c r="AW458" s="485"/>
      <c r="AX458" s="485"/>
      <c r="AY458" s="485"/>
      <c r="AZ458" s="485"/>
      <c r="BA458" s="485"/>
      <c r="BB458" s="485"/>
      <c r="BC458" s="485"/>
      <c r="BD458" s="485"/>
      <c r="BE458" s="485"/>
      <c r="BF458" s="485"/>
      <c r="BG458" s="485"/>
      <c r="BH458" s="485"/>
      <c r="BI458" s="485"/>
      <c r="BJ458" s="485"/>
    </row>
    <row r="459" spans="1:62" ht="15.75" customHeight="1">
      <c r="A459" s="782" t="s">
        <v>173</v>
      </c>
      <c r="B459" s="482"/>
      <c r="C459" s="649" t="s">
        <v>227</v>
      </c>
      <c r="D459" s="485"/>
      <c r="E459" s="485"/>
      <c r="F459" s="485"/>
      <c r="G459" s="485"/>
      <c r="H459" s="485"/>
      <c r="I459" s="485"/>
      <c r="J459" s="485"/>
      <c r="K459" s="485"/>
      <c r="L459" s="485"/>
      <c r="M459" s="485"/>
      <c r="N459" s="485"/>
      <c r="O459" s="485"/>
      <c r="P459" s="485"/>
      <c r="Q459" s="485"/>
      <c r="R459" s="485"/>
      <c r="S459" s="485"/>
      <c r="T459" s="485"/>
      <c r="U459" s="485"/>
      <c r="V459" s="556" t="s">
        <v>173</v>
      </c>
      <c r="W459" s="680" t="s">
        <v>174</v>
      </c>
      <c r="X459" s="542"/>
      <c r="Y459" s="681"/>
      <c r="Z459" s="674">
        <v>6784.05</v>
      </c>
      <c r="AA459" s="542"/>
      <c r="AB459" s="681"/>
      <c r="AC459" s="674"/>
      <c r="AD459" s="686"/>
      <c r="AE459" s="681"/>
      <c r="AF459" s="674">
        <v>7310.21</v>
      </c>
      <c r="AG459" s="675"/>
      <c r="AH459" s="676">
        <v>526.15999999999985</v>
      </c>
      <c r="AI459" s="586">
        <v>7.7558390636861443E-2</v>
      </c>
      <c r="AJ459" s="686"/>
      <c r="AK459" s="542"/>
      <c r="AL459" s="674">
        <v>7623.3299999999899</v>
      </c>
      <c r="AM459" s="678"/>
      <c r="AN459" s="676">
        <v>-313.11999999998989</v>
      </c>
      <c r="AO459" s="682">
        <v>-4.1073913893271093E-2</v>
      </c>
      <c r="AP459" s="485"/>
      <c r="AQ459" s="485"/>
      <c r="AR459" s="485"/>
      <c r="AS459" s="485"/>
      <c r="AT459" s="485"/>
      <c r="AU459" s="485"/>
      <c r="AV459" s="485"/>
      <c r="AW459" s="485"/>
      <c r="AX459" s="485"/>
      <c r="AY459" s="485"/>
      <c r="AZ459" s="485"/>
      <c r="BA459" s="485"/>
      <c r="BB459" s="485"/>
      <c r="BC459" s="485"/>
      <c r="BD459" s="485"/>
      <c r="BE459" s="485"/>
      <c r="BF459" s="485"/>
      <c r="BG459" s="485"/>
      <c r="BH459" s="485"/>
      <c r="BI459" s="485"/>
      <c r="BJ459" s="485"/>
    </row>
    <row r="460" spans="1:62" ht="15.75" customHeight="1">
      <c r="A460" s="782" t="s">
        <v>175</v>
      </c>
      <c r="B460" s="482"/>
      <c r="C460" s="649" t="s">
        <v>227</v>
      </c>
      <c r="D460" s="485"/>
      <c r="E460" s="485"/>
      <c r="F460" s="485"/>
      <c r="G460" s="485"/>
      <c r="H460" s="485"/>
      <c r="I460" s="485"/>
      <c r="J460" s="485"/>
      <c r="K460" s="485"/>
      <c r="L460" s="485"/>
      <c r="M460" s="485"/>
      <c r="N460" s="485"/>
      <c r="O460" s="485"/>
      <c r="P460" s="485"/>
      <c r="Q460" s="485"/>
      <c r="R460" s="485"/>
      <c r="S460" s="485"/>
      <c r="T460" s="485"/>
      <c r="U460" s="485"/>
      <c r="V460" s="557" t="s">
        <v>175</v>
      </c>
      <c r="W460" s="683" t="s">
        <v>176</v>
      </c>
      <c r="X460" s="657"/>
      <c r="Y460" s="684"/>
      <c r="Z460" s="658">
        <v>1364.5623407645369</v>
      </c>
      <c r="AA460" s="657"/>
      <c r="AB460" s="684"/>
      <c r="AC460" s="658"/>
      <c r="AD460" s="694"/>
      <c r="AE460" s="684"/>
      <c r="AF460" s="658">
        <v>979.94</v>
      </c>
      <c r="AG460" s="659"/>
      <c r="AH460" s="660">
        <v>-384.62234076453683</v>
      </c>
      <c r="AI460" s="685">
        <v>-0.28186498284060857</v>
      </c>
      <c r="AJ460" s="694"/>
      <c r="AK460" s="657"/>
      <c r="AL460" s="658">
        <v>329.85</v>
      </c>
      <c r="AM460" s="662"/>
      <c r="AN460" s="660">
        <v>650.09</v>
      </c>
      <c r="AO460" s="663">
        <v>1.9708655449446717</v>
      </c>
      <c r="AP460" s="485"/>
      <c r="AQ460" s="485"/>
      <c r="AR460" s="485"/>
      <c r="AS460" s="485"/>
      <c r="AT460" s="485"/>
      <c r="AU460" s="485"/>
      <c r="AV460" s="485"/>
      <c r="AW460" s="485"/>
      <c r="AX460" s="485"/>
      <c r="AY460" s="485"/>
      <c r="AZ460" s="485"/>
      <c r="BA460" s="485"/>
      <c r="BB460" s="485"/>
      <c r="BC460" s="485"/>
      <c r="BD460" s="485"/>
      <c r="BE460" s="485"/>
      <c r="BF460" s="485"/>
      <c r="BG460" s="485"/>
      <c r="BH460" s="485"/>
      <c r="BI460" s="485"/>
      <c r="BJ460" s="485"/>
    </row>
    <row r="461" spans="1:62" ht="15.75" customHeight="1">
      <c r="A461" s="782" t="s">
        <v>177</v>
      </c>
      <c r="B461" s="482"/>
      <c r="C461" s="649" t="s">
        <v>227</v>
      </c>
      <c r="D461" s="485"/>
      <c r="E461" s="485"/>
      <c r="F461" s="485"/>
      <c r="G461" s="485"/>
      <c r="H461" s="485"/>
      <c r="I461" s="485"/>
      <c r="J461" s="485"/>
      <c r="K461" s="485"/>
      <c r="L461" s="485"/>
      <c r="M461" s="485"/>
      <c r="N461" s="485"/>
      <c r="O461" s="485"/>
      <c r="P461" s="485"/>
      <c r="Q461" s="485"/>
      <c r="R461" s="485"/>
      <c r="S461" s="485"/>
      <c r="T461" s="485"/>
      <c r="U461" s="771"/>
      <c r="V461" s="556" t="s">
        <v>177</v>
      </c>
      <c r="W461" s="680" t="s">
        <v>178</v>
      </c>
      <c r="X461" s="542"/>
      <c r="Y461" s="681"/>
      <c r="Z461" s="674">
        <v>1000</v>
      </c>
      <c r="AA461" s="542"/>
      <c r="AB461" s="681"/>
      <c r="AC461" s="674"/>
      <c r="AD461" s="686"/>
      <c r="AE461" s="681"/>
      <c r="AF461" s="674">
        <v>843.96</v>
      </c>
      <c r="AG461" s="675"/>
      <c r="AH461" s="676">
        <v>-156.03999999999996</v>
      </c>
      <c r="AI461" s="713">
        <v>-0.15603999999999996</v>
      </c>
      <c r="AJ461" s="542"/>
      <c r="AK461" s="542"/>
      <c r="AL461" s="674">
        <v>1067.6300000000001</v>
      </c>
      <c r="AM461" s="678"/>
      <c r="AN461" s="676">
        <v>-223.67000000000007</v>
      </c>
      <c r="AO461" s="682">
        <v>-0.20950141903093772</v>
      </c>
      <c r="AP461" s="485"/>
      <c r="AQ461" s="485"/>
      <c r="AR461" s="485"/>
      <c r="AS461" s="485"/>
      <c r="AT461" s="485"/>
      <c r="AU461" s="485"/>
      <c r="AV461" s="485"/>
      <c r="AW461" s="485"/>
      <c r="AX461" s="485"/>
      <c r="AY461" s="485"/>
      <c r="AZ461" s="485"/>
      <c r="BA461" s="485"/>
      <c r="BB461" s="485"/>
      <c r="BC461" s="485"/>
      <c r="BD461" s="485"/>
      <c r="BE461" s="485"/>
      <c r="BF461" s="485"/>
      <c r="BG461" s="485"/>
      <c r="BH461" s="485"/>
      <c r="BI461" s="485"/>
      <c r="BJ461" s="485"/>
    </row>
    <row r="462" spans="1:62" ht="15.75" customHeight="1">
      <c r="A462" s="782" t="s">
        <v>179</v>
      </c>
      <c r="B462" s="482"/>
      <c r="C462" s="649" t="s">
        <v>227</v>
      </c>
      <c r="D462" s="485"/>
      <c r="E462" s="485"/>
      <c r="F462" s="485"/>
      <c r="G462" s="485"/>
      <c r="H462" s="485"/>
      <c r="I462" s="485"/>
      <c r="J462" s="485"/>
      <c r="K462" s="485"/>
      <c r="L462" s="485"/>
      <c r="M462" s="485"/>
      <c r="N462" s="485"/>
      <c r="O462" s="485"/>
      <c r="P462" s="485"/>
      <c r="Q462" s="485"/>
      <c r="R462" s="485"/>
      <c r="S462" s="485"/>
      <c r="T462" s="485"/>
      <c r="U462" s="771"/>
      <c r="V462" s="556" t="s">
        <v>179</v>
      </c>
      <c r="W462" s="680" t="s">
        <v>180</v>
      </c>
      <c r="X462" s="542"/>
      <c r="Y462" s="681"/>
      <c r="Z462" s="674">
        <v>0</v>
      </c>
      <c r="AA462" s="542"/>
      <c r="AB462" s="681"/>
      <c r="AC462" s="674"/>
      <c r="AD462" s="686"/>
      <c r="AE462" s="681"/>
      <c r="AF462" s="674">
        <v>0</v>
      </c>
      <c r="AG462" s="675"/>
      <c r="AH462" s="676">
        <v>0</v>
      </c>
      <c r="AI462" s="708">
        <v>0</v>
      </c>
      <c r="AJ462" s="542"/>
      <c r="AK462" s="542"/>
      <c r="AL462" s="674">
        <v>0</v>
      </c>
      <c r="AM462" s="678"/>
      <c r="AN462" s="676">
        <v>0</v>
      </c>
      <c r="AO462" s="682">
        <v>0</v>
      </c>
      <c r="AP462" s="485"/>
      <c r="AQ462" s="485"/>
      <c r="AR462" s="485"/>
      <c r="AS462" s="485"/>
      <c r="AT462" s="485"/>
      <c r="AU462" s="485"/>
      <c r="AV462" s="485"/>
      <c r="AW462" s="485"/>
      <c r="AX462" s="485"/>
      <c r="AY462" s="485"/>
      <c r="AZ462" s="485"/>
      <c r="BA462" s="485"/>
      <c r="BB462" s="485"/>
      <c r="BC462" s="485"/>
      <c r="BD462" s="485"/>
      <c r="BE462" s="485"/>
      <c r="BF462" s="485"/>
      <c r="BG462" s="485"/>
      <c r="BH462" s="485"/>
      <c r="BI462" s="485"/>
      <c r="BJ462" s="485"/>
    </row>
    <row r="463" spans="1:62" ht="15.75" hidden="1" customHeight="1">
      <c r="A463" s="782" t="s">
        <v>20</v>
      </c>
      <c r="B463" s="482"/>
      <c r="C463" s="649" t="s">
        <v>227</v>
      </c>
      <c r="D463" s="485"/>
      <c r="E463" s="485"/>
      <c r="F463" s="485"/>
      <c r="G463" s="485"/>
      <c r="H463" s="485"/>
      <c r="I463" s="485"/>
      <c r="J463" s="485"/>
      <c r="K463" s="485"/>
      <c r="L463" s="485"/>
      <c r="M463" s="485"/>
      <c r="N463" s="485"/>
      <c r="O463" s="485"/>
      <c r="P463" s="485"/>
      <c r="Q463" s="485"/>
      <c r="R463" s="485"/>
      <c r="S463" s="485"/>
      <c r="T463" s="485"/>
      <c r="U463" s="771"/>
      <c r="V463" s="556" t="s">
        <v>20</v>
      </c>
      <c r="W463" s="680"/>
      <c r="X463" s="542"/>
      <c r="Y463" s="681"/>
      <c r="Z463" s="674">
        <v>0</v>
      </c>
      <c r="AA463" s="542"/>
      <c r="AB463" s="542"/>
      <c r="AC463" s="674"/>
      <c r="AD463" s="686"/>
      <c r="AE463" s="681"/>
      <c r="AF463" s="674">
        <v>0</v>
      </c>
      <c r="AG463" s="675"/>
      <c r="AH463" s="676">
        <v>0</v>
      </c>
      <c r="AI463" s="586">
        <v>0</v>
      </c>
      <c r="AJ463" s="686"/>
      <c r="AK463" s="542"/>
      <c r="AL463" s="674">
        <v>0</v>
      </c>
      <c r="AM463" s="678"/>
      <c r="AN463" s="676">
        <v>0</v>
      </c>
      <c r="AO463" s="682">
        <v>1</v>
      </c>
      <c r="AP463" s="485"/>
      <c r="AQ463" s="485"/>
      <c r="AR463" s="485"/>
      <c r="AS463" s="485"/>
      <c r="AT463" s="485"/>
      <c r="AU463" s="485"/>
      <c r="AV463" s="485"/>
      <c r="AW463" s="485"/>
      <c r="AX463" s="485"/>
      <c r="AY463" s="485"/>
      <c r="AZ463" s="485"/>
      <c r="BA463" s="485"/>
      <c r="BB463" s="485"/>
      <c r="BC463" s="485"/>
      <c r="BD463" s="485"/>
      <c r="BE463" s="485"/>
      <c r="BF463" s="485"/>
      <c r="BG463" s="485"/>
      <c r="BH463" s="485"/>
      <c r="BI463" s="485"/>
      <c r="BJ463" s="485"/>
    </row>
    <row r="464" spans="1:62" ht="15.75" hidden="1" customHeight="1">
      <c r="A464" s="782" t="s">
        <v>20</v>
      </c>
      <c r="B464" s="482"/>
      <c r="C464" s="649" t="s">
        <v>227</v>
      </c>
      <c r="D464" s="485"/>
      <c r="E464" s="485"/>
      <c r="F464" s="485"/>
      <c r="G464" s="485"/>
      <c r="H464" s="485"/>
      <c r="I464" s="485"/>
      <c r="J464" s="485"/>
      <c r="K464" s="485"/>
      <c r="L464" s="485"/>
      <c r="M464" s="485"/>
      <c r="N464" s="485"/>
      <c r="O464" s="485"/>
      <c r="P464" s="485"/>
      <c r="Q464" s="485"/>
      <c r="R464" s="485"/>
      <c r="S464" s="485"/>
      <c r="T464" s="485"/>
      <c r="U464" s="771"/>
      <c r="V464" s="556" t="s">
        <v>20</v>
      </c>
      <c r="W464" s="680"/>
      <c r="X464" s="542"/>
      <c r="Y464" s="681"/>
      <c r="Z464" s="674">
        <v>0</v>
      </c>
      <c r="AA464" s="542"/>
      <c r="AB464" s="542"/>
      <c r="AC464" s="674"/>
      <c r="AD464" s="686"/>
      <c r="AE464" s="681"/>
      <c r="AF464" s="674">
        <v>0</v>
      </c>
      <c r="AG464" s="675"/>
      <c r="AH464" s="676">
        <v>0</v>
      </c>
      <c r="AI464" s="586">
        <v>0</v>
      </c>
      <c r="AJ464" s="686"/>
      <c r="AK464" s="542"/>
      <c r="AL464" s="674">
        <v>0</v>
      </c>
      <c r="AM464" s="678"/>
      <c r="AN464" s="676">
        <v>0</v>
      </c>
      <c r="AO464" s="682">
        <v>2</v>
      </c>
      <c r="AP464" s="485"/>
      <c r="AQ464" s="485"/>
      <c r="AR464" s="485"/>
      <c r="AS464" s="485"/>
      <c r="AT464" s="485"/>
      <c r="AU464" s="485"/>
      <c r="AV464" s="485"/>
      <c r="AW464" s="485"/>
      <c r="AX464" s="485"/>
      <c r="AY464" s="485"/>
      <c r="AZ464" s="485"/>
      <c r="BA464" s="485"/>
      <c r="BB464" s="485"/>
      <c r="BC464" s="485"/>
      <c r="BD464" s="485"/>
      <c r="BE464" s="485"/>
      <c r="BF464" s="485"/>
      <c r="BG464" s="485"/>
      <c r="BH464" s="485"/>
      <c r="BI464" s="485"/>
      <c r="BJ464" s="485"/>
    </row>
    <row r="465" spans="1:62" ht="15.75" hidden="1" customHeight="1">
      <c r="A465" s="782" t="s">
        <v>20</v>
      </c>
      <c r="B465" s="482"/>
      <c r="C465" s="649" t="s">
        <v>227</v>
      </c>
      <c r="D465" s="485"/>
      <c r="E465" s="485"/>
      <c r="F465" s="485"/>
      <c r="G465" s="485"/>
      <c r="H465" s="485"/>
      <c r="I465" s="485"/>
      <c r="J465" s="485"/>
      <c r="K465" s="485"/>
      <c r="L465" s="485"/>
      <c r="M465" s="485"/>
      <c r="N465" s="485"/>
      <c r="O465" s="485"/>
      <c r="P465" s="485"/>
      <c r="Q465" s="485"/>
      <c r="R465" s="485"/>
      <c r="S465" s="485"/>
      <c r="T465" s="485"/>
      <c r="U465" s="485"/>
      <c r="V465" s="556" t="s">
        <v>20</v>
      </c>
      <c r="W465" s="680"/>
      <c r="X465" s="542"/>
      <c r="Y465" s="681"/>
      <c r="Z465" s="674">
        <v>0</v>
      </c>
      <c r="AA465" s="542"/>
      <c r="AB465" s="542"/>
      <c r="AC465" s="674"/>
      <c r="AD465" s="686"/>
      <c r="AE465" s="681"/>
      <c r="AF465" s="674">
        <v>0</v>
      </c>
      <c r="AG465" s="675"/>
      <c r="AH465" s="676">
        <v>0</v>
      </c>
      <c r="AI465" s="586">
        <v>0</v>
      </c>
      <c r="AJ465" s="686"/>
      <c r="AK465" s="542"/>
      <c r="AL465" s="674">
        <v>0</v>
      </c>
      <c r="AM465" s="678"/>
      <c r="AN465" s="676">
        <v>0</v>
      </c>
      <c r="AO465" s="682">
        <v>3</v>
      </c>
      <c r="AP465" s="485"/>
      <c r="AQ465" s="485"/>
      <c r="AR465" s="485"/>
      <c r="AS465" s="485"/>
      <c r="AT465" s="485"/>
      <c r="AU465" s="485"/>
      <c r="AV465" s="485"/>
      <c r="AW465" s="485"/>
      <c r="AX465" s="485"/>
      <c r="AY465" s="485"/>
      <c r="AZ465" s="485"/>
      <c r="BA465" s="485"/>
      <c r="BB465" s="485"/>
      <c r="BC465" s="485"/>
      <c r="BD465" s="485"/>
      <c r="BE465" s="485"/>
      <c r="BF465" s="485"/>
      <c r="BG465" s="485"/>
      <c r="BH465" s="485"/>
      <c r="BI465" s="485"/>
      <c r="BJ465" s="485"/>
    </row>
    <row r="466" spans="1:62" ht="15.75" customHeight="1">
      <c r="A466" s="782" t="s">
        <v>181</v>
      </c>
      <c r="B466" s="482"/>
      <c r="C466" s="649" t="s">
        <v>227</v>
      </c>
      <c r="D466" s="485"/>
      <c r="E466" s="485"/>
      <c r="F466" s="485"/>
      <c r="G466" s="485"/>
      <c r="H466" s="485"/>
      <c r="I466" s="485"/>
      <c r="J466" s="485"/>
      <c r="K466" s="485"/>
      <c r="L466" s="485"/>
      <c r="M466" s="485"/>
      <c r="N466" s="485"/>
      <c r="O466" s="485"/>
      <c r="P466" s="485"/>
      <c r="Q466" s="485"/>
      <c r="R466" s="485"/>
      <c r="S466" s="485"/>
      <c r="T466" s="485"/>
      <c r="U466" s="485"/>
      <c r="V466" s="687" t="s">
        <v>181</v>
      </c>
      <c r="W466" s="688"/>
      <c r="X466" s="689">
        <v>8.4779986321430911E-2</v>
      </c>
      <c r="Y466" s="688"/>
      <c r="Z466" s="690">
        <v>62225.182340764542</v>
      </c>
      <c r="AA466" s="689"/>
      <c r="AB466" s="688"/>
      <c r="AC466" s="690"/>
      <c r="AD466" s="667">
        <v>9.719519306835675E-2</v>
      </c>
      <c r="AE466" s="688"/>
      <c r="AF466" s="690">
        <v>62889.48</v>
      </c>
      <c r="AG466" s="696"/>
      <c r="AH466" s="850">
        <v>664.29765923546188</v>
      </c>
      <c r="AI466" s="689">
        <v>1.0675704501717011E-2</v>
      </c>
      <c r="AJ466" s="667">
        <v>0.1223631431119107</v>
      </c>
      <c r="AK466" s="689"/>
      <c r="AL466" s="690">
        <v>58620.439999999981</v>
      </c>
      <c r="AM466" s="697"/>
      <c r="AN466" s="692">
        <v>4269.04000000001</v>
      </c>
      <c r="AO466" s="710">
        <v>7.2825110149292827E-2</v>
      </c>
      <c r="AP466" s="485"/>
      <c r="AQ466" s="485"/>
      <c r="AR466" s="485"/>
      <c r="AS466" s="485"/>
      <c r="AT466" s="485"/>
      <c r="AU466" s="485"/>
      <c r="AV466" s="485"/>
      <c r="AW466" s="485"/>
      <c r="AX466" s="485"/>
      <c r="AY466" s="485"/>
      <c r="AZ466" s="485"/>
      <c r="BA466" s="485"/>
      <c r="BB466" s="485"/>
      <c r="BC466" s="485"/>
      <c r="BD466" s="485"/>
      <c r="BE466" s="485"/>
      <c r="BF466" s="485"/>
      <c r="BG466" s="485"/>
      <c r="BH466" s="485"/>
      <c r="BI466" s="485"/>
      <c r="BJ466" s="485"/>
    </row>
    <row r="467" spans="1:62" ht="15.75" customHeight="1">
      <c r="A467" s="782" t="s">
        <v>469</v>
      </c>
      <c r="B467" s="482"/>
      <c r="C467" s="649" t="s">
        <v>227</v>
      </c>
      <c r="D467" s="485"/>
      <c r="E467" s="485"/>
      <c r="F467" s="485"/>
      <c r="G467" s="485"/>
      <c r="H467" s="485"/>
      <c r="I467" s="485"/>
      <c r="J467" s="485"/>
      <c r="K467" s="485"/>
      <c r="L467" s="485"/>
      <c r="M467" s="485"/>
      <c r="N467" s="485"/>
      <c r="O467" s="485"/>
      <c r="P467" s="485"/>
      <c r="Q467" s="485"/>
      <c r="R467" s="485"/>
      <c r="S467" s="485"/>
      <c r="T467" s="485"/>
      <c r="U467" s="485"/>
      <c r="V467" s="556"/>
      <c r="W467" s="542"/>
      <c r="X467" s="542"/>
      <c r="Y467" s="542"/>
      <c r="Z467" s="714"/>
      <c r="AA467" s="542"/>
      <c r="AB467" s="542"/>
      <c r="AC467" s="714"/>
      <c r="AD467" s="686"/>
      <c r="AE467" s="542"/>
      <c r="AF467" s="714"/>
      <c r="AG467" s="686"/>
      <c r="AH467" s="676">
        <v>0</v>
      </c>
      <c r="AI467" s="586"/>
      <c r="AJ467" s="686"/>
      <c r="AK467" s="542"/>
      <c r="AL467" s="714"/>
      <c r="AM467" s="715"/>
      <c r="AN467" s="676">
        <v>0</v>
      </c>
      <c r="AO467" s="716">
        <v>0</v>
      </c>
      <c r="AP467" s="485"/>
      <c r="AQ467" s="485"/>
      <c r="AR467" s="485"/>
      <c r="AS467" s="485"/>
      <c r="AT467" s="485"/>
      <c r="AU467" s="485"/>
      <c r="AV467" s="485"/>
      <c r="AW467" s="485"/>
      <c r="AX467" s="485"/>
      <c r="AY467" s="485"/>
      <c r="AZ467" s="485"/>
      <c r="BA467" s="485"/>
      <c r="BB467" s="485"/>
      <c r="BC467" s="485"/>
      <c r="BD467" s="485"/>
      <c r="BE467" s="485"/>
      <c r="BF467" s="485"/>
      <c r="BG467" s="485"/>
      <c r="BH467" s="485"/>
      <c r="BI467" s="485"/>
      <c r="BJ467" s="485"/>
    </row>
    <row r="468" spans="1:62" ht="15.75" customHeight="1">
      <c r="A468" s="782" t="s">
        <v>65</v>
      </c>
      <c r="B468" s="482"/>
      <c r="C468" s="649" t="s">
        <v>227</v>
      </c>
      <c r="D468" s="485"/>
      <c r="E468" s="485"/>
      <c r="F468" s="485"/>
      <c r="G468" s="485"/>
      <c r="H468" s="485"/>
      <c r="I468" s="485"/>
      <c r="J468" s="485"/>
      <c r="K468" s="485"/>
      <c r="L468" s="485"/>
      <c r="M468" s="485"/>
      <c r="N468" s="485"/>
      <c r="O468" s="485"/>
      <c r="P468" s="485"/>
      <c r="Q468" s="485"/>
      <c r="R468" s="485"/>
      <c r="S468" s="485"/>
      <c r="T468" s="485"/>
      <c r="U468" s="485"/>
      <c r="V468" s="687" t="s">
        <v>65</v>
      </c>
      <c r="W468" s="688"/>
      <c r="X468" s="689">
        <v>0.94438705595909189</v>
      </c>
      <c r="Y468" s="688"/>
      <c r="Z468" s="690">
        <v>693143.03182964318</v>
      </c>
      <c r="AA468" s="689"/>
      <c r="AB468" s="688"/>
      <c r="AC468" s="690"/>
      <c r="AD468" s="667">
        <v>0.92846566282113718</v>
      </c>
      <c r="AE468" s="688"/>
      <c r="AF468" s="690">
        <v>600757.31000000006</v>
      </c>
      <c r="AG468" s="696"/>
      <c r="AH468" s="850">
        <v>-92385.721829643124</v>
      </c>
      <c r="AI468" s="689">
        <v>-0.13328522049161878</v>
      </c>
      <c r="AJ468" s="667">
        <v>1.2409466669778266</v>
      </c>
      <c r="AK468" s="689"/>
      <c r="AL468" s="690">
        <v>594499.59999999986</v>
      </c>
      <c r="AM468" s="697"/>
      <c r="AN468" s="692">
        <v>6257.7100000001956</v>
      </c>
      <c r="AO468" s="672">
        <v>1.0526012128519845E-2</v>
      </c>
      <c r="AP468" s="485"/>
      <c r="AQ468" s="485"/>
      <c r="AR468" s="485"/>
      <c r="AS468" s="485"/>
      <c r="AT468" s="485"/>
      <c r="AU468" s="485"/>
      <c r="AV468" s="485"/>
      <c r="AW468" s="485"/>
      <c r="AX468" s="485"/>
      <c r="AY468" s="485"/>
      <c r="AZ468" s="485"/>
      <c r="BA468" s="485"/>
      <c r="BB468" s="485"/>
      <c r="BC468" s="485"/>
      <c r="BD468" s="485"/>
      <c r="BE468" s="485"/>
      <c r="BF468" s="485"/>
      <c r="BG468" s="485"/>
      <c r="BH468" s="485"/>
      <c r="BI468" s="485"/>
      <c r="BJ468" s="485"/>
    </row>
    <row r="469" spans="1:62" ht="15.75" customHeight="1">
      <c r="A469" s="782" t="s">
        <v>182</v>
      </c>
      <c r="B469" s="482"/>
      <c r="C469" s="649" t="s">
        <v>227</v>
      </c>
      <c r="D469" s="485"/>
      <c r="E469" s="485"/>
      <c r="F469" s="485"/>
      <c r="G469" s="485"/>
      <c r="H469" s="485"/>
      <c r="I469" s="485"/>
      <c r="J469" s="485"/>
      <c r="K469" s="485"/>
      <c r="L469" s="485"/>
      <c r="M469" s="485"/>
      <c r="N469" s="485"/>
      <c r="O469" s="485"/>
      <c r="P469" s="485"/>
      <c r="Q469" s="485"/>
      <c r="R469" s="485"/>
      <c r="S469" s="485"/>
      <c r="T469" s="485"/>
      <c r="U469" s="485"/>
      <c r="V469" s="556" t="s">
        <v>182</v>
      </c>
      <c r="W469" s="712"/>
      <c r="X469" s="712"/>
      <c r="Y469" s="542"/>
      <c r="Z469" s="700">
        <v>30000</v>
      </c>
      <c r="AA469" s="717"/>
      <c r="AB469" s="718"/>
      <c r="AC469" s="700"/>
      <c r="AD469" s="719"/>
      <c r="AE469" s="718"/>
      <c r="AF469" s="674">
        <v>22949.040000000001</v>
      </c>
      <c r="AG469" s="720"/>
      <c r="AH469" s="676">
        <v>-7050.9599999999991</v>
      </c>
      <c r="AI469" s="713">
        <v>-0.23503199999999996</v>
      </c>
      <c r="AJ469" s="719"/>
      <c r="AK469" s="717"/>
      <c r="AL469" s="721">
        <v>22818.3</v>
      </c>
      <c r="AM469" s="722"/>
      <c r="AN469" s="676">
        <v>130.7400000000016</v>
      </c>
      <c r="AO469" s="682">
        <v>5.7296117589829918E-3</v>
      </c>
      <c r="AP469" s="485"/>
      <c r="AQ469" s="485"/>
      <c r="AR469" s="485"/>
      <c r="AS469" s="485"/>
      <c r="AT469" s="485"/>
      <c r="AU469" s="485"/>
      <c r="AV469" s="485"/>
      <c r="AW469" s="485"/>
      <c r="AX469" s="485"/>
      <c r="AY469" s="485"/>
      <c r="AZ469" s="485"/>
      <c r="BA469" s="485"/>
      <c r="BB469" s="485"/>
      <c r="BC469" s="485"/>
      <c r="BD469" s="485"/>
      <c r="BE469" s="485"/>
      <c r="BF469" s="485"/>
      <c r="BG469" s="485"/>
      <c r="BH469" s="485"/>
      <c r="BI469" s="485"/>
      <c r="BJ469" s="485"/>
    </row>
    <row r="470" spans="1:62" ht="15.75" customHeight="1">
      <c r="A470" s="782" t="s">
        <v>69</v>
      </c>
      <c r="B470" s="482"/>
      <c r="C470" s="649" t="s">
        <v>227</v>
      </c>
      <c r="D470" s="485"/>
      <c r="E470" s="485"/>
      <c r="F470" s="485"/>
      <c r="G470" s="485"/>
      <c r="H470" s="485"/>
      <c r="I470" s="485"/>
      <c r="J470" s="485"/>
      <c r="K470" s="485"/>
      <c r="L470" s="485"/>
      <c r="M470" s="485"/>
      <c r="N470" s="485"/>
      <c r="O470" s="485"/>
      <c r="P470" s="485"/>
      <c r="Q470" s="485"/>
      <c r="R470" s="485"/>
      <c r="S470" s="485"/>
      <c r="T470" s="485"/>
      <c r="U470" s="485"/>
      <c r="V470" s="556" t="s">
        <v>69</v>
      </c>
      <c r="W470" s="542"/>
      <c r="X470" s="542"/>
      <c r="Y470" s="542"/>
      <c r="Z470" s="674">
        <v>105543.44363841046</v>
      </c>
      <c r="AA470" s="711"/>
      <c r="AB470" s="676"/>
      <c r="AC470" s="674"/>
      <c r="AD470" s="726"/>
      <c r="AE470" s="852"/>
      <c r="AF470" s="674">
        <v>61215.55</v>
      </c>
      <c r="AG470" s="724"/>
      <c r="AH470" s="676">
        <v>-44327.89363841046</v>
      </c>
      <c r="AI470" s="708">
        <v>-0.4199966583455137</v>
      </c>
      <c r="AJ470" s="723"/>
      <c r="AK470" s="711"/>
      <c r="AL470" s="725">
        <v>55522</v>
      </c>
      <c r="AM470" s="726"/>
      <c r="AN470" s="676">
        <v>5693.5500000000029</v>
      </c>
      <c r="AO470" s="682">
        <v>0.10254583768596237</v>
      </c>
      <c r="AP470" s="485"/>
      <c r="AQ470" s="485"/>
      <c r="AR470" s="485"/>
      <c r="AS470" s="485"/>
      <c r="AT470" s="485"/>
      <c r="AU470" s="485"/>
      <c r="AV470" s="485"/>
      <c r="AW470" s="485"/>
      <c r="AX470" s="485"/>
      <c r="AY470" s="485"/>
      <c r="AZ470" s="485"/>
      <c r="BA470" s="485"/>
      <c r="BB470" s="485"/>
      <c r="BC470" s="485"/>
      <c r="BD470" s="485"/>
      <c r="BE470" s="485"/>
      <c r="BF470" s="485"/>
      <c r="BG470" s="485"/>
      <c r="BH470" s="485"/>
      <c r="BI470" s="485"/>
      <c r="BJ470" s="485"/>
    </row>
    <row r="471" spans="1:62" ht="15.75" customHeight="1">
      <c r="A471" s="782" t="s">
        <v>197</v>
      </c>
      <c r="B471" s="482"/>
      <c r="C471" s="649" t="s">
        <v>227</v>
      </c>
      <c r="D471" s="485"/>
      <c r="E471" s="485"/>
      <c r="F471" s="485"/>
      <c r="G471" s="485"/>
      <c r="H471" s="485"/>
      <c r="I471" s="485"/>
      <c r="J471" s="485"/>
      <c r="K471" s="485"/>
      <c r="L471" s="485"/>
      <c r="M471" s="485"/>
      <c r="N471" s="485"/>
      <c r="O471" s="485"/>
      <c r="P471" s="485"/>
      <c r="Q471" s="485"/>
      <c r="R471" s="485"/>
      <c r="S471" s="485"/>
      <c r="T471" s="485"/>
      <c r="U471" s="485"/>
      <c r="V471" s="556" t="s">
        <v>197</v>
      </c>
      <c r="W471" s="542"/>
      <c r="X471" s="542"/>
      <c r="Y471" s="542"/>
      <c r="Z471" s="674">
        <v>25000</v>
      </c>
      <c r="AA471" s="711"/>
      <c r="AB471" s="712"/>
      <c r="AC471" s="674"/>
      <c r="AD471" s="723"/>
      <c r="AF471" s="674">
        <v>12000</v>
      </c>
      <c r="AG471" s="724"/>
      <c r="AH471" s="676">
        <v>-13000</v>
      </c>
      <c r="AI471" s="708">
        <v>-0.52</v>
      </c>
      <c r="AJ471" s="723"/>
      <c r="AK471" s="711"/>
      <c r="AL471" s="725">
        <v>20000</v>
      </c>
      <c r="AM471" s="726"/>
      <c r="AN471" s="676">
        <v>-8000</v>
      </c>
      <c r="AO471" s="682">
        <v>-0.4</v>
      </c>
      <c r="AP471" s="485"/>
      <c r="AQ471" s="485"/>
      <c r="AR471" s="485"/>
      <c r="AS471" s="485"/>
      <c r="AT471" s="485"/>
      <c r="AU471" s="485"/>
      <c r="AV471" s="485"/>
      <c r="AW471" s="485"/>
      <c r="AX471" s="485"/>
      <c r="AY471" s="485"/>
      <c r="AZ471" s="485"/>
      <c r="BA471" s="485"/>
      <c r="BB471" s="485"/>
      <c r="BC471" s="485"/>
      <c r="BD471" s="485"/>
      <c r="BE471" s="485"/>
      <c r="BF471" s="485"/>
      <c r="BG471" s="485"/>
      <c r="BH471" s="485"/>
      <c r="BI471" s="485"/>
      <c r="BJ471" s="485"/>
    </row>
    <row r="472" spans="1:62" ht="15.75" customHeight="1">
      <c r="A472" s="782" t="s">
        <v>194</v>
      </c>
      <c r="B472" s="482"/>
      <c r="C472" s="649" t="s">
        <v>227</v>
      </c>
      <c r="D472" s="485"/>
      <c r="E472" s="485"/>
      <c r="F472" s="485"/>
      <c r="G472" s="485"/>
      <c r="H472" s="485"/>
      <c r="I472" s="485"/>
      <c r="J472" s="485"/>
      <c r="K472" s="485"/>
      <c r="L472" s="485"/>
      <c r="M472" s="485"/>
      <c r="N472" s="485"/>
      <c r="O472" s="485"/>
      <c r="P472" s="485"/>
      <c r="Q472" s="485"/>
      <c r="R472" s="485"/>
      <c r="S472" s="485"/>
      <c r="T472" s="485"/>
      <c r="U472" s="485"/>
      <c r="V472" s="556" t="s">
        <v>194</v>
      </c>
      <c r="W472" s="542"/>
      <c r="X472" s="542"/>
      <c r="Y472" s="542"/>
      <c r="Z472" s="674">
        <v>0</v>
      </c>
      <c r="AA472" s="711"/>
      <c r="AB472" s="712"/>
      <c r="AC472" s="674"/>
      <c r="AD472" s="723"/>
      <c r="AE472" s="712"/>
      <c r="AF472" s="674">
        <v>0</v>
      </c>
      <c r="AG472" s="724"/>
      <c r="AH472" s="676">
        <v>0</v>
      </c>
      <c r="AI472" s="708">
        <v>0</v>
      </c>
      <c r="AJ472" s="723"/>
      <c r="AK472" s="711"/>
      <c r="AL472" s="725">
        <v>0</v>
      </c>
      <c r="AM472" s="726"/>
      <c r="AN472" s="676">
        <v>0</v>
      </c>
      <c r="AO472" s="682">
        <v>0</v>
      </c>
      <c r="AP472" s="485"/>
      <c r="AQ472" s="485"/>
      <c r="AR472" s="485"/>
      <c r="AS472" s="485"/>
      <c r="AT472" s="485"/>
      <c r="AU472" s="485"/>
      <c r="AV472" s="485"/>
      <c r="AW472" s="485"/>
      <c r="AX472" s="485"/>
      <c r="AY472" s="485"/>
      <c r="AZ472" s="485"/>
      <c r="BA472" s="485"/>
      <c r="BB472" s="485"/>
      <c r="BC472" s="485"/>
      <c r="BD472" s="485"/>
      <c r="BE472" s="485"/>
      <c r="BF472" s="485"/>
      <c r="BG472" s="485"/>
      <c r="BH472" s="485"/>
      <c r="BI472" s="485"/>
      <c r="BJ472" s="485"/>
    </row>
    <row r="473" spans="1:62" ht="15.75" customHeight="1">
      <c r="A473" s="782" t="s">
        <v>68</v>
      </c>
      <c r="B473" s="482"/>
      <c r="C473" s="649" t="s">
        <v>227</v>
      </c>
      <c r="D473" s="485"/>
      <c r="E473" s="485"/>
      <c r="F473" s="485"/>
      <c r="G473" s="485"/>
      <c r="H473" s="485"/>
      <c r="I473" s="485"/>
      <c r="J473" s="485"/>
      <c r="K473" s="485"/>
      <c r="L473" s="485"/>
      <c r="M473" s="485"/>
      <c r="N473" s="485"/>
      <c r="O473" s="485"/>
      <c r="P473" s="485"/>
      <c r="Q473" s="485"/>
      <c r="R473" s="485"/>
      <c r="S473" s="485"/>
      <c r="T473" s="485"/>
      <c r="U473" s="485"/>
      <c r="V473" s="556" t="s">
        <v>68</v>
      </c>
      <c r="W473" s="542"/>
      <c r="X473" s="542"/>
      <c r="Y473" s="542"/>
      <c r="Z473" s="674">
        <v>0</v>
      </c>
      <c r="AA473" s="711"/>
      <c r="AB473" s="712"/>
      <c r="AC473" s="674"/>
      <c r="AD473" s="723"/>
      <c r="AE473" s="712"/>
      <c r="AF473" s="674">
        <v>0</v>
      </c>
      <c r="AG473" s="724"/>
      <c r="AH473" s="676">
        <v>0</v>
      </c>
      <c r="AI473" s="708">
        <v>0</v>
      </c>
      <c r="AJ473" s="723"/>
      <c r="AK473" s="711"/>
      <c r="AL473" s="725">
        <v>0</v>
      </c>
      <c r="AM473" s="726"/>
      <c r="AN473" s="676">
        <v>0</v>
      </c>
      <c r="AO473" s="682">
        <v>0</v>
      </c>
      <c r="AP473" s="485"/>
      <c r="AQ473" s="485"/>
      <c r="AR473" s="485"/>
      <c r="AS473" s="485"/>
      <c r="AT473" s="485"/>
      <c r="AU473" s="485"/>
      <c r="AV473" s="485"/>
      <c r="AW473" s="485"/>
      <c r="AX473" s="485"/>
      <c r="AY473" s="485"/>
      <c r="AZ473" s="485"/>
      <c r="BA473" s="485"/>
      <c r="BB473" s="485"/>
      <c r="BC473" s="485"/>
      <c r="BD473" s="485"/>
      <c r="BE473" s="485"/>
      <c r="BF473" s="485"/>
      <c r="BG473" s="485"/>
      <c r="BH473" s="485"/>
      <c r="BI473" s="485"/>
      <c r="BJ473" s="485"/>
    </row>
    <row r="474" spans="1:62" ht="15.75" customHeight="1">
      <c r="A474" s="782" t="s">
        <v>225</v>
      </c>
      <c r="B474" s="482"/>
      <c r="C474" s="649" t="s">
        <v>227</v>
      </c>
      <c r="D474" s="485"/>
      <c r="E474" s="485"/>
      <c r="F474" s="485"/>
      <c r="G474" s="485"/>
      <c r="H474" s="485"/>
      <c r="I474" s="485"/>
      <c r="J474" s="485"/>
      <c r="K474" s="485"/>
      <c r="L474" s="485"/>
      <c r="M474" s="485"/>
      <c r="N474" s="485"/>
      <c r="O474" s="485"/>
      <c r="P474" s="485"/>
      <c r="Q474" s="485"/>
      <c r="R474" s="485"/>
      <c r="S474" s="485"/>
      <c r="T474" s="485"/>
      <c r="U474" s="485"/>
      <c r="V474" s="556" t="s">
        <v>225</v>
      </c>
      <c r="W474" s="542"/>
      <c r="X474" s="542"/>
      <c r="Y474" s="542"/>
      <c r="Z474" s="674">
        <v>0</v>
      </c>
      <c r="AA474" s="711"/>
      <c r="AB474" s="712"/>
      <c r="AC474" s="674"/>
      <c r="AD474" s="723"/>
      <c r="AE474" s="712"/>
      <c r="AF474" s="674">
        <v>0</v>
      </c>
      <c r="AG474" s="724"/>
      <c r="AH474" s="676">
        <v>0</v>
      </c>
      <c r="AI474" s="708">
        <v>0</v>
      </c>
      <c r="AJ474" s="723"/>
      <c r="AK474" s="711"/>
      <c r="AL474" s="725">
        <v>0</v>
      </c>
      <c r="AM474" s="726"/>
      <c r="AN474" s="676">
        <v>0</v>
      </c>
      <c r="AO474" s="682">
        <v>0</v>
      </c>
      <c r="AP474" s="485"/>
      <c r="AQ474" s="485"/>
      <c r="AR474" s="485"/>
      <c r="AS474" s="485"/>
      <c r="AT474" s="485"/>
      <c r="AU474" s="485"/>
      <c r="AV474" s="485"/>
      <c r="AW474" s="485"/>
      <c r="AX474" s="485"/>
      <c r="AY474" s="485"/>
      <c r="AZ474" s="485"/>
      <c r="BA474" s="485"/>
      <c r="BB474" s="485"/>
      <c r="BC474" s="485"/>
      <c r="BD474" s="485"/>
      <c r="BE474" s="485"/>
      <c r="BF474" s="485"/>
      <c r="BG474" s="485"/>
      <c r="BH474" s="485"/>
      <c r="BI474" s="485"/>
      <c r="BJ474" s="485"/>
    </row>
    <row r="475" spans="1:62" ht="15.75" customHeight="1">
      <c r="A475" s="782" t="s">
        <v>81</v>
      </c>
      <c r="B475" s="482"/>
      <c r="C475" s="649" t="s">
        <v>227</v>
      </c>
      <c r="D475" s="485"/>
      <c r="E475" s="485"/>
      <c r="F475" s="485"/>
      <c r="G475" s="485"/>
      <c r="H475" s="485"/>
      <c r="I475" s="485"/>
      <c r="J475" s="485"/>
      <c r="K475" s="485"/>
      <c r="L475" s="485"/>
      <c r="M475" s="485"/>
      <c r="N475" s="485"/>
      <c r="O475" s="485"/>
      <c r="P475" s="485"/>
      <c r="Q475" s="485"/>
      <c r="R475" s="485"/>
      <c r="S475" s="485"/>
      <c r="T475" s="485"/>
      <c r="U475" s="485"/>
      <c r="V475" s="556" t="s">
        <v>81</v>
      </c>
      <c r="W475" s="542"/>
      <c r="X475" s="542"/>
      <c r="Y475" s="542"/>
      <c r="Z475" s="674">
        <v>0</v>
      </c>
      <c r="AA475" s="711"/>
      <c r="AB475" s="712"/>
      <c r="AC475" s="674"/>
      <c r="AD475" s="723"/>
      <c r="AE475" s="712"/>
      <c r="AF475" s="674">
        <v>0</v>
      </c>
      <c r="AG475" s="724"/>
      <c r="AH475" s="676">
        <v>0</v>
      </c>
      <c r="AI475" s="708">
        <v>0</v>
      </c>
      <c r="AJ475" s="723"/>
      <c r="AK475" s="711"/>
      <c r="AL475" s="725">
        <v>0</v>
      </c>
      <c r="AM475" s="726"/>
      <c r="AN475" s="676">
        <v>0</v>
      </c>
      <c r="AO475" s="682">
        <v>0</v>
      </c>
      <c r="AP475" s="485"/>
      <c r="AQ475" s="485"/>
      <c r="AR475" s="485"/>
      <c r="AS475" s="485"/>
      <c r="AT475" s="485"/>
      <c r="AU475" s="485"/>
      <c r="AV475" s="485"/>
      <c r="AW475" s="485"/>
      <c r="AX475" s="485"/>
      <c r="AY475" s="485"/>
      <c r="AZ475" s="485"/>
      <c r="BA475" s="485"/>
      <c r="BB475" s="485"/>
      <c r="BC475" s="485"/>
      <c r="BD475" s="485"/>
      <c r="BE475" s="485"/>
      <c r="BF475" s="485"/>
      <c r="BG475" s="485"/>
      <c r="BH475" s="485"/>
      <c r="BI475" s="485"/>
      <c r="BJ475" s="485"/>
    </row>
    <row r="476" spans="1:62" ht="15.75" customHeight="1">
      <c r="A476" s="782" t="s">
        <v>82</v>
      </c>
      <c r="B476" s="482"/>
      <c r="C476" s="649" t="s">
        <v>227</v>
      </c>
      <c r="D476" s="485"/>
      <c r="E476" s="485"/>
      <c r="F476" s="485"/>
      <c r="G476" s="485"/>
      <c r="H476" s="485"/>
      <c r="I476" s="485"/>
      <c r="J476" s="485"/>
      <c r="K476" s="485"/>
      <c r="L476" s="485"/>
      <c r="M476" s="485"/>
      <c r="N476" s="485"/>
      <c r="O476" s="485"/>
      <c r="P476" s="485"/>
      <c r="Q476" s="485"/>
      <c r="R476" s="485"/>
      <c r="S476" s="485"/>
      <c r="T476" s="485"/>
      <c r="U476" s="485"/>
      <c r="V476" s="556" t="s">
        <v>82</v>
      </c>
      <c r="W476" s="542"/>
      <c r="X476" s="542"/>
      <c r="Y476" s="542"/>
      <c r="Z476" s="674">
        <v>0</v>
      </c>
      <c r="AA476" s="711"/>
      <c r="AB476" s="712"/>
      <c r="AC476" s="674"/>
      <c r="AD476" s="723"/>
      <c r="AE476" s="712"/>
      <c r="AF476" s="674">
        <v>0</v>
      </c>
      <c r="AG476" s="724"/>
      <c r="AH476" s="676">
        <v>0</v>
      </c>
      <c r="AI476" s="708">
        <v>0</v>
      </c>
      <c r="AJ476" s="723"/>
      <c r="AK476" s="711"/>
      <c r="AL476" s="725">
        <v>0</v>
      </c>
      <c r="AM476" s="726"/>
      <c r="AN476" s="676">
        <v>0</v>
      </c>
      <c r="AO476" s="682">
        <v>0</v>
      </c>
      <c r="AP476" s="485"/>
      <c r="AQ476" s="485"/>
      <c r="AR476" s="485"/>
      <c r="AS476" s="485"/>
      <c r="AT476" s="485"/>
      <c r="AU476" s="485"/>
      <c r="AV476" s="485"/>
      <c r="AW476" s="485"/>
      <c r="AX476" s="485"/>
      <c r="AY476" s="485"/>
      <c r="AZ476" s="485"/>
      <c r="BA476" s="485"/>
      <c r="BB476" s="485"/>
      <c r="BC476" s="485"/>
      <c r="BD476" s="485"/>
      <c r="BE476" s="485"/>
      <c r="BF476" s="485"/>
      <c r="BG476" s="485"/>
      <c r="BH476" s="485"/>
      <c r="BI476" s="485"/>
      <c r="BJ476" s="485"/>
    </row>
    <row r="477" spans="1:62" ht="15.75" hidden="1" customHeight="1">
      <c r="A477" s="782" t="s">
        <v>20</v>
      </c>
      <c r="B477" s="482"/>
      <c r="C477" s="649" t="s">
        <v>227</v>
      </c>
      <c r="D477" s="485"/>
      <c r="E477" s="485"/>
      <c r="F477" s="485"/>
      <c r="G477" s="485"/>
      <c r="H477" s="485"/>
      <c r="I477" s="485"/>
      <c r="J477" s="485"/>
      <c r="K477" s="485"/>
      <c r="L477" s="485"/>
      <c r="M477" s="485"/>
      <c r="N477" s="485"/>
      <c r="O477" s="485"/>
      <c r="P477" s="485"/>
      <c r="Q477" s="485"/>
      <c r="R477" s="485"/>
      <c r="S477" s="485"/>
      <c r="T477" s="485"/>
      <c r="U477" s="485"/>
      <c r="V477" s="556" t="s">
        <v>20</v>
      </c>
      <c r="W477" s="542"/>
      <c r="X477" s="542"/>
      <c r="Y477" s="542"/>
      <c r="Z477" s="674">
        <v>0</v>
      </c>
      <c r="AA477" s="542"/>
      <c r="AB477" s="542"/>
      <c r="AC477" s="674"/>
      <c r="AD477" s="686"/>
      <c r="AE477" s="681"/>
      <c r="AF477" s="674">
        <v>0</v>
      </c>
      <c r="AG477" s="675"/>
      <c r="AH477" s="676">
        <v>0</v>
      </c>
      <c r="AI477" s="586">
        <v>0</v>
      </c>
      <c r="AJ477" s="686"/>
      <c r="AK477" s="542"/>
      <c r="AL477" s="674">
        <v>0</v>
      </c>
      <c r="AM477" s="726"/>
      <c r="AN477" s="676">
        <v>0</v>
      </c>
      <c r="AO477" s="682">
        <v>0</v>
      </c>
      <c r="AP477" s="485"/>
      <c r="AQ477" s="485"/>
      <c r="AR477" s="485"/>
      <c r="AS477" s="485"/>
      <c r="AT477" s="485"/>
      <c r="AU477" s="485"/>
      <c r="AV477" s="485"/>
      <c r="AW477" s="485"/>
      <c r="AX477" s="485"/>
      <c r="AY477" s="485"/>
      <c r="AZ477" s="485"/>
      <c r="BA477" s="485"/>
      <c r="BB477" s="485"/>
      <c r="BC477" s="485"/>
      <c r="BD477" s="485"/>
      <c r="BE477" s="485"/>
      <c r="BF477" s="485"/>
      <c r="BG477" s="485"/>
      <c r="BH477" s="485"/>
      <c r="BI477" s="485"/>
      <c r="BJ477" s="485"/>
    </row>
    <row r="478" spans="1:62" ht="15.75" hidden="1" customHeight="1">
      <c r="A478" s="782" t="s">
        <v>20</v>
      </c>
      <c r="B478" s="482"/>
      <c r="C478" s="649" t="s">
        <v>227</v>
      </c>
      <c r="D478" s="485"/>
      <c r="E478" s="485"/>
      <c r="F478" s="485"/>
      <c r="G478" s="485"/>
      <c r="H478" s="485"/>
      <c r="I478" s="485"/>
      <c r="J478" s="485"/>
      <c r="K478" s="485"/>
      <c r="L478" s="485"/>
      <c r="M478" s="485"/>
      <c r="N478" s="485"/>
      <c r="O478" s="485"/>
      <c r="P478" s="485"/>
      <c r="Q478" s="485"/>
      <c r="R478" s="485"/>
      <c r="S478" s="485"/>
      <c r="T478" s="485"/>
      <c r="U478" s="485"/>
      <c r="V478" s="556" t="s">
        <v>20</v>
      </c>
      <c r="W478" s="542"/>
      <c r="X478" s="542"/>
      <c r="Y478" s="542"/>
      <c r="Z478" s="674">
        <v>0</v>
      </c>
      <c r="AA478" s="542"/>
      <c r="AB478" s="542"/>
      <c r="AC478" s="674"/>
      <c r="AD478" s="686"/>
      <c r="AE478" s="681"/>
      <c r="AF478" s="674">
        <v>0</v>
      </c>
      <c r="AG478" s="675"/>
      <c r="AH478" s="676">
        <v>0</v>
      </c>
      <c r="AI478" s="586">
        <v>0</v>
      </c>
      <c r="AJ478" s="686"/>
      <c r="AK478" s="542"/>
      <c r="AL478" s="674">
        <v>0</v>
      </c>
      <c r="AM478" s="726"/>
      <c r="AN478" s="676">
        <v>0</v>
      </c>
      <c r="AO478" s="682">
        <v>0</v>
      </c>
      <c r="AP478" s="485"/>
      <c r="AQ478" s="485"/>
      <c r="AR478" s="485"/>
      <c r="AS478" s="485"/>
      <c r="AT478" s="485"/>
      <c r="AU478" s="485"/>
      <c r="AV478" s="485"/>
      <c r="AW478" s="485"/>
      <c r="AX478" s="485"/>
      <c r="AY478" s="485"/>
      <c r="AZ478" s="485"/>
      <c r="BA478" s="485"/>
      <c r="BB478" s="485"/>
      <c r="BC478" s="485"/>
      <c r="BD478" s="485"/>
      <c r="BE478" s="485"/>
      <c r="BF478" s="485"/>
      <c r="BG478" s="485"/>
      <c r="BH478" s="485"/>
      <c r="BI478" s="485"/>
      <c r="BJ478" s="485"/>
    </row>
    <row r="479" spans="1:62" ht="15.75" hidden="1" customHeight="1">
      <c r="A479" s="782" t="s">
        <v>20</v>
      </c>
      <c r="B479" s="482"/>
      <c r="C479" s="649" t="s">
        <v>227</v>
      </c>
      <c r="D479" s="485"/>
      <c r="E479" s="485"/>
      <c r="F479" s="485"/>
      <c r="G479" s="485"/>
      <c r="H479" s="485"/>
      <c r="I479" s="485"/>
      <c r="J479" s="485"/>
      <c r="K479" s="485"/>
      <c r="L479" s="485"/>
      <c r="M479" s="485"/>
      <c r="N479" s="485"/>
      <c r="O479" s="485"/>
      <c r="P479" s="485"/>
      <c r="Q479" s="485"/>
      <c r="R479" s="485"/>
      <c r="S479" s="485"/>
      <c r="T479" s="485"/>
      <c r="U479" s="485"/>
      <c r="V479" s="556" t="s">
        <v>20</v>
      </c>
      <c r="W479" s="542"/>
      <c r="X479" s="542"/>
      <c r="Y479" s="542"/>
      <c r="Z479" s="674">
        <v>0</v>
      </c>
      <c r="AA479" s="542"/>
      <c r="AB479" s="542"/>
      <c r="AC479" s="674"/>
      <c r="AD479" s="686"/>
      <c r="AE479" s="681"/>
      <c r="AF479" s="674">
        <v>0</v>
      </c>
      <c r="AG479" s="675"/>
      <c r="AH479" s="676">
        <v>0</v>
      </c>
      <c r="AI479" s="586">
        <v>0</v>
      </c>
      <c r="AJ479" s="686"/>
      <c r="AK479" s="542"/>
      <c r="AL479" s="674">
        <v>0</v>
      </c>
      <c r="AM479" s="726"/>
      <c r="AN479" s="676">
        <v>0</v>
      </c>
      <c r="AO479" s="682">
        <v>0</v>
      </c>
      <c r="AP479" s="485"/>
      <c r="AQ479" s="485"/>
      <c r="AR479" s="485"/>
      <c r="AS479" s="485"/>
      <c r="AT479" s="485"/>
      <c r="AU479" s="485"/>
      <c r="AV479" s="485"/>
      <c r="AW479" s="485"/>
      <c r="AX479" s="485"/>
      <c r="AY479" s="485"/>
      <c r="AZ479" s="485"/>
      <c r="BA479" s="485"/>
      <c r="BB479" s="485"/>
      <c r="BC479" s="485"/>
      <c r="BD479" s="485"/>
      <c r="BE479" s="485"/>
      <c r="BF479" s="485"/>
      <c r="BG479" s="485"/>
      <c r="BH479" s="485"/>
      <c r="BI479" s="485"/>
      <c r="BJ479" s="485"/>
    </row>
    <row r="480" spans="1:62" ht="15.75" customHeight="1">
      <c r="A480" s="782" t="s">
        <v>70</v>
      </c>
      <c r="B480" s="482"/>
      <c r="C480" s="649" t="s">
        <v>227</v>
      </c>
      <c r="D480" s="485"/>
      <c r="E480" s="485"/>
      <c r="F480" s="485"/>
      <c r="G480" s="485"/>
      <c r="H480" s="485"/>
      <c r="I480" s="485"/>
      <c r="J480" s="485"/>
      <c r="K480" s="485"/>
      <c r="L480" s="485"/>
      <c r="M480" s="485"/>
      <c r="N480" s="485"/>
      <c r="O480" s="485"/>
      <c r="P480" s="485"/>
      <c r="Q480" s="485"/>
      <c r="R480" s="485"/>
      <c r="S480" s="485"/>
      <c r="T480" s="485"/>
      <c r="U480" s="485"/>
      <c r="V480" s="557" t="s">
        <v>70</v>
      </c>
      <c r="W480" s="542"/>
      <c r="X480" s="542"/>
      <c r="Y480" s="542"/>
      <c r="Z480" s="674">
        <v>49009.549999999996</v>
      </c>
      <c r="AA480" s="711"/>
      <c r="AB480" s="712"/>
      <c r="AC480" s="674"/>
      <c r="AD480" s="853">
        <v>74.813627254509015</v>
      </c>
      <c r="AE480" s="711">
        <v>1.2151157113563127</v>
      </c>
      <c r="AF480" s="674">
        <v>37332</v>
      </c>
      <c r="AG480" s="724"/>
      <c r="AH480" s="676">
        <v>-11677.549999999996</v>
      </c>
      <c r="AI480" s="708">
        <v>-0.23827090842499057</v>
      </c>
      <c r="AJ480" s="723"/>
      <c r="AK480" s="711"/>
      <c r="AL480" s="725">
        <v>32999.5</v>
      </c>
      <c r="AM480" s="726"/>
      <c r="AN480" s="676">
        <v>4332.5</v>
      </c>
      <c r="AO480" s="682">
        <v>0.13128986802830345</v>
      </c>
      <c r="AP480" s="485"/>
      <c r="AQ480" s="485"/>
      <c r="AR480" s="485"/>
      <c r="AS480" s="485"/>
      <c r="AT480" s="485"/>
      <c r="AU480" s="485"/>
      <c r="AV480" s="485"/>
      <c r="AW480" s="485"/>
      <c r="AX480" s="485"/>
      <c r="AY480" s="485"/>
      <c r="AZ480" s="485"/>
      <c r="BA480" s="485"/>
      <c r="BB480" s="485"/>
      <c r="BC480" s="485"/>
      <c r="BD480" s="485"/>
      <c r="BE480" s="485"/>
      <c r="BF480" s="485"/>
      <c r="BG480" s="485"/>
      <c r="BH480" s="485"/>
      <c r="BI480" s="485"/>
      <c r="BJ480" s="485"/>
    </row>
    <row r="481" spans="1:62" ht="15.75" customHeight="1">
      <c r="A481" s="782" t="s">
        <v>183</v>
      </c>
      <c r="B481" s="482"/>
      <c r="C481" s="649" t="s">
        <v>227</v>
      </c>
      <c r="D481" s="485"/>
      <c r="E481" s="485"/>
      <c r="F481" s="485"/>
      <c r="G481" s="485"/>
      <c r="H481" s="485"/>
      <c r="I481" s="485"/>
      <c r="J481" s="485"/>
      <c r="K481" s="485"/>
      <c r="L481" s="485"/>
      <c r="M481" s="485"/>
      <c r="N481" s="485"/>
      <c r="O481" s="485"/>
      <c r="P481" s="485"/>
      <c r="Q481" s="485"/>
      <c r="R481" s="485"/>
      <c r="S481" s="485"/>
      <c r="T481" s="485"/>
      <c r="U481" s="485"/>
      <c r="V481" s="687" t="s">
        <v>183</v>
      </c>
      <c r="W481" s="688"/>
      <c r="X481" s="689">
        <v>0.28550980914748819</v>
      </c>
      <c r="Y481" s="709"/>
      <c r="Z481" s="690">
        <v>209552.99363841047</v>
      </c>
      <c r="AA481" s="689"/>
      <c r="AB481" s="709"/>
      <c r="AC481" s="690"/>
      <c r="AD481" s="689">
        <v>0.20631792215514044</v>
      </c>
      <c r="AE481" s="709"/>
      <c r="AF481" s="690">
        <v>133496.59</v>
      </c>
      <c r="AG481" s="696"/>
      <c r="AH481" s="692">
        <v>-76056.403638410469</v>
      </c>
      <c r="AI481" s="689">
        <v>-0.36294591796501802</v>
      </c>
      <c r="AJ481" s="727"/>
      <c r="AK481" s="728"/>
      <c r="AL481" s="690">
        <v>131339.79999999999</v>
      </c>
      <c r="AM481" s="729"/>
      <c r="AN481" s="692">
        <v>2156.7900000000081</v>
      </c>
      <c r="AO481" s="710">
        <v>1.6421450314375446E-2</v>
      </c>
      <c r="AP481" s="485"/>
      <c r="AQ481" s="485"/>
      <c r="AR481" s="485"/>
      <c r="AS481" s="485"/>
      <c r="AT481" s="485"/>
      <c r="AU481" s="485"/>
      <c r="AV481" s="485"/>
      <c r="AW481" s="485"/>
      <c r="AX481" s="485"/>
      <c r="AY481" s="485"/>
      <c r="AZ481" s="485"/>
      <c r="BA481" s="485"/>
      <c r="BB481" s="485"/>
      <c r="BC481" s="485"/>
      <c r="BD481" s="485"/>
      <c r="BE481" s="485"/>
      <c r="BF481" s="485"/>
      <c r="BG481" s="485"/>
      <c r="BH481" s="485"/>
      <c r="BI481" s="485"/>
      <c r="BJ481" s="485"/>
    </row>
    <row r="482" spans="1:62" ht="6" customHeight="1" thickBot="1">
      <c r="A482" s="782" t="s">
        <v>469</v>
      </c>
      <c r="B482" s="482"/>
      <c r="C482" s="649" t="s">
        <v>227</v>
      </c>
      <c r="D482" s="485"/>
      <c r="E482" s="485"/>
      <c r="F482" s="485"/>
      <c r="G482" s="485"/>
      <c r="H482" s="485"/>
      <c r="I482" s="485"/>
      <c r="J482" s="485"/>
      <c r="K482" s="485"/>
      <c r="L482" s="485"/>
      <c r="M482" s="485"/>
      <c r="N482" s="485"/>
      <c r="O482" s="485"/>
      <c r="P482" s="485"/>
      <c r="Q482" s="485"/>
      <c r="R482" s="485"/>
      <c r="S482" s="485"/>
      <c r="T482" s="485"/>
      <c r="U482" s="485"/>
      <c r="V482" s="730"/>
      <c r="W482" s="731"/>
      <c r="X482" s="731"/>
      <c r="Y482" s="732"/>
      <c r="Z482" s="733"/>
      <c r="AA482" s="731"/>
      <c r="AB482" s="734"/>
      <c r="AC482" s="733"/>
      <c r="AD482" s="731"/>
      <c r="AE482" s="734"/>
      <c r="AF482" s="735"/>
      <c r="AG482" s="736"/>
      <c r="AH482" s="737"/>
      <c r="AI482" s="738"/>
      <c r="AJ482" s="739"/>
      <c r="AK482" s="740"/>
      <c r="AL482" s="735"/>
      <c r="AM482" s="741"/>
      <c r="AN482" s="737">
        <v>0</v>
      </c>
      <c r="AO482" s="742">
        <v>0</v>
      </c>
      <c r="AP482" s="485"/>
      <c r="AQ482" s="485"/>
      <c r="AR482" s="485"/>
      <c r="AS482" s="485"/>
      <c r="AT482" s="485"/>
      <c r="AU482" s="485"/>
      <c r="AV482" s="485"/>
      <c r="AW482" s="485"/>
      <c r="AX482" s="485"/>
      <c r="AY482" s="485"/>
      <c r="AZ482" s="485"/>
      <c r="BA482" s="485"/>
      <c r="BB482" s="485"/>
      <c r="BC482" s="485"/>
      <c r="BD482" s="485"/>
      <c r="BE482" s="485"/>
      <c r="BF482" s="485"/>
      <c r="BG482" s="485"/>
      <c r="BH482" s="485"/>
      <c r="BI482" s="485"/>
      <c r="BJ482" s="485"/>
    </row>
    <row r="483" spans="1:62" ht="15.75" customHeight="1" thickTop="1" thickBot="1">
      <c r="A483" s="782" t="s">
        <v>184</v>
      </c>
      <c r="B483" s="482"/>
      <c r="C483" s="649" t="s">
        <v>227</v>
      </c>
      <c r="D483" s="485"/>
      <c r="E483" s="485"/>
      <c r="F483" s="485"/>
      <c r="G483" s="485"/>
      <c r="H483" s="485"/>
      <c r="I483" s="485"/>
      <c r="J483" s="485"/>
      <c r="K483" s="485"/>
      <c r="L483" s="485"/>
      <c r="M483" s="485"/>
      <c r="N483" s="485"/>
      <c r="O483" s="485"/>
      <c r="P483" s="485"/>
      <c r="Q483" s="485"/>
      <c r="R483" s="485"/>
      <c r="S483" s="485"/>
      <c r="T483" s="485"/>
      <c r="U483" s="485"/>
      <c r="V483" s="743" t="s">
        <v>184</v>
      </c>
      <c r="W483" s="744"/>
      <c r="X483" s="745" t="s">
        <v>185</v>
      </c>
      <c r="Y483" s="746">
        <v>3.9442474147656191E-2</v>
      </c>
      <c r="Z483" s="747">
        <v>250370.71175329864</v>
      </c>
      <c r="AA483" s="745"/>
      <c r="AB483" s="746"/>
      <c r="AC483" s="747"/>
      <c r="AD483" s="745" t="s">
        <v>185</v>
      </c>
      <c r="AE483" s="746">
        <v>3.8441619363911411E-2</v>
      </c>
      <c r="AF483" s="748">
        <v>179782.39000000004</v>
      </c>
      <c r="AG483" s="749"/>
      <c r="AH483" s="749">
        <v>-70588.321753298602</v>
      </c>
      <c r="AI483" s="750">
        <v>-0.28193522021398576</v>
      </c>
      <c r="AJ483" s="751" t="s">
        <v>185</v>
      </c>
      <c r="AK483" s="746">
        <v>3.9738762376396314E-3</v>
      </c>
      <c r="AL483" s="748">
        <v>15909.61999999953</v>
      </c>
      <c r="AM483" s="752"/>
      <c r="AN483" s="748">
        <v>163872.77000000051</v>
      </c>
      <c r="AO483" s="753">
        <v>10.300231558013664</v>
      </c>
      <c r="AP483" s="485"/>
      <c r="AQ483" s="485"/>
      <c r="AR483" s="485"/>
      <c r="AS483" s="485"/>
      <c r="AT483" s="485"/>
      <c r="AU483" s="485"/>
      <c r="AV483" s="485"/>
      <c r="AW483" s="485"/>
      <c r="AX483" s="485"/>
      <c r="AY483" s="485"/>
      <c r="AZ483" s="485"/>
      <c r="BA483" s="485"/>
      <c r="BB483" s="485"/>
      <c r="BC483" s="485"/>
      <c r="BD483" s="485"/>
      <c r="BE483" s="485"/>
      <c r="BF483" s="485"/>
      <c r="BG483" s="485"/>
      <c r="BH483" s="485"/>
      <c r="BI483" s="485"/>
      <c r="BJ483" s="485"/>
    </row>
    <row r="484" spans="1:62" ht="8.25" customHeight="1" thickTop="1">
      <c r="A484" s="782" t="s">
        <v>469</v>
      </c>
      <c r="B484" s="482"/>
      <c r="C484" s="649" t="s">
        <v>227</v>
      </c>
      <c r="D484" s="485"/>
      <c r="E484" s="485"/>
      <c r="F484" s="485"/>
      <c r="G484" s="485"/>
      <c r="H484" s="485"/>
      <c r="I484" s="485"/>
      <c r="J484" s="485"/>
      <c r="K484" s="485"/>
      <c r="L484" s="485"/>
      <c r="M484" s="485"/>
      <c r="N484" s="485"/>
      <c r="O484" s="485"/>
      <c r="P484" s="485"/>
      <c r="Q484" s="485"/>
      <c r="R484" s="485"/>
      <c r="S484" s="485"/>
      <c r="T484" s="485"/>
      <c r="U484" s="485"/>
      <c r="V484" s="477"/>
      <c r="W484" s="477"/>
      <c r="X484" s="477"/>
      <c r="Y484" s="477"/>
      <c r="Z484" s="503"/>
      <c r="AA484" s="486"/>
      <c r="AB484" s="486"/>
      <c r="AC484" s="503"/>
      <c r="AD484" s="486"/>
      <c r="AE484" s="486"/>
      <c r="AF484" s="754"/>
      <c r="AG484" s="486"/>
      <c r="AH484" s="486"/>
      <c r="AI484" s="486"/>
      <c r="AJ484" s="486"/>
      <c r="AK484" s="486"/>
      <c r="AL484" s="503"/>
      <c r="AM484" s="486"/>
      <c r="AN484" s="486"/>
      <c r="AO484" s="486"/>
      <c r="AP484" s="485"/>
      <c r="AQ484" s="485"/>
      <c r="AR484" s="485"/>
      <c r="AS484" s="485"/>
      <c r="AT484" s="485"/>
      <c r="AU484" s="485"/>
      <c r="AV484" s="485"/>
      <c r="AW484" s="485"/>
      <c r="AX484" s="485"/>
      <c r="AY484" s="485"/>
      <c r="AZ484" s="485"/>
      <c r="BA484" s="485"/>
      <c r="BB484" s="485"/>
      <c r="BC484" s="485"/>
      <c r="BD484" s="485"/>
      <c r="BE484" s="485"/>
      <c r="BF484" s="485"/>
      <c r="BG484" s="485"/>
      <c r="BH484" s="485"/>
      <c r="BI484" s="485"/>
      <c r="BJ484" s="485"/>
    </row>
    <row r="485" spans="1:62" ht="18" customHeight="1">
      <c r="A485" s="782" t="s">
        <v>481</v>
      </c>
      <c r="B485" s="482"/>
      <c r="C485" s="649" t="s">
        <v>227</v>
      </c>
      <c r="D485" s="485"/>
      <c r="E485" s="485"/>
      <c r="F485" s="485"/>
      <c r="G485" s="485"/>
      <c r="H485" s="485"/>
      <c r="I485" s="485"/>
      <c r="J485" s="485"/>
      <c r="K485" s="485"/>
      <c r="L485" s="485"/>
      <c r="M485" s="485"/>
      <c r="N485" s="485"/>
      <c r="O485" s="485"/>
      <c r="P485" s="485"/>
      <c r="Q485" s="485"/>
      <c r="R485" s="485"/>
      <c r="S485" s="485"/>
      <c r="T485" s="485"/>
      <c r="U485" s="485"/>
      <c r="V485" s="755" t="s">
        <v>481</v>
      </c>
      <c r="W485" s="755"/>
      <c r="X485" s="755"/>
      <c r="Y485" s="755"/>
      <c r="Z485" s="755"/>
      <c r="AA485" s="755"/>
      <c r="AB485" s="755"/>
      <c r="AC485" s="755"/>
      <c r="AD485" s="755"/>
      <c r="AE485" s="756" t="s">
        <v>186</v>
      </c>
      <c r="AF485" s="755"/>
      <c r="AG485" s="755"/>
      <c r="AH485" s="755"/>
      <c r="AI485" s="755"/>
      <c r="AJ485" s="757"/>
      <c r="AK485" s="758"/>
      <c r="AL485" s="755"/>
      <c r="AM485" s="755"/>
      <c r="AN485" s="755"/>
      <c r="AO485" s="759" t="s">
        <v>473</v>
      </c>
      <c r="AP485" s="485"/>
      <c r="AQ485" s="485"/>
      <c r="AR485" s="485"/>
      <c r="AS485" s="485"/>
      <c r="AT485" s="485"/>
      <c r="AU485" s="485"/>
      <c r="AV485" s="485"/>
      <c r="AW485" s="485"/>
      <c r="AX485" s="485"/>
      <c r="AY485" s="485"/>
      <c r="AZ485" s="485"/>
      <c r="BA485" s="485"/>
      <c r="BB485" s="485"/>
      <c r="BC485" s="485"/>
      <c r="BD485" s="485"/>
      <c r="BE485" s="485"/>
      <c r="BF485" s="485"/>
      <c r="BG485" s="485"/>
      <c r="BH485" s="485"/>
      <c r="BI485" s="485"/>
      <c r="BJ485" s="485"/>
    </row>
    <row r="486" spans="1:62" ht="19.5" customHeight="1">
      <c r="A486" s="782" t="s">
        <v>469</v>
      </c>
      <c r="B486" s="482"/>
      <c r="C486" s="649" t="s">
        <v>227</v>
      </c>
      <c r="D486" s="485"/>
      <c r="E486" s="485"/>
      <c r="F486" s="485"/>
      <c r="G486" s="485"/>
      <c r="H486" s="485"/>
      <c r="I486" s="485"/>
      <c r="J486" s="485"/>
      <c r="K486" s="485"/>
      <c r="L486" s="485"/>
      <c r="M486" s="485"/>
      <c r="N486" s="485"/>
      <c r="O486" s="485"/>
      <c r="P486" s="485"/>
      <c r="Q486" s="485"/>
      <c r="R486" s="485"/>
      <c r="S486" s="485"/>
      <c r="T486" s="485"/>
      <c r="U486" s="485"/>
      <c r="V486" s="477"/>
      <c r="W486" s="477"/>
      <c r="X486" s="477"/>
      <c r="Y486" s="477"/>
      <c r="Z486" s="503"/>
      <c r="AA486" s="486"/>
      <c r="AB486" s="486"/>
      <c r="AC486" s="503"/>
      <c r="AD486" s="486"/>
      <c r="AE486" s="486"/>
      <c r="AF486" s="754"/>
      <c r="AG486" s="486"/>
      <c r="AH486" s="486"/>
      <c r="AI486" s="486"/>
      <c r="AJ486" s="486"/>
      <c r="AK486" s="486"/>
      <c r="AL486" s="503"/>
      <c r="AM486" s="486"/>
      <c r="AN486" s="486"/>
      <c r="AO486" s="486"/>
      <c r="AP486" s="485"/>
      <c r="AQ486" s="485"/>
      <c r="AR486" s="485"/>
      <c r="AS486" s="485"/>
      <c r="AT486" s="485"/>
      <c r="AU486" s="485"/>
      <c r="AV486" s="485"/>
      <c r="AW486" s="485"/>
      <c r="AX486" s="485"/>
      <c r="AY486" s="485"/>
      <c r="AZ486" s="485"/>
      <c r="BA486" s="485"/>
      <c r="BB486" s="485"/>
      <c r="BC486" s="485"/>
      <c r="BD486" s="485"/>
      <c r="BE486" s="485"/>
      <c r="BF486" s="485"/>
      <c r="BG486" s="485"/>
      <c r="BH486" s="485"/>
      <c r="BI486" s="485"/>
      <c r="BJ486" s="485"/>
    </row>
    <row r="487" spans="1:62" ht="19.5" customHeight="1" thickBot="1">
      <c r="A487" s="782" t="s">
        <v>469</v>
      </c>
      <c r="B487" s="482"/>
      <c r="C487" s="649" t="s">
        <v>227</v>
      </c>
      <c r="D487" s="485"/>
      <c r="E487" s="485"/>
      <c r="F487" s="485"/>
      <c r="G487" s="485"/>
      <c r="H487" s="485"/>
      <c r="I487" s="485"/>
      <c r="J487" s="485"/>
      <c r="K487" s="485"/>
      <c r="L487" s="485"/>
      <c r="M487" s="485"/>
      <c r="N487" s="485"/>
      <c r="O487" s="485"/>
      <c r="P487" s="485"/>
      <c r="Q487" s="485"/>
      <c r="R487" s="485"/>
      <c r="S487" s="485"/>
      <c r="T487" s="485"/>
      <c r="U487" s="485"/>
      <c r="V487" s="477"/>
      <c r="W487" s="477"/>
      <c r="X487" s="477"/>
      <c r="Y487" s="477"/>
      <c r="Z487" s="503"/>
      <c r="AA487" s="486"/>
      <c r="AB487" s="486"/>
      <c r="AC487" s="503"/>
      <c r="AD487" s="486"/>
      <c r="AE487" s="486"/>
      <c r="AF487" s="754"/>
      <c r="AG487" s="486"/>
      <c r="AH487" s="486"/>
      <c r="AI487" s="486"/>
      <c r="AJ487" s="486"/>
      <c r="AK487" s="486"/>
      <c r="AL487" s="503"/>
      <c r="AM487" s="486"/>
      <c r="AN487" s="486"/>
      <c r="AO487" s="486"/>
      <c r="AP487" s="485"/>
      <c r="AQ487" s="485"/>
      <c r="AR487" s="485"/>
      <c r="AS487" s="485"/>
      <c r="AT487" s="485"/>
      <c r="AU487" s="485"/>
      <c r="AV487" s="485"/>
      <c r="AW487" s="485"/>
      <c r="AX487" s="485"/>
      <c r="AY487" s="485"/>
      <c r="AZ487" s="485"/>
      <c r="BA487" s="485"/>
      <c r="BB487" s="485"/>
      <c r="BC487" s="485"/>
      <c r="BD487" s="485"/>
      <c r="BE487" s="485"/>
      <c r="BF487" s="485"/>
      <c r="BG487" s="485"/>
      <c r="BH487" s="485"/>
      <c r="BI487" s="485"/>
      <c r="BJ487" s="485"/>
    </row>
    <row r="488" spans="1:62" ht="19.5" customHeight="1" thickTop="1" thickBot="1">
      <c r="A488" s="782" t="s">
        <v>469</v>
      </c>
      <c r="B488" s="482"/>
      <c r="C488" s="649" t="s">
        <v>227</v>
      </c>
      <c r="D488" s="485"/>
      <c r="E488" s="485"/>
      <c r="F488" s="485"/>
      <c r="G488" s="485"/>
      <c r="H488" s="485"/>
      <c r="I488" s="485"/>
      <c r="J488" s="485"/>
      <c r="K488" s="485"/>
      <c r="L488" s="485"/>
      <c r="M488" s="485"/>
      <c r="N488" s="485"/>
      <c r="O488" s="485"/>
      <c r="P488" s="485"/>
      <c r="Q488" s="485"/>
      <c r="R488" s="485"/>
      <c r="S488" s="485"/>
      <c r="T488" s="485"/>
      <c r="U488" s="485"/>
      <c r="V488" s="743" t="s">
        <v>215</v>
      </c>
      <c r="W488" s="744"/>
      <c r="X488" s="745" t="s">
        <v>185</v>
      </c>
      <c r="Y488" s="746">
        <v>4.6682253849842495E-2</v>
      </c>
      <c r="Z488" s="748">
        <v>296326.97682398721</v>
      </c>
      <c r="AA488" s="745"/>
      <c r="AB488" s="746"/>
      <c r="AC488" s="747"/>
      <c r="AD488" s="745" t="s">
        <v>185</v>
      </c>
      <c r="AE488" s="746">
        <v>4.2329726427816378E-2</v>
      </c>
      <c r="AF488" s="748">
        <v>197966.15000000005</v>
      </c>
      <c r="AG488" s="749"/>
      <c r="AH488" s="749">
        <v>-98360.826823987154</v>
      </c>
      <c r="AI488" s="750">
        <v>-0.33193341989383462</v>
      </c>
      <c r="AJ488" s="745" t="s">
        <v>185</v>
      </c>
      <c r="AK488" s="746">
        <v>1.5766299683543934E-2</v>
      </c>
      <c r="AL488" s="748">
        <v>63121.199999999531</v>
      </c>
      <c r="AM488" s="752"/>
      <c r="AN488" s="748">
        <v>134844.95000000054</v>
      </c>
      <c r="AO488" s="770">
        <v>2.1362862239628133</v>
      </c>
      <c r="AP488" s="485"/>
      <c r="AQ488" s="485"/>
      <c r="AR488" s="485"/>
      <c r="AS488" s="485"/>
      <c r="AT488" s="485"/>
      <c r="AU488" s="485"/>
      <c r="AV488" s="485"/>
      <c r="AW488" s="485"/>
      <c r="AX488" s="485"/>
      <c r="AY488" s="485"/>
      <c r="AZ488" s="485"/>
      <c r="BA488" s="485"/>
      <c r="BB488" s="485"/>
      <c r="BC488" s="485"/>
      <c r="BD488" s="485"/>
      <c r="BE488" s="485"/>
      <c r="BF488" s="485"/>
      <c r="BG488" s="485"/>
      <c r="BH488" s="485"/>
      <c r="BI488" s="485"/>
      <c r="BJ488" s="485"/>
    </row>
    <row r="489" spans="1:62" ht="19.5" thickTop="1" thickBot="1">
      <c r="A489" s="782" t="s">
        <v>184</v>
      </c>
      <c r="B489" s="482"/>
      <c r="C489" s="649" t="s">
        <v>227</v>
      </c>
      <c r="D489" s="485"/>
      <c r="E489" s="485"/>
      <c r="F489" s="485"/>
      <c r="G489" s="485"/>
      <c r="H489" s="485"/>
      <c r="I489" s="485"/>
      <c r="J489" s="485"/>
      <c r="K489" s="485"/>
      <c r="L489" s="485"/>
      <c r="M489" s="485"/>
      <c r="N489" s="485"/>
      <c r="O489" s="485"/>
      <c r="P489" s="485"/>
      <c r="Q489" s="485"/>
      <c r="R489" s="485"/>
      <c r="S489" s="485"/>
      <c r="T489" s="485"/>
      <c r="U489" s="485"/>
      <c r="V489" s="743" t="s">
        <v>184</v>
      </c>
      <c r="W489" s="744"/>
      <c r="X489" s="745" t="s">
        <v>185</v>
      </c>
      <c r="Y489" s="746">
        <v>3.9442474147656191E-2</v>
      </c>
      <c r="Z489" s="747">
        <v>250370.71175329864</v>
      </c>
      <c r="AA489" s="745"/>
      <c r="AB489" s="746"/>
      <c r="AC489" s="747"/>
      <c r="AD489" s="745" t="s">
        <v>185</v>
      </c>
      <c r="AE489" s="746">
        <v>3.8441619363911411E-2</v>
      </c>
      <c r="AF489" s="747">
        <v>179782.39000000004</v>
      </c>
      <c r="AG489" s="748"/>
      <c r="AH489" s="749">
        <v>-70588.321753298602</v>
      </c>
      <c r="AI489" s="750">
        <v>-0.28193522021398576</v>
      </c>
      <c r="AJ489" s="745" t="s">
        <v>185</v>
      </c>
      <c r="AK489" s="746">
        <v>3.9738762376396314E-3</v>
      </c>
      <c r="AL489" s="760">
        <v>15909.61999999953</v>
      </c>
      <c r="AM489" s="761"/>
      <c r="AN489" s="762">
        <v>163872.77000000051</v>
      </c>
      <c r="AO489" s="763">
        <v>10.300231558013664</v>
      </c>
      <c r="AP489" s="485"/>
      <c r="AQ489" s="485"/>
      <c r="AR489" s="485"/>
      <c r="AS489" s="485"/>
      <c r="AT489" s="485"/>
      <c r="AU489" s="485"/>
      <c r="AV489" s="485"/>
      <c r="AW489" s="485"/>
      <c r="AX489" s="485"/>
      <c r="AY489" s="485"/>
      <c r="AZ489" s="485"/>
      <c r="BA489" s="485"/>
      <c r="BB489" s="485"/>
      <c r="BC489" s="485"/>
      <c r="BD489" s="485"/>
      <c r="BE489" s="485"/>
      <c r="BF489" s="485"/>
      <c r="BG489" s="485"/>
      <c r="BH489" s="485"/>
      <c r="BI489" s="485"/>
      <c r="BJ489" s="485"/>
    </row>
    <row r="490" spans="1:62" ht="15.75" customHeight="1" thickTop="1">
      <c r="A490" s="782" t="s">
        <v>469</v>
      </c>
      <c r="B490" s="482"/>
      <c r="C490" s="649" t="s">
        <v>227</v>
      </c>
      <c r="D490" s="485"/>
      <c r="E490" s="485"/>
      <c r="F490" s="596"/>
      <c r="G490" s="485"/>
      <c r="H490" s="485"/>
      <c r="I490" s="596"/>
      <c r="J490" s="485"/>
      <c r="K490" s="485"/>
      <c r="L490" s="485"/>
      <c r="M490" s="596"/>
      <c r="N490" s="485"/>
      <c r="O490" s="485"/>
      <c r="P490" s="485"/>
      <c r="Q490" s="596"/>
      <c r="R490" s="596"/>
      <c r="S490" s="596"/>
      <c r="T490" s="771"/>
      <c r="U490" s="771"/>
      <c r="V490" s="764"/>
      <c r="W490" s="485"/>
      <c r="X490" s="485"/>
      <c r="Y490" s="485"/>
      <c r="Z490" s="765"/>
      <c r="AA490" s="485"/>
      <c r="AB490" s="485"/>
      <c r="AC490" s="766"/>
      <c r="AD490" s="485"/>
      <c r="AE490" s="485"/>
      <c r="AF490" s="766"/>
      <c r="AG490" s="485"/>
      <c r="AH490" s="485"/>
      <c r="AI490" s="766"/>
      <c r="AJ490" s="485"/>
      <c r="AK490" s="485"/>
      <c r="AL490" s="767"/>
      <c r="AM490" s="768"/>
      <c r="AN490" s="485"/>
      <c r="AO490" s="769"/>
      <c r="AP490" s="485"/>
      <c r="AQ490" s="485"/>
      <c r="AR490" s="485"/>
      <c r="AS490" s="485"/>
      <c r="AT490" s="485"/>
      <c r="AU490" s="485"/>
      <c r="AV490" s="485"/>
      <c r="AW490" s="485"/>
      <c r="AX490" s="485"/>
      <c r="AY490" s="485"/>
      <c r="AZ490" s="485"/>
      <c r="BA490" s="485"/>
      <c r="BB490" s="485"/>
      <c r="BC490" s="485"/>
      <c r="BD490" s="485"/>
      <c r="BE490" s="485"/>
      <c r="BF490" s="485"/>
      <c r="BG490" s="485"/>
      <c r="BH490" s="485"/>
      <c r="BI490" s="485"/>
      <c r="BJ490" s="485"/>
    </row>
    <row r="491" spans="1:62" ht="15.75" customHeight="1">
      <c r="A491" s="782" t="s">
        <v>187</v>
      </c>
      <c r="B491" s="482"/>
      <c r="C491" s="649" t="s">
        <v>227</v>
      </c>
      <c r="D491" s="485"/>
      <c r="E491" s="485"/>
      <c r="F491" s="485"/>
      <c r="G491" s="485"/>
      <c r="H491" s="485"/>
      <c r="I491" s="485"/>
      <c r="J491" s="485"/>
      <c r="K491" s="485"/>
      <c r="L491" s="485"/>
      <c r="M491" s="485"/>
      <c r="N491" s="485"/>
      <c r="O491" s="485"/>
      <c r="P491" s="485"/>
      <c r="Q491" s="485"/>
      <c r="R491" s="485"/>
      <c r="S491" s="485"/>
      <c r="T491" s="485"/>
      <c r="U491" s="485"/>
      <c r="V491" s="556" t="s">
        <v>187</v>
      </c>
      <c r="W491" s="680"/>
      <c r="X491" s="542"/>
      <c r="Y491" s="681"/>
      <c r="Z491" s="674">
        <v>42648</v>
      </c>
      <c r="AA491" s="542"/>
      <c r="AB491" s="681"/>
      <c r="AC491" s="674"/>
      <c r="AD491" s="542"/>
      <c r="AE491" s="681"/>
      <c r="AF491" s="674">
        <v>42648</v>
      </c>
      <c r="AG491" s="542"/>
      <c r="AH491" s="676">
        <v>0</v>
      </c>
      <c r="AI491" s="708">
        <v>0</v>
      </c>
      <c r="AJ491" s="542"/>
      <c r="AK491" s="542"/>
      <c r="AL491" s="674">
        <v>6315</v>
      </c>
      <c r="AM491" s="678"/>
      <c r="AN491" s="676">
        <v>36333</v>
      </c>
      <c r="AO491" s="682">
        <v>5.7534441805225649</v>
      </c>
      <c r="AP491" s="485"/>
      <c r="AQ491" s="485"/>
      <c r="AR491" s="485"/>
      <c r="AS491" s="485"/>
      <c r="AT491" s="485"/>
      <c r="AU491" s="485"/>
      <c r="AV491" s="485"/>
      <c r="AW491" s="485"/>
      <c r="AX491" s="485"/>
      <c r="AY491" s="485"/>
      <c r="AZ491" s="485"/>
      <c r="BA491" s="485"/>
      <c r="BB491" s="485"/>
      <c r="BC491" s="485"/>
      <c r="BD491" s="485"/>
      <c r="BE491" s="485"/>
      <c r="BF491" s="485"/>
      <c r="BG491" s="485"/>
      <c r="BH491" s="485"/>
      <c r="BI491" s="485"/>
      <c r="BJ491" s="485"/>
    </row>
    <row r="492" spans="1:62" ht="15.75" customHeight="1">
      <c r="A492" s="782" t="s">
        <v>188</v>
      </c>
      <c r="B492" s="482"/>
      <c r="C492" s="649" t="s">
        <v>227</v>
      </c>
      <c r="D492" s="485"/>
      <c r="E492" s="485"/>
      <c r="F492" s="596"/>
      <c r="G492" s="485"/>
      <c r="H492" s="485"/>
      <c r="I492" s="596"/>
      <c r="J492" s="485"/>
      <c r="K492" s="485"/>
      <c r="L492" s="485"/>
      <c r="M492" s="596"/>
      <c r="N492" s="485"/>
      <c r="O492" s="485"/>
      <c r="P492" s="485"/>
      <c r="Q492" s="596"/>
      <c r="R492" s="596"/>
      <c r="S492" s="596"/>
      <c r="T492" s="485"/>
      <c r="U492" s="485"/>
      <c r="V492" s="556" t="s">
        <v>188</v>
      </c>
      <c r="W492" s="485"/>
      <c r="X492" s="485"/>
      <c r="Y492" s="485"/>
      <c r="Z492" s="674">
        <v>0</v>
      </c>
      <c r="AA492" s="485"/>
      <c r="AB492" s="485"/>
      <c r="AC492" s="674"/>
      <c r="AD492" s="485"/>
      <c r="AE492" s="486"/>
      <c r="AF492" s="674">
        <v>0</v>
      </c>
      <c r="AG492" s="485"/>
      <c r="AH492" s="676">
        <v>0</v>
      </c>
      <c r="AI492" s="708">
        <v>0</v>
      </c>
      <c r="AJ492" s="485"/>
      <c r="AK492" s="485"/>
      <c r="AL492" s="674">
        <v>0</v>
      </c>
      <c r="AM492" s="768"/>
      <c r="AN492" s="676">
        <v>0</v>
      </c>
      <c r="AO492" s="682">
        <v>0</v>
      </c>
      <c r="AP492" s="485"/>
      <c r="AQ492" s="485"/>
      <c r="AR492" s="485"/>
      <c r="AS492" s="485"/>
      <c r="AT492" s="485"/>
      <c r="AU492" s="485"/>
      <c r="AV492" s="485"/>
      <c r="AW492" s="485"/>
      <c r="AX492" s="485"/>
      <c r="AY492" s="485"/>
      <c r="AZ492" s="485"/>
      <c r="BA492" s="485"/>
      <c r="BB492" s="485"/>
      <c r="BC492" s="485"/>
      <c r="BD492" s="485"/>
      <c r="BE492" s="485"/>
      <c r="BF492" s="485"/>
      <c r="BG492" s="485"/>
      <c r="BH492" s="485"/>
      <c r="BI492" s="485"/>
      <c r="BJ492" s="485"/>
    </row>
    <row r="493" spans="1:62" ht="15.75" customHeight="1">
      <c r="A493" s="782" t="s">
        <v>189</v>
      </c>
      <c r="B493" s="482"/>
      <c r="C493" s="649" t="s">
        <v>227</v>
      </c>
      <c r="D493" s="485"/>
      <c r="E493" s="485"/>
      <c r="F493" s="596"/>
      <c r="G493" s="485"/>
      <c r="H493" s="485"/>
      <c r="I493" s="596"/>
      <c r="J493" s="485"/>
      <c r="K493" s="485"/>
      <c r="L493" s="485"/>
      <c r="M493" s="596"/>
      <c r="N493" s="485"/>
      <c r="O493" s="485"/>
      <c r="P493" s="485"/>
      <c r="Q493" s="596"/>
      <c r="R493" s="596"/>
      <c r="S493" s="596"/>
      <c r="T493" s="485"/>
      <c r="U493" s="485"/>
      <c r="V493" s="556" t="s">
        <v>189</v>
      </c>
      <c r="W493" s="486"/>
      <c r="X493" s="486"/>
      <c r="Y493" s="486"/>
      <c r="Z493" s="674">
        <v>0</v>
      </c>
      <c r="AA493" s="485"/>
      <c r="AB493" s="485"/>
      <c r="AC493" s="674"/>
      <c r="AD493" s="485"/>
      <c r="AE493" s="486"/>
      <c r="AF493" s="674">
        <v>0</v>
      </c>
      <c r="AG493" s="485"/>
      <c r="AH493" s="676">
        <v>0</v>
      </c>
      <c r="AI493" s="708">
        <v>0</v>
      </c>
      <c r="AJ493" s="485"/>
      <c r="AK493" s="485"/>
      <c r="AL493" s="674">
        <v>0</v>
      </c>
      <c r="AM493" s="768"/>
      <c r="AN493" s="676">
        <v>0</v>
      </c>
      <c r="AO493" s="682">
        <v>0</v>
      </c>
      <c r="AP493" s="485"/>
      <c r="AQ493" s="485"/>
      <c r="AR493" s="485"/>
      <c r="AS493" s="485"/>
      <c r="AT493" s="485"/>
      <c r="AU493" s="485"/>
      <c r="AV493" s="485"/>
      <c r="AW493" s="485"/>
      <c r="AX493" s="485"/>
      <c r="AY493" s="485"/>
      <c r="AZ493" s="485"/>
      <c r="BA493" s="485"/>
      <c r="BB493" s="485"/>
      <c r="BC493" s="485"/>
      <c r="BD493" s="485"/>
      <c r="BE493" s="485"/>
      <c r="BF493" s="485"/>
      <c r="BG493" s="485"/>
      <c r="BH493" s="485"/>
      <c r="BI493" s="485"/>
      <c r="BJ493" s="485"/>
    </row>
    <row r="494" spans="1:62" ht="15.75" customHeight="1">
      <c r="A494" s="782" t="s">
        <v>190</v>
      </c>
      <c r="B494" s="482"/>
      <c r="C494" s="649" t="s">
        <v>227</v>
      </c>
      <c r="D494" s="485"/>
      <c r="E494" s="485"/>
      <c r="F494" s="596"/>
      <c r="G494" s="485"/>
      <c r="H494" s="485"/>
      <c r="I494" s="596"/>
      <c r="J494" s="485"/>
      <c r="K494" s="485"/>
      <c r="L494" s="485"/>
      <c r="M494" s="596"/>
      <c r="N494" s="485"/>
      <c r="O494" s="485"/>
      <c r="P494" s="485"/>
      <c r="Q494" s="596"/>
      <c r="R494" s="596"/>
      <c r="S494" s="596"/>
      <c r="T494" s="485"/>
      <c r="U494" s="485"/>
      <c r="V494" s="556" t="s">
        <v>190</v>
      </c>
      <c r="W494" s="486"/>
      <c r="X494" s="486"/>
      <c r="Y494" s="486"/>
      <c r="Z494" s="674">
        <v>0</v>
      </c>
      <c r="AA494" s="485"/>
      <c r="AB494" s="485"/>
      <c r="AC494" s="674"/>
      <c r="AD494" s="485"/>
      <c r="AE494" s="486"/>
      <c r="AF494" s="674">
        <v>0</v>
      </c>
      <c r="AG494" s="485"/>
      <c r="AH494" s="676">
        <v>0</v>
      </c>
      <c r="AI494" s="708">
        <v>0</v>
      </c>
      <c r="AJ494" s="485"/>
      <c r="AK494" s="485"/>
      <c r="AL494" s="674">
        <v>0</v>
      </c>
      <c r="AM494" s="768"/>
      <c r="AN494" s="676">
        <v>0</v>
      </c>
      <c r="AO494" s="682">
        <v>0</v>
      </c>
      <c r="AP494" s="485"/>
      <c r="AQ494" s="485"/>
      <c r="AR494" s="485"/>
      <c r="AS494" s="485"/>
      <c r="AT494" s="485"/>
      <c r="AU494" s="485"/>
      <c r="AV494" s="485"/>
      <c r="AW494" s="485"/>
      <c r="AX494" s="485"/>
      <c r="AY494" s="485"/>
      <c r="AZ494" s="485"/>
      <c r="BA494" s="485"/>
      <c r="BB494" s="485"/>
      <c r="BC494" s="485"/>
      <c r="BD494" s="485"/>
      <c r="BE494" s="485"/>
      <c r="BF494" s="485"/>
      <c r="BG494" s="485"/>
      <c r="BH494" s="485"/>
      <c r="BI494" s="485"/>
      <c r="BJ494" s="485"/>
    </row>
    <row r="495" spans="1:62" ht="15.75" customHeight="1">
      <c r="A495" s="782" t="s">
        <v>20</v>
      </c>
      <c r="B495" s="482"/>
      <c r="C495" s="649" t="s">
        <v>227</v>
      </c>
      <c r="D495" s="485"/>
      <c r="E495" s="485"/>
      <c r="F495" s="596"/>
      <c r="G495" s="485"/>
      <c r="H495" s="485"/>
      <c r="I495" s="596"/>
      <c r="J495" s="485"/>
      <c r="K495" s="485"/>
      <c r="L495" s="485"/>
      <c r="M495" s="596"/>
      <c r="N495" s="485"/>
      <c r="O495" s="485"/>
      <c r="P495" s="485"/>
      <c r="Q495" s="596"/>
      <c r="R495" s="596"/>
      <c r="S495" s="596"/>
      <c r="T495" s="485"/>
      <c r="U495" s="485"/>
      <c r="V495" s="556" t="s">
        <v>20</v>
      </c>
      <c r="W495" s="486"/>
      <c r="X495" s="486"/>
      <c r="Y495" s="486"/>
      <c r="Z495" s="674">
        <v>0</v>
      </c>
      <c r="AA495" s="542"/>
      <c r="AB495" s="542"/>
      <c r="AC495" s="674"/>
      <c r="AD495" s="686"/>
      <c r="AE495" s="681"/>
      <c r="AF495" s="674">
        <v>0</v>
      </c>
      <c r="AG495" s="675"/>
      <c r="AH495" s="676">
        <v>0</v>
      </c>
      <c r="AI495" s="586">
        <v>0</v>
      </c>
      <c r="AJ495" s="686"/>
      <c r="AK495" s="542"/>
      <c r="AL495" s="854">
        <v>0</v>
      </c>
      <c r="AM495" s="768"/>
      <c r="AN495" s="676">
        <v>0</v>
      </c>
      <c r="AO495" s="682">
        <v>0</v>
      </c>
      <c r="AP495" s="485"/>
      <c r="AQ495" s="485"/>
      <c r="AR495" s="485"/>
      <c r="AS495" s="485"/>
      <c r="AT495" s="485"/>
      <c r="AU495" s="485"/>
      <c r="AV495" s="485"/>
      <c r="AW495" s="485"/>
      <c r="AX495" s="485"/>
      <c r="AY495" s="485"/>
      <c r="AZ495" s="485"/>
      <c r="BA495" s="485"/>
      <c r="BB495" s="485"/>
      <c r="BC495" s="485"/>
      <c r="BD495" s="485"/>
      <c r="BE495" s="485"/>
      <c r="BF495" s="485"/>
      <c r="BG495" s="485"/>
      <c r="BH495" s="485"/>
      <c r="BI495" s="485"/>
      <c r="BJ495" s="485"/>
    </row>
    <row r="496" spans="1:62" ht="15.75" customHeight="1">
      <c r="A496" s="556" t="s">
        <v>470</v>
      </c>
      <c r="B496" s="482"/>
      <c r="C496" s="649" t="s">
        <v>227</v>
      </c>
      <c r="D496" s="485"/>
      <c r="E496" s="485"/>
      <c r="F496" s="596"/>
      <c r="G496" s="485"/>
      <c r="H496" s="485"/>
      <c r="I496" s="596"/>
      <c r="J496" s="485"/>
      <c r="K496" s="485"/>
      <c r="L496" s="485"/>
      <c r="M496" s="596"/>
      <c r="N496" s="485"/>
      <c r="O496" s="485"/>
      <c r="P496" s="485"/>
      <c r="Q496" s="596"/>
      <c r="R496" s="596"/>
      <c r="S496" s="596"/>
      <c r="T496" s="485"/>
      <c r="U496" s="485"/>
      <c r="V496" s="556" t="s">
        <v>470</v>
      </c>
      <c r="W496" s="486"/>
      <c r="X496" s="486"/>
      <c r="Y496" s="486"/>
      <c r="Z496" s="674">
        <v>-1079.1666666666667</v>
      </c>
      <c r="AA496" s="542"/>
      <c r="AB496" s="542"/>
      <c r="AC496" s="674"/>
      <c r="AD496" s="686"/>
      <c r="AE496" s="681"/>
      <c r="AF496" s="674">
        <v>-1079</v>
      </c>
      <c r="AG496" s="675"/>
      <c r="AH496" s="676">
        <v>0.16666666666674246</v>
      </c>
      <c r="AI496" s="586">
        <v>-1.5444015444022465E-4</v>
      </c>
      <c r="AJ496" s="686"/>
      <c r="AK496" s="542"/>
      <c r="AL496" s="674">
        <v>-4255.74</v>
      </c>
      <c r="AM496" s="768"/>
      <c r="AN496" s="676">
        <v>3176.74</v>
      </c>
      <c r="AO496" s="682">
        <v>-0.74646007509857271</v>
      </c>
      <c r="AP496" s="485"/>
      <c r="AQ496" s="485"/>
      <c r="AR496" s="485"/>
      <c r="AS496" s="485"/>
      <c r="AT496" s="485"/>
      <c r="AU496" s="485"/>
      <c r="AV496" s="485"/>
      <c r="AW496" s="485"/>
      <c r="AX496" s="485"/>
      <c r="AY496" s="485"/>
      <c r="AZ496" s="485"/>
      <c r="BA496" s="485"/>
      <c r="BB496" s="485"/>
      <c r="BC496" s="485"/>
      <c r="BD496" s="485"/>
      <c r="BE496" s="485"/>
      <c r="BF496" s="485"/>
      <c r="BG496" s="485"/>
      <c r="BH496" s="485"/>
      <c r="BI496" s="485"/>
      <c r="BJ496" s="485"/>
    </row>
    <row r="497" spans="1:62" ht="15.75" customHeight="1" thickBot="1">
      <c r="A497" s="782" t="s">
        <v>20</v>
      </c>
      <c r="B497" s="482"/>
      <c r="C497" s="649" t="s">
        <v>227</v>
      </c>
      <c r="D497" s="485"/>
      <c r="E497" s="485"/>
      <c r="F497" s="596"/>
      <c r="G497" s="485"/>
      <c r="H497" s="485"/>
      <c r="I497" s="596"/>
      <c r="J497" s="485"/>
      <c r="K497" s="485"/>
      <c r="L497" s="485"/>
      <c r="M497" s="596"/>
      <c r="N497" s="485"/>
      <c r="O497" s="485"/>
      <c r="P497" s="485"/>
      <c r="Q497" s="596"/>
      <c r="R497" s="596"/>
      <c r="S497" s="596"/>
      <c r="T497" s="485"/>
      <c r="U497" s="485"/>
      <c r="V497" s="556" t="s">
        <v>20</v>
      </c>
      <c r="W497" s="486"/>
      <c r="X497" s="485"/>
      <c r="Y497" s="486"/>
      <c r="Z497" s="674">
        <v>0</v>
      </c>
      <c r="AA497" s="542"/>
      <c r="AB497" s="542"/>
      <c r="AC497" s="674"/>
      <c r="AD497" s="686"/>
      <c r="AE497" s="681"/>
      <c r="AF497" s="674">
        <v>0</v>
      </c>
      <c r="AG497" s="675"/>
      <c r="AH497" s="676">
        <v>0</v>
      </c>
      <c r="AI497" s="586">
        <v>0</v>
      </c>
      <c r="AJ497" s="686"/>
      <c r="AK497" s="542"/>
      <c r="AL497" s="674">
        <v>0</v>
      </c>
      <c r="AM497" s="768"/>
      <c r="AN497" s="676">
        <v>0</v>
      </c>
      <c r="AO497" s="682">
        <v>0</v>
      </c>
      <c r="AP497" s="485"/>
      <c r="AQ497" s="485"/>
      <c r="AR497" s="485"/>
      <c r="AS497" s="485"/>
      <c r="AT497" s="485"/>
      <c r="AU497" s="485"/>
      <c r="AV497" s="485"/>
      <c r="AW497" s="485"/>
      <c r="AX497" s="485"/>
      <c r="AY497" s="485"/>
      <c r="AZ497" s="485"/>
      <c r="BA497" s="485"/>
      <c r="BB497" s="485"/>
      <c r="BC497" s="485"/>
      <c r="BD497" s="485"/>
      <c r="BE497" s="485"/>
      <c r="BF497" s="485"/>
      <c r="BG497" s="485"/>
      <c r="BH497" s="485"/>
      <c r="BI497" s="485"/>
      <c r="BJ497" s="485"/>
    </row>
    <row r="498" spans="1:62" ht="15.75" customHeight="1" thickTop="1" thickBot="1">
      <c r="A498" s="782" t="s">
        <v>191</v>
      </c>
      <c r="B498" s="482"/>
      <c r="C498" s="649" t="s">
        <v>227</v>
      </c>
      <c r="D498" s="485"/>
      <c r="E498" s="485"/>
      <c r="F498" s="596"/>
      <c r="G498" s="485"/>
      <c r="H498" s="485"/>
      <c r="I498" s="596"/>
      <c r="J498" s="485"/>
      <c r="K498" s="485"/>
      <c r="L498" s="485"/>
      <c r="M498" s="596"/>
      <c r="N498" s="485"/>
      <c r="O498" s="485"/>
      <c r="P498" s="485"/>
      <c r="Q498" s="596"/>
      <c r="R498" s="596"/>
      <c r="S498" s="596"/>
      <c r="T498" s="485"/>
      <c r="U498" s="485"/>
      <c r="V498" s="743" t="s">
        <v>191</v>
      </c>
      <c r="W498" s="744"/>
      <c r="X498" s="745" t="s">
        <v>185</v>
      </c>
      <c r="Y498" s="746">
        <v>3.2893874183161233E-2</v>
      </c>
      <c r="Z498" s="747">
        <v>208801.8784199653</v>
      </c>
      <c r="AA498" s="745"/>
      <c r="AB498" s="746"/>
      <c r="AC498" s="747"/>
      <c r="AD498" s="745" t="s">
        <v>185</v>
      </c>
      <c r="AE498" s="746">
        <v>2.9553208906477661E-2</v>
      </c>
      <c r="AF498" s="748">
        <v>138213.39000000004</v>
      </c>
      <c r="AG498" s="749"/>
      <c r="AH498" s="749">
        <v>-70588.488419965259</v>
      </c>
      <c r="AI498" s="750">
        <v>-0.33806443195874858</v>
      </c>
      <c r="AJ498" s="751" t="s">
        <v>185</v>
      </c>
      <c r="AK498" s="746">
        <v>3.4595179826264989E-3</v>
      </c>
      <c r="AL498" s="748">
        <v>13850.359999999529</v>
      </c>
      <c r="AM498" s="752"/>
      <c r="AN498" s="748">
        <v>124363.03000000051</v>
      </c>
      <c r="AO498" s="770">
        <v>8.9790467540197323</v>
      </c>
      <c r="AP498" s="485"/>
      <c r="AQ498" s="485"/>
      <c r="AR498" s="485"/>
      <c r="AS498" s="485"/>
      <c r="AT498" s="485"/>
      <c r="AU498" s="485"/>
      <c r="AV498" s="485"/>
      <c r="AW498" s="485"/>
      <c r="AX498" s="485"/>
      <c r="AY498" s="485"/>
      <c r="AZ498" s="485"/>
      <c r="BA498" s="485"/>
      <c r="BB498" s="485"/>
      <c r="BC498" s="485"/>
      <c r="BD498" s="485"/>
      <c r="BE498" s="485"/>
      <c r="BF498" s="485"/>
      <c r="BG498" s="485"/>
      <c r="BH498" s="485"/>
      <c r="BI498" s="485"/>
      <c r="BJ498" s="485"/>
    </row>
    <row r="499" spans="1:62" ht="15.75" customHeight="1" thickTop="1">
      <c r="A499" s="782" t="s">
        <v>469</v>
      </c>
      <c r="B499" s="482"/>
      <c r="C499" s="485"/>
      <c r="D499" s="485"/>
      <c r="E499" s="485"/>
      <c r="F499" s="596"/>
      <c r="G499" s="485"/>
      <c r="H499" s="485"/>
      <c r="I499" s="596"/>
      <c r="J499" s="485"/>
      <c r="K499" s="485"/>
      <c r="L499" s="485"/>
      <c r="M499" s="596"/>
      <c r="N499" s="485"/>
      <c r="O499" s="485"/>
      <c r="P499" s="485"/>
      <c r="Q499" s="596"/>
      <c r="R499" s="596"/>
      <c r="S499" s="596"/>
      <c r="T499" s="485"/>
      <c r="U499" s="485"/>
      <c r="AP499" s="485"/>
      <c r="AQ499" s="485"/>
      <c r="AR499" s="485"/>
      <c r="AS499" s="485"/>
      <c r="AT499" s="485"/>
      <c r="AU499" s="485"/>
      <c r="AV499" s="485"/>
      <c r="AW499" s="485"/>
      <c r="AX499" s="485"/>
      <c r="AY499" s="485"/>
      <c r="AZ499" s="485"/>
      <c r="BA499" s="485"/>
      <c r="BB499" s="485"/>
      <c r="BC499" s="485"/>
      <c r="BD499" s="485"/>
      <c r="BE499" s="485"/>
      <c r="BF499" s="485"/>
      <c r="BG499" s="485"/>
      <c r="BH499" s="485"/>
      <c r="BI499" s="485"/>
      <c r="BJ499" s="485"/>
    </row>
    <row r="500" spans="1:62" ht="15.75" customHeight="1">
      <c r="B500" s="482"/>
      <c r="T500" s="485"/>
      <c r="U500" s="485"/>
      <c r="V500" s="485"/>
      <c r="W500" s="485"/>
      <c r="X500" s="485"/>
      <c r="Y500" s="485"/>
      <c r="Z500" s="596"/>
      <c r="AA500" s="485"/>
      <c r="AB500" s="485"/>
      <c r="AC500" s="596"/>
      <c r="AE500" s="706" t="s">
        <v>482</v>
      </c>
      <c r="AF500" s="706">
        <v>77167</v>
      </c>
      <c r="AG500" s="485"/>
      <c r="AH500" s="485"/>
      <c r="AI500" s="485"/>
      <c r="AJ500" s="855"/>
      <c r="AK500" s="856"/>
      <c r="AL500" s="857"/>
      <c r="AM500" s="485"/>
      <c r="AN500" s="485"/>
      <c r="AO500" s="485"/>
      <c r="AP500" s="485"/>
      <c r="AQ500" s="485"/>
      <c r="AR500" s="485"/>
      <c r="AS500" s="485"/>
      <c r="AT500" s="485"/>
      <c r="AU500" s="485"/>
      <c r="AV500" s="485"/>
      <c r="AW500" s="485"/>
      <c r="AX500" s="485"/>
      <c r="AY500" s="485"/>
      <c r="AZ500" s="485"/>
      <c r="BA500" s="485"/>
      <c r="BB500" s="485"/>
      <c r="BC500" s="485"/>
      <c r="BD500" s="485"/>
      <c r="BE500" s="485"/>
      <c r="BF500" s="485"/>
      <c r="BG500" s="485"/>
      <c r="BH500" s="485"/>
      <c r="BI500" s="485"/>
      <c r="BJ500" s="485"/>
    </row>
    <row r="501" spans="1:62" ht="15.75" customHeight="1">
      <c r="B501" s="482"/>
      <c r="C501" s="485"/>
      <c r="S501" s="596"/>
      <c r="W501" s="485"/>
      <c r="X501" s="485"/>
      <c r="Y501" s="485"/>
      <c r="Z501" s="596"/>
      <c r="AA501" s="485"/>
      <c r="AB501" s="485"/>
      <c r="AC501" s="596"/>
      <c r="AD501" s="485"/>
      <c r="AE501" s="485"/>
      <c r="AF501" s="706"/>
      <c r="AG501" s="485"/>
      <c r="AH501" s="485"/>
      <c r="AI501" s="485"/>
      <c r="AJ501" s="485"/>
      <c r="AL501" s="857"/>
      <c r="AM501" s="485"/>
      <c r="AN501" s="485"/>
      <c r="AO501" s="485"/>
      <c r="AP501" s="485"/>
      <c r="AQ501" s="485"/>
      <c r="AR501" s="485"/>
      <c r="AS501" s="485"/>
      <c r="AT501" s="485"/>
      <c r="AU501" s="485"/>
      <c r="AV501" s="485"/>
      <c r="AW501" s="485"/>
      <c r="AX501" s="485"/>
      <c r="AY501" s="485"/>
      <c r="AZ501" s="485"/>
      <c r="BA501" s="485"/>
      <c r="BB501" s="485"/>
      <c r="BC501" s="485"/>
      <c r="BD501" s="485"/>
      <c r="BE501" s="485"/>
      <c r="BF501" s="485"/>
      <c r="BG501" s="485"/>
      <c r="BH501" s="485"/>
      <c r="BI501" s="485"/>
      <c r="BJ501" s="485"/>
    </row>
    <row r="502" spans="1:62" ht="15.75" customHeight="1">
      <c r="B502" s="482"/>
      <c r="C502" s="542"/>
      <c r="W502" s="485"/>
      <c r="X502" s="485"/>
      <c r="Y502" s="485"/>
      <c r="AE502" s="485"/>
      <c r="AF502" s="596"/>
      <c r="AG502" s="485"/>
      <c r="AH502" s="485"/>
      <c r="AM502" s="485"/>
      <c r="AN502" s="485"/>
      <c r="AO502" s="485"/>
      <c r="AP502" s="485"/>
      <c r="AQ502" s="485"/>
      <c r="AR502" s="485"/>
      <c r="AS502" s="485"/>
      <c r="AT502" s="485"/>
      <c r="AU502" s="485"/>
      <c r="AV502" s="485"/>
      <c r="AW502" s="485"/>
      <c r="AX502" s="485"/>
      <c r="AY502" s="485"/>
      <c r="AZ502" s="485"/>
      <c r="BA502" s="485"/>
      <c r="BB502" s="485"/>
      <c r="BC502" s="485"/>
      <c r="BD502" s="485"/>
      <c r="BE502" s="485"/>
      <c r="BF502" s="485"/>
      <c r="BG502" s="485"/>
      <c r="BH502" s="485"/>
      <c r="BI502" s="485"/>
      <c r="BJ502" s="485"/>
    </row>
    <row r="503" spans="1:62" ht="15.75" customHeight="1">
      <c r="B503" s="482"/>
      <c r="C503" s="542"/>
      <c r="W503" s="485"/>
      <c r="X503" s="485"/>
      <c r="Y503" s="485"/>
      <c r="Z503" s="485"/>
      <c r="AA503" s="485"/>
      <c r="AB503" s="485"/>
      <c r="AC503" s="485"/>
      <c r="AD503" s="485"/>
      <c r="AE503" s="485"/>
      <c r="AF503" s="596"/>
      <c r="AG503" s="485"/>
      <c r="AH503" s="485"/>
      <c r="AI503" s="485"/>
      <c r="AJ503" s="858"/>
      <c r="AK503" s="856"/>
      <c r="AL503" s="857"/>
      <c r="AM503" s="485"/>
      <c r="AN503" s="485"/>
      <c r="AO503" s="485"/>
      <c r="AP503" s="485"/>
      <c r="AQ503" s="485"/>
      <c r="AR503" s="485"/>
      <c r="AS503" s="485"/>
      <c r="AT503" s="485"/>
      <c r="AU503" s="485"/>
      <c r="AV503" s="485"/>
      <c r="AW503" s="485"/>
      <c r="AX503" s="485"/>
      <c r="AY503" s="485"/>
      <c r="AZ503" s="485"/>
      <c r="BA503" s="485"/>
      <c r="BB503" s="485"/>
      <c r="BC503" s="485"/>
      <c r="BD503" s="485"/>
      <c r="BE503" s="485"/>
      <c r="BF503" s="485"/>
      <c r="BG503" s="485"/>
      <c r="BH503" s="485"/>
      <c r="BI503" s="485"/>
      <c r="BJ503" s="485"/>
    </row>
    <row r="504" spans="1:62" ht="15.75" customHeight="1">
      <c r="B504" s="482"/>
      <c r="C504" s="542"/>
      <c r="W504" s="485"/>
      <c r="X504" s="485"/>
      <c r="Y504" s="485"/>
      <c r="Z504" s="485"/>
      <c r="AA504" s="485"/>
      <c r="AB504" s="485"/>
      <c r="AC504" s="485"/>
      <c r="AD504" s="485"/>
      <c r="AE504" s="485"/>
      <c r="AF504" s="485"/>
      <c r="AG504" s="485"/>
      <c r="AH504" s="485"/>
      <c r="AI504" s="485"/>
      <c r="AJ504" s="485"/>
      <c r="AK504" s="485"/>
      <c r="AL504" s="485"/>
      <c r="AM504" s="485"/>
      <c r="AN504" s="485"/>
      <c r="AO504" s="485"/>
      <c r="AP504" s="485"/>
      <c r="AQ504" s="485"/>
      <c r="AR504" s="485"/>
      <c r="AS504" s="485"/>
      <c r="AT504" s="485"/>
      <c r="AU504" s="485"/>
      <c r="AV504" s="485"/>
      <c r="AW504" s="485"/>
      <c r="AX504" s="485"/>
      <c r="AY504" s="485"/>
      <c r="AZ504" s="485"/>
      <c r="BA504" s="485"/>
      <c r="BB504" s="485"/>
      <c r="BC504" s="485"/>
      <c r="BD504" s="485"/>
      <c r="BE504" s="485"/>
      <c r="BF504" s="485"/>
      <c r="BG504" s="485"/>
      <c r="BH504" s="485"/>
      <c r="BI504" s="485"/>
      <c r="BJ504" s="485"/>
    </row>
    <row r="505" spans="1:62" ht="15.75" customHeight="1">
      <c r="B505" s="482"/>
      <c r="C505" s="542"/>
      <c r="W505" s="485"/>
      <c r="X505" s="485"/>
      <c r="Y505" s="485"/>
      <c r="Z505" s="485"/>
      <c r="AA505" s="485"/>
      <c r="AB505" s="485"/>
      <c r="AC505" s="485"/>
      <c r="AD505" s="485"/>
      <c r="AE505" s="485"/>
      <c r="AF505" s="485"/>
      <c r="AG505" s="485"/>
      <c r="AH505" s="485"/>
      <c r="AI505" s="485"/>
      <c r="AJ505" s="485"/>
      <c r="AK505" s="485"/>
      <c r="AL505" s="485"/>
      <c r="AM505" s="485"/>
      <c r="AN505" s="485"/>
      <c r="AO505" s="485"/>
      <c r="AP505" s="485"/>
      <c r="AQ505" s="485"/>
      <c r="AR505" s="485"/>
      <c r="AS505" s="485"/>
      <c r="AT505" s="485"/>
      <c r="AU505" s="485"/>
      <c r="AV505" s="485"/>
      <c r="AW505" s="485"/>
      <c r="AX505" s="485"/>
      <c r="AY505" s="485"/>
      <c r="AZ505" s="485"/>
      <c r="BA505" s="485"/>
      <c r="BB505" s="485"/>
      <c r="BC505" s="485"/>
      <c r="BD505" s="485"/>
      <c r="BE505" s="485"/>
      <c r="BF505" s="485"/>
      <c r="BG505" s="485"/>
      <c r="BH505" s="485"/>
      <c r="BI505" s="485"/>
      <c r="BJ505" s="485"/>
    </row>
    <row r="506" spans="1:62" ht="15.75" customHeight="1">
      <c r="B506" s="482"/>
      <c r="C506" s="542"/>
      <c r="W506" s="485"/>
      <c r="X506" s="485"/>
      <c r="Y506" s="485"/>
      <c r="Z506" s="485"/>
      <c r="AA506" s="485"/>
      <c r="AB506" s="485"/>
      <c r="AC506" s="485"/>
      <c r="AD506" s="485"/>
      <c r="AE506" s="485"/>
      <c r="AF506" s="485"/>
      <c r="AG506" s="485"/>
      <c r="AH506" s="485"/>
      <c r="AI506" s="485"/>
      <c r="AJ506" s="485"/>
      <c r="AK506" s="485"/>
      <c r="AL506" s="485"/>
      <c r="AM506" s="485"/>
      <c r="AN506" s="485"/>
      <c r="AO506" s="485"/>
      <c r="AP506" s="485"/>
      <c r="AQ506" s="485"/>
      <c r="AR506" s="485"/>
      <c r="AS506" s="485"/>
      <c r="AT506" s="485"/>
      <c r="AU506" s="485"/>
      <c r="AV506" s="485"/>
      <c r="AW506" s="485"/>
      <c r="AX506" s="485"/>
      <c r="AY506" s="485"/>
      <c r="AZ506" s="485"/>
      <c r="BA506" s="485"/>
      <c r="BB506" s="485"/>
      <c r="BC506" s="485"/>
      <c r="BD506" s="485"/>
      <c r="BE506" s="485"/>
      <c r="BF506" s="485"/>
      <c r="BG506" s="485"/>
      <c r="BH506" s="485"/>
      <c r="BI506" s="485"/>
      <c r="BJ506" s="485"/>
    </row>
    <row r="507" spans="1:62" ht="15.75" customHeight="1">
      <c r="B507" s="482"/>
      <c r="C507" s="542"/>
      <c r="W507" s="485"/>
      <c r="X507" s="485"/>
      <c r="Y507" s="485"/>
      <c r="Z507" s="485"/>
      <c r="AA507" s="485"/>
      <c r="AB507" s="485"/>
      <c r="AC507" s="485"/>
      <c r="AD507" s="485"/>
      <c r="AE507" s="485"/>
      <c r="AF507" s="485"/>
      <c r="AG507" s="485"/>
      <c r="AH507" s="485"/>
      <c r="AI507" s="485"/>
      <c r="AJ507" s="485"/>
      <c r="AK507" s="485"/>
      <c r="AL507" s="485"/>
      <c r="AM507" s="485"/>
      <c r="AN507" s="485"/>
      <c r="AO507" s="485"/>
      <c r="AP507" s="485"/>
      <c r="AQ507" s="485"/>
      <c r="AR507" s="485"/>
      <c r="AS507" s="485"/>
      <c r="AT507" s="485"/>
      <c r="AU507" s="485"/>
      <c r="AV507" s="485"/>
      <c r="AW507" s="485"/>
      <c r="AX507" s="485"/>
      <c r="AY507" s="485"/>
      <c r="AZ507" s="485"/>
      <c r="BA507" s="485"/>
      <c r="BB507" s="485"/>
      <c r="BC507" s="485"/>
      <c r="BD507" s="485"/>
      <c r="BE507" s="485"/>
      <c r="BF507" s="485"/>
      <c r="BG507" s="485"/>
      <c r="BH507" s="485"/>
      <c r="BI507" s="485"/>
      <c r="BJ507" s="485"/>
    </row>
    <row r="508" spans="1:62" ht="15.75" customHeight="1">
      <c r="B508" s="482"/>
      <c r="C508" s="542"/>
      <c r="W508" s="485"/>
      <c r="X508" s="485"/>
      <c r="Y508" s="485"/>
      <c r="Z508" s="485"/>
      <c r="AA508" s="485"/>
      <c r="AB508" s="485"/>
      <c r="AC508" s="485"/>
      <c r="AD508" s="485"/>
      <c r="AE508" s="485"/>
      <c r="AF508" s="485"/>
      <c r="AG508" s="485"/>
      <c r="AH508" s="485"/>
      <c r="AI508" s="485"/>
      <c r="AJ508" s="485"/>
      <c r="AK508" s="485"/>
      <c r="AL508" s="485"/>
      <c r="AM508" s="485"/>
      <c r="AN508" s="485"/>
      <c r="AO508" s="485"/>
      <c r="AP508" s="485"/>
      <c r="AQ508" s="485"/>
      <c r="AR508" s="485"/>
      <c r="AS508" s="485"/>
      <c r="AT508" s="485"/>
      <c r="AU508" s="485"/>
      <c r="AV508" s="485"/>
      <c r="AW508" s="485"/>
      <c r="AX508" s="485"/>
      <c r="AY508" s="485"/>
      <c r="AZ508" s="485"/>
      <c r="BA508" s="485"/>
      <c r="BB508" s="485"/>
      <c r="BC508" s="485"/>
      <c r="BD508" s="485"/>
      <c r="BE508" s="485"/>
      <c r="BF508" s="485"/>
      <c r="BG508" s="485"/>
      <c r="BH508" s="485"/>
      <c r="BI508" s="485"/>
      <c r="BJ508" s="485"/>
    </row>
    <row r="509" spans="1:62" ht="15.75" customHeight="1">
      <c r="B509" s="482"/>
      <c r="C509" s="542"/>
      <c r="W509" s="485"/>
      <c r="X509" s="485"/>
      <c r="Y509" s="485"/>
      <c r="Z509" s="485"/>
      <c r="AA509" s="485"/>
      <c r="AB509" s="485"/>
      <c r="AC509" s="485"/>
      <c r="AD509" s="485"/>
      <c r="AE509" s="485"/>
      <c r="AF509" s="485"/>
      <c r="AG509" s="485"/>
      <c r="AH509" s="485"/>
      <c r="AI509" s="485"/>
      <c r="AJ509" s="485"/>
      <c r="AK509" s="485"/>
      <c r="AL509" s="485"/>
      <c r="AM509" s="485"/>
      <c r="AN509" s="485"/>
      <c r="AO509" s="485"/>
      <c r="AP509" s="485"/>
      <c r="AQ509" s="485"/>
      <c r="AR509" s="485"/>
      <c r="AS509" s="485"/>
      <c r="AT509" s="485"/>
      <c r="AU509" s="485"/>
      <c r="AV509" s="485"/>
      <c r="AW509" s="485"/>
      <c r="AX509" s="485"/>
      <c r="AY509" s="485"/>
      <c r="AZ509" s="485"/>
      <c r="BA509" s="485"/>
      <c r="BB509" s="485"/>
      <c r="BC509" s="485"/>
      <c r="BD509" s="485"/>
      <c r="BE509" s="485"/>
      <c r="BF509" s="485"/>
      <c r="BG509" s="485"/>
      <c r="BH509" s="485"/>
      <c r="BI509" s="485"/>
      <c r="BJ509" s="485"/>
    </row>
    <row r="510" spans="1:62" ht="15.75" customHeight="1">
      <c r="B510" s="482"/>
      <c r="C510" s="542"/>
      <c r="W510" s="485"/>
      <c r="X510" s="485"/>
      <c r="Y510" s="485"/>
      <c r="Z510" s="485"/>
      <c r="AA510" s="485"/>
      <c r="AB510" s="485"/>
      <c r="AC510" s="485"/>
      <c r="AD510" s="485"/>
      <c r="AE510" s="485"/>
      <c r="AF510" s="485"/>
      <c r="AG510" s="485"/>
      <c r="AH510" s="485"/>
      <c r="AI510" s="485"/>
      <c r="AJ510" s="485"/>
      <c r="AK510" s="485"/>
      <c r="AL510" s="485"/>
      <c r="AM510" s="485"/>
      <c r="AN510" s="485"/>
      <c r="AO510" s="485"/>
      <c r="AP510" s="485"/>
      <c r="AQ510" s="485"/>
      <c r="AR510" s="485"/>
      <c r="AS510" s="485"/>
      <c r="AT510" s="485"/>
      <c r="AU510" s="485"/>
      <c r="AV510" s="485"/>
      <c r="AW510" s="485"/>
      <c r="AX510" s="485"/>
      <c r="AY510" s="485"/>
      <c r="AZ510" s="485"/>
      <c r="BA510" s="485"/>
      <c r="BB510" s="485"/>
      <c r="BC510" s="485"/>
      <c r="BD510" s="485"/>
      <c r="BE510" s="485"/>
      <c r="BF510" s="485"/>
      <c r="BG510" s="485"/>
      <c r="BH510" s="485"/>
      <c r="BI510" s="485"/>
      <c r="BJ510" s="485"/>
    </row>
    <row r="511" spans="1:62" ht="15.75" customHeight="1">
      <c r="B511" s="482"/>
      <c r="C511" s="542"/>
      <c r="W511" s="485"/>
      <c r="X511" s="485"/>
      <c r="Y511" s="485"/>
      <c r="Z511" s="485"/>
      <c r="AA511" s="485"/>
      <c r="AB511" s="485"/>
      <c r="AC511" s="485"/>
      <c r="AD511" s="485"/>
      <c r="AE511" s="485"/>
      <c r="AF511" s="706"/>
      <c r="AG511" s="485"/>
      <c r="AH511" s="485"/>
      <c r="AI511" s="485"/>
      <c r="AJ511" s="485"/>
      <c r="AK511" s="485"/>
      <c r="AL511" s="485"/>
      <c r="AM511" s="485"/>
      <c r="AN511" s="485"/>
      <c r="AO511" s="485"/>
      <c r="AP511" s="485"/>
      <c r="AQ511" s="485"/>
      <c r="AR511" s="485"/>
      <c r="AS511" s="485"/>
      <c r="AT511" s="485"/>
      <c r="AU511" s="485"/>
      <c r="AV511" s="485"/>
      <c r="AW511" s="485"/>
      <c r="AX511" s="485"/>
      <c r="AY511" s="485"/>
      <c r="AZ511" s="485"/>
      <c r="BA511" s="485"/>
      <c r="BB511" s="485"/>
      <c r="BC511" s="485"/>
      <c r="BD511" s="485"/>
      <c r="BE511" s="485"/>
      <c r="BF511" s="485"/>
      <c r="BG511" s="485"/>
      <c r="BH511" s="485"/>
      <c r="BI511" s="485"/>
      <c r="BJ511" s="485"/>
    </row>
    <row r="512" spans="1:62" ht="15.75" customHeight="1">
      <c r="B512" s="482"/>
      <c r="C512" s="542"/>
      <c r="W512" s="485"/>
      <c r="X512" s="485"/>
      <c r="Y512" s="485"/>
      <c r="Z512" s="485"/>
      <c r="AA512" s="485"/>
      <c r="AB512" s="485"/>
      <c r="AC512" s="485"/>
      <c r="AD512" s="485"/>
      <c r="AE512" s="485"/>
      <c r="AF512" s="859"/>
      <c r="AG512" s="485"/>
      <c r="AH512" s="485"/>
      <c r="AI512" s="485"/>
      <c r="AJ512" s="485"/>
      <c r="AK512" s="485"/>
      <c r="AL512" s="485"/>
      <c r="AM512" s="485"/>
      <c r="AN512" s="485"/>
      <c r="AO512" s="485"/>
      <c r="AP512" s="485"/>
      <c r="AQ512" s="485"/>
      <c r="AR512" s="485"/>
      <c r="AS512" s="485"/>
      <c r="AT512" s="485"/>
      <c r="AU512" s="485"/>
      <c r="AV512" s="485"/>
      <c r="AW512" s="485"/>
      <c r="AX512" s="485"/>
      <c r="AY512" s="485"/>
      <c r="AZ512" s="485"/>
      <c r="BA512" s="485"/>
      <c r="BB512" s="485"/>
      <c r="BC512" s="485"/>
      <c r="BD512" s="485"/>
      <c r="BE512" s="485"/>
      <c r="BF512" s="485"/>
      <c r="BG512" s="485"/>
      <c r="BH512" s="485"/>
      <c r="BI512" s="485"/>
      <c r="BJ512" s="485"/>
    </row>
    <row r="513" spans="2:62" ht="15.75" customHeight="1">
      <c r="B513" s="482"/>
      <c r="C513" s="542"/>
      <c r="W513" s="485"/>
      <c r="X513" s="485"/>
      <c r="Y513" s="485"/>
      <c r="Z513" s="485"/>
      <c r="AA513" s="485"/>
      <c r="AB513" s="485"/>
      <c r="AC513" s="485"/>
      <c r="AD513" s="485"/>
      <c r="AE513" s="485"/>
      <c r="AF513" s="859"/>
      <c r="AG513" s="485"/>
      <c r="AH513" s="485"/>
      <c r="AI513" s="485"/>
      <c r="AJ513" s="485"/>
      <c r="AK513" s="485"/>
      <c r="AL513" s="485"/>
      <c r="AM513" s="485"/>
      <c r="AN513" s="485"/>
      <c r="AO513" s="485"/>
      <c r="AP513" s="485"/>
      <c r="AQ513" s="485"/>
      <c r="AR513" s="485"/>
      <c r="AS513" s="485"/>
      <c r="AT513" s="485"/>
      <c r="AU513" s="485"/>
      <c r="AV513" s="485"/>
      <c r="AW513" s="485"/>
      <c r="AX513" s="485"/>
      <c r="AY513" s="485"/>
      <c r="AZ513" s="485"/>
      <c r="BA513" s="485"/>
      <c r="BB513" s="485"/>
      <c r="BC513" s="485"/>
      <c r="BD513" s="485"/>
      <c r="BE513" s="485"/>
      <c r="BF513" s="485"/>
      <c r="BG513" s="485"/>
      <c r="BH513" s="485"/>
      <c r="BI513" s="485"/>
      <c r="BJ513" s="485"/>
    </row>
    <row r="514" spans="2:62" ht="15.75" customHeight="1">
      <c r="B514" s="482"/>
      <c r="C514" s="542"/>
      <c r="W514" s="485"/>
      <c r="X514" s="485"/>
      <c r="Y514" s="485"/>
      <c r="Z514" s="485"/>
      <c r="AA514" s="485"/>
      <c r="AB514" s="485"/>
      <c r="AC514" s="485"/>
      <c r="AD514" s="485"/>
      <c r="AE514" s="485"/>
      <c r="AF514" s="859"/>
      <c r="AG514" s="485"/>
      <c r="AH514" s="485"/>
      <c r="AI514" s="485"/>
      <c r="AJ514" s="485"/>
      <c r="AK514" s="485"/>
      <c r="AL514" s="485"/>
      <c r="AM514" s="485"/>
      <c r="AN514" s="485"/>
      <c r="AO514" s="485"/>
      <c r="AP514" s="485"/>
      <c r="AQ514" s="485"/>
      <c r="AR514" s="485"/>
      <c r="AS514" s="485"/>
      <c r="AT514" s="485"/>
      <c r="AU514" s="485"/>
      <c r="AV514" s="485"/>
      <c r="AW514" s="485"/>
      <c r="AX514" s="485"/>
      <c r="AY514" s="485"/>
      <c r="AZ514" s="485"/>
      <c r="BA514" s="485"/>
      <c r="BB514" s="485"/>
      <c r="BC514" s="485"/>
      <c r="BD514" s="485"/>
      <c r="BE514" s="485"/>
      <c r="BF514" s="485"/>
      <c r="BG514" s="485"/>
      <c r="BH514" s="485"/>
      <c r="BI514" s="485"/>
      <c r="BJ514" s="485"/>
    </row>
    <row r="515" spans="2:62" ht="15.75" customHeight="1">
      <c r="B515" s="482"/>
      <c r="C515" s="542"/>
      <c r="W515" s="485"/>
      <c r="X515" s="485"/>
      <c r="Y515" s="485"/>
      <c r="Z515" s="485"/>
      <c r="AA515" s="485"/>
      <c r="AB515" s="485"/>
      <c r="AC515" s="485"/>
      <c r="AD515" s="485"/>
      <c r="AE515" s="485"/>
      <c r="AF515" s="485"/>
      <c r="AG515" s="485"/>
      <c r="AH515" s="485"/>
      <c r="AI515" s="485"/>
      <c r="AJ515" s="485"/>
      <c r="AK515" s="485"/>
      <c r="AL515" s="485"/>
      <c r="AM515" s="485"/>
      <c r="AN515" s="485"/>
      <c r="AO515" s="485"/>
      <c r="AP515" s="485"/>
      <c r="AQ515" s="485"/>
      <c r="AR515" s="485"/>
      <c r="AS515" s="485"/>
      <c r="AT515" s="485"/>
      <c r="AU515" s="485"/>
      <c r="AV515" s="485"/>
      <c r="AW515" s="485"/>
      <c r="AX515" s="485"/>
      <c r="AY515" s="485"/>
      <c r="AZ515" s="485"/>
      <c r="BA515" s="485"/>
      <c r="BB515" s="485"/>
      <c r="BC515" s="485"/>
      <c r="BD515" s="485"/>
      <c r="BE515" s="485"/>
      <c r="BF515" s="485"/>
      <c r="BG515" s="485"/>
      <c r="BH515" s="485"/>
      <c r="BI515" s="485"/>
      <c r="BJ515" s="485"/>
    </row>
    <row r="516" spans="2:62" ht="15.75" customHeight="1">
      <c r="B516" s="482"/>
      <c r="W516" s="485"/>
      <c r="X516" s="485"/>
      <c r="Y516" s="485"/>
      <c r="Z516" s="485"/>
      <c r="AA516" s="485"/>
      <c r="AB516" s="485"/>
      <c r="AC516" s="485"/>
      <c r="AD516" s="485"/>
      <c r="AE516" s="485"/>
      <c r="AF516" s="485"/>
      <c r="AG516" s="485"/>
      <c r="AH516" s="485"/>
      <c r="AI516" s="485"/>
      <c r="AJ516" s="485"/>
      <c r="AK516" s="485"/>
      <c r="AL516" s="485"/>
      <c r="AM516" s="485"/>
      <c r="AN516" s="485"/>
      <c r="AO516" s="485"/>
      <c r="AP516" s="485"/>
      <c r="AQ516" s="485"/>
      <c r="AR516" s="485"/>
      <c r="AS516" s="485"/>
      <c r="AT516" s="485"/>
      <c r="AU516" s="485"/>
      <c r="AV516" s="485"/>
      <c r="AW516" s="485"/>
      <c r="AX516" s="485"/>
      <c r="AY516" s="485"/>
      <c r="AZ516" s="485"/>
      <c r="BA516" s="485"/>
      <c r="BB516" s="485"/>
      <c r="BC516" s="485"/>
      <c r="BD516" s="485"/>
      <c r="BE516" s="485"/>
      <c r="BF516" s="485"/>
      <c r="BG516" s="485"/>
      <c r="BH516" s="485"/>
      <c r="BI516" s="485"/>
      <c r="BJ516" s="485"/>
    </row>
    <row r="517" spans="2:62" ht="15.75" customHeight="1">
      <c r="B517" s="482"/>
      <c r="W517" s="485"/>
      <c r="X517" s="485"/>
      <c r="Y517" s="485"/>
      <c r="Z517" s="485"/>
      <c r="AA517" s="485"/>
      <c r="AB517" s="485"/>
      <c r="AC517" s="485"/>
      <c r="AD517" s="485"/>
      <c r="AE517" s="485"/>
      <c r="AF517" s="485"/>
      <c r="AG517" s="485"/>
      <c r="AH517" s="485"/>
      <c r="AI517" s="485"/>
      <c r="AJ517" s="485"/>
      <c r="AK517" s="485"/>
      <c r="AL517" s="485"/>
      <c r="AM517" s="485"/>
      <c r="AN517" s="485"/>
      <c r="AO517" s="485"/>
      <c r="AP517" s="485"/>
      <c r="AQ517" s="485"/>
      <c r="AR517" s="485"/>
      <c r="AS517" s="485"/>
      <c r="AT517" s="485"/>
      <c r="AU517" s="485"/>
      <c r="AV517" s="485"/>
      <c r="AW517" s="485"/>
      <c r="AX517" s="485"/>
      <c r="AY517" s="485"/>
      <c r="AZ517" s="485"/>
      <c r="BA517" s="485"/>
      <c r="BB517" s="485"/>
      <c r="BC517" s="485"/>
      <c r="BD517" s="485"/>
      <c r="BE517" s="485"/>
      <c r="BF517" s="485"/>
      <c r="BG517" s="485"/>
      <c r="BH517" s="485"/>
      <c r="BI517" s="485"/>
      <c r="BJ517" s="485"/>
    </row>
    <row r="518" spans="2:62" ht="15.75" customHeight="1">
      <c r="B518" s="482"/>
      <c r="W518" s="485"/>
      <c r="X518" s="485"/>
      <c r="Y518" s="485"/>
      <c r="Z518" s="485"/>
      <c r="AA518" s="485"/>
      <c r="AB518" s="485"/>
      <c r="AC518" s="485"/>
      <c r="AD518" s="485"/>
      <c r="AE518" s="485"/>
      <c r="AF518" s="485"/>
      <c r="AG518" s="485"/>
      <c r="AH518" s="485"/>
      <c r="AI518" s="485"/>
      <c r="AJ518" s="485"/>
      <c r="AK518" s="485"/>
      <c r="AL518" s="485"/>
      <c r="AM518" s="485"/>
      <c r="AN518" s="485"/>
      <c r="AO518" s="485"/>
      <c r="AP518" s="485"/>
      <c r="AQ518" s="485"/>
      <c r="AR518" s="485"/>
      <c r="AS518" s="485"/>
      <c r="AT518" s="485"/>
      <c r="AU518" s="485"/>
      <c r="AV518" s="485"/>
      <c r="AW518" s="485"/>
      <c r="AX518" s="485"/>
      <c r="AY518" s="485"/>
      <c r="AZ518" s="485"/>
      <c r="BA518" s="485"/>
      <c r="BB518" s="485"/>
      <c r="BC518" s="485"/>
      <c r="BD518" s="485"/>
      <c r="BE518" s="485"/>
      <c r="BF518" s="485"/>
      <c r="BG518" s="485"/>
      <c r="BH518" s="485"/>
      <c r="BI518" s="485"/>
      <c r="BJ518" s="485"/>
    </row>
    <row r="519" spans="2:62" ht="15.75" customHeight="1">
      <c r="B519" s="482"/>
      <c r="W519" s="485"/>
      <c r="X519" s="485"/>
      <c r="Y519" s="485"/>
      <c r="Z519" s="485"/>
      <c r="AA519" s="485"/>
      <c r="AB519" s="485"/>
      <c r="AC519" s="485"/>
      <c r="AD519" s="485"/>
      <c r="AE519" s="485"/>
      <c r="AF519" s="485"/>
      <c r="AG519" s="485"/>
      <c r="AH519" s="485"/>
      <c r="AI519" s="485"/>
      <c r="AJ519" s="485"/>
      <c r="AK519" s="485"/>
      <c r="AL519" s="485"/>
      <c r="AM519" s="485"/>
      <c r="AN519" s="485"/>
      <c r="AO519" s="485"/>
      <c r="AP519" s="485"/>
      <c r="AQ519" s="485"/>
      <c r="AR519" s="485"/>
      <c r="AS519" s="485"/>
      <c r="AT519" s="485"/>
      <c r="AU519" s="485"/>
      <c r="AV519" s="485"/>
      <c r="AW519" s="485"/>
      <c r="AX519" s="485"/>
      <c r="AY519" s="485"/>
      <c r="AZ519" s="485"/>
      <c r="BA519" s="485"/>
      <c r="BB519" s="485"/>
      <c r="BC519" s="485"/>
      <c r="BD519" s="485"/>
      <c r="BE519" s="485"/>
      <c r="BF519" s="485"/>
      <c r="BG519" s="485"/>
      <c r="BH519" s="485"/>
      <c r="BI519" s="485"/>
      <c r="BJ519" s="485"/>
    </row>
    <row r="520" spans="2:62" ht="15.75" customHeight="1">
      <c r="B520" s="482"/>
      <c r="W520" s="485"/>
      <c r="X520" s="485"/>
      <c r="Y520" s="485"/>
      <c r="Z520" s="485"/>
      <c r="AA520" s="485"/>
      <c r="AB520" s="485"/>
      <c r="AC520" s="485"/>
      <c r="AD520" s="485"/>
      <c r="AE520" s="485"/>
      <c r="AF520" s="485"/>
      <c r="AG520" s="485"/>
      <c r="AH520" s="485"/>
      <c r="AI520" s="485"/>
      <c r="AJ520" s="485"/>
      <c r="AK520" s="485"/>
      <c r="AL520" s="485"/>
      <c r="AM520" s="485"/>
      <c r="AN520" s="485"/>
      <c r="AO520" s="485"/>
      <c r="AP520" s="485"/>
      <c r="AQ520" s="485"/>
      <c r="AR520" s="485"/>
      <c r="AS520" s="485"/>
      <c r="AT520" s="485"/>
      <c r="AU520" s="485"/>
      <c r="AV520" s="485"/>
      <c r="AW520" s="485"/>
      <c r="AX520" s="485"/>
      <c r="AY520" s="485"/>
      <c r="AZ520" s="485"/>
      <c r="BA520" s="485"/>
      <c r="BB520" s="485"/>
      <c r="BC520" s="485"/>
      <c r="BD520" s="485"/>
      <c r="BE520" s="485"/>
      <c r="BF520" s="485"/>
      <c r="BG520" s="485"/>
      <c r="BH520" s="485"/>
      <c r="BI520" s="485"/>
      <c r="BJ520" s="485"/>
    </row>
    <row r="521" spans="2:62" ht="15.75" customHeight="1">
      <c r="B521" s="482"/>
      <c r="W521" s="485"/>
      <c r="X521" s="485"/>
      <c r="Y521" s="485"/>
      <c r="Z521" s="485"/>
      <c r="AA521" s="485"/>
      <c r="AB521" s="485"/>
      <c r="AC521" s="485"/>
      <c r="AD521" s="485"/>
      <c r="AE521" s="485"/>
      <c r="AF521" s="485"/>
      <c r="AG521" s="485"/>
      <c r="AH521" s="485"/>
      <c r="AI521" s="485"/>
      <c r="AJ521" s="485"/>
      <c r="AK521" s="485"/>
      <c r="AL521" s="485"/>
      <c r="AM521" s="485"/>
      <c r="AN521" s="485"/>
      <c r="AO521" s="485"/>
      <c r="AP521" s="485"/>
      <c r="AQ521" s="485"/>
      <c r="AR521" s="485"/>
      <c r="AS521" s="485"/>
      <c r="AT521" s="485"/>
      <c r="AU521" s="485"/>
      <c r="AV521" s="485"/>
      <c r="AW521" s="485"/>
      <c r="AX521" s="485"/>
      <c r="AY521" s="485"/>
      <c r="AZ521" s="485"/>
      <c r="BA521" s="485"/>
      <c r="BB521" s="485"/>
      <c r="BC521" s="485"/>
      <c r="BD521" s="485"/>
      <c r="BE521" s="485"/>
      <c r="BF521" s="485"/>
      <c r="BG521" s="485"/>
      <c r="BH521" s="485"/>
      <c r="BI521" s="485"/>
      <c r="BJ521" s="485"/>
    </row>
    <row r="522" spans="2:62" ht="15.75" customHeight="1">
      <c r="B522" s="482"/>
      <c r="W522" s="485"/>
      <c r="X522" s="485"/>
      <c r="Y522" s="485"/>
      <c r="Z522" s="485"/>
      <c r="AA522" s="485"/>
      <c r="AB522" s="485"/>
      <c r="AC522" s="485"/>
      <c r="AD522" s="485"/>
      <c r="AE522" s="485"/>
      <c r="AF522" s="485"/>
      <c r="AG522" s="485"/>
      <c r="AH522" s="485"/>
      <c r="AI522" s="485"/>
      <c r="AJ522" s="485"/>
      <c r="AK522" s="485"/>
      <c r="AL522" s="485"/>
      <c r="AM522" s="485"/>
      <c r="AN522" s="485"/>
      <c r="AO522" s="485"/>
      <c r="AP522" s="485"/>
      <c r="AQ522" s="485"/>
      <c r="AR522" s="485"/>
      <c r="AS522" s="485"/>
      <c r="AT522" s="485"/>
      <c r="AU522" s="485"/>
      <c r="AV522" s="485"/>
      <c r="AW522" s="485"/>
      <c r="AX522" s="485"/>
      <c r="AY522" s="485"/>
      <c r="AZ522" s="485"/>
      <c r="BA522" s="485"/>
      <c r="BB522" s="485"/>
      <c r="BC522" s="485"/>
      <c r="BD522" s="485"/>
      <c r="BE522" s="485"/>
      <c r="BF522" s="485"/>
      <c r="BG522" s="485"/>
      <c r="BH522" s="485"/>
      <c r="BI522" s="485"/>
      <c r="BJ522" s="485"/>
    </row>
    <row r="523" spans="2:62" ht="15.75" customHeight="1">
      <c r="B523" s="482"/>
      <c r="W523" s="485"/>
      <c r="X523" s="485"/>
      <c r="Y523" s="485"/>
      <c r="Z523" s="485"/>
      <c r="AA523" s="485"/>
      <c r="AB523" s="485"/>
      <c r="AC523" s="485"/>
      <c r="AD523" s="485"/>
      <c r="AE523" s="485"/>
      <c r="AF523" s="485"/>
      <c r="AG523" s="485"/>
      <c r="AH523" s="485"/>
      <c r="AI523" s="485"/>
      <c r="AJ523" s="485"/>
      <c r="AK523" s="485"/>
      <c r="AL523" s="485"/>
      <c r="AM523" s="485"/>
      <c r="AN523" s="485"/>
      <c r="AO523" s="485"/>
      <c r="AP523" s="485"/>
      <c r="AQ523" s="485"/>
      <c r="AR523" s="485"/>
      <c r="AS523" s="485"/>
      <c r="AT523" s="485"/>
      <c r="AU523" s="485"/>
      <c r="AV523" s="485"/>
      <c r="AW523" s="485"/>
      <c r="AX523" s="485"/>
      <c r="AY523" s="485"/>
      <c r="AZ523" s="485"/>
      <c r="BA523" s="485"/>
      <c r="BB523" s="485"/>
      <c r="BC523" s="485"/>
      <c r="BD523" s="485"/>
      <c r="BE523" s="485"/>
      <c r="BF523" s="485"/>
      <c r="BG523" s="485"/>
      <c r="BH523" s="485"/>
      <c r="BI523" s="485"/>
      <c r="BJ523" s="485"/>
    </row>
    <row r="524" spans="2:62" ht="15.75" customHeight="1">
      <c r="B524" s="482"/>
      <c r="W524" s="485"/>
      <c r="X524" s="485"/>
      <c r="Y524" s="485"/>
      <c r="Z524" s="485"/>
      <c r="AA524" s="485"/>
      <c r="AB524" s="485"/>
      <c r="AC524" s="485"/>
      <c r="AD524" s="485"/>
      <c r="AE524" s="485"/>
      <c r="AF524" s="485"/>
      <c r="AG524" s="485"/>
      <c r="AH524" s="485"/>
      <c r="AI524" s="485"/>
      <c r="AJ524" s="485"/>
      <c r="AK524" s="485"/>
      <c r="AL524" s="485"/>
      <c r="AM524" s="485"/>
      <c r="AN524" s="485"/>
      <c r="AO524" s="485"/>
      <c r="AP524" s="485"/>
      <c r="AQ524" s="485"/>
      <c r="AR524" s="485"/>
      <c r="AS524" s="485"/>
      <c r="AT524" s="485"/>
      <c r="AU524" s="485"/>
      <c r="AV524" s="485"/>
      <c r="AW524" s="485"/>
      <c r="AX524" s="485"/>
      <c r="AY524" s="485"/>
      <c r="AZ524" s="485"/>
      <c r="BA524" s="485"/>
      <c r="BB524" s="485"/>
      <c r="BC524" s="485"/>
      <c r="BD524" s="485"/>
      <c r="BE524" s="485"/>
      <c r="BF524" s="485"/>
      <c r="BG524" s="485"/>
      <c r="BH524" s="485"/>
      <c r="BI524" s="485"/>
      <c r="BJ524" s="485"/>
    </row>
    <row r="525" spans="2:62" ht="15.75" customHeight="1">
      <c r="B525" s="482"/>
      <c r="C525" s="542"/>
      <c r="W525" s="485"/>
      <c r="X525" s="485"/>
      <c r="Y525" s="485"/>
      <c r="Z525" s="485"/>
      <c r="AA525" s="485"/>
      <c r="AB525" s="485"/>
      <c r="AC525" s="485"/>
      <c r="AD525" s="485"/>
      <c r="AE525" s="485"/>
      <c r="AF525" s="485"/>
      <c r="AG525" s="485"/>
      <c r="AH525" s="485"/>
      <c r="AI525" s="485"/>
      <c r="AJ525" s="485"/>
      <c r="AK525" s="485"/>
      <c r="AL525" s="485"/>
      <c r="AM525" s="485"/>
      <c r="AN525" s="485"/>
      <c r="AO525" s="485"/>
      <c r="AP525" s="485"/>
      <c r="AQ525" s="485"/>
      <c r="AR525" s="485"/>
      <c r="AS525" s="485"/>
      <c r="AT525" s="485"/>
      <c r="AU525" s="485"/>
      <c r="AV525" s="485"/>
      <c r="AW525" s="485"/>
      <c r="AX525" s="485"/>
      <c r="AY525" s="485"/>
      <c r="AZ525" s="485"/>
      <c r="BA525" s="485"/>
      <c r="BB525" s="485"/>
      <c r="BC525" s="485"/>
      <c r="BD525" s="485"/>
      <c r="BE525" s="485"/>
      <c r="BF525" s="485"/>
      <c r="BG525" s="485"/>
      <c r="BH525" s="485"/>
      <c r="BI525" s="485"/>
      <c r="BJ525" s="485"/>
    </row>
    <row r="526" spans="2:62" ht="15.75" customHeight="1">
      <c r="B526" s="482"/>
      <c r="C526" s="542"/>
      <c r="W526" s="485"/>
      <c r="X526" s="485"/>
      <c r="Y526" s="485"/>
      <c r="Z526" s="485"/>
      <c r="AA526" s="485"/>
      <c r="AB526" s="485"/>
      <c r="AC526" s="485"/>
      <c r="AD526" s="485"/>
      <c r="AE526" s="485"/>
      <c r="AF526" s="485"/>
      <c r="AG526" s="485"/>
      <c r="AH526" s="485"/>
      <c r="AI526" s="485"/>
      <c r="AJ526" s="485"/>
      <c r="AK526" s="485"/>
      <c r="AL526" s="485"/>
      <c r="AM526" s="485"/>
      <c r="AN526" s="485"/>
      <c r="AO526" s="485"/>
      <c r="AP526" s="485"/>
      <c r="AQ526" s="485"/>
      <c r="AR526" s="485"/>
      <c r="AS526" s="485"/>
      <c r="AT526" s="485"/>
      <c r="AU526" s="485"/>
      <c r="AV526" s="485"/>
      <c r="AW526" s="485"/>
      <c r="AX526" s="485"/>
      <c r="AY526" s="485"/>
      <c r="AZ526" s="485"/>
      <c r="BA526" s="485"/>
      <c r="BB526" s="485"/>
      <c r="BC526" s="485"/>
      <c r="BD526" s="485"/>
      <c r="BE526" s="485"/>
      <c r="BF526" s="485"/>
      <c r="BG526" s="485"/>
      <c r="BH526" s="485"/>
      <c r="BI526" s="485"/>
      <c r="BJ526" s="485"/>
    </row>
    <row r="527" spans="2:62" ht="15.75" customHeight="1">
      <c r="B527" s="482"/>
      <c r="C527" s="542"/>
      <c r="W527" s="485"/>
      <c r="X527" s="485"/>
      <c r="Y527" s="485"/>
      <c r="Z527" s="485"/>
      <c r="AA527" s="485"/>
      <c r="AB527" s="485"/>
      <c r="AC527" s="485"/>
      <c r="AD527" s="485"/>
      <c r="AE527" s="485"/>
      <c r="AF527" s="485"/>
      <c r="AG527" s="485"/>
      <c r="AH527" s="485"/>
      <c r="AI527" s="485"/>
      <c r="AJ527" s="485"/>
      <c r="AK527" s="485"/>
      <c r="AL527" s="485"/>
      <c r="AM527" s="485"/>
      <c r="AN527" s="485"/>
      <c r="AO527" s="485"/>
      <c r="AP527" s="485"/>
      <c r="AQ527" s="485"/>
      <c r="AR527" s="485"/>
      <c r="AS527" s="485"/>
      <c r="AT527" s="485"/>
      <c r="AU527" s="485"/>
      <c r="AV527" s="485"/>
      <c r="AW527" s="485"/>
      <c r="AX527" s="485"/>
      <c r="AY527" s="485"/>
      <c r="AZ527" s="485"/>
      <c r="BA527" s="485"/>
      <c r="BB527" s="485"/>
      <c r="BC527" s="485"/>
      <c r="BD527" s="485"/>
      <c r="BE527" s="485"/>
      <c r="BF527" s="485"/>
      <c r="BG527" s="485"/>
      <c r="BH527" s="485"/>
      <c r="BI527" s="485"/>
      <c r="BJ527" s="485"/>
    </row>
    <row r="528" spans="2:62" ht="15.75" customHeight="1">
      <c r="B528" s="482"/>
      <c r="C528" s="542"/>
      <c r="W528" s="485"/>
      <c r="X528" s="485"/>
      <c r="Y528" s="485"/>
      <c r="Z528" s="485"/>
      <c r="AA528" s="485"/>
      <c r="AB528" s="485"/>
      <c r="AC528" s="485"/>
      <c r="AD528" s="485"/>
      <c r="AE528" s="485"/>
      <c r="AF528" s="485"/>
      <c r="AG528" s="485"/>
      <c r="AH528" s="485"/>
      <c r="AI528" s="485"/>
      <c r="AJ528" s="485"/>
      <c r="AK528" s="485"/>
      <c r="AL528" s="485"/>
      <c r="AM528" s="485"/>
      <c r="AN528" s="485"/>
      <c r="AO528" s="485"/>
      <c r="AP528" s="485"/>
      <c r="AQ528" s="485"/>
      <c r="AR528" s="485"/>
      <c r="AS528" s="485"/>
      <c r="AT528" s="485"/>
      <c r="AU528" s="485"/>
      <c r="AV528" s="485"/>
      <c r="AW528" s="485"/>
      <c r="AX528" s="485"/>
      <c r="AY528" s="485"/>
      <c r="AZ528" s="485"/>
      <c r="BA528" s="485"/>
      <c r="BB528" s="485"/>
      <c r="BC528" s="485"/>
      <c r="BD528" s="485"/>
      <c r="BE528" s="485"/>
      <c r="BF528" s="485"/>
      <c r="BG528" s="485"/>
      <c r="BH528" s="485"/>
      <c r="BI528" s="485"/>
      <c r="BJ528" s="485"/>
    </row>
    <row r="529" spans="2:62" ht="15.75" customHeight="1">
      <c r="B529" s="482"/>
      <c r="C529" s="542"/>
      <c r="W529" s="485"/>
      <c r="X529" s="485"/>
      <c r="Y529" s="485"/>
      <c r="Z529" s="485"/>
      <c r="AA529" s="485"/>
      <c r="AB529" s="485"/>
      <c r="AC529" s="485"/>
      <c r="AD529" s="485"/>
      <c r="AE529" s="485"/>
      <c r="AF529" s="485"/>
      <c r="AG529" s="485"/>
      <c r="AH529" s="485"/>
      <c r="AI529" s="485"/>
      <c r="AJ529" s="485"/>
      <c r="AK529" s="485"/>
      <c r="AL529" s="485"/>
      <c r="AM529" s="485"/>
      <c r="AN529" s="485"/>
      <c r="AO529" s="485"/>
      <c r="AP529" s="485"/>
      <c r="AQ529" s="485"/>
      <c r="AR529" s="485"/>
      <c r="AS529" s="485"/>
      <c r="AT529" s="485"/>
      <c r="AU529" s="485"/>
      <c r="AV529" s="485"/>
      <c r="AW529" s="485"/>
      <c r="AX529" s="485"/>
      <c r="AY529" s="485"/>
      <c r="AZ529" s="485"/>
      <c r="BA529" s="485"/>
      <c r="BB529" s="485"/>
      <c r="BC529" s="485"/>
      <c r="BD529" s="485"/>
      <c r="BE529" s="485"/>
      <c r="BF529" s="485"/>
      <c r="BG529" s="485"/>
      <c r="BH529" s="485"/>
      <c r="BI529" s="485"/>
      <c r="BJ529" s="485"/>
    </row>
    <row r="530" spans="2:62" ht="15.75" customHeight="1">
      <c r="B530" s="482"/>
      <c r="C530" s="542"/>
      <c r="W530" s="485"/>
      <c r="X530" s="485"/>
      <c r="Y530" s="485"/>
      <c r="Z530" s="485"/>
      <c r="AA530" s="485"/>
      <c r="AB530" s="485"/>
      <c r="AC530" s="485"/>
      <c r="AD530" s="485"/>
      <c r="AE530" s="485"/>
      <c r="AF530" s="485"/>
      <c r="AG530" s="485"/>
      <c r="AH530" s="485"/>
      <c r="AI530" s="485"/>
      <c r="AJ530" s="485"/>
      <c r="AK530" s="485"/>
      <c r="AL530" s="485"/>
      <c r="AM530" s="485"/>
      <c r="AN530" s="485"/>
      <c r="AO530" s="485"/>
      <c r="AP530" s="485"/>
      <c r="AQ530" s="485"/>
      <c r="AR530" s="485"/>
      <c r="AS530" s="485"/>
      <c r="AT530" s="485"/>
      <c r="AU530" s="485"/>
      <c r="AV530" s="485"/>
      <c r="AW530" s="485"/>
      <c r="AX530" s="485"/>
      <c r="AY530" s="485"/>
      <c r="AZ530" s="485"/>
      <c r="BA530" s="485"/>
      <c r="BB530" s="485"/>
      <c r="BC530" s="485"/>
      <c r="BD530" s="485"/>
      <c r="BE530" s="485"/>
      <c r="BF530" s="485"/>
      <c r="BG530" s="485"/>
      <c r="BH530" s="485"/>
      <c r="BI530" s="485"/>
      <c r="BJ530" s="485"/>
    </row>
    <row r="531" spans="2:62" ht="15.75" customHeight="1">
      <c r="B531" s="482"/>
      <c r="C531" s="542"/>
      <c r="W531" s="485"/>
      <c r="X531" s="485"/>
      <c r="Y531" s="485"/>
      <c r="Z531" s="485"/>
      <c r="AA531" s="485"/>
      <c r="AB531" s="485"/>
      <c r="AC531" s="485"/>
      <c r="AD531" s="485"/>
      <c r="AE531" s="485"/>
      <c r="AF531" s="485"/>
      <c r="AG531" s="485"/>
      <c r="AH531" s="485"/>
      <c r="AI531" s="485"/>
      <c r="AJ531" s="485"/>
      <c r="AK531" s="485"/>
      <c r="AL531" s="485"/>
      <c r="AM531" s="485"/>
      <c r="AN531" s="485"/>
      <c r="AO531" s="485"/>
      <c r="AP531" s="485"/>
      <c r="AQ531" s="485"/>
      <c r="AR531" s="485"/>
      <c r="AS531" s="485"/>
      <c r="AT531" s="485"/>
      <c r="AU531" s="485"/>
      <c r="AV531" s="485"/>
      <c r="AW531" s="485"/>
      <c r="AX531" s="485"/>
      <c r="AY531" s="485"/>
      <c r="AZ531" s="485"/>
      <c r="BA531" s="485"/>
      <c r="BB531" s="485"/>
      <c r="BC531" s="485"/>
      <c r="BD531" s="485"/>
      <c r="BE531" s="485"/>
      <c r="BF531" s="485"/>
      <c r="BG531" s="485"/>
      <c r="BH531" s="485"/>
      <c r="BI531" s="485"/>
      <c r="BJ531" s="485"/>
    </row>
    <row r="532" spans="2:62" ht="15.75" customHeight="1">
      <c r="B532" s="482"/>
      <c r="C532" s="542"/>
      <c r="W532" s="485"/>
      <c r="X532" s="485"/>
      <c r="Y532" s="485"/>
      <c r="Z532" s="485"/>
      <c r="AA532" s="485"/>
      <c r="AB532" s="485"/>
      <c r="AC532" s="485"/>
      <c r="AD532" s="485"/>
      <c r="AE532" s="485"/>
      <c r="AF532" s="485"/>
      <c r="AG532" s="485"/>
      <c r="AH532" s="485"/>
      <c r="AI532" s="485"/>
      <c r="AJ532" s="485"/>
      <c r="AK532" s="485"/>
      <c r="AL532" s="485"/>
      <c r="AM532" s="485"/>
      <c r="AN532" s="485"/>
      <c r="AO532" s="485"/>
      <c r="AP532" s="485"/>
      <c r="AQ532" s="485"/>
      <c r="AR532" s="485"/>
      <c r="AS532" s="485"/>
      <c r="AT532" s="485"/>
      <c r="AU532" s="485"/>
      <c r="AV532" s="485"/>
      <c r="AW532" s="485"/>
      <c r="AX532" s="485"/>
      <c r="AY532" s="485"/>
      <c r="AZ532" s="485"/>
      <c r="BA532" s="485"/>
      <c r="BB532" s="485"/>
      <c r="BC532" s="485"/>
      <c r="BD532" s="485"/>
      <c r="BE532" s="485"/>
      <c r="BF532" s="485"/>
      <c r="BG532" s="485"/>
      <c r="BH532" s="485"/>
      <c r="BI532" s="485"/>
      <c r="BJ532" s="485"/>
    </row>
    <row r="533" spans="2:62" ht="15.75" customHeight="1">
      <c r="B533" s="482"/>
      <c r="C533" s="542"/>
      <c r="W533" s="485"/>
      <c r="X533" s="485"/>
      <c r="Y533" s="485"/>
      <c r="Z533" s="485"/>
      <c r="AA533" s="485"/>
      <c r="AB533" s="485"/>
      <c r="AC533" s="485"/>
      <c r="AD533" s="485"/>
      <c r="AE533" s="485"/>
      <c r="AF533" s="485"/>
      <c r="AG533" s="485"/>
      <c r="AH533" s="485"/>
      <c r="AI533" s="485"/>
      <c r="AJ533" s="485"/>
      <c r="AK533" s="485"/>
      <c r="AL533" s="485"/>
      <c r="AM533" s="485"/>
      <c r="AN533" s="485"/>
      <c r="AO533" s="485"/>
      <c r="AP533" s="485"/>
      <c r="AQ533" s="485"/>
      <c r="AR533" s="485"/>
      <c r="AS533" s="485"/>
      <c r="AT533" s="485"/>
      <c r="AU533" s="485"/>
      <c r="AV533" s="485"/>
      <c r="AW533" s="485"/>
      <c r="AX533" s="485"/>
      <c r="AY533" s="485"/>
      <c r="AZ533" s="485"/>
      <c r="BA533" s="485"/>
      <c r="BB533" s="485"/>
      <c r="BC533" s="485"/>
      <c r="BD533" s="485"/>
      <c r="BE533" s="485"/>
      <c r="BF533" s="485"/>
      <c r="BG533" s="485"/>
      <c r="BH533" s="485"/>
      <c r="BI533" s="485"/>
      <c r="BJ533" s="485"/>
    </row>
    <row r="534" spans="2:62" ht="15.75" customHeight="1">
      <c r="B534" s="482"/>
      <c r="C534" s="542"/>
      <c r="W534" s="485"/>
      <c r="X534" s="485"/>
      <c r="Y534" s="485"/>
      <c r="Z534" s="485"/>
      <c r="AA534" s="485"/>
      <c r="AB534" s="485"/>
      <c r="AC534" s="485"/>
      <c r="AD534" s="485"/>
      <c r="AE534" s="485"/>
      <c r="AF534" s="485"/>
      <c r="AG534" s="485"/>
      <c r="AH534" s="485"/>
      <c r="AI534" s="485"/>
      <c r="AJ534" s="485"/>
      <c r="AK534" s="485"/>
      <c r="AL534" s="485"/>
      <c r="AM534" s="485"/>
      <c r="AN534" s="485"/>
      <c r="AO534" s="485"/>
      <c r="AP534" s="485"/>
      <c r="AQ534" s="485"/>
      <c r="AR534" s="485"/>
      <c r="AS534" s="485"/>
      <c r="AT534" s="485"/>
      <c r="AU534" s="485"/>
      <c r="AV534" s="485"/>
      <c r="AW534" s="485"/>
      <c r="AX534" s="485"/>
      <c r="AY534" s="485"/>
      <c r="AZ534" s="485"/>
      <c r="BA534" s="485"/>
      <c r="BB534" s="485"/>
      <c r="BC534" s="485"/>
      <c r="BD534" s="485"/>
      <c r="BE534" s="485"/>
      <c r="BF534" s="485"/>
      <c r="BG534" s="485"/>
      <c r="BH534" s="485"/>
      <c r="BI534" s="485"/>
      <c r="BJ534" s="485"/>
    </row>
    <row r="535" spans="2:62" ht="15.75" customHeight="1">
      <c r="B535" s="482"/>
      <c r="W535" s="485"/>
      <c r="X535" s="485"/>
      <c r="Y535" s="485"/>
      <c r="Z535" s="485"/>
      <c r="AA535" s="485"/>
      <c r="AB535" s="485"/>
      <c r="AC535" s="485"/>
      <c r="AD535" s="485"/>
      <c r="AE535" s="485"/>
      <c r="AF535" s="485"/>
      <c r="AG535" s="485"/>
      <c r="AH535" s="485"/>
      <c r="AI535" s="485"/>
      <c r="AJ535" s="485"/>
      <c r="AK535" s="485"/>
      <c r="AL535" s="485"/>
      <c r="AM535" s="485"/>
      <c r="AN535" s="485"/>
      <c r="AO535" s="485"/>
      <c r="AP535" s="485"/>
      <c r="AQ535" s="485"/>
      <c r="AR535" s="485"/>
      <c r="AS535" s="485"/>
      <c r="AT535" s="485"/>
      <c r="AU535" s="485"/>
      <c r="AV535" s="485"/>
      <c r="AW535" s="485"/>
      <c r="AX535" s="485"/>
      <c r="AY535" s="485"/>
      <c r="AZ535" s="485"/>
      <c r="BA535" s="485"/>
      <c r="BB535" s="485"/>
      <c r="BC535" s="485"/>
      <c r="BD535" s="485"/>
      <c r="BE535" s="485"/>
      <c r="BF535" s="485"/>
      <c r="BG535" s="485"/>
      <c r="BH535" s="485"/>
      <c r="BI535" s="485"/>
      <c r="BJ535" s="485"/>
    </row>
    <row r="536" spans="2:62" ht="15.75" customHeight="1">
      <c r="B536" s="482"/>
      <c r="W536" s="485"/>
      <c r="X536" s="485"/>
      <c r="Y536" s="485"/>
      <c r="Z536" s="485"/>
      <c r="AA536" s="485"/>
      <c r="AB536" s="485"/>
      <c r="AC536" s="485"/>
      <c r="AD536" s="485"/>
      <c r="AE536" s="485"/>
      <c r="AF536" s="485"/>
      <c r="AG536" s="485"/>
      <c r="AH536" s="485"/>
      <c r="AI536" s="485"/>
      <c r="AJ536" s="485"/>
      <c r="AK536" s="485"/>
      <c r="AL536" s="485"/>
      <c r="AM536" s="485"/>
      <c r="AN536" s="485"/>
      <c r="AO536" s="485"/>
      <c r="AP536" s="485"/>
      <c r="AQ536" s="485"/>
      <c r="AR536" s="485"/>
      <c r="AS536" s="485"/>
      <c r="AT536" s="485"/>
      <c r="AU536" s="485"/>
      <c r="AV536" s="485"/>
      <c r="AW536" s="485"/>
      <c r="AX536" s="485"/>
      <c r="AY536" s="485"/>
      <c r="AZ536" s="485"/>
      <c r="BA536" s="485"/>
      <c r="BB536" s="485"/>
      <c r="BC536" s="485"/>
      <c r="BD536" s="485"/>
      <c r="BE536" s="485"/>
      <c r="BF536" s="485"/>
      <c r="BG536" s="485"/>
      <c r="BH536" s="485"/>
      <c r="BI536" s="485"/>
      <c r="BJ536" s="485"/>
    </row>
    <row r="537" spans="2:62" ht="15.75" customHeight="1">
      <c r="B537" s="482"/>
      <c r="W537" s="485"/>
      <c r="X537" s="485"/>
      <c r="Y537" s="485"/>
      <c r="Z537" s="485"/>
      <c r="AA537" s="485"/>
      <c r="AB537" s="485"/>
      <c r="AC537" s="485"/>
      <c r="AD537" s="485"/>
      <c r="AE537" s="485"/>
      <c r="AF537" s="485"/>
      <c r="AG537" s="485"/>
      <c r="AH537" s="485"/>
      <c r="AI537" s="485"/>
      <c r="AJ537" s="485"/>
      <c r="AK537" s="485"/>
      <c r="AL537" s="485"/>
      <c r="AM537" s="485"/>
      <c r="AN537" s="485"/>
      <c r="AO537" s="485"/>
      <c r="AP537" s="485"/>
      <c r="AQ537" s="485"/>
      <c r="AR537" s="485"/>
      <c r="AS537" s="485"/>
      <c r="AT537" s="485"/>
      <c r="AU537" s="485"/>
      <c r="AV537" s="485"/>
      <c r="AW537" s="485"/>
      <c r="AX537" s="485"/>
      <c r="AY537" s="485"/>
      <c r="AZ537" s="485"/>
      <c r="BA537" s="485"/>
      <c r="BB537" s="485"/>
      <c r="BC537" s="485"/>
      <c r="BD537" s="485"/>
      <c r="BE537" s="485"/>
      <c r="BF537" s="485"/>
      <c r="BG537" s="485"/>
      <c r="BH537" s="485"/>
      <c r="BI537" s="485"/>
      <c r="BJ537" s="485"/>
    </row>
    <row r="538" spans="2:62" ht="15.75" customHeight="1">
      <c r="B538" s="482"/>
      <c r="W538" s="485"/>
      <c r="X538" s="485"/>
      <c r="Y538" s="485"/>
      <c r="Z538" s="485"/>
      <c r="AA538" s="485"/>
      <c r="AB538" s="485"/>
      <c r="AC538" s="485"/>
      <c r="AD538" s="485"/>
      <c r="AE538" s="485"/>
      <c r="AF538" s="485"/>
      <c r="AG538" s="485"/>
      <c r="AH538" s="485"/>
      <c r="AI538" s="485"/>
      <c r="AJ538" s="485"/>
      <c r="AK538" s="485"/>
      <c r="AL538" s="485"/>
      <c r="AM538" s="485"/>
      <c r="AN538" s="485"/>
      <c r="AO538" s="485"/>
      <c r="AP538" s="485"/>
      <c r="AQ538" s="485"/>
      <c r="AR538" s="485"/>
      <c r="AS538" s="485"/>
      <c r="AT538" s="485"/>
      <c r="AU538" s="485"/>
      <c r="AV538" s="485"/>
      <c r="AW538" s="485"/>
      <c r="AX538" s="485"/>
      <c r="AY538" s="485"/>
      <c r="AZ538" s="485"/>
      <c r="BA538" s="485"/>
      <c r="BB538" s="485"/>
      <c r="BC538" s="485"/>
      <c r="BD538" s="485"/>
      <c r="BE538" s="485"/>
      <c r="BF538" s="485"/>
      <c r="BG538" s="485"/>
      <c r="BH538" s="485"/>
      <c r="BI538" s="485"/>
      <c r="BJ538" s="48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3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4" stopIfTrue="1">
      <formula>"esterreur(reference)"</formula>
    </cfRule>
  </conditionalFormatting>
  <conditionalFormatting sqref="F5">
    <cfRule type="expression" dxfId="59" priority="61" stopIfTrue="1">
      <formula>"esterreur(reference)"</formula>
    </cfRule>
  </conditionalFormatting>
  <conditionalFormatting sqref="F83:F85">
    <cfRule type="expression" dxfId="58" priority="60" stopIfTrue="1">
      <formula>"esterreur(reference)"</formula>
    </cfRule>
  </conditionalFormatting>
  <conditionalFormatting sqref="F101">
    <cfRule type="expression" dxfId="57" priority="65" stopIfTrue="1">
      <formula>"esterreur(reference)"</formula>
    </cfRule>
  </conditionalFormatting>
  <conditionalFormatting sqref="F184">
    <cfRule type="expression" dxfId="56" priority="29" stopIfTrue="1">
      <formula>"esterreur(reference)"</formula>
    </cfRule>
  </conditionalFormatting>
  <conditionalFormatting sqref="G31:G32">
    <cfRule type="expression" dxfId="55" priority="58" stopIfTrue="1">
      <formula>"esterreur(reference)"</formula>
    </cfRule>
  </conditionalFormatting>
  <conditionalFormatting sqref="G112:G113">
    <cfRule type="expression" dxfId="54" priority="55" stopIfTrue="1">
      <formula>"esterreur(reference)"</formula>
    </cfRule>
  </conditionalFormatting>
  <conditionalFormatting sqref="G172:G181">
    <cfRule type="expression" dxfId="53" priority="62" stopIfTrue="1">
      <formula>"esterreur(reference)"</formula>
    </cfRule>
  </conditionalFormatting>
  <conditionalFormatting sqref="H25:H26 H28:H72">
    <cfRule type="expression" dxfId="52" priority="57" stopIfTrue="1">
      <formula>"esterreur(reference)"</formula>
    </cfRule>
  </conditionalFormatting>
  <conditionalFormatting sqref="H360 J360:L360">
    <cfRule type="expression" dxfId="51" priority="17" stopIfTrue="1">
      <formula>"esterreur(reference)"</formula>
    </cfRule>
  </conditionalFormatting>
  <conditionalFormatting sqref="H197:L197">
    <cfRule type="expression" dxfId="50" priority="19" stopIfTrue="1">
      <formula>"esterreur(reference)"</formula>
    </cfRule>
  </conditionalFormatting>
  <conditionalFormatting sqref="H313:L313 H314:J314 L314 H315:L317">
    <cfRule type="expression" dxfId="49" priority="2" stopIfTrue="1">
      <formula>"esterreur(reference)"</formula>
    </cfRule>
  </conditionalFormatting>
  <conditionalFormatting sqref="H396:L399">
    <cfRule type="expression" dxfId="48" priority="15" stopIfTrue="1">
      <formula>"esterreur(reference)"</formula>
    </cfRule>
  </conditionalFormatting>
  <conditionalFormatting sqref="I16:I18 I20 I24:I30">
    <cfRule type="expression" dxfId="47" priority="59" stopIfTrue="1">
      <formula>"esterreur(reference)"</formula>
    </cfRule>
  </conditionalFormatting>
  <conditionalFormatting sqref="I377:L377 J378:L394 H378:H395">
    <cfRule type="expression" dxfId="46" priority="16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8" stopIfTrue="1">
      <formula>"esterreur(reference)"</formula>
    </cfRule>
  </conditionalFormatting>
  <conditionalFormatting sqref="K5:L5">
    <cfRule type="expression" dxfId="43" priority="28" stopIfTrue="1">
      <formula>"esterreur(reference)"</formula>
    </cfRule>
  </conditionalFormatting>
  <conditionalFormatting sqref="K244:L244">
    <cfRule type="expression" dxfId="42" priority="25" stopIfTrue="1">
      <formula>"esterreur(reference)"</formula>
    </cfRule>
  </conditionalFormatting>
  <conditionalFormatting sqref="K247:L247">
    <cfRule type="expression" dxfId="41" priority="26" stopIfTrue="1">
      <formula>"esterreur(reference)"</formula>
    </cfRule>
  </conditionalFormatting>
  <conditionalFormatting sqref="L42:L48">
    <cfRule type="expression" dxfId="40" priority="21" stopIfTrue="1">
      <formula>"esterreur(reference)"</formula>
    </cfRule>
  </conditionalFormatting>
  <conditionalFormatting sqref="L75:L82">
    <cfRule type="expression" dxfId="39" priority="1" stopIfTrue="1">
      <formula>"esterreur(reference)"</formula>
    </cfRule>
  </conditionalFormatting>
  <conditionalFormatting sqref="L156:L162">
    <cfRule type="expression" dxfId="38" priority="24" stopIfTrue="1">
      <formula>"esterreur(reference)"</formula>
    </cfRule>
  </conditionalFormatting>
  <conditionalFormatting sqref="L198:L209">
    <cfRule type="expression" dxfId="37" priority="22" stopIfTrue="1">
      <formula>"esterreur(reference)"</formula>
    </cfRule>
  </conditionalFormatting>
  <conditionalFormatting sqref="L211:L228">
    <cfRule type="expression" dxfId="36" priority="23" stopIfTrue="1">
      <formula>"esterreur(reference)"</formula>
    </cfRule>
  </conditionalFormatting>
  <conditionalFormatting sqref="L254:L265">
    <cfRule type="expression" dxfId="35" priority="27" stopIfTrue="1">
      <formula>"esterreur(reference)"</formula>
    </cfRule>
  </conditionalFormatting>
  <conditionalFormatting sqref="L331:L348">
    <cfRule type="expression" dxfId="34" priority="20" stopIfTrue="1">
      <formula>"esterreur(reference)"</formula>
    </cfRule>
  </conditionalFormatting>
  <conditionalFormatting sqref="L356:L357 H357:I357 K357 J357:J358 H359:L359">
    <cfRule type="expression" dxfId="33" priority="14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3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50" stopIfTrue="1">
      <formula>"esterreur(reference)"</formula>
    </cfRule>
  </conditionalFormatting>
  <conditionalFormatting sqref="O197:Q197">
    <cfRule type="expression" dxfId="28" priority="39" stopIfTrue="1">
      <formula>"esterreur(reference)"</formula>
    </cfRule>
  </conditionalFormatting>
  <conditionalFormatting sqref="O243:Q243 O252:Q253 O254:P284 Q282:Q285 O285 O288:Q288 O289:P289">
    <cfRule type="expression" dxfId="27" priority="45" stopIfTrue="1">
      <formula>"esterreur(reference)"</formula>
    </cfRule>
  </conditionalFormatting>
  <conditionalFormatting sqref="O359:Q394">
    <cfRule type="expression" dxfId="26" priority="52" stopIfTrue="1">
      <formula>"esterreur(reference)"</formula>
    </cfRule>
  </conditionalFormatting>
  <conditionalFormatting sqref="O396:Q399">
    <cfRule type="expression" dxfId="25" priority="53" stopIfTrue="1">
      <formula>"esterreur(reference)"</formula>
    </cfRule>
  </conditionalFormatting>
  <conditionalFormatting sqref="P5">
    <cfRule type="expression" dxfId="24" priority="33" stopIfTrue="1">
      <formula>"esterreur(reference)"</formula>
    </cfRule>
  </conditionalFormatting>
  <conditionalFormatting sqref="P175">
    <cfRule type="expression" dxfId="23" priority="42" stopIfTrue="1">
      <formula>"esterreur(reference)"</formula>
    </cfRule>
  </conditionalFormatting>
  <conditionalFormatting sqref="P178">
    <cfRule type="expression" dxfId="22" priority="43" stopIfTrue="1">
      <formula>"esterreur(reference)"</formula>
    </cfRule>
  </conditionalFormatting>
  <conditionalFormatting sqref="P181">
    <cfRule type="expression" dxfId="21" priority="44" stopIfTrue="1">
      <formula>"esterreur(reference)"</formula>
    </cfRule>
  </conditionalFormatting>
  <conditionalFormatting sqref="P395">
    <cfRule type="expression" dxfId="20" priority="54" stopIfTrue="1">
      <formula>"esterreur(reference)"</formula>
    </cfRule>
  </conditionalFormatting>
  <conditionalFormatting sqref="P93:Q96 O97:Q98 O156:P157 O164:Q164 O165:P165">
    <cfRule type="expression" dxfId="19" priority="36" stopIfTrue="1">
      <formula>"esterreur(reference)"</formula>
    </cfRule>
  </conditionalFormatting>
  <conditionalFormatting sqref="P99:Q100">
    <cfRule type="expression" dxfId="18" priority="35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8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9" stopIfTrue="1">
      <formula>"esterreur(reference)"</formula>
    </cfRule>
  </conditionalFormatting>
  <conditionalFormatting sqref="P244:Q244">
    <cfRule type="expression" dxfId="14" priority="46" stopIfTrue="1">
      <formula>"esterreur(reference)"</formula>
    </cfRule>
  </conditionalFormatting>
  <conditionalFormatting sqref="P247:Q247">
    <cfRule type="expression" dxfId="13" priority="47" stopIfTrue="1">
      <formula>"esterreur(reference)"</formula>
    </cfRule>
  </conditionalFormatting>
  <conditionalFormatting sqref="Q5:Q14 O13:O14 O16 Q16:Q24 O18:O24 O25:Q26 O27 Q27 O28:Q72 O83:Q85">
    <cfRule type="expression" dxfId="12" priority="32" stopIfTrue="1">
      <formula>"esterreur(reference)"</formula>
    </cfRule>
  </conditionalFormatting>
  <conditionalFormatting sqref="Q75:Q82">
    <cfRule type="expression" dxfId="11" priority="34" stopIfTrue="1">
      <formula>"esterreur(reference)"</formula>
    </cfRule>
  </conditionalFormatting>
  <conditionalFormatting sqref="Q156:Q162">
    <cfRule type="expression" dxfId="10" priority="37" stopIfTrue="1">
      <formula>"esterreur(reference)"</formula>
    </cfRule>
  </conditionalFormatting>
  <conditionalFormatting sqref="Q198:Q209">
    <cfRule type="expression" dxfId="9" priority="40" stopIfTrue="1">
      <formula>"esterreur(reference)"</formula>
    </cfRule>
  </conditionalFormatting>
  <conditionalFormatting sqref="Q211:Q228">
    <cfRule type="expression" dxfId="8" priority="41" stopIfTrue="1">
      <formula>"esterreur(reference)"</formula>
    </cfRule>
  </conditionalFormatting>
  <conditionalFormatting sqref="Q254:Q265">
    <cfRule type="expression" dxfId="7" priority="48" stopIfTrue="1">
      <formula>"esterreur(reference)"</formula>
    </cfRule>
  </conditionalFormatting>
  <conditionalFormatting sqref="Q331:Q348">
    <cfRule type="expression" dxfId="6" priority="51" stopIfTrue="1">
      <formula>"esterreur(reference)"</formula>
    </cfRule>
  </conditionalFormatting>
  <conditionalFormatting sqref="R312">
    <cfRule type="expression" dxfId="5" priority="11" stopIfTrue="1">
      <formula>"esterreur(reference)"</formula>
    </cfRule>
  </conditionalFormatting>
  <conditionalFormatting sqref="S186">
    <cfRule type="expression" dxfId="4" priority="30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2" operator="greaterThan">
      <formula>0</formula>
    </cfRule>
  </conditionalFormatting>
  <conditionalFormatting sqref="AH469:AI476 AH480:AI480">
    <cfRule type="cellIs" dxfId="2" priority="13" operator="lessThan">
      <formula>0</formula>
    </cfRule>
  </conditionalFormatting>
  <conditionalFormatting sqref="AH477:AI479">
    <cfRule type="cellIs" dxfId="1" priority="56" operator="greaterThan">
      <formula>0</formula>
    </cfRule>
  </conditionalFormatting>
  <conditionalFormatting sqref="AO409:AO418">
    <cfRule type="cellIs" dxfId="0" priority="31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C8" sqref="C8"/>
    </sheetView>
  </sheetViews>
  <sheetFormatPr baseColWidth="10" defaultColWidth="11.2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Avril 2025</vt:lpstr>
      <vt:lpstr>Mai 2025</vt:lpstr>
      <vt:lpstr>Juin 2025</vt:lpstr>
      <vt:lpstr>END</vt:lpstr>
      <vt:lpstr>'Avril 2025'!Zone_d_impression</vt:lpstr>
      <vt:lpstr>Conso!Zone_d_impression</vt:lpstr>
      <vt:lpstr>'Juin 2025'!Zone_d_impression</vt:lpstr>
      <vt:lpstr>'Mai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2025-07-30T14:39:29Z</dcterms:modified>
</cp:coreProperties>
</file>